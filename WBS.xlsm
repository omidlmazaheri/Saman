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3.3\DailyShare\ebrahimi\"/>
    </mc:Choice>
  </mc:AlternateContent>
  <bookViews>
    <workbookView xWindow="0" yWindow="0" windowWidth="16695" windowHeight="6990"/>
  </bookViews>
  <sheets>
    <sheet name="GanttChart" sheetId="8" r:id="rId1"/>
    <sheet name="Income Person-hours" sheetId="10" r:id="rId2"/>
    <sheet name="Report 1" sheetId="14" r:id="rId3"/>
    <sheet name="Report 2" sheetId="13" r:id="rId4"/>
    <sheet name="Holidays" sheetId="9" state="hidden" r:id="rId5"/>
  </sheets>
  <functionGroups builtInGroupCount="18"/>
  <externalReferences>
    <externalReference r:id="rId6"/>
  </externalReferences>
  <definedNames>
    <definedName name="_xlnm._FilterDatabase" localSheetId="0" hidden="1">GanttChart!$A$8:$Q$228</definedName>
    <definedName name="_xlnm._FilterDatabase" localSheetId="2" hidden="1">'Report 1'!$A$2:$I$180</definedName>
    <definedName name="_xlnm._FilterDatabase" localSheetId="3" hidden="1">'Report 2'!$A$1:$I$180</definedName>
    <definedName name="a" localSheetId="0">GanttChart!$B$1:$GA$165</definedName>
    <definedName name="_xlnm.Print_Area" localSheetId="0">GanttChart!$A$1:$DI$165</definedName>
    <definedName name="_xlnm.Print_Area" localSheetId="2">'Report 1'!$B$1:$I$180</definedName>
    <definedName name="_xlnm.Print_Area" localSheetId="3">'Report 2'!$B$1:$I$180</definedName>
  </definedNames>
  <calcPr calcId="162913"/>
</workbook>
</file>

<file path=xl/calcChain.xml><?xml version="1.0" encoding="utf-8"?>
<calcChain xmlns="http://schemas.openxmlformats.org/spreadsheetml/2006/main">
  <c r="B1" i="8" l="1"/>
  <c r="E8" i="8"/>
  <c r="C3" i="8"/>
  <c r="JD165" i="8" l="1"/>
  <c r="JD166" i="8"/>
  <c r="JD167" i="8"/>
  <c r="JD168" i="8"/>
  <c r="K33" i="8"/>
  <c r="K32" i="8"/>
  <c r="K10" i="8"/>
  <c r="D3" i="8"/>
  <c r="D55" i="9" l="1"/>
  <c r="E44" i="9"/>
  <c r="E42" i="9"/>
  <c r="E54" i="9"/>
  <c r="E34" i="9"/>
  <c r="E33" i="9"/>
  <c r="E49" i="9"/>
  <c r="E36" i="9"/>
  <c r="E47" i="9"/>
  <c r="E39" i="9"/>
  <c r="E45" i="9"/>
  <c r="E52" i="9"/>
  <c r="E50" i="9"/>
  <c r="E37" i="9"/>
  <c r="E41" i="9"/>
  <c r="E31" i="9"/>
  <c r="E35" i="9"/>
  <c r="E43" i="9"/>
  <c r="E46" i="9"/>
  <c r="E29" i="9"/>
  <c r="E53" i="9"/>
  <c r="E51" i="9"/>
  <c r="E38" i="9"/>
  <c r="E40" i="9"/>
  <c r="E32" i="9"/>
  <c r="E30" i="9"/>
  <c r="C5" i="14" l="1"/>
  <c r="C6" i="14"/>
  <c r="C7" i="14"/>
  <c r="C8" i="14"/>
  <c r="C9" i="14"/>
  <c r="C10" i="14"/>
  <c r="C11" i="14"/>
  <c r="C12" i="14"/>
  <c r="C27" i="14"/>
  <c r="C28" i="14"/>
  <c r="C29" i="14"/>
  <c r="C30" i="14"/>
  <c r="C32" i="14"/>
  <c r="C49" i="14"/>
  <c r="C51" i="14"/>
  <c r="C53" i="14"/>
  <c r="C54" i="14"/>
  <c r="C71" i="14"/>
  <c r="C73" i="14"/>
  <c r="C74" i="14"/>
  <c r="C93" i="14"/>
  <c r="C94" i="14"/>
  <c r="C95" i="14"/>
  <c r="C115" i="14"/>
  <c r="C116" i="14"/>
  <c r="C118" i="14"/>
  <c r="C119" i="14"/>
  <c r="C137" i="14"/>
  <c r="C138" i="14"/>
  <c r="C139" i="14"/>
  <c r="C159" i="14"/>
  <c r="C16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31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50" i="14"/>
  <c r="C52" i="14"/>
  <c r="C55" i="14"/>
  <c r="C56" i="14"/>
  <c r="C57" i="14"/>
  <c r="C58" i="14"/>
  <c r="C59" i="14"/>
  <c r="C60" i="14"/>
  <c r="C61" i="14"/>
  <c r="C62" i="14"/>
  <c r="C63" i="14"/>
  <c r="C64" i="14"/>
  <c r="C65" i="14"/>
  <c r="C66" i="14"/>
  <c r="C67" i="14"/>
  <c r="C68" i="14"/>
  <c r="C69" i="14"/>
  <c r="C70" i="14"/>
  <c r="C72" i="14"/>
  <c r="C75" i="14"/>
  <c r="C76" i="14"/>
  <c r="C77" i="14"/>
  <c r="C78" i="14"/>
  <c r="C79" i="14"/>
  <c r="C80" i="14"/>
  <c r="C81" i="14"/>
  <c r="C82" i="14"/>
  <c r="C83" i="14"/>
  <c r="C84" i="14"/>
  <c r="C85" i="14"/>
  <c r="C86" i="14"/>
  <c r="C87" i="14"/>
  <c r="C88" i="14"/>
  <c r="C89" i="14"/>
  <c r="C90" i="14"/>
  <c r="C91" i="14"/>
  <c r="C92" i="14"/>
  <c r="C96" i="14"/>
  <c r="C97" i="14"/>
  <c r="C98" i="14"/>
  <c r="C99" i="14"/>
  <c r="C100" i="14"/>
  <c r="C101" i="14"/>
  <c r="C102" i="14"/>
  <c r="C103" i="14"/>
  <c r="C104" i="14"/>
  <c r="C105" i="14"/>
  <c r="C106" i="14"/>
  <c r="C107" i="14"/>
  <c r="C108" i="14"/>
  <c r="C109" i="14"/>
  <c r="C110" i="14"/>
  <c r="C111" i="14"/>
  <c r="C112" i="14"/>
  <c r="C113" i="14"/>
  <c r="C114" i="14"/>
  <c r="C117" i="14"/>
  <c r="C120" i="14"/>
  <c r="C121" i="14"/>
  <c r="C122" i="14"/>
  <c r="C123" i="14"/>
  <c r="C124" i="14"/>
  <c r="C125" i="14"/>
  <c r="C126" i="14"/>
  <c r="C127" i="14"/>
  <c r="C128" i="14"/>
  <c r="C129" i="14"/>
  <c r="C130" i="14"/>
  <c r="C131" i="14"/>
  <c r="C132" i="14"/>
  <c r="C133" i="14"/>
  <c r="C134" i="14"/>
  <c r="C135" i="14"/>
  <c r="C136" i="14"/>
  <c r="C140" i="14"/>
  <c r="C141" i="14"/>
  <c r="C142" i="14"/>
  <c r="C143" i="14"/>
  <c r="C144" i="14"/>
  <c r="C145" i="14"/>
  <c r="C146" i="14"/>
  <c r="C147" i="14"/>
  <c r="C148" i="14"/>
  <c r="C149" i="14"/>
  <c r="C150" i="14"/>
  <c r="C151" i="14"/>
  <c r="C152" i="14"/>
  <c r="C153" i="14"/>
  <c r="C154" i="14"/>
  <c r="C155" i="14"/>
  <c r="C156" i="14"/>
  <c r="C157" i="14"/>
  <c r="C158" i="14"/>
  <c r="C160" i="14"/>
  <c r="C161" i="14"/>
  <c r="C163" i="14"/>
  <c r="C164" i="14"/>
  <c r="C165" i="14"/>
  <c r="C166" i="14"/>
  <c r="C167" i="14"/>
  <c r="C168" i="14"/>
  <c r="C169" i="14"/>
  <c r="C170" i="14"/>
  <c r="C171" i="14"/>
  <c r="C172" i="14"/>
  <c r="C173" i="14"/>
  <c r="C174" i="14"/>
  <c r="C175" i="14"/>
  <c r="C176" i="14"/>
  <c r="C177" i="14"/>
  <c r="C178" i="14"/>
  <c r="C179" i="14"/>
  <c r="A7" i="10" l="1"/>
  <c r="A1" i="10"/>
  <c r="G8" i="10"/>
  <c r="F8" i="10"/>
  <c r="D8" i="10"/>
  <c r="D5" i="14"/>
  <c r="E5" i="14"/>
  <c r="F5" i="14"/>
  <c r="D6" i="14"/>
  <c r="E6" i="14"/>
  <c r="F6" i="14"/>
  <c r="D7" i="14"/>
  <c r="E7" i="14"/>
  <c r="F7" i="14"/>
  <c r="D8" i="14"/>
  <c r="E8" i="14"/>
  <c r="F8" i="14"/>
  <c r="D9" i="14"/>
  <c r="E9" i="14"/>
  <c r="F9" i="14"/>
  <c r="D10" i="14"/>
  <c r="E10" i="14"/>
  <c r="F10" i="14"/>
  <c r="D11" i="14"/>
  <c r="E11" i="14"/>
  <c r="F11" i="14"/>
  <c r="D12" i="14"/>
  <c r="E12" i="14"/>
  <c r="F12" i="14"/>
  <c r="D13" i="14"/>
  <c r="E13" i="14"/>
  <c r="F13" i="14"/>
  <c r="D14" i="14"/>
  <c r="E14" i="14"/>
  <c r="F14" i="14"/>
  <c r="D15" i="14"/>
  <c r="E15" i="14"/>
  <c r="F15" i="14"/>
  <c r="D16" i="14"/>
  <c r="E16" i="14"/>
  <c r="F16" i="14"/>
  <c r="D17" i="14"/>
  <c r="E17" i="14"/>
  <c r="F17" i="14"/>
  <c r="D18" i="14"/>
  <c r="E18" i="14"/>
  <c r="F18" i="14"/>
  <c r="D19" i="14"/>
  <c r="E19" i="14"/>
  <c r="F19" i="14"/>
  <c r="D20" i="14"/>
  <c r="E20" i="14"/>
  <c r="F20" i="14"/>
  <c r="D21" i="14"/>
  <c r="E21" i="14"/>
  <c r="F21" i="14"/>
  <c r="D22" i="14"/>
  <c r="E22" i="14"/>
  <c r="F22" i="14"/>
  <c r="D23" i="14"/>
  <c r="E23" i="14"/>
  <c r="F23" i="14"/>
  <c r="D24" i="14"/>
  <c r="E24" i="14"/>
  <c r="F24" i="14"/>
  <c r="D25" i="14"/>
  <c r="E25" i="14"/>
  <c r="F25" i="14"/>
  <c r="D26" i="14"/>
  <c r="E26" i="14"/>
  <c r="F26" i="14"/>
  <c r="G26" i="14"/>
  <c r="I26" i="14" s="1"/>
  <c r="D27" i="14"/>
  <c r="E27" i="14"/>
  <c r="F27" i="14"/>
  <c r="D28" i="14"/>
  <c r="E28" i="14"/>
  <c r="F28" i="14"/>
  <c r="D29" i="14"/>
  <c r="E29" i="14"/>
  <c r="F29" i="14"/>
  <c r="D30" i="14"/>
  <c r="E30" i="14"/>
  <c r="F30" i="14"/>
  <c r="D31" i="14"/>
  <c r="E31" i="14"/>
  <c r="F31" i="14"/>
  <c r="D32" i="14"/>
  <c r="E32" i="14"/>
  <c r="F32" i="14"/>
  <c r="D33" i="14"/>
  <c r="E33" i="14"/>
  <c r="F33" i="14"/>
  <c r="D34" i="14"/>
  <c r="E34" i="14"/>
  <c r="F34" i="14"/>
  <c r="D35" i="14"/>
  <c r="E35" i="14"/>
  <c r="F35" i="14"/>
  <c r="D36" i="14"/>
  <c r="E36" i="14"/>
  <c r="F36" i="14"/>
  <c r="D37" i="14"/>
  <c r="E37" i="14"/>
  <c r="F37" i="14"/>
  <c r="D38" i="14"/>
  <c r="E38" i="14"/>
  <c r="F38" i="14"/>
  <c r="D39" i="14"/>
  <c r="E39" i="14"/>
  <c r="F39" i="14"/>
  <c r="D40" i="14"/>
  <c r="E40" i="14"/>
  <c r="F40" i="14"/>
  <c r="D41" i="14"/>
  <c r="E41" i="14"/>
  <c r="F41" i="14"/>
  <c r="D42" i="14"/>
  <c r="E42" i="14"/>
  <c r="F42" i="14"/>
  <c r="D43" i="14"/>
  <c r="E43" i="14"/>
  <c r="F43" i="14"/>
  <c r="D44" i="14"/>
  <c r="E44" i="14"/>
  <c r="F44" i="14"/>
  <c r="D45" i="14"/>
  <c r="E45" i="14"/>
  <c r="F45" i="14"/>
  <c r="G45" i="14"/>
  <c r="I45" i="14" s="1"/>
  <c r="D46" i="14"/>
  <c r="E46" i="14"/>
  <c r="F46" i="14"/>
  <c r="G46" i="14"/>
  <c r="I46" i="14" s="1"/>
  <c r="D47" i="14"/>
  <c r="E47" i="14"/>
  <c r="F47" i="14"/>
  <c r="G47" i="14"/>
  <c r="I47" i="14" s="1"/>
  <c r="D48" i="14"/>
  <c r="E48" i="14"/>
  <c r="F48" i="14"/>
  <c r="G48" i="14"/>
  <c r="I48" i="14" s="1"/>
  <c r="D49" i="14"/>
  <c r="E49" i="14"/>
  <c r="F49" i="14"/>
  <c r="D50" i="14"/>
  <c r="E50" i="14"/>
  <c r="F50" i="14"/>
  <c r="D51" i="14"/>
  <c r="E51" i="14"/>
  <c r="F51" i="14"/>
  <c r="D52" i="14"/>
  <c r="E52" i="14"/>
  <c r="F52" i="14"/>
  <c r="D53" i="14"/>
  <c r="E53" i="14"/>
  <c r="F53" i="14"/>
  <c r="D54" i="14"/>
  <c r="E54" i="14"/>
  <c r="F54" i="14"/>
  <c r="D55" i="14"/>
  <c r="E55" i="14"/>
  <c r="F55" i="14"/>
  <c r="D56" i="14"/>
  <c r="E56" i="14"/>
  <c r="F56" i="14"/>
  <c r="D57" i="14"/>
  <c r="E57" i="14"/>
  <c r="F57" i="14"/>
  <c r="D58" i="14"/>
  <c r="E58" i="14"/>
  <c r="F58" i="14"/>
  <c r="D59" i="14"/>
  <c r="E59" i="14"/>
  <c r="F59" i="14"/>
  <c r="D60" i="14"/>
  <c r="E60" i="14"/>
  <c r="F60" i="14"/>
  <c r="D61" i="14"/>
  <c r="E61" i="14"/>
  <c r="F61" i="14"/>
  <c r="D62" i="14"/>
  <c r="E62" i="14"/>
  <c r="F62" i="14"/>
  <c r="D63" i="14"/>
  <c r="E63" i="14"/>
  <c r="F63" i="14"/>
  <c r="D64" i="14"/>
  <c r="E64" i="14"/>
  <c r="F64" i="14"/>
  <c r="D65" i="14"/>
  <c r="E65" i="14"/>
  <c r="F65" i="14"/>
  <c r="D66" i="14"/>
  <c r="E66" i="14"/>
  <c r="F66" i="14"/>
  <c r="D67" i="14"/>
  <c r="E67" i="14"/>
  <c r="F67" i="14"/>
  <c r="D68" i="14"/>
  <c r="E68" i="14"/>
  <c r="F68" i="14"/>
  <c r="D69" i="14"/>
  <c r="E69" i="14"/>
  <c r="F69" i="14"/>
  <c r="D70" i="14"/>
  <c r="E70" i="14"/>
  <c r="F70" i="14"/>
  <c r="G70" i="14"/>
  <c r="I70" i="14" s="1"/>
  <c r="D71" i="14"/>
  <c r="E71" i="14"/>
  <c r="F71" i="14"/>
  <c r="D72" i="14"/>
  <c r="E72" i="14"/>
  <c r="F72" i="14"/>
  <c r="D73" i="14"/>
  <c r="E73" i="14"/>
  <c r="F73" i="14"/>
  <c r="D74" i="14"/>
  <c r="E74" i="14"/>
  <c r="F74" i="14"/>
  <c r="D75" i="14"/>
  <c r="E75" i="14"/>
  <c r="F75" i="14"/>
  <c r="D76" i="14"/>
  <c r="E76" i="14"/>
  <c r="F76" i="14"/>
  <c r="D77" i="14"/>
  <c r="E77" i="14"/>
  <c r="F77" i="14"/>
  <c r="D78" i="14"/>
  <c r="E78" i="14"/>
  <c r="F78" i="14"/>
  <c r="D79" i="14"/>
  <c r="E79" i="14"/>
  <c r="F79" i="14"/>
  <c r="D80" i="14"/>
  <c r="E80" i="14"/>
  <c r="F80" i="14"/>
  <c r="D81" i="14"/>
  <c r="E81" i="14"/>
  <c r="F81" i="14"/>
  <c r="D82" i="14"/>
  <c r="E82" i="14"/>
  <c r="F82" i="14"/>
  <c r="D83" i="14"/>
  <c r="E83" i="14"/>
  <c r="F83" i="14"/>
  <c r="D84" i="14"/>
  <c r="E84" i="14"/>
  <c r="F84" i="14"/>
  <c r="D85" i="14"/>
  <c r="E85" i="14"/>
  <c r="F85" i="14"/>
  <c r="D86" i="14"/>
  <c r="E86" i="14"/>
  <c r="F86" i="14"/>
  <c r="D87" i="14"/>
  <c r="E87" i="14"/>
  <c r="F87" i="14"/>
  <c r="D88" i="14"/>
  <c r="E88" i="14"/>
  <c r="F88" i="14"/>
  <c r="D89" i="14"/>
  <c r="E89" i="14"/>
  <c r="F89" i="14"/>
  <c r="D90" i="14"/>
  <c r="E90" i="14"/>
  <c r="F90" i="14"/>
  <c r="D91" i="14"/>
  <c r="E91" i="14"/>
  <c r="F91" i="14"/>
  <c r="D92" i="14"/>
  <c r="E92" i="14"/>
  <c r="F92" i="14"/>
  <c r="G92" i="14"/>
  <c r="I92" i="14" s="1"/>
  <c r="D93" i="14"/>
  <c r="E93" i="14"/>
  <c r="F93" i="14"/>
  <c r="D94" i="14"/>
  <c r="E94" i="14"/>
  <c r="F94" i="14"/>
  <c r="D95" i="14"/>
  <c r="E95" i="14"/>
  <c r="F95" i="14"/>
  <c r="D96" i="14"/>
  <c r="E96" i="14"/>
  <c r="F96" i="14"/>
  <c r="D97" i="14"/>
  <c r="E97" i="14"/>
  <c r="F97" i="14"/>
  <c r="D98" i="14"/>
  <c r="E98" i="14"/>
  <c r="F98" i="14"/>
  <c r="D99" i="14"/>
  <c r="E99" i="14"/>
  <c r="F99" i="14"/>
  <c r="D100" i="14"/>
  <c r="E100" i="14"/>
  <c r="F100" i="14"/>
  <c r="D101" i="14"/>
  <c r="E101" i="14"/>
  <c r="F101" i="14"/>
  <c r="D102" i="14"/>
  <c r="E102" i="14"/>
  <c r="F102" i="14"/>
  <c r="D103" i="14"/>
  <c r="E103" i="14"/>
  <c r="F103" i="14"/>
  <c r="D104" i="14"/>
  <c r="E104" i="14"/>
  <c r="F104" i="14"/>
  <c r="D105" i="14"/>
  <c r="E105" i="14"/>
  <c r="F105" i="14"/>
  <c r="D106" i="14"/>
  <c r="E106" i="14"/>
  <c r="F106" i="14"/>
  <c r="D107" i="14"/>
  <c r="E107" i="14"/>
  <c r="F107" i="14"/>
  <c r="D108" i="14"/>
  <c r="E108" i="14"/>
  <c r="F108" i="14"/>
  <c r="D109" i="14"/>
  <c r="E109" i="14"/>
  <c r="F109" i="14"/>
  <c r="D110" i="14"/>
  <c r="E110" i="14"/>
  <c r="F110" i="14"/>
  <c r="D111" i="14"/>
  <c r="E111" i="14"/>
  <c r="F111" i="14"/>
  <c r="D112" i="14"/>
  <c r="E112" i="14"/>
  <c r="F112" i="14"/>
  <c r="D113" i="14"/>
  <c r="E113" i="14"/>
  <c r="F113" i="14"/>
  <c r="D114" i="14"/>
  <c r="E114" i="14"/>
  <c r="F114" i="14"/>
  <c r="G114" i="14"/>
  <c r="I114" i="14" s="1"/>
  <c r="D115" i="14"/>
  <c r="E115" i="14"/>
  <c r="F115" i="14"/>
  <c r="D116" i="14"/>
  <c r="E116" i="14"/>
  <c r="F116" i="14"/>
  <c r="D117" i="14"/>
  <c r="E117" i="14"/>
  <c r="F117" i="14"/>
  <c r="D118" i="14"/>
  <c r="E118" i="14"/>
  <c r="F118" i="14"/>
  <c r="D119" i="14"/>
  <c r="E119" i="14"/>
  <c r="F119" i="14"/>
  <c r="D120" i="14"/>
  <c r="E120" i="14"/>
  <c r="F120" i="14"/>
  <c r="D121" i="14"/>
  <c r="E121" i="14"/>
  <c r="F121" i="14"/>
  <c r="D122" i="14"/>
  <c r="E122" i="14"/>
  <c r="F122" i="14"/>
  <c r="D123" i="14"/>
  <c r="E123" i="14"/>
  <c r="F123" i="14"/>
  <c r="D124" i="14"/>
  <c r="E124" i="14"/>
  <c r="F124" i="14"/>
  <c r="D125" i="14"/>
  <c r="E125" i="14"/>
  <c r="F125" i="14"/>
  <c r="D126" i="14"/>
  <c r="E126" i="14"/>
  <c r="F126" i="14"/>
  <c r="D127" i="14"/>
  <c r="E127" i="14"/>
  <c r="F127" i="14"/>
  <c r="D128" i="14"/>
  <c r="E128" i="14"/>
  <c r="F128" i="14"/>
  <c r="D129" i="14"/>
  <c r="E129" i="14"/>
  <c r="F129" i="14"/>
  <c r="D130" i="14"/>
  <c r="E130" i="14"/>
  <c r="F130" i="14"/>
  <c r="D131" i="14"/>
  <c r="E131" i="14"/>
  <c r="F131" i="14"/>
  <c r="D132" i="14"/>
  <c r="E132" i="14"/>
  <c r="F132" i="14"/>
  <c r="D133" i="14"/>
  <c r="E133" i="14"/>
  <c r="F133" i="14"/>
  <c r="D134" i="14"/>
  <c r="E134" i="14"/>
  <c r="F134" i="14"/>
  <c r="D135" i="14"/>
  <c r="E135" i="14"/>
  <c r="F135" i="14"/>
  <c r="D136" i="14"/>
  <c r="E136" i="14"/>
  <c r="F136" i="14"/>
  <c r="G136" i="14"/>
  <c r="I136" i="14" s="1"/>
  <c r="D137" i="14"/>
  <c r="E137" i="14"/>
  <c r="F137" i="14"/>
  <c r="D138" i="14"/>
  <c r="E138" i="14"/>
  <c r="F138" i="14"/>
  <c r="D139" i="14"/>
  <c r="E139" i="14"/>
  <c r="F139" i="14"/>
  <c r="D140" i="14"/>
  <c r="E140" i="14"/>
  <c r="F140" i="14"/>
  <c r="D141" i="14"/>
  <c r="E141" i="14"/>
  <c r="F141" i="14"/>
  <c r="D142" i="14"/>
  <c r="E142" i="14"/>
  <c r="F142" i="14"/>
  <c r="D143" i="14"/>
  <c r="E143" i="14"/>
  <c r="F143" i="14"/>
  <c r="D144" i="14"/>
  <c r="E144" i="14"/>
  <c r="F144" i="14"/>
  <c r="D145" i="14"/>
  <c r="E145" i="14"/>
  <c r="F145" i="14"/>
  <c r="D146" i="14"/>
  <c r="E146" i="14"/>
  <c r="F146" i="14"/>
  <c r="D147" i="14"/>
  <c r="E147" i="14"/>
  <c r="F147" i="14"/>
  <c r="D148" i="14"/>
  <c r="E148" i="14"/>
  <c r="F148" i="14"/>
  <c r="D149" i="14"/>
  <c r="E149" i="14"/>
  <c r="F149" i="14"/>
  <c r="D150" i="14"/>
  <c r="E150" i="14"/>
  <c r="F150" i="14"/>
  <c r="D151" i="14"/>
  <c r="E151" i="14"/>
  <c r="F151" i="14"/>
  <c r="D152" i="14"/>
  <c r="E152" i="14"/>
  <c r="F152" i="14"/>
  <c r="D153" i="14"/>
  <c r="E153" i="14"/>
  <c r="F153" i="14"/>
  <c r="D154" i="14"/>
  <c r="E154" i="14"/>
  <c r="F154" i="14"/>
  <c r="D155" i="14"/>
  <c r="E155" i="14"/>
  <c r="F155" i="14"/>
  <c r="D156" i="14"/>
  <c r="E156" i="14"/>
  <c r="F156" i="14"/>
  <c r="D157" i="14"/>
  <c r="E157" i="14"/>
  <c r="F157" i="14"/>
  <c r="D158" i="14"/>
  <c r="E158" i="14"/>
  <c r="F158" i="14"/>
  <c r="G158" i="14"/>
  <c r="I158" i="14" s="1"/>
  <c r="D159" i="14"/>
  <c r="E159" i="14"/>
  <c r="F159" i="14"/>
  <c r="D160" i="14"/>
  <c r="E160" i="14"/>
  <c r="F160" i="14"/>
  <c r="D161" i="14"/>
  <c r="E161" i="14"/>
  <c r="F161" i="14"/>
  <c r="D162" i="14"/>
  <c r="E162" i="14"/>
  <c r="F162" i="14"/>
  <c r="D163" i="14"/>
  <c r="E163" i="14"/>
  <c r="F163" i="14"/>
  <c r="D164" i="14"/>
  <c r="E164" i="14"/>
  <c r="F164" i="14"/>
  <c r="D165" i="14"/>
  <c r="E165" i="14"/>
  <c r="F165" i="14"/>
  <c r="G165" i="14"/>
  <c r="I165" i="14" s="1"/>
  <c r="D166" i="14"/>
  <c r="E166" i="14"/>
  <c r="F166" i="14"/>
  <c r="G166" i="14"/>
  <c r="I166" i="14" s="1"/>
  <c r="D167" i="14"/>
  <c r="E167" i="14"/>
  <c r="F167" i="14"/>
  <c r="G167" i="14"/>
  <c r="I167" i="14" s="1"/>
  <c r="D168" i="14"/>
  <c r="E168" i="14"/>
  <c r="F168" i="14"/>
  <c r="D169" i="14"/>
  <c r="E169" i="14"/>
  <c r="F169" i="14"/>
  <c r="D170" i="14"/>
  <c r="E170" i="14"/>
  <c r="F170" i="14"/>
  <c r="D171" i="14"/>
  <c r="E171" i="14"/>
  <c r="F171" i="14"/>
  <c r="D172" i="14"/>
  <c r="E172" i="14"/>
  <c r="F172" i="14"/>
  <c r="D173" i="14"/>
  <c r="E173" i="14"/>
  <c r="F173" i="14"/>
  <c r="D174" i="14"/>
  <c r="E174" i="14"/>
  <c r="F174" i="14"/>
  <c r="D175" i="14"/>
  <c r="E175" i="14"/>
  <c r="F175" i="14"/>
  <c r="D176" i="14"/>
  <c r="E176" i="14"/>
  <c r="F176" i="14"/>
  <c r="D177" i="14"/>
  <c r="E177" i="14"/>
  <c r="F177" i="14"/>
  <c r="D178" i="14"/>
  <c r="E178" i="14"/>
  <c r="F178" i="14"/>
  <c r="D179" i="14"/>
  <c r="E179" i="14"/>
  <c r="F179" i="14"/>
  <c r="D4" i="14"/>
  <c r="E4" i="14"/>
  <c r="F4" i="14"/>
  <c r="G4" i="14"/>
  <c r="C4" i="14"/>
  <c r="B1" i="14"/>
  <c r="D27" i="13"/>
  <c r="E27" i="13"/>
  <c r="F27" i="13"/>
  <c r="D28" i="13"/>
  <c r="E28" i="13"/>
  <c r="F28" i="13"/>
  <c r="D29" i="13"/>
  <c r="E29" i="13"/>
  <c r="F29" i="13"/>
  <c r="D30" i="13"/>
  <c r="E30" i="13"/>
  <c r="F30" i="13"/>
  <c r="D31" i="13"/>
  <c r="E31" i="13"/>
  <c r="F31" i="13"/>
  <c r="D32" i="13"/>
  <c r="E32" i="13"/>
  <c r="F32" i="13"/>
  <c r="D33" i="13"/>
  <c r="E33" i="13"/>
  <c r="F33" i="13"/>
  <c r="D34" i="13"/>
  <c r="E34" i="13"/>
  <c r="F34" i="13"/>
  <c r="D35" i="13"/>
  <c r="E35" i="13"/>
  <c r="F35" i="13"/>
  <c r="D36" i="13"/>
  <c r="E36" i="13"/>
  <c r="F36" i="13"/>
  <c r="D37" i="13"/>
  <c r="E37" i="13"/>
  <c r="F37" i="13"/>
  <c r="D38" i="13"/>
  <c r="E38" i="13"/>
  <c r="F38" i="13"/>
  <c r="D39" i="13"/>
  <c r="E39" i="13"/>
  <c r="F39" i="13"/>
  <c r="D40" i="13"/>
  <c r="E40" i="13"/>
  <c r="F40" i="13"/>
  <c r="D41" i="13"/>
  <c r="E41" i="13"/>
  <c r="F41" i="13"/>
  <c r="D42" i="13"/>
  <c r="E42" i="13"/>
  <c r="F42" i="13"/>
  <c r="D43" i="13"/>
  <c r="E43" i="13"/>
  <c r="F43" i="13"/>
  <c r="D44" i="13"/>
  <c r="E44" i="13"/>
  <c r="F44" i="13"/>
  <c r="D45" i="13"/>
  <c r="E45" i="13"/>
  <c r="F45" i="13"/>
  <c r="G45" i="13"/>
  <c r="I45" i="13" s="1"/>
  <c r="D46" i="13"/>
  <c r="E46" i="13"/>
  <c r="F46" i="13"/>
  <c r="G46" i="13"/>
  <c r="I46" i="13" s="1"/>
  <c r="D47" i="13"/>
  <c r="E47" i="13"/>
  <c r="F47" i="13"/>
  <c r="G47" i="13"/>
  <c r="I47" i="13" s="1"/>
  <c r="D49" i="13"/>
  <c r="E49" i="13"/>
  <c r="F49" i="13"/>
  <c r="D50" i="13"/>
  <c r="E50" i="13"/>
  <c r="F50" i="13"/>
  <c r="D51" i="13"/>
  <c r="E51" i="13"/>
  <c r="F51" i="13"/>
  <c r="D52" i="13"/>
  <c r="E52" i="13"/>
  <c r="F52" i="13"/>
  <c r="D53" i="13"/>
  <c r="E53" i="13"/>
  <c r="F53" i="13"/>
  <c r="D54" i="13"/>
  <c r="E54" i="13"/>
  <c r="F54" i="13"/>
  <c r="D55" i="13"/>
  <c r="E55" i="13"/>
  <c r="F55" i="13"/>
  <c r="D56" i="13"/>
  <c r="E56" i="13"/>
  <c r="F56" i="13"/>
  <c r="D57" i="13"/>
  <c r="E57" i="13"/>
  <c r="F57" i="13"/>
  <c r="D58" i="13"/>
  <c r="E58" i="13"/>
  <c r="F58" i="13"/>
  <c r="D59" i="13"/>
  <c r="E59" i="13"/>
  <c r="F59" i="13"/>
  <c r="D60" i="13"/>
  <c r="E60" i="13"/>
  <c r="F60" i="13"/>
  <c r="D61" i="13"/>
  <c r="E61" i="13"/>
  <c r="F61" i="13"/>
  <c r="D62" i="13"/>
  <c r="E62" i="13"/>
  <c r="F62" i="13"/>
  <c r="D63" i="13"/>
  <c r="E63" i="13"/>
  <c r="F63" i="13"/>
  <c r="D64" i="13"/>
  <c r="E64" i="13"/>
  <c r="F64" i="13"/>
  <c r="D65" i="13"/>
  <c r="E65" i="13"/>
  <c r="F65" i="13"/>
  <c r="D66" i="13"/>
  <c r="E66" i="13"/>
  <c r="F66" i="13"/>
  <c r="D67" i="13"/>
  <c r="E67" i="13"/>
  <c r="F67" i="13"/>
  <c r="D68" i="13"/>
  <c r="E68" i="13"/>
  <c r="F68" i="13"/>
  <c r="D69" i="13"/>
  <c r="E69" i="13"/>
  <c r="F69" i="13"/>
  <c r="D71" i="13"/>
  <c r="E71" i="13"/>
  <c r="F71" i="13"/>
  <c r="D72" i="13"/>
  <c r="E72" i="13"/>
  <c r="F72" i="13"/>
  <c r="D73" i="13"/>
  <c r="E73" i="13"/>
  <c r="F73" i="13"/>
  <c r="D74" i="13"/>
  <c r="E74" i="13"/>
  <c r="F74" i="13"/>
  <c r="D75" i="13"/>
  <c r="E75" i="13"/>
  <c r="F75" i="13"/>
  <c r="D76" i="13"/>
  <c r="E76" i="13"/>
  <c r="F76" i="13"/>
  <c r="D77" i="13"/>
  <c r="E77" i="13"/>
  <c r="F77" i="13"/>
  <c r="D78" i="13"/>
  <c r="E78" i="13"/>
  <c r="F78" i="13"/>
  <c r="D79" i="13"/>
  <c r="E79" i="13"/>
  <c r="F79" i="13"/>
  <c r="D80" i="13"/>
  <c r="E80" i="13"/>
  <c r="F80" i="13"/>
  <c r="D81" i="13"/>
  <c r="E81" i="13"/>
  <c r="F81" i="13"/>
  <c r="D82" i="13"/>
  <c r="E82" i="13"/>
  <c r="F82" i="13"/>
  <c r="D83" i="13"/>
  <c r="E83" i="13"/>
  <c r="F83" i="13"/>
  <c r="D84" i="13"/>
  <c r="E84" i="13"/>
  <c r="F84" i="13"/>
  <c r="D85" i="13"/>
  <c r="E85" i="13"/>
  <c r="F85" i="13"/>
  <c r="D86" i="13"/>
  <c r="E86" i="13"/>
  <c r="F86" i="13"/>
  <c r="D87" i="13"/>
  <c r="E87" i="13"/>
  <c r="F87" i="13"/>
  <c r="D88" i="13"/>
  <c r="E88" i="13"/>
  <c r="F88" i="13"/>
  <c r="D89" i="13"/>
  <c r="E89" i="13"/>
  <c r="F89" i="13"/>
  <c r="D90" i="13"/>
  <c r="E90" i="13"/>
  <c r="F90" i="13"/>
  <c r="D91" i="13"/>
  <c r="E91" i="13"/>
  <c r="F91" i="13"/>
  <c r="D93" i="13"/>
  <c r="E93" i="13"/>
  <c r="F93" i="13"/>
  <c r="D94" i="13"/>
  <c r="E94" i="13"/>
  <c r="F94" i="13"/>
  <c r="D95" i="13"/>
  <c r="E95" i="13"/>
  <c r="F95" i="13"/>
  <c r="D96" i="13"/>
  <c r="E96" i="13"/>
  <c r="F96" i="13"/>
  <c r="D97" i="13"/>
  <c r="E97" i="13"/>
  <c r="F97" i="13"/>
  <c r="D98" i="13"/>
  <c r="E98" i="13"/>
  <c r="F98" i="13"/>
  <c r="D99" i="13"/>
  <c r="E99" i="13"/>
  <c r="F99" i="13"/>
  <c r="D100" i="13"/>
  <c r="E100" i="13"/>
  <c r="F100" i="13"/>
  <c r="D101" i="13"/>
  <c r="E101" i="13"/>
  <c r="F101" i="13"/>
  <c r="D102" i="13"/>
  <c r="E102" i="13"/>
  <c r="F102" i="13"/>
  <c r="D103" i="13"/>
  <c r="E103" i="13"/>
  <c r="F103" i="13"/>
  <c r="D104" i="13"/>
  <c r="E104" i="13"/>
  <c r="F104" i="13"/>
  <c r="D105" i="13"/>
  <c r="E105" i="13"/>
  <c r="F105" i="13"/>
  <c r="D106" i="13"/>
  <c r="E106" i="13"/>
  <c r="F106" i="13"/>
  <c r="D107" i="13"/>
  <c r="E107" i="13"/>
  <c r="F107" i="13"/>
  <c r="D108" i="13"/>
  <c r="E108" i="13"/>
  <c r="F108" i="13"/>
  <c r="D109" i="13"/>
  <c r="E109" i="13"/>
  <c r="F109" i="13"/>
  <c r="D110" i="13"/>
  <c r="E110" i="13"/>
  <c r="F110" i="13"/>
  <c r="D111" i="13"/>
  <c r="E111" i="13"/>
  <c r="F111" i="13"/>
  <c r="D112" i="13"/>
  <c r="E112" i="13"/>
  <c r="F112" i="13"/>
  <c r="D113" i="13"/>
  <c r="E113" i="13"/>
  <c r="F113" i="13"/>
  <c r="D115" i="13"/>
  <c r="E115" i="13"/>
  <c r="F115" i="13"/>
  <c r="D116" i="13"/>
  <c r="E116" i="13"/>
  <c r="F116" i="13"/>
  <c r="D117" i="13"/>
  <c r="E117" i="13"/>
  <c r="F117" i="13"/>
  <c r="D118" i="13"/>
  <c r="E118" i="13"/>
  <c r="F118" i="13"/>
  <c r="D119" i="13"/>
  <c r="E119" i="13"/>
  <c r="F119" i="13"/>
  <c r="D120" i="13"/>
  <c r="E120" i="13"/>
  <c r="F120" i="13"/>
  <c r="D121" i="13"/>
  <c r="E121" i="13"/>
  <c r="F121" i="13"/>
  <c r="D122" i="13"/>
  <c r="E122" i="13"/>
  <c r="F122" i="13"/>
  <c r="D123" i="13"/>
  <c r="E123" i="13"/>
  <c r="F123" i="13"/>
  <c r="D124" i="13"/>
  <c r="E124" i="13"/>
  <c r="F124" i="13"/>
  <c r="D125" i="13"/>
  <c r="E125" i="13"/>
  <c r="F125" i="13"/>
  <c r="D126" i="13"/>
  <c r="E126" i="13"/>
  <c r="F126" i="13"/>
  <c r="D127" i="13"/>
  <c r="E127" i="13"/>
  <c r="F127" i="13"/>
  <c r="D128" i="13"/>
  <c r="E128" i="13"/>
  <c r="F128" i="13"/>
  <c r="D129" i="13"/>
  <c r="E129" i="13"/>
  <c r="F129" i="13"/>
  <c r="D130" i="13"/>
  <c r="E130" i="13"/>
  <c r="F130" i="13"/>
  <c r="D131" i="13"/>
  <c r="E131" i="13"/>
  <c r="F131" i="13"/>
  <c r="D132" i="13"/>
  <c r="E132" i="13"/>
  <c r="F132" i="13"/>
  <c r="D133" i="13"/>
  <c r="E133" i="13"/>
  <c r="F133" i="13"/>
  <c r="D134" i="13"/>
  <c r="E134" i="13"/>
  <c r="F134" i="13"/>
  <c r="D135" i="13"/>
  <c r="E135" i="13"/>
  <c r="F135" i="13"/>
  <c r="D137" i="13"/>
  <c r="E137" i="13"/>
  <c r="F137" i="13"/>
  <c r="D138" i="13"/>
  <c r="E138" i="13"/>
  <c r="F138" i="13"/>
  <c r="D139" i="13"/>
  <c r="E139" i="13"/>
  <c r="F139" i="13"/>
  <c r="D140" i="13"/>
  <c r="E140" i="13"/>
  <c r="F140" i="13"/>
  <c r="D141" i="13"/>
  <c r="E141" i="13"/>
  <c r="F141" i="13"/>
  <c r="D142" i="13"/>
  <c r="E142" i="13"/>
  <c r="F142" i="13"/>
  <c r="D143" i="13"/>
  <c r="E143" i="13"/>
  <c r="F143" i="13"/>
  <c r="D144" i="13"/>
  <c r="E144" i="13"/>
  <c r="F144" i="13"/>
  <c r="D145" i="13"/>
  <c r="E145" i="13"/>
  <c r="F145" i="13"/>
  <c r="D146" i="13"/>
  <c r="E146" i="13"/>
  <c r="F146" i="13"/>
  <c r="D147" i="13"/>
  <c r="E147" i="13"/>
  <c r="F147" i="13"/>
  <c r="D148" i="13"/>
  <c r="E148" i="13"/>
  <c r="F148" i="13"/>
  <c r="D149" i="13"/>
  <c r="E149" i="13"/>
  <c r="F149" i="13"/>
  <c r="D150" i="13"/>
  <c r="E150" i="13"/>
  <c r="F150" i="13"/>
  <c r="D151" i="13"/>
  <c r="E151" i="13"/>
  <c r="F151" i="13"/>
  <c r="D152" i="13"/>
  <c r="E152" i="13"/>
  <c r="F152" i="13"/>
  <c r="D153" i="13"/>
  <c r="E153" i="13"/>
  <c r="F153" i="13"/>
  <c r="D154" i="13"/>
  <c r="E154" i="13"/>
  <c r="F154" i="13"/>
  <c r="D155" i="13"/>
  <c r="E155" i="13"/>
  <c r="F155" i="13"/>
  <c r="D156" i="13"/>
  <c r="E156" i="13"/>
  <c r="F156" i="13"/>
  <c r="D157" i="13"/>
  <c r="E157" i="13"/>
  <c r="F157" i="13"/>
  <c r="D159" i="13"/>
  <c r="E159" i="13"/>
  <c r="F159" i="13"/>
  <c r="D160" i="13"/>
  <c r="E160" i="13"/>
  <c r="F160" i="13"/>
  <c r="D161" i="13"/>
  <c r="E161" i="13"/>
  <c r="F161" i="13"/>
  <c r="D162" i="13"/>
  <c r="E162" i="13"/>
  <c r="F162" i="13"/>
  <c r="D163" i="13"/>
  <c r="E163" i="13"/>
  <c r="F163" i="13"/>
  <c r="D164" i="13"/>
  <c r="E164" i="13"/>
  <c r="F164" i="13"/>
  <c r="D165" i="13"/>
  <c r="E165" i="13"/>
  <c r="F165" i="13"/>
  <c r="G165" i="13"/>
  <c r="I165" i="13" s="1"/>
  <c r="D166" i="13"/>
  <c r="E166" i="13"/>
  <c r="F166" i="13"/>
  <c r="G166" i="13"/>
  <c r="I166" i="13" s="1"/>
  <c r="D167" i="13"/>
  <c r="E167" i="13"/>
  <c r="F167" i="13"/>
  <c r="G167" i="13"/>
  <c r="I167" i="13" s="1"/>
  <c r="D168" i="13"/>
  <c r="E168" i="13"/>
  <c r="F168" i="13"/>
  <c r="D169" i="13"/>
  <c r="E169" i="13"/>
  <c r="F169" i="13"/>
  <c r="D170" i="13"/>
  <c r="E170" i="13"/>
  <c r="F170" i="13"/>
  <c r="D171" i="13"/>
  <c r="E171" i="13"/>
  <c r="F171" i="13"/>
  <c r="D172" i="13"/>
  <c r="E172" i="13"/>
  <c r="F172" i="13"/>
  <c r="D173" i="13"/>
  <c r="E173" i="13"/>
  <c r="F173" i="13"/>
  <c r="D174" i="13"/>
  <c r="E174" i="13"/>
  <c r="F174" i="13"/>
  <c r="D175" i="13"/>
  <c r="E175" i="13"/>
  <c r="F175" i="13"/>
  <c r="D176" i="13"/>
  <c r="E176" i="13"/>
  <c r="F176" i="13"/>
  <c r="D177" i="13"/>
  <c r="E177" i="13"/>
  <c r="F177" i="13"/>
  <c r="D178" i="13"/>
  <c r="E178" i="13"/>
  <c r="F178" i="13"/>
  <c r="D179" i="13"/>
  <c r="E179" i="13"/>
  <c r="F179" i="13"/>
  <c r="D6" i="13"/>
  <c r="E6" i="13"/>
  <c r="F6" i="13"/>
  <c r="D7" i="13"/>
  <c r="E7" i="13"/>
  <c r="F7" i="13"/>
  <c r="D8" i="13"/>
  <c r="E8" i="13"/>
  <c r="F8" i="13"/>
  <c r="D9" i="13"/>
  <c r="E9" i="13"/>
  <c r="F9" i="13"/>
  <c r="D10" i="13"/>
  <c r="E10" i="13"/>
  <c r="F10" i="13"/>
  <c r="D11" i="13"/>
  <c r="E11" i="13"/>
  <c r="F11" i="13"/>
  <c r="D12" i="13"/>
  <c r="E12" i="13"/>
  <c r="F12" i="13"/>
  <c r="D13" i="13"/>
  <c r="E13" i="13"/>
  <c r="F13" i="13"/>
  <c r="D14" i="13"/>
  <c r="E14" i="13"/>
  <c r="F14" i="13"/>
  <c r="D15" i="13"/>
  <c r="E15" i="13"/>
  <c r="F15" i="13"/>
  <c r="D16" i="13"/>
  <c r="E16" i="13"/>
  <c r="F16" i="13"/>
  <c r="D17" i="13"/>
  <c r="E17" i="13"/>
  <c r="F17" i="13"/>
  <c r="D18" i="13"/>
  <c r="E18" i="13"/>
  <c r="F18" i="13"/>
  <c r="D19" i="13"/>
  <c r="E19" i="13"/>
  <c r="F19" i="13"/>
  <c r="D20" i="13"/>
  <c r="E20" i="13"/>
  <c r="F20" i="13"/>
  <c r="D21" i="13"/>
  <c r="E21" i="13"/>
  <c r="F21" i="13"/>
  <c r="D22" i="13"/>
  <c r="E22" i="13"/>
  <c r="F22" i="13"/>
  <c r="D23" i="13"/>
  <c r="E23" i="13"/>
  <c r="F23" i="13"/>
  <c r="D24" i="13"/>
  <c r="E24" i="13"/>
  <c r="F24" i="13"/>
  <c r="D25" i="13"/>
  <c r="E25" i="13"/>
  <c r="F25" i="13"/>
  <c r="F5" i="13"/>
  <c r="E5" i="13"/>
  <c r="D5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4" i="13"/>
  <c r="B1" i="13"/>
  <c r="E180" i="14" l="1"/>
  <c r="I4" i="14"/>
  <c r="F180" i="14"/>
  <c r="D180" i="14"/>
  <c r="D136" i="13"/>
  <c r="D92" i="13"/>
  <c r="D48" i="13"/>
  <c r="F136" i="13"/>
  <c r="F92" i="13"/>
  <c r="F48" i="13"/>
  <c r="F4" i="13"/>
  <c r="E158" i="13"/>
  <c r="E136" i="13"/>
  <c r="E114" i="13"/>
  <c r="E92" i="13"/>
  <c r="E70" i="13"/>
  <c r="E48" i="13"/>
  <c r="E26" i="13"/>
  <c r="F158" i="13"/>
  <c r="D158" i="13"/>
  <c r="F114" i="13"/>
  <c r="D114" i="13"/>
  <c r="F70" i="13"/>
  <c r="D70" i="13"/>
  <c r="F26" i="13"/>
  <c r="D26" i="13"/>
  <c r="D4" i="13"/>
  <c r="E4" i="13"/>
  <c r="B47" i="9"/>
  <c r="B48" i="9"/>
  <c r="B49" i="9"/>
  <c r="B50" i="9"/>
  <c r="B51" i="9"/>
  <c r="B52" i="9"/>
  <c r="B53" i="9"/>
  <c r="B54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C47" i="9"/>
  <c r="C48" i="9"/>
  <c r="C49" i="9"/>
  <c r="C50" i="9"/>
  <c r="C51" i="9"/>
  <c r="C52" i="9"/>
  <c r="C53" i="9"/>
  <c r="C54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E48" i="9"/>
  <c r="D180" i="13" l="1"/>
  <c r="E180" i="13"/>
  <c r="F180" i="13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80" i="8"/>
  <c r="K81" i="8"/>
  <c r="K82" i="8"/>
  <c r="K83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08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45" i="8"/>
  <c r="K146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25" i="8"/>
  <c r="K126" i="8"/>
  <c r="K127" i="8"/>
  <c r="K128" i="8"/>
  <c r="K129" i="8"/>
  <c r="K130" i="8"/>
  <c r="K131" i="8"/>
  <c r="K132" i="8"/>
  <c r="K133" i="8"/>
  <c r="K134" i="8"/>
  <c r="K135" i="8"/>
  <c r="K136" i="8"/>
  <c r="K137" i="8"/>
  <c r="K138" i="8"/>
  <c r="K139" i="8"/>
  <c r="K140" i="8"/>
  <c r="JD209" i="8"/>
  <c r="JD210" i="8"/>
  <c r="JD211" i="8"/>
  <c r="JD212" i="8"/>
  <c r="JD213" i="8"/>
  <c r="JD214" i="8"/>
  <c r="JD215" i="8"/>
  <c r="JD216" i="8"/>
  <c r="JD217" i="8"/>
  <c r="JD218" i="8"/>
  <c r="JD219" i="8"/>
  <c r="JD220" i="8"/>
  <c r="JD221" i="8"/>
  <c r="JD222" i="8"/>
  <c r="JD223" i="8"/>
  <c r="JD224" i="8"/>
  <c r="JD225" i="8"/>
  <c r="JD226" i="8"/>
  <c r="JD227" i="8"/>
  <c r="JD228" i="8"/>
  <c r="JD208" i="8"/>
  <c r="JD187" i="8"/>
  <c r="JD188" i="8"/>
  <c r="JD189" i="8"/>
  <c r="JD190" i="8"/>
  <c r="JD191" i="8"/>
  <c r="JD192" i="8"/>
  <c r="JD193" i="8"/>
  <c r="JD194" i="8"/>
  <c r="JD195" i="8"/>
  <c r="JD196" i="8"/>
  <c r="JD197" i="8"/>
  <c r="JD198" i="8"/>
  <c r="JD199" i="8"/>
  <c r="JD200" i="8"/>
  <c r="JD201" i="8"/>
  <c r="JD202" i="8"/>
  <c r="JD203" i="8"/>
  <c r="JD204" i="8"/>
  <c r="JD205" i="8"/>
  <c r="JD206" i="8"/>
  <c r="JD186" i="8"/>
  <c r="JD169" i="8"/>
  <c r="JD170" i="8"/>
  <c r="JD171" i="8"/>
  <c r="JD172" i="8"/>
  <c r="JD173" i="8"/>
  <c r="JD174" i="8"/>
  <c r="JD175" i="8"/>
  <c r="JD176" i="8"/>
  <c r="JD177" i="8"/>
  <c r="JD178" i="8"/>
  <c r="JD179" i="8"/>
  <c r="JD180" i="8"/>
  <c r="JD181" i="8"/>
  <c r="JD182" i="8"/>
  <c r="JD183" i="8"/>
  <c r="JD184" i="8"/>
  <c r="JD164" i="8"/>
  <c r="JD143" i="8"/>
  <c r="JD144" i="8"/>
  <c r="JD145" i="8"/>
  <c r="JD146" i="8"/>
  <c r="JD147" i="8"/>
  <c r="JD148" i="8"/>
  <c r="JD149" i="8"/>
  <c r="JD150" i="8"/>
  <c r="JD151" i="8"/>
  <c r="JD152" i="8"/>
  <c r="JD153" i="8"/>
  <c r="JD154" i="8"/>
  <c r="JD155" i="8"/>
  <c r="JD156" i="8"/>
  <c r="JD157" i="8"/>
  <c r="JD158" i="8"/>
  <c r="JD159" i="8"/>
  <c r="JD160" i="8"/>
  <c r="JD161" i="8"/>
  <c r="JD162" i="8"/>
  <c r="JD142" i="8"/>
  <c r="JD121" i="8"/>
  <c r="JD122" i="8"/>
  <c r="JD123" i="8"/>
  <c r="JD124" i="8"/>
  <c r="JD125" i="8"/>
  <c r="JD126" i="8"/>
  <c r="JD127" i="8"/>
  <c r="JD128" i="8"/>
  <c r="JD129" i="8"/>
  <c r="JD130" i="8"/>
  <c r="JD131" i="8"/>
  <c r="JD132" i="8"/>
  <c r="JD133" i="8"/>
  <c r="JD134" i="8"/>
  <c r="JD135" i="8"/>
  <c r="JD136" i="8"/>
  <c r="JD137" i="8"/>
  <c r="JD138" i="8"/>
  <c r="JD139" i="8"/>
  <c r="JD140" i="8"/>
  <c r="JD120" i="8"/>
  <c r="JD101" i="8"/>
  <c r="JD102" i="8"/>
  <c r="JD103" i="8"/>
  <c r="JD104" i="8"/>
  <c r="JD105" i="8"/>
  <c r="JD106" i="8"/>
  <c r="JD107" i="8"/>
  <c r="JD108" i="8"/>
  <c r="JD109" i="8"/>
  <c r="JD110" i="8"/>
  <c r="JD111" i="8"/>
  <c r="JD112" i="8"/>
  <c r="JD113" i="8"/>
  <c r="JD114" i="8"/>
  <c r="JD115" i="8"/>
  <c r="JD116" i="8"/>
  <c r="JD117" i="8"/>
  <c r="JD118" i="8"/>
  <c r="JD77" i="8"/>
  <c r="JD78" i="8"/>
  <c r="JD79" i="8"/>
  <c r="JD80" i="8"/>
  <c r="JD81" i="8"/>
  <c r="JD82" i="8"/>
  <c r="JD83" i="8"/>
  <c r="JD84" i="8"/>
  <c r="JD85" i="8"/>
  <c r="JD86" i="8"/>
  <c r="JD87" i="8"/>
  <c r="JD88" i="8"/>
  <c r="JD89" i="8"/>
  <c r="JD90" i="8"/>
  <c r="JD91" i="8"/>
  <c r="JD92" i="8"/>
  <c r="JD93" i="8"/>
  <c r="JD94" i="8"/>
  <c r="JD95" i="8"/>
  <c r="JD96" i="8"/>
  <c r="JD76" i="8"/>
  <c r="JD59" i="8"/>
  <c r="JD60" i="8"/>
  <c r="JD61" i="8"/>
  <c r="JD62" i="8"/>
  <c r="JD63" i="8"/>
  <c r="JD64" i="8"/>
  <c r="JD65" i="8"/>
  <c r="JD66" i="8"/>
  <c r="JD67" i="8"/>
  <c r="JD68" i="8"/>
  <c r="JD69" i="8"/>
  <c r="JD70" i="8"/>
  <c r="JD71" i="8"/>
  <c r="JD72" i="8"/>
  <c r="JD73" i="8"/>
  <c r="JD74" i="8"/>
  <c r="JD45" i="8"/>
  <c r="JD46" i="8"/>
  <c r="JD47" i="8"/>
  <c r="JD48" i="8"/>
  <c r="JD49" i="8"/>
  <c r="JD50" i="8"/>
  <c r="JD51" i="8"/>
  <c r="JD52" i="8"/>
  <c r="JD42" i="8"/>
  <c r="JD43" i="8"/>
  <c r="JD18" i="8"/>
  <c r="JD19" i="8"/>
  <c r="JD20" i="8"/>
  <c r="JD21" i="8"/>
  <c r="JD22" i="8"/>
  <c r="JD23" i="8"/>
  <c r="JD24" i="8"/>
  <c r="JD25" i="8"/>
  <c r="JD26" i="8"/>
  <c r="JD27" i="8"/>
  <c r="JD28" i="8"/>
  <c r="JD29" i="8"/>
  <c r="JD30" i="8"/>
  <c r="K207" i="8" l="1"/>
  <c r="G24" i="14"/>
  <c r="I24" i="14" s="1"/>
  <c r="G24" i="13"/>
  <c r="I24" i="13" s="1"/>
  <c r="G20" i="14"/>
  <c r="I20" i="14" s="1"/>
  <c r="G20" i="13"/>
  <c r="I20" i="13" s="1"/>
  <c r="G16" i="14"/>
  <c r="I16" i="14" s="1"/>
  <c r="G16" i="13"/>
  <c r="I16" i="13" s="1"/>
  <c r="G38" i="14"/>
  <c r="I38" i="14" s="1"/>
  <c r="G38" i="13"/>
  <c r="I38" i="13" s="1"/>
  <c r="G43" i="14"/>
  <c r="I43" i="14" s="1"/>
  <c r="G43" i="13"/>
  <c r="I43" i="13" s="1"/>
  <c r="G66" i="14"/>
  <c r="I66" i="14" s="1"/>
  <c r="G66" i="13"/>
  <c r="I66" i="13" s="1"/>
  <c r="G62" i="14"/>
  <c r="I62" i="14" s="1"/>
  <c r="G62" i="13"/>
  <c r="I62" i="13" s="1"/>
  <c r="G58" i="14"/>
  <c r="I58" i="14" s="1"/>
  <c r="G58" i="13"/>
  <c r="I58" i="13" s="1"/>
  <c r="G91" i="14"/>
  <c r="I91" i="14" s="1"/>
  <c r="G91" i="13"/>
  <c r="I91" i="13" s="1"/>
  <c r="G89" i="14"/>
  <c r="I89" i="14" s="1"/>
  <c r="G89" i="13"/>
  <c r="I89" i="13" s="1"/>
  <c r="G87" i="14"/>
  <c r="I87" i="14" s="1"/>
  <c r="G87" i="13"/>
  <c r="I87" i="13" s="1"/>
  <c r="G85" i="14"/>
  <c r="I85" i="14" s="1"/>
  <c r="G85" i="13"/>
  <c r="I85" i="13" s="1"/>
  <c r="G83" i="14"/>
  <c r="I83" i="14" s="1"/>
  <c r="G83" i="13"/>
  <c r="I83" i="13" s="1"/>
  <c r="G81" i="14"/>
  <c r="I81" i="14" s="1"/>
  <c r="G81" i="13"/>
  <c r="I81" i="13" s="1"/>
  <c r="G79" i="14"/>
  <c r="I79" i="14" s="1"/>
  <c r="G79" i="13"/>
  <c r="I79" i="13" s="1"/>
  <c r="G77" i="14"/>
  <c r="I77" i="14" s="1"/>
  <c r="G77" i="13"/>
  <c r="I77" i="13" s="1"/>
  <c r="G75" i="14"/>
  <c r="I75" i="14" s="1"/>
  <c r="G75" i="13"/>
  <c r="I75" i="13" s="1"/>
  <c r="G112" i="14"/>
  <c r="I112" i="14" s="1"/>
  <c r="G112" i="13"/>
  <c r="I112" i="13" s="1"/>
  <c r="G110" i="14"/>
  <c r="I110" i="14" s="1"/>
  <c r="G110" i="13"/>
  <c r="I110" i="13" s="1"/>
  <c r="G108" i="14"/>
  <c r="I108" i="14" s="1"/>
  <c r="G108" i="13"/>
  <c r="I108" i="13" s="1"/>
  <c r="G106" i="14"/>
  <c r="I106" i="14" s="1"/>
  <c r="G106" i="13"/>
  <c r="I106" i="13" s="1"/>
  <c r="G104" i="14"/>
  <c r="I104" i="14" s="1"/>
  <c r="G104" i="13"/>
  <c r="I104" i="13" s="1"/>
  <c r="G102" i="14"/>
  <c r="I102" i="14" s="1"/>
  <c r="G102" i="13"/>
  <c r="I102" i="13" s="1"/>
  <c r="G100" i="14"/>
  <c r="I100" i="14" s="1"/>
  <c r="G100" i="13"/>
  <c r="I100" i="13" s="1"/>
  <c r="G98" i="14"/>
  <c r="I98" i="14" s="1"/>
  <c r="G98" i="13"/>
  <c r="I98" i="13" s="1"/>
  <c r="G96" i="14"/>
  <c r="I96" i="14" s="1"/>
  <c r="G96" i="13"/>
  <c r="I96" i="13" s="1"/>
  <c r="G135" i="14"/>
  <c r="I135" i="14" s="1"/>
  <c r="G135" i="13"/>
  <c r="I135" i="13" s="1"/>
  <c r="G133" i="14"/>
  <c r="I133" i="14" s="1"/>
  <c r="G133" i="13"/>
  <c r="I133" i="13" s="1"/>
  <c r="G131" i="14"/>
  <c r="I131" i="14" s="1"/>
  <c r="G131" i="13"/>
  <c r="I131" i="13" s="1"/>
  <c r="G129" i="14"/>
  <c r="I129" i="14" s="1"/>
  <c r="G129" i="13"/>
  <c r="I129" i="13" s="1"/>
  <c r="G127" i="14"/>
  <c r="I127" i="14" s="1"/>
  <c r="G127" i="13"/>
  <c r="I127" i="13" s="1"/>
  <c r="G125" i="14"/>
  <c r="I125" i="14" s="1"/>
  <c r="G125" i="13"/>
  <c r="I125" i="13" s="1"/>
  <c r="G123" i="14"/>
  <c r="I123" i="14" s="1"/>
  <c r="G123" i="13"/>
  <c r="I123" i="13" s="1"/>
  <c r="G121" i="14"/>
  <c r="I121" i="14" s="1"/>
  <c r="G121" i="13"/>
  <c r="I121" i="13" s="1"/>
  <c r="G157" i="14"/>
  <c r="I157" i="14" s="1"/>
  <c r="G157" i="13"/>
  <c r="I157" i="13" s="1"/>
  <c r="G155" i="14"/>
  <c r="I155" i="14" s="1"/>
  <c r="G155" i="13"/>
  <c r="I155" i="13" s="1"/>
  <c r="G153" i="14"/>
  <c r="I153" i="14" s="1"/>
  <c r="G153" i="13"/>
  <c r="I153" i="13" s="1"/>
  <c r="G151" i="14"/>
  <c r="I151" i="14" s="1"/>
  <c r="G151" i="13"/>
  <c r="I151" i="13" s="1"/>
  <c r="G149" i="14"/>
  <c r="I149" i="14" s="1"/>
  <c r="G149" i="13"/>
  <c r="I149" i="13" s="1"/>
  <c r="G147" i="14"/>
  <c r="I147" i="14" s="1"/>
  <c r="G147" i="13"/>
  <c r="I147" i="13" s="1"/>
  <c r="G145" i="14"/>
  <c r="I145" i="14" s="1"/>
  <c r="G145" i="13"/>
  <c r="I145" i="13" s="1"/>
  <c r="G143" i="14"/>
  <c r="I143" i="14" s="1"/>
  <c r="G143" i="13"/>
  <c r="I143" i="13" s="1"/>
  <c r="G141" i="14"/>
  <c r="I141" i="14" s="1"/>
  <c r="G141" i="13"/>
  <c r="I141" i="13" s="1"/>
  <c r="G179" i="14"/>
  <c r="I179" i="14" s="1"/>
  <c r="G179" i="13"/>
  <c r="I179" i="13" s="1"/>
  <c r="G177" i="14"/>
  <c r="I177" i="14" s="1"/>
  <c r="G177" i="13"/>
  <c r="I177" i="13" s="1"/>
  <c r="G175" i="14"/>
  <c r="I175" i="14" s="1"/>
  <c r="G175" i="13"/>
  <c r="I175" i="13" s="1"/>
  <c r="G173" i="14"/>
  <c r="I173" i="14" s="1"/>
  <c r="G173" i="13"/>
  <c r="I173" i="13" s="1"/>
  <c r="G171" i="14"/>
  <c r="I171" i="14" s="1"/>
  <c r="G171" i="13"/>
  <c r="I171" i="13" s="1"/>
  <c r="G169" i="14"/>
  <c r="I169" i="14" s="1"/>
  <c r="G169" i="13"/>
  <c r="I169" i="13" s="1"/>
  <c r="G163" i="14"/>
  <c r="I163" i="14" s="1"/>
  <c r="G163" i="13"/>
  <c r="I163" i="13" s="1"/>
  <c r="G161" i="14"/>
  <c r="I161" i="14" s="1"/>
  <c r="G161" i="13"/>
  <c r="I161" i="13" s="1"/>
  <c r="G22" i="14"/>
  <c r="I22" i="14" s="1"/>
  <c r="G22" i="13"/>
  <c r="I22" i="13" s="1"/>
  <c r="G18" i="14"/>
  <c r="I18" i="14" s="1"/>
  <c r="G18" i="13"/>
  <c r="I18" i="13" s="1"/>
  <c r="G14" i="14"/>
  <c r="I14" i="14" s="1"/>
  <c r="G14" i="13"/>
  <c r="I14" i="13" s="1"/>
  <c r="G41" i="14"/>
  <c r="I41" i="14" s="1"/>
  <c r="G41" i="13"/>
  <c r="I41" i="13" s="1"/>
  <c r="G68" i="14"/>
  <c r="I68" i="14" s="1"/>
  <c r="G68" i="13"/>
  <c r="I68" i="13" s="1"/>
  <c r="G64" i="14"/>
  <c r="I64" i="14" s="1"/>
  <c r="G64" i="13"/>
  <c r="I64" i="13" s="1"/>
  <c r="G60" i="14"/>
  <c r="I60" i="14" s="1"/>
  <c r="G60" i="13"/>
  <c r="I60" i="13" s="1"/>
  <c r="G56" i="14"/>
  <c r="I56" i="14" s="1"/>
  <c r="G56" i="13"/>
  <c r="I56" i="13" s="1"/>
  <c r="G25" i="14"/>
  <c r="I25" i="14" s="1"/>
  <c r="G25" i="13"/>
  <c r="I25" i="13" s="1"/>
  <c r="G23" i="14"/>
  <c r="I23" i="14" s="1"/>
  <c r="G23" i="13"/>
  <c r="I23" i="13" s="1"/>
  <c r="G21" i="14"/>
  <c r="I21" i="14" s="1"/>
  <c r="G21" i="13"/>
  <c r="I21" i="13" s="1"/>
  <c r="G19" i="14"/>
  <c r="I19" i="14" s="1"/>
  <c r="G19" i="13"/>
  <c r="I19" i="13" s="1"/>
  <c r="G17" i="14"/>
  <c r="I17" i="14" s="1"/>
  <c r="G17" i="13"/>
  <c r="I17" i="13" s="1"/>
  <c r="G15" i="14"/>
  <c r="I15" i="14" s="1"/>
  <c r="G15" i="13"/>
  <c r="I15" i="13" s="1"/>
  <c r="G13" i="14"/>
  <c r="I13" i="14" s="1"/>
  <c r="G13" i="13"/>
  <c r="I13" i="13" s="1"/>
  <c r="G37" i="14"/>
  <c r="I37" i="14" s="1"/>
  <c r="G37" i="13"/>
  <c r="I37" i="13" s="1"/>
  <c r="G44" i="14"/>
  <c r="I44" i="14" s="1"/>
  <c r="G44" i="13"/>
  <c r="I44" i="13" s="1"/>
  <c r="G42" i="14"/>
  <c r="I42" i="14" s="1"/>
  <c r="G42" i="13"/>
  <c r="I42" i="13" s="1"/>
  <c r="G40" i="14"/>
  <c r="I40" i="14" s="1"/>
  <c r="G40" i="13"/>
  <c r="I40" i="13" s="1"/>
  <c r="G69" i="14"/>
  <c r="I69" i="14" s="1"/>
  <c r="G69" i="13"/>
  <c r="I69" i="13" s="1"/>
  <c r="G67" i="14"/>
  <c r="I67" i="14" s="1"/>
  <c r="G67" i="13"/>
  <c r="I67" i="13" s="1"/>
  <c r="G65" i="14"/>
  <c r="I65" i="14" s="1"/>
  <c r="G65" i="13"/>
  <c r="I65" i="13" s="1"/>
  <c r="G63" i="14"/>
  <c r="I63" i="14" s="1"/>
  <c r="G63" i="13"/>
  <c r="I63" i="13" s="1"/>
  <c r="G61" i="14"/>
  <c r="I61" i="14" s="1"/>
  <c r="G61" i="13"/>
  <c r="I61" i="13" s="1"/>
  <c r="G59" i="14"/>
  <c r="I59" i="14" s="1"/>
  <c r="G59" i="13"/>
  <c r="I59" i="13" s="1"/>
  <c r="G57" i="14"/>
  <c r="I57" i="14" s="1"/>
  <c r="G57" i="13"/>
  <c r="I57" i="13" s="1"/>
  <c r="G55" i="14"/>
  <c r="I55" i="14" s="1"/>
  <c r="G55" i="13"/>
  <c r="I55" i="13" s="1"/>
  <c r="G90" i="14"/>
  <c r="I90" i="14" s="1"/>
  <c r="G90" i="13"/>
  <c r="I90" i="13" s="1"/>
  <c r="G88" i="14"/>
  <c r="I88" i="14" s="1"/>
  <c r="G88" i="13"/>
  <c r="I88" i="13" s="1"/>
  <c r="G86" i="14"/>
  <c r="I86" i="14" s="1"/>
  <c r="G86" i="13"/>
  <c r="I86" i="13" s="1"/>
  <c r="G84" i="14"/>
  <c r="I84" i="14" s="1"/>
  <c r="G84" i="13"/>
  <c r="I84" i="13" s="1"/>
  <c r="G82" i="14"/>
  <c r="I82" i="14" s="1"/>
  <c r="G82" i="13"/>
  <c r="I82" i="13" s="1"/>
  <c r="G80" i="14"/>
  <c r="I80" i="14" s="1"/>
  <c r="G80" i="13"/>
  <c r="I80" i="13" s="1"/>
  <c r="G78" i="14"/>
  <c r="I78" i="14" s="1"/>
  <c r="G78" i="13"/>
  <c r="I78" i="13" s="1"/>
  <c r="G76" i="14"/>
  <c r="I76" i="14" s="1"/>
  <c r="G76" i="13"/>
  <c r="I76" i="13" s="1"/>
  <c r="G113" i="14"/>
  <c r="I113" i="14" s="1"/>
  <c r="G113" i="13"/>
  <c r="I113" i="13" s="1"/>
  <c r="G111" i="14"/>
  <c r="I111" i="14" s="1"/>
  <c r="G111" i="13"/>
  <c r="I111" i="13" s="1"/>
  <c r="G109" i="14"/>
  <c r="I109" i="14" s="1"/>
  <c r="G109" i="13"/>
  <c r="I109" i="13" s="1"/>
  <c r="G107" i="14"/>
  <c r="I107" i="14" s="1"/>
  <c r="G107" i="13"/>
  <c r="I107" i="13" s="1"/>
  <c r="G105" i="14"/>
  <c r="I105" i="14" s="1"/>
  <c r="G105" i="13"/>
  <c r="I105" i="13" s="1"/>
  <c r="G103" i="14"/>
  <c r="I103" i="14" s="1"/>
  <c r="G103" i="13"/>
  <c r="I103" i="13" s="1"/>
  <c r="G101" i="14"/>
  <c r="I101" i="14" s="1"/>
  <c r="G101" i="13"/>
  <c r="I101" i="13" s="1"/>
  <c r="G99" i="14"/>
  <c r="I99" i="14" s="1"/>
  <c r="G99" i="13"/>
  <c r="I99" i="13" s="1"/>
  <c r="G97" i="14"/>
  <c r="I97" i="14" s="1"/>
  <c r="G97" i="13"/>
  <c r="I97" i="13" s="1"/>
  <c r="G134" i="14"/>
  <c r="I134" i="14" s="1"/>
  <c r="G134" i="13"/>
  <c r="I134" i="13" s="1"/>
  <c r="G132" i="14"/>
  <c r="I132" i="14" s="1"/>
  <c r="G132" i="13"/>
  <c r="I132" i="13" s="1"/>
  <c r="G130" i="14"/>
  <c r="I130" i="14" s="1"/>
  <c r="G130" i="13"/>
  <c r="I130" i="13" s="1"/>
  <c r="G128" i="14"/>
  <c r="I128" i="14" s="1"/>
  <c r="G128" i="13"/>
  <c r="I128" i="13" s="1"/>
  <c r="G126" i="14"/>
  <c r="I126" i="14" s="1"/>
  <c r="G126" i="13"/>
  <c r="I126" i="13" s="1"/>
  <c r="G124" i="14"/>
  <c r="I124" i="14" s="1"/>
  <c r="G124" i="13"/>
  <c r="I124" i="13" s="1"/>
  <c r="G122" i="14"/>
  <c r="I122" i="14" s="1"/>
  <c r="G122" i="13"/>
  <c r="I122" i="13" s="1"/>
  <c r="G120" i="14"/>
  <c r="I120" i="14" s="1"/>
  <c r="G120" i="13"/>
  <c r="I120" i="13" s="1"/>
  <c r="G156" i="14"/>
  <c r="I156" i="14" s="1"/>
  <c r="G156" i="13"/>
  <c r="I156" i="13" s="1"/>
  <c r="G154" i="14"/>
  <c r="I154" i="14" s="1"/>
  <c r="G154" i="13"/>
  <c r="I154" i="13" s="1"/>
  <c r="G152" i="14"/>
  <c r="I152" i="14" s="1"/>
  <c r="G152" i="13"/>
  <c r="I152" i="13" s="1"/>
  <c r="G150" i="14"/>
  <c r="I150" i="14" s="1"/>
  <c r="G150" i="13"/>
  <c r="I150" i="13" s="1"/>
  <c r="G148" i="14"/>
  <c r="I148" i="14" s="1"/>
  <c r="G148" i="13"/>
  <c r="I148" i="13" s="1"/>
  <c r="G146" i="14"/>
  <c r="I146" i="14" s="1"/>
  <c r="G146" i="13"/>
  <c r="I146" i="13" s="1"/>
  <c r="G144" i="14"/>
  <c r="I144" i="14" s="1"/>
  <c r="G144" i="13"/>
  <c r="I144" i="13" s="1"/>
  <c r="G142" i="14"/>
  <c r="I142" i="14" s="1"/>
  <c r="G142" i="13"/>
  <c r="I142" i="13" s="1"/>
  <c r="G140" i="14"/>
  <c r="I140" i="14" s="1"/>
  <c r="G140" i="13"/>
  <c r="I140" i="13" s="1"/>
  <c r="G178" i="14"/>
  <c r="I178" i="14" s="1"/>
  <c r="G178" i="13"/>
  <c r="I178" i="13" s="1"/>
  <c r="G176" i="14"/>
  <c r="I176" i="14" s="1"/>
  <c r="G176" i="13"/>
  <c r="I176" i="13" s="1"/>
  <c r="G174" i="14"/>
  <c r="I174" i="14" s="1"/>
  <c r="G174" i="13"/>
  <c r="I174" i="13" s="1"/>
  <c r="G172" i="14"/>
  <c r="I172" i="14" s="1"/>
  <c r="G172" i="13"/>
  <c r="I172" i="13" s="1"/>
  <c r="G170" i="14"/>
  <c r="I170" i="14" s="1"/>
  <c r="G170" i="13"/>
  <c r="I170" i="13" s="1"/>
  <c r="G168" i="14"/>
  <c r="I168" i="14" s="1"/>
  <c r="G168" i="13"/>
  <c r="I168" i="13" s="1"/>
  <c r="G164" i="14"/>
  <c r="I164" i="14" s="1"/>
  <c r="G164" i="13"/>
  <c r="I164" i="13" s="1"/>
  <c r="G160" i="14"/>
  <c r="I160" i="14" s="1"/>
  <c r="G160" i="13"/>
  <c r="I160" i="13" s="1"/>
  <c r="G138" i="14"/>
  <c r="I138" i="14" s="1"/>
  <c r="G138" i="13"/>
  <c r="I138" i="13" s="1"/>
  <c r="G71" i="13"/>
  <c r="G71" i="14"/>
  <c r="I71" i="14" s="1"/>
  <c r="G74" i="14"/>
  <c r="I74" i="14" s="1"/>
  <c r="G74" i="13"/>
  <c r="I74" i="13" s="1"/>
  <c r="G72" i="14"/>
  <c r="I72" i="14" s="1"/>
  <c r="G72" i="13"/>
  <c r="I72" i="13" s="1"/>
  <c r="G115" i="13"/>
  <c r="G115" i="14"/>
  <c r="I115" i="14" s="1"/>
  <c r="G118" i="14"/>
  <c r="I118" i="14" s="1"/>
  <c r="G118" i="13"/>
  <c r="I118" i="13" s="1"/>
  <c r="G116" i="14"/>
  <c r="I116" i="14" s="1"/>
  <c r="G116" i="13"/>
  <c r="I116" i="13" s="1"/>
  <c r="G162" i="14"/>
  <c r="I162" i="14" s="1"/>
  <c r="G162" i="13"/>
  <c r="I162" i="13" s="1"/>
  <c r="G54" i="14"/>
  <c r="I54" i="14" s="1"/>
  <c r="G54" i="13"/>
  <c r="I54" i="13" s="1"/>
  <c r="G73" i="13"/>
  <c r="I73" i="13" s="1"/>
  <c r="G73" i="14"/>
  <c r="I73" i="14" s="1"/>
  <c r="G119" i="13"/>
  <c r="I119" i="13" s="1"/>
  <c r="G119" i="14"/>
  <c r="I119" i="14" s="1"/>
  <c r="G117" i="13"/>
  <c r="I117" i="13" s="1"/>
  <c r="G117" i="14"/>
  <c r="I117" i="14" s="1"/>
  <c r="G137" i="13"/>
  <c r="G137" i="14"/>
  <c r="I137" i="14" s="1"/>
  <c r="G139" i="13"/>
  <c r="I139" i="13" s="1"/>
  <c r="G139" i="14"/>
  <c r="I139" i="14" s="1"/>
  <c r="G159" i="13"/>
  <c r="G159" i="14"/>
  <c r="I159" i="14" s="1"/>
  <c r="K186" i="8"/>
  <c r="K185" i="8" s="1"/>
  <c r="K167" i="8"/>
  <c r="K166" i="8"/>
  <c r="K165" i="8"/>
  <c r="K164" i="8"/>
  <c r="K144" i="8"/>
  <c r="K143" i="8"/>
  <c r="K142" i="8"/>
  <c r="K124" i="8"/>
  <c r="K123" i="8"/>
  <c r="K122" i="8"/>
  <c r="K121" i="8"/>
  <c r="K120" i="8"/>
  <c r="K17" i="8"/>
  <c r="K16" i="8"/>
  <c r="K15" i="8"/>
  <c r="K14" i="8"/>
  <c r="K13" i="8"/>
  <c r="K12" i="8"/>
  <c r="K11" i="8"/>
  <c r="K38" i="8"/>
  <c r="K37" i="8"/>
  <c r="K36" i="8"/>
  <c r="K35" i="8"/>
  <c r="K34" i="8"/>
  <c r="K59" i="8"/>
  <c r="K58" i="8"/>
  <c r="K57" i="8"/>
  <c r="K56" i="8"/>
  <c r="K55" i="8"/>
  <c r="K54" i="8"/>
  <c r="K79" i="8"/>
  <c r="K78" i="8"/>
  <c r="K77" i="8"/>
  <c r="K76" i="8"/>
  <c r="K141" i="8" l="1"/>
  <c r="K163" i="8"/>
  <c r="I159" i="13"/>
  <c r="G158" i="13"/>
  <c r="I158" i="13" s="1"/>
  <c r="I137" i="13"/>
  <c r="G136" i="13"/>
  <c r="I136" i="13" s="1"/>
  <c r="I115" i="13"/>
  <c r="G114" i="13"/>
  <c r="I114" i="13" s="1"/>
  <c r="I71" i="13"/>
  <c r="G70" i="13"/>
  <c r="I70" i="13" s="1"/>
  <c r="JD13" i="8"/>
  <c r="JD14" i="8"/>
  <c r="JD15" i="8"/>
  <c r="JD16" i="8"/>
  <c r="G10" i="14" l="1"/>
  <c r="I10" i="14" s="1"/>
  <c r="G10" i="13"/>
  <c r="I10" i="13" s="1"/>
  <c r="G8" i="14"/>
  <c r="I8" i="14" s="1"/>
  <c r="G8" i="13"/>
  <c r="I8" i="13" s="1"/>
  <c r="G11" i="13"/>
  <c r="I11" i="13" s="1"/>
  <c r="G11" i="14"/>
  <c r="I11" i="14" s="1"/>
  <c r="G9" i="13"/>
  <c r="I9" i="13" s="1"/>
  <c r="G9" i="14"/>
  <c r="I9" i="14" s="1"/>
  <c r="JD100" i="8"/>
  <c r="JD99" i="8"/>
  <c r="JD98" i="8"/>
  <c r="JD58" i="8"/>
  <c r="JD57" i="8"/>
  <c r="JD56" i="8"/>
  <c r="JD55" i="8"/>
  <c r="JD54" i="8"/>
  <c r="JD44" i="8"/>
  <c r="JD41" i="8"/>
  <c r="JD40" i="8"/>
  <c r="JD39" i="8"/>
  <c r="JD38" i="8"/>
  <c r="JD37" i="8"/>
  <c r="JD36" i="8"/>
  <c r="JD35" i="8"/>
  <c r="JD34" i="8"/>
  <c r="JD33" i="8"/>
  <c r="JD32" i="8"/>
  <c r="JD17" i="8"/>
  <c r="JD12" i="8"/>
  <c r="JD11" i="8"/>
  <c r="JD10" i="8"/>
  <c r="G34" i="14" l="1"/>
  <c r="I34" i="14" s="1"/>
  <c r="G34" i="13"/>
  <c r="I34" i="13" s="1"/>
  <c r="G36" i="14"/>
  <c r="I36" i="14" s="1"/>
  <c r="G36" i="13"/>
  <c r="I36" i="13" s="1"/>
  <c r="G33" i="14"/>
  <c r="I33" i="14" s="1"/>
  <c r="G33" i="13"/>
  <c r="I33" i="13" s="1"/>
  <c r="G35" i="14"/>
  <c r="I35" i="14" s="1"/>
  <c r="G35" i="13"/>
  <c r="I35" i="13" s="1"/>
  <c r="G39" i="14"/>
  <c r="I39" i="14" s="1"/>
  <c r="G39" i="13"/>
  <c r="I39" i="13" s="1"/>
  <c r="G6" i="14"/>
  <c r="I6" i="14" s="1"/>
  <c r="G6" i="13"/>
  <c r="I6" i="13" s="1"/>
  <c r="G12" i="14"/>
  <c r="I12" i="14" s="1"/>
  <c r="G12" i="13"/>
  <c r="I12" i="13" s="1"/>
  <c r="G28" i="14"/>
  <c r="I28" i="14" s="1"/>
  <c r="G28" i="13"/>
  <c r="I28" i="13" s="1"/>
  <c r="G30" i="14"/>
  <c r="I30" i="14" s="1"/>
  <c r="G30" i="13"/>
  <c r="I30" i="13" s="1"/>
  <c r="G32" i="14"/>
  <c r="I32" i="14" s="1"/>
  <c r="G32" i="13"/>
  <c r="I32" i="13" s="1"/>
  <c r="G49" i="13"/>
  <c r="G49" i="14"/>
  <c r="I49" i="14" s="1"/>
  <c r="G51" i="13"/>
  <c r="I51" i="13" s="1"/>
  <c r="G51" i="14"/>
  <c r="I51" i="14" s="1"/>
  <c r="G53" i="13"/>
  <c r="I53" i="13" s="1"/>
  <c r="G53" i="14"/>
  <c r="I53" i="14" s="1"/>
  <c r="G94" i="14"/>
  <c r="I94" i="14" s="1"/>
  <c r="G94" i="13"/>
  <c r="I94" i="13" s="1"/>
  <c r="G5" i="14"/>
  <c r="G5" i="13"/>
  <c r="G7" i="13"/>
  <c r="I7" i="13" s="1"/>
  <c r="G7" i="14"/>
  <c r="I7" i="14" s="1"/>
  <c r="G27" i="13"/>
  <c r="G27" i="14"/>
  <c r="I27" i="14" s="1"/>
  <c r="G29" i="13"/>
  <c r="I29" i="13" s="1"/>
  <c r="G29" i="14"/>
  <c r="I29" i="14" s="1"/>
  <c r="G31" i="13"/>
  <c r="I31" i="13" s="1"/>
  <c r="G31" i="14"/>
  <c r="I31" i="14" s="1"/>
  <c r="G50" i="14"/>
  <c r="I50" i="14" s="1"/>
  <c r="G50" i="13"/>
  <c r="I50" i="13" s="1"/>
  <c r="G52" i="14"/>
  <c r="I52" i="14" s="1"/>
  <c r="G52" i="13"/>
  <c r="I52" i="13" s="1"/>
  <c r="G93" i="13"/>
  <c r="G93" i="14"/>
  <c r="I93" i="14" s="1"/>
  <c r="G95" i="13"/>
  <c r="I95" i="13" s="1"/>
  <c r="G95" i="14"/>
  <c r="I95" i="14" s="1"/>
  <c r="G4" i="10"/>
  <c r="G5" i="10"/>
  <c r="G3" i="10"/>
  <c r="C13" i="10"/>
  <c r="K101" i="8"/>
  <c r="E15" i="9"/>
  <c r="E16" i="9"/>
  <c r="E17" i="9"/>
  <c r="E18" i="9"/>
  <c r="E7" i="9"/>
  <c r="E4" i="9"/>
  <c r="E9" i="9"/>
  <c r="E25" i="9"/>
  <c r="E26" i="9"/>
  <c r="E27" i="9"/>
  <c r="E3" i="9"/>
  <c r="E2" i="9"/>
  <c r="E11" i="9"/>
  <c r="E22" i="9"/>
  <c r="E21" i="9"/>
  <c r="E8" i="9"/>
  <c r="E13" i="9"/>
  <c r="E19" i="9"/>
  <c r="E10" i="9"/>
  <c r="E5" i="9"/>
  <c r="E6" i="9"/>
  <c r="E24" i="9"/>
  <c r="E14" i="9"/>
  <c r="E28" i="9"/>
  <c r="E23" i="9"/>
  <c r="E12" i="9"/>
  <c r="E20" i="9"/>
  <c r="E55" i="9" l="1"/>
  <c r="I5" i="13"/>
  <c r="G4" i="13"/>
  <c r="I93" i="13"/>
  <c r="G92" i="13"/>
  <c r="I92" i="13" s="1"/>
  <c r="I27" i="13"/>
  <c r="G26" i="13"/>
  <c r="I5" i="14"/>
  <c r="I180" i="14" s="1"/>
  <c r="G180" i="14"/>
  <c r="I49" i="13"/>
  <c r="G48" i="13"/>
  <c r="K100" i="8"/>
  <c r="C9" i="10"/>
  <c r="H48" i="13" l="1"/>
  <c r="I48" i="13" s="1"/>
  <c r="H26" i="13"/>
  <c r="I26" i="13" s="1"/>
  <c r="G180" i="13"/>
  <c r="I4" i="13"/>
  <c r="E9" i="10"/>
  <c r="D9" i="10"/>
  <c r="B10" i="10"/>
  <c r="B11" i="10"/>
  <c r="B9" i="10"/>
  <c r="I180" i="13" l="1"/>
  <c r="G9" i="10"/>
  <c r="F9" i="10"/>
  <c r="IZ127" i="8"/>
  <c r="D9" i="8" l="1"/>
  <c r="J9" i="8"/>
  <c r="E9" i="8"/>
  <c r="IZ124" i="8" l="1"/>
  <c r="IZ125" i="8"/>
  <c r="IZ126" i="8"/>
  <c r="IZ80" i="8"/>
  <c r="IZ81" i="8"/>
  <c r="IZ82" i="8"/>
  <c r="IZ83" i="8"/>
  <c r="IZ84" i="8"/>
  <c r="IZ85" i="8"/>
  <c r="IZ86" i="8"/>
  <c r="IZ87" i="8"/>
  <c r="IZ38" i="8"/>
  <c r="IZ39" i="8"/>
  <c r="IZ40" i="8"/>
  <c r="IZ35" i="8"/>
  <c r="IZ36" i="8"/>
  <c r="IZ37" i="8"/>
  <c r="IZ101" i="8" l="1"/>
  <c r="IZ100" i="8"/>
  <c r="IZ59" i="8"/>
  <c r="IZ58" i="8"/>
  <c r="IZ57" i="8"/>
  <c r="IZ56" i="8"/>
  <c r="IZ55" i="8"/>
  <c r="IZ54" i="8"/>
  <c r="IZ34" i="8"/>
  <c r="IZ33" i="8"/>
  <c r="IZ32" i="8"/>
  <c r="IZ18" i="8"/>
  <c r="IZ17" i="8"/>
  <c r="IZ16" i="8"/>
  <c r="IZ15" i="8"/>
  <c r="IZ14" i="8"/>
  <c r="IZ13" i="8"/>
  <c r="IZ12" i="8"/>
  <c r="IZ11" i="8"/>
  <c r="IZ10" i="8"/>
  <c r="K53" i="8" l="1"/>
  <c r="K31" i="8"/>
  <c r="K9" i="8"/>
  <c r="K99" i="8" l="1"/>
  <c r="IZ99" i="8" s="1"/>
  <c r="K98" i="8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IZ98" i="8" l="1"/>
  <c r="K97" i="8"/>
  <c r="C10" i="10"/>
  <c r="D10" i="8"/>
  <c r="F10" i="8"/>
  <c r="J10" i="8"/>
  <c r="E10" i="8"/>
  <c r="L10" i="8"/>
  <c r="G10" i="8"/>
  <c r="E10" i="10" l="1"/>
  <c r="D10" i="10"/>
  <c r="IZ76" i="8"/>
  <c r="IZ120" i="8"/>
  <c r="IZ77" i="8"/>
  <c r="IZ121" i="8"/>
  <c r="D11" i="8"/>
  <c r="F11" i="8"/>
  <c r="J11" i="8"/>
  <c r="L11" i="8"/>
  <c r="D32" i="8"/>
  <c r="E11" i="8"/>
  <c r="J32" i="8"/>
  <c r="F32" i="8"/>
  <c r="O10" i="8" l="1"/>
  <c r="G10" i="10"/>
  <c r="F10" i="10"/>
  <c r="IZ78" i="8"/>
  <c r="IZ123" i="8"/>
  <c r="IZ122" i="8"/>
  <c r="L32" i="8"/>
  <c r="G32" i="8"/>
  <c r="D76" i="8"/>
  <c r="E76" i="8"/>
  <c r="J76" i="8"/>
  <c r="P10" i="8"/>
  <c r="G11" i="8"/>
  <c r="D12" i="8"/>
  <c r="F76" i="8"/>
  <c r="D34" i="8"/>
  <c r="L76" i="8"/>
  <c r="D33" i="8"/>
  <c r="F33" i="8"/>
  <c r="L33" i="8" s="1"/>
  <c r="E32" i="8"/>
  <c r="J33" i="8"/>
  <c r="F12" i="8"/>
  <c r="G12" i="8" s="1"/>
  <c r="J12" i="8"/>
  <c r="E12" i="8"/>
  <c r="J34" i="8"/>
  <c r="F34" i="8"/>
  <c r="L34" i="8" s="1"/>
  <c r="Q10" i="8" l="1"/>
  <c r="K119" i="8"/>
  <c r="IZ79" i="8"/>
  <c r="C11" i="10"/>
  <c r="E33" i="8"/>
  <c r="G33" i="8"/>
  <c r="D77" i="8"/>
  <c r="D35" i="8"/>
  <c r="G34" i="8"/>
  <c r="J35" i="8"/>
  <c r="J77" i="8"/>
  <c r="F77" i="8"/>
  <c r="E35" i="8"/>
  <c r="L12" i="8"/>
  <c r="G76" i="8"/>
  <c r="E34" i="8"/>
  <c r="D37" i="8"/>
  <c r="D13" i="8"/>
  <c r="J13" i="8" s="1"/>
  <c r="F37" i="8"/>
  <c r="E13" i="8"/>
  <c r="L77" i="8"/>
  <c r="F35" i="8"/>
  <c r="F13" i="8"/>
  <c r="G13" i="8" s="1"/>
  <c r="L13" i="8"/>
  <c r="O11" i="8" l="1"/>
  <c r="E11" i="10"/>
  <c r="D11" i="10"/>
  <c r="D12" i="10" s="1"/>
  <c r="K75" i="8"/>
  <c r="K8" i="8" s="1"/>
  <c r="C12" i="10"/>
  <c r="G14" i="10" s="1"/>
  <c r="G35" i="8"/>
  <c r="J37" i="8"/>
  <c r="G37" i="8"/>
  <c r="D14" i="8"/>
  <c r="D78" i="8"/>
  <c r="D40" i="8"/>
  <c r="F14" i="8"/>
  <c r="G14" i="8"/>
  <c r="D39" i="8"/>
  <c r="D38" i="8"/>
  <c r="E38" i="8"/>
  <c r="E37" i="8"/>
  <c r="D44" i="8"/>
  <c r="J14" i="8"/>
  <c r="D49" i="8"/>
  <c r="J44" i="8"/>
  <c r="J40" i="8"/>
  <c r="D52" i="8"/>
  <c r="D50" i="8"/>
  <c r="E39" i="8"/>
  <c r="P11" i="8"/>
  <c r="F39" i="8"/>
  <c r="F44" i="8"/>
  <c r="F50" i="8"/>
  <c r="J38" i="8"/>
  <c r="F38" i="8"/>
  <c r="G39" i="8"/>
  <c r="G38" i="8"/>
  <c r="E49" i="8"/>
  <c r="F49" i="8"/>
  <c r="G49" i="8"/>
  <c r="L37" i="8"/>
  <c r="D36" i="8"/>
  <c r="F36" i="8" s="1"/>
  <c r="L36" i="8" s="1"/>
  <c r="D42" i="8"/>
  <c r="E42" i="8" s="1"/>
  <c r="D43" i="8"/>
  <c r="J36" i="8"/>
  <c r="F42" i="8"/>
  <c r="E77" i="8"/>
  <c r="D46" i="8"/>
  <c r="E14" i="8"/>
  <c r="D45" i="8"/>
  <c r="F45" i="8" s="1"/>
  <c r="G45" i="8" s="1"/>
  <c r="F78" i="8"/>
  <c r="G78" i="8" s="1"/>
  <c r="E43" i="8"/>
  <c r="J42" i="8"/>
  <c r="F40" i="8"/>
  <c r="L40" i="8" s="1"/>
  <c r="E45" i="8"/>
  <c r="G77" i="8"/>
  <c r="D41" i="8"/>
  <c r="J41" i="8" s="1"/>
  <c r="E36" i="8"/>
  <c r="D51" i="8"/>
  <c r="F51" i="8" s="1"/>
  <c r="E78" i="8"/>
  <c r="J43" i="8"/>
  <c r="L42" i="8"/>
  <c r="L35" i="8"/>
  <c r="D54" i="8"/>
  <c r="F52" i="8"/>
  <c r="E44" i="8"/>
  <c r="D47" i="8"/>
  <c r="F47" i="8" s="1"/>
  <c r="D48" i="8"/>
  <c r="J51" i="8"/>
  <c r="F54" i="8"/>
  <c r="E40" i="8"/>
  <c r="G47" i="8"/>
  <c r="L50" i="8"/>
  <c r="F48" i="8"/>
  <c r="E54" i="8"/>
  <c r="J50" i="8"/>
  <c r="J47" i="8"/>
  <c r="J48" i="8"/>
  <c r="E41" i="8"/>
  <c r="F41" i="8"/>
  <c r="L41" i="8" s="1"/>
  <c r="J49" i="8"/>
  <c r="G41" i="8"/>
  <c r="L49" i="8"/>
  <c r="F46" i="8"/>
  <c r="L46" i="8" s="1"/>
  <c r="E46" i="8"/>
  <c r="J46" i="8"/>
  <c r="G52" i="8"/>
  <c r="Q11" i="8" l="1"/>
  <c r="G11" i="10"/>
  <c r="G12" i="10" s="1"/>
  <c r="F11" i="10"/>
  <c r="F12" i="10" s="1"/>
  <c r="E12" i="10"/>
  <c r="L48" i="8"/>
  <c r="E48" i="8"/>
  <c r="J54" i="8"/>
  <c r="L38" i="8"/>
  <c r="E50" i="8"/>
  <c r="G48" i="8"/>
  <c r="J39" i="8"/>
  <c r="L47" i="8"/>
  <c r="E51" i="8"/>
  <c r="L78" i="8"/>
  <c r="J78" i="8"/>
  <c r="G36" i="8"/>
  <c r="L39" i="8"/>
  <c r="L51" i="8"/>
  <c r="L45" i="8"/>
  <c r="F43" i="8"/>
  <c r="L54" i="8"/>
  <c r="L52" i="8"/>
  <c r="G51" i="8"/>
  <c r="G44" i="8"/>
  <c r="J52" i="8"/>
  <c r="G40" i="8"/>
  <c r="L44" i="8"/>
  <c r="G42" i="8"/>
  <c r="G54" i="8"/>
  <c r="L14" i="8"/>
  <c r="E52" i="8"/>
  <c r="G46" i="8"/>
  <c r="J45" i="8"/>
  <c r="G50" i="8"/>
  <c r="E47" i="8"/>
  <c r="G43" i="8"/>
  <c r="O12" i="8" l="1"/>
  <c r="D108" i="8"/>
  <c r="D100" i="8"/>
  <c r="D15" i="8"/>
  <c r="D115" i="8"/>
  <c r="D16" i="8"/>
  <c r="D79" i="8"/>
  <c r="J115" i="8"/>
  <c r="D103" i="8"/>
  <c r="D102" i="8"/>
  <c r="J108" i="8"/>
  <c r="J100" i="8"/>
  <c r="D116" i="8"/>
  <c r="E108" i="8"/>
  <c r="E100" i="8"/>
  <c r="D110" i="8"/>
  <c r="D113" i="8"/>
  <c r="E110" i="8"/>
  <c r="J113" i="8"/>
  <c r="D114" i="8"/>
  <c r="J16" i="8"/>
  <c r="J110" i="8"/>
  <c r="J116" i="8"/>
  <c r="E79" i="8"/>
  <c r="F113" i="8"/>
  <c r="F103" i="8"/>
  <c r="F102" i="8"/>
  <c r="F114" i="8"/>
  <c r="L103" i="8"/>
  <c r="G102" i="8"/>
  <c r="D55" i="8"/>
  <c r="D107" i="8"/>
  <c r="D99" i="8"/>
  <c r="F99" i="8" s="1"/>
  <c r="G99" i="8" s="1"/>
  <c r="D111" i="8"/>
  <c r="F111" i="8" s="1"/>
  <c r="G111" i="8" s="1"/>
  <c r="J15" i="8"/>
  <c r="D105" i="8"/>
  <c r="F105" i="8" s="1"/>
  <c r="D112" i="8"/>
  <c r="J112" i="8" s="1"/>
  <c r="F108" i="8"/>
  <c r="F100" i="8"/>
  <c r="D98" i="8"/>
  <c r="J98" i="8" s="1"/>
  <c r="D31" i="8"/>
  <c r="L31" i="8" s="1"/>
  <c r="E99" i="8"/>
  <c r="F15" i="8"/>
  <c r="E111" i="8"/>
  <c r="G108" i="8"/>
  <c r="L43" i="8"/>
  <c r="D106" i="8"/>
  <c r="J106" i="8" s="1"/>
  <c r="J55" i="8"/>
  <c r="F107" i="8"/>
  <c r="G107" i="8" s="1"/>
  <c r="D104" i="8"/>
  <c r="D101" i="8"/>
  <c r="E103" i="8"/>
  <c r="E106" i="8"/>
  <c r="J102" i="8"/>
  <c r="P12" i="8"/>
  <c r="D109" i="8"/>
  <c r="J109" i="8" s="1"/>
  <c r="E105" i="8"/>
  <c r="F115" i="8"/>
  <c r="L115" i="8" s="1"/>
  <c r="E112" i="8"/>
  <c r="D117" i="8"/>
  <c r="F117" i="8" s="1"/>
  <c r="D118" i="8"/>
  <c r="E118" i="8" s="1"/>
  <c r="F104" i="8"/>
  <c r="F98" i="8"/>
  <c r="F109" i="8"/>
  <c r="G109" i="8" s="1"/>
  <c r="J101" i="8"/>
  <c r="J31" i="8"/>
  <c r="G15" i="8"/>
  <c r="G105" i="8"/>
  <c r="L108" i="8"/>
  <c r="E16" i="8"/>
  <c r="F79" i="8"/>
  <c r="J103" i="8"/>
  <c r="F106" i="8"/>
  <c r="L106" i="8" s="1"/>
  <c r="E102" i="8"/>
  <c r="L107" i="8"/>
  <c r="J117" i="8"/>
  <c r="J114" i="8"/>
  <c r="F118" i="8"/>
  <c r="G103" i="8"/>
  <c r="G106" i="8"/>
  <c r="L102" i="8"/>
  <c r="E55" i="8"/>
  <c r="F55" i="8"/>
  <c r="G55" i="8" s="1"/>
  <c r="E107" i="8"/>
  <c r="J107" i="8"/>
  <c r="L100" i="8"/>
  <c r="G100" i="8"/>
  <c r="L79" i="8"/>
  <c r="O32" i="8" l="1"/>
  <c r="O13" i="8"/>
  <c r="Q12" i="8"/>
  <c r="O76" i="8"/>
  <c r="O35" i="8"/>
  <c r="G118" i="8"/>
  <c r="G98" i="8"/>
  <c r="G117" i="8"/>
  <c r="E104" i="8"/>
  <c r="G113" i="8"/>
  <c r="E109" i="8"/>
  <c r="E115" i="8"/>
  <c r="L117" i="8"/>
  <c r="E117" i="8"/>
  <c r="E15" i="8"/>
  <c r="F31" i="8"/>
  <c r="G104" i="8"/>
  <c r="F16" i="8"/>
  <c r="G79" i="8"/>
  <c r="L104" i="8"/>
  <c r="F101" i="8"/>
  <c r="G114" i="8"/>
  <c r="F116" i="8"/>
  <c r="G115" i="8"/>
  <c r="L55" i="8"/>
  <c r="L15" i="8"/>
  <c r="J118" i="8"/>
  <c r="G116" i="8"/>
  <c r="P76" i="8"/>
  <c r="L109" i="8"/>
  <c r="J79" i="8"/>
  <c r="L99" i="8"/>
  <c r="D81" i="8"/>
  <c r="P35" i="8"/>
  <c r="G16" i="8"/>
  <c r="F110" i="8"/>
  <c r="J105" i="8"/>
  <c r="L114" i="8"/>
  <c r="E114" i="8"/>
  <c r="J111" i="8"/>
  <c r="D80" i="8"/>
  <c r="F80" i="8"/>
  <c r="L98" i="8"/>
  <c r="E98" i="8"/>
  <c r="E101" i="8"/>
  <c r="D57" i="8"/>
  <c r="J81" i="8"/>
  <c r="J80" i="8"/>
  <c r="G80" i="8"/>
  <c r="L110" i="8"/>
  <c r="E116" i="8"/>
  <c r="P13" i="8"/>
  <c r="E81" i="8"/>
  <c r="E113" i="8"/>
  <c r="F112" i="8"/>
  <c r="G112" i="8" s="1"/>
  <c r="L118" i="8"/>
  <c r="L105" i="8"/>
  <c r="L111" i="8"/>
  <c r="J99" i="8"/>
  <c r="P32" i="8"/>
  <c r="L113" i="8"/>
  <c r="E31" i="8"/>
  <c r="L101" i="8"/>
  <c r="J104" i="8"/>
  <c r="D56" i="8"/>
  <c r="F56" i="8" s="1"/>
  <c r="J57" i="8"/>
  <c r="J56" i="8"/>
  <c r="L16" i="8"/>
  <c r="G110" i="8"/>
  <c r="L112" i="8"/>
  <c r="Q35" i="8" l="1"/>
  <c r="Q76" i="8"/>
  <c r="Q13" i="8"/>
  <c r="Q32" i="8"/>
  <c r="G56" i="8"/>
  <c r="L80" i="8"/>
  <c r="L116" i="8"/>
  <c r="N31" i="8"/>
  <c r="F81" i="8"/>
  <c r="G31" i="8"/>
  <c r="D17" i="8"/>
  <c r="E57" i="8"/>
  <c r="E80" i="8"/>
  <c r="G101" i="8"/>
  <c r="E56" i="8"/>
  <c r="D120" i="8"/>
  <c r="D142" i="8"/>
  <c r="E142" i="8" s="1"/>
  <c r="F57" i="8"/>
  <c r="J120" i="8"/>
  <c r="J142" i="8"/>
  <c r="F17" i="8"/>
  <c r="L17" i="8"/>
  <c r="J17" i="8"/>
  <c r="E120" i="8"/>
  <c r="F120" i="8"/>
  <c r="G120" i="8"/>
  <c r="L120" i="8"/>
  <c r="O14" i="8" l="1"/>
  <c r="O33" i="8"/>
  <c r="Q33" i="8" l="1"/>
  <c r="Q14" i="8"/>
  <c r="O15" i="8"/>
  <c r="O34" i="8"/>
  <c r="G17" i="8"/>
  <c r="L81" i="8"/>
  <c r="D65" i="8"/>
  <c r="D61" i="8"/>
  <c r="D70" i="8"/>
  <c r="D66" i="8"/>
  <c r="G81" i="8"/>
  <c r="D18" i="8"/>
  <c r="D26" i="8"/>
  <c r="D27" i="8"/>
  <c r="D23" i="8"/>
  <c r="F18" i="8"/>
  <c r="J26" i="8"/>
  <c r="J27" i="8"/>
  <c r="F23" i="8"/>
  <c r="G23" i="8"/>
  <c r="D58" i="8"/>
  <c r="D60" i="8"/>
  <c r="D74" i="8"/>
  <c r="D68" i="8"/>
  <c r="F142" i="8"/>
  <c r="D25" i="8"/>
  <c r="D22" i="8"/>
  <c r="D121" i="8"/>
  <c r="J121" i="8"/>
  <c r="D29" i="8"/>
  <c r="D122" i="8"/>
  <c r="E18" i="8"/>
  <c r="F22" i="8"/>
  <c r="L23" i="8"/>
  <c r="D30" i="8"/>
  <c r="J25" i="8"/>
  <c r="J23" i="8"/>
  <c r="E122" i="8"/>
  <c r="J65" i="8"/>
  <c r="E65" i="8"/>
  <c r="J61" i="8"/>
  <c r="J70" i="8"/>
  <c r="J66" i="8"/>
  <c r="E58" i="8"/>
  <c r="J60" i="8"/>
  <c r="J74" i="8"/>
  <c r="E74" i="8"/>
  <c r="E68" i="8"/>
  <c r="F122" i="8"/>
  <c r="E30" i="8"/>
  <c r="E17" i="8"/>
  <c r="G57" i="8"/>
  <c r="D64" i="8"/>
  <c r="J64" i="8" s="1"/>
  <c r="D67" i="8"/>
  <c r="D72" i="8"/>
  <c r="D59" i="8"/>
  <c r="J59" i="8" s="1"/>
  <c r="D83" i="8"/>
  <c r="E83" i="8" s="1"/>
  <c r="D20" i="8"/>
  <c r="P14" i="8"/>
  <c r="D28" i="8"/>
  <c r="D124" i="8"/>
  <c r="J18" i="8"/>
  <c r="F20" i="8"/>
  <c r="F26" i="8"/>
  <c r="F27" i="8"/>
  <c r="F28" i="8"/>
  <c r="E23" i="8"/>
  <c r="G18" i="8"/>
  <c r="G26" i="8"/>
  <c r="G28" i="8"/>
  <c r="D73" i="8"/>
  <c r="D71" i="8"/>
  <c r="D63" i="8"/>
  <c r="J63" i="8" s="1"/>
  <c r="D62" i="8"/>
  <c r="J62" i="8" s="1"/>
  <c r="D69" i="8"/>
  <c r="F69" i="8" s="1"/>
  <c r="G69" i="8" s="1"/>
  <c r="D82" i="8"/>
  <c r="D21" i="8"/>
  <c r="D24" i="8"/>
  <c r="D123" i="8"/>
  <c r="D19" i="8"/>
  <c r="P33" i="8"/>
  <c r="F121" i="8"/>
  <c r="F25" i="8"/>
  <c r="E26" i="8"/>
  <c r="E29" i="8"/>
  <c r="L26" i="8"/>
  <c r="J123" i="8"/>
  <c r="E22" i="8"/>
  <c r="F30" i="8"/>
  <c r="L25" i="8"/>
  <c r="F65" i="8"/>
  <c r="L65" i="8" s="1"/>
  <c r="E64" i="8"/>
  <c r="J67" i="8"/>
  <c r="F70" i="8"/>
  <c r="L70" i="8" s="1"/>
  <c r="E66" i="8"/>
  <c r="J83" i="8"/>
  <c r="F73" i="8"/>
  <c r="G73" i="8" s="1"/>
  <c r="J58" i="8"/>
  <c r="F60" i="8"/>
  <c r="L60" i="8" s="1"/>
  <c r="E63" i="8"/>
  <c r="E62" i="8"/>
  <c r="E69" i="8"/>
  <c r="E82" i="8"/>
  <c r="J30" i="8"/>
  <c r="G70" i="8"/>
  <c r="G60" i="8"/>
  <c r="L69" i="8"/>
  <c r="J19" i="8"/>
  <c r="L18" i="8"/>
  <c r="L28" i="8"/>
  <c r="D97" i="8"/>
  <c r="E70" i="8"/>
  <c r="E59" i="8"/>
  <c r="F58" i="8"/>
  <c r="F71" i="8"/>
  <c r="G71" i="8" s="1"/>
  <c r="F74" i="8"/>
  <c r="J69" i="8"/>
  <c r="L97" i="8"/>
  <c r="J21" i="8"/>
  <c r="E21" i="8"/>
  <c r="E27" i="8"/>
  <c r="F29" i="8"/>
  <c r="L22" i="8"/>
  <c r="L29" i="8"/>
  <c r="F64" i="8"/>
  <c r="E61" i="8"/>
  <c r="J72" i="8"/>
  <c r="F83" i="8"/>
  <c r="F63" i="8"/>
  <c r="F68" i="8"/>
  <c r="L68" i="8" s="1"/>
  <c r="J122" i="8"/>
  <c r="G65" i="8"/>
  <c r="L73" i="8"/>
  <c r="L71" i="8"/>
  <c r="G68" i="8"/>
  <c r="G121" i="8"/>
  <c r="F124" i="8"/>
  <c r="F61" i="8"/>
  <c r="L122" i="8"/>
  <c r="J68" i="8"/>
  <c r="P34" i="8"/>
  <c r="F62" i="8"/>
  <c r="F59" i="8"/>
  <c r="F97" i="8"/>
  <c r="L142" i="8"/>
  <c r="E60" i="8"/>
  <c r="F66" i="8"/>
  <c r="P15" i="8"/>
  <c r="F67" i="8"/>
  <c r="E67" i="8"/>
  <c r="E72" i="8"/>
  <c r="F72" i="8"/>
  <c r="E20" i="8"/>
  <c r="J20" i="8"/>
  <c r="E28" i="8"/>
  <c r="J28" i="8"/>
  <c r="J124" i="8"/>
  <c r="E124" i="8"/>
  <c r="L20" i="8"/>
  <c r="G20" i="8"/>
  <c r="L27" i="8"/>
  <c r="G27" i="8"/>
  <c r="E73" i="8"/>
  <c r="J73" i="8"/>
  <c r="J71" i="8"/>
  <c r="E71" i="8"/>
  <c r="F82" i="8"/>
  <c r="J82" i="8"/>
  <c r="E24" i="8"/>
  <c r="F24" i="8"/>
  <c r="E123" i="8"/>
  <c r="F19" i="8"/>
  <c r="L30" i="8"/>
  <c r="E97" i="8"/>
  <c r="J97" i="8"/>
  <c r="L58" i="8"/>
  <c r="G58" i="8"/>
  <c r="G74" i="8"/>
  <c r="L74" i="8"/>
  <c r="G64" i="8"/>
  <c r="L64" i="8"/>
  <c r="G83" i="8"/>
  <c r="L83" i="8"/>
  <c r="L63" i="8"/>
  <c r="G63" i="8"/>
  <c r="L67" i="8"/>
  <c r="G67" i="8"/>
  <c r="G72" i="8"/>
  <c r="L72" i="8"/>
  <c r="G82" i="8"/>
  <c r="L24" i="8"/>
  <c r="L19" i="8"/>
  <c r="N97" i="8" l="1"/>
  <c r="O16" i="8"/>
  <c r="Q15" i="8"/>
  <c r="Q34" i="8"/>
  <c r="O37" i="8"/>
  <c r="G19" i="8"/>
  <c r="L82" i="8"/>
  <c r="D53" i="8"/>
  <c r="G62" i="8"/>
  <c r="G124" i="8"/>
  <c r="D88" i="8"/>
  <c r="D92" i="8"/>
  <c r="D86" i="8"/>
  <c r="D90" i="8"/>
  <c r="D93" i="8"/>
  <c r="D89" i="8"/>
  <c r="G29" i="8"/>
  <c r="G25" i="8"/>
  <c r="E19" i="8"/>
  <c r="J24" i="8"/>
  <c r="G122" i="8"/>
  <c r="J29" i="8"/>
  <c r="J22" i="8"/>
  <c r="G142" i="8"/>
  <c r="G59" i="8"/>
  <c r="D129" i="8"/>
  <c r="D126" i="8"/>
  <c r="D134" i="8"/>
  <c r="D133" i="8"/>
  <c r="L62" i="8"/>
  <c r="P37" i="8"/>
  <c r="L66" i="8"/>
  <c r="L61" i="8"/>
  <c r="L124" i="8"/>
  <c r="D127" i="8"/>
  <c r="D137" i="8"/>
  <c r="D136" i="8"/>
  <c r="D132" i="8"/>
  <c r="J129" i="8"/>
  <c r="F126" i="8"/>
  <c r="F134" i="8"/>
  <c r="E134" i="8"/>
  <c r="E133" i="8"/>
  <c r="F127" i="8"/>
  <c r="E127" i="8"/>
  <c r="F137" i="8"/>
  <c r="E136" i="8"/>
  <c r="E132" i="8"/>
  <c r="F132" i="8"/>
  <c r="G126" i="8"/>
  <c r="G134" i="8"/>
  <c r="L127" i="8"/>
  <c r="L137" i="8"/>
  <c r="G132" i="8"/>
  <c r="D125" i="8"/>
  <c r="J125" i="8" s="1"/>
  <c r="D135" i="8"/>
  <c r="D140" i="8"/>
  <c r="F140" i="8" s="1"/>
  <c r="G140" i="8" s="1"/>
  <c r="D128" i="8"/>
  <c r="F129" i="8"/>
  <c r="G129" i="8" s="1"/>
  <c r="E126" i="8"/>
  <c r="F125" i="8"/>
  <c r="L125" i="8" s="1"/>
  <c r="F135" i="8"/>
  <c r="G135" i="8" s="1"/>
  <c r="J127" i="8"/>
  <c r="J137" i="8"/>
  <c r="J128" i="8"/>
  <c r="J136" i="8"/>
  <c r="G125" i="8"/>
  <c r="L140" i="8"/>
  <c r="L132" i="8"/>
  <c r="G24" i="8"/>
  <c r="G66" i="8"/>
  <c r="L59" i="8"/>
  <c r="G61" i="8"/>
  <c r="D84" i="8"/>
  <c r="D85" i="8"/>
  <c r="D96" i="8"/>
  <c r="D94" i="8"/>
  <c r="D91" i="8"/>
  <c r="D95" i="8"/>
  <c r="D87" i="8"/>
  <c r="G30" i="8"/>
  <c r="L121" i="8"/>
  <c r="F123" i="8"/>
  <c r="F21" i="8"/>
  <c r="G22" i="8"/>
  <c r="E121" i="8"/>
  <c r="E25" i="8"/>
  <c r="D143" i="8"/>
  <c r="J87" i="8"/>
  <c r="D131" i="8"/>
  <c r="D130" i="8"/>
  <c r="E85" i="8"/>
  <c r="D139" i="8"/>
  <c r="E139" i="8" s="1"/>
  <c r="D138" i="8"/>
  <c r="G97" i="8"/>
  <c r="P16" i="8"/>
  <c r="E129" i="8"/>
  <c r="F131" i="8"/>
  <c r="E125" i="8"/>
  <c r="J134" i="8"/>
  <c r="F130" i="8"/>
  <c r="J133" i="8"/>
  <c r="J140" i="8"/>
  <c r="E140" i="8"/>
  <c r="F139" i="8"/>
  <c r="E137" i="8"/>
  <c r="F136" i="8"/>
  <c r="L136" i="8" s="1"/>
  <c r="J132" i="8"/>
  <c r="L129" i="8"/>
  <c r="L126" i="8"/>
  <c r="L134" i="8"/>
  <c r="L135" i="8"/>
  <c r="G127" i="8"/>
  <c r="G137" i="8"/>
  <c r="G136" i="8"/>
  <c r="E53" i="8"/>
  <c r="E88" i="8"/>
  <c r="F88" i="8"/>
  <c r="J88" i="8"/>
  <c r="F92" i="8"/>
  <c r="J92" i="8"/>
  <c r="E92" i="8"/>
  <c r="E86" i="8"/>
  <c r="J86" i="8"/>
  <c r="F86" i="8"/>
  <c r="E90" i="8"/>
  <c r="F90" i="8"/>
  <c r="J90" i="8"/>
  <c r="E93" i="8"/>
  <c r="J93" i="8"/>
  <c r="F93" i="8"/>
  <c r="F89" i="8"/>
  <c r="E89" i="8"/>
  <c r="J89" i="8"/>
  <c r="E135" i="8"/>
  <c r="J135" i="8"/>
  <c r="E128" i="8"/>
  <c r="F128" i="8"/>
  <c r="F84" i="8"/>
  <c r="E84" i="8"/>
  <c r="J84" i="8"/>
  <c r="J85" i="8"/>
  <c r="F85" i="8"/>
  <c r="J96" i="8"/>
  <c r="E96" i="8"/>
  <c r="F96" i="8"/>
  <c r="E94" i="8"/>
  <c r="F94" i="8"/>
  <c r="J94" i="8"/>
  <c r="F91" i="8"/>
  <c r="E91" i="8"/>
  <c r="J91" i="8"/>
  <c r="F95" i="8"/>
  <c r="E95" i="8"/>
  <c r="J95" i="8"/>
  <c r="F87" i="8"/>
  <c r="E87" i="8"/>
  <c r="G123" i="8"/>
  <c r="L123" i="8"/>
  <c r="L21" i="8"/>
  <c r="F143" i="8"/>
  <c r="E143" i="8"/>
  <c r="J143" i="8"/>
  <c r="J131" i="8"/>
  <c r="E131" i="8"/>
  <c r="J130" i="8"/>
  <c r="E130" i="8"/>
  <c r="E138" i="8"/>
  <c r="J138" i="8"/>
  <c r="L131" i="8"/>
  <c r="G131" i="8"/>
  <c r="G130" i="8"/>
  <c r="L130" i="8"/>
  <c r="L139" i="8"/>
  <c r="G139" i="8"/>
  <c r="L88" i="8"/>
  <c r="G88" i="8"/>
  <c r="G92" i="8"/>
  <c r="L92" i="8"/>
  <c r="G86" i="8"/>
  <c r="L86" i="8"/>
  <c r="G90" i="8"/>
  <c r="L90" i="8"/>
  <c r="L93" i="8"/>
  <c r="G93" i="8"/>
  <c r="L89" i="8"/>
  <c r="G89" i="8"/>
  <c r="L128" i="8"/>
  <c r="G128" i="8"/>
  <c r="L85" i="8"/>
  <c r="G85" i="8"/>
  <c r="G96" i="8"/>
  <c r="L96" i="8"/>
  <c r="G94" i="8"/>
  <c r="L94" i="8"/>
  <c r="L91" i="8"/>
  <c r="G91" i="8"/>
  <c r="L95" i="8"/>
  <c r="G95" i="8"/>
  <c r="G87" i="8"/>
  <c r="L87" i="8"/>
  <c r="G143" i="8"/>
  <c r="L143" i="8"/>
  <c r="Q16" i="8" l="1"/>
  <c r="O36" i="8"/>
  <c r="Q37" i="8"/>
  <c r="O52" i="8"/>
  <c r="O48" i="8"/>
  <c r="O44" i="8"/>
  <c r="O43" i="8"/>
  <c r="O51" i="8"/>
  <c r="O17" i="8"/>
  <c r="O40" i="8"/>
  <c r="O42" i="8"/>
  <c r="O46" i="8"/>
  <c r="O41" i="8"/>
  <c r="O45" i="8"/>
  <c r="O50" i="8"/>
  <c r="O47" i="8"/>
  <c r="O39" i="8"/>
  <c r="D144" i="8"/>
  <c r="G21" i="8"/>
  <c r="L53" i="8"/>
  <c r="F53" i="8" s="1"/>
  <c r="F138" i="8"/>
  <c r="L84" i="8"/>
  <c r="P52" i="8"/>
  <c r="P42" i="8"/>
  <c r="P40" i="8"/>
  <c r="P45" i="8"/>
  <c r="F144" i="8"/>
  <c r="J126" i="8"/>
  <c r="P50" i="8"/>
  <c r="P48" i="8"/>
  <c r="P41" i="8"/>
  <c r="J53" i="8"/>
  <c r="F133" i="8"/>
  <c r="P51" i="8"/>
  <c r="P46" i="8"/>
  <c r="J139" i="8"/>
  <c r="G53" i="8"/>
  <c r="P39" i="8"/>
  <c r="P43" i="8"/>
  <c r="G84" i="8"/>
  <c r="D164" i="8"/>
  <c r="P36" i="8"/>
  <c r="P44" i="8"/>
  <c r="P17" i="8"/>
  <c r="P47" i="8"/>
  <c r="J144" i="8"/>
  <c r="E144" i="8"/>
  <c r="F164" i="8"/>
  <c r="J164" i="8"/>
  <c r="L164" i="8"/>
  <c r="Q36" i="8" l="1"/>
  <c r="Q47" i="8"/>
  <c r="Q45" i="8"/>
  <c r="Q41" i="8"/>
  <c r="Q48" i="8"/>
  <c r="Q46" i="8"/>
  <c r="Q51" i="8"/>
  <c r="Q44" i="8"/>
  <c r="O21" i="8"/>
  <c r="O20" i="8"/>
  <c r="O18" i="8"/>
  <c r="O28" i="8"/>
  <c r="O29" i="8"/>
  <c r="O23" i="8"/>
  <c r="O27" i="8"/>
  <c r="O26" i="8"/>
  <c r="Q52" i="8"/>
  <c r="Q17" i="8"/>
  <c r="Q43" i="8"/>
  <c r="Q42" i="8"/>
  <c r="Q40" i="8"/>
  <c r="Q26" i="8"/>
  <c r="O38" i="8"/>
  <c r="M31" i="8"/>
  <c r="O49" i="8"/>
  <c r="Q50" i="8"/>
  <c r="Q39" i="8"/>
  <c r="G164" i="8"/>
  <c r="D179" i="8"/>
  <c r="D173" i="8"/>
  <c r="D177" i="8"/>
  <c r="D171" i="8"/>
  <c r="D169" i="8"/>
  <c r="D176" i="8"/>
  <c r="D184" i="8"/>
  <c r="D180" i="8"/>
  <c r="D168" i="8"/>
  <c r="D183" i="8"/>
  <c r="L133" i="8"/>
  <c r="G138" i="8"/>
  <c r="L9" i="8"/>
  <c r="L144" i="8"/>
  <c r="D159" i="8"/>
  <c r="D157" i="8"/>
  <c r="D153" i="8"/>
  <c r="D148" i="8"/>
  <c r="L138" i="8"/>
  <c r="F9" i="8"/>
  <c r="P49" i="8"/>
  <c r="P38" i="8"/>
  <c r="D150" i="8"/>
  <c r="D158" i="8"/>
  <c r="D151" i="8"/>
  <c r="D149" i="8"/>
  <c r="G133" i="8"/>
  <c r="P26" i="8"/>
  <c r="P23" i="8"/>
  <c r="E159" i="8"/>
  <c r="J157" i="8"/>
  <c r="F153" i="8"/>
  <c r="J148" i="8"/>
  <c r="F150" i="8"/>
  <c r="E150" i="8"/>
  <c r="F158" i="8"/>
  <c r="E158" i="8"/>
  <c r="F151" i="8"/>
  <c r="J151" i="8"/>
  <c r="F149" i="8"/>
  <c r="J149" i="8"/>
  <c r="G153" i="8"/>
  <c r="G150" i="8"/>
  <c r="G158" i="8"/>
  <c r="G151" i="8"/>
  <c r="L149" i="8"/>
  <c r="D167" i="8"/>
  <c r="D178" i="8"/>
  <c r="D182" i="8"/>
  <c r="D170" i="8"/>
  <c r="D181" i="8"/>
  <c r="D152" i="8"/>
  <c r="D146" i="8"/>
  <c r="D162" i="8"/>
  <c r="P29" i="8"/>
  <c r="D161" i="8"/>
  <c r="J161" i="8" s="1"/>
  <c r="D160" i="8"/>
  <c r="J160" i="8" s="1"/>
  <c r="P28" i="8"/>
  <c r="P20" i="8"/>
  <c r="P21" i="8"/>
  <c r="J152" i="8"/>
  <c r="J159" i="8"/>
  <c r="F159" i="8"/>
  <c r="L159" i="8" s="1"/>
  <c r="E157" i="8"/>
  <c r="J146" i="8"/>
  <c r="J153" i="8"/>
  <c r="E148" i="8"/>
  <c r="E162" i="8"/>
  <c r="E161" i="8"/>
  <c r="J158" i="8"/>
  <c r="E151" i="8"/>
  <c r="F160" i="8"/>
  <c r="G160" i="8" s="1"/>
  <c r="E149" i="8"/>
  <c r="G159" i="8"/>
  <c r="L150" i="8"/>
  <c r="L158" i="8"/>
  <c r="L151" i="8"/>
  <c r="G149" i="8"/>
  <c r="D172" i="8"/>
  <c r="D175" i="8"/>
  <c r="D165" i="8"/>
  <c r="D166" i="8"/>
  <c r="D174" i="8"/>
  <c r="E164" i="8"/>
  <c r="G144" i="8"/>
  <c r="N53" i="8"/>
  <c r="D147" i="8"/>
  <c r="D145" i="8"/>
  <c r="P18" i="8"/>
  <c r="P27" i="8"/>
  <c r="D156" i="8"/>
  <c r="D154" i="8"/>
  <c r="D155" i="8"/>
  <c r="E147" i="8"/>
  <c r="F157" i="8"/>
  <c r="E153" i="8"/>
  <c r="F148" i="8"/>
  <c r="G148" i="8" s="1"/>
  <c r="E156" i="8"/>
  <c r="J150" i="8"/>
  <c r="F161" i="8"/>
  <c r="L161" i="8" s="1"/>
  <c r="F154" i="8"/>
  <c r="G154" i="8" s="1"/>
  <c r="E160" i="8"/>
  <c r="F155" i="8"/>
  <c r="G155" i="8" s="1"/>
  <c r="L153" i="8"/>
  <c r="L148" i="8"/>
  <c r="G161" i="8"/>
  <c r="L154" i="8"/>
  <c r="L160" i="8"/>
  <c r="L155" i="8"/>
  <c r="E179" i="8"/>
  <c r="J179" i="8"/>
  <c r="F179" i="8"/>
  <c r="F173" i="8"/>
  <c r="J173" i="8"/>
  <c r="E173" i="8"/>
  <c r="E177" i="8"/>
  <c r="F177" i="8"/>
  <c r="J177" i="8"/>
  <c r="J171" i="8"/>
  <c r="F171" i="8"/>
  <c r="E171" i="8"/>
  <c r="E169" i="8"/>
  <c r="F169" i="8"/>
  <c r="E176" i="8"/>
  <c r="J176" i="8"/>
  <c r="F176" i="8"/>
  <c r="J184" i="8"/>
  <c r="F184" i="8"/>
  <c r="E184" i="8"/>
  <c r="F180" i="8"/>
  <c r="J180" i="8"/>
  <c r="E180" i="8"/>
  <c r="J168" i="8"/>
  <c r="E168" i="8"/>
  <c r="F168" i="8"/>
  <c r="E183" i="8"/>
  <c r="J183" i="8"/>
  <c r="F167" i="8"/>
  <c r="J167" i="8"/>
  <c r="E167" i="8"/>
  <c r="J178" i="8"/>
  <c r="F178" i="8"/>
  <c r="E178" i="8"/>
  <c r="F182" i="8"/>
  <c r="J182" i="8"/>
  <c r="E170" i="8"/>
  <c r="F170" i="8"/>
  <c r="J181" i="8"/>
  <c r="E181" i="8"/>
  <c r="F181" i="8"/>
  <c r="F152" i="8"/>
  <c r="E152" i="8"/>
  <c r="E146" i="8"/>
  <c r="F146" i="8"/>
  <c r="J162" i="8"/>
  <c r="F162" i="8"/>
  <c r="E172" i="8"/>
  <c r="F172" i="8"/>
  <c r="J172" i="8"/>
  <c r="J175" i="8"/>
  <c r="E175" i="8"/>
  <c r="F175" i="8"/>
  <c r="E165" i="8"/>
  <c r="F165" i="8"/>
  <c r="J166" i="8"/>
  <c r="E166" i="8"/>
  <c r="F166" i="8"/>
  <c r="E174" i="8"/>
  <c r="J174" i="8"/>
  <c r="F174" i="8"/>
  <c r="F147" i="8"/>
  <c r="J147" i="8"/>
  <c r="J145" i="8"/>
  <c r="E145" i="8"/>
  <c r="F145" i="8"/>
  <c r="J156" i="8"/>
  <c r="F156" i="8"/>
  <c r="E154" i="8"/>
  <c r="J154" i="8"/>
  <c r="E155" i="8"/>
  <c r="J155" i="8"/>
  <c r="G157" i="8"/>
  <c r="L157" i="8"/>
  <c r="L179" i="8"/>
  <c r="G179" i="8"/>
  <c r="L173" i="8"/>
  <c r="L177" i="8"/>
  <c r="G177" i="8"/>
  <c r="L171" i="8"/>
  <c r="G171" i="8"/>
  <c r="L169" i="8"/>
  <c r="L176" i="8"/>
  <c r="L184" i="8"/>
  <c r="G184" i="8"/>
  <c r="L180" i="8"/>
  <c r="L168" i="8"/>
  <c r="G168" i="8"/>
  <c r="L167" i="8"/>
  <c r="G178" i="8"/>
  <c r="L178" i="8"/>
  <c r="G182" i="8"/>
  <c r="G170" i="8"/>
  <c r="L181" i="8"/>
  <c r="G181" i="8"/>
  <c r="G152" i="8"/>
  <c r="L152" i="8"/>
  <c r="L146" i="8"/>
  <c r="G146" i="8"/>
  <c r="L162" i="8"/>
  <c r="G162" i="8"/>
  <c r="L172" i="8"/>
  <c r="G175" i="8"/>
  <c r="L175" i="8"/>
  <c r="L165" i="8"/>
  <c r="G166" i="8"/>
  <c r="L166" i="8"/>
  <c r="G174" i="8"/>
  <c r="L147" i="8"/>
  <c r="G147" i="8"/>
  <c r="G145" i="8"/>
  <c r="L145" i="8"/>
  <c r="L156" i="8"/>
  <c r="G156" i="8"/>
  <c r="O24" i="8" l="1"/>
  <c r="Q24" i="8" s="1"/>
  <c r="M141" i="8"/>
  <c r="Q21" i="8"/>
  <c r="Q27" i="8"/>
  <c r="Q28" i="8"/>
  <c r="O22" i="8"/>
  <c r="O30" i="8"/>
  <c r="O25" i="8"/>
  <c r="Q20" i="8"/>
  <c r="Q18" i="8"/>
  <c r="Q23" i="8"/>
  <c r="Q29" i="8"/>
  <c r="O31" i="8"/>
  <c r="Q38" i="8"/>
  <c r="Q49" i="8"/>
  <c r="L174" i="8"/>
  <c r="G172" i="8"/>
  <c r="L182" i="8"/>
  <c r="D213" i="8"/>
  <c r="D215" i="8"/>
  <c r="D196" i="8"/>
  <c r="D206" i="8"/>
  <c r="D198" i="8"/>
  <c r="D200" i="8"/>
  <c r="D191" i="8"/>
  <c r="D204" i="8"/>
  <c r="D187" i="8"/>
  <c r="D225" i="8"/>
  <c r="D194" i="8"/>
  <c r="D205" i="8"/>
  <c r="D190" i="8"/>
  <c r="D224" i="8"/>
  <c r="D219" i="8"/>
  <c r="D216" i="8"/>
  <c r="D211" i="8"/>
  <c r="D199" i="8"/>
  <c r="D209" i="8"/>
  <c r="D189" i="8"/>
  <c r="D228" i="8"/>
  <c r="G180" i="8"/>
  <c r="G169" i="8"/>
  <c r="J165" i="8"/>
  <c r="E182" i="8"/>
  <c r="J169" i="8"/>
  <c r="N9" i="8"/>
  <c r="D75" i="8"/>
  <c r="P25" i="8"/>
  <c r="G9" i="8"/>
  <c r="P22" i="8"/>
  <c r="D141" i="8"/>
  <c r="J141" i="8"/>
  <c r="G165" i="8"/>
  <c r="L170" i="8"/>
  <c r="G167" i="8"/>
  <c r="D226" i="8"/>
  <c r="D222" i="8"/>
  <c r="D192" i="8"/>
  <c r="D203" i="8"/>
  <c r="D210" i="8"/>
  <c r="D186" i="8"/>
  <c r="D218" i="8"/>
  <c r="D223" i="8"/>
  <c r="D195" i="8"/>
  <c r="D193" i="8"/>
  <c r="D221" i="8"/>
  <c r="D208" i="8"/>
  <c r="D201" i="8"/>
  <c r="D214" i="8"/>
  <c r="D188" i="8"/>
  <c r="D197" i="8"/>
  <c r="D227" i="8"/>
  <c r="F183" i="8"/>
  <c r="D119" i="8"/>
  <c r="L119" i="8" s="1"/>
  <c r="P24" i="8"/>
  <c r="P31" i="8"/>
  <c r="D212" i="8"/>
  <c r="D202" i="8"/>
  <c r="D220" i="8"/>
  <c r="D217" i="8"/>
  <c r="G176" i="8"/>
  <c r="G173" i="8"/>
  <c r="J170" i="8"/>
  <c r="E119" i="8"/>
  <c r="P30" i="8"/>
  <c r="J119" i="8"/>
  <c r="J75" i="8"/>
  <c r="J213" i="8"/>
  <c r="F213" i="8"/>
  <c r="E213" i="8"/>
  <c r="F215" i="8"/>
  <c r="J215" i="8"/>
  <c r="E215" i="8"/>
  <c r="J196" i="8"/>
  <c r="F196" i="8"/>
  <c r="E196" i="8"/>
  <c r="F206" i="8"/>
  <c r="J206" i="8"/>
  <c r="E206" i="8"/>
  <c r="J198" i="8"/>
  <c r="E198" i="8"/>
  <c r="F198" i="8"/>
  <c r="F200" i="8"/>
  <c r="J200" i="8"/>
  <c r="E191" i="8"/>
  <c r="J191" i="8"/>
  <c r="E204" i="8"/>
  <c r="F204" i="8"/>
  <c r="E187" i="8"/>
  <c r="F187" i="8"/>
  <c r="F225" i="8"/>
  <c r="E225" i="8"/>
  <c r="F194" i="8"/>
  <c r="J194" i="8"/>
  <c r="J205" i="8"/>
  <c r="E205" i="8"/>
  <c r="F205" i="8"/>
  <c r="F190" i="8"/>
  <c r="J190" i="8"/>
  <c r="E190" i="8"/>
  <c r="E224" i="8"/>
  <c r="J224" i="8"/>
  <c r="F224" i="8"/>
  <c r="E219" i="8"/>
  <c r="J219" i="8"/>
  <c r="F216" i="8"/>
  <c r="E216" i="8"/>
  <c r="F211" i="8"/>
  <c r="J211" i="8"/>
  <c r="E211" i="8"/>
  <c r="J199" i="8"/>
  <c r="E199" i="8"/>
  <c r="F199" i="8"/>
  <c r="J209" i="8"/>
  <c r="F209" i="8"/>
  <c r="E209" i="8"/>
  <c r="J189" i="8"/>
  <c r="F189" i="8"/>
  <c r="J228" i="8"/>
  <c r="F228" i="8"/>
  <c r="J226" i="8"/>
  <c r="E226" i="8"/>
  <c r="F226" i="8"/>
  <c r="J222" i="8"/>
  <c r="E222" i="8"/>
  <c r="F222" i="8"/>
  <c r="F192" i="8"/>
  <c r="J192" i="8"/>
  <c r="E192" i="8"/>
  <c r="F203" i="8"/>
  <c r="E203" i="8"/>
  <c r="J203" i="8"/>
  <c r="J210" i="8"/>
  <c r="F210" i="8"/>
  <c r="E210" i="8"/>
  <c r="F186" i="8"/>
  <c r="J186" i="8"/>
  <c r="E218" i="8"/>
  <c r="J218" i="8"/>
  <c r="F223" i="8"/>
  <c r="E223" i="8"/>
  <c r="J195" i="8"/>
  <c r="F195" i="8"/>
  <c r="J193" i="8"/>
  <c r="E193" i="8"/>
  <c r="E221" i="8"/>
  <c r="F221" i="8"/>
  <c r="J221" i="8"/>
  <c r="J208" i="8"/>
  <c r="E208" i="8"/>
  <c r="F208" i="8"/>
  <c r="F201" i="8"/>
  <c r="J201" i="8"/>
  <c r="F214" i="8"/>
  <c r="E214" i="8"/>
  <c r="E188" i="8"/>
  <c r="F188" i="8"/>
  <c r="J188" i="8"/>
  <c r="J197" i="8"/>
  <c r="E197" i="8"/>
  <c r="E227" i="8"/>
  <c r="J227" i="8"/>
  <c r="L183" i="8"/>
  <c r="E212" i="8"/>
  <c r="J212" i="8"/>
  <c r="F212" i="8"/>
  <c r="E202" i="8"/>
  <c r="J202" i="8"/>
  <c r="E220" i="8"/>
  <c r="F220" i="8"/>
  <c r="J220" i="8"/>
  <c r="F217" i="8"/>
  <c r="E217" i="8"/>
  <c r="L213" i="8"/>
  <c r="G213" i="8"/>
  <c r="G215" i="8"/>
  <c r="L196" i="8"/>
  <c r="G196" i="8"/>
  <c r="G206" i="8"/>
  <c r="L206" i="8"/>
  <c r="G198" i="8"/>
  <c r="L198" i="8"/>
  <c r="G200" i="8"/>
  <c r="G204" i="8"/>
  <c r="L187" i="8"/>
  <c r="G225" i="8"/>
  <c r="G194" i="8"/>
  <c r="L205" i="8"/>
  <c r="G205" i="8"/>
  <c r="G190" i="8"/>
  <c r="L190" i="8"/>
  <c r="G224" i="8"/>
  <c r="L224" i="8"/>
  <c r="G216" i="8"/>
  <c r="G211" i="8"/>
  <c r="L211" i="8"/>
  <c r="G199" i="8"/>
  <c r="L199" i="8"/>
  <c r="L209" i="8"/>
  <c r="G209" i="8"/>
  <c r="G189" i="8"/>
  <c r="G228" i="8"/>
  <c r="L226" i="8"/>
  <c r="G226" i="8"/>
  <c r="L222" i="8"/>
  <c r="G222" i="8"/>
  <c r="G192" i="8"/>
  <c r="L192" i="8"/>
  <c r="G203" i="8"/>
  <c r="L203" i="8"/>
  <c r="L210" i="8"/>
  <c r="G186" i="8"/>
  <c r="G223" i="8"/>
  <c r="G195" i="8"/>
  <c r="G221" i="8"/>
  <c r="G208" i="8"/>
  <c r="L208" i="8"/>
  <c r="L201" i="8"/>
  <c r="L214" i="8"/>
  <c r="G188" i="8"/>
  <c r="L212" i="8"/>
  <c r="G212" i="8"/>
  <c r="L220" i="8"/>
  <c r="G220" i="8"/>
  <c r="G217" i="8"/>
  <c r="Q31" i="8" l="1"/>
  <c r="Q25" i="8"/>
  <c r="Q30" i="8"/>
  <c r="O19" i="8"/>
  <c r="M9" i="8"/>
  <c r="O9" i="8" s="1"/>
  <c r="Q22" i="8"/>
  <c r="L217" i="8"/>
  <c r="G214" i="8"/>
  <c r="L221" i="8"/>
  <c r="L223" i="8"/>
  <c r="G210" i="8"/>
  <c r="L189" i="8"/>
  <c r="L194" i="8"/>
  <c r="G187" i="8"/>
  <c r="L200" i="8"/>
  <c r="J217" i="8"/>
  <c r="G183" i="8"/>
  <c r="F197" i="8"/>
  <c r="E201" i="8"/>
  <c r="E195" i="8"/>
  <c r="F218" i="8"/>
  <c r="L141" i="8"/>
  <c r="E189" i="8"/>
  <c r="F219" i="8"/>
  <c r="J225" i="8"/>
  <c r="J204" i="8"/>
  <c r="E200" i="8"/>
  <c r="P9" i="8"/>
  <c r="E75" i="8"/>
  <c r="L188" i="8"/>
  <c r="G201" i="8"/>
  <c r="L195" i="8"/>
  <c r="L186" i="8"/>
  <c r="L228" i="8"/>
  <c r="L216" i="8"/>
  <c r="L225" i="8"/>
  <c r="L204" i="8"/>
  <c r="L215" i="8"/>
  <c r="F202" i="8"/>
  <c r="F227" i="8"/>
  <c r="J214" i="8"/>
  <c r="F193" i="8"/>
  <c r="J223" i="8"/>
  <c r="E186" i="8"/>
  <c r="E228" i="8"/>
  <c r="J216" i="8"/>
  <c r="E194" i="8"/>
  <c r="J187" i="8"/>
  <c r="F191" i="8"/>
  <c r="F141" i="8"/>
  <c r="G141" i="8" s="1"/>
  <c r="F119" i="8"/>
  <c r="P19" i="8"/>
  <c r="E141" i="8"/>
  <c r="L197" i="8"/>
  <c r="L218" i="8"/>
  <c r="G219" i="8"/>
  <c r="G202" i="8"/>
  <c r="G227" i="8"/>
  <c r="G193" i="8"/>
  <c r="L191" i="8"/>
  <c r="M163" i="8" l="1"/>
  <c r="Q9" i="8"/>
  <c r="Q19" i="8"/>
  <c r="G191" i="8"/>
  <c r="L227" i="8"/>
  <c r="L219" i="8"/>
  <c r="G197" i="8"/>
  <c r="N141" i="8"/>
  <c r="G119" i="8"/>
  <c r="D207" i="8"/>
  <c r="L75" i="8"/>
  <c r="L193" i="8"/>
  <c r="L202" i="8"/>
  <c r="G218" i="8"/>
  <c r="N119" i="8"/>
  <c r="D185" i="8"/>
  <c r="D163" i="8"/>
  <c r="E207" i="8"/>
  <c r="E185" i="8"/>
  <c r="E163" i="8"/>
  <c r="J207" i="8"/>
  <c r="J163" i="8"/>
  <c r="L163" i="8"/>
  <c r="M185" i="8" l="1"/>
  <c r="M207" i="8"/>
  <c r="O77" i="8"/>
  <c r="L207" i="8"/>
  <c r="J185" i="8"/>
  <c r="F207" i="8"/>
  <c r="L185" i="8"/>
  <c r="F185" i="8" s="1"/>
  <c r="P77" i="8"/>
  <c r="F75" i="8"/>
  <c r="F163" i="8"/>
  <c r="G207" i="8"/>
  <c r="S5" i="8"/>
  <c r="N185" i="8" l="1"/>
  <c r="N207" i="8"/>
  <c r="O78" i="8"/>
  <c r="Q78" i="8" s="1"/>
  <c r="O54" i="8"/>
  <c r="Q77" i="8"/>
  <c r="N75" i="8"/>
  <c r="G163" i="8"/>
  <c r="P54" i="8"/>
  <c r="N163" i="8"/>
  <c r="G185" i="8"/>
  <c r="G75" i="8"/>
  <c r="P78" i="8"/>
  <c r="S6" i="8"/>
  <c r="T5" i="8"/>
  <c r="O55" i="8" l="1"/>
  <c r="O109" i="8"/>
  <c r="O104" i="8"/>
  <c r="O101" i="8"/>
  <c r="O117" i="8"/>
  <c r="O107" i="8"/>
  <c r="O112" i="8"/>
  <c r="O108" i="8"/>
  <c r="O110" i="8"/>
  <c r="O118" i="8"/>
  <c r="O100" i="8"/>
  <c r="O102" i="8"/>
  <c r="O115" i="8"/>
  <c r="O106" i="8"/>
  <c r="O116" i="8"/>
  <c r="O114" i="8"/>
  <c r="O105" i="8"/>
  <c r="O79" i="8"/>
  <c r="O103" i="8"/>
  <c r="O99" i="8"/>
  <c r="O111" i="8"/>
  <c r="O113" i="8"/>
  <c r="O98" i="8"/>
  <c r="M97" i="8"/>
  <c r="Q54" i="8"/>
  <c r="P102" i="8"/>
  <c r="P112" i="8"/>
  <c r="P109" i="8"/>
  <c r="P79" i="8"/>
  <c r="P118" i="8"/>
  <c r="L8" i="8"/>
  <c r="P104" i="8"/>
  <c r="P100" i="8"/>
  <c r="P107" i="8"/>
  <c r="P103" i="8"/>
  <c r="P117" i="8"/>
  <c r="P106" i="8"/>
  <c r="P55" i="8"/>
  <c r="P101" i="8"/>
  <c r="P105" i="8"/>
  <c r="P115" i="8"/>
  <c r="P99" i="8"/>
  <c r="P108" i="8"/>
  <c r="P116" i="8"/>
  <c r="P111" i="8"/>
  <c r="P98" i="8"/>
  <c r="P110" i="8"/>
  <c r="P113" i="8"/>
  <c r="P114" i="8"/>
  <c r="U5" i="8"/>
  <c r="Q107" i="8" l="1"/>
  <c r="Q117" i="8"/>
  <c r="Q104" i="8"/>
  <c r="Q113" i="8"/>
  <c r="Q111" i="8"/>
  <c r="Q99" i="8"/>
  <c r="Q103" i="8"/>
  <c r="Q112" i="8"/>
  <c r="Q101" i="8"/>
  <c r="Q109" i="8"/>
  <c r="O81" i="8"/>
  <c r="O56" i="8"/>
  <c r="O80" i="8"/>
  <c r="O57" i="8"/>
  <c r="O97" i="8"/>
  <c r="Q98" i="8"/>
  <c r="Q79" i="8"/>
  <c r="Q105" i="8"/>
  <c r="Q114" i="8"/>
  <c r="Q116" i="8"/>
  <c r="Q106" i="8"/>
  <c r="Q115" i="8"/>
  <c r="Q102" i="8"/>
  <c r="Q100" i="8"/>
  <c r="Q118" i="8"/>
  <c r="Q110" i="8"/>
  <c r="Q108" i="8"/>
  <c r="Q55" i="8"/>
  <c r="F8" i="8"/>
  <c r="P81" i="8"/>
  <c r="P80" i="8"/>
  <c r="P56" i="8"/>
  <c r="P57" i="8"/>
  <c r="P97" i="8"/>
  <c r="V5" i="8"/>
  <c r="W5" i="8"/>
  <c r="Q57" i="8" l="1"/>
  <c r="O58" i="8"/>
  <c r="O60" i="8"/>
  <c r="O142" i="8"/>
  <c r="O82" i="8"/>
  <c r="O62" i="8"/>
  <c r="O63" i="8"/>
  <c r="O61" i="8"/>
  <c r="O59" i="8"/>
  <c r="O120" i="8"/>
  <c r="O83" i="8"/>
  <c r="Q97" i="8"/>
  <c r="Q80" i="8"/>
  <c r="Q56" i="8"/>
  <c r="Q81" i="8"/>
  <c r="G8" i="8"/>
  <c r="P61" i="8"/>
  <c r="P83" i="8"/>
  <c r="P60" i="8"/>
  <c r="P120" i="8"/>
  <c r="P63" i="8"/>
  <c r="N8" i="8"/>
  <c r="P59" i="8"/>
  <c r="P142" i="8"/>
  <c r="P62" i="8"/>
  <c r="P82" i="8"/>
  <c r="P58" i="8"/>
  <c r="X5" i="8"/>
  <c r="Q120" i="8" l="1"/>
  <c r="Q59" i="8"/>
  <c r="Q142" i="8"/>
  <c r="Q60" i="8"/>
  <c r="O85" i="8"/>
  <c r="O87" i="8"/>
  <c r="O92" i="8"/>
  <c r="O122" i="8"/>
  <c r="O124" i="8"/>
  <c r="O164" i="8"/>
  <c r="O84" i="8"/>
  <c r="M75" i="8"/>
  <c r="O86" i="8"/>
  <c r="O94" i="8"/>
  <c r="O90" i="8"/>
  <c r="O95" i="8"/>
  <c r="O93" i="8"/>
  <c r="O91" i="8"/>
  <c r="O88" i="8"/>
  <c r="O96" i="8"/>
  <c r="O89" i="8"/>
  <c r="O121" i="8"/>
  <c r="O143" i="8"/>
  <c r="O66" i="8"/>
  <c r="Q66" i="8" s="1"/>
  <c r="O68" i="8"/>
  <c r="Q68" i="8" s="1"/>
  <c r="O67" i="8"/>
  <c r="Q67" i="8" s="1"/>
  <c r="O70" i="8"/>
  <c r="Q70" i="8" s="1"/>
  <c r="O65" i="8"/>
  <c r="Q65" i="8" s="1"/>
  <c r="O74" i="8"/>
  <c r="Q74" i="8" s="1"/>
  <c r="O71" i="8"/>
  <c r="Q71" i="8" s="1"/>
  <c r="O64" i="8"/>
  <c r="Q64" i="8" s="1"/>
  <c r="M53" i="8"/>
  <c r="O53" i="8" s="1"/>
  <c r="O69" i="8"/>
  <c r="Q69" i="8" s="1"/>
  <c r="O73" i="8"/>
  <c r="Q73" i="8" s="1"/>
  <c r="O72" i="8"/>
  <c r="Q72" i="8" s="1"/>
  <c r="Q61" i="8"/>
  <c r="Q82" i="8"/>
  <c r="Q83" i="8"/>
  <c r="Q63" i="8"/>
  <c r="Q62" i="8"/>
  <c r="Q58" i="8"/>
  <c r="P95" i="8"/>
  <c r="P89" i="8"/>
  <c r="P122" i="8"/>
  <c r="P90" i="8"/>
  <c r="P96" i="8"/>
  <c r="P87" i="8"/>
  <c r="P143" i="8"/>
  <c r="P124" i="8"/>
  <c r="P94" i="8"/>
  <c r="P88" i="8"/>
  <c r="P92" i="8"/>
  <c r="P164" i="8"/>
  <c r="P121" i="8"/>
  <c r="P86" i="8"/>
  <c r="P91" i="8"/>
  <c r="P85" i="8"/>
  <c r="P84" i="8"/>
  <c r="P93" i="8"/>
  <c r="P53" i="8"/>
  <c r="X6" i="8"/>
  <c r="Y5" i="8"/>
  <c r="Q93" i="8" l="1"/>
  <c r="Q95" i="8"/>
  <c r="O144" i="8"/>
  <c r="O166" i="8"/>
  <c r="O137" i="8"/>
  <c r="O134" i="8"/>
  <c r="O127" i="8"/>
  <c r="O131" i="8"/>
  <c r="O132" i="8"/>
  <c r="O138" i="8"/>
  <c r="O139" i="8"/>
  <c r="O126" i="8"/>
  <c r="O123" i="8"/>
  <c r="M119" i="8"/>
  <c r="O167" i="8"/>
  <c r="O165" i="8"/>
  <c r="O129" i="8"/>
  <c r="O133" i="8"/>
  <c r="O135" i="8"/>
  <c r="O130" i="8"/>
  <c r="O128" i="8"/>
  <c r="O140" i="8"/>
  <c r="O125" i="8"/>
  <c r="O136" i="8"/>
  <c r="Q89" i="8"/>
  <c r="Q96" i="8"/>
  <c r="Q91" i="8"/>
  <c r="Q94" i="8"/>
  <c r="O75" i="8"/>
  <c r="Q92" i="8"/>
  <c r="Q53" i="8"/>
  <c r="Q143" i="8"/>
  <c r="Q121" i="8"/>
  <c r="Q88" i="8"/>
  <c r="Q90" i="8"/>
  <c r="Q86" i="8"/>
  <c r="Q84" i="8"/>
  <c r="Q164" i="8"/>
  <c r="Q124" i="8"/>
  <c r="Q122" i="8"/>
  <c r="Q87" i="8"/>
  <c r="Q85" i="8"/>
  <c r="P144" i="8"/>
  <c r="P137" i="8"/>
  <c r="P134" i="8"/>
  <c r="P127" i="8"/>
  <c r="P131" i="8"/>
  <c r="P126" i="8"/>
  <c r="P132" i="8"/>
  <c r="P165" i="8"/>
  <c r="P138" i="8"/>
  <c r="P129" i="8"/>
  <c r="P139" i="8"/>
  <c r="P135" i="8"/>
  <c r="P123" i="8"/>
  <c r="P128" i="8"/>
  <c r="P167" i="8"/>
  <c r="P140" i="8"/>
  <c r="P133" i="8"/>
  <c r="P125" i="8"/>
  <c r="P130" i="8"/>
  <c r="P136" i="8"/>
  <c r="P166" i="8"/>
  <c r="P75" i="8"/>
  <c r="Z5" i="8"/>
  <c r="Q75" i="8" l="1"/>
  <c r="Q125" i="8"/>
  <c r="Q140" i="8"/>
  <c r="Q133" i="8"/>
  <c r="Q129" i="8"/>
  <c r="Q165" i="8"/>
  <c r="Q123" i="8"/>
  <c r="Q126" i="8"/>
  <c r="Q131" i="8"/>
  <c r="Q134" i="8"/>
  <c r="Q136" i="8"/>
  <c r="Q128" i="8"/>
  <c r="Q130" i="8"/>
  <c r="Q135" i="8"/>
  <c r="Q167" i="8"/>
  <c r="Q139" i="8"/>
  <c r="Q138" i="8"/>
  <c r="Q132" i="8"/>
  <c r="Q127" i="8"/>
  <c r="Q137" i="8"/>
  <c r="Q166" i="8"/>
  <c r="Q144" i="8"/>
  <c r="AA5" i="8"/>
  <c r="O214" i="8" l="1"/>
  <c r="O206" i="8"/>
  <c r="O228" i="8"/>
  <c r="O211" i="8"/>
  <c r="O169" i="8"/>
  <c r="O213" i="8"/>
  <c r="O179" i="8"/>
  <c r="O183" i="8"/>
  <c r="O181" i="8"/>
  <c r="O198" i="8"/>
  <c r="O203" i="8"/>
  <c r="O146" i="8"/>
  <c r="O162" i="8"/>
  <c r="O189" i="8"/>
  <c r="O188" i="8"/>
  <c r="O199" i="8"/>
  <c r="O168" i="8"/>
  <c r="O205" i="8"/>
  <c r="O177" i="8"/>
  <c r="O212" i="8"/>
  <c r="O175" i="8"/>
  <c r="O187" i="8"/>
  <c r="O172" i="8"/>
  <c r="O149" i="8"/>
  <c r="O158" i="8"/>
  <c r="O159" i="8"/>
  <c r="O161" i="8"/>
  <c r="O147" i="8"/>
  <c r="O155" i="8"/>
  <c r="O157" i="8"/>
  <c r="O150" i="8"/>
  <c r="O154" i="8"/>
  <c r="O145" i="8"/>
  <c r="O156" i="8"/>
  <c r="O151" i="8"/>
  <c r="O160" i="8"/>
  <c r="O174" i="8"/>
  <c r="O193" i="8"/>
  <c r="O201" i="8"/>
  <c r="O208" i="8"/>
  <c r="O171" i="8"/>
  <c r="O215" i="8"/>
  <c r="O219" i="8"/>
  <c r="O221" i="8"/>
  <c r="O190" i="8"/>
  <c r="O195" i="8"/>
  <c r="O178" i="8"/>
  <c r="O194" i="8"/>
  <c r="O216" i="8"/>
  <c r="O192" i="8"/>
  <c r="O209" i="8"/>
  <c r="O170" i="8"/>
  <c r="O225" i="8"/>
  <c r="O182" i="8"/>
  <c r="O222" i="8"/>
  <c r="O196" i="8"/>
  <c r="O197" i="8"/>
  <c r="O218" i="8"/>
  <c r="O210" i="8"/>
  <c r="O180" i="8"/>
  <c r="O173" i="8"/>
  <c r="O226" i="8"/>
  <c r="O220" i="8"/>
  <c r="O204" i="8"/>
  <c r="O191" i="8"/>
  <c r="O186" i="8"/>
  <c r="O223" i="8"/>
  <c r="O176" i="8"/>
  <c r="O227" i="8"/>
  <c r="O200" i="8"/>
  <c r="O224" i="8"/>
  <c r="O202" i="8"/>
  <c r="O217" i="8"/>
  <c r="O184" i="8"/>
  <c r="O148" i="8"/>
  <c r="O153" i="8"/>
  <c r="O152" i="8"/>
  <c r="O119" i="8"/>
  <c r="Q228" i="8"/>
  <c r="P210" i="8"/>
  <c r="P192" i="8"/>
  <c r="P159" i="8"/>
  <c r="P201" i="8"/>
  <c r="P169" i="8"/>
  <c r="P220" i="8"/>
  <c r="P225" i="8"/>
  <c r="P174" i="8"/>
  <c r="P194" i="8"/>
  <c r="P198" i="8"/>
  <c r="P223" i="8"/>
  <c r="P180" i="8"/>
  <c r="P221" i="8"/>
  <c r="P222" i="8"/>
  <c r="P162" i="8"/>
  <c r="P224" i="8"/>
  <c r="P204" i="8"/>
  <c r="P170" i="8"/>
  <c r="P173" i="8"/>
  <c r="P168" i="8"/>
  <c r="P195" i="8"/>
  <c r="P151" i="8"/>
  <c r="P217" i="8"/>
  <c r="P187" i="8"/>
  <c r="P186" i="8"/>
  <c r="P216" i="8"/>
  <c r="P193" i="8"/>
  <c r="P211" i="8"/>
  <c r="P158" i="8"/>
  <c r="P184" i="8"/>
  <c r="P182" i="8"/>
  <c r="P215" i="8"/>
  <c r="P203" i="8"/>
  <c r="P155" i="8"/>
  <c r="P119" i="8"/>
  <c r="P196" i="8"/>
  <c r="P190" i="8"/>
  <c r="P212" i="8"/>
  <c r="P150" i="8"/>
  <c r="P157" i="8"/>
  <c r="P188" i="8"/>
  <c r="P219" i="8"/>
  <c r="P183" i="8"/>
  <c r="P154" i="8"/>
  <c r="P145" i="8"/>
  <c r="P205" i="8"/>
  <c r="P209" i="8"/>
  <c r="P146" i="8"/>
  <c r="P208" i="8"/>
  <c r="P160" i="8"/>
  <c r="P172" i="8"/>
  <c r="P197" i="8"/>
  <c r="P189" i="8"/>
  <c r="P178" i="8"/>
  <c r="P171" i="8"/>
  <c r="P147" i="8"/>
  <c r="P191" i="8"/>
  <c r="P177" i="8"/>
  <c r="P218" i="8"/>
  <c r="P199" i="8"/>
  <c r="P152" i="8"/>
  <c r="P227" i="8"/>
  <c r="P226" i="8"/>
  <c r="P176" i="8"/>
  <c r="P175" i="8"/>
  <c r="P206" i="8"/>
  <c r="P202" i="8"/>
  <c r="P200" i="8"/>
  <c r="P214" i="8"/>
  <c r="P149" i="8"/>
  <c r="P213" i="8"/>
  <c r="P148" i="8"/>
  <c r="P153" i="8"/>
  <c r="P179" i="8"/>
  <c r="P161" i="8"/>
  <c r="P181" i="8"/>
  <c r="P156" i="8"/>
  <c r="P228" i="8"/>
  <c r="AB5" i="8"/>
  <c r="Q119" i="8" l="1"/>
  <c r="Q221" i="8"/>
  <c r="Q154" i="8"/>
  <c r="Q147" i="8"/>
  <c r="Q159" i="8"/>
  <c r="Q181" i="8"/>
  <c r="Q179" i="8"/>
  <c r="Q213" i="8"/>
  <c r="Q211" i="8"/>
  <c r="Q206" i="8"/>
  <c r="Q214" i="8"/>
  <c r="Q191" i="8"/>
  <c r="Q220" i="8"/>
  <c r="Q210" i="8"/>
  <c r="Q196" i="8"/>
  <c r="Q182" i="8"/>
  <c r="Q216" i="8"/>
  <c r="Q195" i="8"/>
  <c r="Q171" i="8"/>
  <c r="Q145" i="8"/>
  <c r="Q155" i="8"/>
  <c r="Q187" i="8"/>
  <c r="Q177" i="8"/>
  <c r="Q199" i="8"/>
  <c r="Q189" i="8"/>
  <c r="Q162" i="8"/>
  <c r="Q146" i="8"/>
  <c r="Q198" i="8"/>
  <c r="Q183" i="8"/>
  <c r="Q169" i="8"/>
  <c r="Q148" i="8"/>
  <c r="Q184" i="8"/>
  <c r="Q202" i="8"/>
  <c r="Q200" i="8"/>
  <c r="Q186" i="8"/>
  <c r="Q227" i="8"/>
  <c r="Q152" i="8"/>
  <c r="Q157" i="8"/>
  <c r="Q161" i="8"/>
  <c r="Q158" i="8"/>
  <c r="Q168" i="8"/>
  <c r="Q188" i="8"/>
  <c r="Q149" i="8"/>
  <c r="Q150" i="8"/>
  <c r="Q160" i="8"/>
  <c r="Q201" i="8"/>
  <c r="Q219" i="8"/>
  <c r="Q209" i="8"/>
  <c r="Q222" i="8"/>
  <c r="Q197" i="8"/>
  <c r="Q173" i="8"/>
  <c r="Q175" i="8"/>
  <c r="Q194" i="8"/>
  <c r="Q153" i="8"/>
  <c r="Q217" i="8"/>
  <c r="Q224" i="8"/>
  <c r="Q176" i="8"/>
  <c r="Q223" i="8"/>
  <c r="Q204" i="8"/>
  <c r="Q226" i="8"/>
  <c r="Q180" i="8"/>
  <c r="Q218" i="8"/>
  <c r="Q225" i="8"/>
  <c r="Q170" i="8"/>
  <c r="Q192" i="8"/>
  <c r="Q178" i="8"/>
  <c r="Q190" i="8"/>
  <c r="Q215" i="8"/>
  <c r="Q208" i="8"/>
  <c r="Q193" i="8"/>
  <c r="Q174" i="8"/>
  <c r="Q151" i="8"/>
  <c r="Q156" i="8"/>
  <c r="Q172" i="8"/>
  <c r="Q212" i="8"/>
  <c r="Q205" i="8"/>
  <c r="Q203" i="8"/>
  <c r="O207" i="8"/>
  <c r="T4" i="8"/>
  <c r="S4" i="8"/>
  <c r="P207" i="8"/>
  <c r="AC5" i="8"/>
  <c r="Q207" i="8" l="1"/>
  <c r="U4" i="8"/>
  <c r="AC6" i="8"/>
  <c r="AD5" i="8"/>
  <c r="V4" i="8" l="1"/>
  <c r="O185" i="8"/>
  <c r="P185" i="8"/>
  <c r="AE5" i="8"/>
  <c r="W4" i="8" l="1"/>
  <c r="Q185" i="8"/>
  <c r="AF5" i="8"/>
  <c r="Y4" i="8" l="1"/>
  <c r="X4" i="8"/>
  <c r="AG5" i="8"/>
  <c r="O163" i="8" l="1"/>
  <c r="Z4" i="8"/>
  <c r="P163" i="8"/>
  <c r="AH5" i="8"/>
  <c r="AA4" i="8" l="1"/>
  <c r="Q163" i="8"/>
  <c r="AI5" i="8"/>
  <c r="AH6" i="8"/>
  <c r="AB4" i="8" l="1"/>
  <c r="M8" i="8"/>
  <c r="O141" i="8"/>
  <c r="P141" i="8"/>
  <c r="AJ5" i="8"/>
  <c r="AD4" i="8" l="1"/>
  <c r="AC4" i="8"/>
  <c r="O8" i="8"/>
  <c r="Q141" i="8"/>
  <c r="P8" i="8"/>
  <c r="AK5" i="8"/>
  <c r="AE4" i="8" l="1"/>
  <c r="B14" i="10"/>
  <c r="F14" i="10"/>
  <c r="Q8" i="8"/>
  <c r="AL5" i="8"/>
  <c r="F13" i="10" l="1"/>
  <c r="AF4" i="8"/>
  <c r="AM5" i="8"/>
  <c r="AG4" i="8" l="1"/>
  <c r="D14" i="10"/>
  <c r="AN5" i="8"/>
  <c r="AM6" i="8"/>
  <c r="AI4" i="8" l="1"/>
  <c r="AH4" i="8"/>
  <c r="AO5" i="8"/>
  <c r="AJ4" i="8" l="1"/>
  <c r="AP5" i="8"/>
  <c r="AK4" i="8" l="1"/>
  <c r="AQ5" i="8"/>
  <c r="AL4" i="8" l="1"/>
  <c r="AR5" i="8"/>
  <c r="AN4" i="8" l="1"/>
  <c r="AM4" i="8"/>
  <c r="AS5" i="8"/>
  <c r="AR6" i="8"/>
  <c r="AO4" i="8" l="1"/>
  <c r="AT5" i="8"/>
  <c r="AP4" i="8" l="1"/>
  <c r="AU5" i="8"/>
  <c r="AQ4" i="8" l="1"/>
  <c r="AV5" i="8"/>
  <c r="AS4" i="8" l="1"/>
  <c r="AR4" i="8"/>
  <c r="AW5" i="8"/>
  <c r="AT4" i="8" l="1"/>
  <c r="AW6" i="8"/>
  <c r="AX5" i="8"/>
  <c r="AU4" i="8" l="1"/>
  <c r="AY5" i="8"/>
  <c r="AV4" i="8" l="1"/>
  <c r="AZ5" i="8"/>
  <c r="AX4" i="8" l="1"/>
  <c r="AW4" i="8"/>
  <c r="BA5" i="8"/>
  <c r="AY4" i="8" l="1"/>
  <c r="BB5" i="8"/>
  <c r="AZ4" i="8" l="1"/>
  <c r="BB6" i="8"/>
  <c r="BC5" i="8"/>
  <c r="BA4" i="8" l="1"/>
  <c r="BD5" i="8"/>
  <c r="BC4" i="8" l="1"/>
  <c r="BB4" i="8"/>
  <c r="BE5" i="8"/>
  <c r="BD4" i="8" l="1"/>
  <c r="BF5" i="8"/>
  <c r="BE4" i="8" l="1"/>
  <c r="BG5" i="8"/>
  <c r="BF4" i="8" l="1"/>
  <c r="BG6" i="8"/>
  <c r="BH5" i="8"/>
  <c r="BH4" i="8" l="1"/>
  <c r="BG4" i="8"/>
  <c r="BI5" i="8"/>
  <c r="BI4" i="8" l="1"/>
  <c r="BJ5" i="8"/>
  <c r="BJ4" i="8" l="1"/>
  <c r="BK5" i="8"/>
  <c r="BK4" i="8" l="1"/>
  <c r="BL5" i="8"/>
  <c r="BL4" i="8" l="1"/>
  <c r="BM5" i="8"/>
  <c r="BL6" i="8"/>
  <c r="BM4" i="8" l="1"/>
  <c r="BN5" i="8"/>
  <c r="BN4" i="8" l="1"/>
  <c r="BO5" i="8"/>
  <c r="BO4" i="8" l="1"/>
  <c r="BP5" i="8"/>
  <c r="BP4" i="8" l="1"/>
  <c r="BQ5" i="8"/>
  <c r="BQ4" i="8" l="1"/>
  <c r="BQ6" i="8"/>
  <c r="BR5" i="8"/>
  <c r="BR4" i="8" l="1"/>
  <c r="BS5" i="8"/>
  <c r="BS4" i="8" l="1"/>
  <c r="BT5" i="8"/>
  <c r="BT4" i="8" l="1"/>
  <c r="BU5" i="8"/>
  <c r="BU4" i="8" l="1"/>
  <c r="BV5" i="8"/>
  <c r="BV4" i="8" l="1"/>
  <c r="BW5" i="8"/>
  <c r="BV6" i="8"/>
  <c r="BW4" i="8" l="1"/>
  <c r="BX5" i="8"/>
  <c r="BX4" i="8" l="1"/>
  <c r="BY5" i="8"/>
  <c r="BY4" i="8" l="1"/>
  <c r="BZ5" i="8"/>
  <c r="BZ4" i="8" l="1"/>
  <c r="CA5" i="8"/>
  <c r="CA4" i="8" l="1"/>
  <c r="CB5" i="8"/>
  <c r="CA6" i="8"/>
  <c r="CB4" i="8" l="1"/>
  <c r="CC5" i="8"/>
  <c r="CC4" i="8" l="1"/>
  <c r="CD5" i="8"/>
  <c r="CD4" i="8" l="1"/>
  <c r="CE5" i="8"/>
  <c r="CE4" i="8" l="1"/>
  <c r="CF5" i="8"/>
  <c r="CF4" i="8" l="1"/>
  <c r="CF6" i="8"/>
  <c r="CG5" i="8"/>
  <c r="CG4" i="8" l="1"/>
  <c r="CH5" i="8"/>
  <c r="CH4" i="8" l="1"/>
  <c r="CI5" i="8"/>
  <c r="CI4" i="8" l="1"/>
  <c r="CJ5" i="8"/>
  <c r="CJ4" i="8" l="1"/>
  <c r="CK5" i="8"/>
  <c r="CK4" i="8" l="1"/>
  <c r="CK6" i="8"/>
  <c r="CL5" i="8"/>
  <c r="CL4" i="8" l="1"/>
  <c r="CM5" i="8"/>
  <c r="CM4" i="8" l="1"/>
  <c r="CN5" i="8"/>
  <c r="CN4" i="8" l="1"/>
  <c r="CO5" i="8"/>
  <c r="CO4" i="8" l="1"/>
  <c r="CP5" i="8"/>
  <c r="CP4" i="8" l="1"/>
  <c r="CP6" i="8"/>
  <c r="CQ5" i="8"/>
  <c r="CQ4" i="8" l="1"/>
  <c r="CR5" i="8"/>
  <c r="CR4" i="8" l="1"/>
  <c r="CS5" i="8"/>
  <c r="CS4" i="8" l="1"/>
  <c r="CT5" i="8"/>
  <c r="CT4" i="8" l="1"/>
  <c r="CU5" i="8"/>
  <c r="CU4" i="8" l="1"/>
  <c r="CU6" i="8"/>
  <c r="CV5" i="8"/>
  <c r="CV4" i="8" l="1"/>
  <c r="CW5" i="8"/>
  <c r="CW4" i="8" l="1"/>
  <c r="CX5" i="8"/>
  <c r="CX4" i="8" l="1"/>
  <c r="CY5" i="8"/>
  <c r="CY4" i="8" l="1"/>
  <c r="CZ5" i="8"/>
  <c r="CZ4" i="8" l="1"/>
  <c r="CZ6" i="8"/>
  <c r="DA5" i="8"/>
  <c r="DA4" i="8" l="1"/>
  <c r="DB5" i="8"/>
  <c r="DB4" i="8" l="1"/>
  <c r="DC5" i="8"/>
  <c r="DC4" i="8" l="1"/>
  <c r="DD5" i="8"/>
  <c r="DD4" i="8" l="1"/>
  <c r="DE5" i="8"/>
  <c r="DE4" i="8" l="1"/>
  <c r="DE6" i="8"/>
  <c r="DF5" i="8"/>
  <c r="DF4" i="8" l="1"/>
  <c r="DG5" i="8"/>
  <c r="DG4" i="8" l="1"/>
  <c r="DH5" i="8"/>
  <c r="DH4" i="8" l="1"/>
  <c r="DI5" i="8"/>
  <c r="DI4" i="8" l="1"/>
  <c r="DJ5" i="8"/>
  <c r="DJ4" i="8" l="1"/>
  <c r="DJ6" i="8"/>
  <c r="DK5" i="8"/>
  <c r="DK4" i="8" l="1"/>
  <c r="DL5" i="8"/>
  <c r="DL4" i="8" l="1"/>
  <c r="DM5" i="8"/>
  <c r="DM4" i="8" l="1"/>
  <c r="DN5" i="8"/>
  <c r="DN4" i="8" l="1"/>
  <c r="DO5" i="8"/>
  <c r="DO4" i="8" l="1"/>
  <c r="DO6" i="8"/>
  <c r="DP5" i="8"/>
  <c r="DP4" i="8" l="1"/>
  <c r="DQ5" i="8"/>
  <c r="DQ4" i="8" l="1"/>
  <c r="DR5" i="8"/>
  <c r="DR4" i="8" l="1"/>
  <c r="DS5" i="8"/>
  <c r="DS4" i="8" l="1"/>
  <c r="DT5" i="8"/>
  <c r="DT4" i="8" l="1"/>
  <c r="DU5" i="8"/>
  <c r="DT6" i="8"/>
  <c r="DU4" i="8" l="1"/>
  <c r="DV5" i="8"/>
  <c r="DV4" i="8" l="1"/>
  <c r="DW5" i="8"/>
  <c r="DW4" i="8" l="1"/>
  <c r="DX5" i="8"/>
  <c r="DX4" i="8" l="1"/>
  <c r="DY5" i="8"/>
  <c r="DY4" i="8" l="1"/>
  <c r="DZ5" i="8"/>
  <c r="DY6" i="8"/>
  <c r="DZ4" i="8" l="1"/>
  <c r="EA5" i="8"/>
  <c r="EA4" i="8" l="1"/>
  <c r="EB5" i="8"/>
  <c r="EB4" i="8" l="1"/>
  <c r="EC5" i="8"/>
  <c r="EC4" i="8" l="1"/>
  <c r="ED5" i="8"/>
  <c r="ED4" i="8" l="1"/>
  <c r="ED6" i="8"/>
  <c r="EE5" i="8"/>
  <c r="EE4" i="8" l="1"/>
  <c r="EF5" i="8"/>
  <c r="EF4" i="8" l="1"/>
  <c r="EG5" i="8"/>
  <c r="EG4" i="8" l="1"/>
  <c r="EH5" i="8"/>
  <c r="EH4" i="8" l="1"/>
  <c r="EI5" i="8"/>
  <c r="EI4" i="8" l="1"/>
  <c r="EI6" i="8"/>
  <c r="EJ5" i="8"/>
  <c r="EJ4" i="8" l="1"/>
  <c r="EK5" i="8"/>
  <c r="EK4" i="8" l="1"/>
  <c r="EL5" i="8"/>
  <c r="EL4" i="8" l="1"/>
  <c r="EM5" i="8"/>
  <c r="EM4" i="8" l="1"/>
  <c r="EN5" i="8"/>
  <c r="EN4" i="8" l="1"/>
  <c r="EN6" i="8"/>
  <c r="EO5" i="8"/>
  <c r="EO4" i="8" l="1"/>
  <c r="EP5" i="8"/>
  <c r="EP4" i="8" l="1"/>
  <c r="EQ5" i="8"/>
  <c r="EQ4" i="8" l="1"/>
  <c r="ER5" i="8"/>
  <c r="ER4" i="8" l="1"/>
  <c r="ES5" i="8"/>
  <c r="ES4" i="8" l="1"/>
  <c r="ES6" i="8"/>
  <c r="ET5" i="8"/>
  <c r="ET4" i="8" l="1"/>
  <c r="EU5" i="8"/>
  <c r="EU4" i="8" l="1"/>
  <c r="EV5" i="8"/>
  <c r="EV4" i="8" l="1"/>
  <c r="EW5" i="8"/>
  <c r="EW4" i="8" l="1"/>
  <c r="EX5" i="8"/>
  <c r="EX4" i="8" l="1"/>
  <c r="EY5" i="8"/>
  <c r="EX6" i="8"/>
  <c r="EY4" i="8" l="1"/>
  <c r="EZ5" i="8"/>
  <c r="EZ4" i="8" l="1"/>
  <c r="FA5" i="8"/>
  <c r="FA4" i="8" l="1"/>
  <c r="FB5" i="8"/>
  <c r="FB4" i="8" l="1"/>
  <c r="FC5" i="8"/>
  <c r="FC4" i="8" l="1"/>
  <c r="FC6" i="8"/>
  <c r="FD5" i="8"/>
  <c r="FD4" i="8" l="1"/>
  <c r="FE5" i="8"/>
  <c r="FE4" i="8" l="1"/>
  <c r="FF5" i="8"/>
  <c r="FF4" i="8" l="1"/>
  <c r="FG5" i="8"/>
  <c r="FG4" i="8" l="1"/>
  <c r="FH5" i="8"/>
  <c r="FH4" i="8" l="1"/>
  <c r="FH6" i="8"/>
  <c r="FI5" i="8"/>
  <c r="FI4" i="8" l="1"/>
  <c r="FJ5" i="8"/>
  <c r="FJ4" i="8" l="1"/>
  <c r="FK5" i="8"/>
  <c r="FK4" i="8" l="1"/>
  <c r="FL5" i="8"/>
  <c r="FL4" i="8" l="1"/>
  <c r="FM5" i="8"/>
  <c r="FM4" i="8" l="1"/>
  <c r="FM6" i="8"/>
  <c r="FN5" i="8"/>
  <c r="FN4" i="8" l="1"/>
  <c r="FO5" i="8"/>
  <c r="FO4" i="8" l="1"/>
  <c r="FP5" i="8"/>
  <c r="FP4" i="8" l="1"/>
  <c r="FQ5" i="8"/>
  <c r="FQ4" i="8" l="1"/>
  <c r="FR5" i="8"/>
  <c r="FR4" i="8" l="1"/>
  <c r="FR6" i="8"/>
  <c r="FS5" i="8"/>
  <c r="FS4" i="8" l="1"/>
  <c r="FT5" i="8"/>
  <c r="FT4" i="8" l="1"/>
  <c r="FU5" i="8"/>
  <c r="FU4" i="8" l="1"/>
  <c r="FV5" i="8"/>
  <c r="FV4" i="8" l="1"/>
  <c r="FW5" i="8"/>
  <c r="FW4" i="8" l="1"/>
  <c r="FX5" i="8"/>
  <c r="FW6" i="8"/>
  <c r="FX4" i="8" l="1"/>
  <c r="FY5" i="8"/>
  <c r="FY4" i="8" l="1"/>
  <c r="FZ5" i="8"/>
  <c r="FZ4" i="8" l="1"/>
  <c r="GA5" i="8"/>
  <c r="GA4" i="8" l="1"/>
  <c r="GB5" i="8"/>
  <c r="GB4" i="8" l="1"/>
  <c r="GC5" i="8"/>
  <c r="GB6" i="8"/>
  <c r="GC4" i="8" l="1"/>
  <c r="GD5" i="8"/>
  <c r="GD4" i="8" l="1"/>
  <c r="GE5" i="8"/>
  <c r="GE4" i="8" l="1"/>
  <c r="GF5" i="8"/>
  <c r="GF4" i="8" l="1"/>
  <c r="GG5" i="8"/>
  <c r="GG4" i="8" l="1"/>
  <c r="GG6" i="8"/>
  <c r="GH5" i="8"/>
  <c r="GH4" i="8" l="1"/>
  <c r="GI5" i="8"/>
  <c r="GI4" i="8" l="1"/>
  <c r="GJ5" i="8"/>
  <c r="GJ4" i="8" l="1"/>
  <c r="GK5" i="8"/>
  <c r="GK4" i="8" l="1"/>
  <c r="GL5" i="8"/>
  <c r="GL4" i="8" l="1"/>
  <c r="GM5" i="8"/>
  <c r="GL6" i="8"/>
  <c r="GM4" i="8" l="1"/>
  <c r="GN5" i="8"/>
  <c r="GN4" i="8" l="1"/>
  <c r="GO5" i="8"/>
  <c r="GO4" i="8" l="1"/>
  <c r="GP5" i="8"/>
  <c r="GP4" i="8" l="1"/>
  <c r="GQ5" i="8"/>
  <c r="GQ4" i="8" l="1"/>
  <c r="GQ6" i="8"/>
  <c r="GR5" i="8"/>
  <c r="GR4" i="8" l="1"/>
  <c r="GS5" i="8"/>
  <c r="GS4" i="8" l="1"/>
  <c r="GT5" i="8"/>
  <c r="GT4" i="8" l="1"/>
  <c r="GU5" i="8"/>
  <c r="GU4" i="8" l="1"/>
  <c r="GV5" i="8"/>
  <c r="GV4" i="8" l="1"/>
  <c r="GW5" i="8"/>
  <c r="GV6" i="8"/>
  <c r="GW4" i="8" l="1"/>
  <c r="GX5" i="8"/>
  <c r="GX4" i="8" l="1"/>
  <c r="GY5" i="8"/>
  <c r="GY4" i="8" l="1"/>
  <c r="GZ5" i="8"/>
  <c r="GZ4" i="8" l="1"/>
  <c r="HA5" i="8"/>
  <c r="HA4" i="8" l="1"/>
  <c r="HB5" i="8"/>
  <c r="HA6" i="8"/>
  <c r="HB4" i="8" l="1"/>
  <c r="HC5" i="8"/>
  <c r="HC4" i="8" l="1"/>
  <c r="HD5" i="8"/>
  <c r="HD4" i="8" l="1"/>
  <c r="HE5" i="8"/>
  <c r="HE4" i="8" l="1"/>
  <c r="HF5" i="8"/>
  <c r="HF4" i="8" l="1"/>
  <c r="HF6" i="8"/>
  <c r="HG5" i="8"/>
  <c r="HG4" i="8" l="1"/>
  <c r="HH5" i="8"/>
  <c r="HH4" i="8" l="1"/>
  <c r="HI5" i="8"/>
  <c r="HI4" i="8" l="1"/>
  <c r="HJ5" i="8"/>
  <c r="HJ4" i="8" l="1"/>
  <c r="HK5" i="8"/>
  <c r="HK4" i="8" l="1"/>
  <c r="HK6" i="8"/>
  <c r="HL5" i="8"/>
  <c r="HL4" i="8" l="1"/>
  <c r="HM5" i="8"/>
  <c r="HM4" i="8" l="1"/>
  <c r="HN5" i="8"/>
  <c r="HN4" i="8" l="1"/>
  <c r="HO5" i="8"/>
  <c r="HO4" i="8" l="1"/>
  <c r="HP5" i="8"/>
  <c r="HP4" i="8" l="1"/>
  <c r="HP6" i="8"/>
  <c r="HQ5" i="8"/>
  <c r="HQ4" i="8" l="1"/>
  <c r="HR5" i="8"/>
  <c r="HR4" i="8" l="1"/>
  <c r="HS5" i="8"/>
  <c r="HS4" i="8" l="1"/>
  <c r="HT5" i="8"/>
  <c r="HT4" i="8" l="1"/>
  <c r="HU5" i="8"/>
  <c r="HU4" i="8" l="1"/>
  <c r="HU6" i="8"/>
  <c r="HV5" i="8"/>
  <c r="HV4" i="8" l="1"/>
  <c r="HW5" i="8"/>
  <c r="HW4" i="8" l="1"/>
  <c r="HX5" i="8"/>
  <c r="HX4" i="8" l="1"/>
  <c r="HY5" i="8"/>
  <c r="HY4" i="8" l="1"/>
  <c r="HZ5" i="8"/>
  <c r="HZ4" i="8" l="1"/>
  <c r="HZ6" i="8"/>
  <c r="IA5" i="8"/>
  <c r="IA4" i="8" l="1"/>
  <c r="IB5" i="8"/>
  <c r="IB4" i="8" l="1"/>
  <c r="IC5" i="8"/>
  <c r="IC4" i="8" l="1"/>
  <c r="ID5" i="8"/>
  <c r="ID4" i="8" l="1"/>
  <c r="IE5" i="8"/>
  <c r="IE4" i="8" l="1"/>
  <c r="IE6" i="8"/>
  <c r="IF5" i="8"/>
  <c r="IF4" i="8" l="1"/>
  <c r="IG5" i="8"/>
  <c r="IG4" i="8" l="1"/>
  <c r="IH5" i="8"/>
  <c r="IH4" i="8" l="1"/>
  <c r="II5" i="8"/>
  <c r="II4" i="8" l="1"/>
  <c r="IJ5" i="8"/>
  <c r="IJ4" i="8" l="1"/>
  <c r="IJ6" i="8"/>
  <c r="IK5" i="8"/>
  <c r="IK4" i="8" l="1"/>
  <c r="IL5" i="8"/>
  <c r="IL4" i="8" l="1"/>
  <c r="IM5" i="8"/>
  <c r="IM4" i="8" l="1"/>
  <c r="IN5" i="8"/>
  <c r="IN4" i="8" l="1"/>
  <c r="IO5" i="8"/>
  <c r="IO4" i="8" l="1"/>
  <c r="IO6" i="8"/>
  <c r="IP5" i="8"/>
  <c r="IP4" i="8" l="1"/>
  <c r="IQ5" i="8"/>
  <c r="IQ4" i="8" l="1"/>
  <c r="IR5" i="8"/>
  <c r="IR4" i="8" l="1"/>
  <c r="IS5" i="8"/>
  <c r="IS4" i="8" l="1"/>
  <c r="IT5" i="8"/>
  <c r="IT4" i="8" l="1"/>
  <c r="IU5" i="8"/>
  <c r="IT6" i="8"/>
  <c r="C5" i="8" l="1"/>
  <c r="IU4" i="8"/>
  <c r="IV5" i="8"/>
  <c r="IV4" i="8" l="1"/>
  <c r="IW5" i="8"/>
  <c r="IW4" i="8" l="1"/>
  <c r="IX5" i="8"/>
</calcChain>
</file>

<file path=xl/sharedStrings.xml><?xml version="1.0" encoding="utf-8"?>
<sst xmlns="http://schemas.openxmlformats.org/spreadsheetml/2006/main" count="260" uniqueCount="195">
  <si>
    <t>WBS</t>
  </si>
  <si>
    <t>شروع</t>
  </si>
  <si>
    <t>پایان</t>
  </si>
  <si>
    <t>1392/10/10</t>
  </si>
  <si>
    <t>1392/10/12</t>
  </si>
  <si>
    <t>مدت دوره (روز)</t>
  </si>
  <si>
    <t>% تکمیل</t>
  </si>
  <si>
    <t>روزهای کاری</t>
  </si>
  <si>
    <t>روزهای مانده</t>
  </si>
  <si>
    <t>مدیر پروژه</t>
  </si>
  <si>
    <t>روز جاری</t>
  </si>
  <si>
    <t>وظیفه</t>
  </si>
  <si>
    <t>شخص</t>
  </si>
  <si>
    <t>میزان کار انجام شده (روز)</t>
  </si>
  <si>
    <t>مناسبت</t>
  </si>
  <si>
    <t>1392/01/01</t>
  </si>
  <si>
    <t>عید نوروز</t>
  </si>
  <si>
    <t>1392/01/02</t>
  </si>
  <si>
    <t>1392/01/03</t>
  </si>
  <si>
    <t>1392/01/04</t>
  </si>
  <si>
    <t>1392/01/12</t>
  </si>
  <si>
    <t>روز جمهوري اسلامي ايران</t>
  </si>
  <si>
    <t>1392/01/13</t>
  </si>
  <si>
    <t>جشن سيزده بدر</t>
  </si>
  <si>
    <t>1392/01/25</t>
  </si>
  <si>
    <t>شهادت حضرت فاطمه زهرا سلام الله عليها </t>
  </si>
  <si>
    <t>1392/02/11</t>
  </si>
  <si>
    <t>ولادت حضرت فاطمه زهرا سلام الله عليها روز زن و روز کارگر</t>
  </si>
  <si>
    <t>1392/03/03</t>
  </si>
  <si>
    <t>ولادت امام علي عليه السلام</t>
  </si>
  <si>
    <t>1392/03/14</t>
  </si>
  <si>
    <t>رحلت حضرت امام خميني</t>
  </si>
  <si>
    <t>1392/03/15</t>
  </si>
  <si>
    <t>قيام 15 خرداد</t>
  </si>
  <si>
    <t>1392/03/17</t>
  </si>
  <si>
    <t>مبعث رسول اكرم </t>
  </si>
  <si>
    <t>1392/04/03</t>
  </si>
  <si>
    <t>ولادت حضرت قائم عجل الله تعالي فرجه و جشن نيمه شعبان </t>
  </si>
  <si>
    <t>1392/05/08</t>
  </si>
  <si>
    <t>شهادت حضرت علي عليه السلام</t>
  </si>
  <si>
    <t>1392/05/18</t>
  </si>
  <si>
    <t>عيد سعيد فطر</t>
  </si>
  <si>
    <t>1392/05/19</t>
  </si>
  <si>
    <t>تعطيل به مناسبت عيد سعيد فطر</t>
  </si>
  <si>
    <t>1392/06/11</t>
  </si>
  <si>
    <t>شهادت امام جعفر صادق عليه السلام</t>
  </si>
  <si>
    <t>1392/07/24</t>
  </si>
  <si>
    <t>عيد سعيد قربان</t>
  </si>
  <si>
    <t>1392/08/02</t>
  </si>
  <si>
    <t>عيد سعيد غدير خم</t>
  </si>
  <si>
    <t>1392/08/22</t>
  </si>
  <si>
    <t>تاسوعاي حسيني</t>
  </si>
  <si>
    <t>1392/08/23</t>
  </si>
  <si>
    <t>عاشوراي حسيني</t>
  </si>
  <si>
    <t>1392/10/02</t>
  </si>
  <si>
    <t>اربعين حسيني</t>
  </si>
  <si>
    <t>رحلت رسول اكرم؛شهادت امام حسن مجتبي عليه السلام</t>
  </si>
  <si>
    <t>شهادت امام رضا عليه السلام </t>
  </si>
  <si>
    <t>1392/10/29</t>
  </si>
  <si>
    <t>ميلاد رسول اكرم و امام جعفر صادق عليه السلام</t>
  </si>
  <si>
    <t>1392/11/22</t>
  </si>
  <si>
    <t>پيروزي انقلاب اسلامي</t>
  </si>
  <si>
    <t>1392/12/29</t>
  </si>
  <si>
    <t>روز ملي شدن صنعت نفت ايران</t>
  </si>
  <si>
    <t>date</t>
  </si>
  <si>
    <t>ok</t>
  </si>
  <si>
    <t>Friday</t>
  </si>
  <si>
    <t>month</t>
  </si>
  <si>
    <t>year</t>
  </si>
  <si>
    <t>1393/01/01</t>
  </si>
  <si>
    <t>1393/01/14</t>
  </si>
  <si>
    <t>1393/01/02</t>
  </si>
  <si>
    <t>1393/01/03</t>
  </si>
  <si>
    <t>1393/01/04</t>
  </si>
  <si>
    <t>1393/01/12</t>
  </si>
  <si>
    <t>1393/01/13</t>
  </si>
  <si>
    <t>1393/02/23</t>
  </si>
  <si>
    <t>1393/03/06</t>
  </si>
  <si>
    <t>1393/03/14</t>
  </si>
  <si>
    <t>1393/03/15</t>
  </si>
  <si>
    <t>1393/03/23</t>
  </si>
  <si>
    <t>1393/04/28</t>
  </si>
  <si>
    <t>1393/05/07</t>
  </si>
  <si>
    <t>1393/05/08</t>
  </si>
  <si>
    <t>1393/05/31</t>
  </si>
  <si>
    <t>1393/07/13</t>
  </si>
  <si>
    <t>0</t>
  </si>
  <si>
    <t>روز شروع فعالیت(روز هفته)</t>
  </si>
  <si>
    <t>تعداد روز بعد از فعالیت</t>
  </si>
  <si>
    <t>پیش نیاز فعالیت</t>
  </si>
  <si>
    <t>علیرضا زارعی دولت آبادی</t>
  </si>
  <si>
    <t>1393/07/21</t>
  </si>
  <si>
    <t>میزان ساعت مورد نیاز</t>
  </si>
  <si>
    <t>میزان روزهای پیشرفت کار</t>
  </si>
  <si>
    <t>نوع تخصص</t>
  </si>
  <si>
    <t>کد تخصص</t>
  </si>
  <si>
    <t>هزینه نفر ساعت</t>
  </si>
  <si>
    <t>مدیریت پروژه</t>
  </si>
  <si>
    <t>کارشناس ارشد تحلیل</t>
  </si>
  <si>
    <t>کارشناس توسعه و پیاده سازی</t>
  </si>
  <si>
    <t>مجموع</t>
  </si>
  <si>
    <t>گزارش هزینه پروژه</t>
  </si>
  <si>
    <t>نفر / ساعت</t>
  </si>
  <si>
    <t>نفر / ماه</t>
  </si>
  <si>
    <t>کارشناس ارشد تحلیل و طراحی</t>
  </si>
  <si>
    <t>کارشناس پیاده سازی و توسعه سرویس</t>
  </si>
  <si>
    <t>شروع پروژه</t>
  </si>
  <si>
    <t>خاتمه پروژه</t>
  </si>
  <si>
    <t>مدت پروژه</t>
  </si>
  <si>
    <t>تعداد روز کاری</t>
  </si>
  <si>
    <t xml:space="preserve">طی </t>
  </si>
  <si>
    <t>هزینه نفر ماه (ماه * 128)</t>
  </si>
  <si>
    <t>میزان نفر روز (هر روز 6 ساعت)</t>
  </si>
  <si>
    <t>شرح خدمات</t>
  </si>
  <si>
    <t>نیروی انسانی به تفکیک</t>
  </si>
  <si>
    <t>بهای تمام شده خدمات</t>
  </si>
  <si>
    <t>مبلغ قابل پرداخت</t>
  </si>
  <si>
    <t>تهيه برنامه زمانبندي msp  و گانت چارت اجرايي پروژه</t>
  </si>
  <si>
    <t>مدیریت، برنامه ریزی و کنترل پیشرفت پروژه</t>
  </si>
  <si>
    <t xml:space="preserve">آماده سازی زير ساخت سرور موقت و نصب سيستم عامل و مولفه های نرم افزاری پایه </t>
  </si>
  <si>
    <t xml:space="preserve">بررسی و تایید مستند معماری محتوا توسط کارفرما </t>
  </si>
  <si>
    <t>سفارشی سازی محصول</t>
  </si>
  <si>
    <t>گردآوری، تامین و ورود محتوا</t>
  </si>
  <si>
    <t>ارائه طرح آموزش و برنامه زمانبندی برگزاری جلسات آموزشی</t>
  </si>
  <si>
    <t>تحویل نهايي دستاوردهای پروژه</t>
  </si>
  <si>
    <t>فاز دوم (تهیه پروپوزال)</t>
  </si>
  <si>
    <t>تامین محتوای متنی جدید مورد نیاز (توسط کارفرما)</t>
  </si>
  <si>
    <t>انجام فرآیند کنترل کیفی ساختار محتوا</t>
  </si>
  <si>
    <t>1392/08/13</t>
  </si>
  <si>
    <t>تاسوعای حسینی</t>
  </si>
  <si>
    <t>عاشورای حسینی</t>
  </si>
  <si>
    <t>1393/08/12</t>
  </si>
  <si>
    <t>1393/09/22</t>
  </si>
  <si>
    <t>اربعین حسینی</t>
  </si>
  <si>
    <t>رحلت رسول اکرم؛شهادت امام حسن مجتبی علیه السلام</t>
  </si>
  <si>
    <t>1393/09/30</t>
  </si>
  <si>
    <t>1393/10/02</t>
  </si>
  <si>
    <t>شهادت امام رضا علیه السلام</t>
  </si>
  <si>
    <t>1393/10/19</t>
  </si>
  <si>
    <t>میلاد رسول اکرم و امام جعفر صادق علیه السلام</t>
  </si>
  <si>
    <t>1393/11/22</t>
  </si>
  <si>
    <t>پیروزی انقلاب اسلامی</t>
  </si>
  <si>
    <t>1393/12/29</t>
  </si>
  <si>
    <t>روز ملی شدن صنعت نفت ایران</t>
  </si>
  <si>
    <t>میزان تخفیف (همکاری ویژه)</t>
  </si>
  <si>
    <t>هزینه نفر ماه (قرارداد)</t>
  </si>
  <si>
    <t>هفته در حال نمایش :</t>
  </si>
  <si>
    <t>2/21</t>
  </si>
  <si>
    <t>2/22</t>
  </si>
  <si>
    <t>2/23</t>
  </si>
  <si>
    <t>9/21</t>
  </si>
  <si>
    <t>9/22</t>
  </si>
  <si>
    <t>9/23</t>
  </si>
  <si>
    <t>صیامی</t>
  </si>
  <si>
    <t>فتاحی</t>
  </si>
  <si>
    <t>ابراهیمی</t>
  </si>
  <si>
    <t>زارعی</t>
  </si>
  <si>
    <t>کارفرما</t>
  </si>
  <si>
    <t>رستم زاده</t>
  </si>
  <si>
    <t>اصلاح طرح گرافیکی براساس نظرات کارفرما</t>
  </si>
  <si>
    <t>فتاحی، رستم زاده</t>
  </si>
  <si>
    <t>برگزاری جلسات آموزش راهبری و به روزرسانی محتوا و مدیریت پورتال مطابق پیوست شماره 5 و ردیف 5 جدول ب قرارداد</t>
  </si>
  <si>
    <t>تامین محتوای گرافیکی جدید  مورد نیاز (توسط کارفرما)</t>
  </si>
  <si>
    <t>ارائه مشاوره بارگزاری محتوای متنی و گرافیکی در پورتال توسط کارفرما</t>
  </si>
  <si>
    <t>بررسی و بارگذاری محتوای گرافیکی موجود</t>
  </si>
  <si>
    <t>تکميل و ارائه پرسش نامه نیاز سنجی محتوایی و طراحی گرافیکی توسط کارفرما</t>
  </si>
  <si>
    <t>جمع بندی نيازمنديهای گرافیکی و تهیه طرح چیدمان و اخذ تایید از کارفرما</t>
  </si>
  <si>
    <t>استقرار زيرساخت  وآماده سازی سکوی نرم افزاری پورتال</t>
  </si>
  <si>
    <t>ارائه خدمات اجرایی موضوع ردیف 2 جدول ب قرارداد (طراحی گرافیکی ویژه)</t>
  </si>
  <si>
    <t>ارائه خدمات اجرایی موضوع ردیف 5 جدول ب قرارداد پیاده سازی (آموزش حضوری)</t>
  </si>
  <si>
    <t xml:space="preserve">جمع بندی نيازمنديهای فرايند شناخت و تدوین سند معماری محتوا </t>
  </si>
  <si>
    <t>انتقال پورتال به دامنه اصلی کارفرما</t>
  </si>
  <si>
    <t>جلسه پنجم (بررسی مراحل طراحی نمای گرافیکی(4/6) و پیاده سازی ساختار طبقه بندی اطلاعات پورتال(3/3))</t>
  </si>
  <si>
    <t>جلسه اول کنترل پیشرفت پروژه ( معرفی نماینده پیمانکار - هماهنگی  تامین زیر ساخت های سخت افزاری)</t>
  </si>
  <si>
    <t>جلسه سوم (نهایی سازی و تایید سند معماری محتوا )</t>
  </si>
  <si>
    <t>جلسه پنجم ( تایید نهایی پیاده سازی قالب گرافیکی)</t>
  </si>
  <si>
    <t>جلسه ششم (تحویل نهایی پورتال و صدور تاییدیه امنيتی و انجام پروژه)</t>
  </si>
  <si>
    <t xml:space="preserve">طراحي قالب گرافيکي پورتال اصلی </t>
  </si>
  <si>
    <t>جلسه دوم (تایید نصب نرم افزار پورتال بر روی سرور کارفرما)</t>
  </si>
  <si>
    <t>نصب زیرساخت سامان سوئت و اقلام نرم افزاری مطابق جدول الف قرارداد بر روی سرور موقت</t>
  </si>
  <si>
    <t xml:space="preserve">ارائه سند نيازمنديهاي شبکه و سخت افزار سرور و نرم افزار های مورد نیاز به کارفرما </t>
  </si>
  <si>
    <t xml:space="preserve">تامين و آماده سازي شبکه و زيرساخت سخت افزاری و نرم افزاری مورد نياز (سرور  اصلی) توسط کارفرما </t>
  </si>
  <si>
    <t>نصب نرم افزار سامان سوئیت و پورتال سازمانی به انضمام اقلام نرم افزاری مطابق جدول الف</t>
  </si>
  <si>
    <t xml:space="preserve">بررسی، ارائه نظرات اصلاحی(حداکثر طی دو نوبت) و تایید طرح گرافیکی توسط کارفرما </t>
  </si>
  <si>
    <t xml:space="preserve">ارائه پرسش نامه نیاز سنجی محتوایی و  طراحی گرافیکی پورتال اصلی  </t>
  </si>
  <si>
    <t>پياده سازي نمای گرافیکی پورتال اصلی و صفحات  اصلی زیر پورتال ها</t>
  </si>
  <si>
    <t>کانوت مکانیزه  محتوا  و ، تامین  و تکمیل فرایند  ورود داده به روش دستی</t>
  </si>
  <si>
    <t>کانورت محتوای متنی، فایل و تصاویر موجود</t>
  </si>
  <si>
    <t>انجام فرآیند کنترل کیفی نمای گرافیکی پورتال اصلی و زیر پورتال ها</t>
  </si>
  <si>
    <t>پیاده سازی ساختار طبقه بندی  منطبق بر سند معماری محتوا پورتال اصلی و زیرپورتال ها</t>
  </si>
  <si>
    <t>جلسه چهارم (نهایی سازی و تایید خدمات پیاده سازی پورتال اصلی)</t>
  </si>
  <si>
    <t>راه اندازی سرور میرور و پیکربندی امنیتی و اطمینان از صحت عملکرد رویه های پشتیبان گیری</t>
  </si>
  <si>
    <t>طراحی و پیاده سازی پورتال اینترنتی شرکت بیمه سامان</t>
  </si>
  <si>
    <t xml:space="preserve">ارائه خدمات اجرایی موضوع ردیف های 1 جدول ب </t>
  </si>
  <si>
    <t>1398/06/01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</si>
</sst>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&quot;ريال&quot;* #,##0.00_-;_-&quot;ريال&quot;* #,##0.00\-;_-&quot;ريال&quot;* &quot;-&quot;??_-;_-@_-"/>
    <numFmt numFmtId="165" formatCode="[h]:mm"/>
    <numFmt numFmtId="166" formatCode="_-[$ريال-429]* #,##0_-;_-[$ريال-429]* #,##0\-;_-[$ريال-429]* &quot;-&quot;??_-;_-@_-"/>
    <numFmt numFmtId="167" formatCode="_-&quot;ريال&quot;* #,##0_-;_-&quot;ريال&quot;* #,##0\-;_-&quot;ريال&quot;* &quot;-&quot;??_-;_-@_-"/>
    <numFmt numFmtId="168" formatCode="0.0"/>
    <numFmt numFmtId="169" formatCode="&quot;ريال&quot;#,##0_-"/>
    <numFmt numFmtId="170" formatCode="[$-F800]dddd\,\ mmmm\ dd\,\ yyyy"/>
  </numFmts>
  <fonts count="2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8"/>
      <name val="B Koodak"/>
      <charset val="178"/>
    </font>
    <font>
      <u/>
      <sz val="10"/>
      <color indexed="12"/>
      <name val="B Koodak"/>
      <charset val="178"/>
    </font>
    <font>
      <b/>
      <sz val="14"/>
      <color indexed="16"/>
      <name val="B Koodak"/>
      <charset val="178"/>
    </font>
    <font>
      <u/>
      <sz val="8"/>
      <color indexed="12"/>
      <name val="B Koodak"/>
      <charset val="178"/>
    </font>
    <font>
      <sz val="6"/>
      <name val="B Koodak"/>
      <charset val="178"/>
    </font>
    <font>
      <sz val="10"/>
      <name val="B Koodak"/>
      <charset val="178"/>
    </font>
    <font>
      <sz val="9"/>
      <name val="B Koodak"/>
      <charset val="178"/>
    </font>
    <font>
      <sz val="9"/>
      <color theme="0"/>
      <name val="B Koodak"/>
      <charset val="178"/>
    </font>
    <font>
      <b/>
      <sz val="8"/>
      <name val="B Koodak"/>
      <charset val="178"/>
    </font>
    <font>
      <sz val="8.6"/>
      <name val="B Koodak"/>
      <charset val="178"/>
    </font>
    <font>
      <sz val="11"/>
      <color theme="1"/>
      <name val="Calibri"/>
      <family val="2"/>
      <scheme val="minor"/>
    </font>
    <font>
      <sz val="12"/>
      <color theme="1"/>
      <name val="B Mitra"/>
      <charset val="178"/>
    </font>
    <font>
      <sz val="8"/>
      <color rgb="FF000000"/>
      <name val="Tahoma"/>
      <family val="2"/>
    </font>
    <font>
      <sz val="11"/>
      <color theme="1"/>
      <name val="B Mitra"/>
      <charset val="178"/>
    </font>
    <font>
      <sz val="8"/>
      <name val="B Mitra"/>
      <charset val="178"/>
    </font>
    <font>
      <b/>
      <sz val="11"/>
      <color indexed="16"/>
      <name val="B Koodak"/>
      <charset val="178"/>
    </font>
    <font>
      <sz val="11"/>
      <name val="B Koodak"/>
      <charset val="178"/>
    </font>
    <font>
      <sz val="10"/>
      <name val="Arial"/>
      <family val="2"/>
    </font>
    <font>
      <sz val="8"/>
      <color theme="0"/>
      <name val="B Koodak"/>
      <charset val="178"/>
    </font>
    <font>
      <sz val="11"/>
      <name val="B Mitra"/>
      <charset val="178"/>
    </font>
    <font>
      <b/>
      <sz val="11"/>
      <name val="B Koodak"/>
      <charset val="178"/>
    </font>
    <font>
      <b/>
      <sz val="11"/>
      <name val="B Mitra"/>
      <charset val="178"/>
    </font>
    <font>
      <sz val="12"/>
      <color theme="1"/>
      <name val="B Mitra"/>
      <charset val="178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charset val="178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AEAEA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55"/>
      </left>
      <right/>
      <top/>
      <bottom style="medium">
        <color indexed="64"/>
      </bottom>
      <diagonal/>
    </border>
    <border>
      <left/>
      <right style="thin">
        <color indexed="55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/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4" fillId="0" borderId="0"/>
    <xf numFmtId="164" fontId="21" fillId="0" borderId="0" applyFont="0" applyFill="0" applyBorder="0" applyAlignment="0" applyProtection="0"/>
    <xf numFmtId="0" fontId="14" fillId="0" borderId="0"/>
    <xf numFmtId="0" fontId="27" fillId="0" borderId="0" applyNumberFormat="0" applyFill="0" applyBorder="0" applyAlignment="0" applyProtection="0"/>
    <xf numFmtId="0" fontId="28" fillId="0" borderId="0"/>
  </cellStyleXfs>
  <cellXfs count="283">
    <xf numFmtId="0" fontId="0" fillId="0" borderId="0" xfId="0"/>
    <xf numFmtId="0" fontId="5" fillId="0" borderId="0" xfId="1" applyFont="1" applyFill="1" applyAlignment="1" applyProtection="1">
      <alignment horizontal="center" vertical="center"/>
    </xf>
    <xf numFmtId="0" fontId="4" fillId="2" borderId="2" xfId="0" applyFont="1" applyFill="1" applyBorder="1"/>
    <xf numFmtId="1" fontId="4" fillId="2" borderId="2" xfId="0" applyNumberFormat="1" applyFont="1" applyFill="1" applyBorder="1"/>
    <xf numFmtId="1" fontId="4" fillId="4" borderId="2" xfId="0" applyNumberFormat="1" applyFont="1" applyFill="1" applyBorder="1" applyAlignment="1">
      <alignment horizontal="center"/>
    </xf>
    <xf numFmtId="1" fontId="4" fillId="2" borderId="2" xfId="0" applyNumberFormat="1" applyFont="1" applyFill="1" applyBorder="1" applyAlignment="1">
      <alignment horizontal="center"/>
    </xf>
    <xf numFmtId="49" fontId="4" fillId="0" borderId="2" xfId="0" applyNumberFormat="1" applyFont="1" applyBorder="1" applyAlignment="1">
      <alignment horizontal="left"/>
    </xf>
    <xf numFmtId="0" fontId="4" fillId="0" borderId="2" xfId="0" applyFont="1" applyFill="1" applyBorder="1" applyAlignment="1">
      <alignment wrapText="1"/>
    </xf>
    <xf numFmtId="0" fontId="4" fillId="0" borderId="2" xfId="0" applyFont="1" applyFill="1" applyBorder="1"/>
    <xf numFmtId="1" fontId="4" fillId="3" borderId="2" xfId="0" applyNumberFormat="1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4" fillId="0" borderId="2" xfId="2" applyNumberFormat="1" applyFont="1" applyFill="1" applyBorder="1" applyAlignment="1">
      <alignment horizontal="center"/>
    </xf>
    <xf numFmtId="0" fontId="4" fillId="0" borderId="2" xfId="0" applyFont="1" applyBorder="1"/>
    <xf numFmtId="1" fontId="4" fillId="0" borderId="2" xfId="0" applyNumberFormat="1" applyFont="1" applyFill="1" applyBorder="1"/>
    <xf numFmtId="0" fontId="4" fillId="0" borderId="0" xfId="0" applyFont="1"/>
    <xf numFmtId="1" fontId="4" fillId="5" borderId="2" xfId="2" applyNumberFormat="1" applyFont="1" applyFill="1" applyBorder="1" applyAlignment="1">
      <alignment horizontal="center"/>
    </xf>
    <xf numFmtId="0" fontId="15" fillId="0" borderId="0" xfId="3" applyFont="1" applyFill="1" applyAlignment="1">
      <alignment horizontal="center" vertical="center"/>
    </xf>
    <xf numFmtId="0" fontId="15" fillId="0" borderId="0" xfId="3" applyNumberFormat="1" applyFont="1" applyFill="1" applyAlignment="1">
      <alignment horizontal="center" vertical="center"/>
    </xf>
    <xf numFmtId="0" fontId="15" fillId="0" borderId="0" xfId="3" applyFont="1" applyFill="1" applyAlignment="1">
      <alignment horizontal="right" vertical="center"/>
    </xf>
    <xf numFmtId="0" fontId="16" fillId="0" borderId="0" xfId="0" applyFont="1" applyFill="1"/>
    <xf numFmtId="0" fontId="17" fillId="0" borderId="0" xfId="3" applyFont="1" applyFill="1" applyAlignment="1">
      <alignment horizontal="right" vertical="center"/>
    </xf>
    <xf numFmtId="1" fontId="18" fillId="0" borderId="2" xfId="0" applyNumberFormat="1" applyFont="1" applyFill="1" applyBorder="1" applyAlignment="1">
      <alignment horizontal="center"/>
    </xf>
    <xf numFmtId="165" fontId="4" fillId="2" borderId="2" xfId="0" applyNumberFormat="1" applyFont="1" applyFill="1" applyBorder="1" applyAlignment="1">
      <alignment horizontal="center"/>
    </xf>
    <xf numFmtId="165" fontId="4" fillId="0" borderId="2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 textRotation="90"/>
    </xf>
    <xf numFmtId="0" fontId="4" fillId="0" borderId="0" xfId="0" applyFont="1" applyFill="1" applyBorder="1" applyAlignment="1">
      <alignment horizontal="center" vertical="center"/>
    </xf>
    <xf numFmtId="0" fontId="4" fillId="6" borderId="0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left"/>
    </xf>
    <xf numFmtId="0" fontId="23" fillId="0" borderId="0" xfId="0" applyFont="1"/>
    <xf numFmtId="166" fontId="23" fillId="0" borderId="0" xfId="4" applyNumberFormat="1" applyFont="1"/>
    <xf numFmtId="166" fontId="4" fillId="0" borderId="2" xfId="4" applyNumberFormat="1" applyFont="1" applyBorder="1" applyAlignment="1">
      <alignment horizontal="center" vertical="center"/>
    </xf>
    <xf numFmtId="167" fontId="9" fillId="0" borderId="0" xfId="4" applyNumberFormat="1" applyFont="1" applyAlignment="1">
      <alignment horizontal="center" vertical="center"/>
    </xf>
    <xf numFmtId="167" fontId="9" fillId="0" borderId="0" xfId="4" applyNumberFormat="1" applyFont="1" applyFill="1" applyBorder="1" applyAlignment="1">
      <alignment horizontal="center" vertical="center"/>
    </xf>
    <xf numFmtId="167" fontId="9" fillId="2" borderId="0" xfId="4" applyNumberFormat="1" applyFont="1" applyFill="1" applyAlignment="1">
      <alignment horizontal="center" vertical="center"/>
    </xf>
    <xf numFmtId="167" fontId="9" fillId="0" borderId="0" xfId="4" applyNumberFormat="1" applyFont="1" applyFill="1" applyBorder="1" applyAlignment="1">
      <alignment horizontal="center" vertical="center" textRotation="90"/>
    </xf>
    <xf numFmtId="167" fontId="4" fillId="0" borderId="0" xfId="4" applyNumberFormat="1" applyFont="1" applyFill="1" applyBorder="1" applyAlignment="1">
      <alignment horizontal="center" vertical="center"/>
    </xf>
    <xf numFmtId="167" fontId="4" fillId="6" borderId="0" xfId="4" applyNumberFormat="1" applyFont="1" applyFill="1" applyBorder="1" applyAlignment="1">
      <alignment horizontal="center" vertical="center"/>
    </xf>
    <xf numFmtId="167" fontId="4" fillId="2" borderId="2" xfId="4" applyNumberFormat="1" applyFont="1" applyFill="1" applyBorder="1" applyAlignment="1">
      <alignment horizontal="center" vertical="center"/>
    </xf>
    <xf numFmtId="167" fontId="4" fillId="0" borderId="2" xfId="4" applyNumberFormat="1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7" fillId="0" borderId="0" xfId="1" applyFont="1" applyFill="1" applyAlignment="1" applyProtection="1">
      <alignment horizontal="right"/>
    </xf>
    <xf numFmtId="167" fontId="23" fillId="0" borderId="0" xfId="4" applyNumberFormat="1" applyFont="1"/>
    <xf numFmtId="0" fontId="4" fillId="0" borderId="0" xfId="0" applyFont="1" applyAlignment="1"/>
    <xf numFmtId="167" fontId="4" fillId="0" borderId="0" xfId="4" applyNumberFormat="1" applyFont="1" applyAlignment="1"/>
    <xf numFmtId="10" fontId="4" fillId="0" borderId="5" xfId="0" applyNumberFormat="1" applyFont="1" applyBorder="1" applyAlignment="1">
      <alignment horizontal="center"/>
    </xf>
    <xf numFmtId="165" fontId="23" fillId="0" borderId="5" xfId="0" applyNumberFormat="1" applyFont="1" applyBorder="1" applyAlignment="1">
      <alignment horizontal="center"/>
    </xf>
    <xf numFmtId="168" fontId="4" fillId="0" borderId="5" xfId="2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4" fillId="0" borderId="5" xfId="0" applyFont="1" applyBorder="1" applyAlignment="1">
      <alignment horizontal="center"/>
    </xf>
    <xf numFmtId="167" fontId="4" fillId="0" borderId="5" xfId="4" applyNumberFormat="1" applyFont="1" applyFill="1" applyBorder="1" applyAlignment="1">
      <alignment horizontal="center"/>
    </xf>
    <xf numFmtId="167" fontId="4" fillId="0" borderId="5" xfId="4" applyNumberFormat="1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166" fontId="23" fillId="0" borderId="5" xfId="4" applyNumberFormat="1" applyFont="1" applyBorder="1" applyAlignment="1">
      <alignment horizontal="center"/>
    </xf>
    <xf numFmtId="167" fontId="23" fillId="0" borderId="5" xfId="4" applyNumberFormat="1" applyFont="1" applyBorder="1" applyAlignment="1">
      <alignment horizontal="center"/>
    </xf>
    <xf numFmtId="2" fontId="4" fillId="0" borderId="0" xfId="0" applyNumberFormat="1" applyFont="1"/>
    <xf numFmtId="2" fontId="23" fillId="0" borderId="0" xfId="0" applyNumberFormat="1" applyFont="1"/>
    <xf numFmtId="1" fontId="4" fillId="0" borderId="0" xfId="0" applyNumberFormat="1" applyFont="1"/>
    <xf numFmtId="0" fontId="4" fillId="2" borderId="2" xfId="0" applyNumberFormat="1" applyFont="1" applyFill="1" applyBorder="1" applyAlignment="1">
      <alignment horizontal="left"/>
    </xf>
    <xf numFmtId="165" fontId="4" fillId="2" borderId="2" xfId="0" applyNumberFormat="1" applyFont="1" applyFill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5" fontId="25" fillId="0" borderId="10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8" fontId="24" fillId="0" borderId="10" xfId="2" applyNumberFormat="1" applyFont="1" applyBorder="1" applyAlignment="1">
      <alignment horizontal="center"/>
    </xf>
    <xf numFmtId="1" fontId="25" fillId="0" borderId="5" xfId="4" applyNumberFormat="1" applyFont="1" applyBorder="1" applyAlignment="1">
      <alignment horizontal="center" vertical="center"/>
    </xf>
    <xf numFmtId="1" fontId="25" fillId="0" borderId="5" xfId="0" applyNumberFormat="1" applyFont="1" applyBorder="1" applyAlignment="1">
      <alignment horizontal="center" vertical="center"/>
    </xf>
    <xf numFmtId="1" fontId="25" fillId="0" borderId="5" xfId="0" applyNumberFormat="1" applyFont="1" applyBorder="1" applyAlignment="1">
      <alignment horizontal="center" readingOrder="2"/>
    </xf>
    <xf numFmtId="167" fontId="4" fillId="0" borderId="2" xfId="4" applyNumberFormat="1" applyFont="1" applyBorder="1" applyAlignment="1">
      <alignment horizontal="center" readingOrder="2"/>
    </xf>
    <xf numFmtId="1" fontId="25" fillId="0" borderId="0" xfId="0" applyNumberFormat="1" applyFont="1" applyBorder="1" applyAlignment="1">
      <alignment horizontal="center" readingOrder="2"/>
    </xf>
    <xf numFmtId="164" fontId="23" fillId="0" borderId="0" xfId="4" applyFont="1"/>
    <xf numFmtId="164" fontId="23" fillId="0" borderId="5" xfId="4" applyFont="1" applyBorder="1"/>
    <xf numFmtId="167" fontId="4" fillId="0" borderId="5" xfId="4" applyNumberFormat="1" applyFont="1" applyBorder="1"/>
    <xf numFmtId="167" fontId="24" fillId="0" borderId="5" xfId="4" applyNumberFormat="1" applyFont="1" applyBorder="1"/>
    <xf numFmtId="166" fontId="23" fillId="0" borderId="5" xfId="0" applyNumberFormat="1" applyFont="1" applyBorder="1" applyAlignment="1"/>
    <xf numFmtId="164" fontId="4" fillId="0" borderId="5" xfId="4" applyFont="1" applyBorder="1" applyAlignment="1">
      <alignment horizontal="center"/>
    </xf>
    <xf numFmtId="0" fontId="4" fillId="0" borderId="2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165" fontId="0" fillId="0" borderId="0" xfId="0" applyNumberFormat="1"/>
    <xf numFmtId="169" fontId="0" fillId="0" borderId="0" xfId="0" applyNumberFormat="1" applyAlignment="1">
      <alignment horizontal="center" readingOrder="2"/>
    </xf>
    <xf numFmtId="9" fontId="0" fillId="0" borderId="0" xfId="2" applyFont="1"/>
    <xf numFmtId="0" fontId="4" fillId="0" borderId="14" xfId="0" applyFont="1" applyFill="1" applyBorder="1" applyAlignment="1">
      <alignment horizontal="right" wrapText="1"/>
    </xf>
    <xf numFmtId="165" fontId="9" fillId="0" borderId="14" xfId="0" applyNumberFormat="1" applyFont="1" applyFill="1" applyBorder="1" applyAlignment="1">
      <alignment horizontal="center" vertical="center" wrapText="1"/>
    </xf>
    <xf numFmtId="166" fontId="23" fillId="0" borderId="14" xfId="4" applyNumberFormat="1" applyFont="1" applyBorder="1" applyAlignment="1">
      <alignment horizontal="center" vertical="center"/>
    </xf>
    <xf numFmtId="9" fontId="4" fillId="0" borderId="5" xfId="2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vertical="center" textRotation="90" wrapText="1"/>
    </xf>
    <xf numFmtId="167" fontId="0" fillId="0" borderId="0" xfId="0" applyNumberFormat="1"/>
    <xf numFmtId="0" fontId="4" fillId="0" borderId="0" xfId="0" applyFont="1" applyFill="1" applyBorder="1" applyAlignment="1">
      <alignment horizontal="center" wrapText="1"/>
    </xf>
    <xf numFmtId="9" fontId="4" fillId="0" borderId="0" xfId="2" applyFont="1" applyFill="1" applyBorder="1" applyAlignment="1">
      <alignment horizontal="center" vertical="center" wrapText="1"/>
    </xf>
    <xf numFmtId="166" fontId="23" fillId="0" borderId="16" xfId="4" applyNumberFormat="1" applyFont="1" applyBorder="1" applyAlignment="1">
      <alignment horizontal="center" vertical="center"/>
    </xf>
    <xf numFmtId="167" fontId="24" fillId="0" borderId="5" xfId="0" applyNumberFormat="1" applyFont="1" applyBorder="1" applyAlignment="1">
      <alignment horizontal="center"/>
    </xf>
    <xf numFmtId="0" fontId="4" fillId="0" borderId="16" xfId="0" applyFont="1" applyFill="1" applyBorder="1" applyAlignment="1">
      <alignment horizontal="right" wrapText="1"/>
    </xf>
    <xf numFmtId="165" fontId="9" fillId="0" borderId="16" xfId="0" applyNumberFormat="1" applyFont="1" applyFill="1" applyBorder="1" applyAlignment="1">
      <alignment horizontal="center" vertical="center" wrapText="1"/>
    </xf>
    <xf numFmtId="0" fontId="24" fillId="0" borderId="5" xfId="0" applyFont="1" applyFill="1" applyBorder="1" applyAlignment="1">
      <alignment horizontal="right" wrapText="1"/>
    </xf>
    <xf numFmtId="165" fontId="9" fillId="0" borderId="5" xfId="0" applyNumberFormat="1" applyFont="1" applyFill="1" applyBorder="1" applyAlignment="1">
      <alignment horizontal="center" vertical="center" wrapText="1"/>
    </xf>
    <xf numFmtId="165" fontId="0" fillId="0" borderId="5" xfId="0" applyNumberFormat="1" applyBorder="1"/>
    <xf numFmtId="0" fontId="22" fillId="0" borderId="0" xfId="0" applyFont="1" applyFill="1" applyBorder="1" applyAlignment="1">
      <alignment horizontal="center" wrapText="1"/>
    </xf>
    <xf numFmtId="166" fontId="4" fillId="0" borderId="5" xfId="0" applyNumberFormat="1" applyFont="1" applyBorder="1" applyAlignment="1">
      <alignment horizontal="center"/>
    </xf>
    <xf numFmtId="167" fontId="4" fillId="0" borderId="5" xfId="0" applyNumberFormat="1" applyFont="1" applyBorder="1" applyAlignment="1">
      <alignment horizontal="center"/>
    </xf>
    <xf numFmtId="170" fontId="4" fillId="0" borderId="0" xfId="0" applyNumberFormat="1" applyFont="1"/>
    <xf numFmtId="49" fontId="23" fillId="0" borderId="0" xfId="4" applyNumberFormat="1" applyFont="1"/>
    <xf numFmtId="9" fontId="4" fillId="0" borderId="2" xfId="2" applyFont="1" applyFill="1" applyBorder="1" applyAlignment="1">
      <alignment wrapText="1"/>
    </xf>
    <xf numFmtId="9" fontId="4" fillId="0" borderId="2" xfId="0" applyNumberFormat="1" applyFont="1" applyFill="1" applyBorder="1" applyAlignment="1">
      <alignment wrapText="1"/>
    </xf>
    <xf numFmtId="0" fontId="22" fillId="0" borderId="2" xfId="0" applyFont="1" applyFill="1" applyBorder="1" applyAlignment="1">
      <alignment wrapText="1"/>
    </xf>
    <xf numFmtId="0" fontId="4" fillId="6" borderId="0" xfId="0" applyFont="1" applyFill="1" applyBorder="1" applyAlignment="1" applyProtection="1">
      <alignment horizontal="right" indent="1"/>
      <protection locked="0"/>
    </xf>
    <xf numFmtId="0" fontId="4" fillId="6" borderId="0" xfId="0" applyFont="1" applyFill="1" applyBorder="1" applyProtection="1">
      <protection locked="0"/>
    </xf>
    <xf numFmtId="0" fontId="4" fillId="6" borderId="0" xfId="0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Alignment="1" applyProtection="1">
      <alignment horizontal="center"/>
      <protection locked="0"/>
    </xf>
    <xf numFmtId="1" fontId="4" fillId="6" borderId="2" xfId="0" applyNumberFormat="1" applyFont="1" applyFill="1" applyBorder="1" applyProtection="1">
      <protection locked="0"/>
    </xf>
    <xf numFmtId="0" fontId="4" fillId="6" borderId="2" xfId="0" applyNumberFormat="1" applyFont="1" applyFill="1" applyBorder="1" applyProtection="1">
      <protection locked="0"/>
    </xf>
    <xf numFmtId="0" fontId="4" fillId="2" borderId="2" xfId="0" applyFont="1" applyFill="1" applyBorder="1" applyAlignment="1" applyProtection="1">
      <alignment horizontal="right" wrapText="1" indent="1"/>
      <protection locked="0"/>
    </xf>
    <xf numFmtId="0" fontId="4" fillId="2" borderId="2" xfId="0" applyFont="1" applyFill="1" applyBorder="1" applyProtection="1">
      <protection locked="0"/>
    </xf>
    <xf numFmtId="1" fontId="4" fillId="2" borderId="2" xfId="0" applyNumberFormat="1" applyFont="1" applyFill="1" applyBorder="1" applyProtection="1">
      <protection locked="0"/>
    </xf>
    <xf numFmtId="0" fontId="4" fillId="2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horizontal="right" wrapText="1" indent="1"/>
      <protection locked="0"/>
    </xf>
    <xf numFmtId="0" fontId="4" fillId="0" borderId="2" xfId="0" applyFont="1" applyFill="1" applyBorder="1" applyProtection="1">
      <protection locked="0"/>
    </xf>
    <xf numFmtId="1" fontId="4" fillId="0" borderId="2" xfId="0" applyNumberFormat="1" applyFont="1" applyFill="1" applyBorder="1" applyAlignment="1" applyProtection="1">
      <alignment horizontal="center"/>
      <protection locked="0"/>
    </xf>
    <xf numFmtId="1" fontId="4" fillId="0" borderId="2" xfId="0" applyNumberFormat="1" applyFont="1" applyFill="1" applyBorder="1" applyProtection="1">
      <protection locked="0"/>
    </xf>
    <xf numFmtId="0" fontId="4" fillId="0" borderId="2" xfId="0" applyNumberFormat="1" applyFont="1" applyFill="1" applyBorder="1" applyProtection="1">
      <protection locked="0"/>
    </xf>
    <xf numFmtId="9" fontId="4" fillId="3" borderId="2" xfId="2" applyFont="1" applyFill="1" applyBorder="1" applyAlignment="1" applyProtection="1">
      <alignment horizontal="center"/>
      <protection locked="0"/>
    </xf>
    <xf numFmtId="165" fontId="4" fillId="0" borderId="2" xfId="0" applyNumberFormat="1" applyFont="1" applyBorder="1" applyAlignment="1" applyProtection="1">
      <alignment horizontal="center" vertical="center"/>
      <protection locked="0"/>
    </xf>
    <xf numFmtId="0" fontId="4" fillId="0" borderId="2" xfId="0" applyFont="1" applyBorder="1" applyProtection="1">
      <protection locked="0"/>
    </xf>
    <xf numFmtId="1" fontId="4" fillId="8" borderId="2" xfId="0" applyNumberFormat="1" applyFont="1" applyFill="1" applyBorder="1" applyProtection="1">
      <protection locked="0"/>
    </xf>
    <xf numFmtId="0" fontId="4" fillId="8" borderId="2" xfId="0" applyNumberFormat="1" applyFont="1" applyFill="1" applyBorder="1" applyProtection="1">
      <protection locked="0"/>
    </xf>
    <xf numFmtId="0" fontId="4" fillId="0" borderId="2" xfId="0" applyFont="1" applyFill="1" applyBorder="1" applyAlignment="1" applyProtection="1">
      <alignment wrapText="1"/>
      <protection locked="0"/>
    </xf>
    <xf numFmtId="0" fontId="4" fillId="2" borderId="2" xfId="0" applyFont="1" applyFill="1" applyBorder="1" applyAlignment="1" applyProtection="1">
      <alignment wrapText="1"/>
      <protection locked="0"/>
    </xf>
    <xf numFmtId="165" fontId="4" fillId="0" borderId="2" xfId="4" applyNumberFormat="1" applyFont="1" applyBorder="1" applyAlignment="1" applyProtection="1">
      <alignment horizontal="center" readingOrder="2"/>
      <protection locked="0"/>
    </xf>
    <xf numFmtId="20" fontId="4" fillId="0" borderId="2" xfId="0" applyNumberFormat="1" applyFont="1" applyBorder="1" applyProtection="1">
      <protection locked="0"/>
    </xf>
    <xf numFmtId="165" fontId="4" fillId="0" borderId="2" xfId="0" applyNumberFormat="1" applyFont="1" applyBorder="1" applyProtection="1">
      <protection locked="0"/>
    </xf>
    <xf numFmtId="0" fontId="6" fillId="2" borderId="0" xfId="0" applyFont="1" applyFill="1" applyAlignment="1" applyProtection="1">
      <alignment horizontal="right" vertical="center" indent="1"/>
    </xf>
    <xf numFmtId="0" fontId="6" fillId="2" borderId="0" xfId="0" applyFont="1" applyFill="1" applyAlignment="1" applyProtection="1">
      <alignment vertical="center"/>
    </xf>
    <xf numFmtId="0" fontId="6" fillId="2" borderId="0" xfId="0" applyFont="1" applyFill="1" applyAlignment="1" applyProtection="1">
      <alignment horizontal="center" vertical="center"/>
    </xf>
    <xf numFmtId="0" fontId="6" fillId="2" borderId="0" xfId="0" applyNumberFormat="1" applyFont="1" applyFill="1" applyAlignment="1" applyProtection="1">
      <alignment vertical="center"/>
    </xf>
    <xf numFmtId="0" fontId="19" fillId="2" borderId="0" xfId="0" applyFont="1" applyFill="1" applyAlignment="1" applyProtection="1">
      <alignment horizontal="center" vertical="center"/>
    </xf>
    <xf numFmtId="165" fontId="6" fillId="0" borderId="0" xfId="0" applyNumberFormat="1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vertical="center"/>
    </xf>
    <xf numFmtId="0" fontId="8" fillId="0" borderId="0" xfId="0" applyFont="1" applyFill="1" applyProtection="1"/>
    <xf numFmtId="0" fontId="9" fillId="0" borderId="0" xfId="0" applyFont="1" applyProtection="1"/>
    <xf numFmtId="0" fontId="9" fillId="0" borderId="0" xfId="0" applyFont="1" applyFill="1" applyBorder="1" applyProtection="1"/>
    <xf numFmtId="0" fontId="9" fillId="0" borderId="17" xfId="0" applyFont="1" applyBorder="1" applyAlignment="1" applyProtection="1">
      <alignment horizontal="right"/>
    </xf>
    <xf numFmtId="0" fontId="9" fillId="0" borderId="0" xfId="0" applyFont="1" applyBorder="1" applyAlignment="1" applyProtection="1">
      <alignment horizontal="left"/>
    </xf>
    <xf numFmtId="0" fontId="9" fillId="0" borderId="0" xfId="0" applyNumberFormat="1" applyFont="1" applyBorder="1" applyAlignment="1" applyProtection="1">
      <alignment horizontal="left"/>
    </xf>
    <xf numFmtId="0" fontId="20" fillId="0" borderId="0" xfId="0" applyFont="1" applyBorder="1" applyAlignment="1" applyProtection="1">
      <alignment horizontal="center"/>
    </xf>
    <xf numFmtId="165" fontId="9" fillId="0" borderId="0" xfId="0" applyNumberFormat="1" applyFont="1" applyBorder="1" applyAlignment="1" applyProtection="1">
      <alignment horizontal="center"/>
    </xf>
    <xf numFmtId="0" fontId="9" fillId="0" borderId="0" xfId="0" applyFont="1" applyAlignment="1" applyProtection="1"/>
    <xf numFmtId="0" fontId="9" fillId="0" borderId="18" xfId="0" applyFont="1" applyBorder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left"/>
    </xf>
    <xf numFmtId="14" fontId="11" fillId="0" borderId="0" xfId="0" applyNumberFormat="1" applyFont="1" applyFill="1" applyBorder="1" applyAlignment="1" applyProtection="1">
      <alignment horizontal="left"/>
    </xf>
    <xf numFmtId="14" fontId="10" fillId="0" borderId="0" xfId="0" applyNumberFormat="1" applyFont="1" applyBorder="1" applyAlignment="1" applyProtection="1">
      <alignment horizontal="left"/>
    </xf>
    <xf numFmtId="14" fontId="10" fillId="0" borderId="0" xfId="0" applyNumberFormat="1" applyFont="1" applyBorder="1" applyAlignment="1" applyProtection="1">
      <alignment horizontal="center"/>
    </xf>
    <xf numFmtId="0" fontId="10" fillId="0" borderId="0" xfId="0" applyNumberFormat="1" applyFont="1" applyBorder="1" applyAlignment="1" applyProtection="1">
      <alignment horizontal="left"/>
    </xf>
    <xf numFmtId="14" fontId="20" fillId="0" borderId="0" xfId="0" applyNumberFormat="1" applyFont="1" applyBorder="1" applyAlignment="1" applyProtection="1">
      <alignment horizontal="center"/>
    </xf>
    <xf numFmtId="165" fontId="10" fillId="0" borderId="0" xfId="0" applyNumberFormat="1" applyFont="1" applyBorder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4" fontId="4" fillId="0" borderId="0" xfId="0" applyNumberFormat="1" applyFont="1" applyBorder="1" applyAlignment="1" applyProtection="1">
      <alignment horizontal="center"/>
    </xf>
    <xf numFmtId="14" fontId="4" fillId="0" borderId="0" xfId="0" applyNumberFormat="1" applyFont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14" fontId="20" fillId="0" borderId="0" xfId="0" applyNumberFormat="1" applyFont="1" applyAlignment="1" applyProtection="1">
      <alignment horizontal="center"/>
    </xf>
    <xf numFmtId="165" fontId="4" fillId="0" borderId="0" xfId="0" applyNumberFormat="1" applyFont="1" applyBorder="1" applyAlignment="1" applyProtection="1">
      <alignment horizontal="center"/>
    </xf>
    <xf numFmtId="0" fontId="9" fillId="0" borderId="17" xfId="0" applyFont="1" applyBorder="1" applyAlignment="1" applyProtection="1">
      <alignment horizontal="right" indent="1"/>
    </xf>
    <xf numFmtId="14" fontId="9" fillId="0" borderId="0" xfId="0" applyNumberFormat="1" applyFont="1" applyBorder="1" applyAlignment="1" applyProtection="1">
      <alignment horizontal="left"/>
    </xf>
    <xf numFmtId="14" fontId="9" fillId="0" borderId="0" xfId="0" applyNumberFormat="1" applyFont="1" applyBorder="1" applyAlignment="1" applyProtection="1">
      <alignment horizontal="center"/>
    </xf>
    <xf numFmtId="0" fontId="9" fillId="0" borderId="0" xfId="0" applyNumberFormat="1" applyFont="1" applyAlignment="1" applyProtection="1">
      <alignment horizontal="right"/>
    </xf>
    <xf numFmtId="14" fontId="9" fillId="0" borderId="0" xfId="0" applyNumberFormat="1" applyFont="1" applyFill="1" applyProtection="1"/>
    <xf numFmtId="0" fontId="12" fillId="0" borderId="1" xfId="0" applyFont="1" applyFill="1" applyBorder="1" applyAlignment="1" applyProtection="1">
      <alignment horizontal="center"/>
    </xf>
    <xf numFmtId="0" fontId="12" fillId="0" borderId="1" xfId="0" applyFont="1" applyBorder="1" applyAlignment="1" applyProtection="1">
      <alignment horizontal="right" indent="1"/>
    </xf>
    <xf numFmtId="0" fontId="12" fillId="0" borderId="1" xfId="0" applyFont="1" applyBorder="1" applyAlignment="1" applyProtection="1">
      <alignment horizontal="center"/>
    </xf>
    <xf numFmtId="0" fontId="12" fillId="0" borderId="1" xfId="0" applyFont="1" applyBorder="1" applyAlignment="1" applyProtection="1">
      <alignment horizontal="center" textRotation="90"/>
    </xf>
    <xf numFmtId="0" fontId="12" fillId="0" borderId="1" xfId="0" applyNumberFormat="1" applyFont="1" applyBorder="1" applyAlignment="1" applyProtection="1">
      <alignment horizontal="center" textRotation="90"/>
    </xf>
    <xf numFmtId="165" fontId="12" fillId="0" borderId="1" xfId="0" applyNumberFormat="1" applyFont="1" applyBorder="1" applyAlignment="1" applyProtection="1">
      <alignment horizontal="center" textRotation="90"/>
    </xf>
    <xf numFmtId="0" fontId="9" fillId="0" borderId="1" xfId="0" applyFont="1" applyBorder="1" applyAlignment="1" applyProtection="1">
      <alignment horizontal="center" textRotation="90" wrapText="1"/>
    </xf>
    <xf numFmtId="0" fontId="9" fillId="0" borderId="1" xfId="0" applyFont="1" applyBorder="1" applyAlignment="1" applyProtection="1">
      <alignment horizontal="center" textRotation="90"/>
    </xf>
    <xf numFmtId="0" fontId="13" fillId="0" borderId="1" xfId="0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9" fillId="0" borderId="1" xfId="0" applyFont="1" applyBorder="1" applyAlignment="1" applyProtection="1"/>
    <xf numFmtId="49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right" indent="1"/>
    </xf>
    <xf numFmtId="0" fontId="4" fillId="0" borderId="0" xfId="0" applyFont="1" applyFill="1" applyBorder="1" applyProtection="1"/>
    <xf numFmtId="0" fontId="4" fillId="0" borderId="0" xfId="0" applyFont="1" applyFill="1" applyBorder="1" applyAlignment="1" applyProtection="1">
      <alignment horizontal="center"/>
    </xf>
    <xf numFmtId="0" fontId="4" fillId="0" borderId="0" xfId="0" applyNumberFormat="1" applyFont="1" applyFill="1" applyBorder="1" applyProtection="1"/>
    <xf numFmtId="0" fontId="20" fillId="0" borderId="0" xfId="0" applyFont="1" applyFill="1" applyBorder="1" applyAlignment="1" applyProtection="1">
      <alignment horizontal="center"/>
    </xf>
    <xf numFmtId="165" fontId="4" fillId="0" borderId="0" xfId="0" applyNumberFormat="1" applyFont="1" applyFill="1" applyBorder="1" applyAlignment="1" applyProtection="1">
      <alignment horizontal="center"/>
    </xf>
    <xf numFmtId="49" fontId="4" fillId="6" borderId="0" xfId="0" applyNumberFormat="1" applyFont="1" applyFill="1" applyBorder="1" applyProtection="1"/>
    <xf numFmtId="0" fontId="4" fillId="6" borderId="0" xfId="0" applyFont="1" applyFill="1" applyBorder="1" applyProtection="1"/>
    <xf numFmtId="0" fontId="4" fillId="6" borderId="2" xfId="0" applyFont="1" applyFill="1" applyBorder="1" applyProtection="1"/>
    <xf numFmtId="1" fontId="4" fillId="6" borderId="2" xfId="0" applyNumberFormat="1" applyFont="1" applyFill="1" applyBorder="1" applyAlignment="1" applyProtection="1">
      <alignment horizontal="center"/>
    </xf>
    <xf numFmtId="1" fontId="4" fillId="6" borderId="2" xfId="0" applyNumberFormat="1" applyFont="1" applyFill="1" applyBorder="1" applyProtection="1"/>
    <xf numFmtId="1" fontId="20" fillId="6" borderId="2" xfId="0" applyNumberFormat="1" applyFont="1" applyFill="1" applyBorder="1" applyAlignment="1" applyProtection="1">
      <alignment horizontal="center"/>
    </xf>
    <xf numFmtId="165" fontId="4" fillId="6" borderId="2" xfId="0" applyNumberFormat="1" applyFont="1" applyFill="1" applyBorder="1" applyAlignment="1" applyProtection="1">
      <alignment horizontal="center"/>
    </xf>
    <xf numFmtId="1" fontId="4" fillId="7" borderId="2" xfId="0" applyNumberFormat="1" applyFont="1" applyFill="1" applyBorder="1" applyAlignment="1" applyProtection="1">
      <alignment horizontal="center"/>
    </xf>
    <xf numFmtId="9" fontId="4" fillId="7" borderId="2" xfId="2" applyFont="1" applyFill="1" applyBorder="1" applyAlignment="1" applyProtection="1">
      <alignment horizontal="center"/>
    </xf>
    <xf numFmtId="1" fontId="4" fillId="6" borderId="2" xfId="2" applyNumberFormat="1" applyFont="1" applyFill="1" applyBorder="1" applyAlignment="1" applyProtection="1">
      <alignment horizontal="center"/>
    </xf>
    <xf numFmtId="1" fontId="4" fillId="5" borderId="2" xfId="2" applyNumberFormat="1" applyFont="1" applyFill="1" applyBorder="1" applyAlignment="1" applyProtection="1">
      <alignment horizontal="center"/>
    </xf>
    <xf numFmtId="49" fontId="4" fillId="2" borderId="2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center"/>
    </xf>
    <xf numFmtId="1" fontId="4" fillId="2" borderId="2" xfId="0" applyNumberFormat="1" applyFont="1" applyFill="1" applyBorder="1" applyAlignment="1" applyProtection="1">
      <alignment horizontal="center"/>
    </xf>
    <xf numFmtId="1" fontId="4" fillId="2" borderId="2" xfId="0" applyNumberFormat="1" applyFont="1" applyFill="1" applyBorder="1" applyProtection="1"/>
    <xf numFmtId="165" fontId="4" fillId="2" borderId="2" xfId="0" applyNumberFormat="1" applyFont="1" applyFill="1" applyBorder="1" applyAlignment="1" applyProtection="1">
      <alignment horizontal="center"/>
    </xf>
    <xf numFmtId="1" fontId="4" fillId="4" borderId="2" xfId="0" applyNumberFormat="1" applyFont="1" applyFill="1" applyBorder="1" applyAlignment="1" applyProtection="1">
      <alignment horizontal="center"/>
    </xf>
    <xf numFmtId="9" fontId="4" fillId="4" borderId="2" xfId="2" applyFont="1" applyFill="1" applyBorder="1" applyAlignment="1" applyProtection="1">
      <alignment horizontal="center"/>
    </xf>
    <xf numFmtId="1" fontId="4" fillId="5" borderId="2" xfId="0" applyNumberFormat="1" applyFont="1" applyFill="1" applyBorder="1" applyAlignment="1" applyProtection="1">
      <alignment horizontal="center"/>
    </xf>
    <xf numFmtId="49" fontId="4" fillId="0" borderId="2" xfId="0" applyNumberFormat="1" applyFont="1" applyBorder="1" applyAlignment="1" applyProtection="1">
      <alignment horizontal="left"/>
    </xf>
    <xf numFmtId="0" fontId="4" fillId="0" borderId="2" xfId="0" applyFont="1" applyFill="1" applyBorder="1" applyProtection="1"/>
    <xf numFmtId="0" fontId="4" fillId="0" borderId="2" xfId="0" applyFont="1" applyFill="1" applyBorder="1" applyAlignment="1" applyProtection="1">
      <alignment horizontal="center"/>
    </xf>
    <xf numFmtId="1" fontId="4" fillId="0" borderId="2" xfId="0" applyNumberFormat="1" applyFont="1" applyFill="1" applyBorder="1" applyAlignment="1" applyProtection="1">
      <alignment horizontal="center"/>
    </xf>
    <xf numFmtId="1" fontId="4" fillId="0" borderId="2" xfId="0" applyNumberFormat="1" applyFont="1" applyFill="1" applyBorder="1" applyProtection="1"/>
    <xf numFmtId="165" fontId="4" fillId="0" borderId="2" xfId="0" applyNumberFormat="1" applyFont="1" applyFill="1" applyBorder="1" applyAlignment="1" applyProtection="1">
      <alignment horizontal="center"/>
    </xf>
    <xf numFmtId="1" fontId="4" fillId="3" borderId="2" xfId="0" applyNumberFormat="1" applyFont="1" applyFill="1" applyBorder="1" applyAlignment="1" applyProtection="1">
      <alignment horizontal="center"/>
    </xf>
    <xf numFmtId="1" fontId="4" fillId="0" borderId="2" xfId="2" applyNumberFormat="1" applyFont="1" applyFill="1" applyBorder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165" fontId="9" fillId="0" borderId="0" xfId="0" applyNumberFormat="1" applyFont="1" applyAlignment="1" applyProtection="1">
      <alignment horizontal="center" vertical="center"/>
    </xf>
    <xf numFmtId="167" fontId="9" fillId="0" borderId="0" xfId="4" applyNumberFormat="1" applyFont="1" applyAlignment="1" applyProtection="1">
      <alignment horizontal="center" readingOrder="2"/>
    </xf>
    <xf numFmtId="165" fontId="9" fillId="0" borderId="0" xfId="0" applyNumberFormat="1" applyFont="1" applyFill="1" applyBorder="1" applyAlignment="1" applyProtection="1">
      <alignment horizontal="center" vertical="center"/>
    </xf>
    <xf numFmtId="167" fontId="9" fillId="0" borderId="0" xfId="4" applyNumberFormat="1" applyFont="1" applyFill="1" applyBorder="1" applyAlignment="1" applyProtection="1">
      <alignment horizontal="center" readingOrder="2"/>
    </xf>
    <xf numFmtId="165" fontId="9" fillId="2" borderId="0" xfId="0" applyNumberFormat="1" applyFont="1" applyFill="1" applyAlignment="1" applyProtection="1">
      <alignment horizontal="center" vertical="center"/>
    </xf>
    <xf numFmtId="167" fontId="9" fillId="2" borderId="0" xfId="4" applyNumberFormat="1" applyFont="1" applyFill="1" applyAlignment="1" applyProtection="1">
      <alignment horizontal="center" readingOrder="2"/>
    </xf>
    <xf numFmtId="0" fontId="9" fillId="2" borderId="0" xfId="0" applyFont="1" applyFill="1" applyProtection="1"/>
    <xf numFmtId="165" fontId="4" fillId="0" borderId="0" xfId="0" applyNumberFormat="1" applyFont="1" applyFill="1" applyBorder="1" applyAlignment="1" applyProtection="1">
      <alignment horizontal="center" vertical="center" textRotation="90"/>
    </xf>
    <xf numFmtId="0" fontId="9" fillId="0" borderId="0" xfId="0" applyFont="1" applyFill="1" applyBorder="1" applyAlignment="1" applyProtection="1"/>
    <xf numFmtId="165" fontId="4" fillId="0" borderId="0" xfId="0" applyNumberFormat="1" applyFont="1" applyFill="1" applyBorder="1" applyAlignment="1" applyProtection="1">
      <alignment horizontal="center" vertical="center"/>
    </xf>
    <xf numFmtId="167" fontId="4" fillId="0" borderId="0" xfId="4" applyNumberFormat="1" applyFont="1" applyFill="1" applyBorder="1" applyAlignment="1" applyProtection="1">
      <alignment horizontal="center" readingOrder="2"/>
    </xf>
    <xf numFmtId="165" fontId="4" fillId="6" borderId="0" xfId="0" applyNumberFormat="1" applyFont="1" applyFill="1" applyBorder="1" applyAlignment="1" applyProtection="1">
      <alignment horizontal="center" vertical="center"/>
    </xf>
    <xf numFmtId="167" fontId="4" fillId="6" borderId="0" xfId="4" applyNumberFormat="1" applyFont="1" applyFill="1" applyBorder="1" applyAlignment="1" applyProtection="1">
      <alignment horizontal="center" readingOrder="2"/>
    </xf>
    <xf numFmtId="165" fontId="4" fillId="2" borderId="2" xfId="0" applyNumberFormat="1" applyFont="1" applyFill="1" applyBorder="1" applyAlignment="1" applyProtection="1">
      <alignment horizontal="center" vertical="center"/>
    </xf>
    <xf numFmtId="167" fontId="4" fillId="2" borderId="2" xfId="4" applyNumberFormat="1" applyFont="1" applyFill="1" applyBorder="1" applyAlignment="1" applyProtection="1">
      <alignment horizontal="center" readingOrder="2"/>
    </xf>
    <xf numFmtId="167" fontId="23" fillId="0" borderId="0" xfId="4" applyNumberFormat="1" applyFont="1" applyBorder="1" applyAlignment="1" applyProtection="1">
      <alignment horizontal="center" readingOrder="2"/>
    </xf>
    <xf numFmtId="0" fontId="4" fillId="0" borderId="2" xfId="0" applyFont="1" applyBorder="1" applyProtection="1"/>
    <xf numFmtId="167" fontId="4" fillId="0" borderId="2" xfId="4" applyNumberFormat="1" applyFont="1" applyBorder="1" applyAlignment="1" applyProtection="1">
      <alignment horizontal="center" readingOrder="2"/>
    </xf>
    <xf numFmtId="0" fontId="4" fillId="2" borderId="2" xfId="0" applyNumberFormat="1" applyFont="1" applyFill="1" applyBorder="1" applyAlignment="1" applyProtection="1">
      <alignment horizontal="left"/>
    </xf>
    <xf numFmtId="0" fontId="4" fillId="0" borderId="0" xfId="0" applyFont="1" applyBorder="1" applyProtection="1"/>
    <xf numFmtId="165" fontId="4" fillId="2" borderId="2" xfId="4" applyNumberFormat="1" applyFont="1" applyFill="1" applyBorder="1" applyAlignment="1" applyProtection="1">
      <alignment horizontal="center" readingOrder="2"/>
    </xf>
    <xf numFmtId="0" fontId="9" fillId="0" borderId="0" xfId="0" applyFont="1" applyAlignment="1" applyProtection="1">
      <alignment horizontal="right" indent="1"/>
    </xf>
    <xf numFmtId="0" fontId="9" fillId="0" borderId="0" xfId="0" applyFont="1" applyAlignment="1" applyProtection="1">
      <alignment horizontal="center"/>
    </xf>
    <xf numFmtId="0" fontId="9" fillId="0" borderId="0" xfId="0" applyNumberFormat="1" applyFont="1" applyProtection="1"/>
    <xf numFmtId="0" fontId="20" fillId="0" borderId="0" xfId="0" applyFont="1" applyAlignment="1" applyProtection="1">
      <alignment horizontal="center"/>
    </xf>
    <xf numFmtId="165" fontId="9" fillId="0" borderId="0" xfId="0" applyNumberFormat="1" applyFont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  <protection locked="0"/>
    </xf>
    <xf numFmtId="20" fontId="4" fillId="0" borderId="2" xfId="0" applyNumberFormat="1" applyFont="1" applyBorder="1" applyAlignment="1" applyProtection="1">
      <alignment horizontal="center" vertical="center"/>
      <protection locked="0"/>
    </xf>
    <xf numFmtId="167" fontId="23" fillId="0" borderId="5" xfId="4" applyNumberFormat="1" applyFont="1" applyBorder="1" applyAlignment="1" applyProtection="1">
      <alignment horizontal="center"/>
      <protection locked="0"/>
    </xf>
    <xf numFmtId="9" fontId="4" fillId="0" borderId="5" xfId="2" applyFont="1" applyFill="1" applyBorder="1" applyAlignment="1" applyProtection="1">
      <alignment horizontal="center" vertical="center" wrapText="1"/>
      <protection locked="0"/>
    </xf>
    <xf numFmtId="0" fontId="26" fillId="0" borderId="0" xfId="0" applyNumberFormat="1" applyFont="1" applyFill="1" applyBorder="1" applyAlignment="1" applyProtection="1">
      <alignment horizontal="center" vertical="center"/>
    </xf>
    <xf numFmtId="0" fontId="26" fillId="0" borderId="0" xfId="0" applyNumberFormat="1" applyFont="1" applyFill="1" applyBorder="1" applyAlignment="1" applyProtection="1">
      <alignment horizontal="right" vertical="center"/>
    </xf>
    <xf numFmtId="20" fontId="4" fillId="0" borderId="2" xfId="0" applyNumberFormat="1" applyFont="1" applyBorder="1" applyProtection="1"/>
    <xf numFmtId="14" fontId="9" fillId="0" borderId="0" xfId="0" applyNumberFormat="1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14" fontId="4" fillId="0" borderId="3" xfId="0" applyNumberFormat="1" applyFont="1" applyBorder="1" applyAlignment="1" applyProtection="1">
      <alignment horizontal="center" textRotation="90"/>
    </xf>
    <xf numFmtId="0" fontId="4" fillId="0" borderId="1" xfId="0" applyFont="1" applyBorder="1" applyAlignment="1" applyProtection="1">
      <alignment horizontal="center" textRotation="90"/>
    </xf>
    <xf numFmtId="0" fontId="4" fillId="0" borderId="4" xfId="0" applyFont="1" applyBorder="1" applyAlignment="1" applyProtection="1">
      <alignment horizontal="center" textRotation="90"/>
    </xf>
    <xf numFmtId="0" fontId="23" fillId="0" borderId="5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4" fillId="0" borderId="6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23" fillId="0" borderId="5" xfId="0" applyFont="1" applyBorder="1" applyAlignment="1">
      <alignment horizontal="center" vertical="center"/>
    </xf>
    <xf numFmtId="167" fontId="23" fillId="0" borderId="5" xfId="4" applyNumberFormat="1" applyFont="1" applyBorder="1" applyAlignment="1">
      <alignment horizontal="center" vertical="center"/>
    </xf>
    <xf numFmtId="0" fontId="23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166" fontId="23" fillId="0" borderId="6" xfId="4" applyNumberFormat="1" applyFont="1" applyBorder="1" applyAlignment="1">
      <alignment horizontal="center"/>
    </xf>
    <xf numFmtId="166" fontId="23" fillId="0" borderId="7" xfId="4" applyNumberFormat="1" applyFont="1" applyBorder="1" applyAlignment="1">
      <alignment horizontal="center"/>
    </xf>
    <xf numFmtId="166" fontId="23" fillId="0" borderId="6" xfId="4" applyNumberFormat="1" applyFont="1" applyBorder="1" applyAlignment="1" applyProtection="1">
      <alignment horizontal="center"/>
      <protection locked="0"/>
    </xf>
    <xf numFmtId="166" fontId="23" fillId="0" borderId="7" xfId="4" applyNumberFormat="1" applyFont="1" applyBorder="1" applyAlignment="1" applyProtection="1">
      <alignment horizontal="center"/>
      <protection locked="0"/>
    </xf>
    <xf numFmtId="165" fontId="25" fillId="0" borderId="2" xfId="0" applyNumberFormat="1" applyFont="1" applyFill="1" applyBorder="1" applyAlignment="1">
      <alignment horizontal="center" vertical="center" wrapText="1"/>
    </xf>
    <xf numFmtId="165" fontId="25" fillId="0" borderId="1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4" fillId="0" borderId="13" xfId="0" applyFont="1" applyFill="1" applyBorder="1" applyAlignment="1">
      <alignment horizontal="center" vertical="center" wrapText="1"/>
    </xf>
    <xf numFmtId="0" fontId="4" fillId="0" borderId="14" xfId="0" applyFont="1" applyFill="1" applyBorder="1" applyAlignment="1">
      <alignment horizontal="center" vertical="center" wrapText="1"/>
    </xf>
    <xf numFmtId="165" fontId="4" fillId="0" borderId="15" xfId="0" applyNumberFormat="1" applyFont="1" applyFill="1" applyBorder="1" applyAlignment="1">
      <alignment horizontal="center" wrapText="1"/>
    </xf>
    <xf numFmtId="169" fontId="4" fillId="0" borderId="13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169" fontId="4" fillId="0" borderId="14" xfId="0" applyNumberFormat="1" applyFont="1" applyFill="1" applyBorder="1" applyAlignment="1" applyProtection="1">
      <alignment horizontal="center" vertical="center" textRotation="90" wrapText="1" readingOrder="2"/>
      <protection locked="0"/>
    </xf>
    <xf numFmtId="9" fontId="4" fillId="0" borderId="13" xfId="2" applyFont="1" applyFill="1" applyBorder="1" applyAlignment="1">
      <alignment horizontal="center" vertical="center" textRotation="90" wrapText="1"/>
    </xf>
    <xf numFmtId="9" fontId="4" fillId="0" borderId="14" xfId="2" applyFont="1" applyFill="1" applyBorder="1" applyAlignment="1">
      <alignment horizontal="center" vertical="center" textRotation="90" wrapText="1"/>
    </xf>
    <xf numFmtId="0" fontId="4" fillId="0" borderId="13" xfId="0" applyFont="1" applyFill="1" applyBorder="1" applyAlignment="1">
      <alignment horizontal="center" vertical="center" textRotation="90" wrapText="1"/>
    </xf>
    <xf numFmtId="0" fontId="4" fillId="0" borderId="14" xfId="0" applyFont="1" applyFill="1" applyBorder="1" applyAlignment="1">
      <alignment horizontal="center" vertical="center" textRotation="90" wrapText="1"/>
    </xf>
    <xf numFmtId="169" fontId="4" fillId="0" borderId="13" xfId="0" applyNumberFormat="1" applyFont="1" applyFill="1" applyBorder="1" applyAlignment="1">
      <alignment horizontal="center" vertical="center" textRotation="90" wrapText="1" readingOrder="2"/>
    </xf>
    <xf numFmtId="169" fontId="4" fillId="0" borderId="14" xfId="0" applyNumberFormat="1" applyFont="1" applyFill="1" applyBorder="1" applyAlignment="1">
      <alignment horizontal="center" vertical="center" textRotation="90" wrapText="1" readingOrder="2"/>
    </xf>
  </cellXfs>
  <cellStyles count="8">
    <cellStyle name="Currency" xfId="4" builtinId="4"/>
    <cellStyle name="Hyperlink" xfId="1" builtinId="8"/>
    <cellStyle name="Normal" xfId="0" builtinId="0"/>
    <cellStyle name="Normal 2" xfId="3"/>
    <cellStyle name="Normal 2 2" xfId="7"/>
    <cellStyle name="Percent" xfId="2" builtinId="5"/>
    <cellStyle name="فراپیوند 2" xfId="6"/>
    <cellStyle name="معمولی 2" xf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 Mit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>
          <bgColor theme="1" tint="0.24994659260841701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indexed="63"/>
        </patternFill>
      </fill>
    </dxf>
    <dxf>
      <fill>
        <patternFill>
          <bgColor indexed="40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  <dxf>
      <fill>
        <patternFill>
          <bgColor indexed="23"/>
        </patternFill>
      </fill>
    </dxf>
    <dxf>
      <fill>
        <patternFill>
          <bgColor indexed="44"/>
        </patternFill>
      </fill>
    </dxf>
    <dxf>
      <font>
        <condense val="0"/>
        <extend val="0"/>
        <color auto="1"/>
      </font>
      <fill>
        <patternFill>
          <bgColor indexed="1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99FF99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D7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5F5F5F"/>
    </indexedColors>
    <mruColors>
      <color rgb="FFEAEAEA"/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croll" dx="16" fmlaLink="$R$5" horiz="1" max="100" page="4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3</xdr:row>
          <xdr:rowOff>209550</xdr:rowOff>
        </xdr:from>
        <xdr:to>
          <xdr:col>132</xdr:col>
          <xdr:colOff>9525</xdr:colOff>
          <xdr:row>5</xdr:row>
          <xdr:rowOff>238125</xdr:rowOff>
        </xdr:to>
        <xdr:sp macro="" textlink="">
          <xdr:nvSpPr>
            <xdr:cNvPr id="6145" name="Scroll Bar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ebrahimi\Documents\me\Persian%20Function%20For%20EXCEL_V2\Persian%20Function%20For%20EXCEL_V2_1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ian Function For EXCEL_V2_1"/>
    </sheetNames>
    <definedNames>
      <definedName name="j_WEEKDAY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Holieday" displayName="Holieday" ref="A1:F55" totalsRowCount="1" headerRowDxfId="13" dataDxfId="12" headerRowCellStyle="Normal 2" dataCellStyle="Normal 2">
  <autoFilter ref="A1:F54">
    <filterColumn colId="0">
      <filters>
        <filter val="1393/01/01"/>
        <filter val="1393/01/02"/>
        <filter val="1393/01/03"/>
        <filter val="1393/01/04"/>
        <filter val="1393/01/12"/>
        <filter val="1393/01/13"/>
        <filter val="1393/01/14"/>
        <filter val="1393/02/23"/>
        <filter val="1393/03/06"/>
        <filter val="1393/03/14"/>
        <filter val="1393/03/15"/>
        <filter val="1393/03/23"/>
        <filter val="1393/04/28"/>
        <filter val="1393/05/07"/>
        <filter val="1393/05/08"/>
        <filter val="1393/05/31"/>
        <filter val="1393/07/13"/>
        <filter val="1393/07/21"/>
        <filter val="1393/08/12"/>
        <filter val="1393/09/22"/>
        <filter val="1393/09/30"/>
        <filter val="1393/10/02"/>
        <filter val="1393/10/19"/>
        <filter val="1393/11/22"/>
        <filter val="1393/12/29"/>
      </filters>
    </filterColumn>
  </autoFilter>
  <tableColumns count="6">
    <tableColumn id="1" name="date" totalsRowLabel="مجموع" dataDxfId="11" totalsRowDxfId="10" dataCellStyle="Normal 2"/>
    <tableColumn id="2" name="year" dataDxfId="9" totalsRowDxfId="8" dataCellStyle="Normal 2">
      <calculatedColumnFormula>LEFT(A2,4)</calculatedColumnFormula>
    </tableColumn>
    <tableColumn id="6" name="month" dataDxfId="7" totalsRowDxfId="6" dataCellStyle="Normal 2">
      <calculatedColumnFormula>MID(A2,6,2)</calculatedColumnFormula>
    </tableColumn>
    <tableColumn id="3" name="ok" totalsRowFunction="sum" dataDxfId="5" totalsRowDxfId="4" dataCellStyle="Normal 2"/>
    <tableColumn id="4" name="Friday" totalsRowFunction="sum" dataDxfId="3" totalsRowDxfId="2" dataCellStyle="Normal 2"/>
    <tableColumn id="5" name="مناسبت" dataDxfId="1" totalsRow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ه1" filterMode="1">
    <tabColor rgb="FF92D050"/>
  </sheetPr>
  <dimension ref="A1:XFD228"/>
  <sheetViews>
    <sheetView showGridLines="0" rightToLeft="1" tabSelected="1" zoomScaleNormal="100" workbookViewId="0">
      <selection activeCell="D9" sqref="D9"/>
    </sheetView>
  </sheetViews>
  <sheetFormatPr defaultRowHeight="21" x14ac:dyDescent="0.6"/>
  <cols>
    <col min="1" max="1" width="4.42578125" style="142" bestFit="1" customWidth="1"/>
    <col min="2" max="2" width="75.85546875" style="236" bestFit="1" customWidth="1"/>
    <col min="3" max="3" width="10" style="141" hidden="1" customWidth="1"/>
    <col min="4" max="4" width="9.85546875" style="237" customWidth="1"/>
    <col min="5" max="5" width="7.85546875" style="141" hidden="1" customWidth="1"/>
    <col min="6" max="6" width="9.28515625" style="237" customWidth="1"/>
    <col min="7" max="7" width="7.85546875" style="141" hidden="1" customWidth="1"/>
    <col min="8" max="8" width="3.85546875" style="141" hidden="1" customWidth="1"/>
    <col min="9" max="9" width="3.85546875" style="238" hidden="1" customWidth="1"/>
    <col min="10" max="10" width="5.28515625" style="239" hidden="1" customWidth="1"/>
    <col min="11" max="11" width="6.7109375" style="240" hidden="1" customWidth="1"/>
    <col min="12" max="12" width="3.5703125" style="141" hidden="1" customWidth="1"/>
    <col min="13" max="13" width="9" style="141" hidden="1" customWidth="1"/>
    <col min="14" max="14" width="3.5703125" style="141" hidden="1" customWidth="1"/>
    <col min="15" max="15" width="3.85546875" style="141" hidden="1" customWidth="1"/>
    <col min="16" max="16" width="7.85546875" style="141" hidden="1" customWidth="1"/>
    <col min="17" max="17" width="5.85546875" style="141" hidden="1" customWidth="1"/>
    <col min="18" max="18" width="2.7109375" style="141" hidden="1" customWidth="1"/>
    <col min="19" max="234" width="0.42578125" style="141" customWidth="1"/>
    <col min="235" max="258" width="0.42578125" style="142" customWidth="1"/>
    <col min="259" max="259" width="4.42578125" style="26" customWidth="1"/>
    <col min="260" max="260" width="20.7109375" style="38" customWidth="1"/>
    <col min="261" max="261" width="4.7109375" style="217" bestFit="1" customWidth="1"/>
    <col min="262" max="263" width="5.5703125" style="217" bestFit="1" customWidth="1"/>
    <col min="264" max="264" width="20.5703125" style="218" customWidth="1"/>
    <col min="265" max="16384" width="9.140625" style="142"/>
  </cols>
  <sheetData>
    <row r="1" spans="1:264" s="141" customFormat="1" ht="26.25" x14ac:dyDescent="0.55000000000000004">
      <c r="A1" s="1"/>
      <c r="B1" s="133" t="str">
        <f>CONCATENATE("برنامه زمانبندی ",B8)</f>
        <v>برنامه زمانبندی طراحی و پیاده سازی پورتال اینترنتی شرکت بیمه سامان</v>
      </c>
      <c r="C1" s="134"/>
      <c r="D1" s="135"/>
      <c r="E1" s="134"/>
      <c r="F1" s="135"/>
      <c r="G1" s="134"/>
      <c r="H1" s="134"/>
      <c r="I1" s="136"/>
      <c r="J1" s="137"/>
      <c r="K1" s="138"/>
      <c r="L1" s="139"/>
      <c r="M1" s="46"/>
      <c r="N1" s="140"/>
      <c r="IY1" s="25"/>
      <c r="IZ1" s="37"/>
      <c r="JA1" s="215"/>
      <c r="JB1" s="215"/>
      <c r="JC1" s="215"/>
      <c r="JD1" s="216"/>
    </row>
    <row r="2" spans="1:264" hidden="1" x14ac:dyDescent="0.6">
      <c r="B2" s="143" t="s">
        <v>9</v>
      </c>
      <c r="C2" s="249" t="s">
        <v>90</v>
      </c>
      <c r="D2" s="249"/>
      <c r="E2" s="249"/>
      <c r="F2" s="249"/>
      <c r="G2" s="144"/>
      <c r="H2" s="144"/>
      <c r="I2" s="145"/>
      <c r="J2" s="146"/>
      <c r="K2" s="147"/>
      <c r="L2" s="148"/>
      <c r="M2" s="148"/>
    </row>
    <row r="3" spans="1:264" hidden="1" x14ac:dyDescent="0.6">
      <c r="B3" s="149" t="s">
        <v>10</v>
      </c>
      <c r="C3" s="150" t="str">
        <f ca="1">J_TODAY(1)</f>
        <v>1398/06/17</v>
      </c>
      <c r="D3" s="151">
        <f ca="1">VALUE(J_normdate(C3))</f>
        <v>13980617</v>
      </c>
      <c r="E3" s="152"/>
      <c r="F3" s="153"/>
      <c r="G3" s="152"/>
      <c r="H3" s="152"/>
      <c r="I3" s="154"/>
      <c r="J3" s="155"/>
      <c r="K3" s="156"/>
      <c r="L3" s="148"/>
      <c r="M3" s="148"/>
    </row>
    <row r="4" spans="1:264" hidden="1" x14ac:dyDescent="0.6">
      <c r="B4" s="157"/>
      <c r="C4" s="150"/>
      <c r="D4" s="150"/>
      <c r="E4" s="150"/>
      <c r="F4" s="158"/>
      <c r="G4" s="159"/>
      <c r="H4" s="159"/>
      <c r="I4" s="160"/>
      <c r="J4" s="161"/>
      <c r="K4" s="162"/>
      <c r="L4" s="148"/>
      <c r="M4" s="148"/>
      <c r="S4" s="141">
        <f ca="1">VALUE(S5)</f>
        <v>13980526</v>
      </c>
      <c r="T4" s="141">
        <f t="shared" ref="T4:CE4" ca="1" si="0">VALUE(T5)</f>
        <v>13980527</v>
      </c>
      <c r="U4" s="141">
        <f t="shared" ca="1" si="0"/>
        <v>13980528</v>
      </c>
      <c r="V4" s="141">
        <f t="shared" ca="1" si="0"/>
        <v>13980529</v>
      </c>
      <c r="W4" s="141">
        <f t="shared" ca="1" si="0"/>
        <v>13980530</v>
      </c>
      <c r="X4" s="141">
        <f t="shared" ca="1" si="0"/>
        <v>13980531</v>
      </c>
      <c r="Y4" s="141">
        <f t="shared" ca="1" si="0"/>
        <v>13980601</v>
      </c>
      <c r="Z4" s="141">
        <f t="shared" ca="1" si="0"/>
        <v>13980602</v>
      </c>
      <c r="AA4" s="141">
        <f t="shared" ca="1" si="0"/>
        <v>13980603</v>
      </c>
      <c r="AB4" s="141">
        <f t="shared" ca="1" si="0"/>
        <v>13980604</v>
      </c>
      <c r="AC4" s="141">
        <f t="shared" ca="1" si="0"/>
        <v>13980605</v>
      </c>
      <c r="AD4" s="141">
        <f t="shared" ca="1" si="0"/>
        <v>13980606</v>
      </c>
      <c r="AE4" s="141">
        <f t="shared" ca="1" si="0"/>
        <v>13980607</v>
      </c>
      <c r="AF4" s="141">
        <f t="shared" ca="1" si="0"/>
        <v>13980608</v>
      </c>
      <c r="AG4" s="141">
        <f t="shared" ca="1" si="0"/>
        <v>13980609</v>
      </c>
      <c r="AH4" s="141">
        <f t="shared" ca="1" si="0"/>
        <v>13980610</v>
      </c>
      <c r="AI4" s="141">
        <f t="shared" ca="1" si="0"/>
        <v>13980611</v>
      </c>
      <c r="AJ4" s="141">
        <f t="shared" ca="1" si="0"/>
        <v>13980612</v>
      </c>
      <c r="AK4" s="141">
        <f t="shared" ca="1" si="0"/>
        <v>13980613</v>
      </c>
      <c r="AL4" s="141">
        <f t="shared" ca="1" si="0"/>
        <v>13980614</v>
      </c>
      <c r="AM4" s="141">
        <f t="shared" ca="1" si="0"/>
        <v>13980615</v>
      </c>
      <c r="AN4" s="141">
        <f t="shared" ca="1" si="0"/>
        <v>13980616</v>
      </c>
      <c r="AO4" s="141">
        <f t="shared" ca="1" si="0"/>
        <v>13980617</v>
      </c>
      <c r="AP4" s="141">
        <f t="shared" ca="1" si="0"/>
        <v>13980618</v>
      </c>
      <c r="AQ4" s="141">
        <f t="shared" ca="1" si="0"/>
        <v>13980619</v>
      </c>
      <c r="AR4" s="141">
        <f t="shared" ca="1" si="0"/>
        <v>13980620</v>
      </c>
      <c r="AS4" s="141">
        <f t="shared" ca="1" si="0"/>
        <v>13980621</v>
      </c>
      <c r="AT4" s="141">
        <f t="shared" ca="1" si="0"/>
        <v>13980622</v>
      </c>
      <c r="AU4" s="141">
        <f t="shared" ca="1" si="0"/>
        <v>13980623</v>
      </c>
      <c r="AV4" s="141">
        <f t="shared" ca="1" si="0"/>
        <v>13980624</v>
      </c>
      <c r="AW4" s="141">
        <f t="shared" ca="1" si="0"/>
        <v>13980625</v>
      </c>
      <c r="AX4" s="141">
        <f t="shared" ca="1" si="0"/>
        <v>13980626</v>
      </c>
      <c r="AY4" s="141">
        <f t="shared" ca="1" si="0"/>
        <v>13980627</v>
      </c>
      <c r="AZ4" s="141">
        <f t="shared" ca="1" si="0"/>
        <v>13980628</v>
      </c>
      <c r="BA4" s="141">
        <f t="shared" ca="1" si="0"/>
        <v>13980629</v>
      </c>
      <c r="BB4" s="141">
        <f t="shared" ca="1" si="0"/>
        <v>13980630</v>
      </c>
      <c r="BC4" s="141">
        <f t="shared" ca="1" si="0"/>
        <v>13980631</v>
      </c>
      <c r="BD4" s="141">
        <f t="shared" ca="1" si="0"/>
        <v>13980701</v>
      </c>
      <c r="BE4" s="141">
        <f t="shared" ca="1" si="0"/>
        <v>13980702</v>
      </c>
      <c r="BF4" s="141">
        <f t="shared" ca="1" si="0"/>
        <v>13980703</v>
      </c>
      <c r="BG4" s="141">
        <f t="shared" ca="1" si="0"/>
        <v>13980704</v>
      </c>
      <c r="BH4" s="141">
        <f t="shared" ca="1" si="0"/>
        <v>13980705</v>
      </c>
      <c r="BI4" s="141">
        <f t="shared" ca="1" si="0"/>
        <v>13980706</v>
      </c>
      <c r="BJ4" s="141">
        <f t="shared" ca="1" si="0"/>
        <v>13980707</v>
      </c>
      <c r="BK4" s="141">
        <f t="shared" ca="1" si="0"/>
        <v>13980708</v>
      </c>
      <c r="BL4" s="141">
        <f t="shared" ca="1" si="0"/>
        <v>13980709</v>
      </c>
      <c r="BM4" s="141">
        <f t="shared" ca="1" si="0"/>
        <v>13980710</v>
      </c>
      <c r="BN4" s="141">
        <f t="shared" ca="1" si="0"/>
        <v>13980711</v>
      </c>
      <c r="BO4" s="141">
        <f t="shared" ca="1" si="0"/>
        <v>13980712</v>
      </c>
      <c r="BP4" s="141">
        <f t="shared" ca="1" si="0"/>
        <v>13980713</v>
      </c>
      <c r="BQ4" s="141">
        <f t="shared" ca="1" si="0"/>
        <v>13980714</v>
      </c>
      <c r="BR4" s="141">
        <f t="shared" ca="1" si="0"/>
        <v>13980715</v>
      </c>
      <c r="BS4" s="141">
        <f t="shared" ca="1" si="0"/>
        <v>13980716</v>
      </c>
      <c r="BT4" s="141">
        <f t="shared" ca="1" si="0"/>
        <v>13980717</v>
      </c>
      <c r="BU4" s="141">
        <f t="shared" ca="1" si="0"/>
        <v>13980718</v>
      </c>
      <c r="BV4" s="141">
        <f t="shared" ca="1" si="0"/>
        <v>13980719</v>
      </c>
      <c r="BW4" s="141">
        <f t="shared" ca="1" si="0"/>
        <v>13980720</v>
      </c>
      <c r="BX4" s="141">
        <f t="shared" ca="1" si="0"/>
        <v>13980721</v>
      </c>
      <c r="BY4" s="141">
        <f t="shared" ca="1" si="0"/>
        <v>13980722</v>
      </c>
      <c r="BZ4" s="141">
        <f t="shared" ca="1" si="0"/>
        <v>13980723</v>
      </c>
      <c r="CA4" s="141">
        <f t="shared" ca="1" si="0"/>
        <v>13980724</v>
      </c>
      <c r="CB4" s="141">
        <f t="shared" ca="1" si="0"/>
        <v>13980725</v>
      </c>
      <c r="CC4" s="141">
        <f t="shared" ca="1" si="0"/>
        <v>13980726</v>
      </c>
      <c r="CD4" s="141">
        <f t="shared" ca="1" si="0"/>
        <v>13980727</v>
      </c>
      <c r="CE4" s="141">
        <f t="shared" ca="1" si="0"/>
        <v>13980728</v>
      </c>
      <c r="CF4" s="141">
        <f t="shared" ref="CF4:EQ4" ca="1" si="1">VALUE(CF5)</f>
        <v>13980729</v>
      </c>
      <c r="CG4" s="141">
        <f t="shared" ca="1" si="1"/>
        <v>13980730</v>
      </c>
      <c r="CH4" s="141">
        <f t="shared" ca="1" si="1"/>
        <v>13980801</v>
      </c>
      <c r="CI4" s="141">
        <f t="shared" ca="1" si="1"/>
        <v>13980802</v>
      </c>
      <c r="CJ4" s="141">
        <f t="shared" ca="1" si="1"/>
        <v>13980803</v>
      </c>
      <c r="CK4" s="141">
        <f t="shared" ca="1" si="1"/>
        <v>13980804</v>
      </c>
      <c r="CL4" s="141">
        <f t="shared" ca="1" si="1"/>
        <v>13980805</v>
      </c>
      <c r="CM4" s="141">
        <f t="shared" ca="1" si="1"/>
        <v>13980806</v>
      </c>
      <c r="CN4" s="141">
        <f t="shared" ca="1" si="1"/>
        <v>13980807</v>
      </c>
      <c r="CO4" s="141">
        <f t="shared" ca="1" si="1"/>
        <v>13980808</v>
      </c>
      <c r="CP4" s="141">
        <f t="shared" ca="1" si="1"/>
        <v>13980809</v>
      </c>
      <c r="CQ4" s="141">
        <f t="shared" ca="1" si="1"/>
        <v>13980810</v>
      </c>
      <c r="CR4" s="141">
        <f t="shared" ca="1" si="1"/>
        <v>13980811</v>
      </c>
      <c r="CS4" s="141">
        <f t="shared" ca="1" si="1"/>
        <v>13980812</v>
      </c>
      <c r="CT4" s="141">
        <f t="shared" ca="1" si="1"/>
        <v>13980813</v>
      </c>
      <c r="CU4" s="141">
        <f t="shared" ca="1" si="1"/>
        <v>13980814</v>
      </c>
      <c r="CV4" s="141">
        <f t="shared" ca="1" si="1"/>
        <v>13980815</v>
      </c>
      <c r="CW4" s="141">
        <f t="shared" ca="1" si="1"/>
        <v>13980816</v>
      </c>
      <c r="CX4" s="141">
        <f t="shared" ca="1" si="1"/>
        <v>13980817</v>
      </c>
      <c r="CY4" s="141">
        <f t="shared" ca="1" si="1"/>
        <v>13980818</v>
      </c>
      <c r="CZ4" s="141">
        <f t="shared" ca="1" si="1"/>
        <v>13980819</v>
      </c>
      <c r="DA4" s="141">
        <f t="shared" ca="1" si="1"/>
        <v>13980820</v>
      </c>
      <c r="DB4" s="141">
        <f t="shared" ca="1" si="1"/>
        <v>13980821</v>
      </c>
      <c r="DC4" s="141">
        <f t="shared" ca="1" si="1"/>
        <v>13980822</v>
      </c>
      <c r="DD4" s="141">
        <f t="shared" ca="1" si="1"/>
        <v>13980823</v>
      </c>
      <c r="DE4" s="141">
        <f t="shared" ca="1" si="1"/>
        <v>13980824</v>
      </c>
      <c r="DF4" s="141">
        <f t="shared" ca="1" si="1"/>
        <v>13980825</v>
      </c>
      <c r="DG4" s="141">
        <f t="shared" ca="1" si="1"/>
        <v>13980826</v>
      </c>
      <c r="DH4" s="141">
        <f t="shared" ca="1" si="1"/>
        <v>13980827</v>
      </c>
      <c r="DI4" s="141">
        <f t="shared" ca="1" si="1"/>
        <v>13980828</v>
      </c>
      <c r="DJ4" s="141">
        <f t="shared" ca="1" si="1"/>
        <v>13980829</v>
      </c>
      <c r="DK4" s="141">
        <f t="shared" ca="1" si="1"/>
        <v>13980830</v>
      </c>
      <c r="DL4" s="141">
        <f t="shared" ca="1" si="1"/>
        <v>13980901</v>
      </c>
      <c r="DM4" s="141">
        <f t="shared" ca="1" si="1"/>
        <v>13980902</v>
      </c>
      <c r="DN4" s="141">
        <f t="shared" ca="1" si="1"/>
        <v>13980903</v>
      </c>
      <c r="DO4" s="141">
        <f t="shared" ca="1" si="1"/>
        <v>13980904</v>
      </c>
      <c r="DP4" s="141">
        <f t="shared" ca="1" si="1"/>
        <v>13980905</v>
      </c>
      <c r="DQ4" s="141">
        <f t="shared" ca="1" si="1"/>
        <v>13980906</v>
      </c>
      <c r="DR4" s="141">
        <f t="shared" ca="1" si="1"/>
        <v>13980907</v>
      </c>
      <c r="DS4" s="141">
        <f t="shared" ca="1" si="1"/>
        <v>13980908</v>
      </c>
      <c r="DT4" s="141">
        <f t="shared" ca="1" si="1"/>
        <v>13980909</v>
      </c>
      <c r="DU4" s="141">
        <f t="shared" ca="1" si="1"/>
        <v>13980910</v>
      </c>
      <c r="DV4" s="141">
        <f t="shared" ca="1" si="1"/>
        <v>13980911</v>
      </c>
      <c r="DW4" s="141">
        <f t="shared" ca="1" si="1"/>
        <v>13980912</v>
      </c>
      <c r="DX4" s="141">
        <f t="shared" ca="1" si="1"/>
        <v>13980913</v>
      </c>
      <c r="DY4" s="141">
        <f t="shared" ca="1" si="1"/>
        <v>13980914</v>
      </c>
      <c r="DZ4" s="141">
        <f t="shared" ca="1" si="1"/>
        <v>13980915</v>
      </c>
      <c r="EA4" s="141">
        <f t="shared" ca="1" si="1"/>
        <v>13980916</v>
      </c>
      <c r="EB4" s="141">
        <f t="shared" ca="1" si="1"/>
        <v>13980917</v>
      </c>
      <c r="EC4" s="141">
        <f t="shared" ca="1" si="1"/>
        <v>13980918</v>
      </c>
      <c r="ED4" s="141">
        <f t="shared" ca="1" si="1"/>
        <v>13980919</v>
      </c>
      <c r="EE4" s="141">
        <f t="shared" ca="1" si="1"/>
        <v>13980920</v>
      </c>
      <c r="EF4" s="141">
        <f t="shared" ca="1" si="1"/>
        <v>13980921</v>
      </c>
      <c r="EG4" s="141">
        <f t="shared" ca="1" si="1"/>
        <v>13980922</v>
      </c>
      <c r="EH4" s="141">
        <f t="shared" ca="1" si="1"/>
        <v>13980923</v>
      </c>
      <c r="EI4" s="141">
        <f t="shared" ca="1" si="1"/>
        <v>13980924</v>
      </c>
      <c r="EJ4" s="141">
        <f t="shared" ca="1" si="1"/>
        <v>13980925</v>
      </c>
      <c r="EK4" s="141">
        <f t="shared" ca="1" si="1"/>
        <v>13980926</v>
      </c>
      <c r="EL4" s="141">
        <f t="shared" ca="1" si="1"/>
        <v>13980927</v>
      </c>
      <c r="EM4" s="141">
        <f t="shared" ca="1" si="1"/>
        <v>13980928</v>
      </c>
      <c r="EN4" s="141">
        <f t="shared" ca="1" si="1"/>
        <v>13980929</v>
      </c>
      <c r="EO4" s="141">
        <f t="shared" ca="1" si="1"/>
        <v>13980930</v>
      </c>
      <c r="EP4" s="141">
        <f t="shared" ca="1" si="1"/>
        <v>13981001</v>
      </c>
      <c r="EQ4" s="141">
        <f t="shared" ca="1" si="1"/>
        <v>13981002</v>
      </c>
      <c r="ER4" s="141">
        <f t="shared" ref="ER4:HC4" ca="1" si="2">VALUE(ER5)</f>
        <v>13981003</v>
      </c>
      <c r="ES4" s="141">
        <f t="shared" ca="1" si="2"/>
        <v>13981004</v>
      </c>
      <c r="ET4" s="141">
        <f t="shared" ca="1" si="2"/>
        <v>13981005</v>
      </c>
      <c r="EU4" s="141">
        <f t="shared" ca="1" si="2"/>
        <v>13981006</v>
      </c>
      <c r="EV4" s="141">
        <f t="shared" ca="1" si="2"/>
        <v>13981007</v>
      </c>
      <c r="EW4" s="141">
        <f t="shared" ca="1" si="2"/>
        <v>13981008</v>
      </c>
      <c r="EX4" s="141">
        <f t="shared" ca="1" si="2"/>
        <v>13981009</v>
      </c>
      <c r="EY4" s="141">
        <f t="shared" ca="1" si="2"/>
        <v>13981010</v>
      </c>
      <c r="EZ4" s="141">
        <f t="shared" ca="1" si="2"/>
        <v>13981011</v>
      </c>
      <c r="FA4" s="141">
        <f t="shared" ca="1" si="2"/>
        <v>13981012</v>
      </c>
      <c r="FB4" s="141">
        <f t="shared" ca="1" si="2"/>
        <v>13981013</v>
      </c>
      <c r="FC4" s="141">
        <f t="shared" ca="1" si="2"/>
        <v>13981014</v>
      </c>
      <c r="FD4" s="141">
        <f t="shared" ca="1" si="2"/>
        <v>13981015</v>
      </c>
      <c r="FE4" s="141">
        <f t="shared" ca="1" si="2"/>
        <v>13981016</v>
      </c>
      <c r="FF4" s="141">
        <f t="shared" ca="1" si="2"/>
        <v>13981017</v>
      </c>
      <c r="FG4" s="141">
        <f t="shared" ca="1" si="2"/>
        <v>13981018</v>
      </c>
      <c r="FH4" s="141">
        <f t="shared" ca="1" si="2"/>
        <v>13981019</v>
      </c>
      <c r="FI4" s="141">
        <f t="shared" ca="1" si="2"/>
        <v>13981020</v>
      </c>
      <c r="FJ4" s="141">
        <f t="shared" ca="1" si="2"/>
        <v>13981021</v>
      </c>
      <c r="FK4" s="141">
        <f t="shared" ca="1" si="2"/>
        <v>13981022</v>
      </c>
      <c r="FL4" s="141">
        <f t="shared" ca="1" si="2"/>
        <v>13981023</v>
      </c>
      <c r="FM4" s="141">
        <f t="shared" ca="1" si="2"/>
        <v>13981024</v>
      </c>
      <c r="FN4" s="141">
        <f t="shared" ca="1" si="2"/>
        <v>13981025</v>
      </c>
      <c r="FO4" s="141">
        <f t="shared" ca="1" si="2"/>
        <v>13981026</v>
      </c>
      <c r="FP4" s="141">
        <f t="shared" ca="1" si="2"/>
        <v>13981027</v>
      </c>
      <c r="FQ4" s="141">
        <f t="shared" ca="1" si="2"/>
        <v>13981028</v>
      </c>
      <c r="FR4" s="141">
        <f t="shared" ca="1" si="2"/>
        <v>13981029</v>
      </c>
      <c r="FS4" s="141">
        <f t="shared" ca="1" si="2"/>
        <v>13981030</v>
      </c>
      <c r="FT4" s="141">
        <f t="shared" ca="1" si="2"/>
        <v>13981101</v>
      </c>
      <c r="FU4" s="141">
        <f t="shared" ca="1" si="2"/>
        <v>13981102</v>
      </c>
      <c r="FV4" s="141">
        <f t="shared" ca="1" si="2"/>
        <v>13981103</v>
      </c>
      <c r="FW4" s="141">
        <f t="shared" ca="1" si="2"/>
        <v>13981104</v>
      </c>
      <c r="FX4" s="141">
        <f t="shared" ca="1" si="2"/>
        <v>13981105</v>
      </c>
      <c r="FY4" s="141">
        <f t="shared" ca="1" si="2"/>
        <v>13981106</v>
      </c>
      <c r="FZ4" s="141">
        <f t="shared" ca="1" si="2"/>
        <v>13981107</v>
      </c>
      <c r="GA4" s="141">
        <f t="shared" ca="1" si="2"/>
        <v>13981108</v>
      </c>
      <c r="GB4" s="141">
        <f t="shared" ca="1" si="2"/>
        <v>13981109</v>
      </c>
      <c r="GC4" s="141">
        <f t="shared" ca="1" si="2"/>
        <v>13981110</v>
      </c>
      <c r="GD4" s="141">
        <f t="shared" ca="1" si="2"/>
        <v>13981111</v>
      </c>
      <c r="GE4" s="141">
        <f t="shared" ca="1" si="2"/>
        <v>13981112</v>
      </c>
      <c r="GF4" s="141">
        <f t="shared" ca="1" si="2"/>
        <v>13981113</v>
      </c>
      <c r="GG4" s="141">
        <f t="shared" ca="1" si="2"/>
        <v>13981114</v>
      </c>
      <c r="GH4" s="141">
        <f t="shared" ca="1" si="2"/>
        <v>13981115</v>
      </c>
      <c r="GI4" s="141">
        <f t="shared" ca="1" si="2"/>
        <v>13981116</v>
      </c>
      <c r="GJ4" s="141">
        <f t="shared" ca="1" si="2"/>
        <v>13981117</v>
      </c>
      <c r="GK4" s="141">
        <f t="shared" ca="1" si="2"/>
        <v>13981118</v>
      </c>
      <c r="GL4" s="141">
        <f t="shared" ca="1" si="2"/>
        <v>13981119</v>
      </c>
      <c r="GM4" s="141">
        <f t="shared" ca="1" si="2"/>
        <v>13981120</v>
      </c>
      <c r="GN4" s="141">
        <f t="shared" ca="1" si="2"/>
        <v>13981121</v>
      </c>
      <c r="GO4" s="141">
        <f t="shared" ca="1" si="2"/>
        <v>13981122</v>
      </c>
      <c r="GP4" s="141">
        <f t="shared" ca="1" si="2"/>
        <v>13981123</v>
      </c>
      <c r="GQ4" s="141">
        <f t="shared" ca="1" si="2"/>
        <v>13981124</v>
      </c>
      <c r="GR4" s="141">
        <f t="shared" ca="1" si="2"/>
        <v>13981125</v>
      </c>
      <c r="GS4" s="141">
        <f t="shared" ca="1" si="2"/>
        <v>13981126</v>
      </c>
      <c r="GT4" s="141">
        <f t="shared" ca="1" si="2"/>
        <v>13981127</v>
      </c>
      <c r="GU4" s="141">
        <f t="shared" ca="1" si="2"/>
        <v>13981128</v>
      </c>
      <c r="GV4" s="141">
        <f t="shared" ca="1" si="2"/>
        <v>13981129</v>
      </c>
      <c r="GW4" s="141">
        <f t="shared" ca="1" si="2"/>
        <v>13981130</v>
      </c>
      <c r="GX4" s="141">
        <f t="shared" ca="1" si="2"/>
        <v>13981201</v>
      </c>
      <c r="GY4" s="141">
        <f t="shared" ca="1" si="2"/>
        <v>13981202</v>
      </c>
      <c r="GZ4" s="141">
        <f t="shared" ca="1" si="2"/>
        <v>13981203</v>
      </c>
      <c r="HA4" s="141">
        <f t="shared" ca="1" si="2"/>
        <v>13981204</v>
      </c>
      <c r="HB4" s="141">
        <f t="shared" ca="1" si="2"/>
        <v>13981205</v>
      </c>
      <c r="HC4" s="141">
        <f t="shared" ca="1" si="2"/>
        <v>13981206</v>
      </c>
      <c r="HD4" s="141">
        <f t="shared" ref="HD4:IW4" ca="1" si="3">VALUE(HD5)</f>
        <v>13981207</v>
      </c>
      <c r="HE4" s="141">
        <f t="shared" ca="1" si="3"/>
        <v>13981208</v>
      </c>
      <c r="HF4" s="141">
        <f t="shared" ca="1" si="3"/>
        <v>13981209</v>
      </c>
      <c r="HG4" s="141">
        <f t="shared" ca="1" si="3"/>
        <v>13981210</v>
      </c>
      <c r="HH4" s="141">
        <f t="shared" ca="1" si="3"/>
        <v>13981211</v>
      </c>
      <c r="HI4" s="141">
        <f t="shared" ca="1" si="3"/>
        <v>13981212</v>
      </c>
      <c r="HJ4" s="141">
        <f t="shared" ca="1" si="3"/>
        <v>13981213</v>
      </c>
      <c r="HK4" s="141">
        <f t="shared" ca="1" si="3"/>
        <v>13981214</v>
      </c>
      <c r="HL4" s="141">
        <f t="shared" ca="1" si="3"/>
        <v>13981215</v>
      </c>
      <c r="HM4" s="141">
        <f t="shared" ca="1" si="3"/>
        <v>13981216</v>
      </c>
      <c r="HN4" s="141">
        <f t="shared" ca="1" si="3"/>
        <v>13981217</v>
      </c>
      <c r="HO4" s="141">
        <f t="shared" ca="1" si="3"/>
        <v>13981218</v>
      </c>
      <c r="HP4" s="141">
        <f t="shared" ca="1" si="3"/>
        <v>13981219</v>
      </c>
      <c r="HQ4" s="141">
        <f t="shared" ca="1" si="3"/>
        <v>13981220</v>
      </c>
      <c r="HR4" s="141">
        <f t="shared" ca="1" si="3"/>
        <v>13981221</v>
      </c>
      <c r="HS4" s="141">
        <f t="shared" ca="1" si="3"/>
        <v>13981222</v>
      </c>
      <c r="HT4" s="141">
        <f t="shared" ca="1" si="3"/>
        <v>13981223</v>
      </c>
      <c r="HU4" s="141">
        <f t="shared" ca="1" si="3"/>
        <v>13981224</v>
      </c>
      <c r="HV4" s="141">
        <f t="shared" ca="1" si="3"/>
        <v>13981225</v>
      </c>
      <c r="HW4" s="141">
        <f t="shared" ca="1" si="3"/>
        <v>13981226</v>
      </c>
      <c r="HX4" s="141">
        <f t="shared" ca="1" si="3"/>
        <v>13981227</v>
      </c>
      <c r="HY4" s="141">
        <f t="shared" ca="1" si="3"/>
        <v>13981228</v>
      </c>
      <c r="HZ4" s="141">
        <f t="shared" ca="1" si="3"/>
        <v>13981229</v>
      </c>
      <c r="IA4" s="141">
        <f t="shared" ca="1" si="3"/>
        <v>13990101</v>
      </c>
      <c r="IB4" s="141">
        <f t="shared" ca="1" si="3"/>
        <v>13990102</v>
      </c>
      <c r="IC4" s="141">
        <f t="shared" ca="1" si="3"/>
        <v>13990103</v>
      </c>
      <c r="ID4" s="141">
        <f t="shared" ca="1" si="3"/>
        <v>13990104</v>
      </c>
      <c r="IE4" s="141">
        <f t="shared" ca="1" si="3"/>
        <v>13990105</v>
      </c>
      <c r="IF4" s="141">
        <f t="shared" ca="1" si="3"/>
        <v>13990106</v>
      </c>
      <c r="IG4" s="141">
        <f t="shared" ca="1" si="3"/>
        <v>13990107</v>
      </c>
      <c r="IH4" s="141">
        <f t="shared" ca="1" si="3"/>
        <v>13990108</v>
      </c>
      <c r="II4" s="141">
        <f t="shared" ca="1" si="3"/>
        <v>13990109</v>
      </c>
      <c r="IJ4" s="141">
        <f t="shared" ca="1" si="3"/>
        <v>13990110</v>
      </c>
      <c r="IK4" s="141">
        <f t="shared" ca="1" si="3"/>
        <v>13990111</v>
      </c>
      <c r="IL4" s="141">
        <f t="shared" ca="1" si="3"/>
        <v>13990112</v>
      </c>
      <c r="IM4" s="141">
        <f t="shared" ca="1" si="3"/>
        <v>13990113</v>
      </c>
      <c r="IN4" s="141">
        <f t="shared" ca="1" si="3"/>
        <v>13990114</v>
      </c>
      <c r="IO4" s="141">
        <f t="shared" ca="1" si="3"/>
        <v>13990115</v>
      </c>
      <c r="IP4" s="141">
        <f t="shared" ca="1" si="3"/>
        <v>13990116</v>
      </c>
      <c r="IQ4" s="141">
        <f t="shared" ca="1" si="3"/>
        <v>13990117</v>
      </c>
      <c r="IR4" s="141">
        <f t="shared" ca="1" si="3"/>
        <v>13990118</v>
      </c>
      <c r="IS4" s="141">
        <f t="shared" ca="1" si="3"/>
        <v>13990119</v>
      </c>
      <c r="IT4" s="141">
        <f t="shared" ca="1" si="3"/>
        <v>13990120</v>
      </c>
      <c r="IU4" s="141">
        <f t="shared" ca="1" si="3"/>
        <v>13990121</v>
      </c>
      <c r="IV4" s="141">
        <f t="shared" ca="1" si="3"/>
        <v>13990122</v>
      </c>
      <c r="IW4" s="141">
        <f t="shared" ca="1" si="3"/>
        <v>13990123</v>
      </c>
    </row>
    <row r="5" spans="1:264" s="221" customFormat="1" ht="18.75" hidden="1" x14ac:dyDescent="0.55000000000000004">
      <c r="A5" s="142"/>
      <c r="B5" s="163" t="s">
        <v>146</v>
      </c>
      <c r="C5" s="248" t="str">
        <f ca="1">S6&amp;" - "&amp;IT6</f>
        <v>1398/05/26 - 1399/01/20</v>
      </c>
      <c r="D5" s="248"/>
      <c r="E5" s="248"/>
      <c r="F5" s="248"/>
      <c r="G5" s="248"/>
      <c r="H5" s="248"/>
      <c r="I5" s="145"/>
      <c r="J5" s="165"/>
      <c r="K5" s="147"/>
      <c r="L5" s="164"/>
      <c r="M5" s="148"/>
      <c r="N5" s="141"/>
      <c r="O5" s="148"/>
      <c r="P5" s="148"/>
      <c r="Q5" s="141"/>
      <c r="R5" s="166">
        <v>0</v>
      </c>
      <c r="S5" s="167" t="str">
        <f ca="1">J_normdate(J_ADDDAY(J_SUBDAY(FDate(MIN(OFFSET(E6,0,0,500,1))),j_WEEKDAY(FDate(MIN(OFFSET(E6,0,0,500,1))),0),1),7*R5,1))</f>
        <v>13980526</v>
      </c>
      <c r="T5" s="167" t="str">
        <f ca="1">J_normdate(J_ADDDAY(FDate(S5),1,1))</f>
        <v>13980527</v>
      </c>
      <c r="U5" s="167" t="str">
        <f ca="1">J_normdate(J_ADDDAY(FDate(T5),1,1))</f>
        <v>13980528</v>
      </c>
      <c r="V5" s="167" t="str">
        <f ca="1">J_normdate(J_ADDDAY(FDate(U5),1,1))</f>
        <v>13980529</v>
      </c>
      <c r="W5" s="167" t="str">
        <f ca="1">J_normdate(J_ADDDAY(FDate(V5),1,1))</f>
        <v>13980530</v>
      </c>
      <c r="X5" s="167" t="str">
        <f ca="1">J_normdate(J_ADDDAY(FDate(W5),1,1))</f>
        <v>13980531</v>
      </c>
      <c r="Y5" s="167" t="str">
        <f ca="1">J_normdate(J_ADDDAY(FDate(X5),1,1))</f>
        <v>13980601</v>
      </c>
      <c r="Z5" s="167" t="str">
        <f ca="1">J_normdate(J_ADDDAY(FDate(Y5),1,1))</f>
        <v>13980602</v>
      </c>
      <c r="AA5" s="167" t="str">
        <f ca="1">J_normdate(J_ADDDAY(FDate(Z5),1,1))</f>
        <v>13980603</v>
      </c>
      <c r="AB5" s="167" t="str">
        <f ca="1">J_normdate(J_ADDDAY(FDate(AA5),1,1))</f>
        <v>13980604</v>
      </c>
      <c r="AC5" s="167" t="str">
        <f ca="1">J_normdate(J_ADDDAY(FDate(AB5),1,1))</f>
        <v>13980605</v>
      </c>
      <c r="AD5" s="167" t="str">
        <f ca="1">J_normdate(J_ADDDAY(FDate(AC5),1,1))</f>
        <v>13980606</v>
      </c>
      <c r="AE5" s="167" t="str">
        <f ca="1">J_normdate(J_ADDDAY(FDate(AD5),1,1))</f>
        <v>13980607</v>
      </c>
      <c r="AF5" s="167" t="str">
        <f ca="1">J_normdate(J_ADDDAY(FDate(AE5),1,1))</f>
        <v>13980608</v>
      </c>
      <c r="AG5" s="167" t="str">
        <f ca="1">J_normdate(J_ADDDAY(FDate(AF5),1,1))</f>
        <v>13980609</v>
      </c>
      <c r="AH5" s="167" t="str">
        <f ca="1">J_normdate(J_ADDDAY(FDate(AG5),1,1))</f>
        <v>13980610</v>
      </c>
      <c r="AI5" s="167" t="str">
        <f ca="1">J_normdate(J_ADDDAY(FDate(AH5),1,1))</f>
        <v>13980611</v>
      </c>
      <c r="AJ5" s="167" t="str">
        <f ca="1">J_normdate(J_ADDDAY(FDate(AI5),1,1))</f>
        <v>13980612</v>
      </c>
      <c r="AK5" s="167" t="str">
        <f ca="1">J_normdate(J_ADDDAY(FDate(AJ5),1,1))</f>
        <v>13980613</v>
      </c>
      <c r="AL5" s="167" t="str">
        <f ca="1">J_normdate(J_ADDDAY(FDate(AK5),1,1))</f>
        <v>13980614</v>
      </c>
      <c r="AM5" s="167" t="str">
        <f ca="1">J_normdate(J_ADDDAY(FDate(AL5),1,1))</f>
        <v>13980615</v>
      </c>
      <c r="AN5" s="167" t="str">
        <f ca="1">J_normdate(J_ADDDAY(FDate(AM5),1,1))</f>
        <v>13980616</v>
      </c>
      <c r="AO5" s="167" t="str">
        <f ca="1">J_normdate(J_ADDDAY(FDate(AN5),1,1))</f>
        <v>13980617</v>
      </c>
      <c r="AP5" s="167" t="str">
        <f ca="1">J_normdate(J_ADDDAY(FDate(AO5),1,1))</f>
        <v>13980618</v>
      </c>
      <c r="AQ5" s="167" t="str">
        <f ca="1">J_normdate(J_ADDDAY(FDate(AP5),1,1))</f>
        <v>13980619</v>
      </c>
      <c r="AR5" s="167" t="str">
        <f ca="1">J_normdate(J_ADDDAY(FDate(AQ5),1,1))</f>
        <v>13980620</v>
      </c>
      <c r="AS5" s="167" t="str">
        <f ca="1">J_normdate(J_ADDDAY(FDate(AR5),1,1))</f>
        <v>13980621</v>
      </c>
      <c r="AT5" s="167" t="str">
        <f ca="1">J_normdate(J_ADDDAY(FDate(AS5),1,1))</f>
        <v>13980622</v>
      </c>
      <c r="AU5" s="167" t="str">
        <f ca="1">J_normdate(J_ADDDAY(FDate(AT5),1,1))</f>
        <v>13980623</v>
      </c>
      <c r="AV5" s="167" t="str">
        <f ca="1">J_normdate(J_ADDDAY(FDate(AU5),1,1))</f>
        <v>13980624</v>
      </c>
      <c r="AW5" s="167" t="str">
        <f ca="1">J_normdate(J_ADDDAY(FDate(AV5),1,1))</f>
        <v>13980625</v>
      </c>
      <c r="AX5" s="167" t="str">
        <f ca="1">J_normdate(J_ADDDAY(FDate(AW5),1,1))</f>
        <v>13980626</v>
      </c>
      <c r="AY5" s="167" t="str">
        <f ca="1">J_normdate(J_ADDDAY(FDate(AX5),1,1))</f>
        <v>13980627</v>
      </c>
      <c r="AZ5" s="167" t="str">
        <f ca="1">J_normdate(J_ADDDAY(FDate(AY5),1,1))</f>
        <v>13980628</v>
      </c>
      <c r="BA5" s="167" t="str">
        <f ca="1">J_normdate(J_ADDDAY(FDate(AZ5),1,1))</f>
        <v>13980629</v>
      </c>
      <c r="BB5" s="167" t="str">
        <f ca="1">J_normdate(J_ADDDAY(FDate(BA5),1,1))</f>
        <v>13980630</v>
      </c>
      <c r="BC5" s="167" t="str">
        <f ca="1">J_normdate(J_ADDDAY(FDate(BB5),1,1))</f>
        <v>13980631</v>
      </c>
      <c r="BD5" s="167" t="str">
        <f ca="1">J_normdate(J_ADDDAY(FDate(BC5),1,1))</f>
        <v>13980701</v>
      </c>
      <c r="BE5" s="167" t="str">
        <f ca="1">J_normdate(J_ADDDAY(FDate(BD5),1,1))</f>
        <v>13980702</v>
      </c>
      <c r="BF5" s="167" t="str">
        <f ca="1">J_normdate(J_ADDDAY(FDate(BE5),1,1))</f>
        <v>13980703</v>
      </c>
      <c r="BG5" s="167" t="str">
        <f ca="1">J_normdate(J_ADDDAY(FDate(BF5),1,1))</f>
        <v>13980704</v>
      </c>
      <c r="BH5" s="167" t="str">
        <f ca="1">J_normdate(J_ADDDAY(FDate(BG5),1,1))</f>
        <v>13980705</v>
      </c>
      <c r="BI5" s="167" t="str">
        <f ca="1">J_normdate(J_ADDDAY(FDate(BH5),1,1))</f>
        <v>13980706</v>
      </c>
      <c r="BJ5" s="167" t="str">
        <f ca="1">J_normdate(J_ADDDAY(FDate(BI5),1,1))</f>
        <v>13980707</v>
      </c>
      <c r="BK5" s="167" t="str">
        <f ca="1">J_normdate(J_ADDDAY(FDate(BJ5),1,1))</f>
        <v>13980708</v>
      </c>
      <c r="BL5" s="167" t="str">
        <f ca="1">J_normdate(J_ADDDAY(FDate(BK5),1,1))</f>
        <v>13980709</v>
      </c>
      <c r="BM5" s="167" t="str">
        <f ca="1">J_normdate(J_ADDDAY(FDate(BL5),1,1))</f>
        <v>13980710</v>
      </c>
      <c r="BN5" s="167" t="str">
        <f ca="1">J_normdate(J_ADDDAY(FDate(BM5),1,1))</f>
        <v>13980711</v>
      </c>
      <c r="BO5" s="167" t="str">
        <f ca="1">J_normdate(J_ADDDAY(FDate(BN5),1,1))</f>
        <v>13980712</v>
      </c>
      <c r="BP5" s="167" t="str">
        <f ca="1">J_normdate(J_ADDDAY(FDate(BO5),1,1))</f>
        <v>13980713</v>
      </c>
      <c r="BQ5" s="167" t="str">
        <f ca="1">J_normdate(J_ADDDAY(FDate(BP5),1,1))</f>
        <v>13980714</v>
      </c>
      <c r="BR5" s="167" t="str">
        <f ca="1">J_normdate(J_ADDDAY(FDate(BQ5),1,1))</f>
        <v>13980715</v>
      </c>
      <c r="BS5" s="167" t="str">
        <f ca="1">J_normdate(J_ADDDAY(FDate(BR5),1,1))</f>
        <v>13980716</v>
      </c>
      <c r="BT5" s="167" t="str">
        <f ca="1">J_normdate(J_ADDDAY(FDate(BS5),1,1))</f>
        <v>13980717</v>
      </c>
      <c r="BU5" s="167" t="str">
        <f ca="1">J_normdate(J_ADDDAY(FDate(BT5),1,1))</f>
        <v>13980718</v>
      </c>
      <c r="BV5" s="167" t="str">
        <f ca="1">J_normdate(J_ADDDAY(FDate(BU5),1,1))</f>
        <v>13980719</v>
      </c>
      <c r="BW5" s="167" t="str">
        <f ca="1">J_normdate(J_ADDDAY(FDate(BV5),1,1))</f>
        <v>13980720</v>
      </c>
      <c r="BX5" s="167" t="str">
        <f ca="1">J_normdate(J_ADDDAY(FDate(BW5),1,1))</f>
        <v>13980721</v>
      </c>
      <c r="BY5" s="167" t="str">
        <f ca="1">J_normdate(J_ADDDAY(FDate(BX5),1,1))</f>
        <v>13980722</v>
      </c>
      <c r="BZ5" s="167" t="str">
        <f ca="1">J_normdate(J_ADDDAY(FDate(BY5),1,1))</f>
        <v>13980723</v>
      </c>
      <c r="CA5" s="167" t="str">
        <f ca="1">J_normdate(J_ADDDAY(FDate(BZ5),1,1))</f>
        <v>13980724</v>
      </c>
      <c r="CB5" s="167" t="str">
        <f ca="1">J_normdate(J_ADDDAY(FDate(CA5),1,1))</f>
        <v>13980725</v>
      </c>
      <c r="CC5" s="167" t="str">
        <f ca="1">J_normdate(J_ADDDAY(FDate(CB5),1,1))</f>
        <v>13980726</v>
      </c>
      <c r="CD5" s="167" t="str">
        <f ca="1">J_normdate(J_ADDDAY(FDate(CC5),1,1))</f>
        <v>13980727</v>
      </c>
      <c r="CE5" s="167" t="str">
        <f ca="1">J_normdate(J_ADDDAY(FDate(CD5),1,1))</f>
        <v>13980728</v>
      </c>
      <c r="CF5" s="167" t="str">
        <f ca="1">J_normdate(J_ADDDAY(FDate(CE5),1,1))</f>
        <v>13980729</v>
      </c>
      <c r="CG5" s="167" t="str">
        <f ca="1">J_normdate(J_ADDDAY(FDate(CF5),1,1))</f>
        <v>13980730</v>
      </c>
      <c r="CH5" s="167" t="str">
        <f ca="1">J_normdate(J_ADDDAY(FDate(CG5),1,1))</f>
        <v>13980801</v>
      </c>
      <c r="CI5" s="167" t="str">
        <f ca="1">J_normdate(J_ADDDAY(FDate(CH5),1,1))</f>
        <v>13980802</v>
      </c>
      <c r="CJ5" s="167" t="str">
        <f ca="1">J_normdate(J_ADDDAY(FDate(CI5),1,1))</f>
        <v>13980803</v>
      </c>
      <c r="CK5" s="167" t="str">
        <f ca="1">J_normdate(J_ADDDAY(FDate(CJ5),1,1))</f>
        <v>13980804</v>
      </c>
      <c r="CL5" s="167" t="str">
        <f ca="1">J_normdate(J_ADDDAY(FDate(CK5),1,1))</f>
        <v>13980805</v>
      </c>
      <c r="CM5" s="167" t="str">
        <f ca="1">J_normdate(J_ADDDAY(FDate(CL5),1,1))</f>
        <v>13980806</v>
      </c>
      <c r="CN5" s="167" t="str">
        <f ca="1">J_normdate(J_ADDDAY(FDate(CM5),1,1))</f>
        <v>13980807</v>
      </c>
      <c r="CO5" s="167" t="str">
        <f ca="1">J_normdate(J_ADDDAY(FDate(CN5),1,1))</f>
        <v>13980808</v>
      </c>
      <c r="CP5" s="167" t="str">
        <f ca="1">J_normdate(J_ADDDAY(FDate(CO5),1,1))</f>
        <v>13980809</v>
      </c>
      <c r="CQ5" s="167" t="str">
        <f ca="1">J_normdate(J_ADDDAY(FDate(CP5),1,1))</f>
        <v>13980810</v>
      </c>
      <c r="CR5" s="167" t="str">
        <f ca="1">J_normdate(J_ADDDAY(FDate(CQ5),1,1))</f>
        <v>13980811</v>
      </c>
      <c r="CS5" s="167" t="str">
        <f ca="1">J_normdate(J_ADDDAY(FDate(CR5),1,1))</f>
        <v>13980812</v>
      </c>
      <c r="CT5" s="167" t="str">
        <f ca="1">J_normdate(J_ADDDAY(FDate(CS5),1,1))</f>
        <v>13980813</v>
      </c>
      <c r="CU5" s="167" t="str">
        <f ca="1">J_normdate(J_ADDDAY(FDate(CT5),1,1))</f>
        <v>13980814</v>
      </c>
      <c r="CV5" s="167" t="str">
        <f ca="1">J_normdate(J_ADDDAY(FDate(CU5),1,1))</f>
        <v>13980815</v>
      </c>
      <c r="CW5" s="167" t="str">
        <f ca="1">J_normdate(J_ADDDAY(FDate(CV5),1,1))</f>
        <v>13980816</v>
      </c>
      <c r="CX5" s="167" t="str">
        <f ca="1">J_normdate(J_ADDDAY(FDate(CW5),1,1))</f>
        <v>13980817</v>
      </c>
      <c r="CY5" s="167" t="str">
        <f ca="1">J_normdate(J_ADDDAY(FDate(CX5),1,1))</f>
        <v>13980818</v>
      </c>
      <c r="CZ5" s="167" t="str">
        <f ca="1">J_normdate(J_ADDDAY(FDate(CY5),1,1))</f>
        <v>13980819</v>
      </c>
      <c r="DA5" s="167" t="str">
        <f ca="1">J_normdate(J_ADDDAY(FDate(CZ5),1,1))</f>
        <v>13980820</v>
      </c>
      <c r="DB5" s="167" t="str">
        <f ca="1">J_normdate(J_ADDDAY(FDate(DA5),1,1))</f>
        <v>13980821</v>
      </c>
      <c r="DC5" s="167" t="str">
        <f ca="1">J_normdate(J_ADDDAY(FDate(DB5),1,1))</f>
        <v>13980822</v>
      </c>
      <c r="DD5" s="167" t="str">
        <f ca="1">J_normdate(J_ADDDAY(FDate(DC5),1,1))</f>
        <v>13980823</v>
      </c>
      <c r="DE5" s="167" t="str">
        <f ca="1">J_normdate(J_ADDDAY(FDate(DD5),1,1))</f>
        <v>13980824</v>
      </c>
      <c r="DF5" s="167" t="str">
        <f ca="1">J_normdate(J_ADDDAY(FDate(DE5),1,1))</f>
        <v>13980825</v>
      </c>
      <c r="DG5" s="167" t="str">
        <f ca="1">J_normdate(J_ADDDAY(FDate(DF5),1,1))</f>
        <v>13980826</v>
      </c>
      <c r="DH5" s="167" t="str">
        <f ca="1">J_normdate(J_ADDDAY(FDate(DG5),1,1))</f>
        <v>13980827</v>
      </c>
      <c r="DI5" s="167" t="str">
        <f ca="1">J_normdate(J_ADDDAY(FDate(DH5),1,1))</f>
        <v>13980828</v>
      </c>
      <c r="DJ5" s="167" t="str">
        <f ca="1">J_normdate(J_ADDDAY(FDate(DI5),1,1))</f>
        <v>13980829</v>
      </c>
      <c r="DK5" s="167" t="str">
        <f ca="1">J_normdate(J_ADDDAY(FDate(DJ5),1,1))</f>
        <v>13980830</v>
      </c>
      <c r="DL5" s="167" t="str">
        <f ca="1">J_normdate(J_ADDDAY(FDate(DK5),1,1))</f>
        <v>13980901</v>
      </c>
      <c r="DM5" s="167" t="str">
        <f ca="1">J_normdate(J_ADDDAY(FDate(DL5),1,1))</f>
        <v>13980902</v>
      </c>
      <c r="DN5" s="167" t="str">
        <f ca="1">J_normdate(J_ADDDAY(FDate(DM5),1,1))</f>
        <v>13980903</v>
      </c>
      <c r="DO5" s="167" t="str">
        <f ca="1">J_normdate(J_ADDDAY(FDate(DN5),1,1))</f>
        <v>13980904</v>
      </c>
      <c r="DP5" s="167" t="str">
        <f ca="1">J_normdate(J_ADDDAY(FDate(DO5),1,1))</f>
        <v>13980905</v>
      </c>
      <c r="DQ5" s="167" t="str">
        <f ca="1">J_normdate(J_ADDDAY(FDate(DP5),1,1))</f>
        <v>13980906</v>
      </c>
      <c r="DR5" s="167" t="str">
        <f ca="1">J_normdate(J_ADDDAY(FDate(DQ5),1,1))</f>
        <v>13980907</v>
      </c>
      <c r="DS5" s="167" t="str">
        <f ca="1">J_normdate(J_ADDDAY(FDate(DR5),1,1))</f>
        <v>13980908</v>
      </c>
      <c r="DT5" s="167" t="str">
        <f ca="1">J_normdate(J_ADDDAY(FDate(DS5),1,1))</f>
        <v>13980909</v>
      </c>
      <c r="DU5" s="167" t="str">
        <f ca="1">J_normdate(J_ADDDAY(FDate(DT5),1,1))</f>
        <v>13980910</v>
      </c>
      <c r="DV5" s="167" t="str">
        <f ca="1">J_normdate(J_ADDDAY(FDate(DU5),1,1))</f>
        <v>13980911</v>
      </c>
      <c r="DW5" s="167" t="str">
        <f ca="1">J_normdate(J_ADDDAY(FDate(DV5),1,1))</f>
        <v>13980912</v>
      </c>
      <c r="DX5" s="167" t="str">
        <f ca="1">J_normdate(J_ADDDAY(FDate(DW5),1,1))</f>
        <v>13980913</v>
      </c>
      <c r="DY5" s="167" t="str">
        <f ca="1">J_normdate(J_ADDDAY(FDate(DX5),1,1))</f>
        <v>13980914</v>
      </c>
      <c r="DZ5" s="167" t="str">
        <f ca="1">J_normdate(J_ADDDAY(FDate(DY5),1,1))</f>
        <v>13980915</v>
      </c>
      <c r="EA5" s="167" t="str">
        <f ca="1">J_normdate(J_ADDDAY(FDate(DZ5),1,1))</f>
        <v>13980916</v>
      </c>
      <c r="EB5" s="167" t="str">
        <f ca="1">J_normdate(J_ADDDAY(FDate(EA5),1,1))</f>
        <v>13980917</v>
      </c>
      <c r="EC5" s="167" t="str">
        <f ca="1">J_normdate(J_ADDDAY(FDate(EB5),1,1))</f>
        <v>13980918</v>
      </c>
      <c r="ED5" s="167" t="str">
        <f ca="1">J_normdate(J_ADDDAY(FDate(EC5),1,1))</f>
        <v>13980919</v>
      </c>
      <c r="EE5" s="167" t="str">
        <f ca="1">J_normdate(J_ADDDAY(FDate(ED5),1,1))</f>
        <v>13980920</v>
      </c>
      <c r="EF5" s="167" t="str">
        <f ca="1">J_normdate(J_ADDDAY(FDate(EE5),1,1))</f>
        <v>13980921</v>
      </c>
      <c r="EG5" s="167" t="str">
        <f ca="1">J_normdate(J_ADDDAY(FDate(EF5),1,1))</f>
        <v>13980922</v>
      </c>
      <c r="EH5" s="167" t="str">
        <f ca="1">J_normdate(J_ADDDAY(FDate(EG5),1,1))</f>
        <v>13980923</v>
      </c>
      <c r="EI5" s="167" t="str">
        <f ca="1">J_normdate(J_ADDDAY(FDate(EH5),1,1))</f>
        <v>13980924</v>
      </c>
      <c r="EJ5" s="167" t="str">
        <f ca="1">J_normdate(J_ADDDAY(FDate(EI5),1,1))</f>
        <v>13980925</v>
      </c>
      <c r="EK5" s="167" t="str">
        <f ca="1">J_normdate(J_ADDDAY(FDate(EJ5),1,1))</f>
        <v>13980926</v>
      </c>
      <c r="EL5" s="167" t="str">
        <f ca="1">J_normdate(J_ADDDAY(FDate(EK5),1,1))</f>
        <v>13980927</v>
      </c>
      <c r="EM5" s="167" t="str">
        <f ca="1">J_normdate(J_ADDDAY(FDate(EL5),1,1))</f>
        <v>13980928</v>
      </c>
      <c r="EN5" s="167" t="str">
        <f ca="1">J_normdate(J_ADDDAY(FDate(EM5),1,1))</f>
        <v>13980929</v>
      </c>
      <c r="EO5" s="167" t="str">
        <f ca="1">J_normdate(J_ADDDAY(FDate(EN5),1,1))</f>
        <v>13980930</v>
      </c>
      <c r="EP5" s="167" t="str">
        <f ca="1">J_normdate(J_ADDDAY(FDate(EO5),1,1))</f>
        <v>13981001</v>
      </c>
      <c r="EQ5" s="167" t="str">
        <f ca="1">J_normdate(J_ADDDAY(FDate(EP5),1,1))</f>
        <v>13981002</v>
      </c>
      <c r="ER5" s="167" t="str">
        <f ca="1">J_normdate(J_ADDDAY(FDate(EQ5),1,1))</f>
        <v>13981003</v>
      </c>
      <c r="ES5" s="167" t="str">
        <f ca="1">J_normdate(J_ADDDAY(FDate(ER5),1,1))</f>
        <v>13981004</v>
      </c>
      <c r="ET5" s="167" t="str">
        <f ca="1">J_normdate(J_ADDDAY(FDate(ES5),1,1))</f>
        <v>13981005</v>
      </c>
      <c r="EU5" s="167" t="str">
        <f ca="1">J_normdate(J_ADDDAY(FDate(ET5),1,1))</f>
        <v>13981006</v>
      </c>
      <c r="EV5" s="167" t="str">
        <f ca="1">J_normdate(J_ADDDAY(FDate(EU5),1,1))</f>
        <v>13981007</v>
      </c>
      <c r="EW5" s="167" t="str">
        <f ca="1">J_normdate(J_ADDDAY(FDate(EV5),1,1))</f>
        <v>13981008</v>
      </c>
      <c r="EX5" s="167" t="str">
        <f ca="1">J_normdate(J_ADDDAY(FDate(EW5),1,1))</f>
        <v>13981009</v>
      </c>
      <c r="EY5" s="167" t="str">
        <f ca="1">J_normdate(J_ADDDAY(FDate(EX5),1,1))</f>
        <v>13981010</v>
      </c>
      <c r="EZ5" s="167" t="str">
        <f ca="1">J_normdate(J_ADDDAY(FDate(EY5),1,1))</f>
        <v>13981011</v>
      </c>
      <c r="FA5" s="167" t="str">
        <f ca="1">J_normdate(J_ADDDAY(FDate(EZ5),1,1))</f>
        <v>13981012</v>
      </c>
      <c r="FB5" s="167" t="str">
        <f ca="1">J_normdate(J_ADDDAY(FDate(FA5),1,1))</f>
        <v>13981013</v>
      </c>
      <c r="FC5" s="167" t="str">
        <f ca="1">J_normdate(J_ADDDAY(FDate(FB5),1,1))</f>
        <v>13981014</v>
      </c>
      <c r="FD5" s="167" t="str">
        <f ca="1">J_normdate(J_ADDDAY(FDate(FC5),1,1))</f>
        <v>13981015</v>
      </c>
      <c r="FE5" s="167" t="str">
        <f ca="1">J_normdate(J_ADDDAY(FDate(FD5),1,1))</f>
        <v>13981016</v>
      </c>
      <c r="FF5" s="167" t="str">
        <f ca="1">J_normdate(J_ADDDAY(FDate(FE5),1,1))</f>
        <v>13981017</v>
      </c>
      <c r="FG5" s="167" t="str">
        <f ca="1">J_normdate(J_ADDDAY(FDate(FF5),1,1))</f>
        <v>13981018</v>
      </c>
      <c r="FH5" s="167" t="str">
        <f ca="1">J_normdate(J_ADDDAY(FDate(FG5),1,1))</f>
        <v>13981019</v>
      </c>
      <c r="FI5" s="167" t="str">
        <f ca="1">J_normdate(J_ADDDAY(FDate(FH5),1,1))</f>
        <v>13981020</v>
      </c>
      <c r="FJ5" s="167" t="str">
        <f ca="1">J_normdate(J_ADDDAY(FDate(FI5),1,1))</f>
        <v>13981021</v>
      </c>
      <c r="FK5" s="167" t="str">
        <f ca="1">J_normdate(J_ADDDAY(FDate(FJ5),1,1))</f>
        <v>13981022</v>
      </c>
      <c r="FL5" s="167" t="str">
        <f ca="1">J_normdate(J_ADDDAY(FDate(FK5),1,1))</f>
        <v>13981023</v>
      </c>
      <c r="FM5" s="167" t="str">
        <f ca="1">J_normdate(J_ADDDAY(FDate(FL5),1,1))</f>
        <v>13981024</v>
      </c>
      <c r="FN5" s="167" t="str">
        <f ca="1">J_normdate(J_ADDDAY(FDate(FM5),1,1))</f>
        <v>13981025</v>
      </c>
      <c r="FO5" s="167" t="str">
        <f ca="1">J_normdate(J_ADDDAY(FDate(FN5),1,1))</f>
        <v>13981026</v>
      </c>
      <c r="FP5" s="167" t="str">
        <f ca="1">J_normdate(J_ADDDAY(FDate(FO5),1,1))</f>
        <v>13981027</v>
      </c>
      <c r="FQ5" s="167" t="str">
        <f ca="1">J_normdate(J_ADDDAY(FDate(FP5),1,1))</f>
        <v>13981028</v>
      </c>
      <c r="FR5" s="167" t="str">
        <f ca="1">J_normdate(J_ADDDAY(FDate(FQ5),1,1))</f>
        <v>13981029</v>
      </c>
      <c r="FS5" s="167" t="str">
        <f ca="1">J_normdate(J_ADDDAY(FDate(FR5),1,1))</f>
        <v>13981030</v>
      </c>
      <c r="FT5" s="167" t="str">
        <f ca="1">J_normdate(J_ADDDAY(FDate(FS5),1,1))</f>
        <v>13981101</v>
      </c>
      <c r="FU5" s="167" t="str">
        <f ca="1">J_normdate(J_ADDDAY(FDate(FT5),1,1))</f>
        <v>13981102</v>
      </c>
      <c r="FV5" s="167" t="str">
        <f ca="1">J_normdate(J_ADDDAY(FDate(FU5),1,1))</f>
        <v>13981103</v>
      </c>
      <c r="FW5" s="167" t="str">
        <f ca="1">J_normdate(J_ADDDAY(FDate(FV5),1,1))</f>
        <v>13981104</v>
      </c>
      <c r="FX5" s="167" t="str">
        <f ca="1">J_normdate(J_ADDDAY(FDate(FW5),1,1))</f>
        <v>13981105</v>
      </c>
      <c r="FY5" s="167" t="str">
        <f ca="1">J_normdate(J_ADDDAY(FDate(FX5),1,1))</f>
        <v>13981106</v>
      </c>
      <c r="FZ5" s="167" t="str">
        <f ca="1">J_normdate(J_ADDDAY(FDate(FY5),1,1))</f>
        <v>13981107</v>
      </c>
      <c r="GA5" s="167" t="str">
        <f ca="1">J_normdate(J_ADDDAY(FDate(FZ5),1,1))</f>
        <v>13981108</v>
      </c>
      <c r="GB5" s="167" t="str">
        <f ca="1">J_normdate(J_ADDDAY(FDate(GA5),1,1))</f>
        <v>13981109</v>
      </c>
      <c r="GC5" s="167" t="str">
        <f ca="1">J_normdate(J_ADDDAY(FDate(GB5),1,1))</f>
        <v>13981110</v>
      </c>
      <c r="GD5" s="167" t="str">
        <f ca="1">J_normdate(J_ADDDAY(FDate(GC5),1,1))</f>
        <v>13981111</v>
      </c>
      <c r="GE5" s="167" t="str">
        <f ca="1">J_normdate(J_ADDDAY(FDate(GD5),1,1))</f>
        <v>13981112</v>
      </c>
      <c r="GF5" s="167" t="str">
        <f ca="1">J_normdate(J_ADDDAY(FDate(GE5),1,1))</f>
        <v>13981113</v>
      </c>
      <c r="GG5" s="167" t="str">
        <f ca="1">J_normdate(J_ADDDAY(FDate(GF5),1,1))</f>
        <v>13981114</v>
      </c>
      <c r="GH5" s="167" t="str">
        <f ca="1">J_normdate(J_ADDDAY(FDate(GG5),1,1))</f>
        <v>13981115</v>
      </c>
      <c r="GI5" s="167" t="str">
        <f ca="1">J_normdate(J_ADDDAY(FDate(GH5),1,1))</f>
        <v>13981116</v>
      </c>
      <c r="GJ5" s="167" t="str">
        <f ca="1">J_normdate(J_ADDDAY(FDate(GI5),1,1))</f>
        <v>13981117</v>
      </c>
      <c r="GK5" s="167" t="str">
        <f ca="1">J_normdate(J_ADDDAY(FDate(GJ5),1,1))</f>
        <v>13981118</v>
      </c>
      <c r="GL5" s="167" t="str">
        <f ca="1">J_normdate(J_ADDDAY(FDate(GK5),1,1))</f>
        <v>13981119</v>
      </c>
      <c r="GM5" s="167" t="str">
        <f ca="1">J_normdate(J_ADDDAY(FDate(GL5),1,1))</f>
        <v>13981120</v>
      </c>
      <c r="GN5" s="167" t="str">
        <f ca="1">J_normdate(J_ADDDAY(FDate(GM5),1,1))</f>
        <v>13981121</v>
      </c>
      <c r="GO5" s="167" t="str">
        <f ca="1">J_normdate(J_ADDDAY(FDate(GN5),1,1))</f>
        <v>13981122</v>
      </c>
      <c r="GP5" s="167" t="str">
        <f ca="1">J_normdate(J_ADDDAY(FDate(GO5),1,1))</f>
        <v>13981123</v>
      </c>
      <c r="GQ5" s="167" t="str">
        <f ca="1">J_normdate(J_ADDDAY(FDate(GP5),1,1))</f>
        <v>13981124</v>
      </c>
      <c r="GR5" s="167" t="str">
        <f ca="1">J_normdate(J_ADDDAY(FDate(GQ5),1,1))</f>
        <v>13981125</v>
      </c>
      <c r="GS5" s="167" t="str">
        <f ca="1">J_normdate(J_ADDDAY(FDate(GR5),1,1))</f>
        <v>13981126</v>
      </c>
      <c r="GT5" s="167" t="str">
        <f ca="1">J_normdate(J_ADDDAY(FDate(GS5),1,1))</f>
        <v>13981127</v>
      </c>
      <c r="GU5" s="167" t="str">
        <f ca="1">J_normdate(J_ADDDAY(FDate(GT5),1,1))</f>
        <v>13981128</v>
      </c>
      <c r="GV5" s="167" t="str">
        <f ca="1">J_normdate(J_ADDDAY(FDate(GU5),1,1))</f>
        <v>13981129</v>
      </c>
      <c r="GW5" s="167" t="str">
        <f ca="1">J_normdate(J_ADDDAY(FDate(GV5),1,1))</f>
        <v>13981130</v>
      </c>
      <c r="GX5" s="167" t="str">
        <f ca="1">J_normdate(J_ADDDAY(FDate(GW5),1,1))</f>
        <v>13981201</v>
      </c>
      <c r="GY5" s="167" t="str">
        <f ca="1">J_normdate(J_ADDDAY(FDate(GX5),1,1))</f>
        <v>13981202</v>
      </c>
      <c r="GZ5" s="167" t="str">
        <f ca="1">J_normdate(J_ADDDAY(FDate(GY5),1,1))</f>
        <v>13981203</v>
      </c>
      <c r="HA5" s="167" t="str">
        <f ca="1">J_normdate(J_ADDDAY(FDate(GZ5),1,1))</f>
        <v>13981204</v>
      </c>
      <c r="HB5" s="167" t="str">
        <f ca="1">J_normdate(J_ADDDAY(FDate(HA5),1,1))</f>
        <v>13981205</v>
      </c>
      <c r="HC5" s="167" t="str">
        <f ca="1">J_normdate(J_ADDDAY(FDate(HB5),1,1))</f>
        <v>13981206</v>
      </c>
      <c r="HD5" s="167" t="str">
        <f ca="1">J_normdate(J_ADDDAY(FDate(HC5),1,1))</f>
        <v>13981207</v>
      </c>
      <c r="HE5" s="167" t="str">
        <f ca="1">J_normdate(J_ADDDAY(FDate(HD5),1,1))</f>
        <v>13981208</v>
      </c>
      <c r="HF5" s="167" t="str">
        <f ca="1">J_normdate(J_ADDDAY(FDate(HE5),1,1))</f>
        <v>13981209</v>
      </c>
      <c r="HG5" s="167" t="str">
        <f ca="1">J_normdate(J_ADDDAY(FDate(HF5),1,1))</f>
        <v>13981210</v>
      </c>
      <c r="HH5" s="167" t="str">
        <f ca="1">J_normdate(J_ADDDAY(FDate(HG5),1,1))</f>
        <v>13981211</v>
      </c>
      <c r="HI5" s="167" t="str">
        <f ca="1">J_normdate(J_ADDDAY(FDate(HH5),1,1))</f>
        <v>13981212</v>
      </c>
      <c r="HJ5" s="167" t="str">
        <f ca="1">J_normdate(J_ADDDAY(FDate(HI5),1,1))</f>
        <v>13981213</v>
      </c>
      <c r="HK5" s="167" t="str">
        <f ca="1">J_normdate(J_ADDDAY(FDate(HJ5),1,1))</f>
        <v>13981214</v>
      </c>
      <c r="HL5" s="167" t="str">
        <f ca="1">J_normdate(J_ADDDAY(FDate(HK5),1,1))</f>
        <v>13981215</v>
      </c>
      <c r="HM5" s="167" t="str">
        <f ca="1">J_normdate(J_ADDDAY(FDate(HL5),1,1))</f>
        <v>13981216</v>
      </c>
      <c r="HN5" s="167" t="str">
        <f ca="1">J_normdate(J_ADDDAY(FDate(HM5),1,1))</f>
        <v>13981217</v>
      </c>
      <c r="HO5" s="167" t="str">
        <f ca="1">J_normdate(J_ADDDAY(FDate(HN5),1,1))</f>
        <v>13981218</v>
      </c>
      <c r="HP5" s="167" t="str">
        <f ca="1">J_normdate(J_ADDDAY(FDate(HO5),1,1))</f>
        <v>13981219</v>
      </c>
      <c r="HQ5" s="167" t="str">
        <f ca="1">J_normdate(J_ADDDAY(FDate(HP5),1,1))</f>
        <v>13981220</v>
      </c>
      <c r="HR5" s="167" t="str">
        <f ca="1">J_normdate(J_ADDDAY(FDate(HQ5),1,1))</f>
        <v>13981221</v>
      </c>
      <c r="HS5" s="167" t="str">
        <f ca="1">J_normdate(J_ADDDAY(FDate(HR5),1,1))</f>
        <v>13981222</v>
      </c>
      <c r="HT5" s="167" t="str">
        <f ca="1">J_normdate(J_ADDDAY(FDate(HS5),1,1))</f>
        <v>13981223</v>
      </c>
      <c r="HU5" s="167" t="str">
        <f ca="1">J_normdate(J_ADDDAY(FDate(HT5),1,1))</f>
        <v>13981224</v>
      </c>
      <c r="HV5" s="167" t="str">
        <f ca="1">J_normdate(J_ADDDAY(FDate(HU5),1,1))</f>
        <v>13981225</v>
      </c>
      <c r="HW5" s="167" t="str">
        <f ca="1">J_normdate(J_ADDDAY(FDate(HV5),1,1))</f>
        <v>13981226</v>
      </c>
      <c r="HX5" s="167" t="str">
        <f ca="1">J_normdate(J_ADDDAY(FDate(HW5),1,1))</f>
        <v>13981227</v>
      </c>
      <c r="HY5" s="167" t="str">
        <f ca="1">J_normdate(J_ADDDAY(FDate(HX5),1,1))</f>
        <v>13981228</v>
      </c>
      <c r="HZ5" s="167" t="str">
        <f ca="1">J_normdate(J_ADDDAY(FDate(HY5),1,1))</f>
        <v>13981229</v>
      </c>
      <c r="IA5" s="167" t="str">
        <f ca="1">J_normdate(J_ADDDAY(FDate(HZ5),1,1))</f>
        <v>13990101</v>
      </c>
      <c r="IB5" s="167" t="str">
        <f ca="1">J_normdate(J_ADDDAY(FDate(IA5),1,1))</f>
        <v>13990102</v>
      </c>
      <c r="IC5" s="167" t="str">
        <f ca="1">J_normdate(J_ADDDAY(FDate(IB5),1,1))</f>
        <v>13990103</v>
      </c>
      <c r="ID5" s="167" t="str">
        <f ca="1">J_normdate(J_ADDDAY(FDate(IC5),1,1))</f>
        <v>13990104</v>
      </c>
      <c r="IE5" s="167" t="str">
        <f ca="1">J_normdate(J_ADDDAY(FDate(ID5),1,1))</f>
        <v>13990105</v>
      </c>
      <c r="IF5" s="167" t="str">
        <f ca="1">J_normdate(J_ADDDAY(FDate(IE5),1,1))</f>
        <v>13990106</v>
      </c>
      <c r="IG5" s="167" t="str">
        <f ca="1">J_normdate(J_ADDDAY(FDate(IF5),1,1))</f>
        <v>13990107</v>
      </c>
      <c r="IH5" s="167" t="str">
        <f ca="1">J_normdate(J_ADDDAY(FDate(IG5),1,1))</f>
        <v>13990108</v>
      </c>
      <c r="II5" s="167" t="str">
        <f ca="1">J_normdate(J_ADDDAY(FDate(IH5),1,1))</f>
        <v>13990109</v>
      </c>
      <c r="IJ5" s="167" t="str">
        <f ca="1">J_normdate(J_ADDDAY(FDate(II5),1,1))</f>
        <v>13990110</v>
      </c>
      <c r="IK5" s="167" t="str">
        <f ca="1">J_normdate(J_ADDDAY(FDate(IJ5),1,1))</f>
        <v>13990111</v>
      </c>
      <c r="IL5" s="167" t="str">
        <f ca="1">J_normdate(J_ADDDAY(FDate(IK5),1,1))</f>
        <v>13990112</v>
      </c>
      <c r="IM5" s="167" t="str">
        <f ca="1">J_normdate(J_ADDDAY(FDate(IL5),1,1))</f>
        <v>13990113</v>
      </c>
      <c r="IN5" s="167" t="str">
        <f ca="1">J_normdate(J_ADDDAY(FDate(IM5),1,1))</f>
        <v>13990114</v>
      </c>
      <c r="IO5" s="167" t="str">
        <f ca="1">J_normdate(J_ADDDAY(FDate(IN5),1,1))</f>
        <v>13990115</v>
      </c>
      <c r="IP5" s="167" t="str">
        <f ca="1">J_normdate(J_ADDDAY(FDate(IO5),1,1))</f>
        <v>13990116</v>
      </c>
      <c r="IQ5" s="167" t="str">
        <f ca="1">J_normdate(J_ADDDAY(FDate(IP5),1,1))</f>
        <v>13990117</v>
      </c>
      <c r="IR5" s="167" t="str">
        <f ca="1">J_normdate(J_ADDDAY(FDate(IQ5),1,1))</f>
        <v>13990118</v>
      </c>
      <c r="IS5" s="167" t="str">
        <f ca="1">J_normdate(J_ADDDAY(FDate(IR5),1,1))</f>
        <v>13990119</v>
      </c>
      <c r="IT5" s="167" t="str">
        <f ca="1">J_normdate(J_ADDDAY(FDate(IS5),1,1))</f>
        <v>13990120</v>
      </c>
      <c r="IU5" s="167" t="str">
        <f ca="1">J_normdate(J_ADDDAY(FDate(IT5),1,1))</f>
        <v>13990121</v>
      </c>
      <c r="IV5" s="167" t="str">
        <f ca="1">J_normdate(J_ADDDAY(FDate(IU5),1,1))</f>
        <v>13990122</v>
      </c>
      <c r="IW5" s="167" t="str">
        <f ca="1">J_normdate(J_ADDDAY(FDate(IV5),1,1))</f>
        <v>13990123</v>
      </c>
      <c r="IX5" s="167">
        <f ca="1">IW5+1</f>
        <v>13990124</v>
      </c>
      <c r="IY5" s="27"/>
      <c r="IZ5" s="39"/>
      <c r="JA5" s="219"/>
      <c r="JB5" s="219"/>
      <c r="JC5" s="219"/>
      <c r="JD5" s="220"/>
    </row>
    <row r="6" spans="1:264" s="223" customFormat="1" ht="115.5" thickBot="1" x14ac:dyDescent="0.6">
      <c r="A6" s="168" t="s">
        <v>0</v>
      </c>
      <c r="B6" s="169" t="s">
        <v>11</v>
      </c>
      <c r="C6" s="170" t="s">
        <v>12</v>
      </c>
      <c r="D6" s="170" t="s">
        <v>1</v>
      </c>
      <c r="E6" s="170" t="s">
        <v>1</v>
      </c>
      <c r="F6" s="170" t="s">
        <v>2</v>
      </c>
      <c r="G6" s="170" t="s">
        <v>2</v>
      </c>
      <c r="H6" s="171" t="s">
        <v>88</v>
      </c>
      <c r="I6" s="172" t="s">
        <v>89</v>
      </c>
      <c r="J6" s="171" t="s">
        <v>87</v>
      </c>
      <c r="K6" s="173" t="s">
        <v>92</v>
      </c>
      <c r="L6" s="174" t="s">
        <v>5</v>
      </c>
      <c r="M6" s="175" t="s">
        <v>6</v>
      </c>
      <c r="N6" s="174" t="s">
        <v>7</v>
      </c>
      <c r="O6" s="176" t="s">
        <v>13</v>
      </c>
      <c r="P6" s="177" t="s">
        <v>93</v>
      </c>
      <c r="Q6" s="175" t="s">
        <v>8</v>
      </c>
      <c r="R6" s="178"/>
      <c r="S6" s="250" t="str">
        <f ca="1">FDate(S5)</f>
        <v>1398/05/26</v>
      </c>
      <c r="T6" s="251"/>
      <c r="U6" s="251"/>
      <c r="V6" s="251"/>
      <c r="W6" s="252"/>
      <c r="X6" s="250" t="str">
        <f ca="1">FDate(X5)</f>
        <v>1398/05/31</v>
      </c>
      <c r="Y6" s="251"/>
      <c r="Z6" s="251"/>
      <c r="AA6" s="251"/>
      <c r="AB6" s="252"/>
      <c r="AC6" s="250" t="str">
        <f ca="1">FDate(AC5)</f>
        <v>1398/06/05</v>
      </c>
      <c r="AD6" s="251"/>
      <c r="AE6" s="251"/>
      <c r="AF6" s="251"/>
      <c r="AG6" s="252"/>
      <c r="AH6" s="250" t="str">
        <f ca="1">FDate(AH5)</f>
        <v>1398/06/10</v>
      </c>
      <c r="AI6" s="251"/>
      <c r="AJ6" s="251"/>
      <c r="AK6" s="251"/>
      <c r="AL6" s="252"/>
      <c r="AM6" s="250" t="str">
        <f ca="1">FDate(AM5)</f>
        <v>1398/06/15</v>
      </c>
      <c r="AN6" s="251"/>
      <c r="AO6" s="251"/>
      <c r="AP6" s="251"/>
      <c r="AQ6" s="252"/>
      <c r="AR6" s="250" t="str">
        <f ca="1">FDate(AR5)</f>
        <v>1398/06/20</v>
      </c>
      <c r="AS6" s="251"/>
      <c r="AT6" s="251"/>
      <c r="AU6" s="251"/>
      <c r="AV6" s="252"/>
      <c r="AW6" s="250" t="str">
        <f ca="1">FDate(AW5)</f>
        <v>1398/06/25</v>
      </c>
      <c r="AX6" s="251"/>
      <c r="AY6" s="251"/>
      <c r="AZ6" s="251"/>
      <c r="BA6" s="252"/>
      <c r="BB6" s="250" t="str">
        <f ca="1">FDate(BB5)</f>
        <v>1398/06/30</v>
      </c>
      <c r="BC6" s="251"/>
      <c r="BD6" s="251"/>
      <c r="BE6" s="251"/>
      <c r="BF6" s="252"/>
      <c r="BG6" s="250" t="str">
        <f ca="1">FDate(BG5)</f>
        <v>1398/07/04</v>
      </c>
      <c r="BH6" s="251"/>
      <c r="BI6" s="251"/>
      <c r="BJ6" s="251"/>
      <c r="BK6" s="252"/>
      <c r="BL6" s="250" t="str">
        <f ca="1">FDate(BL5)</f>
        <v>1398/07/09</v>
      </c>
      <c r="BM6" s="251"/>
      <c r="BN6" s="251"/>
      <c r="BO6" s="251"/>
      <c r="BP6" s="252"/>
      <c r="BQ6" s="250" t="str">
        <f ca="1">FDate(BQ5)</f>
        <v>1398/07/14</v>
      </c>
      <c r="BR6" s="251"/>
      <c r="BS6" s="251"/>
      <c r="BT6" s="251"/>
      <c r="BU6" s="252"/>
      <c r="BV6" s="250" t="str">
        <f ca="1">FDate(BV5)</f>
        <v>1398/07/19</v>
      </c>
      <c r="BW6" s="251"/>
      <c r="BX6" s="251"/>
      <c r="BY6" s="251"/>
      <c r="BZ6" s="252"/>
      <c r="CA6" s="250" t="str">
        <f ca="1">FDate(CA5)</f>
        <v>1398/07/24</v>
      </c>
      <c r="CB6" s="251"/>
      <c r="CC6" s="251"/>
      <c r="CD6" s="251"/>
      <c r="CE6" s="252"/>
      <c r="CF6" s="250" t="str">
        <f ca="1">FDate(CF5)</f>
        <v>1398/07/29</v>
      </c>
      <c r="CG6" s="251"/>
      <c r="CH6" s="251"/>
      <c r="CI6" s="251"/>
      <c r="CJ6" s="252"/>
      <c r="CK6" s="250" t="str">
        <f ca="1">FDate(CK5)</f>
        <v>1398/08/04</v>
      </c>
      <c r="CL6" s="251"/>
      <c r="CM6" s="251"/>
      <c r="CN6" s="251"/>
      <c r="CO6" s="252"/>
      <c r="CP6" s="250" t="str">
        <f ca="1">FDate(CP5)</f>
        <v>1398/08/09</v>
      </c>
      <c r="CQ6" s="251"/>
      <c r="CR6" s="251"/>
      <c r="CS6" s="251"/>
      <c r="CT6" s="252"/>
      <c r="CU6" s="250" t="str">
        <f ca="1">FDate(CU5)</f>
        <v>1398/08/14</v>
      </c>
      <c r="CV6" s="251"/>
      <c r="CW6" s="251"/>
      <c r="CX6" s="251"/>
      <c r="CY6" s="252"/>
      <c r="CZ6" s="250" t="str">
        <f ca="1">FDate(CZ5)</f>
        <v>1398/08/19</v>
      </c>
      <c r="DA6" s="251"/>
      <c r="DB6" s="251"/>
      <c r="DC6" s="251"/>
      <c r="DD6" s="252"/>
      <c r="DE6" s="250" t="str">
        <f ca="1">FDate(DE5)</f>
        <v>1398/08/24</v>
      </c>
      <c r="DF6" s="251"/>
      <c r="DG6" s="251"/>
      <c r="DH6" s="251"/>
      <c r="DI6" s="252"/>
      <c r="DJ6" s="250" t="str">
        <f ca="1">FDate(DJ5)</f>
        <v>1398/08/29</v>
      </c>
      <c r="DK6" s="251"/>
      <c r="DL6" s="251"/>
      <c r="DM6" s="251"/>
      <c r="DN6" s="252"/>
      <c r="DO6" s="250" t="str">
        <f ca="1">FDate(DO5)</f>
        <v>1398/09/04</v>
      </c>
      <c r="DP6" s="251"/>
      <c r="DQ6" s="251"/>
      <c r="DR6" s="251"/>
      <c r="DS6" s="252"/>
      <c r="DT6" s="250" t="str">
        <f ca="1">FDate(DT5)</f>
        <v>1398/09/09</v>
      </c>
      <c r="DU6" s="251"/>
      <c r="DV6" s="251"/>
      <c r="DW6" s="251"/>
      <c r="DX6" s="252"/>
      <c r="DY6" s="250" t="str">
        <f ca="1">FDate(DY5)</f>
        <v>1398/09/14</v>
      </c>
      <c r="DZ6" s="251"/>
      <c r="EA6" s="251"/>
      <c r="EB6" s="251"/>
      <c r="EC6" s="252"/>
      <c r="ED6" s="250" t="str">
        <f ca="1">FDate(ED5)</f>
        <v>1398/09/19</v>
      </c>
      <c r="EE6" s="251"/>
      <c r="EF6" s="251"/>
      <c r="EG6" s="251"/>
      <c r="EH6" s="252"/>
      <c r="EI6" s="250" t="str">
        <f ca="1">FDate(EI5)</f>
        <v>1398/09/24</v>
      </c>
      <c r="EJ6" s="251"/>
      <c r="EK6" s="251"/>
      <c r="EL6" s="251"/>
      <c r="EM6" s="252"/>
      <c r="EN6" s="250" t="str">
        <f ca="1">FDate(EN5)</f>
        <v>1398/09/29</v>
      </c>
      <c r="EO6" s="251"/>
      <c r="EP6" s="251"/>
      <c r="EQ6" s="251"/>
      <c r="ER6" s="252"/>
      <c r="ES6" s="250" t="str">
        <f ca="1">FDate(ES5)</f>
        <v>1398/10/04</v>
      </c>
      <c r="ET6" s="251"/>
      <c r="EU6" s="251"/>
      <c r="EV6" s="251"/>
      <c r="EW6" s="252"/>
      <c r="EX6" s="250" t="str">
        <f ca="1">FDate(EX5)</f>
        <v>1398/10/09</v>
      </c>
      <c r="EY6" s="251"/>
      <c r="EZ6" s="251"/>
      <c r="FA6" s="251"/>
      <c r="FB6" s="252"/>
      <c r="FC6" s="250" t="str">
        <f ca="1">FDate(FC5)</f>
        <v>1398/10/14</v>
      </c>
      <c r="FD6" s="251"/>
      <c r="FE6" s="251"/>
      <c r="FF6" s="251"/>
      <c r="FG6" s="252"/>
      <c r="FH6" s="250" t="str">
        <f ca="1">FDate(FH5)</f>
        <v>1398/10/19</v>
      </c>
      <c r="FI6" s="251"/>
      <c r="FJ6" s="251"/>
      <c r="FK6" s="251"/>
      <c r="FL6" s="252"/>
      <c r="FM6" s="250" t="str">
        <f ca="1">FDate(FM5)</f>
        <v>1398/10/24</v>
      </c>
      <c r="FN6" s="251"/>
      <c r="FO6" s="251"/>
      <c r="FP6" s="251"/>
      <c r="FQ6" s="252"/>
      <c r="FR6" s="250" t="str">
        <f ca="1">FDate(FR5)</f>
        <v>1398/10/29</v>
      </c>
      <c r="FS6" s="251"/>
      <c r="FT6" s="251"/>
      <c r="FU6" s="251"/>
      <c r="FV6" s="252"/>
      <c r="FW6" s="250" t="str">
        <f ca="1">FDate(FW5)</f>
        <v>1398/11/04</v>
      </c>
      <c r="FX6" s="251"/>
      <c r="FY6" s="251"/>
      <c r="FZ6" s="251"/>
      <c r="GA6" s="252"/>
      <c r="GB6" s="250" t="str">
        <f ca="1">FDate(GB5)</f>
        <v>1398/11/09</v>
      </c>
      <c r="GC6" s="251"/>
      <c r="GD6" s="251"/>
      <c r="GE6" s="251"/>
      <c r="GF6" s="252"/>
      <c r="GG6" s="250" t="str">
        <f ca="1">FDate(GG5)</f>
        <v>1398/11/14</v>
      </c>
      <c r="GH6" s="251"/>
      <c r="GI6" s="251"/>
      <c r="GJ6" s="251"/>
      <c r="GK6" s="252"/>
      <c r="GL6" s="250" t="str">
        <f ca="1">FDate(GL5)</f>
        <v>1398/11/19</v>
      </c>
      <c r="GM6" s="251"/>
      <c r="GN6" s="251"/>
      <c r="GO6" s="251"/>
      <c r="GP6" s="252"/>
      <c r="GQ6" s="250" t="str">
        <f ca="1">FDate(GQ5)</f>
        <v>1398/11/24</v>
      </c>
      <c r="GR6" s="251"/>
      <c r="GS6" s="251"/>
      <c r="GT6" s="251"/>
      <c r="GU6" s="252"/>
      <c r="GV6" s="250" t="str">
        <f ca="1">FDate(GV5)</f>
        <v>1398/11/29</v>
      </c>
      <c r="GW6" s="251"/>
      <c r="GX6" s="251"/>
      <c r="GY6" s="251"/>
      <c r="GZ6" s="252"/>
      <c r="HA6" s="250" t="str">
        <f ca="1">FDate(HA5)</f>
        <v>1398/12/04</v>
      </c>
      <c r="HB6" s="251"/>
      <c r="HC6" s="251"/>
      <c r="HD6" s="251"/>
      <c r="HE6" s="252"/>
      <c r="HF6" s="250" t="str">
        <f ca="1">FDate(HF5)</f>
        <v>1398/12/09</v>
      </c>
      <c r="HG6" s="251"/>
      <c r="HH6" s="251"/>
      <c r="HI6" s="251"/>
      <c r="HJ6" s="252"/>
      <c r="HK6" s="250" t="str">
        <f ca="1">FDate(HK5)</f>
        <v>1398/12/14</v>
      </c>
      <c r="HL6" s="251"/>
      <c r="HM6" s="251"/>
      <c r="HN6" s="251"/>
      <c r="HO6" s="252"/>
      <c r="HP6" s="250" t="str">
        <f ca="1">FDate(HP5)</f>
        <v>1398/12/19</v>
      </c>
      <c r="HQ6" s="251"/>
      <c r="HR6" s="251"/>
      <c r="HS6" s="251"/>
      <c r="HT6" s="252"/>
      <c r="HU6" s="250" t="str">
        <f ca="1">FDate(HU5)</f>
        <v>1398/12/24</v>
      </c>
      <c r="HV6" s="251"/>
      <c r="HW6" s="251"/>
      <c r="HX6" s="251"/>
      <c r="HY6" s="252"/>
      <c r="HZ6" s="250" t="str">
        <f ca="1">FDate(HZ5)</f>
        <v>1398/12/29</v>
      </c>
      <c r="IA6" s="251"/>
      <c r="IB6" s="251"/>
      <c r="IC6" s="251"/>
      <c r="ID6" s="252"/>
      <c r="IE6" s="250" t="str">
        <f ca="1">FDate(IE5)</f>
        <v>1399/01/05</v>
      </c>
      <c r="IF6" s="251"/>
      <c r="IG6" s="251"/>
      <c r="IH6" s="251"/>
      <c r="II6" s="252"/>
      <c r="IJ6" s="250" t="str">
        <f ca="1">FDate(IJ5)</f>
        <v>1399/01/10</v>
      </c>
      <c r="IK6" s="251"/>
      <c r="IL6" s="251"/>
      <c r="IM6" s="251"/>
      <c r="IN6" s="252"/>
      <c r="IO6" s="250" t="str">
        <f ca="1">FDate(IO5)</f>
        <v>1399/01/15</v>
      </c>
      <c r="IP6" s="251"/>
      <c r="IQ6" s="251"/>
      <c r="IR6" s="251"/>
      <c r="IS6" s="252"/>
      <c r="IT6" s="250" t="str">
        <f ca="1">FDate(IT5)</f>
        <v>1399/01/20</v>
      </c>
      <c r="IU6" s="251"/>
      <c r="IV6" s="251"/>
      <c r="IW6" s="251"/>
      <c r="IX6" s="252"/>
      <c r="IY6" s="28"/>
      <c r="IZ6" s="40"/>
      <c r="JA6" s="222" t="s">
        <v>9</v>
      </c>
      <c r="JB6" s="222" t="s">
        <v>104</v>
      </c>
      <c r="JC6" s="222" t="s">
        <v>105</v>
      </c>
      <c r="JD6" s="218"/>
    </row>
    <row r="7" spans="1:264" s="181" customFormat="1" x14ac:dyDescent="0.6">
      <c r="A7" s="179"/>
      <c r="B7" s="180"/>
      <c r="D7" s="182"/>
      <c r="F7" s="182"/>
      <c r="I7" s="183"/>
      <c r="J7" s="184"/>
      <c r="K7" s="185"/>
      <c r="L7" s="183"/>
      <c r="N7" s="183"/>
      <c r="IY7" s="29"/>
      <c r="IZ7" s="41"/>
      <c r="JA7" s="224"/>
      <c r="JB7" s="224"/>
      <c r="JC7" s="224"/>
      <c r="JD7" s="225"/>
    </row>
    <row r="8" spans="1:264" s="187" customFormat="1" x14ac:dyDescent="0.6">
      <c r="A8" s="186" t="s">
        <v>86</v>
      </c>
      <c r="B8" s="108" t="s">
        <v>192</v>
      </c>
      <c r="C8" s="109"/>
      <c r="D8" s="110" t="s">
        <v>194</v>
      </c>
      <c r="E8" s="188">
        <f t="shared" ref="E8:E39" si="4">VALUE(J_normdate(D8))</f>
        <v>13980601</v>
      </c>
      <c r="F8" s="189" t="str">
        <f>J_SUBDAY(J_ADDDAY(D8,L8,1),1,1)</f>
        <v>1398/08/28</v>
      </c>
      <c r="G8" s="190">
        <f t="shared" ref="G8:G39" si="5">VALUE(J_normdate(F8))</f>
        <v>13980828</v>
      </c>
      <c r="H8" s="112"/>
      <c r="I8" s="113"/>
      <c r="J8" s="191"/>
      <c r="K8" s="192">
        <f>SUM(K9,K31,K53,K75,K97,K119,K207)</f>
        <v>8.2083333333333321</v>
      </c>
      <c r="L8" s="193">
        <f>J_DIFF(D8,FDate(MAX(G9:G9853)))+1</f>
        <v>89</v>
      </c>
      <c r="M8" s="194">
        <f>(L9*M9+L31*M31+L53*M53+L75*M75+L97*M97+L119*M119+L141*M141+L163*M163+L185*M185+L207*M207)/SUM(L9,L31,L53,L75,L97,L119,L141,L163,L185,L207)</f>
        <v>0.76684292425701017</v>
      </c>
      <c r="N8" s="111">
        <f>NETWORKDAYS.INTL(J_GregorianDate(D8,1),J_GregorianDate(F8,1),16,1)-SUMIFS(Holieday[ok],Holieday[date],CONCATENATE("&gt;","=",D8),Holieday[date],CONCATENATE("&lt;","=",F8))+SUMIFS(Holieday[Friday],Holieday[date],CONCATENATE("&gt;","=",D8),Holieday[date],CONCATENATE("&lt;","=",F8))</f>
        <v>76</v>
      </c>
      <c r="O8" s="195">
        <f>SUM(O9,O31,O53,O75,O97,O119,O141,O163,O185,O207)</f>
        <v>206</v>
      </c>
      <c r="P8" s="196">
        <f>VALUE(J_normdate(J_ADDDAY($D8,$O8,1)))</f>
        <v>13981226</v>
      </c>
      <c r="Q8" s="189">
        <f t="shared" ref="Q8:Q13" si="6">L8-O8</f>
        <v>-117</v>
      </c>
      <c r="IY8" s="30"/>
      <c r="IZ8" s="42"/>
      <c r="JA8" s="226"/>
      <c r="JB8" s="226"/>
      <c r="JC8" s="226"/>
      <c r="JD8" s="227"/>
    </row>
    <row r="9" spans="1:264" s="198" customFormat="1" ht="15.75" x14ac:dyDescent="0.45">
      <c r="A9" s="197">
        <v>1</v>
      </c>
      <c r="B9" s="114" t="s">
        <v>118</v>
      </c>
      <c r="C9" s="115"/>
      <c r="D9" s="199" t="str">
        <f>D8</f>
        <v>1398/06/01</v>
      </c>
      <c r="E9" s="198">
        <f t="shared" si="4"/>
        <v>13980601</v>
      </c>
      <c r="F9" s="200" t="str">
        <f>J_SUBDAY(J_ADDDAY(D9,L9,1),1,1)</f>
        <v>1398/08/27</v>
      </c>
      <c r="G9" s="201">
        <f t="shared" si="5"/>
        <v>13980827</v>
      </c>
      <c r="H9" s="116"/>
      <c r="I9" s="117"/>
      <c r="J9" s="200" t="str">
        <f>j_WEEKDAY(D9,1)</f>
        <v>جمعه</v>
      </c>
      <c r="K9" s="202">
        <f>SUM(K10:K30)</f>
        <v>1.3333333333333333</v>
      </c>
      <c r="L9" s="203">
        <f>J_DIFF(D9,FDate(MAX(G10:G30)))+1</f>
        <v>88</v>
      </c>
      <c r="M9" s="204">
        <f>IF(SUM(L10:L30)&lt;&gt;0,SUMPRODUCT(L10:L30,M10:M30)/SUM(L10:L30),0)</f>
        <v>0.875</v>
      </c>
      <c r="N9" s="205">
        <f>IF(F9&gt;=D9,NETWORKDAYS.INTL(J_GregorianDate(D9,1),J_GregorianDate(F9,1),16,1)-SUMIFS(Holieday[ok],Holieday[date],CONCATENATE("&gt;","=",D9),Holieday[date],CONCATENATE("&lt;","=",F9))+SUMIFS(Holieday[Friday],Holieday[date],CONCATENATE("&gt;","=",D9),Holieday[date],CONCATENATE("&lt;","=",F9)),0)</f>
        <v>75</v>
      </c>
      <c r="O9" s="196">
        <f>ROUNDDOWN(M9*L9,0)</f>
        <v>77</v>
      </c>
      <c r="P9" s="196">
        <f>VALUE(J_normdate(J_ADDDAY($D9,$O9,1)))</f>
        <v>13980817</v>
      </c>
      <c r="Q9" s="200">
        <f t="shared" si="6"/>
        <v>11</v>
      </c>
      <c r="IY9" s="31"/>
      <c r="IZ9" s="43"/>
      <c r="JA9" s="228"/>
      <c r="JB9" s="228"/>
      <c r="JC9" s="228"/>
      <c r="JD9" s="229"/>
    </row>
    <row r="10" spans="1:264" s="231" customFormat="1" ht="18" x14ac:dyDescent="0.45">
      <c r="A10" s="206">
        <v>1.1000000000000001</v>
      </c>
      <c r="B10" s="118" t="s">
        <v>117</v>
      </c>
      <c r="C10" s="119" t="s">
        <v>155</v>
      </c>
      <c r="D10" s="208" t="str">
        <f>D9</f>
        <v>1398/06/01</v>
      </c>
      <c r="E10" s="198">
        <f t="shared" si="4"/>
        <v>13980601</v>
      </c>
      <c r="F10" s="209" t="str">
        <f>IF(N10=0,J_SUBDAY(D10,1,1),IF((N10-(NETWORKDAYS.INTL(J_GregorianDate(D10,1),J_GregorianDate(J_SUBDAY(J_ADDDAY(D10,N10,1),1,1),1),16,1)))+SUMIFS(Holieday[ok],Holieday[date],CONCATENATE("&gt;","=",D10),Holieday[date],CONCATENATE("&lt;","=",J_SUBDAY(J_ADDDAY(D10,N10,1),1,1)))-SUMIFS(Holieday[Friday],Holieday[date],CONCATENATE("&gt;","=",D10),Holieday[date],CONCATENATE("&lt;","=",J_SUBDAY(J_ADDDAY(D10,N10,1),1,1)))=0,J_SUBDAY(J_ADDDAY(D10,N10,1),1,1),IF((N10+1-(NETWORKDAYS.INTL(J_GregorianDate(D10,1),J_GregorianDate(J_SUBDAY(J_ADDDAY(D10,N10+1,1),1,1),1),16,1)))+SUMIFS(Holieday[ok],Holieday[date],CONCATENATE("&gt;","=",D10),Holieday[date],CONCATENATE("&lt;","=",J_SUBDAY(J_ADDDAY(D10,N10+1,1),1,1)))-SUMIFS(Holieday[Friday],Holieday[date],CONCATENATE("&gt;","=",D10),Holieday[date],CONCATENATE("&lt;","=",J_SUBDAY(J_ADDDAY(D10,N10+1,1),1,1)))=1,J_SUBDAY(J_ADDDAY(D10,N10+1,1),1,1),IF((N10+2-(NETWORKDAYS.INTL(J_GregorianDate(D10,1),J_GregorianDate(J_SUBDAY(J_ADDDAY(D10,N10+2,1),1,1),1),16,1)))+SUMIFS(Holieday[ok],Holieday[date],CONCATENATE("&gt;","=",D10),Holieday[date],CONCATENATE("&lt;","=",J_SUBDAY(J_ADDDAY(D10,N10+2,1),1,1)))-SUMIFS(Holieday[Friday],Holieday[date],CONCATENATE("&gt;","=",D10),Holieday[date],CONCATENATE("&lt;","=",J_SUBDAY(J_ADDDAY(D10,N10+2,1),1,1)))=2,J_SUBDAY(J_ADDDAY(D10,N10+2,1),1,1),IF((N10+3-(NETWORKDAYS.INTL(J_GregorianDate(D10,1),J_GregorianDate(J_SUBDAY(J_ADDDAY(D10,N10+3,1),1,1),1),16,1)))+SUMIFS(Holieday[ok],Holieday[date],CONCATENATE("&gt;","=",D10),Holieday[date],CONCATENATE("&lt;","=",J_SUBDAY(J_ADDDAY(D10,N10+3,1),1,1)))-SUMIFS(Holieday[Friday],Holieday[date],CONCATENATE("&gt;","=",D10),Holieday[date],CONCATENATE("&lt;","=",J_SUBDAY(J_ADDDAY(D10,N10+3,1),1,1)))=3,J_SUBDAY(J_ADDDAY(D10,N10+3,1),1,1),IF((N10+4-(NETWORKDAYS.INTL(J_GregorianDate(D10,1),J_GregorianDate(J_SUBDAY(J_ADDDAY(D10,N10+4,1),1,1),1),16,1)))+SUMIFS(Holieday[ok],Holieday[date],CONCATENATE("&gt;","=",D10),Holieday[date],CONCATENATE("&lt;","=",J_SUBDAY(J_ADDDAY(D10,N10+4,1),1,1)))-SUMIFS(Holieday[Friday],Holieday[date],CONCATENATE("&gt;","=",D10),Holieday[date],CONCATENATE("&lt;","=",J_SUBDAY(J_ADDDAY(D10,N10+4,1),1,1)))=4,J_SUBDAY(J_ADDDAY(D10,N10+4,1),1,1),IF((N10+5-(NETWORKDAYS.INTL(J_GregorianDate(D10,1),J_GregorianDate(J_SUBDAY(J_ADDDAY(D10,N10+5,1),1,1),1),16,1)))+SUMIFS(Holieday[ok],Holieday[date],CONCATENATE("&gt;","=",D10),Holieday[date],CONCATENATE("&lt;","=",J_SUBDAY(J_ADDDAY(D10,N10+5,1),1,1)))-SUMIFS(Holieday[Friday],Holieday[date],CONCATENATE("&gt;","=",D10),Holieday[date],CONCATENATE("&lt;","=",J_SUBDAY(J_ADDDAY(D10,N10+5,1),1,1)))=5,J_SUBDAY(J_ADDDAY(D10,N10+5,1),1,1),J_SUBDAY(J_ADDDAY(D10,N10+6,1),1,1))))))))</f>
        <v>1398/06/02</v>
      </c>
      <c r="G10" s="201">
        <f t="shared" si="5"/>
        <v>13980602</v>
      </c>
      <c r="H10" s="121"/>
      <c r="I10" s="122"/>
      <c r="J10" s="209" t="str">
        <f>j_WEEKDAY(D10,1)</f>
        <v>جمعه</v>
      </c>
      <c r="K10" s="211">
        <f t="shared" ref="K10:K30" si="7">SUM(JA10:JC10)</f>
        <v>0.16666666666666666</v>
      </c>
      <c r="L10" s="212">
        <f t="shared" ref="L10:L30" si="8">J_DIFF(D10,F10)+1</f>
        <v>2</v>
      </c>
      <c r="M10" s="123">
        <v>1</v>
      </c>
      <c r="N10" s="120">
        <v>1</v>
      </c>
      <c r="O10" s="213">
        <f>ROUNDDOWN(M10*L10,0)</f>
        <v>2</v>
      </c>
      <c r="P10" s="213">
        <f>VALUE(J_normdate(J_ADDDAY($D10,$O10,1)))</f>
        <v>13980603</v>
      </c>
      <c r="Q10" s="209">
        <f t="shared" si="6"/>
        <v>0</v>
      </c>
      <c r="R10" s="207"/>
      <c r="S10" s="207"/>
      <c r="T10" s="207"/>
      <c r="U10" s="207"/>
      <c r="V10" s="207"/>
      <c r="W10" s="207"/>
      <c r="X10" s="207"/>
      <c r="Y10" s="207"/>
      <c r="Z10" s="207"/>
      <c r="AA10" s="207"/>
      <c r="AB10" s="207"/>
      <c r="AC10" s="207"/>
      <c r="AD10" s="207"/>
      <c r="AE10" s="207"/>
      <c r="AF10" s="207"/>
      <c r="AG10" s="207"/>
      <c r="AH10" s="207"/>
      <c r="AI10" s="207"/>
      <c r="AJ10" s="207"/>
      <c r="AK10" s="207"/>
      <c r="AL10" s="207"/>
      <c r="AM10" s="207"/>
      <c r="AN10" s="207"/>
      <c r="AO10" s="207"/>
      <c r="AP10" s="207"/>
      <c r="AQ10" s="207"/>
      <c r="AR10" s="207"/>
      <c r="AS10" s="207"/>
      <c r="AT10" s="207"/>
      <c r="AU10" s="207"/>
      <c r="AV10" s="207"/>
      <c r="AW10" s="207"/>
      <c r="AX10" s="207"/>
      <c r="AY10" s="207"/>
      <c r="AZ10" s="207"/>
      <c r="BA10" s="207"/>
      <c r="BB10" s="207"/>
      <c r="BC10" s="207"/>
      <c r="BD10" s="207"/>
      <c r="BE10" s="207"/>
      <c r="BF10" s="207"/>
      <c r="BG10" s="207"/>
      <c r="BH10" s="207"/>
      <c r="BI10" s="207"/>
      <c r="BJ10" s="207"/>
      <c r="BK10" s="207"/>
      <c r="BL10" s="207"/>
      <c r="BM10" s="207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207"/>
      <c r="CR10" s="207"/>
      <c r="CS10" s="207"/>
      <c r="CT10" s="207"/>
      <c r="CU10" s="207"/>
      <c r="CV10" s="207"/>
      <c r="CW10" s="207"/>
      <c r="CX10" s="207"/>
      <c r="CY10" s="207"/>
      <c r="CZ10" s="207"/>
      <c r="DA10" s="207"/>
      <c r="DB10" s="207"/>
      <c r="DC10" s="207"/>
      <c r="DD10" s="207"/>
      <c r="DE10" s="207"/>
      <c r="DF10" s="207"/>
      <c r="DG10" s="207"/>
      <c r="DH10" s="207"/>
      <c r="DI10" s="207"/>
      <c r="DJ10" s="207"/>
      <c r="DK10" s="207"/>
      <c r="DL10" s="207"/>
      <c r="DM10" s="207"/>
      <c r="DN10" s="207"/>
      <c r="DO10" s="207"/>
      <c r="DP10" s="207"/>
      <c r="DQ10" s="207"/>
      <c r="DR10" s="207"/>
      <c r="DS10" s="207"/>
      <c r="DT10" s="207"/>
      <c r="DU10" s="207"/>
      <c r="DV10" s="207"/>
      <c r="DW10" s="207"/>
      <c r="DX10" s="207"/>
      <c r="DY10" s="207"/>
      <c r="DZ10" s="207"/>
      <c r="EA10" s="207"/>
      <c r="EB10" s="207"/>
      <c r="EC10" s="207"/>
      <c r="ED10" s="207"/>
      <c r="EE10" s="207"/>
      <c r="EF10" s="207"/>
      <c r="EG10" s="207"/>
      <c r="EH10" s="207"/>
      <c r="EI10" s="207"/>
      <c r="EJ10" s="207"/>
      <c r="EK10" s="207"/>
      <c r="EL10" s="207"/>
      <c r="EM10" s="207"/>
      <c r="EN10" s="207"/>
      <c r="EO10" s="207"/>
      <c r="EP10" s="207"/>
      <c r="EQ10" s="207"/>
      <c r="ER10" s="207"/>
      <c r="ES10" s="207"/>
      <c r="ET10" s="207"/>
      <c r="EU10" s="207"/>
      <c r="EV10" s="207"/>
      <c r="EW10" s="207"/>
      <c r="EX10" s="207"/>
      <c r="EY10" s="207"/>
      <c r="EZ10" s="207"/>
      <c r="FA10" s="207"/>
      <c r="FB10" s="207"/>
      <c r="FC10" s="207"/>
      <c r="FD10" s="207"/>
      <c r="FE10" s="207"/>
      <c r="FF10" s="207"/>
      <c r="FG10" s="207"/>
      <c r="FH10" s="207"/>
      <c r="FI10" s="207"/>
      <c r="FJ10" s="207"/>
      <c r="FK10" s="207"/>
      <c r="FL10" s="207"/>
      <c r="FM10" s="207"/>
      <c r="FN10" s="207"/>
      <c r="FO10" s="207"/>
      <c r="FP10" s="207"/>
      <c r="FQ10" s="207"/>
      <c r="FR10" s="207"/>
      <c r="FS10" s="207"/>
      <c r="FT10" s="207"/>
      <c r="FU10" s="207"/>
      <c r="FV10" s="207"/>
      <c r="FW10" s="207"/>
      <c r="FX10" s="207"/>
      <c r="FY10" s="207"/>
      <c r="FZ10" s="207"/>
      <c r="GA10" s="207"/>
      <c r="GB10" s="207"/>
      <c r="GC10" s="207"/>
      <c r="GD10" s="207"/>
      <c r="GE10" s="207"/>
      <c r="GF10" s="207"/>
      <c r="GG10" s="207"/>
      <c r="GH10" s="207"/>
      <c r="GI10" s="207"/>
      <c r="GJ10" s="207"/>
      <c r="GK10" s="207"/>
      <c r="GL10" s="207"/>
      <c r="GM10" s="207"/>
      <c r="GN10" s="207"/>
      <c r="GO10" s="207"/>
      <c r="GP10" s="207"/>
      <c r="GQ10" s="207"/>
      <c r="GR10" s="207"/>
      <c r="GS10" s="207"/>
      <c r="GT10" s="207"/>
      <c r="GU10" s="207"/>
      <c r="GV10" s="207"/>
      <c r="GW10" s="207"/>
      <c r="GX10" s="207"/>
      <c r="GY10" s="207"/>
      <c r="GZ10" s="207"/>
      <c r="HA10" s="207"/>
      <c r="HB10" s="207"/>
      <c r="HC10" s="207"/>
      <c r="HD10" s="207"/>
      <c r="HE10" s="207"/>
      <c r="HF10" s="207"/>
      <c r="HG10" s="207"/>
      <c r="HH10" s="207"/>
      <c r="HI10" s="207"/>
      <c r="HJ10" s="207"/>
      <c r="HK10" s="207"/>
      <c r="HL10" s="207"/>
      <c r="HM10" s="207"/>
      <c r="HN10" s="207"/>
      <c r="HO10" s="207"/>
      <c r="HP10" s="207"/>
      <c r="HQ10" s="207"/>
      <c r="HR10" s="207"/>
      <c r="HS10" s="207"/>
      <c r="HT10" s="207"/>
      <c r="HU10" s="207"/>
      <c r="HV10" s="207"/>
      <c r="HW10" s="207"/>
      <c r="HX10" s="207"/>
      <c r="HY10" s="207"/>
      <c r="HZ10" s="207"/>
      <c r="IA10" s="207"/>
      <c r="IB10" s="207"/>
      <c r="IC10" s="207"/>
      <c r="ID10" s="207"/>
      <c r="IE10" s="207"/>
      <c r="IF10" s="207"/>
      <c r="IG10" s="207"/>
      <c r="IH10" s="207"/>
      <c r="II10" s="207"/>
      <c r="IJ10" s="207"/>
      <c r="IK10" s="207"/>
      <c r="IL10" s="207"/>
      <c r="IM10" s="207"/>
      <c r="IN10" s="207"/>
      <c r="IO10" s="207"/>
      <c r="IP10" s="207"/>
      <c r="IQ10" s="207"/>
      <c r="IR10" s="207"/>
      <c r="IS10" s="207"/>
      <c r="IT10" s="207"/>
      <c r="IU10" s="207"/>
      <c r="IV10" s="207"/>
      <c r="IW10" s="207"/>
      <c r="IX10" s="207"/>
      <c r="IY10" s="32">
        <v>1</v>
      </c>
      <c r="IZ10" s="44">
        <f>(TEXT(K10,"[m]")/60)*VLOOKUP(IY10,'Income Person-hours'!A$2:C$5,3,FALSE)</f>
        <v>0</v>
      </c>
      <c r="JA10" s="124">
        <v>0.16666666666666666</v>
      </c>
      <c r="JB10" s="124"/>
      <c r="JC10" s="124"/>
      <c r="JD10" s="230">
        <f>SUM((TEXT(JA10,"[M]")/60)*'Income Person-hours'!$D$3,(TEXT(JB10,"[M]")/60)*'Income Person-hours'!$D$4,(TEXT(JC10,"[M]")/60)*'Income Person-hours'!$D$5)</f>
        <v>4800000</v>
      </c>
    </row>
    <row r="11" spans="1:264" s="231" customFormat="1" ht="15.75" x14ac:dyDescent="0.45">
      <c r="A11" s="206">
        <v>1.2</v>
      </c>
      <c r="B11" s="118" t="s">
        <v>173</v>
      </c>
      <c r="C11" s="119" t="s">
        <v>156</v>
      </c>
      <c r="D11" s="208" t="str">
        <f>IF(OR(j_WEEKDAY(J_ADDDAY(VLOOKUP(I11,A:F,6,FALSE),H11,1),0)=6,SUMIFS(Holieday[ok],Holieday[date],J_ADDDAY(VLOOKUP(I11,A:F,6,FALSE),H11,1)))=FALSE(),J_ADDDAY(VLOOKUP(I11,A:F,6,FALSE),H11,1),IF(OR(j_WEEKDAY(J_ADDDAY(VLOOKUP(I11,A:F,6,FALSE),H11+1,1),0)=6,SUMIFS(Holieday[ok],Holieday[date],J_ADDDAY(VLOOKUP(I11,A:F,6,FALSE),H11+1,1)))=FALSE(),J_ADDDAY(VLOOKUP(I11,A:F,6,FALSE),H11+1,1),IF(OR(j_WEEKDAY(J_ADDDAY(VLOOKUP(I11,A:F,6,FALSE),H11+2,1),0)=6,SUMIFS(Holieday[ok],Holieday[date],J_ADDDAY(VLOOKUP(I11,A:F,6,FALSE),H11+2,1)))=FALSE(),J_ADDDAY(VLOOKUP(I11,A:F,6,FALSE),H11+2,1),IF(OR(j_WEEKDAY(J_ADDDAY(VLOOKUP(I11,A:F,6,FALSE),H11+3,1),0)=6,SUMIFS(Holieday[ok],Holieday[date],J_ADDDAY(VLOOKUP(I11,A:F,6,FALSE),H11+3,1)))=FALSE(),J_ADDDAY(VLOOKUP(I11,A:F,6,FALSE),H11+3,1),IF(OR(j_WEEKDAY(J_ADDDAY(VLOOKUP(I11,A:F,6,FALSE),H11+4,1),0)=6,SUMIFS(Holieday[ok],Holieday[date],J_ADDDAY(VLOOKUP(I11,A:F,6,FALSE),H11+4,1)))=FALSE(),J_ADDDAY(VLOOKUP(I11,A:F,6,FALSE),H11+4,1),J_ADDDAY(VLOOKUP(I11,A:F,6,FALSE),H11+5,1))))))</f>
        <v>1398/06/03</v>
      </c>
      <c r="E11" s="198">
        <f t="shared" si="4"/>
        <v>13980603</v>
      </c>
      <c r="F11" s="209" t="str">
        <f>IF(N11=0,J_SUBDAY(D11,1,1),IF((N11-(NETWORKDAYS.INTL(J_GregorianDate(D11,1),J_GregorianDate(J_SUBDAY(J_ADDDAY(D11,N11,1),1,1),1),16,1)))+SUMIFS(Holieday[ok],Holieday[date],CONCATENATE("&gt;","=",D11),Holieday[date],CONCATENATE("&lt;","=",J_SUBDAY(J_ADDDAY(D11,N11,1),1,1)))-SUMIFS(Holieday[Friday],Holieday[date],CONCATENATE("&gt;","=",D11),Holieday[date],CONCATENATE("&lt;","=",J_SUBDAY(J_ADDDAY(D11,N11,1),1,1)))=0,J_SUBDAY(J_ADDDAY(D11,N11,1),1,1),IF((N11+1-(NETWORKDAYS.INTL(J_GregorianDate(D11,1),J_GregorianDate(J_SUBDAY(J_ADDDAY(D11,N11+1,1),1,1),1),16,1)))+SUMIFS(Holieday[ok],Holieday[date],CONCATENATE("&gt;","=",D11),Holieday[date],CONCATENATE("&lt;","=",J_SUBDAY(J_ADDDAY(D11,N11+1,1),1,1)))-SUMIFS(Holieday[Friday],Holieday[date],CONCATENATE("&gt;","=",D11),Holieday[date],CONCATENATE("&lt;","=",J_SUBDAY(J_ADDDAY(D11,N11+1,1),1,1)))=1,J_SUBDAY(J_ADDDAY(D11,N11+1,1),1,1),IF((N11+2-(NETWORKDAYS.INTL(J_GregorianDate(D11,1),J_GregorianDate(J_SUBDAY(J_ADDDAY(D11,N11+2,1),1,1),1),16,1)))+SUMIFS(Holieday[ok],Holieday[date],CONCATENATE("&gt;","=",D11),Holieday[date],CONCATENATE("&lt;","=",J_SUBDAY(J_ADDDAY(D11,N11+2,1),1,1)))-SUMIFS(Holieday[Friday],Holieday[date],CONCATENATE("&gt;","=",D11),Holieday[date],CONCATENATE("&lt;","=",J_SUBDAY(J_ADDDAY(D11,N11+2,1),1,1)))=2,J_SUBDAY(J_ADDDAY(D11,N11+2,1),1,1),IF((N11+3-(NETWORKDAYS.INTL(J_GregorianDate(D11,1),J_GregorianDate(J_SUBDAY(J_ADDDAY(D11,N11+3,1),1,1),1),16,1)))+SUMIFS(Holieday[ok],Holieday[date],CONCATENATE("&gt;","=",D11),Holieday[date],CONCATENATE("&lt;","=",J_SUBDAY(J_ADDDAY(D11,N11+3,1),1,1)))-SUMIFS(Holieday[Friday],Holieday[date],CONCATENATE("&gt;","=",D11),Holieday[date],CONCATENATE("&lt;","=",J_SUBDAY(J_ADDDAY(D11,N11+3,1),1,1)))=3,J_SUBDAY(J_ADDDAY(D11,N11+3,1),1,1),IF((N11+4-(NETWORKDAYS.INTL(J_GregorianDate(D11,1),J_GregorianDate(J_SUBDAY(J_ADDDAY(D11,N11+4,1),1,1),1),16,1)))+SUMIFS(Holieday[ok],Holieday[date],CONCATENATE("&gt;","=",D11),Holieday[date],CONCATENATE("&lt;","=",J_SUBDAY(J_ADDDAY(D11,N11+4,1),1,1)))-SUMIFS(Holieday[Friday],Holieday[date],CONCATENATE("&gt;","=",D11),Holieday[date],CONCATENATE("&lt;","=",J_SUBDAY(J_ADDDAY(D11,N11+4,1),1,1)))=4,J_SUBDAY(J_ADDDAY(D11,N11+4,1),1,1),IF((N11+5-(NETWORKDAYS.INTL(J_GregorianDate(D11,1),J_GregorianDate(J_SUBDAY(J_ADDDAY(D11,N11+5,1),1,1),1),16,1)))+SUMIFS(Holieday[ok],Holieday[date],CONCATENATE("&gt;","=",D11),Holieday[date],CONCATENATE("&lt;","=",J_SUBDAY(J_ADDDAY(D11,N11+5,1),1,1)))-SUMIFS(Holieday[Friday],Holieday[date],CONCATENATE("&gt;","=",D11),Holieday[date],CONCATENATE("&lt;","=",J_SUBDAY(J_ADDDAY(D11,N11+5,1),1,1)))=5,J_SUBDAY(J_ADDDAY(D11,N11+5,1),1,1),J_SUBDAY(J_ADDDAY(D11,N11+6,1),1,1))))))))</f>
        <v>1398/06/03</v>
      </c>
      <c r="G11" s="201">
        <f t="shared" si="5"/>
        <v>13980603</v>
      </c>
      <c r="H11" s="121">
        <v>1</v>
      </c>
      <c r="I11" s="122">
        <v>1.1000000000000001</v>
      </c>
      <c r="J11" s="209" t="str">
        <f>j_WEEKDAY(D11,1)</f>
        <v>يكشنبه</v>
      </c>
      <c r="K11" s="211">
        <f t="shared" si="7"/>
        <v>0.16666666666666666</v>
      </c>
      <c r="L11" s="212">
        <f t="shared" si="8"/>
        <v>1</v>
      </c>
      <c r="M11" s="123">
        <v>1</v>
      </c>
      <c r="N11" s="120">
        <v>1</v>
      </c>
      <c r="O11" s="213">
        <f>ROUNDDOWN(M11*L11,0)</f>
        <v>1</v>
      </c>
      <c r="P11" s="213">
        <f>VALUE(J_normdate(J_ADDDAY($D11,$O11,1)))</f>
        <v>13980604</v>
      </c>
      <c r="Q11" s="209">
        <f t="shared" si="6"/>
        <v>0</v>
      </c>
      <c r="R11" s="207"/>
      <c r="S11" s="207"/>
      <c r="T11" s="207"/>
      <c r="U11" s="207"/>
      <c r="V11" s="207"/>
      <c r="W11" s="207"/>
      <c r="X11" s="207"/>
      <c r="Y11" s="207"/>
      <c r="Z11" s="207"/>
      <c r="AA11" s="207"/>
      <c r="AB11" s="207"/>
      <c r="AC11" s="207"/>
      <c r="AD11" s="207"/>
      <c r="AE11" s="207"/>
      <c r="AF11" s="207"/>
      <c r="AG11" s="207"/>
      <c r="AH11" s="207"/>
      <c r="AI11" s="207"/>
      <c r="AJ11" s="207"/>
      <c r="AK11" s="207"/>
      <c r="AL11" s="207"/>
      <c r="AM11" s="207"/>
      <c r="AN11" s="207"/>
      <c r="AO11" s="207"/>
      <c r="AP11" s="207"/>
      <c r="AQ11" s="207"/>
      <c r="AR11" s="207"/>
      <c r="AS11" s="207"/>
      <c r="AT11" s="207"/>
      <c r="AU11" s="207"/>
      <c r="AV11" s="207"/>
      <c r="AW11" s="207"/>
      <c r="AX11" s="207"/>
      <c r="AY11" s="207"/>
      <c r="AZ11" s="207"/>
      <c r="BA11" s="207"/>
      <c r="BB11" s="207"/>
      <c r="BC11" s="207"/>
      <c r="BD11" s="207"/>
      <c r="BE11" s="207"/>
      <c r="BF11" s="207"/>
      <c r="BG11" s="207"/>
      <c r="BH11" s="207"/>
      <c r="BI11" s="207"/>
      <c r="BJ11" s="207"/>
      <c r="BK11" s="207"/>
      <c r="BL11" s="207"/>
      <c r="BM11" s="207"/>
      <c r="BN11" s="207"/>
      <c r="BO11" s="207"/>
      <c r="BP11" s="207"/>
      <c r="BQ11" s="207"/>
      <c r="BR11" s="207"/>
      <c r="BS11" s="207"/>
      <c r="BT11" s="207"/>
      <c r="BU11" s="207"/>
      <c r="BV11" s="207"/>
      <c r="BW11" s="207"/>
      <c r="BX11" s="207"/>
      <c r="BY11" s="207"/>
      <c r="BZ11" s="207"/>
      <c r="CA11" s="207"/>
      <c r="CB11" s="207"/>
      <c r="CC11" s="207"/>
      <c r="CD11" s="207"/>
      <c r="CE11" s="207"/>
      <c r="CF11" s="207"/>
      <c r="CG11" s="207"/>
      <c r="CH11" s="207"/>
      <c r="CI11" s="207"/>
      <c r="CJ11" s="207"/>
      <c r="CK11" s="207"/>
      <c r="CL11" s="207"/>
      <c r="CM11" s="207"/>
      <c r="CN11" s="207"/>
      <c r="CO11" s="207"/>
      <c r="CP11" s="207"/>
      <c r="CQ11" s="207"/>
      <c r="CR11" s="207"/>
      <c r="CS11" s="207"/>
      <c r="CT11" s="207"/>
      <c r="CU11" s="207"/>
      <c r="CV11" s="207"/>
      <c r="CW11" s="207"/>
      <c r="CX11" s="207"/>
      <c r="CY11" s="207"/>
      <c r="CZ11" s="207"/>
      <c r="DA11" s="207"/>
      <c r="DB11" s="207"/>
      <c r="DC11" s="207"/>
      <c r="DD11" s="207"/>
      <c r="DE11" s="207"/>
      <c r="DF11" s="207"/>
      <c r="DG11" s="207"/>
      <c r="DH11" s="207"/>
      <c r="DI11" s="207"/>
      <c r="DJ11" s="207"/>
      <c r="DK11" s="207"/>
      <c r="DL11" s="207"/>
      <c r="DM11" s="207"/>
      <c r="DN11" s="207"/>
      <c r="DO11" s="207"/>
      <c r="DP11" s="207"/>
      <c r="DQ11" s="207"/>
      <c r="DR11" s="207"/>
      <c r="DS11" s="207"/>
      <c r="DT11" s="207"/>
      <c r="DU11" s="207"/>
      <c r="DV11" s="207"/>
      <c r="DW11" s="207"/>
      <c r="DX11" s="207"/>
      <c r="DY11" s="207"/>
      <c r="DZ11" s="207"/>
      <c r="EA11" s="207"/>
      <c r="EB11" s="207"/>
      <c r="EC11" s="207"/>
      <c r="ED11" s="207"/>
      <c r="EE11" s="207"/>
      <c r="EF11" s="207"/>
      <c r="EG11" s="207"/>
      <c r="EH11" s="207"/>
      <c r="EI11" s="207"/>
      <c r="EJ11" s="207"/>
      <c r="EK11" s="207"/>
      <c r="EL11" s="207"/>
      <c r="EM11" s="207"/>
      <c r="EN11" s="207"/>
      <c r="EO11" s="207"/>
      <c r="EP11" s="207"/>
      <c r="EQ11" s="207"/>
      <c r="ER11" s="207"/>
      <c r="ES11" s="207"/>
      <c r="ET11" s="207"/>
      <c r="EU11" s="207"/>
      <c r="EV11" s="207"/>
      <c r="EW11" s="207"/>
      <c r="EX11" s="207"/>
      <c r="EY11" s="207"/>
      <c r="EZ11" s="207"/>
      <c r="FA11" s="207"/>
      <c r="FB11" s="207"/>
      <c r="FC11" s="207"/>
      <c r="FD11" s="207"/>
      <c r="FE11" s="207"/>
      <c r="FF11" s="207"/>
      <c r="FG11" s="207"/>
      <c r="FH11" s="207"/>
      <c r="FI11" s="207"/>
      <c r="FJ11" s="207"/>
      <c r="FK11" s="207"/>
      <c r="FL11" s="207"/>
      <c r="FM11" s="207"/>
      <c r="FN11" s="207"/>
      <c r="FO11" s="207"/>
      <c r="FP11" s="207"/>
      <c r="FQ11" s="207"/>
      <c r="FR11" s="207"/>
      <c r="FS11" s="207"/>
      <c r="FT11" s="207"/>
      <c r="FU11" s="207"/>
      <c r="FV11" s="207"/>
      <c r="FW11" s="207"/>
      <c r="FX11" s="207"/>
      <c r="FY11" s="207"/>
      <c r="FZ11" s="207"/>
      <c r="GA11" s="207"/>
      <c r="GB11" s="207"/>
      <c r="GC11" s="207"/>
      <c r="GD11" s="207"/>
      <c r="GE11" s="207"/>
      <c r="GF11" s="207"/>
      <c r="GG11" s="207"/>
      <c r="GH11" s="207"/>
      <c r="GI11" s="207"/>
      <c r="GJ11" s="207"/>
      <c r="GK11" s="207"/>
      <c r="GL11" s="207"/>
      <c r="GM11" s="207"/>
      <c r="GN11" s="207"/>
      <c r="GO11" s="207"/>
      <c r="GP11" s="207"/>
      <c r="GQ11" s="207"/>
      <c r="GR11" s="207"/>
      <c r="GS11" s="207"/>
      <c r="GT11" s="207"/>
      <c r="GU11" s="207"/>
      <c r="GV11" s="207"/>
      <c r="GW11" s="207"/>
      <c r="GX11" s="207"/>
      <c r="GY11" s="207"/>
      <c r="GZ11" s="207"/>
      <c r="HA11" s="207"/>
      <c r="HB11" s="207"/>
      <c r="HC11" s="207"/>
      <c r="HD11" s="207"/>
      <c r="HE11" s="207"/>
      <c r="HF11" s="207"/>
      <c r="HG11" s="207"/>
      <c r="HH11" s="207"/>
      <c r="HI11" s="207"/>
      <c r="HJ11" s="207"/>
      <c r="HK11" s="207"/>
      <c r="HL11" s="207"/>
      <c r="HM11" s="207"/>
      <c r="HN11" s="207"/>
      <c r="HO11" s="207"/>
      <c r="HP11" s="207"/>
      <c r="HQ11" s="207"/>
      <c r="HR11" s="207"/>
      <c r="HS11" s="207"/>
      <c r="HT11" s="207"/>
      <c r="HU11" s="207"/>
      <c r="HV11" s="207"/>
      <c r="HW11" s="207"/>
      <c r="HX11" s="207"/>
      <c r="HY11" s="207"/>
      <c r="HZ11" s="207"/>
      <c r="IA11" s="207"/>
      <c r="IB11" s="207"/>
      <c r="IC11" s="207"/>
      <c r="ID11" s="207"/>
      <c r="IE11" s="207"/>
      <c r="IF11" s="207"/>
      <c r="IG11" s="207"/>
      <c r="IH11" s="207"/>
      <c r="II11" s="207"/>
      <c r="IJ11" s="207"/>
      <c r="IK11" s="207"/>
      <c r="IL11" s="207"/>
      <c r="IM11" s="207"/>
      <c r="IN11" s="207"/>
      <c r="IO11" s="207"/>
      <c r="IP11" s="207"/>
      <c r="IQ11" s="207"/>
      <c r="IR11" s="207"/>
      <c r="IS11" s="207"/>
      <c r="IT11" s="207"/>
      <c r="IU11" s="207"/>
      <c r="IV11" s="207"/>
      <c r="IW11" s="207"/>
      <c r="IX11" s="207"/>
      <c r="IY11" s="32">
        <v>2</v>
      </c>
      <c r="IZ11" s="44">
        <f>(TEXT(K11,"[m]")/60)*VLOOKUP(IY11,'Income Person-hours'!A$2:C$5,3,FALSE)</f>
        <v>0</v>
      </c>
      <c r="JA11" s="124">
        <v>0.16666666666666666</v>
      </c>
      <c r="JB11" s="124"/>
      <c r="JC11" s="124"/>
      <c r="JD11" s="232">
        <f>SUM((TEXT(JA11,"[M]")/60)*'Income Person-hours'!$D$3,(TEXT(JB11,"[M]")/60)*'Income Person-hours'!$D$4,(TEXT(JC11,"[M]")/60)*'Income Person-hours'!$D$5)</f>
        <v>4800000</v>
      </c>
    </row>
    <row r="12" spans="1:264" s="231" customFormat="1" ht="15.75" x14ac:dyDescent="0.45">
      <c r="A12" s="206">
        <v>1.3</v>
      </c>
      <c r="B12" s="118" t="s">
        <v>178</v>
      </c>
      <c r="C12" s="119" t="s">
        <v>156</v>
      </c>
      <c r="D12" s="208" t="str">
        <f>IF(OR(j_WEEKDAY(J_ADDDAY(VLOOKUP(I12,A:F,6,FALSE),H12,1),0)=6,SUMIFS(Holieday[ok],Holieday[date],J_ADDDAY(VLOOKUP(I12,A:F,6,FALSE),H12,1)))=FALSE(),J_ADDDAY(VLOOKUP(I12,A:F,6,FALSE),H12,1),IF(OR(j_WEEKDAY(J_ADDDAY(VLOOKUP(I12,A:F,6,FALSE),H12+1,1),0)=6,SUMIFS(Holieday[ok],Holieday[date],J_ADDDAY(VLOOKUP(I12,A:F,6,FALSE),H12+1,1)))=FALSE(),J_ADDDAY(VLOOKUP(I12,A:F,6,FALSE),H12+1,1),IF(OR(j_WEEKDAY(J_ADDDAY(VLOOKUP(I12,A:F,6,FALSE),H12+2,1),0)=6,SUMIFS(Holieday[ok],Holieday[date],J_ADDDAY(VLOOKUP(I12,A:F,6,FALSE),H12+2,1)))=FALSE(),J_ADDDAY(VLOOKUP(I12,A:F,6,FALSE),H12+2,1),IF(OR(j_WEEKDAY(J_ADDDAY(VLOOKUP(I12,A:F,6,FALSE),H12+3,1),0)=6,SUMIFS(Holieday[ok],Holieday[date],J_ADDDAY(VLOOKUP(I12,A:F,6,FALSE),H12+3,1)))=FALSE(),J_ADDDAY(VLOOKUP(I12,A:F,6,FALSE),H12+3,1),IF(OR(j_WEEKDAY(J_ADDDAY(VLOOKUP(I12,A:F,6,FALSE),H12+4,1),0)=6,SUMIFS(Holieday[ok],Holieday[date],J_ADDDAY(VLOOKUP(I12,A:F,6,FALSE),H12+4,1)))=FALSE(),J_ADDDAY(VLOOKUP(I12,A:F,6,FALSE),H12+4,1),J_ADDDAY(VLOOKUP(I12,A:F,6,FALSE),H12+5,1))))))</f>
        <v>1398/06/12</v>
      </c>
      <c r="E12" s="198">
        <f t="shared" si="4"/>
        <v>13980612</v>
      </c>
      <c r="F12" s="209" t="str">
        <f>IF(N12=0,J_SUBDAY(D12,1,1),IF((N12-(NETWORKDAYS.INTL(J_GregorianDate(D12,1),J_GregorianDate(J_SUBDAY(J_ADDDAY(D12,N12,1),1,1),1),16,1)))+SUMIFS(Holieday[ok],Holieday[date],CONCATENATE("&gt;","=",D12),Holieday[date],CONCATENATE("&lt;","=",J_SUBDAY(J_ADDDAY(D12,N12,1),1,1)))-SUMIFS(Holieday[Friday],Holieday[date],CONCATENATE("&gt;","=",D12),Holieday[date],CONCATENATE("&lt;","=",J_SUBDAY(J_ADDDAY(D12,N12,1),1,1)))=0,J_SUBDAY(J_ADDDAY(D12,N12,1),1,1),IF((N12+1-(NETWORKDAYS.INTL(J_GregorianDate(D12,1),J_GregorianDate(J_SUBDAY(J_ADDDAY(D12,N12+1,1),1,1),1),16,1)))+SUMIFS(Holieday[ok],Holieday[date],CONCATENATE("&gt;","=",D12),Holieday[date],CONCATENATE("&lt;","=",J_SUBDAY(J_ADDDAY(D12,N12+1,1),1,1)))-SUMIFS(Holieday[Friday],Holieday[date],CONCATENATE("&gt;","=",D12),Holieday[date],CONCATENATE("&lt;","=",J_SUBDAY(J_ADDDAY(D12,N12+1,1),1,1)))=1,J_SUBDAY(J_ADDDAY(D12,N12+1,1),1,1),IF((N12+2-(NETWORKDAYS.INTL(J_GregorianDate(D12,1),J_GregorianDate(J_SUBDAY(J_ADDDAY(D12,N12+2,1),1,1),1),16,1)))+SUMIFS(Holieday[ok],Holieday[date],CONCATENATE("&gt;","=",D12),Holieday[date],CONCATENATE("&lt;","=",J_SUBDAY(J_ADDDAY(D12,N12+2,1),1,1)))-SUMIFS(Holieday[Friday],Holieday[date],CONCATENATE("&gt;","=",D12),Holieday[date],CONCATENATE("&lt;","=",J_SUBDAY(J_ADDDAY(D12,N12+2,1),1,1)))=2,J_SUBDAY(J_ADDDAY(D12,N12+2,1),1,1),IF((N12+3-(NETWORKDAYS.INTL(J_GregorianDate(D12,1),J_GregorianDate(J_SUBDAY(J_ADDDAY(D12,N12+3,1),1,1),1),16,1)))+SUMIFS(Holieday[ok],Holieday[date],CONCATENATE("&gt;","=",D12),Holieday[date],CONCATENATE("&lt;","=",J_SUBDAY(J_ADDDAY(D12,N12+3,1),1,1)))-SUMIFS(Holieday[Friday],Holieday[date],CONCATENATE("&gt;","=",D12),Holieday[date],CONCATENATE("&lt;","=",J_SUBDAY(J_ADDDAY(D12,N12+3,1),1,1)))=3,J_SUBDAY(J_ADDDAY(D12,N12+3,1),1,1),IF((N12+4-(NETWORKDAYS.INTL(J_GregorianDate(D12,1),J_GregorianDate(J_SUBDAY(J_ADDDAY(D12,N12+4,1),1,1),1),16,1)))+SUMIFS(Holieday[ok],Holieday[date],CONCATENATE("&gt;","=",D12),Holieday[date],CONCATENATE("&lt;","=",J_SUBDAY(J_ADDDAY(D12,N12+4,1),1,1)))-SUMIFS(Holieday[Friday],Holieday[date],CONCATENATE("&gt;","=",D12),Holieday[date],CONCATENATE("&lt;","=",J_SUBDAY(J_ADDDAY(D12,N12+4,1),1,1)))=4,J_SUBDAY(J_ADDDAY(D12,N12+4,1),1,1),IF((N12+5-(NETWORKDAYS.INTL(J_GregorianDate(D12,1),J_GregorianDate(J_SUBDAY(J_ADDDAY(D12,N12+5,1),1,1),1),16,1)))+SUMIFS(Holieday[ok],Holieday[date],CONCATENATE("&gt;","=",D12),Holieday[date],CONCATENATE("&lt;","=",J_SUBDAY(J_ADDDAY(D12,N12+5,1),1,1)))-SUMIFS(Holieday[Friday],Holieday[date],CONCATENATE("&gt;","=",D12),Holieday[date],CONCATENATE("&lt;","=",J_SUBDAY(J_ADDDAY(D12,N12+5,1),1,1)))=5,J_SUBDAY(J_ADDDAY(D12,N12+5,1),1,1),J_SUBDAY(J_ADDDAY(D12,N12+6,1),1,1))))))))</f>
        <v>1398/06/12</v>
      </c>
      <c r="G12" s="201">
        <f t="shared" si="5"/>
        <v>13980612</v>
      </c>
      <c r="H12" s="121">
        <v>9</v>
      </c>
      <c r="I12" s="122">
        <v>1.2</v>
      </c>
      <c r="J12" s="209" t="str">
        <f>j_WEEKDAY(D12,1)</f>
        <v>سه‌شنبه</v>
      </c>
      <c r="K12" s="211">
        <f t="shared" si="7"/>
        <v>0.16666666666666666</v>
      </c>
      <c r="L12" s="212">
        <f t="shared" si="8"/>
        <v>1</v>
      </c>
      <c r="M12" s="123">
        <v>1</v>
      </c>
      <c r="N12" s="120">
        <v>1</v>
      </c>
      <c r="O12" s="213">
        <f>ROUNDDOWN(M12*L12,0)</f>
        <v>1</v>
      </c>
      <c r="P12" s="213">
        <f>VALUE(J_normdate(J_ADDDAY($D12,$O12,1)))</f>
        <v>13980613</v>
      </c>
      <c r="Q12" s="209">
        <f t="shared" si="6"/>
        <v>0</v>
      </c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  <c r="AC12" s="207"/>
      <c r="AD12" s="207"/>
      <c r="AE12" s="207"/>
      <c r="AF12" s="207"/>
      <c r="AG12" s="207"/>
      <c r="AH12" s="207"/>
      <c r="AI12" s="207"/>
      <c r="AJ12" s="207"/>
      <c r="AK12" s="207"/>
      <c r="AL12" s="207"/>
      <c r="AM12" s="207"/>
      <c r="AN12" s="207"/>
      <c r="AO12" s="207"/>
      <c r="AP12" s="207"/>
      <c r="AQ12" s="207"/>
      <c r="AR12" s="207"/>
      <c r="AS12" s="207"/>
      <c r="AT12" s="207"/>
      <c r="AU12" s="207"/>
      <c r="AV12" s="207"/>
      <c r="AW12" s="207"/>
      <c r="AX12" s="207"/>
      <c r="AY12" s="207"/>
      <c r="AZ12" s="207"/>
      <c r="BA12" s="207"/>
      <c r="BB12" s="207"/>
      <c r="BC12" s="207"/>
      <c r="BD12" s="207"/>
      <c r="BE12" s="207"/>
      <c r="BF12" s="207"/>
      <c r="BG12" s="207"/>
      <c r="BH12" s="207"/>
      <c r="BI12" s="207"/>
      <c r="BJ12" s="207"/>
      <c r="BK12" s="207"/>
      <c r="BL12" s="207"/>
      <c r="BM12" s="207"/>
      <c r="BN12" s="207"/>
      <c r="BO12" s="207"/>
      <c r="BP12" s="207"/>
      <c r="BQ12" s="207"/>
      <c r="BR12" s="207"/>
      <c r="BS12" s="207"/>
      <c r="BT12" s="207"/>
      <c r="BU12" s="207"/>
      <c r="BV12" s="207"/>
      <c r="BW12" s="207"/>
      <c r="BX12" s="207"/>
      <c r="BY12" s="207"/>
      <c r="BZ12" s="207"/>
      <c r="CA12" s="207"/>
      <c r="CB12" s="207"/>
      <c r="CC12" s="207"/>
      <c r="CD12" s="207"/>
      <c r="CE12" s="207"/>
      <c r="CF12" s="207"/>
      <c r="CG12" s="207"/>
      <c r="CH12" s="207"/>
      <c r="CI12" s="207"/>
      <c r="CJ12" s="207"/>
      <c r="CK12" s="207"/>
      <c r="CL12" s="207"/>
      <c r="CM12" s="207"/>
      <c r="CN12" s="207"/>
      <c r="CO12" s="207"/>
      <c r="CP12" s="207"/>
      <c r="CQ12" s="207"/>
      <c r="CR12" s="207"/>
      <c r="CS12" s="207"/>
      <c r="CT12" s="207"/>
      <c r="CU12" s="207"/>
      <c r="CV12" s="207"/>
      <c r="CW12" s="207"/>
      <c r="CX12" s="207"/>
      <c r="CY12" s="207"/>
      <c r="CZ12" s="207"/>
      <c r="DA12" s="207"/>
      <c r="DB12" s="207"/>
      <c r="DC12" s="207"/>
      <c r="DD12" s="207"/>
      <c r="DE12" s="207"/>
      <c r="DF12" s="207"/>
      <c r="DG12" s="207"/>
      <c r="DH12" s="207"/>
      <c r="DI12" s="207"/>
      <c r="DJ12" s="207"/>
      <c r="DK12" s="207"/>
      <c r="DL12" s="207"/>
      <c r="DM12" s="207"/>
      <c r="DN12" s="207"/>
      <c r="DO12" s="207"/>
      <c r="DP12" s="207"/>
      <c r="DQ12" s="207"/>
      <c r="DR12" s="207"/>
      <c r="DS12" s="207"/>
      <c r="DT12" s="207"/>
      <c r="DU12" s="207"/>
      <c r="DV12" s="207"/>
      <c r="DW12" s="207"/>
      <c r="DX12" s="207"/>
      <c r="DY12" s="207"/>
      <c r="DZ12" s="207"/>
      <c r="EA12" s="207"/>
      <c r="EB12" s="207"/>
      <c r="EC12" s="207"/>
      <c r="ED12" s="207"/>
      <c r="EE12" s="207"/>
      <c r="EF12" s="207"/>
      <c r="EG12" s="207"/>
      <c r="EH12" s="207"/>
      <c r="EI12" s="207"/>
      <c r="EJ12" s="207"/>
      <c r="EK12" s="207"/>
      <c r="EL12" s="207"/>
      <c r="EM12" s="207"/>
      <c r="EN12" s="207"/>
      <c r="EO12" s="207"/>
      <c r="EP12" s="207"/>
      <c r="EQ12" s="207"/>
      <c r="ER12" s="207"/>
      <c r="ES12" s="207"/>
      <c r="ET12" s="207"/>
      <c r="EU12" s="207"/>
      <c r="EV12" s="207"/>
      <c r="EW12" s="207"/>
      <c r="EX12" s="207"/>
      <c r="EY12" s="207"/>
      <c r="EZ12" s="207"/>
      <c r="FA12" s="207"/>
      <c r="FB12" s="207"/>
      <c r="FC12" s="207"/>
      <c r="FD12" s="207"/>
      <c r="FE12" s="207"/>
      <c r="FF12" s="207"/>
      <c r="FG12" s="207"/>
      <c r="FH12" s="207"/>
      <c r="FI12" s="207"/>
      <c r="FJ12" s="207"/>
      <c r="FK12" s="207"/>
      <c r="FL12" s="207"/>
      <c r="FM12" s="207"/>
      <c r="FN12" s="207"/>
      <c r="FO12" s="207"/>
      <c r="FP12" s="207"/>
      <c r="FQ12" s="207"/>
      <c r="FR12" s="207"/>
      <c r="FS12" s="207"/>
      <c r="FT12" s="207"/>
      <c r="FU12" s="207"/>
      <c r="FV12" s="207"/>
      <c r="FW12" s="207"/>
      <c r="FX12" s="207"/>
      <c r="FY12" s="207"/>
      <c r="FZ12" s="207"/>
      <c r="GA12" s="207"/>
      <c r="GB12" s="207"/>
      <c r="GC12" s="207"/>
      <c r="GD12" s="207"/>
      <c r="GE12" s="207"/>
      <c r="GF12" s="207"/>
      <c r="GG12" s="207"/>
      <c r="GH12" s="207"/>
      <c r="GI12" s="207"/>
      <c r="GJ12" s="207"/>
      <c r="GK12" s="207"/>
      <c r="GL12" s="207"/>
      <c r="GM12" s="207"/>
      <c r="GN12" s="207"/>
      <c r="GO12" s="207"/>
      <c r="GP12" s="207"/>
      <c r="GQ12" s="207"/>
      <c r="GR12" s="207"/>
      <c r="GS12" s="207"/>
      <c r="GT12" s="207"/>
      <c r="GU12" s="207"/>
      <c r="GV12" s="207"/>
      <c r="GW12" s="207"/>
      <c r="GX12" s="207"/>
      <c r="GY12" s="207"/>
      <c r="GZ12" s="207"/>
      <c r="HA12" s="207"/>
      <c r="HB12" s="207"/>
      <c r="HC12" s="207"/>
      <c r="HD12" s="207"/>
      <c r="HE12" s="207"/>
      <c r="HF12" s="207"/>
      <c r="HG12" s="207"/>
      <c r="HH12" s="207"/>
      <c r="HI12" s="207"/>
      <c r="HJ12" s="207"/>
      <c r="HK12" s="207"/>
      <c r="HL12" s="207"/>
      <c r="HM12" s="207"/>
      <c r="HN12" s="207"/>
      <c r="HO12" s="207"/>
      <c r="HP12" s="207"/>
      <c r="HQ12" s="207"/>
      <c r="HR12" s="207"/>
      <c r="HS12" s="207"/>
      <c r="HT12" s="207"/>
      <c r="HU12" s="207"/>
      <c r="HV12" s="207"/>
      <c r="HW12" s="207"/>
      <c r="HX12" s="207"/>
      <c r="HY12" s="207"/>
      <c r="HZ12" s="207"/>
      <c r="IA12" s="207"/>
      <c r="IB12" s="207"/>
      <c r="IC12" s="207"/>
      <c r="ID12" s="207"/>
      <c r="IE12" s="207"/>
      <c r="IF12" s="207"/>
      <c r="IG12" s="207"/>
      <c r="IH12" s="207"/>
      <c r="II12" s="207"/>
      <c r="IJ12" s="207"/>
      <c r="IK12" s="207"/>
      <c r="IL12" s="207"/>
      <c r="IM12" s="207"/>
      <c r="IN12" s="207"/>
      <c r="IO12" s="207"/>
      <c r="IP12" s="207"/>
      <c r="IQ12" s="207"/>
      <c r="IR12" s="207"/>
      <c r="IS12" s="207"/>
      <c r="IT12" s="207"/>
      <c r="IU12" s="207"/>
      <c r="IV12" s="207"/>
      <c r="IW12" s="207"/>
      <c r="IX12" s="207"/>
      <c r="IY12" s="32">
        <v>2</v>
      </c>
      <c r="IZ12" s="44">
        <f>(TEXT(K12,"[m]")/60)*VLOOKUP(IY12,'Income Person-hours'!A$2:C$5,3,FALSE)</f>
        <v>0</v>
      </c>
      <c r="JA12" s="124">
        <v>0.16666666666666666</v>
      </c>
      <c r="JB12" s="124"/>
      <c r="JC12" s="124"/>
      <c r="JD12" s="232">
        <f>SUM((TEXT(JA12,"[M]")/60)*'Income Person-hours'!$D$3,(TEXT(JB12,"[M]")/60)*'Income Person-hours'!$D$4,(TEXT(JC12,"[M]")/60)*'Income Person-hours'!$D$5)</f>
        <v>4800000</v>
      </c>
    </row>
    <row r="13" spans="1:264" s="231" customFormat="1" ht="15.75" x14ac:dyDescent="0.45">
      <c r="A13" s="206">
        <v>1.4</v>
      </c>
      <c r="B13" s="118" t="s">
        <v>174</v>
      </c>
      <c r="C13" s="119" t="s">
        <v>156</v>
      </c>
      <c r="D13" s="207" t="str">
        <f>IF(OR(j_WEEKDAY(J_ADDDAY(VLOOKUP(I13,A:F,6,FALSE),H13,1),0)=6,SUMIFS(Holieday[ok],Holieday[date],J_ADDDAY(VLOOKUP(I13,A:F,6,FALSE),H13,1)))=FALSE(),J_ADDDAY(VLOOKUP(I13,A:F,6,FALSE),H13,1),IF(OR(j_WEEKDAY(J_ADDDAY(VLOOKUP(I13,A:F,6,FALSE),H13+1,1),0)=6,SUMIFS(Holieday[ok],Holieday[date],J_ADDDAY(VLOOKUP(I13,A:F,6,FALSE),H13+1,1)))=FALSE(),J_ADDDAY(VLOOKUP(I13,A:F,6,FALSE),H13+1,1),IF(OR(j_WEEKDAY(J_ADDDAY(VLOOKUP(I13,A:F,6,FALSE),H13+2,1),0)=6,SUMIFS(Holieday[ok],Holieday[date],J_ADDDAY(VLOOKUP(I13,A:F,6,FALSE),H13+2,1)))=FALSE(),J_ADDDAY(VLOOKUP(I13,A:F,6,FALSE),H13+2,1),IF(OR(j_WEEKDAY(J_ADDDAY(VLOOKUP(I13,A:F,6,FALSE),H13+3,1),0)=6,SUMIFS(Holieday[ok],Holieday[date],J_ADDDAY(VLOOKUP(I13,A:F,6,FALSE),H13+3,1)))=FALSE(),J_ADDDAY(VLOOKUP(I13,A:F,6,FALSE),H13+3,1),IF(OR(j_WEEKDAY(J_ADDDAY(VLOOKUP(I13,A:F,6,FALSE),H13+4,1),0)=6,SUMIFS(Holieday[ok],Holieday[date],J_ADDDAY(VLOOKUP(I13,A:F,6,FALSE),H13+4,1)))=FALSE(),J_ADDDAY(VLOOKUP(I13,A:F,6,FALSE),H13+4,1),J_ADDDAY(VLOOKUP(I13,A:F,6,FALSE),H13+5,1))))))</f>
        <v>1398/06/23</v>
      </c>
      <c r="E13" s="198">
        <f t="shared" si="4"/>
        <v>13980623</v>
      </c>
      <c r="F13" s="210" t="str">
        <f>IF(N13=0,J_SUBDAY(D13,1,1),IF((N13-(NETWORKDAYS.INTL(J_GregorianDate(D13,1),J_GregorianDate(J_SUBDAY(J_ADDDAY(D13,N13,1),1,1),1),16,1)))+SUMIFS(Holieday[ok],Holieday[date],CONCATENATE("&gt;","=",D13),Holieday[date],CONCATENATE("&lt;","=",J_SUBDAY(J_ADDDAY(D13,N13,1),1,1)))-SUMIFS(Holieday[Friday],Holieday[date],CONCATENATE("&gt;","=",D13),Holieday[date],CONCATENATE("&lt;","=",J_SUBDAY(J_ADDDAY(D13,N13,1),1,1)))=0,J_SUBDAY(J_ADDDAY(D13,N13,1),1,1),IF((N13+1-(NETWORKDAYS.INTL(J_GregorianDate(D13,1),J_GregorianDate(J_SUBDAY(J_ADDDAY(D13,N13+1,1),1,1),1),16,1)))+SUMIFS(Holieday[ok],Holieday[date],CONCATENATE("&gt;","=",D13),Holieday[date],CONCATENATE("&lt;","=",J_SUBDAY(J_ADDDAY(D13,N13+1,1),1,1)))-SUMIFS(Holieday[Friday],Holieday[date],CONCATENATE("&gt;","=",D13),Holieday[date],CONCATENATE("&lt;","=",J_SUBDAY(J_ADDDAY(D13,N13+1,1),1,1)))=1,J_SUBDAY(J_ADDDAY(D13,N13+1,1),1,1),IF((N13+2-(NETWORKDAYS.INTL(J_GregorianDate(D13,1),J_GregorianDate(J_SUBDAY(J_ADDDAY(D13,N13+2,1),1,1),1),16,1)))+SUMIFS(Holieday[ok],Holieday[date],CONCATENATE("&gt;","=",D13),Holieday[date],CONCATENATE("&lt;","=",J_SUBDAY(J_ADDDAY(D13,N13+2,1),1,1)))-SUMIFS(Holieday[Friday],Holieday[date],CONCATENATE("&gt;","=",D13),Holieday[date],CONCATENATE("&lt;","=",J_SUBDAY(J_ADDDAY(D13,N13+2,1),1,1)))=2,J_SUBDAY(J_ADDDAY(D13,N13+2,1),1,1),IF((N13+3-(NETWORKDAYS.INTL(J_GregorianDate(D13,1),J_GregorianDate(J_SUBDAY(J_ADDDAY(D13,N13+3,1),1,1),1),16,1)))+SUMIFS(Holieday[ok],Holieday[date],CONCATENATE("&gt;","=",D13),Holieday[date],CONCATENATE("&lt;","=",J_SUBDAY(J_ADDDAY(D13,N13+3,1),1,1)))-SUMIFS(Holieday[Friday],Holieday[date],CONCATENATE("&gt;","=",D13),Holieday[date],CONCATENATE("&lt;","=",J_SUBDAY(J_ADDDAY(D13,N13+3,1),1,1)))=3,J_SUBDAY(J_ADDDAY(D13,N13+3,1),1,1),IF((N13+4-(NETWORKDAYS.INTL(J_GregorianDate(D13,1),J_GregorianDate(J_SUBDAY(J_ADDDAY(D13,N13+4,1),1,1),1),16,1)))+SUMIFS(Holieday[ok],Holieday[date],CONCATENATE("&gt;","=",D13),Holieday[date],CONCATENATE("&lt;","=",J_SUBDAY(J_ADDDAY(D13,N13+4,1),1,1)))-SUMIFS(Holieday[Friday],Holieday[date],CONCATENATE("&gt;","=",D13),Holieday[date],CONCATENATE("&lt;","=",J_SUBDAY(J_ADDDAY(D13,N13+4,1),1,1)))=4,J_SUBDAY(J_ADDDAY(D13,N13+4,1),1,1),IF((N13+5-(NETWORKDAYS.INTL(J_GregorianDate(D13,1),J_GregorianDate(J_SUBDAY(J_ADDDAY(D13,N13+5,1),1,1),1),16,1)))+SUMIFS(Holieday[ok],Holieday[date],CONCATENATE("&gt;","=",D13),Holieday[date],CONCATENATE("&lt;","=",J_SUBDAY(J_ADDDAY(D13,N13+5,1),1,1)))-SUMIFS(Holieday[Friday],Holieday[date],CONCATENATE("&gt;","=",D13),Holieday[date],CONCATENATE("&lt;","=",J_SUBDAY(J_ADDDAY(D13,N13+5,1),1,1)))=5,J_SUBDAY(J_ADDDAY(D13,N13+5,1),1,1),J_SUBDAY(J_ADDDAY(D13,N13+6,1),1,1))))))))</f>
        <v>1398/06/23</v>
      </c>
      <c r="G13" s="201">
        <f t="shared" si="5"/>
        <v>13980623</v>
      </c>
      <c r="H13" s="121">
        <v>10</v>
      </c>
      <c r="I13" s="122">
        <v>1.3</v>
      </c>
      <c r="J13" s="209" t="str">
        <f>j_WEEKDAY(D13,1)</f>
        <v>شنبه</v>
      </c>
      <c r="K13" s="211">
        <f t="shared" si="7"/>
        <v>0.16666666666666666</v>
      </c>
      <c r="L13" s="212">
        <f t="shared" si="8"/>
        <v>1</v>
      </c>
      <c r="M13" s="123">
        <v>1</v>
      </c>
      <c r="N13" s="120">
        <v>1</v>
      </c>
      <c r="O13" s="213">
        <f>ROUNDDOWN(M13*L13,0)</f>
        <v>1</v>
      </c>
      <c r="P13" s="213">
        <f>VALUE(J_normdate(J_ADDDAY($D13,$O13,1)))</f>
        <v>13980624</v>
      </c>
      <c r="Q13" s="209">
        <f t="shared" si="6"/>
        <v>0</v>
      </c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  <c r="AC13" s="207"/>
      <c r="AD13" s="207"/>
      <c r="AE13" s="207"/>
      <c r="AF13" s="207"/>
      <c r="AG13" s="207"/>
      <c r="AH13" s="207"/>
      <c r="AI13" s="207"/>
      <c r="AJ13" s="207"/>
      <c r="AK13" s="207"/>
      <c r="AL13" s="207"/>
      <c r="AM13" s="207"/>
      <c r="AN13" s="207"/>
      <c r="AO13" s="207"/>
      <c r="AP13" s="207"/>
      <c r="AQ13" s="207"/>
      <c r="AR13" s="207"/>
      <c r="AS13" s="207"/>
      <c r="AT13" s="207"/>
      <c r="AU13" s="207"/>
      <c r="AV13" s="207"/>
      <c r="AW13" s="207"/>
      <c r="AX13" s="207"/>
      <c r="AY13" s="207"/>
      <c r="AZ13" s="207"/>
      <c r="BA13" s="207"/>
      <c r="BB13" s="207"/>
      <c r="BC13" s="207"/>
      <c r="BD13" s="207"/>
      <c r="BE13" s="207"/>
      <c r="BF13" s="207"/>
      <c r="BG13" s="207"/>
      <c r="BH13" s="207"/>
      <c r="BI13" s="207"/>
      <c r="BJ13" s="207"/>
      <c r="BK13" s="207"/>
      <c r="BL13" s="207"/>
      <c r="BM13" s="207"/>
      <c r="BN13" s="207"/>
      <c r="BO13" s="207"/>
      <c r="BP13" s="207"/>
      <c r="BQ13" s="207"/>
      <c r="BR13" s="207"/>
      <c r="BS13" s="207"/>
      <c r="BT13" s="207"/>
      <c r="BU13" s="207"/>
      <c r="BV13" s="207"/>
      <c r="BW13" s="207"/>
      <c r="BX13" s="207"/>
      <c r="BY13" s="207"/>
      <c r="BZ13" s="207"/>
      <c r="CA13" s="207"/>
      <c r="CB13" s="207"/>
      <c r="CC13" s="207"/>
      <c r="CD13" s="207"/>
      <c r="CE13" s="207"/>
      <c r="CF13" s="207"/>
      <c r="CG13" s="207"/>
      <c r="CH13" s="207"/>
      <c r="CI13" s="207"/>
      <c r="CJ13" s="207"/>
      <c r="CK13" s="207"/>
      <c r="CL13" s="207"/>
      <c r="CM13" s="207"/>
      <c r="CN13" s="207"/>
      <c r="CO13" s="207"/>
      <c r="CP13" s="207"/>
      <c r="CQ13" s="207"/>
      <c r="CR13" s="207"/>
      <c r="CS13" s="207"/>
      <c r="CT13" s="207"/>
      <c r="CU13" s="207"/>
      <c r="CV13" s="207"/>
      <c r="CW13" s="207"/>
      <c r="CX13" s="207"/>
      <c r="CY13" s="207"/>
      <c r="CZ13" s="207"/>
      <c r="DA13" s="207"/>
      <c r="DB13" s="207"/>
      <c r="DC13" s="207"/>
      <c r="DD13" s="207"/>
      <c r="DE13" s="207"/>
      <c r="DF13" s="207"/>
      <c r="DG13" s="207"/>
      <c r="DH13" s="207"/>
      <c r="DI13" s="207"/>
      <c r="DJ13" s="207"/>
      <c r="DK13" s="207"/>
      <c r="DL13" s="207"/>
      <c r="DM13" s="207"/>
      <c r="DN13" s="207"/>
      <c r="DO13" s="207"/>
      <c r="DP13" s="207"/>
      <c r="DQ13" s="207"/>
      <c r="DR13" s="207"/>
      <c r="DS13" s="207"/>
      <c r="DT13" s="207"/>
      <c r="DU13" s="207"/>
      <c r="DV13" s="207"/>
      <c r="DW13" s="207"/>
      <c r="DX13" s="207"/>
      <c r="DY13" s="207"/>
      <c r="DZ13" s="207"/>
      <c r="EA13" s="207"/>
      <c r="EB13" s="207"/>
      <c r="EC13" s="207"/>
      <c r="ED13" s="207"/>
      <c r="EE13" s="207"/>
      <c r="EF13" s="207"/>
      <c r="EG13" s="207"/>
      <c r="EH13" s="207"/>
      <c r="EI13" s="207"/>
      <c r="EJ13" s="207"/>
      <c r="EK13" s="207"/>
      <c r="EL13" s="207"/>
      <c r="EM13" s="207"/>
      <c r="EN13" s="207"/>
      <c r="EO13" s="207"/>
      <c r="EP13" s="207"/>
      <c r="EQ13" s="207"/>
      <c r="ER13" s="207"/>
      <c r="ES13" s="207"/>
      <c r="ET13" s="207"/>
      <c r="EU13" s="207"/>
      <c r="EV13" s="207"/>
      <c r="EW13" s="207"/>
      <c r="EX13" s="207"/>
      <c r="EY13" s="207"/>
      <c r="EZ13" s="207"/>
      <c r="FA13" s="207"/>
      <c r="FB13" s="207"/>
      <c r="FC13" s="207"/>
      <c r="FD13" s="207"/>
      <c r="FE13" s="207"/>
      <c r="FF13" s="207"/>
      <c r="FG13" s="207"/>
      <c r="FH13" s="207"/>
      <c r="FI13" s="207"/>
      <c r="FJ13" s="207"/>
      <c r="FK13" s="207"/>
      <c r="FL13" s="207"/>
      <c r="FM13" s="207"/>
      <c r="FN13" s="207"/>
      <c r="FO13" s="207"/>
      <c r="FP13" s="207"/>
      <c r="FQ13" s="207"/>
      <c r="FR13" s="207"/>
      <c r="FS13" s="207"/>
      <c r="FT13" s="207"/>
      <c r="FU13" s="207"/>
      <c r="FV13" s="207"/>
      <c r="FW13" s="207"/>
      <c r="FX13" s="207"/>
      <c r="FY13" s="207"/>
      <c r="FZ13" s="207"/>
      <c r="GA13" s="207"/>
      <c r="GB13" s="207"/>
      <c r="GC13" s="207"/>
      <c r="GD13" s="207"/>
      <c r="GE13" s="207"/>
      <c r="GF13" s="207"/>
      <c r="GG13" s="207"/>
      <c r="GH13" s="207"/>
      <c r="GI13" s="207"/>
      <c r="GJ13" s="207"/>
      <c r="GK13" s="207"/>
      <c r="GL13" s="207"/>
      <c r="GM13" s="207"/>
      <c r="GN13" s="207"/>
      <c r="GO13" s="207"/>
      <c r="GP13" s="207"/>
      <c r="GQ13" s="207"/>
      <c r="GR13" s="207"/>
      <c r="GS13" s="207"/>
      <c r="GT13" s="207"/>
      <c r="GU13" s="207"/>
      <c r="GV13" s="207"/>
      <c r="GW13" s="207"/>
      <c r="GX13" s="207"/>
      <c r="GY13" s="207"/>
      <c r="GZ13" s="207"/>
      <c r="HA13" s="207"/>
      <c r="HB13" s="207"/>
      <c r="HC13" s="207"/>
      <c r="HD13" s="207"/>
      <c r="HE13" s="207"/>
      <c r="HF13" s="207"/>
      <c r="HG13" s="207"/>
      <c r="HH13" s="207"/>
      <c r="HI13" s="207"/>
      <c r="HJ13" s="207"/>
      <c r="HK13" s="207"/>
      <c r="HL13" s="207"/>
      <c r="HM13" s="207"/>
      <c r="HN13" s="207"/>
      <c r="HO13" s="207"/>
      <c r="HP13" s="207"/>
      <c r="HQ13" s="207"/>
      <c r="HR13" s="207"/>
      <c r="HS13" s="207"/>
      <c r="HT13" s="207"/>
      <c r="HU13" s="207"/>
      <c r="HV13" s="207"/>
      <c r="HW13" s="207"/>
      <c r="HX13" s="207"/>
      <c r="HY13" s="207"/>
      <c r="HZ13" s="207"/>
      <c r="IA13" s="207"/>
      <c r="IB13" s="207"/>
      <c r="IC13" s="207"/>
      <c r="ID13" s="207"/>
      <c r="IE13" s="207"/>
      <c r="IF13" s="207"/>
      <c r="IG13" s="207"/>
      <c r="IH13" s="207"/>
      <c r="II13" s="207"/>
      <c r="IJ13" s="207"/>
      <c r="IK13" s="207"/>
      <c r="IL13" s="207"/>
      <c r="IM13" s="207"/>
      <c r="IN13" s="207"/>
      <c r="IO13" s="207"/>
      <c r="IP13" s="207"/>
      <c r="IQ13" s="207"/>
      <c r="IR13" s="207"/>
      <c r="IS13" s="207"/>
      <c r="IT13" s="207"/>
      <c r="IU13" s="207"/>
      <c r="IV13" s="207"/>
      <c r="IW13" s="207"/>
      <c r="IX13" s="207"/>
      <c r="IY13" s="32">
        <v>1</v>
      </c>
      <c r="IZ13" s="44">
        <f>(TEXT(K13,"[m]")/60)*VLOOKUP(IY13,'Income Person-hours'!A$2:C$5,3,FALSE)</f>
        <v>0</v>
      </c>
      <c r="JA13" s="124"/>
      <c r="JB13" s="124">
        <v>0.16666666666666666</v>
      </c>
      <c r="JC13" s="124"/>
      <c r="JD13" s="232">
        <f>SUM((TEXT(JA13,"[M]")/60)*'Income Person-hours'!$D$3,(TEXT(JB13,"[M]")/60)*'Income Person-hours'!$D$4,(TEXT(JC13,"[M]")/60)*'Income Person-hours'!$D$5)</f>
        <v>3664000</v>
      </c>
    </row>
    <row r="14" spans="1:264" s="231" customFormat="1" ht="15.75" x14ac:dyDescent="0.45">
      <c r="A14" s="206">
        <v>1.5</v>
      </c>
      <c r="B14" s="118" t="s">
        <v>190</v>
      </c>
      <c r="C14" s="119" t="s">
        <v>156</v>
      </c>
      <c r="D14" s="207" t="str">
        <f>IF(OR(j_WEEKDAY(J_ADDDAY(VLOOKUP(I14,A:F,6,FALSE),H14,1),0)=6,SUMIFS(Holieday[ok],Holieday[date],J_ADDDAY(VLOOKUP(I14,A:F,6,FALSE),H14,1)))=FALSE(),J_ADDDAY(VLOOKUP(I14,A:F,6,FALSE),H14,1),IF(OR(j_WEEKDAY(J_ADDDAY(VLOOKUP(I14,A:F,6,FALSE),H14+1,1),0)=6,SUMIFS(Holieday[ok],Holieday[date],J_ADDDAY(VLOOKUP(I14,A:F,6,FALSE),H14+1,1)))=FALSE(),J_ADDDAY(VLOOKUP(I14,A:F,6,FALSE),H14+1,1),IF(OR(j_WEEKDAY(J_ADDDAY(VLOOKUP(I14,A:F,6,FALSE),H14+2,1),0)=6,SUMIFS(Holieday[ok],Holieday[date],J_ADDDAY(VLOOKUP(I14,A:F,6,FALSE),H14+2,1)))=FALSE(),J_ADDDAY(VLOOKUP(I14,A:F,6,FALSE),H14+2,1),IF(OR(j_WEEKDAY(J_ADDDAY(VLOOKUP(I14,A:F,6,FALSE),H14+3,1),0)=6,SUMIFS(Holieday[ok],Holieday[date],J_ADDDAY(VLOOKUP(I14,A:F,6,FALSE),H14+3,1)))=FALSE(),J_ADDDAY(VLOOKUP(I14,A:F,6,FALSE),H14+3,1),IF(OR(j_WEEKDAY(J_ADDDAY(VLOOKUP(I14,A:F,6,FALSE),H14+4,1),0)=6,SUMIFS(Holieday[ok],Holieday[date],J_ADDDAY(VLOOKUP(I14,A:F,6,FALSE),H14+4,1)))=FALSE(),J_ADDDAY(VLOOKUP(I14,A:F,6,FALSE),H14+4,1),J_ADDDAY(VLOOKUP(I14,A:F,6,FALSE),H14+5,1))))))</f>
        <v>1398/07/02</v>
      </c>
      <c r="E14" s="198">
        <f t="shared" si="4"/>
        <v>13980702</v>
      </c>
      <c r="F14" s="210" t="str">
        <f>IF(N14=0,J_SUBDAY(D14,1,1),IF((N14-(NETWORKDAYS.INTL(J_GregorianDate(D14,1),J_GregorianDate(J_SUBDAY(J_ADDDAY(D14,N14,1),1,1),1),16,1)))+SUMIFS(Holieday[ok],Holieday[date],CONCATENATE("&gt;","=",D14),Holieday[date],CONCATENATE("&lt;","=",J_SUBDAY(J_ADDDAY(D14,N14,1),1,1)))-SUMIFS(Holieday[Friday],Holieday[date],CONCATENATE("&gt;","=",D14),Holieday[date],CONCATENATE("&lt;","=",J_SUBDAY(J_ADDDAY(D14,N14,1),1,1)))=0,J_SUBDAY(J_ADDDAY(D14,N14,1),1,1),IF((N14+1-(NETWORKDAYS.INTL(J_GregorianDate(D14,1),J_GregorianDate(J_SUBDAY(J_ADDDAY(D14,N14+1,1),1,1),1),16,1)))+SUMIFS(Holieday[ok],Holieday[date],CONCATENATE("&gt;","=",D14),Holieday[date],CONCATENATE("&lt;","=",J_SUBDAY(J_ADDDAY(D14,N14+1,1),1,1)))-SUMIFS(Holieday[Friday],Holieday[date],CONCATENATE("&gt;","=",D14),Holieday[date],CONCATENATE("&lt;","=",J_SUBDAY(J_ADDDAY(D14,N14+1,1),1,1)))=1,J_SUBDAY(J_ADDDAY(D14,N14+1,1),1,1),IF((N14+2-(NETWORKDAYS.INTL(J_GregorianDate(D14,1),J_GregorianDate(J_SUBDAY(J_ADDDAY(D14,N14+2,1),1,1),1),16,1)))+SUMIFS(Holieday[ok],Holieday[date],CONCATENATE("&gt;","=",D14),Holieday[date],CONCATENATE("&lt;","=",J_SUBDAY(J_ADDDAY(D14,N14+2,1),1,1)))-SUMIFS(Holieday[Friday],Holieday[date],CONCATENATE("&gt;","=",D14),Holieday[date],CONCATENATE("&lt;","=",J_SUBDAY(J_ADDDAY(D14,N14+2,1),1,1)))=2,J_SUBDAY(J_ADDDAY(D14,N14+2,1),1,1),IF((N14+3-(NETWORKDAYS.INTL(J_GregorianDate(D14,1),J_GregorianDate(J_SUBDAY(J_ADDDAY(D14,N14+3,1),1,1),1),16,1)))+SUMIFS(Holieday[ok],Holieday[date],CONCATENATE("&gt;","=",D14),Holieday[date],CONCATENATE("&lt;","=",J_SUBDAY(J_ADDDAY(D14,N14+3,1),1,1)))-SUMIFS(Holieday[Friday],Holieday[date],CONCATENATE("&gt;","=",D14),Holieday[date],CONCATENATE("&lt;","=",J_SUBDAY(J_ADDDAY(D14,N14+3,1),1,1)))=3,J_SUBDAY(J_ADDDAY(D14,N14+3,1),1,1),IF((N14+4-(NETWORKDAYS.INTL(J_GregorianDate(D14,1),J_GregorianDate(J_SUBDAY(J_ADDDAY(D14,N14+4,1),1,1),1),16,1)))+SUMIFS(Holieday[ok],Holieday[date],CONCATENATE("&gt;","=",D14),Holieday[date],CONCATENATE("&lt;","=",J_SUBDAY(J_ADDDAY(D14,N14+4,1),1,1)))-SUMIFS(Holieday[Friday],Holieday[date],CONCATENATE("&gt;","=",D14),Holieday[date],CONCATENATE("&lt;","=",J_SUBDAY(J_ADDDAY(D14,N14+4,1),1,1)))=4,J_SUBDAY(J_ADDDAY(D14,N14+4,1),1,1),IF((N14+5-(NETWORKDAYS.INTL(J_GregorianDate(D14,1),J_GregorianDate(J_SUBDAY(J_ADDDAY(D14,N14+5,1),1,1),1),16,1)))+SUMIFS(Holieday[ok],Holieday[date],CONCATENATE("&gt;","=",D14),Holieday[date],CONCATENATE("&lt;","=",J_SUBDAY(J_ADDDAY(D14,N14+5,1),1,1)))-SUMIFS(Holieday[Friday],Holieday[date],CONCATENATE("&gt;","=",D14),Holieday[date],CONCATENATE("&lt;","=",J_SUBDAY(J_ADDDAY(D14,N14+5,1),1,1)))=5,J_SUBDAY(J_ADDDAY(D14,N14+5,1),1,1),J_SUBDAY(J_ADDDAY(D14,N14+6,1),1,1))))))))</f>
        <v>1398/07/02</v>
      </c>
      <c r="G14" s="201">
        <f t="shared" si="5"/>
        <v>13980702</v>
      </c>
      <c r="H14" s="121">
        <v>10</v>
      </c>
      <c r="I14" s="122">
        <v>1.4</v>
      </c>
      <c r="J14" s="209" t="str">
        <f>j_WEEKDAY(D14,1)</f>
        <v>سه‌شنبه</v>
      </c>
      <c r="K14" s="211">
        <f t="shared" si="7"/>
        <v>0.41666666666666663</v>
      </c>
      <c r="L14" s="212">
        <f t="shared" si="8"/>
        <v>1</v>
      </c>
      <c r="M14" s="123">
        <v>1</v>
      </c>
      <c r="N14" s="120">
        <v>1</v>
      </c>
      <c r="O14" s="213">
        <f t="shared" ref="O14:O30" si="9">ROUNDDOWN(M14*L14,0)</f>
        <v>1</v>
      </c>
      <c r="P14" s="213">
        <f>VALUE(J_normdate(J_ADDDAY($D14,$O14,1)))</f>
        <v>13980703</v>
      </c>
      <c r="Q14" s="209">
        <f t="shared" ref="Q14:Q30" si="10">L14-O14</f>
        <v>0</v>
      </c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  <c r="AC14" s="207"/>
      <c r="AD14" s="207"/>
      <c r="AE14" s="207"/>
      <c r="AF14" s="207"/>
      <c r="AG14" s="207"/>
      <c r="AH14" s="207"/>
      <c r="AI14" s="207"/>
      <c r="AJ14" s="207"/>
      <c r="AK14" s="207"/>
      <c r="AL14" s="207"/>
      <c r="AM14" s="207"/>
      <c r="AN14" s="207"/>
      <c r="AO14" s="207"/>
      <c r="AP14" s="207"/>
      <c r="AQ14" s="207"/>
      <c r="AR14" s="207"/>
      <c r="AS14" s="207"/>
      <c r="AT14" s="207"/>
      <c r="AU14" s="207"/>
      <c r="AV14" s="207"/>
      <c r="AW14" s="207"/>
      <c r="AX14" s="207"/>
      <c r="AY14" s="207"/>
      <c r="AZ14" s="207"/>
      <c r="BA14" s="207"/>
      <c r="BB14" s="207"/>
      <c r="BC14" s="207"/>
      <c r="BD14" s="207"/>
      <c r="BE14" s="207"/>
      <c r="BF14" s="207"/>
      <c r="BG14" s="207"/>
      <c r="BH14" s="207"/>
      <c r="BI14" s="207"/>
      <c r="BJ14" s="207"/>
      <c r="BK14" s="207"/>
      <c r="BL14" s="207"/>
      <c r="BM14" s="207"/>
      <c r="BN14" s="207"/>
      <c r="BO14" s="207"/>
      <c r="BP14" s="207"/>
      <c r="BQ14" s="207"/>
      <c r="BR14" s="207"/>
      <c r="BS14" s="207"/>
      <c r="BT14" s="207"/>
      <c r="BU14" s="207"/>
      <c r="BV14" s="207"/>
      <c r="BW14" s="207"/>
      <c r="BX14" s="207"/>
      <c r="BY14" s="207"/>
      <c r="BZ14" s="207"/>
      <c r="CA14" s="207"/>
      <c r="CB14" s="207"/>
      <c r="CC14" s="207"/>
      <c r="CD14" s="207"/>
      <c r="CE14" s="207"/>
      <c r="CF14" s="207"/>
      <c r="CG14" s="207"/>
      <c r="CH14" s="207"/>
      <c r="CI14" s="207"/>
      <c r="CJ14" s="207"/>
      <c r="CK14" s="207"/>
      <c r="CL14" s="207"/>
      <c r="CM14" s="207"/>
      <c r="CN14" s="207"/>
      <c r="CO14" s="207"/>
      <c r="CP14" s="207"/>
      <c r="CQ14" s="207"/>
      <c r="CR14" s="207"/>
      <c r="CS14" s="207"/>
      <c r="CT14" s="207"/>
      <c r="CU14" s="207"/>
      <c r="CV14" s="207"/>
      <c r="CW14" s="207"/>
      <c r="CX14" s="207"/>
      <c r="CY14" s="207"/>
      <c r="CZ14" s="207"/>
      <c r="DA14" s="207"/>
      <c r="DB14" s="207"/>
      <c r="DC14" s="207"/>
      <c r="DD14" s="207"/>
      <c r="DE14" s="207"/>
      <c r="DF14" s="207"/>
      <c r="DG14" s="207"/>
      <c r="DH14" s="207"/>
      <c r="DI14" s="207"/>
      <c r="DJ14" s="207"/>
      <c r="DK14" s="207"/>
      <c r="DL14" s="207"/>
      <c r="DM14" s="207"/>
      <c r="DN14" s="207"/>
      <c r="DO14" s="207"/>
      <c r="DP14" s="207"/>
      <c r="DQ14" s="207"/>
      <c r="DR14" s="207"/>
      <c r="DS14" s="207"/>
      <c r="DT14" s="207"/>
      <c r="DU14" s="207"/>
      <c r="DV14" s="207"/>
      <c r="DW14" s="207"/>
      <c r="DX14" s="207"/>
      <c r="DY14" s="207"/>
      <c r="DZ14" s="207"/>
      <c r="EA14" s="207"/>
      <c r="EB14" s="207"/>
      <c r="EC14" s="207"/>
      <c r="ED14" s="207"/>
      <c r="EE14" s="207"/>
      <c r="EF14" s="207"/>
      <c r="EG14" s="207"/>
      <c r="EH14" s="207"/>
      <c r="EI14" s="207"/>
      <c r="EJ14" s="207"/>
      <c r="EK14" s="207"/>
      <c r="EL14" s="207"/>
      <c r="EM14" s="207"/>
      <c r="EN14" s="207"/>
      <c r="EO14" s="207"/>
      <c r="EP14" s="207"/>
      <c r="EQ14" s="207"/>
      <c r="ER14" s="207"/>
      <c r="ES14" s="207"/>
      <c r="ET14" s="207"/>
      <c r="EU14" s="207"/>
      <c r="EV14" s="207"/>
      <c r="EW14" s="207"/>
      <c r="EX14" s="207"/>
      <c r="EY14" s="207"/>
      <c r="EZ14" s="207"/>
      <c r="FA14" s="207"/>
      <c r="FB14" s="207"/>
      <c r="FC14" s="207"/>
      <c r="FD14" s="207"/>
      <c r="FE14" s="207"/>
      <c r="FF14" s="207"/>
      <c r="FG14" s="207"/>
      <c r="FH14" s="207"/>
      <c r="FI14" s="207"/>
      <c r="FJ14" s="207"/>
      <c r="FK14" s="207"/>
      <c r="FL14" s="207"/>
      <c r="FM14" s="207"/>
      <c r="FN14" s="207"/>
      <c r="FO14" s="207"/>
      <c r="FP14" s="207"/>
      <c r="FQ14" s="207"/>
      <c r="FR14" s="207"/>
      <c r="FS14" s="207"/>
      <c r="FT14" s="207"/>
      <c r="FU14" s="207"/>
      <c r="FV14" s="207"/>
      <c r="FW14" s="207"/>
      <c r="FX14" s="207"/>
      <c r="FY14" s="207"/>
      <c r="FZ14" s="207"/>
      <c r="GA14" s="207"/>
      <c r="GB14" s="207"/>
      <c r="GC14" s="207"/>
      <c r="GD14" s="207"/>
      <c r="GE14" s="207"/>
      <c r="GF14" s="207"/>
      <c r="GG14" s="207"/>
      <c r="GH14" s="207"/>
      <c r="GI14" s="207"/>
      <c r="GJ14" s="207"/>
      <c r="GK14" s="207"/>
      <c r="GL14" s="207"/>
      <c r="GM14" s="207"/>
      <c r="GN14" s="207"/>
      <c r="GO14" s="207"/>
      <c r="GP14" s="207"/>
      <c r="GQ14" s="207"/>
      <c r="GR14" s="207"/>
      <c r="GS14" s="207"/>
      <c r="GT14" s="207"/>
      <c r="GU14" s="207"/>
      <c r="GV14" s="207"/>
      <c r="GW14" s="207"/>
      <c r="GX14" s="207"/>
      <c r="GY14" s="207"/>
      <c r="GZ14" s="207"/>
      <c r="HA14" s="207"/>
      <c r="HB14" s="207"/>
      <c r="HC14" s="207"/>
      <c r="HD14" s="207"/>
      <c r="HE14" s="207"/>
      <c r="HF14" s="207"/>
      <c r="HG14" s="207"/>
      <c r="HH14" s="207"/>
      <c r="HI14" s="207"/>
      <c r="HJ14" s="207"/>
      <c r="HK14" s="207"/>
      <c r="HL14" s="207"/>
      <c r="HM14" s="207"/>
      <c r="HN14" s="207"/>
      <c r="HO14" s="207"/>
      <c r="HP14" s="207"/>
      <c r="HQ14" s="207"/>
      <c r="HR14" s="207"/>
      <c r="HS14" s="207"/>
      <c r="HT14" s="207"/>
      <c r="HU14" s="207"/>
      <c r="HV14" s="207"/>
      <c r="HW14" s="207"/>
      <c r="HX14" s="207"/>
      <c r="HY14" s="207"/>
      <c r="HZ14" s="207"/>
      <c r="IA14" s="207"/>
      <c r="IB14" s="207"/>
      <c r="IC14" s="207"/>
      <c r="ID14" s="207"/>
      <c r="IE14" s="207"/>
      <c r="IF14" s="207"/>
      <c r="IG14" s="207"/>
      <c r="IH14" s="207"/>
      <c r="II14" s="207"/>
      <c r="IJ14" s="207"/>
      <c r="IK14" s="207"/>
      <c r="IL14" s="207"/>
      <c r="IM14" s="207"/>
      <c r="IN14" s="207"/>
      <c r="IO14" s="207"/>
      <c r="IP14" s="207"/>
      <c r="IQ14" s="207"/>
      <c r="IR14" s="207"/>
      <c r="IS14" s="207"/>
      <c r="IT14" s="207"/>
      <c r="IU14" s="207"/>
      <c r="IV14" s="207"/>
      <c r="IW14" s="207"/>
      <c r="IX14" s="207"/>
      <c r="IY14" s="32">
        <v>1</v>
      </c>
      <c r="IZ14" s="44">
        <f>(TEXT(K14,"[m]")/60)*VLOOKUP(IY14,'Income Person-hours'!A$2:C$5,3,FALSE)</f>
        <v>0</v>
      </c>
      <c r="JA14" s="124">
        <v>0.25</v>
      </c>
      <c r="JB14" s="124">
        <v>0.16666666666666666</v>
      </c>
      <c r="JC14" s="124"/>
      <c r="JD14" s="232">
        <f>SUM((TEXT(JA14,"[M]")/60)*'Income Person-hours'!$D$3,(TEXT(JB14,"[M]")/60)*'Income Person-hours'!$D$4,(TEXT(JC14,"[M]")/60)*'Income Person-hours'!$D$5)</f>
        <v>10864000</v>
      </c>
    </row>
    <row r="15" spans="1:264" s="231" customFormat="1" ht="15.75" hidden="1" x14ac:dyDescent="0.45">
      <c r="A15" s="206">
        <v>1.6</v>
      </c>
      <c r="B15" s="118" t="s">
        <v>172</v>
      </c>
      <c r="C15" s="119" t="s">
        <v>156</v>
      </c>
      <c r="D15" s="207" t="str">
        <f>IF(OR(j_WEEKDAY(J_ADDDAY(VLOOKUP(I15,A:F,6,FALSE),H15,1),0)=6,SUMIFS(Holieday[ok],Holieday[date],J_ADDDAY(VLOOKUP(I15,A:F,6,FALSE),H15,1)))=FALSE(),J_ADDDAY(VLOOKUP(I15,A:F,6,FALSE),H15,1),IF(OR(j_WEEKDAY(J_ADDDAY(VLOOKUP(I15,A:F,6,FALSE),H15+1,1),0)=6,SUMIFS(Holieday[ok],Holieday[date],J_ADDDAY(VLOOKUP(I15,A:F,6,FALSE),H15+1,1)))=FALSE(),J_ADDDAY(VLOOKUP(I15,A:F,6,FALSE),H15+1,1),IF(OR(j_WEEKDAY(J_ADDDAY(VLOOKUP(I15,A:F,6,FALSE),H15+2,1),0)=6,SUMIFS(Holieday[ok],Holieday[date],J_ADDDAY(VLOOKUP(I15,A:F,6,FALSE),H15+2,1)))=FALSE(),J_ADDDAY(VLOOKUP(I15,A:F,6,FALSE),H15+2,1),IF(OR(j_WEEKDAY(J_ADDDAY(VLOOKUP(I15,A:F,6,FALSE),H15+3,1),0)=6,SUMIFS(Holieday[ok],Holieday[date],J_ADDDAY(VLOOKUP(I15,A:F,6,FALSE),H15+3,1)))=FALSE(),J_ADDDAY(VLOOKUP(I15,A:F,6,FALSE),H15+3,1),IF(OR(j_WEEKDAY(J_ADDDAY(VLOOKUP(I15,A:F,6,FALSE),H15+4,1),0)=6,SUMIFS(Holieday[ok],Holieday[date],J_ADDDAY(VLOOKUP(I15,A:F,6,FALSE),H15+4,1)))=FALSE(),J_ADDDAY(VLOOKUP(I15,A:F,6,FALSE),H15+4,1),J_ADDDAY(VLOOKUP(I15,A:F,6,FALSE),H15+5,1))))))</f>
        <v>1398/07/02</v>
      </c>
      <c r="E15" s="198">
        <f t="shared" si="4"/>
        <v>13980702</v>
      </c>
      <c r="F15" s="210" t="str">
        <f>IF(N15=0,J_SUBDAY(D15,1,1),IF((N15-(NETWORKDAYS.INTL(J_GregorianDate(D15,1),J_GregorianDate(J_SUBDAY(J_ADDDAY(D15,N15,1),1,1),1),16,1)))+SUMIFS(Holieday[ok],Holieday[date],CONCATENATE("&gt;","=",D15),Holieday[date],CONCATENATE("&lt;","=",J_SUBDAY(J_ADDDAY(D15,N15,1),1,1)))-SUMIFS(Holieday[Friday],Holieday[date],CONCATENATE("&gt;","=",D15),Holieday[date],CONCATENATE("&lt;","=",J_SUBDAY(J_ADDDAY(D15,N15,1),1,1)))=0,J_SUBDAY(J_ADDDAY(D15,N15,1),1,1),IF((N15+1-(NETWORKDAYS.INTL(J_GregorianDate(D15,1),J_GregorianDate(J_SUBDAY(J_ADDDAY(D15,N15+1,1),1,1),1),16,1)))+SUMIFS(Holieday[ok],Holieday[date],CONCATENATE("&gt;","=",D15),Holieday[date],CONCATENATE("&lt;","=",J_SUBDAY(J_ADDDAY(D15,N15+1,1),1,1)))-SUMIFS(Holieday[Friday],Holieday[date],CONCATENATE("&gt;","=",D15),Holieday[date],CONCATENATE("&lt;","=",J_SUBDAY(J_ADDDAY(D15,N15+1,1),1,1)))=1,J_SUBDAY(J_ADDDAY(D15,N15+1,1),1,1),IF((N15+2-(NETWORKDAYS.INTL(J_GregorianDate(D15,1),J_GregorianDate(J_SUBDAY(J_ADDDAY(D15,N15+2,1),1,1),1),16,1)))+SUMIFS(Holieday[ok],Holieday[date],CONCATENATE("&gt;","=",D15),Holieday[date],CONCATENATE("&lt;","=",J_SUBDAY(J_ADDDAY(D15,N15+2,1),1,1)))-SUMIFS(Holieday[Friday],Holieday[date],CONCATENATE("&gt;","=",D15),Holieday[date],CONCATENATE("&lt;","=",J_SUBDAY(J_ADDDAY(D15,N15+2,1),1,1)))=2,J_SUBDAY(J_ADDDAY(D15,N15+2,1),1,1),IF((N15+3-(NETWORKDAYS.INTL(J_GregorianDate(D15,1),J_GregorianDate(J_SUBDAY(J_ADDDAY(D15,N15+3,1),1,1),1),16,1)))+SUMIFS(Holieday[ok],Holieday[date],CONCATENATE("&gt;","=",D15),Holieday[date],CONCATENATE("&lt;","=",J_SUBDAY(J_ADDDAY(D15,N15+3,1),1,1)))-SUMIFS(Holieday[Friday],Holieday[date],CONCATENATE("&gt;","=",D15),Holieday[date],CONCATENATE("&lt;","=",J_SUBDAY(J_ADDDAY(D15,N15+3,1),1,1)))=3,J_SUBDAY(J_ADDDAY(D15,N15+3,1),1,1),IF((N15+4-(NETWORKDAYS.INTL(J_GregorianDate(D15,1),J_GregorianDate(J_SUBDAY(J_ADDDAY(D15,N15+4,1),1,1),1),16,1)))+SUMIFS(Holieday[ok],Holieday[date],CONCATENATE("&gt;","=",D15),Holieday[date],CONCATENATE("&lt;","=",J_SUBDAY(J_ADDDAY(D15,N15+4,1),1,1)))-SUMIFS(Holieday[Friday],Holieday[date],CONCATENATE("&gt;","=",D15),Holieday[date],CONCATENATE("&lt;","=",J_SUBDAY(J_ADDDAY(D15,N15+4,1),1,1)))=4,J_SUBDAY(J_ADDDAY(D15,N15+4,1),1,1),IF((N15+5-(NETWORKDAYS.INTL(J_GregorianDate(D15,1),J_GregorianDate(J_SUBDAY(J_ADDDAY(D15,N15+5,1),1,1),1),16,1)))+SUMIFS(Holieday[ok],Holieday[date],CONCATENATE("&gt;","=",D15),Holieday[date],CONCATENATE("&lt;","=",J_SUBDAY(J_ADDDAY(D15,N15+5,1),1,1)))-SUMIFS(Holieday[Friday],Holieday[date],CONCATENATE("&gt;","=",D15),Holieday[date],CONCATENATE("&lt;","=",J_SUBDAY(J_ADDDAY(D15,N15+5,1),1,1)))=5,J_SUBDAY(J_ADDDAY(D15,N15+5,1),1,1),J_SUBDAY(J_ADDDAY(D15,N15+6,1),1,1))))))))</f>
        <v>1398/07/01</v>
      </c>
      <c r="G15" s="201">
        <f t="shared" si="5"/>
        <v>13980701</v>
      </c>
      <c r="H15" s="121"/>
      <c r="I15" s="122">
        <v>1.5</v>
      </c>
      <c r="J15" s="209" t="str">
        <f>j_WEEKDAY(D15,1)</f>
        <v>سه‌شنبه</v>
      </c>
      <c r="K15" s="211">
        <f t="shared" si="7"/>
        <v>0.16666666666666666</v>
      </c>
      <c r="L15" s="212">
        <f t="shared" si="8"/>
        <v>0</v>
      </c>
      <c r="M15" s="123">
        <v>0</v>
      </c>
      <c r="N15" s="120">
        <v>0</v>
      </c>
      <c r="O15" s="213">
        <f t="shared" si="9"/>
        <v>0</v>
      </c>
      <c r="P15" s="213">
        <f>VALUE(J_normdate(J_ADDDAY($D15,$O15,1)))</f>
        <v>13980702</v>
      </c>
      <c r="Q15" s="209">
        <f t="shared" si="10"/>
        <v>0</v>
      </c>
      <c r="R15" s="207"/>
      <c r="S15" s="207"/>
      <c r="T15" s="207"/>
      <c r="U15" s="207"/>
      <c r="V15" s="207"/>
      <c r="W15" s="207"/>
      <c r="X15" s="207"/>
      <c r="Y15" s="207"/>
      <c r="Z15" s="207"/>
      <c r="AA15" s="207"/>
      <c r="AB15" s="207"/>
      <c r="AC15" s="207"/>
      <c r="AD15" s="207"/>
      <c r="AE15" s="207"/>
      <c r="AF15" s="207"/>
      <c r="AG15" s="207"/>
      <c r="AH15" s="207"/>
      <c r="AI15" s="207"/>
      <c r="AJ15" s="207"/>
      <c r="AK15" s="207"/>
      <c r="AL15" s="207"/>
      <c r="AM15" s="207"/>
      <c r="AN15" s="207"/>
      <c r="AO15" s="207"/>
      <c r="AP15" s="207"/>
      <c r="AQ15" s="207"/>
      <c r="AR15" s="207"/>
      <c r="AS15" s="207"/>
      <c r="AT15" s="207"/>
      <c r="AU15" s="207"/>
      <c r="AV15" s="207"/>
      <c r="AW15" s="207"/>
      <c r="AX15" s="207"/>
      <c r="AY15" s="207"/>
      <c r="AZ15" s="207"/>
      <c r="BA15" s="207"/>
      <c r="BB15" s="207"/>
      <c r="BC15" s="207"/>
      <c r="BD15" s="207"/>
      <c r="BE15" s="207"/>
      <c r="BF15" s="207"/>
      <c r="BG15" s="207"/>
      <c r="BH15" s="207"/>
      <c r="BI15" s="207"/>
      <c r="BJ15" s="207"/>
      <c r="BK15" s="207"/>
      <c r="BL15" s="207"/>
      <c r="BM15" s="207"/>
      <c r="BN15" s="207"/>
      <c r="BO15" s="207"/>
      <c r="BP15" s="207"/>
      <c r="BQ15" s="207"/>
      <c r="BR15" s="207"/>
      <c r="BS15" s="207"/>
      <c r="BT15" s="207"/>
      <c r="BU15" s="207"/>
      <c r="BV15" s="207"/>
      <c r="BW15" s="207"/>
      <c r="BX15" s="207"/>
      <c r="BY15" s="207"/>
      <c r="BZ15" s="207"/>
      <c r="CA15" s="207"/>
      <c r="CB15" s="207"/>
      <c r="CC15" s="207"/>
      <c r="CD15" s="207"/>
      <c r="CE15" s="207"/>
      <c r="CF15" s="207"/>
      <c r="CG15" s="207"/>
      <c r="CH15" s="207"/>
      <c r="CI15" s="207"/>
      <c r="CJ15" s="207"/>
      <c r="CK15" s="207"/>
      <c r="CL15" s="207"/>
      <c r="CM15" s="207"/>
      <c r="CN15" s="207"/>
      <c r="CO15" s="207"/>
      <c r="CP15" s="207"/>
      <c r="CQ15" s="207"/>
      <c r="CR15" s="207"/>
      <c r="CS15" s="207"/>
      <c r="CT15" s="207"/>
      <c r="CU15" s="207"/>
      <c r="CV15" s="207"/>
      <c r="CW15" s="207"/>
      <c r="CX15" s="207"/>
      <c r="CY15" s="207"/>
      <c r="CZ15" s="207"/>
      <c r="DA15" s="207"/>
      <c r="DB15" s="207"/>
      <c r="DC15" s="207"/>
      <c r="DD15" s="207"/>
      <c r="DE15" s="207"/>
      <c r="DF15" s="207"/>
      <c r="DG15" s="207"/>
      <c r="DH15" s="207"/>
      <c r="DI15" s="207"/>
      <c r="DJ15" s="207"/>
      <c r="DK15" s="207"/>
      <c r="DL15" s="207"/>
      <c r="DM15" s="207"/>
      <c r="DN15" s="207"/>
      <c r="DO15" s="207"/>
      <c r="DP15" s="207"/>
      <c r="DQ15" s="207"/>
      <c r="DR15" s="207"/>
      <c r="DS15" s="207"/>
      <c r="DT15" s="207"/>
      <c r="DU15" s="207"/>
      <c r="DV15" s="207"/>
      <c r="DW15" s="207"/>
      <c r="DX15" s="207"/>
      <c r="DY15" s="207"/>
      <c r="DZ15" s="207"/>
      <c r="EA15" s="207"/>
      <c r="EB15" s="207"/>
      <c r="EC15" s="207"/>
      <c r="ED15" s="207"/>
      <c r="EE15" s="207"/>
      <c r="EF15" s="207"/>
      <c r="EG15" s="207"/>
      <c r="EH15" s="207"/>
      <c r="EI15" s="207"/>
      <c r="EJ15" s="207"/>
      <c r="EK15" s="207"/>
      <c r="EL15" s="207"/>
      <c r="EM15" s="207"/>
      <c r="EN15" s="207"/>
      <c r="EO15" s="207"/>
      <c r="EP15" s="207"/>
      <c r="EQ15" s="207"/>
      <c r="ER15" s="207"/>
      <c r="ES15" s="207"/>
      <c r="ET15" s="207"/>
      <c r="EU15" s="207"/>
      <c r="EV15" s="207"/>
      <c r="EW15" s="207"/>
      <c r="EX15" s="207"/>
      <c r="EY15" s="207"/>
      <c r="EZ15" s="207"/>
      <c r="FA15" s="207"/>
      <c r="FB15" s="207"/>
      <c r="FC15" s="207"/>
      <c r="FD15" s="207"/>
      <c r="FE15" s="207"/>
      <c r="FF15" s="207"/>
      <c r="FG15" s="207"/>
      <c r="FH15" s="207"/>
      <c r="FI15" s="207"/>
      <c r="FJ15" s="207"/>
      <c r="FK15" s="207"/>
      <c r="FL15" s="207"/>
      <c r="FM15" s="207"/>
      <c r="FN15" s="207"/>
      <c r="FO15" s="207"/>
      <c r="FP15" s="207"/>
      <c r="FQ15" s="207"/>
      <c r="FR15" s="207"/>
      <c r="FS15" s="207"/>
      <c r="FT15" s="207"/>
      <c r="FU15" s="207"/>
      <c r="FV15" s="207"/>
      <c r="FW15" s="207"/>
      <c r="FX15" s="207"/>
      <c r="FY15" s="207"/>
      <c r="FZ15" s="207"/>
      <c r="GA15" s="207"/>
      <c r="GB15" s="207"/>
      <c r="GC15" s="207"/>
      <c r="GD15" s="207"/>
      <c r="GE15" s="207"/>
      <c r="GF15" s="207"/>
      <c r="GG15" s="207"/>
      <c r="GH15" s="207"/>
      <c r="GI15" s="207"/>
      <c r="GJ15" s="207"/>
      <c r="GK15" s="207"/>
      <c r="GL15" s="207"/>
      <c r="GM15" s="207"/>
      <c r="GN15" s="207"/>
      <c r="GO15" s="207"/>
      <c r="GP15" s="207"/>
      <c r="GQ15" s="207"/>
      <c r="GR15" s="207"/>
      <c r="GS15" s="207"/>
      <c r="GT15" s="207"/>
      <c r="GU15" s="207"/>
      <c r="GV15" s="207"/>
      <c r="GW15" s="207"/>
      <c r="GX15" s="207"/>
      <c r="GY15" s="207"/>
      <c r="GZ15" s="207"/>
      <c r="HA15" s="207"/>
      <c r="HB15" s="207"/>
      <c r="HC15" s="207"/>
      <c r="HD15" s="207"/>
      <c r="HE15" s="207"/>
      <c r="HF15" s="207"/>
      <c r="HG15" s="207"/>
      <c r="HH15" s="207"/>
      <c r="HI15" s="207"/>
      <c r="HJ15" s="207"/>
      <c r="HK15" s="207"/>
      <c r="HL15" s="207"/>
      <c r="HM15" s="207"/>
      <c r="HN15" s="207"/>
      <c r="HO15" s="207"/>
      <c r="HP15" s="207"/>
      <c r="HQ15" s="207"/>
      <c r="HR15" s="207"/>
      <c r="HS15" s="207"/>
      <c r="HT15" s="207"/>
      <c r="HU15" s="207"/>
      <c r="HV15" s="207"/>
      <c r="HW15" s="207"/>
      <c r="HX15" s="207"/>
      <c r="HY15" s="207"/>
      <c r="HZ15" s="207"/>
      <c r="IA15" s="207"/>
      <c r="IB15" s="207"/>
      <c r="IC15" s="207"/>
      <c r="ID15" s="207"/>
      <c r="IE15" s="207"/>
      <c r="IF15" s="207"/>
      <c r="IG15" s="207"/>
      <c r="IH15" s="207"/>
      <c r="II15" s="207"/>
      <c r="IJ15" s="207"/>
      <c r="IK15" s="207"/>
      <c r="IL15" s="207"/>
      <c r="IM15" s="207"/>
      <c r="IN15" s="207"/>
      <c r="IO15" s="207"/>
      <c r="IP15" s="207"/>
      <c r="IQ15" s="207"/>
      <c r="IR15" s="207"/>
      <c r="IS15" s="207"/>
      <c r="IT15" s="207"/>
      <c r="IU15" s="207"/>
      <c r="IV15" s="207"/>
      <c r="IW15" s="207"/>
      <c r="IX15" s="207"/>
      <c r="IY15" s="32">
        <v>1</v>
      </c>
      <c r="IZ15" s="44">
        <f>(TEXT(K15,"[m]")/60)*VLOOKUP(IY15,'Income Person-hours'!A$2:C$5,3,FALSE)</f>
        <v>0</v>
      </c>
      <c r="JA15" s="124">
        <v>0.16666666666666666</v>
      </c>
      <c r="JB15" s="124"/>
      <c r="JC15" s="124"/>
      <c r="JD15" s="232">
        <f>SUM((TEXT(JA15,"[M]")/60)*'Income Person-hours'!$D$3,(TEXT(JB15,"[M]")/60)*'Income Person-hours'!$D$4,(TEXT(JC15,"[M]")/60)*'Income Person-hours'!$D$5)</f>
        <v>4800000</v>
      </c>
    </row>
    <row r="16" spans="1:264" s="231" customFormat="1" ht="15.75" x14ac:dyDescent="0.45">
      <c r="A16" s="214">
        <v>1.7</v>
      </c>
      <c r="B16" s="118" t="s">
        <v>175</v>
      </c>
      <c r="C16" s="119" t="s">
        <v>156</v>
      </c>
      <c r="D16" s="208" t="str">
        <f>IF(OR(j_WEEKDAY(J_ADDDAY(VLOOKUP(I16,A:F,6,FALSE),H16,1),0)=6,SUMIFS(Holieday[ok],Holieday[date],J_ADDDAY(VLOOKUP(I16,A:F,6,FALSE),H16,1)))=FALSE(),J_ADDDAY(VLOOKUP(I16,A:F,6,FALSE),H16,1),IF(OR(j_WEEKDAY(J_ADDDAY(VLOOKUP(I16,A:F,6,FALSE),H16+1,1),0)=6,SUMIFS(Holieday[ok],Holieday[date],J_ADDDAY(VLOOKUP(I16,A:F,6,FALSE),H16+1,1)))=FALSE(),J_ADDDAY(VLOOKUP(I16,A:F,6,FALSE),H16+1,1),IF(OR(j_WEEKDAY(J_ADDDAY(VLOOKUP(I16,A:F,6,FALSE),H16+2,1),0)=6,SUMIFS(Holieday[ok],Holieday[date],J_ADDDAY(VLOOKUP(I16,A:F,6,FALSE),H16+2,1)))=FALSE(),J_ADDDAY(VLOOKUP(I16,A:F,6,FALSE),H16+2,1),IF(OR(j_WEEKDAY(J_ADDDAY(VLOOKUP(I16,A:F,6,FALSE),H16+3,1),0)=6,SUMIFS(Holieday[ok],Holieday[date],J_ADDDAY(VLOOKUP(I16,A:F,6,FALSE),H16+3,1)))=FALSE(),J_ADDDAY(VLOOKUP(I16,A:F,6,FALSE),H16+3,1),IF(OR(j_WEEKDAY(J_ADDDAY(VLOOKUP(I16,A:F,6,FALSE),H16+4,1),0)=6,SUMIFS(Holieday[ok],Holieday[date],J_ADDDAY(VLOOKUP(I16,A:F,6,FALSE),H16+4,1)))=FALSE(),J_ADDDAY(VLOOKUP(I16,A:F,6,FALSE),H16+4,1),J_ADDDAY(VLOOKUP(I16,A:F,6,FALSE),H16+5,1))))))</f>
        <v>1398/07/22</v>
      </c>
      <c r="E16" s="198">
        <f t="shared" si="4"/>
        <v>13980722</v>
      </c>
      <c r="F16" s="209" t="str">
        <f>IF(N16=0,J_SUBDAY(D16,1,1),IF((N16-(NETWORKDAYS.INTL(J_GregorianDate(D16,1),J_GregorianDate(J_SUBDAY(J_ADDDAY(D16,N16,1),1,1),1),16,1)))+SUMIFS(Holieday[ok],Holieday[date],CONCATENATE("&gt;","=",D16),Holieday[date],CONCATENATE("&lt;","=",J_SUBDAY(J_ADDDAY(D16,N16,1),1,1)))-SUMIFS(Holieday[Friday],Holieday[date],CONCATENATE("&gt;","=",D16),Holieday[date],CONCATENATE("&lt;","=",J_SUBDAY(J_ADDDAY(D16,N16,1),1,1)))=0,J_SUBDAY(J_ADDDAY(D16,N16,1),1,1),IF((N16+1-(NETWORKDAYS.INTL(J_GregorianDate(D16,1),J_GregorianDate(J_SUBDAY(J_ADDDAY(D16,N16+1,1),1,1),1),16,1)))+SUMIFS(Holieday[ok],Holieday[date],CONCATENATE("&gt;","=",D16),Holieday[date],CONCATENATE("&lt;","=",J_SUBDAY(J_ADDDAY(D16,N16+1,1),1,1)))-SUMIFS(Holieday[Friday],Holieday[date],CONCATENATE("&gt;","=",D16),Holieday[date],CONCATENATE("&lt;","=",J_SUBDAY(J_ADDDAY(D16,N16+1,1),1,1)))=1,J_SUBDAY(J_ADDDAY(D16,N16+1,1),1,1),IF((N16+2-(NETWORKDAYS.INTL(J_GregorianDate(D16,1),J_GregorianDate(J_SUBDAY(J_ADDDAY(D16,N16+2,1),1,1),1),16,1)))+SUMIFS(Holieday[ok],Holieday[date],CONCATENATE("&gt;","=",D16),Holieday[date],CONCATENATE("&lt;","=",J_SUBDAY(J_ADDDAY(D16,N16+2,1),1,1)))-SUMIFS(Holieday[Friday],Holieday[date],CONCATENATE("&gt;","=",D16),Holieday[date],CONCATENATE("&lt;","=",J_SUBDAY(J_ADDDAY(D16,N16+2,1),1,1)))=2,J_SUBDAY(J_ADDDAY(D16,N16+2,1),1,1),IF((N16+3-(NETWORKDAYS.INTL(J_GregorianDate(D16,1),J_GregorianDate(J_SUBDAY(J_ADDDAY(D16,N16+3,1),1,1),1),16,1)))+SUMIFS(Holieday[ok],Holieday[date],CONCATENATE("&gt;","=",D16),Holieday[date],CONCATENATE("&lt;","=",J_SUBDAY(J_ADDDAY(D16,N16+3,1),1,1)))-SUMIFS(Holieday[Friday],Holieday[date],CONCATENATE("&gt;","=",D16),Holieday[date],CONCATENATE("&lt;","=",J_SUBDAY(J_ADDDAY(D16,N16+3,1),1,1)))=3,J_SUBDAY(J_ADDDAY(D16,N16+3,1),1,1),IF((N16+4-(NETWORKDAYS.INTL(J_GregorianDate(D16,1),J_GregorianDate(J_SUBDAY(J_ADDDAY(D16,N16+4,1),1,1),1),16,1)))+SUMIFS(Holieday[ok],Holieday[date],CONCATENATE("&gt;","=",D16),Holieday[date],CONCATENATE("&lt;","=",J_SUBDAY(J_ADDDAY(D16,N16+4,1),1,1)))-SUMIFS(Holieday[Friday],Holieday[date],CONCATENATE("&gt;","=",D16),Holieday[date],CONCATENATE("&lt;","=",J_SUBDAY(J_ADDDAY(D16,N16+4,1),1,1)))=4,J_SUBDAY(J_ADDDAY(D16,N16+4,1),1,1),IF((N16+5-(NETWORKDAYS.INTL(J_GregorianDate(D16,1),J_GregorianDate(J_SUBDAY(J_ADDDAY(D16,N16+5,1),1,1),1),16,1)))+SUMIFS(Holieday[ok],Holieday[date],CONCATENATE("&gt;","=",D16),Holieday[date],CONCATENATE("&lt;","=",J_SUBDAY(J_ADDDAY(D16,N16+5,1),1,1)))-SUMIFS(Holieday[Friday],Holieday[date],CONCATENATE("&gt;","=",D16),Holieday[date],CONCATENATE("&lt;","=",J_SUBDAY(J_ADDDAY(D16,N16+5,1),1,1)))=5,J_SUBDAY(J_ADDDAY(D16,N16+5,1),1,1),J_SUBDAY(J_ADDDAY(D16,N16+6,1),1,1))))))))</f>
        <v>1398/07/22</v>
      </c>
      <c r="G16" s="201">
        <f t="shared" si="5"/>
        <v>13980722</v>
      </c>
      <c r="H16" s="121">
        <v>20</v>
      </c>
      <c r="I16" s="122">
        <v>1.5</v>
      </c>
      <c r="J16" s="209" t="str">
        <f>j_WEEKDAY(D16,1)</f>
        <v>دوشنبه</v>
      </c>
      <c r="K16" s="211">
        <f t="shared" si="7"/>
        <v>8.3333333333333329E-2</v>
      </c>
      <c r="L16" s="212">
        <f t="shared" si="8"/>
        <v>1</v>
      </c>
      <c r="M16" s="123">
        <v>1</v>
      </c>
      <c r="N16" s="120">
        <v>1</v>
      </c>
      <c r="O16" s="213">
        <f t="shared" si="9"/>
        <v>1</v>
      </c>
      <c r="P16" s="213">
        <f>VALUE(J_normdate(J_ADDDAY($D16,$O16,1)))</f>
        <v>13980723</v>
      </c>
      <c r="Q16" s="209">
        <f t="shared" si="10"/>
        <v>0</v>
      </c>
      <c r="R16" s="207"/>
      <c r="S16" s="207"/>
      <c r="T16" s="207"/>
      <c r="U16" s="207"/>
      <c r="V16" s="207"/>
      <c r="W16" s="207"/>
      <c r="X16" s="207"/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  <c r="AJ16" s="207"/>
      <c r="AK16" s="207"/>
      <c r="AL16" s="207"/>
      <c r="AM16" s="207"/>
      <c r="AN16" s="207"/>
      <c r="AO16" s="207"/>
      <c r="AP16" s="207"/>
      <c r="AQ16" s="207"/>
      <c r="AR16" s="207"/>
      <c r="AS16" s="207"/>
      <c r="AT16" s="207"/>
      <c r="AU16" s="207"/>
      <c r="AV16" s="207"/>
      <c r="AW16" s="207"/>
      <c r="AX16" s="207"/>
      <c r="AY16" s="207"/>
      <c r="AZ16" s="207"/>
      <c r="BA16" s="207"/>
      <c r="BB16" s="207"/>
      <c r="BC16" s="207"/>
      <c r="BD16" s="207"/>
      <c r="BE16" s="207"/>
      <c r="BF16" s="207"/>
      <c r="BG16" s="207"/>
      <c r="BH16" s="207"/>
      <c r="BI16" s="207"/>
      <c r="BJ16" s="207"/>
      <c r="BK16" s="207"/>
      <c r="BL16" s="207"/>
      <c r="BM16" s="207"/>
      <c r="BN16" s="207"/>
      <c r="BO16" s="207"/>
      <c r="BP16" s="207"/>
      <c r="BQ16" s="207"/>
      <c r="BR16" s="207"/>
      <c r="BS16" s="207"/>
      <c r="BT16" s="207"/>
      <c r="BU16" s="207"/>
      <c r="BV16" s="207"/>
      <c r="BW16" s="207"/>
      <c r="BX16" s="207"/>
      <c r="BY16" s="207"/>
      <c r="BZ16" s="207"/>
      <c r="CA16" s="207"/>
      <c r="CB16" s="207"/>
      <c r="CC16" s="207"/>
      <c r="CD16" s="207"/>
      <c r="CE16" s="207"/>
      <c r="CF16" s="207"/>
      <c r="CG16" s="207"/>
      <c r="CH16" s="207"/>
      <c r="CI16" s="207"/>
      <c r="CJ16" s="207"/>
      <c r="CK16" s="207"/>
      <c r="CL16" s="207"/>
      <c r="CM16" s="207"/>
      <c r="CN16" s="207"/>
      <c r="CO16" s="207"/>
      <c r="CP16" s="207"/>
      <c r="CQ16" s="207"/>
      <c r="CR16" s="207"/>
      <c r="CS16" s="207"/>
      <c r="CT16" s="207"/>
      <c r="CU16" s="207"/>
      <c r="CV16" s="207"/>
      <c r="CW16" s="207"/>
      <c r="CX16" s="207"/>
      <c r="CY16" s="207"/>
      <c r="CZ16" s="207"/>
      <c r="DA16" s="207"/>
      <c r="DB16" s="207"/>
      <c r="DC16" s="207"/>
      <c r="DD16" s="207"/>
      <c r="DE16" s="207"/>
      <c r="DF16" s="207"/>
      <c r="DG16" s="207"/>
      <c r="DH16" s="207"/>
      <c r="DI16" s="207"/>
      <c r="DJ16" s="207"/>
      <c r="DK16" s="207"/>
      <c r="DL16" s="207"/>
      <c r="DM16" s="207"/>
      <c r="DN16" s="207"/>
      <c r="DO16" s="207"/>
      <c r="DP16" s="207"/>
      <c r="DQ16" s="207"/>
      <c r="DR16" s="207"/>
      <c r="DS16" s="207"/>
      <c r="DT16" s="207"/>
      <c r="DU16" s="207"/>
      <c r="DV16" s="207"/>
      <c r="DW16" s="207"/>
      <c r="DX16" s="207"/>
      <c r="DY16" s="207"/>
      <c r="DZ16" s="207"/>
      <c r="EA16" s="207"/>
      <c r="EB16" s="207"/>
      <c r="EC16" s="207"/>
      <c r="ED16" s="207"/>
      <c r="EE16" s="207"/>
      <c r="EF16" s="207"/>
      <c r="EG16" s="207"/>
      <c r="EH16" s="207"/>
      <c r="EI16" s="207"/>
      <c r="EJ16" s="207"/>
      <c r="EK16" s="207"/>
      <c r="EL16" s="207"/>
      <c r="EM16" s="207"/>
      <c r="EN16" s="207"/>
      <c r="EO16" s="207"/>
      <c r="EP16" s="207"/>
      <c r="EQ16" s="207"/>
      <c r="ER16" s="207"/>
      <c r="ES16" s="207"/>
      <c r="ET16" s="207"/>
      <c r="EU16" s="207"/>
      <c r="EV16" s="207"/>
      <c r="EW16" s="207"/>
      <c r="EX16" s="207"/>
      <c r="EY16" s="207"/>
      <c r="EZ16" s="207"/>
      <c r="FA16" s="207"/>
      <c r="FB16" s="207"/>
      <c r="FC16" s="207"/>
      <c r="FD16" s="207"/>
      <c r="FE16" s="207"/>
      <c r="FF16" s="207"/>
      <c r="FG16" s="207"/>
      <c r="FH16" s="207"/>
      <c r="FI16" s="207"/>
      <c r="FJ16" s="207"/>
      <c r="FK16" s="207"/>
      <c r="FL16" s="207"/>
      <c r="FM16" s="207"/>
      <c r="FN16" s="207"/>
      <c r="FO16" s="207"/>
      <c r="FP16" s="207"/>
      <c r="FQ16" s="207"/>
      <c r="FR16" s="207"/>
      <c r="FS16" s="207"/>
      <c r="FT16" s="207"/>
      <c r="FU16" s="207"/>
      <c r="FV16" s="207"/>
      <c r="FW16" s="207"/>
      <c r="FX16" s="207"/>
      <c r="FY16" s="207"/>
      <c r="FZ16" s="207"/>
      <c r="GA16" s="207"/>
      <c r="GB16" s="207"/>
      <c r="GC16" s="207"/>
      <c r="GD16" s="207"/>
      <c r="GE16" s="207"/>
      <c r="GF16" s="207"/>
      <c r="GG16" s="207"/>
      <c r="GH16" s="207"/>
      <c r="GI16" s="207"/>
      <c r="GJ16" s="207"/>
      <c r="GK16" s="207"/>
      <c r="GL16" s="207"/>
      <c r="GM16" s="207"/>
      <c r="GN16" s="207"/>
      <c r="GO16" s="207"/>
      <c r="GP16" s="207"/>
      <c r="GQ16" s="207"/>
      <c r="GR16" s="207"/>
      <c r="GS16" s="207"/>
      <c r="GT16" s="207"/>
      <c r="GU16" s="207"/>
      <c r="GV16" s="207"/>
      <c r="GW16" s="207"/>
      <c r="GX16" s="207"/>
      <c r="GY16" s="207"/>
      <c r="GZ16" s="207"/>
      <c r="HA16" s="207"/>
      <c r="HB16" s="207"/>
      <c r="HC16" s="207"/>
      <c r="HD16" s="207"/>
      <c r="HE16" s="207"/>
      <c r="HF16" s="207"/>
      <c r="HG16" s="207"/>
      <c r="HH16" s="207"/>
      <c r="HI16" s="207"/>
      <c r="HJ16" s="207"/>
      <c r="HK16" s="207"/>
      <c r="HL16" s="207"/>
      <c r="HM16" s="207"/>
      <c r="HN16" s="207"/>
      <c r="HO16" s="207"/>
      <c r="HP16" s="207"/>
      <c r="HQ16" s="207"/>
      <c r="HR16" s="207"/>
      <c r="HS16" s="207"/>
      <c r="HT16" s="207"/>
      <c r="HU16" s="207"/>
      <c r="HV16" s="207"/>
      <c r="HW16" s="207"/>
      <c r="HX16" s="207"/>
      <c r="HY16" s="207"/>
      <c r="HZ16" s="207"/>
      <c r="IA16" s="207"/>
      <c r="IB16" s="207"/>
      <c r="IC16" s="207"/>
      <c r="ID16" s="207"/>
      <c r="IE16" s="207"/>
      <c r="IF16" s="207"/>
      <c r="IG16" s="207"/>
      <c r="IH16" s="207"/>
      <c r="II16" s="207"/>
      <c r="IJ16" s="207"/>
      <c r="IK16" s="207"/>
      <c r="IL16" s="207"/>
      <c r="IM16" s="207"/>
      <c r="IN16" s="207"/>
      <c r="IO16" s="207"/>
      <c r="IP16" s="207"/>
      <c r="IQ16" s="207"/>
      <c r="IR16" s="207"/>
      <c r="IS16" s="207"/>
      <c r="IT16" s="207"/>
      <c r="IU16" s="207"/>
      <c r="IV16" s="207"/>
      <c r="IW16" s="207"/>
      <c r="IX16" s="207"/>
      <c r="IY16" s="32">
        <v>1</v>
      </c>
      <c r="IZ16" s="44">
        <f>(TEXT(K16,"[m]")/60)*VLOOKUP(IY16,'Income Person-hours'!A$2:C$5,3,FALSE)</f>
        <v>0</v>
      </c>
      <c r="JA16" s="124"/>
      <c r="JB16" s="124">
        <v>8.3333333333333329E-2</v>
      </c>
      <c r="JC16" s="124"/>
      <c r="JD16" s="232">
        <f>SUM((TEXT(JA16,"[M]")/60)*'Income Person-hours'!$D$3,(TEXT(JB16,"[M]")/60)*'Income Person-hours'!$D$4,(TEXT(JC16,"[M]")/60)*'Income Person-hours'!$D$5)</f>
        <v>1832000</v>
      </c>
    </row>
    <row r="17" spans="1:264" s="231" customFormat="1" ht="15.75" x14ac:dyDescent="0.45">
      <c r="A17" s="214">
        <v>1.8</v>
      </c>
      <c r="B17" s="118" t="s">
        <v>176</v>
      </c>
      <c r="C17" s="119"/>
      <c r="D17" s="208" t="str">
        <f>IF(OR(j_WEEKDAY(J_ADDDAY(VLOOKUP(I17,A:F,6,FALSE),H17,1),0)=6,SUMIFS(Holieday[ok],Holieday[date],J_ADDDAY(VLOOKUP(I17,A:F,6,FALSE),H17,1)))=FALSE(),J_ADDDAY(VLOOKUP(I17,A:F,6,FALSE),H17,1),IF(OR(j_WEEKDAY(J_ADDDAY(VLOOKUP(I17,A:F,6,FALSE),H17+1,1),0)=6,SUMIFS(Holieday[ok],Holieday[date],J_ADDDAY(VLOOKUP(I17,A:F,6,FALSE),H17+1,1)))=FALSE(),J_ADDDAY(VLOOKUP(I17,A:F,6,FALSE),H17+1,1),IF(OR(j_WEEKDAY(J_ADDDAY(VLOOKUP(I17,A:F,6,FALSE),H17+2,1),0)=6,SUMIFS(Holieday[ok],Holieday[date],J_ADDDAY(VLOOKUP(I17,A:F,6,FALSE),H17+2,1)))=FALSE(),J_ADDDAY(VLOOKUP(I17,A:F,6,FALSE),H17+2,1),IF(OR(j_WEEKDAY(J_ADDDAY(VLOOKUP(I17,A:F,6,FALSE),H17+3,1),0)=6,SUMIFS(Holieday[ok],Holieday[date],J_ADDDAY(VLOOKUP(I17,A:F,6,FALSE),H17+3,1)))=FALSE(),J_ADDDAY(VLOOKUP(I17,A:F,6,FALSE),H17+3,1),IF(OR(j_WEEKDAY(J_ADDDAY(VLOOKUP(I17,A:F,6,FALSE),H17+4,1),0)=6,SUMIFS(Holieday[ok],Holieday[date],J_ADDDAY(VLOOKUP(I17,A:F,6,FALSE),H17+4,1)))=FALSE(),J_ADDDAY(VLOOKUP(I17,A:F,6,FALSE),H17+4,1),J_ADDDAY(VLOOKUP(I17,A:F,6,FALSE),H17+5,1))))))</f>
        <v>1398/08/27</v>
      </c>
      <c r="E17" s="198">
        <f t="shared" si="4"/>
        <v>13980827</v>
      </c>
      <c r="F17" s="209" t="str">
        <f>IF(N17=0,J_SUBDAY(D17,1,1),IF((N17-(NETWORKDAYS.INTL(J_GregorianDate(D17,1),J_GregorianDate(J_SUBDAY(J_ADDDAY(D17,N17,1),1,1),1),16,1)))+SUMIFS(Holieday[ok],Holieday[date],CONCATENATE("&gt;","=",D17),Holieday[date],CONCATENATE("&lt;","=",J_SUBDAY(J_ADDDAY(D17,N17,1),1,1)))-SUMIFS(Holieday[Friday],Holieday[date],CONCATENATE("&gt;","=",D17),Holieday[date],CONCATENATE("&lt;","=",J_SUBDAY(J_ADDDAY(D17,N17,1),1,1)))=0,J_SUBDAY(J_ADDDAY(D17,N17,1),1,1),IF((N17+1-(NETWORKDAYS.INTL(J_GregorianDate(D17,1),J_GregorianDate(J_SUBDAY(J_ADDDAY(D17,N17+1,1),1,1),1),16,1)))+SUMIFS(Holieday[ok],Holieday[date],CONCATENATE("&gt;","=",D17),Holieday[date],CONCATENATE("&lt;","=",J_SUBDAY(J_ADDDAY(D17,N17+1,1),1,1)))-SUMIFS(Holieday[Friday],Holieday[date],CONCATENATE("&gt;","=",D17),Holieday[date],CONCATENATE("&lt;","=",J_SUBDAY(J_ADDDAY(D17,N17+1,1),1,1)))=1,J_SUBDAY(J_ADDDAY(D17,N17+1,1),1,1),IF((N17+2-(NETWORKDAYS.INTL(J_GregorianDate(D17,1),J_GregorianDate(J_SUBDAY(J_ADDDAY(D17,N17+2,1),1,1),1),16,1)))+SUMIFS(Holieday[ok],Holieday[date],CONCATENATE("&gt;","=",D17),Holieday[date],CONCATENATE("&lt;","=",J_SUBDAY(J_ADDDAY(D17,N17+2,1),1,1)))-SUMIFS(Holieday[Friday],Holieday[date],CONCATENATE("&gt;","=",D17),Holieday[date],CONCATENATE("&lt;","=",J_SUBDAY(J_ADDDAY(D17,N17+2,1),1,1)))=2,J_SUBDAY(J_ADDDAY(D17,N17+2,1),1,1),IF((N17+3-(NETWORKDAYS.INTL(J_GregorianDate(D17,1),J_GregorianDate(J_SUBDAY(J_ADDDAY(D17,N17+3,1),1,1),1),16,1)))+SUMIFS(Holieday[ok],Holieday[date],CONCATENATE("&gt;","=",D17),Holieday[date],CONCATENATE("&lt;","=",J_SUBDAY(J_ADDDAY(D17,N17+3,1),1,1)))-SUMIFS(Holieday[Friday],Holieday[date],CONCATENATE("&gt;","=",D17),Holieday[date],CONCATENATE("&lt;","=",J_SUBDAY(J_ADDDAY(D17,N17+3,1),1,1)))=3,J_SUBDAY(J_ADDDAY(D17,N17+3,1),1,1),IF((N17+4-(NETWORKDAYS.INTL(J_GregorianDate(D17,1),J_GregorianDate(J_SUBDAY(J_ADDDAY(D17,N17+4,1),1,1),1),16,1)))+SUMIFS(Holieday[ok],Holieday[date],CONCATENATE("&gt;","=",D17),Holieday[date],CONCATENATE("&lt;","=",J_SUBDAY(J_ADDDAY(D17,N17+4,1),1,1)))-SUMIFS(Holieday[Friday],Holieday[date],CONCATENATE("&gt;","=",D17),Holieday[date],CONCATENATE("&lt;","=",J_SUBDAY(J_ADDDAY(D17,N17+4,1),1,1)))=4,J_SUBDAY(J_ADDDAY(D17,N17+4,1),1,1),IF((N17+5-(NETWORKDAYS.INTL(J_GregorianDate(D17,1),J_GregorianDate(J_SUBDAY(J_ADDDAY(D17,N17+5,1),1,1),1),16,1)))+SUMIFS(Holieday[ok],Holieday[date],CONCATENATE("&gt;","=",D17),Holieday[date],CONCATENATE("&lt;","=",J_SUBDAY(J_ADDDAY(D17,N17+5,1),1,1)))-SUMIFS(Holieday[Friday],Holieday[date],CONCATENATE("&gt;","=",D17),Holieday[date],CONCATENATE("&lt;","=",J_SUBDAY(J_ADDDAY(D17,N17+5,1),1,1)))=5,J_SUBDAY(J_ADDDAY(D17,N17+5,1),1,1),J_SUBDAY(J_ADDDAY(D17,N17+6,1),1,1))))))))</f>
        <v>1398/08/27</v>
      </c>
      <c r="G17" s="201">
        <f t="shared" si="5"/>
        <v>13980827</v>
      </c>
      <c r="H17" s="121">
        <v>35</v>
      </c>
      <c r="I17" s="122">
        <v>1.7</v>
      </c>
      <c r="J17" s="209" t="str">
        <f>j_WEEKDAY(D17,1)</f>
        <v>دوشنبه</v>
      </c>
      <c r="K17" s="211">
        <f t="shared" si="7"/>
        <v>0</v>
      </c>
      <c r="L17" s="212">
        <f t="shared" si="8"/>
        <v>1</v>
      </c>
      <c r="M17" s="123">
        <v>0</v>
      </c>
      <c r="N17" s="120">
        <v>1</v>
      </c>
      <c r="O17" s="213">
        <f t="shared" si="9"/>
        <v>0</v>
      </c>
      <c r="P17" s="213">
        <f>VALUE(J_normdate(J_ADDDAY($D17,$O17,1)))</f>
        <v>13980827</v>
      </c>
      <c r="Q17" s="209">
        <f t="shared" si="10"/>
        <v>1</v>
      </c>
      <c r="R17" s="207"/>
      <c r="S17" s="207"/>
      <c r="T17" s="207"/>
      <c r="U17" s="207"/>
      <c r="V17" s="207"/>
      <c r="W17" s="207"/>
      <c r="X17" s="207"/>
      <c r="Y17" s="207"/>
      <c r="Z17" s="207"/>
      <c r="AA17" s="207"/>
      <c r="AB17" s="207"/>
      <c r="AC17" s="207"/>
      <c r="AD17" s="207"/>
      <c r="AE17" s="207"/>
      <c r="AF17" s="207"/>
      <c r="AG17" s="207"/>
      <c r="AH17" s="207"/>
      <c r="AI17" s="207"/>
      <c r="AJ17" s="207"/>
      <c r="AK17" s="207"/>
      <c r="AL17" s="207"/>
      <c r="AM17" s="207"/>
      <c r="AN17" s="207"/>
      <c r="AO17" s="207"/>
      <c r="AP17" s="207"/>
      <c r="AQ17" s="207"/>
      <c r="AR17" s="207"/>
      <c r="AS17" s="207"/>
      <c r="AT17" s="207"/>
      <c r="AU17" s="207"/>
      <c r="AV17" s="207"/>
      <c r="AW17" s="207"/>
      <c r="AX17" s="207"/>
      <c r="AY17" s="207"/>
      <c r="AZ17" s="207"/>
      <c r="BA17" s="207"/>
      <c r="BB17" s="207"/>
      <c r="BC17" s="207"/>
      <c r="BD17" s="207"/>
      <c r="BE17" s="207"/>
      <c r="BF17" s="207"/>
      <c r="BG17" s="207"/>
      <c r="BH17" s="207"/>
      <c r="BI17" s="207"/>
      <c r="BJ17" s="207"/>
      <c r="BK17" s="207"/>
      <c r="BL17" s="207"/>
      <c r="BM17" s="207"/>
      <c r="BN17" s="207"/>
      <c r="BO17" s="207"/>
      <c r="BP17" s="207"/>
      <c r="BQ17" s="207"/>
      <c r="BR17" s="207"/>
      <c r="BS17" s="207"/>
      <c r="BT17" s="207"/>
      <c r="BU17" s="207"/>
      <c r="BV17" s="207"/>
      <c r="BW17" s="207"/>
      <c r="BX17" s="207"/>
      <c r="BY17" s="207"/>
      <c r="BZ17" s="207"/>
      <c r="CA17" s="207"/>
      <c r="CB17" s="207"/>
      <c r="CC17" s="207"/>
      <c r="CD17" s="207"/>
      <c r="CE17" s="207"/>
      <c r="CF17" s="207"/>
      <c r="CG17" s="207"/>
      <c r="CH17" s="207"/>
      <c r="CI17" s="207"/>
      <c r="CJ17" s="207"/>
      <c r="CK17" s="207"/>
      <c r="CL17" s="207"/>
      <c r="CM17" s="207"/>
      <c r="CN17" s="207"/>
      <c r="CO17" s="207"/>
      <c r="CP17" s="207"/>
      <c r="CQ17" s="207"/>
      <c r="CR17" s="207"/>
      <c r="CS17" s="207"/>
      <c r="CT17" s="207"/>
      <c r="CU17" s="207"/>
      <c r="CV17" s="207"/>
      <c r="CW17" s="207"/>
      <c r="CX17" s="207"/>
      <c r="CY17" s="207"/>
      <c r="CZ17" s="207"/>
      <c r="DA17" s="207"/>
      <c r="DB17" s="207"/>
      <c r="DC17" s="207"/>
      <c r="DD17" s="207"/>
      <c r="DE17" s="207"/>
      <c r="DF17" s="207"/>
      <c r="DG17" s="207"/>
      <c r="DH17" s="207"/>
      <c r="DI17" s="207"/>
      <c r="DJ17" s="207"/>
      <c r="DK17" s="207"/>
      <c r="DL17" s="207"/>
      <c r="DM17" s="207"/>
      <c r="DN17" s="207"/>
      <c r="DO17" s="207"/>
      <c r="DP17" s="207"/>
      <c r="DQ17" s="207"/>
      <c r="DR17" s="207"/>
      <c r="DS17" s="207"/>
      <c r="DT17" s="207"/>
      <c r="DU17" s="207"/>
      <c r="DV17" s="207"/>
      <c r="DW17" s="207"/>
      <c r="DX17" s="207"/>
      <c r="DY17" s="207"/>
      <c r="DZ17" s="207"/>
      <c r="EA17" s="207"/>
      <c r="EB17" s="207"/>
      <c r="EC17" s="207"/>
      <c r="ED17" s="207"/>
      <c r="EE17" s="207"/>
      <c r="EF17" s="207"/>
      <c r="EG17" s="207"/>
      <c r="EH17" s="207"/>
      <c r="EI17" s="207"/>
      <c r="EJ17" s="207"/>
      <c r="EK17" s="207"/>
      <c r="EL17" s="207"/>
      <c r="EM17" s="207"/>
      <c r="EN17" s="207"/>
      <c r="EO17" s="207"/>
      <c r="EP17" s="207"/>
      <c r="EQ17" s="207"/>
      <c r="ER17" s="207"/>
      <c r="ES17" s="207"/>
      <c r="ET17" s="207"/>
      <c r="EU17" s="207"/>
      <c r="EV17" s="207"/>
      <c r="EW17" s="207"/>
      <c r="EX17" s="207"/>
      <c r="EY17" s="207"/>
      <c r="EZ17" s="207"/>
      <c r="FA17" s="207"/>
      <c r="FB17" s="207"/>
      <c r="FC17" s="207"/>
      <c r="FD17" s="207"/>
      <c r="FE17" s="207"/>
      <c r="FF17" s="207"/>
      <c r="FG17" s="207"/>
      <c r="FH17" s="207"/>
      <c r="FI17" s="207"/>
      <c r="FJ17" s="207"/>
      <c r="FK17" s="207"/>
      <c r="FL17" s="207"/>
      <c r="FM17" s="207"/>
      <c r="FN17" s="207"/>
      <c r="FO17" s="207"/>
      <c r="FP17" s="207"/>
      <c r="FQ17" s="207"/>
      <c r="FR17" s="207"/>
      <c r="FS17" s="207"/>
      <c r="FT17" s="207"/>
      <c r="FU17" s="207"/>
      <c r="FV17" s="207"/>
      <c r="FW17" s="207"/>
      <c r="FX17" s="207"/>
      <c r="FY17" s="207"/>
      <c r="FZ17" s="207"/>
      <c r="GA17" s="207"/>
      <c r="GB17" s="207"/>
      <c r="GC17" s="207"/>
      <c r="GD17" s="207"/>
      <c r="GE17" s="207"/>
      <c r="GF17" s="207"/>
      <c r="GG17" s="207"/>
      <c r="GH17" s="207"/>
      <c r="GI17" s="207"/>
      <c r="GJ17" s="207"/>
      <c r="GK17" s="207"/>
      <c r="GL17" s="207"/>
      <c r="GM17" s="207"/>
      <c r="GN17" s="207"/>
      <c r="GO17" s="207"/>
      <c r="GP17" s="207"/>
      <c r="GQ17" s="207"/>
      <c r="GR17" s="207"/>
      <c r="GS17" s="207"/>
      <c r="GT17" s="207"/>
      <c r="GU17" s="207"/>
      <c r="GV17" s="207"/>
      <c r="GW17" s="207"/>
      <c r="GX17" s="207"/>
      <c r="GY17" s="207"/>
      <c r="GZ17" s="207"/>
      <c r="HA17" s="207"/>
      <c r="HB17" s="207"/>
      <c r="HC17" s="207"/>
      <c r="HD17" s="207"/>
      <c r="HE17" s="207"/>
      <c r="HF17" s="207"/>
      <c r="HG17" s="207"/>
      <c r="HH17" s="207"/>
      <c r="HI17" s="207"/>
      <c r="HJ17" s="207"/>
      <c r="HK17" s="207"/>
      <c r="HL17" s="207"/>
      <c r="HM17" s="207"/>
      <c r="HN17" s="207"/>
      <c r="HO17" s="207"/>
      <c r="HP17" s="207"/>
      <c r="HQ17" s="207"/>
      <c r="HR17" s="207"/>
      <c r="HS17" s="207"/>
      <c r="HT17" s="207"/>
      <c r="HU17" s="207"/>
      <c r="HV17" s="207"/>
      <c r="HW17" s="207"/>
      <c r="HX17" s="207"/>
      <c r="HY17" s="207"/>
      <c r="HZ17" s="207"/>
      <c r="IA17" s="207"/>
      <c r="IB17" s="207"/>
      <c r="IC17" s="207"/>
      <c r="ID17" s="207"/>
      <c r="IE17" s="207"/>
      <c r="IF17" s="207"/>
      <c r="IG17" s="207"/>
      <c r="IH17" s="207"/>
      <c r="II17" s="207"/>
      <c r="IJ17" s="207"/>
      <c r="IK17" s="207"/>
      <c r="IL17" s="207"/>
      <c r="IM17" s="207"/>
      <c r="IN17" s="207"/>
      <c r="IO17" s="207"/>
      <c r="IP17" s="207"/>
      <c r="IQ17" s="207"/>
      <c r="IR17" s="207"/>
      <c r="IS17" s="207"/>
      <c r="IT17" s="207"/>
      <c r="IU17" s="207"/>
      <c r="IV17" s="207"/>
      <c r="IW17" s="207"/>
      <c r="IX17" s="207"/>
      <c r="IY17" s="32">
        <v>1</v>
      </c>
      <c r="IZ17" s="44">
        <f>(TEXT(K17,"[m]")/60)*VLOOKUP(IY17,'Income Person-hours'!A$2:C$5,3,FALSE)</f>
        <v>0</v>
      </c>
      <c r="JA17" s="124"/>
      <c r="JB17" s="124"/>
      <c r="JC17" s="124"/>
      <c r="JD17" s="232">
        <f>SUM((TEXT(JA17,"[M]")/60)*'Income Person-hours'!$D$3,(TEXT(JB17,"[M]")/60)*'Income Person-hours'!$D$4,(TEXT(JC17,"[M]")/60)*'Income Person-hours'!$D$5)</f>
        <v>0</v>
      </c>
    </row>
    <row r="18" spans="1:264" s="12" customFormat="1" ht="15.75" hidden="1" x14ac:dyDescent="0.45">
      <c r="A18" s="33">
        <v>1.9</v>
      </c>
      <c r="B18" s="128"/>
      <c r="C18" s="119"/>
      <c r="D18" s="8" t="str">
        <f>IF(OR(j_WEEKDAY(J_ADDDAY(VLOOKUP(I18,A:F,6,FALSE),H18,1),0)=6,SUMIFS(Holieday[ok],Holieday[date],J_ADDDAY(VLOOKUP(I18,A:F,6,FALSE),H18,1)))=FALSE(),J_ADDDAY(VLOOKUP(I18,A:F,6,FALSE),H18,1),IF(OR(j_WEEKDAY(J_ADDDAY(VLOOKUP(I18,A:F,6,FALSE),H18+1,1),0)=6,SUMIFS(Holieday[ok],Holieday[date],J_ADDDAY(VLOOKUP(I18,A:F,6,FALSE),H18+1,1)))=FALSE(),J_ADDDAY(VLOOKUP(I18,A:F,6,FALSE),H18+1,1),IF(OR(j_WEEKDAY(J_ADDDAY(VLOOKUP(I18,A:F,6,FALSE),H18+2,1),0)=6,SUMIFS(Holieday[ok],Holieday[date],J_ADDDAY(VLOOKUP(I18,A:F,6,FALSE),H18+2,1)))=FALSE(),J_ADDDAY(VLOOKUP(I18,A:F,6,FALSE),H18+2,1),IF(OR(j_WEEKDAY(J_ADDDAY(VLOOKUP(I18,A:F,6,FALSE),H18+3,1),0)=6,SUMIFS(Holieday[ok],Holieday[date],J_ADDDAY(VLOOKUP(I18,A:F,6,FALSE),H18+3,1)))=FALSE(),J_ADDDAY(VLOOKUP(I18,A:F,6,FALSE),H18+3,1),IF(OR(j_WEEKDAY(J_ADDDAY(VLOOKUP(I18,A:F,6,FALSE),H18+4,1),0)=6,SUMIFS(Holieday[ok],Holieday[date],J_ADDDAY(VLOOKUP(I18,A:F,6,FALSE),H18+4,1)))=FALSE(),J_ADDDAY(VLOOKUP(I18,A:F,6,FALSE),H18+4,1),J_ADDDAY(VLOOKUP(I18,A:F,6,FALSE),H18+5,1))))))</f>
        <v>1398/08/27</v>
      </c>
      <c r="E18" s="2">
        <f t="shared" si="4"/>
        <v>13980827</v>
      </c>
      <c r="F18" s="13" t="str">
        <f>IF(N18=0,J_SUBDAY(D18,1,1),IF((N18-(NETWORKDAYS.INTL(J_GregorianDate(D18,1),J_GregorianDate(J_SUBDAY(J_ADDDAY(D18,N18,1),1,1),1),16,1)))+SUMIFS(Holieday[ok],Holieday[date],CONCATENATE("&gt;","=",D18),Holieday[date],CONCATENATE("&lt;","=",J_SUBDAY(J_ADDDAY(D18,N18,1),1,1)))-SUMIFS(Holieday[Friday],Holieday[date],CONCATENATE("&gt;","=",D18),Holieday[date],CONCATENATE("&lt;","=",J_SUBDAY(J_ADDDAY(D18,N18,1),1,1)))=0,J_SUBDAY(J_ADDDAY(D18,N18,1),1,1),IF((N18+1-(NETWORKDAYS.INTL(J_GregorianDate(D18,1),J_GregorianDate(J_SUBDAY(J_ADDDAY(D18,N18+1,1),1,1),1),16,1)))+SUMIFS(Holieday[ok],Holieday[date],CONCATENATE("&gt;","=",D18),Holieday[date],CONCATENATE("&lt;","=",J_SUBDAY(J_ADDDAY(D18,N18+1,1),1,1)))-SUMIFS(Holieday[Friday],Holieday[date],CONCATENATE("&gt;","=",D18),Holieday[date],CONCATENATE("&lt;","=",J_SUBDAY(J_ADDDAY(D18,N18+1,1),1,1)))=1,J_SUBDAY(J_ADDDAY(D18,N18+1,1),1,1),IF((N18+2-(NETWORKDAYS.INTL(J_GregorianDate(D18,1),J_GregorianDate(J_SUBDAY(J_ADDDAY(D18,N18+2,1),1,1),1),16,1)))+SUMIFS(Holieday[ok],Holieday[date],CONCATENATE("&gt;","=",D18),Holieday[date],CONCATENATE("&lt;","=",J_SUBDAY(J_ADDDAY(D18,N18+2,1),1,1)))-SUMIFS(Holieday[Friday],Holieday[date],CONCATENATE("&gt;","=",D18),Holieday[date],CONCATENATE("&lt;","=",J_SUBDAY(J_ADDDAY(D18,N18+2,1),1,1)))=2,J_SUBDAY(J_ADDDAY(D18,N18+2,1),1,1),IF((N18+3-(NETWORKDAYS.INTL(J_GregorianDate(D18,1),J_GregorianDate(J_SUBDAY(J_ADDDAY(D18,N18+3,1),1,1),1),16,1)))+SUMIFS(Holieday[ok],Holieday[date],CONCATENATE("&gt;","=",D18),Holieday[date],CONCATENATE("&lt;","=",J_SUBDAY(J_ADDDAY(D18,N18+3,1),1,1)))-SUMIFS(Holieday[Friday],Holieday[date],CONCATENATE("&gt;","=",D18),Holieday[date],CONCATENATE("&lt;","=",J_SUBDAY(J_ADDDAY(D18,N18+3,1),1,1)))=3,J_SUBDAY(J_ADDDAY(D18,N18+3,1),1,1),IF((N18+4-(NETWORKDAYS.INTL(J_GregorianDate(D18,1),J_GregorianDate(J_SUBDAY(J_ADDDAY(D18,N18+4,1),1,1),1),16,1)))+SUMIFS(Holieday[ok],Holieday[date],CONCATENATE("&gt;","=",D18),Holieday[date],CONCATENATE("&lt;","=",J_SUBDAY(J_ADDDAY(D18,N18+4,1),1,1)))-SUMIFS(Holieday[Friday],Holieday[date],CONCATENATE("&gt;","=",D18),Holieday[date],CONCATENATE("&lt;","=",J_SUBDAY(J_ADDDAY(D18,N18+4,1),1,1)))=4,J_SUBDAY(J_ADDDAY(D18,N18+4,1),1,1),IF((N18+5-(NETWORKDAYS.INTL(J_GregorianDate(D18,1),J_GregorianDate(J_SUBDAY(J_ADDDAY(D18,N18+5,1),1,1),1),16,1)))+SUMIFS(Holieday[ok],Holieday[date],CONCATENATE("&gt;","=",D18),Holieday[date],CONCATENATE("&lt;","=",J_SUBDAY(J_ADDDAY(D18,N18+5,1),1,1)))-SUMIFS(Holieday[Friday],Holieday[date],CONCATENATE("&gt;","=",D18),Holieday[date],CONCATENATE("&lt;","=",J_SUBDAY(J_ADDDAY(D18,N18+5,1),1,1)))=5,J_SUBDAY(J_ADDDAY(D18,N18+5,1),1,1),J_SUBDAY(J_ADDDAY(D18,N18+6,1),1,1))))))))</f>
        <v>1398/08/26</v>
      </c>
      <c r="G18" s="3">
        <f t="shared" si="5"/>
        <v>13980826</v>
      </c>
      <c r="H18" s="121"/>
      <c r="I18" s="122">
        <v>1.8</v>
      </c>
      <c r="J18" s="10" t="str">
        <f>j_WEEKDAY(D18,1)</f>
        <v>دوشنبه</v>
      </c>
      <c r="K18" s="23">
        <f t="shared" si="7"/>
        <v>0</v>
      </c>
      <c r="L18" s="9">
        <f t="shared" si="8"/>
        <v>0</v>
      </c>
      <c r="M18" s="123">
        <v>0</v>
      </c>
      <c r="N18" s="120">
        <v>0</v>
      </c>
      <c r="O18" s="11">
        <f t="shared" si="9"/>
        <v>0</v>
      </c>
      <c r="P18" s="11">
        <f>VALUE(J_normdate(J_ADDDAY($D18,$O18,1)))</f>
        <v>13980827</v>
      </c>
      <c r="Q18" s="10">
        <f t="shared" si="10"/>
        <v>0</v>
      </c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/>
      <c r="EV18" s="8"/>
      <c r="EW18" s="8"/>
      <c r="EX18" s="8"/>
      <c r="EY18" s="8"/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/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/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/>
      <c r="GR18" s="8"/>
      <c r="GS18" s="8"/>
      <c r="GT18" s="8"/>
      <c r="GU18" s="8"/>
      <c r="GV18" s="8"/>
      <c r="GW18" s="8"/>
      <c r="GX18" s="8"/>
      <c r="GY18" s="8"/>
      <c r="GZ18" s="8"/>
      <c r="HA18" s="8"/>
      <c r="HB18" s="8"/>
      <c r="HC18" s="8"/>
      <c r="HD18" s="8"/>
      <c r="HE18" s="8"/>
      <c r="HF18" s="8"/>
      <c r="HG18" s="8"/>
      <c r="HH18" s="8"/>
      <c r="HI18" s="8"/>
      <c r="HJ18" s="8"/>
      <c r="HK18" s="8"/>
      <c r="HL18" s="8"/>
      <c r="HM18" s="8"/>
      <c r="HN18" s="8"/>
      <c r="HO18" s="8"/>
      <c r="HP18" s="8"/>
      <c r="HQ18" s="8"/>
      <c r="HR18" s="8"/>
      <c r="HS18" s="8"/>
      <c r="HT18" s="8"/>
      <c r="HU18" s="8"/>
      <c r="HV18" s="8"/>
      <c r="HW18" s="8"/>
      <c r="HX18" s="8"/>
      <c r="HY18" s="8"/>
      <c r="HZ18" s="8"/>
      <c r="IA18" s="8"/>
      <c r="IB18" s="8"/>
      <c r="IC18" s="8"/>
      <c r="ID18" s="8"/>
      <c r="IE18" s="8"/>
      <c r="IF18" s="8"/>
      <c r="IG18" s="8"/>
      <c r="IH18" s="8"/>
      <c r="II18" s="8"/>
      <c r="IJ18" s="8"/>
      <c r="IK18" s="8"/>
      <c r="IL18" s="8"/>
      <c r="IM18" s="8"/>
      <c r="IN18" s="8"/>
      <c r="IO18" s="8"/>
      <c r="IP18" s="8"/>
      <c r="IQ18" s="8"/>
      <c r="IR18" s="8"/>
      <c r="IS18" s="8"/>
      <c r="IT18" s="8"/>
      <c r="IU18" s="8"/>
      <c r="IV18" s="8"/>
      <c r="IW18" s="8"/>
      <c r="IX18" s="8"/>
      <c r="IY18" s="32">
        <v>1</v>
      </c>
      <c r="IZ18" s="44">
        <f>(TEXT(K18,"[m]")/60)*VLOOKUP(IY18,'Income Person-hours'!A$2:C$5,3,FALSE)</f>
        <v>0</v>
      </c>
      <c r="JA18" s="125"/>
      <c r="JB18" s="125"/>
      <c r="JC18" s="125"/>
      <c r="JD18" s="72">
        <f>SUM((TEXT(JA18,"[M]")/60)*'Income Person-hours'!$D$3,(TEXT(JB18,"[M]")/60)*'Income Person-hours'!$D$4,(TEXT(JC18,"[M]")/60)*'Income Person-hours'!$D$5)</f>
        <v>0</v>
      </c>
    </row>
    <row r="19" spans="1:264" s="12" customFormat="1" ht="15.75" hidden="1" x14ac:dyDescent="0.45">
      <c r="A19" s="33">
        <v>1.1100000000000001</v>
      </c>
      <c r="B19" s="128"/>
      <c r="C19" s="119"/>
      <c r="D19" s="8" t="str">
        <f>IF(OR(j_WEEKDAY(J_ADDDAY(VLOOKUP(I19,A:F,6,FALSE),H19,1),0)=6,SUMIFS(Holieday[ok],Holieday[date],J_ADDDAY(VLOOKUP(I19,A:F,6,FALSE),H19,1)))=FALSE(),J_ADDDAY(VLOOKUP(I19,A:F,6,FALSE),H19,1),IF(OR(j_WEEKDAY(J_ADDDAY(VLOOKUP(I19,A:F,6,FALSE),H19+1,1),0)=6,SUMIFS(Holieday[ok],Holieday[date],J_ADDDAY(VLOOKUP(I19,A:F,6,FALSE),H19+1,1)))=FALSE(),J_ADDDAY(VLOOKUP(I19,A:F,6,FALSE),H19+1,1),IF(OR(j_WEEKDAY(J_ADDDAY(VLOOKUP(I19,A:F,6,FALSE),H19+2,1),0)=6,SUMIFS(Holieday[ok],Holieday[date],J_ADDDAY(VLOOKUP(I19,A:F,6,FALSE),H19+2,1)))=FALSE(),J_ADDDAY(VLOOKUP(I19,A:F,6,FALSE),H19+2,1),IF(OR(j_WEEKDAY(J_ADDDAY(VLOOKUP(I19,A:F,6,FALSE),H19+3,1),0)=6,SUMIFS(Holieday[ok],Holieday[date],J_ADDDAY(VLOOKUP(I19,A:F,6,FALSE),H19+3,1)))=FALSE(),J_ADDDAY(VLOOKUP(I19,A:F,6,FALSE),H19+3,1),IF(OR(j_WEEKDAY(J_ADDDAY(VLOOKUP(I19,A:F,6,FALSE),H19+4,1),0)=6,SUMIFS(Holieday[ok],Holieday[date],J_ADDDAY(VLOOKUP(I19,A:F,6,FALSE),H19+4,1)))=FALSE(),J_ADDDAY(VLOOKUP(I19,A:F,6,FALSE),H19+4,1),J_ADDDAY(VLOOKUP(I19,A:F,6,FALSE),H19+5,1))))))</f>
        <v>1398/08/27</v>
      </c>
      <c r="E19" s="2">
        <f t="shared" si="4"/>
        <v>13980827</v>
      </c>
      <c r="F19" s="13" t="str">
        <f>IF(N19=0,J_SUBDAY(D19,1,1),IF((N19-(NETWORKDAYS.INTL(J_GregorianDate(D19,1),J_GregorianDate(J_SUBDAY(J_ADDDAY(D19,N19,1),1,1),1),16,1)))+SUMIFS(Holieday[ok],Holieday[date],CONCATENATE("&gt;","=",D19),Holieday[date],CONCATENATE("&lt;","=",J_SUBDAY(J_ADDDAY(D19,N19,1),1,1)))-SUMIFS(Holieday[Friday],Holieday[date],CONCATENATE("&gt;","=",D19),Holieday[date],CONCATENATE("&lt;","=",J_SUBDAY(J_ADDDAY(D19,N19,1),1,1)))=0,J_SUBDAY(J_ADDDAY(D19,N19,1),1,1),IF((N19+1-(NETWORKDAYS.INTL(J_GregorianDate(D19,1),J_GregorianDate(J_SUBDAY(J_ADDDAY(D19,N19+1,1),1,1),1),16,1)))+SUMIFS(Holieday[ok],Holieday[date],CONCATENATE("&gt;","=",D19),Holieday[date],CONCATENATE("&lt;","=",J_SUBDAY(J_ADDDAY(D19,N19+1,1),1,1)))-SUMIFS(Holieday[Friday],Holieday[date],CONCATENATE("&gt;","=",D19),Holieday[date],CONCATENATE("&lt;","=",J_SUBDAY(J_ADDDAY(D19,N19+1,1),1,1)))=1,J_SUBDAY(J_ADDDAY(D19,N19+1,1),1,1),IF((N19+2-(NETWORKDAYS.INTL(J_GregorianDate(D19,1),J_GregorianDate(J_SUBDAY(J_ADDDAY(D19,N19+2,1),1,1),1),16,1)))+SUMIFS(Holieday[ok],Holieday[date],CONCATENATE("&gt;","=",D19),Holieday[date],CONCATENATE("&lt;","=",J_SUBDAY(J_ADDDAY(D19,N19+2,1),1,1)))-SUMIFS(Holieday[Friday],Holieday[date],CONCATENATE("&gt;","=",D19),Holieday[date],CONCATENATE("&lt;","=",J_SUBDAY(J_ADDDAY(D19,N19+2,1),1,1)))=2,J_SUBDAY(J_ADDDAY(D19,N19+2,1),1,1),IF((N19+3-(NETWORKDAYS.INTL(J_GregorianDate(D19,1),J_GregorianDate(J_SUBDAY(J_ADDDAY(D19,N19+3,1),1,1),1),16,1)))+SUMIFS(Holieday[ok],Holieday[date],CONCATENATE("&gt;","=",D19),Holieday[date],CONCATENATE("&lt;","=",J_SUBDAY(J_ADDDAY(D19,N19+3,1),1,1)))-SUMIFS(Holieday[Friday],Holieday[date],CONCATENATE("&gt;","=",D19),Holieday[date],CONCATENATE("&lt;","=",J_SUBDAY(J_ADDDAY(D19,N19+3,1),1,1)))=3,J_SUBDAY(J_ADDDAY(D19,N19+3,1),1,1),IF((N19+4-(NETWORKDAYS.INTL(J_GregorianDate(D19,1),J_GregorianDate(J_SUBDAY(J_ADDDAY(D19,N19+4,1),1,1),1),16,1)))+SUMIFS(Holieday[ok],Holieday[date],CONCATENATE("&gt;","=",D19),Holieday[date],CONCATENATE("&lt;","=",J_SUBDAY(J_ADDDAY(D19,N19+4,1),1,1)))-SUMIFS(Holieday[Friday],Holieday[date],CONCATENATE("&gt;","=",D19),Holieday[date],CONCATENATE("&lt;","=",J_SUBDAY(J_ADDDAY(D19,N19+4,1),1,1)))=4,J_SUBDAY(J_ADDDAY(D19,N19+4,1),1,1),IF((N19+5-(NETWORKDAYS.INTL(J_GregorianDate(D19,1),J_GregorianDate(J_SUBDAY(J_ADDDAY(D19,N19+5,1),1,1),1),16,1)))+SUMIFS(Holieday[ok],Holieday[date],CONCATENATE("&gt;","=",D19),Holieday[date],CONCATENATE("&lt;","=",J_SUBDAY(J_ADDDAY(D19,N19+5,1),1,1)))-SUMIFS(Holieday[Friday],Holieday[date],CONCATENATE("&gt;","=",D19),Holieday[date],CONCATENATE("&lt;","=",J_SUBDAY(J_ADDDAY(D19,N19+5,1),1,1)))=5,J_SUBDAY(J_ADDDAY(D19,N19+5,1),1,1),J_SUBDAY(J_ADDDAY(D19,N19+6,1),1,1))))))))</f>
        <v>1398/08/26</v>
      </c>
      <c r="G19" s="3">
        <f t="shared" si="5"/>
        <v>13980826</v>
      </c>
      <c r="H19" s="121"/>
      <c r="I19" s="122">
        <v>1.8</v>
      </c>
      <c r="J19" s="10" t="str">
        <f>j_WEEKDAY(D19,1)</f>
        <v>دوشنبه</v>
      </c>
      <c r="K19" s="23">
        <f t="shared" si="7"/>
        <v>0</v>
      </c>
      <c r="L19" s="9">
        <f t="shared" si="8"/>
        <v>0</v>
      </c>
      <c r="M19" s="123">
        <v>0</v>
      </c>
      <c r="N19" s="120">
        <v>0</v>
      </c>
      <c r="O19" s="11">
        <f t="shared" si="9"/>
        <v>0</v>
      </c>
      <c r="P19" s="11">
        <f>VALUE(J_normdate(J_ADDDAY($D19,$O19,1)))</f>
        <v>13980827</v>
      </c>
      <c r="Q19" s="10">
        <f t="shared" si="10"/>
        <v>0</v>
      </c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  <c r="ES19" s="8"/>
      <c r="ET19" s="8"/>
      <c r="EU19" s="8"/>
      <c r="EV19" s="8"/>
      <c r="EW19" s="8"/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/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/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/>
      <c r="GJ19" s="8"/>
      <c r="GK19" s="8"/>
      <c r="GL19" s="8"/>
      <c r="GM19" s="8"/>
      <c r="GN19" s="8"/>
      <c r="GO19" s="8"/>
      <c r="GP19" s="8"/>
      <c r="GQ19" s="8"/>
      <c r="GR19" s="8"/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/>
      <c r="HJ19" s="8"/>
      <c r="HK19" s="8"/>
      <c r="HL19" s="8"/>
      <c r="HM19" s="8"/>
      <c r="HN19" s="8"/>
      <c r="HO19" s="8"/>
      <c r="HP19" s="8"/>
      <c r="HQ19" s="8"/>
      <c r="HR19" s="8"/>
      <c r="HS19" s="8"/>
      <c r="HT19" s="8"/>
      <c r="HU19" s="8"/>
      <c r="HV19" s="8"/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/>
      <c r="IJ19" s="8"/>
      <c r="IK19" s="8"/>
      <c r="IL19" s="8"/>
      <c r="IM19" s="8"/>
      <c r="IN19" s="8"/>
      <c r="IO19" s="8"/>
      <c r="IP19" s="8"/>
      <c r="IQ19" s="8"/>
      <c r="IR19" s="8"/>
      <c r="IS19" s="8"/>
      <c r="IT19" s="8"/>
      <c r="IU19" s="8"/>
      <c r="IV19" s="8"/>
      <c r="IW19" s="8"/>
      <c r="IX19" s="8"/>
      <c r="IY19" s="32">
        <v>1</v>
      </c>
      <c r="IZ19" s="32"/>
      <c r="JA19" s="125"/>
      <c r="JB19" s="125"/>
      <c r="JC19" s="125"/>
      <c r="JD19" s="72">
        <f>SUM((TEXT(JA19,"[M]")/60)*'Income Person-hours'!$D$3,(TEXT(JB19,"[M]")/60)*'Income Person-hours'!$D$4,(TEXT(JC19,"[M]")/60)*'Income Person-hours'!$D$5)</f>
        <v>0</v>
      </c>
    </row>
    <row r="20" spans="1:264" s="12" customFormat="1" ht="15.75" hidden="1" x14ac:dyDescent="0.45">
      <c r="A20" s="33">
        <v>1.1200000000000001</v>
      </c>
      <c r="B20" s="128"/>
      <c r="C20" s="119"/>
      <c r="D20" s="8" t="str">
        <f>IF(OR(j_WEEKDAY(J_ADDDAY(VLOOKUP(I20,A:F,6,FALSE),H20,1),0)=6,SUMIFS(Holieday[ok],Holieday[date],J_ADDDAY(VLOOKUP(I20,A:F,6,FALSE),H20,1)))=FALSE(),J_ADDDAY(VLOOKUP(I20,A:F,6,FALSE),H20,1),IF(OR(j_WEEKDAY(J_ADDDAY(VLOOKUP(I20,A:F,6,FALSE),H20+1,1),0)=6,SUMIFS(Holieday[ok],Holieday[date],J_ADDDAY(VLOOKUP(I20,A:F,6,FALSE),H20+1,1)))=FALSE(),J_ADDDAY(VLOOKUP(I20,A:F,6,FALSE),H20+1,1),IF(OR(j_WEEKDAY(J_ADDDAY(VLOOKUP(I20,A:F,6,FALSE),H20+2,1),0)=6,SUMIFS(Holieday[ok],Holieday[date],J_ADDDAY(VLOOKUP(I20,A:F,6,FALSE),H20+2,1)))=FALSE(),J_ADDDAY(VLOOKUP(I20,A:F,6,FALSE),H20+2,1),IF(OR(j_WEEKDAY(J_ADDDAY(VLOOKUP(I20,A:F,6,FALSE),H20+3,1),0)=6,SUMIFS(Holieday[ok],Holieday[date],J_ADDDAY(VLOOKUP(I20,A:F,6,FALSE),H20+3,1)))=FALSE(),J_ADDDAY(VLOOKUP(I20,A:F,6,FALSE),H20+3,1),IF(OR(j_WEEKDAY(J_ADDDAY(VLOOKUP(I20,A:F,6,FALSE),H20+4,1),0)=6,SUMIFS(Holieday[ok],Holieday[date],J_ADDDAY(VLOOKUP(I20,A:F,6,FALSE),H20+4,1)))=FALSE(),J_ADDDAY(VLOOKUP(I20,A:F,6,FALSE),H20+4,1),J_ADDDAY(VLOOKUP(I20,A:F,6,FALSE),H20+5,1))))))</f>
        <v>1398/08/27</v>
      </c>
      <c r="E20" s="2">
        <f t="shared" si="4"/>
        <v>13980827</v>
      </c>
      <c r="F20" s="13" t="str">
        <f>IF(N20=0,J_SUBDAY(D20,1,1),IF((N20-(NETWORKDAYS.INTL(J_GregorianDate(D20,1),J_GregorianDate(J_SUBDAY(J_ADDDAY(D20,N20,1),1,1),1),16,1)))+SUMIFS(Holieday[ok],Holieday[date],CONCATENATE("&gt;","=",D20),Holieday[date],CONCATENATE("&lt;","=",J_SUBDAY(J_ADDDAY(D20,N20,1),1,1)))-SUMIFS(Holieday[Friday],Holieday[date],CONCATENATE("&gt;","=",D20),Holieday[date],CONCATENATE("&lt;","=",J_SUBDAY(J_ADDDAY(D20,N20,1),1,1)))=0,J_SUBDAY(J_ADDDAY(D20,N20,1),1,1),IF((N20+1-(NETWORKDAYS.INTL(J_GregorianDate(D20,1),J_GregorianDate(J_SUBDAY(J_ADDDAY(D20,N20+1,1),1,1),1),16,1)))+SUMIFS(Holieday[ok],Holieday[date],CONCATENATE("&gt;","=",D20),Holieday[date],CONCATENATE("&lt;","=",J_SUBDAY(J_ADDDAY(D20,N20+1,1),1,1)))-SUMIFS(Holieday[Friday],Holieday[date],CONCATENATE("&gt;","=",D20),Holieday[date],CONCATENATE("&lt;","=",J_SUBDAY(J_ADDDAY(D20,N20+1,1),1,1)))=1,J_SUBDAY(J_ADDDAY(D20,N20+1,1),1,1),IF((N20+2-(NETWORKDAYS.INTL(J_GregorianDate(D20,1),J_GregorianDate(J_SUBDAY(J_ADDDAY(D20,N20+2,1),1,1),1),16,1)))+SUMIFS(Holieday[ok],Holieday[date],CONCATENATE("&gt;","=",D20),Holieday[date],CONCATENATE("&lt;","=",J_SUBDAY(J_ADDDAY(D20,N20+2,1),1,1)))-SUMIFS(Holieday[Friday],Holieday[date],CONCATENATE("&gt;","=",D20),Holieday[date],CONCATENATE("&lt;","=",J_SUBDAY(J_ADDDAY(D20,N20+2,1),1,1)))=2,J_SUBDAY(J_ADDDAY(D20,N20+2,1),1,1),IF((N20+3-(NETWORKDAYS.INTL(J_GregorianDate(D20,1),J_GregorianDate(J_SUBDAY(J_ADDDAY(D20,N20+3,1),1,1),1),16,1)))+SUMIFS(Holieday[ok],Holieday[date],CONCATENATE("&gt;","=",D20),Holieday[date],CONCATENATE("&lt;","=",J_SUBDAY(J_ADDDAY(D20,N20+3,1),1,1)))-SUMIFS(Holieday[Friday],Holieday[date],CONCATENATE("&gt;","=",D20),Holieday[date],CONCATENATE("&lt;","=",J_SUBDAY(J_ADDDAY(D20,N20+3,1),1,1)))=3,J_SUBDAY(J_ADDDAY(D20,N20+3,1),1,1),IF((N20+4-(NETWORKDAYS.INTL(J_GregorianDate(D20,1),J_GregorianDate(J_SUBDAY(J_ADDDAY(D20,N20+4,1),1,1),1),16,1)))+SUMIFS(Holieday[ok],Holieday[date],CONCATENATE("&gt;","=",D20),Holieday[date],CONCATENATE("&lt;","=",J_SUBDAY(J_ADDDAY(D20,N20+4,1),1,1)))-SUMIFS(Holieday[Friday],Holieday[date],CONCATENATE("&gt;","=",D20),Holieday[date],CONCATENATE("&lt;","=",J_SUBDAY(J_ADDDAY(D20,N20+4,1),1,1)))=4,J_SUBDAY(J_ADDDAY(D20,N20+4,1),1,1),IF((N20+5-(NETWORKDAYS.INTL(J_GregorianDate(D20,1),J_GregorianDate(J_SUBDAY(J_ADDDAY(D20,N20+5,1),1,1),1),16,1)))+SUMIFS(Holieday[ok],Holieday[date],CONCATENATE("&gt;","=",D20),Holieday[date],CONCATENATE("&lt;","=",J_SUBDAY(J_ADDDAY(D20,N20+5,1),1,1)))-SUMIFS(Holieday[Friday],Holieday[date],CONCATENATE("&gt;","=",D20),Holieday[date],CONCATENATE("&lt;","=",J_SUBDAY(J_ADDDAY(D20,N20+5,1),1,1)))=5,J_SUBDAY(J_ADDDAY(D20,N20+5,1),1,1),J_SUBDAY(J_ADDDAY(D20,N20+6,1),1,1))))))))</f>
        <v>1398/08/26</v>
      </c>
      <c r="G20" s="3">
        <f t="shared" si="5"/>
        <v>13980826</v>
      </c>
      <c r="H20" s="121"/>
      <c r="I20" s="122">
        <v>1.8</v>
      </c>
      <c r="J20" s="10" t="str">
        <f>j_WEEKDAY(D20,1)</f>
        <v>دوشنبه</v>
      </c>
      <c r="K20" s="23">
        <f t="shared" si="7"/>
        <v>0</v>
      </c>
      <c r="L20" s="9">
        <f t="shared" si="8"/>
        <v>0</v>
      </c>
      <c r="M20" s="123">
        <v>0</v>
      </c>
      <c r="N20" s="120">
        <v>0</v>
      </c>
      <c r="O20" s="11">
        <f t="shared" si="9"/>
        <v>0</v>
      </c>
      <c r="P20" s="11">
        <f>VALUE(J_normdate(J_ADDDAY($D20,$O20,1)))</f>
        <v>13980827</v>
      </c>
      <c r="Q20" s="10">
        <f t="shared" si="10"/>
        <v>0</v>
      </c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32">
        <v>1</v>
      </c>
      <c r="IZ20" s="32"/>
      <c r="JA20" s="125"/>
      <c r="JB20" s="125"/>
      <c r="JC20" s="125"/>
      <c r="JD20" s="72">
        <f>SUM((TEXT(JA20,"[M]")/60)*'Income Person-hours'!$D$3,(TEXT(JB20,"[M]")/60)*'Income Person-hours'!$D$4,(TEXT(JC20,"[M]")/60)*'Income Person-hours'!$D$5)</f>
        <v>0</v>
      </c>
    </row>
    <row r="21" spans="1:264" s="12" customFormat="1" ht="15.75" hidden="1" x14ac:dyDescent="0.45">
      <c r="A21" s="33">
        <v>1.1299999999999999</v>
      </c>
      <c r="B21" s="128"/>
      <c r="C21" s="119"/>
      <c r="D21" s="8" t="str">
        <f>IF(OR(j_WEEKDAY(J_ADDDAY(VLOOKUP(I21,A:F,6,FALSE),H21,1),0)=6,SUMIFS(Holieday[ok],Holieday[date],J_ADDDAY(VLOOKUP(I21,A:F,6,FALSE),H21,1)))=FALSE(),J_ADDDAY(VLOOKUP(I21,A:F,6,FALSE),H21,1),IF(OR(j_WEEKDAY(J_ADDDAY(VLOOKUP(I21,A:F,6,FALSE),H21+1,1),0)=6,SUMIFS(Holieday[ok],Holieday[date],J_ADDDAY(VLOOKUP(I21,A:F,6,FALSE),H21+1,1)))=FALSE(),J_ADDDAY(VLOOKUP(I21,A:F,6,FALSE),H21+1,1),IF(OR(j_WEEKDAY(J_ADDDAY(VLOOKUP(I21,A:F,6,FALSE),H21+2,1),0)=6,SUMIFS(Holieday[ok],Holieday[date],J_ADDDAY(VLOOKUP(I21,A:F,6,FALSE),H21+2,1)))=FALSE(),J_ADDDAY(VLOOKUP(I21,A:F,6,FALSE),H21+2,1),IF(OR(j_WEEKDAY(J_ADDDAY(VLOOKUP(I21,A:F,6,FALSE),H21+3,1),0)=6,SUMIFS(Holieday[ok],Holieday[date],J_ADDDAY(VLOOKUP(I21,A:F,6,FALSE),H21+3,1)))=FALSE(),J_ADDDAY(VLOOKUP(I21,A:F,6,FALSE),H21+3,1),IF(OR(j_WEEKDAY(J_ADDDAY(VLOOKUP(I21,A:F,6,FALSE),H21+4,1),0)=6,SUMIFS(Holieday[ok],Holieday[date],J_ADDDAY(VLOOKUP(I21,A:F,6,FALSE),H21+4,1)))=FALSE(),J_ADDDAY(VLOOKUP(I21,A:F,6,FALSE),H21+4,1),J_ADDDAY(VLOOKUP(I21,A:F,6,FALSE),H21+5,1))))))</f>
        <v>1398/08/27</v>
      </c>
      <c r="E21" s="2">
        <f t="shared" si="4"/>
        <v>13980827</v>
      </c>
      <c r="F21" s="13" t="str">
        <f>IF(N21=0,J_SUBDAY(D21,1,1),IF((N21-(NETWORKDAYS.INTL(J_GregorianDate(D21,1),J_GregorianDate(J_SUBDAY(J_ADDDAY(D21,N21,1),1,1),1),16,1)))+SUMIFS(Holieday[ok],Holieday[date],CONCATENATE("&gt;","=",D21),Holieday[date],CONCATENATE("&lt;","=",J_SUBDAY(J_ADDDAY(D21,N21,1),1,1)))-SUMIFS(Holieday[Friday],Holieday[date],CONCATENATE("&gt;","=",D21),Holieday[date],CONCATENATE("&lt;","=",J_SUBDAY(J_ADDDAY(D21,N21,1),1,1)))=0,J_SUBDAY(J_ADDDAY(D21,N21,1),1,1),IF((N21+1-(NETWORKDAYS.INTL(J_GregorianDate(D21,1),J_GregorianDate(J_SUBDAY(J_ADDDAY(D21,N21+1,1),1,1),1),16,1)))+SUMIFS(Holieday[ok],Holieday[date],CONCATENATE("&gt;","=",D21),Holieday[date],CONCATENATE("&lt;","=",J_SUBDAY(J_ADDDAY(D21,N21+1,1),1,1)))-SUMIFS(Holieday[Friday],Holieday[date],CONCATENATE("&gt;","=",D21),Holieday[date],CONCATENATE("&lt;","=",J_SUBDAY(J_ADDDAY(D21,N21+1,1),1,1)))=1,J_SUBDAY(J_ADDDAY(D21,N21+1,1),1,1),IF((N21+2-(NETWORKDAYS.INTL(J_GregorianDate(D21,1),J_GregorianDate(J_SUBDAY(J_ADDDAY(D21,N21+2,1),1,1),1),16,1)))+SUMIFS(Holieday[ok],Holieday[date],CONCATENATE("&gt;","=",D21),Holieday[date],CONCATENATE("&lt;","=",J_SUBDAY(J_ADDDAY(D21,N21+2,1),1,1)))-SUMIFS(Holieday[Friday],Holieday[date],CONCATENATE("&gt;","=",D21),Holieday[date],CONCATENATE("&lt;","=",J_SUBDAY(J_ADDDAY(D21,N21+2,1),1,1)))=2,J_SUBDAY(J_ADDDAY(D21,N21+2,1),1,1),IF((N21+3-(NETWORKDAYS.INTL(J_GregorianDate(D21,1),J_GregorianDate(J_SUBDAY(J_ADDDAY(D21,N21+3,1),1,1),1),16,1)))+SUMIFS(Holieday[ok],Holieday[date],CONCATENATE("&gt;","=",D21),Holieday[date],CONCATENATE("&lt;","=",J_SUBDAY(J_ADDDAY(D21,N21+3,1),1,1)))-SUMIFS(Holieday[Friday],Holieday[date],CONCATENATE("&gt;","=",D21),Holieday[date],CONCATENATE("&lt;","=",J_SUBDAY(J_ADDDAY(D21,N21+3,1),1,1)))=3,J_SUBDAY(J_ADDDAY(D21,N21+3,1),1,1),IF((N21+4-(NETWORKDAYS.INTL(J_GregorianDate(D21,1),J_GregorianDate(J_SUBDAY(J_ADDDAY(D21,N21+4,1),1,1),1),16,1)))+SUMIFS(Holieday[ok],Holieday[date],CONCATENATE("&gt;","=",D21),Holieday[date],CONCATENATE("&lt;","=",J_SUBDAY(J_ADDDAY(D21,N21+4,1),1,1)))-SUMIFS(Holieday[Friday],Holieday[date],CONCATENATE("&gt;","=",D21),Holieday[date],CONCATENATE("&lt;","=",J_SUBDAY(J_ADDDAY(D21,N21+4,1),1,1)))=4,J_SUBDAY(J_ADDDAY(D21,N21+4,1),1,1),IF((N21+5-(NETWORKDAYS.INTL(J_GregorianDate(D21,1),J_GregorianDate(J_SUBDAY(J_ADDDAY(D21,N21+5,1),1,1),1),16,1)))+SUMIFS(Holieday[ok],Holieday[date],CONCATENATE("&gt;","=",D21),Holieday[date],CONCATENATE("&lt;","=",J_SUBDAY(J_ADDDAY(D21,N21+5,1),1,1)))-SUMIFS(Holieday[Friday],Holieday[date],CONCATENATE("&gt;","=",D21),Holieday[date],CONCATENATE("&lt;","=",J_SUBDAY(J_ADDDAY(D21,N21+5,1),1,1)))=5,J_SUBDAY(J_ADDDAY(D21,N21+5,1),1,1),J_SUBDAY(J_ADDDAY(D21,N21+6,1),1,1))))))))</f>
        <v>1398/08/26</v>
      </c>
      <c r="G21" s="3">
        <f t="shared" si="5"/>
        <v>13980826</v>
      </c>
      <c r="H21" s="121"/>
      <c r="I21" s="122">
        <v>1.8</v>
      </c>
      <c r="J21" s="10" t="str">
        <f>j_WEEKDAY(D21,1)</f>
        <v>دوشنبه</v>
      </c>
      <c r="K21" s="23">
        <f t="shared" si="7"/>
        <v>0</v>
      </c>
      <c r="L21" s="9">
        <f t="shared" si="8"/>
        <v>0</v>
      </c>
      <c r="M21" s="123">
        <v>0</v>
      </c>
      <c r="N21" s="120">
        <v>0</v>
      </c>
      <c r="O21" s="11">
        <f t="shared" si="9"/>
        <v>0</v>
      </c>
      <c r="P21" s="11">
        <f>VALUE(J_normdate(J_ADDDAY($D21,$O21,1)))</f>
        <v>13980827</v>
      </c>
      <c r="Q21" s="10">
        <f t="shared" si="10"/>
        <v>0</v>
      </c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/>
      <c r="FS21" s="8"/>
      <c r="FT21" s="8"/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/>
      <c r="GQ21" s="8"/>
      <c r="GR21" s="8"/>
      <c r="GS21" s="8"/>
      <c r="GT21" s="8"/>
      <c r="GU21" s="8"/>
      <c r="GV21" s="8"/>
      <c r="GW21" s="8"/>
      <c r="GX21" s="8"/>
      <c r="GY21" s="8"/>
      <c r="GZ21" s="8"/>
      <c r="HA21" s="8"/>
      <c r="HB21" s="8"/>
      <c r="HC21" s="8"/>
      <c r="HD21" s="8"/>
      <c r="HE21" s="8"/>
      <c r="HF21" s="8"/>
      <c r="HG21" s="8"/>
      <c r="HH21" s="8"/>
      <c r="HI21" s="8"/>
      <c r="HJ21" s="8"/>
      <c r="HK21" s="8"/>
      <c r="HL21" s="8"/>
      <c r="HM21" s="8"/>
      <c r="HN21" s="8"/>
      <c r="HO21" s="8"/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/>
      <c r="IB21" s="8"/>
      <c r="IC21" s="8"/>
      <c r="ID21" s="8"/>
      <c r="IE21" s="8"/>
      <c r="IF21" s="8"/>
      <c r="IG21" s="8"/>
      <c r="IH21" s="8"/>
      <c r="II21" s="8"/>
      <c r="IJ21" s="8"/>
      <c r="IK21" s="8"/>
      <c r="IL21" s="8"/>
      <c r="IM21" s="8"/>
      <c r="IN21" s="8"/>
      <c r="IO21" s="8"/>
      <c r="IP21" s="8"/>
      <c r="IQ21" s="8"/>
      <c r="IR21" s="8"/>
      <c r="IS21" s="8"/>
      <c r="IT21" s="8"/>
      <c r="IU21" s="8"/>
      <c r="IV21" s="8"/>
      <c r="IW21" s="8"/>
      <c r="IX21" s="8"/>
      <c r="IY21" s="32">
        <v>1</v>
      </c>
      <c r="IZ21" s="32"/>
      <c r="JA21" s="125"/>
      <c r="JB21" s="125"/>
      <c r="JC21" s="125"/>
      <c r="JD21" s="72">
        <f>SUM((TEXT(JA21,"[M]")/60)*'Income Person-hours'!$D$3,(TEXT(JB21,"[M]")/60)*'Income Person-hours'!$D$4,(TEXT(JC21,"[M]")/60)*'Income Person-hours'!$D$5)</f>
        <v>0</v>
      </c>
    </row>
    <row r="22" spans="1:264" s="12" customFormat="1" ht="15.75" hidden="1" x14ac:dyDescent="0.45">
      <c r="A22" s="33">
        <v>1.1399999999999999</v>
      </c>
      <c r="B22" s="128"/>
      <c r="C22" s="119"/>
      <c r="D22" s="8" t="str">
        <f>IF(OR(j_WEEKDAY(J_ADDDAY(VLOOKUP(I22,A:F,6,FALSE),H22,1),0)=6,SUMIFS(Holieday[ok],Holieday[date],J_ADDDAY(VLOOKUP(I22,A:F,6,FALSE),H22,1)))=FALSE(),J_ADDDAY(VLOOKUP(I22,A:F,6,FALSE),H22,1),IF(OR(j_WEEKDAY(J_ADDDAY(VLOOKUP(I22,A:F,6,FALSE),H22+1,1),0)=6,SUMIFS(Holieday[ok],Holieday[date],J_ADDDAY(VLOOKUP(I22,A:F,6,FALSE),H22+1,1)))=FALSE(),J_ADDDAY(VLOOKUP(I22,A:F,6,FALSE),H22+1,1),IF(OR(j_WEEKDAY(J_ADDDAY(VLOOKUP(I22,A:F,6,FALSE),H22+2,1),0)=6,SUMIFS(Holieday[ok],Holieday[date],J_ADDDAY(VLOOKUP(I22,A:F,6,FALSE),H22+2,1)))=FALSE(),J_ADDDAY(VLOOKUP(I22,A:F,6,FALSE),H22+2,1),IF(OR(j_WEEKDAY(J_ADDDAY(VLOOKUP(I22,A:F,6,FALSE),H22+3,1),0)=6,SUMIFS(Holieday[ok],Holieday[date],J_ADDDAY(VLOOKUP(I22,A:F,6,FALSE),H22+3,1)))=FALSE(),J_ADDDAY(VLOOKUP(I22,A:F,6,FALSE),H22+3,1),IF(OR(j_WEEKDAY(J_ADDDAY(VLOOKUP(I22,A:F,6,FALSE),H22+4,1),0)=6,SUMIFS(Holieday[ok],Holieday[date],J_ADDDAY(VLOOKUP(I22,A:F,6,FALSE),H22+4,1)))=FALSE(),J_ADDDAY(VLOOKUP(I22,A:F,6,FALSE),H22+4,1),J_ADDDAY(VLOOKUP(I22,A:F,6,FALSE),H22+5,1))))))</f>
        <v>1398/08/27</v>
      </c>
      <c r="E22" s="2">
        <f t="shared" si="4"/>
        <v>13980827</v>
      </c>
      <c r="F22" s="13" t="str">
        <f>IF(N22=0,J_SUBDAY(D22,1,1),IF((N22-(NETWORKDAYS.INTL(J_GregorianDate(D22,1),J_GregorianDate(J_SUBDAY(J_ADDDAY(D22,N22,1),1,1),1),16,1)))+SUMIFS(Holieday[ok],Holieday[date],CONCATENATE("&gt;","=",D22),Holieday[date],CONCATENATE("&lt;","=",J_SUBDAY(J_ADDDAY(D22,N22,1),1,1)))-SUMIFS(Holieday[Friday],Holieday[date],CONCATENATE("&gt;","=",D22),Holieday[date],CONCATENATE("&lt;","=",J_SUBDAY(J_ADDDAY(D22,N22,1),1,1)))=0,J_SUBDAY(J_ADDDAY(D22,N22,1),1,1),IF((N22+1-(NETWORKDAYS.INTL(J_GregorianDate(D22,1),J_GregorianDate(J_SUBDAY(J_ADDDAY(D22,N22+1,1),1,1),1),16,1)))+SUMIFS(Holieday[ok],Holieday[date],CONCATENATE("&gt;","=",D22),Holieday[date],CONCATENATE("&lt;","=",J_SUBDAY(J_ADDDAY(D22,N22+1,1),1,1)))-SUMIFS(Holieday[Friday],Holieday[date],CONCATENATE("&gt;","=",D22),Holieday[date],CONCATENATE("&lt;","=",J_SUBDAY(J_ADDDAY(D22,N22+1,1),1,1)))=1,J_SUBDAY(J_ADDDAY(D22,N22+1,1),1,1),IF((N22+2-(NETWORKDAYS.INTL(J_GregorianDate(D22,1),J_GregorianDate(J_SUBDAY(J_ADDDAY(D22,N22+2,1),1,1),1),16,1)))+SUMIFS(Holieday[ok],Holieday[date],CONCATENATE("&gt;","=",D22),Holieday[date],CONCATENATE("&lt;","=",J_SUBDAY(J_ADDDAY(D22,N22+2,1),1,1)))-SUMIFS(Holieday[Friday],Holieday[date],CONCATENATE("&gt;","=",D22),Holieday[date],CONCATENATE("&lt;","=",J_SUBDAY(J_ADDDAY(D22,N22+2,1),1,1)))=2,J_SUBDAY(J_ADDDAY(D22,N22+2,1),1,1),IF((N22+3-(NETWORKDAYS.INTL(J_GregorianDate(D22,1),J_GregorianDate(J_SUBDAY(J_ADDDAY(D22,N22+3,1),1,1),1),16,1)))+SUMIFS(Holieday[ok],Holieday[date],CONCATENATE("&gt;","=",D22),Holieday[date],CONCATENATE("&lt;","=",J_SUBDAY(J_ADDDAY(D22,N22+3,1),1,1)))-SUMIFS(Holieday[Friday],Holieday[date],CONCATENATE("&gt;","=",D22),Holieday[date],CONCATENATE("&lt;","=",J_SUBDAY(J_ADDDAY(D22,N22+3,1),1,1)))=3,J_SUBDAY(J_ADDDAY(D22,N22+3,1),1,1),IF((N22+4-(NETWORKDAYS.INTL(J_GregorianDate(D22,1),J_GregorianDate(J_SUBDAY(J_ADDDAY(D22,N22+4,1),1,1),1),16,1)))+SUMIFS(Holieday[ok],Holieday[date],CONCATENATE("&gt;","=",D22),Holieday[date],CONCATENATE("&lt;","=",J_SUBDAY(J_ADDDAY(D22,N22+4,1),1,1)))-SUMIFS(Holieday[Friday],Holieday[date],CONCATENATE("&gt;","=",D22),Holieday[date],CONCATENATE("&lt;","=",J_SUBDAY(J_ADDDAY(D22,N22+4,1),1,1)))=4,J_SUBDAY(J_ADDDAY(D22,N22+4,1),1,1),IF((N22+5-(NETWORKDAYS.INTL(J_GregorianDate(D22,1),J_GregorianDate(J_SUBDAY(J_ADDDAY(D22,N22+5,1),1,1),1),16,1)))+SUMIFS(Holieday[ok],Holieday[date],CONCATENATE("&gt;","=",D22),Holieday[date],CONCATENATE("&lt;","=",J_SUBDAY(J_ADDDAY(D22,N22+5,1),1,1)))-SUMIFS(Holieday[Friday],Holieday[date],CONCATENATE("&gt;","=",D22),Holieday[date],CONCATENATE("&lt;","=",J_SUBDAY(J_ADDDAY(D22,N22+5,1),1,1)))=5,J_SUBDAY(J_ADDDAY(D22,N22+5,1),1,1),J_SUBDAY(J_ADDDAY(D22,N22+6,1),1,1))))))))</f>
        <v>1398/08/26</v>
      </c>
      <c r="G22" s="3">
        <f t="shared" si="5"/>
        <v>13980826</v>
      </c>
      <c r="H22" s="121"/>
      <c r="I22" s="122">
        <v>1.8</v>
      </c>
      <c r="J22" s="10" t="str">
        <f>j_WEEKDAY(D22,1)</f>
        <v>دوشنبه</v>
      </c>
      <c r="K22" s="23">
        <f t="shared" si="7"/>
        <v>0</v>
      </c>
      <c r="L22" s="9">
        <f t="shared" si="8"/>
        <v>0</v>
      </c>
      <c r="M22" s="123">
        <v>0</v>
      </c>
      <c r="N22" s="120">
        <v>0</v>
      </c>
      <c r="O22" s="11">
        <f t="shared" si="9"/>
        <v>0</v>
      </c>
      <c r="P22" s="11">
        <f>VALUE(J_normdate(J_ADDDAY($D22,$O22,1)))</f>
        <v>13980827</v>
      </c>
      <c r="Q22" s="10">
        <f t="shared" si="10"/>
        <v>0</v>
      </c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  <c r="ES22" s="8"/>
      <c r="ET22" s="8"/>
      <c r="EU22" s="8"/>
      <c r="EV22" s="8"/>
      <c r="EW22" s="8"/>
      <c r="EX22" s="8"/>
      <c r="EY22" s="8"/>
      <c r="EZ22" s="8"/>
      <c r="FA22" s="8"/>
      <c r="FB22" s="8"/>
      <c r="FC22" s="8"/>
      <c r="FD22" s="8"/>
      <c r="FE22" s="8"/>
      <c r="FF22" s="8"/>
      <c r="FG22" s="8"/>
      <c r="FH22" s="8"/>
      <c r="FI22" s="8"/>
      <c r="FJ22" s="8"/>
      <c r="FK22" s="8"/>
      <c r="FL22" s="8"/>
      <c r="FM22" s="8"/>
      <c r="FN22" s="8"/>
      <c r="FO22" s="8"/>
      <c r="FP22" s="8"/>
      <c r="FQ22" s="8"/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/>
      <c r="GG22" s="8"/>
      <c r="GH22" s="8"/>
      <c r="GI22" s="8"/>
      <c r="GJ22" s="8"/>
      <c r="GK22" s="8"/>
      <c r="GL22" s="8"/>
      <c r="GM22" s="8"/>
      <c r="GN22" s="8"/>
      <c r="GO22" s="8"/>
      <c r="GP22" s="8"/>
      <c r="GQ22" s="8"/>
      <c r="GR22" s="8"/>
      <c r="GS22" s="8"/>
      <c r="GT22" s="8"/>
      <c r="GU22" s="8"/>
      <c r="GV22" s="8"/>
      <c r="GW22" s="8"/>
      <c r="GX22" s="8"/>
      <c r="GY22" s="8"/>
      <c r="GZ22" s="8"/>
      <c r="HA22" s="8"/>
      <c r="HB22" s="8"/>
      <c r="HC22" s="8"/>
      <c r="HD22" s="8"/>
      <c r="HE22" s="8"/>
      <c r="HF22" s="8"/>
      <c r="HG22" s="8"/>
      <c r="HH22" s="8"/>
      <c r="HI22" s="8"/>
      <c r="HJ22" s="8"/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/>
      <c r="HX22" s="8"/>
      <c r="HY22" s="8"/>
      <c r="HZ22" s="8"/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32">
        <v>1</v>
      </c>
      <c r="IZ22" s="32"/>
      <c r="JA22" s="125"/>
      <c r="JB22" s="125"/>
      <c r="JC22" s="125"/>
      <c r="JD22" s="72">
        <f>SUM((TEXT(JA22,"[M]")/60)*'Income Person-hours'!$D$3,(TEXT(JB22,"[M]")/60)*'Income Person-hours'!$D$4,(TEXT(JC22,"[M]")/60)*'Income Person-hours'!$D$5)</f>
        <v>0</v>
      </c>
    </row>
    <row r="23" spans="1:264" s="12" customFormat="1" ht="15.75" hidden="1" x14ac:dyDescent="0.45">
      <c r="A23" s="33">
        <v>1.1499999999999999</v>
      </c>
      <c r="B23" s="128"/>
      <c r="C23" s="119"/>
      <c r="D23" s="8" t="str">
        <f>IF(OR(j_WEEKDAY(J_ADDDAY(VLOOKUP(I23,A:F,6,FALSE),H23,1),0)=6,SUMIFS(Holieday[ok],Holieday[date],J_ADDDAY(VLOOKUP(I23,A:F,6,FALSE),H23,1)))=FALSE(),J_ADDDAY(VLOOKUP(I23,A:F,6,FALSE),H23,1),IF(OR(j_WEEKDAY(J_ADDDAY(VLOOKUP(I23,A:F,6,FALSE),H23+1,1),0)=6,SUMIFS(Holieday[ok],Holieday[date],J_ADDDAY(VLOOKUP(I23,A:F,6,FALSE),H23+1,1)))=FALSE(),J_ADDDAY(VLOOKUP(I23,A:F,6,FALSE),H23+1,1),IF(OR(j_WEEKDAY(J_ADDDAY(VLOOKUP(I23,A:F,6,FALSE),H23+2,1),0)=6,SUMIFS(Holieday[ok],Holieday[date],J_ADDDAY(VLOOKUP(I23,A:F,6,FALSE),H23+2,1)))=FALSE(),J_ADDDAY(VLOOKUP(I23,A:F,6,FALSE),H23+2,1),IF(OR(j_WEEKDAY(J_ADDDAY(VLOOKUP(I23,A:F,6,FALSE),H23+3,1),0)=6,SUMIFS(Holieday[ok],Holieday[date],J_ADDDAY(VLOOKUP(I23,A:F,6,FALSE),H23+3,1)))=FALSE(),J_ADDDAY(VLOOKUP(I23,A:F,6,FALSE),H23+3,1),IF(OR(j_WEEKDAY(J_ADDDAY(VLOOKUP(I23,A:F,6,FALSE),H23+4,1),0)=6,SUMIFS(Holieday[ok],Holieday[date],J_ADDDAY(VLOOKUP(I23,A:F,6,FALSE),H23+4,1)))=FALSE(),J_ADDDAY(VLOOKUP(I23,A:F,6,FALSE),H23+4,1),J_ADDDAY(VLOOKUP(I23,A:F,6,FALSE),H23+5,1))))))</f>
        <v>1398/08/27</v>
      </c>
      <c r="E23" s="2">
        <f t="shared" si="4"/>
        <v>13980827</v>
      </c>
      <c r="F23" s="13" t="str">
        <f>IF(N23=0,J_SUBDAY(D23,1,1),IF((N23-(NETWORKDAYS.INTL(J_GregorianDate(D23,1),J_GregorianDate(J_SUBDAY(J_ADDDAY(D23,N23,1),1,1),1),16,1)))+SUMIFS(Holieday[ok],Holieday[date],CONCATENATE("&gt;","=",D23),Holieday[date],CONCATENATE("&lt;","=",J_SUBDAY(J_ADDDAY(D23,N23,1),1,1)))-SUMIFS(Holieday[Friday],Holieday[date],CONCATENATE("&gt;","=",D23),Holieday[date],CONCATENATE("&lt;","=",J_SUBDAY(J_ADDDAY(D23,N23,1),1,1)))=0,J_SUBDAY(J_ADDDAY(D23,N23,1),1,1),IF((N23+1-(NETWORKDAYS.INTL(J_GregorianDate(D23,1),J_GregorianDate(J_SUBDAY(J_ADDDAY(D23,N23+1,1),1,1),1),16,1)))+SUMIFS(Holieday[ok],Holieday[date],CONCATENATE("&gt;","=",D23),Holieday[date],CONCATENATE("&lt;","=",J_SUBDAY(J_ADDDAY(D23,N23+1,1),1,1)))-SUMIFS(Holieday[Friday],Holieday[date],CONCATENATE("&gt;","=",D23),Holieday[date],CONCATENATE("&lt;","=",J_SUBDAY(J_ADDDAY(D23,N23+1,1),1,1)))=1,J_SUBDAY(J_ADDDAY(D23,N23+1,1),1,1),IF((N23+2-(NETWORKDAYS.INTL(J_GregorianDate(D23,1),J_GregorianDate(J_SUBDAY(J_ADDDAY(D23,N23+2,1),1,1),1),16,1)))+SUMIFS(Holieday[ok],Holieday[date],CONCATENATE("&gt;","=",D23),Holieday[date],CONCATENATE("&lt;","=",J_SUBDAY(J_ADDDAY(D23,N23+2,1),1,1)))-SUMIFS(Holieday[Friday],Holieday[date],CONCATENATE("&gt;","=",D23),Holieday[date],CONCATENATE("&lt;","=",J_SUBDAY(J_ADDDAY(D23,N23+2,1),1,1)))=2,J_SUBDAY(J_ADDDAY(D23,N23+2,1),1,1),IF((N23+3-(NETWORKDAYS.INTL(J_GregorianDate(D23,1),J_GregorianDate(J_SUBDAY(J_ADDDAY(D23,N23+3,1),1,1),1),16,1)))+SUMIFS(Holieday[ok],Holieday[date],CONCATENATE("&gt;","=",D23),Holieday[date],CONCATENATE("&lt;","=",J_SUBDAY(J_ADDDAY(D23,N23+3,1),1,1)))-SUMIFS(Holieday[Friday],Holieday[date],CONCATENATE("&gt;","=",D23),Holieday[date],CONCATENATE("&lt;","=",J_SUBDAY(J_ADDDAY(D23,N23+3,1),1,1)))=3,J_SUBDAY(J_ADDDAY(D23,N23+3,1),1,1),IF((N23+4-(NETWORKDAYS.INTL(J_GregorianDate(D23,1),J_GregorianDate(J_SUBDAY(J_ADDDAY(D23,N23+4,1),1,1),1),16,1)))+SUMIFS(Holieday[ok],Holieday[date],CONCATENATE("&gt;","=",D23),Holieday[date],CONCATENATE("&lt;","=",J_SUBDAY(J_ADDDAY(D23,N23+4,1),1,1)))-SUMIFS(Holieday[Friday],Holieday[date],CONCATENATE("&gt;","=",D23),Holieday[date],CONCATENATE("&lt;","=",J_SUBDAY(J_ADDDAY(D23,N23+4,1),1,1)))=4,J_SUBDAY(J_ADDDAY(D23,N23+4,1),1,1),IF((N23+5-(NETWORKDAYS.INTL(J_GregorianDate(D23,1),J_GregorianDate(J_SUBDAY(J_ADDDAY(D23,N23+5,1),1,1),1),16,1)))+SUMIFS(Holieday[ok],Holieday[date],CONCATENATE("&gt;","=",D23),Holieday[date],CONCATENATE("&lt;","=",J_SUBDAY(J_ADDDAY(D23,N23+5,1),1,1)))-SUMIFS(Holieday[Friday],Holieday[date],CONCATENATE("&gt;","=",D23),Holieday[date],CONCATENATE("&lt;","=",J_SUBDAY(J_ADDDAY(D23,N23+5,1),1,1)))=5,J_SUBDAY(J_ADDDAY(D23,N23+5,1),1,1),J_SUBDAY(J_ADDDAY(D23,N23+6,1),1,1))))))))</f>
        <v>1398/08/26</v>
      </c>
      <c r="G23" s="3">
        <f t="shared" si="5"/>
        <v>13980826</v>
      </c>
      <c r="H23" s="121"/>
      <c r="I23" s="122">
        <v>1.8</v>
      </c>
      <c r="J23" s="10" t="str">
        <f>j_WEEKDAY(D23,1)</f>
        <v>دوشنبه</v>
      </c>
      <c r="K23" s="23">
        <f t="shared" si="7"/>
        <v>0</v>
      </c>
      <c r="L23" s="9">
        <f t="shared" si="8"/>
        <v>0</v>
      </c>
      <c r="M23" s="123">
        <v>0</v>
      </c>
      <c r="N23" s="120">
        <v>0</v>
      </c>
      <c r="O23" s="11">
        <f t="shared" si="9"/>
        <v>0</v>
      </c>
      <c r="P23" s="11">
        <f>VALUE(J_normdate(J_ADDDAY($D23,$O23,1)))</f>
        <v>13980827</v>
      </c>
      <c r="Q23" s="10">
        <f t="shared" si="10"/>
        <v>0</v>
      </c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  <c r="ES23" s="8"/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/>
      <c r="FE23" s="8"/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/>
      <c r="FW23" s="8"/>
      <c r="FX23" s="8"/>
      <c r="FY23" s="8"/>
      <c r="FZ23" s="8"/>
      <c r="GA23" s="8"/>
      <c r="GB23" s="8"/>
      <c r="GC23" s="8"/>
      <c r="GD23" s="8"/>
      <c r="GE23" s="8"/>
      <c r="GF23" s="8"/>
      <c r="GG23" s="8"/>
      <c r="GH23" s="8"/>
      <c r="GI23" s="8"/>
      <c r="GJ23" s="8"/>
      <c r="GK23" s="8"/>
      <c r="GL23" s="8"/>
      <c r="GM23" s="8"/>
      <c r="GN23" s="8"/>
      <c r="GO23" s="8"/>
      <c r="GP23" s="8"/>
      <c r="GQ23" s="8"/>
      <c r="GR23" s="8"/>
      <c r="GS23" s="8"/>
      <c r="GT23" s="8"/>
      <c r="GU23" s="8"/>
      <c r="GV23" s="8"/>
      <c r="GW23" s="8"/>
      <c r="GX23" s="8"/>
      <c r="GY23" s="8"/>
      <c r="GZ23" s="8"/>
      <c r="HA23" s="8"/>
      <c r="HB23" s="8"/>
      <c r="HC23" s="8"/>
      <c r="HD23" s="8"/>
      <c r="HE23" s="8"/>
      <c r="HF23" s="8"/>
      <c r="HG23" s="8"/>
      <c r="HH23" s="8"/>
      <c r="HI23" s="8"/>
      <c r="HJ23" s="8"/>
      <c r="HK23" s="8"/>
      <c r="HL23" s="8"/>
      <c r="HM23" s="8"/>
      <c r="HN23" s="8"/>
      <c r="HO23" s="8"/>
      <c r="HP23" s="8"/>
      <c r="HQ23" s="8"/>
      <c r="HR23" s="8"/>
      <c r="HS23" s="8"/>
      <c r="HT23" s="8"/>
      <c r="HU23" s="8"/>
      <c r="HV23" s="8"/>
      <c r="HW23" s="8"/>
      <c r="HX23" s="8"/>
      <c r="HY23" s="8"/>
      <c r="HZ23" s="8"/>
      <c r="IA23" s="8"/>
      <c r="IB23" s="8"/>
      <c r="IC23" s="8"/>
      <c r="ID23" s="8"/>
      <c r="IE23" s="8"/>
      <c r="IF23" s="8"/>
      <c r="IG23" s="8"/>
      <c r="IH23" s="8"/>
      <c r="II23" s="8"/>
      <c r="IJ23" s="8"/>
      <c r="IK23" s="8"/>
      <c r="IL23" s="8"/>
      <c r="IM23" s="8"/>
      <c r="IN23" s="8"/>
      <c r="IO23" s="8"/>
      <c r="IP23" s="8"/>
      <c r="IQ23" s="8"/>
      <c r="IR23" s="8"/>
      <c r="IS23" s="8"/>
      <c r="IT23" s="8"/>
      <c r="IU23" s="8"/>
      <c r="IV23" s="8"/>
      <c r="IW23" s="8"/>
      <c r="IX23" s="8"/>
      <c r="IY23" s="32">
        <v>1</v>
      </c>
      <c r="IZ23" s="32"/>
      <c r="JA23" s="125"/>
      <c r="JB23" s="125"/>
      <c r="JC23" s="125"/>
      <c r="JD23" s="72">
        <f>SUM((TEXT(JA23,"[M]")/60)*'Income Person-hours'!$D$3,(TEXT(JB23,"[M]")/60)*'Income Person-hours'!$D$4,(TEXT(JC23,"[M]")/60)*'Income Person-hours'!$D$5)</f>
        <v>0</v>
      </c>
    </row>
    <row r="24" spans="1:264" s="12" customFormat="1" ht="15.75" hidden="1" x14ac:dyDescent="0.45">
      <c r="A24" s="33">
        <v>1.1599999999999999</v>
      </c>
      <c r="B24" s="128"/>
      <c r="C24" s="119"/>
      <c r="D24" s="8" t="str">
        <f>IF(OR(j_WEEKDAY(J_ADDDAY(VLOOKUP(I24,A:F,6,FALSE),H24,1),0)=6,SUMIFS(Holieday[ok],Holieday[date],J_ADDDAY(VLOOKUP(I24,A:F,6,FALSE),H24,1)))=FALSE(),J_ADDDAY(VLOOKUP(I24,A:F,6,FALSE),H24,1),IF(OR(j_WEEKDAY(J_ADDDAY(VLOOKUP(I24,A:F,6,FALSE),H24+1,1),0)=6,SUMIFS(Holieday[ok],Holieday[date],J_ADDDAY(VLOOKUP(I24,A:F,6,FALSE),H24+1,1)))=FALSE(),J_ADDDAY(VLOOKUP(I24,A:F,6,FALSE),H24+1,1),IF(OR(j_WEEKDAY(J_ADDDAY(VLOOKUP(I24,A:F,6,FALSE),H24+2,1),0)=6,SUMIFS(Holieday[ok],Holieday[date],J_ADDDAY(VLOOKUP(I24,A:F,6,FALSE),H24+2,1)))=FALSE(),J_ADDDAY(VLOOKUP(I24,A:F,6,FALSE),H24+2,1),IF(OR(j_WEEKDAY(J_ADDDAY(VLOOKUP(I24,A:F,6,FALSE),H24+3,1),0)=6,SUMIFS(Holieday[ok],Holieday[date],J_ADDDAY(VLOOKUP(I24,A:F,6,FALSE),H24+3,1)))=FALSE(),J_ADDDAY(VLOOKUP(I24,A:F,6,FALSE),H24+3,1),IF(OR(j_WEEKDAY(J_ADDDAY(VLOOKUP(I24,A:F,6,FALSE),H24+4,1),0)=6,SUMIFS(Holieday[ok],Holieday[date],J_ADDDAY(VLOOKUP(I24,A:F,6,FALSE),H24+4,1)))=FALSE(),J_ADDDAY(VLOOKUP(I24,A:F,6,FALSE),H24+4,1),J_ADDDAY(VLOOKUP(I24,A:F,6,FALSE),H24+5,1))))))</f>
        <v>1398/08/27</v>
      </c>
      <c r="E24" s="2">
        <f t="shared" si="4"/>
        <v>13980827</v>
      </c>
      <c r="F24" s="13" t="str">
        <f>IF(N24=0,J_SUBDAY(D24,1,1),IF((N24-(NETWORKDAYS.INTL(J_GregorianDate(D24,1),J_GregorianDate(J_SUBDAY(J_ADDDAY(D24,N24,1),1,1),1),16,1)))+SUMIFS(Holieday[ok],Holieday[date],CONCATENATE("&gt;","=",D24),Holieday[date],CONCATENATE("&lt;","=",J_SUBDAY(J_ADDDAY(D24,N24,1),1,1)))-SUMIFS(Holieday[Friday],Holieday[date],CONCATENATE("&gt;","=",D24),Holieday[date],CONCATENATE("&lt;","=",J_SUBDAY(J_ADDDAY(D24,N24,1),1,1)))=0,J_SUBDAY(J_ADDDAY(D24,N24,1),1,1),IF((N24+1-(NETWORKDAYS.INTL(J_GregorianDate(D24,1),J_GregorianDate(J_SUBDAY(J_ADDDAY(D24,N24+1,1),1,1),1),16,1)))+SUMIFS(Holieday[ok],Holieday[date],CONCATENATE("&gt;","=",D24),Holieday[date],CONCATENATE("&lt;","=",J_SUBDAY(J_ADDDAY(D24,N24+1,1),1,1)))-SUMIFS(Holieday[Friday],Holieday[date],CONCATENATE("&gt;","=",D24),Holieday[date],CONCATENATE("&lt;","=",J_SUBDAY(J_ADDDAY(D24,N24+1,1),1,1)))=1,J_SUBDAY(J_ADDDAY(D24,N24+1,1),1,1),IF((N24+2-(NETWORKDAYS.INTL(J_GregorianDate(D24,1),J_GregorianDate(J_SUBDAY(J_ADDDAY(D24,N24+2,1),1,1),1),16,1)))+SUMIFS(Holieday[ok],Holieday[date],CONCATENATE("&gt;","=",D24),Holieday[date],CONCATENATE("&lt;","=",J_SUBDAY(J_ADDDAY(D24,N24+2,1),1,1)))-SUMIFS(Holieday[Friday],Holieday[date],CONCATENATE("&gt;","=",D24),Holieday[date],CONCATENATE("&lt;","=",J_SUBDAY(J_ADDDAY(D24,N24+2,1),1,1)))=2,J_SUBDAY(J_ADDDAY(D24,N24+2,1),1,1),IF((N24+3-(NETWORKDAYS.INTL(J_GregorianDate(D24,1),J_GregorianDate(J_SUBDAY(J_ADDDAY(D24,N24+3,1),1,1),1),16,1)))+SUMIFS(Holieday[ok],Holieday[date],CONCATENATE("&gt;","=",D24),Holieday[date],CONCATENATE("&lt;","=",J_SUBDAY(J_ADDDAY(D24,N24+3,1),1,1)))-SUMIFS(Holieday[Friday],Holieday[date],CONCATENATE("&gt;","=",D24),Holieday[date],CONCATENATE("&lt;","=",J_SUBDAY(J_ADDDAY(D24,N24+3,1),1,1)))=3,J_SUBDAY(J_ADDDAY(D24,N24+3,1),1,1),IF((N24+4-(NETWORKDAYS.INTL(J_GregorianDate(D24,1),J_GregorianDate(J_SUBDAY(J_ADDDAY(D24,N24+4,1),1,1),1),16,1)))+SUMIFS(Holieday[ok],Holieday[date],CONCATENATE("&gt;","=",D24),Holieday[date],CONCATENATE("&lt;","=",J_SUBDAY(J_ADDDAY(D24,N24+4,1),1,1)))-SUMIFS(Holieday[Friday],Holieday[date],CONCATENATE("&gt;","=",D24),Holieday[date],CONCATENATE("&lt;","=",J_SUBDAY(J_ADDDAY(D24,N24+4,1),1,1)))=4,J_SUBDAY(J_ADDDAY(D24,N24+4,1),1,1),IF((N24+5-(NETWORKDAYS.INTL(J_GregorianDate(D24,1),J_GregorianDate(J_SUBDAY(J_ADDDAY(D24,N24+5,1),1,1),1),16,1)))+SUMIFS(Holieday[ok],Holieday[date],CONCATENATE("&gt;","=",D24),Holieday[date],CONCATENATE("&lt;","=",J_SUBDAY(J_ADDDAY(D24,N24+5,1),1,1)))-SUMIFS(Holieday[Friday],Holieday[date],CONCATENATE("&gt;","=",D24),Holieday[date],CONCATENATE("&lt;","=",J_SUBDAY(J_ADDDAY(D24,N24+5,1),1,1)))=5,J_SUBDAY(J_ADDDAY(D24,N24+5,1),1,1),J_SUBDAY(J_ADDDAY(D24,N24+6,1),1,1))))))))</f>
        <v>1398/08/26</v>
      </c>
      <c r="G24" s="3">
        <f t="shared" si="5"/>
        <v>13980826</v>
      </c>
      <c r="H24" s="121"/>
      <c r="I24" s="122">
        <v>1.8</v>
      </c>
      <c r="J24" s="10" t="str">
        <f>j_WEEKDAY(D24,1)</f>
        <v>دوشنبه</v>
      </c>
      <c r="K24" s="23">
        <f t="shared" si="7"/>
        <v>0</v>
      </c>
      <c r="L24" s="9">
        <f t="shared" si="8"/>
        <v>0</v>
      </c>
      <c r="M24" s="123">
        <v>0</v>
      </c>
      <c r="N24" s="120">
        <v>0</v>
      </c>
      <c r="O24" s="11">
        <f t="shared" si="9"/>
        <v>0</v>
      </c>
      <c r="P24" s="11">
        <f>VALUE(J_normdate(J_ADDDAY($D24,$O24,1)))</f>
        <v>13980827</v>
      </c>
      <c r="Q24" s="10">
        <f t="shared" si="10"/>
        <v>0</v>
      </c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/>
      <c r="EU24" s="8"/>
      <c r="EV24" s="8"/>
      <c r="EW24" s="8"/>
      <c r="EX24" s="8"/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/>
      <c r="FK24" s="8"/>
      <c r="FL24" s="8"/>
      <c r="FM24" s="8"/>
      <c r="FN24" s="8"/>
      <c r="FO24" s="8"/>
      <c r="FP24" s="8"/>
      <c r="FQ24" s="8"/>
      <c r="FR24" s="8"/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/>
      <c r="GH24" s="8"/>
      <c r="GI24" s="8"/>
      <c r="GJ24" s="8"/>
      <c r="GK24" s="8"/>
      <c r="GL24" s="8"/>
      <c r="GM24" s="8"/>
      <c r="GN24" s="8"/>
      <c r="GO24" s="8"/>
      <c r="GP24" s="8"/>
      <c r="GQ24" s="8"/>
      <c r="GR24" s="8"/>
      <c r="GS24" s="8"/>
      <c r="GT24" s="8"/>
      <c r="GU24" s="8"/>
      <c r="GV24" s="8"/>
      <c r="GW24" s="8"/>
      <c r="GX24" s="8"/>
      <c r="GY24" s="8"/>
      <c r="GZ24" s="8"/>
      <c r="HA24" s="8"/>
      <c r="HB24" s="8"/>
      <c r="HC24" s="8"/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/>
      <c r="HP24" s="8"/>
      <c r="HQ24" s="8"/>
      <c r="HR24" s="8"/>
      <c r="HS24" s="8"/>
      <c r="HT24" s="8"/>
      <c r="HU24" s="8"/>
      <c r="HV24" s="8"/>
      <c r="HW24" s="8"/>
      <c r="HX24" s="8"/>
      <c r="HY24" s="8"/>
      <c r="HZ24" s="8"/>
      <c r="IA24" s="8"/>
      <c r="IB24" s="8"/>
      <c r="IC24" s="8"/>
      <c r="ID24" s="8"/>
      <c r="IE24" s="8"/>
      <c r="IF24" s="8"/>
      <c r="IG24" s="8"/>
      <c r="IH24" s="8"/>
      <c r="II24" s="8"/>
      <c r="IJ24" s="8"/>
      <c r="IK24" s="8"/>
      <c r="IL24" s="8"/>
      <c r="IM24" s="8"/>
      <c r="IN24" s="8"/>
      <c r="IO24" s="8"/>
      <c r="IP24" s="8"/>
      <c r="IQ24" s="8"/>
      <c r="IR24" s="8"/>
      <c r="IS24" s="8"/>
      <c r="IT24" s="8"/>
      <c r="IU24" s="8"/>
      <c r="IV24" s="8"/>
      <c r="IW24" s="8"/>
      <c r="IX24" s="8"/>
      <c r="IY24" s="32">
        <v>1</v>
      </c>
      <c r="IZ24" s="32"/>
      <c r="JA24" s="125"/>
      <c r="JB24" s="125"/>
      <c r="JC24" s="125"/>
      <c r="JD24" s="72">
        <f>SUM((TEXT(JA24,"[M]")/60)*'Income Person-hours'!$D$3,(TEXT(JB24,"[M]")/60)*'Income Person-hours'!$D$4,(TEXT(JC24,"[M]")/60)*'Income Person-hours'!$D$5)</f>
        <v>0</v>
      </c>
    </row>
    <row r="25" spans="1:264" s="12" customFormat="1" ht="15.75" hidden="1" x14ac:dyDescent="0.45">
      <c r="A25" s="33">
        <v>1.17</v>
      </c>
      <c r="B25" s="128"/>
      <c r="C25" s="119"/>
      <c r="D25" s="8" t="str">
        <f>IF(OR(j_WEEKDAY(J_ADDDAY(VLOOKUP(I25,A:F,6,FALSE),H25,1),0)=6,SUMIFS(Holieday[ok],Holieday[date],J_ADDDAY(VLOOKUP(I25,A:F,6,FALSE),H25,1)))=FALSE(),J_ADDDAY(VLOOKUP(I25,A:F,6,FALSE),H25,1),IF(OR(j_WEEKDAY(J_ADDDAY(VLOOKUP(I25,A:F,6,FALSE),H25+1,1),0)=6,SUMIFS(Holieday[ok],Holieday[date],J_ADDDAY(VLOOKUP(I25,A:F,6,FALSE),H25+1,1)))=FALSE(),J_ADDDAY(VLOOKUP(I25,A:F,6,FALSE),H25+1,1),IF(OR(j_WEEKDAY(J_ADDDAY(VLOOKUP(I25,A:F,6,FALSE),H25+2,1),0)=6,SUMIFS(Holieday[ok],Holieday[date],J_ADDDAY(VLOOKUP(I25,A:F,6,FALSE),H25+2,1)))=FALSE(),J_ADDDAY(VLOOKUP(I25,A:F,6,FALSE),H25+2,1),IF(OR(j_WEEKDAY(J_ADDDAY(VLOOKUP(I25,A:F,6,FALSE),H25+3,1),0)=6,SUMIFS(Holieday[ok],Holieday[date],J_ADDDAY(VLOOKUP(I25,A:F,6,FALSE),H25+3,1)))=FALSE(),J_ADDDAY(VLOOKUP(I25,A:F,6,FALSE),H25+3,1),IF(OR(j_WEEKDAY(J_ADDDAY(VLOOKUP(I25,A:F,6,FALSE),H25+4,1),0)=6,SUMIFS(Holieday[ok],Holieday[date],J_ADDDAY(VLOOKUP(I25,A:F,6,FALSE),H25+4,1)))=FALSE(),J_ADDDAY(VLOOKUP(I25,A:F,6,FALSE),H25+4,1),J_ADDDAY(VLOOKUP(I25,A:F,6,FALSE),H25+5,1))))))</f>
        <v>1398/08/27</v>
      </c>
      <c r="E25" s="2">
        <f t="shared" si="4"/>
        <v>13980827</v>
      </c>
      <c r="F25" s="13" t="str">
        <f>IF(N25=0,J_SUBDAY(D25,1,1)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0,J_SUBDAY(J_ADDDAY(D25,N25,1)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1,J_SUBDAY(J_ADDDAY(D25,N25+1,1),1,1),IF((N25-NETWORKDAYS.INTL(J_GregorianDate(D25,1),J_GregorianDate(J_SUBDAY(J_ADDDAY(D25,N25,1),1,1),1),16,1)-SUMIFS(Holieday[ok],Holieday[date],CONCATENATE("&gt;","=",D25),Holieday[date],CONCATENATE("&lt;","=",J_SUBDAY(J_ADDDAY(D25,N25,1),1,1)))+SUMIFS(Holieday[Friday],Holieday[date],CONCATENATE("&gt;","=",D25),Holieday[date],CONCATENATE("&lt;","=",J_SUBDAY(J_ADDDAY(D25,N25,1),1,1))))=2,J_SUBDAY(J_ADDDAY(D25,N25+2,1),1,1),J_SUBDAY(J_ADDDAY(D25,N25+3,1),1,1)))))</f>
        <v>1398/08/26</v>
      </c>
      <c r="G25" s="3">
        <f t="shared" si="5"/>
        <v>13980826</v>
      </c>
      <c r="H25" s="121"/>
      <c r="I25" s="122">
        <v>1.8</v>
      </c>
      <c r="J25" s="21" t="str">
        <f>j_WEEKDAY(D25,1)</f>
        <v>دوشنبه</v>
      </c>
      <c r="K25" s="23">
        <f t="shared" si="7"/>
        <v>0</v>
      </c>
      <c r="L25" s="9">
        <f t="shared" si="8"/>
        <v>0</v>
      </c>
      <c r="M25" s="123">
        <v>0</v>
      </c>
      <c r="N25" s="120">
        <v>0</v>
      </c>
      <c r="O25" s="11">
        <f t="shared" si="9"/>
        <v>0</v>
      </c>
      <c r="P25" s="11">
        <f>VALUE(J_normdate(J_ADDDAY($D25,$O25,1)))</f>
        <v>13980827</v>
      </c>
      <c r="Q25" s="10">
        <f t="shared" si="10"/>
        <v>0</v>
      </c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/>
      <c r="FT25" s="8"/>
      <c r="FU25" s="8"/>
      <c r="FV25" s="8"/>
      <c r="FW25" s="8"/>
      <c r="FX25" s="8"/>
      <c r="FY25" s="8"/>
      <c r="FZ25" s="8"/>
      <c r="GA25" s="8"/>
      <c r="GB25" s="8"/>
      <c r="GC25" s="8"/>
      <c r="GD25" s="8"/>
      <c r="GE25" s="8"/>
      <c r="GF25" s="8"/>
      <c r="GG25" s="8"/>
      <c r="GH25" s="8"/>
      <c r="GI25" s="8"/>
      <c r="GJ25" s="8"/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/>
      <c r="HC25" s="8"/>
      <c r="HD25" s="8"/>
      <c r="HE25" s="8"/>
      <c r="HF25" s="8"/>
      <c r="HG25" s="8"/>
      <c r="HH25" s="8"/>
      <c r="HI25" s="8"/>
      <c r="HJ25" s="8"/>
      <c r="HK25" s="8"/>
      <c r="HL25" s="8"/>
      <c r="HM25" s="8"/>
      <c r="HN25" s="8"/>
      <c r="HO25" s="8"/>
      <c r="HP25" s="8"/>
      <c r="HQ25" s="8"/>
      <c r="HR25" s="8"/>
      <c r="HS25" s="8"/>
      <c r="HT25" s="8"/>
      <c r="HU25" s="8"/>
      <c r="HV25" s="8"/>
      <c r="HW25" s="8"/>
      <c r="HX25" s="8"/>
      <c r="HY25" s="8"/>
      <c r="HZ25" s="8"/>
      <c r="IA25" s="8"/>
      <c r="IB25" s="8"/>
      <c r="IC25" s="8"/>
      <c r="ID25" s="8"/>
      <c r="IE25" s="8"/>
      <c r="IF25" s="8"/>
      <c r="IG25" s="8"/>
      <c r="IH25" s="8"/>
      <c r="II25" s="8"/>
      <c r="IJ25" s="8"/>
      <c r="IK25" s="8"/>
      <c r="IL25" s="8"/>
      <c r="IM25" s="8"/>
      <c r="IN25" s="8"/>
      <c r="IO25" s="8"/>
      <c r="IP25" s="8"/>
      <c r="IQ25" s="8"/>
      <c r="IR25" s="8"/>
      <c r="IS25" s="8"/>
      <c r="IT25" s="8"/>
      <c r="IU25" s="8"/>
      <c r="IV25" s="8"/>
      <c r="IW25" s="8"/>
      <c r="IX25" s="8"/>
      <c r="JA25" s="125"/>
      <c r="JB25" s="125"/>
      <c r="JC25" s="125"/>
      <c r="JD25" s="72">
        <f>SUM((TEXT(JA25,"[M]")/60)*'Income Person-hours'!$D$3,(TEXT(JB25,"[M]")/60)*'Income Person-hours'!$D$4,(TEXT(JC25,"[M]")/60)*'Income Person-hours'!$D$5)</f>
        <v>0</v>
      </c>
    </row>
    <row r="26" spans="1:264" s="12" customFormat="1" ht="15.75" hidden="1" x14ac:dyDescent="0.45">
      <c r="A26" s="33">
        <v>1.18</v>
      </c>
      <c r="B26" s="128"/>
      <c r="C26" s="119"/>
      <c r="D26" s="8" t="str">
        <f>IF(OR(j_WEEKDAY(J_ADDDAY(VLOOKUP(I26,A:F,6,FALSE),H26,1),0)=6,SUMIFS(Holieday[ok],Holieday[date],J_ADDDAY(VLOOKUP(I26,A:F,6,FALSE),H26,1)))=FALSE(),J_ADDDAY(VLOOKUP(I26,A:F,6,FALSE),H26,1),IF(OR(j_WEEKDAY(J_ADDDAY(VLOOKUP(I26,A:F,6,FALSE),H26+1,1),0)=6,SUMIFS(Holieday[ok],Holieday[date],J_ADDDAY(VLOOKUP(I26,A:F,6,FALSE),H26+1,1)))=FALSE(),J_ADDDAY(VLOOKUP(I26,A:F,6,FALSE),H26+1,1),IF(OR(j_WEEKDAY(J_ADDDAY(VLOOKUP(I26,A:F,6,FALSE),H26+2,1),0)=6,SUMIFS(Holieday[ok],Holieday[date],J_ADDDAY(VLOOKUP(I26,A:F,6,FALSE),H26+2,1)))=FALSE(),J_ADDDAY(VLOOKUP(I26,A:F,6,FALSE),H26+2,1),IF(OR(j_WEEKDAY(J_ADDDAY(VLOOKUP(I26,A:F,6,FALSE),H26+3,1),0)=6,SUMIFS(Holieday[ok],Holieday[date],J_ADDDAY(VLOOKUP(I26,A:F,6,FALSE),H26+3,1)))=FALSE(),J_ADDDAY(VLOOKUP(I26,A:F,6,FALSE),H26+3,1),IF(OR(j_WEEKDAY(J_ADDDAY(VLOOKUP(I26,A:F,6,FALSE),H26+4,1),0)=6,SUMIFS(Holieday[ok],Holieday[date],J_ADDDAY(VLOOKUP(I26,A:F,6,FALSE),H26+4,1)))=FALSE(),J_ADDDAY(VLOOKUP(I26,A:F,6,FALSE),H26+4,1),J_ADDDAY(VLOOKUP(I26,A:F,6,FALSE),H26+5,1))))))</f>
        <v>1398/08/27</v>
      </c>
      <c r="E26" s="2">
        <f t="shared" si="4"/>
        <v>13980827</v>
      </c>
      <c r="F26" s="13" t="str">
        <f>IF(N26=0,J_SUBDAY(D26,1,1)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0,J_SUBDAY(J_ADDDAY(D26,N26,1)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1,J_SUBDAY(J_ADDDAY(D26,N26+1,1),1,1),IF((N26-NETWORKDAYS.INTL(J_GregorianDate(D26,1),J_GregorianDate(J_SUBDAY(J_ADDDAY(D26,N26,1),1,1),1),16,1)-SUMIFS(Holieday[ok],Holieday[date],CONCATENATE("&gt;","=",D26),Holieday[date],CONCATENATE("&lt;","=",J_SUBDAY(J_ADDDAY(D26,N26,1),1,1)))+SUMIFS(Holieday[Friday],Holieday[date],CONCATENATE("&gt;","=",D26),Holieday[date],CONCATENATE("&lt;","=",J_SUBDAY(J_ADDDAY(D26,N26,1),1,1))))=2,J_SUBDAY(J_ADDDAY(D26,N26+2,1),1,1),J_SUBDAY(J_ADDDAY(D26,N26+3,1),1,1)))))</f>
        <v>1398/08/26</v>
      </c>
      <c r="G26" s="3">
        <f t="shared" si="5"/>
        <v>13980826</v>
      </c>
      <c r="H26" s="121"/>
      <c r="I26" s="122">
        <v>1.8</v>
      </c>
      <c r="J26" s="21" t="str">
        <f>j_WEEKDAY(D26,1)</f>
        <v>دوشنبه</v>
      </c>
      <c r="K26" s="23">
        <f t="shared" si="7"/>
        <v>0</v>
      </c>
      <c r="L26" s="9">
        <f t="shared" si="8"/>
        <v>0</v>
      </c>
      <c r="M26" s="123">
        <v>0</v>
      </c>
      <c r="N26" s="120">
        <v>0</v>
      </c>
      <c r="O26" s="11">
        <f t="shared" si="9"/>
        <v>0</v>
      </c>
      <c r="P26" s="11">
        <f>VALUE(J_normdate(J_ADDDAY($D26,$O26,1)))</f>
        <v>13980827</v>
      </c>
      <c r="Q26" s="10">
        <f t="shared" si="10"/>
        <v>0</v>
      </c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/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/>
      <c r="HJ26" s="8"/>
      <c r="HK26" s="8"/>
      <c r="HL26" s="8"/>
      <c r="HM26" s="8"/>
      <c r="HN26" s="8"/>
      <c r="HO26" s="8"/>
      <c r="HP26" s="8"/>
      <c r="HQ26" s="8"/>
      <c r="HR26" s="8"/>
      <c r="HS26" s="8"/>
      <c r="HT26" s="8"/>
      <c r="HU26" s="8"/>
      <c r="HV26" s="8"/>
      <c r="HW26" s="8"/>
      <c r="HX26" s="8"/>
      <c r="HY26" s="8"/>
      <c r="HZ26" s="8"/>
      <c r="IA26" s="8"/>
      <c r="IB26" s="8"/>
      <c r="IC26" s="8"/>
      <c r="ID26" s="8"/>
      <c r="IE26" s="8"/>
      <c r="IF26" s="8"/>
      <c r="IG26" s="8"/>
      <c r="IH26" s="8"/>
      <c r="II26" s="8"/>
      <c r="IJ26" s="8"/>
      <c r="IK26" s="8"/>
      <c r="IL26" s="8"/>
      <c r="IM26" s="8"/>
      <c r="IN26" s="8"/>
      <c r="IO26" s="8"/>
      <c r="IP26" s="8"/>
      <c r="IQ26" s="8"/>
      <c r="IR26" s="8"/>
      <c r="IS26" s="8"/>
      <c r="IT26" s="8"/>
      <c r="IU26" s="8"/>
      <c r="IV26" s="8"/>
      <c r="IW26" s="8"/>
      <c r="IX26" s="8"/>
      <c r="JA26" s="125"/>
      <c r="JB26" s="125"/>
      <c r="JC26" s="125"/>
      <c r="JD26" s="72">
        <f>SUM((TEXT(JA26,"[M]")/60)*'Income Person-hours'!$D$3,(TEXT(JB26,"[M]")/60)*'Income Person-hours'!$D$4,(TEXT(JC26,"[M]")/60)*'Income Person-hours'!$D$5)</f>
        <v>0</v>
      </c>
    </row>
    <row r="27" spans="1:264" s="12" customFormat="1" ht="15.75" hidden="1" x14ac:dyDescent="0.45">
      <c r="A27" s="33">
        <v>1.19</v>
      </c>
      <c r="B27" s="128"/>
      <c r="C27" s="119"/>
      <c r="D27" s="8" t="str">
        <f>IF(OR(j_WEEKDAY(J_ADDDAY(VLOOKUP(I27,A:F,6,FALSE),H27,1),0)=6,SUMIFS(Holieday[ok],Holieday[date],J_ADDDAY(VLOOKUP(I27,A:F,6,FALSE),H27,1)))=FALSE(),J_ADDDAY(VLOOKUP(I27,A:F,6,FALSE),H27,1),IF(OR(j_WEEKDAY(J_ADDDAY(VLOOKUP(I27,A:F,6,FALSE),H27+1,1),0)=6,SUMIFS(Holieday[ok],Holieday[date],J_ADDDAY(VLOOKUP(I27,A:F,6,FALSE),H27+1,1)))=FALSE(),J_ADDDAY(VLOOKUP(I27,A:F,6,FALSE),H27+1,1),IF(OR(j_WEEKDAY(J_ADDDAY(VLOOKUP(I27,A:F,6,FALSE),H27+2,1),0)=6,SUMIFS(Holieday[ok],Holieday[date],J_ADDDAY(VLOOKUP(I27,A:F,6,FALSE),H27+2,1)))=FALSE(),J_ADDDAY(VLOOKUP(I27,A:F,6,FALSE),H27+2,1),IF(OR(j_WEEKDAY(J_ADDDAY(VLOOKUP(I27,A:F,6,FALSE),H27+3,1),0)=6,SUMIFS(Holieday[ok],Holieday[date],J_ADDDAY(VLOOKUP(I27,A:F,6,FALSE),H27+3,1)))=FALSE(),J_ADDDAY(VLOOKUP(I27,A:F,6,FALSE),H27+3,1),IF(OR(j_WEEKDAY(J_ADDDAY(VLOOKUP(I27,A:F,6,FALSE),H27+4,1),0)=6,SUMIFS(Holieday[ok],Holieday[date],J_ADDDAY(VLOOKUP(I27,A:F,6,FALSE),H27+4,1)))=FALSE(),J_ADDDAY(VLOOKUP(I27,A:F,6,FALSE),H27+4,1),J_ADDDAY(VLOOKUP(I27,A:F,6,FALSE),H27+5,1))))))</f>
        <v>1398/08/27</v>
      </c>
      <c r="E27" s="2">
        <f t="shared" si="4"/>
        <v>13980827</v>
      </c>
      <c r="F27" s="13" t="str">
        <f>IF(N27=0,J_SUBDAY(D27,1,1)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0,J_SUBDAY(J_ADDDAY(D27,N27,1)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1,J_SUBDAY(J_ADDDAY(D27,N27+1,1),1,1),IF((N27-NETWORKDAYS.INTL(J_GregorianDate(D27,1),J_GregorianDate(J_SUBDAY(J_ADDDAY(D27,N27,1),1,1),1),16,1)-SUMIFS(Holieday[ok],Holieday[date],CONCATENATE("&gt;","=",D27),Holieday[date],CONCATENATE("&lt;","=",J_SUBDAY(J_ADDDAY(D27,N27,1),1,1)))+SUMIFS(Holieday[Friday],Holieday[date],CONCATENATE("&gt;","=",D27),Holieday[date],CONCATENATE("&lt;","=",J_SUBDAY(J_ADDDAY(D27,N27,1),1,1))))=2,J_SUBDAY(J_ADDDAY(D27,N27+2,1),1,1),J_SUBDAY(J_ADDDAY(D27,N27+3,1),1,1)))))</f>
        <v>1398/08/26</v>
      </c>
      <c r="G27" s="3">
        <f t="shared" si="5"/>
        <v>13980826</v>
      </c>
      <c r="H27" s="121"/>
      <c r="I27" s="122">
        <v>1.8</v>
      </c>
      <c r="J27" s="21" t="str">
        <f>j_WEEKDAY(D27,1)</f>
        <v>دوشنبه</v>
      </c>
      <c r="K27" s="23">
        <f t="shared" si="7"/>
        <v>0</v>
      </c>
      <c r="L27" s="9">
        <f t="shared" si="8"/>
        <v>0</v>
      </c>
      <c r="M27" s="123">
        <v>0</v>
      </c>
      <c r="N27" s="120">
        <v>0</v>
      </c>
      <c r="O27" s="11">
        <f t="shared" si="9"/>
        <v>0</v>
      </c>
      <c r="P27" s="11">
        <f>VALUE(J_normdate(J_ADDDAY($D27,$O27,1)))</f>
        <v>13980827</v>
      </c>
      <c r="Q27" s="10">
        <f t="shared" si="10"/>
        <v>0</v>
      </c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/>
      <c r="FC27" s="8"/>
      <c r="FD27" s="8"/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/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/>
      <c r="HI27" s="8"/>
      <c r="HJ27" s="8"/>
      <c r="HK27" s="8"/>
      <c r="HL27" s="8"/>
      <c r="HM27" s="8"/>
      <c r="HN27" s="8"/>
      <c r="HO27" s="8"/>
      <c r="HP27" s="8"/>
      <c r="HQ27" s="8"/>
      <c r="HR27" s="8"/>
      <c r="HS27" s="8"/>
      <c r="HT27" s="8"/>
      <c r="HU27" s="8"/>
      <c r="HV27" s="8"/>
      <c r="HW27" s="8"/>
      <c r="HX27" s="8"/>
      <c r="HY27" s="8"/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JA27" s="125"/>
      <c r="JB27" s="125"/>
      <c r="JC27" s="125"/>
      <c r="JD27" s="72">
        <f>SUM((TEXT(JA27,"[M]")/60)*'Income Person-hours'!$D$3,(TEXT(JB27,"[M]")/60)*'Income Person-hours'!$D$4,(TEXT(JC27,"[M]")/60)*'Income Person-hours'!$D$5)</f>
        <v>0</v>
      </c>
    </row>
    <row r="28" spans="1:264" s="12" customFormat="1" ht="15.75" hidden="1" x14ac:dyDescent="0.45">
      <c r="A28" s="33">
        <v>1.21</v>
      </c>
      <c r="B28" s="128"/>
      <c r="C28" s="119"/>
      <c r="D28" s="8" t="str">
        <f>IF(OR(j_WEEKDAY(J_ADDDAY(VLOOKUP(I28,A:F,6,FALSE),H28,1),0)=6,SUMIFS(Holieday[ok],Holieday[date],J_ADDDAY(VLOOKUP(I28,A:F,6,FALSE),H28,1)))=FALSE(),J_ADDDAY(VLOOKUP(I28,A:F,6,FALSE),H28,1),IF(OR(j_WEEKDAY(J_ADDDAY(VLOOKUP(I28,A:F,6,FALSE),H28+1,1),0)=6,SUMIFS(Holieday[ok],Holieday[date],J_ADDDAY(VLOOKUP(I28,A:F,6,FALSE),H28+1,1)))=FALSE(),J_ADDDAY(VLOOKUP(I28,A:F,6,FALSE),H28+1,1),IF(OR(j_WEEKDAY(J_ADDDAY(VLOOKUP(I28,A:F,6,FALSE),H28+2,1),0)=6,SUMIFS(Holieday[ok],Holieday[date],J_ADDDAY(VLOOKUP(I28,A:F,6,FALSE),H28+2,1)))=FALSE(),J_ADDDAY(VLOOKUP(I28,A:F,6,FALSE),H28+2,1),IF(OR(j_WEEKDAY(J_ADDDAY(VLOOKUP(I28,A:F,6,FALSE),H28+3,1),0)=6,SUMIFS(Holieday[ok],Holieday[date],J_ADDDAY(VLOOKUP(I28,A:F,6,FALSE),H28+3,1)))=FALSE(),J_ADDDAY(VLOOKUP(I28,A:F,6,FALSE),H28+3,1),IF(OR(j_WEEKDAY(J_ADDDAY(VLOOKUP(I28,A:F,6,FALSE),H28+4,1),0)=6,SUMIFS(Holieday[ok],Holieday[date],J_ADDDAY(VLOOKUP(I28,A:F,6,FALSE),H28+4,1)))=FALSE(),J_ADDDAY(VLOOKUP(I28,A:F,6,FALSE),H28+4,1),J_ADDDAY(VLOOKUP(I28,A:F,6,FALSE),H28+5,1))))))</f>
        <v>1398/08/27</v>
      </c>
      <c r="E28" s="2">
        <f t="shared" si="4"/>
        <v>13980827</v>
      </c>
      <c r="F28" s="13" t="str">
        <f>IF(N28=0,J_SUBDAY(D28,1,1)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0,J_SUBDAY(J_ADDDAY(D28,N28,1)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1,J_SUBDAY(J_ADDDAY(D28,N28+1,1),1,1),IF((N28-NETWORKDAYS.INTL(J_GregorianDate(D28,1),J_GregorianDate(J_SUBDAY(J_ADDDAY(D28,N28,1),1,1),1),16,1)-SUMIFS(Holieday[ok],Holieday[date],CONCATENATE("&gt;","=",D28),Holieday[date],CONCATENATE("&lt;","=",J_SUBDAY(J_ADDDAY(D28,N28,1),1,1)))+SUMIFS(Holieday[Friday],Holieday[date],CONCATENATE("&gt;","=",D28),Holieday[date],CONCATENATE("&lt;","=",J_SUBDAY(J_ADDDAY(D28,N28,1),1,1))))=2,J_SUBDAY(J_ADDDAY(D28,N28+2,1),1,1),J_SUBDAY(J_ADDDAY(D28,N28+3,1),1,1)))))</f>
        <v>1398/08/26</v>
      </c>
      <c r="G28" s="3">
        <f t="shared" si="5"/>
        <v>13980826</v>
      </c>
      <c r="H28" s="121"/>
      <c r="I28" s="122">
        <v>1.8</v>
      </c>
      <c r="J28" s="21" t="str">
        <f>j_WEEKDAY(D28,1)</f>
        <v>دوشنبه</v>
      </c>
      <c r="K28" s="23">
        <f t="shared" si="7"/>
        <v>0</v>
      </c>
      <c r="L28" s="9">
        <f t="shared" si="8"/>
        <v>0</v>
      </c>
      <c r="M28" s="123">
        <v>0</v>
      </c>
      <c r="N28" s="120">
        <v>0</v>
      </c>
      <c r="O28" s="11">
        <f t="shared" si="9"/>
        <v>0</v>
      </c>
      <c r="P28" s="11">
        <f>VALUE(J_normdate(J_ADDDAY($D28,$O28,1)))</f>
        <v>13980827</v>
      </c>
      <c r="Q28" s="10">
        <f t="shared" si="10"/>
        <v>0</v>
      </c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/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/>
      <c r="FZ28" s="8"/>
      <c r="GA28" s="8"/>
      <c r="GB28" s="8"/>
      <c r="GC28" s="8"/>
      <c r="GD28" s="8"/>
      <c r="GE28" s="8"/>
      <c r="GF28" s="8"/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/>
      <c r="GT28" s="8"/>
      <c r="GU28" s="8"/>
      <c r="GV28" s="8"/>
      <c r="GW28" s="8"/>
      <c r="GX28" s="8"/>
      <c r="GY28" s="8"/>
      <c r="GZ28" s="8"/>
      <c r="HA28" s="8"/>
      <c r="HB28" s="8"/>
      <c r="HC28" s="8"/>
      <c r="HD28" s="8"/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/>
      <c r="HU28" s="8"/>
      <c r="HV28" s="8"/>
      <c r="HW28" s="8"/>
      <c r="HX28" s="8"/>
      <c r="HY28" s="8"/>
      <c r="HZ28" s="8"/>
      <c r="IA28" s="8"/>
      <c r="IB28" s="8"/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JA28" s="125"/>
      <c r="JB28" s="125"/>
      <c r="JC28" s="125"/>
      <c r="JD28" s="72">
        <f>SUM((TEXT(JA28,"[M]")/60)*'Income Person-hours'!$D$3,(TEXT(JB28,"[M]")/60)*'Income Person-hours'!$D$4,(TEXT(JC28,"[M]")/60)*'Income Person-hours'!$D$5)</f>
        <v>0</v>
      </c>
    </row>
    <row r="29" spans="1:264" s="12" customFormat="1" ht="15.75" hidden="1" x14ac:dyDescent="0.45">
      <c r="A29" s="33">
        <v>1.22</v>
      </c>
      <c r="B29" s="128"/>
      <c r="C29" s="119"/>
      <c r="D29" s="8" t="str">
        <f>IF(OR(j_WEEKDAY(J_ADDDAY(VLOOKUP(I29,A:F,6,FALSE),H29,1),0)=6,SUMIFS(Holieday[ok],Holieday[date],J_ADDDAY(VLOOKUP(I29,A:F,6,FALSE),H29,1)))=FALSE(),J_ADDDAY(VLOOKUP(I29,A:F,6,FALSE),H29,1),IF(OR(j_WEEKDAY(J_ADDDAY(VLOOKUP(I29,A:F,6,FALSE),H29+1,1),0)=6,SUMIFS(Holieday[ok],Holieday[date],J_ADDDAY(VLOOKUP(I29,A:F,6,FALSE),H29+1,1)))=FALSE(),J_ADDDAY(VLOOKUP(I29,A:F,6,FALSE),H29+1,1),IF(OR(j_WEEKDAY(J_ADDDAY(VLOOKUP(I29,A:F,6,FALSE),H29+2,1),0)=6,SUMIFS(Holieday[ok],Holieday[date],J_ADDDAY(VLOOKUP(I29,A:F,6,FALSE),H29+2,1)))=FALSE(),J_ADDDAY(VLOOKUP(I29,A:F,6,FALSE),H29+2,1),IF(OR(j_WEEKDAY(J_ADDDAY(VLOOKUP(I29,A:F,6,FALSE),H29+3,1),0)=6,SUMIFS(Holieday[ok],Holieday[date],J_ADDDAY(VLOOKUP(I29,A:F,6,FALSE),H29+3,1)))=FALSE(),J_ADDDAY(VLOOKUP(I29,A:F,6,FALSE),H29+3,1),IF(OR(j_WEEKDAY(J_ADDDAY(VLOOKUP(I29,A:F,6,FALSE),H29+4,1),0)=6,SUMIFS(Holieday[ok],Holieday[date],J_ADDDAY(VLOOKUP(I29,A:F,6,FALSE),H29+4,1)))=FALSE(),J_ADDDAY(VLOOKUP(I29,A:F,6,FALSE),H29+4,1),J_ADDDAY(VLOOKUP(I29,A:F,6,FALSE),H29+5,1))))))</f>
        <v>1398/08/27</v>
      </c>
      <c r="E29" s="2">
        <f t="shared" si="4"/>
        <v>13980827</v>
      </c>
      <c r="F29" s="13" t="str">
        <f>IF(N29=0,J_SUBDAY(D29,1,1)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0,J_SUBDAY(J_ADDDAY(D29,N29,1)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1,J_SUBDAY(J_ADDDAY(D29,N29+1,1),1,1),IF((N29-NETWORKDAYS.INTL(J_GregorianDate(D29,1),J_GregorianDate(J_SUBDAY(J_ADDDAY(D29,N29,1),1,1),1),16,1)-SUMIFS(Holieday[ok],Holieday[date],CONCATENATE("&gt;","=",D29),Holieday[date],CONCATENATE("&lt;","=",J_SUBDAY(J_ADDDAY(D29,N29,1),1,1)))+SUMIFS(Holieday[Friday],Holieday[date],CONCATENATE("&gt;","=",D29),Holieday[date],CONCATENATE("&lt;","=",J_SUBDAY(J_ADDDAY(D29,N29,1),1,1))))=2,J_SUBDAY(J_ADDDAY(D29,N29+2,1),1,1),J_SUBDAY(J_ADDDAY(D29,N29+3,1),1,1)))))</f>
        <v>1398/08/26</v>
      </c>
      <c r="G29" s="3">
        <f t="shared" si="5"/>
        <v>13980826</v>
      </c>
      <c r="H29" s="121"/>
      <c r="I29" s="122">
        <v>1.8</v>
      </c>
      <c r="J29" s="21" t="str">
        <f>j_WEEKDAY(D29,1)</f>
        <v>دوشنبه</v>
      </c>
      <c r="K29" s="23">
        <f t="shared" si="7"/>
        <v>0</v>
      </c>
      <c r="L29" s="9">
        <f t="shared" si="8"/>
        <v>0</v>
      </c>
      <c r="M29" s="123">
        <v>0</v>
      </c>
      <c r="N29" s="120">
        <v>0</v>
      </c>
      <c r="O29" s="11">
        <f t="shared" si="9"/>
        <v>0</v>
      </c>
      <c r="P29" s="11">
        <f>VALUE(J_normdate(J_ADDDAY($D29,$O29,1)))</f>
        <v>13980827</v>
      </c>
      <c r="Q29" s="10">
        <f t="shared" si="10"/>
        <v>0</v>
      </c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/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/>
      <c r="FN29" s="8"/>
      <c r="FO29" s="8"/>
      <c r="FP29" s="8"/>
      <c r="FQ29" s="8"/>
      <c r="FR29" s="8"/>
      <c r="FS29" s="8"/>
      <c r="FT29" s="8"/>
      <c r="FU29" s="8"/>
      <c r="FV29" s="8"/>
      <c r="FW29" s="8"/>
      <c r="FX29" s="8"/>
      <c r="FY29" s="8"/>
      <c r="FZ29" s="8"/>
      <c r="GA29" s="8"/>
      <c r="GB29" s="8"/>
      <c r="GC29" s="8"/>
      <c r="GD29" s="8"/>
      <c r="GE29" s="8"/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/>
      <c r="GT29" s="8"/>
      <c r="GU29" s="8"/>
      <c r="GV29" s="8"/>
      <c r="GW29" s="8"/>
      <c r="GX29" s="8"/>
      <c r="GY29" s="8"/>
      <c r="GZ29" s="8"/>
      <c r="HA29" s="8"/>
      <c r="HB29" s="8"/>
      <c r="HC29" s="8"/>
      <c r="HD29" s="8"/>
      <c r="HE29" s="8"/>
      <c r="HF29" s="8"/>
      <c r="HG29" s="8"/>
      <c r="HH29" s="8"/>
      <c r="HI29" s="8"/>
      <c r="HJ29" s="8"/>
      <c r="HK29" s="8"/>
      <c r="HL29" s="8"/>
      <c r="HM29" s="8"/>
      <c r="HN29" s="8"/>
      <c r="HO29" s="8"/>
      <c r="HP29" s="8"/>
      <c r="HQ29" s="8"/>
      <c r="HR29" s="8"/>
      <c r="HS29" s="8"/>
      <c r="HT29" s="8"/>
      <c r="HU29" s="8"/>
      <c r="HV29" s="8"/>
      <c r="HW29" s="8"/>
      <c r="HX29" s="8"/>
      <c r="HY29" s="8"/>
      <c r="HZ29" s="8"/>
      <c r="IA29" s="8"/>
      <c r="IB29" s="8"/>
      <c r="IC29" s="8"/>
      <c r="ID29" s="8"/>
      <c r="IE29" s="8"/>
      <c r="IF29" s="8"/>
      <c r="IG29" s="8"/>
      <c r="IH29" s="8"/>
      <c r="II29" s="8"/>
      <c r="IJ29" s="8"/>
      <c r="IK29" s="8"/>
      <c r="IL29" s="8"/>
      <c r="IM29" s="8"/>
      <c r="IN29" s="8"/>
      <c r="IO29" s="8"/>
      <c r="IP29" s="8"/>
      <c r="IQ29" s="8"/>
      <c r="IR29" s="8"/>
      <c r="IS29" s="8"/>
      <c r="IT29" s="8"/>
      <c r="IU29" s="8"/>
      <c r="IV29" s="8"/>
      <c r="IW29" s="8"/>
      <c r="IX29" s="8"/>
      <c r="JA29" s="125"/>
      <c r="JB29" s="125"/>
      <c r="JC29" s="125"/>
      <c r="JD29" s="72">
        <f>SUM((TEXT(JA29,"[M]")/60)*'Income Person-hours'!$D$3,(TEXT(JB29,"[M]")/60)*'Income Person-hours'!$D$4,(TEXT(JC29,"[M]")/60)*'Income Person-hours'!$D$5)</f>
        <v>0</v>
      </c>
    </row>
    <row r="30" spans="1:264" s="12" customFormat="1" ht="15.75" hidden="1" x14ac:dyDescent="0.45">
      <c r="A30" s="33">
        <v>1.23</v>
      </c>
      <c r="B30" s="128"/>
      <c r="C30" s="119"/>
      <c r="D30" s="8" t="str">
        <f>IF(OR(j_WEEKDAY(J_ADDDAY(VLOOKUP(I30,A:F,6,FALSE),H30,1),0)=6,SUMIFS(Holieday[ok],Holieday[date],J_ADDDAY(VLOOKUP(I30,A:F,6,FALSE),H30,1)))=FALSE(),J_ADDDAY(VLOOKUP(I30,A:F,6,FALSE),H30,1),IF(OR(j_WEEKDAY(J_ADDDAY(VLOOKUP(I30,A:F,6,FALSE),H30+1,1),0)=6,SUMIFS(Holieday[ok],Holieday[date],J_ADDDAY(VLOOKUP(I30,A:F,6,FALSE),H30+1,1)))=FALSE(),J_ADDDAY(VLOOKUP(I30,A:F,6,FALSE),H30+1,1),IF(OR(j_WEEKDAY(J_ADDDAY(VLOOKUP(I30,A:F,6,FALSE),H30+2,1),0)=6,SUMIFS(Holieday[ok],Holieday[date],J_ADDDAY(VLOOKUP(I30,A:F,6,FALSE),H30+2,1)))=FALSE(),J_ADDDAY(VLOOKUP(I30,A:F,6,FALSE),H30+2,1),IF(OR(j_WEEKDAY(J_ADDDAY(VLOOKUP(I30,A:F,6,FALSE),H30+3,1),0)=6,SUMIFS(Holieday[ok],Holieday[date],J_ADDDAY(VLOOKUP(I30,A:F,6,FALSE),H30+3,1)))=FALSE(),J_ADDDAY(VLOOKUP(I30,A:F,6,FALSE),H30+3,1),IF(OR(j_WEEKDAY(J_ADDDAY(VLOOKUP(I30,A:F,6,FALSE),H30+4,1),0)=6,SUMIFS(Holieday[ok],Holieday[date],J_ADDDAY(VLOOKUP(I30,A:F,6,FALSE),H30+4,1)))=FALSE(),J_ADDDAY(VLOOKUP(I30,A:F,6,FALSE),H30+4,1),J_ADDDAY(VLOOKUP(I30,A:F,6,FALSE),H30+5,1))))))</f>
        <v>1398/08/27</v>
      </c>
      <c r="E30" s="2">
        <f t="shared" si="4"/>
        <v>13980827</v>
      </c>
      <c r="F30" s="13" t="str">
        <f>IF(N30=0,J_SUBDAY(D30,1,1)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0,J_SUBDAY(J_ADDDAY(D30,N30,1)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1,J_SUBDAY(J_ADDDAY(D30,N30+1,1),1,1),IF((N30-NETWORKDAYS.INTL(J_GregorianDate(D30,1),J_GregorianDate(J_SUBDAY(J_ADDDAY(D30,N30,1),1,1),1),16,1)-SUMIFS(Holieday[ok],Holieday[date],CONCATENATE("&gt;","=",D30),Holieday[date],CONCATENATE("&lt;","=",J_SUBDAY(J_ADDDAY(D30,N30,1),1,1)))+SUMIFS(Holieday[Friday],Holieday[date],CONCATENATE("&gt;","=",D30),Holieday[date],CONCATENATE("&lt;","=",J_SUBDAY(J_ADDDAY(D30,N30,1),1,1))))=2,J_SUBDAY(J_ADDDAY(D30,N30+2,1),1,1),J_SUBDAY(J_ADDDAY(D30,N30+3,1),1,1)))))</f>
        <v>1398/08/26</v>
      </c>
      <c r="G30" s="3">
        <f t="shared" si="5"/>
        <v>13980826</v>
      </c>
      <c r="H30" s="121"/>
      <c r="I30" s="122">
        <v>1.8</v>
      </c>
      <c r="J30" s="21" t="str">
        <f>j_WEEKDAY(D30,1)</f>
        <v>دوشنبه</v>
      </c>
      <c r="K30" s="23">
        <f t="shared" si="7"/>
        <v>0</v>
      </c>
      <c r="L30" s="9">
        <f t="shared" si="8"/>
        <v>0</v>
      </c>
      <c r="M30" s="123">
        <v>0</v>
      </c>
      <c r="N30" s="120">
        <v>0</v>
      </c>
      <c r="O30" s="11">
        <f t="shared" si="9"/>
        <v>0</v>
      </c>
      <c r="P30" s="11">
        <f>VALUE(J_normdate(J_ADDDAY($D30,$O30,1)))</f>
        <v>13980827</v>
      </c>
      <c r="Q30" s="10">
        <f t="shared" si="10"/>
        <v>0</v>
      </c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  <c r="ES30" s="8"/>
      <c r="ET30" s="8"/>
      <c r="EU30" s="8"/>
      <c r="EV30" s="8"/>
      <c r="EW30" s="8"/>
      <c r="EX30" s="8"/>
      <c r="EY30" s="8"/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/>
      <c r="FO30" s="8"/>
      <c r="FP30" s="8"/>
      <c r="FQ30" s="8"/>
      <c r="FR30" s="8"/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/>
      <c r="GH30" s="8"/>
      <c r="GI30" s="8"/>
      <c r="GJ30" s="8"/>
      <c r="GK30" s="8"/>
      <c r="GL30" s="8"/>
      <c r="GM30" s="8"/>
      <c r="GN30" s="8"/>
      <c r="GO30" s="8"/>
      <c r="GP30" s="8"/>
      <c r="GQ30" s="8"/>
      <c r="GR30" s="8"/>
      <c r="GS30" s="8"/>
      <c r="GT30" s="8"/>
      <c r="GU30" s="8"/>
      <c r="GV30" s="8"/>
      <c r="GW30" s="8"/>
      <c r="GX30" s="8"/>
      <c r="GY30" s="8"/>
      <c r="GZ30" s="8"/>
      <c r="HA30" s="8"/>
      <c r="HB30" s="8"/>
      <c r="HC30" s="8"/>
      <c r="HD30" s="8"/>
      <c r="HE30" s="8"/>
      <c r="HF30" s="8"/>
      <c r="HG30" s="8"/>
      <c r="HH30" s="8"/>
      <c r="HI30" s="8"/>
      <c r="HJ30" s="8"/>
      <c r="HK30" s="8"/>
      <c r="HL30" s="8"/>
      <c r="HM30" s="8"/>
      <c r="HN30" s="8"/>
      <c r="HO30" s="8"/>
      <c r="HP30" s="8"/>
      <c r="HQ30" s="8"/>
      <c r="HR30" s="8"/>
      <c r="HS30" s="8"/>
      <c r="HT30" s="8"/>
      <c r="HU30" s="8"/>
      <c r="HV30" s="8"/>
      <c r="HW30" s="8"/>
      <c r="HX30" s="8"/>
      <c r="HY30" s="8"/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/>
      <c r="IQ30" s="8"/>
      <c r="IR30" s="8"/>
      <c r="IS30" s="8"/>
      <c r="IT30" s="8"/>
      <c r="IU30" s="8"/>
      <c r="IV30" s="8"/>
      <c r="IW30" s="8"/>
      <c r="IX30" s="8"/>
      <c r="JA30" s="125"/>
      <c r="JB30" s="125"/>
      <c r="JC30" s="125"/>
      <c r="JD30" s="72">
        <f>SUM((TEXT(JA30,"[M]")/60)*'Income Person-hours'!$D$3,(TEXT(JB30,"[M]")/60)*'Income Person-hours'!$D$4,(TEXT(JC30,"[M]")/60)*'Income Person-hours'!$D$5)</f>
        <v>0</v>
      </c>
    </row>
    <row r="31" spans="1:264" s="198" customFormat="1" ht="15.75" x14ac:dyDescent="0.45">
      <c r="A31" s="197">
        <v>2</v>
      </c>
      <c r="B31" s="114" t="s">
        <v>167</v>
      </c>
      <c r="C31" s="115"/>
      <c r="D31" s="200" t="str">
        <f>FDate(MIN(E32:E52))</f>
        <v>1398/06/02</v>
      </c>
      <c r="E31" s="198">
        <f t="shared" si="4"/>
        <v>13980602</v>
      </c>
      <c r="F31" s="200" t="str">
        <f>J_SUBDAY(J_ADDDAY(D31,L31,1),1,1)</f>
        <v>1398/06/23</v>
      </c>
      <c r="G31" s="201">
        <f t="shared" si="5"/>
        <v>13980623</v>
      </c>
      <c r="H31" s="116"/>
      <c r="I31" s="117"/>
      <c r="J31" s="200" t="str">
        <f>j_WEEKDAY(D31,1)</f>
        <v>شنبه</v>
      </c>
      <c r="K31" s="202">
        <f>SUM(K32:K52)</f>
        <v>0.87499999999999989</v>
      </c>
      <c r="L31" s="203">
        <f>J_DIFF(D31,FDate(MAX(G32:G52)))+1</f>
        <v>22</v>
      </c>
      <c r="M31" s="204">
        <f>IF(SUM(L32:L52)&lt;&gt;0,SUMPRODUCT(L32:L52,M32:M52)/SUM(L32:L52),0)</f>
        <v>1</v>
      </c>
      <c r="N31" s="205">
        <f>IF(F31&gt;=D31,NETWORKDAYS.INTL(J_GregorianDate(D31,1),J_GregorianDate(F31,1),16,1)-SUMIFS(Holieday[ok],Holieday[date],CONCATENATE("&gt;","=",D31),Holieday[date],CONCATENATE("&lt;","=",F31))+SUMIFS(Holieday[Friday],Holieday[date],CONCATENATE("&gt;","=",D31),Holieday[date],CONCATENATE("&lt;","=",F31)),0)</f>
        <v>19</v>
      </c>
      <c r="O31" s="196">
        <f>ROUNDDOWN(M31*L31,0)</f>
        <v>22</v>
      </c>
      <c r="P31" s="196">
        <f>VALUE(J_normdate(J_ADDDAY($D31,$O31,1)))</f>
        <v>13980624</v>
      </c>
      <c r="Q31" s="200">
        <f>L31-O31</f>
        <v>0</v>
      </c>
      <c r="IY31" s="31"/>
      <c r="IZ31" s="43"/>
      <c r="JA31" s="228"/>
      <c r="JB31" s="228"/>
      <c r="JC31" s="228"/>
      <c r="JD31" s="229"/>
    </row>
    <row r="32" spans="1:264" s="231" customFormat="1" ht="15.75" x14ac:dyDescent="0.45">
      <c r="A32" s="214">
        <v>2.1</v>
      </c>
      <c r="B32" s="118" t="s">
        <v>119</v>
      </c>
      <c r="C32" s="119" t="s">
        <v>153</v>
      </c>
      <c r="D32" s="209" t="str">
        <f>IF(OR(j_WEEKDAY(J_ADDDAY(VLOOKUP(I32,A:F,6,FALSE),H32,1),0)=6,SUMIFS(Holieday[ok],Holieday[date],J_ADDDAY(VLOOKUP(I32,A:F,6,FALSE),H32,1)))=FALSE(),J_ADDDAY(VLOOKUP(I32,A:F,6,FALSE),H32,1),IF(OR(j_WEEKDAY(J_ADDDAY(VLOOKUP(I32,A:F,6,FALSE),H32+1,1),0)=6,SUMIFS(Holieday[ok],Holieday[date],J_ADDDAY(VLOOKUP(I32,A:F,6,FALSE),H32+1,1)))=FALSE(),J_ADDDAY(VLOOKUP(I32,A:F,6,FALSE),H32+1,1),IF(OR(j_WEEKDAY(J_ADDDAY(VLOOKUP(I32,A:F,6,FALSE),H32+2,1),0)=6,SUMIFS(Holieday[ok],Holieday[date],J_ADDDAY(VLOOKUP(I32,A:F,6,FALSE),H32+2,1)))=FALSE(),J_ADDDAY(VLOOKUP(I32,A:F,6,FALSE),H32+2,1),IF(OR(j_WEEKDAY(J_ADDDAY(VLOOKUP(I32,A:F,6,FALSE),H32+3,1),0)=6,SUMIFS(Holieday[ok],Holieday[date],J_ADDDAY(VLOOKUP(I32,A:F,6,FALSE),H32+3,1)))=FALSE(),J_ADDDAY(VLOOKUP(I32,A:F,6,FALSE),H32+3,1),IF(OR(j_WEEKDAY(J_ADDDAY(VLOOKUP(I32,A:F,6,FALSE),H32+4,1),0)=6,SUMIFS(Holieday[ok],Holieday[date],J_ADDDAY(VLOOKUP(I32,A:F,6,FALSE),H32+4,1)))=FALSE(),J_ADDDAY(VLOOKUP(I32,A:F,6,FALSE),H32+4,1),J_ADDDAY(VLOOKUP(I32,A:F,6,FALSE),H32+5,1))))))</f>
        <v>1398/06/03</v>
      </c>
      <c r="E32" s="198">
        <f t="shared" si="4"/>
        <v>13980603</v>
      </c>
      <c r="F32" s="209" t="str">
        <f>IF(N32=0,J_SUBDAY(D32,1,1),IF((N32-(NETWORKDAYS.INTL(J_GregorianDate(D32,1),J_GregorianDate(J_SUBDAY(J_ADDDAY(D32,N32,1),1,1),1),16,1)))+SUMIFS(Holieday[ok],Holieday[date],CONCATENATE("&gt;","=",D32),Holieday[date],CONCATENATE("&lt;","=",J_SUBDAY(J_ADDDAY(D32,N32,1),1,1)))-SUMIFS(Holieday[Friday],Holieday[date],CONCATENATE("&gt;","=",D32),Holieday[date],CONCATENATE("&lt;","=",J_SUBDAY(J_ADDDAY(D32,N32,1),1,1)))=0,J_SUBDAY(J_ADDDAY(D32,N32,1),1,1),IF((N32+1-(NETWORKDAYS.INTL(J_GregorianDate(D32,1),J_GregorianDate(J_SUBDAY(J_ADDDAY(D32,N32+1,1),1,1),1),16,1)))+SUMIFS(Holieday[ok],Holieday[date],CONCATENATE("&gt;","=",D32),Holieday[date],CONCATENATE("&lt;","=",J_SUBDAY(J_ADDDAY(D32,N32+1,1),1,1)))-SUMIFS(Holieday[Friday],Holieday[date],CONCATENATE("&gt;","=",D32),Holieday[date],CONCATENATE("&lt;","=",J_SUBDAY(J_ADDDAY(D32,N32+1,1),1,1)))=1,J_SUBDAY(J_ADDDAY(D32,N32+1,1),1,1),IF((N32+2-(NETWORKDAYS.INTL(J_GregorianDate(D32,1),J_GregorianDate(J_SUBDAY(J_ADDDAY(D32,N32+2,1),1,1),1),16,1)))+SUMIFS(Holieday[ok],Holieday[date],CONCATENATE("&gt;","=",D32),Holieday[date],CONCATENATE("&lt;","=",J_SUBDAY(J_ADDDAY(D32,N32+2,1),1,1)))-SUMIFS(Holieday[Friday],Holieday[date],CONCATENATE("&gt;","=",D32),Holieday[date],CONCATENATE("&lt;","=",J_SUBDAY(J_ADDDAY(D32,N32+2,1),1,1)))=2,J_SUBDAY(J_ADDDAY(D32,N32+2,1),1,1),IF((N32+3-(NETWORKDAYS.INTL(J_GregorianDate(D32,1),J_GregorianDate(J_SUBDAY(J_ADDDAY(D32,N32+3,1),1,1),1),16,1)))+SUMIFS(Holieday[ok],Holieday[date],CONCATENATE("&gt;","=",D32),Holieday[date],CONCATENATE("&lt;","=",J_SUBDAY(J_ADDDAY(D32,N32+3,1),1,1)))-SUMIFS(Holieday[Friday],Holieday[date],CONCATENATE("&gt;","=",D32),Holieday[date],CONCATENATE("&lt;","=",J_SUBDAY(J_ADDDAY(D32,N32+3,1),1,1)))=3,J_SUBDAY(J_ADDDAY(D32,N32+3,1),1,1),IF((N32+4-(NETWORKDAYS.INTL(J_GregorianDate(D32,1),J_GregorianDate(J_SUBDAY(J_ADDDAY(D32,N32+4,1),1,1),1),16,1)))+SUMIFS(Holieday[ok],Holieday[date],CONCATENATE("&gt;","=",D32),Holieday[date],CONCATENATE("&lt;","=",J_SUBDAY(J_ADDDAY(D32,N32+4,1),1,1)))-SUMIFS(Holieday[Friday],Holieday[date],CONCATENATE("&gt;","=",D32),Holieday[date],CONCATENATE("&lt;","=",J_SUBDAY(J_ADDDAY(D32,N32+4,1),1,1)))=4,J_SUBDAY(J_ADDDAY(D32,N32+4,1),1,1),IF((N32+5-(NETWORKDAYS.INTL(J_GregorianDate(D32,1),J_GregorianDate(J_SUBDAY(J_ADDDAY(D32,N32+5,1),1,1),1),16,1)))+SUMIFS(Holieday[ok],Holieday[date],CONCATENATE("&gt;","=",D32),Holieday[date],CONCATENATE("&lt;","=",J_SUBDAY(J_ADDDAY(D32,N32+5,1),1,1)))-SUMIFS(Holieday[Friday],Holieday[date],CONCATENATE("&gt;","=",D32),Holieday[date],CONCATENATE("&lt;","=",J_SUBDAY(J_ADDDAY(D32,N32+5,1),1,1)))=5,J_SUBDAY(J_ADDDAY(D32,N32+5,1),1,1),J_SUBDAY(J_ADDDAY(D32,N32+6,1),1,1))))))))</f>
        <v>1398/06/04</v>
      </c>
      <c r="G32" s="201">
        <f t="shared" si="5"/>
        <v>13980604</v>
      </c>
      <c r="H32" s="121">
        <v>1</v>
      </c>
      <c r="I32" s="122">
        <v>1.1000000000000001</v>
      </c>
      <c r="J32" s="209" t="str">
        <f>j_WEEKDAY(D32,1)</f>
        <v>يكشنبه</v>
      </c>
      <c r="K32" s="211">
        <f t="shared" ref="K32:K52" si="11">SUM(JA32:JC32)</f>
        <v>0.33333333333333331</v>
      </c>
      <c r="L32" s="212">
        <f t="shared" ref="L32:L52" si="12">J_DIFF(D32,F32)+1</f>
        <v>2</v>
      </c>
      <c r="M32" s="123">
        <v>1</v>
      </c>
      <c r="N32" s="120">
        <v>2</v>
      </c>
      <c r="O32" s="213">
        <f>ROUNDDOWN(M32*L32,0)</f>
        <v>2</v>
      </c>
      <c r="P32" s="213">
        <f>VALUE(J_normdate(J_ADDDAY($D32,$O32,1)))</f>
        <v>13980605</v>
      </c>
      <c r="Q32" s="209">
        <f>L32-O32</f>
        <v>0</v>
      </c>
      <c r="R32" s="207"/>
      <c r="S32" s="207"/>
      <c r="T32" s="207"/>
      <c r="U32" s="207"/>
      <c r="V32" s="207"/>
      <c r="W32" s="207"/>
      <c r="X32" s="207"/>
      <c r="Y32" s="207"/>
      <c r="Z32" s="207"/>
      <c r="AA32" s="207"/>
      <c r="AB32" s="207"/>
      <c r="AC32" s="207"/>
      <c r="AD32" s="207"/>
      <c r="AE32" s="207"/>
      <c r="AF32" s="207"/>
      <c r="AG32" s="207"/>
      <c r="AH32" s="207"/>
      <c r="AI32" s="207"/>
      <c r="AJ32" s="207"/>
      <c r="AK32" s="207"/>
      <c r="AL32" s="207"/>
      <c r="AM32" s="207"/>
      <c r="AN32" s="207"/>
      <c r="AO32" s="207"/>
      <c r="AP32" s="207"/>
      <c r="AQ32" s="207"/>
      <c r="AR32" s="207"/>
      <c r="AS32" s="207"/>
      <c r="AT32" s="207"/>
      <c r="AU32" s="207"/>
      <c r="AV32" s="207"/>
      <c r="AW32" s="207"/>
      <c r="AX32" s="207"/>
      <c r="AY32" s="207"/>
      <c r="AZ32" s="207"/>
      <c r="BA32" s="207"/>
      <c r="BB32" s="207"/>
      <c r="BC32" s="207"/>
      <c r="BD32" s="207"/>
      <c r="BE32" s="207"/>
      <c r="BF32" s="207"/>
      <c r="BG32" s="207"/>
      <c r="BH32" s="207"/>
      <c r="BI32" s="207"/>
      <c r="BJ32" s="207"/>
      <c r="BK32" s="207"/>
      <c r="BL32" s="207"/>
      <c r="BM32" s="207"/>
      <c r="BN32" s="207"/>
      <c r="BO32" s="207"/>
      <c r="BP32" s="207"/>
      <c r="BQ32" s="207"/>
      <c r="BR32" s="207"/>
      <c r="BS32" s="207"/>
      <c r="BT32" s="207"/>
      <c r="BU32" s="207"/>
      <c r="BV32" s="207"/>
      <c r="BW32" s="207"/>
      <c r="BX32" s="207"/>
      <c r="BY32" s="207"/>
      <c r="BZ32" s="207"/>
      <c r="CA32" s="207"/>
      <c r="CB32" s="207"/>
      <c r="CC32" s="207"/>
      <c r="CD32" s="207"/>
      <c r="CE32" s="207"/>
      <c r="CF32" s="207"/>
      <c r="CG32" s="207"/>
      <c r="CH32" s="207"/>
      <c r="CI32" s="207"/>
      <c r="CJ32" s="207"/>
      <c r="CK32" s="207"/>
      <c r="CL32" s="207"/>
      <c r="CM32" s="207"/>
      <c r="CN32" s="207"/>
      <c r="CO32" s="207"/>
      <c r="CP32" s="207"/>
      <c r="CQ32" s="207"/>
      <c r="CR32" s="207"/>
      <c r="CS32" s="207"/>
      <c r="CT32" s="207"/>
      <c r="CU32" s="207"/>
      <c r="CV32" s="207"/>
      <c r="CW32" s="207"/>
      <c r="CX32" s="207"/>
      <c r="CY32" s="207"/>
      <c r="CZ32" s="207"/>
      <c r="DA32" s="207"/>
      <c r="DB32" s="207"/>
      <c r="DC32" s="207"/>
      <c r="DD32" s="207"/>
      <c r="DE32" s="207"/>
      <c r="DF32" s="207"/>
      <c r="DG32" s="207"/>
      <c r="DH32" s="207"/>
      <c r="DI32" s="207"/>
      <c r="DJ32" s="207"/>
      <c r="DK32" s="207"/>
      <c r="DL32" s="207"/>
      <c r="DM32" s="207"/>
      <c r="DN32" s="207"/>
      <c r="DO32" s="207"/>
      <c r="DP32" s="207"/>
      <c r="DQ32" s="207"/>
      <c r="DR32" s="207"/>
      <c r="DS32" s="207"/>
      <c r="DT32" s="207"/>
      <c r="DU32" s="207"/>
      <c r="DV32" s="207"/>
      <c r="DW32" s="207"/>
      <c r="DX32" s="207"/>
      <c r="DY32" s="207"/>
      <c r="DZ32" s="207"/>
      <c r="EA32" s="207"/>
      <c r="EB32" s="207"/>
      <c r="EC32" s="207"/>
      <c r="ED32" s="207"/>
      <c r="EE32" s="207"/>
      <c r="EF32" s="207"/>
      <c r="EG32" s="207"/>
      <c r="EH32" s="207"/>
      <c r="EI32" s="207"/>
      <c r="EJ32" s="207"/>
      <c r="EK32" s="207"/>
      <c r="EL32" s="207"/>
      <c r="EM32" s="207"/>
      <c r="EN32" s="207"/>
      <c r="EO32" s="207"/>
      <c r="EP32" s="207"/>
      <c r="EQ32" s="207"/>
      <c r="ER32" s="207"/>
      <c r="ES32" s="207"/>
      <c r="ET32" s="207"/>
      <c r="EU32" s="207"/>
      <c r="EV32" s="207"/>
      <c r="EW32" s="207"/>
      <c r="EX32" s="207"/>
      <c r="EY32" s="207"/>
      <c r="EZ32" s="207"/>
      <c r="FA32" s="207"/>
      <c r="FB32" s="207"/>
      <c r="FC32" s="207"/>
      <c r="FD32" s="207"/>
      <c r="FE32" s="207"/>
      <c r="FF32" s="207"/>
      <c r="FG32" s="207"/>
      <c r="FH32" s="207"/>
      <c r="FI32" s="207"/>
      <c r="FJ32" s="207"/>
      <c r="FK32" s="207"/>
      <c r="FL32" s="207"/>
      <c r="FM32" s="207"/>
      <c r="FN32" s="207"/>
      <c r="FO32" s="207"/>
      <c r="FP32" s="207"/>
      <c r="FQ32" s="207"/>
      <c r="FR32" s="207"/>
      <c r="FS32" s="207"/>
      <c r="FT32" s="207"/>
      <c r="FU32" s="207"/>
      <c r="FV32" s="207"/>
      <c r="FW32" s="207"/>
      <c r="FX32" s="207"/>
      <c r="FY32" s="207"/>
      <c r="FZ32" s="207"/>
      <c r="GA32" s="207"/>
      <c r="GB32" s="207"/>
      <c r="GC32" s="207"/>
      <c r="GD32" s="207"/>
      <c r="GE32" s="207"/>
      <c r="GF32" s="207"/>
      <c r="GG32" s="207"/>
      <c r="GH32" s="207"/>
      <c r="GI32" s="207"/>
      <c r="GJ32" s="207"/>
      <c r="GK32" s="207"/>
      <c r="GL32" s="207"/>
      <c r="GM32" s="207"/>
      <c r="GN32" s="207"/>
      <c r="GO32" s="207"/>
      <c r="GP32" s="207"/>
      <c r="GQ32" s="207"/>
      <c r="GR32" s="207"/>
      <c r="GS32" s="207"/>
      <c r="GT32" s="207"/>
      <c r="GU32" s="207"/>
      <c r="GV32" s="207"/>
      <c r="GW32" s="207"/>
      <c r="GX32" s="207"/>
      <c r="GY32" s="207"/>
      <c r="GZ32" s="207"/>
      <c r="HA32" s="207"/>
      <c r="HB32" s="207"/>
      <c r="HC32" s="207"/>
      <c r="HD32" s="207"/>
      <c r="HE32" s="207"/>
      <c r="HF32" s="207"/>
      <c r="HG32" s="207"/>
      <c r="HH32" s="207"/>
      <c r="HI32" s="207"/>
      <c r="HJ32" s="207"/>
      <c r="HK32" s="207"/>
      <c r="HL32" s="207"/>
      <c r="HM32" s="207"/>
      <c r="HN32" s="207"/>
      <c r="HO32" s="207"/>
      <c r="HP32" s="207"/>
      <c r="HQ32" s="207"/>
      <c r="HR32" s="207"/>
      <c r="HS32" s="207"/>
      <c r="HT32" s="207"/>
      <c r="HU32" s="207"/>
      <c r="HV32" s="207"/>
      <c r="HW32" s="207"/>
      <c r="HX32" s="207"/>
      <c r="HY32" s="207"/>
      <c r="HZ32" s="207"/>
      <c r="IA32" s="207"/>
      <c r="IB32" s="207"/>
      <c r="IC32" s="207"/>
      <c r="ID32" s="207"/>
      <c r="IE32" s="207"/>
      <c r="IF32" s="207"/>
      <c r="IG32" s="207"/>
      <c r="IH32" s="207"/>
      <c r="II32" s="207"/>
      <c r="IJ32" s="207"/>
      <c r="IK32" s="207"/>
      <c r="IL32" s="207"/>
      <c r="IM32" s="207"/>
      <c r="IN32" s="207"/>
      <c r="IO32" s="207"/>
      <c r="IP32" s="207"/>
      <c r="IQ32" s="207"/>
      <c r="IR32" s="207"/>
      <c r="IS32" s="207"/>
      <c r="IT32" s="207"/>
      <c r="IU32" s="207"/>
      <c r="IV32" s="207"/>
      <c r="IW32" s="207"/>
      <c r="IX32" s="207"/>
      <c r="IY32" s="32">
        <v>1</v>
      </c>
      <c r="IZ32" s="44">
        <f>(TEXT(K32,"[m]")/60)*VLOOKUP(IY32,'Income Person-hours'!A$2:C$5,3,FALSE)</f>
        <v>0</v>
      </c>
      <c r="JA32" s="124"/>
      <c r="JB32" s="124">
        <v>0.33333333333333331</v>
      </c>
      <c r="JC32" s="124"/>
      <c r="JD32" s="232">
        <f>SUM((TEXT(JA32,"[M]")/60)*'Income Person-hours'!$D$3,(TEXT(JB32,"[M]")/60)*'Income Person-hours'!$D$4,(TEXT(JC32,"[M]")/60)*'Income Person-hours'!$D$5)</f>
        <v>7328000</v>
      </c>
    </row>
    <row r="33" spans="1:264" s="231" customFormat="1" ht="15.75" x14ac:dyDescent="0.45">
      <c r="A33" s="214">
        <v>2.2000000000000002</v>
      </c>
      <c r="B33" s="118" t="s">
        <v>179</v>
      </c>
      <c r="C33" s="119" t="s">
        <v>153</v>
      </c>
      <c r="D33" s="209" t="str">
        <f>IF(OR(j_WEEKDAY(J_ADDDAY(VLOOKUP(I33,A:F,6,FALSE),H33,1),0)=6,SUMIFS(Holieday[ok],Holieday[date],J_ADDDAY(VLOOKUP(I33,A:F,6,FALSE),H33,1)))=FALSE(),J_ADDDAY(VLOOKUP(I33,A:F,6,FALSE),H33,1),IF(OR(j_WEEKDAY(J_ADDDAY(VLOOKUP(I33,A:F,6,FALSE),H33+1,1),0)=6,SUMIFS(Holieday[ok],Holieday[date],J_ADDDAY(VLOOKUP(I33,A:F,6,FALSE),H33+1,1)))=FALSE(),J_ADDDAY(VLOOKUP(I33,A:F,6,FALSE),H33+1,1),IF(OR(j_WEEKDAY(J_ADDDAY(VLOOKUP(I33,A:F,6,FALSE),H33+2,1),0)=6,SUMIFS(Holieday[ok],Holieday[date],J_ADDDAY(VLOOKUP(I33,A:F,6,FALSE),H33+2,1)))=FALSE(),J_ADDDAY(VLOOKUP(I33,A:F,6,FALSE),H33+2,1),IF(OR(j_WEEKDAY(J_ADDDAY(VLOOKUP(I33,A:F,6,FALSE),H33+3,1),0)=6,SUMIFS(Holieday[ok],Holieday[date],J_ADDDAY(VLOOKUP(I33,A:F,6,FALSE),H33+3,1)))=FALSE(),J_ADDDAY(VLOOKUP(I33,A:F,6,FALSE),H33+3,1),IF(OR(j_WEEKDAY(J_ADDDAY(VLOOKUP(I33,A:F,6,FALSE),H33+4,1),0)=6,SUMIFS(Holieday[ok],Holieday[date],J_ADDDAY(VLOOKUP(I33,A:F,6,FALSE),H33+4,1)))=FALSE(),J_ADDDAY(VLOOKUP(I33,A:F,6,FALSE),H33+4,1),J_ADDDAY(VLOOKUP(I33,A:F,6,FALSE),H33+5,1))))))</f>
        <v>1398/06/04</v>
      </c>
      <c r="E33" s="198">
        <f t="shared" si="4"/>
        <v>13980604</v>
      </c>
      <c r="F33" s="209" t="str">
        <f>IF(N33=0,J_SUBDAY(D33,1,1),IF((N33-(NETWORKDAYS.INTL(J_GregorianDate(D33,1),J_GregorianDate(J_SUBDAY(J_ADDDAY(D33,N33,1),1,1),1),16,1)))+SUMIFS(Holieday[ok],Holieday[date],CONCATENATE("&gt;","=",D33),Holieday[date],CONCATENATE("&lt;","=",J_SUBDAY(J_ADDDAY(D33,N33,1),1,1)))-SUMIFS(Holieday[Friday],Holieday[date],CONCATENATE("&gt;","=",D33),Holieday[date],CONCATENATE("&lt;","=",J_SUBDAY(J_ADDDAY(D33,N33,1),1,1)))=0,J_SUBDAY(J_ADDDAY(D33,N33,1),1,1),IF((N33+1-(NETWORKDAYS.INTL(J_GregorianDate(D33,1),J_GregorianDate(J_SUBDAY(J_ADDDAY(D33,N33+1,1),1,1),1),16,1)))+SUMIFS(Holieday[ok],Holieday[date],CONCATENATE("&gt;","=",D33),Holieday[date],CONCATENATE("&lt;","=",J_SUBDAY(J_ADDDAY(D33,N33+1,1),1,1)))-SUMIFS(Holieday[Friday],Holieday[date],CONCATENATE("&gt;","=",D33),Holieday[date],CONCATENATE("&lt;","=",J_SUBDAY(J_ADDDAY(D33,N33+1,1),1,1)))=1,J_SUBDAY(J_ADDDAY(D33,N33+1,1),1,1),IF((N33+2-(NETWORKDAYS.INTL(J_GregorianDate(D33,1),J_GregorianDate(J_SUBDAY(J_ADDDAY(D33,N33+2,1),1,1),1),16,1)))+SUMIFS(Holieday[ok],Holieday[date],CONCATENATE("&gt;","=",D33),Holieday[date],CONCATENATE("&lt;","=",J_SUBDAY(J_ADDDAY(D33,N33+2,1),1,1)))-SUMIFS(Holieday[Friday],Holieday[date],CONCATENATE("&gt;","=",D33),Holieday[date],CONCATENATE("&lt;","=",J_SUBDAY(J_ADDDAY(D33,N33+2,1),1,1)))=2,J_SUBDAY(J_ADDDAY(D33,N33+2,1),1,1),IF((N33+3-(NETWORKDAYS.INTL(J_GregorianDate(D33,1),J_GregorianDate(J_SUBDAY(J_ADDDAY(D33,N33+3,1),1,1),1),16,1)))+SUMIFS(Holieday[ok],Holieday[date],CONCATENATE("&gt;","=",D33),Holieday[date],CONCATENATE("&lt;","=",J_SUBDAY(J_ADDDAY(D33,N33+3,1),1,1)))-SUMIFS(Holieday[Friday],Holieday[date],CONCATENATE("&gt;","=",D33),Holieday[date],CONCATENATE("&lt;","=",J_SUBDAY(J_ADDDAY(D33,N33+3,1),1,1)))=3,J_SUBDAY(J_ADDDAY(D33,N33+3,1),1,1),IF((N33+4-(NETWORKDAYS.INTL(J_GregorianDate(D33,1),J_GregorianDate(J_SUBDAY(J_ADDDAY(D33,N33+4,1),1,1),1),16,1)))+SUMIFS(Holieday[ok],Holieday[date],CONCATENATE("&gt;","=",D33),Holieday[date],CONCATENATE("&lt;","=",J_SUBDAY(J_ADDDAY(D33,N33+4,1),1,1)))-SUMIFS(Holieday[Friday],Holieday[date],CONCATENATE("&gt;","=",D33),Holieday[date],CONCATENATE("&lt;","=",J_SUBDAY(J_ADDDAY(D33,N33+4,1),1,1)))=4,J_SUBDAY(J_ADDDAY(D33,N33+4,1),1,1),IF((N33+5-(NETWORKDAYS.INTL(J_GregorianDate(D33,1),J_GregorianDate(J_SUBDAY(J_ADDDAY(D33,N33+5,1),1,1),1),16,1)))+SUMIFS(Holieday[ok],Holieday[date],CONCATENATE("&gt;","=",D33),Holieday[date],CONCATENATE("&lt;","=",J_SUBDAY(J_ADDDAY(D33,N33+5,1),1,1)))-SUMIFS(Holieday[Friday],Holieday[date],CONCATENATE("&gt;","=",D33),Holieday[date],CONCATENATE("&lt;","=",J_SUBDAY(J_ADDDAY(D33,N33+5,1),1,1)))=5,J_SUBDAY(J_ADDDAY(D33,N33+5,1),1,1),J_SUBDAY(J_ADDDAY(D33,N33+6,1),1,1))))))))</f>
        <v>1398/06/04</v>
      </c>
      <c r="G33" s="201">
        <f t="shared" si="5"/>
        <v>13980604</v>
      </c>
      <c r="H33" s="121">
        <v>0</v>
      </c>
      <c r="I33" s="122">
        <v>2.1</v>
      </c>
      <c r="J33" s="209" t="str">
        <f>j_WEEKDAY(D33,1)</f>
        <v>دوشنبه</v>
      </c>
      <c r="K33" s="211">
        <f t="shared" si="11"/>
        <v>0.33333333333333331</v>
      </c>
      <c r="L33" s="212">
        <f t="shared" si="12"/>
        <v>1</v>
      </c>
      <c r="M33" s="123">
        <v>1</v>
      </c>
      <c r="N33" s="120">
        <v>1</v>
      </c>
      <c r="O33" s="213">
        <f t="shared" ref="O33:O52" si="13">ROUNDDOWN(M33*L33,0)</f>
        <v>1</v>
      </c>
      <c r="P33" s="213">
        <f>VALUE(J_normdate(J_ADDDAY($D33,$O33,1)))</f>
        <v>13980605</v>
      </c>
      <c r="Q33" s="209">
        <f t="shared" ref="Q33:Q74" si="14">L33-O33</f>
        <v>0</v>
      </c>
      <c r="R33" s="207"/>
      <c r="S33" s="207"/>
      <c r="T33" s="207"/>
      <c r="U33" s="207"/>
      <c r="V33" s="207"/>
      <c r="W33" s="207"/>
      <c r="X33" s="207"/>
      <c r="Y33" s="207"/>
      <c r="Z33" s="207"/>
      <c r="AA33" s="207"/>
      <c r="AB33" s="207"/>
      <c r="AC33" s="207"/>
      <c r="AD33" s="207"/>
      <c r="AE33" s="207"/>
      <c r="AF33" s="207"/>
      <c r="AG33" s="207"/>
      <c r="AH33" s="207"/>
      <c r="AI33" s="207"/>
      <c r="AJ33" s="207"/>
      <c r="AK33" s="207"/>
      <c r="AL33" s="207"/>
      <c r="AM33" s="207"/>
      <c r="AN33" s="207"/>
      <c r="AO33" s="207"/>
      <c r="AP33" s="207"/>
      <c r="AQ33" s="207"/>
      <c r="AR33" s="207"/>
      <c r="AS33" s="207"/>
      <c r="AT33" s="207"/>
      <c r="AU33" s="207"/>
      <c r="AV33" s="207"/>
      <c r="AW33" s="207"/>
      <c r="AX33" s="207"/>
      <c r="AY33" s="207"/>
      <c r="AZ33" s="207"/>
      <c r="BA33" s="207"/>
      <c r="BB33" s="207"/>
      <c r="BC33" s="207"/>
      <c r="BD33" s="207"/>
      <c r="BE33" s="207"/>
      <c r="BF33" s="207"/>
      <c r="BG33" s="207"/>
      <c r="BH33" s="207"/>
      <c r="BI33" s="207"/>
      <c r="BJ33" s="207"/>
      <c r="BK33" s="207"/>
      <c r="BL33" s="207"/>
      <c r="BM33" s="207"/>
      <c r="BN33" s="207"/>
      <c r="BO33" s="207"/>
      <c r="BP33" s="207"/>
      <c r="BQ33" s="207"/>
      <c r="BR33" s="207"/>
      <c r="BS33" s="207"/>
      <c r="BT33" s="207"/>
      <c r="BU33" s="207"/>
      <c r="BV33" s="207"/>
      <c r="BW33" s="207"/>
      <c r="BX33" s="207"/>
      <c r="BY33" s="207"/>
      <c r="BZ33" s="207"/>
      <c r="CA33" s="207"/>
      <c r="CB33" s="207"/>
      <c r="CC33" s="207"/>
      <c r="CD33" s="207"/>
      <c r="CE33" s="207"/>
      <c r="CF33" s="207"/>
      <c r="CG33" s="207"/>
      <c r="CH33" s="207"/>
      <c r="CI33" s="207"/>
      <c r="CJ33" s="207"/>
      <c r="CK33" s="207"/>
      <c r="CL33" s="207"/>
      <c r="CM33" s="207"/>
      <c r="CN33" s="207"/>
      <c r="CO33" s="207"/>
      <c r="CP33" s="207"/>
      <c r="CQ33" s="207"/>
      <c r="CR33" s="207"/>
      <c r="CS33" s="207"/>
      <c r="CT33" s="207"/>
      <c r="CU33" s="207"/>
      <c r="CV33" s="207"/>
      <c r="CW33" s="207"/>
      <c r="CX33" s="207"/>
      <c r="CY33" s="207"/>
      <c r="CZ33" s="207"/>
      <c r="DA33" s="207"/>
      <c r="DB33" s="207"/>
      <c r="DC33" s="207"/>
      <c r="DD33" s="207"/>
      <c r="DE33" s="207"/>
      <c r="DF33" s="207"/>
      <c r="DG33" s="207"/>
      <c r="DH33" s="207"/>
      <c r="DI33" s="207"/>
      <c r="DJ33" s="207"/>
      <c r="DK33" s="207"/>
      <c r="DL33" s="207"/>
      <c r="DM33" s="207"/>
      <c r="DN33" s="207"/>
      <c r="DO33" s="207"/>
      <c r="DP33" s="207"/>
      <c r="DQ33" s="207"/>
      <c r="DR33" s="207"/>
      <c r="DS33" s="207"/>
      <c r="DT33" s="207"/>
      <c r="DU33" s="207"/>
      <c r="DV33" s="207"/>
      <c r="DW33" s="207"/>
      <c r="DX33" s="207"/>
      <c r="DY33" s="207"/>
      <c r="DZ33" s="207"/>
      <c r="EA33" s="207"/>
      <c r="EB33" s="207"/>
      <c r="EC33" s="207"/>
      <c r="ED33" s="207"/>
      <c r="EE33" s="207"/>
      <c r="EF33" s="207"/>
      <c r="EG33" s="207"/>
      <c r="EH33" s="207"/>
      <c r="EI33" s="207"/>
      <c r="EJ33" s="207"/>
      <c r="EK33" s="207"/>
      <c r="EL33" s="207"/>
      <c r="EM33" s="207"/>
      <c r="EN33" s="207"/>
      <c r="EO33" s="207"/>
      <c r="EP33" s="207"/>
      <c r="EQ33" s="207"/>
      <c r="ER33" s="207"/>
      <c r="ES33" s="207"/>
      <c r="ET33" s="207"/>
      <c r="EU33" s="207"/>
      <c r="EV33" s="207"/>
      <c r="EW33" s="207"/>
      <c r="EX33" s="207"/>
      <c r="EY33" s="207"/>
      <c r="EZ33" s="207"/>
      <c r="FA33" s="207"/>
      <c r="FB33" s="207"/>
      <c r="FC33" s="207"/>
      <c r="FD33" s="207"/>
      <c r="FE33" s="207"/>
      <c r="FF33" s="207"/>
      <c r="FG33" s="207"/>
      <c r="FH33" s="207"/>
      <c r="FI33" s="207"/>
      <c r="FJ33" s="207"/>
      <c r="FK33" s="207"/>
      <c r="FL33" s="207"/>
      <c r="FM33" s="207"/>
      <c r="FN33" s="207"/>
      <c r="FO33" s="207"/>
      <c r="FP33" s="207"/>
      <c r="FQ33" s="207"/>
      <c r="FR33" s="207"/>
      <c r="FS33" s="207"/>
      <c r="FT33" s="207"/>
      <c r="FU33" s="207"/>
      <c r="FV33" s="207"/>
      <c r="FW33" s="207"/>
      <c r="FX33" s="207"/>
      <c r="FY33" s="207"/>
      <c r="FZ33" s="207"/>
      <c r="GA33" s="207"/>
      <c r="GB33" s="207"/>
      <c r="GC33" s="207"/>
      <c r="GD33" s="207"/>
      <c r="GE33" s="207"/>
      <c r="GF33" s="207"/>
      <c r="GG33" s="207"/>
      <c r="GH33" s="207"/>
      <c r="GI33" s="207"/>
      <c r="GJ33" s="207"/>
      <c r="GK33" s="207"/>
      <c r="GL33" s="207"/>
      <c r="GM33" s="207"/>
      <c r="GN33" s="207"/>
      <c r="GO33" s="207"/>
      <c r="GP33" s="207"/>
      <c r="GQ33" s="207"/>
      <c r="GR33" s="207"/>
      <c r="GS33" s="207"/>
      <c r="GT33" s="207"/>
      <c r="GU33" s="207"/>
      <c r="GV33" s="207"/>
      <c r="GW33" s="207"/>
      <c r="GX33" s="207"/>
      <c r="GY33" s="207"/>
      <c r="GZ33" s="207"/>
      <c r="HA33" s="207"/>
      <c r="HB33" s="207"/>
      <c r="HC33" s="207"/>
      <c r="HD33" s="207"/>
      <c r="HE33" s="207"/>
      <c r="HF33" s="207"/>
      <c r="HG33" s="207"/>
      <c r="HH33" s="207"/>
      <c r="HI33" s="207"/>
      <c r="HJ33" s="207"/>
      <c r="HK33" s="207"/>
      <c r="HL33" s="207"/>
      <c r="HM33" s="207"/>
      <c r="HN33" s="207"/>
      <c r="HO33" s="207"/>
      <c r="HP33" s="207"/>
      <c r="HQ33" s="207"/>
      <c r="HR33" s="207"/>
      <c r="HS33" s="207"/>
      <c r="HT33" s="207"/>
      <c r="HU33" s="207"/>
      <c r="HV33" s="207"/>
      <c r="HW33" s="207"/>
      <c r="HX33" s="207"/>
      <c r="HY33" s="207"/>
      <c r="HZ33" s="207"/>
      <c r="IA33" s="207"/>
      <c r="IB33" s="207"/>
      <c r="IC33" s="207"/>
      <c r="ID33" s="207"/>
      <c r="IE33" s="207"/>
      <c r="IF33" s="207"/>
      <c r="IG33" s="207"/>
      <c r="IH33" s="207"/>
      <c r="II33" s="207"/>
      <c r="IJ33" s="207"/>
      <c r="IK33" s="207"/>
      <c r="IL33" s="207"/>
      <c r="IM33" s="207"/>
      <c r="IN33" s="207"/>
      <c r="IO33" s="207"/>
      <c r="IP33" s="207"/>
      <c r="IQ33" s="207"/>
      <c r="IR33" s="207"/>
      <c r="IS33" s="207"/>
      <c r="IT33" s="207"/>
      <c r="IU33" s="207"/>
      <c r="IV33" s="207"/>
      <c r="IW33" s="207"/>
      <c r="IX33" s="207"/>
      <c r="IY33" s="32">
        <v>1</v>
      </c>
      <c r="IZ33" s="44">
        <f>(TEXT(K33,"[m]")/60)*VLOOKUP(IY33,'Income Person-hours'!A$2:C$5,3,FALSE)</f>
        <v>0</v>
      </c>
      <c r="JA33" s="124"/>
      <c r="JB33" s="124"/>
      <c r="JC33" s="124">
        <v>0.33333333333333331</v>
      </c>
      <c r="JD33" s="232">
        <f>SUM((TEXT(JA33,"[M]")/60)*'Income Person-hours'!$D$3,(TEXT(JB33,"[M]")/60)*'Income Person-hours'!$D$4,(TEXT(JC33,"[M]")/60)*'Income Person-hours'!$D$5)</f>
        <v>4440000</v>
      </c>
    </row>
    <row r="34" spans="1:264" s="231" customFormat="1" ht="15.75" x14ac:dyDescent="0.45">
      <c r="A34" s="214">
        <v>2.2999999999999998</v>
      </c>
      <c r="B34" s="118" t="s">
        <v>180</v>
      </c>
      <c r="C34" s="119" t="s">
        <v>155</v>
      </c>
      <c r="D34" s="208" t="str">
        <f>IF(OR(j_WEEKDAY(J_ADDDAY(VLOOKUP(I34,A:F,6,FALSE),H34,1),0)=6,SUMIFS(Holieday[ok],Holieday[date],J_ADDDAY(VLOOKUP(I34,A:F,6,FALSE),H34,1)))=FALSE(),J_ADDDAY(VLOOKUP(I34,A:F,6,FALSE),H34,1),IF(OR(j_WEEKDAY(J_ADDDAY(VLOOKUP(I34,A:F,6,FALSE),H34+1,1),0)=6,SUMIFS(Holieday[ok],Holieday[date],J_ADDDAY(VLOOKUP(I34,A:F,6,FALSE),H34+1,1)))=FALSE(),J_ADDDAY(VLOOKUP(I34,A:F,6,FALSE),H34+1,1),IF(OR(j_WEEKDAY(J_ADDDAY(VLOOKUP(I34,A:F,6,FALSE),H34+2,1),0)=6,SUMIFS(Holieday[ok],Holieday[date],J_ADDDAY(VLOOKUP(I34,A:F,6,FALSE),H34+2,1)))=FALSE(),J_ADDDAY(VLOOKUP(I34,A:F,6,FALSE),H34+2,1),IF(OR(j_WEEKDAY(J_ADDDAY(VLOOKUP(I34,A:F,6,FALSE),H34+3,1),0)=6,SUMIFS(Holieday[ok],Holieday[date],J_ADDDAY(VLOOKUP(I34,A:F,6,FALSE),H34+3,1)))=FALSE(),J_ADDDAY(VLOOKUP(I34,A:F,6,FALSE),H34+3,1),IF(OR(j_WEEKDAY(J_ADDDAY(VLOOKUP(I34,A:F,6,FALSE),H34+4,1),0)=6,SUMIFS(Holieday[ok],Holieday[date],J_ADDDAY(VLOOKUP(I34,A:F,6,FALSE),H34+4,1)))=FALSE(),J_ADDDAY(VLOOKUP(I34,A:F,6,FALSE),H34+4,1),J_ADDDAY(VLOOKUP(I34,A:F,6,FALSE),H34+5,1))))))</f>
        <v>1398/06/03</v>
      </c>
      <c r="E34" s="198">
        <f t="shared" si="4"/>
        <v>13980603</v>
      </c>
      <c r="F34" s="209" t="str">
        <f>IF(N34=0,J_SUBDAY(D34,1,1),IF((N34-(NETWORKDAYS.INTL(J_GregorianDate(D34,1),J_GregorianDate(J_SUBDAY(J_ADDDAY(D34,N34,1),1,1),1),16,1)))+SUMIFS(Holieday[ok],Holieday[date],CONCATENATE("&gt;","=",D34),Holieday[date],CONCATENATE("&lt;","=",J_SUBDAY(J_ADDDAY(D34,N34,1),1,1)))-SUMIFS(Holieday[Friday],Holieday[date],CONCATENATE("&gt;","=",D34),Holieday[date],CONCATENATE("&lt;","=",J_SUBDAY(J_ADDDAY(D34,N34,1),1,1)))=0,J_SUBDAY(J_ADDDAY(D34,N34,1),1,1),IF((N34+1-(NETWORKDAYS.INTL(J_GregorianDate(D34,1),J_GregorianDate(J_SUBDAY(J_ADDDAY(D34,N34+1,1),1,1),1),16,1)))+SUMIFS(Holieday[ok],Holieday[date],CONCATENATE("&gt;","=",D34),Holieday[date],CONCATENATE("&lt;","=",J_SUBDAY(J_ADDDAY(D34,N34+1,1),1,1)))-SUMIFS(Holieday[Friday],Holieday[date],CONCATENATE("&gt;","=",D34),Holieday[date],CONCATENATE("&lt;","=",J_SUBDAY(J_ADDDAY(D34,N34+1,1),1,1)))=1,J_SUBDAY(J_ADDDAY(D34,N34+1,1),1,1),IF((N34+2-(NETWORKDAYS.INTL(J_GregorianDate(D34,1),J_GregorianDate(J_SUBDAY(J_ADDDAY(D34,N34+2,1),1,1),1),16,1)))+SUMIFS(Holieday[ok],Holieday[date],CONCATENATE("&gt;","=",D34),Holieday[date],CONCATENATE("&lt;","=",J_SUBDAY(J_ADDDAY(D34,N34+2,1),1,1)))-SUMIFS(Holieday[Friday],Holieday[date],CONCATENATE("&gt;","=",D34),Holieday[date],CONCATENATE("&lt;","=",J_SUBDAY(J_ADDDAY(D34,N34+2,1),1,1)))=2,J_SUBDAY(J_ADDDAY(D34,N34+2,1),1,1),IF((N34+3-(NETWORKDAYS.INTL(J_GregorianDate(D34,1),J_GregorianDate(J_SUBDAY(J_ADDDAY(D34,N34+3,1),1,1),1),16,1)))+SUMIFS(Holieday[ok],Holieday[date],CONCATENATE("&gt;","=",D34),Holieday[date],CONCATENATE("&lt;","=",J_SUBDAY(J_ADDDAY(D34,N34+3,1),1,1)))-SUMIFS(Holieday[Friday],Holieday[date],CONCATENATE("&gt;","=",D34),Holieday[date],CONCATENATE("&lt;","=",J_SUBDAY(J_ADDDAY(D34,N34+3,1),1,1)))=3,J_SUBDAY(J_ADDDAY(D34,N34+3,1),1,1),IF((N34+4-(NETWORKDAYS.INTL(J_GregorianDate(D34,1),J_GregorianDate(J_SUBDAY(J_ADDDAY(D34,N34+4,1),1,1),1),16,1)))+SUMIFS(Holieday[ok],Holieday[date],CONCATENATE("&gt;","=",D34),Holieday[date],CONCATENATE("&lt;","=",J_SUBDAY(J_ADDDAY(D34,N34+4,1),1,1)))-SUMIFS(Holieday[Friday],Holieday[date],CONCATENATE("&gt;","=",D34),Holieday[date],CONCATENATE("&lt;","=",J_SUBDAY(J_ADDDAY(D34,N34+4,1),1,1)))=4,J_SUBDAY(J_ADDDAY(D34,N34+4,1),1,1),IF((N34+5-(NETWORKDAYS.INTL(J_GregorianDate(D34,1),J_GregorianDate(J_SUBDAY(J_ADDDAY(D34,N34+5,1),1,1),1),16,1)))+SUMIFS(Holieday[ok],Holieday[date],CONCATENATE("&gt;","=",D34),Holieday[date],CONCATENATE("&lt;","=",J_SUBDAY(J_ADDDAY(D34,N34+5,1),1,1)))-SUMIFS(Holieday[Friday],Holieday[date],CONCATENATE("&gt;","=",D34),Holieday[date],CONCATENATE("&lt;","=",J_SUBDAY(J_ADDDAY(D34,N34+5,1),1,1)))=5,J_SUBDAY(J_ADDDAY(D34,N34+5,1),1,1),J_SUBDAY(J_ADDDAY(D34,N34+6,1),1,1))))))))</f>
        <v>1398/06/03</v>
      </c>
      <c r="G34" s="201">
        <f t="shared" si="5"/>
        <v>13980603</v>
      </c>
      <c r="H34" s="121">
        <v>0</v>
      </c>
      <c r="I34" s="122">
        <v>1.2</v>
      </c>
      <c r="J34" s="209" t="str">
        <f>j_WEEKDAY(D34,1)</f>
        <v>يكشنبه</v>
      </c>
      <c r="K34" s="211">
        <f t="shared" si="11"/>
        <v>4.1666666666666664E-2</v>
      </c>
      <c r="L34" s="212">
        <f t="shared" si="12"/>
        <v>1</v>
      </c>
      <c r="M34" s="123">
        <v>1</v>
      </c>
      <c r="N34" s="120">
        <v>1</v>
      </c>
      <c r="O34" s="213">
        <f t="shared" si="13"/>
        <v>1</v>
      </c>
      <c r="P34" s="213">
        <f>VALUE(J_normdate(J_ADDDAY($D34,$O34,1)))</f>
        <v>13980604</v>
      </c>
      <c r="Q34" s="209">
        <f t="shared" si="14"/>
        <v>0</v>
      </c>
      <c r="R34" s="207"/>
      <c r="S34" s="207"/>
      <c r="T34" s="207"/>
      <c r="U34" s="207"/>
      <c r="V34" s="207"/>
      <c r="W34" s="207"/>
      <c r="X34" s="207"/>
      <c r="Y34" s="207"/>
      <c r="Z34" s="207"/>
      <c r="AA34" s="207"/>
      <c r="AB34" s="207"/>
      <c r="AC34" s="207"/>
      <c r="AD34" s="207"/>
      <c r="AE34" s="207"/>
      <c r="AF34" s="207"/>
      <c r="AG34" s="207"/>
      <c r="AH34" s="207"/>
      <c r="AI34" s="207"/>
      <c r="AJ34" s="207"/>
      <c r="AK34" s="207"/>
      <c r="AL34" s="207"/>
      <c r="AM34" s="207"/>
      <c r="AN34" s="207"/>
      <c r="AO34" s="207"/>
      <c r="AP34" s="207"/>
      <c r="AQ34" s="207"/>
      <c r="AR34" s="207"/>
      <c r="AS34" s="207"/>
      <c r="AT34" s="207"/>
      <c r="AU34" s="207"/>
      <c r="AV34" s="207"/>
      <c r="AW34" s="207"/>
      <c r="AX34" s="207"/>
      <c r="AY34" s="207"/>
      <c r="AZ34" s="207"/>
      <c r="BA34" s="207"/>
      <c r="BB34" s="207"/>
      <c r="BC34" s="207"/>
      <c r="BD34" s="207"/>
      <c r="BE34" s="207"/>
      <c r="BF34" s="207"/>
      <c r="BG34" s="207"/>
      <c r="BH34" s="207"/>
      <c r="BI34" s="207"/>
      <c r="BJ34" s="207"/>
      <c r="BK34" s="207"/>
      <c r="BL34" s="207"/>
      <c r="BM34" s="207"/>
      <c r="BN34" s="207"/>
      <c r="BO34" s="207"/>
      <c r="BP34" s="207"/>
      <c r="BQ34" s="207"/>
      <c r="BR34" s="207"/>
      <c r="BS34" s="207"/>
      <c r="BT34" s="207"/>
      <c r="BU34" s="207"/>
      <c r="BV34" s="207"/>
      <c r="BW34" s="207"/>
      <c r="BX34" s="207"/>
      <c r="BY34" s="207"/>
      <c r="BZ34" s="207"/>
      <c r="CA34" s="207"/>
      <c r="CB34" s="207"/>
      <c r="CC34" s="207"/>
      <c r="CD34" s="207"/>
      <c r="CE34" s="207"/>
      <c r="CF34" s="207"/>
      <c r="CG34" s="207"/>
      <c r="CH34" s="207"/>
      <c r="CI34" s="207"/>
      <c r="CJ34" s="207"/>
      <c r="CK34" s="207"/>
      <c r="CL34" s="207"/>
      <c r="CM34" s="207"/>
      <c r="CN34" s="207"/>
      <c r="CO34" s="207"/>
      <c r="CP34" s="207"/>
      <c r="CQ34" s="207"/>
      <c r="CR34" s="207"/>
      <c r="CS34" s="207"/>
      <c r="CT34" s="207"/>
      <c r="CU34" s="207"/>
      <c r="CV34" s="207"/>
      <c r="CW34" s="207"/>
      <c r="CX34" s="207"/>
      <c r="CY34" s="207"/>
      <c r="CZ34" s="207"/>
      <c r="DA34" s="207"/>
      <c r="DB34" s="207"/>
      <c r="DC34" s="207"/>
      <c r="DD34" s="207"/>
      <c r="DE34" s="207"/>
      <c r="DF34" s="207"/>
      <c r="DG34" s="207"/>
      <c r="DH34" s="207"/>
      <c r="DI34" s="207"/>
      <c r="DJ34" s="207"/>
      <c r="DK34" s="207"/>
      <c r="DL34" s="207"/>
      <c r="DM34" s="207"/>
      <c r="DN34" s="207"/>
      <c r="DO34" s="207"/>
      <c r="DP34" s="207"/>
      <c r="DQ34" s="207"/>
      <c r="DR34" s="207"/>
      <c r="DS34" s="207"/>
      <c r="DT34" s="207"/>
      <c r="DU34" s="207"/>
      <c r="DV34" s="207"/>
      <c r="DW34" s="207"/>
      <c r="DX34" s="207"/>
      <c r="DY34" s="207"/>
      <c r="DZ34" s="207"/>
      <c r="EA34" s="207"/>
      <c r="EB34" s="207"/>
      <c r="EC34" s="207"/>
      <c r="ED34" s="207"/>
      <c r="EE34" s="207"/>
      <c r="EF34" s="207"/>
      <c r="EG34" s="207"/>
      <c r="EH34" s="207"/>
      <c r="EI34" s="207"/>
      <c r="EJ34" s="207"/>
      <c r="EK34" s="207"/>
      <c r="EL34" s="207"/>
      <c r="EM34" s="207"/>
      <c r="EN34" s="207"/>
      <c r="EO34" s="207"/>
      <c r="EP34" s="207"/>
      <c r="EQ34" s="207"/>
      <c r="ER34" s="207"/>
      <c r="ES34" s="207"/>
      <c r="ET34" s="207"/>
      <c r="EU34" s="207"/>
      <c r="EV34" s="207"/>
      <c r="EW34" s="207"/>
      <c r="EX34" s="207"/>
      <c r="EY34" s="207"/>
      <c r="EZ34" s="207"/>
      <c r="FA34" s="207"/>
      <c r="FB34" s="207"/>
      <c r="FC34" s="207"/>
      <c r="FD34" s="207"/>
      <c r="FE34" s="207"/>
      <c r="FF34" s="207"/>
      <c r="FG34" s="207"/>
      <c r="FH34" s="207"/>
      <c r="FI34" s="207"/>
      <c r="FJ34" s="207"/>
      <c r="FK34" s="207"/>
      <c r="FL34" s="207"/>
      <c r="FM34" s="207"/>
      <c r="FN34" s="207"/>
      <c r="FO34" s="207"/>
      <c r="FP34" s="207"/>
      <c r="FQ34" s="207"/>
      <c r="FR34" s="207"/>
      <c r="FS34" s="207"/>
      <c r="FT34" s="207"/>
      <c r="FU34" s="207"/>
      <c r="FV34" s="207"/>
      <c r="FW34" s="207"/>
      <c r="FX34" s="207"/>
      <c r="FY34" s="207"/>
      <c r="FZ34" s="207"/>
      <c r="GA34" s="207"/>
      <c r="GB34" s="207"/>
      <c r="GC34" s="207"/>
      <c r="GD34" s="207"/>
      <c r="GE34" s="207"/>
      <c r="GF34" s="207"/>
      <c r="GG34" s="207"/>
      <c r="GH34" s="207"/>
      <c r="GI34" s="207"/>
      <c r="GJ34" s="207"/>
      <c r="GK34" s="207"/>
      <c r="GL34" s="207"/>
      <c r="GM34" s="207"/>
      <c r="GN34" s="207"/>
      <c r="GO34" s="207"/>
      <c r="GP34" s="207"/>
      <c r="GQ34" s="207"/>
      <c r="GR34" s="207"/>
      <c r="GS34" s="207"/>
      <c r="GT34" s="207"/>
      <c r="GU34" s="207"/>
      <c r="GV34" s="207"/>
      <c r="GW34" s="207"/>
      <c r="GX34" s="207"/>
      <c r="GY34" s="207"/>
      <c r="GZ34" s="207"/>
      <c r="HA34" s="207"/>
      <c r="HB34" s="207"/>
      <c r="HC34" s="207"/>
      <c r="HD34" s="207"/>
      <c r="HE34" s="207"/>
      <c r="HF34" s="207"/>
      <c r="HG34" s="207"/>
      <c r="HH34" s="207"/>
      <c r="HI34" s="207"/>
      <c r="HJ34" s="207"/>
      <c r="HK34" s="207"/>
      <c r="HL34" s="207"/>
      <c r="HM34" s="207"/>
      <c r="HN34" s="207"/>
      <c r="HO34" s="207"/>
      <c r="HP34" s="207"/>
      <c r="HQ34" s="207"/>
      <c r="HR34" s="207"/>
      <c r="HS34" s="207"/>
      <c r="HT34" s="207"/>
      <c r="HU34" s="207"/>
      <c r="HV34" s="207"/>
      <c r="HW34" s="207"/>
      <c r="HX34" s="207"/>
      <c r="HY34" s="207"/>
      <c r="HZ34" s="207"/>
      <c r="IA34" s="207"/>
      <c r="IB34" s="207"/>
      <c r="IC34" s="207"/>
      <c r="ID34" s="207"/>
      <c r="IE34" s="207"/>
      <c r="IF34" s="207"/>
      <c r="IG34" s="207"/>
      <c r="IH34" s="207"/>
      <c r="II34" s="207"/>
      <c r="IJ34" s="207"/>
      <c r="IK34" s="207"/>
      <c r="IL34" s="207"/>
      <c r="IM34" s="207"/>
      <c r="IN34" s="207"/>
      <c r="IO34" s="207"/>
      <c r="IP34" s="207"/>
      <c r="IQ34" s="207"/>
      <c r="IR34" s="207"/>
      <c r="IS34" s="207"/>
      <c r="IT34" s="207"/>
      <c r="IU34" s="207"/>
      <c r="IV34" s="207"/>
      <c r="IW34" s="207"/>
      <c r="IX34" s="207"/>
      <c r="IY34" s="32">
        <v>2</v>
      </c>
      <c r="IZ34" s="44">
        <f>(TEXT(K34,"[m]")/60)*VLOOKUP(IY34,'Income Person-hours'!A$2:C$5,3,FALSE)</f>
        <v>0</v>
      </c>
      <c r="JA34" s="124"/>
      <c r="JB34" s="124"/>
      <c r="JC34" s="124">
        <v>4.1666666666666664E-2</v>
      </c>
      <c r="JD34" s="232">
        <f>SUM((TEXT(JA34,"[M]")/60)*'Income Person-hours'!$D$3,(TEXT(JB34,"[M]")/60)*'Income Person-hours'!$D$4,(TEXT(JC34,"[M]")/60)*'Income Person-hours'!$D$5)</f>
        <v>555000</v>
      </c>
    </row>
    <row r="35" spans="1:264" s="231" customFormat="1" ht="15.75" x14ac:dyDescent="0.45">
      <c r="A35" s="214">
        <v>2.4</v>
      </c>
      <c r="B35" s="118" t="s">
        <v>181</v>
      </c>
      <c r="C35" s="119" t="s">
        <v>157</v>
      </c>
      <c r="D35" s="208" t="str">
        <f>IF(OR(j_WEEKDAY(J_ADDDAY(VLOOKUP(I35,A:F,6,FALSE),H35,1),0)=6,SUMIFS(Holieday[ok],Holieday[date],J_ADDDAY(VLOOKUP(I35,A:F,6,FALSE),H35,1)))=FALSE(),J_ADDDAY(VLOOKUP(I35,A:F,6,FALSE),H35,1),IF(OR(j_WEEKDAY(J_ADDDAY(VLOOKUP(I35,A:F,6,FALSE),H35+1,1),0)=6,SUMIFS(Holieday[ok],Holieday[date],J_ADDDAY(VLOOKUP(I35,A:F,6,FALSE),H35+1,1)))=FALSE(),J_ADDDAY(VLOOKUP(I35,A:F,6,FALSE),H35+1,1),IF(OR(j_WEEKDAY(J_ADDDAY(VLOOKUP(I35,A:F,6,FALSE),H35+2,1),0)=6,SUMIFS(Holieday[ok],Holieday[date],J_ADDDAY(VLOOKUP(I35,A:F,6,FALSE),H35+2,1)))=FALSE(),J_ADDDAY(VLOOKUP(I35,A:F,6,FALSE),H35+2,1),IF(OR(j_WEEKDAY(J_ADDDAY(VLOOKUP(I35,A:F,6,FALSE),H35+3,1),0)=6,SUMIFS(Holieday[ok],Holieday[date],J_ADDDAY(VLOOKUP(I35,A:F,6,FALSE),H35+3,1)))=FALSE(),J_ADDDAY(VLOOKUP(I35,A:F,6,FALSE),H35+3,1),IF(OR(j_WEEKDAY(J_ADDDAY(VLOOKUP(I35,A:F,6,FALSE),H35+4,1),0)=6,SUMIFS(Holieday[ok],Holieday[date],J_ADDDAY(VLOOKUP(I35,A:F,6,FALSE),H35+4,1)))=FALSE(),J_ADDDAY(VLOOKUP(I35,A:F,6,FALSE),H35+4,1),J_ADDDAY(VLOOKUP(I35,A:F,6,FALSE),H35+5,1))))))</f>
        <v>1398/06/21</v>
      </c>
      <c r="E35" s="198">
        <f t="shared" si="4"/>
        <v>13980621</v>
      </c>
      <c r="F35" s="209" t="str">
        <f>IF(N35=0,J_SUBDAY(D35,1,1),IF((N35-(NETWORKDAYS.INTL(J_GregorianDate(D35,1),J_GregorianDate(J_SUBDAY(J_ADDDAY(D35,N35,1),1,1),1),16,1)))+SUMIFS(Holieday[ok],Holieday[date],CONCATENATE("&gt;","=",D35),Holieday[date],CONCATENATE("&lt;","=",J_SUBDAY(J_ADDDAY(D35,N35,1),1,1)))-SUMIFS(Holieday[Friday],Holieday[date],CONCATENATE("&gt;","=",D35),Holieday[date],CONCATENATE("&lt;","=",J_SUBDAY(J_ADDDAY(D35,N35,1),1,1)))=0,J_SUBDAY(J_ADDDAY(D35,N35,1),1,1),IF((N35+1-(NETWORKDAYS.INTL(J_GregorianDate(D35,1),J_GregorianDate(J_SUBDAY(J_ADDDAY(D35,N35+1,1),1,1),1),16,1)))+SUMIFS(Holieday[ok],Holieday[date],CONCATENATE("&gt;","=",D35),Holieday[date],CONCATENATE("&lt;","=",J_SUBDAY(J_ADDDAY(D35,N35+1,1),1,1)))-SUMIFS(Holieday[Friday],Holieday[date],CONCATENATE("&gt;","=",D35),Holieday[date],CONCATENATE("&lt;","=",J_SUBDAY(J_ADDDAY(D35,N35+1,1),1,1)))=1,J_SUBDAY(J_ADDDAY(D35,N35+1,1),1,1),IF((N35+2-(NETWORKDAYS.INTL(J_GregorianDate(D35,1),J_GregorianDate(J_SUBDAY(J_ADDDAY(D35,N35+2,1),1,1),1),16,1)))+SUMIFS(Holieday[ok],Holieday[date],CONCATENATE("&gt;","=",D35),Holieday[date],CONCATENATE("&lt;","=",J_SUBDAY(J_ADDDAY(D35,N35+2,1),1,1)))-SUMIFS(Holieday[Friday],Holieday[date],CONCATENATE("&gt;","=",D35),Holieday[date],CONCATENATE("&lt;","=",J_SUBDAY(J_ADDDAY(D35,N35+2,1),1,1)))=2,J_SUBDAY(J_ADDDAY(D35,N35+2,1),1,1),IF((N35+3-(NETWORKDAYS.INTL(J_GregorianDate(D35,1),J_GregorianDate(J_SUBDAY(J_ADDDAY(D35,N35+3,1),1,1),1),16,1)))+SUMIFS(Holieday[ok],Holieday[date],CONCATENATE("&gt;","=",D35),Holieday[date],CONCATENATE("&lt;","=",J_SUBDAY(J_ADDDAY(D35,N35+3,1),1,1)))-SUMIFS(Holieday[Friday],Holieday[date],CONCATENATE("&gt;","=",D35),Holieday[date],CONCATENATE("&lt;","=",J_SUBDAY(J_ADDDAY(D35,N35+3,1),1,1)))=3,J_SUBDAY(J_ADDDAY(D35,N35+3,1),1,1),IF((N35+4-(NETWORKDAYS.INTL(J_GregorianDate(D35,1),J_GregorianDate(J_SUBDAY(J_ADDDAY(D35,N35+4,1),1,1),1),16,1)))+SUMIFS(Holieday[ok],Holieday[date],CONCATENATE("&gt;","=",D35),Holieday[date],CONCATENATE("&lt;","=",J_SUBDAY(J_ADDDAY(D35,N35+4,1),1,1)))-SUMIFS(Holieday[Friday],Holieday[date],CONCATENATE("&gt;","=",D35),Holieday[date],CONCATENATE("&lt;","=",J_SUBDAY(J_ADDDAY(D35,N35+4,1),1,1)))=4,J_SUBDAY(J_ADDDAY(D35,N35+4,1),1,1),IF((N35+5-(NETWORKDAYS.INTL(J_GregorianDate(D35,1),J_GregorianDate(J_SUBDAY(J_ADDDAY(D35,N35+5,1),1,1),1),16,1)))+SUMIFS(Holieday[ok],Holieday[date],CONCATENATE("&gt;","=",D35),Holieday[date],CONCATENATE("&lt;","=",J_SUBDAY(J_ADDDAY(D35,N35+5,1),1,1)))-SUMIFS(Holieday[Friday],Holieday[date],CONCATENATE("&gt;","=",D35),Holieday[date],CONCATENATE("&lt;","=",J_SUBDAY(J_ADDDAY(D35,N35+5,1),1,1)))=5,J_SUBDAY(J_ADDDAY(D35,N35+5,1),1,1),J_SUBDAY(J_ADDDAY(D35,N35+6,1),1,1))))))))</f>
        <v>1398/06/21</v>
      </c>
      <c r="G35" s="201">
        <f t="shared" si="5"/>
        <v>13980621</v>
      </c>
      <c r="H35" s="121">
        <v>18</v>
      </c>
      <c r="I35" s="122">
        <v>2.2999999999999998</v>
      </c>
      <c r="J35" s="209" t="str">
        <f>j_WEEKDAY(D35,1)</f>
        <v>پنجشنبه</v>
      </c>
      <c r="K35" s="211">
        <f t="shared" si="11"/>
        <v>0</v>
      </c>
      <c r="L35" s="212">
        <f t="shared" si="12"/>
        <v>1</v>
      </c>
      <c r="M35" s="123">
        <v>1</v>
      </c>
      <c r="N35" s="120">
        <v>1</v>
      </c>
      <c r="O35" s="213">
        <f t="shared" si="13"/>
        <v>1</v>
      </c>
      <c r="P35" s="213">
        <f>VALUE(J_normdate(J_ADDDAY($D35,$O35,1)))</f>
        <v>13980622</v>
      </c>
      <c r="Q35" s="209">
        <f t="shared" si="14"/>
        <v>0</v>
      </c>
      <c r="R35" s="207"/>
      <c r="S35" s="207"/>
      <c r="T35" s="207"/>
      <c r="U35" s="207"/>
      <c r="V35" s="207"/>
      <c r="W35" s="207"/>
      <c r="X35" s="207"/>
      <c r="Y35" s="207"/>
      <c r="Z35" s="207"/>
      <c r="AA35" s="207"/>
      <c r="AB35" s="207"/>
      <c r="AC35" s="207"/>
      <c r="AD35" s="207"/>
      <c r="AE35" s="207"/>
      <c r="AF35" s="207"/>
      <c r="AG35" s="207"/>
      <c r="AH35" s="207"/>
      <c r="AI35" s="207"/>
      <c r="AJ35" s="207"/>
      <c r="AK35" s="207"/>
      <c r="AL35" s="207"/>
      <c r="AM35" s="207"/>
      <c r="AN35" s="207"/>
      <c r="AO35" s="207"/>
      <c r="AP35" s="207"/>
      <c r="AQ35" s="207"/>
      <c r="AR35" s="207"/>
      <c r="AS35" s="207"/>
      <c r="AT35" s="207"/>
      <c r="AU35" s="207"/>
      <c r="AV35" s="207"/>
      <c r="AW35" s="207"/>
      <c r="AX35" s="207"/>
      <c r="AY35" s="207"/>
      <c r="AZ35" s="207"/>
      <c r="BA35" s="207"/>
      <c r="BB35" s="207"/>
      <c r="BC35" s="207"/>
      <c r="BD35" s="207"/>
      <c r="BE35" s="207"/>
      <c r="BF35" s="207"/>
      <c r="BG35" s="207"/>
      <c r="BH35" s="207"/>
      <c r="BI35" s="207"/>
      <c r="BJ35" s="207"/>
      <c r="BK35" s="207"/>
      <c r="BL35" s="207"/>
      <c r="BM35" s="207"/>
      <c r="BN35" s="207"/>
      <c r="BO35" s="207"/>
      <c r="BP35" s="207"/>
      <c r="BQ35" s="207"/>
      <c r="BR35" s="207"/>
      <c r="BS35" s="207"/>
      <c r="BT35" s="207"/>
      <c r="BU35" s="207"/>
      <c r="BV35" s="207"/>
      <c r="BW35" s="207"/>
      <c r="BX35" s="207"/>
      <c r="BY35" s="207"/>
      <c r="BZ35" s="207"/>
      <c r="CA35" s="207"/>
      <c r="CB35" s="207"/>
      <c r="CC35" s="207"/>
      <c r="CD35" s="207"/>
      <c r="CE35" s="207"/>
      <c r="CF35" s="207"/>
      <c r="CG35" s="207"/>
      <c r="CH35" s="207"/>
      <c r="CI35" s="207"/>
      <c r="CJ35" s="207"/>
      <c r="CK35" s="207"/>
      <c r="CL35" s="207"/>
      <c r="CM35" s="207"/>
      <c r="CN35" s="207"/>
      <c r="CO35" s="207"/>
      <c r="CP35" s="207"/>
      <c r="CQ35" s="207"/>
      <c r="CR35" s="207"/>
      <c r="CS35" s="207"/>
      <c r="CT35" s="207"/>
      <c r="CU35" s="207"/>
      <c r="CV35" s="207"/>
      <c r="CW35" s="207"/>
      <c r="CX35" s="207"/>
      <c r="CY35" s="207"/>
      <c r="CZ35" s="207"/>
      <c r="DA35" s="207"/>
      <c r="DB35" s="207"/>
      <c r="DC35" s="207"/>
      <c r="DD35" s="207"/>
      <c r="DE35" s="207"/>
      <c r="DF35" s="207"/>
      <c r="DG35" s="207"/>
      <c r="DH35" s="207"/>
      <c r="DI35" s="207"/>
      <c r="DJ35" s="207"/>
      <c r="DK35" s="207"/>
      <c r="DL35" s="207"/>
      <c r="DM35" s="207"/>
      <c r="DN35" s="207"/>
      <c r="DO35" s="207"/>
      <c r="DP35" s="207"/>
      <c r="DQ35" s="207"/>
      <c r="DR35" s="207"/>
      <c r="DS35" s="207"/>
      <c r="DT35" s="207"/>
      <c r="DU35" s="207"/>
      <c r="DV35" s="207"/>
      <c r="DW35" s="207"/>
      <c r="DX35" s="207"/>
      <c r="DY35" s="207"/>
      <c r="DZ35" s="207"/>
      <c r="EA35" s="207"/>
      <c r="EB35" s="207"/>
      <c r="EC35" s="207"/>
      <c r="ED35" s="207"/>
      <c r="EE35" s="207"/>
      <c r="EF35" s="207"/>
      <c r="EG35" s="207"/>
      <c r="EH35" s="207"/>
      <c r="EI35" s="207"/>
      <c r="EJ35" s="207"/>
      <c r="EK35" s="207"/>
      <c r="EL35" s="207"/>
      <c r="EM35" s="207"/>
      <c r="EN35" s="207"/>
      <c r="EO35" s="207"/>
      <c r="EP35" s="207"/>
      <c r="EQ35" s="207"/>
      <c r="ER35" s="207"/>
      <c r="ES35" s="207"/>
      <c r="ET35" s="207"/>
      <c r="EU35" s="207"/>
      <c r="EV35" s="207"/>
      <c r="EW35" s="207"/>
      <c r="EX35" s="207"/>
      <c r="EY35" s="207"/>
      <c r="EZ35" s="207"/>
      <c r="FA35" s="207"/>
      <c r="FB35" s="207"/>
      <c r="FC35" s="207"/>
      <c r="FD35" s="207"/>
      <c r="FE35" s="207"/>
      <c r="FF35" s="207"/>
      <c r="FG35" s="207"/>
      <c r="FH35" s="207"/>
      <c r="FI35" s="207"/>
      <c r="FJ35" s="207"/>
      <c r="FK35" s="207"/>
      <c r="FL35" s="207"/>
      <c r="FM35" s="207"/>
      <c r="FN35" s="207"/>
      <c r="FO35" s="207"/>
      <c r="FP35" s="207"/>
      <c r="FQ35" s="207"/>
      <c r="FR35" s="207"/>
      <c r="FS35" s="207"/>
      <c r="FT35" s="207"/>
      <c r="FU35" s="207"/>
      <c r="FV35" s="207"/>
      <c r="FW35" s="207"/>
      <c r="FX35" s="207"/>
      <c r="FY35" s="207"/>
      <c r="FZ35" s="207"/>
      <c r="GA35" s="207"/>
      <c r="GB35" s="207"/>
      <c r="GC35" s="207"/>
      <c r="GD35" s="207"/>
      <c r="GE35" s="207"/>
      <c r="GF35" s="207"/>
      <c r="GG35" s="207"/>
      <c r="GH35" s="207"/>
      <c r="GI35" s="207"/>
      <c r="GJ35" s="207"/>
      <c r="GK35" s="207"/>
      <c r="GL35" s="207"/>
      <c r="GM35" s="207"/>
      <c r="GN35" s="207"/>
      <c r="GO35" s="207"/>
      <c r="GP35" s="207"/>
      <c r="GQ35" s="207"/>
      <c r="GR35" s="207"/>
      <c r="GS35" s="207"/>
      <c r="GT35" s="207"/>
      <c r="GU35" s="207"/>
      <c r="GV35" s="207"/>
      <c r="GW35" s="207"/>
      <c r="GX35" s="207"/>
      <c r="GY35" s="207"/>
      <c r="GZ35" s="207"/>
      <c r="HA35" s="207"/>
      <c r="HB35" s="207"/>
      <c r="HC35" s="207"/>
      <c r="HD35" s="207"/>
      <c r="HE35" s="207"/>
      <c r="HF35" s="207"/>
      <c r="HG35" s="207"/>
      <c r="HH35" s="207"/>
      <c r="HI35" s="207"/>
      <c r="HJ35" s="207"/>
      <c r="HK35" s="207"/>
      <c r="HL35" s="207"/>
      <c r="HM35" s="207"/>
      <c r="HN35" s="207"/>
      <c r="HO35" s="207"/>
      <c r="HP35" s="207"/>
      <c r="HQ35" s="207"/>
      <c r="HR35" s="207"/>
      <c r="HS35" s="207"/>
      <c r="HT35" s="207"/>
      <c r="HU35" s="207"/>
      <c r="HV35" s="207"/>
      <c r="HW35" s="207"/>
      <c r="HX35" s="207"/>
      <c r="HY35" s="207"/>
      <c r="HZ35" s="207"/>
      <c r="IA35" s="207"/>
      <c r="IB35" s="207"/>
      <c r="IC35" s="207"/>
      <c r="ID35" s="207"/>
      <c r="IE35" s="207"/>
      <c r="IF35" s="207"/>
      <c r="IG35" s="207"/>
      <c r="IH35" s="207"/>
      <c r="II35" s="207"/>
      <c r="IJ35" s="207"/>
      <c r="IK35" s="207"/>
      <c r="IL35" s="207"/>
      <c r="IM35" s="207"/>
      <c r="IN35" s="207"/>
      <c r="IO35" s="207"/>
      <c r="IP35" s="207"/>
      <c r="IQ35" s="207"/>
      <c r="IR35" s="207"/>
      <c r="IS35" s="207"/>
      <c r="IT35" s="207"/>
      <c r="IU35" s="207"/>
      <c r="IV35" s="207"/>
      <c r="IW35" s="207"/>
      <c r="IX35" s="207"/>
      <c r="IY35" s="32">
        <v>1</v>
      </c>
      <c r="IZ35" s="44">
        <f>(TEXT(K35,"[m]")/60)*VLOOKUP(IY35,'Income Person-hours'!A$2:C$5,3,FALSE)</f>
        <v>0</v>
      </c>
      <c r="JA35" s="124"/>
      <c r="JB35" s="124"/>
      <c r="JC35" s="124"/>
      <c r="JD35" s="232">
        <f>SUM((TEXT(JA35,"[M]")/60)*'Income Person-hours'!$D$3,(TEXT(JB35,"[M]")/60)*'Income Person-hours'!$D$4,(TEXT(JC35,"[M]")/60)*'Income Person-hours'!$D$5)</f>
        <v>0</v>
      </c>
    </row>
    <row r="36" spans="1:264" s="231" customFormat="1" ht="15.75" x14ac:dyDescent="0.45">
      <c r="A36" s="214">
        <v>2.5</v>
      </c>
      <c r="B36" s="118" t="s">
        <v>182</v>
      </c>
      <c r="C36" s="119" t="s">
        <v>153</v>
      </c>
      <c r="D36" s="208" t="str">
        <f>IF(OR(j_WEEKDAY(J_ADDDAY(VLOOKUP(I36,A:F,6,FALSE),H36,1),0)=6,SUMIFS(Holieday[ok],Holieday[date],J_ADDDAY(VLOOKUP(I36,A:F,6,FALSE),H36,1)))=FALSE(),J_ADDDAY(VLOOKUP(I36,A:F,6,FALSE),H36,1),IF(OR(j_WEEKDAY(J_ADDDAY(VLOOKUP(I36,A:F,6,FALSE),H36+1,1),0)=6,SUMIFS(Holieday[ok],Holieday[date],J_ADDDAY(VLOOKUP(I36,A:F,6,FALSE),H36+1,1)))=FALSE(),J_ADDDAY(VLOOKUP(I36,A:F,6,FALSE),H36+1,1),IF(OR(j_WEEKDAY(J_ADDDAY(VLOOKUP(I36,A:F,6,FALSE),H36+2,1),0)=6,SUMIFS(Holieday[ok],Holieday[date],J_ADDDAY(VLOOKUP(I36,A:F,6,FALSE),H36+2,1)))=FALSE(),J_ADDDAY(VLOOKUP(I36,A:F,6,FALSE),H36+2,1),IF(OR(j_WEEKDAY(J_ADDDAY(VLOOKUP(I36,A:F,6,FALSE),H36+3,1),0)=6,SUMIFS(Holieday[ok],Holieday[date],J_ADDDAY(VLOOKUP(I36,A:F,6,FALSE),H36+3,1)))=FALSE(),J_ADDDAY(VLOOKUP(I36,A:F,6,FALSE),H36+3,1),IF(OR(j_WEEKDAY(J_ADDDAY(VLOOKUP(I36,A:F,6,FALSE),H36+4,1),0)=6,SUMIFS(Holieday[ok],Holieday[date],J_ADDDAY(VLOOKUP(I36,A:F,6,FALSE),H36+4,1)))=FALSE(),J_ADDDAY(VLOOKUP(I36,A:F,6,FALSE),H36+4,1),J_ADDDAY(VLOOKUP(I36,A:F,6,FALSE),H36+5,1))))))</f>
        <v>1398/06/23</v>
      </c>
      <c r="E36" s="198">
        <f t="shared" si="4"/>
        <v>13980623</v>
      </c>
      <c r="F36" s="209" t="str">
        <f>IF(N36=0,J_SUBDAY(D36,1,1),IF((N36-(NETWORKDAYS.INTL(J_GregorianDate(D36,1),J_GregorianDate(J_SUBDAY(J_ADDDAY(D36,N36,1),1,1),1),16,1)))+SUMIFS(Holieday[ok],Holieday[date],CONCATENATE("&gt;","=",D36),Holieday[date],CONCATENATE("&lt;","=",J_SUBDAY(J_ADDDAY(D36,N36,1),1,1)))-SUMIFS(Holieday[Friday],Holieday[date],CONCATENATE("&gt;","=",D36),Holieday[date],CONCATENATE("&lt;","=",J_SUBDAY(J_ADDDAY(D36,N36,1),1,1)))=0,J_SUBDAY(J_ADDDAY(D36,N36,1),1,1),IF((N36+1-(NETWORKDAYS.INTL(J_GregorianDate(D36,1),J_GregorianDate(J_SUBDAY(J_ADDDAY(D36,N36+1,1),1,1),1),16,1)))+SUMIFS(Holieday[ok],Holieday[date],CONCATENATE("&gt;","=",D36),Holieday[date],CONCATENATE("&lt;","=",J_SUBDAY(J_ADDDAY(D36,N36+1,1),1,1)))-SUMIFS(Holieday[Friday],Holieday[date],CONCATENATE("&gt;","=",D36),Holieday[date],CONCATENATE("&lt;","=",J_SUBDAY(J_ADDDAY(D36,N36+1,1),1,1)))=1,J_SUBDAY(J_ADDDAY(D36,N36+1,1),1,1),IF((N36+2-(NETWORKDAYS.INTL(J_GregorianDate(D36,1),J_GregorianDate(J_SUBDAY(J_ADDDAY(D36,N36+2,1),1,1),1),16,1)))+SUMIFS(Holieday[ok],Holieday[date],CONCATENATE("&gt;","=",D36),Holieday[date],CONCATENATE("&lt;","=",J_SUBDAY(J_ADDDAY(D36,N36+2,1),1,1)))-SUMIFS(Holieday[Friday],Holieday[date],CONCATENATE("&gt;","=",D36),Holieday[date],CONCATENATE("&lt;","=",J_SUBDAY(J_ADDDAY(D36,N36+2,1),1,1)))=2,J_SUBDAY(J_ADDDAY(D36,N36+2,1),1,1),IF((N36+3-(NETWORKDAYS.INTL(J_GregorianDate(D36,1),J_GregorianDate(J_SUBDAY(J_ADDDAY(D36,N36+3,1),1,1),1),16,1)))+SUMIFS(Holieday[ok],Holieday[date],CONCATENATE("&gt;","=",D36),Holieday[date],CONCATENATE("&lt;","=",J_SUBDAY(J_ADDDAY(D36,N36+3,1),1,1)))-SUMIFS(Holieday[Friday],Holieday[date],CONCATENATE("&gt;","=",D36),Holieday[date],CONCATENATE("&lt;","=",J_SUBDAY(J_ADDDAY(D36,N36+3,1),1,1)))=3,J_SUBDAY(J_ADDDAY(D36,N36+3,1),1,1),IF((N36+4-(NETWORKDAYS.INTL(J_GregorianDate(D36,1),J_GregorianDate(J_SUBDAY(J_ADDDAY(D36,N36+4,1),1,1),1),16,1)))+SUMIFS(Holieday[ok],Holieday[date],CONCATENATE("&gt;","=",D36),Holieday[date],CONCATENATE("&lt;","=",J_SUBDAY(J_ADDDAY(D36,N36+4,1),1,1)))-SUMIFS(Holieday[Friday],Holieday[date],CONCATENATE("&gt;","=",D36),Holieday[date],CONCATENATE("&lt;","=",J_SUBDAY(J_ADDDAY(D36,N36+4,1),1,1)))=4,J_SUBDAY(J_ADDDAY(D36,N36+4,1),1,1),IF((N36+5-(NETWORKDAYS.INTL(J_GregorianDate(D36,1),J_GregorianDate(J_SUBDAY(J_ADDDAY(D36,N36+5,1),1,1),1),16,1)))+SUMIFS(Holieday[ok],Holieday[date],CONCATENATE("&gt;","=",D36),Holieday[date],CONCATENATE("&lt;","=",J_SUBDAY(J_ADDDAY(D36,N36+5,1),1,1)))-SUMIFS(Holieday[Friday],Holieday[date],CONCATENATE("&gt;","=",D36),Holieday[date],CONCATENATE("&lt;","=",J_SUBDAY(J_ADDDAY(D36,N36+5,1),1,1)))=5,J_SUBDAY(J_ADDDAY(D36,N36+5,1),1,1),J_SUBDAY(J_ADDDAY(D36,N36+6,1),1,1))))))))</f>
        <v>1398/06/23</v>
      </c>
      <c r="G36" s="201">
        <f t="shared" si="5"/>
        <v>13980623</v>
      </c>
      <c r="H36" s="121">
        <v>2</v>
      </c>
      <c r="I36" s="122">
        <v>2.4</v>
      </c>
      <c r="J36" s="209" t="str">
        <f>j_WEEKDAY(D36,1)</f>
        <v>شنبه</v>
      </c>
      <c r="K36" s="211">
        <f t="shared" si="11"/>
        <v>0.16666666666666666</v>
      </c>
      <c r="L36" s="212">
        <f t="shared" si="12"/>
        <v>1</v>
      </c>
      <c r="M36" s="123">
        <v>1</v>
      </c>
      <c r="N36" s="120">
        <v>1</v>
      </c>
      <c r="O36" s="213">
        <f t="shared" si="13"/>
        <v>1</v>
      </c>
      <c r="P36" s="213">
        <f>VALUE(J_normdate(J_ADDDAY($D36,$O36,1)))</f>
        <v>13980624</v>
      </c>
      <c r="Q36" s="209">
        <f t="shared" si="14"/>
        <v>0</v>
      </c>
      <c r="R36" s="207"/>
      <c r="S36" s="207"/>
      <c r="T36" s="207"/>
      <c r="U36" s="207"/>
      <c r="V36" s="207"/>
      <c r="W36" s="207"/>
      <c r="X36" s="207"/>
      <c r="Y36" s="207"/>
      <c r="Z36" s="207"/>
      <c r="AA36" s="207"/>
      <c r="AB36" s="207"/>
      <c r="AC36" s="207"/>
      <c r="AD36" s="207"/>
      <c r="AE36" s="207"/>
      <c r="AF36" s="207"/>
      <c r="AG36" s="207"/>
      <c r="AH36" s="207"/>
      <c r="AI36" s="207"/>
      <c r="AJ36" s="207"/>
      <c r="AK36" s="207"/>
      <c r="AL36" s="207"/>
      <c r="AM36" s="207"/>
      <c r="AN36" s="207"/>
      <c r="AO36" s="207"/>
      <c r="AP36" s="207"/>
      <c r="AQ36" s="207"/>
      <c r="AR36" s="207"/>
      <c r="AS36" s="207"/>
      <c r="AT36" s="207"/>
      <c r="AU36" s="207"/>
      <c r="AV36" s="207"/>
      <c r="AW36" s="207"/>
      <c r="AX36" s="207"/>
      <c r="AY36" s="207"/>
      <c r="AZ36" s="207"/>
      <c r="BA36" s="207"/>
      <c r="BB36" s="207"/>
      <c r="BC36" s="207"/>
      <c r="BD36" s="207"/>
      <c r="BE36" s="207"/>
      <c r="BF36" s="207"/>
      <c r="BG36" s="207"/>
      <c r="BH36" s="207"/>
      <c r="BI36" s="207"/>
      <c r="BJ36" s="207"/>
      <c r="BK36" s="207"/>
      <c r="BL36" s="207"/>
      <c r="BM36" s="207"/>
      <c r="BN36" s="207"/>
      <c r="BO36" s="207"/>
      <c r="BP36" s="207"/>
      <c r="BQ36" s="207"/>
      <c r="BR36" s="207"/>
      <c r="BS36" s="207"/>
      <c r="BT36" s="207"/>
      <c r="BU36" s="207"/>
      <c r="BV36" s="207"/>
      <c r="BW36" s="207"/>
      <c r="BX36" s="207"/>
      <c r="BY36" s="207"/>
      <c r="BZ36" s="207"/>
      <c r="CA36" s="207"/>
      <c r="CB36" s="207"/>
      <c r="CC36" s="207"/>
      <c r="CD36" s="207"/>
      <c r="CE36" s="207"/>
      <c r="CF36" s="207"/>
      <c r="CG36" s="207"/>
      <c r="CH36" s="207"/>
      <c r="CI36" s="207"/>
      <c r="CJ36" s="207"/>
      <c r="CK36" s="207"/>
      <c r="CL36" s="207"/>
      <c r="CM36" s="207"/>
      <c r="CN36" s="207"/>
      <c r="CO36" s="207"/>
      <c r="CP36" s="207"/>
      <c r="CQ36" s="207"/>
      <c r="CR36" s="207"/>
      <c r="CS36" s="207"/>
      <c r="CT36" s="207"/>
      <c r="CU36" s="207"/>
      <c r="CV36" s="207"/>
      <c r="CW36" s="207"/>
      <c r="CX36" s="207"/>
      <c r="CY36" s="207"/>
      <c r="CZ36" s="207"/>
      <c r="DA36" s="207"/>
      <c r="DB36" s="207"/>
      <c r="DC36" s="207"/>
      <c r="DD36" s="207"/>
      <c r="DE36" s="207"/>
      <c r="DF36" s="207"/>
      <c r="DG36" s="207"/>
      <c r="DH36" s="207"/>
      <c r="DI36" s="207"/>
      <c r="DJ36" s="207"/>
      <c r="DK36" s="207"/>
      <c r="DL36" s="207"/>
      <c r="DM36" s="207"/>
      <c r="DN36" s="207"/>
      <c r="DO36" s="207"/>
      <c r="DP36" s="207"/>
      <c r="DQ36" s="207"/>
      <c r="DR36" s="207"/>
      <c r="DS36" s="207"/>
      <c r="DT36" s="207"/>
      <c r="DU36" s="207"/>
      <c r="DV36" s="207"/>
      <c r="DW36" s="207"/>
      <c r="DX36" s="207"/>
      <c r="DY36" s="207"/>
      <c r="DZ36" s="207"/>
      <c r="EA36" s="207"/>
      <c r="EB36" s="207"/>
      <c r="EC36" s="207"/>
      <c r="ED36" s="207"/>
      <c r="EE36" s="207"/>
      <c r="EF36" s="207"/>
      <c r="EG36" s="207"/>
      <c r="EH36" s="207"/>
      <c r="EI36" s="207"/>
      <c r="EJ36" s="207"/>
      <c r="EK36" s="207"/>
      <c r="EL36" s="207"/>
      <c r="EM36" s="207"/>
      <c r="EN36" s="207"/>
      <c r="EO36" s="207"/>
      <c r="EP36" s="207"/>
      <c r="EQ36" s="207"/>
      <c r="ER36" s="207"/>
      <c r="ES36" s="207"/>
      <c r="ET36" s="207"/>
      <c r="EU36" s="207"/>
      <c r="EV36" s="207"/>
      <c r="EW36" s="207"/>
      <c r="EX36" s="207"/>
      <c r="EY36" s="207"/>
      <c r="EZ36" s="207"/>
      <c r="FA36" s="207"/>
      <c r="FB36" s="207"/>
      <c r="FC36" s="207"/>
      <c r="FD36" s="207"/>
      <c r="FE36" s="207"/>
      <c r="FF36" s="207"/>
      <c r="FG36" s="207"/>
      <c r="FH36" s="207"/>
      <c r="FI36" s="207"/>
      <c r="FJ36" s="207"/>
      <c r="FK36" s="207"/>
      <c r="FL36" s="207"/>
      <c r="FM36" s="207"/>
      <c r="FN36" s="207"/>
      <c r="FO36" s="207"/>
      <c r="FP36" s="207"/>
      <c r="FQ36" s="207"/>
      <c r="FR36" s="207"/>
      <c r="FS36" s="207"/>
      <c r="FT36" s="207"/>
      <c r="FU36" s="207"/>
      <c r="FV36" s="207"/>
      <c r="FW36" s="207"/>
      <c r="FX36" s="207"/>
      <c r="FY36" s="207"/>
      <c r="FZ36" s="207"/>
      <c r="GA36" s="207"/>
      <c r="GB36" s="207"/>
      <c r="GC36" s="207"/>
      <c r="GD36" s="207"/>
      <c r="GE36" s="207"/>
      <c r="GF36" s="207"/>
      <c r="GG36" s="207"/>
      <c r="GH36" s="207"/>
      <c r="GI36" s="207"/>
      <c r="GJ36" s="207"/>
      <c r="GK36" s="207"/>
      <c r="GL36" s="207"/>
      <c r="GM36" s="207"/>
      <c r="GN36" s="207"/>
      <c r="GO36" s="207"/>
      <c r="GP36" s="207"/>
      <c r="GQ36" s="207"/>
      <c r="GR36" s="207"/>
      <c r="GS36" s="207"/>
      <c r="GT36" s="207"/>
      <c r="GU36" s="207"/>
      <c r="GV36" s="207"/>
      <c r="GW36" s="207"/>
      <c r="GX36" s="207"/>
      <c r="GY36" s="207"/>
      <c r="GZ36" s="207"/>
      <c r="HA36" s="207"/>
      <c r="HB36" s="207"/>
      <c r="HC36" s="207"/>
      <c r="HD36" s="207"/>
      <c r="HE36" s="207"/>
      <c r="HF36" s="207"/>
      <c r="HG36" s="207"/>
      <c r="HH36" s="207"/>
      <c r="HI36" s="207"/>
      <c r="HJ36" s="207"/>
      <c r="HK36" s="207"/>
      <c r="HL36" s="207"/>
      <c r="HM36" s="207"/>
      <c r="HN36" s="207"/>
      <c r="HO36" s="207"/>
      <c r="HP36" s="207"/>
      <c r="HQ36" s="207"/>
      <c r="HR36" s="207"/>
      <c r="HS36" s="207"/>
      <c r="HT36" s="207"/>
      <c r="HU36" s="207"/>
      <c r="HV36" s="207"/>
      <c r="HW36" s="207"/>
      <c r="HX36" s="207"/>
      <c r="HY36" s="207"/>
      <c r="HZ36" s="207"/>
      <c r="IA36" s="207"/>
      <c r="IB36" s="207"/>
      <c r="IC36" s="207"/>
      <c r="ID36" s="207"/>
      <c r="IE36" s="207"/>
      <c r="IF36" s="207"/>
      <c r="IG36" s="207"/>
      <c r="IH36" s="207"/>
      <c r="II36" s="207"/>
      <c r="IJ36" s="207"/>
      <c r="IK36" s="207"/>
      <c r="IL36" s="207"/>
      <c r="IM36" s="207"/>
      <c r="IN36" s="207"/>
      <c r="IO36" s="207"/>
      <c r="IP36" s="207"/>
      <c r="IQ36" s="207"/>
      <c r="IR36" s="207"/>
      <c r="IS36" s="207"/>
      <c r="IT36" s="207"/>
      <c r="IU36" s="207"/>
      <c r="IV36" s="207"/>
      <c r="IW36" s="207"/>
      <c r="IX36" s="207"/>
      <c r="IY36" s="32">
        <v>1</v>
      </c>
      <c r="IZ36" s="44">
        <f>(TEXT(K36,"[m]")/60)*VLOOKUP(IY36,'Income Person-hours'!A$2:C$5,3,FALSE)</f>
        <v>0</v>
      </c>
      <c r="JA36" s="124"/>
      <c r="JB36" s="124">
        <v>0.16666666666666666</v>
      </c>
      <c r="JC36" s="124"/>
      <c r="JD36" s="232">
        <f>SUM((TEXT(JA36,"[M]")/60)*'Income Person-hours'!$D$3,(TEXT(JB36,"[M]")/60)*'Income Person-hours'!$D$4,(TEXT(JC36,"[M]")/60)*'Income Person-hours'!$D$5)</f>
        <v>3664000</v>
      </c>
    </row>
    <row r="37" spans="1:264" s="231" customFormat="1" ht="15.75" hidden="1" x14ac:dyDescent="0.45">
      <c r="A37" s="214">
        <v>2.6</v>
      </c>
      <c r="B37" s="118"/>
      <c r="C37" s="119"/>
      <c r="D37" s="208" t="str">
        <f>IF(OR(j_WEEKDAY(J_ADDDAY(VLOOKUP(I37,A:F,6,FALSE),H37,1),0)=6,SUMIFS(Holieday[ok],Holieday[date],J_ADDDAY(VLOOKUP(I37,A:F,6,FALSE),H37,1)))=FALSE(),J_ADDDAY(VLOOKUP(I37,A:F,6,FALSE),H37,1),IF(OR(j_WEEKDAY(J_ADDDAY(VLOOKUP(I37,A:F,6,FALSE),H37+1,1),0)=6,SUMIFS(Holieday[ok],Holieday[date],J_ADDDAY(VLOOKUP(I37,A:F,6,FALSE),H37+1,1)))=FALSE(),J_ADDDAY(VLOOKUP(I37,A:F,6,FALSE),H37+1,1),IF(OR(j_WEEKDAY(J_ADDDAY(VLOOKUP(I37,A:F,6,FALSE),H37+2,1),0)=6,SUMIFS(Holieday[ok],Holieday[date],J_ADDDAY(VLOOKUP(I37,A:F,6,FALSE),H37+2,1)))=FALSE(),J_ADDDAY(VLOOKUP(I37,A:F,6,FALSE),H37+2,1),IF(OR(j_WEEKDAY(J_ADDDAY(VLOOKUP(I37,A:F,6,FALSE),H37+3,1),0)=6,SUMIFS(Holieday[ok],Holieday[date],J_ADDDAY(VLOOKUP(I37,A:F,6,FALSE),H37+3,1)))=FALSE(),J_ADDDAY(VLOOKUP(I37,A:F,6,FALSE),H37+3,1),IF(OR(j_WEEKDAY(J_ADDDAY(VLOOKUP(I37,A:F,6,FALSE),H37+4,1),0)=6,SUMIFS(Holieday[ok],Holieday[date],J_ADDDAY(VLOOKUP(I37,A:F,6,FALSE),H37+4,1)))=FALSE(),J_ADDDAY(VLOOKUP(I37,A:F,6,FALSE),H37+4,1),J_ADDDAY(VLOOKUP(I37,A:F,6,FALSE),H37+5,1))))))</f>
        <v>1398/06/03</v>
      </c>
      <c r="E37" s="198">
        <f t="shared" si="4"/>
        <v>13980603</v>
      </c>
      <c r="F37" s="209" t="str">
        <f>IF(N37=0,J_SUBDAY(D37,1,1),IF((N37-(NETWORKDAYS.INTL(J_GregorianDate(D37,1),J_GregorianDate(J_SUBDAY(J_ADDDAY(D37,N37,1),1,1),1),16,1)))+SUMIFS(Holieday[ok],Holieday[date],CONCATENATE("&gt;","=",D37),Holieday[date],CONCATENATE("&lt;","=",J_SUBDAY(J_ADDDAY(D37,N37,1),1,1)))-SUMIFS(Holieday[Friday],Holieday[date],CONCATENATE("&gt;","=",D37),Holieday[date],CONCATENATE("&lt;","=",J_SUBDAY(J_ADDDAY(D37,N37,1),1,1)))=0,J_SUBDAY(J_ADDDAY(D37,N37,1),1,1),IF((N37+1-(NETWORKDAYS.INTL(J_GregorianDate(D37,1),J_GregorianDate(J_SUBDAY(J_ADDDAY(D37,N37+1,1),1,1),1),16,1)))+SUMIFS(Holieday[ok],Holieday[date],CONCATENATE("&gt;","=",D37),Holieday[date],CONCATENATE("&lt;","=",J_SUBDAY(J_ADDDAY(D37,N37+1,1),1,1)))-SUMIFS(Holieday[Friday],Holieday[date],CONCATENATE("&gt;","=",D37),Holieday[date],CONCATENATE("&lt;","=",J_SUBDAY(J_ADDDAY(D37,N37+1,1),1,1)))=1,J_SUBDAY(J_ADDDAY(D37,N37+1,1),1,1),IF((N37+2-(NETWORKDAYS.INTL(J_GregorianDate(D37,1),J_GregorianDate(J_SUBDAY(J_ADDDAY(D37,N37+2,1),1,1),1),16,1)))+SUMIFS(Holieday[ok],Holieday[date],CONCATENATE("&gt;","=",D37),Holieday[date],CONCATENATE("&lt;","=",J_SUBDAY(J_ADDDAY(D37,N37+2,1),1,1)))-SUMIFS(Holieday[Friday],Holieday[date],CONCATENATE("&gt;","=",D37),Holieday[date],CONCATENATE("&lt;","=",J_SUBDAY(J_ADDDAY(D37,N37+2,1),1,1)))=2,J_SUBDAY(J_ADDDAY(D37,N37+2,1),1,1),IF((N37+3-(NETWORKDAYS.INTL(J_GregorianDate(D37,1),J_GregorianDate(J_SUBDAY(J_ADDDAY(D37,N37+3,1),1,1),1),16,1)))+SUMIFS(Holieday[ok],Holieday[date],CONCATENATE("&gt;","=",D37),Holieday[date],CONCATENATE("&lt;","=",J_SUBDAY(J_ADDDAY(D37,N37+3,1),1,1)))-SUMIFS(Holieday[Friday],Holieday[date],CONCATENATE("&gt;","=",D37),Holieday[date],CONCATENATE("&lt;","=",J_SUBDAY(J_ADDDAY(D37,N37+3,1),1,1)))=3,J_SUBDAY(J_ADDDAY(D37,N37+3,1),1,1),IF((N37+4-(NETWORKDAYS.INTL(J_GregorianDate(D37,1),J_GregorianDate(J_SUBDAY(J_ADDDAY(D37,N37+4,1),1,1),1),16,1)))+SUMIFS(Holieday[ok],Holieday[date],CONCATENATE("&gt;","=",D37),Holieday[date],CONCATENATE("&lt;","=",J_SUBDAY(J_ADDDAY(D37,N37+4,1),1,1)))-SUMIFS(Holieday[Friday],Holieday[date],CONCATENATE("&gt;","=",D37),Holieday[date],CONCATENATE("&lt;","=",J_SUBDAY(J_ADDDAY(D37,N37+4,1),1,1)))=4,J_SUBDAY(J_ADDDAY(D37,N37+4,1),1,1),IF((N37+5-(NETWORKDAYS.INTL(J_GregorianDate(D37,1),J_GregorianDate(J_SUBDAY(J_ADDDAY(D37,N37+5,1),1,1),1),16,1)))+SUMIFS(Holieday[ok],Holieday[date],CONCATENATE("&gt;","=",D37),Holieday[date],CONCATENATE("&lt;","=",J_SUBDAY(J_ADDDAY(D37,N37+5,1),1,1)))-SUMIFS(Holieday[Friday],Holieday[date],CONCATENATE("&gt;","=",D37),Holieday[date],CONCATENATE("&lt;","=",J_SUBDAY(J_ADDDAY(D37,N37+5,1),1,1)))=5,J_SUBDAY(J_ADDDAY(D37,N37+5,1),1,1),J_SUBDAY(J_ADDDAY(D37,N37+6,1),1,1))))))))</f>
        <v>1398/06/02</v>
      </c>
      <c r="G37" s="201">
        <f t="shared" si="5"/>
        <v>13980602</v>
      </c>
      <c r="H37" s="121"/>
      <c r="I37" s="122">
        <v>2.2999999999999998</v>
      </c>
      <c r="J37" s="209" t="str">
        <f>j_WEEKDAY(D37,1)</f>
        <v>يكشنبه</v>
      </c>
      <c r="K37" s="211">
        <f t="shared" si="11"/>
        <v>0</v>
      </c>
      <c r="L37" s="212">
        <f t="shared" si="12"/>
        <v>0</v>
      </c>
      <c r="M37" s="123">
        <v>0</v>
      </c>
      <c r="N37" s="120">
        <v>0</v>
      </c>
      <c r="O37" s="213">
        <f t="shared" si="13"/>
        <v>0</v>
      </c>
      <c r="P37" s="213">
        <f>VALUE(J_normdate(J_ADDDAY($D37,$O37,1)))</f>
        <v>13980603</v>
      </c>
      <c r="Q37" s="209">
        <f t="shared" si="14"/>
        <v>0</v>
      </c>
      <c r="R37" s="207"/>
      <c r="S37" s="207"/>
      <c r="T37" s="207"/>
      <c r="U37" s="207"/>
      <c r="V37" s="207"/>
      <c r="W37" s="207"/>
      <c r="X37" s="207"/>
      <c r="Y37" s="207"/>
      <c r="Z37" s="207"/>
      <c r="AA37" s="207"/>
      <c r="AB37" s="207"/>
      <c r="AC37" s="207"/>
      <c r="AD37" s="207"/>
      <c r="AE37" s="207"/>
      <c r="AF37" s="207"/>
      <c r="AG37" s="207"/>
      <c r="AH37" s="207"/>
      <c r="AI37" s="207"/>
      <c r="AJ37" s="207"/>
      <c r="AK37" s="207"/>
      <c r="AL37" s="207"/>
      <c r="AM37" s="207"/>
      <c r="AN37" s="207"/>
      <c r="AO37" s="207"/>
      <c r="AP37" s="207"/>
      <c r="AQ37" s="207"/>
      <c r="AR37" s="207"/>
      <c r="AS37" s="207"/>
      <c r="AT37" s="207"/>
      <c r="AU37" s="207"/>
      <c r="AV37" s="207"/>
      <c r="AW37" s="207"/>
      <c r="AX37" s="207"/>
      <c r="AY37" s="207"/>
      <c r="AZ37" s="207"/>
      <c r="BA37" s="207"/>
      <c r="BB37" s="207"/>
      <c r="BC37" s="207"/>
      <c r="BD37" s="207"/>
      <c r="BE37" s="207"/>
      <c r="BF37" s="207"/>
      <c r="BG37" s="207"/>
      <c r="BH37" s="207"/>
      <c r="BI37" s="207"/>
      <c r="BJ37" s="207"/>
      <c r="BK37" s="207"/>
      <c r="BL37" s="207"/>
      <c r="BM37" s="207"/>
      <c r="BN37" s="207"/>
      <c r="BO37" s="207"/>
      <c r="BP37" s="207"/>
      <c r="BQ37" s="207"/>
      <c r="BR37" s="207"/>
      <c r="BS37" s="207"/>
      <c r="BT37" s="207"/>
      <c r="BU37" s="207"/>
      <c r="BV37" s="207"/>
      <c r="BW37" s="207"/>
      <c r="BX37" s="207"/>
      <c r="BY37" s="207"/>
      <c r="BZ37" s="207"/>
      <c r="CA37" s="207"/>
      <c r="CB37" s="207"/>
      <c r="CC37" s="207"/>
      <c r="CD37" s="207"/>
      <c r="CE37" s="207"/>
      <c r="CF37" s="207"/>
      <c r="CG37" s="207"/>
      <c r="CH37" s="207"/>
      <c r="CI37" s="207"/>
      <c r="CJ37" s="207"/>
      <c r="CK37" s="207"/>
      <c r="CL37" s="207"/>
      <c r="CM37" s="207"/>
      <c r="CN37" s="207"/>
      <c r="CO37" s="207"/>
      <c r="CP37" s="207"/>
      <c r="CQ37" s="207"/>
      <c r="CR37" s="207"/>
      <c r="CS37" s="207"/>
      <c r="CT37" s="207"/>
      <c r="CU37" s="207"/>
      <c r="CV37" s="207"/>
      <c r="CW37" s="207"/>
      <c r="CX37" s="207"/>
      <c r="CY37" s="207"/>
      <c r="CZ37" s="207"/>
      <c r="DA37" s="207"/>
      <c r="DB37" s="207"/>
      <c r="DC37" s="207"/>
      <c r="DD37" s="207"/>
      <c r="DE37" s="207"/>
      <c r="DF37" s="207"/>
      <c r="DG37" s="207"/>
      <c r="DH37" s="207"/>
      <c r="DI37" s="207"/>
      <c r="DJ37" s="207"/>
      <c r="DK37" s="207"/>
      <c r="DL37" s="207"/>
      <c r="DM37" s="207"/>
      <c r="DN37" s="207"/>
      <c r="DO37" s="207"/>
      <c r="DP37" s="207"/>
      <c r="DQ37" s="207"/>
      <c r="DR37" s="207"/>
      <c r="DS37" s="207"/>
      <c r="DT37" s="207"/>
      <c r="DU37" s="207"/>
      <c r="DV37" s="207"/>
      <c r="DW37" s="207"/>
      <c r="DX37" s="207"/>
      <c r="DY37" s="207"/>
      <c r="DZ37" s="207"/>
      <c r="EA37" s="207"/>
      <c r="EB37" s="207"/>
      <c r="EC37" s="207"/>
      <c r="ED37" s="207"/>
      <c r="EE37" s="207"/>
      <c r="EF37" s="207"/>
      <c r="EG37" s="207"/>
      <c r="EH37" s="207"/>
      <c r="EI37" s="207"/>
      <c r="EJ37" s="207"/>
      <c r="EK37" s="207"/>
      <c r="EL37" s="207"/>
      <c r="EM37" s="207"/>
      <c r="EN37" s="207"/>
      <c r="EO37" s="207"/>
      <c r="EP37" s="207"/>
      <c r="EQ37" s="207"/>
      <c r="ER37" s="207"/>
      <c r="ES37" s="207"/>
      <c r="ET37" s="207"/>
      <c r="EU37" s="207"/>
      <c r="EV37" s="207"/>
      <c r="EW37" s="207"/>
      <c r="EX37" s="207"/>
      <c r="EY37" s="207"/>
      <c r="EZ37" s="207"/>
      <c r="FA37" s="207"/>
      <c r="FB37" s="207"/>
      <c r="FC37" s="207"/>
      <c r="FD37" s="207"/>
      <c r="FE37" s="207"/>
      <c r="FF37" s="207"/>
      <c r="FG37" s="207"/>
      <c r="FH37" s="207"/>
      <c r="FI37" s="207"/>
      <c r="FJ37" s="207"/>
      <c r="FK37" s="207"/>
      <c r="FL37" s="207"/>
      <c r="FM37" s="207"/>
      <c r="FN37" s="207"/>
      <c r="FO37" s="207"/>
      <c r="FP37" s="207"/>
      <c r="FQ37" s="207"/>
      <c r="FR37" s="207"/>
      <c r="FS37" s="207"/>
      <c r="FT37" s="207"/>
      <c r="FU37" s="207"/>
      <c r="FV37" s="207"/>
      <c r="FW37" s="207"/>
      <c r="FX37" s="207"/>
      <c r="FY37" s="207"/>
      <c r="FZ37" s="207"/>
      <c r="GA37" s="207"/>
      <c r="GB37" s="207"/>
      <c r="GC37" s="207"/>
      <c r="GD37" s="207"/>
      <c r="GE37" s="207"/>
      <c r="GF37" s="207"/>
      <c r="GG37" s="207"/>
      <c r="GH37" s="207"/>
      <c r="GI37" s="207"/>
      <c r="GJ37" s="207"/>
      <c r="GK37" s="207"/>
      <c r="GL37" s="207"/>
      <c r="GM37" s="207"/>
      <c r="GN37" s="207"/>
      <c r="GO37" s="207"/>
      <c r="GP37" s="207"/>
      <c r="GQ37" s="207"/>
      <c r="GR37" s="207"/>
      <c r="GS37" s="207"/>
      <c r="GT37" s="207"/>
      <c r="GU37" s="207"/>
      <c r="GV37" s="207"/>
      <c r="GW37" s="207"/>
      <c r="GX37" s="207"/>
      <c r="GY37" s="207"/>
      <c r="GZ37" s="207"/>
      <c r="HA37" s="207"/>
      <c r="HB37" s="207"/>
      <c r="HC37" s="207"/>
      <c r="HD37" s="207"/>
      <c r="HE37" s="207"/>
      <c r="HF37" s="207"/>
      <c r="HG37" s="207"/>
      <c r="HH37" s="207"/>
      <c r="HI37" s="207"/>
      <c r="HJ37" s="207"/>
      <c r="HK37" s="207"/>
      <c r="HL37" s="207"/>
      <c r="HM37" s="207"/>
      <c r="HN37" s="207"/>
      <c r="HO37" s="207"/>
      <c r="HP37" s="207"/>
      <c r="HQ37" s="207"/>
      <c r="HR37" s="207"/>
      <c r="HS37" s="207"/>
      <c r="HT37" s="207"/>
      <c r="HU37" s="207"/>
      <c r="HV37" s="207"/>
      <c r="HW37" s="207"/>
      <c r="HX37" s="207"/>
      <c r="HY37" s="207"/>
      <c r="HZ37" s="207"/>
      <c r="IA37" s="207"/>
      <c r="IB37" s="207"/>
      <c r="IC37" s="207"/>
      <c r="ID37" s="207"/>
      <c r="IE37" s="207"/>
      <c r="IF37" s="207"/>
      <c r="IG37" s="207"/>
      <c r="IH37" s="207"/>
      <c r="II37" s="207"/>
      <c r="IJ37" s="207"/>
      <c r="IK37" s="207"/>
      <c r="IL37" s="207"/>
      <c r="IM37" s="207"/>
      <c r="IN37" s="207"/>
      <c r="IO37" s="207"/>
      <c r="IP37" s="207"/>
      <c r="IQ37" s="207"/>
      <c r="IR37" s="207"/>
      <c r="IS37" s="207"/>
      <c r="IT37" s="207"/>
      <c r="IU37" s="207"/>
      <c r="IV37" s="207"/>
      <c r="IW37" s="207"/>
      <c r="IX37" s="207"/>
      <c r="IY37" s="32">
        <v>1</v>
      </c>
      <c r="IZ37" s="36">
        <f>(TEXT(K37,"[m]")/60)*VLOOKUP(IY37,'Income Person-hours'!A$2:C$5,3,FALSE)</f>
        <v>0</v>
      </c>
      <c r="JA37" s="124"/>
      <c r="JB37" s="124"/>
      <c r="JC37" s="124"/>
      <c r="JD37" s="232">
        <f>SUM((TEXT(JA37,"[M]")/60)*'Income Person-hours'!$D$3,(TEXT(JB37,"[M]")/60)*'Income Person-hours'!$D$4,(TEXT(JC37,"[M]")/60)*'Income Person-hours'!$D$5)</f>
        <v>0</v>
      </c>
    </row>
    <row r="38" spans="1:264" s="12" customFormat="1" ht="15.75" hidden="1" x14ac:dyDescent="0.45">
      <c r="A38" s="214">
        <v>2.7</v>
      </c>
      <c r="B38" s="118"/>
      <c r="C38" s="119"/>
      <c r="D38" s="45" t="str">
        <f>IF(OR(j_WEEKDAY(J_ADDDAY(VLOOKUP(I38,A:F,6,FALSE),H38,1),0)=6,SUMIFS(Holieday[ok],Holieday[date],J_ADDDAY(VLOOKUP(I38,A:F,6,FALSE),H38,1)))=FALSE(),J_ADDDAY(VLOOKUP(I38,A:F,6,FALSE),H38,1),IF(OR(j_WEEKDAY(J_ADDDAY(VLOOKUP(I38,A:F,6,FALSE),H38+1,1),0)=6,SUMIFS(Holieday[ok],Holieday[date],J_ADDDAY(VLOOKUP(I38,A:F,6,FALSE),H38+1,1)))=FALSE(),J_ADDDAY(VLOOKUP(I38,A:F,6,FALSE),H38+1,1),IF(OR(j_WEEKDAY(J_ADDDAY(VLOOKUP(I38,A:F,6,FALSE),H38+2,1),0)=6,SUMIFS(Holieday[ok],Holieday[date],J_ADDDAY(VLOOKUP(I38,A:F,6,FALSE),H38+2,1)))=FALSE(),J_ADDDAY(VLOOKUP(I38,A:F,6,FALSE),H38+2,1),IF(OR(j_WEEKDAY(J_ADDDAY(VLOOKUP(I38,A:F,6,FALSE),H38+3,1),0)=6,SUMIFS(Holieday[ok],Holieday[date],J_ADDDAY(VLOOKUP(I38,A:F,6,FALSE),H38+3,1)))=FALSE(),J_ADDDAY(VLOOKUP(I38,A:F,6,FALSE),H38+3,1),IF(OR(j_WEEKDAY(J_ADDDAY(VLOOKUP(I38,A:F,6,FALSE),H38+4,1),0)=6,SUMIFS(Holieday[ok],Holieday[date],J_ADDDAY(VLOOKUP(I38,A:F,6,FALSE),H38+4,1)))=FALSE(),J_ADDDAY(VLOOKUP(I38,A:F,6,FALSE),H38+4,1),J_ADDDAY(VLOOKUP(I38,A:F,6,FALSE),H38+5,1))))))</f>
        <v>1398/06/02</v>
      </c>
      <c r="E38" s="2">
        <f t="shared" si="4"/>
        <v>13980602</v>
      </c>
      <c r="F38" s="10" t="str">
        <f>IF(N38=0,J_SUBDAY(D38,1,1),IF((N38-(NETWORKDAYS.INTL(J_GregorianDate(D38,1),J_GregorianDate(J_SUBDAY(J_ADDDAY(D38,N38,1),1,1),1),16,1)))+SUMIFS(Holieday[ok],Holieday[date],CONCATENATE("&gt;","=",D38),Holieday[date],CONCATENATE("&lt;","=",J_SUBDAY(J_ADDDAY(D38,N38,1),1,1)))-SUMIFS(Holieday[Friday],Holieday[date],CONCATENATE("&gt;","=",D38),Holieday[date],CONCATENATE("&lt;","=",J_SUBDAY(J_ADDDAY(D38,N38,1),1,1)))=0,J_SUBDAY(J_ADDDAY(D38,N38,1),1,1),IF((N38+1-(NETWORKDAYS.INTL(J_GregorianDate(D38,1),J_GregorianDate(J_SUBDAY(J_ADDDAY(D38,N38+1,1),1,1),1),16,1)))+SUMIFS(Holieday[ok],Holieday[date],CONCATENATE("&gt;","=",D38),Holieday[date],CONCATENATE("&lt;","=",J_SUBDAY(J_ADDDAY(D38,N38+1,1),1,1)))-SUMIFS(Holieday[Friday],Holieday[date],CONCATENATE("&gt;","=",D38),Holieday[date],CONCATENATE("&lt;","=",J_SUBDAY(J_ADDDAY(D38,N38+1,1),1,1)))=1,J_SUBDAY(J_ADDDAY(D38,N38+1,1),1,1),IF((N38+2-(NETWORKDAYS.INTL(J_GregorianDate(D38,1),J_GregorianDate(J_SUBDAY(J_ADDDAY(D38,N38+2,1),1,1),1),16,1)))+SUMIFS(Holieday[ok],Holieday[date],CONCATENATE("&gt;","=",D38),Holieday[date],CONCATENATE("&lt;","=",J_SUBDAY(J_ADDDAY(D38,N38+2,1),1,1)))-SUMIFS(Holieday[Friday],Holieday[date],CONCATENATE("&gt;","=",D38),Holieday[date],CONCATENATE("&lt;","=",J_SUBDAY(J_ADDDAY(D38,N38+2,1),1,1)))=2,J_SUBDAY(J_ADDDAY(D38,N38+2,1),1,1),IF((N38+3-(NETWORKDAYS.INTL(J_GregorianDate(D38,1),J_GregorianDate(J_SUBDAY(J_ADDDAY(D38,N38+3,1),1,1),1),16,1)))+SUMIFS(Holieday[ok],Holieday[date],CONCATENATE("&gt;","=",D38),Holieday[date],CONCATENATE("&lt;","=",J_SUBDAY(J_ADDDAY(D38,N38+3,1),1,1)))-SUMIFS(Holieday[Friday],Holieday[date],CONCATENATE("&gt;","=",D38),Holieday[date],CONCATENATE("&lt;","=",J_SUBDAY(J_ADDDAY(D38,N38+3,1),1,1)))=3,J_SUBDAY(J_ADDDAY(D38,N38+3,1),1,1),IF((N38+4-(NETWORKDAYS.INTL(J_GregorianDate(D38,1),J_GregorianDate(J_SUBDAY(J_ADDDAY(D38,N38+4,1),1,1),1),16,1)))+SUMIFS(Holieday[ok],Holieday[date],CONCATENATE("&gt;","=",D38),Holieday[date],CONCATENATE("&lt;","=",J_SUBDAY(J_ADDDAY(D38,N38+4,1),1,1)))-SUMIFS(Holieday[Friday],Holieday[date],CONCATENATE("&gt;","=",D38),Holieday[date],CONCATENATE("&lt;","=",J_SUBDAY(J_ADDDAY(D38,N38+4,1),1,1)))=4,J_SUBDAY(J_ADDDAY(D38,N38+4,1),1,1),IF((N38+5-(NETWORKDAYS.INTL(J_GregorianDate(D38,1),J_GregorianDate(J_SUBDAY(J_ADDDAY(D38,N38+5,1),1,1),1),16,1)))+SUMIFS(Holieday[ok],Holieday[date],CONCATENATE("&gt;","=",D38),Holieday[date],CONCATENATE("&lt;","=",J_SUBDAY(J_ADDDAY(D38,N38+5,1),1,1)))-SUMIFS(Holieday[Friday],Holieday[date],CONCATENATE("&gt;","=",D38),Holieday[date],CONCATENATE("&lt;","=",J_SUBDAY(J_ADDDAY(D38,N38+5,1),1,1)))=5,J_SUBDAY(J_ADDDAY(D38,N38+5,1),1,1),J_SUBDAY(J_ADDDAY(D38,N38+6,1),1,1))))))))</f>
        <v>1398/06/01</v>
      </c>
      <c r="G38" s="3">
        <f t="shared" si="5"/>
        <v>13980601</v>
      </c>
      <c r="H38" s="121"/>
      <c r="I38" s="122">
        <v>2.6</v>
      </c>
      <c r="J38" s="10" t="str">
        <f>j_WEEKDAY(D38,1)</f>
        <v>شنبه</v>
      </c>
      <c r="K38" s="23">
        <f t="shared" si="11"/>
        <v>0</v>
      </c>
      <c r="L38" s="9">
        <f t="shared" si="12"/>
        <v>0</v>
      </c>
      <c r="M38" s="123">
        <v>0</v>
      </c>
      <c r="N38" s="120">
        <v>0</v>
      </c>
      <c r="O38" s="11">
        <f t="shared" si="13"/>
        <v>0</v>
      </c>
      <c r="P38" s="11">
        <f>VALUE(J_normdate(J_ADDDAY($D38,$O38,1)))</f>
        <v>13980602</v>
      </c>
      <c r="Q38" s="10">
        <f t="shared" si="14"/>
        <v>0</v>
      </c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/>
      <c r="GX38" s="8"/>
      <c r="GY38" s="8"/>
      <c r="GZ38" s="8"/>
      <c r="HA38" s="8"/>
      <c r="HB38" s="8"/>
      <c r="HC38" s="8"/>
      <c r="HD38" s="8"/>
      <c r="HE38" s="8"/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/>
      <c r="HR38" s="8"/>
      <c r="HS38" s="8"/>
      <c r="HT38" s="8"/>
      <c r="HU38" s="8"/>
      <c r="HV38" s="8"/>
      <c r="HW38" s="8"/>
      <c r="HX38" s="8"/>
      <c r="HY38" s="8"/>
      <c r="HZ38" s="8"/>
      <c r="IA38" s="8"/>
      <c r="IB38" s="8"/>
      <c r="IC38" s="8"/>
      <c r="ID38" s="8"/>
      <c r="IE38" s="8"/>
      <c r="IF38" s="8"/>
      <c r="IG38" s="8"/>
      <c r="IH38" s="8"/>
      <c r="II38" s="8"/>
      <c r="IJ38" s="8"/>
      <c r="IK38" s="8"/>
      <c r="IL38" s="8"/>
      <c r="IM38" s="8"/>
      <c r="IN38" s="8"/>
      <c r="IO38" s="8"/>
      <c r="IP38" s="8"/>
      <c r="IQ38" s="8"/>
      <c r="IR38" s="8"/>
      <c r="IS38" s="8"/>
      <c r="IT38" s="8"/>
      <c r="IU38" s="8"/>
      <c r="IV38" s="8"/>
      <c r="IW38" s="8"/>
      <c r="IX38" s="8"/>
      <c r="IY38" s="32">
        <v>1</v>
      </c>
      <c r="IZ38" s="36">
        <f>(TEXT(K38,"[m]")/60)*VLOOKUP(IY38,'Income Person-hours'!A$2:C$5,3,FALSE)</f>
        <v>0</v>
      </c>
      <c r="JA38" s="124"/>
      <c r="JB38" s="124"/>
      <c r="JC38" s="124"/>
      <c r="JD38" s="72">
        <f>SUM((TEXT(JA38,"[M]")/60)*'Income Person-hours'!$D$3,(TEXT(JB38,"[M]")/60)*'Income Person-hours'!$D$4,(TEXT(JC38,"[M]")/60)*'Income Person-hours'!$D$5)</f>
        <v>0</v>
      </c>
    </row>
    <row r="39" spans="1:264" s="12" customFormat="1" ht="15.75" hidden="1" x14ac:dyDescent="0.45">
      <c r="A39" s="214">
        <v>2.8</v>
      </c>
      <c r="B39" s="118"/>
      <c r="C39" s="119"/>
      <c r="D39" s="45" t="str">
        <f>IF(OR(j_WEEKDAY(J_ADDDAY(VLOOKUP(I39,A:F,6,FALSE),H39,1),0)=6,SUMIFS(Holieday[ok],Holieday[date],J_ADDDAY(VLOOKUP(I39,A:F,6,FALSE),H39,1)))=FALSE(),J_ADDDAY(VLOOKUP(I39,A:F,6,FALSE),H39,1),IF(OR(j_WEEKDAY(J_ADDDAY(VLOOKUP(I39,A:F,6,FALSE),H39+1,1),0)=6,SUMIFS(Holieday[ok],Holieday[date],J_ADDDAY(VLOOKUP(I39,A:F,6,FALSE),H39+1,1)))=FALSE(),J_ADDDAY(VLOOKUP(I39,A:F,6,FALSE),H39+1,1),IF(OR(j_WEEKDAY(J_ADDDAY(VLOOKUP(I39,A:F,6,FALSE),H39+2,1),0)=6,SUMIFS(Holieday[ok],Holieday[date],J_ADDDAY(VLOOKUP(I39,A:F,6,FALSE),H39+2,1)))=FALSE(),J_ADDDAY(VLOOKUP(I39,A:F,6,FALSE),H39+2,1),IF(OR(j_WEEKDAY(J_ADDDAY(VLOOKUP(I39,A:F,6,FALSE),H39+3,1),0)=6,SUMIFS(Holieday[ok],Holieday[date],J_ADDDAY(VLOOKUP(I39,A:F,6,FALSE),H39+3,1)))=FALSE(),J_ADDDAY(VLOOKUP(I39,A:F,6,FALSE),H39+3,1),IF(OR(j_WEEKDAY(J_ADDDAY(VLOOKUP(I39,A:F,6,FALSE),H39+4,1),0)=6,SUMIFS(Holieday[ok],Holieday[date],J_ADDDAY(VLOOKUP(I39,A:F,6,FALSE),H39+4,1)))=FALSE(),J_ADDDAY(VLOOKUP(I39,A:F,6,FALSE),H39+4,1),J_ADDDAY(VLOOKUP(I39,A:F,6,FALSE),H39+5,1))))))</f>
        <v>1398/06/02</v>
      </c>
      <c r="E39" s="2">
        <f t="shared" si="4"/>
        <v>13980602</v>
      </c>
      <c r="F39" s="10" t="str">
        <f>IF(N39=0,J_SUBDAY(D39,1,1),IF((N39-(NETWORKDAYS.INTL(J_GregorianDate(D39,1),J_GregorianDate(J_SUBDAY(J_ADDDAY(D39,N39,1),1,1),1),16,1)))+SUMIFS(Holieday[ok],Holieday[date],CONCATENATE("&gt;","=",D39),Holieday[date],CONCATENATE("&lt;","=",J_SUBDAY(J_ADDDAY(D39,N39,1),1,1)))-SUMIFS(Holieday[Friday],Holieday[date],CONCATENATE("&gt;","=",D39),Holieday[date],CONCATENATE("&lt;","=",J_SUBDAY(J_ADDDAY(D39,N39,1),1,1)))=0,J_SUBDAY(J_ADDDAY(D39,N39,1),1,1),IF((N39+1-(NETWORKDAYS.INTL(J_GregorianDate(D39,1),J_GregorianDate(J_SUBDAY(J_ADDDAY(D39,N39+1,1),1,1),1),16,1)))+SUMIFS(Holieday[ok],Holieday[date],CONCATENATE("&gt;","=",D39),Holieday[date],CONCATENATE("&lt;","=",J_SUBDAY(J_ADDDAY(D39,N39+1,1),1,1)))-SUMIFS(Holieday[Friday],Holieday[date],CONCATENATE("&gt;","=",D39),Holieday[date],CONCATENATE("&lt;","=",J_SUBDAY(J_ADDDAY(D39,N39+1,1),1,1)))=1,J_SUBDAY(J_ADDDAY(D39,N39+1,1),1,1),IF((N39+2-(NETWORKDAYS.INTL(J_GregorianDate(D39,1),J_GregorianDate(J_SUBDAY(J_ADDDAY(D39,N39+2,1),1,1),1),16,1)))+SUMIFS(Holieday[ok],Holieday[date],CONCATENATE("&gt;","=",D39),Holieday[date],CONCATENATE("&lt;","=",J_SUBDAY(J_ADDDAY(D39,N39+2,1),1,1)))-SUMIFS(Holieday[Friday],Holieday[date],CONCATENATE("&gt;","=",D39),Holieday[date],CONCATENATE("&lt;","=",J_SUBDAY(J_ADDDAY(D39,N39+2,1),1,1)))=2,J_SUBDAY(J_ADDDAY(D39,N39+2,1),1,1),IF((N39+3-(NETWORKDAYS.INTL(J_GregorianDate(D39,1),J_GregorianDate(J_SUBDAY(J_ADDDAY(D39,N39+3,1),1,1),1),16,1)))+SUMIFS(Holieday[ok],Holieday[date],CONCATENATE("&gt;","=",D39),Holieday[date],CONCATENATE("&lt;","=",J_SUBDAY(J_ADDDAY(D39,N39+3,1),1,1)))-SUMIFS(Holieday[Friday],Holieday[date],CONCATENATE("&gt;","=",D39),Holieday[date],CONCATENATE("&lt;","=",J_SUBDAY(J_ADDDAY(D39,N39+3,1),1,1)))=3,J_SUBDAY(J_ADDDAY(D39,N39+3,1),1,1),IF((N39+4-(NETWORKDAYS.INTL(J_GregorianDate(D39,1),J_GregorianDate(J_SUBDAY(J_ADDDAY(D39,N39+4,1),1,1),1),16,1)))+SUMIFS(Holieday[ok],Holieday[date],CONCATENATE("&gt;","=",D39),Holieday[date],CONCATENATE("&lt;","=",J_SUBDAY(J_ADDDAY(D39,N39+4,1),1,1)))-SUMIFS(Holieday[Friday],Holieday[date],CONCATENATE("&gt;","=",D39),Holieday[date],CONCATENATE("&lt;","=",J_SUBDAY(J_ADDDAY(D39,N39+4,1),1,1)))=4,J_SUBDAY(J_ADDDAY(D39,N39+4,1),1,1),IF((N39+5-(NETWORKDAYS.INTL(J_GregorianDate(D39,1),J_GregorianDate(J_SUBDAY(J_ADDDAY(D39,N39+5,1),1,1),1),16,1)))+SUMIFS(Holieday[ok],Holieday[date],CONCATENATE("&gt;","=",D39),Holieday[date],CONCATENATE("&lt;","=",J_SUBDAY(J_ADDDAY(D39,N39+5,1),1,1)))-SUMIFS(Holieday[Friday],Holieday[date],CONCATENATE("&gt;","=",D39),Holieday[date],CONCATENATE("&lt;","=",J_SUBDAY(J_ADDDAY(D39,N39+5,1),1,1)))=5,J_SUBDAY(J_ADDDAY(D39,N39+5,1),1,1),J_SUBDAY(J_ADDDAY(D39,N39+6,1),1,1))))))))</f>
        <v>1398/06/01</v>
      </c>
      <c r="G39" s="3">
        <f t="shared" si="5"/>
        <v>13980601</v>
      </c>
      <c r="H39" s="121"/>
      <c r="I39" s="122">
        <v>2.6</v>
      </c>
      <c r="J39" s="10" t="str">
        <f>j_WEEKDAY(D39,1)</f>
        <v>شنبه</v>
      </c>
      <c r="K39" s="23">
        <f t="shared" si="11"/>
        <v>0</v>
      </c>
      <c r="L39" s="9">
        <f t="shared" si="12"/>
        <v>0</v>
      </c>
      <c r="M39" s="123">
        <v>0</v>
      </c>
      <c r="N39" s="120">
        <v>0</v>
      </c>
      <c r="O39" s="11">
        <f t="shared" si="13"/>
        <v>0</v>
      </c>
      <c r="P39" s="11">
        <f>VALUE(J_normdate(J_ADDDAY($D39,$O39,1)))</f>
        <v>13980602</v>
      </c>
      <c r="Q39" s="10">
        <f t="shared" si="14"/>
        <v>0</v>
      </c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  <c r="ES39" s="8"/>
      <c r="ET39" s="8"/>
      <c r="EU39" s="8"/>
      <c r="EV39" s="8"/>
      <c r="EW39" s="8"/>
      <c r="EX39" s="8"/>
      <c r="EY39" s="8"/>
      <c r="EZ39" s="8"/>
      <c r="FA39" s="8"/>
      <c r="FB39" s="8"/>
      <c r="FC39" s="8"/>
      <c r="FD39" s="8"/>
      <c r="FE39" s="8"/>
      <c r="FF39" s="8"/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/>
      <c r="FT39" s="8"/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/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/>
      <c r="GS39" s="8"/>
      <c r="GT39" s="8"/>
      <c r="GU39" s="8"/>
      <c r="GV39" s="8"/>
      <c r="GW39" s="8"/>
      <c r="GX39" s="8"/>
      <c r="GY39" s="8"/>
      <c r="GZ39" s="8"/>
      <c r="HA39" s="8"/>
      <c r="HB39" s="8"/>
      <c r="HC39" s="8"/>
      <c r="HD39" s="8"/>
      <c r="HE39" s="8"/>
      <c r="HF39" s="8"/>
      <c r="HG39" s="8"/>
      <c r="HH39" s="8"/>
      <c r="HI39" s="8"/>
      <c r="HJ39" s="8"/>
      <c r="HK39" s="8"/>
      <c r="HL39" s="8"/>
      <c r="HM39" s="8"/>
      <c r="HN39" s="8"/>
      <c r="HO39" s="8"/>
      <c r="HP39" s="8"/>
      <c r="HQ39" s="8"/>
      <c r="HR39" s="8"/>
      <c r="HS39" s="8"/>
      <c r="HT39" s="8"/>
      <c r="HU39" s="8"/>
      <c r="HV39" s="8"/>
      <c r="HW39" s="8"/>
      <c r="HX39" s="8"/>
      <c r="HY39" s="8"/>
      <c r="HZ39" s="8"/>
      <c r="IA39" s="8"/>
      <c r="IB39" s="8"/>
      <c r="IC39" s="8"/>
      <c r="ID39" s="8"/>
      <c r="IE39" s="8"/>
      <c r="IF39" s="8"/>
      <c r="IG39" s="8"/>
      <c r="IH39" s="8"/>
      <c r="II39" s="8"/>
      <c r="IJ39" s="8"/>
      <c r="IK39" s="8"/>
      <c r="IL39" s="8"/>
      <c r="IM39" s="8"/>
      <c r="IN39" s="8"/>
      <c r="IO39" s="8"/>
      <c r="IP39" s="8"/>
      <c r="IQ39" s="8"/>
      <c r="IR39" s="8"/>
      <c r="IS39" s="8"/>
      <c r="IT39" s="8"/>
      <c r="IU39" s="8"/>
      <c r="IV39" s="8"/>
      <c r="IW39" s="8"/>
      <c r="IX39" s="8"/>
      <c r="IY39" s="32">
        <v>1</v>
      </c>
      <c r="IZ39" s="36">
        <f>(TEXT(K39,"[m]")/60)*VLOOKUP(IY39,'Income Person-hours'!A$2:C$5,3,FALSE)</f>
        <v>0</v>
      </c>
      <c r="JA39" s="124"/>
      <c r="JB39" s="124"/>
      <c r="JC39" s="124"/>
      <c r="JD39" s="72">
        <f>SUM((TEXT(JA39,"[M]")/60)*'Income Person-hours'!$D$3,(TEXT(JB39,"[M]")/60)*'Income Person-hours'!$D$4,(TEXT(JC39,"[M]")/60)*'Income Person-hours'!$D$5)</f>
        <v>0</v>
      </c>
    </row>
    <row r="40" spans="1:264" s="12" customFormat="1" ht="15.75" hidden="1" x14ac:dyDescent="0.45">
      <c r="A40" s="214">
        <v>2.9</v>
      </c>
      <c r="B40" s="118"/>
      <c r="C40" s="119"/>
      <c r="D40" s="45" t="str">
        <f>IF(OR(j_WEEKDAY(J_ADDDAY(VLOOKUP(I40,A:F,6,FALSE),H40,1),0)=6,SUMIFS(Holieday[ok],Holieday[date],J_ADDDAY(VLOOKUP(I40,A:F,6,FALSE),H40,1)))=FALSE(),J_ADDDAY(VLOOKUP(I40,A:F,6,FALSE),H40,1),IF(OR(j_WEEKDAY(J_ADDDAY(VLOOKUP(I40,A:F,6,FALSE),H40+1,1),0)=6,SUMIFS(Holieday[ok],Holieday[date],J_ADDDAY(VLOOKUP(I40,A:F,6,FALSE),H40+1,1)))=FALSE(),J_ADDDAY(VLOOKUP(I40,A:F,6,FALSE),H40+1,1),IF(OR(j_WEEKDAY(J_ADDDAY(VLOOKUP(I40,A:F,6,FALSE),H40+2,1),0)=6,SUMIFS(Holieday[ok],Holieday[date],J_ADDDAY(VLOOKUP(I40,A:F,6,FALSE),H40+2,1)))=FALSE(),J_ADDDAY(VLOOKUP(I40,A:F,6,FALSE),H40+2,1),IF(OR(j_WEEKDAY(J_ADDDAY(VLOOKUP(I40,A:F,6,FALSE),H40+3,1),0)=6,SUMIFS(Holieday[ok],Holieday[date],J_ADDDAY(VLOOKUP(I40,A:F,6,FALSE),H40+3,1)))=FALSE(),J_ADDDAY(VLOOKUP(I40,A:F,6,FALSE),H40+3,1),IF(OR(j_WEEKDAY(J_ADDDAY(VLOOKUP(I40,A:F,6,FALSE),H40+4,1),0)=6,SUMIFS(Holieday[ok],Holieday[date],J_ADDDAY(VLOOKUP(I40,A:F,6,FALSE),H40+4,1)))=FALSE(),J_ADDDAY(VLOOKUP(I40,A:F,6,FALSE),H40+4,1),J_ADDDAY(VLOOKUP(I40,A:F,6,FALSE),H40+5,1))))))</f>
        <v>1398/06/02</v>
      </c>
      <c r="E40" s="2">
        <f t="shared" ref="E40:E63" si="15">VALUE(J_normdate(D40))</f>
        <v>13980602</v>
      </c>
      <c r="F40" s="10" t="str">
        <f>IF(N40=0,J_SUBDAY(D40,1,1),IF((N40-(NETWORKDAYS.INTL(J_GregorianDate(D40,1),J_GregorianDate(J_SUBDAY(J_ADDDAY(D40,N40,1),1,1),1),16,1)))+SUMIFS(Holieday[ok],Holieday[date],CONCATENATE("&gt;","=",D40),Holieday[date],CONCATENATE("&lt;","=",J_SUBDAY(J_ADDDAY(D40,N40,1),1,1)))-SUMIFS(Holieday[Friday],Holieday[date],CONCATENATE("&gt;","=",D40),Holieday[date],CONCATENATE("&lt;","=",J_SUBDAY(J_ADDDAY(D40,N40,1),1,1)))=0,J_SUBDAY(J_ADDDAY(D40,N40,1),1,1),IF((N40+1-(NETWORKDAYS.INTL(J_GregorianDate(D40,1),J_GregorianDate(J_SUBDAY(J_ADDDAY(D40,N40+1,1),1,1),1),16,1)))+SUMIFS(Holieday[ok],Holieday[date],CONCATENATE("&gt;","=",D40),Holieday[date],CONCATENATE("&lt;","=",J_SUBDAY(J_ADDDAY(D40,N40+1,1),1,1)))-SUMIFS(Holieday[Friday],Holieday[date],CONCATENATE("&gt;","=",D40),Holieday[date],CONCATENATE("&lt;","=",J_SUBDAY(J_ADDDAY(D40,N40+1,1),1,1)))=1,J_SUBDAY(J_ADDDAY(D40,N40+1,1),1,1),IF((N40+2-(NETWORKDAYS.INTL(J_GregorianDate(D40,1),J_GregorianDate(J_SUBDAY(J_ADDDAY(D40,N40+2,1),1,1),1),16,1)))+SUMIFS(Holieday[ok],Holieday[date],CONCATENATE("&gt;","=",D40),Holieday[date],CONCATENATE("&lt;","=",J_SUBDAY(J_ADDDAY(D40,N40+2,1),1,1)))-SUMIFS(Holieday[Friday],Holieday[date],CONCATENATE("&gt;","=",D40),Holieday[date],CONCATENATE("&lt;","=",J_SUBDAY(J_ADDDAY(D40,N40+2,1),1,1)))=2,J_SUBDAY(J_ADDDAY(D40,N40+2,1),1,1),IF((N40+3-(NETWORKDAYS.INTL(J_GregorianDate(D40,1),J_GregorianDate(J_SUBDAY(J_ADDDAY(D40,N40+3,1),1,1),1),16,1)))+SUMIFS(Holieday[ok],Holieday[date],CONCATENATE("&gt;","=",D40),Holieday[date],CONCATENATE("&lt;","=",J_SUBDAY(J_ADDDAY(D40,N40+3,1),1,1)))-SUMIFS(Holieday[Friday],Holieday[date],CONCATENATE("&gt;","=",D40),Holieday[date],CONCATENATE("&lt;","=",J_SUBDAY(J_ADDDAY(D40,N40+3,1),1,1)))=3,J_SUBDAY(J_ADDDAY(D40,N40+3,1),1,1),IF((N40+4-(NETWORKDAYS.INTL(J_GregorianDate(D40,1),J_GregorianDate(J_SUBDAY(J_ADDDAY(D40,N40+4,1),1,1),1),16,1)))+SUMIFS(Holieday[ok],Holieday[date],CONCATENATE("&gt;","=",D40),Holieday[date],CONCATENATE("&lt;","=",J_SUBDAY(J_ADDDAY(D40,N40+4,1),1,1)))-SUMIFS(Holieday[Friday],Holieday[date],CONCATENATE("&gt;","=",D40),Holieday[date],CONCATENATE("&lt;","=",J_SUBDAY(J_ADDDAY(D40,N40+4,1),1,1)))=4,J_SUBDAY(J_ADDDAY(D40,N40+4,1),1,1),IF((N40+5-(NETWORKDAYS.INTL(J_GregorianDate(D40,1),J_GregorianDate(J_SUBDAY(J_ADDDAY(D40,N40+5,1),1,1),1),16,1)))+SUMIFS(Holieday[ok],Holieday[date],CONCATENATE("&gt;","=",D40),Holieday[date],CONCATENATE("&lt;","=",J_SUBDAY(J_ADDDAY(D40,N40+5,1),1,1)))-SUMIFS(Holieday[Friday],Holieday[date],CONCATENATE("&gt;","=",D40),Holieday[date],CONCATENATE("&lt;","=",J_SUBDAY(J_ADDDAY(D40,N40+5,1),1,1)))=5,J_SUBDAY(J_ADDDAY(D40,N40+5,1),1,1),J_SUBDAY(J_ADDDAY(D40,N40+6,1),1,1))))))))</f>
        <v>1398/06/01</v>
      </c>
      <c r="G40" s="3">
        <f t="shared" ref="G40:G63" si="16">VALUE(J_normdate(F40))</f>
        <v>13980601</v>
      </c>
      <c r="H40" s="121"/>
      <c r="I40" s="122">
        <v>2.6</v>
      </c>
      <c r="J40" s="10" t="str">
        <f>j_WEEKDAY(D40,1)</f>
        <v>شنبه</v>
      </c>
      <c r="K40" s="23">
        <f t="shared" si="11"/>
        <v>0</v>
      </c>
      <c r="L40" s="9">
        <f t="shared" si="12"/>
        <v>0</v>
      </c>
      <c r="M40" s="123">
        <v>0</v>
      </c>
      <c r="N40" s="120">
        <v>0</v>
      </c>
      <c r="O40" s="11">
        <f t="shared" si="13"/>
        <v>0</v>
      </c>
      <c r="P40" s="11">
        <f>VALUE(J_normdate(J_ADDDAY($D40,$O40,1)))</f>
        <v>13980602</v>
      </c>
      <c r="Q40" s="10">
        <f t="shared" si="14"/>
        <v>0</v>
      </c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  <c r="ES40" s="8"/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/>
      <c r="FL40" s="8"/>
      <c r="FM40" s="8"/>
      <c r="FN40" s="8"/>
      <c r="FO40" s="8"/>
      <c r="FP40" s="8"/>
      <c r="FQ40" s="8"/>
      <c r="FR40" s="8"/>
      <c r="FS40" s="8"/>
      <c r="FT40" s="8"/>
      <c r="FU40" s="8"/>
      <c r="FV40" s="8"/>
      <c r="FW40" s="8"/>
      <c r="FX40" s="8"/>
      <c r="FY40" s="8"/>
      <c r="FZ40" s="8"/>
      <c r="GA40" s="8"/>
      <c r="GB40" s="8"/>
      <c r="GC40" s="8"/>
      <c r="GD40" s="8"/>
      <c r="GE40" s="8"/>
      <c r="GF40" s="8"/>
      <c r="GG40" s="8"/>
      <c r="GH40" s="8"/>
      <c r="GI40" s="8"/>
      <c r="GJ40" s="8"/>
      <c r="GK40" s="8"/>
      <c r="GL40" s="8"/>
      <c r="GM40" s="8"/>
      <c r="GN40" s="8"/>
      <c r="GO40" s="8"/>
      <c r="GP40" s="8"/>
      <c r="GQ40" s="8"/>
      <c r="GR40" s="8"/>
      <c r="GS40" s="8"/>
      <c r="GT40" s="8"/>
      <c r="GU40" s="8"/>
      <c r="GV40" s="8"/>
      <c r="GW40" s="8"/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/>
      <c r="HN40" s="8"/>
      <c r="HO40" s="8"/>
      <c r="HP40" s="8"/>
      <c r="HQ40" s="8"/>
      <c r="HR40" s="8"/>
      <c r="HS40" s="8"/>
      <c r="HT40" s="8"/>
      <c r="HU40" s="8"/>
      <c r="HV40" s="8"/>
      <c r="HW40" s="8"/>
      <c r="HX40" s="8"/>
      <c r="HY40" s="8"/>
      <c r="HZ40" s="8"/>
      <c r="IA40" s="8"/>
      <c r="IB40" s="8"/>
      <c r="IC40" s="8"/>
      <c r="ID40" s="8"/>
      <c r="IE40" s="8"/>
      <c r="IF40" s="8"/>
      <c r="IG40" s="8"/>
      <c r="IH40" s="8"/>
      <c r="II40" s="8"/>
      <c r="IJ40" s="8"/>
      <c r="IK40" s="8"/>
      <c r="IL40" s="8"/>
      <c r="IM40" s="8"/>
      <c r="IN40" s="8"/>
      <c r="IO40" s="8"/>
      <c r="IP40" s="8"/>
      <c r="IQ40" s="8"/>
      <c r="IR40" s="8"/>
      <c r="IS40" s="8"/>
      <c r="IT40" s="8"/>
      <c r="IU40" s="8"/>
      <c r="IV40" s="8"/>
      <c r="IW40" s="8"/>
      <c r="IX40" s="8"/>
      <c r="IY40" s="32">
        <v>1</v>
      </c>
      <c r="IZ40" s="36">
        <f>(TEXT(K40,"[m]")/60)*VLOOKUP(IY40,'Income Person-hours'!A$2:C$5,3,FALSE)</f>
        <v>0</v>
      </c>
      <c r="JA40" s="124"/>
      <c r="JB40" s="124"/>
      <c r="JC40" s="124"/>
      <c r="JD40" s="72">
        <f>SUM((TEXT(JA40,"[M]")/60)*'Income Person-hours'!$D$3,(TEXT(JB40,"[M]")/60)*'Income Person-hours'!$D$4,(TEXT(JC40,"[M]")/60)*'Income Person-hours'!$D$5)</f>
        <v>0</v>
      </c>
    </row>
    <row r="41" spans="1:264" s="12" customFormat="1" ht="15.75" hidden="1" x14ac:dyDescent="0.45">
      <c r="A41" s="33">
        <v>2.11</v>
      </c>
      <c r="B41" s="118"/>
      <c r="C41" s="119"/>
      <c r="D41" s="45" t="str">
        <f>IF(OR(j_WEEKDAY(J_ADDDAY(VLOOKUP(I41,A:F,6,FALSE),H41,1),0)=6,SUMIFS(Holieday[ok],Holieday[date],J_ADDDAY(VLOOKUP(I41,A:F,6,FALSE),H41,1)))=FALSE(),J_ADDDAY(VLOOKUP(I41,A:F,6,FALSE),H41,1),IF(OR(j_WEEKDAY(J_ADDDAY(VLOOKUP(I41,A:F,6,FALSE),H41+1,1),0)=6,SUMIFS(Holieday[ok],Holieday[date],J_ADDDAY(VLOOKUP(I41,A:F,6,FALSE),H41+1,1)))=FALSE(),J_ADDDAY(VLOOKUP(I41,A:F,6,FALSE),H41+1,1),IF(OR(j_WEEKDAY(J_ADDDAY(VLOOKUP(I41,A:F,6,FALSE),H41+2,1),0)=6,SUMIFS(Holieday[ok],Holieday[date],J_ADDDAY(VLOOKUP(I41,A:F,6,FALSE),H41+2,1)))=FALSE(),J_ADDDAY(VLOOKUP(I41,A:F,6,FALSE),H41+2,1),IF(OR(j_WEEKDAY(J_ADDDAY(VLOOKUP(I41,A:F,6,FALSE),H41+3,1),0)=6,SUMIFS(Holieday[ok],Holieday[date],J_ADDDAY(VLOOKUP(I41,A:F,6,FALSE),H41+3,1)))=FALSE(),J_ADDDAY(VLOOKUP(I41,A:F,6,FALSE),H41+3,1),IF(OR(j_WEEKDAY(J_ADDDAY(VLOOKUP(I41,A:F,6,FALSE),H41+4,1),0)=6,SUMIFS(Holieday[ok],Holieday[date],J_ADDDAY(VLOOKUP(I41,A:F,6,FALSE),H41+4,1)))=FALSE(),J_ADDDAY(VLOOKUP(I41,A:F,6,FALSE),H41+4,1),J_ADDDAY(VLOOKUP(I41,A:F,6,FALSE),H41+5,1))))))</f>
        <v>1398/06/02</v>
      </c>
      <c r="E41" s="2">
        <f t="shared" si="15"/>
        <v>13980602</v>
      </c>
      <c r="F41" s="10" t="str">
        <f>IF(N41=0,J_SUBDAY(D41,1,1)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0,J_SUBDAY(J_ADDDAY(D41,N41,1)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1,J_SUBDAY(J_ADDDAY(D41,N41+1,1),1,1),IF((N41-NETWORKDAYS.INTL(J_GregorianDate(D41,1),J_GregorianDate(J_SUBDAY(J_ADDDAY(D41,N41,1),1,1),1),16,1)-SUMIFS(Holieday[ok],Holieday[date],CONCATENATE("&gt;","=",D41),Holieday[date],CONCATENATE("&lt;","=",J_SUBDAY(J_ADDDAY(D41,N41,1),1,1)))+SUMIFS(Holieday[Friday],Holieday[date],CONCATENATE("&gt;","=",D41),Holieday[date],CONCATENATE("&lt;","=",J_SUBDAY(J_ADDDAY(D41,N41,1),1,1))))=2,J_SUBDAY(J_ADDDAY(D41,N41+2,1),1,1),J_SUBDAY(J_ADDDAY(D41,N41+3,1),1,1)))))</f>
        <v>1398/06/01</v>
      </c>
      <c r="G41" s="3">
        <f t="shared" si="16"/>
        <v>13980601</v>
      </c>
      <c r="H41" s="121"/>
      <c r="I41" s="122">
        <v>2.6</v>
      </c>
      <c r="J41" s="10" t="str">
        <f>j_WEEKDAY(D41,1)</f>
        <v>شنبه</v>
      </c>
      <c r="K41" s="23">
        <f t="shared" si="11"/>
        <v>0</v>
      </c>
      <c r="L41" s="9">
        <f t="shared" si="12"/>
        <v>0</v>
      </c>
      <c r="M41" s="123">
        <v>0</v>
      </c>
      <c r="N41" s="120">
        <v>0</v>
      </c>
      <c r="O41" s="11">
        <f t="shared" si="13"/>
        <v>0</v>
      </c>
      <c r="P41" s="11">
        <f>VALUE(J_normdate(J_ADDDAY($D41,$O41,1)))</f>
        <v>13980602</v>
      </c>
      <c r="Q41" s="10">
        <f t="shared" si="14"/>
        <v>0</v>
      </c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 s="8"/>
      <c r="HN41" s="8"/>
      <c r="HO41" s="8"/>
      <c r="HP41" s="8"/>
      <c r="HQ41" s="8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 s="8"/>
      <c r="IG41" s="8"/>
      <c r="IH41" s="8"/>
      <c r="II41" s="8"/>
      <c r="IJ41" s="8"/>
      <c r="IK41" s="8"/>
      <c r="IL41" s="8"/>
      <c r="IM41" s="8"/>
      <c r="IN41" s="8"/>
      <c r="IO41" s="8"/>
      <c r="IP41" s="8"/>
      <c r="IQ41" s="8"/>
      <c r="IR41" s="8"/>
      <c r="IS41" s="8"/>
      <c r="IT41" s="8"/>
      <c r="IU41" s="8"/>
      <c r="IV41" s="8"/>
      <c r="IW41" s="8"/>
      <c r="IX41" s="8"/>
      <c r="JA41" s="124"/>
      <c r="JB41" s="124"/>
      <c r="JC41" s="124"/>
      <c r="JD41" s="72">
        <f>SUM((TEXT(JA41,"[M]")/60)*'Income Person-hours'!$D$3,(TEXT(JB41,"[M]")/60)*'Income Person-hours'!$D$4,(TEXT(JC41,"[M]")/60)*'Income Person-hours'!$D$5)</f>
        <v>0</v>
      </c>
    </row>
    <row r="42" spans="1:264" s="12" customFormat="1" ht="15.75" hidden="1" x14ac:dyDescent="0.45">
      <c r="A42" s="33">
        <v>2.12</v>
      </c>
      <c r="B42" s="128"/>
      <c r="C42" s="119"/>
      <c r="D42" s="8" t="str">
        <f>IF(OR(j_WEEKDAY(J_ADDDAY(VLOOKUP(I42,A:F,6,FALSE),H42,1),0)=6,SUMIFS(Holieday[ok],Holieday[date],J_ADDDAY(VLOOKUP(I42,A:F,6,FALSE),H42,1)))=FALSE(),J_ADDDAY(VLOOKUP(I42,A:F,6,FALSE),H42,1),IF(OR(j_WEEKDAY(J_ADDDAY(VLOOKUP(I42,A:F,6,FALSE),H42+1,1),0)=6,SUMIFS(Holieday[ok],Holieday[date],J_ADDDAY(VLOOKUP(I42,A:F,6,FALSE),H42+1,1)))=FALSE(),J_ADDDAY(VLOOKUP(I42,A:F,6,FALSE),H42+1,1),IF(OR(j_WEEKDAY(J_ADDDAY(VLOOKUP(I42,A:F,6,FALSE),H42+2,1),0)=6,SUMIFS(Holieday[ok],Holieday[date],J_ADDDAY(VLOOKUP(I42,A:F,6,FALSE),H42+2,1)))=FALSE(),J_ADDDAY(VLOOKUP(I42,A:F,6,FALSE),H42+2,1),IF(OR(j_WEEKDAY(J_ADDDAY(VLOOKUP(I42,A:F,6,FALSE),H42+3,1),0)=6,SUMIFS(Holieday[ok],Holieday[date],J_ADDDAY(VLOOKUP(I42,A:F,6,FALSE),H42+3,1)))=FALSE(),J_ADDDAY(VLOOKUP(I42,A:F,6,FALSE),H42+3,1),IF(OR(j_WEEKDAY(J_ADDDAY(VLOOKUP(I42,A:F,6,FALSE),H42+4,1),0)=6,SUMIFS(Holieday[ok],Holieday[date],J_ADDDAY(VLOOKUP(I42,A:F,6,FALSE),H42+4,1)))=FALSE(),J_ADDDAY(VLOOKUP(I42,A:F,6,FALSE),H42+4,1),J_ADDDAY(VLOOKUP(I42,A:F,6,FALSE),H42+5,1))))))</f>
        <v>1398/06/02</v>
      </c>
      <c r="E42" s="2">
        <f t="shared" si="15"/>
        <v>13980602</v>
      </c>
      <c r="F42" s="13" t="str">
        <f>IF(N42=0,J_SUBDAY(D42,1,1)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0,J_SUBDAY(J_ADDDAY(D42,N42,1)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1,J_SUBDAY(J_ADDDAY(D42,N42+1,1),1,1),IF((N42-NETWORKDAYS.INTL(J_GregorianDate(D42,1),J_GregorianDate(J_SUBDAY(J_ADDDAY(D42,N42,1),1,1),1),16,1)-SUMIFS(Holieday[ok],Holieday[date],CONCATENATE("&gt;","=",D42),Holieday[date],CONCATENATE("&lt;","=",J_SUBDAY(J_ADDDAY(D42,N42,1),1,1)))+SUMIFS(Holieday[Friday],Holieday[date],CONCATENATE("&gt;","=",D42),Holieday[date],CONCATENATE("&lt;","=",J_SUBDAY(J_ADDDAY(D42,N42,1),1,1))))=2,J_SUBDAY(J_ADDDAY(D42,N42+2,1),1,1),J_SUBDAY(J_ADDDAY(D42,N42+3,1),1,1)))))</f>
        <v>1398/06/01</v>
      </c>
      <c r="G42" s="3">
        <f t="shared" si="16"/>
        <v>13980601</v>
      </c>
      <c r="H42" s="121"/>
      <c r="I42" s="122">
        <v>2.6</v>
      </c>
      <c r="J42" s="10" t="str">
        <f>j_WEEKDAY(D42,1)</f>
        <v>شنبه</v>
      </c>
      <c r="K42" s="23">
        <f t="shared" si="11"/>
        <v>0</v>
      </c>
      <c r="L42" s="9">
        <f t="shared" si="12"/>
        <v>0</v>
      </c>
      <c r="M42" s="123">
        <v>0</v>
      </c>
      <c r="N42" s="120">
        <v>0</v>
      </c>
      <c r="O42" s="11">
        <f t="shared" si="13"/>
        <v>0</v>
      </c>
      <c r="P42" s="11">
        <f>VALUE(J_normdate(J_ADDDAY($D42,$O42,1)))</f>
        <v>13980602</v>
      </c>
      <c r="Q42" s="10">
        <f t="shared" si="14"/>
        <v>0</v>
      </c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/>
      <c r="GB42" s="8"/>
      <c r="GC42" s="8"/>
      <c r="GD42" s="8"/>
      <c r="GE42" s="8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 s="8"/>
      <c r="HN42" s="8"/>
      <c r="HO42" s="8"/>
      <c r="HP42" s="8"/>
      <c r="HQ42" s="8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 s="8"/>
      <c r="IG42" s="8"/>
      <c r="IH42" s="8"/>
      <c r="II42" s="8"/>
      <c r="IJ42" s="8"/>
      <c r="IK42" s="8"/>
      <c r="IL42" s="8"/>
      <c r="IM42" s="8"/>
      <c r="IN42" s="8"/>
      <c r="IO42" s="8"/>
      <c r="IP42" s="8"/>
      <c r="IQ42" s="8"/>
      <c r="IR42" s="8"/>
      <c r="IS42" s="8"/>
      <c r="IT42" s="8"/>
      <c r="IU42" s="8"/>
      <c r="IV42" s="8"/>
      <c r="IW42" s="8"/>
      <c r="IX42" s="8"/>
      <c r="JA42" s="124"/>
      <c r="JB42" s="124"/>
      <c r="JC42" s="124"/>
      <c r="JD42" s="72">
        <f>SUM((TEXT(JA42,"[M]")/60)*'Income Person-hours'!$D$3,(TEXT(JB42,"[M]")/60)*'Income Person-hours'!$D$4,(TEXT(JC42,"[M]")/60)*'Income Person-hours'!$D$5)</f>
        <v>0</v>
      </c>
    </row>
    <row r="43" spans="1:264" s="12" customFormat="1" ht="15.75" hidden="1" x14ac:dyDescent="0.45">
      <c r="A43" s="33">
        <v>2.13</v>
      </c>
      <c r="B43" s="128"/>
      <c r="C43" s="119"/>
      <c r="D43" s="8" t="str">
        <f>IF(OR(j_WEEKDAY(J_ADDDAY(VLOOKUP(I43,A:F,6,FALSE),H43,1),0)=6,SUMIFS(Holieday[ok],Holieday[date],J_ADDDAY(VLOOKUP(I43,A:F,6,FALSE),H43,1)))=FALSE(),J_ADDDAY(VLOOKUP(I43,A:F,6,FALSE),H43,1),IF(OR(j_WEEKDAY(J_ADDDAY(VLOOKUP(I43,A:F,6,FALSE),H43+1,1),0)=6,SUMIFS(Holieday[ok],Holieday[date],J_ADDDAY(VLOOKUP(I43,A:F,6,FALSE),H43+1,1)))=FALSE(),J_ADDDAY(VLOOKUP(I43,A:F,6,FALSE),H43+1,1),IF(OR(j_WEEKDAY(J_ADDDAY(VLOOKUP(I43,A:F,6,FALSE),H43+2,1),0)=6,SUMIFS(Holieday[ok],Holieday[date],J_ADDDAY(VLOOKUP(I43,A:F,6,FALSE),H43+2,1)))=FALSE(),J_ADDDAY(VLOOKUP(I43,A:F,6,FALSE),H43+2,1),IF(OR(j_WEEKDAY(J_ADDDAY(VLOOKUP(I43,A:F,6,FALSE),H43+3,1),0)=6,SUMIFS(Holieday[ok],Holieday[date],J_ADDDAY(VLOOKUP(I43,A:F,6,FALSE),H43+3,1)))=FALSE(),J_ADDDAY(VLOOKUP(I43,A:F,6,FALSE),H43+3,1),IF(OR(j_WEEKDAY(J_ADDDAY(VLOOKUP(I43,A:F,6,FALSE),H43+4,1),0)=6,SUMIFS(Holieday[ok],Holieday[date],J_ADDDAY(VLOOKUP(I43,A:F,6,FALSE),H43+4,1)))=FALSE(),J_ADDDAY(VLOOKUP(I43,A:F,6,FALSE),H43+4,1),J_ADDDAY(VLOOKUP(I43,A:F,6,FALSE),H43+5,1))))))</f>
        <v>1398/06/02</v>
      </c>
      <c r="E43" s="2">
        <f t="shared" si="15"/>
        <v>13980602</v>
      </c>
      <c r="F43" s="13" t="str">
        <f>IF(N43=0,J_SUBDAY(D43,1,1)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0,J_SUBDAY(J_ADDDAY(D43,N43,1)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1,J_SUBDAY(J_ADDDAY(D43,N43+1,1),1,1),IF((N43-NETWORKDAYS.INTL(J_GregorianDate(D43,1),J_GregorianDate(J_SUBDAY(J_ADDDAY(D43,N43,1),1,1),1),16,1)-SUMIFS(Holieday[ok],Holieday[date],CONCATENATE("&gt;","=",D43),Holieday[date],CONCATENATE("&lt;","=",J_SUBDAY(J_ADDDAY(D43,N43,1),1,1)))+SUMIFS(Holieday[Friday],Holieday[date],CONCATENATE("&gt;","=",D43),Holieday[date],CONCATENATE("&lt;","=",J_SUBDAY(J_ADDDAY(D43,N43,1),1,1))))=2,J_SUBDAY(J_ADDDAY(D43,N43+2,1),1,1),J_SUBDAY(J_ADDDAY(D43,N43+3,1),1,1)))))</f>
        <v>1398/06/01</v>
      </c>
      <c r="G43" s="3">
        <f t="shared" si="16"/>
        <v>13980601</v>
      </c>
      <c r="H43" s="121"/>
      <c r="I43" s="122">
        <v>2.6</v>
      </c>
      <c r="J43" s="10" t="str">
        <f>j_WEEKDAY(D43,1)</f>
        <v>شنبه</v>
      </c>
      <c r="K43" s="23">
        <f t="shared" si="11"/>
        <v>0</v>
      </c>
      <c r="L43" s="9">
        <f t="shared" si="12"/>
        <v>0</v>
      </c>
      <c r="M43" s="123">
        <v>0</v>
      </c>
      <c r="N43" s="120">
        <v>0</v>
      </c>
      <c r="O43" s="11">
        <f t="shared" si="13"/>
        <v>0</v>
      </c>
      <c r="P43" s="11">
        <f>VALUE(J_normdate(J_ADDDAY($D43,$O43,1)))</f>
        <v>13980602</v>
      </c>
      <c r="Q43" s="10">
        <f t="shared" si="14"/>
        <v>0</v>
      </c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 s="8"/>
      <c r="GB43" s="8"/>
      <c r="GC43" s="8"/>
      <c r="GD43" s="8"/>
      <c r="GE43" s="8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 s="8"/>
      <c r="GU43" s="8"/>
      <c r="GV43" s="8"/>
      <c r="GW43" s="8"/>
      <c r="GX43" s="8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/>
      <c r="IH43" s="8"/>
      <c r="II43" s="8"/>
      <c r="IJ43" s="8"/>
      <c r="IK43" s="8"/>
      <c r="IL43" s="8"/>
      <c r="IM43" s="8"/>
      <c r="IN43" s="8"/>
      <c r="IO43" s="8"/>
      <c r="IP43" s="8"/>
      <c r="IQ43" s="8"/>
      <c r="IR43" s="8"/>
      <c r="IS43" s="8"/>
      <c r="IT43" s="8"/>
      <c r="IU43" s="8"/>
      <c r="IV43" s="8"/>
      <c r="IW43" s="8"/>
      <c r="IX43" s="8"/>
      <c r="JA43" s="241"/>
      <c r="JB43" s="241"/>
      <c r="JC43" s="242"/>
      <c r="JD43" s="72">
        <f>SUM((TEXT(JA43,"[M]")/60)*'Income Person-hours'!$D$3,(TEXT(JB43,"[M]")/60)*'Income Person-hours'!$D$4,(TEXT(JC43,"[M]")/60)*'Income Person-hours'!$D$5)</f>
        <v>0</v>
      </c>
    </row>
    <row r="44" spans="1:264" s="12" customFormat="1" ht="15.75" hidden="1" x14ac:dyDescent="0.45">
      <c r="A44" s="33">
        <v>2.14</v>
      </c>
      <c r="B44" s="118"/>
      <c r="C44" s="119"/>
      <c r="D44" s="45" t="str">
        <f>IF(OR(j_WEEKDAY(J_ADDDAY(VLOOKUP(I44,A:F,6,FALSE),H44,1),0)=6,SUMIFS(Holieday[ok],Holieday[date],J_ADDDAY(VLOOKUP(I44,A:F,6,FALSE),H44,1)))=FALSE(),J_ADDDAY(VLOOKUP(I44,A:F,6,FALSE),H44,1),IF(OR(j_WEEKDAY(J_ADDDAY(VLOOKUP(I44,A:F,6,FALSE),H44+1,1),0)=6,SUMIFS(Holieday[ok],Holieday[date],J_ADDDAY(VLOOKUP(I44,A:F,6,FALSE),H44+1,1)))=FALSE(),J_ADDDAY(VLOOKUP(I44,A:F,6,FALSE),H44+1,1),IF(OR(j_WEEKDAY(J_ADDDAY(VLOOKUP(I44,A:F,6,FALSE),H44+2,1),0)=6,SUMIFS(Holieday[ok],Holieday[date],J_ADDDAY(VLOOKUP(I44,A:F,6,FALSE),H44+2,1)))=FALSE(),J_ADDDAY(VLOOKUP(I44,A:F,6,FALSE),H44+2,1),IF(OR(j_WEEKDAY(J_ADDDAY(VLOOKUP(I44,A:F,6,FALSE),H44+3,1),0)=6,SUMIFS(Holieday[ok],Holieday[date],J_ADDDAY(VLOOKUP(I44,A:F,6,FALSE),H44+3,1)))=FALSE(),J_ADDDAY(VLOOKUP(I44,A:F,6,FALSE),H44+3,1),IF(OR(j_WEEKDAY(J_ADDDAY(VLOOKUP(I44,A:F,6,FALSE),H44+4,1),0)=6,SUMIFS(Holieday[ok],Holieday[date],J_ADDDAY(VLOOKUP(I44,A:F,6,FALSE),H44+4,1)))=FALSE(),J_ADDDAY(VLOOKUP(I44,A:F,6,FALSE),H44+4,1),J_ADDDAY(VLOOKUP(I44,A:F,6,FALSE),H44+5,1))))))</f>
        <v>1398/06/02</v>
      </c>
      <c r="E44" s="2">
        <f t="shared" si="15"/>
        <v>13980602</v>
      </c>
      <c r="F44" s="10" t="str">
        <f>IF(N44=0,J_SUBDAY(D44,1,1)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0,J_SUBDAY(J_ADDDAY(D44,N44,1)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1,J_SUBDAY(J_ADDDAY(D44,N44+1,1),1,1),IF((N44-NETWORKDAYS.INTL(J_GregorianDate(D44,1),J_GregorianDate(J_SUBDAY(J_ADDDAY(D44,N44,1),1,1),1),16,1)-SUMIFS(Holieday[ok],Holieday[date],CONCATENATE("&gt;","=",D44),Holieday[date],CONCATENATE("&lt;","=",J_SUBDAY(J_ADDDAY(D44,N44,1),1,1)))+SUMIFS(Holieday[Friday],Holieday[date],CONCATENATE("&gt;","=",D44),Holieday[date],CONCATENATE("&lt;","=",J_SUBDAY(J_ADDDAY(D44,N44,1),1,1))))=2,J_SUBDAY(J_ADDDAY(D44,N44+2,1),1,1),J_SUBDAY(J_ADDDAY(D44,N44+3,1),1,1)))))</f>
        <v>1398/06/01</v>
      </c>
      <c r="G44" s="3">
        <f t="shared" si="16"/>
        <v>13980601</v>
      </c>
      <c r="H44" s="121"/>
      <c r="I44" s="122">
        <v>2.6</v>
      </c>
      <c r="J44" s="10" t="str">
        <f>j_WEEKDAY(D44,1)</f>
        <v>شنبه</v>
      </c>
      <c r="K44" s="23">
        <f t="shared" si="11"/>
        <v>0</v>
      </c>
      <c r="L44" s="9">
        <f t="shared" si="12"/>
        <v>0</v>
      </c>
      <c r="M44" s="123">
        <v>0</v>
      </c>
      <c r="N44" s="120">
        <v>0</v>
      </c>
      <c r="O44" s="11">
        <f t="shared" si="13"/>
        <v>0</v>
      </c>
      <c r="P44" s="11">
        <f>VALUE(J_normdate(J_ADDDAY($D44,$O44,1)))</f>
        <v>13980602</v>
      </c>
      <c r="Q44" s="10">
        <f t="shared" si="14"/>
        <v>0</v>
      </c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  <c r="ES44" s="8"/>
      <c r="ET44" s="8"/>
      <c r="EU44" s="8"/>
      <c r="EV44" s="8"/>
      <c r="EW44" s="8"/>
      <c r="EX44" s="8"/>
      <c r="EY44" s="8"/>
      <c r="EZ44" s="8"/>
      <c r="FA44" s="8"/>
      <c r="FB44" s="8"/>
      <c r="FC44" s="8"/>
      <c r="FD44" s="8"/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/>
      <c r="FR44" s="8"/>
      <c r="FS44" s="8"/>
      <c r="FT44" s="8"/>
      <c r="FU44" s="8"/>
      <c r="FV44" s="8"/>
      <c r="FW44" s="8"/>
      <c r="FX44" s="8"/>
      <c r="FY44" s="8"/>
      <c r="FZ44" s="8"/>
      <c r="GA44" s="8"/>
      <c r="GB44" s="8"/>
      <c r="GC44" s="8"/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/>
      <c r="GO44" s="8"/>
      <c r="GP44" s="8"/>
      <c r="GQ44" s="8"/>
      <c r="GR44" s="8"/>
      <c r="GS44" s="8"/>
      <c r="GT44" s="8"/>
      <c r="GU44" s="8"/>
      <c r="GV44" s="8"/>
      <c r="GW44" s="8"/>
      <c r="GX44" s="8"/>
      <c r="GY44" s="8"/>
      <c r="GZ44" s="8"/>
      <c r="HA44" s="8"/>
      <c r="HB44" s="8"/>
      <c r="HC44" s="8"/>
      <c r="HD44" s="8"/>
      <c r="HE44" s="8"/>
      <c r="HF44" s="8"/>
      <c r="HG44" s="8"/>
      <c r="HH44" s="8"/>
      <c r="HI44" s="8"/>
      <c r="HJ44" s="8"/>
      <c r="HK44" s="8"/>
      <c r="HL44" s="8"/>
      <c r="HM44" s="8"/>
      <c r="HN44" s="8"/>
      <c r="HO44" s="8"/>
      <c r="HP44" s="8"/>
      <c r="HQ44" s="8"/>
      <c r="HR44" s="8"/>
      <c r="HS44" s="8"/>
      <c r="HT44" s="8"/>
      <c r="HU44" s="8"/>
      <c r="HV44" s="8"/>
      <c r="HW44" s="8"/>
      <c r="HX44" s="8"/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/>
      <c r="IJ44" s="8"/>
      <c r="IK44" s="8"/>
      <c r="IL44" s="8"/>
      <c r="IM44" s="8"/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JA44" s="241"/>
      <c r="JB44" s="241"/>
      <c r="JC44" s="242"/>
      <c r="JD44" s="72">
        <f>SUM((TEXT(JA44,"[M]")/60)*'Income Person-hours'!$D$3,(TEXT(JB44,"[M]")/60)*'Income Person-hours'!$D$4,(TEXT(JC44,"[M]")/60)*'Income Person-hours'!$D$5)</f>
        <v>0</v>
      </c>
    </row>
    <row r="45" spans="1:264" s="12" customFormat="1" ht="15.75" hidden="1" x14ac:dyDescent="0.45">
      <c r="A45" s="33">
        <v>2.15</v>
      </c>
      <c r="B45" s="128"/>
      <c r="C45" s="119"/>
      <c r="D45" s="8" t="str">
        <f>IF(OR(j_WEEKDAY(J_ADDDAY(VLOOKUP(I45,A:F,6,FALSE),H45,1),0)=6,SUMIFS(Holieday[ok],Holieday[date],J_ADDDAY(VLOOKUP(I45,A:F,6,FALSE),H45,1)))=FALSE(),J_ADDDAY(VLOOKUP(I45,A:F,6,FALSE),H45,1),IF(OR(j_WEEKDAY(J_ADDDAY(VLOOKUP(I45,A:F,6,FALSE),H45+1,1),0)=6,SUMIFS(Holieday[ok],Holieday[date],J_ADDDAY(VLOOKUP(I45,A:F,6,FALSE),H45+1,1)))=FALSE(),J_ADDDAY(VLOOKUP(I45,A:F,6,FALSE),H45+1,1),IF(OR(j_WEEKDAY(J_ADDDAY(VLOOKUP(I45,A:F,6,FALSE),H45+2,1),0)=6,SUMIFS(Holieday[ok],Holieday[date],J_ADDDAY(VLOOKUP(I45,A:F,6,FALSE),H45+2,1)))=FALSE(),J_ADDDAY(VLOOKUP(I45,A:F,6,FALSE),H45+2,1),IF(OR(j_WEEKDAY(J_ADDDAY(VLOOKUP(I45,A:F,6,FALSE),H45+3,1),0)=6,SUMIFS(Holieday[ok],Holieday[date],J_ADDDAY(VLOOKUP(I45,A:F,6,FALSE),H45+3,1)))=FALSE(),J_ADDDAY(VLOOKUP(I45,A:F,6,FALSE),H45+3,1),IF(OR(j_WEEKDAY(J_ADDDAY(VLOOKUP(I45,A:F,6,FALSE),H45+4,1),0)=6,SUMIFS(Holieday[ok],Holieday[date],J_ADDDAY(VLOOKUP(I45,A:F,6,FALSE),H45+4,1)))=FALSE(),J_ADDDAY(VLOOKUP(I45,A:F,6,FALSE),H45+4,1),J_ADDDAY(VLOOKUP(I45,A:F,6,FALSE),H45+5,1))))))</f>
        <v>1398/06/02</v>
      </c>
      <c r="E45" s="2">
        <f t="shared" si="15"/>
        <v>13980602</v>
      </c>
      <c r="F45" s="13" t="str">
        <f>IF(N45=0,J_SUBDAY(D45,1,1)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0,J_SUBDAY(J_ADDDAY(D45,N45,1)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1,J_SUBDAY(J_ADDDAY(D45,N45+1,1),1,1),IF((N45-NETWORKDAYS.INTL(J_GregorianDate(D45,1),J_GregorianDate(J_SUBDAY(J_ADDDAY(D45,N45,1),1,1),1),16,1)-SUMIFS(Holieday[ok],Holieday[date],CONCATENATE("&gt;","=",D45),Holieday[date],CONCATENATE("&lt;","=",J_SUBDAY(J_ADDDAY(D45,N45,1),1,1)))+SUMIFS(Holieday[Friday],Holieday[date],CONCATENATE("&gt;","=",D45),Holieday[date],CONCATENATE("&lt;","=",J_SUBDAY(J_ADDDAY(D45,N45,1),1,1))))=2,J_SUBDAY(J_ADDDAY(D45,N45+2,1),1,1),J_SUBDAY(J_ADDDAY(D45,N45+3,1),1,1)))))</f>
        <v>1398/06/01</v>
      </c>
      <c r="G45" s="3">
        <f t="shared" si="16"/>
        <v>13980601</v>
      </c>
      <c r="H45" s="121"/>
      <c r="I45" s="122">
        <v>2.6</v>
      </c>
      <c r="J45" s="10" t="str">
        <f>j_WEEKDAY(D45,1)</f>
        <v>شنبه</v>
      </c>
      <c r="K45" s="23">
        <f t="shared" si="11"/>
        <v>0</v>
      </c>
      <c r="L45" s="9">
        <f t="shared" si="12"/>
        <v>0</v>
      </c>
      <c r="M45" s="123">
        <v>0</v>
      </c>
      <c r="N45" s="120">
        <v>0</v>
      </c>
      <c r="O45" s="11">
        <f t="shared" si="13"/>
        <v>0</v>
      </c>
      <c r="P45" s="11">
        <f>VALUE(J_normdate(J_ADDDAY($D45,$O45,1)))</f>
        <v>13980602</v>
      </c>
      <c r="Q45" s="10">
        <f t="shared" si="14"/>
        <v>0</v>
      </c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/>
      <c r="EZ45" s="8"/>
      <c r="FA45" s="8"/>
      <c r="FB45" s="8"/>
      <c r="FC45" s="8"/>
      <c r="FD45" s="8"/>
      <c r="FE45" s="8"/>
      <c r="FF45" s="8"/>
      <c r="FG45" s="8"/>
      <c r="FH45" s="8"/>
      <c r="FI45" s="8"/>
      <c r="FJ45" s="8"/>
      <c r="FK45" s="8"/>
      <c r="FL45" s="8"/>
      <c r="FM45" s="8"/>
      <c r="FN45" s="8"/>
      <c r="FO45" s="8"/>
      <c r="FP45" s="8"/>
      <c r="FQ45" s="8"/>
      <c r="FR45" s="8"/>
      <c r="FS45" s="8"/>
      <c r="FT45" s="8"/>
      <c r="FU45" s="8"/>
      <c r="FV45" s="8"/>
      <c r="FW45" s="8"/>
      <c r="FX45" s="8"/>
      <c r="FY45" s="8"/>
      <c r="FZ45" s="8"/>
      <c r="GA45" s="8"/>
      <c r="GB45" s="8"/>
      <c r="GC45" s="8"/>
      <c r="GD45" s="8"/>
      <c r="GE45" s="8"/>
      <c r="GF45" s="8"/>
      <c r="GG45" s="8"/>
      <c r="GH45" s="8"/>
      <c r="GI45" s="8"/>
      <c r="GJ45" s="8"/>
      <c r="GK45" s="8"/>
      <c r="GL45" s="8"/>
      <c r="GM45" s="8"/>
      <c r="GN45" s="8"/>
      <c r="GO45" s="8"/>
      <c r="GP45" s="8"/>
      <c r="GQ45" s="8"/>
      <c r="GR45" s="8"/>
      <c r="GS45" s="8"/>
      <c r="GT45" s="8"/>
      <c r="GU45" s="8"/>
      <c r="GV45" s="8"/>
      <c r="GW45" s="8"/>
      <c r="GX45" s="8"/>
      <c r="GY45" s="8"/>
      <c r="GZ45" s="8"/>
      <c r="HA45" s="8"/>
      <c r="HB45" s="8"/>
      <c r="HC45" s="8"/>
      <c r="HD45" s="8"/>
      <c r="HE45" s="8"/>
      <c r="HF45" s="8"/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/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/>
      <c r="IL45" s="8"/>
      <c r="IM45" s="8"/>
      <c r="IN45" s="8"/>
      <c r="IO45" s="8"/>
      <c r="IP45" s="8"/>
      <c r="IQ45" s="8"/>
      <c r="IR45" s="8"/>
      <c r="IS45" s="8"/>
      <c r="IT45" s="8"/>
      <c r="IU45" s="8"/>
      <c r="IV45" s="8"/>
      <c r="IW45" s="8"/>
      <c r="IX45" s="8"/>
      <c r="JA45" s="125"/>
      <c r="JB45" s="125"/>
      <c r="JC45" s="125"/>
      <c r="JD45" s="72">
        <f>SUM((TEXT(JA45,"[M]")/60)*'Income Person-hours'!$D$3,(TEXT(JB45,"[M]")/60)*'Income Person-hours'!$D$4,(TEXT(JC45,"[M]")/60)*'Income Person-hours'!$D$5)</f>
        <v>0</v>
      </c>
    </row>
    <row r="46" spans="1:264" s="12" customFormat="1" ht="15.75" hidden="1" x14ac:dyDescent="0.45">
      <c r="A46" s="33">
        <v>2.16</v>
      </c>
      <c r="B46" s="128"/>
      <c r="C46" s="119"/>
      <c r="D46" s="8" t="str">
        <f>IF(OR(j_WEEKDAY(J_ADDDAY(VLOOKUP(I46,A:F,6,FALSE),H46,1),0)=6,SUMIFS(Holieday[ok],Holieday[date],J_ADDDAY(VLOOKUP(I46,A:F,6,FALSE),H46,1)))=FALSE(),J_ADDDAY(VLOOKUP(I46,A:F,6,FALSE),H46,1),IF(OR(j_WEEKDAY(J_ADDDAY(VLOOKUP(I46,A:F,6,FALSE),H46+1,1),0)=6,SUMIFS(Holieday[ok],Holieday[date],J_ADDDAY(VLOOKUP(I46,A:F,6,FALSE),H46+1,1)))=FALSE(),J_ADDDAY(VLOOKUP(I46,A:F,6,FALSE),H46+1,1),IF(OR(j_WEEKDAY(J_ADDDAY(VLOOKUP(I46,A:F,6,FALSE),H46+2,1),0)=6,SUMIFS(Holieday[ok],Holieday[date],J_ADDDAY(VLOOKUP(I46,A:F,6,FALSE),H46+2,1)))=FALSE(),J_ADDDAY(VLOOKUP(I46,A:F,6,FALSE),H46+2,1),IF(OR(j_WEEKDAY(J_ADDDAY(VLOOKUP(I46,A:F,6,FALSE),H46+3,1),0)=6,SUMIFS(Holieday[ok],Holieday[date],J_ADDDAY(VLOOKUP(I46,A:F,6,FALSE),H46+3,1)))=FALSE(),J_ADDDAY(VLOOKUP(I46,A:F,6,FALSE),H46+3,1),IF(OR(j_WEEKDAY(J_ADDDAY(VLOOKUP(I46,A:F,6,FALSE),H46+4,1),0)=6,SUMIFS(Holieday[ok],Holieday[date],J_ADDDAY(VLOOKUP(I46,A:F,6,FALSE),H46+4,1)))=FALSE(),J_ADDDAY(VLOOKUP(I46,A:F,6,FALSE),H46+4,1),J_ADDDAY(VLOOKUP(I46,A:F,6,FALSE),H46+5,1))))))</f>
        <v>1398/06/02</v>
      </c>
      <c r="E46" s="2">
        <f t="shared" si="15"/>
        <v>13980602</v>
      </c>
      <c r="F46" s="13" t="str">
        <f>IF(N46=0,J_SUBDAY(D46,1,1)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0,J_SUBDAY(J_ADDDAY(D46,N46,1)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1,J_SUBDAY(J_ADDDAY(D46,N46+1,1),1,1),IF((N46-NETWORKDAYS.INTL(J_GregorianDate(D46,1),J_GregorianDate(J_SUBDAY(J_ADDDAY(D46,N46,1),1,1),1),16,1)-SUMIFS(Holieday[ok],Holieday[date],CONCATENATE("&gt;","=",D46),Holieday[date],CONCATENATE("&lt;","=",J_SUBDAY(J_ADDDAY(D46,N46,1),1,1)))+SUMIFS(Holieday[Friday],Holieday[date],CONCATENATE("&gt;","=",D46),Holieday[date],CONCATENATE("&lt;","=",J_SUBDAY(J_ADDDAY(D46,N46,1),1,1))))=2,J_SUBDAY(J_ADDDAY(D46,N46+2,1),1,1),J_SUBDAY(J_ADDDAY(D46,N46+3,1),1,1)))))</f>
        <v>1398/06/01</v>
      </c>
      <c r="G46" s="3">
        <f t="shared" si="16"/>
        <v>13980601</v>
      </c>
      <c r="H46" s="121"/>
      <c r="I46" s="122">
        <v>2.6</v>
      </c>
      <c r="J46" s="10" t="str">
        <f>j_WEEKDAY(D46,1)</f>
        <v>شنبه</v>
      </c>
      <c r="K46" s="23">
        <f t="shared" si="11"/>
        <v>0</v>
      </c>
      <c r="L46" s="9">
        <f t="shared" si="12"/>
        <v>0</v>
      </c>
      <c r="M46" s="123">
        <v>0</v>
      </c>
      <c r="N46" s="120">
        <v>0</v>
      </c>
      <c r="O46" s="11">
        <f t="shared" si="13"/>
        <v>0</v>
      </c>
      <c r="P46" s="11">
        <f>VALUE(J_normdate(J_ADDDAY($D46,$O46,1)))</f>
        <v>13980602</v>
      </c>
      <c r="Q46" s="10">
        <f t="shared" si="14"/>
        <v>0</v>
      </c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  <c r="ES46" s="8"/>
      <c r="ET46" s="8"/>
      <c r="EU46" s="8"/>
      <c r="EV46" s="8"/>
      <c r="EW46" s="8"/>
      <c r="EX46" s="8"/>
      <c r="EY46" s="8"/>
      <c r="EZ46" s="8"/>
      <c r="FA46" s="8"/>
      <c r="FB46" s="8"/>
      <c r="FC46" s="8"/>
      <c r="FD46" s="8"/>
      <c r="FE46" s="8"/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/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/>
      <c r="HE46" s="8"/>
      <c r="HF46" s="8"/>
      <c r="HG46" s="8"/>
      <c r="HH46" s="8"/>
      <c r="HI46" s="8"/>
      <c r="HJ46" s="8"/>
      <c r="HK46" s="8"/>
      <c r="HL46" s="8"/>
      <c r="HM46" s="8"/>
      <c r="HN46" s="8"/>
      <c r="HO46" s="8"/>
      <c r="HP46" s="8"/>
      <c r="HQ46" s="8"/>
      <c r="HR46" s="8"/>
      <c r="HS46" s="8"/>
      <c r="HT46" s="8"/>
      <c r="HU46" s="8"/>
      <c r="HV46" s="8"/>
      <c r="HW46" s="8"/>
      <c r="HX46" s="8"/>
      <c r="HY46" s="8"/>
      <c r="HZ46" s="8"/>
      <c r="IA46" s="8"/>
      <c r="IB46" s="8"/>
      <c r="IC46" s="8"/>
      <c r="ID46" s="8"/>
      <c r="IE46" s="8"/>
      <c r="IF46" s="8"/>
      <c r="IG46" s="8"/>
      <c r="IH46" s="8"/>
      <c r="II46" s="8"/>
      <c r="IJ46" s="8"/>
      <c r="IK46" s="8"/>
      <c r="IL46" s="8"/>
      <c r="IM46" s="8"/>
      <c r="IN46" s="8"/>
      <c r="IO46" s="8"/>
      <c r="IP46" s="8"/>
      <c r="IQ46" s="8"/>
      <c r="IR46" s="8"/>
      <c r="IS46" s="8"/>
      <c r="IT46" s="8"/>
      <c r="IU46" s="8"/>
      <c r="IV46" s="8"/>
      <c r="IW46" s="8"/>
      <c r="IX46" s="8"/>
      <c r="JA46" s="125"/>
      <c r="JB46" s="125"/>
      <c r="JC46" s="125"/>
      <c r="JD46" s="72">
        <f>SUM((TEXT(JA46,"[M]")/60)*'Income Person-hours'!$D$3,(TEXT(JB46,"[M]")/60)*'Income Person-hours'!$D$4,(TEXT(JC46,"[M]")/60)*'Income Person-hours'!$D$5)</f>
        <v>0</v>
      </c>
    </row>
    <row r="47" spans="1:264" s="12" customFormat="1" ht="15.75" hidden="1" x14ac:dyDescent="0.45">
      <c r="A47" s="33">
        <v>2.17</v>
      </c>
      <c r="B47" s="128"/>
      <c r="C47" s="119"/>
      <c r="D47" s="8" t="str">
        <f>IF(OR(j_WEEKDAY(J_ADDDAY(VLOOKUP(I47,A:F,6,FALSE),H47,1),0)=6,SUMIFS(Holieday[ok],Holieday[date],J_ADDDAY(VLOOKUP(I47,A:F,6,FALSE),H47,1)))=FALSE(),J_ADDDAY(VLOOKUP(I47,A:F,6,FALSE),H47,1),IF(OR(j_WEEKDAY(J_ADDDAY(VLOOKUP(I47,A:F,6,FALSE),H47+1,1),0)=6,SUMIFS(Holieday[ok],Holieday[date],J_ADDDAY(VLOOKUP(I47,A:F,6,FALSE),H47+1,1)))=FALSE(),J_ADDDAY(VLOOKUP(I47,A:F,6,FALSE),H47+1,1),IF(OR(j_WEEKDAY(J_ADDDAY(VLOOKUP(I47,A:F,6,FALSE),H47+2,1),0)=6,SUMIFS(Holieday[ok],Holieday[date],J_ADDDAY(VLOOKUP(I47,A:F,6,FALSE),H47+2,1)))=FALSE(),J_ADDDAY(VLOOKUP(I47,A:F,6,FALSE),H47+2,1),IF(OR(j_WEEKDAY(J_ADDDAY(VLOOKUP(I47,A:F,6,FALSE),H47+3,1),0)=6,SUMIFS(Holieday[ok],Holieday[date],J_ADDDAY(VLOOKUP(I47,A:F,6,FALSE),H47+3,1)))=FALSE(),J_ADDDAY(VLOOKUP(I47,A:F,6,FALSE),H47+3,1),IF(OR(j_WEEKDAY(J_ADDDAY(VLOOKUP(I47,A:F,6,FALSE),H47+4,1),0)=6,SUMIFS(Holieday[ok],Holieday[date],J_ADDDAY(VLOOKUP(I47,A:F,6,FALSE),H47+4,1)))=FALSE(),J_ADDDAY(VLOOKUP(I47,A:F,6,FALSE),H47+4,1),J_ADDDAY(VLOOKUP(I47,A:F,6,FALSE),H47+5,1))))))</f>
        <v>1398/06/02</v>
      </c>
      <c r="E47" s="2">
        <f t="shared" si="15"/>
        <v>13980602</v>
      </c>
      <c r="F47" s="13" t="str">
        <f>IF(N47=0,J_SUBDAY(D47,1,1)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0,J_SUBDAY(J_ADDDAY(D47,N47,1)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1,J_SUBDAY(J_ADDDAY(D47,N47+1,1),1,1),IF((N47-NETWORKDAYS.INTL(J_GregorianDate(D47,1),J_GregorianDate(J_SUBDAY(J_ADDDAY(D47,N47,1),1,1),1),16,1)-SUMIFS(Holieday[ok],Holieday[date],CONCATENATE("&gt;","=",D47),Holieday[date],CONCATENATE("&lt;","=",J_SUBDAY(J_ADDDAY(D47,N47,1),1,1)))+SUMIFS(Holieday[Friday],Holieday[date],CONCATENATE("&gt;","=",D47),Holieday[date],CONCATENATE("&lt;","=",J_SUBDAY(J_ADDDAY(D47,N47,1),1,1))))=2,J_SUBDAY(J_ADDDAY(D47,N47+2,1),1,1),J_SUBDAY(J_ADDDAY(D47,N47+3,1),1,1)))))</f>
        <v>1398/06/01</v>
      </c>
      <c r="G47" s="3">
        <f t="shared" si="16"/>
        <v>13980601</v>
      </c>
      <c r="H47" s="121"/>
      <c r="I47" s="122">
        <v>2.6</v>
      </c>
      <c r="J47" s="10" t="str">
        <f>j_WEEKDAY(D47,1)</f>
        <v>شنبه</v>
      </c>
      <c r="K47" s="23">
        <f t="shared" si="11"/>
        <v>0</v>
      </c>
      <c r="L47" s="9">
        <f t="shared" si="12"/>
        <v>0</v>
      </c>
      <c r="M47" s="123">
        <v>0</v>
      </c>
      <c r="N47" s="120">
        <v>0</v>
      </c>
      <c r="O47" s="11">
        <f t="shared" si="13"/>
        <v>0</v>
      </c>
      <c r="P47" s="11">
        <f>VALUE(J_normdate(J_ADDDAY($D47,$O47,1)))</f>
        <v>13980602</v>
      </c>
      <c r="Q47" s="10">
        <f t="shared" si="14"/>
        <v>0</v>
      </c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  <c r="ES47" s="8"/>
      <c r="ET47" s="8"/>
      <c r="EU47" s="8"/>
      <c r="EV47" s="8"/>
      <c r="EW47" s="8"/>
      <c r="EX47" s="8"/>
      <c r="EY47" s="8"/>
      <c r="EZ47" s="8"/>
      <c r="FA47" s="8"/>
      <c r="FB47" s="8"/>
      <c r="FC47" s="8"/>
      <c r="FD47" s="8"/>
      <c r="FE47" s="8"/>
      <c r="FF47" s="8"/>
      <c r="FG47" s="8"/>
      <c r="FH47" s="8"/>
      <c r="FI47" s="8"/>
      <c r="FJ47" s="8"/>
      <c r="FK47" s="8"/>
      <c r="FL47" s="8"/>
      <c r="FM47" s="8"/>
      <c r="FN47" s="8"/>
      <c r="FO47" s="8"/>
      <c r="FP47" s="8"/>
      <c r="FQ47" s="8"/>
      <c r="FR47" s="8"/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/>
      <c r="GP47" s="8"/>
      <c r="GQ47" s="8"/>
      <c r="GR47" s="8"/>
      <c r="GS47" s="8"/>
      <c r="GT47" s="8"/>
      <c r="GU47" s="8"/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/>
      <c r="HH47" s="8"/>
      <c r="HI47" s="8"/>
      <c r="HJ47" s="8"/>
      <c r="HK47" s="8"/>
      <c r="HL47" s="8"/>
      <c r="HM47" s="8"/>
      <c r="HN47" s="8"/>
      <c r="HO47" s="8"/>
      <c r="HP47" s="8"/>
      <c r="HQ47" s="8"/>
      <c r="HR47" s="8"/>
      <c r="HS47" s="8"/>
      <c r="HT47" s="8"/>
      <c r="HU47" s="8"/>
      <c r="HV47" s="8"/>
      <c r="HW47" s="8"/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/>
      <c r="II47" s="8"/>
      <c r="IJ47" s="8"/>
      <c r="IK47" s="8"/>
      <c r="IL47" s="8"/>
      <c r="IM47" s="8"/>
      <c r="IN47" s="8"/>
      <c r="IO47" s="8"/>
      <c r="IP47" s="8"/>
      <c r="IQ47" s="8"/>
      <c r="IR47" s="8"/>
      <c r="IS47" s="8"/>
      <c r="IT47" s="8"/>
      <c r="IU47" s="8"/>
      <c r="IV47" s="8"/>
      <c r="IW47" s="8"/>
      <c r="IX47" s="8"/>
      <c r="JA47" s="125"/>
      <c r="JB47" s="125"/>
      <c r="JC47" s="125"/>
      <c r="JD47" s="72">
        <f>SUM((TEXT(JA47,"[M]")/60)*'Income Person-hours'!$D$3,(TEXT(JB47,"[M]")/60)*'Income Person-hours'!$D$4,(TEXT(JC47,"[M]")/60)*'Income Person-hours'!$D$5)</f>
        <v>0</v>
      </c>
    </row>
    <row r="48" spans="1:264" s="12" customFormat="1" ht="15.75" hidden="1" x14ac:dyDescent="0.45">
      <c r="A48" s="33">
        <v>2.1800000000000002</v>
      </c>
      <c r="B48" s="128"/>
      <c r="C48" s="119"/>
      <c r="D48" s="8" t="str">
        <f>IF(OR(j_WEEKDAY(J_ADDDAY(VLOOKUP(I48,A:F,6,FALSE),H48,1),0)=6,SUMIFS(Holieday[ok],Holieday[date],J_ADDDAY(VLOOKUP(I48,A:F,6,FALSE),H48,1)))=FALSE(),J_ADDDAY(VLOOKUP(I48,A:F,6,FALSE),H48,1),IF(OR(j_WEEKDAY(J_ADDDAY(VLOOKUP(I48,A:F,6,FALSE),H48+1,1),0)=6,SUMIFS(Holieday[ok],Holieday[date],J_ADDDAY(VLOOKUP(I48,A:F,6,FALSE),H48+1,1)))=FALSE(),J_ADDDAY(VLOOKUP(I48,A:F,6,FALSE),H48+1,1),IF(OR(j_WEEKDAY(J_ADDDAY(VLOOKUP(I48,A:F,6,FALSE),H48+2,1),0)=6,SUMIFS(Holieday[ok],Holieday[date],J_ADDDAY(VLOOKUP(I48,A:F,6,FALSE),H48+2,1)))=FALSE(),J_ADDDAY(VLOOKUP(I48,A:F,6,FALSE),H48+2,1),IF(OR(j_WEEKDAY(J_ADDDAY(VLOOKUP(I48,A:F,6,FALSE),H48+3,1),0)=6,SUMIFS(Holieday[ok],Holieday[date],J_ADDDAY(VLOOKUP(I48,A:F,6,FALSE),H48+3,1)))=FALSE(),J_ADDDAY(VLOOKUP(I48,A:F,6,FALSE),H48+3,1),IF(OR(j_WEEKDAY(J_ADDDAY(VLOOKUP(I48,A:F,6,FALSE),H48+4,1),0)=6,SUMIFS(Holieday[ok],Holieday[date],J_ADDDAY(VLOOKUP(I48,A:F,6,FALSE),H48+4,1)))=FALSE(),J_ADDDAY(VLOOKUP(I48,A:F,6,FALSE),H48+4,1),J_ADDDAY(VLOOKUP(I48,A:F,6,FALSE),H48+5,1))))))</f>
        <v>1398/06/02</v>
      </c>
      <c r="E48" s="2">
        <f t="shared" si="15"/>
        <v>13980602</v>
      </c>
      <c r="F48" s="13" t="str">
        <f>IF(N48=0,J_SUBDAY(D48,1,1)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0,J_SUBDAY(J_ADDDAY(D48,N48,1)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1,J_SUBDAY(J_ADDDAY(D48,N48+1,1),1,1),IF((N48-NETWORKDAYS.INTL(J_GregorianDate(D48,1),J_GregorianDate(J_SUBDAY(J_ADDDAY(D48,N48,1),1,1),1),16,1)-SUMIFS(Holieday[ok],Holieday[date],CONCATENATE("&gt;","=",D48),Holieday[date],CONCATENATE("&lt;","=",J_SUBDAY(J_ADDDAY(D48,N48,1),1,1)))+SUMIFS(Holieday[Friday],Holieday[date],CONCATENATE("&gt;","=",D48),Holieday[date],CONCATENATE("&lt;","=",J_SUBDAY(J_ADDDAY(D48,N48,1),1,1))))=2,J_SUBDAY(J_ADDDAY(D48,N48+2,1),1,1),J_SUBDAY(J_ADDDAY(D48,N48+3,1),1,1)))))</f>
        <v>1398/06/01</v>
      </c>
      <c r="G48" s="3">
        <f t="shared" si="16"/>
        <v>13980601</v>
      </c>
      <c r="H48" s="121"/>
      <c r="I48" s="122">
        <v>2.6</v>
      </c>
      <c r="J48" s="10" t="str">
        <f>j_WEEKDAY(D48,1)</f>
        <v>شنبه</v>
      </c>
      <c r="K48" s="23">
        <f t="shared" si="11"/>
        <v>0</v>
      </c>
      <c r="L48" s="9">
        <f t="shared" si="12"/>
        <v>0</v>
      </c>
      <c r="M48" s="123">
        <v>0</v>
      </c>
      <c r="N48" s="120">
        <v>0</v>
      </c>
      <c r="O48" s="11">
        <f t="shared" si="13"/>
        <v>0</v>
      </c>
      <c r="P48" s="11">
        <f>VALUE(J_normdate(J_ADDDAY($D48,$O48,1)))</f>
        <v>13980602</v>
      </c>
      <c r="Q48" s="10">
        <f t="shared" si="14"/>
        <v>0</v>
      </c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/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/>
      <c r="FN48" s="8"/>
      <c r="FO48" s="8"/>
      <c r="FP48" s="8"/>
      <c r="FQ48" s="8"/>
      <c r="FR48" s="8"/>
      <c r="FS48" s="8"/>
      <c r="FT48" s="8"/>
      <c r="FU48" s="8"/>
      <c r="FV48" s="8"/>
      <c r="FW48" s="8"/>
      <c r="FX48" s="8"/>
      <c r="FY48" s="8"/>
      <c r="FZ48" s="8"/>
      <c r="GA48" s="8"/>
      <c r="GB48" s="8"/>
      <c r="GC48" s="8"/>
      <c r="GD48" s="8"/>
      <c r="GE48" s="8"/>
      <c r="GF48" s="8"/>
      <c r="GG48" s="8"/>
      <c r="GH48" s="8"/>
      <c r="GI48" s="8"/>
      <c r="GJ48" s="8"/>
      <c r="GK48" s="8"/>
      <c r="GL48" s="8"/>
      <c r="GM48" s="8"/>
      <c r="GN48" s="8"/>
      <c r="GO48" s="8"/>
      <c r="GP48" s="8"/>
      <c r="GQ48" s="8"/>
      <c r="GR48" s="8"/>
      <c r="GS48" s="8"/>
      <c r="GT48" s="8"/>
      <c r="GU48" s="8"/>
      <c r="GV48" s="8"/>
      <c r="GW48" s="8"/>
      <c r="GX48" s="8"/>
      <c r="GY48" s="8"/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/>
      <c r="IP48" s="8"/>
      <c r="IQ48" s="8"/>
      <c r="IR48" s="8"/>
      <c r="IS48" s="8"/>
      <c r="IT48" s="8"/>
      <c r="IU48" s="8"/>
      <c r="IV48" s="8"/>
      <c r="IW48" s="8"/>
      <c r="IX48" s="8"/>
      <c r="JA48" s="125"/>
      <c r="JB48" s="125"/>
      <c r="JC48" s="125"/>
      <c r="JD48" s="72">
        <f>SUM((TEXT(JA48,"[M]")/60)*'Income Person-hours'!$D$3,(TEXT(JB48,"[M]")/60)*'Income Person-hours'!$D$4,(TEXT(JC48,"[M]")/60)*'Income Person-hours'!$D$5)</f>
        <v>0</v>
      </c>
    </row>
    <row r="49" spans="1:16384" s="12" customFormat="1" ht="15.75" hidden="1" x14ac:dyDescent="0.45">
      <c r="A49" s="33">
        <v>2.19</v>
      </c>
      <c r="B49" s="128"/>
      <c r="C49" s="119"/>
      <c r="D49" s="8" t="str">
        <f>IF(OR(j_WEEKDAY(J_ADDDAY(VLOOKUP(I49,A:F,6,FALSE),H49,1),0)=6,SUMIFS(Holieday[ok],Holieday[date],J_ADDDAY(VLOOKUP(I49,A:F,6,FALSE),H49,1)))=FALSE(),J_ADDDAY(VLOOKUP(I49,A:F,6,FALSE),H49,1),IF(OR(j_WEEKDAY(J_ADDDAY(VLOOKUP(I49,A:F,6,FALSE),H49+1,1),0)=6,SUMIFS(Holieday[ok],Holieday[date],J_ADDDAY(VLOOKUP(I49,A:F,6,FALSE),H49+1,1)))=FALSE(),J_ADDDAY(VLOOKUP(I49,A:F,6,FALSE),H49+1,1),IF(OR(j_WEEKDAY(J_ADDDAY(VLOOKUP(I49,A:F,6,FALSE),H49+2,1),0)=6,SUMIFS(Holieday[ok],Holieday[date],J_ADDDAY(VLOOKUP(I49,A:F,6,FALSE),H49+2,1)))=FALSE(),J_ADDDAY(VLOOKUP(I49,A:F,6,FALSE),H49+2,1),IF(OR(j_WEEKDAY(J_ADDDAY(VLOOKUP(I49,A:F,6,FALSE),H49+3,1),0)=6,SUMIFS(Holieday[ok],Holieday[date],J_ADDDAY(VLOOKUP(I49,A:F,6,FALSE),H49+3,1)))=FALSE(),J_ADDDAY(VLOOKUP(I49,A:F,6,FALSE),H49+3,1),IF(OR(j_WEEKDAY(J_ADDDAY(VLOOKUP(I49,A:F,6,FALSE),H49+4,1),0)=6,SUMIFS(Holieday[ok],Holieday[date],J_ADDDAY(VLOOKUP(I49,A:F,6,FALSE),H49+4,1)))=FALSE(),J_ADDDAY(VLOOKUP(I49,A:F,6,FALSE),H49+4,1),J_ADDDAY(VLOOKUP(I49,A:F,6,FALSE),H49+5,1))))))</f>
        <v>1398/06/02</v>
      </c>
      <c r="E49" s="2">
        <f t="shared" si="15"/>
        <v>13980602</v>
      </c>
      <c r="F49" s="13" t="str">
        <f>IF(N49=0,J_SUBDAY(D49,1,1)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0,J_SUBDAY(J_ADDDAY(D49,N49,1)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1,J_SUBDAY(J_ADDDAY(D49,N49+1,1),1,1),IF((N49-NETWORKDAYS.INTL(J_GregorianDate(D49,1),J_GregorianDate(J_SUBDAY(J_ADDDAY(D49,N49,1),1,1),1),16,1)-SUMIFS(Holieday[ok],Holieday[date],CONCATENATE("&gt;","=",D49),Holieday[date],CONCATENATE("&lt;","=",J_SUBDAY(J_ADDDAY(D49,N49,1),1,1)))+SUMIFS(Holieday[Friday],Holieday[date],CONCATENATE("&gt;","=",D49),Holieday[date],CONCATENATE("&lt;","=",J_SUBDAY(J_ADDDAY(D49,N49,1),1,1))))=2,J_SUBDAY(J_ADDDAY(D49,N49+2,1),1,1),J_SUBDAY(J_ADDDAY(D49,N49+3,1),1,1)))))</f>
        <v>1398/06/01</v>
      </c>
      <c r="G49" s="3">
        <f t="shared" si="16"/>
        <v>13980601</v>
      </c>
      <c r="H49" s="121"/>
      <c r="I49" s="122">
        <v>2.6</v>
      </c>
      <c r="J49" s="10" t="str">
        <f>j_WEEKDAY(D49,1)</f>
        <v>شنبه</v>
      </c>
      <c r="K49" s="23">
        <f t="shared" si="11"/>
        <v>0</v>
      </c>
      <c r="L49" s="9">
        <f t="shared" si="12"/>
        <v>0</v>
      </c>
      <c r="M49" s="123">
        <v>0</v>
      </c>
      <c r="N49" s="120">
        <v>0</v>
      </c>
      <c r="O49" s="11">
        <f t="shared" si="13"/>
        <v>0</v>
      </c>
      <c r="P49" s="11">
        <f>VALUE(J_normdate(J_ADDDAY($D49,$O49,1)))</f>
        <v>13980602</v>
      </c>
      <c r="Q49" s="10">
        <f t="shared" si="14"/>
        <v>0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/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/>
      <c r="FQ49" s="8"/>
      <c r="FR49" s="8"/>
      <c r="FS49" s="8"/>
      <c r="FT49" s="8"/>
      <c r="FU49" s="8"/>
      <c r="FV49" s="8"/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/>
      <c r="GL49" s="8"/>
      <c r="GM49" s="8"/>
      <c r="GN49" s="8"/>
      <c r="GO49" s="8"/>
      <c r="GP49" s="8"/>
      <c r="GQ49" s="8"/>
      <c r="GR49" s="8"/>
      <c r="GS49" s="8"/>
      <c r="GT49" s="8"/>
      <c r="GU49" s="8"/>
      <c r="GV49" s="8"/>
      <c r="GW49" s="8"/>
      <c r="GX49" s="8"/>
      <c r="GY49" s="8"/>
      <c r="GZ49" s="8"/>
      <c r="HA49" s="8"/>
      <c r="HB49" s="8"/>
      <c r="HC49" s="8"/>
      <c r="HD49" s="8"/>
      <c r="HE49" s="8"/>
      <c r="HF49" s="8"/>
      <c r="HG49" s="8"/>
      <c r="HH49" s="8"/>
      <c r="HI49" s="8"/>
      <c r="HJ49" s="8"/>
      <c r="HK49" s="8"/>
      <c r="HL49" s="8"/>
      <c r="HM49" s="8"/>
      <c r="HN49" s="8"/>
      <c r="HO49" s="8"/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/>
      <c r="IN49" s="8"/>
      <c r="IO49" s="8"/>
      <c r="IP49" s="8"/>
      <c r="IQ49" s="8"/>
      <c r="IR49" s="8"/>
      <c r="IS49" s="8"/>
      <c r="IT49" s="8"/>
      <c r="IU49" s="8"/>
      <c r="IV49" s="8"/>
      <c r="IW49" s="8"/>
      <c r="IX49" s="8"/>
      <c r="JA49" s="125"/>
      <c r="JB49" s="125"/>
      <c r="JC49" s="125"/>
      <c r="JD49" s="72">
        <f>SUM((TEXT(JA49,"[M]")/60)*'Income Person-hours'!$D$3,(TEXT(JB49,"[M]")/60)*'Income Person-hours'!$D$4,(TEXT(JC49,"[M]")/60)*'Income Person-hours'!$D$5)</f>
        <v>0</v>
      </c>
    </row>
    <row r="50" spans="1:16384" s="12" customFormat="1" ht="15.75" hidden="1" x14ac:dyDescent="0.45">
      <c r="A50" s="6" t="s">
        <v>147</v>
      </c>
      <c r="B50" s="128"/>
      <c r="C50" s="119"/>
      <c r="D50" s="8" t="str">
        <f>IF(OR(j_WEEKDAY(J_ADDDAY(VLOOKUP(I50,A:F,6,FALSE),H50,1),0)=6,SUMIFS(Holieday[ok],Holieday[date],J_ADDDAY(VLOOKUP(I50,A:F,6,FALSE),H50,1)))=FALSE(),J_ADDDAY(VLOOKUP(I50,A:F,6,FALSE),H50,1),IF(OR(j_WEEKDAY(J_ADDDAY(VLOOKUP(I50,A:F,6,FALSE),H50+1,1),0)=6,SUMIFS(Holieday[ok],Holieday[date],J_ADDDAY(VLOOKUP(I50,A:F,6,FALSE),H50+1,1)))=FALSE(),J_ADDDAY(VLOOKUP(I50,A:F,6,FALSE),H50+1,1),IF(OR(j_WEEKDAY(J_ADDDAY(VLOOKUP(I50,A:F,6,FALSE),H50+2,1),0)=6,SUMIFS(Holieday[ok],Holieday[date],J_ADDDAY(VLOOKUP(I50,A:F,6,FALSE),H50+2,1)))=FALSE(),J_ADDDAY(VLOOKUP(I50,A:F,6,FALSE),H50+2,1),IF(OR(j_WEEKDAY(J_ADDDAY(VLOOKUP(I50,A:F,6,FALSE),H50+3,1),0)=6,SUMIFS(Holieday[ok],Holieday[date],J_ADDDAY(VLOOKUP(I50,A:F,6,FALSE),H50+3,1)))=FALSE(),J_ADDDAY(VLOOKUP(I50,A:F,6,FALSE),H50+3,1),IF(OR(j_WEEKDAY(J_ADDDAY(VLOOKUP(I50,A:F,6,FALSE),H50+4,1),0)=6,SUMIFS(Holieday[ok],Holieday[date],J_ADDDAY(VLOOKUP(I50,A:F,6,FALSE),H50+4,1)))=FALSE(),J_ADDDAY(VLOOKUP(I50,A:F,6,FALSE),H50+4,1),J_ADDDAY(VLOOKUP(I50,A:F,6,FALSE),H50+5,1))))))</f>
        <v>1398/06/02</v>
      </c>
      <c r="E50" s="2">
        <f t="shared" si="15"/>
        <v>13980602</v>
      </c>
      <c r="F50" s="13" t="str">
        <f>IF(N50=0,J_SUBDAY(D50,1,1)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0,J_SUBDAY(J_ADDDAY(D50,N50,1)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1,J_SUBDAY(J_ADDDAY(D50,N50+1,1),1,1),IF((N50-NETWORKDAYS.INTL(J_GregorianDate(D50,1),J_GregorianDate(J_SUBDAY(J_ADDDAY(D50,N50,1),1,1),1),16,1)-SUMIFS(Holieday[ok],Holieday[date],CONCATENATE("&gt;","=",D50),Holieday[date],CONCATENATE("&lt;","=",J_SUBDAY(J_ADDDAY(D50,N50,1),1,1)))+SUMIFS(Holieday[Friday],Holieday[date],CONCATENATE("&gt;","=",D50),Holieday[date],CONCATENATE("&lt;","=",J_SUBDAY(J_ADDDAY(D50,N50,1),1,1))))=2,J_SUBDAY(J_ADDDAY(D50,N50+2,1),1,1),J_SUBDAY(J_ADDDAY(D50,N50+3,1),1,1)))))</f>
        <v>1398/06/01</v>
      </c>
      <c r="G50" s="3">
        <f t="shared" si="16"/>
        <v>13980601</v>
      </c>
      <c r="H50" s="121"/>
      <c r="I50" s="122">
        <v>2.6</v>
      </c>
      <c r="J50" s="10" t="str">
        <f>j_WEEKDAY(D50,1)</f>
        <v>شنبه</v>
      </c>
      <c r="K50" s="23">
        <f t="shared" si="11"/>
        <v>0</v>
      </c>
      <c r="L50" s="9">
        <f t="shared" si="12"/>
        <v>0</v>
      </c>
      <c r="M50" s="123">
        <v>0</v>
      </c>
      <c r="N50" s="120">
        <v>0</v>
      </c>
      <c r="O50" s="11">
        <f t="shared" si="13"/>
        <v>0</v>
      </c>
      <c r="P50" s="11">
        <f>VALUE(J_normdate(J_ADDDAY($D50,$O50,1)))</f>
        <v>13980602</v>
      </c>
      <c r="Q50" s="10">
        <f t="shared" si="14"/>
        <v>0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  <c r="GS50" s="8"/>
      <c r="GT50" s="8"/>
      <c r="GU50" s="8"/>
      <c r="GV50" s="8"/>
      <c r="GW50" s="8"/>
      <c r="GX50" s="8"/>
      <c r="GY50" s="8"/>
      <c r="GZ50" s="8"/>
      <c r="HA50" s="8"/>
      <c r="HB50" s="8"/>
      <c r="HC50" s="8"/>
      <c r="HD50" s="8"/>
      <c r="HE50" s="8"/>
      <c r="HF50" s="8"/>
      <c r="HG50" s="8"/>
      <c r="HH50" s="8"/>
      <c r="HI50" s="8"/>
      <c r="HJ50" s="8"/>
      <c r="HK50" s="8"/>
      <c r="HL50" s="8"/>
      <c r="HM50" s="8"/>
      <c r="HN50" s="8"/>
      <c r="HO50" s="8"/>
      <c r="HP50" s="8"/>
      <c r="HQ50" s="8"/>
      <c r="HR50" s="8"/>
      <c r="HS50" s="8"/>
      <c r="HT50" s="8"/>
      <c r="HU50" s="8"/>
      <c r="HV50" s="8"/>
      <c r="HW50" s="8"/>
      <c r="HX50" s="8"/>
      <c r="HY50" s="8"/>
      <c r="HZ50" s="8"/>
      <c r="IA50" s="8"/>
      <c r="IB50" s="8"/>
      <c r="IC50" s="8"/>
      <c r="ID50" s="8"/>
      <c r="IE50" s="8"/>
      <c r="IF50" s="8"/>
      <c r="IG50" s="8"/>
      <c r="IH50" s="8"/>
      <c r="II50" s="8"/>
      <c r="IJ50" s="8"/>
      <c r="IK50" s="8"/>
      <c r="IL50" s="8"/>
      <c r="IM50" s="8"/>
      <c r="IN50" s="8"/>
      <c r="IO50" s="8"/>
      <c r="IP50" s="8"/>
      <c r="IQ50" s="8"/>
      <c r="IR50" s="8"/>
      <c r="IS50" s="8"/>
      <c r="IT50" s="8"/>
      <c r="IU50" s="8"/>
      <c r="IV50" s="8"/>
      <c r="IW50" s="8"/>
      <c r="IX50" s="8"/>
      <c r="JA50" s="125"/>
      <c r="JB50" s="125"/>
      <c r="JC50" s="125"/>
      <c r="JD50" s="72">
        <f>SUM((TEXT(JA50,"[M]")/60)*'Income Person-hours'!$D$3,(TEXT(JB50,"[M]")/60)*'Income Person-hours'!$D$4,(TEXT(JC50,"[M]")/60)*'Income Person-hours'!$D$5)</f>
        <v>0</v>
      </c>
    </row>
    <row r="51" spans="1:16384" s="12" customFormat="1" ht="15.75" hidden="1" x14ac:dyDescent="0.45">
      <c r="A51" s="6" t="s">
        <v>148</v>
      </c>
      <c r="B51" s="128"/>
      <c r="C51" s="119"/>
      <c r="D51" s="8" t="str">
        <f>IF(OR(j_WEEKDAY(J_ADDDAY(VLOOKUP(I51,A:F,6,FALSE),H51,1),0)=6,SUMIFS(Holieday[ok],Holieday[date],J_ADDDAY(VLOOKUP(I51,A:F,6,FALSE),H51,1)))=FALSE(),J_ADDDAY(VLOOKUP(I51,A:F,6,FALSE),H51,1),IF(OR(j_WEEKDAY(J_ADDDAY(VLOOKUP(I51,A:F,6,FALSE),H51+1,1),0)=6,SUMIFS(Holieday[ok],Holieday[date],J_ADDDAY(VLOOKUP(I51,A:F,6,FALSE),H51+1,1)))=FALSE(),J_ADDDAY(VLOOKUP(I51,A:F,6,FALSE),H51+1,1),IF(OR(j_WEEKDAY(J_ADDDAY(VLOOKUP(I51,A:F,6,FALSE),H51+2,1),0)=6,SUMIFS(Holieday[ok],Holieday[date],J_ADDDAY(VLOOKUP(I51,A:F,6,FALSE),H51+2,1)))=FALSE(),J_ADDDAY(VLOOKUP(I51,A:F,6,FALSE),H51+2,1),IF(OR(j_WEEKDAY(J_ADDDAY(VLOOKUP(I51,A:F,6,FALSE),H51+3,1),0)=6,SUMIFS(Holieday[ok],Holieday[date],J_ADDDAY(VLOOKUP(I51,A:F,6,FALSE),H51+3,1)))=FALSE(),J_ADDDAY(VLOOKUP(I51,A:F,6,FALSE),H51+3,1),IF(OR(j_WEEKDAY(J_ADDDAY(VLOOKUP(I51,A:F,6,FALSE),H51+4,1),0)=6,SUMIFS(Holieday[ok],Holieday[date],J_ADDDAY(VLOOKUP(I51,A:F,6,FALSE),H51+4,1)))=FALSE(),J_ADDDAY(VLOOKUP(I51,A:F,6,FALSE),H51+4,1),J_ADDDAY(VLOOKUP(I51,A:F,6,FALSE),H51+5,1))))))</f>
        <v>1398/06/02</v>
      </c>
      <c r="E51" s="2">
        <f t="shared" si="15"/>
        <v>13980602</v>
      </c>
      <c r="F51" s="13" t="str">
        <f>IF(N51=0,J_SUBDAY(D51,1,1)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0,J_SUBDAY(J_ADDDAY(D51,N51,1)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1,J_SUBDAY(J_ADDDAY(D51,N51+1,1),1,1),IF((N51-NETWORKDAYS.INTL(J_GregorianDate(D51,1),J_GregorianDate(J_SUBDAY(J_ADDDAY(D51,N51,1),1,1),1),16,1)-SUMIFS(Holieday[ok],Holieday[date],CONCATENATE("&gt;","=",D51),Holieday[date],CONCATENATE("&lt;","=",J_SUBDAY(J_ADDDAY(D51,N51,1),1,1)))+SUMIFS(Holieday[Friday],Holieday[date],CONCATENATE("&gt;","=",D51),Holieday[date],CONCATENATE("&lt;","=",J_SUBDAY(J_ADDDAY(D51,N51,1),1,1))))=2,J_SUBDAY(J_ADDDAY(D51,N51+2,1),1,1),J_SUBDAY(J_ADDDAY(D51,N51+3,1),1,1)))))</f>
        <v>1398/06/01</v>
      </c>
      <c r="G51" s="3">
        <f t="shared" si="16"/>
        <v>13980601</v>
      </c>
      <c r="H51" s="121"/>
      <c r="I51" s="122">
        <v>2.6</v>
      </c>
      <c r="J51" s="10" t="str">
        <f>j_WEEKDAY(D51,1)</f>
        <v>شنبه</v>
      </c>
      <c r="K51" s="23">
        <f t="shared" si="11"/>
        <v>0</v>
      </c>
      <c r="L51" s="9">
        <f t="shared" si="12"/>
        <v>0</v>
      </c>
      <c r="M51" s="123">
        <v>0</v>
      </c>
      <c r="N51" s="120">
        <v>0</v>
      </c>
      <c r="O51" s="11">
        <f t="shared" si="13"/>
        <v>0</v>
      </c>
      <c r="P51" s="11">
        <f>VALUE(J_normdate(J_ADDDAY($D51,$O51,1)))</f>
        <v>13980602</v>
      </c>
      <c r="Q51" s="10">
        <f t="shared" si="14"/>
        <v>0</v>
      </c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  <c r="ES51" s="8"/>
      <c r="ET51" s="8"/>
      <c r="EU51" s="8"/>
      <c r="EV51" s="8"/>
      <c r="EW51" s="8"/>
      <c r="EX51" s="8"/>
      <c r="EY51" s="8"/>
      <c r="EZ51" s="8"/>
      <c r="FA51" s="8"/>
      <c r="FB51" s="8"/>
      <c r="FC51" s="8"/>
      <c r="FD51" s="8"/>
      <c r="FE51" s="8"/>
      <c r="FF51" s="8"/>
      <c r="FG51" s="8"/>
      <c r="FH51" s="8"/>
      <c r="FI51" s="8"/>
      <c r="FJ51" s="8"/>
      <c r="FK51" s="8"/>
      <c r="FL51" s="8"/>
      <c r="FM51" s="8"/>
      <c r="FN51" s="8"/>
      <c r="FO51" s="8"/>
      <c r="FP51" s="8"/>
      <c r="FQ51" s="8"/>
      <c r="FR51" s="8"/>
      <c r="FS51" s="8"/>
      <c r="FT51" s="8"/>
      <c r="FU51" s="8"/>
      <c r="FV51" s="8"/>
      <c r="FW51" s="8"/>
      <c r="FX51" s="8"/>
      <c r="FY51" s="8"/>
      <c r="FZ51" s="8"/>
      <c r="GA51" s="8"/>
      <c r="GB51" s="8"/>
      <c r="GC51" s="8"/>
      <c r="GD51" s="8"/>
      <c r="GE51" s="8"/>
      <c r="GF51" s="8"/>
      <c r="GG51" s="8"/>
      <c r="GH51" s="8"/>
      <c r="GI51" s="8"/>
      <c r="GJ51" s="8"/>
      <c r="GK51" s="8"/>
      <c r="GL51" s="8"/>
      <c r="GM51" s="8"/>
      <c r="GN51" s="8"/>
      <c r="GO51" s="8"/>
      <c r="GP51" s="8"/>
      <c r="GQ51" s="8"/>
      <c r="GR51" s="8"/>
      <c r="GS51" s="8"/>
      <c r="GT51" s="8"/>
      <c r="GU51" s="8"/>
      <c r="GV51" s="8"/>
      <c r="GW51" s="8"/>
      <c r="GX51" s="8"/>
      <c r="GY51" s="8"/>
      <c r="GZ51" s="8"/>
      <c r="HA51" s="8"/>
      <c r="HB51" s="8"/>
      <c r="HC51" s="8"/>
      <c r="HD51" s="8"/>
      <c r="HE51" s="8"/>
      <c r="HF51" s="8"/>
      <c r="HG51" s="8"/>
      <c r="HH51" s="8"/>
      <c r="HI51" s="8"/>
      <c r="HJ51" s="8"/>
      <c r="HK51" s="8"/>
      <c r="HL51" s="8"/>
      <c r="HM51" s="8"/>
      <c r="HN51" s="8"/>
      <c r="HO51" s="8"/>
      <c r="HP51" s="8"/>
      <c r="HQ51" s="8"/>
      <c r="HR51" s="8"/>
      <c r="HS51" s="8"/>
      <c r="HT51" s="8"/>
      <c r="HU51" s="8"/>
      <c r="HV51" s="8"/>
      <c r="HW51" s="8"/>
      <c r="HX51" s="8"/>
      <c r="HY51" s="8"/>
      <c r="HZ51" s="8"/>
      <c r="IA51" s="8"/>
      <c r="IB51" s="8"/>
      <c r="IC51" s="8"/>
      <c r="ID51" s="8"/>
      <c r="IE51" s="8"/>
      <c r="IF51" s="8"/>
      <c r="IG51" s="8"/>
      <c r="IH51" s="8"/>
      <c r="II51" s="8"/>
      <c r="IJ51" s="8"/>
      <c r="IK51" s="8"/>
      <c r="IL51" s="8"/>
      <c r="IM51" s="8"/>
      <c r="IN51" s="8"/>
      <c r="IO51" s="8"/>
      <c r="IP51" s="8"/>
      <c r="IQ51" s="8"/>
      <c r="IR51" s="8"/>
      <c r="IS51" s="8"/>
      <c r="IT51" s="8"/>
      <c r="IU51" s="8"/>
      <c r="IV51" s="8"/>
      <c r="IW51" s="8"/>
      <c r="IX51" s="8"/>
      <c r="JA51" s="125"/>
      <c r="JB51" s="125"/>
      <c r="JC51" s="125"/>
      <c r="JD51" s="72">
        <f>SUM((TEXT(JA51,"[M]")/60)*'Income Person-hours'!$D$3,(TEXT(JB51,"[M]")/60)*'Income Person-hours'!$D$4,(TEXT(JC51,"[M]")/60)*'Income Person-hours'!$D$5)</f>
        <v>0</v>
      </c>
    </row>
    <row r="52" spans="1:16384" s="12" customFormat="1" ht="15.75" hidden="1" x14ac:dyDescent="0.45">
      <c r="A52" s="6" t="s">
        <v>149</v>
      </c>
      <c r="B52" s="128"/>
      <c r="C52" s="119"/>
      <c r="D52" s="8" t="str">
        <f>IF(OR(j_WEEKDAY(J_ADDDAY(VLOOKUP(I52,A:F,6,FALSE),H52,1),0)=6,SUMIFS(Holieday[ok],Holieday[date],J_ADDDAY(VLOOKUP(I52,A:F,6,FALSE),H52,1)))=FALSE(),J_ADDDAY(VLOOKUP(I52,A:F,6,FALSE),H52,1),IF(OR(j_WEEKDAY(J_ADDDAY(VLOOKUP(I52,A:F,6,FALSE),H52+1,1),0)=6,SUMIFS(Holieday[ok],Holieday[date],J_ADDDAY(VLOOKUP(I52,A:F,6,FALSE),H52+1,1)))=FALSE(),J_ADDDAY(VLOOKUP(I52,A:F,6,FALSE),H52+1,1),IF(OR(j_WEEKDAY(J_ADDDAY(VLOOKUP(I52,A:F,6,FALSE),H52+2,1),0)=6,SUMIFS(Holieday[ok],Holieday[date],J_ADDDAY(VLOOKUP(I52,A:F,6,FALSE),H52+2,1)))=FALSE(),J_ADDDAY(VLOOKUP(I52,A:F,6,FALSE),H52+2,1),IF(OR(j_WEEKDAY(J_ADDDAY(VLOOKUP(I52,A:F,6,FALSE),H52+3,1),0)=6,SUMIFS(Holieday[ok],Holieday[date],J_ADDDAY(VLOOKUP(I52,A:F,6,FALSE),H52+3,1)))=FALSE(),J_ADDDAY(VLOOKUP(I52,A:F,6,FALSE),H52+3,1),IF(OR(j_WEEKDAY(J_ADDDAY(VLOOKUP(I52,A:F,6,FALSE),H52+4,1),0)=6,SUMIFS(Holieday[ok],Holieday[date],J_ADDDAY(VLOOKUP(I52,A:F,6,FALSE),H52+4,1)))=FALSE(),J_ADDDAY(VLOOKUP(I52,A:F,6,FALSE),H52+4,1),J_ADDDAY(VLOOKUP(I52,A:F,6,FALSE),H52+5,1))))))</f>
        <v>1398/06/02</v>
      </c>
      <c r="E52" s="2">
        <f t="shared" si="15"/>
        <v>13980602</v>
      </c>
      <c r="F52" s="13" t="str">
        <f>IF(N52=0,J_SUBDAY(D52,1,1)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0,J_SUBDAY(J_ADDDAY(D52,N52,1)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1,J_SUBDAY(J_ADDDAY(D52,N52+1,1),1,1),IF((N52-NETWORKDAYS.INTL(J_GregorianDate(D52,1),J_GregorianDate(J_SUBDAY(J_ADDDAY(D52,N52,1),1,1),1),16,1)-SUMIFS(Holieday[ok],Holieday[date],CONCATENATE("&gt;","=",D52),Holieday[date],CONCATENATE("&lt;","=",J_SUBDAY(J_ADDDAY(D52,N52,1),1,1)))+SUMIFS(Holieday[Friday],Holieday[date],CONCATENATE("&gt;","=",D52),Holieday[date],CONCATENATE("&lt;","=",J_SUBDAY(J_ADDDAY(D52,N52,1),1,1))))=2,J_SUBDAY(J_ADDDAY(D52,N52+2,1),1,1),J_SUBDAY(J_ADDDAY(D52,N52+3,1),1,1)))))</f>
        <v>1398/06/01</v>
      </c>
      <c r="G52" s="3">
        <f t="shared" si="16"/>
        <v>13980601</v>
      </c>
      <c r="H52" s="121"/>
      <c r="I52" s="122">
        <v>2.6</v>
      </c>
      <c r="J52" s="10" t="str">
        <f>j_WEEKDAY(D52,1)</f>
        <v>شنبه</v>
      </c>
      <c r="K52" s="23">
        <f t="shared" si="11"/>
        <v>0</v>
      </c>
      <c r="L52" s="9">
        <f t="shared" si="12"/>
        <v>0</v>
      </c>
      <c r="M52" s="123">
        <v>0</v>
      </c>
      <c r="N52" s="120">
        <v>0</v>
      </c>
      <c r="O52" s="11">
        <f t="shared" si="13"/>
        <v>0</v>
      </c>
      <c r="P52" s="11">
        <f>VALUE(J_normdate(J_ADDDAY($D52,$O52,1)))</f>
        <v>13980602</v>
      </c>
      <c r="Q52" s="10">
        <f t="shared" si="14"/>
        <v>0</v>
      </c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JA52" s="125"/>
      <c r="JB52" s="125"/>
      <c r="JC52" s="125"/>
      <c r="JD52" s="72">
        <f>SUM((TEXT(JA52,"[M]")/60)*'Income Person-hours'!$D$3,(TEXT(JB52,"[M]")/60)*'Income Person-hours'!$D$4,(TEXT(JC52,"[M]")/60)*'Income Person-hours'!$D$5)</f>
        <v>0</v>
      </c>
    </row>
    <row r="53" spans="1:16384" s="231" customFormat="1" ht="15.75" x14ac:dyDescent="0.45">
      <c r="A53" s="233">
        <v>3</v>
      </c>
      <c r="B53" s="114" t="s">
        <v>193</v>
      </c>
      <c r="C53" s="115"/>
      <c r="D53" s="200" t="str">
        <f>FDate(MIN(E54:E74))</f>
        <v>1398/06/07</v>
      </c>
      <c r="E53" s="198">
        <f t="shared" si="15"/>
        <v>13980607</v>
      </c>
      <c r="F53" s="200" t="str">
        <f>J_SUBDAY(J_ADDDAY(D53,L53,1),1,1)</f>
        <v>1398/07/25</v>
      </c>
      <c r="G53" s="201">
        <f t="shared" si="16"/>
        <v>13980725</v>
      </c>
      <c r="H53" s="126"/>
      <c r="I53" s="127"/>
      <c r="J53" s="200" t="str">
        <f>j_WEEKDAY(D53,1)</f>
        <v>پنجشنبه</v>
      </c>
      <c r="K53" s="202">
        <f>SUM(K54:K74)</f>
        <v>2.208333333333333</v>
      </c>
      <c r="L53" s="203">
        <f>J_DIFF(D53,FDate(MAX(G54:G74)))+1</f>
        <v>50</v>
      </c>
      <c r="M53" s="204">
        <f>IF(SUM(L54:L74)&lt;&gt;0,SUMPRODUCT(L54:L74,M54:M74)/SUM(L54:L74),0)</f>
        <v>0.89795918367346939</v>
      </c>
      <c r="N53" s="205">
        <f>IF(F53&gt;=D53,NETWORKDAYS.INTL(J_GregorianDate(D53,1),J_GregorianDate(F53,1),16,1)-SUMIFS(Holieday[ok],Holieday[date],CONCATENATE("&gt;","=",D53),Holieday[date],CONCATENATE("&lt;","=",F53))+SUMIFS(Holieday[Friday],Holieday[date],CONCATENATE("&gt;","=",D53),Holieday[date],CONCATENATE("&lt;","=",F53)),0)</f>
        <v>43</v>
      </c>
      <c r="O53" s="196">
        <f t="shared" ref="O53:O63" si="17">ROUNDDOWN(M53*L53,0)</f>
        <v>44</v>
      </c>
      <c r="P53" s="200">
        <f>VALUE(J_normdate(J_ADDDAY($D53,$O53,1)))</f>
        <v>13980720</v>
      </c>
      <c r="Q53" s="199">
        <f>L53-O53</f>
        <v>6</v>
      </c>
      <c r="R53" s="198"/>
      <c r="S53" s="198"/>
      <c r="T53" s="198"/>
      <c r="U53" s="198"/>
      <c r="V53" s="198"/>
      <c r="W53" s="198"/>
      <c r="X53" s="198"/>
      <c r="Y53" s="198"/>
      <c r="Z53" s="198"/>
      <c r="AA53" s="198"/>
      <c r="AB53" s="198"/>
      <c r="AC53" s="198"/>
      <c r="AD53" s="198"/>
      <c r="AE53" s="198"/>
      <c r="AF53" s="198"/>
      <c r="AG53" s="198"/>
      <c r="AH53" s="198"/>
      <c r="AI53" s="198"/>
      <c r="AJ53" s="198"/>
      <c r="AK53" s="198"/>
      <c r="AL53" s="198"/>
      <c r="AM53" s="198"/>
      <c r="AN53" s="198"/>
      <c r="AO53" s="198"/>
      <c r="AP53" s="198"/>
      <c r="AQ53" s="198"/>
      <c r="AR53" s="198"/>
      <c r="AS53" s="198"/>
      <c r="AT53" s="198"/>
      <c r="AU53" s="198"/>
      <c r="AV53" s="198"/>
      <c r="AW53" s="198"/>
      <c r="AX53" s="198"/>
      <c r="AY53" s="198"/>
      <c r="AZ53" s="198"/>
      <c r="BA53" s="198"/>
      <c r="BB53" s="198"/>
      <c r="BC53" s="198"/>
      <c r="BD53" s="198"/>
      <c r="BE53" s="198"/>
      <c r="BF53" s="198"/>
      <c r="BG53" s="198"/>
      <c r="BH53" s="198"/>
      <c r="BI53" s="198"/>
      <c r="BJ53" s="198"/>
      <c r="BK53" s="198"/>
      <c r="BL53" s="198"/>
      <c r="BM53" s="198"/>
      <c r="BN53" s="198"/>
      <c r="BO53" s="198"/>
      <c r="BP53" s="198"/>
      <c r="BQ53" s="198"/>
      <c r="BR53" s="198"/>
      <c r="BS53" s="198"/>
      <c r="BT53" s="198"/>
      <c r="BU53" s="198"/>
      <c r="BV53" s="198"/>
      <c r="BW53" s="198"/>
      <c r="BX53" s="198"/>
      <c r="BY53" s="198"/>
      <c r="BZ53" s="198"/>
      <c r="CA53" s="198"/>
      <c r="CB53" s="198"/>
      <c r="CC53" s="198"/>
      <c r="CD53" s="198"/>
      <c r="CE53" s="198"/>
      <c r="CF53" s="198"/>
      <c r="CG53" s="198"/>
      <c r="CH53" s="198"/>
      <c r="CI53" s="198"/>
      <c r="CJ53" s="198"/>
      <c r="CK53" s="198"/>
      <c r="CL53" s="198"/>
      <c r="CM53" s="198"/>
      <c r="CN53" s="198"/>
      <c r="CO53" s="198"/>
      <c r="CP53" s="198"/>
      <c r="CQ53" s="198"/>
      <c r="CR53" s="198"/>
      <c r="CS53" s="198"/>
      <c r="CT53" s="198"/>
      <c r="CU53" s="198"/>
      <c r="CV53" s="198"/>
      <c r="CW53" s="198"/>
      <c r="CX53" s="198"/>
      <c r="CY53" s="198"/>
      <c r="CZ53" s="198"/>
      <c r="DA53" s="198"/>
      <c r="DB53" s="198"/>
      <c r="DC53" s="198"/>
      <c r="DD53" s="198"/>
      <c r="DE53" s="198"/>
      <c r="DF53" s="198"/>
      <c r="DG53" s="198"/>
      <c r="DH53" s="198"/>
      <c r="DI53" s="198"/>
      <c r="DJ53" s="198"/>
      <c r="DK53" s="198"/>
      <c r="DL53" s="198"/>
      <c r="DM53" s="198"/>
      <c r="DN53" s="198"/>
      <c r="DO53" s="198"/>
      <c r="DP53" s="198"/>
      <c r="DQ53" s="198"/>
      <c r="DR53" s="198"/>
      <c r="DS53" s="198"/>
      <c r="DT53" s="198"/>
      <c r="DU53" s="198"/>
      <c r="DV53" s="198"/>
      <c r="DW53" s="198"/>
      <c r="DX53" s="198"/>
      <c r="DY53" s="198"/>
      <c r="DZ53" s="198"/>
      <c r="EA53" s="198"/>
      <c r="EB53" s="198"/>
      <c r="EC53" s="198"/>
      <c r="ED53" s="198"/>
      <c r="EE53" s="198"/>
      <c r="EF53" s="198"/>
      <c r="EG53" s="198"/>
      <c r="EH53" s="198"/>
      <c r="EI53" s="198"/>
      <c r="EJ53" s="198"/>
      <c r="EK53" s="198"/>
      <c r="EL53" s="198"/>
      <c r="EM53" s="198"/>
      <c r="EN53" s="198"/>
      <c r="EO53" s="198"/>
      <c r="EP53" s="198"/>
      <c r="EQ53" s="198"/>
      <c r="ER53" s="198"/>
      <c r="ES53" s="198"/>
      <c r="ET53" s="198"/>
      <c r="EU53" s="198"/>
      <c r="EV53" s="198"/>
      <c r="EW53" s="198"/>
      <c r="EX53" s="198"/>
      <c r="EY53" s="198"/>
      <c r="EZ53" s="198"/>
      <c r="FA53" s="198"/>
      <c r="FB53" s="198"/>
      <c r="FC53" s="198"/>
      <c r="FD53" s="198"/>
      <c r="FE53" s="198"/>
      <c r="FF53" s="198"/>
      <c r="FG53" s="198"/>
      <c r="FH53" s="198"/>
      <c r="FI53" s="198"/>
      <c r="FJ53" s="198"/>
      <c r="FK53" s="198"/>
      <c r="FL53" s="198"/>
      <c r="FM53" s="198"/>
      <c r="FN53" s="198"/>
      <c r="FO53" s="198"/>
      <c r="FP53" s="198"/>
      <c r="FQ53" s="198"/>
      <c r="FR53" s="198"/>
      <c r="FS53" s="198"/>
      <c r="FT53" s="198"/>
      <c r="FU53" s="198"/>
      <c r="FV53" s="198"/>
      <c r="FW53" s="198"/>
      <c r="FX53" s="198"/>
      <c r="FY53" s="198"/>
      <c r="FZ53" s="198"/>
      <c r="GA53" s="198"/>
      <c r="GB53" s="198"/>
      <c r="GC53" s="198"/>
      <c r="GD53" s="198"/>
      <c r="GE53" s="198"/>
      <c r="GF53" s="198"/>
      <c r="GG53" s="198"/>
      <c r="GH53" s="198"/>
      <c r="GI53" s="198"/>
      <c r="GJ53" s="198"/>
      <c r="GK53" s="198"/>
      <c r="GL53" s="198"/>
      <c r="GM53" s="198"/>
      <c r="GN53" s="198"/>
      <c r="GO53" s="198"/>
      <c r="GP53" s="198"/>
      <c r="GQ53" s="198"/>
      <c r="GR53" s="198"/>
      <c r="GS53" s="198"/>
      <c r="GT53" s="198"/>
      <c r="GU53" s="198"/>
      <c r="GV53" s="198"/>
      <c r="GW53" s="198"/>
      <c r="GX53" s="198"/>
      <c r="GY53" s="198"/>
      <c r="GZ53" s="198"/>
      <c r="HA53" s="198"/>
      <c r="HB53" s="198"/>
      <c r="HC53" s="198"/>
      <c r="HD53" s="198"/>
      <c r="HE53" s="198"/>
      <c r="HF53" s="198"/>
      <c r="HG53" s="198"/>
      <c r="HH53" s="198"/>
      <c r="HI53" s="198"/>
      <c r="HJ53" s="198"/>
      <c r="HK53" s="198"/>
      <c r="HL53" s="198"/>
      <c r="HM53" s="198"/>
      <c r="HN53" s="198"/>
      <c r="HO53" s="198"/>
      <c r="HP53" s="198"/>
      <c r="HQ53" s="198"/>
      <c r="HR53" s="198"/>
      <c r="HS53" s="198"/>
      <c r="HT53" s="198"/>
      <c r="HU53" s="198"/>
      <c r="HV53" s="198"/>
      <c r="HW53" s="198"/>
      <c r="HX53" s="198"/>
      <c r="HY53" s="198"/>
      <c r="HZ53" s="198"/>
      <c r="IA53" s="198"/>
      <c r="IB53" s="198"/>
      <c r="IC53" s="198"/>
      <c r="ID53" s="198"/>
      <c r="IE53" s="198"/>
      <c r="IF53" s="198"/>
      <c r="IG53" s="198"/>
      <c r="IH53" s="198"/>
      <c r="II53" s="198"/>
      <c r="IJ53" s="198"/>
      <c r="IK53" s="198"/>
      <c r="IL53" s="198"/>
      <c r="IM53" s="198"/>
      <c r="IN53" s="198"/>
      <c r="IO53" s="198"/>
      <c r="IP53" s="198"/>
      <c r="IQ53" s="198"/>
      <c r="IR53" s="198"/>
      <c r="IS53" s="198"/>
      <c r="IT53" s="198"/>
      <c r="IU53" s="198"/>
      <c r="IV53" s="198"/>
      <c r="IW53" s="198"/>
      <c r="IX53" s="198"/>
      <c r="IY53" s="31"/>
      <c r="IZ53" s="43"/>
      <c r="JA53" s="228"/>
      <c r="JB53" s="228"/>
      <c r="JC53" s="228"/>
      <c r="JD53" s="229"/>
      <c r="JE53" s="198"/>
      <c r="JF53" s="198"/>
      <c r="JG53" s="198"/>
      <c r="JH53" s="198"/>
      <c r="JI53" s="198"/>
      <c r="JJ53" s="198"/>
      <c r="JK53" s="198"/>
      <c r="JL53" s="198"/>
      <c r="JM53" s="198"/>
      <c r="JN53" s="198"/>
      <c r="JO53" s="198"/>
      <c r="JP53" s="198"/>
      <c r="JQ53" s="198"/>
      <c r="JR53" s="198"/>
      <c r="JS53" s="198"/>
      <c r="JT53" s="198"/>
      <c r="JU53" s="198"/>
      <c r="JV53" s="198"/>
      <c r="JW53" s="198"/>
      <c r="JX53" s="198"/>
      <c r="JY53" s="198"/>
      <c r="JZ53" s="198"/>
      <c r="KA53" s="198"/>
      <c r="KB53" s="198"/>
      <c r="KC53" s="198"/>
      <c r="KD53" s="198"/>
      <c r="KE53" s="198"/>
      <c r="KF53" s="198"/>
      <c r="KG53" s="198"/>
      <c r="KH53" s="198"/>
      <c r="KI53" s="198"/>
      <c r="KJ53" s="198"/>
      <c r="KK53" s="198"/>
      <c r="KL53" s="198"/>
      <c r="KM53" s="198"/>
      <c r="KN53" s="198"/>
      <c r="KO53" s="198"/>
      <c r="KP53" s="198"/>
      <c r="KQ53" s="198"/>
      <c r="KR53" s="198"/>
      <c r="KS53" s="198"/>
      <c r="KT53" s="198"/>
      <c r="KU53" s="198"/>
      <c r="KV53" s="198"/>
      <c r="KW53" s="198"/>
      <c r="KX53" s="198"/>
      <c r="KY53" s="198"/>
      <c r="KZ53" s="198"/>
      <c r="LA53" s="198"/>
      <c r="LB53" s="198"/>
      <c r="LC53" s="198"/>
      <c r="LD53" s="198"/>
      <c r="LE53" s="198"/>
      <c r="LF53" s="198"/>
      <c r="LG53" s="198"/>
      <c r="LH53" s="198"/>
      <c r="LI53" s="198"/>
      <c r="LJ53" s="198"/>
      <c r="LK53" s="198"/>
      <c r="LL53" s="198"/>
      <c r="LM53" s="198"/>
      <c r="LN53" s="198"/>
      <c r="LO53" s="198"/>
      <c r="LP53" s="198"/>
      <c r="LQ53" s="198"/>
      <c r="LR53" s="198"/>
      <c r="LS53" s="198"/>
      <c r="LT53" s="198"/>
      <c r="LU53" s="198"/>
      <c r="LV53" s="198"/>
      <c r="LW53" s="198"/>
      <c r="LX53" s="198"/>
      <c r="LY53" s="198"/>
      <c r="LZ53" s="198"/>
      <c r="MA53" s="198"/>
      <c r="MB53" s="198"/>
      <c r="MC53" s="198"/>
      <c r="MD53" s="198"/>
      <c r="ME53" s="198"/>
      <c r="MF53" s="198"/>
      <c r="MG53" s="198"/>
      <c r="MH53" s="198"/>
      <c r="MI53" s="198"/>
      <c r="MJ53" s="198"/>
      <c r="MK53" s="198"/>
      <c r="ML53" s="198"/>
      <c r="MM53" s="198"/>
      <c r="MN53" s="198"/>
      <c r="MO53" s="198"/>
      <c r="MP53" s="198"/>
      <c r="MQ53" s="198"/>
      <c r="MR53" s="198"/>
      <c r="MS53" s="198"/>
      <c r="MT53" s="198"/>
      <c r="MU53" s="198"/>
      <c r="MV53" s="198"/>
      <c r="MW53" s="198"/>
      <c r="MX53" s="198"/>
      <c r="MY53" s="198"/>
      <c r="MZ53" s="198"/>
      <c r="NA53" s="198"/>
      <c r="NB53" s="198"/>
      <c r="NC53" s="198"/>
      <c r="ND53" s="198"/>
      <c r="NE53" s="198"/>
      <c r="NF53" s="198"/>
      <c r="NG53" s="198"/>
      <c r="NH53" s="198"/>
      <c r="NI53" s="198"/>
      <c r="NJ53" s="198"/>
      <c r="NK53" s="198"/>
      <c r="NL53" s="198"/>
      <c r="NM53" s="198"/>
      <c r="NN53" s="198"/>
      <c r="NO53" s="198"/>
      <c r="NP53" s="198"/>
      <c r="NQ53" s="198"/>
      <c r="NR53" s="198"/>
      <c r="NS53" s="198"/>
      <c r="NT53" s="198"/>
      <c r="NU53" s="198"/>
      <c r="NV53" s="198"/>
      <c r="NW53" s="198"/>
      <c r="NX53" s="198"/>
      <c r="NY53" s="198"/>
      <c r="NZ53" s="198"/>
      <c r="OA53" s="198"/>
      <c r="OB53" s="198"/>
      <c r="OC53" s="198"/>
      <c r="OD53" s="198"/>
      <c r="OE53" s="198"/>
      <c r="OF53" s="198"/>
      <c r="OG53" s="198"/>
      <c r="OH53" s="198"/>
      <c r="OI53" s="198"/>
      <c r="OJ53" s="198"/>
      <c r="OK53" s="198"/>
      <c r="OL53" s="198"/>
      <c r="OM53" s="198"/>
      <c r="ON53" s="198"/>
      <c r="OO53" s="198"/>
      <c r="OP53" s="198"/>
      <c r="OQ53" s="198"/>
      <c r="OR53" s="198"/>
      <c r="OS53" s="198"/>
      <c r="OT53" s="198"/>
      <c r="OU53" s="198"/>
      <c r="OV53" s="198"/>
      <c r="OW53" s="198"/>
      <c r="OX53" s="198"/>
      <c r="OY53" s="198"/>
      <c r="OZ53" s="198"/>
      <c r="PA53" s="198"/>
      <c r="PB53" s="198"/>
      <c r="PC53" s="198"/>
      <c r="PD53" s="198"/>
      <c r="PE53" s="198"/>
      <c r="PF53" s="198"/>
      <c r="PG53" s="198"/>
      <c r="PH53" s="198"/>
      <c r="PI53" s="198"/>
      <c r="PJ53" s="198"/>
      <c r="PK53" s="198"/>
      <c r="PL53" s="198"/>
      <c r="PM53" s="198"/>
      <c r="PN53" s="198"/>
      <c r="PO53" s="198"/>
      <c r="PP53" s="198"/>
      <c r="PQ53" s="198"/>
      <c r="PR53" s="198"/>
      <c r="PS53" s="198"/>
      <c r="PT53" s="198"/>
      <c r="PU53" s="198"/>
      <c r="PV53" s="198"/>
      <c r="PW53" s="198"/>
      <c r="PX53" s="198"/>
      <c r="PY53" s="198"/>
      <c r="PZ53" s="198"/>
      <c r="QA53" s="198"/>
      <c r="QB53" s="198"/>
      <c r="QC53" s="198"/>
      <c r="QD53" s="198"/>
      <c r="QE53" s="198"/>
      <c r="QF53" s="198"/>
      <c r="QG53" s="198"/>
      <c r="QH53" s="198"/>
      <c r="QI53" s="198"/>
      <c r="QJ53" s="198"/>
      <c r="QK53" s="198"/>
      <c r="QL53" s="198"/>
      <c r="QM53" s="198"/>
      <c r="QN53" s="198"/>
      <c r="QO53" s="198"/>
      <c r="QP53" s="198"/>
      <c r="QQ53" s="198"/>
      <c r="QR53" s="198"/>
      <c r="QS53" s="198"/>
      <c r="QT53" s="198"/>
      <c r="QU53" s="198"/>
      <c r="QV53" s="198"/>
      <c r="QW53" s="198"/>
      <c r="QX53" s="198"/>
      <c r="QY53" s="198"/>
      <c r="QZ53" s="198"/>
      <c r="RA53" s="198"/>
      <c r="RB53" s="198"/>
      <c r="RC53" s="198"/>
      <c r="RD53" s="198"/>
      <c r="RE53" s="198"/>
      <c r="RF53" s="198"/>
      <c r="RG53" s="198"/>
      <c r="RH53" s="198"/>
      <c r="RI53" s="198"/>
      <c r="RJ53" s="198"/>
      <c r="RK53" s="198"/>
      <c r="RL53" s="198"/>
      <c r="RM53" s="198"/>
      <c r="RN53" s="198"/>
      <c r="RO53" s="198"/>
      <c r="RP53" s="198"/>
      <c r="RQ53" s="198"/>
      <c r="RR53" s="198"/>
      <c r="RS53" s="198"/>
      <c r="RT53" s="198"/>
      <c r="RU53" s="198"/>
      <c r="RV53" s="198"/>
      <c r="RW53" s="198"/>
      <c r="RX53" s="198"/>
      <c r="RY53" s="198"/>
      <c r="RZ53" s="198"/>
      <c r="SA53" s="198"/>
      <c r="SB53" s="198"/>
      <c r="SC53" s="198"/>
      <c r="SD53" s="198"/>
      <c r="SE53" s="198"/>
      <c r="SF53" s="198"/>
      <c r="SG53" s="198"/>
      <c r="SH53" s="198"/>
      <c r="SI53" s="198"/>
      <c r="SJ53" s="198"/>
      <c r="SK53" s="198"/>
      <c r="SL53" s="198"/>
      <c r="SM53" s="198"/>
      <c r="SN53" s="198"/>
      <c r="SO53" s="198"/>
      <c r="SP53" s="198"/>
      <c r="SQ53" s="198"/>
      <c r="SR53" s="198"/>
      <c r="SS53" s="198"/>
      <c r="ST53" s="198"/>
      <c r="SU53" s="198"/>
      <c r="SV53" s="198"/>
      <c r="SW53" s="198"/>
      <c r="SX53" s="198"/>
      <c r="SY53" s="198"/>
      <c r="SZ53" s="198"/>
      <c r="TA53" s="198"/>
      <c r="TB53" s="198"/>
      <c r="TC53" s="198"/>
      <c r="TD53" s="198"/>
      <c r="TE53" s="198"/>
      <c r="TF53" s="198"/>
      <c r="TG53" s="198"/>
      <c r="TH53" s="198"/>
      <c r="TI53" s="198"/>
      <c r="TJ53" s="198"/>
      <c r="TK53" s="198"/>
      <c r="TL53" s="198"/>
      <c r="TM53" s="198"/>
      <c r="TN53" s="198"/>
      <c r="TO53" s="198"/>
      <c r="TP53" s="198"/>
      <c r="TQ53" s="198"/>
      <c r="TR53" s="198"/>
      <c r="TS53" s="198"/>
      <c r="TT53" s="198"/>
      <c r="TU53" s="198"/>
      <c r="TV53" s="198"/>
      <c r="TW53" s="198"/>
      <c r="TX53" s="198"/>
      <c r="TY53" s="198"/>
      <c r="TZ53" s="198"/>
      <c r="UA53" s="198"/>
      <c r="UB53" s="198"/>
      <c r="UC53" s="198"/>
      <c r="UD53" s="198"/>
      <c r="UE53" s="198"/>
      <c r="UF53" s="198"/>
      <c r="UG53" s="198"/>
      <c r="UH53" s="198"/>
      <c r="UI53" s="198"/>
      <c r="UJ53" s="198"/>
      <c r="UK53" s="198"/>
      <c r="UL53" s="198"/>
      <c r="UM53" s="198"/>
      <c r="UN53" s="198"/>
      <c r="UO53" s="198"/>
      <c r="UP53" s="198"/>
      <c r="UQ53" s="198"/>
      <c r="UR53" s="198"/>
      <c r="US53" s="198"/>
      <c r="UT53" s="198"/>
      <c r="UU53" s="198"/>
      <c r="UV53" s="198"/>
      <c r="UW53" s="198"/>
      <c r="UX53" s="198"/>
      <c r="UY53" s="198"/>
      <c r="UZ53" s="198"/>
      <c r="VA53" s="198"/>
      <c r="VB53" s="198"/>
      <c r="VC53" s="198"/>
      <c r="VD53" s="198"/>
      <c r="VE53" s="198"/>
      <c r="VF53" s="198"/>
      <c r="VG53" s="198"/>
      <c r="VH53" s="198"/>
      <c r="VI53" s="198"/>
      <c r="VJ53" s="198"/>
      <c r="VK53" s="198"/>
      <c r="VL53" s="198"/>
      <c r="VM53" s="198"/>
      <c r="VN53" s="198"/>
      <c r="VO53" s="198"/>
      <c r="VP53" s="198"/>
      <c r="VQ53" s="198"/>
      <c r="VR53" s="198"/>
      <c r="VS53" s="198"/>
      <c r="VT53" s="198"/>
      <c r="VU53" s="198"/>
      <c r="VV53" s="198"/>
      <c r="VW53" s="198"/>
      <c r="VX53" s="198"/>
      <c r="VY53" s="198"/>
      <c r="VZ53" s="198"/>
      <c r="WA53" s="198"/>
      <c r="WB53" s="198"/>
      <c r="WC53" s="198"/>
      <c r="WD53" s="198"/>
      <c r="WE53" s="198"/>
      <c r="WF53" s="198"/>
      <c r="WG53" s="198"/>
      <c r="WH53" s="198"/>
      <c r="WI53" s="198"/>
      <c r="WJ53" s="198"/>
      <c r="WK53" s="198"/>
      <c r="WL53" s="198"/>
      <c r="WM53" s="198"/>
      <c r="WN53" s="198"/>
      <c r="WO53" s="198"/>
      <c r="WP53" s="198"/>
      <c r="WQ53" s="198"/>
      <c r="WR53" s="198"/>
      <c r="WS53" s="198"/>
      <c r="WT53" s="198"/>
      <c r="WU53" s="198"/>
      <c r="WV53" s="198"/>
      <c r="WW53" s="198"/>
      <c r="WX53" s="198"/>
      <c r="WY53" s="198"/>
      <c r="WZ53" s="198"/>
      <c r="XA53" s="198"/>
      <c r="XB53" s="198"/>
      <c r="XC53" s="198"/>
      <c r="XD53" s="198"/>
      <c r="XE53" s="198"/>
      <c r="XF53" s="198"/>
      <c r="XG53" s="198"/>
      <c r="XH53" s="198"/>
      <c r="XI53" s="198"/>
      <c r="XJ53" s="198"/>
      <c r="XK53" s="198"/>
      <c r="XL53" s="198"/>
      <c r="XM53" s="198"/>
      <c r="XN53" s="198"/>
      <c r="XO53" s="198"/>
      <c r="XP53" s="198"/>
      <c r="XQ53" s="198"/>
      <c r="XR53" s="198"/>
      <c r="XS53" s="198"/>
      <c r="XT53" s="198"/>
      <c r="XU53" s="198"/>
      <c r="XV53" s="198"/>
      <c r="XW53" s="198"/>
      <c r="XX53" s="198"/>
      <c r="XY53" s="198"/>
      <c r="XZ53" s="198"/>
      <c r="YA53" s="198"/>
      <c r="YB53" s="198"/>
      <c r="YC53" s="198"/>
      <c r="YD53" s="198"/>
      <c r="YE53" s="198"/>
      <c r="YF53" s="198"/>
      <c r="YG53" s="198"/>
      <c r="YH53" s="198"/>
      <c r="YI53" s="198"/>
      <c r="YJ53" s="198"/>
      <c r="YK53" s="198"/>
      <c r="YL53" s="198"/>
      <c r="YM53" s="198"/>
      <c r="YN53" s="198"/>
      <c r="YO53" s="198"/>
      <c r="YP53" s="198"/>
      <c r="YQ53" s="198"/>
      <c r="YR53" s="198"/>
      <c r="YS53" s="198"/>
      <c r="YT53" s="198"/>
      <c r="YU53" s="198"/>
      <c r="YV53" s="198"/>
      <c r="YW53" s="198"/>
      <c r="YX53" s="198"/>
      <c r="YY53" s="198"/>
      <c r="YZ53" s="198"/>
      <c r="ZA53" s="198"/>
      <c r="ZB53" s="198"/>
      <c r="ZC53" s="198"/>
      <c r="ZD53" s="198"/>
      <c r="ZE53" s="198"/>
      <c r="ZF53" s="198"/>
      <c r="ZG53" s="198"/>
      <c r="ZH53" s="198"/>
      <c r="ZI53" s="198"/>
      <c r="ZJ53" s="198"/>
      <c r="ZK53" s="198"/>
      <c r="ZL53" s="198"/>
      <c r="ZM53" s="198"/>
      <c r="ZN53" s="198"/>
      <c r="ZO53" s="198"/>
      <c r="ZP53" s="198"/>
      <c r="ZQ53" s="198"/>
      <c r="ZR53" s="198"/>
      <c r="ZS53" s="198"/>
      <c r="ZT53" s="198"/>
      <c r="ZU53" s="198"/>
      <c r="ZV53" s="198"/>
      <c r="ZW53" s="198"/>
      <c r="ZX53" s="198"/>
      <c r="ZY53" s="198"/>
      <c r="ZZ53" s="198"/>
      <c r="AAA53" s="198"/>
      <c r="AAB53" s="198"/>
      <c r="AAC53" s="198"/>
      <c r="AAD53" s="198"/>
      <c r="AAE53" s="198"/>
      <c r="AAF53" s="198"/>
      <c r="AAG53" s="198"/>
      <c r="AAH53" s="198"/>
      <c r="AAI53" s="198"/>
      <c r="AAJ53" s="198"/>
      <c r="AAK53" s="198"/>
      <c r="AAL53" s="198"/>
      <c r="AAM53" s="198"/>
      <c r="AAN53" s="198"/>
      <c r="AAO53" s="198"/>
      <c r="AAP53" s="198"/>
      <c r="AAQ53" s="198"/>
      <c r="AAR53" s="198"/>
      <c r="AAS53" s="198"/>
      <c r="AAT53" s="198"/>
      <c r="AAU53" s="198"/>
      <c r="AAV53" s="198"/>
      <c r="AAW53" s="198"/>
      <c r="AAX53" s="198"/>
      <c r="AAY53" s="198"/>
      <c r="AAZ53" s="198"/>
      <c r="ABA53" s="198"/>
      <c r="ABB53" s="198"/>
      <c r="ABC53" s="198"/>
      <c r="ABD53" s="198"/>
      <c r="ABE53" s="198"/>
      <c r="ABF53" s="198"/>
      <c r="ABG53" s="198"/>
      <c r="ABH53" s="198"/>
      <c r="ABI53" s="198"/>
      <c r="ABJ53" s="198"/>
      <c r="ABK53" s="198"/>
      <c r="ABL53" s="198"/>
      <c r="ABM53" s="198"/>
      <c r="ABN53" s="198"/>
      <c r="ABO53" s="198"/>
      <c r="ABP53" s="198"/>
      <c r="ABQ53" s="198"/>
      <c r="ABR53" s="198"/>
      <c r="ABS53" s="198"/>
      <c r="ABT53" s="198"/>
      <c r="ABU53" s="198"/>
      <c r="ABV53" s="198"/>
      <c r="ABW53" s="198"/>
      <c r="ABX53" s="198"/>
      <c r="ABY53" s="198"/>
      <c r="ABZ53" s="198"/>
      <c r="ACA53" s="198"/>
      <c r="ACB53" s="198"/>
      <c r="ACC53" s="198"/>
      <c r="ACD53" s="198"/>
      <c r="ACE53" s="198"/>
      <c r="ACF53" s="198"/>
      <c r="ACG53" s="198"/>
      <c r="ACH53" s="198"/>
      <c r="ACI53" s="198"/>
      <c r="ACJ53" s="198"/>
      <c r="ACK53" s="198"/>
      <c r="ACL53" s="198"/>
      <c r="ACM53" s="198"/>
      <c r="ACN53" s="198"/>
      <c r="ACO53" s="198"/>
      <c r="ACP53" s="198"/>
      <c r="ACQ53" s="198"/>
      <c r="ACR53" s="198"/>
      <c r="ACS53" s="198"/>
      <c r="ACT53" s="198"/>
      <c r="ACU53" s="198"/>
      <c r="ACV53" s="198"/>
      <c r="ACW53" s="198"/>
      <c r="ACX53" s="198"/>
      <c r="ACY53" s="198"/>
      <c r="ACZ53" s="198"/>
      <c r="ADA53" s="198"/>
      <c r="ADB53" s="198"/>
      <c r="ADC53" s="198"/>
      <c r="ADD53" s="198"/>
      <c r="ADE53" s="198"/>
      <c r="ADF53" s="198"/>
      <c r="ADG53" s="198"/>
      <c r="ADH53" s="198"/>
      <c r="ADI53" s="198"/>
      <c r="ADJ53" s="198"/>
      <c r="ADK53" s="198"/>
      <c r="ADL53" s="198"/>
      <c r="ADM53" s="198"/>
      <c r="ADN53" s="198"/>
      <c r="ADO53" s="198"/>
      <c r="ADP53" s="198"/>
      <c r="ADQ53" s="198"/>
      <c r="ADR53" s="198"/>
      <c r="ADS53" s="198"/>
      <c r="ADT53" s="198"/>
      <c r="ADU53" s="198"/>
      <c r="ADV53" s="198"/>
      <c r="ADW53" s="198"/>
      <c r="ADX53" s="198"/>
      <c r="ADY53" s="198"/>
      <c r="ADZ53" s="198"/>
      <c r="AEA53" s="198"/>
      <c r="AEB53" s="198"/>
      <c r="AEC53" s="198"/>
      <c r="AED53" s="198"/>
      <c r="AEE53" s="198"/>
      <c r="AEF53" s="198"/>
      <c r="AEG53" s="198"/>
      <c r="AEH53" s="198"/>
      <c r="AEI53" s="198"/>
      <c r="AEJ53" s="198"/>
      <c r="AEK53" s="198"/>
      <c r="AEL53" s="198"/>
      <c r="AEM53" s="198"/>
      <c r="AEN53" s="198"/>
      <c r="AEO53" s="198"/>
      <c r="AEP53" s="198"/>
      <c r="AEQ53" s="198"/>
      <c r="AER53" s="198"/>
      <c r="AES53" s="198"/>
      <c r="AET53" s="198"/>
      <c r="AEU53" s="198"/>
      <c r="AEV53" s="198"/>
      <c r="AEW53" s="198"/>
      <c r="AEX53" s="198"/>
      <c r="AEY53" s="198"/>
      <c r="AEZ53" s="198"/>
      <c r="AFA53" s="198"/>
      <c r="AFB53" s="198"/>
      <c r="AFC53" s="198"/>
      <c r="AFD53" s="198"/>
      <c r="AFE53" s="198"/>
      <c r="AFF53" s="198"/>
      <c r="AFG53" s="198"/>
      <c r="AFH53" s="198"/>
      <c r="AFI53" s="198"/>
      <c r="AFJ53" s="198"/>
      <c r="AFK53" s="198"/>
      <c r="AFL53" s="198"/>
      <c r="AFM53" s="198"/>
      <c r="AFN53" s="198"/>
      <c r="AFO53" s="198"/>
      <c r="AFP53" s="198"/>
      <c r="AFQ53" s="198"/>
      <c r="AFR53" s="198"/>
      <c r="AFS53" s="198"/>
      <c r="AFT53" s="198"/>
      <c r="AFU53" s="198"/>
      <c r="AFV53" s="198"/>
      <c r="AFW53" s="198"/>
      <c r="AFX53" s="198"/>
      <c r="AFY53" s="198"/>
      <c r="AFZ53" s="198"/>
      <c r="AGA53" s="198"/>
      <c r="AGB53" s="198"/>
      <c r="AGC53" s="198"/>
      <c r="AGD53" s="198"/>
      <c r="AGE53" s="198"/>
      <c r="AGF53" s="198"/>
      <c r="AGG53" s="198"/>
      <c r="AGH53" s="198"/>
      <c r="AGI53" s="198"/>
      <c r="AGJ53" s="198"/>
      <c r="AGK53" s="198"/>
      <c r="AGL53" s="198"/>
      <c r="AGM53" s="198"/>
      <c r="AGN53" s="198"/>
      <c r="AGO53" s="198"/>
      <c r="AGP53" s="198"/>
      <c r="AGQ53" s="198"/>
      <c r="AGR53" s="198"/>
      <c r="AGS53" s="198"/>
      <c r="AGT53" s="198"/>
      <c r="AGU53" s="198"/>
      <c r="AGV53" s="198"/>
      <c r="AGW53" s="198"/>
      <c r="AGX53" s="198"/>
      <c r="AGY53" s="198"/>
      <c r="AGZ53" s="198"/>
      <c r="AHA53" s="198"/>
      <c r="AHB53" s="198"/>
      <c r="AHC53" s="198"/>
      <c r="AHD53" s="198"/>
      <c r="AHE53" s="198"/>
      <c r="AHF53" s="198"/>
      <c r="AHG53" s="198"/>
      <c r="AHH53" s="198"/>
      <c r="AHI53" s="198"/>
      <c r="AHJ53" s="198"/>
      <c r="AHK53" s="198"/>
      <c r="AHL53" s="198"/>
      <c r="AHM53" s="198"/>
      <c r="AHN53" s="198"/>
      <c r="AHO53" s="198"/>
      <c r="AHP53" s="198"/>
      <c r="AHQ53" s="198"/>
      <c r="AHR53" s="198"/>
      <c r="AHS53" s="198"/>
      <c r="AHT53" s="198"/>
      <c r="AHU53" s="198"/>
      <c r="AHV53" s="198"/>
      <c r="AHW53" s="198"/>
      <c r="AHX53" s="198"/>
      <c r="AHY53" s="198"/>
      <c r="AHZ53" s="198"/>
      <c r="AIA53" s="198"/>
      <c r="AIB53" s="198"/>
      <c r="AIC53" s="198"/>
      <c r="AID53" s="198"/>
      <c r="AIE53" s="198"/>
      <c r="AIF53" s="198"/>
      <c r="AIG53" s="198"/>
      <c r="AIH53" s="198"/>
      <c r="AII53" s="198"/>
      <c r="AIJ53" s="198"/>
      <c r="AIK53" s="198"/>
      <c r="AIL53" s="198"/>
      <c r="AIM53" s="198"/>
      <c r="AIN53" s="198"/>
      <c r="AIO53" s="198"/>
      <c r="AIP53" s="198"/>
      <c r="AIQ53" s="198"/>
      <c r="AIR53" s="198"/>
      <c r="AIS53" s="198"/>
      <c r="AIT53" s="198"/>
      <c r="AIU53" s="198"/>
      <c r="AIV53" s="198"/>
      <c r="AIW53" s="198"/>
      <c r="AIX53" s="198"/>
      <c r="AIY53" s="198"/>
      <c r="AIZ53" s="198"/>
      <c r="AJA53" s="198"/>
      <c r="AJB53" s="198"/>
      <c r="AJC53" s="198"/>
      <c r="AJD53" s="198"/>
      <c r="AJE53" s="198"/>
      <c r="AJF53" s="198"/>
      <c r="AJG53" s="198"/>
      <c r="AJH53" s="198"/>
      <c r="AJI53" s="198"/>
      <c r="AJJ53" s="198"/>
      <c r="AJK53" s="198"/>
      <c r="AJL53" s="198"/>
      <c r="AJM53" s="198"/>
      <c r="AJN53" s="198"/>
      <c r="AJO53" s="198"/>
      <c r="AJP53" s="198"/>
      <c r="AJQ53" s="198"/>
      <c r="AJR53" s="198"/>
      <c r="AJS53" s="198"/>
      <c r="AJT53" s="198"/>
      <c r="AJU53" s="198"/>
      <c r="AJV53" s="198"/>
      <c r="AJW53" s="198"/>
      <c r="AJX53" s="198"/>
      <c r="AJY53" s="198"/>
      <c r="AJZ53" s="198"/>
      <c r="AKA53" s="198"/>
      <c r="AKB53" s="198"/>
      <c r="AKC53" s="198"/>
      <c r="AKD53" s="198"/>
      <c r="AKE53" s="198"/>
      <c r="AKF53" s="198"/>
      <c r="AKG53" s="198"/>
      <c r="AKH53" s="198"/>
      <c r="AKI53" s="198"/>
      <c r="AKJ53" s="198"/>
      <c r="AKK53" s="198"/>
      <c r="AKL53" s="198"/>
      <c r="AKM53" s="198"/>
      <c r="AKN53" s="198"/>
      <c r="AKO53" s="198"/>
      <c r="AKP53" s="198"/>
      <c r="AKQ53" s="198"/>
      <c r="AKR53" s="198"/>
      <c r="AKS53" s="198"/>
      <c r="AKT53" s="198"/>
      <c r="AKU53" s="198"/>
      <c r="AKV53" s="198"/>
      <c r="AKW53" s="198"/>
      <c r="AKX53" s="198"/>
      <c r="AKY53" s="198"/>
      <c r="AKZ53" s="198"/>
      <c r="ALA53" s="198"/>
      <c r="ALB53" s="198"/>
      <c r="ALC53" s="198"/>
      <c r="ALD53" s="198"/>
      <c r="ALE53" s="198"/>
      <c r="ALF53" s="198"/>
      <c r="ALG53" s="198"/>
      <c r="ALH53" s="198"/>
      <c r="ALI53" s="198"/>
      <c r="ALJ53" s="198"/>
      <c r="ALK53" s="198"/>
      <c r="ALL53" s="198"/>
      <c r="ALM53" s="198"/>
      <c r="ALN53" s="198"/>
      <c r="ALO53" s="198"/>
      <c r="ALP53" s="198"/>
      <c r="ALQ53" s="198"/>
      <c r="ALR53" s="198"/>
      <c r="ALS53" s="198"/>
      <c r="ALT53" s="198"/>
      <c r="ALU53" s="198"/>
      <c r="ALV53" s="198"/>
      <c r="ALW53" s="198"/>
      <c r="ALX53" s="198"/>
      <c r="ALY53" s="198"/>
      <c r="ALZ53" s="198"/>
      <c r="AMA53" s="198"/>
      <c r="AMB53" s="198"/>
      <c r="AMC53" s="198"/>
      <c r="AMD53" s="198"/>
      <c r="AME53" s="198"/>
      <c r="AMF53" s="198"/>
      <c r="AMG53" s="198"/>
      <c r="AMH53" s="198"/>
      <c r="AMI53" s="198"/>
      <c r="AMJ53" s="198"/>
      <c r="AMK53" s="198"/>
      <c r="AML53" s="198"/>
      <c r="AMM53" s="198"/>
      <c r="AMN53" s="198"/>
      <c r="AMO53" s="198"/>
      <c r="AMP53" s="198"/>
      <c r="AMQ53" s="198"/>
      <c r="AMR53" s="198"/>
      <c r="AMS53" s="198"/>
      <c r="AMT53" s="198"/>
      <c r="AMU53" s="198"/>
      <c r="AMV53" s="198"/>
      <c r="AMW53" s="198"/>
      <c r="AMX53" s="198"/>
      <c r="AMY53" s="198"/>
      <c r="AMZ53" s="198"/>
      <c r="ANA53" s="198"/>
      <c r="ANB53" s="198"/>
      <c r="ANC53" s="198"/>
      <c r="AND53" s="198"/>
      <c r="ANE53" s="198"/>
      <c r="ANF53" s="198"/>
      <c r="ANG53" s="198"/>
      <c r="ANH53" s="198"/>
      <c r="ANI53" s="198"/>
      <c r="ANJ53" s="198"/>
      <c r="ANK53" s="198"/>
      <c r="ANL53" s="198"/>
      <c r="ANM53" s="198"/>
      <c r="ANN53" s="198"/>
      <c r="ANO53" s="198"/>
      <c r="ANP53" s="198"/>
      <c r="ANQ53" s="198"/>
      <c r="ANR53" s="198"/>
      <c r="ANS53" s="198"/>
      <c r="ANT53" s="198"/>
      <c r="ANU53" s="198"/>
      <c r="ANV53" s="198"/>
      <c r="ANW53" s="198"/>
      <c r="ANX53" s="198"/>
      <c r="ANY53" s="198"/>
      <c r="ANZ53" s="198"/>
      <c r="AOA53" s="198"/>
      <c r="AOB53" s="198"/>
      <c r="AOC53" s="198"/>
      <c r="AOD53" s="198"/>
      <c r="AOE53" s="198"/>
      <c r="AOF53" s="198"/>
      <c r="AOG53" s="198"/>
      <c r="AOH53" s="198"/>
      <c r="AOI53" s="198"/>
      <c r="AOJ53" s="198"/>
      <c r="AOK53" s="198"/>
      <c r="AOL53" s="198"/>
      <c r="AOM53" s="198"/>
      <c r="AON53" s="198"/>
      <c r="AOO53" s="198"/>
      <c r="AOP53" s="198"/>
      <c r="AOQ53" s="198"/>
      <c r="AOR53" s="198"/>
      <c r="AOS53" s="198"/>
      <c r="AOT53" s="198"/>
      <c r="AOU53" s="198"/>
      <c r="AOV53" s="198"/>
      <c r="AOW53" s="198"/>
      <c r="AOX53" s="198"/>
      <c r="AOY53" s="198"/>
      <c r="AOZ53" s="198"/>
      <c r="APA53" s="198"/>
      <c r="APB53" s="198"/>
      <c r="APC53" s="198"/>
      <c r="APD53" s="198"/>
      <c r="APE53" s="198"/>
      <c r="APF53" s="198"/>
      <c r="APG53" s="198"/>
      <c r="APH53" s="198"/>
      <c r="API53" s="198"/>
      <c r="APJ53" s="198"/>
      <c r="APK53" s="198"/>
      <c r="APL53" s="198"/>
      <c r="APM53" s="198"/>
      <c r="APN53" s="198"/>
      <c r="APO53" s="198"/>
      <c r="APP53" s="198"/>
      <c r="APQ53" s="198"/>
      <c r="APR53" s="198"/>
      <c r="APS53" s="198"/>
      <c r="APT53" s="198"/>
      <c r="APU53" s="198"/>
      <c r="APV53" s="198"/>
      <c r="APW53" s="198"/>
      <c r="APX53" s="198"/>
      <c r="APY53" s="198"/>
      <c r="APZ53" s="198"/>
      <c r="AQA53" s="198"/>
      <c r="AQB53" s="198"/>
      <c r="AQC53" s="198"/>
      <c r="AQD53" s="198"/>
      <c r="AQE53" s="198"/>
      <c r="AQF53" s="198"/>
      <c r="AQG53" s="198"/>
      <c r="AQH53" s="198"/>
      <c r="AQI53" s="198"/>
      <c r="AQJ53" s="198"/>
      <c r="AQK53" s="198"/>
      <c r="AQL53" s="198"/>
      <c r="AQM53" s="198"/>
      <c r="AQN53" s="198"/>
      <c r="AQO53" s="198"/>
      <c r="AQP53" s="198"/>
      <c r="AQQ53" s="198"/>
      <c r="AQR53" s="198"/>
      <c r="AQS53" s="198"/>
      <c r="AQT53" s="198"/>
      <c r="AQU53" s="198"/>
      <c r="AQV53" s="198"/>
      <c r="AQW53" s="198"/>
      <c r="AQX53" s="198"/>
      <c r="AQY53" s="198"/>
      <c r="AQZ53" s="198"/>
      <c r="ARA53" s="198"/>
      <c r="ARB53" s="198"/>
      <c r="ARC53" s="198"/>
      <c r="ARD53" s="198"/>
      <c r="ARE53" s="198"/>
      <c r="ARF53" s="198"/>
      <c r="ARG53" s="198"/>
      <c r="ARH53" s="198"/>
      <c r="ARI53" s="198"/>
      <c r="ARJ53" s="198"/>
      <c r="ARK53" s="198"/>
      <c r="ARL53" s="198"/>
      <c r="ARM53" s="198"/>
      <c r="ARN53" s="198"/>
      <c r="ARO53" s="198"/>
      <c r="ARP53" s="198"/>
      <c r="ARQ53" s="198"/>
      <c r="ARR53" s="198"/>
      <c r="ARS53" s="198"/>
      <c r="ART53" s="198"/>
      <c r="ARU53" s="198"/>
      <c r="ARV53" s="198"/>
      <c r="ARW53" s="198"/>
      <c r="ARX53" s="198"/>
      <c r="ARY53" s="198"/>
      <c r="ARZ53" s="198"/>
      <c r="ASA53" s="198"/>
      <c r="ASB53" s="198"/>
      <c r="ASC53" s="198"/>
      <c r="ASD53" s="198"/>
      <c r="ASE53" s="198"/>
      <c r="ASF53" s="198"/>
      <c r="ASG53" s="198"/>
      <c r="ASH53" s="198"/>
      <c r="ASI53" s="198"/>
      <c r="ASJ53" s="198"/>
      <c r="ASK53" s="198"/>
      <c r="ASL53" s="198"/>
      <c r="ASM53" s="198"/>
      <c r="ASN53" s="198"/>
      <c r="ASO53" s="198"/>
      <c r="ASP53" s="198"/>
      <c r="ASQ53" s="198"/>
      <c r="ASR53" s="198"/>
      <c r="ASS53" s="198"/>
      <c r="AST53" s="198"/>
      <c r="ASU53" s="198"/>
      <c r="ASV53" s="198"/>
      <c r="ASW53" s="198"/>
      <c r="ASX53" s="198"/>
      <c r="ASY53" s="198"/>
      <c r="ASZ53" s="198"/>
      <c r="ATA53" s="198"/>
      <c r="ATB53" s="198"/>
      <c r="ATC53" s="198"/>
      <c r="ATD53" s="198"/>
      <c r="ATE53" s="198"/>
      <c r="ATF53" s="198"/>
      <c r="ATG53" s="198"/>
      <c r="ATH53" s="198"/>
      <c r="ATI53" s="198"/>
      <c r="ATJ53" s="198"/>
      <c r="ATK53" s="198"/>
      <c r="ATL53" s="198"/>
      <c r="ATM53" s="198"/>
      <c r="ATN53" s="198"/>
      <c r="ATO53" s="198"/>
      <c r="ATP53" s="198"/>
      <c r="ATQ53" s="198"/>
      <c r="ATR53" s="198"/>
      <c r="ATS53" s="198"/>
      <c r="ATT53" s="198"/>
      <c r="ATU53" s="198"/>
      <c r="ATV53" s="198"/>
      <c r="ATW53" s="198"/>
      <c r="ATX53" s="198"/>
      <c r="ATY53" s="198"/>
      <c r="ATZ53" s="198"/>
      <c r="AUA53" s="198"/>
      <c r="AUB53" s="198"/>
      <c r="AUC53" s="198"/>
      <c r="AUD53" s="198"/>
      <c r="AUE53" s="198"/>
      <c r="AUF53" s="198"/>
      <c r="AUG53" s="198"/>
      <c r="AUH53" s="198"/>
      <c r="AUI53" s="198"/>
      <c r="AUJ53" s="198"/>
      <c r="AUK53" s="198"/>
      <c r="AUL53" s="198"/>
      <c r="AUM53" s="198"/>
      <c r="AUN53" s="198"/>
      <c r="AUO53" s="198"/>
      <c r="AUP53" s="198"/>
      <c r="AUQ53" s="198"/>
      <c r="AUR53" s="198"/>
      <c r="AUS53" s="198"/>
      <c r="AUT53" s="198"/>
      <c r="AUU53" s="198"/>
      <c r="AUV53" s="198"/>
      <c r="AUW53" s="198"/>
      <c r="AUX53" s="198"/>
      <c r="AUY53" s="198"/>
      <c r="AUZ53" s="198"/>
      <c r="AVA53" s="198"/>
      <c r="AVB53" s="198"/>
      <c r="AVC53" s="198"/>
      <c r="AVD53" s="198"/>
      <c r="AVE53" s="198"/>
      <c r="AVF53" s="198"/>
      <c r="AVG53" s="198"/>
      <c r="AVH53" s="198"/>
      <c r="AVI53" s="198"/>
      <c r="AVJ53" s="198"/>
      <c r="AVK53" s="198"/>
      <c r="AVL53" s="198"/>
      <c r="AVM53" s="198"/>
      <c r="AVN53" s="198"/>
      <c r="AVO53" s="198"/>
      <c r="AVP53" s="198"/>
      <c r="AVQ53" s="198"/>
      <c r="AVR53" s="198"/>
      <c r="AVS53" s="198"/>
      <c r="AVT53" s="198"/>
      <c r="AVU53" s="198"/>
      <c r="AVV53" s="198"/>
      <c r="AVW53" s="198"/>
      <c r="AVX53" s="198"/>
      <c r="AVY53" s="198"/>
      <c r="AVZ53" s="198"/>
      <c r="AWA53" s="198"/>
      <c r="AWB53" s="198"/>
      <c r="AWC53" s="198"/>
      <c r="AWD53" s="198"/>
      <c r="AWE53" s="198"/>
      <c r="AWF53" s="198"/>
      <c r="AWG53" s="198"/>
      <c r="AWH53" s="198"/>
      <c r="AWI53" s="198"/>
      <c r="AWJ53" s="198"/>
      <c r="AWK53" s="198"/>
      <c r="AWL53" s="198"/>
      <c r="AWM53" s="198"/>
      <c r="AWN53" s="198"/>
      <c r="AWO53" s="198"/>
      <c r="AWP53" s="198"/>
      <c r="AWQ53" s="198"/>
      <c r="AWR53" s="198"/>
      <c r="AWS53" s="198"/>
      <c r="AWT53" s="198"/>
      <c r="AWU53" s="198"/>
      <c r="AWV53" s="198"/>
      <c r="AWW53" s="198"/>
      <c r="AWX53" s="198"/>
      <c r="AWY53" s="198"/>
      <c r="AWZ53" s="198"/>
      <c r="AXA53" s="198"/>
      <c r="AXB53" s="198"/>
      <c r="AXC53" s="198"/>
      <c r="AXD53" s="198"/>
      <c r="AXE53" s="198"/>
      <c r="AXF53" s="198"/>
      <c r="AXG53" s="198"/>
      <c r="AXH53" s="198"/>
      <c r="AXI53" s="198"/>
      <c r="AXJ53" s="198"/>
      <c r="AXK53" s="198"/>
      <c r="AXL53" s="198"/>
      <c r="AXM53" s="198"/>
      <c r="AXN53" s="198"/>
      <c r="AXO53" s="198"/>
      <c r="AXP53" s="198"/>
      <c r="AXQ53" s="198"/>
      <c r="AXR53" s="198"/>
      <c r="AXS53" s="198"/>
      <c r="AXT53" s="198"/>
      <c r="AXU53" s="198"/>
      <c r="AXV53" s="198"/>
      <c r="AXW53" s="198"/>
      <c r="AXX53" s="198"/>
      <c r="AXY53" s="198"/>
      <c r="AXZ53" s="198"/>
      <c r="AYA53" s="198"/>
      <c r="AYB53" s="198"/>
      <c r="AYC53" s="198"/>
      <c r="AYD53" s="198"/>
      <c r="AYE53" s="198"/>
      <c r="AYF53" s="198"/>
      <c r="AYG53" s="198"/>
      <c r="AYH53" s="198"/>
      <c r="AYI53" s="198"/>
      <c r="AYJ53" s="198"/>
      <c r="AYK53" s="198"/>
      <c r="AYL53" s="198"/>
      <c r="AYM53" s="198"/>
      <c r="AYN53" s="198"/>
      <c r="AYO53" s="198"/>
      <c r="AYP53" s="198"/>
      <c r="AYQ53" s="198"/>
      <c r="AYR53" s="198"/>
      <c r="AYS53" s="198"/>
      <c r="AYT53" s="198"/>
      <c r="AYU53" s="198"/>
      <c r="AYV53" s="198"/>
      <c r="AYW53" s="198"/>
      <c r="AYX53" s="198"/>
      <c r="AYY53" s="198"/>
      <c r="AYZ53" s="198"/>
      <c r="AZA53" s="198"/>
      <c r="AZB53" s="198"/>
      <c r="AZC53" s="198"/>
      <c r="AZD53" s="198"/>
      <c r="AZE53" s="198"/>
      <c r="AZF53" s="198"/>
      <c r="AZG53" s="198"/>
      <c r="AZH53" s="198"/>
      <c r="AZI53" s="198"/>
      <c r="AZJ53" s="198"/>
      <c r="AZK53" s="198"/>
      <c r="AZL53" s="198"/>
      <c r="AZM53" s="198"/>
      <c r="AZN53" s="198"/>
      <c r="AZO53" s="198"/>
      <c r="AZP53" s="198"/>
      <c r="AZQ53" s="198"/>
      <c r="AZR53" s="198"/>
      <c r="AZS53" s="198"/>
      <c r="AZT53" s="198"/>
      <c r="AZU53" s="198"/>
      <c r="AZV53" s="198"/>
      <c r="AZW53" s="198"/>
      <c r="AZX53" s="198"/>
      <c r="AZY53" s="198"/>
      <c r="AZZ53" s="198"/>
      <c r="BAA53" s="198"/>
      <c r="BAB53" s="198"/>
      <c r="BAC53" s="198"/>
      <c r="BAD53" s="198"/>
      <c r="BAE53" s="198"/>
      <c r="BAF53" s="198"/>
      <c r="BAG53" s="198"/>
      <c r="BAH53" s="198"/>
      <c r="BAI53" s="198"/>
      <c r="BAJ53" s="198"/>
      <c r="BAK53" s="198"/>
      <c r="BAL53" s="198"/>
      <c r="BAM53" s="198"/>
      <c r="BAN53" s="198"/>
      <c r="BAO53" s="198"/>
      <c r="BAP53" s="198"/>
      <c r="BAQ53" s="198"/>
      <c r="BAR53" s="198"/>
      <c r="BAS53" s="198"/>
      <c r="BAT53" s="198"/>
      <c r="BAU53" s="198"/>
      <c r="BAV53" s="198"/>
      <c r="BAW53" s="198"/>
      <c r="BAX53" s="198"/>
      <c r="BAY53" s="198"/>
      <c r="BAZ53" s="198"/>
      <c r="BBA53" s="198"/>
      <c r="BBB53" s="198"/>
      <c r="BBC53" s="198"/>
      <c r="BBD53" s="198"/>
      <c r="BBE53" s="198"/>
      <c r="BBF53" s="198"/>
      <c r="BBG53" s="198"/>
      <c r="BBH53" s="198"/>
      <c r="BBI53" s="198"/>
      <c r="BBJ53" s="198"/>
      <c r="BBK53" s="198"/>
      <c r="BBL53" s="198"/>
      <c r="BBM53" s="198"/>
      <c r="BBN53" s="198"/>
      <c r="BBO53" s="198"/>
      <c r="BBP53" s="198"/>
      <c r="BBQ53" s="198"/>
      <c r="BBR53" s="198"/>
      <c r="BBS53" s="198"/>
      <c r="BBT53" s="198"/>
      <c r="BBU53" s="198"/>
      <c r="BBV53" s="198"/>
      <c r="BBW53" s="198"/>
      <c r="BBX53" s="198"/>
      <c r="BBY53" s="198"/>
      <c r="BBZ53" s="198"/>
      <c r="BCA53" s="198"/>
      <c r="BCB53" s="198"/>
      <c r="BCC53" s="198"/>
      <c r="BCD53" s="198"/>
      <c r="BCE53" s="198"/>
      <c r="BCF53" s="198"/>
      <c r="BCG53" s="198"/>
      <c r="BCH53" s="198"/>
      <c r="BCI53" s="198"/>
      <c r="BCJ53" s="198"/>
      <c r="BCK53" s="198"/>
      <c r="BCL53" s="198"/>
      <c r="BCM53" s="198"/>
      <c r="BCN53" s="198"/>
      <c r="BCO53" s="198"/>
      <c r="BCP53" s="198"/>
      <c r="BCQ53" s="198"/>
      <c r="BCR53" s="198"/>
      <c r="BCS53" s="198"/>
      <c r="BCT53" s="198"/>
      <c r="BCU53" s="198"/>
      <c r="BCV53" s="198"/>
      <c r="BCW53" s="198"/>
      <c r="BCX53" s="198"/>
      <c r="BCY53" s="198"/>
      <c r="BCZ53" s="198"/>
      <c r="BDA53" s="198"/>
      <c r="BDB53" s="198"/>
      <c r="BDC53" s="198"/>
      <c r="BDD53" s="198"/>
      <c r="BDE53" s="198"/>
      <c r="BDF53" s="198"/>
      <c r="BDG53" s="198"/>
      <c r="BDH53" s="198"/>
      <c r="BDI53" s="198"/>
      <c r="BDJ53" s="198"/>
      <c r="BDK53" s="198"/>
      <c r="BDL53" s="198"/>
      <c r="BDM53" s="198"/>
      <c r="BDN53" s="198"/>
      <c r="BDO53" s="198"/>
      <c r="BDP53" s="198"/>
      <c r="BDQ53" s="198"/>
      <c r="BDR53" s="198"/>
      <c r="BDS53" s="198"/>
      <c r="BDT53" s="198"/>
      <c r="BDU53" s="198"/>
      <c r="BDV53" s="198"/>
      <c r="BDW53" s="198"/>
      <c r="BDX53" s="198"/>
      <c r="BDY53" s="198"/>
      <c r="BDZ53" s="198"/>
      <c r="BEA53" s="198"/>
      <c r="BEB53" s="198"/>
      <c r="BEC53" s="198"/>
      <c r="BED53" s="198"/>
      <c r="BEE53" s="198"/>
      <c r="BEF53" s="198"/>
      <c r="BEG53" s="198"/>
      <c r="BEH53" s="198"/>
      <c r="BEI53" s="198"/>
      <c r="BEJ53" s="198"/>
      <c r="BEK53" s="198"/>
      <c r="BEL53" s="198"/>
      <c r="BEM53" s="198"/>
      <c r="BEN53" s="198"/>
      <c r="BEO53" s="198"/>
      <c r="BEP53" s="198"/>
      <c r="BEQ53" s="198"/>
      <c r="BER53" s="198"/>
      <c r="BES53" s="198"/>
      <c r="BET53" s="198"/>
      <c r="BEU53" s="198"/>
      <c r="BEV53" s="198"/>
      <c r="BEW53" s="198"/>
      <c r="BEX53" s="198"/>
      <c r="BEY53" s="198"/>
      <c r="BEZ53" s="198"/>
      <c r="BFA53" s="198"/>
      <c r="BFB53" s="198"/>
      <c r="BFC53" s="198"/>
      <c r="BFD53" s="198"/>
      <c r="BFE53" s="198"/>
      <c r="BFF53" s="198"/>
      <c r="BFG53" s="198"/>
      <c r="BFH53" s="198"/>
      <c r="BFI53" s="198"/>
      <c r="BFJ53" s="198"/>
      <c r="BFK53" s="198"/>
      <c r="BFL53" s="198"/>
      <c r="BFM53" s="198"/>
      <c r="BFN53" s="198"/>
      <c r="BFO53" s="198"/>
      <c r="BFP53" s="198"/>
      <c r="BFQ53" s="198"/>
      <c r="BFR53" s="198"/>
      <c r="BFS53" s="198"/>
      <c r="BFT53" s="198"/>
      <c r="BFU53" s="198"/>
      <c r="BFV53" s="198"/>
      <c r="BFW53" s="198"/>
      <c r="BFX53" s="198"/>
      <c r="BFY53" s="198"/>
      <c r="BFZ53" s="198"/>
      <c r="BGA53" s="198"/>
      <c r="BGB53" s="198"/>
      <c r="BGC53" s="198"/>
      <c r="BGD53" s="198"/>
      <c r="BGE53" s="198"/>
      <c r="BGF53" s="198"/>
      <c r="BGG53" s="198"/>
      <c r="BGH53" s="198"/>
      <c r="BGI53" s="198"/>
      <c r="BGJ53" s="198"/>
      <c r="BGK53" s="198"/>
      <c r="BGL53" s="198"/>
      <c r="BGM53" s="198"/>
      <c r="BGN53" s="198"/>
      <c r="BGO53" s="198"/>
      <c r="BGP53" s="198"/>
      <c r="BGQ53" s="198"/>
      <c r="BGR53" s="198"/>
      <c r="BGS53" s="198"/>
      <c r="BGT53" s="198"/>
      <c r="BGU53" s="198"/>
      <c r="BGV53" s="198"/>
      <c r="BGW53" s="198"/>
      <c r="BGX53" s="198"/>
      <c r="BGY53" s="198"/>
      <c r="BGZ53" s="198"/>
      <c r="BHA53" s="198"/>
      <c r="BHB53" s="198"/>
      <c r="BHC53" s="198"/>
      <c r="BHD53" s="198"/>
      <c r="BHE53" s="198"/>
      <c r="BHF53" s="198"/>
      <c r="BHG53" s="198"/>
      <c r="BHH53" s="198"/>
      <c r="BHI53" s="198"/>
      <c r="BHJ53" s="198"/>
      <c r="BHK53" s="198"/>
      <c r="BHL53" s="198"/>
      <c r="BHM53" s="198"/>
      <c r="BHN53" s="198"/>
      <c r="BHO53" s="198"/>
      <c r="BHP53" s="198"/>
      <c r="BHQ53" s="198"/>
      <c r="BHR53" s="198"/>
      <c r="BHS53" s="198"/>
      <c r="BHT53" s="198"/>
      <c r="BHU53" s="198"/>
      <c r="BHV53" s="198"/>
      <c r="BHW53" s="198"/>
      <c r="BHX53" s="198"/>
      <c r="BHY53" s="198"/>
      <c r="BHZ53" s="198"/>
      <c r="BIA53" s="198"/>
      <c r="BIB53" s="198"/>
      <c r="BIC53" s="198"/>
      <c r="BID53" s="198"/>
      <c r="BIE53" s="198"/>
      <c r="BIF53" s="198"/>
      <c r="BIG53" s="198"/>
      <c r="BIH53" s="198"/>
      <c r="BII53" s="198"/>
      <c r="BIJ53" s="198"/>
      <c r="BIK53" s="198"/>
      <c r="BIL53" s="198"/>
      <c r="BIM53" s="198"/>
      <c r="BIN53" s="198"/>
      <c r="BIO53" s="198"/>
      <c r="BIP53" s="198"/>
      <c r="BIQ53" s="198"/>
      <c r="BIR53" s="198"/>
      <c r="BIS53" s="198"/>
      <c r="BIT53" s="198"/>
      <c r="BIU53" s="198"/>
      <c r="BIV53" s="198"/>
      <c r="BIW53" s="198"/>
      <c r="BIX53" s="198"/>
      <c r="BIY53" s="198"/>
      <c r="BIZ53" s="198"/>
      <c r="BJA53" s="198"/>
      <c r="BJB53" s="198"/>
      <c r="BJC53" s="198"/>
      <c r="BJD53" s="198"/>
      <c r="BJE53" s="198"/>
      <c r="BJF53" s="198"/>
      <c r="BJG53" s="198"/>
      <c r="BJH53" s="198"/>
      <c r="BJI53" s="198"/>
      <c r="BJJ53" s="198"/>
      <c r="BJK53" s="198"/>
      <c r="BJL53" s="198"/>
      <c r="BJM53" s="198"/>
      <c r="BJN53" s="198"/>
      <c r="BJO53" s="198"/>
      <c r="BJP53" s="198"/>
      <c r="BJQ53" s="198"/>
      <c r="BJR53" s="198"/>
      <c r="BJS53" s="198"/>
      <c r="BJT53" s="198"/>
      <c r="BJU53" s="198"/>
      <c r="BJV53" s="198"/>
      <c r="BJW53" s="198"/>
      <c r="BJX53" s="198"/>
      <c r="BJY53" s="198"/>
      <c r="BJZ53" s="198"/>
      <c r="BKA53" s="198"/>
      <c r="BKB53" s="198"/>
      <c r="BKC53" s="198"/>
      <c r="BKD53" s="198"/>
      <c r="BKE53" s="198"/>
      <c r="BKF53" s="198"/>
      <c r="BKG53" s="198"/>
      <c r="BKH53" s="198"/>
      <c r="BKI53" s="198"/>
      <c r="BKJ53" s="198"/>
      <c r="BKK53" s="198"/>
      <c r="BKL53" s="198"/>
      <c r="BKM53" s="198"/>
      <c r="BKN53" s="198"/>
      <c r="BKO53" s="198"/>
      <c r="BKP53" s="198"/>
      <c r="BKQ53" s="198"/>
      <c r="BKR53" s="198"/>
      <c r="BKS53" s="198"/>
      <c r="BKT53" s="198"/>
      <c r="BKU53" s="198"/>
      <c r="BKV53" s="198"/>
      <c r="BKW53" s="198"/>
      <c r="BKX53" s="198"/>
      <c r="BKY53" s="198"/>
      <c r="BKZ53" s="198"/>
      <c r="BLA53" s="198"/>
      <c r="BLB53" s="198"/>
      <c r="BLC53" s="198"/>
      <c r="BLD53" s="198"/>
      <c r="BLE53" s="198"/>
      <c r="BLF53" s="198"/>
      <c r="BLG53" s="198"/>
      <c r="BLH53" s="198"/>
      <c r="BLI53" s="198"/>
      <c r="BLJ53" s="198"/>
      <c r="BLK53" s="198"/>
      <c r="BLL53" s="198"/>
      <c r="BLM53" s="198"/>
      <c r="BLN53" s="198"/>
      <c r="BLO53" s="198"/>
      <c r="BLP53" s="198"/>
      <c r="BLQ53" s="198"/>
      <c r="BLR53" s="198"/>
      <c r="BLS53" s="198"/>
      <c r="BLT53" s="198"/>
      <c r="BLU53" s="198"/>
      <c r="BLV53" s="198"/>
      <c r="BLW53" s="198"/>
      <c r="BLX53" s="198"/>
      <c r="BLY53" s="198"/>
      <c r="BLZ53" s="198"/>
      <c r="BMA53" s="198"/>
      <c r="BMB53" s="198"/>
      <c r="BMC53" s="198"/>
      <c r="BMD53" s="198"/>
      <c r="BME53" s="198"/>
      <c r="BMF53" s="198"/>
      <c r="BMG53" s="198"/>
      <c r="BMH53" s="198"/>
      <c r="BMI53" s="198"/>
      <c r="BMJ53" s="198"/>
      <c r="BMK53" s="198"/>
      <c r="BML53" s="198"/>
      <c r="BMM53" s="198"/>
      <c r="BMN53" s="198"/>
      <c r="BMO53" s="198"/>
      <c r="BMP53" s="198"/>
      <c r="BMQ53" s="198"/>
      <c r="BMR53" s="198"/>
      <c r="BMS53" s="198"/>
      <c r="BMT53" s="198"/>
      <c r="BMU53" s="198"/>
      <c r="BMV53" s="198"/>
      <c r="BMW53" s="198"/>
      <c r="BMX53" s="198"/>
      <c r="BMY53" s="198"/>
      <c r="BMZ53" s="198"/>
      <c r="BNA53" s="198"/>
      <c r="BNB53" s="198"/>
      <c r="BNC53" s="198"/>
      <c r="BND53" s="198"/>
      <c r="BNE53" s="198"/>
      <c r="BNF53" s="198"/>
      <c r="BNG53" s="198"/>
      <c r="BNH53" s="198"/>
      <c r="BNI53" s="198"/>
      <c r="BNJ53" s="198"/>
      <c r="BNK53" s="198"/>
      <c r="BNL53" s="198"/>
      <c r="BNM53" s="198"/>
      <c r="BNN53" s="198"/>
      <c r="BNO53" s="198"/>
      <c r="BNP53" s="198"/>
      <c r="BNQ53" s="198"/>
      <c r="BNR53" s="198"/>
      <c r="BNS53" s="198"/>
      <c r="BNT53" s="198"/>
      <c r="BNU53" s="198"/>
      <c r="BNV53" s="198"/>
      <c r="BNW53" s="198"/>
      <c r="BNX53" s="198"/>
      <c r="BNY53" s="198"/>
      <c r="BNZ53" s="198"/>
      <c r="BOA53" s="198"/>
      <c r="BOB53" s="198"/>
      <c r="BOC53" s="198"/>
      <c r="BOD53" s="198"/>
      <c r="BOE53" s="198"/>
      <c r="BOF53" s="198"/>
      <c r="BOG53" s="198"/>
      <c r="BOH53" s="198"/>
      <c r="BOI53" s="198"/>
      <c r="BOJ53" s="198"/>
      <c r="BOK53" s="198"/>
      <c r="BOL53" s="198"/>
      <c r="BOM53" s="198"/>
      <c r="BON53" s="198"/>
      <c r="BOO53" s="198"/>
      <c r="BOP53" s="198"/>
      <c r="BOQ53" s="198"/>
      <c r="BOR53" s="198"/>
      <c r="BOS53" s="198"/>
      <c r="BOT53" s="198"/>
      <c r="BOU53" s="198"/>
      <c r="BOV53" s="198"/>
      <c r="BOW53" s="198"/>
      <c r="BOX53" s="198"/>
      <c r="BOY53" s="198"/>
      <c r="BOZ53" s="198"/>
      <c r="BPA53" s="198"/>
      <c r="BPB53" s="198"/>
      <c r="BPC53" s="198"/>
      <c r="BPD53" s="198"/>
      <c r="BPE53" s="198"/>
      <c r="BPF53" s="198"/>
      <c r="BPG53" s="198"/>
      <c r="BPH53" s="198"/>
      <c r="BPI53" s="198"/>
      <c r="BPJ53" s="198"/>
      <c r="BPK53" s="198"/>
      <c r="BPL53" s="198"/>
      <c r="BPM53" s="198"/>
      <c r="BPN53" s="198"/>
      <c r="BPO53" s="198"/>
      <c r="BPP53" s="198"/>
      <c r="BPQ53" s="198"/>
      <c r="BPR53" s="198"/>
      <c r="BPS53" s="198"/>
      <c r="BPT53" s="198"/>
      <c r="BPU53" s="198"/>
      <c r="BPV53" s="198"/>
      <c r="BPW53" s="198"/>
      <c r="BPX53" s="198"/>
      <c r="BPY53" s="198"/>
      <c r="BPZ53" s="198"/>
      <c r="BQA53" s="198"/>
      <c r="BQB53" s="198"/>
      <c r="BQC53" s="198"/>
      <c r="BQD53" s="198"/>
      <c r="BQE53" s="198"/>
      <c r="BQF53" s="198"/>
      <c r="BQG53" s="198"/>
      <c r="BQH53" s="198"/>
      <c r="BQI53" s="198"/>
      <c r="BQJ53" s="198"/>
      <c r="BQK53" s="198"/>
      <c r="BQL53" s="198"/>
      <c r="BQM53" s="198"/>
      <c r="BQN53" s="198"/>
      <c r="BQO53" s="198"/>
      <c r="BQP53" s="198"/>
      <c r="BQQ53" s="198"/>
      <c r="BQR53" s="198"/>
      <c r="BQS53" s="198"/>
      <c r="BQT53" s="198"/>
      <c r="BQU53" s="198"/>
      <c r="BQV53" s="198"/>
      <c r="BQW53" s="198"/>
      <c r="BQX53" s="198"/>
      <c r="BQY53" s="198"/>
      <c r="BQZ53" s="198"/>
      <c r="BRA53" s="198"/>
      <c r="BRB53" s="198"/>
      <c r="BRC53" s="198"/>
      <c r="BRD53" s="198"/>
      <c r="BRE53" s="198"/>
      <c r="BRF53" s="198"/>
      <c r="BRG53" s="198"/>
      <c r="BRH53" s="198"/>
      <c r="BRI53" s="198"/>
      <c r="BRJ53" s="198"/>
      <c r="BRK53" s="198"/>
      <c r="BRL53" s="198"/>
      <c r="BRM53" s="198"/>
      <c r="BRN53" s="198"/>
      <c r="BRO53" s="198"/>
      <c r="BRP53" s="198"/>
      <c r="BRQ53" s="198"/>
      <c r="BRR53" s="198"/>
      <c r="BRS53" s="198"/>
      <c r="BRT53" s="198"/>
      <c r="BRU53" s="198"/>
      <c r="BRV53" s="198"/>
      <c r="BRW53" s="198"/>
      <c r="BRX53" s="198"/>
      <c r="BRY53" s="198"/>
      <c r="BRZ53" s="198"/>
      <c r="BSA53" s="198"/>
      <c r="BSB53" s="198"/>
      <c r="BSC53" s="198"/>
      <c r="BSD53" s="198"/>
      <c r="BSE53" s="198"/>
      <c r="BSF53" s="198"/>
      <c r="BSG53" s="198"/>
      <c r="BSH53" s="198"/>
      <c r="BSI53" s="198"/>
      <c r="BSJ53" s="198"/>
      <c r="BSK53" s="198"/>
      <c r="BSL53" s="198"/>
      <c r="BSM53" s="198"/>
      <c r="BSN53" s="198"/>
      <c r="BSO53" s="198"/>
      <c r="BSP53" s="198"/>
      <c r="BSQ53" s="198"/>
      <c r="BSR53" s="198"/>
      <c r="BSS53" s="198"/>
      <c r="BST53" s="198"/>
      <c r="BSU53" s="198"/>
      <c r="BSV53" s="198"/>
      <c r="BSW53" s="198"/>
      <c r="BSX53" s="198"/>
      <c r="BSY53" s="198"/>
      <c r="BSZ53" s="198"/>
      <c r="BTA53" s="198"/>
      <c r="BTB53" s="198"/>
      <c r="BTC53" s="198"/>
      <c r="BTD53" s="198"/>
      <c r="BTE53" s="198"/>
      <c r="BTF53" s="198"/>
      <c r="BTG53" s="198"/>
      <c r="BTH53" s="198"/>
      <c r="BTI53" s="198"/>
      <c r="BTJ53" s="198"/>
      <c r="BTK53" s="198"/>
      <c r="BTL53" s="198"/>
      <c r="BTM53" s="198"/>
      <c r="BTN53" s="198"/>
      <c r="BTO53" s="198"/>
      <c r="BTP53" s="198"/>
      <c r="BTQ53" s="198"/>
      <c r="BTR53" s="198"/>
      <c r="BTS53" s="198"/>
      <c r="BTT53" s="198"/>
      <c r="BTU53" s="198"/>
      <c r="BTV53" s="198"/>
      <c r="BTW53" s="198"/>
      <c r="BTX53" s="198"/>
      <c r="BTY53" s="198"/>
      <c r="BTZ53" s="198"/>
      <c r="BUA53" s="198"/>
      <c r="BUB53" s="198"/>
      <c r="BUC53" s="198"/>
      <c r="BUD53" s="198"/>
      <c r="BUE53" s="198"/>
      <c r="BUF53" s="198"/>
      <c r="BUG53" s="198"/>
      <c r="BUH53" s="198"/>
      <c r="BUI53" s="198"/>
      <c r="BUJ53" s="198"/>
      <c r="BUK53" s="198"/>
      <c r="BUL53" s="198"/>
      <c r="BUM53" s="198"/>
      <c r="BUN53" s="198"/>
      <c r="BUO53" s="198"/>
      <c r="BUP53" s="198"/>
      <c r="BUQ53" s="198"/>
      <c r="BUR53" s="198"/>
      <c r="BUS53" s="198"/>
      <c r="BUT53" s="198"/>
      <c r="BUU53" s="198"/>
      <c r="BUV53" s="198"/>
      <c r="BUW53" s="198"/>
      <c r="BUX53" s="198"/>
      <c r="BUY53" s="198"/>
      <c r="BUZ53" s="198"/>
      <c r="BVA53" s="198"/>
      <c r="BVB53" s="198"/>
      <c r="BVC53" s="198"/>
      <c r="BVD53" s="198"/>
      <c r="BVE53" s="198"/>
      <c r="BVF53" s="198"/>
      <c r="BVG53" s="198"/>
      <c r="BVH53" s="198"/>
      <c r="BVI53" s="198"/>
      <c r="BVJ53" s="198"/>
      <c r="BVK53" s="198"/>
      <c r="BVL53" s="198"/>
      <c r="BVM53" s="198"/>
      <c r="BVN53" s="198"/>
      <c r="BVO53" s="198"/>
      <c r="BVP53" s="198"/>
      <c r="BVQ53" s="198"/>
      <c r="BVR53" s="198"/>
      <c r="BVS53" s="198"/>
      <c r="BVT53" s="198"/>
      <c r="BVU53" s="198"/>
      <c r="BVV53" s="198"/>
      <c r="BVW53" s="198"/>
      <c r="BVX53" s="198"/>
      <c r="BVY53" s="198"/>
      <c r="BVZ53" s="198"/>
      <c r="BWA53" s="198"/>
      <c r="BWB53" s="198"/>
      <c r="BWC53" s="198"/>
      <c r="BWD53" s="198"/>
      <c r="BWE53" s="198"/>
      <c r="BWF53" s="198"/>
      <c r="BWG53" s="198"/>
      <c r="BWH53" s="198"/>
      <c r="BWI53" s="198"/>
      <c r="BWJ53" s="198"/>
      <c r="BWK53" s="198"/>
      <c r="BWL53" s="198"/>
      <c r="BWM53" s="198"/>
      <c r="BWN53" s="198"/>
      <c r="BWO53" s="198"/>
      <c r="BWP53" s="198"/>
      <c r="BWQ53" s="198"/>
      <c r="BWR53" s="198"/>
      <c r="BWS53" s="198"/>
      <c r="BWT53" s="198"/>
      <c r="BWU53" s="198"/>
      <c r="BWV53" s="198"/>
      <c r="BWW53" s="198"/>
      <c r="BWX53" s="198"/>
      <c r="BWY53" s="198"/>
      <c r="BWZ53" s="198"/>
      <c r="BXA53" s="198"/>
      <c r="BXB53" s="198"/>
      <c r="BXC53" s="198"/>
      <c r="BXD53" s="198"/>
      <c r="BXE53" s="198"/>
      <c r="BXF53" s="198"/>
      <c r="BXG53" s="198"/>
      <c r="BXH53" s="198"/>
      <c r="BXI53" s="198"/>
      <c r="BXJ53" s="198"/>
      <c r="BXK53" s="198"/>
      <c r="BXL53" s="198"/>
      <c r="BXM53" s="198"/>
      <c r="BXN53" s="198"/>
      <c r="BXO53" s="198"/>
      <c r="BXP53" s="198"/>
      <c r="BXQ53" s="198"/>
      <c r="BXR53" s="198"/>
      <c r="BXS53" s="198"/>
      <c r="BXT53" s="198"/>
      <c r="BXU53" s="198"/>
      <c r="BXV53" s="198"/>
      <c r="BXW53" s="198"/>
      <c r="BXX53" s="198"/>
      <c r="BXY53" s="198"/>
      <c r="BXZ53" s="198"/>
      <c r="BYA53" s="198"/>
      <c r="BYB53" s="198"/>
      <c r="BYC53" s="198"/>
      <c r="BYD53" s="198"/>
      <c r="BYE53" s="198"/>
      <c r="BYF53" s="198"/>
      <c r="BYG53" s="198"/>
      <c r="BYH53" s="198"/>
      <c r="BYI53" s="198"/>
      <c r="BYJ53" s="198"/>
      <c r="BYK53" s="198"/>
      <c r="BYL53" s="198"/>
      <c r="BYM53" s="198"/>
      <c r="BYN53" s="198"/>
      <c r="BYO53" s="198"/>
      <c r="BYP53" s="198"/>
      <c r="BYQ53" s="198"/>
      <c r="BYR53" s="198"/>
      <c r="BYS53" s="198"/>
      <c r="BYT53" s="198"/>
      <c r="BYU53" s="198"/>
      <c r="BYV53" s="198"/>
      <c r="BYW53" s="198"/>
      <c r="BYX53" s="198"/>
      <c r="BYY53" s="198"/>
      <c r="BYZ53" s="198"/>
      <c r="BZA53" s="198"/>
      <c r="BZB53" s="198"/>
      <c r="BZC53" s="198"/>
      <c r="BZD53" s="198"/>
      <c r="BZE53" s="198"/>
      <c r="BZF53" s="198"/>
      <c r="BZG53" s="198"/>
      <c r="BZH53" s="198"/>
      <c r="BZI53" s="198"/>
      <c r="BZJ53" s="198"/>
      <c r="BZK53" s="198"/>
      <c r="BZL53" s="198"/>
      <c r="BZM53" s="198"/>
      <c r="BZN53" s="198"/>
      <c r="BZO53" s="198"/>
      <c r="BZP53" s="198"/>
      <c r="BZQ53" s="198"/>
      <c r="BZR53" s="198"/>
      <c r="BZS53" s="198"/>
      <c r="BZT53" s="198"/>
      <c r="BZU53" s="198"/>
      <c r="BZV53" s="198"/>
      <c r="BZW53" s="198"/>
      <c r="BZX53" s="198"/>
      <c r="BZY53" s="198"/>
      <c r="BZZ53" s="198"/>
      <c r="CAA53" s="198"/>
      <c r="CAB53" s="198"/>
      <c r="CAC53" s="198"/>
      <c r="CAD53" s="198"/>
      <c r="CAE53" s="198"/>
      <c r="CAF53" s="198"/>
      <c r="CAG53" s="198"/>
      <c r="CAH53" s="198"/>
      <c r="CAI53" s="198"/>
      <c r="CAJ53" s="198"/>
      <c r="CAK53" s="198"/>
      <c r="CAL53" s="198"/>
      <c r="CAM53" s="198"/>
      <c r="CAN53" s="198"/>
      <c r="CAO53" s="198"/>
      <c r="CAP53" s="198"/>
      <c r="CAQ53" s="198"/>
      <c r="CAR53" s="198"/>
      <c r="CAS53" s="198"/>
      <c r="CAT53" s="198"/>
      <c r="CAU53" s="198"/>
      <c r="CAV53" s="198"/>
      <c r="CAW53" s="198"/>
      <c r="CAX53" s="198"/>
      <c r="CAY53" s="198"/>
      <c r="CAZ53" s="198"/>
      <c r="CBA53" s="198"/>
      <c r="CBB53" s="198"/>
      <c r="CBC53" s="198"/>
      <c r="CBD53" s="198"/>
      <c r="CBE53" s="198"/>
      <c r="CBF53" s="198"/>
      <c r="CBG53" s="198"/>
      <c r="CBH53" s="198"/>
      <c r="CBI53" s="198"/>
      <c r="CBJ53" s="198"/>
      <c r="CBK53" s="198"/>
      <c r="CBL53" s="198"/>
      <c r="CBM53" s="198"/>
      <c r="CBN53" s="198"/>
      <c r="CBO53" s="198"/>
      <c r="CBP53" s="198"/>
      <c r="CBQ53" s="198"/>
      <c r="CBR53" s="198"/>
      <c r="CBS53" s="198"/>
      <c r="CBT53" s="198"/>
      <c r="CBU53" s="198"/>
      <c r="CBV53" s="198"/>
      <c r="CBW53" s="198"/>
      <c r="CBX53" s="198"/>
      <c r="CBY53" s="198"/>
      <c r="CBZ53" s="198"/>
      <c r="CCA53" s="198"/>
      <c r="CCB53" s="198"/>
      <c r="CCC53" s="198"/>
      <c r="CCD53" s="198"/>
      <c r="CCE53" s="198"/>
      <c r="CCF53" s="198"/>
      <c r="CCG53" s="198"/>
      <c r="CCH53" s="198"/>
      <c r="CCI53" s="198"/>
      <c r="CCJ53" s="198"/>
      <c r="CCK53" s="198"/>
      <c r="CCL53" s="198"/>
      <c r="CCM53" s="198"/>
      <c r="CCN53" s="198"/>
      <c r="CCO53" s="198"/>
      <c r="CCP53" s="198"/>
      <c r="CCQ53" s="198"/>
      <c r="CCR53" s="198"/>
      <c r="CCS53" s="198"/>
      <c r="CCT53" s="198"/>
      <c r="CCU53" s="198"/>
      <c r="CCV53" s="198"/>
      <c r="CCW53" s="198"/>
      <c r="CCX53" s="198"/>
      <c r="CCY53" s="198"/>
      <c r="CCZ53" s="198"/>
      <c r="CDA53" s="198"/>
      <c r="CDB53" s="198"/>
      <c r="CDC53" s="198"/>
      <c r="CDD53" s="198"/>
      <c r="CDE53" s="198"/>
      <c r="CDF53" s="198"/>
      <c r="CDG53" s="198"/>
      <c r="CDH53" s="198"/>
      <c r="CDI53" s="198"/>
      <c r="CDJ53" s="198"/>
      <c r="CDK53" s="198"/>
      <c r="CDL53" s="198"/>
      <c r="CDM53" s="198"/>
      <c r="CDN53" s="198"/>
      <c r="CDO53" s="198"/>
      <c r="CDP53" s="198"/>
      <c r="CDQ53" s="198"/>
      <c r="CDR53" s="198"/>
      <c r="CDS53" s="198"/>
      <c r="CDT53" s="198"/>
      <c r="CDU53" s="198"/>
      <c r="CDV53" s="198"/>
      <c r="CDW53" s="198"/>
      <c r="CDX53" s="198"/>
      <c r="CDY53" s="198"/>
      <c r="CDZ53" s="198"/>
      <c r="CEA53" s="198"/>
      <c r="CEB53" s="198"/>
      <c r="CEC53" s="198"/>
      <c r="CED53" s="198"/>
      <c r="CEE53" s="198"/>
      <c r="CEF53" s="198"/>
      <c r="CEG53" s="198"/>
      <c r="CEH53" s="198"/>
      <c r="CEI53" s="198"/>
      <c r="CEJ53" s="198"/>
      <c r="CEK53" s="198"/>
      <c r="CEL53" s="198"/>
      <c r="CEM53" s="198"/>
      <c r="CEN53" s="198"/>
      <c r="CEO53" s="198"/>
      <c r="CEP53" s="198"/>
      <c r="CEQ53" s="198"/>
      <c r="CER53" s="198"/>
      <c r="CES53" s="198"/>
      <c r="CET53" s="198"/>
      <c r="CEU53" s="198"/>
      <c r="CEV53" s="198"/>
      <c r="CEW53" s="198"/>
      <c r="CEX53" s="198"/>
      <c r="CEY53" s="198"/>
      <c r="CEZ53" s="198"/>
      <c r="CFA53" s="198"/>
      <c r="CFB53" s="198"/>
      <c r="CFC53" s="198"/>
      <c r="CFD53" s="198"/>
      <c r="CFE53" s="198"/>
      <c r="CFF53" s="198"/>
      <c r="CFG53" s="198"/>
      <c r="CFH53" s="198"/>
      <c r="CFI53" s="198"/>
      <c r="CFJ53" s="198"/>
      <c r="CFK53" s="198"/>
      <c r="CFL53" s="198"/>
      <c r="CFM53" s="198"/>
      <c r="CFN53" s="198"/>
      <c r="CFO53" s="198"/>
      <c r="CFP53" s="198"/>
      <c r="CFQ53" s="198"/>
      <c r="CFR53" s="198"/>
      <c r="CFS53" s="198"/>
      <c r="CFT53" s="198"/>
      <c r="CFU53" s="198"/>
      <c r="CFV53" s="198"/>
      <c r="CFW53" s="198"/>
      <c r="CFX53" s="198"/>
      <c r="CFY53" s="198"/>
      <c r="CFZ53" s="198"/>
      <c r="CGA53" s="198"/>
      <c r="CGB53" s="198"/>
      <c r="CGC53" s="198"/>
      <c r="CGD53" s="198"/>
      <c r="CGE53" s="198"/>
      <c r="CGF53" s="198"/>
      <c r="CGG53" s="198"/>
      <c r="CGH53" s="198"/>
      <c r="CGI53" s="198"/>
      <c r="CGJ53" s="198"/>
      <c r="CGK53" s="198"/>
      <c r="CGL53" s="198"/>
      <c r="CGM53" s="198"/>
      <c r="CGN53" s="198"/>
      <c r="CGO53" s="198"/>
      <c r="CGP53" s="198"/>
      <c r="CGQ53" s="198"/>
      <c r="CGR53" s="198"/>
      <c r="CGS53" s="198"/>
      <c r="CGT53" s="198"/>
      <c r="CGU53" s="198"/>
      <c r="CGV53" s="198"/>
      <c r="CGW53" s="198"/>
      <c r="CGX53" s="198"/>
      <c r="CGY53" s="198"/>
      <c r="CGZ53" s="198"/>
      <c r="CHA53" s="198"/>
      <c r="CHB53" s="198"/>
      <c r="CHC53" s="198"/>
      <c r="CHD53" s="198"/>
      <c r="CHE53" s="198"/>
      <c r="CHF53" s="198"/>
      <c r="CHG53" s="198"/>
      <c r="CHH53" s="198"/>
      <c r="CHI53" s="198"/>
      <c r="CHJ53" s="198"/>
      <c r="CHK53" s="198"/>
      <c r="CHL53" s="198"/>
      <c r="CHM53" s="198"/>
      <c r="CHN53" s="198"/>
      <c r="CHO53" s="198"/>
      <c r="CHP53" s="198"/>
      <c r="CHQ53" s="198"/>
      <c r="CHR53" s="198"/>
      <c r="CHS53" s="198"/>
      <c r="CHT53" s="198"/>
      <c r="CHU53" s="198"/>
      <c r="CHV53" s="198"/>
      <c r="CHW53" s="198"/>
      <c r="CHX53" s="198"/>
      <c r="CHY53" s="198"/>
      <c r="CHZ53" s="198"/>
      <c r="CIA53" s="198"/>
      <c r="CIB53" s="198"/>
      <c r="CIC53" s="198"/>
      <c r="CID53" s="198"/>
      <c r="CIE53" s="198"/>
      <c r="CIF53" s="198"/>
      <c r="CIG53" s="198"/>
      <c r="CIH53" s="198"/>
      <c r="CII53" s="198"/>
      <c r="CIJ53" s="198"/>
      <c r="CIK53" s="198"/>
      <c r="CIL53" s="198"/>
      <c r="CIM53" s="198"/>
      <c r="CIN53" s="198"/>
      <c r="CIO53" s="198"/>
      <c r="CIP53" s="198"/>
      <c r="CIQ53" s="198"/>
      <c r="CIR53" s="198"/>
      <c r="CIS53" s="198"/>
      <c r="CIT53" s="198"/>
      <c r="CIU53" s="198"/>
      <c r="CIV53" s="198"/>
      <c r="CIW53" s="198"/>
      <c r="CIX53" s="198"/>
      <c r="CIY53" s="198"/>
      <c r="CIZ53" s="198"/>
      <c r="CJA53" s="198"/>
      <c r="CJB53" s="198"/>
      <c r="CJC53" s="198"/>
      <c r="CJD53" s="198"/>
      <c r="CJE53" s="198"/>
      <c r="CJF53" s="198"/>
      <c r="CJG53" s="198"/>
      <c r="CJH53" s="198"/>
      <c r="CJI53" s="198"/>
      <c r="CJJ53" s="198"/>
      <c r="CJK53" s="198"/>
      <c r="CJL53" s="198"/>
      <c r="CJM53" s="198"/>
      <c r="CJN53" s="198"/>
      <c r="CJO53" s="198"/>
      <c r="CJP53" s="198"/>
      <c r="CJQ53" s="198"/>
      <c r="CJR53" s="198"/>
      <c r="CJS53" s="198"/>
      <c r="CJT53" s="198"/>
      <c r="CJU53" s="198"/>
      <c r="CJV53" s="198"/>
      <c r="CJW53" s="198"/>
      <c r="CJX53" s="198"/>
      <c r="CJY53" s="198"/>
      <c r="CJZ53" s="198"/>
      <c r="CKA53" s="198"/>
      <c r="CKB53" s="198"/>
      <c r="CKC53" s="198"/>
      <c r="CKD53" s="198"/>
      <c r="CKE53" s="198"/>
      <c r="CKF53" s="198"/>
      <c r="CKG53" s="198"/>
      <c r="CKH53" s="198"/>
      <c r="CKI53" s="198"/>
      <c r="CKJ53" s="198"/>
      <c r="CKK53" s="198"/>
      <c r="CKL53" s="198"/>
      <c r="CKM53" s="198"/>
      <c r="CKN53" s="198"/>
      <c r="CKO53" s="198"/>
      <c r="CKP53" s="198"/>
      <c r="CKQ53" s="198"/>
      <c r="CKR53" s="198"/>
      <c r="CKS53" s="198"/>
      <c r="CKT53" s="198"/>
      <c r="CKU53" s="198"/>
      <c r="CKV53" s="198"/>
      <c r="CKW53" s="198"/>
      <c r="CKX53" s="198"/>
      <c r="CKY53" s="198"/>
      <c r="CKZ53" s="198"/>
      <c r="CLA53" s="198"/>
      <c r="CLB53" s="198"/>
      <c r="CLC53" s="198"/>
      <c r="CLD53" s="198"/>
      <c r="CLE53" s="198"/>
      <c r="CLF53" s="198"/>
      <c r="CLG53" s="198"/>
      <c r="CLH53" s="198"/>
      <c r="CLI53" s="198"/>
      <c r="CLJ53" s="198"/>
      <c r="CLK53" s="198"/>
      <c r="CLL53" s="198"/>
      <c r="CLM53" s="198"/>
      <c r="CLN53" s="198"/>
      <c r="CLO53" s="198"/>
      <c r="CLP53" s="198"/>
      <c r="CLQ53" s="198"/>
      <c r="CLR53" s="198"/>
      <c r="CLS53" s="198"/>
      <c r="CLT53" s="198"/>
      <c r="CLU53" s="198"/>
      <c r="CLV53" s="198"/>
      <c r="CLW53" s="198"/>
      <c r="CLX53" s="198"/>
      <c r="CLY53" s="198"/>
      <c r="CLZ53" s="198"/>
      <c r="CMA53" s="198"/>
      <c r="CMB53" s="198"/>
      <c r="CMC53" s="198"/>
      <c r="CMD53" s="198"/>
      <c r="CME53" s="198"/>
      <c r="CMF53" s="198"/>
      <c r="CMG53" s="198"/>
      <c r="CMH53" s="198"/>
      <c r="CMI53" s="198"/>
      <c r="CMJ53" s="198"/>
      <c r="CMK53" s="198"/>
      <c r="CML53" s="198"/>
      <c r="CMM53" s="198"/>
      <c r="CMN53" s="198"/>
      <c r="CMO53" s="198"/>
      <c r="CMP53" s="198"/>
      <c r="CMQ53" s="198"/>
      <c r="CMR53" s="198"/>
      <c r="CMS53" s="198"/>
      <c r="CMT53" s="198"/>
      <c r="CMU53" s="198"/>
      <c r="CMV53" s="198"/>
      <c r="CMW53" s="198"/>
      <c r="CMX53" s="198"/>
      <c r="CMY53" s="198"/>
      <c r="CMZ53" s="198"/>
      <c r="CNA53" s="198"/>
      <c r="CNB53" s="198"/>
      <c r="CNC53" s="198"/>
      <c r="CND53" s="198"/>
      <c r="CNE53" s="198"/>
      <c r="CNF53" s="198"/>
      <c r="CNG53" s="198"/>
      <c r="CNH53" s="198"/>
      <c r="CNI53" s="198"/>
      <c r="CNJ53" s="198"/>
      <c r="CNK53" s="198"/>
      <c r="CNL53" s="198"/>
      <c r="CNM53" s="198"/>
      <c r="CNN53" s="198"/>
      <c r="CNO53" s="198"/>
      <c r="CNP53" s="198"/>
      <c r="CNQ53" s="198"/>
      <c r="CNR53" s="198"/>
      <c r="CNS53" s="198"/>
      <c r="CNT53" s="198"/>
      <c r="CNU53" s="198"/>
      <c r="CNV53" s="198"/>
      <c r="CNW53" s="198"/>
      <c r="CNX53" s="198"/>
      <c r="CNY53" s="198"/>
      <c r="CNZ53" s="198"/>
      <c r="COA53" s="198"/>
      <c r="COB53" s="198"/>
      <c r="COC53" s="198"/>
      <c r="COD53" s="198"/>
      <c r="COE53" s="198"/>
      <c r="COF53" s="198"/>
      <c r="COG53" s="198"/>
      <c r="COH53" s="198"/>
      <c r="COI53" s="198"/>
      <c r="COJ53" s="198"/>
      <c r="COK53" s="198"/>
      <c r="COL53" s="198"/>
      <c r="COM53" s="198"/>
      <c r="CON53" s="198"/>
      <c r="COO53" s="198"/>
      <c r="COP53" s="198"/>
      <c r="COQ53" s="198"/>
      <c r="COR53" s="198"/>
      <c r="COS53" s="198"/>
      <c r="COT53" s="198"/>
      <c r="COU53" s="198"/>
      <c r="COV53" s="198"/>
      <c r="COW53" s="198"/>
      <c r="COX53" s="198"/>
      <c r="COY53" s="198"/>
      <c r="COZ53" s="198"/>
      <c r="CPA53" s="198"/>
      <c r="CPB53" s="198"/>
      <c r="CPC53" s="198"/>
      <c r="CPD53" s="198"/>
      <c r="CPE53" s="198"/>
      <c r="CPF53" s="198"/>
      <c r="CPG53" s="198"/>
      <c r="CPH53" s="198"/>
      <c r="CPI53" s="198"/>
      <c r="CPJ53" s="198"/>
      <c r="CPK53" s="198"/>
      <c r="CPL53" s="198"/>
      <c r="CPM53" s="198"/>
      <c r="CPN53" s="198"/>
      <c r="CPO53" s="198"/>
      <c r="CPP53" s="198"/>
      <c r="CPQ53" s="198"/>
      <c r="CPR53" s="198"/>
      <c r="CPS53" s="198"/>
      <c r="CPT53" s="198"/>
      <c r="CPU53" s="198"/>
      <c r="CPV53" s="198"/>
      <c r="CPW53" s="198"/>
      <c r="CPX53" s="198"/>
      <c r="CPY53" s="198"/>
      <c r="CPZ53" s="198"/>
      <c r="CQA53" s="198"/>
      <c r="CQB53" s="198"/>
      <c r="CQC53" s="198"/>
      <c r="CQD53" s="198"/>
      <c r="CQE53" s="198"/>
      <c r="CQF53" s="198"/>
      <c r="CQG53" s="198"/>
      <c r="CQH53" s="198"/>
      <c r="CQI53" s="198"/>
      <c r="CQJ53" s="198"/>
      <c r="CQK53" s="198"/>
      <c r="CQL53" s="198"/>
      <c r="CQM53" s="198"/>
      <c r="CQN53" s="198"/>
      <c r="CQO53" s="198"/>
      <c r="CQP53" s="198"/>
      <c r="CQQ53" s="198"/>
      <c r="CQR53" s="198"/>
      <c r="CQS53" s="198"/>
      <c r="CQT53" s="198"/>
      <c r="CQU53" s="198"/>
      <c r="CQV53" s="198"/>
      <c r="CQW53" s="198"/>
      <c r="CQX53" s="198"/>
      <c r="CQY53" s="198"/>
      <c r="CQZ53" s="198"/>
      <c r="CRA53" s="198"/>
      <c r="CRB53" s="198"/>
      <c r="CRC53" s="198"/>
      <c r="CRD53" s="198"/>
      <c r="CRE53" s="198"/>
      <c r="CRF53" s="198"/>
      <c r="CRG53" s="198"/>
      <c r="CRH53" s="198"/>
      <c r="CRI53" s="198"/>
      <c r="CRJ53" s="198"/>
      <c r="CRK53" s="198"/>
      <c r="CRL53" s="198"/>
      <c r="CRM53" s="198"/>
      <c r="CRN53" s="198"/>
      <c r="CRO53" s="198"/>
      <c r="CRP53" s="198"/>
      <c r="CRQ53" s="198"/>
      <c r="CRR53" s="198"/>
      <c r="CRS53" s="198"/>
      <c r="CRT53" s="198"/>
      <c r="CRU53" s="198"/>
      <c r="CRV53" s="198"/>
      <c r="CRW53" s="198"/>
      <c r="CRX53" s="198"/>
      <c r="CRY53" s="198"/>
      <c r="CRZ53" s="198"/>
      <c r="CSA53" s="198"/>
      <c r="CSB53" s="198"/>
      <c r="CSC53" s="198"/>
      <c r="CSD53" s="198"/>
      <c r="CSE53" s="198"/>
      <c r="CSF53" s="198"/>
      <c r="CSG53" s="198"/>
      <c r="CSH53" s="198"/>
      <c r="CSI53" s="198"/>
      <c r="CSJ53" s="198"/>
      <c r="CSK53" s="198"/>
      <c r="CSL53" s="198"/>
      <c r="CSM53" s="198"/>
      <c r="CSN53" s="198"/>
      <c r="CSO53" s="198"/>
      <c r="CSP53" s="198"/>
      <c r="CSQ53" s="198"/>
      <c r="CSR53" s="198"/>
      <c r="CSS53" s="198"/>
      <c r="CST53" s="198"/>
      <c r="CSU53" s="198"/>
      <c r="CSV53" s="198"/>
      <c r="CSW53" s="198"/>
      <c r="CSX53" s="198"/>
      <c r="CSY53" s="198"/>
      <c r="CSZ53" s="198"/>
      <c r="CTA53" s="198"/>
      <c r="CTB53" s="198"/>
      <c r="CTC53" s="198"/>
      <c r="CTD53" s="198"/>
      <c r="CTE53" s="198"/>
      <c r="CTF53" s="198"/>
      <c r="CTG53" s="198"/>
      <c r="CTH53" s="198"/>
      <c r="CTI53" s="198"/>
      <c r="CTJ53" s="198"/>
      <c r="CTK53" s="198"/>
      <c r="CTL53" s="198"/>
      <c r="CTM53" s="198"/>
      <c r="CTN53" s="198"/>
      <c r="CTO53" s="198"/>
      <c r="CTP53" s="198"/>
      <c r="CTQ53" s="198"/>
      <c r="CTR53" s="198"/>
      <c r="CTS53" s="198"/>
      <c r="CTT53" s="198"/>
      <c r="CTU53" s="198"/>
      <c r="CTV53" s="198"/>
      <c r="CTW53" s="198"/>
      <c r="CTX53" s="198"/>
      <c r="CTY53" s="198"/>
      <c r="CTZ53" s="198"/>
      <c r="CUA53" s="198"/>
      <c r="CUB53" s="198"/>
      <c r="CUC53" s="198"/>
      <c r="CUD53" s="198"/>
      <c r="CUE53" s="198"/>
      <c r="CUF53" s="198"/>
      <c r="CUG53" s="198"/>
      <c r="CUH53" s="198"/>
      <c r="CUI53" s="198"/>
      <c r="CUJ53" s="198"/>
      <c r="CUK53" s="198"/>
      <c r="CUL53" s="198"/>
      <c r="CUM53" s="198"/>
      <c r="CUN53" s="198"/>
      <c r="CUO53" s="198"/>
      <c r="CUP53" s="198"/>
      <c r="CUQ53" s="198"/>
      <c r="CUR53" s="198"/>
      <c r="CUS53" s="198"/>
      <c r="CUT53" s="198"/>
      <c r="CUU53" s="198"/>
      <c r="CUV53" s="198"/>
      <c r="CUW53" s="198"/>
      <c r="CUX53" s="198"/>
      <c r="CUY53" s="198"/>
      <c r="CUZ53" s="198"/>
      <c r="CVA53" s="198"/>
      <c r="CVB53" s="198"/>
      <c r="CVC53" s="198"/>
      <c r="CVD53" s="198"/>
      <c r="CVE53" s="198"/>
      <c r="CVF53" s="198"/>
      <c r="CVG53" s="198"/>
      <c r="CVH53" s="198"/>
      <c r="CVI53" s="198"/>
      <c r="CVJ53" s="198"/>
      <c r="CVK53" s="198"/>
      <c r="CVL53" s="198"/>
      <c r="CVM53" s="198"/>
      <c r="CVN53" s="198"/>
      <c r="CVO53" s="198"/>
      <c r="CVP53" s="198"/>
      <c r="CVQ53" s="198"/>
      <c r="CVR53" s="198"/>
      <c r="CVS53" s="198"/>
      <c r="CVT53" s="198"/>
      <c r="CVU53" s="198"/>
      <c r="CVV53" s="198"/>
      <c r="CVW53" s="198"/>
      <c r="CVX53" s="198"/>
      <c r="CVY53" s="198"/>
      <c r="CVZ53" s="198"/>
      <c r="CWA53" s="198"/>
      <c r="CWB53" s="198"/>
      <c r="CWC53" s="198"/>
      <c r="CWD53" s="198"/>
      <c r="CWE53" s="198"/>
      <c r="CWF53" s="198"/>
      <c r="CWG53" s="198"/>
      <c r="CWH53" s="198"/>
      <c r="CWI53" s="198"/>
      <c r="CWJ53" s="198"/>
      <c r="CWK53" s="198"/>
      <c r="CWL53" s="198"/>
      <c r="CWM53" s="198"/>
      <c r="CWN53" s="198"/>
      <c r="CWO53" s="198"/>
      <c r="CWP53" s="198"/>
      <c r="CWQ53" s="198"/>
      <c r="CWR53" s="198"/>
      <c r="CWS53" s="198"/>
      <c r="CWT53" s="198"/>
      <c r="CWU53" s="198"/>
      <c r="CWV53" s="198"/>
      <c r="CWW53" s="198"/>
      <c r="CWX53" s="198"/>
      <c r="CWY53" s="198"/>
      <c r="CWZ53" s="198"/>
      <c r="CXA53" s="198"/>
      <c r="CXB53" s="198"/>
      <c r="CXC53" s="198"/>
      <c r="CXD53" s="198"/>
      <c r="CXE53" s="198"/>
      <c r="CXF53" s="198"/>
      <c r="CXG53" s="198"/>
      <c r="CXH53" s="198"/>
      <c r="CXI53" s="198"/>
      <c r="CXJ53" s="198"/>
      <c r="CXK53" s="198"/>
      <c r="CXL53" s="198"/>
      <c r="CXM53" s="198"/>
      <c r="CXN53" s="198"/>
      <c r="CXO53" s="198"/>
      <c r="CXP53" s="198"/>
      <c r="CXQ53" s="198"/>
      <c r="CXR53" s="198"/>
      <c r="CXS53" s="198"/>
      <c r="CXT53" s="198"/>
      <c r="CXU53" s="198"/>
      <c r="CXV53" s="198"/>
      <c r="CXW53" s="198"/>
      <c r="CXX53" s="198"/>
      <c r="CXY53" s="198"/>
      <c r="CXZ53" s="198"/>
      <c r="CYA53" s="198"/>
      <c r="CYB53" s="198"/>
      <c r="CYC53" s="198"/>
      <c r="CYD53" s="198"/>
      <c r="CYE53" s="198"/>
      <c r="CYF53" s="198"/>
      <c r="CYG53" s="198"/>
      <c r="CYH53" s="198"/>
      <c r="CYI53" s="198"/>
      <c r="CYJ53" s="198"/>
      <c r="CYK53" s="198"/>
      <c r="CYL53" s="198"/>
      <c r="CYM53" s="198"/>
      <c r="CYN53" s="198"/>
      <c r="CYO53" s="198"/>
      <c r="CYP53" s="198"/>
      <c r="CYQ53" s="198"/>
      <c r="CYR53" s="198"/>
      <c r="CYS53" s="198"/>
      <c r="CYT53" s="198"/>
      <c r="CYU53" s="198"/>
      <c r="CYV53" s="198"/>
      <c r="CYW53" s="198"/>
      <c r="CYX53" s="198"/>
      <c r="CYY53" s="198"/>
      <c r="CYZ53" s="198"/>
      <c r="CZA53" s="198"/>
      <c r="CZB53" s="198"/>
      <c r="CZC53" s="198"/>
      <c r="CZD53" s="198"/>
      <c r="CZE53" s="198"/>
      <c r="CZF53" s="198"/>
      <c r="CZG53" s="198"/>
      <c r="CZH53" s="198"/>
      <c r="CZI53" s="198"/>
      <c r="CZJ53" s="198"/>
      <c r="CZK53" s="198"/>
      <c r="CZL53" s="198"/>
      <c r="CZM53" s="198"/>
      <c r="CZN53" s="198"/>
      <c r="CZO53" s="198"/>
      <c r="CZP53" s="198"/>
      <c r="CZQ53" s="198"/>
      <c r="CZR53" s="198"/>
      <c r="CZS53" s="198"/>
      <c r="CZT53" s="198"/>
      <c r="CZU53" s="198"/>
      <c r="CZV53" s="198"/>
      <c r="CZW53" s="198"/>
      <c r="CZX53" s="198"/>
      <c r="CZY53" s="198"/>
      <c r="CZZ53" s="198"/>
      <c r="DAA53" s="198"/>
      <c r="DAB53" s="198"/>
      <c r="DAC53" s="198"/>
      <c r="DAD53" s="198"/>
      <c r="DAE53" s="198"/>
      <c r="DAF53" s="198"/>
      <c r="DAG53" s="198"/>
      <c r="DAH53" s="198"/>
      <c r="DAI53" s="198"/>
      <c r="DAJ53" s="198"/>
      <c r="DAK53" s="198"/>
      <c r="DAL53" s="198"/>
      <c r="DAM53" s="198"/>
      <c r="DAN53" s="198"/>
      <c r="DAO53" s="198"/>
      <c r="DAP53" s="198"/>
      <c r="DAQ53" s="198"/>
      <c r="DAR53" s="198"/>
      <c r="DAS53" s="198"/>
      <c r="DAT53" s="198"/>
      <c r="DAU53" s="198"/>
      <c r="DAV53" s="198"/>
      <c r="DAW53" s="198"/>
      <c r="DAX53" s="198"/>
      <c r="DAY53" s="198"/>
      <c r="DAZ53" s="198"/>
      <c r="DBA53" s="198"/>
      <c r="DBB53" s="198"/>
      <c r="DBC53" s="198"/>
      <c r="DBD53" s="198"/>
      <c r="DBE53" s="198"/>
      <c r="DBF53" s="198"/>
      <c r="DBG53" s="198"/>
      <c r="DBH53" s="198"/>
      <c r="DBI53" s="198"/>
      <c r="DBJ53" s="198"/>
      <c r="DBK53" s="198"/>
      <c r="DBL53" s="198"/>
      <c r="DBM53" s="198"/>
      <c r="DBN53" s="198"/>
      <c r="DBO53" s="198"/>
      <c r="DBP53" s="198"/>
      <c r="DBQ53" s="198"/>
      <c r="DBR53" s="198"/>
      <c r="DBS53" s="198"/>
      <c r="DBT53" s="198"/>
      <c r="DBU53" s="198"/>
      <c r="DBV53" s="198"/>
      <c r="DBW53" s="198"/>
      <c r="DBX53" s="198"/>
      <c r="DBY53" s="198"/>
      <c r="DBZ53" s="198"/>
      <c r="DCA53" s="198"/>
      <c r="DCB53" s="198"/>
      <c r="DCC53" s="198"/>
      <c r="DCD53" s="198"/>
      <c r="DCE53" s="198"/>
      <c r="DCF53" s="198"/>
      <c r="DCG53" s="198"/>
      <c r="DCH53" s="198"/>
      <c r="DCI53" s="198"/>
      <c r="DCJ53" s="198"/>
      <c r="DCK53" s="198"/>
      <c r="DCL53" s="198"/>
      <c r="DCM53" s="198"/>
      <c r="DCN53" s="198"/>
      <c r="DCO53" s="198"/>
      <c r="DCP53" s="198"/>
      <c r="DCQ53" s="198"/>
      <c r="DCR53" s="198"/>
      <c r="DCS53" s="198"/>
      <c r="DCT53" s="198"/>
      <c r="DCU53" s="198"/>
      <c r="DCV53" s="198"/>
      <c r="DCW53" s="198"/>
      <c r="DCX53" s="198"/>
      <c r="DCY53" s="198"/>
      <c r="DCZ53" s="198"/>
      <c r="DDA53" s="198"/>
      <c r="DDB53" s="198"/>
      <c r="DDC53" s="198"/>
      <c r="DDD53" s="198"/>
      <c r="DDE53" s="198"/>
      <c r="DDF53" s="198"/>
      <c r="DDG53" s="198"/>
      <c r="DDH53" s="198"/>
      <c r="DDI53" s="198"/>
      <c r="DDJ53" s="198"/>
      <c r="DDK53" s="198"/>
      <c r="DDL53" s="198"/>
      <c r="DDM53" s="198"/>
      <c r="DDN53" s="198"/>
      <c r="DDO53" s="198"/>
      <c r="DDP53" s="198"/>
      <c r="DDQ53" s="198"/>
      <c r="DDR53" s="198"/>
      <c r="DDS53" s="198"/>
      <c r="DDT53" s="198"/>
      <c r="DDU53" s="198"/>
      <c r="DDV53" s="198"/>
      <c r="DDW53" s="198"/>
      <c r="DDX53" s="198"/>
      <c r="DDY53" s="198"/>
      <c r="DDZ53" s="198"/>
      <c r="DEA53" s="198"/>
      <c r="DEB53" s="198"/>
      <c r="DEC53" s="198"/>
      <c r="DED53" s="198"/>
      <c r="DEE53" s="198"/>
      <c r="DEF53" s="198"/>
      <c r="DEG53" s="198"/>
      <c r="DEH53" s="198"/>
      <c r="DEI53" s="198"/>
      <c r="DEJ53" s="198"/>
      <c r="DEK53" s="198"/>
      <c r="DEL53" s="198"/>
      <c r="DEM53" s="198"/>
      <c r="DEN53" s="198"/>
      <c r="DEO53" s="198"/>
      <c r="DEP53" s="198"/>
      <c r="DEQ53" s="198"/>
      <c r="DER53" s="198"/>
      <c r="DES53" s="198"/>
      <c r="DET53" s="198"/>
      <c r="DEU53" s="198"/>
      <c r="DEV53" s="198"/>
      <c r="DEW53" s="198"/>
      <c r="DEX53" s="198"/>
      <c r="DEY53" s="198"/>
      <c r="DEZ53" s="198"/>
      <c r="DFA53" s="198"/>
      <c r="DFB53" s="198"/>
      <c r="DFC53" s="198"/>
      <c r="DFD53" s="198"/>
      <c r="DFE53" s="198"/>
      <c r="DFF53" s="198"/>
      <c r="DFG53" s="198"/>
      <c r="DFH53" s="198"/>
      <c r="DFI53" s="198"/>
      <c r="DFJ53" s="198"/>
      <c r="DFK53" s="198"/>
      <c r="DFL53" s="198"/>
      <c r="DFM53" s="198"/>
      <c r="DFN53" s="198"/>
      <c r="DFO53" s="198"/>
      <c r="DFP53" s="198"/>
      <c r="DFQ53" s="198"/>
      <c r="DFR53" s="198"/>
      <c r="DFS53" s="198"/>
      <c r="DFT53" s="198"/>
      <c r="DFU53" s="198"/>
      <c r="DFV53" s="198"/>
      <c r="DFW53" s="198"/>
      <c r="DFX53" s="198"/>
      <c r="DFY53" s="198"/>
      <c r="DFZ53" s="198"/>
      <c r="DGA53" s="198"/>
      <c r="DGB53" s="198"/>
      <c r="DGC53" s="198"/>
      <c r="DGD53" s="198"/>
      <c r="DGE53" s="198"/>
      <c r="DGF53" s="198"/>
      <c r="DGG53" s="198"/>
      <c r="DGH53" s="198"/>
      <c r="DGI53" s="198"/>
      <c r="DGJ53" s="198"/>
      <c r="DGK53" s="198"/>
      <c r="DGL53" s="198"/>
      <c r="DGM53" s="198"/>
      <c r="DGN53" s="198"/>
      <c r="DGO53" s="198"/>
      <c r="DGP53" s="198"/>
      <c r="DGQ53" s="198"/>
      <c r="DGR53" s="198"/>
      <c r="DGS53" s="198"/>
      <c r="DGT53" s="198"/>
      <c r="DGU53" s="198"/>
      <c r="DGV53" s="198"/>
      <c r="DGW53" s="198"/>
      <c r="DGX53" s="198"/>
      <c r="DGY53" s="198"/>
      <c r="DGZ53" s="198"/>
      <c r="DHA53" s="198"/>
      <c r="DHB53" s="198"/>
      <c r="DHC53" s="198"/>
      <c r="DHD53" s="198"/>
      <c r="DHE53" s="198"/>
      <c r="DHF53" s="198"/>
      <c r="DHG53" s="198"/>
      <c r="DHH53" s="198"/>
      <c r="DHI53" s="198"/>
      <c r="DHJ53" s="198"/>
      <c r="DHK53" s="198"/>
      <c r="DHL53" s="198"/>
      <c r="DHM53" s="198"/>
      <c r="DHN53" s="198"/>
      <c r="DHO53" s="198"/>
      <c r="DHP53" s="198"/>
      <c r="DHQ53" s="198"/>
      <c r="DHR53" s="198"/>
      <c r="DHS53" s="198"/>
      <c r="DHT53" s="198"/>
      <c r="DHU53" s="198"/>
      <c r="DHV53" s="198"/>
      <c r="DHW53" s="198"/>
      <c r="DHX53" s="198"/>
      <c r="DHY53" s="198"/>
      <c r="DHZ53" s="198"/>
      <c r="DIA53" s="198"/>
      <c r="DIB53" s="198"/>
      <c r="DIC53" s="198"/>
      <c r="DID53" s="198"/>
      <c r="DIE53" s="198"/>
      <c r="DIF53" s="198"/>
      <c r="DIG53" s="198"/>
      <c r="DIH53" s="198"/>
      <c r="DII53" s="198"/>
      <c r="DIJ53" s="198"/>
      <c r="DIK53" s="198"/>
      <c r="DIL53" s="198"/>
      <c r="DIM53" s="198"/>
      <c r="DIN53" s="198"/>
      <c r="DIO53" s="198"/>
      <c r="DIP53" s="198"/>
      <c r="DIQ53" s="198"/>
      <c r="DIR53" s="198"/>
      <c r="DIS53" s="198"/>
      <c r="DIT53" s="198"/>
      <c r="DIU53" s="198"/>
      <c r="DIV53" s="198"/>
      <c r="DIW53" s="198"/>
      <c r="DIX53" s="198"/>
      <c r="DIY53" s="198"/>
      <c r="DIZ53" s="198"/>
      <c r="DJA53" s="198"/>
      <c r="DJB53" s="198"/>
      <c r="DJC53" s="198"/>
      <c r="DJD53" s="198"/>
      <c r="DJE53" s="198"/>
      <c r="DJF53" s="198"/>
      <c r="DJG53" s="198"/>
      <c r="DJH53" s="198"/>
      <c r="DJI53" s="198"/>
      <c r="DJJ53" s="198"/>
      <c r="DJK53" s="198"/>
      <c r="DJL53" s="198"/>
      <c r="DJM53" s="198"/>
      <c r="DJN53" s="198"/>
      <c r="DJO53" s="198"/>
      <c r="DJP53" s="198"/>
      <c r="DJQ53" s="198"/>
      <c r="DJR53" s="198"/>
      <c r="DJS53" s="198"/>
      <c r="DJT53" s="198"/>
      <c r="DJU53" s="198"/>
      <c r="DJV53" s="198"/>
      <c r="DJW53" s="198"/>
      <c r="DJX53" s="198"/>
      <c r="DJY53" s="198"/>
      <c r="DJZ53" s="198"/>
      <c r="DKA53" s="198"/>
      <c r="DKB53" s="198"/>
      <c r="DKC53" s="198"/>
      <c r="DKD53" s="198"/>
      <c r="DKE53" s="198"/>
      <c r="DKF53" s="198"/>
      <c r="DKG53" s="198"/>
      <c r="DKH53" s="198"/>
      <c r="DKI53" s="198"/>
      <c r="DKJ53" s="198"/>
      <c r="DKK53" s="198"/>
      <c r="DKL53" s="198"/>
      <c r="DKM53" s="198"/>
      <c r="DKN53" s="198"/>
      <c r="DKO53" s="198"/>
      <c r="DKP53" s="198"/>
      <c r="DKQ53" s="198"/>
      <c r="DKR53" s="198"/>
      <c r="DKS53" s="198"/>
      <c r="DKT53" s="198"/>
      <c r="DKU53" s="198"/>
      <c r="DKV53" s="198"/>
      <c r="DKW53" s="198"/>
      <c r="DKX53" s="198"/>
      <c r="DKY53" s="198"/>
      <c r="DKZ53" s="198"/>
      <c r="DLA53" s="198"/>
      <c r="DLB53" s="198"/>
      <c r="DLC53" s="198"/>
      <c r="DLD53" s="198"/>
      <c r="DLE53" s="198"/>
      <c r="DLF53" s="198"/>
      <c r="DLG53" s="198"/>
      <c r="DLH53" s="198"/>
      <c r="DLI53" s="198"/>
      <c r="DLJ53" s="198"/>
      <c r="DLK53" s="198"/>
      <c r="DLL53" s="198"/>
      <c r="DLM53" s="198"/>
      <c r="DLN53" s="198"/>
      <c r="DLO53" s="198"/>
      <c r="DLP53" s="198"/>
      <c r="DLQ53" s="198"/>
      <c r="DLR53" s="198"/>
      <c r="DLS53" s="198"/>
      <c r="DLT53" s="198"/>
      <c r="DLU53" s="198"/>
      <c r="DLV53" s="198"/>
      <c r="DLW53" s="198"/>
      <c r="DLX53" s="198"/>
      <c r="DLY53" s="198"/>
      <c r="DLZ53" s="198"/>
      <c r="DMA53" s="198"/>
      <c r="DMB53" s="198"/>
      <c r="DMC53" s="198"/>
      <c r="DMD53" s="198"/>
      <c r="DME53" s="198"/>
      <c r="DMF53" s="198"/>
      <c r="DMG53" s="198"/>
      <c r="DMH53" s="198"/>
      <c r="DMI53" s="198"/>
      <c r="DMJ53" s="198"/>
      <c r="DMK53" s="198"/>
      <c r="DML53" s="198"/>
      <c r="DMM53" s="198"/>
      <c r="DMN53" s="198"/>
      <c r="DMO53" s="198"/>
      <c r="DMP53" s="198"/>
      <c r="DMQ53" s="198"/>
      <c r="DMR53" s="198"/>
      <c r="DMS53" s="198"/>
      <c r="DMT53" s="198"/>
      <c r="DMU53" s="198"/>
      <c r="DMV53" s="198"/>
      <c r="DMW53" s="198"/>
      <c r="DMX53" s="198"/>
      <c r="DMY53" s="198"/>
      <c r="DMZ53" s="198"/>
      <c r="DNA53" s="198"/>
      <c r="DNB53" s="198"/>
      <c r="DNC53" s="198"/>
      <c r="DND53" s="198"/>
      <c r="DNE53" s="198"/>
      <c r="DNF53" s="198"/>
      <c r="DNG53" s="198"/>
      <c r="DNH53" s="198"/>
      <c r="DNI53" s="198"/>
      <c r="DNJ53" s="198"/>
      <c r="DNK53" s="198"/>
      <c r="DNL53" s="198"/>
      <c r="DNM53" s="198"/>
      <c r="DNN53" s="198"/>
      <c r="DNO53" s="198"/>
      <c r="DNP53" s="198"/>
      <c r="DNQ53" s="198"/>
      <c r="DNR53" s="198"/>
      <c r="DNS53" s="198"/>
      <c r="DNT53" s="198"/>
      <c r="DNU53" s="198"/>
      <c r="DNV53" s="198"/>
      <c r="DNW53" s="198"/>
      <c r="DNX53" s="198"/>
      <c r="DNY53" s="198"/>
      <c r="DNZ53" s="198"/>
      <c r="DOA53" s="198"/>
      <c r="DOB53" s="198"/>
      <c r="DOC53" s="198"/>
      <c r="DOD53" s="198"/>
      <c r="DOE53" s="198"/>
      <c r="DOF53" s="198"/>
      <c r="DOG53" s="198"/>
      <c r="DOH53" s="198"/>
      <c r="DOI53" s="198"/>
      <c r="DOJ53" s="198"/>
      <c r="DOK53" s="198"/>
      <c r="DOL53" s="198"/>
      <c r="DOM53" s="198"/>
      <c r="DON53" s="198"/>
      <c r="DOO53" s="198"/>
      <c r="DOP53" s="198"/>
      <c r="DOQ53" s="198"/>
      <c r="DOR53" s="198"/>
      <c r="DOS53" s="198"/>
      <c r="DOT53" s="198"/>
      <c r="DOU53" s="198"/>
      <c r="DOV53" s="198"/>
      <c r="DOW53" s="198"/>
      <c r="DOX53" s="198"/>
      <c r="DOY53" s="198"/>
      <c r="DOZ53" s="198"/>
      <c r="DPA53" s="198"/>
      <c r="DPB53" s="198"/>
      <c r="DPC53" s="198"/>
      <c r="DPD53" s="198"/>
      <c r="DPE53" s="198"/>
      <c r="DPF53" s="198"/>
      <c r="DPG53" s="198"/>
      <c r="DPH53" s="198"/>
      <c r="DPI53" s="198"/>
      <c r="DPJ53" s="198"/>
      <c r="DPK53" s="198"/>
      <c r="DPL53" s="198"/>
      <c r="DPM53" s="198"/>
      <c r="DPN53" s="198"/>
      <c r="DPO53" s="198"/>
      <c r="DPP53" s="198"/>
      <c r="DPQ53" s="198"/>
      <c r="DPR53" s="198"/>
      <c r="DPS53" s="198"/>
      <c r="DPT53" s="198"/>
      <c r="DPU53" s="198"/>
      <c r="DPV53" s="198"/>
      <c r="DPW53" s="198"/>
      <c r="DPX53" s="198"/>
      <c r="DPY53" s="198"/>
      <c r="DPZ53" s="198"/>
      <c r="DQA53" s="198"/>
      <c r="DQB53" s="198"/>
      <c r="DQC53" s="198"/>
      <c r="DQD53" s="198"/>
      <c r="DQE53" s="198"/>
      <c r="DQF53" s="198"/>
      <c r="DQG53" s="198"/>
      <c r="DQH53" s="198"/>
      <c r="DQI53" s="198"/>
      <c r="DQJ53" s="198"/>
      <c r="DQK53" s="198"/>
      <c r="DQL53" s="198"/>
      <c r="DQM53" s="198"/>
      <c r="DQN53" s="198"/>
      <c r="DQO53" s="198"/>
      <c r="DQP53" s="198"/>
      <c r="DQQ53" s="198"/>
      <c r="DQR53" s="198"/>
      <c r="DQS53" s="198"/>
      <c r="DQT53" s="198"/>
      <c r="DQU53" s="198"/>
      <c r="DQV53" s="198"/>
      <c r="DQW53" s="198"/>
      <c r="DQX53" s="198"/>
      <c r="DQY53" s="198"/>
      <c r="DQZ53" s="198"/>
      <c r="DRA53" s="198"/>
      <c r="DRB53" s="198"/>
      <c r="DRC53" s="198"/>
      <c r="DRD53" s="198"/>
      <c r="DRE53" s="198"/>
      <c r="DRF53" s="198"/>
      <c r="DRG53" s="198"/>
      <c r="DRH53" s="198"/>
      <c r="DRI53" s="198"/>
      <c r="DRJ53" s="198"/>
      <c r="DRK53" s="198"/>
      <c r="DRL53" s="198"/>
      <c r="DRM53" s="198"/>
      <c r="DRN53" s="198"/>
      <c r="DRO53" s="198"/>
      <c r="DRP53" s="198"/>
      <c r="DRQ53" s="198"/>
      <c r="DRR53" s="198"/>
      <c r="DRS53" s="198"/>
      <c r="DRT53" s="198"/>
      <c r="DRU53" s="198"/>
      <c r="DRV53" s="198"/>
      <c r="DRW53" s="198"/>
      <c r="DRX53" s="198"/>
      <c r="DRY53" s="198"/>
      <c r="DRZ53" s="198"/>
      <c r="DSA53" s="198"/>
      <c r="DSB53" s="198"/>
      <c r="DSC53" s="198"/>
      <c r="DSD53" s="198"/>
      <c r="DSE53" s="198"/>
      <c r="DSF53" s="198"/>
      <c r="DSG53" s="198"/>
      <c r="DSH53" s="198"/>
      <c r="DSI53" s="198"/>
      <c r="DSJ53" s="198"/>
      <c r="DSK53" s="198"/>
      <c r="DSL53" s="198"/>
      <c r="DSM53" s="198"/>
      <c r="DSN53" s="198"/>
      <c r="DSO53" s="198"/>
      <c r="DSP53" s="198"/>
      <c r="DSQ53" s="198"/>
      <c r="DSR53" s="198"/>
      <c r="DSS53" s="198"/>
      <c r="DST53" s="198"/>
      <c r="DSU53" s="198"/>
      <c r="DSV53" s="198"/>
      <c r="DSW53" s="198"/>
      <c r="DSX53" s="198"/>
      <c r="DSY53" s="198"/>
      <c r="DSZ53" s="198"/>
      <c r="DTA53" s="198"/>
      <c r="DTB53" s="198"/>
      <c r="DTC53" s="198"/>
      <c r="DTD53" s="198"/>
      <c r="DTE53" s="198"/>
      <c r="DTF53" s="198"/>
      <c r="DTG53" s="198"/>
      <c r="DTH53" s="198"/>
      <c r="DTI53" s="198"/>
      <c r="DTJ53" s="198"/>
      <c r="DTK53" s="198"/>
      <c r="DTL53" s="198"/>
      <c r="DTM53" s="198"/>
      <c r="DTN53" s="198"/>
      <c r="DTO53" s="198"/>
      <c r="DTP53" s="198"/>
      <c r="DTQ53" s="198"/>
      <c r="DTR53" s="198"/>
      <c r="DTS53" s="198"/>
      <c r="DTT53" s="198"/>
      <c r="DTU53" s="198"/>
      <c r="DTV53" s="198"/>
      <c r="DTW53" s="198"/>
      <c r="DTX53" s="198"/>
      <c r="DTY53" s="198"/>
      <c r="DTZ53" s="198"/>
      <c r="DUA53" s="198"/>
      <c r="DUB53" s="198"/>
      <c r="DUC53" s="198"/>
      <c r="DUD53" s="198"/>
      <c r="DUE53" s="198"/>
      <c r="DUF53" s="198"/>
      <c r="DUG53" s="198"/>
      <c r="DUH53" s="198"/>
      <c r="DUI53" s="198"/>
      <c r="DUJ53" s="198"/>
      <c r="DUK53" s="198"/>
      <c r="DUL53" s="198"/>
      <c r="DUM53" s="198"/>
      <c r="DUN53" s="198"/>
      <c r="DUO53" s="198"/>
      <c r="DUP53" s="198"/>
      <c r="DUQ53" s="198"/>
      <c r="DUR53" s="198"/>
      <c r="DUS53" s="198"/>
      <c r="DUT53" s="198"/>
      <c r="DUU53" s="198"/>
      <c r="DUV53" s="198"/>
      <c r="DUW53" s="198"/>
      <c r="DUX53" s="198"/>
      <c r="DUY53" s="198"/>
      <c r="DUZ53" s="198"/>
      <c r="DVA53" s="198"/>
      <c r="DVB53" s="198"/>
      <c r="DVC53" s="198"/>
      <c r="DVD53" s="198"/>
      <c r="DVE53" s="198"/>
      <c r="DVF53" s="198"/>
      <c r="DVG53" s="198"/>
      <c r="DVH53" s="198"/>
      <c r="DVI53" s="198"/>
      <c r="DVJ53" s="198"/>
      <c r="DVK53" s="198"/>
      <c r="DVL53" s="198"/>
      <c r="DVM53" s="198"/>
      <c r="DVN53" s="198"/>
      <c r="DVO53" s="198"/>
      <c r="DVP53" s="198"/>
      <c r="DVQ53" s="198"/>
      <c r="DVR53" s="198"/>
      <c r="DVS53" s="198"/>
      <c r="DVT53" s="198"/>
      <c r="DVU53" s="198"/>
      <c r="DVV53" s="198"/>
      <c r="DVW53" s="198"/>
      <c r="DVX53" s="198"/>
      <c r="DVY53" s="198"/>
      <c r="DVZ53" s="198"/>
      <c r="DWA53" s="198"/>
      <c r="DWB53" s="198"/>
      <c r="DWC53" s="198"/>
      <c r="DWD53" s="198"/>
      <c r="DWE53" s="198"/>
      <c r="DWF53" s="198"/>
      <c r="DWG53" s="198"/>
      <c r="DWH53" s="198"/>
      <c r="DWI53" s="198"/>
      <c r="DWJ53" s="198"/>
      <c r="DWK53" s="198"/>
      <c r="DWL53" s="198"/>
      <c r="DWM53" s="198"/>
      <c r="DWN53" s="198"/>
      <c r="DWO53" s="198"/>
      <c r="DWP53" s="198"/>
      <c r="DWQ53" s="198"/>
      <c r="DWR53" s="198"/>
      <c r="DWS53" s="198"/>
      <c r="DWT53" s="198"/>
      <c r="DWU53" s="198"/>
      <c r="DWV53" s="198"/>
      <c r="DWW53" s="198"/>
      <c r="DWX53" s="198"/>
      <c r="DWY53" s="198"/>
      <c r="DWZ53" s="198"/>
      <c r="DXA53" s="198"/>
      <c r="DXB53" s="198"/>
      <c r="DXC53" s="198"/>
      <c r="DXD53" s="198"/>
      <c r="DXE53" s="198"/>
      <c r="DXF53" s="198"/>
      <c r="DXG53" s="198"/>
      <c r="DXH53" s="198"/>
      <c r="DXI53" s="198"/>
      <c r="DXJ53" s="198"/>
      <c r="DXK53" s="198"/>
      <c r="DXL53" s="198"/>
      <c r="DXM53" s="198"/>
      <c r="DXN53" s="198"/>
      <c r="DXO53" s="198"/>
      <c r="DXP53" s="198"/>
      <c r="DXQ53" s="198"/>
      <c r="DXR53" s="198"/>
      <c r="DXS53" s="198"/>
      <c r="DXT53" s="198"/>
      <c r="DXU53" s="198"/>
      <c r="DXV53" s="198"/>
      <c r="DXW53" s="198"/>
      <c r="DXX53" s="198"/>
      <c r="DXY53" s="198"/>
      <c r="DXZ53" s="198"/>
      <c r="DYA53" s="198"/>
      <c r="DYB53" s="198"/>
      <c r="DYC53" s="198"/>
      <c r="DYD53" s="198"/>
      <c r="DYE53" s="198"/>
      <c r="DYF53" s="198"/>
      <c r="DYG53" s="198"/>
      <c r="DYH53" s="198"/>
      <c r="DYI53" s="198"/>
      <c r="DYJ53" s="198"/>
      <c r="DYK53" s="198"/>
      <c r="DYL53" s="198"/>
      <c r="DYM53" s="198"/>
      <c r="DYN53" s="198"/>
      <c r="DYO53" s="198"/>
      <c r="DYP53" s="198"/>
      <c r="DYQ53" s="198"/>
      <c r="DYR53" s="198"/>
      <c r="DYS53" s="198"/>
      <c r="DYT53" s="198"/>
      <c r="DYU53" s="198"/>
      <c r="DYV53" s="198"/>
      <c r="DYW53" s="198"/>
      <c r="DYX53" s="198"/>
      <c r="DYY53" s="198"/>
      <c r="DYZ53" s="198"/>
      <c r="DZA53" s="198"/>
      <c r="DZB53" s="198"/>
      <c r="DZC53" s="198"/>
      <c r="DZD53" s="198"/>
      <c r="DZE53" s="198"/>
      <c r="DZF53" s="198"/>
      <c r="DZG53" s="198"/>
      <c r="DZH53" s="198"/>
      <c r="DZI53" s="198"/>
      <c r="DZJ53" s="198"/>
      <c r="DZK53" s="198"/>
      <c r="DZL53" s="198"/>
      <c r="DZM53" s="198"/>
      <c r="DZN53" s="198"/>
      <c r="DZO53" s="198"/>
      <c r="DZP53" s="198"/>
      <c r="DZQ53" s="198"/>
      <c r="DZR53" s="198"/>
      <c r="DZS53" s="198"/>
      <c r="DZT53" s="198"/>
      <c r="DZU53" s="198"/>
      <c r="DZV53" s="198"/>
      <c r="DZW53" s="198"/>
      <c r="DZX53" s="198"/>
      <c r="DZY53" s="198"/>
      <c r="DZZ53" s="198"/>
      <c r="EAA53" s="198"/>
      <c r="EAB53" s="198"/>
      <c r="EAC53" s="198"/>
      <c r="EAD53" s="198"/>
      <c r="EAE53" s="198"/>
      <c r="EAF53" s="198"/>
      <c r="EAG53" s="198"/>
      <c r="EAH53" s="198"/>
      <c r="EAI53" s="198"/>
      <c r="EAJ53" s="198"/>
      <c r="EAK53" s="198"/>
      <c r="EAL53" s="198"/>
      <c r="EAM53" s="198"/>
      <c r="EAN53" s="198"/>
      <c r="EAO53" s="198"/>
      <c r="EAP53" s="198"/>
      <c r="EAQ53" s="198"/>
      <c r="EAR53" s="198"/>
      <c r="EAS53" s="198"/>
      <c r="EAT53" s="198"/>
      <c r="EAU53" s="198"/>
      <c r="EAV53" s="198"/>
      <c r="EAW53" s="198"/>
      <c r="EAX53" s="198"/>
      <c r="EAY53" s="198"/>
      <c r="EAZ53" s="198"/>
      <c r="EBA53" s="198"/>
      <c r="EBB53" s="198"/>
      <c r="EBC53" s="198"/>
      <c r="EBD53" s="198"/>
      <c r="EBE53" s="198"/>
      <c r="EBF53" s="198"/>
      <c r="EBG53" s="198"/>
      <c r="EBH53" s="198"/>
      <c r="EBI53" s="198"/>
      <c r="EBJ53" s="198"/>
      <c r="EBK53" s="198"/>
      <c r="EBL53" s="198"/>
      <c r="EBM53" s="198"/>
      <c r="EBN53" s="198"/>
      <c r="EBO53" s="198"/>
      <c r="EBP53" s="198"/>
      <c r="EBQ53" s="198"/>
      <c r="EBR53" s="198"/>
      <c r="EBS53" s="198"/>
      <c r="EBT53" s="198"/>
      <c r="EBU53" s="198"/>
      <c r="EBV53" s="198"/>
      <c r="EBW53" s="198"/>
      <c r="EBX53" s="198"/>
      <c r="EBY53" s="198"/>
      <c r="EBZ53" s="198"/>
      <c r="ECA53" s="198"/>
      <c r="ECB53" s="198"/>
      <c r="ECC53" s="198"/>
      <c r="ECD53" s="198"/>
      <c r="ECE53" s="198"/>
      <c r="ECF53" s="198"/>
      <c r="ECG53" s="198"/>
      <c r="ECH53" s="198"/>
      <c r="ECI53" s="198"/>
      <c r="ECJ53" s="198"/>
      <c r="ECK53" s="198"/>
      <c r="ECL53" s="198"/>
      <c r="ECM53" s="198"/>
      <c r="ECN53" s="198"/>
      <c r="ECO53" s="198"/>
      <c r="ECP53" s="198"/>
      <c r="ECQ53" s="198"/>
      <c r="ECR53" s="198"/>
      <c r="ECS53" s="198"/>
      <c r="ECT53" s="198"/>
      <c r="ECU53" s="198"/>
      <c r="ECV53" s="198"/>
      <c r="ECW53" s="198"/>
      <c r="ECX53" s="198"/>
      <c r="ECY53" s="198"/>
      <c r="ECZ53" s="198"/>
      <c r="EDA53" s="198"/>
      <c r="EDB53" s="198"/>
      <c r="EDC53" s="198"/>
      <c r="EDD53" s="198"/>
      <c r="EDE53" s="198"/>
      <c r="EDF53" s="198"/>
      <c r="EDG53" s="198"/>
      <c r="EDH53" s="198"/>
      <c r="EDI53" s="198"/>
      <c r="EDJ53" s="198"/>
      <c r="EDK53" s="198"/>
      <c r="EDL53" s="198"/>
      <c r="EDM53" s="198"/>
      <c r="EDN53" s="198"/>
      <c r="EDO53" s="198"/>
      <c r="EDP53" s="198"/>
      <c r="EDQ53" s="198"/>
      <c r="EDR53" s="198"/>
      <c r="EDS53" s="198"/>
      <c r="EDT53" s="198"/>
      <c r="EDU53" s="198"/>
      <c r="EDV53" s="198"/>
      <c r="EDW53" s="198"/>
      <c r="EDX53" s="198"/>
      <c r="EDY53" s="198"/>
      <c r="EDZ53" s="198"/>
      <c r="EEA53" s="198"/>
      <c r="EEB53" s="198"/>
      <c r="EEC53" s="198"/>
      <c r="EED53" s="198"/>
      <c r="EEE53" s="198"/>
      <c r="EEF53" s="198"/>
      <c r="EEG53" s="198"/>
      <c r="EEH53" s="198"/>
      <c r="EEI53" s="198"/>
      <c r="EEJ53" s="198"/>
      <c r="EEK53" s="198"/>
      <c r="EEL53" s="198"/>
      <c r="EEM53" s="198"/>
      <c r="EEN53" s="198"/>
      <c r="EEO53" s="198"/>
      <c r="EEP53" s="198"/>
      <c r="EEQ53" s="198"/>
      <c r="EER53" s="198"/>
      <c r="EES53" s="198"/>
      <c r="EET53" s="198"/>
      <c r="EEU53" s="198"/>
      <c r="EEV53" s="198"/>
      <c r="EEW53" s="198"/>
      <c r="EEX53" s="198"/>
      <c r="EEY53" s="198"/>
      <c r="EEZ53" s="198"/>
      <c r="EFA53" s="198"/>
      <c r="EFB53" s="198"/>
      <c r="EFC53" s="198"/>
      <c r="EFD53" s="198"/>
      <c r="EFE53" s="198"/>
      <c r="EFF53" s="198"/>
      <c r="EFG53" s="198"/>
      <c r="EFH53" s="198"/>
      <c r="EFI53" s="198"/>
      <c r="EFJ53" s="198"/>
      <c r="EFK53" s="198"/>
      <c r="EFL53" s="198"/>
      <c r="EFM53" s="198"/>
      <c r="EFN53" s="198"/>
      <c r="EFO53" s="198"/>
      <c r="EFP53" s="198"/>
      <c r="EFQ53" s="198"/>
      <c r="EFR53" s="198"/>
      <c r="EFS53" s="198"/>
      <c r="EFT53" s="198"/>
      <c r="EFU53" s="198"/>
      <c r="EFV53" s="198"/>
      <c r="EFW53" s="198"/>
      <c r="EFX53" s="198"/>
      <c r="EFY53" s="198"/>
      <c r="EFZ53" s="198"/>
      <c r="EGA53" s="198"/>
      <c r="EGB53" s="198"/>
      <c r="EGC53" s="198"/>
      <c r="EGD53" s="198"/>
      <c r="EGE53" s="198"/>
      <c r="EGF53" s="198"/>
      <c r="EGG53" s="198"/>
      <c r="EGH53" s="198"/>
      <c r="EGI53" s="198"/>
      <c r="EGJ53" s="198"/>
      <c r="EGK53" s="198"/>
      <c r="EGL53" s="198"/>
      <c r="EGM53" s="198"/>
      <c r="EGN53" s="198"/>
      <c r="EGO53" s="198"/>
      <c r="EGP53" s="198"/>
      <c r="EGQ53" s="198"/>
      <c r="EGR53" s="198"/>
      <c r="EGS53" s="198"/>
      <c r="EGT53" s="198"/>
      <c r="EGU53" s="198"/>
      <c r="EGV53" s="198"/>
      <c r="EGW53" s="198"/>
      <c r="EGX53" s="198"/>
      <c r="EGY53" s="198"/>
      <c r="EGZ53" s="198"/>
      <c r="EHA53" s="198"/>
      <c r="EHB53" s="198"/>
      <c r="EHC53" s="198"/>
      <c r="EHD53" s="198"/>
      <c r="EHE53" s="198"/>
      <c r="EHF53" s="198"/>
      <c r="EHG53" s="198"/>
      <c r="EHH53" s="198"/>
      <c r="EHI53" s="198"/>
      <c r="EHJ53" s="198"/>
      <c r="EHK53" s="198"/>
      <c r="EHL53" s="198"/>
      <c r="EHM53" s="198"/>
      <c r="EHN53" s="198"/>
      <c r="EHO53" s="198"/>
      <c r="EHP53" s="198"/>
      <c r="EHQ53" s="198"/>
      <c r="EHR53" s="198"/>
      <c r="EHS53" s="198"/>
      <c r="EHT53" s="198"/>
      <c r="EHU53" s="198"/>
      <c r="EHV53" s="198"/>
      <c r="EHW53" s="198"/>
      <c r="EHX53" s="198"/>
      <c r="EHY53" s="198"/>
      <c r="EHZ53" s="198"/>
      <c r="EIA53" s="198"/>
      <c r="EIB53" s="198"/>
      <c r="EIC53" s="198"/>
      <c r="EID53" s="198"/>
      <c r="EIE53" s="198"/>
      <c r="EIF53" s="198"/>
      <c r="EIG53" s="198"/>
      <c r="EIH53" s="198"/>
      <c r="EII53" s="198"/>
      <c r="EIJ53" s="198"/>
      <c r="EIK53" s="198"/>
      <c r="EIL53" s="198"/>
      <c r="EIM53" s="198"/>
      <c r="EIN53" s="198"/>
      <c r="EIO53" s="198"/>
      <c r="EIP53" s="198"/>
      <c r="EIQ53" s="198"/>
      <c r="EIR53" s="198"/>
      <c r="EIS53" s="198"/>
      <c r="EIT53" s="198"/>
      <c r="EIU53" s="198"/>
      <c r="EIV53" s="198"/>
      <c r="EIW53" s="198"/>
      <c r="EIX53" s="198"/>
      <c r="EIY53" s="198"/>
      <c r="EIZ53" s="198"/>
      <c r="EJA53" s="198"/>
      <c r="EJB53" s="198"/>
      <c r="EJC53" s="198"/>
      <c r="EJD53" s="198"/>
      <c r="EJE53" s="198"/>
      <c r="EJF53" s="198"/>
      <c r="EJG53" s="198"/>
      <c r="EJH53" s="198"/>
      <c r="EJI53" s="198"/>
      <c r="EJJ53" s="198"/>
      <c r="EJK53" s="198"/>
      <c r="EJL53" s="198"/>
      <c r="EJM53" s="198"/>
      <c r="EJN53" s="198"/>
      <c r="EJO53" s="198"/>
      <c r="EJP53" s="198"/>
      <c r="EJQ53" s="198"/>
      <c r="EJR53" s="198"/>
      <c r="EJS53" s="198"/>
      <c r="EJT53" s="198"/>
      <c r="EJU53" s="198"/>
      <c r="EJV53" s="198"/>
      <c r="EJW53" s="198"/>
      <c r="EJX53" s="198"/>
      <c r="EJY53" s="198"/>
      <c r="EJZ53" s="198"/>
      <c r="EKA53" s="198"/>
      <c r="EKB53" s="198"/>
      <c r="EKC53" s="198"/>
      <c r="EKD53" s="198"/>
      <c r="EKE53" s="198"/>
      <c r="EKF53" s="198"/>
      <c r="EKG53" s="198"/>
      <c r="EKH53" s="198"/>
      <c r="EKI53" s="198"/>
      <c r="EKJ53" s="198"/>
      <c r="EKK53" s="198"/>
      <c r="EKL53" s="198"/>
      <c r="EKM53" s="198"/>
      <c r="EKN53" s="198"/>
      <c r="EKO53" s="198"/>
      <c r="EKP53" s="198"/>
      <c r="EKQ53" s="198"/>
      <c r="EKR53" s="198"/>
      <c r="EKS53" s="198"/>
      <c r="EKT53" s="198"/>
      <c r="EKU53" s="198"/>
      <c r="EKV53" s="198"/>
      <c r="EKW53" s="198"/>
      <c r="EKX53" s="198"/>
      <c r="EKY53" s="198"/>
      <c r="EKZ53" s="198"/>
      <c r="ELA53" s="198"/>
      <c r="ELB53" s="198"/>
      <c r="ELC53" s="198"/>
      <c r="ELD53" s="198"/>
      <c r="ELE53" s="198"/>
      <c r="ELF53" s="198"/>
      <c r="ELG53" s="198"/>
      <c r="ELH53" s="198"/>
      <c r="ELI53" s="198"/>
      <c r="ELJ53" s="198"/>
      <c r="ELK53" s="198"/>
      <c r="ELL53" s="198"/>
      <c r="ELM53" s="198"/>
      <c r="ELN53" s="198"/>
      <c r="ELO53" s="198"/>
      <c r="ELP53" s="198"/>
      <c r="ELQ53" s="198"/>
      <c r="ELR53" s="198"/>
      <c r="ELS53" s="198"/>
      <c r="ELT53" s="198"/>
      <c r="ELU53" s="198"/>
      <c r="ELV53" s="198"/>
      <c r="ELW53" s="198"/>
      <c r="ELX53" s="198"/>
      <c r="ELY53" s="198"/>
      <c r="ELZ53" s="198"/>
      <c r="EMA53" s="198"/>
      <c r="EMB53" s="198"/>
      <c r="EMC53" s="198"/>
      <c r="EMD53" s="198"/>
      <c r="EME53" s="198"/>
      <c r="EMF53" s="198"/>
      <c r="EMG53" s="198"/>
      <c r="EMH53" s="198"/>
      <c r="EMI53" s="198"/>
      <c r="EMJ53" s="198"/>
      <c r="EMK53" s="198"/>
      <c r="EML53" s="198"/>
      <c r="EMM53" s="198"/>
      <c r="EMN53" s="198"/>
      <c r="EMO53" s="198"/>
      <c r="EMP53" s="198"/>
      <c r="EMQ53" s="198"/>
      <c r="EMR53" s="198"/>
      <c r="EMS53" s="198"/>
      <c r="EMT53" s="198"/>
      <c r="EMU53" s="198"/>
      <c r="EMV53" s="198"/>
      <c r="EMW53" s="198"/>
      <c r="EMX53" s="198"/>
      <c r="EMY53" s="198"/>
      <c r="EMZ53" s="198"/>
      <c r="ENA53" s="198"/>
      <c r="ENB53" s="198"/>
      <c r="ENC53" s="198"/>
      <c r="END53" s="198"/>
      <c r="ENE53" s="198"/>
      <c r="ENF53" s="198"/>
      <c r="ENG53" s="198"/>
      <c r="ENH53" s="198"/>
      <c r="ENI53" s="198"/>
      <c r="ENJ53" s="198"/>
      <c r="ENK53" s="198"/>
      <c r="ENL53" s="198"/>
      <c r="ENM53" s="198"/>
      <c r="ENN53" s="198"/>
      <c r="ENO53" s="198"/>
      <c r="ENP53" s="198"/>
      <c r="ENQ53" s="198"/>
      <c r="ENR53" s="198"/>
      <c r="ENS53" s="198"/>
      <c r="ENT53" s="198"/>
      <c r="ENU53" s="198"/>
      <c r="ENV53" s="198"/>
      <c r="ENW53" s="198"/>
      <c r="ENX53" s="198"/>
      <c r="ENY53" s="198"/>
      <c r="ENZ53" s="198"/>
      <c r="EOA53" s="198"/>
      <c r="EOB53" s="198"/>
      <c r="EOC53" s="198"/>
      <c r="EOD53" s="198"/>
      <c r="EOE53" s="198"/>
      <c r="EOF53" s="198"/>
      <c r="EOG53" s="198"/>
      <c r="EOH53" s="198"/>
      <c r="EOI53" s="198"/>
      <c r="EOJ53" s="198"/>
      <c r="EOK53" s="198"/>
      <c r="EOL53" s="198"/>
      <c r="EOM53" s="198"/>
      <c r="EON53" s="198"/>
      <c r="EOO53" s="198"/>
      <c r="EOP53" s="198"/>
      <c r="EOQ53" s="198"/>
      <c r="EOR53" s="198"/>
      <c r="EOS53" s="198"/>
      <c r="EOT53" s="198"/>
      <c r="EOU53" s="198"/>
      <c r="EOV53" s="198"/>
      <c r="EOW53" s="198"/>
      <c r="EOX53" s="198"/>
      <c r="EOY53" s="198"/>
      <c r="EOZ53" s="198"/>
      <c r="EPA53" s="198"/>
      <c r="EPB53" s="198"/>
      <c r="EPC53" s="198"/>
      <c r="EPD53" s="198"/>
      <c r="EPE53" s="198"/>
      <c r="EPF53" s="198"/>
      <c r="EPG53" s="198"/>
      <c r="EPH53" s="198"/>
      <c r="EPI53" s="198"/>
      <c r="EPJ53" s="198"/>
      <c r="EPK53" s="198"/>
      <c r="EPL53" s="198"/>
      <c r="EPM53" s="198"/>
      <c r="EPN53" s="198"/>
      <c r="EPO53" s="198"/>
      <c r="EPP53" s="198"/>
      <c r="EPQ53" s="198"/>
      <c r="EPR53" s="198"/>
      <c r="EPS53" s="198"/>
      <c r="EPT53" s="198"/>
      <c r="EPU53" s="198"/>
      <c r="EPV53" s="198"/>
      <c r="EPW53" s="198"/>
      <c r="EPX53" s="198"/>
      <c r="EPY53" s="198"/>
      <c r="EPZ53" s="198"/>
      <c r="EQA53" s="198"/>
      <c r="EQB53" s="198"/>
      <c r="EQC53" s="198"/>
      <c r="EQD53" s="198"/>
      <c r="EQE53" s="198"/>
      <c r="EQF53" s="198"/>
      <c r="EQG53" s="198"/>
      <c r="EQH53" s="198"/>
      <c r="EQI53" s="198"/>
      <c r="EQJ53" s="198"/>
      <c r="EQK53" s="198"/>
      <c r="EQL53" s="198"/>
      <c r="EQM53" s="198"/>
      <c r="EQN53" s="198"/>
      <c r="EQO53" s="198"/>
      <c r="EQP53" s="198"/>
      <c r="EQQ53" s="198"/>
      <c r="EQR53" s="198"/>
      <c r="EQS53" s="198"/>
      <c r="EQT53" s="198"/>
      <c r="EQU53" s="198"/>
      <c r="EQV53" s="198"/>
      <c r="EQW53" s="198"/>
      <c r="EQX53" s="198"/>
      <c r="EQY53" s="198"/>
      <c r="EQZ53" s="198"/>
      <c r="ERA53" s="198"/>
      <c r="ERB53" s="198"/>
      <c r="ERC53" s="198"/>
      <c r="ERD53" s="198"/>
      <c r="ERE53" s="198"/>
      <c r="ERF53" s="198"/>
      <c r="ERG53" s="198"/>
      <c r="ERH53" s="198"/>
      <c r="ERI53" s="198"/>
      <c r="ERJ53" s="198"/>
      <c r="ERK53" s="198"/>
      <c r="ERL53" s="198"/>
      <c r="ERM53" s="198"/>
      <c r="ERN53" s="198"/>
      <c r="ERO53" s="198"/>
      <c r="ERP53" s="198"/>
      <c r="ERQ53" s="198"/>
      <c r="ERR53" s="198"/>
      <c r="ERS53" s="198"/>
      <c r="ERT53" s="198"/>
      <c r="ERU53" s="198"/>
      <c r="ERV53" s="198"/>
      <c r="ERW53" s="198"/>
      <c r="ERX53" s="198"/>
      <c r="ERY53" s="198"/>
      <c r="ERZ53" s="198"/>
      <c r="ESA53" s="198"/>
      <c r="ESB53" s="198"/>
      <c r="ESC53" s="198"/>
      <c r="ESD53" s="198"/>
      <c r="ESE53" s="198"/>
      <c r="ESF53" s="198"/>
      <c r="ESG53" s="198"/>
      <c r="ESH53" s="198"/>
      <c r="ESI53" s="198"/>
      <c r="ESJ53" s="198"/>
      <c r="ESK53" s="198"/>
      <c r="ESL53" s="198"/>
      <c r="ESM53" s="198"/>
      <c r="ESN53" s="198"/>
      <c r="ESO53" s="198"/>
      <c r="ESP53" s="198"/>
      <c r="ESQ53" s="198"/>
      <c r="ESR53" s="198"/>
      <c r="ESS53" s="198"/>
      <c r="EST53" s="198"/>
      <c r="ESU53" s="198"/>
      <c r="ESV53" s="198"/>
      <c r="ESW53" s="198"/>
      <c r="ESX53" s="198"/>
      <c r="ESY53" s="198"/>
      <c r="ESZ53" s="198"/>
      <c r="ETA53" s="198"/>
      <c r="ETB53" s="198"/>
      <c r="ETC53" s="198"/>
      <c r="ETD53" s="198"/>
      <c r="ETE53" s="198"/>
      <c r="ETF53" s="198"/>
      <c r="ETG53" s="198"/>
      <c r="ETH53" s="198"/>
      <c r="ETI53" s="198"/>
      <c r="ETJ53" s="198"/>
      <c r="ETK53" s="198"/>
      <c r="ETL53" s="198"/>
      <c r="ETM53" s="198"/>
      <c r="ETN53" s="198"/>
      <c r="ETO53" s="198"/>
      <c r="ETP53" s="198"/>
      <c r="ETQ53" s="198"/>
      <c r="ETR53" s="198"/>
      <c r="ETS53" s="198"/>
      <c r="ETT53" s="198"/>
      <c r="ETU53" s="198"/>
      <c r="ETV53" s="198"/>
      <c r="ETW53" s="198"/>
      <c r="ETX53" s="198"/>
      <c r="ETY53" s="198"/>
      <c r="ETZ53" s="198"/>
      <c r="EUA53" s="198"/>
      <c r="EUB53" s="198"/>
      <c r="EUC53" s="198"/>
      <c r="EUD53" s="198"/>
      <c r="EUE53" s="198"/>
      <c r="EUF53" s="198"/>
      <c r="EUG53" s="198"/>
      <c r="EUH53" s="198"/>
      <c r="EUI53" s="198"/>
      <c r="EUJ53" s="198"/>
      <c r="EUK53" s="198"/>
      <c r="EUL53" s="198"/>
      <c r="EUM53" s="198"/>
      <c r="EUN53" s="198"/>
      <c r="EUO53" s="198"/>
      <c r="EUP53" s="198"/>
      <c r="EUQ53" s="198"/>
      <c r="EUR53" s="198"/>
      <c r="EUS53" s="198"/>
      <c r="EUT53" s="198"/>
      <c r="EUU53" s="198"/>
      <c r="EUV53" s="198"/>
      <c r="EUW53" s="198"/>
      <c r="EUX53" s="198"/>
      <c r="EUY53" s="198"/>
      <c r="EUZ53" s="198"/>
      <c r="EVA53" s="198"/>
      <c r="EVB53" s="198"/>
      <c r="EVC53" s="198"/>
      <c r="EVD53" s="198"/>
      <c r="EVE53" s="198"/>
      <c r="EVF53" s="198"/>
      <c r="EVG53" s="198"/>
      <c r="EVH53" s="198"/>
      <c r="EVI53" s="198"/>
      <c r="EVJ53" s="198"/>
      <c r="EVK53" s="198"/>
      <c r="EVL53" s="198"/>
      <c r="EVM53" s="198"/>
      <c r="EVN53" s="198"/>
      <c r="EVO53" s="198"/>
      <c r="EVP53" s="198"/>
      <c r="EVQ53" s="198"/>
      <c r="EVR53" s="198"/>
      <c r="EVS53" s="198"/>
      <c r="EVT53" s="198"/>
      <c r="EVU53" s="198"/>
      <c r="EVV53" s="198"/>
      <c r="EVW53" s="198"/>
      <c r="EVX53" s="198"/>
      <c r="EVY53" s="198"/>
      <c r="EVZ53" s="198"/>
      <c r="EWA53" s="198"/>
      <c r="EWB53" s="198"/>
      <c r="EWC53" s="198"/>
      <c r="EWD53" s="198"/>
      <c r="EWE53" s="198"/>
      <c r="EWF53" s="198"/>
      <c r="EWG53" s="198"/>
      <c r="EWH53" s="198"/>
      <c r="EWI53" s="198"/>
      <c r="EWJ53" s="198"/>
      <c r="EWK53" s="198"/>
      <c r="EWL53" s="198"/>
      <c r="EWM53" s="198"/>
      <c r="EWN53" s="198"/>
      <c r="EWO53" s="198"/>
      <c r="EWP53" s="198"/>
      <c r="EWQ53" s="198"/>
      <c r="EWR53" s="198"/>
      <c r="EWS53" s="198"/>
      <c r="EWT53" s="198"/>
      <c r="EWU53" s="198"/>
      <c r="EWV53" s="198"/>
      <c r="EWW53" s="198"/>
      <c r="EWX53" s="198"/>
      <c r="EWY53" s="198"/>
      <c r="EWZ53" s="198"/>
      <c r="EXA53" s="198"/>
      <c r="EXB53" s="198"/>
      <c r="EXC53" s="198"/>
      <c r="EXD53" s="198"/>
      <c r="EXE53" s="198"/>
      <c r="EXF53" s="198"/>
      <c r="EXG53" s="198"/>
      <c r="EXH53" s="198"/>
      <c r="EXI53" s="198"/>
      <c r="EXJ53" s="198"/>
      <c r="EXK53" s="198"/>
      <c r="EXL53" s="198"/>
      <c r="EXM53" s="198"/>
      <c r="EXN53" s="198"/>
      <c r="EXO53" s="198"/>
      <c r="EXP53" s="198"/>
      <c r="EXQ53" s="198"/>
      <c r="EXR53" s="198"/>
      <c r="EXS53" s="198"/>
      <c r="EXT53" s="198"/>
      <c r="EXU53" s="198"/>
      <c r="EXV53" s="198"/>
      <c r="EXW53" s="198"/>
      <c r="EXX53" s="198"/>
      <c r="EXY53" s="198"/>
      <c r="EXZ53" s="198"/>
      <c r="EYA53" s="198"/>
      <c r="EYB53" s="198"/>
      <c r="EYC53" s="198"/>
      <c r="EYD53" s="198"/>
      <c r="EYE53" s="198"/>
      <c r="EYF53" s="198"/>
      <c r="EYG53" s="198"/>
      <c r="EYH53" s="198"/>
      <c r="EYI53" s="198"/>
      <c r="EYJ53" s="198"/>
      <c r="EYK53" s="198"/>
      <c r="EYL53" s="198"/>
      <c r="EYM53" s="198"/>
      <c r="EYN53" s="198"/>
      <c r="EYO53" s="198"/>
      <c r="EYP53" s="198"/>
      <c r="EYQ53" s="198"/>
      <c r="EYR53" s="198"/>
      <c r="EYS53" s="198"/>
      <c r="EYT53" s="198"/>
      <c r="EYU53" s="198"/>
      <c r="EYV53" s="198"/>
      <c r="EYW53" s="198"/>
      <c r="EYX53" s="198"/>
      <c r="EYY53" s="198"/>
      <c r="EYZ53" s="198"/>
      <c r="EZA53" s="198"/>
      <c r="EZB53" s="198"/>
      <c r="EZC53" s="198"/>
      <c r="EZD53" s="198"/>
      <c r="EZE53" s="198"/>
      <c r="EZF53" s="198"/>
      <c r="EZG53" s="198"/>
      <c r="EZH53" s="198"/>
      <c r="EZI53" s="198"/>
      <c r="EZJ53" s="198"/>
      <c r="EZK53" s="198"/>
      <c r="EZL53" s="198"/>
      <c r="EZM53" s="198"/>
      <c r="EZN53" s="198"/>
      <c r="EZO53" s="198"/>
      <c r="EZP53" s="198"/>
      <c r="EZQ53" s="198"/>
      <c r="EZR53" s="198"/>
      <c r="EZS53" s="198"/>
      <c r="EZT53" s="198"/>
      <c r="EZU53" s="198"/>
      <c r="EZV53" s="198"/>
      <c r="EZW53" s="198"/>
      <c r="EZX53" s="198"/>
      <c r="EZY53" s="198"/>
      <c r="EZZ53" s="198"/>
      <c r="FAA53" s="198"/>
      <c r="FAB53" s="198"/>
      <c r="FAC53" s="198"/>
      <c r="FAD53" s="198"/>
      <c r="FAE53" s="198"/>
      <c r="FAF53" s="198"/>
      <c r="FAG53" s="198"/>
      <c r="FAH53" s="198"/>
      <c r="FAI53" s="198"/>
      <c r="FAJ53" s="198"/>
      <c r="FAK53" s="198"/>
      <c r="FAL53" s="198"/>
      <c r="FAM53" s="198"/>
      <c r="FAN53" s="198"/>
      <c r="FAO53" s="198"/>
      <c r="FAP53" s="198"/>
      <c r="FAQ53" s="198"/>
      <c r="FAR53" s="198"/>
      <c r="FAS53" s="198"/>
      <c r="FAT53" s="198"/>
      <c r="FAU53" s="198"/>
      <c r="FAV53" s="198"/>
      <c r="FAW53" s="198"/>
      <c r="FAX53" s="198"/>
      <c r="FAY53" s="198"/>
      <c r="FAZ53" s="198"/>
      <c r="FBA53" s="198"/>
      <c r="FBB53" s="198"/>
      <c r="FBC53" s="198"/>
      <c r="FBD53" s="198"/>
      <c r="FBE53" s="198"/>
      <c r="FBF53" s="198"/>
      <c r="FBG53" s="198"/>
      <c r="FBH53" s="198"/>
      <c r="FBI53" s="198"/>
      <c r="FBJ53" s="198"/>
      <c r="FBK53" s="198"/>
      <c r="FBL53" s="198"/>
      <c r="FBM53" s="198"/>
      <c r="FBN53" s="198"/>
      <c r="FBO53" s="198"/>
      <c r="FBP53" s="198"/>
      <c r="FBQ53" s="198"/>
      <c r="FBR53" s="198"/>
      <c r="FBS53" s="198"/>
      <c r="FBT53" s="198"/>
      <c r="FBU53" s="198"/>
      <c r="FBV53" s="198"/>
      <c r="FBW53" s="198"/>
      <c r="FBX53" s="198"/>
      <c r="FBY53" s="198"/>
      <c r="FBZ53" s="198"/>
      <c r="FCA53" s="198"/>
      <c r="FCB53" s="198"/>
      <c r="FCC53" s="198"/>
      <c r="FCD53" s="198"/>
      <c r="FCE53" s="198"/>
      <c r="FCF53" s="198"/>
      <c r="FCG53" s="198"/>
      <c r="FCH53" s="198"/>
      <c r="FCI53" s="198"/>
      <c r="FCJ53" s="198"/>
      <c r="FCK53" s="198"/>
      <c r="FCL53" s="198"/>
      <c r="FCM53" s="198"/>
      <c r="FCN53" s="198"/>
      <c r="FCO53" s="198"/>
      <c r="FCP53" s="198"/>
      <c r="FCQ53" s="198"/>
      <c r="FCR53" s="198"/>
      <c r="FCS53" s="198"/>
      <c r="FCT53" s="198"/>
      <c r="FCU53" s="198"/>
      <c r="FCV53" s="198"/>
      <c r="FCW53" s="198"/>
      <c r="FCX53" s="198"/>
      <c r="FCY53" s="198"/>
      <c r="FCZ53" s="198"/>
      <c r="FDA53" s="198"/>
      <c r="FDB53" s="198"/>
      <c r="FDC53" s="198"/>
      <c r="FDD53" s="198"/>
      <c r="FDE53" s="198"/>
      <c r="FDF53" s="198"/>
      <c r="FDG53" s="198"/>
      <c r="FDH53" s="198"/>
      <c r="FDI53" s="198"/>
      <c r="FDJ53" s="198"/>
      <c r="FDK53" s="198"/>
      <c r="FDL53" s="198"/>
      <c r="FDM53" s="198"/>
      <c r="FDN53" s="198"/>
      <c r="FDO53" s="198"/>
      <c r="FDP53" s="198"/>
      <c r="FDQ53" s="198"/>
      <c r="FDR53" s="198"/>
      <c r="FDS53" s="198"/>
      <c r="FDT53" s="198"/>
      <c r="FDU53" s="198"/>
      <c r="FDV53" s="198"/>
      <c r="FDW53" s="198"/>
      <c r="FDX53" s="198"/>
      <c r="FDY53" s="198"/>
      <c r="FDZ53" s="198"/>
      <c r="FEA53" s="198"/>
      <c r="FEB53" s="198"/>
      <c r="FEC53" s="198"/>
      <c r="FED53" s="198"/>
      <c r="FEE53" s="198"/>
      <c r="FEF53" s="198"/>
      <c r="FEG53" s="198"/>
      <c r="FEH53" s="198"/>
      <c r="FEI53" s="198"/>
      <c r="FEJ53" s="198"/>
      <c r="FEK53" s="198"/>
      <c r="FEL53" s="198"/>
      <c r="FEM53" s="198"/>
      <c r="FEN53" s="198"/>
      <c r="FEO53" s="198"/>
      <c r="FEP53" s="198"/>
      <c r="FEQ53" s="198"/>
      <c r="FER53" s="198"/>
      <c r="FES53" s="198"/>
      <c r="FET53" s="198"/>
      <c r="FEU53" s="198"/>
      <c r="FEV53" s="198"/>
      <c r="FEW53" s="198"/>
      <c r="FEX53" s="198"/>
      <c r="FEY53" s="198"/>
      <c r="FEZ53" s="198"/>
      <c r="FFA53" s="198"/>
      <c r="FFB53" s="198"/>
      <c r="FFC53" s="198"/>
      <c r="FFD53" s="198"/>
      <c r="FFE53" s="198"/>
      <c r="FFF53" s="198"/>
      <c r="FFG53" s="198"/>
      <c r="FFH53" s="198"/>
      <c r="FFI53" s="198"/>
      <c r="FFJ53" s="198"/>
      <c r="FFK53" s="198"/>
      <c r="FFL53" s="198"/>
      <c r="FFM53" s="198"/>
      <c r="FFN53" s="198"/>
      <c r="FFO53" s="198"/>
      <c r="FFP53" s="198"/>
      <c r="FFQ53" s="198"/>
      <c r="FFR53" s="198"/>
      <c r="FFS53" s="198"/>
      <c r="FFT53" s="198"/>
      <c r="FFU53" s="198"/>
      <c r="FFV53" s="198"/>
      <c r="FFW53" s="198"/>
      <c r="FFX53" s="198"/>
      <c r="FFY53" s="198"/>
      <c r="FFZ53" s="198"/>
      <c r="FGA53" s="198"/>
      <c r="FGB53" s="198"/>
      <c r="FGC53" s="198"/>
      <c r="FGD53" s="198"/>
      <c r="FGE53" s="198"/>
      <c r="FGF53" s="198"/>
      <c r="FGG53" s="198"/>
      <c r="FGH53" s="198"/>
      <c r="FGI53" s="198"/>
      <c r="FGJ53" s="198"/>
      <c r="FGK53" s="198"/>
      <c r="FGL53" s="198"/>
      <c r="FGM53" s="198"/>
      <c r="FGN53" s="198"/>
      <c r="FGO53" s="198"/>
      <c r="FGP53" s="198"/>
      <c r="FGQ53" s="198"/>
      <c r="FGR53" s="198"/>
      <c r="FGS53" s="198"/>
      <c r="FGT53" s="198"/>
      <c r="FGU53" s="198"/>
      <c r="FGV53" s="198"/>
      <c r="FGW53" s="198"/>
      <c r="FGX53" s="198"/>
      <c r="FGY53" s="198"/>
      <c r="FGZ53" s="198"/>
      <c r="FHA53" s="198"/>
      <c r="FHB53" s="198"/>
      <c r="FHC53" s="198"/>
      <c r="FHD53" s="198"/>
      <c r="FHE53" s="198"/>
      <c r="FHF53" s="198"/>
      <c r="FHG53" s="198"/>
      <c r="FHH53" s="198"/>
      <c r="FHI53" s="198"/>
      <c r="FHJ53" s="198"/>
      <c r="FHK53" s="198"/>
      <c r="FHL53" s="198"/>
      <c r="FHM53" s="198"/>
      <c r="FHN53" s="198"/>
      <c r="FHO53" s="198"/>
      <c r="FHP53" s="198"/>
      <c r="FHQ53" s="198"/>
      <c r="FHR53" s="198"/>
      <c r="FHS53" s="198"/>
      <c r="FHT53" s="198"/>
      <c r="FHU53" s="198"/>
      <c r="FHV53" s="198"/>
      <c r="FHW53" s="198"/>
      <c r="FHX53" s="198"/>
      <c r="FHY53" s="198"/>
      <c r="FHZ53" s="198"/>
      <c r="FIA53" s="198"/>
      <c r="FIB53" s="198"/>
      <c r="FIC53" s="198"/>
      <c r="FID53" s="198"/>
      <c r="FIE53" s="198"/>
      <c r="FIF53" s="198"/>
      <c r="FIG53" s="198"/>
      <c r="FIH53" s="198"/>
      <c r="FII53" s="198"/>
      <c r="FIJ53" s="198"/>
      <c r="FIK53" s="198"/>
      <c r="FIL53" s="198"/>
      <c r="FIM53" s="198"/>
      <c r="FIN53" s="198"/>
      <c r="FIO53" s="198"/>
      <c r="FIP53" s="198"/>
      <c r="FIQ53" s="198"/>
      <c r="FIR53" s="198"/>
      <c r="FIS53" s="198"/>
      <c r="FIT53" s="198"/>
      <c r="FIU53" s="198"/>
      <c r="FIV53" s="198"/>
      <c r="FIW53" s="198"/>
      <c r="FIX53" s="198"/>
      <c r="FIY53" s="198"/>
      <c r="FIZ53" s="198"/>
      <c r="FJA53" s="198"/>
      <c r="FJB53" s="198"/>
      <c r="FJC53" s="198"/>
      <c r="FJD53" s="198"/>
      <c r="FJE53" s="198"/>
      <c r="FJF53" s="198"/>
      <c r="FJG53" s="198"/>
      <c r="FJH53" s="198"/>
      <c r="FJI53" s="198"/>
      <c r="FJJ53" s="198"/>
      <c r="FJK53" s="198"/>
      <c r="FJL53" s="198"/>
      <c r="FJM53" s="198"/>
      <c r="FJN53" s="198"/>
      <c r="FJO53" s="198"/>
      <c r="FJP53" s="198"/>
      <c r="FJQ53" s="198"/>
      <c r="FJR53" s="198"/>
      <c r="FJS53" s="198"/>
      <c r="FJT53" s="198"/>
      <c r="FJU53" s="198"/>
      <c r="FJV53" s="198"/>
      <c r="FJW53" s="198"/>
      <c r="FJX53" s="198"/>
      <c r="FJY53" s="198"/>
      <c r="FJZ53" s="198"/>
      <c r="FKA53" s="198"/>
      <c r="FKB53" s="198"/>
      <c r="FKC53" s="198"/>
      <c r="FKD53" s="198"/>
      <c r="FKE53" s="198"/>
      <c r="FKF53" s="198"/>
      <c r="FKG53" s="198"/>
      <c r="FKH53" s="198"/>
      <c r="FKI53" s="198"/>
      <c r="FKJ53" s="198"/>
      <c r="FKK53" s="198"/>
      <c r="FKL53" s="198"/>
      <c r="FKM53" s="198"/>
      <c r="FKN53" s="198"/>
      <c r="FKO53" s="198"/>
      <c r="FKP53" s="198"/>
      <c r="FKQ53" s="198"/>
      <c r="FKR53" s="198"/>
      <c r="FKS53" s="198"/>
      <c r="FKT53" s="198"/>
      <c r="FKU53" s="198"/>
      <c r="FKV53" s="198"/>
      <c r="FKW53" s="198"/>
      <c r="FKX53" s="198"/>
      <c r="FKY53" s="198"/>
      <c r="FKZ53" s="198"/>
      <c r="FLA53" s="198"/>
      <c r="FLB53" s="198"/>
      <c r="FLC53" s="198"/>
      <c r="FLD53" s="198"/>
      <c r="FLE53" s="198"/>
      <c r="FLF53" s="198"/>
      <c r="FLG53" s="198"/>
      <c r="FLH53" s="198"/>
      <c r="FLI53" s="198"/>
      <c r="FLJ53" s="198"/>
      <c r="FLK53" s="198"/>
      <c r="FLL53" s="198"/>
      <c r="FLM53" s="198"/>
      <c r="FLN53" s="198"/>
      <c r="FLO53" s="198"/>
      <c r="FLP53" s="198"/>
      <c r="FLQ53" s="198"/>
      <c r="FLR53" s="198"/>
      <c r="FLS53" s="198"/>
      <c r="FLT53" s="198"/>
      <c r="FLU53" s="198"/>
      <c r="FLV53" s="198"/>
      <c r="FLW53" s="198"/>
      <c r="FLX53" s="198"/>
      <c r="FLY53" s="198"/>
      <c r="FLZ53" s="198"/>
      <c r="FMA53" s="198"/>
      <c r="FMB53" s="198"/>
      <c r="FMC53" s="198"/>
      <c r="FMD53" s="198"/>
      <c r="FME53" s="198"/>
      <c r="FMF53" s="198"/>
      <c r="FMG53" s="198"/>
      <c r="FMH53" s="198"/>
      <c r="FMI53" s="198"/>
      <c r="FMJ53" s="198"/>
      <c r="FMK53" s="198"/>
      <c r="FML53" s="198"/>
      <c r="FMM53" s="198"/>
      <c r="FMN53" s="198"/>
      <c r="FMO53" s="198"/>
      <c r="FMP53" s="198"/>
      <c r="FMQ53" s="198"/>
      <c r="FMR53" s="198"/>
      <c r="FMS53" s="198"/>
      <c r="FMT53" s="198"/>
      <c r="FMU53" s="198"/>
      <c r="FMV53" s="198"/>
      <c r="FMW53" s="198"/>
      <c r="FMX53" s="198"/>
      <c r="FMY53" s="198"/>
      <c r="FMZ53" s="198"/>
      <c r="FNA53" s="198"/>
      <c r="FNB53" s="198"/>
      <c r="FNC53" s="198"/>
      <c r="FND53" s="198"/>
      <c r="FNE53" s="198"/>
      <c r="FNF53" s="198"/>
      <c r="FNG53" s="198"/>
      <c r="FNH53" s="198"/>
      <c r="FNI53" s="198"/>
      <c r="FNJ53" s="198"/>
      <c r="FNK53" s="198"/>
      <c r="FNL53" s="198"/>
      <c r="FNM53" s="198"/>
      <c r="FNN53" s="198"/>
      <c r="FNO53" s="198"/>
      <c r="FNP53" s="198"/>
      <c r="FNQ53" s="198"/>
      <c r="FNR53" s="198"/>
      <c r="FNS53" s="198"/>
      <c r="FNT53" s="198"/>
      <c r="FNU53" s="198"/>
      <c r="FNV53" s="198"/>
      <c r="FNW53" s="198"/>
      <c r="FNX53" s="198"/>
      <c r="FNY53" s="198"/>
      <c r="FNZ53" s="198"/>
      <c r="FOA53" s="198"/>
      <c r="FOB53" s="198"/>
      <c r="FOC53" s="198"/>
      <c r="FOD53" s="198"/>
      <c r="FOE53" s="198"/>
      <c r="FOF53" s="198"/>
      <c r="FOG53" s="198"/>
      <c r="FOH53" s="198"/>
      <c r="FOI53" s="198"/>
      <c r="FOJ53" s="198"/>
      <c r="FOK53" s="198"/>
      <c r="FOL53" s="198"/>
      <c r="FOM53" s="198"/>
      <c r="FON53" s="198"/>
      <c r="FOO53" s="198"/>
      <c r="FOP53" s="198"/>
      <c r="FOQ53" s="198"/>
      <c r="FOR53" s="198"/>
      <c r="FOS53" s="198"/>
      <c r="FOT53" s="198"/>
      <c r="FOU53" s="198"/>
      <c r="FOV53" s="198"/>
      <c r="FOW53" s="198"/>
      <c r="FOX53" s="198"/>
      <c r="FOY53" s="198"/>
      <c r="FOZ53" s="198"/>
      <c r="FPA53" s="198"/>
      <c r="FPB53" s="198"/>
      <c r="FPC53" s="198"/>
      <c r="FPD53" s="198"/>
      <c r="FPE53" s="198"/>
      <c r="FPF53" s="198"/>
      <c r="FPG53" s="198"/>
      <c r="FPH53" s="198"/>
      <c r="FPI53" s="198"/>
      <c r="FPJ53" s="198"/>
      <c r="FPK53" s="198"/>
      <c r="FPL53" s="198"/>
      <c r="FPM53" s="198"/>
      <c r="FPN53" s="198"/>
      <c r="FPO53" s="198"/>
      <c r="FPP53" s="198"/>
      <c r="FPQ53" s="198"/>
      <c r="FPR53" s="198"/>
      <c r="FPS53" s="198"/>
      <c r="FPT53" s="198"/>
      <c r="FPU53" s="198"/>
      <c r="FPV53" s="198"/>
      <c r="FPW53" s="198"/>
      <c r="FPX53" s="198"/>
      <c r="FPY53" s="198"/>
      <c r="FPZ53" s="198"/>
      <c r="FQA53" s="198"/>
      <c r="FQB53" s="198"/>
      <c r="FQC53" s="198"/>
      <c r="FQD53" s="198"/>
      <c r="FQE53" s="198"/>
      <c r="FQF53" s="198"/>
      <c r="FQG53" s="198"/>
      <c r="FQH53" s="198"/>
      <c r="FQI53" s="198"/>
      <c r="FQJ53" s="198"/>
      <c r="FQK53" s="198"/>
      <c r="FQL53" s="198"/>
      <c r="FQM53" s="198"/>
      <c r="FQN53" s="198"/>
      <c r="FQO53" s="198"/>
      <c r="FQP53" s="198"/>
      <c r="FQQ53" s="198"/>
      <c r="FQR53" s="198"/>
      <c r="FQS53" s="198"/>
      <c r="FQT53" s="198"/>
      <c r="FQU53" s="198"/>
      <c r="FQV53" s="198"/>
      <c r="FQW53" s="198"/>
      <c r="FQX53" s="198"/>
      <c r="FQY53" s="198"/>
      <c r="FQZ53" s="198"/>
      <c r="FRA53" s="198"/>
      <c r="FRB53" s="198"/>
      <c r="FRC53" s="198"/>
      <c r="FRD53" s="198"/>
      <c r="FRE53" s="198"/>
      <c r="FRF53" s="198"/>
      <c r="FRG53" s="198"/>
      <c r="FRH53" s="198"/>
      <c r="FRI53" s="198"/>
      <c r="FRJ53" s="198"/>
      <c r="FRK53" s="198"/>
      <c r="FRL53" s="198"/>
      <c r="FRM53" s="198"/>
      <c r="FRN53" s="198"/>
      <c r="FRO53" s="198"/>
      <c r="FRP53" s="198"/>
      <c r="FRQ53" s="198"/>
      <c r="FRR53" s="198"/>
      <c r="FRS53" s="198"/>
      <c r="FRT53" s="198"/>
      <c r="FRU53" s="198"/>
      <c r="FRV53" s="198"/>
      <c r="FRW53" s="198"/>
      <c r="FRX53" s="198"/>
      <c r="FRY53" s="198"/>
      <c r="FRZ53" s="198"/>
      <c r="FSA53" s="198"/>
      <c r="FSB53" s="198"/>
      <c r="FSC53" s="198"/>
      <c r="FSD53" s="198"/>
      <c r="FSE53" s="198"/>
      <c r="FSF53" s="198"/>
      <c r="FSG53" s="198"/>
      <c r="FSH53" s="198"/>
      <c r="FSI53" s="198"/>
      <c r="FSJ53" s="198"/>
      <c r="FSK53" s="198"/>
      <c r="FSL53" s="198"/>
      <c r="FSM53" s="198"/>
      <c r="FSN53" s="198"/>
      <c r="FSO53" s="198"/>
      <c r="FSP53" s="198"/>
      <c r="FSQ53" s="198"/>
      <c r="FSR53" s="198"/>
      <c r="FSS53" s="198"/>
      <c r="FST53" s="198"/>
      <c r="FSU53" s="198"/>
      <c r="FSV53" s="198"/>
      <c r="FSW53" s="198"/>
      <c r="FSX53" s="198"/>
      <c r="FSY53" s="198"/>
      <c r="FSZ53" s="198"/>
      <c r="FTA53" s="198"/>
      <c r="FTB53" s="198"/>
      <c r="FTC53" s="198"/>
      <c r="FTD53" s="198"/>
      <c r="FTE53" s="198"/>
      <c r="FTF53" s="198"/>
      <c r="FTG53" s="198"/>
      <c r="FTH53" s="198"/>
      <c r="FTI53" s="198"/>
      <c r="FTJ53" s="198"/>
      <c r="FTK53" s="198"/>
      <c r="FTL53" s="198"/>
      <c r="FTM53" s="198"/>
      <c r="FTN53" s="198"/>
      <c r="FTO53" s="198"/>
      <c r="FTP53" s="198"/>
      <c r="FTQ53" s="198"/>
      <c r="FTR53" s="198"/>
      <c r="FTS53" s="198"/>
      <c r="FTT53" s="198"/>
      <c r="FTU53" s="198"/>
      <c r="FTV53" s="198"/>
      <c r="FTW53" s="198"/>
      <c r="FTX53" s="198"/>
      <c r="FTY53" s="198"/>
      <c r="FTZ53" s="198"/>
      <c r="FUA53" s="198"/>
      <c r="FUB53" s="198"/>
      <c r="FUC53" s="198"/>
      <c r="FUD53" s="198"/>
      <c r="FUE53" s="198"/>
      <c r="FUF53" s="198"/>
      <c r="FUG53" s="198"/>
      <c r="FUH53" s="198"/>
      <c r="FUI53" s="198"/>
      <c r="FUJ53" s="198"/>
      <c r="FUK53" s="198"/>
      <c r="FUL53" s="198"/>
      <c r="FUM53" s="198"/>
      <c r="FUN53" s="198"/>
      <c r="FUO53" s="198"/>
      <c r="FUP53" s="198"/>
      <c r="FUQ53" s="198"/>
      <c r="FUR53" s="198"/>
      <c r="FUS53" s="198"/>
      <c r="FUT53" s="198"/>
      <c r="FUU53" s="198"/>
      <c r="FUV53" s="198"/>
      <c r="FUW53" s="198"/>
      <c r="FUX53" s="198"/>
      <c r="FUY53" s="198"/>
      <c r="FUZ53" s="198"/>
      <c r="FVA53" s="198"/>
      <c r="FVB53" s="198"/>
      <c r="FVC53" s="198"/>
      <c r="FVD53" s="198"/>
      <c r="FVE53" s="198"/>
      <c r="FVF53" s="198"/>
      <c r="FVG53" s="198"/>
      <c r="FVH53" s="198"/>
      <c r="FVI53" s="198"/>
      <c r="FVJ53" s="198"/>
      <c r="FVK53" s="198"/>
      <c r="FVL53" s="198"/>
      <c r="FVM53" s="198"/>
      <c r="FVN53" s="198"/>
      <c r="FVO53" s="198"/>
      <c r="FVP53" s="198"/>
      <c r="FVQ53" s="198"/>
      <c r="FVR53" s="198"/>
      <c r="FVS53" s="198"/>
      <c r="FVT53" s="198"/>
      <c r="FVU53" s="198"/>
      <c r="FVV53" s="198"/>
      <c r="FVW53" s="198"/>
      <c r="FVX53" s="198"/>
      <c r="FVY53" s="198"/>
      <c r="FVZ53" s="198"/>
      <c r="FWA53" s="198"/>
      <c r="FWB53" s="198"/>
      <c r="FWC53" s="198"/>
      <c r="FWD53" s="198"/>
      <c r="FWE53" s="198"/>
      <c r="FWF53" s="198"/>
      <c r="FWG53" s="198"/>
      <c r="FWH53" s="198"/>
      <c r="FWI53" s="198"/>
      <c r="FWJ53" s="198"/>
      <c r="FWK53" s="198"/>
      <c r="FWL53" s="198"/>
      <c r="FWM53" s="198"/>
      <c r="FWN53" s="198"/>
      <c r="FWO53" s="198"/>
      <c r="FWP53" s="198"/>
      <c r="FWQ53" s="198"/>
      <c r="FWR53" s="198"/>
      <c r="FWS53" s="198"/>
      <c r="FWT53" s="198"/>
      <c r="FWU53" s="198"/>
      <c r="FWV53" s="198"/>
      <c r="FWW53" s="198"/>
      <c r="FWX53" s="198"/>
      <c r="FWY53" s="198"/>
      <c r="FWZ53" s="198"/>
      <c r="FXA53" s="198"/>
      <c r="FXB53" s="198"/>
      <c r="FXC53" s="198"/>
      <c r="FXD53" s="198"/>
      <c r="FXE53" s="198"/>
      <c r="FXF53" s="198"/>
      <c r="FXG53" s="198"/>
      <c r="FXH53" s="198"/>
      <c r="FXI53" s="198"/>
      <c r="FXJ53" s="198"/>
      <c r="FXK53" s="198"/>
      <c r="FXL53" s="198"/>
      <c r="FXM53" s="198"/>
      <c r="FXN53" s="198"/>
      <c r="FXO53" s="198"/>
      <c r="FXP53" s="198"/>
      <c r="FXQ53" s="198"/>
      <c r="FXR53" s="198"/>
      <c r="FXS53" s="198"/>
      <c r="FXT53" s="198"/>
      <c r="FXU53" s="198"/>
      <c r="FXV53" s="198"/>
      <c r="FXW53" s="198"/>
      <c r="FXX53" s="198"/>
      <c r="FXY53" s="198"/>
      <c r="FXZ53" s="198"/>
      <c r="FYA53" s="198"/>
      <c r="FYB53" s="198"/>
      <c r="FYC53" s="198"/>
      <c r="FYD53" s="198"/>
      <c r="FYE53" s="198"/>
      <c r="FYF53" s="198"/>
      <c r="FYG53" s="198"/>
      <c r="FYH53" s="198"/>
      <c r="FYI53" s="198"/>
      <c r="FYJ53" s="198"/>
      <c r="FYK53" s="198"/>
      <c r="FYL53" s="198"/>
      <c r="FYM53" s="198"/>
      <c r="FYN53" s="198"/>
      <c r="FYO53" s="198"/>
      <c r="FYP53" s="198"/>
      <c r="FYQ53" s="198"/>
      <c r="FYR53" s="198"/>
      <c r="FYS53" s="198"/>
      <c r="FYT53" s="198"/>
      <c r="FYU53" s="198"/>
      <c r="FYV53" s="198"/>
      <c r="FYW53" s="198"/>
      <c r="FYX53" s="198"/>
      <c r="FYY53" s="198"/>
      <c r="FYZ53" s="198"/>
      <c r="FZA53" s="198"/>
      <c r="FZB53" s="198"/>
      <c r="FZC53" s="198"/>
      <c r="FZD53" s="198"/>
      <c r="FZE53" s="198"/>
      <c r="FZF53" s="198"/>
      <c r="FZG53" s="198"/>
      <c r="FZH53" s="198"/>
      <c r="FZI53" s="198"/>
      <c r="FZJ53" s="198"/>
      <c r="FZK53" s="198"/>
      <c r="FZL53" s="198"/>
      <c r="FZM53" s="198"/>
      <c r="FZN53" s="198"/>
      <c r="FZO53" s="198"/>
      <c r="FZP53" s="198"/>
      <c r="FZQ53" s="198"/>
      <c r="FZR53" s="198"/>
      <c r="FZS53" s="198"/>
      <c r="FZT53" s="198"/>
      <c r="FZU53" s="198"/>
      <c r="FZV53" s="198"/>
      <c r="FZW53" s="198"/>
      <c r="FZX53" s="198"/>
      <c r="FZY53" s="198"/>
      <c r="FZZ53" s="198"/>
      <c r="GAA53" s="198"/>
      <c r="GAB53" s="198"/>
      <c r="GAC53" s="198"/>
      <c r="GAD53" s="198"/>
      <c r="GAE53" s="198"/>
      <c r="GAF53" s="198"/>
      <c r="GAG53" s="198"/>
      <c r="GAH53" s="198"/>
      <c r="GAI53" s="198"/>
      <c r="GAJ53" s="198"/>
      <c r="GAK53" s="198"/>
      <c r="GAL53" s="198"/>
      <c r="GAM53" s="198"/>
      <c r="GAN53" s="198"/>
      <c r="GAO53" s="198"/>
      <c r="GAP53" s="198"/>
      <c r="GAQ53" s="198"/>
      <c r="GAR53" s="198"/>
      <c r="GAS53" s="198"/>
      <c r="GAT53" s="198"/>
      <c r="GAU53" s="198"/>
      <c r="GAV53" s="198"/>
      <c r="GAW53" s="198"/>
      <c r="GAX53" s="198"/>
      <c r="GAY53" s="198"/>
      <c r="GAZ53" s="198"/>
      <c r="GBA53" s="198"/>
      <c r="GBB53" s="198"/>
      <c r="GBC53" s="198"/>
      <c r="GBD53" s="198"/>
      <c r="GBE53" s="198"/>
      <c r="GBF53" s="198"/>
      <c r="GBG53" s="198"/>
      <c r="GBH53" s="198"/>
      <c r="GBI53" s="198"/>
      <c r="GBJ53" s="198"/>
      <c r="GBK53" s="198"/>
      <c r="GBL53" s="198"/>
      <c r="GBM53" s="198"/>
      <c r="GBN53" s="198"/>
      <c r="GBO53" s="198"/>
      <c r="GBP53" s="198"/>
      <c r="GBQ53" s="198"/>
      <c r="GBR53" s="198"/>
      <c r="GBS53" s="198"/>
      <c r="GBT53" s="198"/>
      <c r="GBU53" s="198"/>
      <c r="GBV53" s="198"/>
      <c r="GBW53" s="198"/>
      <c r="GBX53" s="198"/>
      <c r="GBY53" s="198"/>
      <c r="GBZ53" s="198"/>
      <c r="GCA53" s="198"/>
      <c r="GCB53" s="198"/>
      <c r="GCC53" s="198"/>
      <c r="GCD53" s="198"/>
      <c r="GCE53" s="198"/>
      <c r="GCF53" s="198"/>
      <c r="GCG53" s="198"/>
      <c r="GCH53" s="198"/>
      <c r="GCI53" s="198"/>
      <c r="GCJ53" s="198"/>
      <c r="GCK53" s="198"/>
      <c r="GCL53" s="198"/>
      <c r="GCM53" s="198"/>
      <c r="GCN53" s="198"/>
      <c r="GCO53" s="198"/>
      <c r="GCP53" s="198"/>
      <c r="GCQ53" s="198"/>
      <c r="GCR53" s="198"/>
      <c r="GCS53" s="198"/>
      <c r="GCT53" s="198"/>
      <c r="GCU53" s="198"/>
      <c r="GCV53" s="198"/>
      <c r="GCW53" s="198"/>
      <c r="GCX53" s="198"/>
      <c r="GCY53" s="198"/>
      <c r="GCZ53" s="198"/>
      <c r="GDA53" s="198"/>
      <c r="GDB53" s="198"/>
      <c r="GDC53" s="198"/>
      <c r="GDD53" s="198"/>
      <c r="GDE53" s="198"/>
      <c r="GDF53" s="198"/>
      <c r="GDG53" s="198"/>
      <c r="GDH53" s="198"/>
      <c r="GDI53" s="198"/>
      <c r="GDJ53" s="198"/>
      <c r="GDK53" s="198"/>
      <c r="GDL53" s="198"/>
      <c r="GDM53" s="198"/>
      <c r="GDN53" s="198"/>
      <c r="GDO53" s="198"/>
      <c r="GDP53" s="198"/>
      <c r="GDQ53" s="198"/>
      <c r="GDR53" s="198"/>
      <c r="GDS53" s="198"/>
      <c r="GDT53" s="198"/>
      <c r="GDU53" s="198"/>
      <c r="GDV53" s="198"/>
      <c r="GDW53" s="198"/>
      <c r="GDX53" s="198"/>
      <c r="GDY53" s="198"/>
      <c r="GDZ53" s="198"/>
      <c r="GEA53" s="198"/>
      <c r="GEB53" s="198"/>
      <c r="GEC53" s="198"/>
      <c r="GED53" s="198"/>
      <c r="GEE53" s="198"/>
      <c r="GEF53" s="198"/>
      <c r="GEG53" s="198"/>
      <c r="GEH53" s="198"/>
      <c r="GEI53" s="198"/>
      <c r="GEJ53" s="198"/>
      <c r="GEK53" s="198"/>
      <c r="GEL53" s="198"/>
      <c r="GEM53" s="198"/>
      <c r="GEN53" s="198"/>
      <c r="GEO53" s="198"/>
      <c r="GEP53" s="198"/>
      <c r="GEQ53" s="198"/>
      <c r="GER53" s="198"/>
      <c r="GES53" s="198"/>
      <c r="GET53" s="198"/>
      <c r="GEU53" s="198"/>
      <c r="GEV53" s="198"/>
      <c r="GEW53" s="198"/>
      <c r="GEX53" s="198"/>
      <c r="GEY53" s="198"/>
      <c r="GEZ53" s="198"/>
      <c r="GFA53" s="198"/>
      <c r="GFB53" s="198"/>
      <c r="GFC53" s="198"/>
      <c r="GFD53" s="198"/>
      <c r="GFE53" s="198"/>
      <c r="GFF53" s="198"/>
      <c r="GFG53" s="198"/>
      <c r="GFH53" s="198"/>
      <c r="GFI53" s="198"/>
      <c r="GFJ53" s="198"/>
      <c r="GFK53" s="198"/>
      <c r="GFL53" s="198"/>
      <c r="GFM53" s="198"/>
      <c r="GFN53" s="198"/>
      <c r="GFO53" s="198"/>
      <c r="GFP53" s="198"/>
      <c r="GFQ53" s="198"/>
      <c r="GFR53" s="198"/>
      <c r="GFS53" s="198"/>
      <c r="GFT53" s="198"/>
      <c r="GFU53" s="198"/>
      <c r="GFV53" s="198"/>
      <c r="GFW53" s="198"/>
      <c r="GFX53" s="198"/>
      <c r="GFY53" s="198"/>
      <c r="GFZ53" s="198"/>
      <c r="GGA53" s="198"/>
      <c r="GGB53" s="198"/>
      <c r="GGC53" s="198"/>
      <c r="GGD53" s="198"/>
      <c r="GGE53" s="198"/>
      <c r="GGF53" s="198"/>
      <c r="GGG53" s="198"/>
      <c r="GGH53" s="198"/>
      <c r="GGI53" s="198"/>
      <c r="GGJ53" s="198"/>
      <c r="GGK53" s="198"/>
      <c r="GGL53" s="198"/>
      <c r="GGM53" s="198"/>
      <c r="GGN53" s="198"/>
      <c r="GGO53" s="198"/>
      <c r="GGP53" s="198"/>
      <c r="GGQ53" s="198"/>
      <c r="GGR53" s="198"/>
      <c r="GGS53" s="198"/>
      <c r="GGT53" s="198"/>
      <c r="GGU53" s="198"/>
      <c r="GGV53" s="198"/>
      <c r="GGW53" s="198"/>
      <c r="GGX53" s="198"/>
      <c r="GGY53" s="198"/>
      <c r="GGZ53" s="198"/>
      <c r="GHA53" s="198"/>
      <c r="GHB53" s="198"/>
      <c r="GHC53" s="198"/>
      <c r="GHD53" s="198"/>
      <c r="GHE53" s="198"/>
      <c r="GHF53" s="198"/>
      <c r="GHG53" s="198"/>
      <c r="GHH53" s="198"/>
      <c r="GHI53" s="198"/>
      <c r="GHJ53" s="198"/>
      <c r="GHK53" s="198"/>
      <c r="GHL53" s="198"/>
      <c r="GHM53" s="198"/>
      <c r="GHN53" s="198"/>
      <c r="GHO53" s="198"/>
      <c r="GHP53" s="198"/>
      <c r="GHQ53" s="198"/>
      <c r="GHR53" s="198"/>
      <c r="GHS53" s="198"/>
      <c r="GHT53" s="198"/>
      <c r="GHU53" s="198"/>
      <c r="GHV53" s="198"/>
      <c r="GHW53" s="198"/>
      <c r="GHX53" s="198"/>
      <c r="GHY53" s="198"/>
      <c r="GHZ53" s="198"/>
      <c r="GIA53" s="198"/>
      <c r="GIB53" s="198"/>
      <c r="GIC53" s="198"/>
      <c r="GID53" s="198"/>
      <c r="GIE53" s="198"/>
      <c r="GIF53" s="198"/>
      <c r="GIG53" s="198"/>
      <c r="GIH53" s="198"/>
      <c r="GII53" s="198"/>
      <c r="GIJ53" s="198"/>
      <c r="GIK53" s="198"/>
      <c r="GIL53" s="198"/>
      <c r="GIM53" s="198"/>
      <c r="GIN53" s="198"/>
      <c r="GIO53" s="198"/>
      <c r="GIP53" s="198"/>
      <c r="GIQ53" s="198"/>
      <c r="GIR53" s="198"/>
      <c r="GIS53" s="198"/>
      <c r="GIT53" s="198"/>
      <c r="GIU53" s="198"/>
      <c r="GIV53" s="198"/>
      <c r="GIW53" s="198"/>
      <c r="GIX53" s="198"/>
      <c r="GIY53" s="198"/>
      <c r="GIZ53" s="198"/>
      <c r="GJA53" s="198"/>
      <c r="GJB53" s="198"/>
      <c r="GJC53" s="198"/>
      <c r="GJD53" s="198"/>
      <c r="GJE53" s="198"/>
      <c r="GJF53" s="198"/>
      <c r="GJG53" s="198"/>
      <c r="GJH53" s="198"/>
      <c r="GJI53" s="198"/>
      <c r="GJJ53" s="198"/>
      <c r="GJK53" s="198"/>
      <c r="GJL53" s="198"/>
      <c r="GJM53" s="198"/>
      <c r="GJN53" s="198"/>
      <c r="GJO53" s="198"/>
      <c r="GJP53" s="198"/>
      <c r="GJQ53" s="198"/>
      <c r="GJR53" s="198"/>
      <c r="GJS53" s="198"/>
      <c r="GJT53" s="198"/>
      <c r="GJU53" s="198"/>
      <c r="GJV53" s="198"/>
      <c r="GJW53" s="198"/>
      <c r="GJX53" s="198"/>
      <c r="GJY53" s="198"/>
      <c r="GJZ53" s="198"/>
      <c r="GKA53" s="198"/>
      <c r="GKB53" s="198"/>
      <c r="GKC53" s="198"/>
      <c r="GKD53" s="198"/>
      <c r="GKE53" s="198"/>
      <c r="GKF53" s="198"/>
      <c r="GKG53" s="198"/>
      <c r="GKH53" s="198"/>
      <c r="GKI53" s="198"/>
      <c r="GKJ53" s="198"/>
      <c r="GKK53" s="198"/>
      <c r="GKL53" s="198"/>
      <c r="GKM53" s="198"/>
      <c r="GKN53" s="198"/>
      <c r="GKO53" s="198"/>
      <c r="GKP53" s="198"/>
      <c r="GKQ53" s="198"/>
      <c r="GKR53" s="198"/>
      <c r="GKS53" s="198"/>
      <c r="GKT53" s="198"/>
      <c r="GKU53" s="198"/>
      <c r="GKV53" s="198"/>
      <c r="GKW53" s="198"/>
      <c r="GKX53" s="198"/>
      <c r="GKY53" s="198"/>
      <c r="GKZ53" s="198"/>
      <c r="GLA53" s="198"/>
      <c r="GLB53" s="198"/>
      <c r="GLC53" s="198"/>
      <c r="GLD53" s="198"/>
      <c r="GLE53" s="198"/>
      <c r="GLF53" s="198"/>
      <c r="GLG53" s="198"/>
      <c r="GLH53" s="198"/>
      <c r="GLI53" s="198"/>
      <c r="GLJ53" s="198"/>
      <c r="GLK53" s="198"/>
      <c r="GLL53" s="198"/>
      <c r="GLM53" s="198"/>
      <c r="GLN53" s="198"/>
      <c r="GLO53" s="198"/>
      <c r="GLP53" s="198"/>
      <c r="GLQ53" s="198"/>
      <c r="GLR53" s="198"/>
      <c r="GLS53" s="198"/>
      <c r="GLT53" s="198"/>
      <c r="GLU53" s="198"/>
      <c r="GLV53" s="198"/>
      <c r="GLW53" s="198"/>
      <c r="GLX53" s="198"/>
      <c r="GLY53" s="198"/>
      <c r="GLZ53" s="198"/>
      <c r="GMA53" s="198"/>
      <c r="GMB53" s="198"/>
      <c r="GMC53" s="198"/>
      <c r="GMD53" s="198"/>
      <c r="GME53" s="198"/>
      <c r="GMF53" s="198"/>
      <c r="GMG53" s="198"/>
      <c r="GMH53" s="198"/>
      <c r="GMI53" s="198"/>
      <c r="GMJ53" s="198"/>
      <c r="GMK53" s="198"/>
      <c r="GML53" s="198"/>
      <c r="GMM53" s="198"/>
      <c r="GMN53" s="198"/>
      <c r="GMO53" s="198"/>
      <c r="GMP53" s="198"/>
      <c r="GMQ53" s="198"/>
      <c r="GMR53" s="198"/>
      <c r="GMS53" s="198"/>
      <c r="GMT53" s="198"/>
      <c r="GMU53" s="198"/>
      <c r="GMV53" s="198"/>
      <c r="GMW53" s="198"/>
      <c r="GMX53" s="198"/>
      <c r="GMY53" s="198"/>
      <c r="GMZ53" s="198"/>
      <c r="GNA53" s="198"/>
      <c r="GNB53" s="198"/>
      <c r="GNC53" s="198"/>
      <c r="GND53" s="198"/>
      <c r="GNE53" s="198"/>
      <c r="GNF53" s="198"/>
      <c r="GNG53" s="198"/>
      <c r="GNH53" s="198"/>
      <c r="GNI53" s="198"/>
      <c r="GNJ53" s="198"/>
      <c r="GNK53" s="198"/>
      <c r="GNL53" s="198"/>
      <c r="GNM53" s="198"/>
      <c r="GNN53" s="198"/>
      <c r="GNO53" s="198"/>
      <c r="GNP53" s="198"/>
      <c r="GNQ53" s="198"/>
      <c r="GNR53" s="198"/>
      <c r="GNS53" s="198"/>
      <c r="GNT53" s="198"/>
      <c r="GNU53" s="198"/>
      <c r="GNV53" s="198"/>
      <c r="GNW53" s="198"/>
      <c r="GNX53" s="198"/>
      <c r="GNY53" s="198"/>
      <c r="GNZ53" s="198"/>
      <c r="GOA53" s="198"/>
      <c r="GOB53" s="198"/>
      <c r="GOC53" s="198"/>
      <c r="GOD53" s="198"/>
      <c r="GOE53" s="198"/>
      <c r="GOF53" s="198"/>
      <c r="GOG53" s="198"/>
      <c r="GOH53" s="198"/>
      <c r="GOI53" s="198"/>
      <c r="GOJ53" s="198"/>
      <c r="GOK53" s="198"/>
      <c r="GOL53" s="198"/>
      <c r="GOM53" s="198"/>
      <c r="GON53" s="198"/>
      <c r="GOO53" s="198"/>
      <c r="GOP53" s="198"/>
      <c r="GOQ53" s="198"/>
      <c r="GOR53" s="198"/>
      <c r="GOS53" s="198"/>
      <c r="GOT53" s="198"/>
      <c r="GOU53" s="198"/>
      <c r="GOV53" s="198"/>
      <c r="GOW53" s="198"/>
      <c r="GOX53" s="198"/>
      <c r="GOY53" s="198"/>
      <c r="GOZ53" s="198"/>
      <c r="GPA53" s="198"/>
      <c r="GPB53" s="198"/>
      <c r="GPC53" s="198"/>
      <c r="GPD53" s="198"/>
      <c r="GPE53" s="198"/>
      <c r="GPF53" s="198"/>
      <c r="GPG53" s="198"/>
      <c r="GPH53" s="198"/>
      <c r="GPI53" s="198"/>
      <c r="GPJ53" s="198"/>
      <c r="GPK53" s="198"/>
      <c r="GPL53" s="198"/>
      <c r="GPM53" s="198"/>
      <c r="GPN53" s="198"/>
      <c r="GPO53" s="198"/>
      <c r="GPP53" s="198"/>
      <c r="GPQ53" s="198"/>
      <c r="GPR53" s="198"/>
      <c r="GPS53" s="198"/>
      <c r="GPT53" s="198"/>
      <c r="GPU53" s="198"/>
      <c r="GPV53" s="198"/>
      <c r="GPW53" s="198"/>
      <c r="GPX53" s="198"/>
      <c r="GPY53" s="198"/>
      <c r="GPZ53" s="198"/>
      <c r="GQA53" s="198"/>
      <c r="GQB53" s="198"/>
      <c r="GQC53" s="198"/>
      <c r="GQD53" s="198"/>
      <c r="GQE53" s="198"/>
      <c r="GQF53" s="198"/>
      <c r="GQG53" s="198"/>
      <c r="GQH53" s="198"/>
      <c r="GQI53" s="198"/>
      <c r="GQJ53" s="198"/>
      <c r="GQK53" s="198"/>
      <c r="GQL53" s="198"/>
      <c r="GQM53" s="198"/>
      <c r="GQN53" s="198"/>
      <c r="GQO53" s="198"/>
      <c r="GQP53" s="198"/>
      <c r="GQQ53" s="198"/>
      <c r="GQR53" s="198"/>
      <c r="GQS53" s="198"/>
      <c r="GQT53" s="198"/>
      <c r="GQU53" s="198"/>
      <c r="GQV53" s="198"/>
      <c r="GQW53" s="198"/>
      <c r="GQX53" s="198"/>
      <c r="GQY53" s="198"/>
      <c r="GQZ53" s="198"/>
      <c r="GRA53" s="198"/>
      <c r="GRB53" s="198"/>
      <c r="GRC53" s="198"/>
      <c r="GRD53" s="198"/>
      <c r="GRE53" s="198"/>
      <c r="GRF53" s="198"/>
      <c r="GRG53" s="198"/>
      <c r="GRH53" s="198"/>
      <c r="GRI53" s="198"/>
      <c r="GRJ53" s="198"/>
      <c r="GRK53" s="198"/>
      <c r="GRL53" s="198"/>
      <c r="GRM53" s="198"/>
      <c r="GRN53" s="198"/>
      <c r="GRO53" s="198"/>
      <c r="GRP53" s="198"/>
      <c r="GRQ53" s="198"/>
      <c r="GRR53" s="198"/>
      <c r="GRS53" s="198"/>
      <c r="GRT53" s="198"/>
      <c r="GRU53" s="198"/>
      <c r="GRV53" s="198"/>
      <c r="GRW53" s="198"/>
      <c r="GRX53" s="198"/>
      <c r="GRY53" s="198"/>
      <c r="GRZ53" s="198"/>
      <c r="GSA53" s="198"/>
      <c r="GSB53" s="198"/>
      <c r="GSC53" s="198"/>
      <c r="GSD53" s="198"/>
      <c r="GSE53" s="198"/>
      <c r="GSF53" s="198"/>
      <c r="GSG53" s="198"/>
      <c r="GSH53" s="198"/>
      <c r="GSI53" s="198"/>
      <c r="GSJ53" s="198"/>
      <c r="GSK53" s="198"/>
      <c r="GSL53" s="198"/>
      <c r="GSM53" s="198"/>
      <c r="GSN53" s="198"/>
      <c r="GSO53" s="198"/>
      <c r="GSP53" s="198"/>
      <c r="GSQ53" s="198"/>
      <c r="GSR53" s="198"/>
      <c r="GSS53" s="198"/>
      <c r="GST53" s="198"/>
      <c r="GSU53" s="198"/>
      <c r="GSV53" s="198"/>
      <c r="GSW53" s="198"/>
      <c r="GSX53" s="198"/>
      <c r="GSY53" s="198"/>
      <c r="GSZ53" s="198"/>
      <c r="GTA53" s="198"/>
      <c r="GTB53" s="198"/>
      <c r="GTC53" s="198"/>
      <c r="GTD53" s="198"/>
      <c r="GTE53" s="198"/>
      <c r="GTF53" s="198"/>
      <c r="GTG53" s="198"/>
      <c r="GTH53" s="198"/>
      <c r="GTI53" s="198"/>
      <c r="GTJ53" s="198"/>
      <c r="GTK53" s="198"/>
      <c r="GTL53" s="198"/>
      <c r="GTM53" s="198"/>
      <c r="GTN53" s="198"/>
      <c r="GTO53" s="198"/>
      <c r="GTP53" s="198"/>
      <c r="GTQ53" s="198"/>
      <c r="GTR53" s="198"/>
      <c r="GTS53" s="198"/>
      <c r="GTT53" s="198"/>
      <c r="GTU53" s="198"/>
      <c r="GTV53" s="198"/>
      <c r="GTW53" s="198"/>
      <c r="GTX53" s="198"/>
      <c r="GTY53" s="198"/>
      <c r="GTZ53" s="198"/>
      <c r="GUA53" s="198"/>
      <c r="GUB53" s="198"/>
      <c r="GUC53" s="198"/>
      <c r="GUD53" s="198"/>
      <c r="GUE53" s="198"/>
      <c r="GUF53" s="198"/>
      <c r="GUG53" s="198"/>
      <c r="GUH53" s="198"/>
      <c r="GUI53" s="198"/>
      <c r="GUJ53" s="198"/>
      <c r="GUK53" s="198"/>
      <c r="GUL53" s="198"/>
      <c r="GUM53" s="198"/>
      <c r="GUN53" s="198"/>
      <c r="GUO53" s="198"/>
      <c r="GUP53" s="198"/>
      <c r="GUQ53" s="198"/>
      <c r="GUR53" s="198"/>
      <c r="GUS53" s="198"/>
      <c r="GUT53" s="198"/>
      <c r="GUU53" s="198"/>
      <c r="GUV53" s="198"/>
      <c r="GUW53" s="198"/>
      <c r="GUX53" s="198"/>
      <c r="GUY53" s="198"/>
      <c r="GUZ53" s="198"/>
      <c r="GVA53" s="198"/>
      <c r="GVB53" s="198"/>
      <c r="GVC53" s="198"/>
      <c r="GVD53" s="198"/>
      <c r="GVE53" s="198"/>
      <c r="GVF53" s="198"/>
      <c r="GVG53" s="198"/>
      <c r="GVH53" s="198"/>
      <c r="GVI53" s="198"/>
      <c r="GVJ53" s="198"/>
      <c r="GVK53" s="198"/>
      <c r="GVL53" s="198"/>
      <c r="GVM53" s="198"/>
      <c r="GVN53" s="198"/>
      <c r="GVO53" s="198"/>
      <c r="GVP53" s="198"/>
      <c r="GVQ53" s="198"/>
      <c r="GVR53" s="198"/>
      <c r="GVS53" s="198"/>
      <c r="GVT53" s="198"/>
      <c r="GVU53" s="198"/>
      <c r="GVV53" s="198"/>
      <c r="GVW53" s="198"/>
      <c r="GVX53" s="198"/>
      <c r="GVY53" s="198"/>
      <c r="GVZ53" s="198"/>
      <c r="GWA53" s="198"/>
      <c r="GWB53" s="198"/>
      <c r="GWC53" s="198"/>
      <c r="GWD53" s="198"/>
      <c r="GWE53" s="198"/>
      <c r="GWF53" s="198"/>
      <c r="GWG53" s="198"/>
      <c r="GWH53" s="198"/>
      <c r="GWI53" s="198"/>
      <c r="GWJ53" s="198"/>
      <c r="GWK53" s="198"/>
      <c r="GWL53" s="198"/>
      <c r="GWM53" s="198"/>
      <c r="GWN53" s="198"/>
      <c r="GWO53" s="198"/>
      <c r="GWP53" s="198"/>
      <c r="GWQ53" s="198"/>
      <c r="GWR53" s="198"/>
      <c r="GWS53" s="198"/>
      <c r="GWT53" s="198"/>
      <c r="GWU53" s="198"/>
      <c r="GWV53" s="198"/>
      <c r="GWW53" s="198"/>
      <c r="GWX53" s="198"/>
      <c r="GWY53" s="198"/>
      <c r="GWZ53" s="198"/>
      <c r="GXA53" s="198"/>
      <c r="GXB53" s="198"/>
      <c r="GXC53" s="198"/>
      <c r="GXD53" s="198"/>
      <c r="GXE53" s="198"/>
      <c r="GXF53" s="198"/>
      <c r="GXG53" s="198"/>
      <c r="GXH53" s="198"/>
      <c r="GXI53" s="198"/>
      <c r="GXJ53" s="198"/>
      <c r="GXK53" s="198"/>
      <c r="GXL53" s="198"/>
      <c r="GXM53" s="198"/>
      <c r="GXN53" s="198"/>
      <c r="GXO53" s="198"/>
      <c r="GXP53" s="198"/>
      <c r="GXQ53" s="198"/>
      <c r="GXR53" s="198"/>
      <c r="GXS53" s="198"/>
      <c r="GXT53" s="198"/>
      <c r="GXU53" s="198"/>
      <c r="GXV53" s="198"/>
      <c r="GXW53" s="198"/>
      <c r="GXX53" s="198"/>
      <c r="GXY53" s="198"/>
      <c r="GXZ53" s="198"/>
      <c r="GYA53" s="198"/>
      <c r="GYB53" s="198"/>
      <c r="GYC53" s="198"/>
      <c r="GYD53" s="198"/>
      <c r="GYE53" s="198"/>
      <c r="GYF53" s="198"/>
      <c r="GYG53" s="198"/>
      <c r="GYH53" s="198"/>
      <c r="GYI53" s="198"/>
      <c r="GYJ53" s="198"/>
      <c r="GYK53" s="198"/>
      <c r="GYL53" s="198"/>
      <c r="GYM53" s="198"/>
      <c r="GYN53" s="198"/>
      <c r="GYO53" s="198"/>
      <c r="GYP53" s="198"/>
      <c r="GYQ53" s="198"/>
      <c r="GYR53" s="198"/>
      <c r="GYS53" s="198"/>
      <c r="GYT53" s="198"/>
      <c r="GYU53" s="198"/>
      <c r="GYV53" s="198"/>
      <c r="GYW53" s="198"/>
      <c r="GYX53" s="198"/>
      <c r="GYY53" s="198"/>
      <c r="GYZ53" s="198"/>
      <c r="GZA53" s="198"/>
      <c r="GZB53" s="198"/>
      <c r="GZC53" s="198"/>
      <c r="GZD53" s="198"/>
      <c r="GZE53" s="198"/>
      <c r="GZF53" s="198"/>
      <c r="GZG53" s="198"/>
      <c r="GZH53" s="198"/>
      <c r="GZI53" s="198"/>
      <c r="GZJ53" s="198"/>
      <c r="GZK53" s="198"/>
      <c r="GZL53" s="198"/>
      <c r="GZM53" s="198"/>
      <c r="GZN53" s="198"/>
      <c r="GZO53" s="198"/>
      <c r="GZP53" s="198"/>
      <c r="GZQ53" s="198"/>
      <c r="GZR53" s="198"/>
      <c r="GZS53" s="198"/>
      <c r="GZT53" s="198"/>
      <c r="GZU53" s="198"/>
      <c r="GZV53" s="198"/>
      <c r="GZW53" s="198"/>
      <c r="GZX53" s="198"/>
      <c r="GZY53" s="198"/>
      <c r="GZZ53" s="198"/>
      <c r="HAA53" s="198"/>
      <c r="HAB53" s="198"/>
      <c r="HAC53" s="198"/>
      <c r="HAD53" s="198"/>
      <c r="HAE53" s="198"/>
      <c r="HAF53" s="198"/>
      <c r="HAG53" s="198"/>
      <c r="HAH53" s="198"/>
      <c r="HAI53" s="198"/>
      <c r="HAJ53" s="198"/>
      <c r="HAK53" s="198"/>
      <c r="HAL53" s="198"/>
      <c r="HAM53" s="198"/>
      <c r="HAN53" s="198"/>
      <c r="HAO53" s="198"/>
      <c r="HAP53" s="198"/>
      <c r="HAQ53" s="198"/>
      <c r="HAR53" s="198"/>
      <c r="HAS53" s="198"/>
      <c r="HAT53" s="198"/>
      <c r="HAU53" s="198"/>
      <c r="HAV53" s="198"/>
      <c r="HAW53" s="198"/>
      <c r="HAX53" s="198"/>
      <c r="HAY53" s="198"/>
      <c r="HAZ53" s="198"/>
      <c r="HBA53" s="198"/>
      <c r="HBB53" s="198"/>
      <c r="HBC53" s="198"/>
      <c r="HBD53" s="198"/>
      <c r="HBE53" s="198"/>
      <c r="HBF53" s="198"/>
      <c r="HBG53" s="198"/>
      <c r="HBH53" s="198"/>
      <c r="HBI53" s="198"/>
      <c r="HBJ53" s="198"/>
      <c r="HBK53" s="198"/>
      <c r="HBL53" s="198"/>
      <c r="HBM53" s="198"/>
      <c r="HBN53" s="198"/>
      <c r="HBO53" s="198"/>
      <c r="HBP53" s="198"/>
      <c r="HBQ53" s="198"/>
      <c r="HBR53" s="198"/>
      <c r="HBS53" s="198"/>
      <c r="HBT53" s="198"/>
      <c r="HBU53" s="198"/>
      <c r="HBV53" s="198"/>
      <c r="HBW53" s="198"/>
      <c r="HBX53" s="198"/>
      <c r="HBY53" s="198"/>
      <c r="HBZ53" s="198"/>
      <c r="HCA53" s="198"/>
      <c r="HCB53" s="198"/>
      <c r="HCC53" s="198"/>
      <c r="HCD53" s="198"/>
      <c r="HCE53" s="198"/>
      <c r="HCF53" s="198"/>
      <c r="HCG53" s="198"/>
      <c r="HCH53" s="198"/>
      <c r="HCI53" s="198"/>
      <c r="HCJ53" s="198"/>
      <c r="HCK53" s="198"/>
      <c r="HCL53" s="198"/>
      <c r="HCM53" s="198"/>
      <c r="HCN53" s="198"/>
      <c r="HCO53" s="198"/>
      <c r="HCP53" s="198"/>
      <c r="HCQ53" s="198"/>
      <c r="HCR53" s="198"/>
      <c r="HCS53" s="198"/>
      <c r="HCT53" s="198"/>
      <c r="HCU53" s="198"/>
      <c r="HCV53" s="198"/>
      <c r="HCW53" s="198"/>
      <c r="HCX53" s="198"/>
      <c r="HCY53" s="198"/>
      <c r="HCZ53" s="198"/>
      <c r="HDA53" s="198"/>
      <c r="HDB53" s="198"/>
      <c r="HDC53" s="198"/>
      <c r="HDD53" s="198"/>
      <c r="HDE53" s="198"/>
      <c r="HDF53" s="198"/>
      <c r="HDG53" s="198"/>
      <c r="HDH53" s="198"/>
      <c r="HDI53" s="198"/>
      <c r="HDJ53" s="198"/>
      <c r="HDK53" s="198"/>
      <c r="HDL53" s="198"/>
      <c r="HDM53" s="198"/>
      <c r="HDN53" s="198"/>
      <c r="HDO53" s="198"/>
      <c r="HDP53" s="198"/>
      <c r="HDQ53" s="198"/>
      <c r="HDR53" s="198"/>
      <c r="HDS53" s="198"/>
      <c r="HDT53" s="198"/>
      <c r="HDU53" s="198"/>
      <c r="HDV53" s="198"/>
      <c r="HDW53" s="198"/>
      <c r="HDX53" s="198"/>
      <c r="HDY53" s="198"/>
      <c r="HDZ53" s="198"/>
      <c r="HEA53" s="198"/>
      <c r="HEB53" s="198"/>
      <c r="HEC53" s="198"/>
      <c r="HED53" s="198"/>
      <c r="HEE53" s="198"/>
      <c r="HEF53" s="198"/>
      <c r="HEG53" s="198"/>
      <c r="HEH53" s="198"/>
      <c r="HEI53" s="198"/>
      <c r="HEJ53" s="198"/>
      <c r="HEK53" s="198"/>
      <c r="HEL53" s="198"/>
      <c r="HEM53" s="198"/>
      <c r="HEN53" s="198"/>
      <c r="HEO53" s="198"/>
      <c r="HEP53" s="198"/>
      <c r="HEQ53" s="198"/>
      <c r="HER53" s="198"/>
      <c r="HES53" s="198"/>
      <c r="HET53" s="198"/>
      <c r="HEU53" s="198"/>
      <c r="HEV53" s="198"/>
      <c r="HEW53" s="198"/>
      <c r="HEX53" s="198"/>
      <c r="HEY53" s="198"/>
      <c r="HEZ53" s="198"/>
      <c r="HFA53" s="198"/>
      <c r="HFB53" s="198"/>
      <c r="HFC53" s="198"/>
      <c r="HFD53" s="198"/>
      <c r="HFE53" s="198"/>
      <c r="HFF53" s="198"/>
      <c r="HFG53" s="198"/>
      <c r="HFH53" s="198"/>
      <c r="HFI53" s="198"/>
      <c r="HFJ53" s="198"/>
      <c r="HFK53" s="198"/>
      <c r="HFL53" s="198"/>
      <c r="HFM53" s="198"/>
      <c r="HFN53" s="198"/>
      <c r="HFO53" s="198"/>
      <c r="HFP53" s="198"/>
      <c r="HFQ53" s="198"/>
      <c r="HFR53" s="198"/>
      <c r="HFS53" s="198"/>
      <c r="HFT53" s="198"/>
      <c r="HFU53" s="198"/>
      <c r="HFV53" s="198"/>
      <c r="HFW53" s="198"/>
      <c r="HFX53" s="198"/>
      <c r="HFY53" s="198"/>
      <c r="HFZ53" s="198"/>
      <c r="HGA53" s="198"/>
      <c r="HGB53" s="198"/>
      <c r="HGC53" s="198"/>
      <c r="HGD53" s="198"/>
      <c r="HGE53" s="198"/>
      <c r="HGF53" s="198"/>
      <c r="HGG53" s="198"/>
      <c r="HGH53" s="198"/>
      <c r="HGI53" s="198"/>
      <c r="HGJ53" s="198"/>
      <c r="HGK53" s="198"/>
      <c r="HGL53" s="198"/>
      <c r="HGM53" s="198"/>
      <c r="HGN53" s="198"/>
      <c r="HGO53" s="198"/>
      <c r="HGP53" s="198"/>
      <c r="HGQ53" s="198"/>
      <c r="HGR53" s="198"/>
      <c r="HGS53" s="198"/>
      <c r="HGT53" s="198"/>
      <c r="HGU53" s="198"/>
      <c r="HGV53" s="198"/>
      <c r="HGW53" s="198"/>
      <c r="HGX53" s="198"/>
      <c r="HGY53" s="198"/>
      <c r="HGZ53" s="198"/>
      <c r="HHA53" s="198"/>
      <c r="HHB53" s="198"/>
      <c r="HHC53" s="198"/>
      <c r="HHD53" s="198"/>
      <c r="HHE53" s="198"/>
      <c r="HHF53" s="198"/>
      <c r="HHG53" s="198"/>
      <c r="HHH53" s="198"/>
      <c r="HHI53" s="198"/>
      <c r="HHJ53" s="198"/>
      <c r="HHK53" s="198"/>
      <c r="HHL53" s="198"/>
      <c r="HHM53" s="198"/>
      <c r="HHN53" s="198"/>
      <c r="HHO53" s="198"/>
      <c r="HHP53" s="198"/>
      <c r="HHQ53" s="198"/>
      <c r="HHR53" s="198"/>
      <c r="HHS53" s="198"/>
      <c r="HHT53" s="198"/>
      <c r="HHU53" s="198"/>
      <c r="HHV53" s="198"/>
      <c r="HHW53" s="198"/>
      <c r="HHX53" s="198"/>
      <c r="HHY53" s="198"/>
      <c r="HHZ53" s="198"/>
      <c r="HIA53" s="198"/>
      <c r="HIB53" s="198"/>
      <c r="HIC53" s="198"/>
      <c r="HID53" s="198"/>
      <c r="HIE53" s="198"/>
      <c r="HIF53" s="198"/>
      <c r="HIG53" s="198"/>
      <c r="HIH53" s="198"/>
      <c r="HII53" s="198"/>
      <c r="HIJ53" s="198"/>
      <c r="HIK53" s="198"/>
      <c r="HIL53" s="198"/>
      <c r="HIM53" s="198"/>
      <c r="HIN53" s="198"/>
      <c r="HIO53" s="198"/>
      <c r="HIP53" s="198"/>
      <c r="HIQ53" s="198"/>
      <c r="HIR53" s="198"/>
      <c r="HIS53" s="198"/>
      <c r="HIT53" s="198"/>
      <c r="HIU53" s="198"/>
      <c r="HIV53" s="198"/>
      <c r="HIW53" s="198"/>
      <c r="HIX53" s="198"/>
      <c r="HIY53" s="198"/>
      <c r="HIZ53" s="198"/>
      <c r="HJA53" s="198"/>
      <c r="HJB53" s="198"/>
      <c r="HJC53" s="198"/>
      <c r="HJD53" s="198"/>
      <c r="HJE53" s="198"/>
      <c r="HJF53" s="198"/>
      <c r="HJG53" s="198"/>
      <c r="HJH53" s="198"/>
      <c r="HJI53" s="198"/>
      <c r="HJJ53" s="198"/>
      <c r="HJK53" s="198"/>
      <c r="HJL53" s="198"/>
      <c r="HJM53" s="198"/>
      <c r="HJN53" s="198"/>
      <c r="HJO53" s="198"/>
      <c r="HJP53" s="198"/>
      <c r="HJQ53" s="198"/>
      <c r="HJR53" s="198"/>
      <c r="HJS53" s="198"/>
      <c r="HJT53" s="198"/>
      <c r="HJU53" s="198"/>
      <c r="HJV53" s="198"/>
      <c r="HJW53" s="198"/>
      <c r="HJX53" s="198"/>
      <c r="HJY53" s="198"/>
      <c r="HJZ53" s="198"/>
      <c r="HKA53" s="198"/>
      <c r="HKB53" s="198"/>
      <c r="HKC53" s="198"/>
      <c r="HKD53" s="198"/>
      <c r="HKE53" s="198"/>
      <c r="HKF53" s="198"/>
      <c r="HKG53" s="198"/>
      <c r="HKH53" s="198"/>
      <c r="HKI53" s="198"/>
      <c r="HKJ53" s="198"/>
      <c r="HKK53" s="198"/>
      <c r="HKL53" s="198"/>
      <c r="HKM53" s="198"/>
      <c r="HKN53" s="198"/>
      <c r="HKO53" s="198"/>
      <c r="HKP53" s="198"/>
      <c r="HKQ53" s="198"/>
      <c r="HKR53" s="198"/>
      <c r="HKS53" s="198"/>
      <c r="HKT53" s="198"/>
      <c r="HKU53" s="198"/>
      <c r="HKV53" s="198"/>
      <c r="HKW53" s="198"/>
      <c r="HKX53" s="198"/>
      <c r="HKY53" s="198"/>
      <c r="HKZ53" s="198"/>
      <c r="HLA53" s="198"/>
      <c r="HLB53" s="198"/>
      <c r="HLC53" s="198"/>
      <c r="HLD53" s="198"/>
      <c r="HLE53" s="198"/>
      <c r="HLF53" s="198"/>
      <c r="HLG53" s="198"/>
      <c r="HLH53" s="198"/>
      <c r="HLI53" s="198"/>
      <c r="HLJ53" s="198"/>
      <c r="HLK53" s="198"/>
      <c r="HLL53" s="198"/>
      <c r="HLM53" s="198"/>
      <c r="HLN53" s="198"/>
      <c r="HLO53" s="198"/>
      <c r="HLP53" s="198"/>
      <c r="HLQ53" s="198"/>
      <c r="HLR53" s="198"/>
      <c r="HLS53" s="198"/>
      <c r="HLT53" s="198"/>
      <c r="HLU53" s="198"/>
      <c r="HLV53" s="198"/>
      <c r="HLW53" s="198"/>
      <c r="HLX53" s="198"/>
      <c r="HLY53" s="198"/>
      <c r="HLZ53" s="198"/>
      <c r="HMA53" s="198"/>
      <c r="HMB53" s="198"/>
      <c r="HMC53" s="198"/>
      <c r="HMD53" s="198"/>
      <c r="HME53" s="198"/>
      <c r="HMF53" s="198"/>
      <c r="HMG53" s="198"/>
      <c r="HMH53" s="198"/>
      <c r="HMI53" s="198"/>
      <c r="HMJ53" s="198"/>
      <c r="HMK53" s="198"/>
      <c r="HML53" s="198"/>
      <c r="HMM53" s="198"/>
      <c r="HMN53" s="198"/>
      <c r="HMO53" s="198"/>
      <c r="HMP53" s="198"/>
      <c r="HMQ53" s="198"/>
      <c r="HMR53" s="198"/>
      <c r="HMS53" s="198"/>
      <c r="HMT53" s="198"/>
      <c r="HMU53" s="198"/>
      <c r="HMV53" s="198"/>
      <c r="HMW53" s="198"/>
      <c r="HMX53" s="198"/>
      <c r="HMY53" s="198"/>
      <c r="HMZ53" s="198"/>
      <c r="HNA53" s="198"/>
      <c r="HNB53" s="198"/>
      <c r="HNC53" s="198"/>
      <c r="HND53" s="198"/>
      <c r="HNE53" s="198"/>
      <c r="HNF53" s="198"/>
      <c r="HNG53" s="198"/>
      <c r="HNH53" s="198"/>
      <c r="HNI53" s="198"/>
      <c r="HNJ53" s="198"/>
      <c r="HNK53" s="198"/>
      <c r="HNL53" s="198"/>
      <c r="HNM53" s="198"/>
      <c r="HNN53" s="198"/>
      <c r="HNO53" s="198"/>
      <c r="HNP53" s="198"/>
      <c r="HNQ53" s="198"/>
      <c r="HNR53" s="198"/>
      <c r="HNS53" s="198"/>
      <c r="HNT53" s="198"/>
      <c r="HNU53" s="198"/>
      <c r="HNV53" s="198"/>
      <c r="HNW53" s="198"/>
      <c r="HNX53" s="198"/>
      <c r="HNY53" s="198"/>
      <c r="HNZ53" s="198"/>
      <c r="HOA53" s="198"/>
      <c r="HOB53" s="198"/>
      <c r="HOC53" s="198"/>
      <c r="HOD53" s="198"/>
      <c r="HOE53" s="198"/>
      <c r="HOF53" s="198"/>
      <c r="HOG53" s="198"/>
      <c r="HOH53" s="198"/>
      <c r="HOI53" s="198"/>
      <c r="HOJ53" s="198"/>
      <c r="HOK53" s="198"/>
      <c r="HOL53" s="198"/>
      <c r="HOM53" s="198"/>
      <c r="HON53" s="198"/>
      <c r="HOO53" s="198"/>
      <c r="HOP53" s="198"/>
      <c r="HOQ53" s="198"/>
      <c r="HOR53" s="198"/>
      <c r="HOS53" s="198"/>
      <c r="HOT53" s="198"/>
      <c r="HOU53" s="198"/>
      <c r="HOV53" s="198"/>
      <c r="HOW53" s="198"/>
      <c r="HOX53" s="198"/>
      <c r="HOY53" s="198"/>
      <c r="HOZ53" s="198"/>
      <c r="HPA53" s="198"/>
      <c r="HPB53" s="198"/>
      <c r="HPC53" s="198"/>
      <c r="HPD53" s="198"/>
      <c r="HPE53" s="198"/>
      <c r="HPF53" s="198"/>
      <c r="HPG53" s="198"/>
      <c r="HPH53" s="198"/>
      <c r="HPI53" s="198"/>
      <c r="HPJ53" s="198"/>
      <c r="HPK53" s="198"/>
      <c r="HPL53" s="198"/>
      <c r="HPM53" s="198"/>
      <c r="HPN53" s="198"/>
      <c r="HPO53" s="198"/>
      <c r="HPP53" s="198"/>
      <c r="HPQ53" s="198"/>
      <c r="HPR53" s="198"/>
      <c r="HPS53" s="198"/>
      <c r="HPT53" s="198"/>
      <c r="HPU53" s="198"/>
      <c r="HPV53" s="198"/>
      <c r="HPW53" s="198"/>
      <c r="HPX53" s="198"/>
      <c r="HPY53" s="198"/>
      <c r="HPZ53" s="198"/>
      <c r="HQA53" s="198"/>
      <c r="HQB53" s="198"/>
      <c r="HQC53" s="198"/>
      <c r="HQD53" s="198"/>
      <c r="HQE53" s="198"/>
      <c r="HQF53" s="198"/>
      <c r="HQG53" s="198"/>
      <c r="HQH53" s="198"/>
      <c r="HQI53" s="198"/>
      <c r="HQJ53" s="198"/>
      <c r="HQK53" s="198"/>
      <c r="HQL53" s="198"/>
      <c r="HQM53" s="198"/>
      <c r="HQN53" s="198"/>
      <c r="HQO53" s="198"/>
      <c r="HQP53" s="198"/>
      <c r="HQQ53" s="198"/>
      <c r="HQR53" s="198"/>
      <c r="HQS53" s="198"/>
      <c r="HQT53" s="198"/>
      <c r="HQU53" s="198"/>
      <c r="HQV53" s="198"/>
      <c r="HQW53" s="198"/>
      <c r="HQX53" s="198"/>
      <c r="HQY53" s="198"/>
      <c r="HQZ53" s="198"/>
      <c r="HRA53" s="198"/>
      <c r="HRB53" s="198"/>
      <c r="HRC53" s="198"/>
      <c r="HRD53" s="198"/>
      <c r="HRE53" s="198"/>
      <c r="HRF53" s="198"/>
      <c r="HRG53" s="198"/>
      <c r="HRH53" s="198"/>
      <c r="HRI53" s="198"/>
      <c r="HRJ53" s="198"/>
      <c r="HRK53" s="198"/>
      <c r="HRL53" s="198"/>
      <c r="HRM53" s="198"/>
      <c r="HRN53" s="198"/>
      <c r="HRO53" s="198"/>
      <c r="HRP53" s="198"/>
      <c r="HRQ53" s="198"/>
      <c r="HRR53" s="198"/>
      <c r="HRS53" s="198"/>
      <c r="HRT53" s="198"/>
      <c r="HRU53" s="198"/>
      <c r="HRV53" s="198"/>
      <c r="HRW53" s="198"/>
      <c r="HRX53" s="198"/>
      <c r="HRY53" s="198"/>
      <c r="HRZ53" s="198"/>
      <c r="HSA53" s="198"/>
      <c r="HSB53" s="198"/>
      <c r="HSC53" s="198"/>
      <c r="HSD53" s="198"/>
      <c r="HSE53" s="198"/>
      <c r="HSF53" s="198"/>
      <c r="HSG53" s="198"/>
      <c r="HSH53" s="198"/>
      <c r="HSI53" s="198"/>
      <c r="HSJ53" s="198"/>
      <c r="HSK53" s="198"/>
      <c r="HSL53" s="198"/>
      <c r="HSM53" s="198"/>
      <c r="HSN53" s="198"/>
      <c r="HSO53" s="198"/>
      <c r="HSP53" s="198"/>
      <c r="HSQ53" s="198"/>
      <c r="HSR53" s="198"/>
      <c r="HSS53" s="198"/>
      <c r="HST53" s="198"/>
      <c r="HSU53" s="198"/>
      <c r="HSV53" s="198"/>
      <c r="HSW53" s="198"/>
      <c r="HSX53" s="198"/>
      <c r="HSY53" s="198"/>
      <c r="HSZ53" s="198"/>
      <c r="HTA53" s="198"/>
      <c r="HTB53" s="198"/>
      <c r="HTC53" s="198"/>
      <c r="HTD53" s="198"/>
      <c r="HTE53" s="198"/>
      <c r="HTF53" s="198"/>
      <c r="HTG53" s="198"/>
      <c r="HTH53" s="198"/>
      <c r="HTI53" s="198"/>
      <c r="HTJ53" s="198"/>
      <c r="HTK53" s="198"/>
      <c r="HTL53" s="198"/>
      <c r="HTM53" s="198"/>
      <c r="HTN53" s="198"/>
      <c r="HTO53" s="198"/>
      <c r="HTP53" s="198"/>
      <c r="HTQ53" s="198"/>
      <c r="HTR53" s="198"/>
      <c r="HTS53" s="198"/>
      <c r="HTT53" s="198"/>
      <c r="HTU53" s="198"/>
      <c r="HTV53" s="198"/>
      <c r="HTW53" s="198"/>
      <c r="HTX53" s="198"/>
      <c r="HTY53" s="198"/>
      <c r="HTZ53" s="198"/>
      <c r="HUA53" s="198"/>
      <c r="HUB53" s="198"/>
      <c r="HUC53" s="198"/>
      <c r="HUD53" s="198"/>
      <c r="HUE53" s="198"/>
      <c r="HUF53" s="198"/>
      <c r="HUG53" s="198"/>
      <c r="HUH53" s="198"/>
      <c r="HUI53" s="198"/>
      <c r="HUJ53" s="198"/>
      <c r="HUK53" s="198"/>
      <c r="HUL53" s="198"/>
      <c r="HUM53" s="198"/>
      <c r="HUN53" s="198"/>
      <c r="HUO53" s="198"/>
      <c r="HUP53" s="198"/>
      <c r="HUQ53" s="198"/>
      <c r="HUR53" s="198"/>
      <c r="HUS53" s="198"/>
      <c r="HUT53" s="198"/>
      <c r="HUU53" s="198"/>
      <c r="HUV53" s="198"/>
      <c r="HUW53" s="198"/>
      <c r="HUX53" s="198"/>
      <c r="HUY53" s="198"/>
      <c r="HUZ53" s="198"/>
      <c r="HVA53" s="198"/>
      <c r="HVB53" s="198"/>
      <c r="HVC53" s="198"/>
      <c r="HVD53" s="198"/>
      <c r="HVE53" s="198"/>
      <c r="HVF53" s="198"/>
      <c r="HVG53" s="198"/>
      <c r="HVH53" s="198"/>
      <c r="HVI53" s="198"/>
      <c r="HVJ53" s="198"/>
      <c r="HVK53" s="198"/>
      <c r="HVL53" s="198"/>
      <c r="HVM53" s="198"/>
      <c r="HVN53" s="198"/>
      <c r="HVO53" s="198"/>
      <c r="HVP53" s="198"/>
      <c r="HVQ53" s="198"/>
      <c r="HVR53" s="198"/>
      <c r="HVS53" s="198"/>
      <c r="HVT53" s="198"/>
      <c r="HVU53" s="198"/>
      <c r="HVV53" s="198"/>
      <c r="HVW53" s="198"/>
      <c r="HVX53" s="198"/>
      <c r="HVY53" s="198"/>
      <c r="HVZ53" s="198"/>
      <c r="HWA53" s="198"/>
      <c r="HWB53" s="198"/>
      <c r="HWC53" s="198"/>
      <c r="HWD53" s="198"/>
      <c r="HWE53" s="198"/>
      <c r="HWF53" s="198"/>
      <c r="HWG53" s="198"/>
      <c r="HWH53" s="198"/>
      <c r="HWI53" s="198"/>
      <c r="HWJ53" s="198"/>
      <c r="HWK53" s="198"/>
      <c r="HWL53" s="198"/>
      <c r="HWM53" s="198"/>
      <c r="HWN53" s="198"/>
      <c r="HWO53" s="198"/>
      <c r="HWP53" s="198"/>
      <c r="HWQ53" s="198"/>
      <c r="HWR53" s="198"/>
      <c r="HWS53" s="198"/>
      <c r="HWT53" s="198"/>
      <c r="HWU53" s="198"/>
      <c r="HWV53" s="198"/>
      <c r="HWW53" s="198"/>
      <c r="HWX53" s="198"/>
      <c r="HWY53" s="198"/>
      <c r="HWZ53" s="198"/>
      <c r="HXA53" s="198"/>
      <c r="HXB53" s="198"/>
      <c r="HXC53" s="198"/>
      <c r="HXD53" s="198"/>
      <c r="HXE53" s="198"/>
      <c r="HXF53" s="198"/>
      <c r="HXG53" s="198"/>
      <c r="HXH53" s="198"/>
      <c r="HXI53" s="198"/>
      <c r="HXJ53" s="198"/>
      <c r="HXK53" s="198"/>
      <c r="HXL53" s="198"/>
      <c r="HXM53" s="198"/>
      <c r="HXN53" s="198"/>
      <c r="HXO53" s="198"/>
      <c r="HXP53" s="198"/>
      <c r="HXQ53" s="198"/>
      <c r="HXR53" s="198"/>
      <c r="HXS53" s="198"/>
      <c r="HXT53" s="198"/>
      <c r="HXU53" s="198"/>
      <c r="HXV53" s="198"/>
      <c r="HXW53" s="198"/>
      <c r="HXX53" s="198"/>
      <c r="HXY53" s="198"/>
      <c r="HXZ53" s="198"/>
      <c r="HYA53" s="198"/>
      <c r="HYB53" s="198"/>
      <c r="HYC53" s="198"/>
      <c r="HYD53" s="198"/>
      <c r="HYE53" s="198"/>
      <c r="HYF53" s="198"/>
      <c r="HYG53" s="198"/>
      <c r="HYH53" s="198"/>
      <c r="HYI53" s="198"/>
      <c r="HYJ53" s="198"/>
      <c r="HYK53" s="198"/>
      <c r="HYL53" s="198"/>
      <c r="HYM53" s="198"/>
      <c r="HYN53" s="198"/>
      <c r="HYO53" s="198"/>
      <c r="HYP53" s="198"/>
      <c r="HYQ53" s="198"/>
      <c r="HYR53" s="198"/>
      <c r="HYS53" s="198"/>
      <c r="HYT53" s="198"/>
      <c r="HYU53" s="198"/>
      <c r="HYV53" s="198"/>
      <c r="HYW53" s="198"/>
      <c r="HYX53" s="198"/>
      <c r="HYY53" s="198"/>
      <c r="HYZ53" s="198"/>
      <c r="HZA53" s="198"/>
      <c r="HZB53" s="198"/>
      <c r="HZC53" s="198"/>
      <c r="HZD53" s="198"/>
      <c r="HZE53" s="198"/>
      <c r="HZF53" s="198"/>
      <c r="HZG53" s="198"/>
      <c r="HZH53" s="198"/>
      <c r="HZI53" s="198"/>
      <c r="HZJ53" s="198"/>
      <c r="HZK53" s="198"/>
      <c r="HZL53" s="198"/>
      <c r="HZM53" s="198"/>
      <c r="HZN53" s="198"/>
      <c r="HZO53" s="198"/>
      <c r="HZP53" s="198"/>
      <c r="HZQ53" s="198"/>
      <c r="HZR53" s="198"/>
      <c r="HZS53" s="198"/>
      <c r="HZT53" s="198"/>
      <c r="HZU53" s="198"/>
      <c r="HZV53" s="198"/>
      <c r="HZW53" s="198"/>
      <c r="HZX53" s="198"/>
      <c r="HZY53" s="198"/>
      <c r="HZZ53" s="198"/>
      <c r="IAA53" s="198"/>
      <c r="IAB53" s="198"/>
      <c r="IAC53" s="198"/>
      <c r="IAD53" s="198"/>
      <c r="IAE53" s="198"/>
      <c r="IAF53" s="198"/>
      <c r="IAG53" s="198"/>
      <c r="IAH53" s="198"/>
      <c r="IAI53" s="198"/>
      <c r="IAJ53" s="198"/>
      <c r="IAK53" s="198"/>
      <c r="IAL53" s="198"/>
      <c r="IAM53" s="198"/>
      <c r="IAN53" s="198"/>
      <c r="IAO53" s="198"/>
      <c r="IAP53" s="198"/>
      <c r="IAQ53" s="198"/>
      <c r="IAR53" s="198"/>
      <c r="IAS53" s="198"/>
      <c r="IAT53" s="198"/>
      <c r="IAU53" s="198"/>
      <c r="IAV53" s="198"/>
      <c r="IAW53" s="198"/>
      <c r="IAX53" s="198"/>
      <c r="IAY53" s="198"/>
      <c r="IAZ53" s="198"/>
      <c r="IBA53" s="198"/>
      <c r="IBB53" s="198"/>
      <c r="IBC53" s="198"/>
      <c r="IBD53" s="198"/>
      <c r="IBE53" s="198"/>
      <c r="IBF53" s="198"/>
      <c r="IBG53" s="198"/>
      <c r="IBH53" s="198"/>
      <c r="IBI53" s="198"/>
      <c r="IBJ53" s="198"/>
      <c r="IBK53" s="198"/>
      <c r="IBL53" s="198"/>
      <c r="IBM53" s="198"/>
      <c r="IBN53" s="198"/>
      <c r="IBO53" s="198"/>
      <c r="IBP53" s="198"/>
      <c r="IBQ53" s="198"/>
      <c r="IBR53" s="198"/>
      <c r="IBS53" s="198"/>
      <c r="IBT53" s="198"/>
      <c r="IBU53" s="198"/>
      <c r="IBV53" s="198"/>
      <c r="IBW53" s="198"/>
      <c r="IBX53" s="198"/>
      <c r="IBY53" s="198"/>
      <c r="IBZ53" s="198"/>
      <c r="ICA53" s="198"/>
      <c r="ICB53" s="198"/>
      <c r="ICC53" s="198"/>
      <c r="ICD53" s="198"/>
      <c r="ICE53" s="198"/>
      <c r="ICF53" s="198"/>
      <c r="ICG53" s="198"/>
      <c r="ICH53" s="198"/>
      <c r="ICI53" s="198"/>
      <c r="ICJ53" s="198"/>
      <c r="ICK53" s="198"/>
      <c r="ICL53" s="198"/>
      <c r="ICM53" s="198"/>
      <c r="ICN53" s="198"/>
      <c r="ICO53" s="198"/>
      <c r="ICP53" s="198"/>
      <c r="ICQ53" s="198"/>
      <c r="ICR53" s="198"/>
      <c r="ICS53" s="198"/>
      <c r="ICT53" s="198"/>
      <c r="ICU53" s="198"/>
      <c r="ICV53" s="198"/>
      <c r="ICW53" s="198"/>
      <c r="ICX53" s="198"/>
      <c r="ICY53" s="198"/>
      <c r="ICZ53" s="198"/>
      <c r="IDA53" s="198"/>
      <c r="IDB53" s="198"/>
      <c r="IDC53" s="198"/>
      <c r="IDD53" s="198"/>
      <c r="IDE53" s="198"/>
      <c r="IDF53" s="198"/>
      <c r="IDG53" s="198"/>
      <c r="IDH53" s="198"/>
      <c r="IDI53" s="198"/>
      <c r="IDJ53" s="198"/>
      <c r="IDK53" s="198"/>
      <c r="IDL53" s="198"/>
      <c r="IDM53" s="198"/>
      <c r="IDN53" s="198"/>
      <c r="IDO53" s="198"/>
      <c r="IDP53" s="198"/>
      <c r="IDQ53" s="198"/>
      <c r="IDR53" s="198"/>
      <c r="IDS53" s="198"/>
      <c r="IDT53" s="198"/>
      <c r="IDU53" s="198"/>
      <c r="IDV53" s="198"/>
      <c r="IDW53" s="198"/>
      <c r="IDX53" s="198"/>
      <c r="IDY53" s="198"/>
      <c r="IDZ53" s="198"/>
      <c r="IEA53" s="198"/>
      <c r="IEB53" s="198"/>
      <c r="IEC53" s="198"/>
      <c r="IED53" s="198"/>
      <c r="IEE53" s="198"/>
      <c r="IEF53" s="198"/>
      <c r="IEG53" s="198"/>
      <c r="IEH53" s="198"/>
      <c r="IEI53" s="198"/>
      <c r="IEJ53" s="198"/>
      <c r="IEK53" s="198"/>
      <c r="IEL53" s="198"/>
      <c r="IEM53" s="198"/>
      <c r="IEN53" s="198"/>
      <c r="IEO53" s="198"/>
      <c r="IEP53" s="198"/>
      <c r="IEQ53" s="198"/>
      <c r="IER53" s="198"/>
      <c r="IES53" s="198"/>
      <c r="IET53" s="198"/>
      <c r="IEU53" s="198"/>
      <c r="IEV53" s="198"/>
      <c r="IEW53" s="198"/>
      <c r="IEX53" s="198"/>
      <c r="IEY53" s="198"/>
      <c r="IEZ53" s="198"/>
      <c r="IFA53" s="198"/>
      <c r="IFB53" s="198"/>
      <c r="IFC53" s="198"/>
      <c r="IFD53" s="198"/>
      <c r="IFE53" s="198"/>
      <c r="IFF53" s="198"/>
      <c r="IFG53" s="198"/>
      <c r="IFH53" s="198"/>
      <c r="IFI53" s="198"/>
      <c r="IFJ53" s="198"/>
      <c r="IFK53" s="198"/>
      <c r="IFL53" s="198"/>
      <c r="IFM53" s="198"/>
      <c r="IFN53" s="198"/>
      <c r="IFO53" s="198"/>
      <c r="IFP53" s="198"/>
      <c r="IFQ53" s="198"/>
      <c r="IFR53" s="198"/>
      <c r="IFS53" s="198"/>
      <c r="IFT53" s="198"/>
      <c r="IFU53" s="198"/>
      <c r="IFV53" s="198"/>
      <c r="IFW53" s="198"/>
      <c r="IFX53" s="198"/>
      <c r="IFY53" s="198"/>
      <c r="IFZ53" s="198"/>
      <c r="IGA53" s="198"/>
      <c r="IGB53" s="198"/>
      <c r="IGC53" s="198"/>
      <c r="IGD53" s="198"/>
      <c r="IGE53" s="198"/>
      <c r="IGF53" s="198"/>
      <c r="IGG53" s="198"/>
      <c r="IGH53" s="198"/>
      <c r="IGI53" s="198"/>
      <c r="IGJ53" s="198"/>
      <c r="IGK53" s="198"/>
      <c r="IGL53" s="198"/>
      <c r="IGM53" s="198"/>
      <c r="IGN53" s="198"/>
      <c r="IGO53" s="198"/>
      <c r="IGP53" s="198"/>
      <c r="IGQ53" s="198"/>
      <c r="IGR53" s="198"/>
      <c r="IGS53" s="198"/>
      <c r="IGT53" s="198"/>
      <c r="IGU53" s="198"/>
      <c r="IGV53" s="198"/>
      <c r="IGW53" s="198"/>
      <c r="IGX53" s="198"/>
      <c r="IGY53" s="198"/>
      <c r="IGZ53" s="198"/>
      <c r="IHA53" s="198"/>
      <c r="IHB53" s="198"/>
      <c r="IHC53" s="198"/>
      <c r="IHD53" s="198"/>
      <c r="IHE53" s="198"/>
      <c r="IHF53" s="198"/>
      <c r="IHG53" s="198"/>
      <c r="IHH53" s="198"/>
      <c r="IHI53" s="198"/>
      <c r="IHJ53" s="198"/>
      <c r="IHK53" s="198"/>
      <c r="IHL53" s="198"/>
      <c r="IHM53" s="198"/>
      <c r="IHN53" s="198"/>
      <c r="IHO53" s="198"/>
      <c r="IHP53" s="198"/>
      <c r="IHQ53" s="198"/>
      <c r="IHR53" s="198"/>
      <c r="IHS53" s="198"/>
      <c r="IHT53" s="198"/>
      <c r="IHU53" s="198"/>
      <c r="IHV53" s="198"/>
      <c r="IHW53" s="198"/>
      <c r="IHX53" s="198"/>
      <c r="IHY53" s="198"/>
      <c r="IHZ53" s="198"/>
      <c r="IIA53" s="198"/>
      <c r="IIB53" s="198"/>
      <c r="IIC53" s="198"/>
      <c r="IID53" s="198"/>
      <c r="IIE53" s="198"/>
      <c r="IIF53" s="198"/>
      <c r="IIG53" s="198"/>
      <c r="IIH53" s="198"/>
      <c r="III53" s="198"/>
      <c r="IIJ53" s="198"/>
      <c r="IIK53" s="198"/>
      <c r="IIL53" s="198"/>
      <c r="IIM53" s="198"/>
      <c r="IIN53" s="198"/>
      <c r="IIO53" s="198"/>
      <c r="IIP53" s="198"/>
      <c r="IIQ53" s="198"/>
      <c r="IIR53" s="198"/>
      <c r="IIS53" s="198"/>
      <c r="IIT53" s="198"/>
      <c r="IIU53" s="198"/>
      <c r="IIV53" s="198"/>
      <c r="IIW53" s="198"/>
      <c r="IIX53" s="198"/>
      <c r="IIY53" s="198"/>
      <c r="IIZ53" s="198"/>
      <c r="IJA53" s="198"/>
      <c r="IJB53" s="198"/>
      <c r="IJC53" s="198"/>
      <c r="IJD53" s="198"/>
      <c r="IJE53" s="198"/>
      <c r="IJF53" s="198"/>
      <c r="IJG53" s="198"/>
      <c r="IJH53" s="198"/>
      <c r="IJI53" s="198"/>
      <c r="IJJ53" s="198"/>
      <c r="IJK53" s="198"/>
      <c r="IJL53" s="198"/>
      <c r="IJM53" s="198"/>
      <c r="IJN53" s="198"/>
      <c r="IJO53" s="198"/>
      <c r="IJP53" s="198"/>
      <c r="IJQ53" s="198"/>
      <c r="IJR53" s="198"/>
      <c r="IJS53" s="198"/>
      <c r="IJT53" s="198"/>
      <c r="IJU53" s="198"/>
      <c r="IJV53" s="198"/>
      <c r="IJW53" s="198"/>
      <c r="IJX53" s="198"/>
      <c r="IJY53" s="198"/>
      <c r="IJZ53" s="198"/>
      <c r="IKA53" s="198"/>
      <c r="IKB53" s="198"/>
      <c r="IKC53" s="198"/>
      <c r="IKD53" s="198"/>
      <c r="IKE53" s="198"/>
      <c r="IKF53" s="198"/>
      <c r="IKG53" s="198"/>
      <c r="IKH53" s="198"/>
      <c r="IKI53" s="198"/>
      <c r="IKJ53" s="198"/>
      <c r="IKK53" s="198"/>
      <c r="IKL53" s="198"/>
      <c r="IKM53" s="198"/>
      <c r="IKN53" s="198"/>
      <c r="IKO53" s="198"/>
      <c r="IKP53" s="198"/>
      <c r="IKQ53" s="198"/>
      <c r="IKR53" s="198"/>
      <c r="IKS53" s="198"/>
      <c r="IKT53" s="198"/>
      <c r="IKU53" s="198"/>
      <c r="IKV53" s="198"/>
      <c r="IKW53" s="198"/>
      <c r="IKX53" s="198"/>
      <c r="IKY53" s="198"/>
      <c r="IKZ53" s="198"/>
      <c r="ILA53" s="198"/>
      <c r="ILB53" s="198"/>
      <c r="ILC53" s="198"/>
      <c r="ILD53" s="198"/>
      <c r="ILE53" s="198"/>
      <c r="ILF53" s="198"/>
      <c r="ILG53" s="198"/>
      <c r="ILH53" s="198"/>
      <c r="ILI53" s="198"/>
      <c r="ILJ53" s="198"/>
      <c r="ILK53" s="198"/>
      <c r="ILL53" s="198"/>
      <c r="ILM53" s="198"/>
      <c r="ILN53" s="198"/>
      <c r="ILO53" s="198"/>
      <c r="ILP53" s="198"/>
      <c r="ILQ53" s="198"/>
      <c r="ILR53" s="198"/>
      <c r="ILS53" s="198"/>
      <c r="ILT53" s="198"/>
      <c r="ILU53" s="198"/>
      <c r="ILV53" s="198"/>
      <c r="ILW53" s="198"/>
      <c r="ILX53" s="198"/>
      <c r="ILY53" s="198"/>
      <c r="ILZ53" s="198"/>
      <c r="IMA53" s="198"/>
      <c r="IMB53" s="198"/>
      <c r="IMC53" s="198"/>
      <c r="IMD53" s="198"/>
      <c r="IME53" s="198"/>
      <c r="IMF53" s="198"/>
      <c r="IMG53" s="198"/>
      <c r="IMH53" s="198"/>
      <c r="IMI53" s="198"/>
      <c r="IMJ53" s="198"/>
      <c r="IMK53" s="198"/>
      <c r="IML53" s="198"/>
      <c r="IMM53" s="198"/>
      <c r="IMN53" s="198"/>
      <c r="IMO53" s="198"/>
      <c r="IMP53" s="198"/>
      <c r="IMQ53" s="198"/>
      <c r="IMR53" s="198"/>
      <c r="IMS53" s="198"/>
      <c r="IMT53" s="198"/>
      <c r="IMU53" s="198"/>
      <c r="IMV53" s="198"/>
      <c r="IMW53" s="198"/>
      <c r="IMX53" s="198"/>
      <c r="IMY53" s="198"/>
      <c r="IMZ53" s="198"/>
      <c r="INA53" s="198"/>
      <c r="INB53" s="198"/>
      <c r="INC53" s="198"/>
      <c r="IND53" s="198"/>
      <c r="INE53" s="198"/>
      <c r="INF53" s="198"/>
      <c r="ING53" s="198"/>
      <c r="INH53" s="198"/>
      <c r="INI53" s="198"/>
      <c r="INJ53" s="198"/>
      <c r="INK53" s="198"/>
      <c r="INL53" s="198"/>
      <c r="INM53" s="198"/>
      <c r="INN53" s="198"/>
      <c r="INO53" s="198"/>
      <c r="INP53" s="198"/>
      <c r="INQ53" s="198"/>
      <c r="INR53" s="198"/>
      <c r="INS53" s="198"/>
      <c r="INT53" s="198"/>
      <c r="INU53" s="198"/>
      <c r="INV53" s="198"/>
      <c r="INW53" s="198"/>
      <c r="INX53" s="198"/>
      <c r="INY53" s="198"/>
      <c r="INZ53" s="198"/>
      <c r="IOA53" s="198"/>
      <c r="IOB53" s="198"/>
      <c r="IOC53" s="198"/>
      <c r="IOD53" s="198"/>
      <c r="IOE53" s="198"/>
      <c r="IOF53" s="198"/>
      <c r="IOG53" s="198"/>
      <c r="IOH53" s="198"/>
      <c r="IOI53" s="198"/>
      <c r="IOJ53" s="198"/>
      <c r="IOK53" s="198"/>
      <c r="IOL53" s="198"/>
      <c r="IOM53" s="198"/>
      <c r="ION53" s="198"/>
      <c r="IOO53" s="198"/>
      <c r="IOP53" s="198"/>
      <c r="IOQ53" s="198"/>
      <c r="IOR53" s="198"/>
      <c r="IOS53" s="198"/>
      <c r="IOT53" s="198"/>
      <c r="IOU53" s="198"/>
      <c r="IOV53" s="198"/>
      <c r="IOW53" s="198"/>
      <c r="IOX53" s="198"/>
      <c r="IOY53" s="198"/>
      <c r="IOZ53" s="198"/>
      <c r="IPA53" s="198"/>
      <c r="IPB53" s="198"/>
      <c r="IPC53" s="198"/>
      <c r="IPD53" s="198"/>
      <c r="IPE53" s="198"/>
      <c r="IPF53" s="198"/>
      <c r="IPG53" s="198"/>
      <c r="IPH53" s="198"/>
      <c r="IPI53" s="198"/>
      <c r="IPJ53" s="198"/>
      <c r="IPK53" s="198"/>
      <c r="IPL53" s="198"/>
      <c r="IPM53" s="198"/>
      <c r="IPN53" s="198"/>
      <c r="IPO53" s="198"/>
      <c r="IPP53" s="198"/>
      <c r="IPQ53" s="198"/>
      <c r="IPR53" s="198"/>
      <c r="IPS53" s="198"/>
      <c r="IPT53" s="198"/>
      <c r="IPU53" s="198"/>
      <c r="IPV53" s="198"/>
      <c r="IPW53" s="198"/>
      <c r="IPX53" s="198"/>
      <c r="IPY53" s="198"/>
      <c r="IPZ53" s="198"/>
      <c r="IQA53" s="198"/>
      <c r="IQB53" s="198"/>
      <c r="IQC53" s="198"/>
      <c r="IQD53" s="198"/>
      <c r="IQE53" s="198"/>
      <c r="IQF53" s="198"/>
      <c r="IQG53" s="198"/>
      <c r="IQH53" s="198"/>
      <c r="IQI53" s="198"/>
      <c r="IQJ53" s="198"/>
      <c r="IQK53" s="198"/>
      <c r="IQL53" s="198"/>
      <c r="IQM53" s="198"/>
      <c r="IQN53" s="198"/>
      <c r="IQO53" s="198"/>
      <c r="IQP53" s="198"/>
      <c r="IQQ53" s="198"/>
      <c r="IQR53" s="198"/>
      <c r="IQS53" s="198"/>
      <c r="IQT53" s="198"/>
      <c r="IQU53" s="198"/>
      <c r="IQV53" s="198"/>
      <c r="IQW53" s="198"/>
      <c r="IQX53" s="198"/>
      <c r="IQY53" s="198"/>
      <c r="IQZ53" s="198"/>
      <c r="IRA53" s="198"/>
      <c r="IRB53" s="198"/>
      <c r="IRC53" s="198"/>
      <c r="IRD53" s="198"/>
      <c r="IRE53" s="198"/>
      <c r="IRF53" s="198"/>
      <c r="IRG53" s="198"/>
      <c r="IRH53" s="198"/>
      <c r="IRI53" s="198"/>
      <c r="IRJ53" s="198"/>
      <c r="IRK53" s="198"/>
      <c r="IRL53" s="198"/>
      <c r="IRM53" s="198"/>
      <c r="IRN53" s="198"/>
      <c r="IRO53" s="198"/>
      <c r="IRP53" s="198"/>
      <c r="IRQ53" s="198"/>
      <c r="IRR53" s="198"/>
      <c r="IRS53" s="198"/>
      <c r="IRT53" s="198"/>
      <c r="IRU53" s="198"/>
      <c r="IRV53" s="198"/>
      <c r="IRW53" s="198"/>
      <c r="IRX53" s="198"/>
      <c r="IRY53" s="198"/>
      <c r="IRZ53" s="198"/>
      <c r="ISA53" s="198"/>
      <c r="ISB53" s="198"/>
      <c r="ISC53" s="198"/>
      <c r="ISD53" s="198"/>
      <c r="ISE53" s="198"/>
      <c r="ISF53" s="198"/>
      <c r="ISG53" s="198"/>
      <c r="ISH53" s="198"/>
      <c r="ISI53" s="198"/>
      <c r="ISJ53" s="198"/>
      <c r="ISK53" s="198"/>
      <c r="ISL53" s="198"/>
      <c r="ISM53" s="198"/>
      <c r="ISN53" s="198"/>
      <c r="ISO53" s="198"/>
      <c r="ISP53" s="198"/>
      <c r="ISQ53" s="198"/>
      <c r="ISR53" s="198"/>
      <c r="ISS53" s="198"/>
      <c r="IST53" s="198"/>
      <c r="ISU53" s="198"/>
      <c r="ISV53" s="198"/>
      <c r="ISW53" s="198"/>
      <c r="ISX53" s="198"/>
      <c r="ISY53" s="198"/>
      <c r="ISZ53" s="198"/>
      <c r="ITA53" s="198"/>
      <c r="ITB53" s="198"/>
      <c r="ITC53" s="198"/>
      <c r="ITD53" s="198"/>
      <c r="ITE53" s="198"/>
      <c r="ITF53" s="198"/>
      <c r="ITG53" s="198"/>
      <c r="ITH53" s="198"/>
      <c r="ITI53" s="198"/>
      <c r="ITJ53" s="198"/>
      <c r="ITK53" s="198"/>
      <c r="ITL53" s="198"/>
      <c r="ITM53" s="198"/>
      <c r="ITN53" s="198"/>
      <c r="ITO53" s="198"/>
      <c r="ITP53" s="198"/>
      <c r="ITQ53" s="198"/>
      <c r="ITR53" s="198"/>
      <c r="ITS53" s="198"/>
      <c r="ITT53" s="198"/>
      <c r="ITU53" s="198"/>
      <c r="ITV53" s="198"/>
      <c r="ITW53" s="198"/>
      <c r="ITX53" s="198"/>
      <c r="ITY53" s="198"/>
      <c r="ITZ53" s="198"/>
      <c r="IUA53" s="198"/>
      <c r="IUB53" s="198"/>
      <c r="IUC53" s="198"/>
      <c r="IUD53" s="198"/>
      <c r="IUE53" s="198"/>
      <c r="IUF53" s="198"/>
      <c r="IUG53" s="198"/>
      <c r="IUH53" s="198"/>
      <c r="IUI53" s="198"/>
      <c r="IUJ53" s="198"/>
      <c r="IUK53" s="198"/>
      <c r="IUL53" s="198"/>
      <c r="IUM53" s="198"/>
      <c r="IUN53" s="198"/>
      <c r="IUO53" s="198"/>
      <c r="IUP53" s="198"/>
      <c r="IUQ53" s="198"/>
      <c r="IUR53" s="198"/>
      <c r="IUS53" s="198"/>
      <c r="IUT53" s="198"/>
      <c r="IUU53" s="198"/>
      <c r="IUV53" s="198"/>
      <c r="IUW53" s="198"/>
      <c r="IUX53" s="198"/>
      <c r="IUY53" s="198"/>
      <c r="IUZ53" s="198"/>
      <c r="IVA53" s="198"/>
      <c r="IVB53" s="198"/>
      <c r="IVC53" s="198"/>
      <c r="IVD53" s="198"/>
      <c r="IVE53" s="198"/>
      <c r="IVF53" s="198"/>
      <c r="IVG53" s="198"/>
      <c r="IVH53" s="198"/>
      <c r="IVI53" s="198"/>
      <c r="IVJ53" s="198"/>
      <c r="IVK53" s="198"/>
      <c r="IVL53" s="198"/>
      <c r="IVM53" s="198"/>
      <c r="IVN53" s="198"/>
      <c r="IVO53" s="198"/>
      <c r="IVP53" s="198"/>
      <c r="IVQ53" s="198"/>
      <c r="IVR53" s="198"/>
      <c r="IVS53" s="198"/>
      <c r="IVT53" s="198"/>
      <c r="IVU53" s="198"/>
      <c r="IVV53" s="198"/>
      <c r="IVW53" s="198"/>
      <c r="IVX53" s="198"/>
      <c r="IVY53" s="198"/>
      <c r="IVZ53" s="198"/>
      <c r="IWA53" s="198"/>
      <c r="IWB53" s="198"/>
      <c r="IWC53" s="198"/>
      <c r="IWD53" s="198"/>
      <c r="IWE53" s="198"/>
      <c r="IWF53" s="198"/>
      <c r="IWG53" s="198"/>
      <c r="IWH53" s="198"/>
      <c r="IWI53" s="198"/>
      <c r="IWJ53" s="198"/>
      <c r="IWK53" s="198"/>
      <c r="IWL53" s="198"/>
      <c r="IWM53" s="198"/>
      <c r="IWN53" s="198"/>
      <c r="IWO53" s="198"/>
      <c r="IWP53" s="198"/>
      <c r="IWQ53" s="198"/>
      <c r="IWR53" s="198"/>
      <c r="IWS53" s="198"/>
      <c r="IWT53" s="198"/>
      <c r="IWU53" s="198"/>
      <c r="IWV53" s="198"/>
      <c r="IWW53" s="198"/>
      <c r="IWX53" s="198"/>
      <c r="IWY53" s="198"/>
      <c r="IWZ53" s="198"/>
      <c r="IXA53" s="198"/>
      <c r="IXB53" s="198"/>
      <c r="IXC53" s="198"/>
      <c r="IXD53" s="198"/>
      <c r="IXE53" s="198"/>
      <c r="IXF53" s="198"/>
      <c r="IXG53" s="198"/>
      <c r="IXH53" s="198"/>
      <c r="IXI53" s="198"/>
      <c r="IXJ53" s="198"/>
      <c r="IXK53" s="198"/>
      <c r="IXL53" s="198"/>
      <c r="IXM53" s="198"/>
      <c r="IXN53" s="198"/>
      <c r="IXO53" s="198"/>
      <c r="IXP53" s="198"/>
      <c r="IXQ53" s="198"/>
      <c r="IXR53" s="198"/>
      <c r="IXS53" s="198"/>
      <c r="IXT53" s="198"/>
      <c r="IXU53" s="198"/>
      <c r="IXV53" s="198"/>
      <c r="IXW53" s="198"/>
      <c r="IXX53" s="198"/>
      <c r="IXY53" s="198"/>
      <c r="IXZ53" s="198"/>
      <c r="IYA53" s="198"/>
      <c r="IYB53" s="198"/>
      <c r="IYC53" s="198"/>
      <c r="IYD53" s="198"/>
      <c r="IYE53" s="198"/>
      <c r="IYF53" s="198"/>
      <c r="IYG53" s="198"/>
      <c r="IYH53" s="198"/>
      <c r="IYI53" s="198"/>
      <c r="IYJ53" s="198"/>
      <c r="IYK53" s="198"/>
      <c r="IYL53" s="198"/>
      <c r="IYM53" s="198"/>
      <c r="IYN53" s="198"/>
      <c r="IYO53" s="198"/>
      <c r="IYP53" s="198"/>
      <c r="IYQ53" s="198"/>
      <c r="IYR53" s="198"/>
      <c r="IYS53" s="198"/>
      <c r="IYT53" s="198"/>
      <c r="IYU53" s="198"/>
      <c r="IYV53" s="198"/>
      <c r="IYW53" s="198"/>
      <c r="IYX53" s="198"/>
      <c r="IYY53" s="198"/>
      <c r="IYZ53" s="198"/>
      <c r="IZA53" s="198"/>
      <c r="IZB53" s="198"/>
      <c r="IZC53" s="198"/>
      <c r="IZD53" s="198"/>
      <c r="IZE53" s="198"/>
      <c r="IZF53" s="198"/>
      <c r="IZG53" s="198"/>
      <c r="IZH53" s="198"/>
      <c r="IZI53" s="198"/>
      <c r="IZJ53" s="198"/>
      <c r="IZK53" s="198"/>
      <c r="IZL53" s="198"/>
      <c r="IZM53" s="198"/>
      <c r="IZN53" s="198"/>
      <c r="IZO53" s="198"/>
      <c r="IZP53" s="198"/>
      <c r="IZQ53" s="198"/>
      <c r="IZR53" s="198"/>
      <c r="IZS53" s="198"/>
      <c r="IZT53" s="198"/>
      <c r="IZU53" s="198"/>
      <c r="IZV53" s="198"/>
      <c r="IZW53" s="198"/>
      <c r="IZX53" s="198"/>
      <c r="IZY53" s="198"/>
      <c r="IZZ53" s="198"/>
      <c r="JAA53" s="198"/>
      <c r="JAB53" s="198"/>
      <c r="JAC53" s="198"/>
      <c r="JAD53" s="198"/>
      <c r="JAE53" s="198"/>
      <c r="JAF53" s="198"/>
      <c r="JAG53" s="198"/>
      <c r="JAH53" s="198"/>
      <c r="JAI53" s="198"/>
      <c r="JAJ53" s="198"/>
      <c r="JAK53" s="198"/>
      <c r="JAL53" s="198"/>
      <c r="JAM53" s="198"/>
      <c r="JAN53" s="198"/>
      <c r="JAO53" s="198"/>
      <c r="JAP53" s="198"/>
      <c r="JAQ53" s="198"/>
      <c r="JAR53" s="198"/>
      <c r="JAS53" s="198"/>
      <c r="JAT53" s="198"/>
      <c r="JAU53" s="198"/>
      <c r="JAV53" s="198"/>
      <c r="JAW53" s="198"/>
      <c r="JAX53" s="198"/>
      <c r="JAY53" s="198"/>
      <c r="JAZ53" s="198"/>
      <c r="JBA53" s="198"/>
      <c r="JBB53" s="198"/>
      <c r="JBC53" s="198"/>
      <c r="JBD53" s="198"/>
      <c r="JBE53" s="198"/>
      <c r="JBF53" s="198"/>
      <c r="JBG53" s="198"/>
      <c r="JBH53" s="198"/>
      <c r="JBI53" s="198"/>
      <c r="JBJ53" s="198"/>
      <c r="JBK53" s="198"/>
      <c r="JBL53" s="198"/>
      <c r="JBM53" s="198"/>
      <c r="JBN53" s="198"/>
      <c r="JBO53" s="198"/>
      <c r="JBP53" s="198"/>
      <c r="JBQ53" s="198"/>
      <c r="JBR53" s="198"/>
      <c r="JBS53" s="198"/>
      <c r="JBT53" s="198"/>
      <c r="JBU53" s="198"/>
      <c r="JBV53" s="198"/>
      <c r="JBW53" s="198"/>
      <c r="JBX53" s="198"/>
      <c r="JBY53" s="198"/>
      <c r="JBZ53" s="198"/>
      <c r="JCA53" s="198"/>
      <c r="JCB53" s="198"/>
      <c r="JCC53" s="198"/>
      <c r="JCD53" s="198"/>
      <c r="JCE53" s="198"/>
      <c r="JCF53" s="198"/>
      <c r="JCG53" s="198"/>
      <c r="JCH53" s="198"/>
      <c r="JCI53" s="198"/>
      <c r="JCJ53" s="198"/>
      <c r="JCK53" s="198"/>
      <c r="JCL53" s="198"/>
      <c r="JCM53" s="198"/>
      <c r="JCN53" s="198"/>
      <c r="JCO53" s="198"/>
      <c r="JCP53" s="198"/>
      <c r="JCQ53" s="198"/>
      <c r="JCR53" s="198"/>
      <c r="JCS53" s="198"/>
      <c r="JCT53" s="198"/>
      <c r="JCU53" s="198"/>
      <c r="JCV53" s="198"/>
      <c r="JCW53" s="198"/>
      <c r="JCX53" s="198"/>
      <c r="JCY53" s="198"/>
      <c r="JCZ53" s="198"/>
      <c r="JDA53" s="198"/>
      <c r="JDB53" s="198"/>
      <c r="JDC53" s="198"/>
      <c r="JDD53" s="198"/>
      <c r="JDE53" s="198"/>
      <c r="JDF53" s="198"/>
      <c r="JDG53" s="198"/>
      <c r="JDH53" s="198"/>
      <c r="JDI53" s="198"/>
      <c r="JDJ53" s="198"/>
      <c r="JDK53" s="198"/>
      <c r="JDL53" s="198"/>
      <c r="JDM53" s="198"/>
      <c r="JDN53" s="198"/>
      <c r="JDO53" s="198"/>
      <c r="JDP53" s="198"/>
      <c r="JDQ53" s="198"/>
      <c r="JDR53" s="198"/>
      <c r="JDS53" s="198"/>
      <c r="JDT53" s="198"/>
      <c r="JDU53" s="198"/>
      <c r="JDV53" s="198"/>
      <c r="JDW53" s="198"/>
      <c r="JDX53" s="198"/>
      <c r="JDY53" s="198"/>
      <c r="JDZ53" s="198"/>
      <c r="JEA53" s="198"/>
      <c r="JEB53" s="198"/>
      <c r="JEC53" s="198"/>
      <c r="JED53" s="198"/>
      <c r="JEE53" s="198"/>
      <c r="JEF53" s="198"/>
      <c r="JEG53" s="198"/>
      <c r="JEH53" s="198"/>
      <c r="JEI53" s="198"/>
      <c r="JEJ53" s="198"/>
      <c r="JEK53" s="198"/>
      <c r="JEL53" s="198"/>
      <c r="JEM53" s="198"/>
      <c r="JEN53" s="198"/>
      <c r="JEO53" s="198"/>
      <c r="JEP53" s="198"/>
      <c r="JEQ53" s="198"/>
      <c r="JER53" s="198"/>
      <c r="JES53" s="198"/>
      <c r="JET53" s="198"/>
      <c r="JEU53" s="198"/>
      <c r="JEV53" s="198"/>
      <c r="JEW53" s="198"/>
      <c r="JEX53" s="198"/>
      <c r="JEY53" s="198"/>
      <c r="JEZ53" s="198"/>
      <c r="JFA53" s="198"/>
      <c r="JFB53" s="198"/>
      <c r="JFC53" s="198"/>
      <c r="JFD53" s="198"/>
      <c r="JFE53" s="198"/>
      <c r="JFF53" s="198"/>
      <c r="JFG53" s="198"/>
      <c r="JFH53" s="198"/>
      <c r="JFI53" s="198"/>
      <c r="JFJ53" s="198"/>
      <c r="JFK53" s="198"/>
      <c r="JFL53" s="198"/>
      <c r="JFM53" s="198"/>
      <c r="JFN53" s="198"/>
      <c r="JFO53" s="198"/>
      <c r="JFP53" s="198"/>
      <c r="JFQ53" s="198"/>
      <c r="JFR53" s="198"/>
      <c r="JFS53" s="198"/>
      <c r="JFT53" s="198"/>
      <c r="JFU53" s="198"/>
      <c r="JFV53" s="198"/>
      <c r="JFW53" s="198"/>
      <c r="JFX53" s="198"/>
      <c r="JFY53" s="198"/>
      <c r="JFZ53" s="198"/>
      <c r="JGA53" s="198"/>
      <c r="JGB53" s="198"/>
      <c r="JGC53" s="198"/>
      <c r="JGD53" s="198"/>
      <c r="JGE53" s="198"/>
      <c r="JGF53" s="198"/>
      <c r="JGG53" s="198"/>
      <c r="JGH53" s="198"/>
      <c r="JGI53" s="198"/>
      <c r="JGJ53" s="198"/>
      <c r="JGK53" s="198"/>
      <c r="JGL53" s="198"/>
      <c r="JGM53" s="198"/>
      <c r="JGN53" s="198"/>
      <c r="JGO53" s="198"/>
      <c r="JGP53" s="198"/>
      <c r="JGQ53" s="198"/>
      <c r="JGR53" s="198"/>
      <c r="JGS53" s="198"/>
      <c r="JGT53" s="198"/>
      <c r="JGU53" s="198"/>
      <c r="JGV53" s="198"/>
      <c r="JGW53" s="198"/>
      <c r="JGX53" s="198"/>
      <c r="JGY53" s="198"/>
      <c r="JGZ53" s="198"/>
      <c r="JHA53" s="198"/>
      <c r="JHB53" s="198"/>
      <c r="JHC53" s="198"/>
      <c r="JHD53" s="198"/>
      <c r="JHE53" s="198"/>
      <c r="JHF53" s="198"/>
      <c r="JHG53" s="198"/>
      <c r="JHH53" s="198"/>
      <c r="JHI53" s="198"/>
      <c r="JHJ53" s="198"/>
      <c r="JHK53" s="198"/>
      <c r="JHL53" s="198"/>
      <c r="JHM53" s="198"/>
      <c r="JHN53" s="198"/>
      <c r="JHO53" s="198"/>
      <c r="JHP53" s="198"/>
      <c r="JHQ53" s="198"/>
      <c r="JHR53" s="198"/>
      <c r="JHS53" s="198"/>
      <c r="JHT53" s="198"/>
      <c r="JHU53" s="198"/>
      <c r="JHV53" s="198"/>
      <c r="JHW53" s="198"/>
      <c r="JHX53" s="198"/>
      <c r="JHY53" s="198"/>
      <c r="JHZ53" s="198"/>
      <c r="JIA53" s="198"/>
      <c r="JIB53" s="198"/>
      <c r="JIC53" s="198"/>
      <c r="JID53" s="198"/>
      <c r="JIE53" s="198"/>
      <c r="JIF53" s="198"/>
      <c r="JIG53" s="198"/>
      <c r="JIH53" s="198"/>
      <c r="JII53" s="198"/>
      <c r="JIJ53" s="198"/>
      <c r="JIK53" s="198"/>
      <c r="JIL53" s="198"/>
      <c r="JIM53" s="198"/>
      <c r="JIN53" s="198"/>
      <c r="JIO53" s="198"/>
      <c r="JIP53" s="198"/>
      <c r="JIQ53" s="198"/>
      <c r="JIR53" s="198"/>
      <c r="JIS53" s="198"/>
      <c r="JIT53" s="198"/>
      <c r="JIU53" s="198"/>
      <c r="JIV53" s="198"/>
      <c r="JIW53" s="198"/>
      <c r="JIX53" s="198"/>
      <c r="JIY53" s="198"/>
      <c r="JIZ53" s="198"/>
      <c r="JJA53" s="198"/>
      <c r="JJB53" s="198"/>
      <c r="JJC53" s="198"/>
      <c r="JJD53" s="198"/>
      <c r="JJE53" s="198"/>
      <c r="JJF53" s="198"/>
      <c r="JJG53" s="198"/>
      <c r="JJH53" s="198"/>
      <c r="JJI53" s="198"/>
      <c r="JJJ53" s="198"/>
      <c r="JJK53" s="198"/>
      <c r="JJL53" s="198"/>
      <c r="JJM53" s="198"/>
      <c r="JJN53" s="198"/>
      <c r="JJO53" s="198"/>
      <c r="JJP53" s="198"/>
      <c r="JJQ53" s="198"/>
      <c r="JJR53" s="198"/>
      <c r="JJS53" s="198"/>
      <c r="JJT53" s="198"/>
      <c r="JJU53" s="198"/>
      <c r="JJV53" s="198"/>
      <c r="JJW53" s="198"/>
      <c r="JJX53" s="198"/>
      <c r="JJY53" s="198"/>
      <c r="JJZ53" s="198"/>
      <c r="JKA53" s="198"/>
      <c r="JKB53" s="198"/>
      <c r="JKC53" s="198"/>
      <c r="JKD53" s="198"/>
      <c r="JKE53" s="198"/>
      <c r="JKF53" s="198"/>
      <c r="JKG53" s="198"/>
      <c r="JKH53" s="198"/>
      <c r="JKI53" s="198"/>
      <c r="JKJ53" s="198"/>
      <c r="JKK53" s="198"/>
      <c r="JKL53" s="198"/>
      <c r="JKM53" s="198"/>
      <c r="JKN53" s="198"/>
      <c r="JKO53" s="198"/>
      <c r="JKP53" s="198"/>
      <c r="JKQ53" s="198"/>
      <c r="JKR53" s="198"/>
      <c r="JKS53" s="198"/>
      <c r="JKT53" s="198"/>
      <c r="JKU53" s="198"/>
      <c r="JKV53" s="198"/>
      <c r="JKW53" s="198"/>
      <c r="JKX53" s="198"/>
      <c r="JKY53" s="198"/>
      <c r="JKZ53" s="198"/>
      <c r="JLA53" s="198"/>
      <c r="JLB53" s="198"/>
      <c r="JLC53" s="198"/>
      <c r="JLD53" s="198"/>
      <c r="JLE53" s="198"/>
      <c r="JLF53" s="198"/>
      <c r="JLG53" s="198"/>
      <c r="JLH53" s="198"/>
      <c r="JLI53" s="198"/>
      <c r="JLJ53" s="198"/>
      <c r="JLK53" s="198"/>
      <c r="JLL53" s="198"/>
      <c r="JLM53" s="198"/>
      <c r="JLN53" s="198"/>
      <c r="JLO53" s="198"/>
      <c r="JLP53" s="198"/>
      <c r="JLQ53" s="198"/>
      <c r="JLR53" s="198"/>
      <c r="JLS53" s="198"/>
      <c r="JLT53" s="198"/>
      <c r="JLU53" s="198"/>
      <c r="JLV53" s="198"/>
      <c r="JLW53" s="198"/>
      <c r="JLX53" s="198"/>
      <c r="JLY53" s="198"/>
      <c r="JLZ53" s="198"/>
      <c r="JMA53" s="198"/>
      <c r="JMB53" s="198"/>
      <c r="JMC53" s="198"/>
      <c r="JMD53" s="198"/>
      <c r="JME53" s="198"/>
      <c r="JMF53" s="198"/>
      <c r="JMG53" s="198"/>
      <c r="JMH53" s="198"/>
      <c r="JMI53" s="198"/>
      <c r="JMJ53" s="198"/>
      <c r="JMK53" s="198"/>
      <c r="JML53" s="198"/>
      <c r="JMM53" s="198"/>
      <c r="JMN53" s="198"/>
      <c r="JMO53" s="198"/>
      <c r="JMP53" s="198"/>
      <c r="JMQ53" s="198"/>
      <c r="JMR53" s="198"/>
      <c r="JMS53" s="198"/>
      <c r="JMT53" s="198"/>
      <c r="JMU53" s="198"/>
      <c r="JMV53" s="198"/>
      <c r="JMW53" s="198"/>
      <c r="JMX53" s="198"/>
      <c r="JMY53" s="198"/>
      <c r="JMZ53" s="198"/>
      <c r="JNA53" s="198"/>
      <c r="JNB53" s="198"/>
      <c r="JNC53" s="198"/>
      <c r="JND53" s="198"/>
      <c r="JNE53" s="198"/>
      <c r="JNF53" s="198"/>
      <c r="JNG53" s="198"/>
      <c r="JNH53" s="198"/>
      <c r="JNI53" s="198"/>
      <c r="JNJ53" s="198"/>
      <c r="JNK53" s="198"/>
      <c r="JNL53" s="198"/>
      <c r="JNM53" s="198"/>
      <c r="JNN53" s="198"/>
      <c r="JNO53" s="198"/>
      <c r="JNP53" s="198"/>
      <c r="JNQ53" s="198"/>
      <c r="JNR53" s="198"/>
      <c r="JNS53" s="198"/>
      <c r="JNT53" s="198"/>
      <c r="JNU53" s="198"/>
      <c r="JNV53" s="198"/>
      <c r="JNW53" s="198"/>
      <c r="JNX53" s="198"/>
      <c r="JNY53" s="198"/>
      <c r="JNZ53" s="198"/>
      <c r="JOA53" s="198"/>
      <c r="JOB53" s="198"/>
      <c r="JOC53" s="198"/>
      <c r="JOD53" s="198"/>
      <c r="JOE53" s="198"/>
      <c r="JOF53" s="198"/>
      <c r="JOG53" s="198"/>
      <c r="JOH53" s="198"/>
      <c r="JOI53" s="198"/>
      <c r="JOJ53" s="198"/>
      <c r="JOK53" s="198"/>
      <c r="JOL53" s="198"/>
      <c r="JOM53" s="198"/>
      <c r="JON53" s="198"/>
      <c r="JOO53" s="198"/>
      <c r="JOP53" s="198"/>
      <c r="JOQ53" s="198"/>
      <c r="JOR53" s="198"/>
      <c r="JOS53" s="198"/>
      <c r="JOT53" s="198"/>
      <c r="JOU53" s="198"/>
      <c r="JOV53" s="198"/>
      <c r="JOW53" s="198"/>
      <c r="JOX53" s="198"/>
      <c r="JOY53" s="198"/>
      <c r="JOZ53" s="198"/>
      <c r="JPA53" s="198"/>
      <c r="JPB53" s="198"/>
      <c r="JPC53" s="198"/>
      <c r="JPD53" s="198"/>
      <c r="JPE53" s="198"/>
      <c r="JPF53" s="198"/>
      <c r="JPG53" s="198"/>
      <c r="JPH53" s="198"/>
      <c r="JPI53" s="198"/>
      <c r="JPJ53" s="198"/>
      <c r="JPK53" s="198"/>
      <c r="JPL53" s="198"/>
      <c r="JPM53" s="198"/>
      <c r="JPN53" s="198"/>
      <c r="JPO53" s="198"/>
      <c r="JPP53" s="198"/>
      <c r="JPQ53" s="198"/>
      <c r="JPR53" s="198"/>
      <c r="JPS53" s="198"/>
      <c r="JPT53" s="198"/>
      <c r="JPU53" s="198"/>
      <c r="JPV53" s="198"/>
      <c r="JPW53" s="198"/>
      <c r="JPX53" s="198"/>
      <c r="JPY53" s="198"/>
      <c r="JPZ53" s="198"/>
      <c r="JQA53" s="198"/>
      <c r="JQB53" s="198"/>
      <c r="JQC53" s="198"/>
      <c r="JQD53" s="198"/>
      <c r="JQE53" s="198"/>
      <c r="JQF53" s="198"/>
      <c r="JQG53" s="198"/>
      <c r="JQH53" s="198"/>
      <c r="JQI53" s="198"/>
      <c r="JQJ53" s="198"/>
      <c r="JQK53" s="198"/>
      <c r="JQL53" s="198"/>
      <c r="JQM53" s="198"/>
      <c r="JQN53" s="198"/>
      <c r="JQO53" s="198"/>
      <c r="JQP53" s="198"/>
      <c r="JQQ53" s="198"/>
      <c r="JQR53" s="198"/>
      <c r="JQS53" s="198"/>
      <c r="JQT53" s="198"/>
      <c r="JQU53" s="198"/>
      <c r="JQV53" s="198"/>
      <c r="JQW53" s="198"/>
      <c r="JQX53" s="198"/>
      <c r="JQY53" s="198"/>
      <c r="JQZ53" s="198"/>
      <c r="JRA53" s="198"/>
      <c r="JRB53" s="198"/>
      <c r="JRC53" s="198"/>
      <c r="JRD53" s="198"/>
      <c r="JRE53" s="198"/>
      <c r="JRF53" s="198"/>
      <c r="JRG53" s="198"/>
      <c r="JRH53" s="198"/>
      <c r="JRI53" s="198"/>
      <c r="JRJ53" s="198"/>
      <c r="JRK53" s="198"/>
      <c r="JRL53" s="198"/>
      <c r="JRM53" s="198"/>
      <c r="JRN53" s="198"/>
      <c r="JRO53" s="198"/>
      <c r="JRP53" s="198"/>
      <c r="JRQ53" s="198"/>
      <c r="JRR53" s="198"/>
      <c r="JRS53" s="198"/>
      <c r="JRT53" s="198"/>
      <c r="JRU53" s="198"/>
      <c r="JRV53" s="198"/>
      <c r="JRW53" s="198"/>
      <c r="JRX53" s="198"/>
      <c r="JRY53" s="198"/>
      <c r="JRZ53" s="198"/>
      <c r="JSA53" s="198"/>
      <c r="JSB53" s="198"/>
      <c r="JSC53" s="198"/>
      <c r="JSD53" s="198"/>
      <c r="JSE53" s="198"/>
      <c r="JSF53" s="198"/>
      <c r="JSG53" s="198"/>
      <c r="JSH53" s="198"/>
      <c r="JSI53" s="198"/>
      <c r="JSJ53" s="198"/>
      <c r="JSK53" s="198"/>
      <c r="JSL53" s="198"/>
      <c r="JSM53" s="198"/>
      <c r="JSN53" s="198"/>
      <c r="JSO53" s="198"/>
      <c r="JSP53" s="198"/>
      <c r="JSQ53" s="198"/>
      <c r="JSR53" s="198"/>
      <c r="JSS53" s="198"/>
      <c r="JST53" s="198"/>
      <c r="JSU53" s="198"/>
      <c r="JSV53" s="198"/>
      <c r="JSW53" s="198"/>
      <c r="JSX53" s="198"/>
      <c r="JSY53" s="198"/>
      <c r="JSZ53" s="198"/>
      <c r="JTA53" s="198"/>
      <c r="JTB53" s="198"/>
      <c r="JTC53" s="198"/>
      <c r="JTD53" s="198"/>
      <c r="JTE53" s="198"/>
      <c r="JTF53" s="198"/>
      <c r="JTG53" s="198"/>
      <c r="JTH53" s="198"/>
      <c r="JTI53" s="198"/>
      <c r="JTJ53" s="198"/>
      <c r="JTK53" s="198"/>
      <c r="JTL53" s="198"/>
      <c r="JTM53" s="198"/>
      <c r="JTN53" s="198"/>
      <c r="JTO53" s="198"/>
      <c r="JTP53" s="198"/>
      <c r="JTQ53" s="198"/>
      <c r="JTR53" s="198"/>
      <c r="JTS53" s="198"/>
      <c r="JTT53" s="198"/>
      <c r="JTU53" s="198"/>
      <c r="JTV53" s="198"/>
      <c r="JTW53" s="198"/>
      <c r="JTX53" s="198"/>
      <c r="JTY53" s="198"/>
      <c r="JTZ53" s="198"/>
      <c r="JUA53" s="198"/>
      <c r="JUB53" s="198"/>
      <c r="JUC53" s="198"/>
      <c r="JUD53" s="198"/>
      <c r="JUE53" s="198"/>
      <c r="JUF53" s="198"/>
      <c r="JUG53" s="198"/>
      <c r="JUH53" s="198"/>
      <c r="JUI53" s="198"/>
      <c r="JUJ53" s="198"/>
      <c r="JUK53" s="198"/>
      <c r="JUL53" s="198"/>
      <c r="JUM53" s="198"/>
      <c r="JUN53" s="198"/>
      <c r="JUO53" s="198"/>
      <c r="JUP53" s="198"/>
      <c r="JUQ53" s="198"/>
      <c r="JUR53" s="198"/>
      <c r="JUS53" s="198"/>
      <c r="JUT53" s="198"/>
      <c r="JUU53" s="198"/>
      <c r="JUV53" s="198"/>
      <c r="JUW53" s="198"/>
      <c r="JUX53" s="198"/>
      <c r="JUY53" s="198"/>
      <c r="JUZ53" s="198"/>
      <c r="JVA53" s="198"/>
      <c r="JVB53" s="198"/>
      <c r="JVC53" s="198"/>
      <c r="JVD53" s="198"/>
      <c r="JVE53" s="198"/>
      <c r="JVF53" s="198"/>
      <c r="JVG53" s="198"/>
      <c r="JVH53" s="198"/>
      <c r="JVI53" s="198"/>
      <c r="JVJ53" s="198"/>
      <c r="JVK53" s="198"/>
      <c r="JVL53" s="198"/>
      <c r="JVM53" s="198"/>
      <c r="JVN53" s="198"/>
      <c r="JVO53" s="198"/>
      <c r="JVP53" s="198"/>
      <c r="JVQ53" s="198"/>
      <c r="JVR53" s="198"/>
      <c r="JVS53" s="198"/>
      <c r="JVT53" s="198"/>
      <c r="JVU53" s="198"/>
      <c r="JVV53" s="198"/>
      <c r="JVW53" s="198"/>
      <c r="JVX53" s="198"/>
      <c r="JVY53" s="198"/>
      <c r="JVZ53" s="198"/>
      <c r="JWA53" s="198"/>
      <c r="JWB53" s="198"/>
      <c r="JWC53" s="198"/>
      <c r="JWD53" s="198"/>
      <c r="JWE53" s="198"/>
      <c r="JWF53" s="198"/>
      <c r="JWG53" s="198"/>
      <c r="JWH53" s="198"/>
      <c r="JWI53" s="198"/>
      <c r="JWJ53" s="198"/>
      <c r="JWK53" s="198"/>
      <c r="JWL53" s="198"/>
      <c r="JWM53" s="198"/>
      <c r="JWN53" s="198"/>
      <c r="JWO53" s="198"/>
      <c r="JWP53" s="198"/>
      <c r="JWQ53" s="198"/>
      <c r="JWR53" s="198"/>
      <c r="JWS53" s="198"/>
      <c r="JWT53" s="198"/>
      <c r="JWU53" s="198"/>
      <c r="JWV53" s="198"/>
      <c r="JWW53" s="198"/>
      <c r="JWX53" s="198"/>
      <c r="JWY53" s="198"/>
      <c r="JWZ53" s="198"/>
      <c r="JXA53" s="198"/>
      <c r="JXB53" s="198"/>
      <c r="JXC53" s="198"/>
      <c r="JXD53" s="198"/>
      <c r="JXE53" s="198"/>
      <c r="JXF53" s="198"/>
      <c r="JXG53" s="198"/>
      <c r="JXH53" s="198"/>
      <c r="JXI53" s="198"/>
      <c r="JXJ53" s="198"/>
      <c r="JXK53" s="198"/>
      <c r="JXL53" s="198"/>
      <c r="JXM53" s="198"/>
      <c r="JXN53" s="198"/>
      <c r="JXO53" s="198"/>
      <c r="JXP53" s="198"/>
      <c r="JXQ53" s="198"/>
      <c r="JXR53" s="198"/>
      <c r="JXS53" s="198"/>
      <c r="JXT53" s="198"/>
      <c r="JXU53" s="198"/>
      <c r="JXV53" s="198"/>
      <c r="JXW53" s="198"/>
      <c r="JXX53" s="198"/>
      <c r="JXY53" s="198"/>
      <c r="JXZ53" s="198"/>
      <c r="JYA53" s="198"/>
      <c r="JYB53" s="198"/>
      <c r="JYC53" s="198"/>
      <c r="JYD53" s="198"/>
      <c r="JYE53" s="198"/>
      <c r="JYF53" s="198"/>
      <c r="JYG53" s="198"/>
      <c r="JYH53" s="198"/>
      <c r="JYI53" s="198"/>
      <c r="JYJ53" s="198"/>
      <c r="JYK53" s="198"/>
      <c r="JYL53" s="198"/>
      <c r="JYM53" s="198"/>
      <c r="JYN53" s="198"/>
      <c r="JYO53" s="198"/>
      <c r="JYP53" s="198"/>
      <c r="JYQ53" s="198"/>
      <c r="JYR53" s="198"/>
      <c r="JYS53" s="198"/>
      <c r="JYT53" s="198"/>
      <c r="JYU53" s="198"/>
      <c r="JYV53" s="198"/>
      <c r="JYW53" s="198"/>
      <c r="JYX53" s="198"/>
      <c r="JYY53" s="198"/>
      <c r="JYZ53" s="198"/>
      <c r="JZA53" s="198"/>
      <c r="JZB53" s="198"/>
      <c r="JZC53" s="198"/>
      <c r="JZD53" s="198"/>
      <c r="JZE53" s="198"/>
      <c r="JZF53" s="198"/>
      <c r="JZG53" s="198"/>
      <c r="JZH53" s="198"/>
      <c r="JZI53" s="198"/>
      <c r="JZJ53" s="198"/>
      <c r="JZK53" s="198"/>
      <c r="JZL53" s="198"/>
      <c r="JZM53" s="198"/>
      <c r="JZN53" s="198"/>
      <c r="JZO53" s="198"/>
      <c r="JZP53" s="198"/>
      <c r="JZQ53" s="198"/>
      <c r="JZR53" s="198"/>
      <c r="JZS53" s="198"/>
      <c r="JZT53" s="198"/>
      <c r="JZU53" s="198"/>
      <c r="JZV53" s="198"/>
      <c r="JZW53" s="198"/>
      <c r="JZX53" s="198"/>
      <c r="JZY53" s="198"/>
      <c r="JZZ53" s="198"/>
      <c r="KAA53" s="198"/>
      <c r="KAB53" s="198"/>
      <c r="KAC53" s="198"/>
      <c r="KAD53" s="198"/>
      <c r="KAE53" s="198"/>
      <c r="KAF53" s="198"/>
      <c r="KAG53" s="198"/>
      <c r="KAH53" s="198"/>
      <c r="KAI53" s="198"/>
      <c r="KAJ53" s="198"/>
      <c r="KAK53" s="198"/>
      <c r="KAL53" s="198"/>
      <c r="KAM53" s="198"/>
      <c r="KAN53" s="198"/>
      <c r="KAO53" s="198"/>
      <c r="KAP53" s="198"/>
      <c r="KAQ53" s="198"/>
      <c r="KAR53" s="198"/>
      <c r="KAS53" s="198"/>
      <c r="KAT53" s="198"/>
      <c r="KAU53" s="198"/>
      <c r="KAV53" s="198"/>
      <c r="KAW53" s="198"/>
      <c r="KAX53" s="198"/>
      <c r="KAY53" s="198"/>
      <c r="KAZ53" s="198"/>
      <c r="KBA53" s="198"/>
      <c r="KBB53" s="198"/>
      <c r="KBC53" s="198"/>
      <c r="KBD53" s="198"/>
      <c r="KBE53" s="198"/>
      <c r="KBF53" s="198"/>
      <c r="KBG53" s="198"/>
      <c r="KBH53" s="198"/>
      <c r="KBI53" s="198"/>
      <c r="KBJ53" s="198"/>
      <c r="KBK53" s="198"/>
      <c r="KBL53" s="198"/>
      <c r="KBM53" s="198"/>
      <c r="KBN53" s="198"/>
      <c r="KBO53" s="198"/>
      <c r="KBP53" s="198"/>
      <c r="KBQ53" s="198"/>
      <c r="KBR53" s="198"/>
      <c r="KBS53" s="198"/>
      <c r="KBT53" s="198"/>
      <c r="KBU53" s="198"/>
      <c r="KBV53" s="198"/>
      <c r="KBW53" s="198"/>
      <c r="KBX53" s="198"/>
      <c r="KBY53" s="198"/>
      <c r="KBZ53" s="198"/>
      <c r="KCA53" s="198"/>
      <c r="KCB53" s="198"/>
      <c r="KCC53" s="198"/>
      <c r="KCD53" s="198"/>
      <c r="KCE53" s="198"/>
      <c r="KCF53" s="198"/>
      <c r="KCG53" s="198"/>
      <c r="KCH53" s="198"/>
      <c r="KCI53" s="198"/>
      <c r="KCJ53" s="198"/>
      <c r="KCK53" s="198"/>
      <c r="KCL53" s="198"/>
      <c r="KCM53" s="198"/>
      <c r="KCN53" s="198"/>
      <c r="KCO53" s="198"/>
      <c r="KCP53" s="198"/>
      <c r="KCQ53" s="198"/>
      <c r="KCR53" s="198"/>
      <c r="KCS53" s="198"/>
      <c r="KCT53" s="198"/>
      <c r="KCU53" s="198"/>
      <c r="KCV53" s="198"/>
      <c r="KCW53" s="198"/>
      <c r="KCX53" s="198"/>
      <c r="KCY53" s="198"/>
      <c r="KCZ53" s="198"/>
      <c r="KDA53" s="198"/>
      <c r="KDB53" s="198"/>
      <c r="KDC53" s="198"/>
      <c r="KDD53" s="198"/>
      <c r="KDE53" s="198"/>
      <c r="KDF53" s="198"/>
      <c r="KDG53" s="198"/>
      <c r="KDH53" s="198"/>
      <c r="KDI53" s="198"/>
      <c r="KDJ53" s="198"/>
      <c r="KDK53" s="198"/>
      <c r="KDL53" s="198"/>
      <c r="KDM53" s="198"/>
      <c r="KDN53" s="198"/>
      <c r="KDO53" s="198"/>
      <c r="KDP53" s="198"/>
      <c r="KDQ53" s="198"/>
      <c r="KDR53" s="198"/>
      <c r="KDS53" s="198"/>
      <c r="KDT53" s="198"/>
      <c r="KDU53" s="198"/>
      <c r="KDV53" s="198"/>
      <c r="KDW53" s="198"/>
      <c r="KDX53" s="198"/>
      <c r="KDY53" s="198"/>
      <c r="KDZ53" s="198"/>
      <c r="KEA53" s="198"/>
      <c r="KEB53" s="198"/>
      <c r="KEC53" s="198"/>
      <c r="KED53" s="198"/>
      <c r="KEE53" s="198"/>
      <c r="KEF53" s="198"/>
      <c r="KEG53" s="198"/>
      <c r="KEH53" s="198"/>
      <c r="KEI53" s="198"/>
      <c r="KEJ53" s="198"/>
      <c r="KEK53" s="198"/>
      <c r="KEL53" s="198"/>
      <c r="KEM53" s="198"/>
      <c r="KEN53" s="198"/>
      <c r="KEO53" s="198"/>
      <c r="KEP53" s="198"/>
      <c r="KEQ53" s="198"/>
      <c r="KER53" s="198"/>
      <c r="KES53" s="198"/>
      <c r="KET53" s="198"/>
      <c r="KEU53" s="198"/>
      <c r="KEV53" s="198"/>
      <c r="KEW53" s="198"/>
      <c r="KEX53" s="198"/>
      <c r="KEY53" s="198"/>
      <c r="KEZ53" s="198"/>
      <c r="KFA53" s="198"/>
      <c r="KFB53" s="198"/>
      <c r="KFC53" s="198"/>
      <c r="KFD53" s="198"/>
      <c r="KFE53" s="198"/>
      <c r="KFF53" s="198"/>
      <c r="KFG53" s="198"/>
      <c r="KFH53" s="198"/>
      <c r="KFI53" s="198"/>
      <c r="KFJ53" s="198"/>
      <c r="KFK53" s="198"/>
      <c r="KFL53" s="198"/>
      <c r="KFM53" s="198"/>
      <c r="KFN53" s="198"/>
      <c r="KFO53" s="198"/>
      <c r="KFP53" s="198"/>
      <c r="KFQ53" s="198"/>
      <c r="KFR53" s="198"/>
      <c r="KFS53" s="198"/>
      <c r="KFT53" s="198"/>
      <c r="KFU53" s="198"/>
      <c r="KFV53" s="198"/>
      <c r="KFW53" s="198"/>
      <c r="KFX53" s="198"/>
      <c r="KFY53" s="198"/>
      <c r="KFZ53" s="198"/>
      <c r="KGA53" s="198"/>
      <c r="KGB53" s="198"/>
      <c r="KGC53" s="198"/>
      <c r="KGD53" s="198"/>
      <c r="KGE53" s="198"/>
      <c r="KGF53" s="198"/>
      <c r="KGG53" s="198"/>
      <c r="KGH53" s="198"/>
      <c r="KGI53" s="198"/>
      <c r="KGJ53" s="198"/>
      <c r="KGK53" s="198"/>
      <c r="KGL53" s="198"/>
      <c r="KGM53" s="198"/>
      <c r="KGN53" s="198"/>
      <c r="KGO53" s="198"/>
      <c r="KGP53" s="198"/>
      <c r="KGQ53" s="198"/>
      <c r="KGR53" s="198"/>
      <c r="KGS53" s="198"/>
      <c r="KGT53" s="198"/>
      <c r="KGU53" s="198"/>
      <c r="KGV53" s="198"/>
      <c r="KGW53" s="198"/>
      <c r="KGX53" s="198"/>
      <c r="KGY53" s="198"/>
      <c r="KGZ53" s="198"/>
      <c r="KHA53" s="198"/>
      <c r="KHB53" s="198"/>
      <c r="KHC53" s="198"/>
      <c r="KHD53" s="198"/>
      <c r="KHE53" s="198"/>
      <c r="KHF53" s="198"/>
      <c r="KHG53" s="198"/>
      <c r="KHH53" s="198"/>
      <c r="KHI53" s="198"/>
      <c r="KHJ53" s="198"/>
      <c r="KHK53" s="198"/>
      <c r="KHL53" s="198"/>
      <c r="KHM53" s="198"/>
      <c r="KHN53" s="198"/>
      <c r="KHO53" s="198"/>
      <c r="KHP53" s="198"/>
      <c r="KHQ53" s="198"/>
      <c r="KHR53" s="198"/>
      <c r="KHS53" s="198"/>
      <c r="KHT53" s="198"/>
      <c r="KHU53" s="198"/>
      <c r="KHV53" s="198"/>
      <c r="KHW53" s="198"/>
      <c r="KHX53" s="198"/>
      <c r="KHY53" s="198"/>
      <c r="KHZ53" s="198"/>
      <c r="KIA53" s="198"/>
      <c r="KIB53" s="198"/>
      <c r="KIC53" s="198"/>
      <c r="KID53" s="198"/>
      <c r="KIE53" s="198"/>
      <c r="KIF53" s="198"/>
      <c r="KIG53" s="198"/>
      <c r="KIH53" s="198"/>
      <c r="KII53" s="198"/>
      <c r="KIJ53" s="198"/>
      <c r="KIK53" s="198"/>
      <c r="KIL53" s="198"/>
      <c r="KIM53" s="198"/>
      <c r="KIN53" s="198"/>
      <c r="KIO53" s="198"/>
      <c r="KIP53" s="198"/>
      <c r="KIQ53" s="198"/>
      <c r="KIR53" s="198"/>
      <c r="KIS53" s="198"/>
      <c r="KIT53" s="198"/>
      <c r="KIU53" s="198"/>
      <c r="KIV53" s="198"/>
      <c r="KIW53" s="198"/>
      <c r="KIX53" s="198"/>
      <c r="KIY53" s="198"/>
      <c r="KIZ53" s="198"/>
      <c r="KJA53" s="198"/>
      <c r="KJB53" s="198"/>
      <c r="KJC53" s="198"/>
      <c r="KJD53" s="198"/>
      <c r="KJE53" s="198"/>
      <c r="KJF53" s="198"/>
      <c r="KJG53" s="198"/>
      <c r="KJH53" s="198"/>
      <c r="KJI53" s="198"/>
      <c r="KJJ53" s="198"/>
      <c r="KJK53" s="198"/>
      <c r="KJL53" s="198"/>
      <c r="KJM53" s="198"/>
      <c r="KJN53" s="198"/>
      <c r="KJO53" s="198"/>
      <c r="KJP53" s="198"/>
      <c r="KJQ53" s="198"/>
      <c r="KJR53" s="198"/>
      <c r="KJS53" s="198"/>
      <c r="KJT53" s="198"/>
      <c r="KJU53" s="198"/>
      <c r="KJV53" s="198"/>
      <c r="KJW53" s="198"/>
      <c r="KJX53" s="198"/>
      <c r="KJY53" s="198"/>
      <c r="KJZ53" s="198"/>
      <c r="KKA53" s="198"/>
      <c r="KKB53" s="198"/>
      <c r="KKC53" s="198"/>
      <c r="KKD53" s="198"/>
      <c r="KKE53" s="198"/>
      <c r="KKF53" s="198"/>
      <c r="KKG53" s="198"/>
      <c r="KKH53" s="198"/>
      <c r="KKI53" s="198"/>
      <c r="KKJ53" s="198"/>
      <c r="KKK53" s="198"/>
      <c r="KKL53" s="198"/>
      <c r="KKM53" s="198"/>
      <c r="KKN53" s="198"/>
      <c r="KKO53" s="198"/>
      <c r="KKP53" s="198"/>
      <c r="KKQ53" s="198"/>
      <c r="KKR53" s="198"/>
      <c r="KKS53" s="198"/>
      <c r="KKT53" s="198"/>
      <c r="KKU53" s="198"/>
      <c r="KKV53" s="198"/>
      <c r="KKW53" s="198"/>
      <c r="KKX53" s="198"/>
      <c r="KKY53" s="198"/>
      <c r="KKZ53" s="198"/>
      <c r="KLA53" s="198"/>
      <c r="KLB53" s="198"/>
      <c r="KLC53" s="198"/>
      <c r="KLD53" s="198"/>
      <c r="KLE53" s="198"/>
      <c r="KLF53" s="198"/>
      <c r="KLG53" s="198"/>
      <c r="KLH53" s="198"/>
      <c r="KLI53" s="198"/>
      <c r="KLJ53" s="198"/>
      <c r="KLK53" s="198"/>
      <c r="KLL53" s="198"/>
      <c r="KLM53" s="198"/>
      <c r="KLN53" s="198"/>
      <c r="KLO53" s="198"/>
      <c r="KLP53" s="198"/>
      <c r="KLQ53" s="198"/>
      <c r="KLR53" s="198"/>
      <c r="KLS53" s="198"/>
      <c r="KLT53" s="198"/>
      <c r="KLU53" s="198"/>
      <c r="KLV53" s="198"/>
      <c r="KLW53" s="198"/>
      <c r="KLX53" s="198"/>
      <c r="KLY53" s="198"/>
      <c r="KLZ53" s="198"/>
      <c r="KMA53" s="198"/>
      <c r="KMB53" s="198"/>
      <c r="KMC53" s="198"/>
      <c r="KMD53" s="198"/>
      <c r="KME53" s="198"/>
      <c r="KMF53" s="198"/>
      <c r="KMG53" s="198"/>
      <c r="KMH53" s="198"/>
      <c r="KMI53" s="198"/>
      <c r="KMJ53" s="198"/>
      <c r="KMK53" s="198"/>
      <c r="KML53" s="198"/>
      <c r="KMM53" s="198"/>
      <c r="KMN53" s="198"/>
      <c r="KMO53" s="198"/>
      <c r="KMP53" s="198"/>
      <c r="KMQ53" s="198"/>
      <c r="KMR53" s="198"/>
      <c r="KMS53" s="198"/>
      <c r="KMT53" s="198"/>
      <c r="KMU53" s="198"/>
      <c r="KMV53" s="198"/>
      <c r="KMW53" s="198"/>
      <c r="KMX53" s="198"/>
      <c r="KMY53" s="198"/>
      <c r="KMZ53" s="198"/>
      <c r="KNA53" s="198"/>
      <c r="KNB53" s="198"/>
      <c r="KNC53" s="198"/>
      <c r="KND53" s="198"/>
      <c r="KNE53" s="198"/>
      <c r="KNF53" s="198"/>
      <c r="KNG53" s="198"/>
      <c r="KNH53" s="198"/>
      <c r="KNI53" s="198"/>
      <c r="KNJ53" s="198"/>
      <c r="KNK53" s="198"/>
      <c r="KNL53" s="198"/>
      <c r="KNM53" s="198"/>
      <c r="KNN53" s="198"/>
      <c r="KNO53" s="198"/>
      <c r="KNP53" s="198"/>
      <c r="KNQ53" s="198"/>
      <c r="KNR53" s="198"/>
      <c r="KNS53" s="198"/>
      <c r="KNT53" s="198"/>
      <c r="KNU53" s="198"/>
      <c r="KNV53" s="198"/>
      <c r="KNW53" s="198"/>
      <c r="KNX53" s="198"/>
      <c r="KNY53" s="198"/>
      <c r="KNZ53" s="198"/>
      <c r="KOA53" s="198"/>
      <c r="KOB53" s="198"/>
      <c r="KOC53" s="198"/>
      <c r="KOD53" s="198"/>
      <c r="KOE53" s="198"/>
      <c r="KOF53" s="198"/>
      <c r="KOG53" s="198"/>
      <c r="KOH53" s="198"/>
      <c r="KOI53" s="198"/>
      <c r="KOJ53" s="198"/>
      <c r="KOK53" s="198"/>
      <c r="KOL53" s="198"/>
      <c r="KOM53" s="198"/>
      <c r="KON53" s="198"/>
      <c r="KOO53" s="198"/>
      <c r="KOP53" s="198"/>
      <c r="KOQ53" s="198"/>
      <c r="KOR53" s="198"/>
      <c r="KOS53" s="198"/>
      <c r="KOT53" s="198"/>
      <c r="KOU53" s="198"/>
      <c r="KOV53" s="198"/>
      <c r="KOW53" s="198"/>
      <c r="KOX53" s="198"/>
      <c r="KOY53" s="198"/>
      <c r="KOZ53" s="198"/>
      <c r="KPA53" s="198"/>
      <c r="KPB53" s="198"/>
      <c r="KPC53" s="198"/>
      <c r="KPD53" s="198"/>
      <c r="KPE53" s="198"/>
      <c r="KPF53" s="198"/>
      <c r="KPG53" s="198"/>
      <c r="KPH53" s="198"/>
      <c r="KPI53" s="198"/>
      <c r="KPJ53" s="198"/>
      <c r="KPK53" s="198"/>
      <c r="KPL53" s="198"/>
      <c r="KPM53" s="198"/>
      <c r="KPN53" s="198"/>
      <c r="KPO53" s="198"/>
      <c r="KPP53" s="198"/>
      <c r="KPQ53" s="198"/>
      <c r="KPR53" s="198"/>
      <c r="KPS53" s="198"/>
      <c r="KPT53" s="198"/>
      <c r="KPU53" s="198"/>
      <c r="KPV53" s="198"/>
      <c r="KPW53" s="198"/>
      <c r="KPX53" s="198"/>
      <c r="KPY53" s="198"/>
      <c r="KPZ53" s="198"/>
      <c r="KQA53" s="198"/>
      <c r="KQB53" s="198"/>
      <c r="KQC53" s="198"/>
      <c r="KQD53" s="198"/>
      <c r="KQE53" s="198"/>
      <c r="KQF53" s="198"/>
      <c r="KQG53" s="198"/>
      <c r="KQH53" s="198"/>
      <c r="KQI53" s="198"/>
      <c r="KQJ53" s="198"/>
      <c r="KQK53" s="198"/>
      <c r="KQL53" s="198"/>
      <c r="KQM53" s="198"/>
      <c r="KQN53" s="198"/>
      <c r="KQO53" s="198"/>
      <c r="KQP53" s="198"/>
      <c r="KQQ53" s="198"/>
      <c r="KQR53" s="198"/>
      <c r="KQS53" s="198"/>
      <c r="KQT53" s="198"/>
      <c r="KQU53" s="198"/>
      <c r="KQV53" s="198"/>
      <c r="KQW53" s="198"/>
      <c r="KQX53" s="198"/>
      <c r="KQY53" s="198"/>
      <c r="KQZ53" s="198"/>
      <c r="KRA53" s="198"/>
      <c r="KRB53" s="198"/>
      <c r="KRC53" s="198"/>
      <c r="KRD53" s="198"/>
      <c r="KRE53" s="198"/>
      <c r="KRF53" s="198"/>
      <c r="KRG53" s="198"/>
      <c r="KRH53" s="198"/>
      <c r="KRI53" s="198"/>
      <c r="KRJ53" s="198"/>
      <c r="KRK53" s="198"/>
      <c r="KRL53" s="198"/>
      <c r="KRM53" s="198"/>
      <c r="KRN53" s="198"/>
      <c r="KRO53" s="198"/>
      <c r="KRP53" s="198"/>
      <c r="KRQ53" s="198"/>
      <c r="KRR53" s="198"/>
      <c r="KRS53" s="198"/>
      <c r="KRT53" s="198"/>
      <c r="KRU53" s="198"/>
      <c r="KRV53" s="198"/>
      <c r="KRW53" s="198"/>
      <c r="KRX53" s="198"/>
      <c r="KRY53" s="198"/>
      <c r="KRZ53" s="198"/>
      <c r="KSA53" s="198"/>
      <c r="KSB53" s="198"/>
      <c r="KSC53" s="198"/>
      <c r="KSD53" s="198"/>
      <c r="KSE53" s="198"/>
      <c r="KSF53" s="198"/>
      <c r="KSG53" s="198"/>
      <c r="KSH53" s="198"/>
      <c r="KSI53" s="198"/>
      <c r="KSJ53" s="198"/>
      <c r="KSK53" s="198"/>
      <c r="KSL53" s="198"/>
      <c r="KSM53" s="198"/>
      <c r="KSN53" s="198"/>
      <c r="KSO53" s="198"/>
      <c r="KSP53" s="198"/>
      <c r="KSQ53" s="198"/>
      <c r="KSR53" s="198"/>
      <c r="KSS53" s="198"/>
      <c r="KST53" s="198"/>
      <c r="KSU53" s="198"/>
      <c r="KSV53" s="198"/>
      <c r="KSW53" s="198"/>
      <c r="KSX53" s="198"/>
      <c r="KSY53" s="198"/>
      <c r="KSZ53" s="198"/>
      <c r="KTA53" s="198"/>
      <c r="KTB53" s="198"/>
      <c r="KTC53" s="198"/>
      <c r="KTD53" s="198"/>
      <c r="KTE53" s="198"/>
      <c r="KTF53" s="198"/>
      <c r="KTG53" s="198"/>
      <c r="KTH53" s="198"/>
      <c r="KTI53" s="198"/>
      <c r="KTJ53" s="198"/>
      <c r="KTK53" s="198"/>
      <c r="KTL53" s="198"/>
      <c r="KTM53" s="198"/>
      <c r="KTN53" s="198"/>
      <c r="KTO53" s="198"/>
      <c r="KTP53" s="198"/>
      <c r="KTQ53" s="198"/>
      <c r="KTR53" s="198"/>
      <c r="KTS53" s="198"/>
      <c r="KTT53" s="198"/>
      <c r="KTU53" s="198"/>
      <c r="KTV53" s="198"/>
      <c r="KTW53" s="198"/>
      <c r="KTX53" s="198"/>
      <c r="KTY53" s="198"/>
      <c r="KTZ53" s="198"/>
      <c r="KUA53" s="198"/>
      <c r="KUB53" s="198"/>
      <c r="KUC53" s="198"/>
      <c r="KUD53" s="198"/>
      <c r="KUE53" s="198"/>
      <c r="KUF53" s="198"/>
      <c r="KUG53" s="198"/>
      <c r="KUH53" s="198"/>
      <c r="KUI53" s="198"/>
      <c r="KUJ53" s="198"/>
      <c r="KUK53" s="198"/>
      <c r="KUL53" s="198"/>
      <c r="KUM53" s="198"/>
      <c r="KUN53" s="198"/>
      <c r="KUO53" s="198"/>
      <c r="KUP53" s="198"/>
      <c r="KUQ53" s="198"/>
      <c r="KUR53" s="198"/>
      <c r="KUS53" s="198"/>
      <c r="KUT53" s="198"/>
      <c r="KUU53" s="198"/>
      <c r="KUV53" s="198"/>
      <c r="KUW53" s="198"/>
      <c r="KUX53" s="198"/>
      <c r="KUY53" s="198"/>
      <c r="KUZ53" s="198"/>
      <c r="KVA53" s="198"/>
      <c r="KVB53" s="198"/>
      <c r="KVC53" s="198"/>
      <c r="KVD53" s="198"/>
      <c r="KVE53" s="198"/>
      <c r="KVF53" s="198"/>
      <c r="KVG53" s="198"/>
      <c r="KVH53" s="198"/>
      <c r="KVI53" s="198"/>
      <c r="KVJ53" s="198"/>
      <c r="KVK53" s="198"/>
      <c r="KVL53" s="198"/>
      <c r="KVM53" s="198"/>
      <c r="KVN53" s="198"/>
      <c r="KVO53" s="198"/>
      <c r="KVP53" s="198"/>
      <c r="KVQ53" s="198"/>
      <c r="KVR53" s="198"/>
      <c r="KVS53" s="198"/>
      <c r="KVT53" s="198"/>
      <c r="KVU53" s="198"/>
      <c r="KVV53" s="198"/>
      <c r="KVW53" s="198"/>
      <c r="KVX53" s="198"/>
      <c r="KVY53" s="198"/>
      <c r="KVZ53" s="198"/>
      <c r="KWA53" s="198"/>
      <c r="KWB53" s="198"/>
      <c r="KWC53" s="198"/>
      <c r="KWD53" s="198"/>
      <c r="KWE53" s="198"/>
      <c r="KWF53" s="198"/>
      <c r="KWG53" s="198"/>
      <c r="KWH53" s="198"/>
      <c r="KWI53" s="198"/>
      <c r="KWJ53" s="198"/>
      <c r="KWK53" s="198"/>
      <c r="KWL53" s="198"/>
      <c r="KWM53" s="198"/>
      <c r="KWN53" s="198"/>
      <c r="KWO53" s="198"/>
      <c r="KWP53" s="198"/>
      <c r="KWQ53" s="198"/>
      <c r="KWR53" s="198"/>
      <c r="KWS53" s="198"/>
      <c r="KWT53" s="198"/>
      <c r="KWU53" s="198"/>
      <c r="KWV53" s="198"/>
      <c r="KWW53" s="198"/>
      <c r="KWX53" s="198"/>
      <c r="KWY53" s="198"/>
      <c r="KWZ53" s="198"/>
      <c r="KXA53" s="198"/>
      <c r="KXB53" s="198"/>
      <c r="KXC53" s="198"/>
      <c r="KXD53" s="198"/>
      <c r="KXE53" s="198"/>
      <c r="KXF53" s="198"/>
      <c r="KXG53" s="198"/>
      <c r="KXH53" s="198"/>
      <c r="KXI53" s="198"/>
      <c r="KXJ53" s="198"/>
      <c r="KXK53" s="198"/>
      <c r="KXL53" s="198"/>
      <c r="KXM53" s="198"/>
      <c r="KXN53" s="198"/>
      <c r="KXO53" s="198"/>
      <c r="KXP53" s="198"/>
      <c r="KXQ53" s="198"/>
      <c r="KXR53" s="198"/>
      <c r="KXS53" s="198"/>
      <c r="KXT53" s="198"/>
      <c r="KXU53" s="198"/>
      <c r="KXV53" s="198"/>
      <c r="KXW53" s="198"/>
      <c r="KXX53" s="198"/>
      <c r="KXY53" s="198"/>
      <c r="KXZ53" s="198"/>
      <c r="KYA53" s="198"/>
      <c r="KYB53" s="198"/>
      <c r="KYC53" s="198"/>
      <c r="KYD53" s="198"/>
      <c r="KYE53" s="198"/>
      <c r="KYF53" s="198"/>
      <c r="KYG53" s="198"/>
      <c r="KYH53" s="198"/>
      <c r="KYI53" s="198"/>
      <c r="KYJ53" s="198"/>
      <c r="KYK53" s="198"/>
      <c r="KYL53" s="198"/>
      <c r="KYM53" s="198"/>
      <c r="KYN53" s="198"/>
      <c r="KYO53" s="198"/>
      <c r="KYP53" s="198"/>
      <c r="KYQ53" s="198"/>
      <c r="KYR53" s="198"/>
      <c r="KYS53" s="198"/>
      <c r="KYT53" s="198"/>
      <c r="KYU53" s="198"/>
      <c r="KYV53" s="198"/>
      <c r="KYW53" s="198"/>
      <c r="KYX53" s="198"/>
      <c r="KYY53" s="198"/>
      <c r="KYZ53" s="198"/>
      <c r="KZA53" s="198"/>
      <c r="KZB53" s="198"/>
      <c r="KZC53" s="198"/>
      <c r="KZD53" s="198"/>
      <c r="KZE53" s="198"/>
      <c r="KZF53" s="198"/>
      <c r="KZG53" s="198"/>
      <c r="KZH53" s="198"/>
      <c r="KZI53" s="198"/>
      <c r="KZJ53" s="198"/>
      <c r="KZK53" s="198"/>
      <c r="KZL53" s="198"/>
      <c r="KZM53" s="198"/>
      <c r="KZN53" s="198"/>
      <c r="KZO53" s="198"/>
      <c r="KZP53" s="198"/>
      <c r="KZQ53" s="198"/>
      <c r="KZR53" s="198"/>
      <c r="KZS53" s="198"/>
      <c r="KZT53" s="198"/>
      <c r="KZU53" s="198"/>
      <c r="KZV53" s="198"/>
      <c r="KZW53" s="198"/>
      <c r="KZX53" s="198"/>
      <c r="KZY53" s="198"/>
      <c r="KZZ53" s="198"/>
      <c r="LAA53" s="198"/>
      <c r="LAB53" s="198"/>
      <c r="LAC53" s="198"/>
      <c r="LAD53" s="198"/>
      <c r="LAE53" s="198"/>
      <c r="LAF53" s="198"/>
      <c r="LAG53" s="198"/>
      <c r="LAH53" s="198"/>
      <c r="LAI53" s="198"/>
      <c r="LAJ53" s="198"/>
      <c r="LAK53" s="198"/>
      <c r="LAL53" s="198"/>
      <c r="LAM53" s="198"/>
      <c r="LAN53" s="198"/>
      <c r="LAO53" s="198"/>
      <c r="LAP53" s="198"/>
      <c r="LAQ53" s="198"/>
      <c r="LAR53" s="198"/>
      <c r="LAS53" s="198"/>
      <c r="LAT53" s="198"/>
      <c r="LAU53" s="198"/>
      <c r="LAV53" s="198"/>
      <c r="LAW53" s="198"/>
      <c r="LAX53" s="198"/>
      <c r="LAY53" s="198"/>
      <c r="LAZ53" s="198"/>
      <c r="LBA53" s="198"/>
      <c r="LBB53" s="198"/>
      <c r="LBC53" s="198"/>
      <c r="LBD53" s="198"/>
      <c r="LBE53" s="198"/>
      <c r="LBF53" s="198"/>
      <c r="LBG53" s="198"/>
      <c r="LBH53" s="198"/>
      <c r="LBI53" s="198"/>
      <c r="LBJ53" s="198"/>
      <c r="LBK53" s="198"/>
      <c r="LBL53" s="198"/>
      <c r="LBM53" s="198"/>
      <c r="LBN53" s="198"/>
      <c r="LBO53" s="198"/>
      <c r="LBP53" s="198"/>
      <c r="LBQ53" s="198"/>
      <c r="LBR53" s="198"/>
      <c r="LBS53" s="198"/>
      <c r="LBT53" s="198"/>
      <c r="LBU53" s="198"/>
      <c r="LBV53" s="198"/>
      <c r="LBW53" s="198"/>
      <c r="LBX53" s="198"/>
      <c r="LBY53" s="198"/>
      <c r="LBZ53" s="198"/>
      <c r="LCA53" s="198"/>
      <c r="LCB53" s="198"/>
      <c r="LCC53" s="198"/>
      <c r="LCD53" s="198"/>
      <c r="LCE53" s="198"/>
      <c r="LCF53" s="198"/>
      <c r="LCG53" s="198"/>
      <c r="LCH53" s="198"/>
      <c r="LCI53" s="198"/>
      <c r="LCJ53" s="198"/>
      <c r="LCK53" s="198"/>
      <c r="LCL53" s="198"/>
      <c r="LCM53" s="198"/>
      <c r="LCN53" s="198"/>
      <c r="LCO53" s="198"/>
      <c r="LCP53" s="198"/>
      <c r="LCQ53" s="198"/>
      <c r="LCR53" s="198"/>
      <c r="LCS53" s="198"/>
      <c r="LCT53" s="198"/>
      <c r="LCU53" s="198"/>
      <c r="LCV53" s="198"/>
      <c r="LCW53" s="198"/>
      <c r="LCX53" s="198"/>
      <c r="LCY53" s="198"/>
      <c r="LCZ53" s="198"/>
      <c r="LDA53" s="198"/>
      <c r="LDB53" s="198"/>
      <c r="LDC53" s="198"/>
      <c r="LDD53" s="198"/>
      <c r="LDE53" s="198"/>
      <c r="LDF53" s="198"/>
      <c r="LDG53" s="198"/>
      <c r="LDH53" s="198"/>
      <c r="LDI53" s="198"/>
      <c r="LDJ53" s="198"/>
      <c r="LDK53" s="198"/>
      <c r="LDL53" s="198"/>
      <c r="LDM53" s="198"/>
      <c r="LDN53" s="198"/>
      <c r="LDO53" s="198"/>
      <c r="LDP53" s="198"/>
      <c r="LDQ53" s="198"/>
      <c r="LDR53" s="198"/>
      <c r="LDS53" s="198"/>
      <c r="LDT53" s="198"/>
      <c r="LDU53" s="198"/>
      <c r="LDV53" s="198"/>
      <c r="LDW53" s="198"/>
      <c r="LDX53" s="198"/>
      <c r="LDY53" s="198"/>
      <c r="LDZ53" s="198"/>
      <c r="LEA53" s="198"/>
      <c r="LEB53" s="198"/>
      <c r="LEC53" s="198"/>
      <c r="LED53" s="198"/>
      <c r="LEE53" s="198"/>
      <c r="LEF53" s="198"/>
      <c r="LEG53" s="198"/>
      <c r="LEH53" s="198"/>
      <c r="LEI53" s="198"/>
      <c r="LEJ53" s="198"/>
      <c r="LEK53" s="198"/>
      <c r="LEL53" s="198"/>
      <c r="LEM53" s="198"/>
      <c r="LEN53" s="198"/>
      <c r="LEO53" s="198"/>
      <c r="LEP53" s="198"/>
      <c r="LEQ53" s="198"/>
      <c r="LER53" s="198"/>
      <c r="LES53" s="198"/>
      <c r="LET53" s="198"/>
      <c r="LEU53" s="198"/>
      <c r="LEV53" s="198"/>
      <c r="LEW53" s="198"/>
      <c r="LEX53" s="198"/>
      <c r="LEY53" s="198"/>
      <c r="LEZ53" s="198"/>
      <c r="LFA53" s="198"/>
      <c r="LFB53" s="198"/>
      <c r="LFC53" s="198"/>
      <c r="LFD53" s="198"/>
      <c r="LFE53" s="198"/>
      <c r="LFF53" s="198"/>
      <c r="LFG53" s="198"/>
      <c r="LFH53" s="198"/>
      <c r="LFI53" s="198"/>
      <c r="LFJ53" s="198"/>
      <c r="LFK53" s="198"/>
      <c r="LFL53" s="198"/>
      <c r="LFM53" s="198"/>
      <c r="LFN53" s="198"/>
      <c r="LFO53" s="198"/>
      <c r="LFP53" s="198"/>
      <c r="LFQ53" s="198"/>
      <c r="LFR53" s="198"/>
      <c r="LFS53" s="198"/>
      <c r="LFT53" s="198"/>
      <c r="LFU53" s="198"/>
      <c r="LFV53" s="198"/>
      <c r="LFW53" s="198"/>
      <c r="LFX53" s="198"/>
      <c r="LFY53" s="198"/>
      <c r="LFZ53" s="198"/>
      <c r="LGA53" s="198"/>
      <c r="LGB53" s="198"/>
      <c r="LGC53" s="198"/>
      <c r="LGD53" s="198"/>
      <c r="LGE53" s="198"/>
      <c r="LGF53" s="198"/>
      <c r="LGG53" s="198"/>
      <c r="LGH53" s="198"/>
      <c r="LGI53" s="198"/>
      <c r="LGJ53" s="198"/>
      <c r="LGK53" s="198"/>
      <c r="LGL53" s="198"/>
      <c r="LGM53" s="198"/>
      <c r="LGN53" s="198"/>
      <c r="LGO53" s="198"/>
      <c r="LGP53" s="198"/>
      <c r="LGQ53" s="198"/>
      <c r="LGR53" s="198"/>
      <c r="LGS53" s="198"/>
      <c r="LGT53" s="198"/>
      <c r="LGU53" s="198"/>
      <c r="LGV53" s="198"/>
      <c r="LGW53" s="198"/>
      <c r="LGX53" s="198"/>
      <c r="LGY53" s="198"/>
      <c r="LGZ53" s="198"/>
      <c r="LHA53" s="198"/>
      <c r="LHB53" s="198"/>
      <c r="LHC53" s="198"/>
      <c r="LHD53" s="198"/>
      <c r="LHE53" s="198"/>
      <c r="LHF53" s="198"/>
      <c r="LHG53" s="198"/>
      <c r="LHH53" s="198"/>
      <c r="LHI53" s="198"/>
      <c r="LHJ53" s="198"/>
      <c r="LHK53" s="198"/>
      <c r="LHL53" s="198"/>
      <c r="LHM53" s="198"/>
      <c r="LHN53" s="198"/>
      <c r="LHO53" s="198"/>
      <c r="LHP53" s="198"/>
      <c r="LHQ53" s="198"/>
      <c r="LHR53" s="198"/>
      <c r="LHS53" s="198"/>
      <c r="LHT53" s="198"/>
      <c r="LHU53" s="198"/>
      <c r="LHV53" s="198"/>
      <c r="LHW53" s="198"/>
      <c r="LHX53" s="198"/>
      <c r="LHY53" s="198"/>
      <c r="LHZ53" s="198"/>
      <c r="LIA53" s="198"/>
      <c r="LIB53" s="198"/>
      <c r="LIC53" s="198"/>
      <c r="LID53" s="198"/>
      <c r="LIE53" s="198"/>
      <c r="LIF53" s="198"/>
      <c r="LIG53" s="198"/>
      <c r="LIH53" s="198"/>
      <c r="LII53" s="198"/>
      <c r="LIJ53" s="198"/>
      <c r="LIK53" s="198"/>
      <c r="LIL53" s="198"/>
      <c r="LIM53" s="198"/>
      <c r="LIN53" s="198"/>
      <c r="LIO53" s="198"/>
      <c r="LIP53" s="198"/>
      <c r="LIQ53" s="198"/>
      <c r="LIR53" s="198"/>
      <c r="LIS53" s="198"/>
      <c r="LIT53" s="198"/>
      <c r="LIU53" s="198"/>
      <c r="LIV53" s="198"/>
      <c r="LIW53" s="198"/>
      <c r="LIX53" s="198"/>
      <c r="LIY53" s="198"/>
      <c r="LIZ53" s="198"/>
      <c r="LJA53" s="198"/>
      <c r="LJB53" s="198"/>
      <c r="LJC53" s="198"/>
      <c r="LJD53" s="198"/>
      <c r="LJE53" s="198"/>
      <c r="LJF53" s="198"/>
      <c r="LJG53" s="198"/>
      <c r="LJH53" s="198"/>
      <c r="LJI53" s="198"/>
      <c r="LJJ53" s="198"/>
      <c r="LJK53" s="198"/>
      <c r="LJL53" s="198"/>
      <c r="LJM53" s="198"/>
      <c r="LJN53" s="198"/>
      <c r="LJO53" s="198"/>
      <c r="LJP53" s="198"/>
      <c r="LJQ53" s="198"/>
      <c r="LJR53" s="198"/>
      <c r="LJS53" s="198"/>
      <c r="LJT53" s="198"/>
      <c r="LJU53" s="198"/>
      <c r="LJV53" s="198"/>
      <c r="LJW53" s="198"/>
      <c r="LJX53" s="198"/>
      <c r="LJY53" s="198"/>
      <c r="LJZ53" s="198"/>
      <c r="LKA53" s="198"/>
      <c r="LKB53" s="198"/>
      <c r="LKC53" s="198"/>
      <c r="LKD53" s="198"/>
      <c r="LKE53" s="198"/>
      <c r="LKF53" s="198"/>
      <c r="LKG53" s="198"/>
      <c r="LKH53" s="198"/>
      <c r="LKI53" s="198"/>
      <c r="LKJ53" s="198"/>
      <c r="LKK53" s="198"/>
      <c r="LKL53" s="198"/>
      <c r="LKM53" s="198"/>
      <c r="LKN53" s="198"/>
      <c r="LKO53" s="198"/>
      <c r="LKP53" s="198"/>
      <c r="LKQ53" s="198"/>
      <c r="LKR53" s="198"/>
      <c r="LKS53" s="198"/>
      <c r="LKT53" s="198"/>
      <c r="LKU53" s="198"/>
      <c r="LKV53" s="198"/>
      <c r="LKW53" s="198"/>
      <c r="LKX53" s="198"/>
      <c r="LKY53" s="198"/>
      <c r="LKZ53" s="198"/>
      <c r="LLA53" s="198"/>
      <c r="LLB53" s="198"/>
      <c r="LLC53" s="198"/>
      <c r="LLD53" s="198"/>
      <c r="LLE53" s="198"/>
      <c r="LLF53" s="198"/>
      <c r="LLG53" s="198"/>
      <c r="LLH53" s="198"/>
      <c r="LLI53" s="198"/>
      <c r="LLJ53" s="198"/>
      <c r="LLK53" s="198"/>
      <c r="LLL53" s="198"/>
      <c r="LLM53" s="198"/>
      <c r="LLN53" s="198"/>
      <c r="LLO53" s="198"/>
      <c r="LLP53" s="198"/>
      <c r="LLQ53" s="198"/>
      <c r="LLR53" s="198"/>
      <c r="LLS53" s="198"/>
      <c r="LLT53" s="198"/>
      <c r="LLU53" s="198"/>
      <c r="LLV53" s="198"/>
      <c r="LLW53" s="198"/>
      <c r="LLX53" s="198"/>
      <c r="LLY53" s="198"/>
      <c r="LLZ53" s="198"/>
      <c r="LMA53" s="198"/>
      <c r="LMB53" s="198"/>
      <c r="LMC53" s="198"/>
      <c r="LMD53" s="198"/>
      <c r="LME53" s="198"/>
      <c r="LMF53" s="198"/>
      <c r="LMG53" s="198"/>
      <c r="LMH53" s="198"/>
      <c r="LMI53" s="198"/>
      <c r="LMJ53" s="198"/>
      <c r="LMK53" s="198"/>
      <c r="LML53" s="198"/>
      <c r="LMM53" s="198"/>
      <c r="LMN53" s="198"/>
      <c r="LMO53" s="198"/>
      <c r="LMP53" s="198"/>
      <c r="LMQ53" s="198"/>
      <c r="LMR53" s="198"/>
      <c r="LMS53" s="198"/>
      <c r="LMT53" s="198"/>
      <c r="LMU53" s="198"/>
      <c r="LMV53" s="198"/>
      <c r="LMW53" s="198"/>
      <c r="LMX53" s="198"/>
      <c r="LMY53" s="198"/>
      <c r="LMZ53" s="198"/>
      <c r="LNA53" s="198"/>
      <c r="LNB53" s="198"/>
      <c r="LNC53" s="198"/>
      <c r="LND53" s="198"/>
      <c r="LNE53" s="198"/>
      <c r="LNF53" s="198"/>
      <c r="LNG53" s="198"/>
      <c r="LNH53" s="198"/>
      <c r="LNI53" s="198"/>
      <c r="LNJ53" s="198"/>
      <c r="LNK53" s="198"/>
      <c r="LNL53" s="198"/>
      <c r="LNM53" s="198"/>
      <c r="LNN53" s="198"/>
      <c r="LNO53" s="198"/>
      <c r="LNP53" s="198"/>
      <c r="LNQ53" s="198"/>
      <c r="LNR53" s="198"/>
      <c r="LNS53" s="198"/>
      <c r="LNT53" s="198"/>
      <c r="LNU53" s="198"/>
      <c r="LNV53" s="198"/>
      <c r="LNW53" s="198"/>
      <c r="LNX53" s="198"/>
      <c r="LNY53" s="198"/>
      <c r="LNZ53" s="198"/>
      <c r="LOA53" s="198"/>
      <c r="LOB53" s="198"/>
      <c r="LOC53" s="198"/>
      <c r="LOD53" s="198"/>
      <c r="LOE53" s="198"/>
      <c r="LOF53" s="198"/>
      <c r="LOG53" s="198"/>
      <c r="LOH53" s="198"/>
      <c r="LOI53" s="198"/>
      <c r="LOJ53" s="198"/>
      <c r="LOK53" s="198"/>
      <c r="LOL53" s="198"/>
      <c r="LOM53" s="198"/>
      <c r="LON53" s="198"/>
      <c r="LOO53" s="198"/>
      <c r="LOP53" s="198"/>
      <c r="LOQ53" s="198"/>
      <c r="LOR53" s="198"/>
      <c r="LOS53" s="198"/>
      <c r="LOT53" s="198"/>
      <c r="LOU53" s="198"/>
      <c r="LOV53" s="198"/>
      <c r="LOW53" s="198"/>
      <c r="LOX53" s="198"/>
      <c r="LOY53" s="198"/>
      <c r="LOZ53" s="198"/>
      <c r="LPA53" s="198"/>
      <c r="LPB53" s="198"/>
      <c r="LPC53" s="198"/>
      <c r="LPD53" s="198"/>
      <c r="LPE53" s="198"/>
      <c r="LPF53" s="198"/>
      <c r="LPG53" s="198"/>
      <c r="LPH53" s="198"/>
      <c r="LPI53" s="198"/>
      <c r="LPJ53" s="198"/>
      <c r="LPK53" s="198"/>
      <c r="LPL53" s="198"/>
      <c r="LPM53" s="198"/>
      <c r="LPN53" s="198"/>
      <c r="LPO53" s="198"/>
      <c r="LPP53" s="198"/>
      <c r="LPQ53" s="198"/>
      <c r="LPR53" s="198"/>
      <c r="LPS53" s="198"/>
      <c r="LPT53" s="198"/>
      <c r="LPU53" s="198"/>
      <c r="LPV53" s="198"/>
      <c r="LPW53" s="198"/>
      <c r="LPX53" s="198"/>
      <c r="LPY53" s="198"/>
      <c r="LPZ53" s="198"/>
      <c r="LQA53" s="198"/>
      <c r="LQB53" s="198"/>
      <c r="LQC53" s="198"/>
      <c r="LQD53" s="198"/>
      <c r="LQE53" s="198"/>
      <c r="LQF53" s="198"/>
      <c r="LQG53" s="198"/>
      <c r="LQH53" s="198"/>
      <c r="LQI53" s="198"/>
      <c r="LQJ53" s="198"/>
      <c r="LQK53" s="198"/>
      <c r="LQL53" s="198"/>
      <c r="LQM53" s="198"/>
      <c r="LQN53" s="198"/>
      <c r="LQO53" s="198"/>
      <c r="LQP53" s="198"/>
      <c r="LQQ53" s="198"/>
      <c r="LQR53" s="198"/>
      <c r="LQS53" s="198"/>
      <c r="LQT53" s="198"/>
      <c r="LQU53" s="198"/>
      <c r="LQV53" s="198"/>
      <c r="LQW53" s="198"/>
      <c r="LQX53" s="198"/>
      <c r="LQY53" s="198"/>
      <c r="LQZ53" s="198"/>
      <c r="LRA53" s="198"/>
      <c r="LRB53" s="198"/>
      <c r="LRC53" s="198"/>
      <c r="LRD53" s="198"/>
      <c r="LRE53" s="198"/>
      <c r="LRF53" s="198"/>
      <c r="LRG53" s="198"/>
      <c r="LRH53" s="198"/>
      <c r="LRI53" s="198"/>
      <c r="LRJ53" s="198"/>
      <c r="LRK53" s="198"/>
      <c r="LRL53" s="198"/>
      <c r="LRM53" s="198"/>
      <c r="LRN53" s="198"/>
      <c r="LRO53" s="198"/>
      <c r="LRP53" s="198"/>
      <c r="LRQ53" s="198"/>
      <c r="LRR53" s="198"/>
      <c r="LRS53" s="198"/>
      <c r="LRT53" s="198"/>
      <c r="LRU53" s="198"/>
      <c r="LRV53" s="198"/>
      <c r="LRW53" s="198"/>
      <c r="LRX53" s="198"/>
      <c r="LRY53" s="198"/>
      <c r="LRZ53" s="198"/>
      <c r="LSA53" s="198"/>
      <c r="LSB53" s="198"/>
      <c r="LSC53" s="198"/>
      <c r="LSD53" s="198"/>
      <c r="LSE53" s="198"/>
      <c r="LSF53" s="198"/>
      <c r="LSG53" s="198"/>
      <c r="LSH53" s="198"/>
      <c r="LSI53" s="198"/>
      <c r="LSJ53" s="198"/>
      <c r="LSK53" s="198"/>
      <c r="LSL53" s="198"/>
      <c r="LSM53" s="198"/>
      <c r="LSN53" s="198"/>
      <c r="LSO53" s="198"/>
      <c r="LSP53" s="198"/>
      <c r="LSQ53" s="198"/>
      <c r="LSR53" s="198"/>
      <c r="LSS53" s="198"/>
      <c r="LST53" s="198"/>
      <c r="LSU53" s="198"/>
      <c r="LSV53" s="198"/>
      <c r="LSW53" s="198"/>
      <c r="LSX53" s="198"/>
      <c r="LSY53" s="198"/>
      <c r="LSZ53" s="198"/>
      <c r="LTA53" s="198"/>
      <c r="LTB53" s="198"/>
      <c r="LTC53" s="198"/>
      <c r="LTD53" s="198"/>
      <c r="LTE53" s="198"/>
      <c r="LTF53" s="198"/>
      <c r="LTG53" s="198"/>
      <c r="LTH53" s="198"/>
      <c r="LTI53" s="198"/>
      <c r="LTJ53" s="198"/>
      <c r="LTK53" s="198"/>
      <c r="LTL53" s="198"/>
      <c r="LTM53" s="198"/>
      <c r="LTN53" s="198"/>
      <c r="LTO53" s="198"/>
      <c r="LTP53" s="198"/>
      <c r="LTQ53" s="198"/>
      <c r="LTR53" s="198"/>
      <c r="LTS53" s="198"/>
      <c r="LTT53" s="198"/>
      <c r="LTU53" s="198"/>
      <c r="LTV53" s="198"/>
      <c r="LTW53" s="198"/>
      <c r="LTX53" s="198"/>
      <c r="LTY53" s="198"/>
      <c r="LTZ53" s="198"/>
      <c r="LUA53" s="198"/>
      <c r="LUB53" s="198"/>
      <c r="LUC53" s="198"/>
      <c r="LUD53" s="198"/>
      <c r="LUE53" s="198"/>
      <c r="LUF53" s="198"/>
      <c r="LUG53" s="198"/>
      <c r="LUH53" s="198"/>
      <c r="LUI53" s="198"/>
      <c r="LUJ53" s="198"/>
      <c r="LUK53" s="198"/>
      <c r="LUL53" s="198"/>
      <c r="LUM53" s="198"/>
      <c r="LUN53" s="198"/>
      <c r="LUO53" s="198"/>
      <c r="LUP53" s="198"/>
      <c r="LUQ53" s="198"/>
      <c r="LUR53" s="198"/>
      <c r="LUS53" s="198"/>
      <c r="LUT53" s="198"/>
      <c r="LUU53" s="198"/>
      <c r="LUV53" s="198"/>
      <c r="LUW53" s="198"/>
      <c r="LUX53" s="198"/>
      <c r="LUY53" s="198"/>
      <c r="LUZ53" s="198"/>
      <c r="LVA53" s="198"/>
      <c r="LVB53" s="198"/>
      <c r="LVC53" s="198"/>
      <c r="LVD53" s="198"/>
      <c r="LVE53" s="198"/>
      <c r="LVF53" s="198"/>
      <c r="LVG53" s="198"/>
      <c r="LVH53" s="198"/>
      <c r="LVI53" s="198"/>
      <c r="LVJ53" s="198"/>
      <c r="LVK53" s="198"/>
      <c r="LVL53" s="198"/>
      <c r="LVM53" s="198"/>
      <c r="LVN53" s="198"/>
      <c r="LVO53" s="198"/>
      <c r="LVP53" s="198"/>
      <c r="LVQ53" s="198"/>
      <c r="LVR53" s="198"/>
      <c r="LVS53" s="198"/>
      <c r="LVT53" s="198"/>
      <c r="LVU53" s="198"/>
      <c r="LVV53" s="198"/>
      <c r="LVW53" s="198"/>
      <c r="LVX53" s="198"/>
      <c r="LVY53" s="198"/>
      <c r="LVZ53" s="198"/>
      <c r="LWA53" s="198"/>
      <c r="LWB53" s="198"/>
      <c r="LWC53" s="198"/>
      <c r="LWD53" s="198"/>
      <c r="LWE53" s="198"/>
      <c r="LWF53" s="198"/>
      <c r="LWG53" s="198"/>
      <c r="LWH53" s="198"/>
      <c r="LWI53" s="198"/>
      <c r="LWJ53" s="198"/>
      <c r="LWK53" s="198"/>
      <c r="LWL53" s="198"/>
      <c r="LWM53" s="198"/>
      <c r="LWN53" s="198"/>
      <c r="LWO53" s="198"/>
      <c r="LWP53" s="198"/>
      <c r="LWQ53" s="198"/>
      <c r="LWR53" s="198"/>
      <c r="LWS53" s="198"/>
      <c r="LWT53" s="198"/>
      <c r="LWU53" s="198"/>
      <c r="LWV53" s="198"/>
      <c r="LWW53" s="198"/>
      <c r="LWX53" s="198"/>
      <c r="LWY53" s="198"/>
      <c r="LWZ53" s="198"/>
      <c r="LXA53" s="198"/>
      <c r="LXB53" s="198"/>
      <c r="LXC53" s="198"/>
      <c r="LXD53" s="198"/>
      <c r="LXE53" s="198"/>
      <c r="LXF53" s="198"/>
      <c r="LXG53" s="198"/>
      <c r="LXH53" s="198"/>
      <c r="LXI53" s="198"/>
      <c r="LXJ53" s="198"/>
      <c r="LXK53" s="198"/>
      <c r="LXL53" s="198"/>
      <c r="LXM53" s="198"/>
      <c r="LXN53" s="198"/>
      <c r="LXO53" s="198"/>
      <c r="LXP53" s="198"/>
      <c r="LXQ53" s="198"/>
      <c r="LXR53" s="198"/>
      <c r="LXS53" s="198"/>
      <c r="LXT53" s="198"/>
      <c r="LXU53" s="198"/>
      <c r="LXV53" s="198"/>
      <c r="LXW53" s="198"/>
      <c r="LXX53" s="198"/>
      <c r="LXY53" s="198"/>
      <c r="LXZ53" s="198"/>
      <c r="LYA53" s="198"/>
      <c r="LYB53" s="198"/>
      <c r="LYC53" s="198"/>
      <c r="LYD53" s="198"/>
      <c r="LYE53" s="198"/>
      <c r="LYF53" s="198"/>
      <c r="LYG53" s="198"/>
      <c r="LYH53" s="198"/>
      <c r="LYI53" s="198"/>
      <c r="LYJ53" s="198"/>
      <c r="LYK53" s="198"/>
      <c r="LYL53" s="198"/>
      <c r="LYM53" s="198"/>
      <c r="LYN53" s="198"/>
      <c r="LYO53" s="198"/>
      <c r="LYP53" s="198"/>
      <c r="LYQ53" s="198"/>
      <c r="LYR53" s="198"/>
      <c r="LYS53" s="198"/>
      <c r="LYT53" s="198"/>
      <c r="LYU53" s="198"/>
      <c r="LYV53" s="198"/>
      <c r="LYW53" s="198"/>
      <c r="LYX53" s="198"/>
      <c r="LYY53" s="198"/>
      <c r="LYZ53" s="198"/>
      <c r="LZA53" s="198"/>
      <c r="LZB53" s="198"/>
      <c r="LZC53" s="198"/>
      <c r="LZD53" s="198"/>
      <c r="LZE53" s="198"/>
      <c r="LZF53" s="198"/>
      <c r="LZG53" s="198"/>
      <c r="LZH53" s="198"/>
      <c r="LZI53" s="198"/>
      <c r="LZJ53" s="198"/>
      <c r="LZK53" s="198"/>
      <c r="LZL53" s="198"/>
      <c r="LZM53" s="198"/>
      <c r="LZN53" s="198"/>
      <c r="LZO53" s="198"/>
      <c r="LZP53" s="198"/>
      <c r="LZQ53" s="198"/>
      <c r="LZR53" s="198"/>
      <c r="LZS53" s="198"/>
      <c r="LZT53" s="198"/>
      <c r="LZU53" s="198"/>
      <c r="LZV53" s="198"/>
      <c r="LZW53" s="198"/>
      <c r="LZX53" s="198"/>
      <c r="LZY53" s="198"/>
      <c r="LZZ53" s="198"/>
      <c r="MAA53" s="198"/>
      <c r="MAB53" s="198"/>
      <c r="MAC53" s="198"/>
      <c r="MAD53" s="198"/>
      <c r="MAE53" s="198"/>
      <c r="MAF53" s="198"/>
      <c r="MAG53" s="198"/>
      <c r="MAH53" s="198"/>
      <c r="MAI53" s="198"/>
      <c r="MAJ53" s="198"/>
      <c r="MAK53" s="198"/>
      <c r="MAL53" s="198"/>
      <c r="MAM53" s="198"/>
      <c r="MAN53" s="198"/>
      <c r="MAO53" s="198"/>
      <c r="MAP53" s="198"/>
      <c r="MAQ53" s="198"/>
      <c r="MAR53" s="198"/>
      <c r="MAS53" s="198"/>
      <c r="MAT53" s="198"/>
      <c r="MAU53" s="198"/>
      <c r="MAV53" s="198"/>
      <c r="MAW53" s="198"/>
      <c r="MAX53" s="198"/>
      <c r="MAY53" s="198"/>
      <c r="MAZ53" s="198"/>
      <c r="MBA53" s="198"/>
      <c r="MBB53" s="198"/>
      <c r="MBC53" s="198"/>
      <c r="MBD53" s="198"/>
      <c r="MBE53" s="198"/>
      <c r="MBF53" s="198"/>
      <c r="MBG53" s="198"/>
      <c r="MBH53" s="198"/>
      <c r="MBI53" s="198"/>
      <c r="MBJ53" s="198"/>
      <c r="MBK53" s="198"/>
      <c r="MBL53" s="198"/>
      <c r="MBM53" s="198"/>
      <c r="MBN53" s="198"/>
      <c r="MBO53" s="198"/>
      <c r="MBP53" s="198"/>
      <c r="MBQ53" s="198"/>
      <c r="MBR53" s="198"/>
      <c r="MBS53" s="198"/>
      <c r="MBT53" s="198"/>
      <c r="MBU53" s="198"/>
      <c r="MBV53" s="198"/>
      <c r="MBW53" s="198"/>
      <c r="MBX53" s="198"/>
      <c r="MBY53" s="198"/>
      <c r="MBZ53" s="198"/>
      <c r="MCA53" s="198"/>
      <c r="MCB53" s="198"/>
      <c r="MCC53" s="198"/>
      <c r="MCD53" s="198"/>
      <c r="MCE53" s="198"/>
      <c r="MCF53" s="198"/>
      <c r="MCG53" s="198"/>
      <c r="MCH53" s="198"/>
      <c r="MCI53" s="198"/>
      <c r="MCJ53" s="198"/>
      <c r="MCK53" s="198"/>
      <c r="MCL53" s="198"/>
      <c r="MCM53" s="198"/>
      <c r="MCN53" s="198"/>
      <c r="MCO53" s="198"/>
      <c r="MCP53" s="198"/>
      <c r="MCQ53" s="198"/>
      <c r="MCR53" s="198"/>
      <c r="MCS53" s="198"/>
      <c r="MCT53" s="198"/>
      <c r="MCU53" s="198"/>
      <c r="MCV53" s="198"/>
      <c r="MCW53" s="198"/>
      <c r="MCX53" s="198"/>
      <c r="MCY53" s="198"/>
      <c r="MCZ53" s="198"/>
      <c r="MDA53" s="198"/>
      <c r="MDB53" s="198"/>
      <c r="MDC53" s="198"/>
      <c r="MDD53" s="198"/>
      <c r="MDE53" s="198"/>
      <c r="MDF53" s="198"/>
      <c r="MDG53" s="198"/>
      <c r="MDH53" s="198"/>
      <c r="MDI53" s="198"/>
      <c r="MDJ53" s="198"/>
      <c r="MDK53" s="198"/>
      <c r="MDL53" s="198"/>
      <c r="MDM53" s="198"/>
      <c r="MDN53" s="198"/>
      <c r="MDO53" s="198"/>
      <c r="MDP53" s="198"/>
      <c r="MDQ53" s="198"/>
      <c r="MDR53" s="198"/>
      <c r="MDS53" s="198"/>
      <c r="MDT53" s="198"/>
      <c r="MDU53" s="198"/>
      <c r="MDV53" s="198"/>
      <c r="MDW53" s="198"/>
      <c r="MDX53" s="198"/>
      <c r="MDY53" s="198"/>
      <c r="MDZ53" s="198"/>
      <c r="MEA53" s="198"/>
      <c r="MEB53" s="198"/>
      <c r="MEC53" s="198"/>
      <c r="MED53" s="198"/>
      <c r="MEE53" s="198"/>
      <c r="MEF53" s="198"/>
      <c r="MEG53" s="198"/>
      <c r="MEH53" s="198"/>
      <c r="MEI53" s="198"/>
      <c r="MEJ53" s="198"/>
      <c r="MEK53" s="198"/>
      <c r="MEL53" s="198"/>
      <c r="MEM53" s="198"/>
      <c r="MEN53" s="198"/>
      <c r="MEO53" s="198"/>
      <c r="MEP53" s="198"/>
      <c r="MEQ53" s="198"/>
      <c r="MER53" s="198"/>
      <c r="MES53" s="198"/>
      <c r="MET53" s="198"/>
      <c r="MEU53" s="198"/>
      <c r="MEV53" s="198"/>
      <c r="MEW53" s="198"/>
      <c r="MEX53" s="198"/>
      <c r="MEY53" s="198"/>
      <c r="MEZ53" s="198"/>
      <c r="MFA53" s="198"/>
      <c r="MFB53" s="198"/>
      <c r="MFC53" s="198"/>
      <c r="MFD53" s="198"/>
      <c r="MFE53" s="198"/>
      <c r="MFF53" s="198"/>
      <c r="MFG53" s="198"/>
      <c r="MFH53" s="198"/>
      <c r="MFI53" s="198"/>
      <c r="MFJ53" s="198"/>
      <c r="MFK53" s="198"/>
      <c r="MFL53" s="198"/>
      <c r="MFM53" s="198"/>
      <c r="MFN53" s="198"/>
      <c r="MFO53" s="198"/>
      <c r="MFP53" s="198"/>
      <c r="MFQ53" s="198"/>
      <c r="MFR53" s="198"/>
      <c r="MFS53" s="198"/>
      <c r="MFT53" s="198"/>
      <c r="MFU53" s="198"/>
      <c r="MFV53" s="198"/>
      <c r="MFW53" s="198"/>
      <c r="MFX53" s="198"/>
      <c r="MFY53" s="198"/>
      <c r="MFZ53" s="198"/>
      <c r="MGA53" s="198"/>
      <c r="MGB53" s="198"/>
      <c r="MGC53" s="198"/>
      <c r="MGD53" s="198"/>
      <c r="MGE53" s="198"/>
      <c r="MGF53" s="198"/>
      <c r="MGG53" s="198"/>
      <c r="MGH53" s="198"/>
      <c r="MGI53" s="198"/>
      <c r="MGJ53" s="198"/>
      <c r="MGK53" s="198"/>
      <c r="MGL53" s="198"/>
      <c r="MGM53" s="198"/>
      <c r="MGN53" s="198"/>
      <c r="MGO53" s="198"/>
      <c r="MGP53" s="198"/>
      <c r="MGQ53" s="198"/>
      <c r="MGR53" s="198"/>
      <c r="MGS53" s="198"/>
      <c r="MGT53" s="198"/>
      <c r="MGU53" s="198"/>
      <c r="MGV53" s="198"/>
      <c r="MGW53" s="198"/>
      <c r="MGX53" s="198"/>
      <c r="MGY53" s="198"/>
      <c r="MGZ53" s="198"/>
      <c r="MHA53" s="198"/>
      <c r="MHB53" s="198"/>
      <c r="MHC53" s="198"/>
      <c r="MHD53" s="198"/>
      <c r="MHE53" s="198"/>
      <c r="MHF53" s="198"/>
      <c r="MHG53" s="198"/>
      <c r="MHH53" s="198"/>
      <c r="MHI53" s="198"/>
      <c r="MHJ53" s="198"/>
      <c r="MHK53" s="198"/>
      <c r="MHL53" s="198"/>
      <c r="MHM53" s="198"/>
      <c r="MHN53" s="198"/>
      <c r="MHO53" s="198"/>
      <c r="MHP53" s="198"/>
      <c r="MHQ53" s="198"/>
      <c r="MHR53" s="198"/>
      <c r="MHS53" s="198"/>
      <c r="MHT53" s="198"/>
      <c r="MHU53" s="198"/>
      <c r="MHV53" s="198"/>
      <c r="MHW53" s="198"/>
      <c r="MHX53" s="198"/>
      <c r="MHY53" s="198"/>
      <c r="MHZ53" s="198"/>
      <c r="MIA53" s="198"/>
      <c r="MIB53" s="198"/>
      <c r="MIC53" s="198"/>
      <c r="MID53" s="198"/>
      <c r="MIE53" s="198"/>
      <c r="MIF53" s="198"/>
      <c r="MIG53" s="198"/>
      <c r="MIH53" s="198"/>
      <c r="MII53" s="198"/>
      <c r="MIJ53" s="198"/>
      <c r="MIK53" s="198"/>
      <c r="MIL53" s="198"/>
      <c r="MIM53" s="198"/>
      <c r="MIN53" s="198"/>
      <c r="MIO53" s="198"/>
      <c r="MIP53" s="198"/>
      <c r="MIQ53" s="198"/>
      <c r="MIR53" s="198"/>
      <c r="MIS53" s="198"/>
      <c r="MIT53" s="198"/>
      <c r="MIU53" s="198"/>
      <c r="MIV53" s="198"/>
      <c r="MIW53" s="198"/>
      <c r="MIX53" s="198"/>
      <c r="MIY53" s="198"/>
      <c r="MIZ53" s="198"/>
      <c r="MJA53" s="198"/>
      <c r="MJB53" s="198"/>
      <c r="MJC53" s="198"/>
      <c r="MJD53" s="198"/>
      <c r="MJE53" s="198"/>
      <c r="MJF53" s="198"/>
      <c r="MJG53" s="198"/>
      <c r="MJH53" s="198"/>
      <c r="MJI53" s="198"/>
      <c r="MJJ53" s="198"/>
      <c r="MJK53" s="198"/>
      <c r="MJL53" s="198"/>
      <c r="MJM53" s="198"/>
      <c r="MJN53" s="198"/>
      <c r="MJO53" s="198"/>
      <c r="MJP53" s="198"/>
      <c r="MJQ53" s="198"/>
      <c r="MJR53" s="198"/>
      <c r="MJS53" s="198"/>
      <c r="MJT53" s="198"/>
      <c r="MJU53" s="198"/>
      <c r="MJV53" s="198"/>
      <c r="MJW53" s="198"/>
      <c r="MJX53" s="198"/>
      <c r="MJY53" s="198"/>
      <c r="MJZ53" s="198"/>
      <c r="MKA53" s="198"/>
      <c r="MKB53" s="198"/>
      <c r="MKC53" s="198"/>
      <c r="MKD53" s="198"/>
      <c r="MKE53" s="198"/>
      <c r="MKF53" s="198"/>
      <c r="MKG53" s="198"/>
      <c r="MKH53" s="198"/>
      <c r="MKI53" s="198"/>
      <c r="MKJ53" s="198"/>
      <c r="MKK53" s="198"/>
      <c r="MKL53" s="198"/>
      <c r="MKM53" s="198"/>
      <c r="MKN53" s="198"/>
      <c r="MKO53" s="198"/>
      <c r="MKP53" s="198"/>
      <c r="MKQ53" s="198"/>
      <c r="MKR53" s="198"/>
      <c r="MKS53" s="198"/>
      <c r="MKT53" s="198"/>
      <c r="MKU53" s="198"/>
      <c r="MKV53" s="198"/>
      <c r="MKW53" s="198"/>
      <c r="MKX53" s="198"/>
      <c r="MKY53" s="198"/>
      <c r="MKZ53" s="198"/>
      <c r="MLA53" s="198"/>
      <c r="MLB53" s="198"/>
      <c r="MLC53" s="198"/>
      <c r="MLD53" s="198"/>
      <c r="MLE53" s="198"/>
      <c r="MLF53" s="198"/>
      <c r="MLG53" s="198"/>
      <c r="MLH53" s="198"/>
      <c r="MLI53" s="198"/>
      <c r="MLJ53" s="198"/>
      <c r="MLK53" s="198"/>
      <c r="MLL53" s="198"/>
      <c r="MLM53" s="198"/>
      <c r="MLN53" s="198"/>
      <c r="MLO53" s="198"/>
      <c r="MLP53" s="198"/>
      <c r="MLQ53" s="198"/>
      <c r="MLR53" s="198"/>
      <c r="MLS53" s="198"/>
      <c r="MLT53" s="198"/>
      <c r="MLU53" s="198"/>
      <c r="MLV53" s="198"/>
      <c r="MLW53" s="198"/>
      <c r="MLX53" s="198"/>
      <c r="MLY53" s="198"/>
      <c r="MLZ53" s="198"/>
      <c r="MMA53" s="198"/>
      <c r="MMB53" s="198"/>
      <c r="MMC53" s="198"/>
      <c r="MMD53" s="198"/>
      <c r="MME53" s="198"/>
      <c r="MMF53" s="198"/>
      <c r="MMG53" s="198"/>
      <c r="MMH53" s="198"/>
      <c r="MMI53" s="198"/>
      <c r="MMJ53" s="198"/>
      <c r="MMK53" s="198"/>
      <c r="MML53" s="198"/>
      <c r="MMM53" s="198"/>
      <c r="MMN53" s="198"/>
      <c r="MMO53" s="198"/>
      <c r="MMP53" s="198"/>
      <c r="MMQ53" s="198"/>
      <c r="MMR53" s="198"/>
      <c r="MMS53" s="198"/>
      <c r="MMT53" s="198"/>
      <c r="MMU53" s="198"/>
      <c r="MMV53" s="198"/>
      <c r="MMW53" s="198"/>
      <c r="MMX53" s="198"/>
      <c r="MMY53" s="198"/>
      <c r="MMZ53" s="198"/>
      <c r="MNA53" s="198"/>
      <c r="MNB53" s="198"/>
      <c r="MNC53" s="198"/>
      <c r="MND53" s="198"/>
      <c r="MNE53" s="198"/>
      <c r="MNF53" s="198"/>
      <c r="MNG53" s="198"/>
      <c r="MNH53" s="198"/>
      <c r="MNI53" s="198"/>
      <c r="MNJ53" s="198"/>
      <c r="MNK53" s="198"/>
      <c r="MNL53" s="198"/>
      <c r="MNM53" s="198"/>
      <c r="MNN53" s="198"/>
      <c r="MNO53" s="198"/>
      <c r="MNP53" s="198"/>
      <c r="MNQ53" s="198"/>
      <c r="MNR53" s="198"/>
      <c r="MNS53" s="198"/>
      <c r="MNT53" s="198"/>
      <c r="MNU53" s="198"/>
      <c r="MNV53" s="198"/>
      <c r="MNW53" s="198"/>
      <c r="MNX53" s="198"/>
      <c r="MNY53" s="198"/>
      <c r="MNZ53" s="198"/>
      <c r="MOA53" s="198"/>
      <c r="MOB53" s="198"/>
      <c r="MOC53" s="198"/>
      <c r="MOD53" s="198"/>
      <c r="MOE53" s="198"/>
      <c r="MOF53" s="198"/>
      <c r="MOG53" s="198"/>
      <c r="MOH53" s="198"/>
      <c r="MOI53" s="198"/>
      <c r="MOJ53" s="198"/>
      <c r="MOK53" s="198"/>
      <c r="MOL53" s="198"/>
      <c r="MOM53" s="198"/>
      <c r="MON53" s="198"/>
      <c r="MOO53" s="198"/>
      <c r="MOP53" s="198"/>
      <c r="MOQ53" s="198"/>
      <c r="MOR53" s="198"/>
      <c r="MOS53" s="198"/>
      <c r="MOT53" s="198"/>
      <c r="MOU53" s="198"/>
      <c r="MOV53" s="198"/>
      <c r="MOW53" s="198"/>
      <c r="MOX53" s="198"/>
      <c r="MOY53" s="198"/>
      <c r="MOZ53" s="198"/>
      <c r="MPA53" s="198"/>
      <c r="MPB53" s="198"/>
      <c r="MPC53" s="198"/>
      <c r="MPD53" s="198"/>
      <c r="MPE53" s="198"/>
      <c r="MPF53" s="198"/>
      <c r="MPG53" s="198"/>
      <c r="MPH53" s="198"/>
      <c r="MPI53" s="198"/>
      <c r="MPJ53" s="198"/>
      <c r="MPK53" s="198"/>
      <c r="MPL53" s="198"/>
      <c r="MPM53" s="198"/>
      <c r="MPN53" s="198"/>
      <c r="MPO53" s="198"/>
      <c r="MPP53" s="198"/>
      <c r="MPQ53" s="198"/>
      <c r="MPR53" s="198"/>
      <c r="MPS53" s="198"/>
      <c r="MPT53" s="198"/>
      <c r="MPU53" s="198"/>
      <c r="MPV53" s="198"/>
      <c r="MPW53" s="198"/>
      <c r="MPX53" s="198"/>
      <c r="MPY53" s="198"/>
      <c r="MPZ53" s="198"/>
      <c r="MQA53" s="198"/>
      <c r="MQB53" s="198"/>
      <c r="MQC53" s="198"/>
      <c r="MQD53" s="198"/>
      <c r="MQE53" s="198"/>
      <c r="MQF53" s="198"/>
      <c r="MQG53" s="198"/>
      <c r="MQH53" s="198"/>
      <c r="MQI53" s="198"/>
      <c r="MQJ53" s="198"/>
      <c r="MQK53" s="198"/>
      <c r="MQL53" s="198"/>
      <c r="MQM53" s="198"/>
      <c r="MQN53" s="198"/>
      <c r="MQO53" s="198"/>
      <c r="MQP53" s="198"/>
      <c r="MQQ53" s="198"/>
      <c r="MQR53" s="198"/>
      <c r="MQS53" s="198"/>
      <c r="MQT53" s="198"/>
      <c r="MQU53" s="198"/>
      <c r="MQV53" s="198"/>
      <c r="MQW53" s="198"/>
      <c r="MQX53" s="198"/>
      <c r="MQY53" s="198"/>
      <c r="MQZ53" s="198"/>
      <c r="MRA53" s="198"/>
      <c r="MRB53" s="198"/>
      <c r="MRC53" s="198"/>
      <c r="MRD53" s="198"/>
      <c r="MRE53" s="198"/>
      <c r="MRF53" s="198"/>
      <c r="MRG53" s="198"/>
      <c r="MRH53" s="198"/>
      <c r="MRI53" s="198"/>
      <c r="MRJ53" s="198"/>
      <c r="MRK53" s="198"/>
      <c r="MRL53" s="198"/>
      <c r="MRM53" s="198"/>
      <c r="MRN53" s="198"/>
      <c r="MRO53" s="198"/>
      <c r="MRP53" s="198"/>
      <c r="MRQ53" s="198"/>
      <c r="MRR53" s="198"/>
      <c r="MRS53" s="198"/>
      <c r="MRT53" s="198"/>
      <c r="MRU53" s="198"/>
      <c r="MRV53" s="198"/>
      <c r="MRW53" s="198"/>
      <c r="MRX53" s="198"/>
      <c r="MRY53" s="198"/>
      <c r="MRZ53" s="198"/>
      <c r="MSA53" s="198"/>
      <c r="MSB53" s="198"/>
      <c r="MSC53" s="198"/>
      <c r="MSD53" s="198"/>
      <c r="MSE53" s="198"/>
      <c r="MSF53" s="198"/>
      <c r="MSG53" s="198"/>
      <c r="MSH53" s="198"/>
      <c r="MSI53" s="198"/>
      <c r="MSJ53" s="198"/>
      <c r="MSK53" s="198"/>
      <c r="MSL53" s="198"/>
      <c r="MSM53" s="198"/>
      <c r="MSN53" s="198"/>
      <c r="MSO53" s="198"/>
      <c r="MSP53" s="198"/>
      <c r="MSQ53" s="198"/>
      <c r="MSR53" s="198"/>
      <c r="MSS53" s="198"/>
      <c r="MST53" s="198"/>
      <c r="MSU53" s="198"/>
      <c r="MSV53" s="198"/>
      <c r="MSW53" s="198"/>
      <c r="MSX53" s="198"/>
      <c r="MSY53" s="198"/>
      <c r="MSZ53" s="198"/>
      <c r="MTA53" s="198"/>
      <c r="MTB53" s="198"/>
      <c r="MTC53" s="198"/>
      <c r="MTD53" s="198"/>
      <c r="MTE53" s="198"/>
      <c r="MTF53" s="198"/>
      <c r="MTG53" s="198"/>
      <c r="MTH53" s="198"/>
      <c r="MTI53" s="198"/>
      <c r="MTJ53" s="198"/>
      <c r="MTK53" s="198"/>
      <c r="MTL53" s="198"/>
      <c r="MTM53" s="198"/>
      <c r="MTN53" s="198"/>
      <c r="MTO53" s="198"/>
      <c r="MTP53" s="198"/>
      <c r="MTQ53" s="198"/>
      <c r="MTR53" s="198"/>
      <c r="MTS53" s="198"/>
      <c r="MTT53" s="198"/>
      <c r="MTU53" s="198"/>
      <c r="MTV53" s="198"/>
      <c r="MTW53" s="198"/>
      <c r="MTX53" s="198"/>
      <c r="MTY53" s="198"/>
      <c r="MTZ53" s="198"/>
      <c r="MUA53" s="198"/>
      <c r="MUB53" s="198"/>
      <c r="MUC53" s="198"/>
      <c r="MUD53" s="198"/>
      <c r="MUE53" s="198"/>
      <c r="MUF53" s="198"/>
      <c r="MUG53" s="198"/>
      <c r="MUH53" s="198"/>
      <c r="MUI53" s="198"/>
      <c r="MUJ53" s="198"/>
      <c r="MUK53" s="198"/>
      <c r="MUL53" s="198"/>
      <c r="MUM53" s="198"/>
      <c r="MUN53" s="198"/>
      <c r="MUO53" s="198"/>
      <c r="MUP53" s="198"/>
      <c r="MUQ53" s="198"/>
      <c r="MUR53" s="198"/>
      <c r="MUS53" s="198"/>
      <c r="MUT53" s="198"/>
      <c r="MUU53" s="198"/>
      <c r="MUV53" s="198"/>
      <c r="MUW53" s="198"/>
      <c r="MUX53" s="198"/>
      <c r="MUY53" s="198"/>
      <c r="MUZ53" s="198"/>
      <c r="MVA53" s="198"/>
      <c r="MVB53" s="198"/>
      <c r="MVC53" s="198"/>
      <c r="MVD53" s="198"/>
      <c r="MVE53" s="198"/>
      <c r="MVF53" s="198"/>
      <c r="MVG53" s="198"/>
      <c r="MVH53" s="198"/>
      <c r="MVI53" s="198"/>
      <c r="MVJ53" s="198"/>
      <c r="MVK53" s="198"/>
      <c r="MVL53" s="198"/>
      <c r="MVM53" s="198"/>
      <c r="MVN53" s="198"/>
      <c r="MVO53" s="198"/>
      <c r="MVP53" s="198"/>
      <c r="MVQ53" s="198"/>
      <c r="MVR53" s="198"/>
      <c r="MVS53" s="198"/>
      <c r="MVT53" s="198"/>
      <c r="MVU53" s="198"/>
      <c r="MVV53" s="198"/>
      <c r="MVW53" s="198"/>
      <c r="MVX53" s="198"/>
      <c r="MVY53" s="198"/>
      <c r="MVZ53" s="198"/>
      <c r="MWA53" s="198"/>
      <c r="MWB53" s="198"/>
      <c r="MWC53" s="198"/>
      <c r="MWD53" s="198"/>
      <c r="MWE53" s="198"/>
      <c r="MWF53" s="198"/>
      <c r="MWG53" s="198"/>
      <c r="MWH53" s="198"/>
      <c r="MWI53" s="198"/>
      <c r="MWJ53" s="198"/>
      <c r="MWK53" s="198"/>
      <c r="MWL53" s="198"/>
      <c r="MWM53" s="198"/>
      <c r="MWN53" s="198"/>
      <c r="MWO53" s="198"/>
      <c r="MWP53" s="198"/>
      <c r="MWQ53" s="198"/>
      <c r="MWR53" s="198"/>
      <c r="MWS53" s="198"/>
      <c r="MWT53" s="198"/>
      <c r="MWU53" s="198"/>
      <c r="MWV53" s="198"/>
      <c r="MWW53" s="198"/>
      <c r="MWX53" s="198"/>
      <c r="MWY53" s="198"/>
      <c r="MWZ53" s="198"/>
      <c r="MXA53" s="198"/>
      <c r="MXB53" s="198"/>
      <c r="MXC53" s="198"/>
      <c r="MXD53" s="198"/>
      <c r="MXE53" s="198"/>
      <c r="MXF53" s="198"/>
      <c r="MXG53" s="198"/>
      <c r="MXH53" s="198"/>
      <c r="MXI53" s="198"/>
      <c r="MXJ53" s="198"/>
      <c r="MXK53" s="198"/>
      <c r="MXL53" s="198"/>
      <c r="MXM53" s="198"/>
      <c r="MXN53" s="198"/>
      <c r="MXO53" s="198"/>
      <c r="MXP53" s="198"/>
      <c r="MXQ53" s="198"/>
      <c r="MXR53" s="198"/>
      <c r="MXS53" s="198"/>
      <c r="MXT53" s="198"/>
      <c r="MXU53" s="198"/>
      <c r="MXV53" s="198"/>
      <c r="MXW53" s="198"/>
      <c r="MXX53" s="198"/>
      <c r="MXY53" s="198"/>
      <c r="MXZ53" s="198"/>
      <c r="MYA53" s="198"/>
      <c r="MYB53" s="198"/>
      <c r="MYC53" s="198"/>
      <c r="MYD53" s="198"/>
      <c r="MYE53" s="198"/>
      <c r="MYF53" s="198"/>
      <c r="MYG53" s="198"/>
      <c r="MYH53" s="198"/>
      <c r="MYI53" s="198"/>
      <c r="MYJ53" s="198"/>
      <c r="MYK53" s="198"/>
      <c r="MYL53" s="198"/>
      <c r="MYM53" s="198"/>
      <c r="MYN53" s="198"/>
      <c r="MYO53" s="198"/>
      <c r="MYP53" s="198"/>
      <c r="MYQ53" s="198"/>
      <c r="MYR53" s="198"/>
      <c r="MYS53" s="198"/>
      <c r="MYT53" s="198"/>
      <c r="MYU53" s="198"/>
      <c r="MYV53" s="198"/>
      <c r="MYW53" s="198"/>
      <c r="MYX53" s="198"/>
      <c r="MYY53" s="198"/>
      <c r="MYZ53" s="198"/>
      <c r="MZA53" s="198"/>
      <c r="MZB53" s="198"/>
      <c r="MZC53" s="198"/>
      <c r="MZD53" s="198"/>
      <c r="MZE53" s="198"/>
      <c r="MZF53" s="198"/>
      <c r="MZG53" s="198"/>
      <c r="MZH53" s="198"/>
      <c r="MZI53" s="198"/>
      <c r="MZJ53" s="198"/>
      <c r="MZK53" s="198"/>
      <c r="MZL53" s="198"/>
      <c r="MZM53" s="198"/>
      <c r="MZN53" s="198"/>
      <c r="MZO53" s="198"/>
      <c r="MZP53" s="198"/>
      <c r="MZQ53" s="198"/>
      <c r="MZR53" s="198"/>
      <c r="MZS53" s="198"/>
      <c r="MZT53" s="198"/>
      <c r="MZU53" s="198"/>
      <c r="MZV53" s="198"/>
      <c r="MZW53" s="198"/>
      <c r="MZX53" s="198"/>
      <c r="MZY53" s="198"/>
      <c r="MZZ53" s="198"/>
      <c r="NAA53" s="198"/>
      <c r="NAB53" s="198"/>
      <c r="NAC53" s="198"/>
      <c r="NAD53" s="198"/>
      <c r="NAE53" s="198"/>
      <c r="NAF53" s="198"/>
      <c r="NAG53" s="198"/>
      <c r="NAH53" s="198"/>
      <c r="NAI53" s="198"/>
      <c r="NAJ53" s="198"/>
      <c r="NAK53" s="198"/>
      <c r="NAL53" s="198"/>
      <c r="NAM53" s="198"/>
      <c r="NAN53" s="198"/>
      <c r="NAO53" s="198"/>
      <c r="NAP53" s="198"/>
      <c r="NAQ53" s="198"/>
      <c r="NAR53" s="198"/>
      <c r="NAS53" s="198"/>
      <c r="NAT53" s="198"/>
      <c r="NAU53" s="198"/>
      <c r="NAV53" s="198"/>
      <c r="NAW53" s="198"/>
      <c r="NAX53" s="198"/>
      <c r="NAY53" s="198"/>
      <c r="NAZ53" s="198"/>
      <c r="NBA53" s="198"/>
      <c r="NBB53" s="198"/>
      <c r="NBC53" s="198"/>
      <c r="NBD53" s="198"/>
      <c r="NBE53" s="198"/>
      <c r="NBF53" s="198"/>
      <c r="NBG53" s="198"/>
      <c r="NBH53" s="198"/>
      <c r="NBI53" s="198"/>
      <c r="NBJ53" s="198"/>
      <c r="NBK53" s="198"/>
      <c r="NBL53" s="198"/>
      <c r="NBM53" s="198"/>
      <c r="NBN53" s="198"/>
      <c r="NBO53" s="198"/>
      <c r="NBP53" s="198"/>
      <c r="NBQ53" s="198"/>
      <c r="NBR53" s="198"/>
      <c r="NBS53" s="198"/>
      <c r="NBT53" s="198"/>
      <c r="NBU53" s="198"/>
      <c r="NBV53" s="198"/>
      <c r="NBW53" s="198"/>
      <c r="NBX53" s="198"/>
      <c r="NBY53" s="198"/>
      <c r="NBZ53" s="198"/>
      <c r="NCA53" s="198"/>
      <c r="NCB53" s="198"/>
      <c r="NCC53" s="198"/>
      <c r="NCD53" s="198"/>
      <c r="NCE53" s="198"/>
      <c r="NCF53" s="198"/>
      <c r="NCG53" s="198"/>
      <c r="NCH53" s="198"/>
      <c r="NCI53" s="198"/>
      <c r="NCJ53" s="198"/>
      <c r="NCK53" s="198"/>
      <c r="NCL53" s="198"/>
      <c r="NCM53" s="198"/>
      <c r="NCN53" s="198"/>
      <c r="NCO53" s="198"/>
      <c r="NCP53" s="198"/>
      <c r="NCQ53" s="198"/>
      <c r="NCR53" s="198"/>
      <c r="NCS53" s="198"/>
      <c r="NCT53" s="198"/>
      <c r="NCU53" s="198"/>
      <c r="NCV53" s="198"/>
      <c r="NCW53" s="198"/>
      <c r="NCX53" s="198"/>
      <c r="NCY53" s="198"/>
      <c r="NCZ53" s="198"/>
      <c r="NDA53" s="198"/>
      <c r="NDB53" s="198"/>
      <c r="NDC53" s="198"/>
      <c r="NDD53" s="198"/>
      <c r="NDE53" s="198"/>
      <c r="NDF53" s="198"/>
      <c r="NDG53" s="198"/>
      <c r="NDH53" s="198"/>
      <c r="NDI53" s="198"/>
      <c r="NDJ53" s="198"/>
      <c r="NDK53" s="198"/>
      <c r="NDL53" s="198"/>
      <c r="NDM53" s="198"/>
      <c r="NDN53" s="198"/>
      <c r="NDO53" s="198"/>
      <c r="NDP53" s="198"/>
      <c r="NDQ53" s="198"/>
      <c r="NDR53" s="198"/>
      <c r="NDS53" s="198"/>
      <c r="NDT53" s="198"/>
      <c r="NDU53" s="198"/>
      <c r="NDV53" s="198"/>
      <c r="NDW53" s="198"/>
      <c r="NDX53" s="198"/>
      <c r="NDY53" s="198"/>
      <c r="NDZ53" s="198"/>
      <c r="NEA53" s="198"/>
      <c r="NEB53" s="198"/>
      <c r="NEC53" s="198"/>
      <c r="NED53" s="198"/>
      <c r="NEE53" s="198"/>
      <c r="NEF53" s="198"/>
      <c r="NEG53" s="198"/>
      <c r="NEH53" s="198"/>
      <c r="NEI53" s="198"/>
      <c r="NEJ53" s="198"/>
      <c r="NEK53" s="198"/>
      <c r="NEL53" s="198"/>
      <c r="NEM53" s="198"/>
      <c r="NEN53" s="198"/>
      <c r="NEO53" s="198"/>
      <c r="NEP53" s="198"/>
      <c r="NEQ53" s="198"/>
      <c r="NER53" s="198"/>
      <c r="NES53" s="198"/>
      <c r="NET53" s="198"/>
      <c r="NEU53" s="198"/>
      <c r="NEV53" s="198"/>
      <c r="NEW53" s="198"/>
      <c r="NEX53" s="198"/>
      <c r="NEY53" s="198"/>
      <c r="NEZ53" s="198"/>
      <c r="NFA53" s="198"/>
      <c r="NFB53" s="198"/>
      <c r="NFC53" s="198"/>
      <c r="NFD53" s="198"/>
      <c r="NFE53" s="198"/>
      <c r="NFF53" s="198"/>
      <c r="NFG53" s="198"/>
      <c r="NFH53" s="198"/>
      <c r="NFI53" s="198"/>
      <c r="NFJ53" s="198"/>
      <c r="NFK53" s="198"/>
      <c r="NFL53" s="198"/>
      <c r="NFM53" s="198"/>
      <c r="NFN53" s="198"/>
      <c r="NFO53" s="198"/>
      <c r="NFP53" s="198"/>
      <c r="NFQ53" s="198"/>
      <c r="NFR53" s="198"/>
      <c r="NFS53" s="198"/>
      <c r="NFT53" s="198"/>
      <c r="NFU53" s="198"/>
      <c r="NFV53" s="198"/>
      <c r="NFW53" s="198"/>
      <c r="NFX53" s="198"/>
      <c r="NFY53" s="198"/>
      <c r="NFZ53" s="198"/>
      <c r="NGA53" s="198"/>
      <c r="NGB53" s="198"/>
      <c r="NGC53" s="198"/>
      <c r="NGD53" s="198"/>
      <c r="NGE53" s="198"/>
      <c r="NGF53" s="198"/>
      <c r="NGG53" s="198"/>
      <c r="NGH53" s="198"/>
      <c r="NGI53" s="198"/>
      <c r="NGJ53" s="198"/>
      <c r="NGK53" s="198"/>
      <c r="NGL53" s="198"/>
      <c r="NGM53" s="198"/>
      <c r="NGN53" s="198"/>
      <c r="NGO53" s="198"/>
      <c r="NGP53" s="198"/>
      <c r="NGQ53" s="198"/>
      <c r="NGR53" s="198"/>
      <c r="NGS53" s="198"/>
      <c r="NGT53" s="198"/>
      <c r="NGU53" s="198"/>
      <c r="NGV53" s="198"/>
      <c r="NGW53" s="198"/>
      <c r="NGX53" s="198"/>
      <c r="NGY53" s="198"/>
      <c r="NGZ53" s="198"/>
      <c r="NHA53" s="198"/>
      <c r="NHB53" s="198"/>
      <c r="NHC53" s="198"/>
      <c r="NHD53" s="198"/>
      <c r="NHE53" s="198"/>
      <c r="NHF53" s="198"/>
      <c r="NHG53" s="198"/>
      <c r="NHH53" s="198"/>
      <c r="NHI53" s="198"/>
      <c r="NHJ53" s="198"/>
      <c r="NHK53" s="198"/>
      <c r="NHL53" s="198"/>
      <c r="NHM53" s="198"/>
      <c r="NHN53" s="198"/>
      <c r="NHO53" s="198"/>
      <c r="NHP53" s="198"/>
      <c r="NHQ53" s="198"/>
      <c r="NHR53" s="198"/>
      <c r="NHS53" s="198"/>
      <c r="NHT53" s="198"/>
      <c r="NHU53" s="198"/>
      <c r="NHV53" s="198"/>
      <c r="NHW53" s="198"/>
      <c r="NHX53" s="198"/>
      <c r="NHY53" s="198"/>
      <c r="NHZ53" s="198"/>
      <c r="NIA53" s="198"/>
      <c r="NIB53" s="198"/>
      <c r="NIC53" s="198"/>
      <c r="NID53" s="198"/>
      <c r="NIE53" s="198"/>
      <c r="NIF53" s="198"/>
      <c r="NIG53" s="198"/>
      <c r="NIH53" s="198"/>
      <c r="NII53" s="198"/>
      <c r="NIJ53" s="198"/>
      <c r="NIK53" s="198"/>
      <c r="NIL53" s="198"/>
      <c r="NIM53" s="198"/>
      <c r="NIN53" s="198"/>
      <c r="NIO53" s="198"/>
      <c r="NIP53" s="198"/>
      <c r="NIQ53" s="198"/>
      <c r="NIR53" s="198"/>
      <c r="NIS53" s="198"/>
      <c r="NIT53" s="198"/>
      <c r="NIU53" s="198"/>
      <c r="NIV53" s="198"/>
      <c r="NIW53" s="198"/>
      <c r="NIX53" s="198"/>
      <c r="NIY53" s="198"/>
      <c r="NIZ53" s="198"/>
      <c r="NJA53" s="198"/>
      <c r="NJB53" s="198"/>
      <c r="NJC53" s="198"/>
      <c r="NJD53" s="198"/>
      <c r="NJE53" s="198"/>
      <c r="NJF53" s="198"/>
      <c r="NJG53" s="198"/>
      <c r="NJH53" s="198"/>
      <c r="NJI53" s="198"/>
      <c r="NJJ53" s="198"/>
      <c r="NJK53" s="198"/>
      <c r="NJL53" s="198"/>
      <c r="NJM53" s="198"/>
      <c r="NJN53" s="198"/>
      <c r="NJO53" s="198"/>
      <c r="NJP53" s="198"/>
      <c r="NJQ53" s="198"/>
      <c r="NJR53" s="198"/>
      <c r="NJS53" s="198"/>
      <c r="NJT53" s="198"/>
      <c r="NJU53" s="198"/>
      <c r="NJV53" s="198"/>
      <c r="NJW53" s="198"/>
      <c r="NJX53" s="198"/>
      <c r="NJY53" s="198"/>
      <c r="NJZ53" s="198"/>
      <c r="NKA53" s="198"/>
      <c r="NKB53" s="198"/>
      <c r="NKC53" s="198"/>
      <c r="NKD53" s="198"/>
      <c r="NKE53" s="198"/>
      <c r="NKF53" s="198"/>
      <c r="NKG53" s="198"/>
      <c r="NKH53" s="198"/>
      <c r="NKI53" s="198"/>
      <c r="NKJ53" s="198"/>
      <c r="NKK53" s="198"/>
      <c r="NKL53" s="198"/>
      <c r="NKM53" s="198"/>
      <c r="NKN53" s="198"/>
      <c r="NKO53" s="198"/>
      <c r="NKP53" s="198"/>
      <c r="NKQ53" s="198"/>
      <c r="NKR53" s="198"/>
      <c r="NKS53" s="198"/>
      <c r="NKT53" s="198"/>
      <c r="NKU53" s="198"/>
      <c r="NKV53" s="198"/>
      <c r="NKW53" s="198"/>
      <c r="NKX53" s="198"/>
      <c r="NKY53" s="198"/>
      <c r="NKZ53" s="198"/>
      <c r="NLA53" s="198"/>
      <c r="NLB53" s="198"/>
      <c r="NLC53" s="198"/>
      <c r="NLD53" s="198"/>
      <c r="NLE53" s="198"/>
      <c r="NLF53" s="198"/>
      <c r="NLG53" s="198"/>
      <c r="NLH53" s="198"/>
      <c r="NLI53" s="198"/>
      <c r="NLJ53" s="198"/>
      <c r="NLK53" s="198"/>
      <c r="NLL53" s="198"/>
      <c r="NLM53" s="198"/>
      <c r="NLN53" s="198"/>
      <c r="NLO53" s="198"/>
      <c r="NLP53" s="198"/>
      <c r="NLQ53" s="198"/>
      <c r="NLR53" s="198"/>
      <c r="NLS53" s="198"/>
      <c r="NLT53" s="198"/>
      <c r="NLU53" s="198"/>
      <c r="NLV53" s="198"/>
      <c r="NLW53" s="198"/>
      <c r="NLX53" s="198"/>
      <c r="NLY53" s="198"/>
      <c r="NLZ53" s="198"/>
      <c r="NMA53" s="198"/>
      <c r="NMB53" s="198"/>
      <c r="NMC53" s="198"/>
      <c r="NMD53" s="198"/>
      <c r="NME53" s="198"/>
      <c r="NMF53" s="198"/>
      <c r="NMG53" s="198"/>
      <c r="NMH53" s="198"/>
      <c r="NMI53" s="198"/>
      <c r="NMJ53" s="198"/>
      <c r="NMK53" s="198"/>
      <c r="NML53" s="198"/>
      <c r="NMM53" s="198"/>
      <c r="NMN53" s="198"/>
      <c r="NMO53" s="198"/>
      <c r="NMP53" s="198"/>
      <c r="NMQ53" s="198"/>
      <c r="NMR53" s="198"/>
      <c r="NMS53" s="198"/>
      <c r="NMT53" s="198"/>
      <c r="NMU53" s="198"/>
      <c r="NMV53" s="198"/>
      <c r="NMW53" s="198"/>
      <c r="NMX53" s="198"/>
      <c r="NMY53" s="198"/>
      <c r="NMZ53" s="198"/>
      <c r="NNA53" s="198"/>
      <c r="NNB53" s="198"/>
      <c r="NNC53" s="198"/>
      <c r="NND53" s="198"/>
      <c r="NNE53" s="198"/>
      <c r="NNF53" s="198"/>
      <c r="NNG53" s="198"/>
      <c r="NNH53" s="198"/>
      <c r="NNI53" s="198"/>
      <c r="NNJ53" s="198"/>
      <c r="NNK53" s="198"/>
      <c r="NNL53" s="198"/>
      <c r="NNM53" s="198"/>
      <c r="NNN53" s="198"/>
      <c r="NNO53" s="198"/>
      <c r="NNP53" s="198"/>
      <c r="NNQ53" s="198"/>
      <c r="NNR53" s="198"/>
      <c r="NNS53" s="198"/>
      <c r="NNT53" s="198"/>
      <c r="NNU53" s="198"/>
      <c r="NNV53" s="198"/>
      <c r="NNW53" s="198"/>
      <c r="NNX53" s="198"/>
      <c r="NNY53" s="198"/>
      <c r="NNZ53" s="198"/>
      <c r="NOA53" s="198"/>
      <c r="NOB53" s="198"/>
      <c r="NOC53" s="198"/>
      <c r="NOD53" s="198"/>
      <c r="NOE53" s="198"/>
      <c r="NOF53" s="198"/>
      <c r="NOG53" s="198"/>
      <c r="NOH53" s="198"/>
      <c r="NOI53" s="198"/>
      <c r="NOJ53" s="198"/>
      <c r="NOK53" s="198"/>
      <c r="NOL53" s="198"/>
      <c r="NOM53" s="198"/>
      <c r="NON53" s="198"/>
      <c r="NOO53" s="198"/>
      <c r="NOP53" s="198"/>
      <c r="NOQ53" s="198"/>
      <c r="NOR53" s="198"/>
      <c r="NOS53" s="198"/>
      <c r="NOT53" s="198"/>
      <c r="NOU53" s="198"/>
      <c r="NOV53" s="198"/>
      <c r="NOW53" s="198"/>
      <c r="NOX53" s="198"/>
      <c r="NOY53" s="198"/>
      <c r="NOZ53" s="198"/>
      <c r="NPA53" s="198"/>
      <c r="NPB53" s="198"/>
      <c r="NPC53" s="198"/>
      <c r="NPD53" s="198"/>
      <c r="NPE53" s="198"/>
      <c r="NPF53" s="198"/>
      <c r="NPG53" s="198"/>
      <c r="NPH53" s="198"/>
      <c r="NPI53" s="198"/>
      <c r="NPJ53" s="198"/>
      <c r="NPK53" s="198"/>
      <c r="NPL53" s="198"/>
      <c r="NPM53" s="198"/>
      <c r="NPN53" s="198"/>
      <c r="NPO53" s="198"/>
      <c r="NPP53" s="198"/>
      <c r="NPQ53" s="198"/>
      <c r="NPR53" s="198"/>
      <c r="NPS53" s="198"/>
      <c r="NPT53" s="198"/>
      <c r="NPU53" s="198"/>
      <c r="NPV53" s="198"/>
      <c r="NPW53" s="198"/>
      <c r="NPX53" s="198"/>
      <c r="NPY53" s="198"/>
      <c r="NPZ53" s="198"/>
      <c r="NQA53" s="198"/>
      <c r="NQB53" s="198"/>
      <c r="NQC53" s="198"/>
      <c r="NQD53" s="198"/>
      <c r="NQE53" s="198"/>
      <c r="NQF53" s="198"/>
      <c r="NQG53" s="198"/>
      <c r="NQH53" s="198"/>
      <c r="NQI53" s="198"/>
      <c r="NQJ53" s="198"/>
      <c r="NQK53" s="198"/>
      <c r="NQL53" s="198"/>
      <c r="NQM53" s="198"/>
      <c r="NQN53" s="198"/>
      <c r="NQO53" s="198"/>
      <c r="NQP53" s="198"/>
      <c r="NQQ53" s="198"/>
      <c r="NQR53" s="198"/>
      <c r="NQS53" s="198"/>
      <c r="NQT53" s="198"/>
      <c r="NQU53" s="198"/>
      <c r="NQV53" s="198"/>
      <c r="NQW53" s="198"/>
      <c r="NQX53" s="198"/>
      <c r="NQY53" s="198"/>
      <c r="NQZ53" s="198"/>
      <c r="NRA53" s="198"/>
      <c r="NRB53" s="198"/>
      <c r="NRC53" s="198"/>
      <c r="NRD53" s="198"/>
      <c r="NRE53" s="198"/>
      <c r="NRF53" s="198"/>
      <c r="NRG53" s="198"/>
      <c r="NRH53" s="198"/>
      <c r="NRI53" s="198"/>
      <c r="NRJ53" s="198"/>
      <c r="NRK53" s="198"/>
      <c r="NRL53" s="198"/>
      <c r="NRM53" s="198"/>
      <c r="NRN53" s="198"/>
      <c r="NRO53" s="198"/>
      <c r="NRP53" s="198"/>
      <c r="NRQ53" s="198"/>
      <c r="NRR53" s="198"/>
      <c r="NRS53" s="198"/>
      <c r="NRT53" s="198"/>
      <c r="NRU53" s="198"/>
      <c r="NRV53" s="198"/>
      <c r="NRW53" s="198"/>
      <c r="NRX53" s="198"/>
      <c r="NRY53" s="198"/>
      <c r="NRZ53" s="198"/>
      <c r="NSA53" s="198"/>
      <c r="NSB53" s="198"/>
      <c r="NSC53" s="198"/>
      <c r="NSD53" s="198"/>
      <c r="NSE53" s="198"/>
      <c r="NSF53" s="198"/>
      <c r="NSG53" s="198"/>
      <c r="NSH53" s="198"/>
      <c r="NSI53" s="198"/>
      <c r="NSJ53" s="198"/>
      <c r="NSK53" s="198"/>
      <c r="NSL53" s="198"/>
      <c r="NSM53" s="198"/>
      <c r="NSN53" s="198"/>
      <c r="NSO53" s="198"/>
      <c r="NSP53" s="198"/>
      <c r="NSQ53" s="198"/>
      <c r="NSR53" s="198"/>
      <c r="NSS53" s="198"/>
      <c r="NST53" s="198"/>
      <c r="NSU53" s="198"/>
      <c r="NSV53" s="198"/>
      <c r="NSW53" s="198"/>
      <c r="NSX53" s="198"/>
      <c r="NSY53" s="198"/>
      <c r="NSZ53" s="198"/>
      <c r="NTA53" s="198"/>
      <c r="NTB53" s="198"/>
      <c r="NTC53" s="198"/>
      <c r="NTD53" s="198"/>
      <c r="NTE53" s="198"/>
      <c r="NTF53" s="198"/>
      <c r="NTG53" s="198"/>
      <c r="NTH53" s="198"/>
      <c r="NTI53" s="198"/>
      <c r="NTJ53" s="198"/>
      <c r="NTK53" s="198"/>
      <c r="NTL53" s="198"/>
      <c r="NTM53" s="198"/>
      <c r="NTN53" s="198"/>
      <c r="NTO53" s="198"/>
      <c r="NTP53" s="198"/>
      <c r="NTQ53" s="198"/>
      <c r="NTR53" s="198"/>
      <c r="NTS53" s="198"/>
      <c r="NTT53" s="198"/>
      <c r="NTU53" s="198"/>
      <c r="NTV53" s="198"/>
      <c r="NTW53" s="198"/>
      <c r="NTX53" s="198"/>
      <c r="NTY53" s="198"/>
      <c r="NTZ53" s="198"/>
      <c r="NUA53" s="198"/>
      <c r="NUB53" s="198"/>
      <c r="NUC53" s="198"/>
      <c r="NUD53" s="198"/>
      <c r="NUE53" s="198"/>
      <c r="NUF53" s="198"/>
      <c r="NUG53" s="198"/>
      <c r="NUH53" s="198"/>
      <c r="NUI53" s="198"/>
      <c r="NUJ53" s="198"/>
      <c r="NUK53" s="198"/>
      <c r="NUL53" s="198"/>
      <c r="NUM53" s="198"/>
      <c r="NUN53" s="198"/>
      <c r="NUO53" s="198"/>
      <c r="NUP53" s="198"/>
      <c r="NUQ53" s="198"/>
      <c r="NUR53" s="198"/>
      <c r="NUS53" s="198"/>
      <c r="NUT53" s="198"/>
      <c r="NUU53" s="198"/>
      <c r="NUV53" s="198"/>
      <c r="NUW53" s="198"/>
      <c r="NUX53" s="198"/>
      <c r="NUY53" s="198"/>
      <c r="NUZ53" s="198"/>
      <c r="NVA53" s="198"/>
      <c r="NVB53" s="198"/>
      <c r="NVC53" s="198"/>
      <c r="NVD53" s="198"/>
      <c r="NVE53" s="198"/>
      <c r="NVF53" s="198"/>
      <c r="NVG53" s="198"/>
      <c r="NVH53" s="198"/>
      <c r="NVI53" s="198"/>
      <c r="NVJ53" s="198"/>
      <c r="NVK53" s="198"/>
      <c r="NVL53" s="198"/>
      <c r="NVM53" s="198"/>
      <c r="NVN53" s="198"/>
      <c r="NVO53" s="198"/>
      <c r="NVP53" s="198"/>
      <c r="NVQ53" s="198"/>
      <c r="NVR53" s="198"/>
      <c r="NVS53" s="198"/>
      <c r="NVT53" s="198"/>
      <c r="NVU53" s="198"/>
      <c r="NVV53" s="198"/>
      <c r="NVW53" s="198"/>
      <c r="NVX53" s="198"/>
      <c r="NVY53" s="198"/>
      <c r="NVZ53" s="198"/>
      <c r="NWA53" s="198"/>
      <c r="NWB53" s="198"/>
      <c r="NWC53" s="198"/>
      <c r="NWD53" s="198"/>
      <c r="NWE53" s="198"/>
      <c r="NWF53" s="198"/>
      <c r="NWG53" s="198"/>
      <c r="NWH53" s="198"/>
      <c r="NWI53" s="198"/>
      <c r="NWJ53" s="198"/>
      <c r="NWK53" s="198"/>
      <c r="NWL53" s="198"/>
      <c r="NWM53" s="198"/>
      <c r="NWN53" s="198"/>
      <c r="NWO53" s="198"/>
      <c r="NWP53" s="198"/>
      <c r="NWQ53" s="198"/>
      <c r="NWR53" s="198"/>
      <c r="NWS53" s="198"/>
      <c r="NWT53" s="198"/>
      <c r="NWU53" s="198"/>
      <c r="NWV53" s="198"/>
      <c r="NWW53" s="198"/>
      <c r="NWX53" s="198"/>
      <c r="NWY53" s="198"/>
      <c r="NWZ53" s="198"/>
      <c r="NXA53" s="198"/>
      <c r="NXB53" s="198"/>
      <c r="NXC53" s="198"/>
      <c r="NXD53" s="198"/>
      <c r="NXE53" s="198"/>
      <c r="NXF53" s="198"/>
      <c r="NXG53" s="198"/>
      <c r="NXH53" s="198"/>
      <c r="NXI53" s="198"/>
      <c r="NXJ53" s="198"/>
      <c r="NXK53" s="198"/>
      <c r="NXL53" s="198"/>
      <c r="NXM53" s="198"/>
      <c r="NXN53" s="198"/>
      <c r="NXO53" s="198"/>
      <c r="NXP53" s="198"/>
      <c r="NXQ53" s="198"/>
      <c r="NXR53" s="198"/>
      <c r="NXS53" s="198"/>
      <c r="NXT53" s="198"/>
      <c r="NXU53" s="198"/>
      <c r="NXV53" s="198"/>
      <c r="NXW53" s="198"/>
      <c r="NXX53" s="198"/>
      <c r="NXY53" s="198"/>
      <c r="NXZ53" s="198"/>
      <c r="NYA53" s="198"/>
      <c r="NYB53" s="198"/>
      <c r="NYC53" s="198"/>
      <c r="NYD53" s="198"/>
      <c r="NYE53" s="198"/>
      <c r="NYF53" s="198"/>
      <c r="NYG53" s="198"/>
      <c r="NYH53" s="198"/>
      <c r="NYI53" s="198"/>
      <c r="NYJ53" s="198"/>
      <c r="NYK53" s="198"/>
      <c r="NYL53" s="198"/>
      <c r="NYM53" s="198"/>
      <c r="NYN53" s="198"/>
      <c r="NYO53" s="198"/>
      <c r="NYP53" s="198"/>
      <c r="NYQ53" s="198"/>
      <c r="NYR53" s="198"/>
      <c r="NYS53" s="198"/>
      <c r="NYT53" s="198"/>
      <c r="NYU53" s="198"/>
      <c r="NYV53" s="198"/>
      <c r="NYW53" s="198"/>
      <c r="NYX53" s="198"/>
      <c r="NYY53" s="198"/>
      <c r="NYZ53" s="198"/>
      <c r="NZA53" s="198"/>
      <c r="NZB53" s="198"/>
      <c r="NZC53" s="198"/>
      <c r="NZD53" s="198"/>
      <c r="NZE53" s="198"/>
      <c r="NZF53" s="198"/>
      <c r="NZG53" s="198"/>
      <c r="NZH53" s="198"/>
      <c r="NZI53" s="198"/>
      <c r="NZJ53" s="198"/>
      <c r="NZK53" s="198"/>
      <c r="NZL53" s="198"/>
      <c r="NZM53" s="198"/>
      <c r="NZN53" s="198"/>
      <c r="NZO53" s="198"/>
      <c r="NZP53" s="198"/>
      <c r="NZQ53" s="198"/>
      <c r="NZR53" s="198"/>
      <c r="NZS53" s="198"/>
      <c r="NZT53" s="198"/>
      <c r="NZU53" s="198"/>
      <c r="NZV53" s="198"/>
      <c r="NZW53" s="198"/>
      <c r="NZX53" s="198"/>
      <c r="NZY53" s="198"/>
      <c r="NZZ53" s="198"/>
      <c r="OAA53" s="198"/>
      <c r="OAB53" s="198"/>
      <c r="OAC53" s="198"/>
      <c r="OAD53" s="198"/>
      <c r="OAE53" s="198"/>
      <c r="OAF53" s="198"/>
      <c r="OAG53" s="198"/>
      <c r="OAH53" s="198"/>
      <c r="OAI53" s="198"/>
      <c r="OAJ53" s="198"/>
      <c r="OAK53" s="198"/>
      <c r="OAL53" s="198"/>
      <c r="OAM53" s="198"/>
      <c r="OAN53" s="198"/>
      <c r="OAO53" s="198"/>
      <c r="OAP53" s="198"/>
      <c r="OAQ53" s="198"/>
      <c r="OAR53" s="198"/>
      <c r="OAS53" s="198"/>
      <c r="OAT53" s="198"/>
      <c r="OAU53" s="198"/>
      <c r="OAV53" s="198"/>
      <c r="OAW53" s="198"/>
      <c r="OAX53" s="198"/>
      <c r="OAY53" s="198"/>
      <c r="OAZ53" s="198"/>
      <c r="OBA53" s="198"/>
      <c r="OBB53" s="198"/>
      <c r="OBC53" s="198"/>
      <c r="OBD53" s="198"/>
      <c r="OBE53" s="198"/>
      <c r="OBF53" s="198"/>
      <c r="OBG53" s="198"/>
      <c r="OBH53" s="198"/>
      <c r="OBI53" s="198"/>
      <c r="OBJ53" s="198"/>
      <c r="OBK53" s="198"/>
      <c r="OBL53" s="198"/>
      <c r="OBM53" s="198"/>
      <c r="OBN53" s="198"/>
      <c r="OBO53" s="198"/>
      <c r="OBP53" s="198"/>
      <c r="OBQ53" s="198"/>
      <c r="OBR53" s="198"/>
      <c r="OBS53" s="198"/>
      <c r="OBT53" s="198"/>
      <c r="OBU53" s="198"/>
      <c r="OBV53" s="198"/>
      <c r="OBW53" s="198"/>
      <c r="OBX53" s="198"/>
      <c r="OBY53" s="198"/>
      <c r="OBZ53" s="198"/>
      <c r="OCA53" s="198"/>
      <c r="OCB53" s="198"/>
      <c r="OCC53" s="198"/>
      <c r="OCD53" s="198"/>
      <c r="OCE53" s="198"/>
      <c r="OCF53" s="198"/>
      <c r="OCG53" s="198"/>
      <c r="OCH53" s="198"/>
      <c r="OCI53" s="198"/>
      <c r="OCJ53" s="198"/>
      <c r="OCK53" s="198"/>
      <c r="OCL53" s="198"/>
      <c r="OCM53" s="198"/>
      <c r="OCN53" s="198"/>
      <c r="OCO53" s="198"/>
      <c r="OCP53" s="198"/>
      <c r="OCQ53" s="198"/>
      <c r="OCR53" s="198"/>
      <c r="OCS53" s="198"/>
      <c r="OCT53" s="198"/>
      <c r="OCU53" s="198"/>
      <c r="OCV53" s="198"/>
      <c r="OCW53" s="198"/>
      <c r="OCX53" s="198"/>
      <c r="OCY53" s="198"/>
      <c r="OCZ53" s="198"/>
      <c r="ODA53" s="198"/>
      <c r="ODB53" s="198"/>
      <c r="ODC53" s="198"/>
      <c r="ODD53" s="198"/>
      <c r="ODE53" s="198"/>
      <c r="ODF53" s="198"/>
      <c r="ODG53" s="198"/>
      <c r="ODH53" s="198"/>
      <c r="ODI53" s="198"/>
      <c r="ODJ53" s="198"/>
      <c r="ODK53" s="198"/>
      <c r="ODL53" s="198"/>
      <c r="ODM53" s="198"/>
      <c r="ODN53" s="198"/>
      <c r="ODO53" s="198"/>
      <c r="ODP53" s="198"/>
      <c r="ODQ53" s="198"/>
      <c r="ODR53" s="198"/>
      <c r="ODS53" s="198"/>
      <c r="ODT53" s="198"/>
      <c r="ODU53" s="198"/>
      <c r="ODV53" s="198"/>
      <c r="ODW53" s="198"/>
      <c r="ODX53" s="198"/>
      <c r="ODY53" s="198"/>
      <c r="ODZ53" s="198"/>
      <c r="OEA53" s="198"/>
      <c r="OEB53" s="198"/>
      <c r="OEC53" s="198"/>
      <c r="OED53" s="198"/>
      <c r="OEE53" s="198"/>
      <c r="OEF53" s="198"/>
      <c r="OEG53" s="198"/>
      <c r="OEH53" s="198"/>
      <c r="OEI53" s="198"/>
      <c r="OEJ53" s="198"/>
      <c r="OEK53" s="198"/>
      <c r="OEL53" s="198"/>
      <c r="OEM53" s="198"/>
      <c r="OEN53" s="198"/>
      <c r="OEO53" s="198"/>
      <c r="OEP53" s="198"/>
      <c r="OEQ53" s="198"/>
      <c r="OER53" s="198"/>
      <c r="OES53" s="198"/>
      <c r="OET53" s="198"/>
      <c r="OEU53" s="198"/>
      <c r="OEV53" s="198"/>
      <c r="OEW53" s="198"/>
      <c r="OEX53" s="198"/>
      <c r="OEY53" s="198"/>
      <c r="OEZ53" s="198"/>
      <c r="OFA53" s="198"/>
      <c r="OFB53" s="198"/>
      <c r="OFC53" s="198"/>
      <c r="OFD53" s="198"/>
      <c r="OFE53" s="198"/>
      <c r="OFF53" s="198"/>
      <c r="OFG53" s="198"/>
      <c r="OFH53" s="198"/>
      <c r="OFI53" s="198"/>
      <c r="OFJ53" s="198"/>
      <c r="OFK53" s="198"/>
      <c r="OFL53" s="198"/>
      <c r="OFM53" s="198"/>
      <c r="OFN53" s="198"/>
      <c r="OFO53" s="198"/>
      <c r="OFP53" s="198"/>
      <c r="OFQ53" s="198"/>
      <c r="OFR53" s="198"/>
      <c r="OFS53" s="198"/>
      <c r="OFT53" s="198"/>
      <c r="OFU53" s="198"/>
      <c r="OFV53" s="198"/>
      <c r="OFW53" s="198"/>
      <c r="OFX53" s="198"/>
      <c r="OFY53" s="198"/>
      <c r="OFZ53" s="198"/>
      <c r="OGA53" s="198"/>
      <c r="OGB53" s="198"/>
      <c r="OGC53" s="198"/>
      <c r="OGD53" s="198"/>
      <c r="OGE53" s="198"/>
      <c r="OGF53" s="198"/>
      <c r="OGG53" s="198"/>
      <c r="OGH53" s="198"/>
      <c r="OGI53" s="198"/>
      <c r="OGJ53" s="198"/>
      <c r="OGK53" s="198"/>
      <c r="OGL53" s="198"/>
      <c r="OGM53" s="198"/>
      <c r="OGN53" s="198"/>
      <c r="OGO53" s="198"/>
      <c r="OGP53" s="198"/>
      <c r="OGQ53" s="198"/>
      <c r="OGR53" s="198"/>
      <c r="OGS53" s="198"/>
      <c r="OGT53" s="198"/>
      <c r="OGU53" s="198"/>
      <c r="OGV53" s="198"/>
      <c r="OGW53" s="198"/>
      <c r="OGX53" s="198"/>
      <c r="OGY53" s="198"/>
      <c r="OGZ53" s="198"/>
      <c r="OHA53" s="198"/>
      <c r="OHB53" s="198"/>
      <c r="OHC53" s="198"/>
      <c r="OHD53" s="198"/>
      <c r="OHE53" s="198"/>
      <c r="OHF53" s="198"/>
      <c r="OHG53" s="198"/>
      <c r="OHH53" s="198"/>
      <c r="OHI53" s="198"/>
      <c r="OHJ53" s="198"/>
      <c r="OHK53" s="198"/>
      <c r="OHL53" s="198"/>
      <c r="OHM53" s="198"/>
      <c r="OHN53" s="198"/>
      <c r="OHO53" s="198"/>
      <c r="OHP53" s="198"/>
      <c r="OHQ53" s="198"/>
      <c r="OHR53" s="198"/>
      <c r="OHS53" s="198"/>
      <c r="OHT53" s="198"/>
      <c r="OHU53" s="198"/>
      <c r="OHV53" s="198"/>
      <c r="OHW53" s="198"/>
      <c r="OHX53" s="198"/>
      <c r="OHY53" s="198"/>
      <c r="OHZ53" s="198"/>
      <c r="OIA53" s="198"/>
      <c r="OIB53" s="198"/>
      <c r="OIC53" s="198"/>
      <c r="OID53" s="198"/>
      <c r="OIE53" s="198"/>
      <c r="OIF53" s="198"/>
      <c r="OIG53" s="198"/>
      <c r="OIH53" s="198"/>
      <c r="OII53" s="198"/>
      <c r="OIJ53" s="198"/>
      <c r="OIK53" s="198"/>
      <c r="OIL53" s="198"/>
      <c r="OIM53" s="198"/>
      <c r="OIN53" s="198"/>
      <c r="OIO53" s="198"/>
      <c r="OIP53" s="198"/>
      <c r="OIQ53" s="198"/>
      <c r="OIR53" s="198"/>
      <c r="OIS53" s="198"/>
      <c r="OIT53" s="198"/>
      <c r="OIU53" s="198"/>
      <c r="OIV53" s="198"/>
      <c r="OIW53" s="198"/>
      <c r="OIX53" s="198"/>
      <c r="OIY53" s="198"/>
      <c r="OIZ53" s="198"/>
      <c r="OJA53" s="198"/>
      <c r="OJB53" s="198"/>
      <c r="OJC53" s="198"/>
      <c r="OJD53" s="198"/>
      <c r="OJE53" s="198"/>
      <c r="OJF53" s="198"/>
      <c r="OJG53" s="198"/>
      <c r="OJH53" s="198"/>
      <c r="OJI53" s="198"/>
      <c r="OJJ53" s="198"/>
      <c r="OJK53" s="198"/>
      <c r="OJL53" s="198"/>
      <c r="OJM53" s="198"/>
      <c r="OJN53" s="198"/>
      <c r="OJO53" s="198"/>
      <c r="OJP53" s="198"/>
      <c r="OJQ53" s="198"/>
      <c r="OJR53" s="198"/>
      <c r="OJS53" s="198"/>
      <c r="OJT53" s="198"/>
      <c r="OJU53" s="198"/>
      <c r="OJV53" s="198"/>
      <c r="OJW53" s="198"/>
      <c r="OJX53" s="198"/>
      <c r="OJY53" s="198"/>
      <c r="OJZ53" s="198"/>
      <c r="OKA53" s="198"/>
      <c r="OKB53" s="198"/>
      <c r="OKC53" s="198"/>
      <c r="OKD53" s="198"/>
      <c r="OKE53" s="198"/>
      <c r="OKF53" s="198"/>
      <c r="OKG53" s="198"/>
      <c r="OKH53" s="198"/>
      <c r="OKI53" s="198"/>
      <c r="OKJ53" s="198"/>
      <c r="OKK53" s="198"/>
      <c r="OKL53" s="198"/>
      <c r="OKM53" s="198"/>
      <c r="OKN53" s="198"/>
      <c r="OKO53" s="198"/>
      <c r="OKP53" s="198"/>
      <c r="OKQ53" s="198"/>
      <c r="OKR53" s="198"/>
      <c r="OKS53" s="198"/>
      <c r="OKT53" s="198"/>
      <c r="OKU53" s="198"/>
      <c r="OKV53" s="198"/>
      <c r="OKW53" s="198"/>
      <c r="OKX53" s="198"/>
      <c r="OKY53" s="198"/>
      <c r="OKZ53" s="198"/>
      <c r="OLA53" s="198"/>
      <c r="OLB53" s="198"/>
      <c r="OLC53" s="198"/>
      <c r="OLD53" s="198"/>
      <c r="OLE53" s="198"/>
      <c r="OLF53" s="198"/>
      <c r="OLG53" s="198"/>
      <c r="OLH53" s="198"/>
      <c r="OLI53" s="198"/>
      <c r="OLJ53" s="198"/>
      <c r="OLK53" s="198"/>
      <c r="OLL53" s="198"/>
      <c r="OLM53" s="198"/>
      <c r="OLN53" s="198"/>
      <c r="OLO53" s="198"/>
      <c r="OLP53" s="198"/>
      <c r="OLQ53" s="198"/>
      <c r="OLR53" s="198"/>
      <c r="OLS53" s="198"/>
      <c r="OLT53" s="198"/>
      <c r="OLU53" s="198"/>
      <c r="OLV53" s="198"/>
      <c r="OLW53" s="198"/>
      <c r="OLX53" s="198"/>
      <c r="OLY53" s="198"/>
      <c r="OLZ53" s="198"/>
      <c r="OMA53" s="198"/>
      <c r="OMB53" s="198"/>
      <c r="OMC53" s="198"/>
      <c r="OMD53" s="198"/>
      <c r="OME53" s="198"/>
      <c r="OMF53" s="198"/>
      <c r="OMG53" s="198"/>
      <c r="OMH53" s="198"/>
      <c r="OMI53" s="198"/>
      <c r="OMJ53" s="198"/>
      <c r="OMK53" s="198"/>
      <c r="OML53" s="198"/>
      <c r="OMM53" s="198"/>
      <c r="OMN53" s="198"/>
      <c r="OMO53" s="198"/>
      <c r="OMP53" s="198"/>
      <c r="OMQ53" s="198"/>
      <c r="OMR53" s="198"/>
      <c r="OMS53" s="198"/>
      <c r="OMT53" s="198"/>
      <c r="OMU53" s="198"/>
      <c r="OMV53" s="198"/>
      <c r="OMW53" s="198"/>
      <c r="OMX53" s="198"/>
      <c r="OMY53" s="198"/>
      <c r="OMZ53" s="198"/>
      <c r="ONA53" s="198"/>
      <c r="ONB53" s="198"/>
      <c r="ONC53" s="198"/>
      <c r="OND53" s="198"/>
      <c r="ONE53" s="198"/>
      <c r="ONF53" s="198"/>
      <c r="ONG53" s="198"/>
      <c r="ONH53" s="198"/>
      <c r="ONI53" s="198"/>
      <c r="ONJ53" s="198"/>
      <c r="ONK53" s="198"/>
      <c r="ONL53" s="198"/>
      <c r="ONM53" s="198"/>
      <c r="ONN53" s="198"/>
      <c r="ONO53" s="198"/>
      <c r="ONP53" s="198"/>
      <c r="ONQ53" s="198"/>
      <c r="ONR53" s="198"/>
      <c r="ONS53" s="198"/>
      <c r="ONT53" s="198"/>
      <c r="ONU53" s="198"/>
      <c r="ONV53" s="198"/>
      <c r="ONW53" s="198"/>
      <c r="ONX53" s="198"/>
      <c r="ONY53" s="198"/>
      <c r="ONZ53" s="198"/>
      <c r="OOA53" s="198"/>
      <c r="OOB53" s="198"/>
      <c r="OOC53" s="198"/>
      <c r="OOD53" s="198"/>
      <c r="OOE53" s="198"/>
      <c r="OOF53" s="198"/>
      <c r="OOG53" s="198"/>
      <c r="OOH53" s="198"/>
      <c r="OOI53" s="198"/>
      <c r="OOJ53" s="198"/>
      <c r="OOK53" s="198"/>
      <c r="OOL53" s="198"/>
      <c r="OOM53" s="198"/>
      <c r="OON53" s="198"/>
      <c r="OOO53" s="198"/>
      <c r="OOP53" s="198"/>
      <c r="OOQ53" s="198"/>
      <c r="OOR53" s="198"/>
      <c r="OOS53" s="198"/>
      <c r="OOT53" s="198"/>
      <c r="OOU53" s="198"/>
      <c r="OOV53" s="198"/>
      <c r="OOW53" s="198"/>
      <c r="OOX53" s="198"/>
      <c r="OOY53" s="198"/>
      <c r="OOZ53" s="198"/>
      <c r="OPA53" s="198"/>
      <c r="OPB53" s="198"/>
      <c r="OPC53" s="198"/>
      <c r="OPD53" s="198"/>
      <c r="OPE53" s="198"/>
      <c r="OPF53" s="198"/>
      <c r="OPG53" s="198"/>
      <c r="OPH53" s="198"/>
      <c r="OPI53" s="198"/>
      <c r="OPJ53" s="198"/>
      <c r="OPK53" s="198"/>
      <c r="OPL53" s="198"/>
      <c r="OPM53" s="198"/>
      <c r="OPN53" s="198"/>
      <c r="OPO53" s="198"/>
      <c r="OPP53" s="198"/>
      <c r="OPQ53" s="198"/>
      <c r="OPR53" s="198"/>
      <c r="OPS53" s="198"/>
      <c r="OPT53" s="198"/>
      <c r="OPU53" s="198"/>
      <c r="OPV53" s="198"/>
      <c r="OPW53" s="198"/>
      <c r="OPX53" s="198"/>
      <c r="OPY53" s="198"/>
      <c r="OPZ53" s="198"/>
      <c r="OQA53" s="198"/>
      <c r="OQB53" s="198"/>
      <c r="OQC53" s="198"/>
      <c r="OQD53" s="198"/>
      <c r="OQE53" s="198"/>
      <c r="OQF53" s="198"/>
      <c r="OQG53" s="198"/>
      <c r="OQH53" s="198"/>
      <c r="OQI53" s="198"/>
      <c r="OQJ53" s="198"/>
      <c r="OQK53" s="198"/>
      <c r="OQL53" s="198"/>
      <c r="OQM53" s="198"/>
      <c r="OQN53" s="198"/>
      <c r="OQO53" s="198"/>
      <c r="OQP53" s="198"/>
      <c r="OQQ53" s="198"/>
      <c r="OQR53" s="198"/>
      <c r="OQS53" s="198"/>
      <c r="OQT53" s="198"/>
      <c r="OQU53" s="198"/>
      <c r="OQV53" s="198"/>
      <c r="OQW53" s="198"/>
      <c r="OQX53" s="198"/>
      <c r="OQY53" s="198"/>
      <c r="OQZ53" s="198"/>
      <c r="ORA53" s="198"/>
      <c r="ORB53" s="198"/>
      <c r="ORC53" s="198"/>
      <c r="ORD53" s="198"/>
      <c r="ORE53" s="198"/>
      <c r="ORF53" s="198"/>
      <c r="ORG53" s="198"/>
      <c r="ORH53" s="198"/>
      <c r="ORI53" s="198"/>
      <c r="ORJ53" s="198"/>
      <c r="ORK53" s="198"/>
      <c r="ORL53" s="198"/>
      <c r="ORM53" s="198"/>
      <c r="ORN53" s="198"/>
      <c r="ORO53" s="198"/>
      <c r="ORP53" s="198"/>
      <c r="ORQ53" s="198"/>
      <c r="ORR53" s="198"/>
      <c r="ORS53" s="198"/>
      <c r="ORT53" s="198"/>
      <c r="ORU53" s="198"/>
      <c r="ORV53" s="198"/>
      <c r="ORW53" s="198"/>
      <c r="ORX53" s="198"/>
      <c r="ORY53" s="198"/>
      <c r="ORZ53" s="198"/>
      <c r="OSA53" s="198"/>
      <c r="OSB53" s="198"/>
      <c r="OSC53" s="198"/>
      <c r="OSD53" s="198"/>
      <c r="OSE53" s="198"/>
      <c r="OSF53" s="198"/>
      <c r="OSG53" s="198"/>
      <c r="OSH53" s="198"/>
      <c r="OSI53" s="198"/>
      <c r="OSJ53" s="198"/>
      <c r="OSK53" s="198"/>
      <c r="OSL53" s="198"/>
      <c r="OSM53" s="198"/>
      <c r="OSN53" s="198"/>
      <c r="OSO53" s="198"/>
      <c r="OSP53" s="198"/>
      <c r="OSQ53" s="198"/>
      <c r="OSR53" s="198"/>
      <c r="OSS53" s="198"/>
      <c r="OST53" s="198"/>
      <c r="OSU53" s="198"/>
      <c r="OSV53" s="198"/>
      <c r="OSW53" s="198"/>
      <c r="OSX53" s="198"/>
      <c r="OSY53" s="198"/>
      <c r="OSZ53" s="198"/>
      <c r="OTA53" s="198"/>
      <c r="OTB53" s="198"/>
      <c r="OTC53" s="198"/>
      <c r="OTD53" s="198"/>
      <c r="OTE53" s="198"/>
      <c r="OTF53" s="198"/>
      <c r="OTG53" s="198"/>
      <c r="OTH53" s="198"/>
      <c r="OTI53" s="198"/>
      <c r="OTJ53" s="198"/>
      <c r="OTK53" s="198"/>
      <c r="OTL53" s="198"/>
      <c r="OTM53" s="198"/>
      <c r="OTN53" s="198"/>
      <c r="OTO53" s="198"/>
      <c r="OTP53" s="198"/>
      <c r="OTQ53" s="198"/>
      <c r="OTR53" s="198"/>
      <c r="OTS53" s="198"/>
      <c r="OTT53" s="198"/>
      <c r="OTU53" s="198"/>
      <c r="OTV53" s="198"/>
      <c r="OTW53" s="198"/>
      <c r="OTX53" s="198"/>
      <c r="OTY53" s="198"/>
      <c r="OTZ53" s="198"/>
      <c r="OUA53" s="198"/>
      <c r="OUB53" s="198"/>
      <c r="OUC53" s="198"/>
      <c r="OUD53" s="198"/>
      <c r="OUE53" s="198"/>
      <c r="OUF53" s="198"/>
      <c r="OUG53" s="198"/>
      <c r="OUH53" s="198"/>
      <c r="OUI53" s="198"/>
      <c r="OUJ53" s="198"/>
      <c r="OUK53" s="198"/>
      <c r="OUL53" s="198"/>
      <c r="OUM53" s="198"/>
      <c r="OUN53" s="198"/>
      <c r="OUO53" s="198"/>
      <c r="OUP53" s="198"/>
      <c r="OUQ53" s="198"/>
      <c r="OUR53" s="198"/>
      <c r="OUS53" s="198"/>
      <c r="OUT53" s="198"/>
      <c r="OUU53" s="198"/>
      <c r="OUV53" s="198"/>
      <c r="OUW53" s="198"/>
      <c r="OUX53" s="198"/>
      <c r="OUY53" s="198"/>
      <c r="OUZ53" s="198"/>
      <c r="OVA53" s="198"/>
      <c r="OVB53" s="198"/>
      <c r="OVC53" s="198"/>
      <c r="OVD53" s="198"/>
      <c r="OVE53" s="198"/>
      <c r="OVF53" s="198"/>
      <c r="OVG53" s="198"/>
      <c r="OVH53" s="198"/>
      <c r="OVI53" s="198"/>
      <c r="OVJ53" s="198"/>
      <c r="OVK53" s="198"/>
      <c r="OVL53" s="198"/>
      <c r="OVM53" s="198"/>
      <c r="OVN53" s="198"/>
      <c r="OVO53" s="198"/>
      <c r="OVP53" s="198"/>
      <c r="OVQ53" s="198"/>
      <c r="OVR53" s="198"/>
      <c r="OVS53" s="198"/>
      <c r="OVT53" s="198"/>
      <c r="OVU53" s="198"/>
      <c r="OVV53" s="198"/>
      <c r="OVW53" s="198"/>
      <c r="OVX53" s="198"/>
      <c r="OVY53" s="198"/>
      <c r="OVZ53" s="198"/>
      <c r="OWA53" s="198"/>
      <c r="OWB53" s="198"/>
      <c r="OWC53" s="198"/>
      <c r="OWD53" s="198"/>
      <c r="OWE53" s="198"/>
      <c r="OWF53" s="198"/>
      <c r="OWG53" s="198"/>
      <c r="OWH53" s="198"/>
      <c r="OWI53" s="198"/>
      <c r="OWJ53" s="198"/>
      <c r="OWK53" s="198"/>
      <c r="OWL53" s="198"/>
      <c r="OWM53" s="198"/>
      <c r="OWN53" s="198"/>
      <c r="OWO53" s="198"/>
      <c r="OWP53" s="198"/>
      <c r="OWQ53" s="198"/>
      <c r="OWR53" s="198"/>
      <c r="OWS53" s="198"/>
      <c r="OWT53" s="198"/>
      <c r="OWU53" s="198"/>
      <c r="OWV53" s="198"/>
      <c r="OWW53" s="198"/>
      <c r="OWX53" s="198"/>
      <c r="OWY53" s="198"/>
      <c r="OWZ53" s="198"/>
      <c r="OXA53" s="198"/>
      <c r="OXB53" s="198"/>
      <c r="OXC53" s="198"/>
      <c r="OXD53" s="198"/>
      <c r="OXE53" s="198"/>
      <c r="OXF53" s="198"/>
      <c r="OXG53" s="198"/>
      <c r="OXH53" s="198"/>
      <c r="OXI53" s="198"/>
      <c r="OXJ53" s="198"/>
      <c r="OXK53" s="198"/>
      <c r="OXL53" s="198"/>
      <c r="OXM53" s="198"/>
      <c r="OXN53" s="198"/>
      <c r="OXO53" s="198"/>
      <c r="OXP53" s="198"/>
      <c r="OXQ53" s="198"/>
      <c r="OXR53" s="198"/>
      <c r="OXS53" s="198"/>
      <c r="OXT53" s="198"/>
      <c r="OXU53" s="198"/>
      <c r="OXV53" s="198"/>
      <c r="OXW53" s="198"/>
      <c r="OXX53" s="198"/>
      <c r="OXY53" s="198"/>
      <c r="OXZ53" s="198"/>
      <c r="OYA53" s="198"/>
      <c r="OYB53" s="198"/>
      <c r="OYC53" s="198"/>
      <c r="OYD53" s="198"/>
      <c r="OYE53" s="198"/>
      <c r="OYF53" s="198"/>
      <c r="OYG53" s="198"/>
      <c r="OYH53" s="198"/>
      <c r="OYI53" s="198"/>
      <c r="OYJ53" s="198"/>
      <c r="OYK53" s="198"/>
      <c r="OYL53" s="198"/>
      <c r="OYM53" s="198"/>
      <c r="OYN53" s="198"/>
      <c r="OYO53" s="198"/>
      <c r="OYP53" s="198"/>
      <c r="OYQ53" s="198"/>
      <c r="OYR53" s="198"/>
      <c r="OYS53" s="198"/>
      <c r="OYT53" s="198"/>
      <c r="OYU53" s="198"/>
      <c r="OYV53" s="198"/>
      <c r="OYW53" s="198"/>
      <c r="OYX53" s="198"/>
      <c r="OYY53" s="198"/>
      <c r="OYZ53" s="198"/>
      <c r="OZA53" s="198"/>
      <c r="OZB53" s="198"/>
      <c r="OZC53" s="198"/>
      <c r="OZD53" s="198"/>
      <c r="OZE53" s="198"/>
      <c r="OZF53" s="198"/>
      <c r="OZG53" s="198"/>
      <c r="OZH53" s="198"/>
      <c r="OZI53" s="198"/>
      <c r="OZJ53" s="198"/>
      <c r="OZK53" s="198"/>
      <c r="OZL53" s="198"/>
      <c r="OZM53" s="198"/>
      <c r="OZN53" s="198"/>
      <c r="OZO53" s="198"/>
      <c r="OZP53" s="198"/>
      <c r="OZQ53" s="198"/>
      <c r="OZR53" s="198"/>
      <c r="OZS53" s="198"/>
      <c r="OZT53" s="198"/>
      <c r="OZU53" s="198"/>
      <c r="OZV53" s="198"/>
      <c r="OZW53" s="198"/>
      <c r="OZX53" s="198"/>
      <c r="OZY53" s="198"/>
      <c r="OZZ53" s="198"/>
      <c r="PAA53" s="198"/>
      <c r="PAB53" s="198"/>
      <c r="PAC53" s="198"/>
      <c r="PAD53" s="198"/>
      <c r="PAE53" s="198"/>
      <c r="PAF53" s="198"/>
      <c r="PAG53" s="198"/>
      <c r="PAH53" s="198"/>
      <c r="PAI53" s="198"/>
      <c r="PAJ53" s="198"/>
      <c r="PAK53" s="198"/>
      <c r="PAL53" s="198"/>
      <c r="PAM53" s="198"/>
      <c r="PAN53" s="198"/>
      <c r="PAO53" s="198"/>
      <c r="PAP53" s="198"/>
      <c r="PAQ53" s="198"/>
      <c r="PAR53" s="198"/>
      <c r="PAS53" s="198"/>
      <c r="PAT53" s="198"/>
      <c r="PAU53" s="198"/>
      <c r="PAV53" s="198"/>
      <c r="PAW53" s="198"/>
      <c r="PAX53" s="198"/>
      <c r="PAY53" s="198"/>
      <c r="PAZ53" s="198"/>
      <c r="PBA53" s="198"/>
      <c r="PBB53" s="198"/>
      <c r="PBC53" s="198"/>
      <c r="PBD53" s="198"/>
      <c r="PBE53" s="198"/>
      <c r="PBF53" s="198"/>
      <c r="PBG53" s="198"/>
      <c r="PBH53" s="198"/>
      <c r="PBI53" s="198"/>
      <c r="PBJ53" s="198"/>
      <c r="PBK53" s="198"/>
      <c r="PBL53" s="198"/>
      <c r="PBM53" s="198"/>
      <c r="PBN53" s="198"/>
      <c r="PBO53" s="198"/>
      <c r="PBP53" s="198"/>
      <c r="PBQ53" s="198"/>
      <c r="PBR53" s="198"/>
      <c r="PBS53" s="198"/>
      <c r="PBT53" s="198"/>
      <c r="PBU53" s="198"/>
      <c r="PBV53" s="198"/>
      <c r="PBW53" s="198"/>
      <c r="PBX53" s="198"/>
      <c r="PBY53" s="198"/>
      <c r="PBZ53" s="198"/>
      <c r="PCA53" s="198"/>
      <c r="PCB53" s="198"/>
      <c r="PCC53" s="198"/>
      <c r="PCD53" s="198"/>
      <c r="PCE53" s="198"/>
      <c r="PCF53" s="198"/>
      <c r="PCG53" s="198"/>
      <c r="PCH53" s="198"/>
      <c r="PCI53" s="198"/>
      <c r="PCJ53" s="198"/>
      <c r="PCK53" s="198"/>
      <c r="PCL53" s="198"/>
      <c r="PCM53" s="198"/>
      <c r="PCN53" s="198"/>
      <c r="PCO53" s="198"/>
      <c r="PCP53" s="198"/>
      <c r="PCQ53" s="198"/>
      <c r="PCR53" s="198"/>
      <c r="PCS53" s="198"/>
      <c r="PCT53" s="198"/>
      <c r="PCU53" s="198"/>
      <c r="PCV53" s="198"/>
      <c r="PCW53" s="198"/>
      <c r="PCX53" s="198"/>
      <c r="PCY53" s="198"/>
      <c r="PCZ53" s="198"/>
      <c r="PDA53" s="198"/>
      <c r="PDB53" s="198"/>
      <c r="PDC53" s="198"/>
      <c r="PDD53" s="198"/>
      <c r="PDE53" s="198"/>
      <c r="PDF53" s="198"/>
      <c r="PDG53" s="198"/>
      <c r="PDH53" s="198"/>
      <c r="PDI53" s="198"/>
      <c r="PDJ53" s="198"/>
      <c r="PDK53" s="198"/>
      <c r="PDL53" s="198"/>
      <c r="PDM53" s="198"/>
      <c r="PDN53" s="198"/>
      <c r="PDO53" s="198"/>
      <c r="PDP53" s="198"/>
      <c r="PDQ53" s="198"/>
      <c r="PDR53" s="198"/>
      <c r="PDS53" s="198"/>
      <c r="PDT53" s="198"/>
      <c r="PDU53" s="198"/>
      <c r="PDV53" s="198"/>
      <c r="PDW53" s="198"/>
      <c r="PDX53" s="198"/>
      <c r="PDY53" s="198"/>
      <c r="PDZ53" s="198"/>
      <c r="PEA53" s="198"/>
      <c r="PEB53" s="198"/>
      <c r="PEC53" s="198"/>
      <c r="PED53" s="198"/>
      <c r="PEE53" s="198"/>
      <c r="PEF53" s="198"/>
      <c r="PEG53" s="198"/>
      <c r="PEH53" s="198"/>
      <c r="PEI53" s="198"/>
      <c r="PEJ53" s="198"/>
      <c r="PEK53" s="198"/>
      <c r="PEL53" s="198"/>
      <c r="PEM53" s="198"/>
      <c r="PEN53" s="198"/>
      <c r="PEO53" s="198"/>
      <c r="PEP53" s="198"/>
      <c r="PEQ53" s="198"/>
      <c r="PER53" s="198"/>
      <c r="PES53" s="198"/>
      <c r="PET53" s="198"/>
      <c r="PEU53" s="198"/>
      <c r="PEV53" s="198"/>
      <c r="PEW53" s="198"/>
      <c r="PEX53" s="198"/>
      <c r="PEY53" s="198"/>
      <c r="PEZ53" s="198"/>
      <c r="PFA53" s="198"/>
      <c r="PFB53" s="198"/>
      <c r="PFC53" s="198"/>
      <c r="PFD53" s="198"/>
      <c r="PFE53" s="198"/>
      <c r="PFF53" s="198"/>
      <c r="PFG53" s="198"/>
      <c r="PFH53" s="198"/>
      <c r="PFI53" s="198"/>
      <c r="PFJ53" s="198"/>
      <c r="PFK53" s="198"/>
      <c r="PFL53" s="198"/>
      <c r="PFM53" s="198"/>
      <c r="PFN53" s="198"/>
      <c r="PFO53" s="198"/>
      <c r="PFP53" s="198"/>
      <c r="PFQ53" s="198"/>
      <c r="PFR53" s="198"/>
      <c r="PFS53" s="198"/>
      <c r="PFT53" s="198"/>
      <c r="PFU53" s="198"/>
      <c r="PFV53" s="198"/>
      <c r="PFW53" s="198"/>
      <c r="PFX53" s="198"/>
      <c r="PFY53" s="198"/>
      <c r="PFZ53" s="198"/>
      <c r="PGA53" s="198"/>
      <c r="PGB53" s="198"/>
      <c r="PGC53" s="198"/>
      <c r="PGD53" s="198"/>
      <c r="PGE53" s="198"/>
      <c r="PGF53" s="198"/>
      <c r="PGG53" s="198"/>
      <c r="PGH53" s="198"/>
      <c r="PGI53" s="198"/>
      <c r="PGJ53" s="198"/>
      <c r="PGK53" s="198"/>
      <c r="PGL53" s="198"/>
      <c r="PGM53" s="198"/>
      <c r="PGN53" s="198"/>
      <c r="PGO53" s="198"/>
      <c r="PGP53" s="198"/>
      <c r="PGQ53" s="198"/>
      <c r="PGR53" s="198"/>
      <c r="PGS53" s="198"/>
      <c r="PGT53" s="198"/>
      <c r="PGU53" s="198"/>
      <c r="PGV53" s="198"/>
      <c r="PGW53" s="198"/>
      <c r="PGX53" s="198"/>
      <c r="PGY53" s="198"/>
      <c r="PGZ53" s="198"/>
      <c r="PHA53" s="198"/>
      <c r="PHB53" s="198"/>
      <c r="PHC53" s="198"/>
      <c r="PHD53" s="198"/>
      <c r="PHE53" s="198"/>
      <c r="PHF53" s="198"/>
      <c r="PHG53" s="198"/>
      <c r="PHH53" s="198"/>
      <c r="PHI53" s="198"/>
      <c r="PHJ53" s="198"/>
      <c r="PHK53" s="198"/>
      <c r="PHL53" s="198"/>
      <c r="PHM53" s="198"/>
      <c r="PHN53" s="198"/>
      <c r="PHO53" s="198"/>
      <c r="PHP53" s="198"/>
      <c r="PHQ53" s="198"/>
      <c r="PHR53" s="198"/>
      <c r="PHS53" s="198"/>
      <c r="PHT53" s="198"/>
      <c r="PHU53" s="198"/>
      <c r="PHV53" s="198"/>
      <c r="PHW53" s="198"/>
      <c r="PHX53" s="198"/>
      <c r="PHY53" s="198"/>
      <c r="PHZ53" s="198"/>
      <c r="PIA53" s="198"/>
      <c r="PIB53" s="198"/>
      <c r="PIC53" s="198"/>
      <c r="PID53" s="198"/>
      <c r="PIE53" s="198"/>
      <c r="PIF53" s="198"/>
      <c r="PIG53" s="198"/>
      <c r="PIH53" s="198"/>
      <c r="PII53" s="198"/>
      <c r="PIJ53" s="198"/>
      <c r="PIK53" s="198"/>
      <c r="PIL53" s="198"/>
      <c r="PIM53" s="198"/>
      <c r="PIN53" s="198"/>
      <c r="PIO53" s="198"/>
      <c r="PIP53" s="198"/>
      <c r="PIQ53" s="198"/>
      <c r="PIR53" s="198"/>
      <c r="PIS53" s="198"/>
      <c r="PIT53" s="198"/>
      <c r="PIU53" s="198"/>
      <c r="PIV53" s="198"/>
      <c r="PIW53" s="198"/>
      <c r="PIX53" s="198"/>
      <c r="PIY53" s="198"/>
      <c r="PIZ53" s="198"/>
      <c r="PJA53" s="198"/>
      <c r="PJB53" s="198"/>
      <c r="PJC53" s="198"/>
      <c r="PJD53" s="198"/>
      <c r="PJE53" s="198"/>
      <c r="PJF53" s="198"/>
      <c r="PJG53" s="198"/>
      <c r="PJH53" s="198"/>
      <c r="PJI53" s="198"/>
      <c r="PJJ53" s="198"/>
      <c r="PJK53" s="198"/>
      <c r="PJL53" s="198"/>
      <c r="PJM53" s="198"/>
      <c r="PJN53" s="198"/>
      <c r="PJO53" s="198"/>
      <c r="PJP53" s="198"/>
      <c r="PJQ53" s="198"/>
      <c r="PJR53" s="198"/>
      <c r="PJS53" s="198"/>
      <c r="PJT53" s="198"/>
      <c r="PJU53" s="198"/>
      <c r="PJV53" s="198"/>
      <c r="PJW53" s="198"/>
      <c r="PJX53" s="198"/>
      <c r="PJY53" s="198"/>
      <c r="PJZ53" s="198"/>
      <c r="PKA53" s="198"/>
      <c r="PKB53" s="198"/>
      <c r="PKC53" s="198"/>
      <c r="PKD53" s="198"/>
      <c r="PKE53" s="198"/>
      <c r="PKF53" s="198"/>
      <c r="PKG53" s="198"/>
      <c r="PKH53" s="198"/>
      <c r="PKI53" s="198"/>
      <c r="PKJ53" s="198"/>
      <c r="PKK53" s="198"/>
      <c r="PKL53" s="198"/>
      <c r="PKM53" s="198"/>
      <c r="PKN53" s="198"/>
      <c r="PKO53" s="198"/>
      <c r="PKP53" s="198"/>
      <c r="PKQ53" s="198"/>
      <c r="PKR53" s="198"/>
      <c r="PKS53" s="198"/>
      <c r="PKT53" s="198"/>
      <c r="PKU53" s="198"/>
      <c r="PKV53" s="198"/>
      <c r="PKW53" s="198"/>
      <c r="PKX53" s="198"/>
      <c r="PKY53" s="198"/>
      <c r="PKZ53" s="198"/>
      <c r="PLA53" s="198"/>
      <c r="PLB53" s="198"/>
      <c r="PLC53" s="198"/>
      <c r="PLD53" s="198"/>
      <c r="PLE53" s="198"/>
      <c r="PLF53" s="198"/>
      <c r="PLG53" s="198"/>
      <c r="PLH53" s="198"/>
      <c r="PLI53" s="198"/>
      <c r="PLJ53" s="198"/>
      <c r="PLK53" s="198"/>
      <c r="PLL53" s="198"/>
      <c r="PLM53" s="198"/>
      <c r="PLN53" s="198"/>
      <c r="PLO53" s="198"/>
      <c r="PLP53" s="198"/>
      <c r="PLQ53" s="198"/>
      <c r="PLR53" s="198"/>
      <c r="PLS53" s="198"/>
      <c r="PLT53" s="198"/>
      <c r="PLU53" s="198"/>
      <c r="PLV53" s="198"/>
      <c r="PLW53" s="198"/>
      <c r="PLX53" s="198"/>
      <c r="PLY53" s="198"/>
      <c r="PLZ53" s="198"/>
      <c r="PMA53" s="198"/>
      <c r="PMB53" s="198"/>
      <c r="PMC53" s="198"/>
      <c r="PMD53" s="198"/>
      <c r="PME53" s="198"/>
      <c r="PMF53" s="198"/>
      <c r="PMG53" s="198"/>
      <c r="PMH53" s="198"/>
      <c r="PMI53" s="198"/>
      <c r="PMJ53" s="198"/>
      <c r="PMK53" s="198"/>
      <c r="PML53" s="198"/>
      <c r="PMM53" s="198"/>
      <c r="PMN53" s="198"/>
      <c r="PMO53" s="198"/>
      <c r="PMP53" s="198"/>
      <c r="PMQ53" s="198"/>
      <c r="PMR53" s="198"/>
      <c r="PMS53" s="198"/>
      <c r="PMT53" s="198"/>
      <c r="PMU53" s="198"/>
      <c r="PMV53" s="198"/>
      <c r="PMW53" s="198"/>
      <c r="PMX53" s="198"/>
      <c r="PMY53" s="198"/>
      <c r="PMZ53" s="198"/>
      <c r="PNA53" s="198"/>
      <c r="PNB53" s="198"/>
      <c r="PNC53" s="198"/>
      <c r="PND53" s="198"/>
      <c r="PNE53" s="198"/>
      <c r="PNF53" s="198"/>
      <c r="PNG53" s="198"/>
      <c r="PNH53" s="198"/>
      <c r="PNI53" s="198"/>
      <c r="PNJ53" s="198"/>
      <c r="PNK53" s="198"/>
      <c r="PNL53" s="198"/>
      <c r="PNM53" s="198"/>
      <c r="PNN53" s="198"/>
      <c r="PNO53" s="198"/>
      <c r="PNP53" s="198"/>
      <c r="PNQ53" s="198"/>
      <c r="PNR53" s="198"/>
      <c r="PNS53" s="198"/>
      <c r="PNT53" s="198"/>
      <c r="PNU53" s="198"/>
      <c r="PNV53" s="198"/>
      <c r="PNW53" s="198"/>
      <c r="PNX53" s="198"/>
      <c r="PNY53" s="198"/>
      <c r="PNZ53" s="198"/>
      <c r="POA53" s="198"/>
      <c r="POB53" s="198"/>
      <c r="POC53" s="198"/>
      <c r="POD53" s="198"/>
      <c r="POE53" s="198"/>
      <c r="POF53" s="198"/>
      <c r="POG53" s="198"/>
      <c r="POH53" s="198"/>
      <c r="POI53" s="198"/>
      <c r="POJ53" s="198"/>
      <c r="POK53" s="198"/>
      <c r="POL53" s="198"/>
      <c r="POM53" s="198"/>
      <c r="PON53" s="198"/>
      <c r="POO53" s="198"/>
      <c r="POP53" s="198"/>
      <c r="POQ53" s="198"/>
      <c r="POR53" s="198"/>
      <c r="POS53" s="198"/>
      <c r="POT53" s="198"/>
      <c r="POU53" s="198"/>
      <c r="POV53" s="198"/>
      <c r="POW53" s="198"/>
      <c r="POX53" s="198"/>
      <c r="POY53" s="198"/>
      <c r="POZ53" s="198"/>
      <c r="PPA53" s="198"/>
      <c r="PPB53" s="198"/>
      <c r="PPC53" s="198"/>
      <c r="PPD53" s="198"/>
      <c r="PPE53" s="198"/>
      <c r="PPF53" s="198"/>
      <c r="PPG53" s="198"/>
      <c r="PPH53" s="198"/>
      <c r="PPI53" s="198"/>
      <c r="PPJ53" s="198"/>
      <c r="PPK53" s="198"/>
      <c r="PPL53" s="198"/>
      <c r="PPM53" s="198"/>
      <c r="PPN53" s="198"/>
      <c r="PPO53" s="198"/>
      <c r="PPP53" s="198"/>
      <c r="PPQ53" s="198"/>
      <c r="PPR53" s="198"/>
      <c r="PPS53" s="198"/>
      <c r="PPT53" s="198"/>
      <c r="PPU53" s="198"/>
      <c r="PPV53" s="198"/>
      <c r="PPW53" s="198"/>
      <c r="PPX53" s="198"/>
      <c r="PPY53" s="198"/>
      <c r="PPZ53" s="198"/>
      <c r="PQA53" s="198"/>
      <c r="PQB53" s="198"/>
      <c r="PQC53" s="198"/>
      <c r="PQD53" s="198"/>
      <c r="PQE53" s="198"/>
      <c r="PQF53" s="198"/>
      <c r="PQG53" s="198"/>
      <c r="PQH53" s="198"/>
      <c r="PQI53" s="198"/>
      <c r="PQJ53" s="198"/>
      <c r="PQK53" s="198"/>
      <c r="PQL53" s="198"/>
      <c r="PQM53" s="198"/>
      <c r="PQN53" s="198"/>
      <c r="PQO53" s="198"/>
      <c r="PQP53" s="198"/>
      <c r="PQQ53" s="198"/>
      <c r="PQR53" s="198"/>
      <c r="PQS53" s="198"/>
      <c r="PQT53" s="198"/>
      <c r="PQU53" s="198"/>
      <c r="PQV53" s="198"/>
      <c r="PQW53" s="198"/>
      <c r="PQX53" s="198"/>
      <c r="PQY53" s="198"/>
      <c r="PQZ53" s="198"/>
      <c r="PRA53" s="198"/>
      <c r="PRB53" s="198"/>
      <c r="PRC53" s="198"/>
      <c r="PRD53" s="198"/>
      <c r="PRE53" s="198"/>
      <c r="PRF53" s="198"/>
      <c r="PRG53" s="198"/>
      <c r="PRH53" s="198"/>
      <c r="PRI53" s="198"/>
      <c r="PRJ53" s="198"/>
      <c r="PRK53" s="198"/>
      <c r="PRL53" s="198"/>
      <c r="PRM53" s="198"/>
      <c r="PRN53" s="198"/>
      <c r="PRO53" s="198"/>
      <c r="PRP53" s="198"/>
      <c r="PRQ53" s="198"/>
      <c r="PRR53" s="198"/>
      <c r="PRS53" s="198"/>
      <c r="PRT53" s="198"/>
      <c r="PRU53" s="198"/>
      <c r="PRV53" s="198"/>
      <c r="PRW53" s="198"/>
      <c r="PRX53" s="198"/>
      <c r="PRY53" s="198"/>
      <c r="PRZ53" s="198"/>
      <c r="PSA53" s="198"/>
      <c r="PSB53" s="198"/>
      <c r="PSC53" s="198"/>
      <c r="PSD53" s="198"/>
      <c r="PSE53" s="198"/>
      <c r="PSF53" s="198"/>
      <c r="PSG53" s="198"/>
      <c r="PSH53" s="198"/>
      <c r="PSI53" s="198"/>
      <c r="PSJ53" s="198"/>
      <c r="PSK53" s="198"/>
      <c r="PSL53" s="198"/>
      <c r="PSM53" s="198"/>
      <c r="PSN53" s="198"/>
      <c r="PSO53" s="198"/>
      <c r="PSP53" s="198"/>
      <c r="PSQ53" s="198"/>
      <c r="PSR53" s="198"/>
      <c r="PSS53" s="198"/>
      <c r="PST53" s="198"/>
      <c r="PSU53" s="198"/>
      <c r="PSV53" s="198"/>
      <c r="PSW53" s="198"/>
      <c r="PSX53" s="198"/>
      <c r="PSY53" s="198"/>
      <c r="PSZ53" s="198"/>
      <c r="PTA53" s="198"/>
      <c r="PTB53" s="198"/>
      <c r="PTC53" s="198"/>
      <c r="PTD53" s="198"/>
      <c r="PTE53" s="198"/>
      <c r="PTF53" s="198"/>
      <c r="PTG53" s="198"/>
      <c r="PTH53" s="198"/>
      <c r="PTI53" s="198"/>
      <c r="PTJ53" s="198"/>
      <c r="PTK53" s="198"/>
      <c r="PTL53" s="198"/>
      <c r="PTM53" s="198"/>
      <c r="PTN53" s="198"/>
      <c r="PTO53" s="198"/>
      <c r="PTP53" s="198"/>
      <c r="PTQ53" s="198"/>
      <c r="PTR53" s="198"/>
      <c r="PTS53" s="198"/>
      <c r="PTT53" s="198"/>
      <c r="PTU53" s="198"/>
      <c r="PTV53" s="198"/>
      <c r="PTW53" s="198"/>
      <c r="PTX53" s="198"/>
      <c r="PTY53" s="198"/>
      <c r="PTZ53" s="198"/>
      <c r="PUA53" s="198"/>
      <c r="PUB53" s="198"/>
      <c r="PUC53" s="198"/>
      <c r="PUD53" s="198"/>
      <c r="PUE53" s="198"/>
      <c r="PUF53" s="198"/>
      <c r="PUG53" s="198"/>
      <c r="PUH53" s="198"/>
      <c r="PUI53" s="198"/>
      <c r="PUJ53" s="198"/>
      <c r="PUK53" s="198"/>
      <c r="PUL53" s="198"/>
      <c r="PUM53" s="198"/>
      <c r="PUN53" s="198"/>
      <c r="PUO53" s="198"/>
      <c r="PUP53" s="198"/>
      <c r="PUQ53" s="198"/>
      <c r="PUR53" s="198"/>
      <c r="PUS53" s="198"/>
      <c r="PUT53" s="198"/>
      <c r="PUU53" s="198"/>
      <c r="PUV53" s="198"/>
      <c r="PUW53" s="198"/>
      <c r="PUX53" s="198"/>
      <c r="PUY53" s="198"/>
      <c r="PUZ53" s="198"/>
      <c r="PVA53" s="198"/>
      <c r="PVB53" s="198"/>
      <c r="PVC53" s="198"/>
      <c r="PVD53" s="198"/>
      <c r="PVE53" s="198"/>
      <c r="PVF53" s="198"/>
      <c r="PVG53" s="198"/>
      <c r="PVH53" s="198"/>
      <c r="PVI53" s="198"/>
      <c r="PVJ53" s="198"/>
      <c r="PVK53" s="198"/>
      <c r="PVL53" s="198"/>
      <c r="PVM53" s="198"/>
      <c r="PVN53" s="198"/>
      <c r="PVO53" s="198"/>
      <c r="PVP53" s="198"/>
      <c r="PVQ53" s="198"/>
      <c r="PVR53" s="198"/>
      <c r="PVS53" s="198"/>
      <c r="PVT53" s="198"/>
      <c r="PVU53" s="198"/>
      <c r="PVV53" s="198"/>
      <c r="PVW53" s="198"/>
      <c r="PVX53" s="198"/>
      <c r="PVY53" s="198"/>
      <c r="PVZ53" s="198"/>
      <c r="PWA53" s="198"/>
      <c r="PWB53" s="198"/>
      <c r="PWC53" s="198"/>
      <c r="PWD53" s="198"/>
      <c r="PWE53" s="198"/>
      <c r="PWF53" s="198"/>
      <c r="PWG53" s="198"/>
      <c r="PWH53" s="198"/>
      <c r="PWI53" s="198"/>
      <c r="PWJ53" s="198"/>
      <c r="PWK53" s="198"/>
      <c r="PWL53" s="198"/>
      <c r="PWM53" s="198"/>
      <c r="PWN53" s="198"/>
      <c r="PWO53" s="198"/>
      <c r="PWP53" s="198"/>
      <c r="PWQ53" s="198"/>
      <c r="PWR53" s="198"/>
      <c r="PWS53" s="198"/>
      <c r="PWT53" s="198"/>
      <c r="PWU53" s="198"/>
      <c r="PWV53" s="198"/>
      <c r="PWW53" s="198"/>
      <c r="PWX53" s="198"/>
      <c r="PWY53" s="198"/>
      <c r="PWZ53" s="198"/>
      <c r="PXA53" s="198"/>
      <c r="PXB53" s="198"/>
      <c r="PXC53" s="198"/>
      <c r="PXD53" s="198"/>
      <c r="PXE53" s="198"/>
      <c r="PXF53" s="198"/>
      <c r="PXG53" s="198"/>
      <c r="PXH53" s="198"/>
      <c r="PXI53" s="198"/>
      <c r="PXJ53" s="198"/>
      <c r="PXK53" s="198"/>
      <c r="PXL53" s="198"/>
      <c r="PXM53" s="198"/>
      <c r="PXN53" s="198"/>
      <c r="PXO53" s="198"/>
      <c r="PXP53" s="198"/>
      <c r="PXQ53" s="198"/>
      <c r="PXR53" s="198"/>
      <c r="PXS53" s="198"/>
      <c r="PXT53" s="198"/>
      <c r="PXU53" s="198"/>
      <c r="PXV53" s="198"/>
      <c r="PXW53" s="198"/>
      <c r="PXX53" s="198"/>
      <c r="PXY53" s="198"/>
      <c r="PXZ53" s="198"/>
      <c r="PYA53" s="198"/>
      <c r="PYB53" s="198"/>
      <c r="PYC53" s="198"/>
      <c r="PYD53" s="198"/>
      <c r="PYE53" s="198"/>
      <c r="PYF53" s="198"/>
      <c r="PYG53" s="198"/>
      <c r="PYH53" s="198"/>
      <c r="PYI53" s="198"/>
      <c r="PYJ53" s="198"/>
      <c r="PYK53" s="198"/>
      <c r="PYL53" s="198"/>
      <c r="PYM53" s="198"/>
      <c r="PYN53" s="198"/>
      <c r="PYO53" s="198"/>
      <c r="PYP53" s="198"/>
      <c r="PYQ53" s="198"/>
      <c r="PYR53" s="198"/>
      <c r="PYS53" s="198"/>
      <c r="PYT53" s="198"/>
      <c r="PYU53" s="198"/>
      <c r="PYV53" s="198"/>
      <c r="PYW53" s="198"/>
      <c r="PYX53" s="198"/>
      <c r="PYY53" s="198"/>
      <c r="PYZ53" s="198"/>
      <c r="PZA53" s="198"/>
      <c r="PZB53" s="198"/>
      <c r="PZC53" s="198"/>
      <c r="PZD53" s="198"/>
      <c r="PZE53" s="198"/>
      <c r="PZF53" s="198"/>
      <c r="PZG53" s="198"/>
      <c r="PZH53" s="198"/>
      <c r="PZI53" s="198"/>
      <c r="PZJ53" s="198"/>
      <c r="PZK53" s="198"/>
      <c r="PZL53" s="198"/>
      <c r="PZM53" s="198"/>
      <c r="PZN53" s="198"/>
      <c r="PZO53" s="198"/>
      <c r="PZP53" s="198"/>
      <c r="PZQ53" s="198"/>
      <c r="PZR53" s="198"/>
      <c r="PZS53" s="198"/>
      <c r="PZT53" s="198"/>
      <c r="PZU53" s="198"/>
      <c r="PZV53" s="198"/>
      <c r="PZW53" s="198"/>
      <c r="PZX53" s="198"/>
      <c r="PZY53" s="198"/>
      <c r="PZZ53" s="198"/>
      <c r="QAA53" s="198"/>
      <c r="QAB53" s="198"/>
      <c r="QAC53" s="198"/>
      <c r="QAD53" s="198"/>
      <c r="QAE53" s="198"/>
      <c r="QAF53" s="198"/>
      <c r="QAG53" s="198"/>
      <c r="QAH53" s="198"/>
      <c r="QAI53" s="198"/>
      <c r="QAJ53" s="198"/>
      <c r="QAK53" s="198"/>
      <c r="QAL53" s="198"/>
      <c r="QAM53" s="198"/>
      <c r="QAN53" s="198"/>
      <c r="QAO53" s="198"/>
      <c r="QAP53" s="198"/>
      <c r="QAQ53" s="198"/>
      <c r="QAR53" s="198"/>
      <c r="QAS53" s="198"/>
      <c r="QAT53" s="198"/>
      <c r="QAU53" s="198"/>
      <c r="QAV53" s="198"/>
      <c r="QAW53" s="198"/>
      <c r="QAX53" s="198"/>
      <c r="QAY53" s="198"/>
      <c r="QAZ53" s="198"/>
      <c r="QBA53" s="198"/>
      <c r="QBB53" s="198"/>
      <c r="QBC53" s="198"/>
      <c r="QBD53" s="198"/>
      <c r="QBE53" s="198"/>
      <c r="QBF53" s="198"/>
      <c r="QBG53" s="198"/>
      <c r="QBH53" s="198"/>
      <c r="QBI53" s="198"/>
      <c r="QBJ53" s="198"/>
      <c r="QBK53" s="198"/>
      <c r="QBL53" s="198"/>
      <c r="QBM53" s="198"/>
      <c r="QBN53" s="198"/>
      <c r="QBO53" s="198"/>
      <c r="QBP53" s="198"/>
      <c r="QBQ53" s="198"/>
      <c r="QBR53" s="198"/>
      <c r="QBS53" s="198"/>
      <c r="QBT53" s="198"/>
      <c r="QBU53" s="198"/>
      <c r="QBV53" s="198"/>
      <c r="QBW53" s="198"/>
      <c r="QBX53" s="198"/>
      <c r="QBY53" s="198"/>
      <c r="QBZ53" s="198"/>
      <c r="QCA53" s="198"/>
      <c r="QCB53" s="198"/>
      <c r="QCC53" s="198"/>
      <c r="QCD53" s="198"/>
      <c r="QCE53" s="198"/>
      <c r="QCF53" s="198"/>
      <c r="QCG53" s="198"/>
      <c r="QCH53" s="198"/>
      <c r="QCI53" s="198"/>
      <c r="QCJ53" s="198"/>
      <c r="QCK53" s="198"/>
      <c r="QCL53" s="198"/>
      <c r="QCM53" s="198"/>
      <c r="QCN53" s="198"/>
      <c r="QCO53" s="198"/>
      <c r="QCP53" s="198"/>
      <c r="QCQ53" s="198"/>
      <c r="QCR53" s="198"/>
      <c r="QCS53" s="198"/>
      <c r="QCT53" s="198"/>
      <c r="QCU53" s="198"/>
      <c r="QCV53" s="198"/>
      <c r="QCW53" s="198"/>
      <c r="QCX53" s="198"/>
      <c r="QCY53" s="198"/>
      <c r="QCZ53" s="198"/>
      <c r="QDA53" s="198"/>
      <c r="QDB53" s="198"/>
      <c r="QDC53" s="198"/>
      <c r="QDD53" s="198"/>
      <c r="QDE53" s="198"/>
      <c r="QDF53" s="198"/>
      <c r="QDG53" s="198"/>
      <c r="QDH53" s="198"/>
      <c r="QDI53" s="198"/>
      <c r="QDJ53" s="198"/>
      <c r="QDK53" s="198"/>
      <c r="QDL53" s="198"/>
      <c r="QDM53" s="198"/>
      <c r="QDN53" s="198"/>
      <c r="QDO53" s="198"/>
      <c r="QDP53" s="198"/>
      <c r="QDQ53" s="198"/>
      <c r="QDR53" s="198"/>
      <c r="QDS53" s="198"/>
      <c r="QDT53" s="198"/>
      <c r="QDU53" s="198"/>
      <c r="QDV53" s="198"/>
      <c r="QDW53" s="198"/>
      <c r="QDX53" s="198"/>
      <c r="QDY53" s="198"/>
      <c r="QDZ53" s="198"/>
      <c r="QEA53" s="198"/>
      <c r="QEB53" s="198"/>
      <c r="QEC53" s="198"/>
      <c r="QED53" s="198"/>
      <c r="QEE53" s="198"/>
      <c r="QEF53" s="198"/>
      <c r="QEG53" s="198"/>
      <c r="QEH53" s="198"/>
      <c r="QEI53" s="198"/>
      <c r="QEJ53" s="198"/>
      <c r="QEK53" s="198"/>
      <c r="QEL53" s="198"/>
      <c r="QEM53" s="198"/>
      <c r="QEN53" s="198"/>
      <c r="QEO53" s="198"/>
      <c r="QEP53" s="198"/>
      <c r="QEQ53" s="198"/>
      <c r="QER53" s="198"/>
      <c r="QES53" s="198"/>
      <c r="QET53" s="198"/>
      <c r="QEU53" s="198"/>
      <c r="QEV53" s="198"/>
      <c r="QEW53" s="198"/>
      <c r="QEX53" s="198"/>
      <c r="QEY53" s="198"/>
      <c r="QEZ53" s="198"/>
      <c r="QFA53" s="198"/>
      <c r="QFB53" s="198"/>
      <c r="QFC53" s="198"/>
      <c r="QFD53" s="198"/>
      <c r="QFE53" s="198"/>
      <c r="QFF53" s="198"/>
      <c r="QFG53" s="198"/>
      <c r="QFH53" s="198"/>
      <c r="QFI53" s="198"/>
      <c r="QFJ53" s="198"/>
      <c r="QFK53" s="198"/>
      <c r="QFL53" s="198"/>
      <c r="QFM53" s="198"/>
      <c r="QFN53" s="198"/>
      <c r="QFO53" s="198"/>
      <c r="QFP53" s="198"/>
      <c r="QFQ53" s="198"/>
      <c r="QFR53" s="198"/>
      <c r="QFS53" s="198"/>
      <c r="QFT53" s="198"/>
      <c r="QFU53" s="198"/>
      <c r="QFV53" s="198"/>
      <c r="QFW53" s="198"/>
      <c r="QFX53" s="198"/>
      <c r="QFY53" s="198"/>
      <c r="QFZ53" s="198"/>
      <c r="QGA53" s="198"/>
      <c r="QGB53" s="198"/>
      <c r="QGC53" s="198"/>
      <c r="QGD53" s="198"/>
      <c r="QGE53" s="198"/>
      <c r="QGF53" s="198"/>
      <c r="QGG53" s="198"/>
      <c r="QGH53" s="198"/>
      <c r="QGI53" s="198"/>
      <c r="QGJ53" s="198"/>
      <c r="QGK53" s="198"/>
      <c r="QGL53" s="198"/>
      <c r="QGM53" s="198"/>
      <c r="QGN53" s="198"/>
      <c r="QGO53" s="198"/>
      <c r="QGP53" s="198"/>
      <c r="QGQ53" s="198"/>
      <c r="QGR53" s="198"/>
      <c r="QGS53" s="198"/>
      <c r="QGT53" s="198"/>
      <c r="QGU53" s="198"/>
      <c r="QGV53" s="198"/>
      <c r="QGW53" s="198"/>
      <c r="QGX53" s="198"/>
      <c r="QGY53" s="198"/>
      <c r="QGZ53" s="198"/>
      <c r="QHA53" s="198"/>
      <c r="QHB53" s="198"/>
      <c r="QHC53" s="198"/>
      <c r="QHD53" s="198"/>
      <c r="QHE53" s="198"/>
      <c r="QHF53" s="198"/>
      <c r="QHG53" s="198"/>
      <c r="QHH53" s="198"/>
      <c r="QHI53" s="198"/>
      <c r="QHJ53" s="198"/>
      <c r="QHK53" s="198"/>
      <c r="QHL53" s="198"/>
      <c r="QHM53" s="198"/>
      <c r="QHN53" s="198"/>
      <c r="QHO53" s="198"/>
      <c r="QHP53" s="198"/>
      <c r="QHQ53" s="198"/>
      <c r="QHR53" s="198"/>
      <c r="QHS53" s="198"/>
      <c r="QHT53" s="198"/>
      <c r="QHU53" s="198"/>
      <c r="QHV53" s="198"/>
      <c r="QHW53" s="198"/>
      <c r="QHX53" s="198"/>
      <c r="QHY53" s="198"/>
      <c r="QHZ53" s="198"/>
      <c r="QIA53" s="198"/>
      <c r="QIB53" s="198"/>
      <c r="QIC53" s="198"/>
      <c r="QID53" s="198"/>
      <c r="QIE53" s="198"/>
      <c r="QIF53" s="198"/>
      <c r="QIG53" s="198"/>
      <c r="QIH53" s="198"/>
      <c r="QII53" s="198"/>
      <c r="QIJ53" s="198"/>
      <c r="QIK53" s="198"/>
      <c r="QIL53" s="198"/>
      <c r="QIM53" s="198"/>
      <c r="QIN53" s="198"/>
      <c r="QIO53" s="198"/>
      <c r="QIP53" s="198"/>
      <c r="QIQ53" s="198"/>
      <c r="QIR53" s="198"/>
      <c r="QIS53" s="198"/>
      <c r="QIT53" s="198"/>
      <c r="QIU53" s="198"/>
      <c r="QIV53" s="198"/>
      <c r="QIW53" s="198"/>
      <c r="QIX53" s="198"/>
      <c r="QIY53" s="198"/>
      <c r="QIZ53" s="198"/>
      <c r="QJA53" s="198"/>
      <c r="QJB53" s="198"/>
      <c r="QJC53" s="198"/>
      <c r="QJD53" s="198"/>
      <c r="QJE53" s="198"/>
      <c r="QJF53" s="198"/>
      <c r="QJG53" s="198"/>
      <c r="QJH53" s="198"/>
      <c r="QJI53" s="198"/>
      <c r="QJJ53" s="198"/>
      <c r="QJK53" s="198"/>
      <c r="QJL53" s="198"/>
      <c r="QJM53" s="198"/>
      <c r="QJN53" s="198"/>
      <c r="QJO53" s="198"/>
      <c r="QJP53" s="198"/>
      <c r="QJQ53" s="198"/>
      <c r="QJR53" s="198"/>
      <c r="QJS53" s="198"/>
      <c r="QJT53" s="198"/>
      <c r="QJU53" s="198"/>
      <c r="QJV53" s="198"/>
      <c r="QJW53" s="198"/>
      <c r="QJX53" s="198"/>
      <c r="QJY53" s="198"/>
      <c r="QJZ53" s="198"/>
      <c r="QKA53" s="198"/>
      <c r="QKB53" s="198"/>
      <c r="QKC53" s="198"/>
      <c r="QKD53" s="198"/>
      <c r="QKE53" s="198"/>
      <c r="QKF53" s="198"/>
      <c r="QKG53" s="198"/>
      <c r="QKH53" s="198"/>
      <c r="QKI53" s="198"/>
      <c r="QKJ53" s="198"/>
      <c r="QKK53" s="198"/>
      <c r="QKL53" s="198"/>
      <c r="QKM53" s="198"/>
      <c r="QKN53" s="198"/>
      <c r="QKO53" s="198"/>
      <c r="QKP53" s="198"/>
      <c r="QKQ53" s="198"/>
      <c r="QKR53" s="198"/>
      <c r="QKS53" s="198"/>
      <c r="QKT53" s="198"/>
      <c r="QKU53" s="198"/>
      <c r="QKV53" s="198"/>
      <c r="QKW53" s="198"/>
      <c r="QKX53" s="198"/>
      <c r="QKY53" s="198"/>
      <c r="QKZ53" s="198"/>
      <c r="QLA53" s="198"/>
      <c r="QLB53" s="198"/>
      <c r="QLC53" s="198"/>
      <c r="QLD53" s="198"/>
      <c r="QLE53" s="198"/>
      <c r="QLF53" s="198"/>
      <c r="QLG53" s="198"/>
      <c r="QLH53" s="198"/>
      <c r="QLI53" s="198"/>
      <c r="QLJ53" s="198"/>
      <c r="QLK53" s="198"/>
      <c r="QLL53" s="198"/>
      <c r="QLM53" s="198"/>
      <c r="QLN53" s="198"/>
      <c r="QLO53" s="198"/>
      <c r="QLP53" s="198"/>
      <c r="QLQ53" s="198"/>
      <c r="QLR53" s="198"/>
      <c r="QLS53" s="198"/>
      <c r="QLT53" s="198"/>
      <c r="QLU53" s="198"/>
      <c r="QLV53" s="198"/>
      <c r="QLW53" s="198"/>
      <c r="QLX53" s="198"/>
      <c r="QLY53" s="198"/>
      <c r="QLZ53" s="198"/>
      <c r="QMA53" s="198"/>
      <c r="QMB53" s="198"/>
      <c r="QMC53" s="198"/>
      <c r="QMD53" s="198"/>
      <c r="QME53" s="198"/>
      <c r="QMF53" s="198"/>
      <c r="QMG53" s="198"/>
      <c r="QMH53" s="198"/>
      <c r="QMI53" s="198"/>
      <c r="QMJ53" s="198"/>
      <c r="QMK53" s="198"/>
      <c r="QML53" s="198"/>
      <c r="QMM53" s="198"/>
      <c r="QMN53" s="198"/>
      <c r="QMO53" s="198"/>
      <c r="QMP53" s="198"/>
      <c r="QMQ53" s="198"/>
      <c r="QMR53" s="198"/>
      <c r="QMS53" s="198"/>
      <c r="QMT53" s="198"/>
      <c r="QMU53" s="198"/>
      <c r="QMV53" s="198"/>
      <c r="QMW53" s="198"/>
      <c r="QMX53" s="198"/>
      <c r="QMY53" s="198"/>
      <c r="QMZ53" s="198"/>
      <c r="QNA53" s="198"/>
      <c r="QNB53" s="198"/>
      <c r="QNC53" s="198"/>
      <c r="QND53" s="198"/>
      <c r="QNE53" s="198"/>
      <c r="QNF53" s="198"/>
      <c r="QNG53" s="198"/>
      <c r="QNH53" s="198"/>
      <c r="QNI53" s="198"/>
      <c r="QNJ53" s="198"/>
      <c r="QNK53" s="198"/>
      <c r="QNL53" s="198"/>
      <c r="QNM53" s="198"/>
      <c r="QNN53" s="198"/>
      <c r="QNO53" s="198"/>
      <c r="QNP53" s="198"/>
      <c r="QNQ53" s="198"/>
      <c r="QNR53" s="198"/>
      <c r="QNS53" s="198"/>
      <c r="QNT53" s="198"/>
      <c r="QNU53" s="198"/>
      <c r="QNV53" s="198"/>
      <c r="QNW53" s="198"/>
      <c r="QNX53" s="198"/>
      <c r="QNY53" s="198"/>
      <c r="QNZ53" s="198"/>
      <c r="QOA53" s="198"/>
      <c r="QOB53" s="198"/>
      <c r="QOC53" s="198"/>
      <c r="QOD53" s="198"/>
      <c r="QOE53" s="198"/>
      <c r="QOF53" s="198"/>
      <c r="QOG53" s="198"/>
      <c r="QOH53" s="198"/>
      <c r="QOI53" s="198"/>
      <c r="QOJ53" s="198"/>
      <c r="QOK53" s="198"/>
      <c r="QOL53" s="198"/>
      <c r="QOM53" s="198"/>
      <c r="QON53" s="198"/>
      <c r="QOO53" s="198"/>
      <c r="QOP53" s="198"/>
      <c r="QOQ53" s="198"/>
      <c r="QOR53" s="198"/>
      <c r="QOS53" s="198"/>
      <c r="QOT53" s="198"/>
      <c r="QOU53" s="198"/>
      <c r="QOV53" s="198"/>
      <c r="QOW53" s="198"/>
      <c r="QOX53" s="198"/>
      <c r="QOY53" s="198"/>
      <c r="QOZ53" s="198"/>
      <c r="QPA53" s="198"/>
      <c r="QPB53" s="198"/>
      <c r="QPC53" s="198"/>
      <c r="QPD53" s="198"/>
      <c r="QPE53" s="198"/>
      <c r="QPF53" s="198"/>
      <c r="QPG53" s="198"/>
      <c r="QPH53" s="198"/>
      <c r="QPI53" s="198"/>
      <c r="QPJ53" s="198"/>
      <c r="QPK53" s="198"/>
      <c r="QPL53" s="198"/>
      <c r="QPM53" s="198"/>
      <c r="QPN53" s="198"/>
      <c r="QPO53" s="198"/>
      <c r="QPP53" s="198"/>
      <c r="QPQ53" s="198"/>
      <c r="QPR53" s="198"/>
      <c r="QPS53" s="198"/>
      <c r="QPT53" s="198"/>
      <c r="QPU53" s="198"/>
      <c r="QPV53" s="198"/>
      <c r="QPW53" s="198"/>
      <c r="QPX53" s="198"/>
      <c r="QPY53" s="198"/>
      <c r="QPZ53" s="198"/>
      <c r="QQA53" s="198"/>
      <c r="QQB53" s="198"/>
      <c r="QQC53" s="198"/>
      <c r="QQD53" s="198"/>
      <c r="QQE53" s="198"/>
      <c r="QQF53" s="198"/>
      <c r="QQG53" s="198"/>
      <c r="QQH53" s="198"/>
      <c r="QQI53" s="198"/>
      <c r="QQJ53" s="198"/>
      <c r="QQK53" s="198"/>
      <c r="QQL53" s="198"/>
      <c r="QQM53" s="198"/>
      <c r="QQN53" s="198"/>
      <c r="QQO53" s="198"/>
      <c r="QQP53" s="198"/>
      <c r="QQQ53" s="198"/>
      <c r="QQR53" s="198"/>
      <c r="QQS53" s="198"/>
      <c r="QQT53" s="198"/>
      <c r="QQU53" s="198"/>
      <c r="QQV53" s="198"/>
      <c r="QQW53" s="198"/>
      <c r="QQX53" s="198"/>
      <c r="QQY53" s="198"/>
      <c r="QQZ53" s="198"/>
      <c r="QRA53" s="198"/>
      <c r="QRB53" s="198"/>
      <c r="QRC53" s="198"/>
      <c r="QRD53" s="198"/>
      <c r="QRE53" s="198"/>
      <c r="QRF53" s="198"/>
      <c r="QRG53" s="198"/>
      <c r="QRH53" s="198"/>
      <c r="QRI53" s="198"/>
      <c r="QRJ53" s="198"/>
      <c r="QRK53" s="198"/>
      <c r="QRL53" s="198"/>
      <c r="QRM53" s="198"/>
      <c r="QRN53" s="198"/>
      <c r="QRO53" s="198"/>
      <c r="QRP53" s="198"/>
      <c r="QRQ53" s="198"/>
      <c r="QRR53" s="198"/>
      <c r="QRS53" s="198"/>
      <c r="QRT53" s="198"/>
      <c r="QRU53" s="198"/>
      <c r="QRV53" s="198"/>
      <c r="QRW53" s="198"/>
      <c r="QRX53" s="198"/>
      <c r="QRY53" s="198"/>
      <c r="QRZ53" s="198"/>
      <c r="QSA53" s="198"/>
      <c r="QSB53" s="198"/>
      <c r="QSC53" s="198"/>
      <c r="QSD53" s="198"/>
      <c r="QSE53" s="198"/>
      <c r="QSF53" s="198"/>
      <c r="QSG53" s="198"/>
      <c r="QSH53" s="198"/>
      <c r="QSI53" s="198"/>
      <c r="QSJ53" s="198"/>
      <c r="QSK53" s="198"/>
      <c r="QSL53" s="198"/>
      <c r="QSM53" s="198"/>
      <c r="QSN53" s="198"/>
      <c r="QSO53" s="198"/>
      <c r="QSP53" s="198"/>
      <c r="QSQ53" s="198"/>
      <c r="QSR53" s="198"/>
      <c r="QSS53" s="198"/>
      <c r="QST53" s="198"/>
      <c r="QSU53" s="198"/>
      <c r="QSV53" s="198"/>
      <c r="QSW53" s="198"/>
      <c r="QSX53" s="198"/>
      <c r="QSY53" s="198"/>
      <c r="QSZ53" s="198"/>
      <c r="QTA53" s="198"/>
      <c r="QTB53" s="198"/>
      <c r="QTC53" s="198"/>
      <c r="QTD53" s="198"/>
      <c r="QTE53" s="198"/>
      <c r="QTF53" s="198"/>
      <c r="QTG53" s="198"/>
      <c r="QTH53" s="198"/>
      <c r="QTI53" s="198"/>
      <c r="QTJ53" s="198"/>
      <c r="QTK53" s="198"/>
      <c r="QTL53" s="198"/>
      <c r="QTM53" s="198"/>
      <c r="QTN53" s="198"/>
      <c r="QTO53" s="198"/>
      <c r="QTP53" s="198"/>
      <c r="QTQ53" s="198"/>
      <c r="QTR53" s="198"/>
      <c r="QTS53" s="198"/>
      <c r="QTT53" s="198"/>
      <c r="QTU53" s="198"/>
      <c r="QTV53" s="198"/>
      <c r="QTW53" s="198"/>
      <c r="QTX53" s="198"/>
      <c r="QTY53" s="198"/>
      <c r="QTZ53" s="198"/>
      <c r="QUA53" s="198"/>
      <c r="QUB53" s="198"/>
      <c r="QUC53" s="198"/>
      <c r="QUD53" s="198"/>
      <c r="QUE53" s="198"/>
      <c r="QUF53" s="198"/>
      <c r="QUG53" s="198"/>
      <c r="QUH53" s="198"/>
      <c r="QUI53" s="198"/>
      <c r="QUJ53" s="198"/>
      <c r="QUK53" s="198"/>
      <c r="QUL53" s="198"/>
      <c r="QUM53" s="198"/>
      <c r="QUN53" s="198"/>
      <c r="QUO53" s="198"/>
      <c r="QUP53" s="198"/>
      <c r="QUQ53" s="198"/>
      <c r="QUR53" s="198"/>
      <c r="QUS53" s="198"/>
      <c r="QUT53" s="198"/>
      <c r="QUU53" s="198"/>
      <c r="QUV53" s="198"/>
      <c r="QUW53" s="198"/>
      <c r="QUX53" s="198"/>
      <c r="QUY53" s="198"/>
      <c r="QUZ53" s="198"/>
      <c r="QVA53" s="198"/>
      <c r="QVB53" s="198"/>
      <c r="QVC53" s="198"/>
      <c r="QVD53" s="198"/>
      <c r="QVE53" s="198"/>
      <c r="QVF53" s="198"/>
      <c r="QVG53" s="198"/>
      <c r="QVH53" s="198"/>
      <c r="QVI53" s="198"/>
      <c r="QVJ53" s="198"/>
      <c r="QVK53" s="198"/>
      <c r="QVL53" s="198"/>
      <c r="QVM53" s="198"/>
      <c r="QVN53" s="198"/>
      <c r="QVO53" s="198"/>
      <c r="QVP53" s="198"/>
      <c r="QVQ53" s="198"/>
      <c r="QVR53" s="198"/>
      <c r="QVS53" s="198"/>
      <c r="QVT53" s="198"/>
      <c r="QVU53" s="198"/>
      <c r="QVV53" s="198"/>
      <c r="QVW53" s="198"/>
      <c r="QVX53" s="198"/>
      <c r="QVY53" s="198"/>
      <c r="QVZ53" s="198"/>
      <c r="QWA53" s="198"/>
      <c r="QWB53" s="198"/>
      <c r="QWC53" s="198"/>
      <c r="QWD53" s="198"/>
      <c r="QWE53" s="198"/>
      <c r="QWF53" s="198"/>
      <c r="QWG53" s="198"/>
      <c r="QWH53" s="198"/>
      <c r="QWI53" s="198"/>
      <c r="QWJ53" s="198"/>
      <c r="QWK53" s="198"/>
      <c r="QWL53" s="198"/>
      <c r="QWM53" s="198"/>
      <c r="QWN53" s="198"/>
      <c r="QWO53" s="198"/>
      <c r="QWP53" s="198"/>
      <c r="QWQ53" s="198"/>
      <c r="QWR53" s="198"/>
      <c r="QWS53" s="198"/>
      <c r="QWT53" s="198"/>
      <c r="QWU53" s="198"/>
      <c r="QWV53" s="198"/>
      <c r="QWW53" s="198"/>
      <c r="QWX53" s="198"/>
      <c r="QWY53" s="198"/>
      <c r="QWZ53" s="198"/>
      <c r="QXA53" s="198"/>
      <c r="QXB53" s="198"/>
      <c r="QXC53" s="198"/>
      <c r="QXD53" s="198"/>
      <c r="QXE53" s="198"/>
      <c r="QXF53" s="198"/>
      <c r="QXG53" s="198"/>
      <c r="QXH53" s="198"/>
      <c r="QXI53" s="198"/>
      <c r="QXJ53" s="198"/>
      <c r="QXK53" s="198"/>
      <c r="QXL53" s="198"/>
      <c r="QXM53" s="198"/>
      <c r="QXN53" s="198"/>
      <c r="QXO53" s="198"/>
      <c r="QXP53" s="198"/>
      <c r="QXQ53" s="198"/>
      <c r="QXR53" s="198"/>
      <c r="QXS53" s="198"/>
      <c r="QXT53" s="198"/>
      <c r="QXU53" s="198"/>
      <c r="QXV53" s="198"/>
      <c r="QXW53" s="198"/>
      <c r="QXX53" s="198"/>
      <c r="QXY53" s="198"/>
      <c r="QXZ53" s="198"/>
      <c r="QYA53" s="198"/>
      <c r="QYB53" s="198"/>
      <c r="QYC53" s="198"/>
      <c r="QYD53" s="198"/>
      <c r="QYE53" s="198"/>
      <c r="QYF53" s="198"/>
      <c r="QYG53" s="198"/>
      <c r="QYH53" s="198"/>
      <c r="QYI53" s="198"/>
      <c r="QYJ53" s="198"/>
      <c r="QYK53" s="198"/>
      <c r="QYL53" s="198"/>
      <c r="QYM53" s="198"/>
      <c r="QYN53" s="198"/>
      <c r="QYO53" s="198"/>
      <c r="QYP53" s="198"/>
      <c r="QYQ53" s="198"/>
      <c r="QYR53" s="198"/>
      <c r="QYS53" s="198"/>
      <c r="QYT53" s="198"/>
      <c r="QYU53" s="198"/>
      <c r="QYV53" s="198"/>
      <c r="QYW53" s="198"/>
      <c r="QYX53" s="198"/>
      <c r="QYY53" s="198"/>
      <c r="QYZ53" s="198"/>
      <c r="QZA53" s="198"/>
      <c r="QZB53" s="198"/>
      <c r="QZC53" s="198"/>
      <c r="QZD53" s="198"/>
      <c r="QZE53" s="198"/>
      <c r="QZF53" s="198"/>
      <c r="QZG53" s="198"/>
      <c r="QZH53" s="198"/>
      <c r="QZI53" s="198"/>
      <c r="QZJ53" s="198"/>
      <c r="QZK53" s="198"/>
      <c r="QZL53" s="198"/>
      <c r="QZM53" s="198"/>
      <c r="QZN53" s="198"/>
      <c r="QZO53" s="198"/>
      <c r="QZP53" s="198"/>
      <c r="QZQ53" s="198"/>
      <c r="QZR53" s="198"/>
      <c r="QZS53" s="198"/>
      <c r="QZT53" s="198"/>
      <c r="QZU53" s="198"/>
      <c r="QZV53" s="198"/>
      <c r="QZW53" s="198"/>
      <c r="QZX53" s="198"/>
      <c r="QZY53" s="198"/>
      <c r="QZZ53" s="198"/>
      <c r="RAA53" s="198"/>
      <c r="RAB53" s="198"/>
      <c r="RAC53" s="198"/>
      <c r="RAD53" s="198"/>
      <c r="RAE53" s="198"/>
      <c r="RAF53" s="198"/>
      <c r="RAG53" s="198"/>
      <c r="RAH53" s="198"/>
      <c r="RAI53" s="198"/>
      <c r="RAJ53" s="198"/>
      <c r="RAK53" s="198"/>
      <c r="RAL53" s="198"/>
      <c r="RAM53" s="198"/>
      <c r="RAN53" s="198"/>
      <c r="RAO53" s="198"/>
      <c r="RAP53" s="198"/>
      <c r="RAQ53" s="198"/>
      <c r="RAR53" s="198"/>
      <c r="RAS53" s="198"/>
      <c r="RAT53" s="198"/>
      <c r="RAU53" s="198"/>
      <c r="RAV53" s="198"/>
      <c r="RAW53" s="198"/>
      <c r="RAX53" s="198"/>
      <c r="RAY53" s="198"/>
      <c r="RAZ53" s="198"/>
      <c r="RBA53" s="198"/>
      <c r="RBB53" s="198"/>
      <c r="RBC53" s="198"/>
      <c r="RBD53" s="198"/>
      <c r="RBE53" s="198"/>
      <c r="RBF53" s="198"/>
      <c r="RBG53" s="198"/>
      <c r="RBH53" s="198"/>
      <c r="RBI53" s="198"/>
      <c r="RBJ53" s="198"/>
      <c r="RBK53" s="198"/>
      <c r="RBL53" s="198"/>
      <c r="RBM53" s="198"/>
      <c r="RBN53" s="198"/>
      <c r="RBO53" s="198"/>
      <c r="RBP53" s="198"/>
      <c r="RBQ53" s="198"/>
      <c r="RBR53" s="198"/>
      <c r="RBS53" s="198"/>
      <c r="RBT53" s="198"/>
      <c r="RBU53" s="198"/>
      <c r="RBV53" s="198"/>
      <c r="RBW53" s="198"/>
      <c r="RBX53" s="198"/>
      <c r="RBY53" s="198"/>
      <c r="RBZ53" s="198"/>
      <c r="RCA53" s="198"/>
      <c r="RCB53" s="198"/>
      <c r="RCC53" s="198"/>
      <c r="RCD53" s="198"/>
      <c r="RCE53" s="198"/>
      <c r="RCF53" s="198"/>
      <c r="RCG53" s="198"/>
      <c r="RCH53" s="198"/>
      <c r="RCI53" s="198"/>
      <c r="RCJ53" s="198"/>
      <c r="RCK53" s="198"/>
      <c r="RCL53" s="198"/>
      <c r="RCM53" s="198"/>
      <c r="RCN53" s="198"/>
      <c r="RCO53" s="198"/>
      <c r="RCP53" s="198"/>
      <c r="RCQ53" s="198"/>
      <c r="RCR53" s="198"/>
      <c r="RCS53" s="198"/>
      <c r="RCT53" s="198"/>
      <c r="RCU53" s="198"/>
      <c r="RCV53" s="198"/>
      <c r="RCW53" s="198"/>
      <c r="RCX53" s="198"/>
      <c r="RCY53" s="198"/>
      <c r="RCZ53" s="198"/>
      <c r="RDA53" s="198"/>
      <c r="RDB53" s="198"/>
      <c r="RDC53" s="198"/>
      <c r="RDD53" s="198"/>
      <c r="RDE53" s="198"/>
      <c r="RDF53" s="198"/>
      <c r="RDG53" s="198"/>
      <c r="RDH53" s="198"/>
      <c r="RDI53" s="198"/>
      <c r="RDJ53" s="198"/>
      <c r="RDK53" s="198"/>
      <c r="RDL53" s="198"/>
      <c r="RDM53" s="198"/>
      <c r="RDN53" s="198"/>
      <c r="RDO53" s="198"/>
      <c r="RDP53" s="198"/>
      <c r="RDQ53" s="198"/>
      <c r="RDR53" s="198"/>
      <c r="RDS53" s="198"/>
      <c r="RDT53" s="198"/>
      <c r="RDU53" s="198"/>
      <c r="RDV53" s="198"/>
      <c r="RDW53" s="198"/>
      <c r="RDX53" s="198"/>
      <c r="RDY53" s="198"/>
      <c r="RDZ53" s="198"/>
      <c r="REA53" s="198"/>
      <c r="REB53" s="198"/>
      <c r="REC53" s="198"/>
      <c r="RED53" s="198"/>
      <c r="REE53" s="198"/>
      <c r="REF53" s="198"/>
      <c r="REG53" s="198"/>
      <c r="REH53" s="198"/>
      <c r="REI53" s="198"/>
      <c r="REJ53" s="198"/>
      <c r="REK53" s="198"/>
      <c r="REL53" s="198"/>
      <c r="REM53" s="198"/>
      <c r="REN53" s="198"/>
      <c r="REO53" s="198"/>
      <c r="REP53" s="198"/>
      <c r="REQ53" s="198"/>
      <c r="RER53" s="198"/>
      <c r="RES53" s="198"/>
      <c r="RET53" s="198"/>
      <c r="REU53" s="198"/>
      <c r="REV53" s="198"/>
      <c r="REW53" s="198"/>
      <c r="REX53" s="198"/>
      <c r="REY53" s="198"/>
      <c r="REZ53" s="198"/>
      <c r="RFA53" s="198"/>
      <c r="RFB53" s="198"/>
      <c r="RFC53" s="198"/>
      <c r="RFD53" s="198"/>
      <c r="RFE53" s="198"/>
      <c r="RFF53" s="198"/>
      <c r="RFG53" s="198"/>
      <c r="RFH53" s="198"/>
      <c r="RFI53" s="198"/>
      <c r="RFJ53" s="198"/>
      <c r="RFK53" s="198"/>
      <c r="RFL53" s="198"/>
      <c r="RFM53" s="198"/>
      <c r="RFN53" s="198"/>
      <c r="RFO53" s="198"/>
      <c r="RFP53" s="198"/>
      <c r="RFQ53" s="198"/>
      <c r="RFR53" s="198"/>
      <c r="RFS53" s="198"/>
      <c r="RFT53" s="198"/>
      <c r="RFU53" s="198"/>
      <c r="RFV53" s="198"/>
      <c r="RFW53" s="198"/>
      <c r="RFX53" s="198"/>
      <c r="RFY53" s="198"/>
      <c r="RFZ53" s="198"/>
      <c r="RGA53" s="198"/>
      <c r="RGB53" s="198"/>
      <c r="RGC53" s="198"/>
      <c r="RGD53" s="198"/>
      <c r="RGE53" s="198"/>
      <c r="RGF53" s="198"/>
      <c r="RGG53" s="198"/>
      <c r="RGH53" s="198"/>
      <c r="RGI53" s="198"/>
      <c r="RGJ53" s="198"/>
      <c r="RGK53" s="198"/>
      <c r="RGL53" s="198"/>
      <c r="RGM53" s="198"/>
      <c r="RGN53" s="198"/>
      <c r="RGO53" s="198"/>
      <c r="RGP53" s="198"/>
      <c r="RGQ53" s="198"/>
      <c r="RGR53" s="198"/>
      <c r="RGS53" s="198"/>
      <c r="RGT53" s="198"/>
      <c r="RGU53" s="198"/>
      <c r="RGV53" s="198"/>
      <c r="RGW53" s="198"/>
      <c r="RGX53" s="198"/>
      <c r="RGY53" s="198"/>
      <c r="RGZ53" s="198"/>
      <c r="RHA53" s="198"/>
      <c r="RHB53" s="198"/>
      <c r="RHC53" s="198"/>
      <c r="RHD53" s="198"/>
      <c r="RHE53" s="198"/>
      <c r="RHF53" s="198"/>
      <c r="RHG53" s="198"/>
      <c r="RHH53" s="198"/>
      <c r="RHI53" s="198"/>
      <c r="RHJ53" s="198"/>
      <c r="RHK53" s="198"/>
      <c r="RHL53" s="198"/>
      <c r="RHM53" s="198"/>
      <c r="RHN53" s="198"/>
      <c r="RHO53" s="198"/>
      <c r="RHP53" s="198"/>
      <c r="RHQ53" s="198"/>
      <c r="RHR53" s="198"/>
      <c r="RHS53" s="198"/>
      <c r="RHT53" s="198"/>
      <c r="RHU53" s="198"/>
      <c r="RHV53" s="198"/>
      <c r="RHW53" s="198"/>
      <c r="RHX53" s="198"/>
      <c r="RHY53" s="198"/>
      <c r="RHZ53" s="198"/>
      <c r="RIA53" s="198"/>
      <c r="RIB53" s="198"/>
      <c r="RIC53" s="198"/>
      <c r="RID53" s="198"/>
      <c r="RIE53" s="198"/>
      <c r="RIF53" s="198"/>
      <c r="RIG53" s="198"/>
      <c r="RIH53" s="198"/>
      <c r="RII53" s="198"/>
      <c r="RIJ53" s="198"/>
      <c r="RIK53" s="198"/>
      <c r="RIL53" s="198"/>
      <c r="RIM53" s="198"/>
      <c r="RIN53" s="198"/>
      <c r="RIO53" s="198"/>
      <c r="RIP53" s="198"/>
      <c r="RIQ53" s="198"/>
      <c r="RIR53" s="198"/>
      <c r="RIS53" s="198"/>
      <c r="RIT53" s="198"/>
      <c r="RIU53" s="198"/>
      <c r="RIV53" s="198"/>
      <c r="RIW53" s="198"/>
      <c r="RIX53" s="198"/>
      <c r="RIY53" s="198"/>
      <c r="RIZ53" s="198"/>
      <c r="RJA53" s="198"/>
      <c r="RJB53" s="198"/>
      <c r="RJC53" s="198"/>
      <c r="RJD53" s="198"/>
      <c r="RJE53" s="198"/>
      <c r="RJF53" s="198"/>
      <c r="RJG53" s="198"/>
      <c r="RJH53" s="198"/>
      <c r="RJI53" s="198"/>
      <c r="RJJ53" s="198"/>
      <c r="RJK53" s="198"/>
      <c r="RJL53" s="198"/>
      <c r="RJM53" s="198"/>
      <c r="RJN53" s="198"/>
      <c r="RJO53" s="198"/>
      <c r="RJP53" s="198"/>
      <c r="RJQ53" s="198"/>
      <c r="RJR53" s="198"/>
      <c r="RJS53" s="198"/>
      <c r="RJT53" s="198"/>
      <c r="RJU53" s="198"/>
      <c r="RJV53" s="198"/>
      <c r="RJW53" s="198"/>
      <c r="RJX53" s="198"/>
      <c r="RJY53" s="198"/>
      <c r="RJZ53" s="198"/>
      <c r="RKA53" s="198"/>
      <c r="RKB53" s="198"/>
      <c r="RKC53" s="198"/>
      <c r="RKD53" s="198"/>
      <c r="RKE53" s="198"/>
      <c r="RKF53" s="198"/>
      <c r="RKG53" s="198"/>
      <c r="RKH53" s="198"/>
      <c r="RKI53" s="198"/>
      <c r="RKJ53" s="198"/>
      <c r="RKK53" s="198"/>
      <c r="RKL53" s="198"/>
      <c r="RKM53" s="198"/>
      <c r="RKN53" s="198"/>
      <c r="RKO53" s="198"/>
      <c r="RKP53" s="198"/>
      <c r="RKQ53" s="198"/>
      <c r="RKR53" s="198"/>
      <c r="RKS53" s="198"/>
      <c r="RKT53" s="198"/>
      <c r="RKU53" s="198"/>
      <c r="RKV53" s="198"/>
      <c r="RKW53" s="198"/>
      <c r="RKX53" s="198"/>
      <c r="RKY53" s="198"/>
      <c r="RKZ53" s="198"/>
      <c r="RLA53" s="198"/>
      <c r="RLB53" s="198"/>
      <c r="RLC53" s="198"/>
      <c r="RLD53" s="198"/>
      <c r="RLE53" s="198"/>
      <c r="RLF53" s="198"/>
      <c r="RLG53" s="198"/>
      <c r="RLH53" s="198"/>
      <c r="RLI53" s="198"/>
      <c r="RLJ53" s="198"/>
      <c r="RLK53" s="198"/>
      <c r="RLL53" s="198"/>
      <c r="RLM53" s="198"/>
      <c r="RLN53" s="198"/>
      <c r="RLO53" s="198"/>
      <c r="RLP53" s="198"/>
      <c r="RLQ53" s="198"/>
      <c r="RLR53" s="198"/>
      <c r="RLS53" s="198"/>
      <c r="RLT53" s="198"/>
      <c r="RLU53" s="198"/>
      <c r="RLV53" s="198"/>
      <c r="RLW53" s="198"/>
      <c r="RLX53" s="198"/>
      <c r="RLY53" s="198"/>
      <c r="RLZ53" s="198"/>
      <c r="RMA53" s="198"/>
      <c r="RMB53" s="198"/>
      <c r="RMC53" s="198"/>
      <c r="RMD53" s="198"/>
      <c r="RME53" s="198"/>
      <c r="RMF53" s="198"/>
      <c r="RMG53" s="198"/>
      <c r="RMH53" s="198"/>
      <c r="RMI53" s="198"/>
      <c r="RMJ53" s="198"/>
      <c r="RMK53" s="198"/>
      <c r="RML53" s="198"/>
      <c r="RMM53" s="198"/>
      <c r="RMN53" s="198"/>
      <c r="RMO53" s="198"/>
      <c r="RMP53" s="198"/>
      <c r="RMQ53" s="198"/>
      <c r="RMR53" s="198"/>
      <c r="RMS53" s="198"/>
      <c r="RMT53" s="198"/>
      <c r="RMU53" s="198"/>
      <c r="RMV53" s="198"/>
      <c r="RMW53" s="198"/>
      <c r="RMX53" s="198"/>
      <c r="RMY53" s="198"/>
      <c r="RMZ53" s="198"/>
      <c r="RNA53" s="198"/>
      <c r="RNB53" s="198"/>
      <c r="RNC53" s="198"/>
      <c r="RND53" s="198"/>
      <c r="RNE53" s="198"/>
      <c r="RNF53" s="198"/>
      <c r="RNG53" s="198"/>
      <c r="RNH53" s="198"/>
      <c r="RNI53" s="198"/>
      <c r="RNJ53" s="198"/>
      <c r="RNK53" s="198"/>
      <c r="RNL53" s="198"/>
      <c r="RNM53" s="198"/>
      <c r="RNN53" s="198"/>
      <c r="RNO53" s="198"/>
      <c r="RNP53" s="198"/>
      <c r="RNQ53" s="198"/>
      <c r="RNR53" s="198"/>
      <c r="RNS53" s="198"/>
      <c r="RNT53" s="198"/>
      <c r="RNU53" s="198"/>
      <c r="RNV53" s="198"/>
      <c r="RNW53" s="198"/>
      <c r="RNX53" s="198"/>
      <c r="RNY53" s="198"/>
      <c r="RNZ53" s="198"/>
      <c r="ROA53" s="198"/>
      <c r="ROB53" s="198"/>
      <c r="ROC53" s="198"/>
      <c r="ROD53" s="198"/>
      <c r="ROE53" s="198"/>
      <c r="ROF53" s="198"/>
      <c r="ROG53" s="198"/>
      <c r="ROH53" s="198"/>
      <c r="ROI53" s="198"/>
      <c r="ROJ53" s="198"/>
      <c r="ROK53" s="198"/>
      <c r="ROL53" s="198"/>
      <c r="ROM53" s="198"/>
      <c r="RON53" s="198"/>
      <c r="ROO53" s="198"/>
      <c r="ROP53" s="198"/>
      <c r="ROQ53" s="198"/>
      <c r="ROR53" s="198"/>
      <c r="ROS53" s="198"/>
      <c r="ROT53" s="198"/>
      <c r="ROU53" s="198"/>
      <c r="ROV53" s="198"/>
      <c r="ROW53" s="198"/>
      <c r="ROX53" s="198"/>
      <c r="ROY53" s="198"/>
      <c r="ROZ53" s="198"/>
      <c r="RPA53" s="198"/>
      <c r="RPB53" s="198"/>
      <c r="RPC53" s="198"/>
      <c r="RPD53" s="198"/>
      <c r="RPE53" s="198"/>
      <c r="RPF53" s="198"/>
      <c r="RPG53" s="198"/>
      <c r="RPH53" s="198"/>
      <c r="RPI53" s="198"/>
      <c r="RPJ53" s="198"/>
      <c r="RPK53" s="198"/>
      <c r="RPL53" s="198"/>
      <c r="RPM53" s="198"/>
      <c r="RPN53" s="198"/>
      <c r="RPO53" s="198"/>
      <c r="RPP53" s="198"/>
      <c r="RPQ53" s="198"/>
      <c r="RPR53" s="198"/>
      <c r="RPS53" s="198"/>
      <c r="RPT53" s="198"/>
      <c r="RPU53" s="198"/>
      <c r="RPV53" s="198"/>
      <c r="RPW53" s="198"/>
      <c r="RPX53" s="198"/>
      <c r="RPY53" s="198"/>
      <c r="RPZ53" s="198"/>
      <c r="RQA53" s="198"/>
      <c r="RQB53" s="198"/>
      <c r="RQC53" s="198"/>
      <c r="RQD53" s="198"/>
      <c r="RQE53" s="198"/>
      <c r="RQF53" s="198"/>
      <c r="RQG53" s="198"/>
      <c r="RQH53" s="198"/>
      <c r="RQI53" s="198"/>
      <c r="RQJ53" s="198"/>
      <c r="RQK53" s="198"/>
      <c r="RQL53" s="198"/>
      <c r="RQM53" s="198"/>
      <c r="RQN53" s="198"/>
      <c r="RQO53" s="198"/>
      <c r="RQP53" s="198"/>
      <c r="RQQ53" s="198"/>
      <c r="RQR53" s="198"/>
      <c r="RQS53" s="198"/>
      <c r="RQT53" s="198"/>
      <c r="RQU53" s="198"/>
      <c r="RQV53" s="198"/>
      <c r="RQW53" s="198"/>
      <c r="RQX53" s="198"/>
      <c r="RQY53" s="198"/>
      <c r="RQZ53" s="198"/>
      <c r="RRA53" s="198"/>
      <c r="RRB53" s="198"/>
      <c r="RRC53" s="198"/>
      <c r="RRD53" s="198"/>
      <c r="RRE53" s="198"/>
      <c r="RRF53" s="198"/>
      <c r="RRG53" s="198"/>
      <c r="RRH53" s="198"/>
      <c r="RRI53" s="198"/>
      <c r="RRJ53" s="198"/>
      <c r="RRK53" s="198"/>
      <c r="RRL53" s="198"/>
      <c r="RRM53" s="198"/>
      <c r="RRN53" s="198"/>
      <c r="RRO53" s="198"/>
      <c r="RRP53" s="198"/>
      <c r="RRQ53" s="198"/>
      <c r="RRR53" s="198"/>
      <c r="RRS53" s="198"/>
      <c r="RRT53" s="198"/>
      <c r="RRU53" s="198"/>
      <c r="RRV53" s="198"/>
      <c r="RRW53" s="198"/>
      <c r="RRX53" s="198"/>
      <c r="RRY53" s="198"/>
      <c r="RRZ53" s="198"/>
      <c r="RSA53" s="198"/>
      <c r="RSB53" s="198"/>
      <c r="RSC53" s="198"/>
      <c r="RSD53" s="198"/>
      <c r="RSE53" s="198"/>
      <c r="RSF53" s="198"/>
      <c r="RSG53" s="198"/>
      <c r="RSH53" s="198"/>
      <c r="RSI53" s="198"/>
      <c r="RSJ53" s="198"/>
      <c r="RSK53" s="198"/>
      <c r="RSL53" s="198"/>
      <c r="RSM53" s="198"/>
      <c r="RSN53" s="198"/>
      <c r="RSO53" s="198"/>
      <c r="RSP53" s="198"/>
      <c r="RSQ53" s="198"/>
      <c r="RSR53" s="198"/>
      <c r="RSS53" s="198"/>
      <c r="RST53" s="198"/>
      <c r="RSU53" s="198"/>
      <c r="RSV53" s="198"/>
      <c r="RSW53" s="198"/>
      <c r="RSX53" s="198"/>
      <c r="RSY53" s="198"/>
      <c r="RSZ53" s="198"/>
      <c r="RTA53" s="198"/>
      <c r="RTB53" s="198"/>
      <c r="RTC53" s="198"/>
      <c r="RTD53" s="198"/>
      <c r="RTE53" s="198"/>
      <c r="RTF53" s="198"/>
      <c r="RTG53" s="198"/>
      <c r="RTH53" s="198"/>
      <c r="RTI53" s="198"/>
      <c r="RTJ53" s="198"/>
      <c r="RTK53" s="198"/>
      <c r="RTL53" s="198"/>
      <c r="RTM53" s="198"/>
      <c r="RTN53" s="198"/>
      <c r="RTO53" s="198"/>
      <c r="RTP53" s="198"/>
      <c r="RTQ53" s="198"/>
      <c r="RTR53" s="198"/>
      <c r="RTS53" s="198"/>
      <c r="RTT53" s="198"/>
      <c r="RTU53" s="198"/>
      <c r="RTV53" s="198"/>
      <c r="RTW53" s="198"/>
      <c r="RTX53" s="198"/>
      <c r="RTY53" s="198"/>
      <c r="RTZ53" s="198"/>
      <c r="RUA53" s="198"/>
      <c r="RUB53" s="198"/>
      <c r="RUC53" s="198"/>
      <c r="RUD53" s="198"/>
      <c r="RUE53" s="198"/>
      <c r="RUF53" s="198"/>
      <c r="RUG53" s="198"/>
      <c r="RUH53" s="198"/>
      <c r="RUI53" s="198"/>
      <c r="RUJ53" s="198"/>
      <c r="RUK53" s="198"/>
      <c r="RUL53" s="198"/>
      <c r="RUM53" s="198"/>
      <c r="RUN53" s="198"/>
      <c r="RUO53" s="198"/>
      <c r="RUP53" s="198"/>
      <c r="RUQ53" s="198"/>
      <c r="RUR53" s="198"/>
      <c r="RUS53" s="198"/>
      <c r="RUT53" s="198"/>
      <c r="RUU53" s="198"/>
      <c r="RUV53" s="198"/>
      <c r="RUW53" s="198"/>
      <c r="RUX53" s="198"/>
      <c r="RUY53" s="198"/>
      <c r="RUZ53" s="198"/>
      <c r="RVA53" s="198"/>
      <c r="RVB53" s="198"/>
      <c r="RVC53" s="198"/>
      <c r="RVD53" s="198"/>
      <c r="RVE53" s="198"/>
      <c r="RVF53" s="198"/>
      <c r="RVG53" s="198"/>
      <c r="RVH53" s="198"/>
      <c r="RVI53" s="198"/>
      <c r="RVJ53" s="198"/>
      <c r="RVK53" s="198"/>
      <c r="RVL53" s="198"/>
      <c r="RVM53" s="198"/>
      <c r="RVN53" s="198"/>
      <c r="RVO53" s="198"/>
      <c r="RVP53" s="198"/>
      <c r="RVQ53" s="198"/>
      <c r="RVR53" s="198"/>
      <c r="RVS53" s="198"/>
      <c r="RVT53" s="198"/>
      <c r="RVU53" s="198"/>
      <c r="RVV53" s="198"/>
      <c r="RVW53" s="198"/>
      <c r="RVX53" s="198"/>
      <c r="RVY53" s="198"/>
      <c r="RVZ53" s="198"/>
      <c r="RWA53" s="198"/>
      <c r="RWB53" s="198"/>
      <c r="RWC53" s="198"/>
      <c r="RWD53" s="198"/>
      <c r="RWE53" s="198"/>
      <c r="RWF53" s="198"/>
      <c r="RWG53" s="198"/>
      <c r="RWH53" s="198"/>
      <c r="RWI53" s="198"/>
      <c r="RWJ53" s="198"/>
      <c r="RWK53" s="198"/>
      <c r="RWL53" s="198"/>
      <c r="RWM53" s="198"/>
      <c r="RWN53" s="198"/>
      <c r="RWO53" s="198"/>
      <c r="RWP53" s="198"/>
      <c r="RWQ53" s="198"/>
      <c r="RWR53" s="198"/>
      <c r="RWS53" s="198"/>
      <c r="RWT53" s="198"/>
      <c r="RWU53" s="198"/>
      <c r="RWV53" s="198"/>
      <c r="RWW53" s="198"/>
      <c r="RWX53" s="198"/>
      <c r="RWY53" s="198"/>
      <c r="RWZ53" s="198"/>
      <c r="RXA53" s="198"/>
      <c r="RXB53" s="198"/>
      <c r="RXC53" s="198"/>
      <c r="RXD53" s="198"/>
      <c r="RXE53" s="198"/>
      <c r="RXF53" s="198"/>
      <c r="RXG53" s="198"/>
      <c r="RXH53" s="198"/>
      <c r="RXI53" s="198"/>
      <c r="RXJ53" s="198"/>
      <c r="RXK53" s="198"/>
      <c r="RXL53" s="198"/>
      <c r="RXM53" s="198"/>
      <c r="RXN53" s="198"/>
      <c r="RXO53" s="198"/>
      <c r="RXP53" s="198"/>
      <c r="RXQ53" s="198"/>
      <c r="RXR53" s="198"/>
      <c r="RXS53" s="198"/>
      <c r="RXT53" s="198"/>
      <c r="RXU53" s="198"/>
      <c r="RXV53" s="198"/>
      <c r="RXW53" s="198"/>
      <c r="RXX53" s="198"/>
      <c r="RXY53" s="198"/>
      <c r="RXZ53" s="198"/>
      <c r="RYA53" s="198"/>
      <c r="RYB53" s="198"/>
      <c r="RYC53" s="198"/>
      <c r="RYD53" s="198"/>
      <c r="RYE53" s="198"/>
      <c r="RYF53" s="198"/>
      <c r="RYG53" s="198"/>
      <c r="RYH53" s="198"/>
      <c r="RYI53" s="198"/>
      <c r="RYJ53" s="198"/>
      <c r="RYK53" s="198"/>
      <c r="RYL53" s="198"/>
      <c r="RYM53" s="198"/>
      <c r="RYN53" s="198"/>
      <c r="RYO53" s="198"/>
      <c r="RYP53" s="198"/>
      <c r="RYQ53" s="198"/>
      <c r="RYR53" s="198"/>
      <c r="RYS53" s="198"/>
      <c r="RYT53" s="198"/>
      <c r="RYU53" s="198"/>
      <c r="RYV53" s="198"/>
      <c r="RYW53" s="198"/>
      <c r="RYX53" s="198"/>
      <c r="RYY53" s="198"/>
      <c r="RYZ53" s="198"/>
      <c r="RZA53" s="198"/>
      <c r="RZB53" s="198"/>
      <c r="RZC53" s="198"/>
      <c r="RZD53" s="198"/>
      <c r="RZE53" s="198"/>
      <c r="RZF53" s="198"/>
      <c r="RZG53" s="198"/>
      <c r="RZH53" s="198"/>
      <c r="RZI53" s="198"/>
      <c r="RZJ53" s="198"/>
      <c r="RZK53" s="198"/>
      <c r="RZL53" s="198"/>
      <c r="RZM53" s="198"/>
      <c r="RZN53" s="198"/>
      <c r="RZO53" s="198"/>
      <c r="RZP53" s="198"/>
      <c r="RZQ53" s="198"/>
      <c r="RZR53" s="198"/>
      <c r="RZS53" s="198"/>
      <c r="RZT53" s="198"/>
      <c r="RZU53" s="198"/>
      <c r="RZV53" s="198"/>
      <c r="RZW53" s="198"/>
      <c r="RZX53" s="198"/>
      <c r="RZY53" s="198"/>
      <c r="RZZ53" s="198"/>
      <c r="SAA53" s="198"/>
      <c r="SAB53" s="198"/>
      <c r="SAC53" s="198"/>
      <c r="SAD53" s="198"/>
      <c r="SAE53" s="198"/>
      <c r="SAF53" s="198"/>
      <c r="SAG53" s="198"/>
      <c r="SAH53" s="198"/>
      <c r="SAI53" s="198"/>
      <c r="SAJ53" s="198"/>
      <c r="SAK53" s="198"/>
      <c r="SAL53" s="198"/>
      <c r="SAM53" s="198"/>
      <c r="SAN53" s="198"/>
      <c r="SAO53" s="198"/>
      <c r="SAP53" s="198"/>
      <c r="SAQ53" s="198"/>
      <c r="SAR53" s="198"/>
      <c r="SAS53" s="198"/>
      <c r="SAT53" s="198"/>
      <c r="SAU53" s="198"/>
      <c r="SAV53" s="198"/>
      <c r="SAW53" s="198"/>
      <c r="SAX53" s="198"/>
      <c r="SAY53" s="198"/>
      <c r="SAZ53" s="198"/>
      <c r="SBA53" s="198"/>
      <c r="SBB53" s="198"/>
      <c r="SBC53" s="198"/>
      <c r="SBD53" s="198"/>
      <c r="SBE53" s="198"/>
      <c r="SBF53" s="198"/>
      <c r="SBG53" s="198"/>
      <c r="SBH53" s="198"/>
      <c r="SBI53" s="198"/>
      <c r="SBJ53" s="198"/>
      <c r="SBK53" s="198"/>
      <c r="SBL53" s="198"/>
      <c r="SBM53" s="198"/>
      <c r="SBN53" s="198"/>
      <c r="SBO53" s="198"/>
      <c r="SBP53" s="198"/>
      <c r="SBQ53" s="198"/>
      <c r="SBR53" s="198"/>
      <c r="SBS53" s="198"/>
      <c r="SBT53" s="198"/>
      <c r="SBU53" s="198"/>
      <c r="SBV53" s="198"/>
      <c r="SBW53" s="198"/>
      <c r="SBX53" s="198"/>
      <c r="SBY53" s="198"/>
      <c r="SBZ53" s="198"/>
      <c r="SCA53" s="198"/>
      <c r="SCB53" s="198"/>
      <c r="SCC53" s="198"/>
      <c r="SCD53" s="198"/>
      <c r="SCE53" s="198"/>
      <c r="SCF53" s="198"/>
      <c r="SCG53" s="198"/>
      <c r="SCH53" s="198"/>
      <c r="SCI53" s="198"/>
      <c r="SCJ53" s="198"/>
      <c r="SCK53" s="198"/>
      <c r="SCL53" s="198"/>
      <c r="SCM53" s="198"/>
      <c r="SCN53" s="198"/>
      <c r="SCO53" s="198"/>
      <c r="SCP53" s="198"/>
      <c r="SCQ53" s="198"/>
      <c r="SCR53" s="198"/>
      <c r="SCS53" s="198"/>
      <c r="SCT53" s="198"/>
      <c r="SCU53" s="198"/>
      <c r="SCV53" s="198"/>
      <c r="SCW53" s="198"/>
      <c r="SCX53" s="198"/>
      <c r="SCY53" s="198"/>
      <c r="SCZ53" s="198"/>
      <c r="SDA53" s="198"/>
      <c r="SDB53" s="198"/>
      <c r="SDC53" s="198"/>
      <c r="SDD53" s="198"/>
      <c r="SDE53" s="198"/>
      <c r="SDF53" s="198"/>
      <c r="SDG53" s="198"/>
      <c r="SDH53" s="198"/>
      <c r="SDI53" s="198"/>
      <c r="SDJ53" s="198"/>
      <c r="SDK53" s="198"/>
      <c r="SDL53" s="198"/>
      <c r="SDM53" s="198"/>
      <c r="SDN53" s="198"/>
      <c r="SDO53" s="198"/>
      <c r="SDP53" s="198"/>
      <c r="SDQ53" s="198"/>
      <c r="SDR53" s="198"/>
      <c r="SDS53" s="198"/>
      <c r="SDT53" s="198"/>
      <c r="SDU53" s="198"/>
      <c r="SDV53" s="198"/>
      <c r="SDW53" s="198"/>
      <c r="SDX53" s="198"/>
      <c r="SDY53" s="198"/>
      <c r="SDZ53" s="198"/>
      <c r="SEA53" s="198"/>
      <c r="SEB53" s="198"/>
      <c r="SEC53" s="198"/>
      <c r="SED53" s="198"/>
      <c r="SEE53" s="198"/>
      <c r="SEF53" s="198"/>
      <c r="SEG53" s="198"/>
      <c r="SEH53" s="198"/>
      <c r="SEI53" s="198"/>
      <c r="SEJ53" s="198"/>
      <c r="SEK53" s="198"/>
      <c r="SEL53" s="198"/>
      <c r="SEM53" s="198"/>
      <c r="SEN53" s="198"/>
      <c r="SEO53" s="198"/>
      <c r="SEP53" s="198"/>
      <c r="SEQ53" s="198"/>
      <c r="SER53" s="198"/>
      <c r="SES53" s="198"/>
      <c r="SET53" s="198"/>
      <c r="SEU53" s="198"/>
      <c r="SEV53" s="198"/>
      <c r="SEW53" s="198"/>
      <c r="SEX53" s="198"/>
      <c r="SEY53" s="198"/>
      <c r="SEZ53" s="198"/>
      <c r="SFA53" s="198"/>
      <c r="SFB53" s="198"/>
      <c r="SFC53" s="198"/>
      <c r="SFD53" s="198"/>
      <c r="SFE53" s="198"/>
      <c r="SFF53" s="198"/>
      <c r="SFG53" s="198"/>
      <c r="SFH53" s="198"/>
      <c r="SFI53" s="198"/>
      <c r="SFJ53" s="198"/>
      <c r="SFK53" s="198"/>
      <c r="SFL53" s="198"/>
      <c r="SFM53" s="198"/>
      <c r="SFN53" s="198"/>
      <c r="SFO53" s="198"/>
      <c r="SFP53" s="198"/>
      <c r="SFQ53" s="198"/>
      <c r="SFR53" s="198"/>
      <c r="SFS53" s="198"/>
      <c r="SFT53" s="198"/>
      <c r="SFU53" s="198"/>
      <c r="SFV53" s="198"/>
      <c r="SFW53" s="198"/>
      <c r="SFX53" s="198"/>
      <c r="SFY53" s="198"/>
      <c r="SFZ53" s="198"/>
      <c r="SGA53" s="198"/>
      <c r="SGB53" s="198"/>
      <c r="SGC53" s="198"/>
      <c r="SGD53" s="198"/>
      <c r="SGE53" s="198"/>
      <c r="SGF53" s="198"/>
      <c r="SGG53" s="198"/>
      <c r="SGH53" s="198"/>
      <c r="SGI53" s="198"/>
      <c r="SGJ53" s="198"/>
      <c r="SGK53" s="198"/>
      <c r="SGL53" s="198"/>
      <c r="SGM53" s="198"/>
      <c r="SGN53" s="198"/>
      <c r="SGO53" s="198"/>
      <c r="SGP53" s="198"/>
      <c r="SGQ53" s="198"/>
      <c r="SGR53" s="198"/>
      <c r="SGS53" s="198"/>
      <c r="SGT53" s="198"/>
      <c r="SGU53" s="198"/>
      <c r="SGV53" s="198"/>
      <c r="SGW53" s="198"/>
      <c r="SGX53" s="198"/>
      <c r="SGY53" s="198"/>
      <c r="SGZ53" s="198"/>
      <c r="SHA53" s="198"/>
      <c r="SHB53" s="198"/>
      <c r="SHC53" s="198"/>
      <c r="SHD53" s="198"/>
      <c r="SHE53" s="198"/>
      <c r="SHF53" s="198"/>
      <c r="SHG53" s="198"/>
      <c r="SHH53" s="198"/>
      <c r="SHI53" s="198"/>
      <c r="SHJ53" s="198"/>
      <c r="SHK53" s="198"/>
      <c r="SHL53" s="198"/>
      <c r="SHM53" s="198"/>
      <c r="SHN53" s="198"/>
      <c r="SHO53" s="198"/>
      <c r="SHP53" s="198"/>
      <c r="SHQ53" s="198"/>
      <c r="SHR53" s="198"/>
      <c r="SHS53" s="198"/>
      <c r="SHT53" s="198"/>
      <c r="SHU53" s="198"/>
      <c r="SHV53" s="198"/>
      <c r="SHW53" s="198"/>
      <c r="SHX53" s="198"/>
      <c r="SHY53" s="198"/>
      <c r="SHZ53" s="198"/>
      <c r="SIA53" s="198"/>
      <c r="SIB53" s="198"/>
      <c r="SIC53" s="198"/>
      <c r="SID53" s="198"/>
      <c r="SIE53" s="198"/>
      <c r="SIF53" s="198"/>
      <c r="SIG53" s="198"/>
      <c r="SIH53" s="198"/>
      <c r="SII53" s="198"/>
      <c r="SIJ53" s="198"/>
      <c r="SIK53" s="198"/>
      <c r="SIL53" s="198"/>
      <c r="SIM53" s="198"/>
      <c r="SIN53" s="198"/>
      <c r="SIO53" s="198"/>
      <c r="SIP53" s="198"/>
      <c r="SIQ53" s="198"/>
      <c r="SIR53" s="198"/>
      <c r="SIS53" s="198"/>
      <c r="SIT53" s="198"/>
      <c r="SIU53" s="198"/>
      <c r="SIV53" s="198"/>
      <c r="SIW53" s="198"/>
      <c r="SIX53" s="198"/>
      <c r="SIY53" s="198"/>
      <c r="SIZ53" s="198"/>
      <c r="SJA53" s="198"/>
      <c r="SJB53" s="198"/>
      <c r="SJC53" s="198"/>
      <c r="SJD53" s="198"/>
      <c r="SJE53" s="198"/>
      <c r="SJF53" s="198"/>
      <c r="SJG53" s="198"/>
      <c r="SJH53" s="198"/>
      <c r="SJI53" s="198"/>
      <c r="SJJ53" s="198"/>
      <c r="SJK53" s="198"/>
      <c r="SJL53" s="198"/>
      <c r="SJM53" s="198"/>
      <c r="SJN53" s="198"/>
      <c r="SJO53" s="198"/>
      <c r="SJP53" s="198"/>
      <c r="SJQ53" s="198"/>
      <c r="SJR53" s="198"/>
      <c r="SJS53" s="198"/>
      <c r="SJT53" s="198"/>
      <c r="SJU53" s="198"/>
      <c r="SJV53" s="198"/>
      <c r="SJW53" s="198"/>
      <c r="SJX53" s="198"/>
      <c r="SJY53" s="198"/>
      <c r="SJZ53" s="198"/>
      <c r="SKA53" s="198"/>
      <c r="SKB53" s="198"/>
      <c r="SKC53" s="198"/>
      <c r="SKD53" s="198"/>
      <c r="SKE53" s="198"/>
      <c r="SKF53" s="198"/>
      <c r="SKG53" s="198"/>
      <c r="SKH53" s="198"/>
      <c r="SKI53" s="198"/>
      <c r="SKJ53" s="198"/>
      <c r="SKK53" s="198"/>
      <c r="SKL53" s="198"/>
      <c r="SKM53" s="198"/>
      <c r="SKN53" s="198"/>
      <c r="SKO53" s="198"/>
      <c r="SKP53" s="198"/>
      <c r="SKQ53" s="198"/>
      <c r="SKR53" s="198"/>
      <c r="SKS53" s="198"/>
      <c r="SKT53" s="198"/>
      <c r="SKU53" s="198"/>
      <c r="SKV53" s="198"/>
      <c r="SKW53" s="198"/>
      <c r="SKX53" s="198"/>
      <c r="SKY53" s="198"/>
      <c r="SKZ53" s="198"/>
      <c r="SLA53" s="198"/>
      <c r="SLB53" s="198"/>
      <c r="SLC53" s="198"/>
      <c r="SLD53" s="198"/>
      <c r="SLE53" s="198"/>
      <c r="SLF53" s="198"/>
      <c r="SLG53" s="198"/>
      <c r="SLH53" s="198"/>
      <c r="SLI53" s="198"/>
      <c r="SLJ53" s="198"/>
      <c r="SLK53" s="198"/>
      <c r="SLL53" s="198"/>
      <c r="SLM53" s="198"/>
      <c r="SLN53" s="198"/>
      <c r="SLO53" s="198"/>
      <c r="SLP53" s="198"/>
      <c r="SLQ53" s="198"/>
      <c r="SLR53" s="198"/>
      <c r="SLS53" s="198"/>
      <c r="SLT53" s="198"/>
      <c r="SLU53" s="198"/>
      <c r="SLV53" s="198"/>
      <c r="SLW53" s="198"/>
      <c r="SLX53" s="198"/>
      <c r="SLY53" s="198"/>
      <c r="SLZ53" s="198"/>
      <c r="SMA53" s="198"/>
      <c r="SMB53" s="198"/>
      <c r="SMC53" s="198"/>
      <c r="SMD53" s="198"/>
      <c r="SME53" s="198"/>
      <c r="SMF53" s="198"/>
      <c r="SMG53" s="198"/>
      <c r="SMH53" s="198"/>
      <c r="SMI53" s="198"/>
      <c r="SMJ53" s="198"/>
      <c r="SMK53" s="198"/>
      <c r="SML53" s="198"/>
      <c r="SMM53" s="198"/>
      <c r="SMN53" s="198"/>
      <c r="SMO53" s="198"/>
      <c r="SMP53" s="198"/>
      <c r="SMQ53" s="198"/>
      <c r="SMR53" s="198"/>
      <c r="SMS53" s="198"/>
      <c r="SMT53" s="198"/>
      <c r="SMU53" s="198"/>
      <c r="SMV53" s="198"/>
      <c r="SMW53" s="198"/>
      <c r="SMX53" s="198"/>
      <c r="SMY53" s="198"/>
      <c r="SMZ53" s="198"/>
      <c r="SNA53" s="198"/>
      <c r="SNB53" s="198"/>
      <c r="SNC53" s="198"/>
      <c r="SND53" s="198"/>
      <c r="SNE53" s="198"/>
      <c r="SNF53" s="198"/>
      <c r="SNG53" s="198"/>
      <c r="SNH53" s="198"/>
      <c r="SNI53" s="198"/>
      <c r="SNJ53" s="198"/>
      <c r="SNK53" s="198"/>
      <c r="SNL53" s="198"/>
      <c r="SNM53" s="198"/>
      <c r="SNN53" s="198"/>
      <c r="SNO53" s="198"/>
      <c r="SNP53" s="198"/>
      <c r="SNQ53" s="198"/>
      <c r="SNR53" s="198"/>
      <c r="SNS53" s="198"/>
      <c r="SNT53" s="198"/>
      <c r="SNU53" s="198"/>
      <c r="SNV53" s="198"/>
      <c r="SNW53" s="198"/>
      <c r="SNX53" s="198"/>
      <c r="SNY53" s="198"/>
      <c r="SNZ53" s="198"/>
      <c r="SOA53" s="198"/>
      <c r="SOB53" s="198"/>
      <c r="SOC53" s="198"/>
      <c r="SOD53" s="198"/>
      <c r="SOE53" s="198"/>
      <c r="SOF53" s="198"/>
      <c r="SOG53" s="198"/>
      <c r="SOH53" s="198"/>
      <c r="SOI53" s="198"/>
      <c r="SOJ53" s="198"/>
      <c r="SOK53" s="198"/>
      <c r="SOL53" s="198"/>
      <c r="SOM53" s="198"/>
      <c r="SON53" s="198"/>
      <c r="SOO53" s="198"/>
      <c r="SOP53" s="198"/>
      <c r="SOQ53" s="198"/>
      <c r="SOR53" s="198"/>
      <c r="SOS53" s="198"/>
      <c r="SOT53" s="198"/>
      <c r="SOU53" s="198"/>
      <c r="SOV53" s="198"/>
      <c r="SOW53" s="198"/>
      <c r="SOX53" s="198"/>
      <c r="SOY53" s="198"/>
      <c r="SOZ53" s="198"/>
      <c r="SPA53" s="198"/>
      <c r="SPB53" s="198"/>
      <c r="SPC53" s="198"/>
      <c r="SPD53" s="198"/>
      <c r="SPE53" s="198"/>
      <c r="SPF53" s="198"/>
      <c r="SPG53" s="198"/>
      <c r="SPH53" s="198"/>
      <c r="SPI53" s="198"/>
      <c r="SPJ53" s="198"/>
      <c r="SPK53" s="198"/>
      <c r="SPL53" s="198"/>
      <c r="SPM53" s="198"/>
      <c r="SPN53" s="198"/>
      <c r="SPO53" s="198"/>
      <c r="SPP53" s="198"/>
      <c r="SPQ53" s="198"/>
      <c r="SPR53" s="198"/>
      <c r="SPS53" s="198"/>
      <c r="SPT53" s="198"/>
      <c r="SPU53" s="198"/>
      <c r="SPV53" s="198"/>
      <c r="SPW53" s="198"/>
      <c r="SPX53" s="198"/>
      <c r="SPY53" s="198"/>
      <c r="SPZ53" s="198"/>
      <c r="SQA53" s="198"/>
      <c r="SQB53" s="198"/>
      <c r="SQC53" s="198"/>
      <c r="SQD53" s="198"/>
      <c r="SQE53" s="198"/>
      <c r="SQF53" s="198"/>
      <c r="SQG53" s="198"/>
      <c r="SQH53" s="198"/>
      <c r="SQI53" s="198"/>
      <c r="SQJ53" s="198"/>
      <c r="SQK53" s="198"/>
      <c r="SQL53" s="198"/>
      <c r="SQM53" s="198"/>
      <c r="SQN53" s="198"/>
      <c r="SQO53" s="198"/>
      <c r="SQP53" s="198"/>
      <c r="SQQ53" s="198"/>
      <c r="SQR53" s="198"/>
      <c r="SQS53" s="198"/>
      <c r="SQT53" s="198"/>
      <c r="SQU53" s="198"/>
      <c r="SQV53" s="198"/>
      <c r="SQW53" s="198"/>
      <c r="SQX53" s="198"/>
      <c r="SQY53" s="198"/>
      <c r="SQZ53" s="198"/>
      <c r="SRA53" s="198"/>
      <c r="SRB53" s="198"/>
      <c r="SRC53" s="198"/>
      <c r="SRD53" s="198"/>
      <c r="SRE53" s="198"/>
      <c r="SRF53" s="198"/>
      <c r="SRG53" s="198"/>
      <c r="SRH53" s="198"/>
      <c r="SRI53" s="198"/>
      <c r="SRJ53" s="198"/>
      <c r="SRK53" s="198"/>
      <c r="SRL53" s="198"/>
      <c r="SRM53" s="198"/>
      <c r="SRN53" s="198"/>
      <c r="SRO53" s="198"/>
      <c r="SRP53" s="198"/>
      <c r="SRQ53" s="198"/>
      <c r="SRR53" s="198"/>
      <c r="SRS53" s="198"/>
      <c r="SRT53" s="198"/>
      <c r="SRU53" s="198"/>
      <c r="SRV53" s="198"/>
      <c r="SRW53" s="198"/>
      <c r="SRX53" s="198"/>
      <c r="SRY53" s="198"/>
      <c r="SRZ53" s="198"/>
      <c r="SSA53" s="198"/>
      <c r="SSB53" s="198"/>
      <c r="SSC53" s="198"/>
      <c r="SSD53" s="198"/>
      <c r="SSE53" s="198"/>
      <c r="SSF53" s="198"/>
      <c r="SSG53" s="198"/>
      <c r="SSH53" s="198"/>
      <c r="SSI53" s="198"/>
      <c r="SSJ53" s="198"/>
      <c r="SSK53" s="198"/>
      <c r="SSL53" s="198"/>
      <c r="SSM53" s="198"/>
      <c r="SSN53" s="198"/>
      <c r="SSO53" s="198"/>
      <c r="SSP53" s="198"/>
      <c r="SSQ53" s="198"/>
      <c r="SSR53" s="198"/>
      <c r="SSS53" s="198"/>
      <c r="SST53" s="198"/>
      <c r="SSU53" s="198"/>
      <c r="SSV53" s="198"/>
      <c r="SSW53" s="198"/>
      <c r="SSX53" s="198"/>
      <c r="SSY53" s="198"/>
      <c r="SSZ53" s="198"/>
      <c r="STA53" s="198"/>
      <c r="STB53" s="198"/>
      <c r="STC53" s="198"/>
      <c r="STD53" s="198"/>
      <c r="STE53" s="198"/>
      <c r="STF53" s="198"/>
      <c r="STG53" s="198"/>
      <c r="STH53" s="198"/>
      <c r="STI53" s="198"/>
      <c r="STJ53" s="198"/>
      <c r="STK53" s="198"/>
      <c r="STL53" s="198"/>
      <c r="STM53" s="198"/>
      <c r="STN53" s="198"/>
      <c r="STO53" s="198"/>
      <c r="STP53" s="198"/>
      <c r="STQ53" s="198"/>
      <c r="STR53" s="198"/>
      <c r="STS53" s="198"/>
      <c r="STT53" s="198"/>
      <c r="STU53" s="198"/>
      <c r="STV53" s="198"/>
      <c r="STW53" s="198"/>
      <c r="STX53" s="198"/>
      <c r="STY53" s="198"/>
      <c r="STZ53" s="198"/>
      <c r="SUA53" s="198"/>
      <c r="SUB53" s="198"/>
      <c r="SUC53" s="198"/>
      <c r="SUD53" s="198"/>
      <c r="SUE53" s="198"/>
      <c r="SUF53" s="198"/>
      <c r="SUG53" s="198"/>
      <c r="SUH53" s="198"/>
      <c r="SUI53" s="198"/>
      <c r="SUJ53" s="198"/>
      <c r="SUK53" s="198"/>
      <c r="SUL53" s="198"/>
      <c r="SUM53" s="198"/>
      <c r="SUN53" s="198"/>
      <c r="SUO53" s="198"/>
      <c r="SUP53" s="198"/>
      <c r="SUQ53" s="198"/>
      <c r="SUR53" s="198"/>
      <c r="SUS53" s="198"/>
      <c r="SUT53" s="198"/>
      <c r="SUU53" s="198"/>
      <c r="SUV53" s="198"/>
      <c r="SUW53" s="198"/>
      <c r="SUX53" s="198"/>
      <c r="SUY53" s="198"/>
      <c r="SUZ53" s="198"/>
      <c r="SVA53" s="198"/>
      <c r="SVB53" s="198"/>
      <c r="SVC53" s="198"/>
      <c r="SVD53" s="198"/>
      <c r="SVE53" s="198"/>
      <c r="SVF53" s="198"/>
      <c r="SVG53" s="198"/>
      <c r="SVH53" s="198"/>
      <c r="SVI53" s="198"/>
      <c r="SVJ53" s="198"/>
      <c r="SVK53" s="198"/>
      <c r="SVL53" s="198"/>
      <c r="SVM53" s="198"/>
      <c r="SVN53" s="198"/>
      <c r="SVO53" s="198"/>
      <c r="SVP53" s="198"/>
      <c r="SVQ53" s="198"/>
      <c r="SVR53" s="198"/>
      <c r="SVS53" s="198"/>
      <c r="SVT53" s="198"/>
      <c r="SVU53" s="198"/>
      <c r="SVV53" s="198"/>
      <c r="SVW53" s="198"/>
      <c r="SVX53" s="198"/>
      <c r="SVY53" s="198"/>
      <c r="SVZ53" s="198"/>
      <c r="SWA53" s="198"/>
      <c r="SWB53" s="198"/>
      <c r="SWC53" s="198"/>
      <c r="SWD53" s="198"/>
      <c r="SWE53" s="198"/>
      <c r="SWF53" s="198"/>
      <c r="SWG53" s="198"/>
      <c r="SWH53" s="198"/>
      <c r="SWI53" s="198"/>
      <c r="SWJ53" s="198"/>
      <c r="SWK53" s="198"/>
      <c r="SWL53" s="198"/>
      <c r="SWM53" s="198"/>
      <c r="SWN53" s="198"/>
      <c r="SWO53" s="198"/>
      <c r="SWP53" s="198"/>
      <c r="SWQ53" s="198"/>
      <c r="SWR53" s="198"/>
      <c r="SWS53" s="198"/>
      <c r="SWT53" s="198"/>
      <c r="SWU53" s="198"/>
      <c r="SWV53" s="198"/>
      <c r="SWW53" s="198"/>
      <c r="SWX53" s="198"/>
      <c r="SWY53" s="198"/>
      <c r="SWZ53" s="198"/>
      <c r="SXA53" s="198"/>
      <c r="SXB53" s="198"/>
      <c r="SXC53" s="198"/>
      <c r="SXD53" s="198"/>
      <c r="SXE53" s="198"/>
      <c r="SXF53" s="198"/>
      <c r="SXG53" s="198"/>
      <c r="SXH53" s="198"/>
      <c r="SXI53" s="198"/>
      <c r="SXJ53" s="198"/>
      <c r="SXK53" s="198"/>
      <c r="SXL53" s="198"/>
      <c r="SXM53" s="198"/>
      <c r="SXN53" s="198"/>
      <c r="SXO53" s="198"/>
      <c r="SXP53" s="198"/>
      <c r="SXQ53" s="198"/>
      <c r="SXR53" s="198"/>
      <c r="SXS53" s="198"/>
      <c r="SXT53" s="198"/>
      <c r="SXU53" s="198"/>
      <c r="SXV53" s="198"/>
      <c r="SXW53" s="198"/>
      <c r="SXX53" s="198"/>
      <c r="SXY53" s="198"/>
      <c r="SXZ53" s="198"/>
      <c r="SYA53" s="198"/>
      <c r="SYB53" s="198"/>
      <c r="SYC53" s="198"/>
      <c r="SYD53" s="198"/>
      <c r="SYE53" s="198"/>
      <c r="SYF53" s="198"/>
      <c r="SYG53" s="198"/>
      <c r="SYH53" s="198"/>
      <c r="SYI53" s="198"/>
      <c r="SYJ53" s="198"/>
      <c r="SYK53" s="198"/>
      <c r="SYL53" s="198"/>
      <c r="SYM53" s="198"/>
      <c r="SYN53" s="198"/>
      <c r="SYO53" s="198"/>
      <c r="SYP53" s="198"/>
      <c r="SYQ53" s="198"/>
      <c r="SYR53" s="198"/>
      <c r="SYS53" s="198"/>
      <c r="SYT53" s="198"/>
      <c r="SYU53" s="198"/>
      <c r="SYV53" s="198"/>
      <c r="SYW53" s="198"/>
      <c r="SYX53" s="198"/>
      <c r="SYY53" s="198"/>
      <c r="SYZ53" s="198"/>
      <c r="SZA53" s="198"/>
      <c r="SZB53" s="198"/>
      <c r="SZC53" s="198"/>
      <c r="SZD53" s="198"/>
      <c r="SZE53" s="198"/>
      <c r="SZF53" s="198"/>
      <c r="SZG53" s="198"/>
      <c r="SZH53" s="198"/>
      <c r="SZI53" s="198"/>
      <c r="SZJ53" s="198"/>
      <c r="SZK53" s="198"/>
      <c r="SZL53" s="198"/>
      <c r="SZM53" s="198"/>
      <c r="SZN53" s="198"/>
      <c r="SZO53" s="198"/>
      <c r="SZP53" s="198"/>
      <c r="SZQ53" s="198"/>
      <c r="SZR53" s="198"/>
      <c r="SZS53" s="198"/>
      <c r="SZT53" s="198"/>
      <c r="SZU53" s="198"/>
      <c r="SZV53" s="198"/>
      <c r="SZW53" s="198"/>
      <c r="SZX53" s="198"/>
      <c r="SZY53" s="198"/>
      <c r="SZZ53" s="198"/>
      <c r="TAA53" s="198"/>
      <c r="TAB53" s="198"/>
      <c r="TAC53" s="198"/>
      <c r="TAD53" s="198"/>
      <c r="TAE53" s="198"/>
      <c r="TAF53" s="198"/>
      <c r="TAG53" s="198"/>
      <c r="TAH53" s="198"/>
      <c r="TAI53" s="198"/>
      <c r="TAJ53" s="198"/>
      <c r="TAK53" s="198"/>
      <c r="TAL53" s="198"/>
      <c r="TAM53" s="198"/>
      <c r="TAN53" s="198"/>
      <c r="TAO53" s="198"/>
      <c r="TAP53" s="198"/>
      <c r="TAQ53" s="198"/>
      <c r="TAR53" s="198"/>
      <c r="TAS53" s="198"/>
      <c r="TAT53" s="198"/>
      <c r="TAU53" s="198"/>
      <c r="TAV53" s="198"/>
      <c r="TAW53" s="198"/>
      <c r="TAX53" s="198"/>
      <c r="TAY53" s="198"/>
      <c r="TAZ53" s="198"/>
      <c r="TBA53" s="198"/>
      <c r="TBB53" s="198"/>
      <c r="TBC53" s="198"/>
      <c r="TBD53" s="198"/>
      <c r="TBE53" s="198"/>
      <c r="TBF53" s="198"/>
      <c r="TBG53" s="198"/>
      <c r="TBH53" s="198"/>
      <c r="TBI53" s="198"/>
      <c r="TBJ53" s="198"/>
      <c r="TBK53" s="198"/>
      <c r="TBL53" s="198"/>
      <c r="TBM53" s="198"/>
      <c r="TBN53" s="198"/>
      <c r="TBO53" s="198"/>
      <c r="TBP53" s="198"/>
      <c r="TBQ53" s="198"/>
      <c r="TBR53" s="198"/>
      <c r="TBS53" s="198"/>
      <c r="TBT53" s="198"/>
      <c r="TBU53" s="198"/>
      <c r="TBV53" s="198"/>
      <c r="TBW53" s="198"/>
      <c r="TBX53" s="198"/>
      <c r="TBY53" s="198"/>
      <c r="TBZ53" s="198"/>
      <c r="TCA53" s="198"/>
      <c r="TCB53" s="198"/>
      <c r="TCC53" s="198"/>
      <c r="TCD53" s="198"/>
      <c r="TCE53" s="198"/>
      <c r="TCF53" s="198"/>
      <c r="TCG53" s="198"/>
      <c r="TCH53" s="198"/>
      <c r="TCI53" s="198"/>
      <c r="TCJ53" s="198"/>
      <c r="TCK53" s="198"/>
      <c r="TCL53" s="198"/>
      <c r="TCM53" s="198"/>
      <c r="TCN53" s="198"/>
      <c r="TCO53" s="198"/>
      <c r="TCP53" s="198"/>
      <c r="TCQ53" s="198"/>
      <c r="TCR53" s="198"/>
      <c r="TCS53" s="198"/>
      <c r="TCT53" s="198"/>
      <c r="TCU53" s="198"/>
      <c r="TCV53" s="198"/>
      <c r="TCW53" s="198"/>
      <c r="TCX53" s="198"/>
      <c r="TCY53" s="198"/>
      <c r="TCZ53" s="198"/>
      <c r="TDA53" s="198"/>
      <c r="TDB53" s="198"/>
      <c r="TDC53" s="198"/>
      <c r="TDD53" s="198"/>
      <c r="TDE53" s="198"/>
      <c r="TDF53" s="198"/>
      <c r="TDG53" s="198"/>
      <c r="TDH53" s="198"/>
      <c r="TDI53" s="198"/>
      <c r="TDJ53" s="198"/>
      <c r="TDK53" s="198"/>
      <c r="TDL53" s="198"/>
      <c r="TDM53" s="198"/>
      <c r="TDN53" s="198"/>
      <c r="TDO53" s="198"/>
      <c r="TDP53" s="198"/>
      <c r="TDQ53" s="198"/>
      <c r="TDR53" s="198"/>
      <c r="TDS53" s="198"/>
      <c r="TDT53" s="198"/>
      <c r="TDU53" s="198"/>
      <c r="TDV53" s="198"/>
      <c r="TDW53" s="198"/>
      <c r="TDX53" s="198"/>
      <c r="TDY53" s="198"/>
      <c r="TDZ53" s="198"/>
      <c r="TEA53" s="198"/>
      <c r="TEB53" s="198"/>
      <c r="TEC53" s="198"/>
      <c r="TED53" s="198"/>
      <c r="TEE53" s="198"/>
      <c r="TEF53" s="198"/>
      <c r="TEG53" s="198"/>
      <c r="TEH53" s="198"/>
      <c r="TEI53" s="198"/>
      <c r="TEJ53" s="198"/>
      <c r="TEK53" s="198"/>
      <c r="TEL53" s="198"/>
      <c r="TEM53" s="198"/>
      <c r="TEN53" s="198"/>
      <c r="TEO53" s="198"/>
      <c r="TEP53" s="198"/>
      <c r="TEQ53" s="198"/>
      <c r="TER53" s="198"/>
      <c r="TES53" s="198"/>
      <c r="TET53" s="198"/>
      <c r="TEU53" s="198"/>
      <c r="TEV53" s="198"/>
      <c r="TEW53" s="198"/>
      <c r="TEX53" s="198"/>
      <c r="TEY53" s="198"/>
      <c r="TEZ53" s="198"/>
      <c r="TFA53" s="198"/>
      <c r="TFB53" s="198"/>
      <c r="TFC53" s="198"/>
      <c r="TFD53" s="198"/>
      <c r="TFE53" s="198"/>
      <c r="TFF53" s="198"/>
      <c r="TFG53" s="198"/>
      <c r="TFH53" s="198"/>
      <c r="TFI53" s="198"/>
      <c r="TFJ53" s="198"/>
      <c r="TFK53" s="198"/>
      <c r="TFL53" s="198"/>
      <c r="TFM53" s="198"/>
      <c r="TFN53" s="198"/>
      <c r="TFO53" s="198"/>
      <c r="TFP53" s="198"/>
      <c r="TFQ53" s="198"/>
      <c r="TFR53" s="198"/>
      <c r="TFS53" s="198"/>
      <c r="TFT53" s="198"/>
      <c r="TFU53" s="198"/>
      <c r="TFV53" s="198"/>
      <c r="TFW53" s="198"/>
      <c r="TFX53" s="198"/>
      <c r="TFY53" s="198"/>
      <c r="TFZ53" s="198"/>
      <c r="TGA53" s="198"/>
      <c r="TGB53" s="198"/>
      <c r="TGC53" s="198"/>
      <c r="TGD53" s="198"/>
      <c r="TGE53" s="198"/>
      <c r="TGF53" s="198"/>
      <c r="TGG53" s="198"/>
      <c r="TGH53" s="198"/>
      <c r="TGI53" s="198"/>
      <c r="TGJ53" s="198"/>
      <c r="TGK53" s="198"/>
      <c r="TGL53" s="198"/>
      <c r="TGM53" s="198"/>
      <c r="TGN53" s="198"/>
      <c r="TGO53" s="198"/>
      <c r="TGP53" s="198"/>
      <c r="TGQ53" s="198"/>
      <c r="TGR53" s="198"/>
      <c r="TGS53" s="198"/>
      <c r="TGT53" s="198"/>
      <c r="TGU53" s="198"/>
      <c r="TGV53" s="198"/>
      <c r="TGW53" s="198"/>
      <c r="TGX53" s="198"/>
      <c r="TGY53" s="198"/>
      <c r="TGZ53" s="198"/>
      <c r="THA53" s="198"/>
      <c r="THB53" s="198"/>
      <c r="THC53" s="198"/>
      <c r="THD53" s="198"/>
      <c r="THE53" s="198"/>
      <c r="THF53" s="198"/>
      <c r="THG53" s="198"/>
      <c r="THH53" s="198"/>
      <c r="THI53" s="198"/>
      <c r="THJ53" s="198"/>
      <c r="THK53" s="198"/>
      <c r="THL53" s="198"/>
      <c r="THM53" s="198"/>
      <c r="THN53" s="198"/>
      <c r="THO53" s="198"/>
      <c r="THP53" s="198"/>
      <c r="THQ53" s="198"/>
      <c r="THR53" s="198"/>
      <c r="THS53" s="198"/>
      <c r="THT53" s="198"/>
      <c r="THU53" s="198"/>
      <c r="THV53" s="198"/>
      <c r="THW53" s="198"/>
      <c r="THX53" s="198"/>
      <c r="THY53" s="198"/>
      <c r="THZ53" s="198"/>
      <c r="TIA53" s="198"/>
      <c r="TIB53" s="198"/>
      <c r="TIC53" s="198"/>
      <c r="TID53" s="198"/>
      <c r="TIE53" s="198"/>
      <c r="TIF53" s="198"/>
      <c r="TIG53" s="198"/>
      <c r="TIH53" s="198"/>
      <c r="TII53" s="198"/>
      <c r="TIJ53" s="198"/>
      <c r="TIK53" s="198"/>
      <c r="TIL53" s="198"/>
      <c r="TIM53" s="198"/>
      <c r="TIN53" s="198"/>
      <c r="TIO53" s="198"/>
      <c r="TIP53" s="198"/>
      <c r="TIQ53" s="198"/>
      <c r="TIR53" s="198"/>
      <c r="TIS53" s="198"/>
      <c r="TIT53" s="198"/>
      <c r="TIU53" s="198"/>
      <c r="TIV53" s="198"/>
      <c r="TIW53" s="198"/>
      <c r="TIX53" s="198"/>
      <c r="TIY53" s="198"/>
      <c r="TIZ53" s="198"/>
      <c r="TJA53" s="198"/>
      <c r="TJB53" s="198"/>
      <c r="TJC53" s="198"/>
      <c r="TJD53" s="198"/>
      <c r="TJE53" s="198"/>
      <c r="TJF53" s="198"/>
      <c r="TJG53" s="198"/>
      <c r="TJH53" s="198"/>
      <c r="TJI53" s="198"/>
      <c r="TJJ53" s="198"/>
      <c r="TJK53" s="198"/>
      <c r="TJL53" s="198"/>
      <c r="TJM53" s="198"/>
      <c r="TJN53" s="198"/>
      <c r="TJO53" s="198"/>
      <c r="TJP53" s="198"/>
      <c r="TJQ53" s="198"/>
      <c r="TJR53" s="198"/>
      <c r="TJS53" s="198"/>
      <c r="TJT53" s="198"/>
      <c r="TJU53" s="198"/>
      <c r="TJV53" s="198"/>
      <c r="TJW53" s="198"/>
      <c r="TJX53" s="198"/>
      <c r="TJY53" s="198"/>
      <c r="TJZ53" s="198"/>
      <c r="TKA53" s="198"/>
      <c r="TKB53" s="198"/>
      <c r="TKC53" s="198"/>
      <c r="TKD53" s="198"/>
      <c r="TKE53" s="198"/>
      <c r="TKF53" s="198"/>
      <c r="TKG53" s="198"/>
      <c r="TKH53" s="198"/>
      <c r="TKI53" s="198"/>
      <c r="TKJ53" s="198"/>
      <c r="TKK53" s="198"/>
      <c r="TKL53" s="198"/>
      <c r="TKM53" s="198"/>
      <c r="TKN53" s="198"/>
      <c r="TKO53" s="198"/>
      <c r="TKP53" s="198"/>
      <c r="TKQ53" s="198"/>
      <c r="TKR53" s="198"/>
      <c r="TKS53" s="198"/>
      <c r="TKT53" s="198"/>
      <c r="TKU53" s="198"/>
      <c r="TKV53" s="198"/>
      <c r="TKW53" s="198"/>
      <c r="TKX53" s="198"/>
      <c r="TKY53" s="198"/>
      <c r="TKZ53" s="198"/>
      <c r="TLA53" s="198"/>
      <c r="TLB53" s="198"/>
      <c r="TLC53" s="198"/>
      <c r="TLD53" s="198"/>
      <c r="TLE53" s="198"/>
      <c r="TLF53" s="198"/>
      <c r="TLG53" s="198"/>
      <c r="TLH53" s="198"/>
      <c r="TLI53" s="198"/>
      <c r="TLJ53" s="198"/>
      <c r="TLK53" s="198"/>
      <c r="TLL53" s="198"/>
      <c r="TLM53" s="198"/>
      <c r="TLN53" s="198"/>
      <c r="TLO53" s="198"/>
      <c r="TLP53" s="198"/>
      <c r="TLQ53" s="198"/>
      <c r="TLR53" s="198"/>
      <c r="TLS53" s="198"/>
      <c r="TLT53" s="198"/>
      <c r="TLU53" s="198"/>
      <c r="TLV53" s="198"/>
      <c r="TLW53" s="198"/>
      <c r="TLX53" s="198"/>
      <c r="TLY53" s="198"/>
      <c r="TLZ53" s="198"/>
      <c r="TMA53" s="198"/>
      <c r="TMB53" s="198"/>
      <c r="TMC53" s="198"/>
      <c r="TMD53" s="198"/>
      <c r="TME53" s="198"/>
      <c r="TMF53" s="198"/>
      <c r="TMG53" s="198"/>
      <c r="TMH53" s="198"/>
      <c r="TMI53" s="198"/>
      <c r="TMJ53" s="198"/>
      <c r="TMK53" s="198"/>
      <c r="TML53" s="198"/>
      <c r="TMM53" s="198"/>
      <c r="TMN53" s="198"/>
      <c r="TMO53" s="198"/>
      <c r="TMP53" s="198"/>
      <c r="TMQ53" s="198"/>
      <c r="TMR53" s="198"/>
      <c r="TMS53" s="198"/>
      <c r="TMT53" s="198"/>
      <c r="TMU53" s="198"/>
      <c r="TMV53" s="198"/>
      <c r="TMW53" s="198"/>
      <c r="TMX53" s="198"/>
      <c r="TMY53" s="198"/>
      <c r="TMZ53" s="198"/>
      <c r="TNA53" s="198"/>
      <c r="TNB53" s="198"/>
      <c r="TNC53" s="198"/>
      <c r="TND53" s="198"/>
      <c r="TNE53" s="198"/>
      <c r="TNF53" s="198"/>
      <c r="TNG53" s="198"/>
      <c r="TNH53" s="198"/>
      <c r="TNI53" s="198"/>
      <c r="TNJ53" s="198"/>
      <c r="TNK53" s="198"/>
      <c r="TNL53" s="198"/>
      <c r="TNM53" s="198"/>
      <c r="TNN53" s="198"/>
      <c r="TNO53" s="198"/>
      <c r="TNP53" s="198"/>
      <c r="TNQ53" s="198"/>
      <c r="TNR53" s="198"/>
      <c r="TNS53" s="198"/>
      <c r="TNT53" s="198"/>
      <c r="TNU53" s="198"/>
      <c r="TNV53" s="198"/>
      <c r="TNW53" s="198"/>
      <c r="TNX53" s="198"/>
      <c r="TNY53" s="198"/>
      <c r="TNZ53" s="198"/>
      <c r="TOA53" s="198"/>
      <c r="TOB53" s="198"/>
      <c r="TOC53" s="198"/>
      <c r="TOD53" s="198"/>
      <c r="TOE53" s="198"/>
      <c r="TOF53" s="198"/>
      <c r="TOG53" s="198"/>
      <c r="TOH53" s="198"/>
      <c r="TOI53" s="198"/>
      <c r="TOJ53" s="198"/>
      <c r="TOK53" s="198"/>
      <c r="TOL53" s="198"/>
      <c r="TOM53" s="198"/>
      <c r="TON53" s="198"/>
      <c r="TOO53" s="198"/>
      <c r="TOP53" s="198"/>
      <c r="TOQ53" s="198"/>
      <c r="TOR53" s="198"/>
      <c r="TOS53" s="198"/>
      <c r="TOT53" s="198"/>
      <c r="TOU53" s="198"/>
      <c r="TOV53" s="198"/>
      <c r="TOW53" s="198"/>
      <c r="TOX53" s="198"/>
      <c r="TOY53" s="198"/>
      <c r="TOZ53" s="198"/>
      <c r="TPA53" s="198"/>
      <c r="TPB53" s="198"/>
      <c r="TPC53" s="198"/>
      <c r="TPD53" s="198"/>
      <c r="TPE53" s="198"/>
      <c r="TPF53" s="198"/>
      <c r="TPG53" s="198"/>
      <c r="TPH53" s="198"/>
      <c r="TPI53" s="198"/>
      <c r="TPJ53" s="198"/>
      <c r="TPK53" s="198"/>
      <c r="TPL53" s="198"/>
      <c r="TPM53" s="198"/>
      <c r="TPN53" s="198"/>
      <c r="TPO53" s="198"/>
      <c r="TPP53" s="198"/>
      <c r="TPQ53" s="198"/>
      <c r="TPR53" s="198"/>
      <c r="TPS53" s="198"/>
      <c r="TPT53" s="198"/>
      <c r="TPU53" s="198"/>
      <c r="TPV53" s="198"/>
      <c r="TPW53" s="198"/>
      <c r="TPX53" s="198"/>
      <c r="TPY53" s="198"/>
      <c r="TPZ53" s="198"/>
      <c r="TQA53" s="198"/>
      <c r="TQB53" s="198"/>
      <c r="TQC53" s="198"/>
      <c r="TQD53" s="198"/>
      <c r="TQE53" s="198"/>
      <c r="TQF53" s="198"/>
      <c r="TQG53" s="198"/>
      <c r="TQH53" s="198"/>
      <c r="TQI53" s="198"/>
      <c r="TQJ53" s="198"/>
      <c r="TQK53" s="198"/>
      <c r="TQL53" s="198"/>
      <c r="TQM53" s="198"/>
      <c r="TQN53" s="198"/>
      <c r="TQO53" s="198"/>
      <c r="TQP53" s="198"/>
      <c r="TQQ53" s="198"/>
      <c r="TQR53" s="198"/>
      <c r="TQS53" s="198"/>
      <c r="TQT53" s="198"/>
      <c r="TQU53" s="198"/>
      <c r="TQV53" s="198"/>
      <c r="TQW53" s="198"/>
      <c r="TQX53" s="198"/>
      <c r="TQY53" s="198"/>
      <c r="TQZ53" s="198"/>
      <c r="TRA53" s="198"/>
      <c r="TRB53" s="198"/>
      <c r="TRC53" s="198"/>
      <c r="TRD53" s="198"/>
      <c r="TRE53" s="198"/>
      <c r="TRF53" s="198"/>
      <c r="TRG53" s="198"/>
      <c r="TRH53" s="198"/>
      <c r="TRI53" s="198"/>
      <c r="TRJ53" s="198"/>
      <c r="TRK53" s="198"/>
      <c r="TRL53" s="198"/>
      <c r="TRM53" s="198"/>
      <c r="TRN53" s="198"/>
      <c r="TRO53" s="198"/>
      <c r="TRP53" s="198"/>
      <c r="TRQ53" s="198"/>
      <c r="TRR53" s="198"/>
      <c r="TRS53" s="198"/>
      <c r="TRT53" s="198"/>
      <c r="TRU53" s="198"/>
      <c r="TRV53" s="198"/>
      <c r="TRW53" s="198"/>
      <c r="TRX53" s="198"/>
      <c r="TRY53" s="198"/>
      <c r="TRZ53" s="198"/>
      <c r="TSA53" s="198"/>
      <c r="TSB53" s="198"/>
      <c r="TSC53" s="198"/>
      <c r="TSD53" s="198"/>
      <c r="TSE53" s="198"/>
      <c r="TSF53" s="198"/>
      <c r="TSG53" s="198"/>
      <c r="TSH53" s="198"/>
      <c r="TSI53" s="198"/>
      <c r="TSJ53" s="198"/>
      <c r="TSK53" s="198"/>
      <c r="TSL53" s="198"/>
      <c r="TSM53" s="198"/>
      <c r="TSN53" s="198"/>
      <c r="TSO53" s="198"/>
      <c r="TSP53" s="198"/>
      <c r="TSQ53" s="198"/>
      <c r="TSR53" s="198"/>
      <c r="TSS53" s="198"/>
      <c r="TST53" s="198"/>
      <c r="TSU53" s="198"/>
      <c r="TSV53" s="198"/>
      <c r="TSW53" s="198"/>
      <c r="TSX53" s="198"/>
      <c r="TSY53" s="198"/>
      <c r="TSZ53" s="198"/>
      <c r="TTA53" s="198"/>
      <c r="TTB53" s="198"/>
      <c r="TTC53" s="198"/>
      <c r="TTD53" s="198"/>
      <c r="TTE53" s="198"/>
      <c r="TTF53" s="198"/>
      <c r="TTG53" s="198"/>
      <c r="TTH53" s="198"/>
      <c r="TTI53" s="198"/>
      <c r="TTJ53" s="198"/>
      <c r="TTK53" s="198"/>
      <c r="TTL53" s="198"/>
      <c r="TTM53" s="198"/>
      <c r="TTN53" s="198"/>
      <c r="TTO53" s="198"/>
      <c r="TTP53" s="198"/>
      <c r="TTQ53" s="198"/>
      <c r="TTR53" s="198"/>
      <c r="TTS53" s="198"/>
      <c r="TTT53" s="198"/>
      <c r="TTU53" s="198"/>
      <c r="TTV53" s="198"/>
      <c r="TTW53" s="198"/>
      <c r="TTX53" s="198"/>
      <c r="TTY53" s="198"/>
      <c r="TTZ53" s="198"/>
      <c r="TUA53" s="198"/>
      <c r="TUB53" s="198"/>
      <c r="TUC53" s="198"/>
      <c r="TUD53" s="198"/>
      <c r="TUE53" s="198"/>
      <c r="TUF53" s="198"/>
      <c r="TUG53" s="198"/>
      <c r="TUH53" s="198"/>
      <c r="TUI53" s="198"/>
      <c r="TUJ53" s="198"/>
      <c r="TUK53" s="198"/>
      <c r="TUL53" s="198"/>
      <c r="TUM53" s="198"/>
      <c r="TUN53" s="198"/>
      <c r="TUO53" s="198"/>
      <c r="TUP53" s="198"/>
      <c r="TUQ53" s="198"/>
      <c r="TUR53" s="198"/>
      <c r="TUS53" s="198"/>
      <c r="TUT53" s="198"/>
      <c r="TUU53" s="198"/>
      <c r="TUV53" s="198"/>
      <c r="TUW53" s="198"/>
      <c r="TUX53" s="198"/>
      <c r="TUY53" s="198"/>
      <c r="TUZ53" s="198"/>
      <c r="TVA53" s="198"/>
      <c r="TVB53" s="198"/>
      <c r="TVC53" s="198"/>
      <c r="TVD53" s="198"/>
      <c r="TVE53" s="198"/>
      <c r="TVF53" s="198"/>
      <c r="TVG53" s="198"/>
      <c r="TVH53" s="198"/>
      <c r="TVI53" s="198"/>
      <c r="TVJ53" s="198"/>
      <c r="TVK53" s="198"/>
      <c r="TVL53" s="198"/>
      <c r="TVM53" s="198"/>
      <c r="TVN53" s="198"/>
      <c r="TVO53" s="198"/>
      <c r="TVP53" s="198"/>
      <c r="TVQ53" s="198"/>
      <c r="TVR53" s="198"/>
      <c r="TVS53" s="198"/>
      <c r="TVT53" s="198"/>
      <c r="TVU53" s="198"/>
      <c r="TVV53" s="198"/>
      <c r="TVW53" s="198"/>
      <c r="TVX53" s="198"/>
      <c r="TVY53" s="198"/>
      <c r="TVZ53" s="198"/>
      <c r="TWA53" s="198"/>
      <c r="TWB53" s="198"/>
      <c r="TWC53" s="198"/>
      <c r="TWD53" s="198"/>
      <c r="TWE53" s="198"/>
      <c r="TWF53" s="198"/>
      <c r="TWG53" s="198"/>
      <c r="TWH53" s="198"/>
      <c r="TWI53" s="198"/>
      <c r="TWJ53" s="198"/>
      <c r="TWK53" s="198"/>
      <c r="TWL53" s="198"/>
      <c r="TWM53" s="198"/>
      <c r="TWN53" s="198"/>
      <c r="TWO53" s="198"/>
      <c r="TWP53" s="198"/>
      <c r="TWQ53" s="198"/>
      <c r="TWR53" s="198"/>
      <c r="TWS53" s="198"/>
      <c r="TWT53" s="198"/>
      <c r="TWU53" s="198"/>
      <c r="TWV53" s="198"/>
      <c r="TWW53" s="198"/>
      <c r="TWX53" s="198"/>
      <c r="TWY53" s="198"/>
      <c r="TWZ53" s="198"/>
      <c r="TXA53" s="198"/>
      <c r="TXB53" s="198"/>
      <c r="TXC53" s="198"/>
      <c r="TXD53" s="198"/>
      <c r="TXE53" s="198"/>
      <c r="TXF53" s="198"/>
      <c r="TXG53" s="198"/>
      <c r="TXH53" s="198"/>
      <c r="TXI53" s="198"/>
      <c r="TXJ53" s="198"/>
      <c r="TXK53" s="198"/>
      <c r="TXL53" s="198"/>
      <c r="TXM53" s="198"/>
      <c r="TXN53" s="198"/>
      <c r="TXO53" s="198"/>
      <c r="TXP53" s="198"/>
      <c r="TXQ53" s="198"/>
      <c r="TXR53" s="198"/>
      <c r="TXS53" s="198"/>
      <c r="TXT53" s="198"/>
      <c r="TXU53" s="198"/>
      <c r="TXV53" s="198"/>
      <c r="TXW53" s="198"/>
      <c r="TXX53" s="198"/>
      <c r="TXY53" s="198"/>
      <c r="TXZ53" s="198"/>
      <c r="TYA53" s="198"/>
      <c r="TYB53" s="198"/>
      <c r="TYC53" s="198"/>
      <c r="TYD53" s="198"/>
      <c r="TYE53" s="198"/>
      <c r="TYF53" s="198"/>
      <c r="TYG53" s="198"/>
      <c r="TYH53" s="198"/>
      <c r="TYI53" s="198"/>
      <c r="TYJ53" s="198"/>
      <c r="TYK53" s="198"/>
      <c r="TYL53" s="198"/>
      <c r="TYM53" s="198"/>
      <c r="TYN53" s="198"/>
      <c r="TYO53" s="198"/>
      <c r="TYP53" s="198"/>
      <c r="TYQ53" s="198"/>
      <c r="TYR53" s="198"/>
      <c r="TYS53" s="198"/>
      <c r="TYT53" s="198"/>
      <c r="TYU53" s="198"/>
      <c r="TYV53" s="198"/>
      <c r="TYW53" s="198"/>
      <c r="TYX53" s="198"/>
      <c r="TYY53" s="198"/>
      <c r="TYZ53" s="198"/>
      <c r="TZA53" s="198"/>
      <c r="TZB53" s="198"/>
      <c r="TZC53" s="198"/>
      <c r="TZD53" s="198"/>
      <c r="TZE53" s="198"/>
      <c r="TZF53" s="198"/>
      <c r="TZG53" s="198"/>
      <c r="TZH53" s="198"/>
      <c r="TZI53" s="198"/>
      <c r="TZJ53" s="198"/>
      <c r="TZK53" s="198"/>
      <c r="TZL53" s="198"/>
      <c r="TZM53" s="198"/>
      <c r="TZN53" s="198"/>
      <c r="TZO53" s="198"/>
      <c r="TZP53" s="198"/>
      <c r="TZQ53" s="198"/>
      <c r="TZR53" s="198"/>
      <c r="TZS53" s="198"/>
      <c r="TZT53" s="198"/>
      <c r="TZU53" s="198"/>
      <c r="TZV53" s="198"/>
      <c r="TZW53" s="198"/>
      <c r="TZX53" s="198"/>
      <c r="TZY53" s="198"/>
      <c r="TZZ53" s="198"/>
      <c r="UAA53" s="198"/>
      <c r="UAB53" s="198"/>
      <c r="UAC53" s="198"/>
      <c r="UAD53" s="198"/>
      <c r="UAE53" s="198"/>
      <c r="UAF53" s="198"/>
      <c r="UAG53" s="198"/>
      <c r="UAH53" s="198"/>
      <c r="UAI53" s="198"/>
      <c r="UAJ53" s="198"/>
      <c r="UAK53" s="198"/>
      <c r="UAL53" s="198"/>
      <c r="UAM53" s="198"/>
      <c r="UAN53" s="198"/>
      <c r="UAO53" s="198"/>
      <c r="UAP53" s="198"/>
      <c r="UAQ53" s="198"/>
      <c r="UAR53" s="198"/>
      <c r="UAS53" s="198"/>
      <c r="UAT53" s="198"/>
      <c r="UAU53" s="198"/>
      <c r="UAV53" s="198"/>
      <c r="UAW53" s="198"/>
      <c r="UAX53" s="198"/>
      <c r="UAY53" s="198"/>
      <c r="UAZ53" s="198"/>
      <c r="UBA53" s="198"/>
      <c r="UBB53" s="198"/>
      <c r="UBC53" s="198"/>
      <c r="UBD53" s="198"/>
      <c r="UBE53" s="198"/>
      <c r="UBF53" s="198"/>
      <c r="UBG53" s="198"/>
      <c r="UBH53" s="198"/>
      <c r="UBI53" s="198"/>
      <c r="UBJ53" s="198"/>
      <c r="UBK53" s="198"/>
      <c r="UBL53" s="198"/>
      <c r="UBM53" s="198"/>
      <c r="UBN53" s="198"/>
      <c r="UBO53" s="198"/>
      <c r="UBP53" s="198"/>
      <c r="UBQ53" s="198"/>
      <c r="UBR53" s="198"/>
      <c r="UBS53" s="198"/>
      <c r="UBT53" s="198"/>
      <c r="UBU53" s="198"/>
      <c r="UBV53" s="198"/>
      <c r="UBW53" s="198"/>
      <c r="UBX53" s="198"/>
      <c r="UBY53" s="198"/>
      <c r="UBZ53" s="198"/>
      <c r="UCA53" s="198"/>
      <c r="UCB53" s="198"/>
      <c r="UCC53" s="198"/>
      <c r="UCD53" s="198"/>
      <c r="UCE53" s="198"/>
      <c r="UCF53" s="198"/>
      <c r="UCG53" s="198"/>
      <c r="UCH53" s="198"/>
      <c r="UCI53" s="198"/>
      <c r="UCJ53" s="198"/>
      <c r="UCK53" s="198"/>
      <c r="UCL53" s="198"/>
      <c r="UCM53" s="198"/>
      <c r="UCN53" s="198"/>
      <c r="UCO53" s="198"/>
      <c r="UCP53" s="198"/>
      <c r="UCQ53" s="198"/>
      <c r="UCR53" s="198"/>
      <c r="UCS53" s="198"/>
      <c r="UCT53" s="198"/>
      <c r="UCU53" s="198"/>
      <c r="UCV53" s="198"/>
      <c r="UCW53" s="198"/>
      <c r="UCX53" s="198"/>
      <c r="UCY53" s="198"/>
      <c r="UCZ53" s="198"/>
      <c r="UDA53" s="198"/>
      <c r="UDB53" s="198"/>
      <c r="UDC53" s="198"/>
      <c r="UDD53" s="198"/>
      <c r="UDE53" s="198"/>
      <c r="UDF53" s="198"/>
      <c r="UDG53" s="198"/>
      <c r="UDH53" s="198"/>
      <c r="UDI53" s="198"/>
      <c r="UDJ53" s="198"/>
      <c r="UDK53" s="198"/>
      <c r="UDL53" s="198"/>
      <c r="UDM53" s="198"/>
      <c r="UDN53" s="198"/>
      <c r="UDO53" s="198"/>
      <c r="UDP53" s="198"/>
      <c r="UDQ53" s="198"/>
      <c r="UDR53" s="198"/>
      <c r="UDS53" s="198"/>
      <c r="UDT53" s="198"/>
      <c r="UDU53" s="198"/>
      <c r="UDV53" s="198"/>
      <c r="UDW53" s="198"/>
      <c r="UDX53" s="198"/>
      <c r="UDY53" s="198"/>
      <c r="UDZ53" s="198"/>
      <c r="UEA53" s="198"/>
      <c r="UEB53" s="198"/>
      <c r="UEC53" s="198"/>
      <c r="UED53" s="198"/>
      <c r="UEE53" s="198"/>
      <c r="UEF53" s="198"/>
      <c r="UEG53" s="198"/>
      <c r="UEH53" s="198"/>
      <c r="UEI53" s="198"/>
      <c r="UEJ53" s="198"/>
      <c r="UEK53" s="198"/>
      <c r="UEL53" s="198"/>
      <c r="UEM53" s="198"/>
      <c r="UEN53" s="198"/>
      <c r="UEO53" s="198"/>
      <c r="UEP53" s="198"/>
      <c r="UEQ53" s="198"/>
      <c r="UER53" s="198"/>
      <c r="UES53" s="198"/>
      <c r="UET53" s="198"/>
      <c r="UEU53" s="198"/>
      <c r="UEV53" s="198"/>
      <c r="UEW53" s="198"/>
      <c r="UEX53" s="198"/>
      <c r="UEY53" s="198"/>
      <c r="UEZ53" s="198"/>
      <c r="UFA53" s="198"/>
      <c r="UFB53" s="198"/>
      <c r="UFC53" s="198"/>
      <c r="UFD53" s="198"/>
      <c r="UFE53" s="198"/>
      <c r="UFF53" s="198"/>
      <c r="UFG53" s="198"/>
      <c r="UFH53" s="198"/>
      <c r="UFI53" s="198"/>
      <c r="UFJ53" s="198"/>
      <c r="UFK53" s="198"/>
      <c r="UFL53" s="198"/>
      <c r="UFM53" s="198"/>
      <c r="UFN53" s="198"/>
      <c r="UFO53" s="198"/>
      <c r="UFP53" s="198"/>
      <c r="UFQ53" s="198"/>
      <c r="UFR53" s="198"/>
      <c r="UFS53" s="198"/>
      <c r="UFT53" s="198"/>
      <c r="UFU53" s="198"/>
      <c r="UFV53" s="198"/>
      <c r="UFW53" s="198"/>
      <c r="UFX53" s="198"/>
      <c r="UFY53" s="198"/>
      <c r="UFZ53" s="198"/>
      <c r="UGA53" s="198"/>
      <c r="UGB53" s="198"/>
      <c r="UGC53" s="198"/>
      <c r="UGD53" s="198"/>
      <c r="UGE53" s="198"/>
      <c r="UGF53" s="198"/>
      <c r="UGG53" s="198"/>
      <c r="UGH53" s="198"/>
      <c r="UGI53" s="198"/>
      <c r="UGJ53" s="198"/>
      <c r="UGK53" s="198"/>
      <c r="UGL53" s="198"/>
      <c r="UGM53" s="198"/>
      <c r="UGN53" s="198"/>
      <c r="UGO53" s="198"/>
      <c r="UGP53" s="198"/>
      <c r="UGQ53" s="198"/>
      <c r="UGR53" s="198"/>
      <c r="UGS53" s="198"/>
      <c r="UGT53" s="198"/>
      <c r="UGU53" s="198"/>
      <c r="UGV53" s="198"/>
      <c r="UGW53" s="198"/>
      <c r="UGX53" s="198"/>
      <c r="UGY53" s="198"/>
      <c r="UGZ53" s="198"/>
      <c r="UHA53" s="198"/>
      <c r="UHB53" s="198"/>
      <c r="UHC53" s="198"/>
      <c r="UHD53" s="198"/>
      <c r="UHE53" s="198"/>
      <c r="UHF53" s="198"/>
      <c r="UHG53" s="198"/>
      <c r="UHH53" s="198"/>
      <c r="UHI53" s="198"/>
      <c r="UHJ53" s="198"/>
      <c r="UHK53" s="198"/>
      <c r="UHL53" s="198"/>
      <c r="UHM53" s="198"/>
      <c r="UHN53" s="198"/>
      <c r="UHO53" s="198"/>
      <c r="UHP53" s="198"/>
      <c r="UHQ53" s="198"/>
      <c r="UHR53" s="198"/>
      <c r="UHS53" s="198"/>
      <c r="UHT53" s="198"/>
      <c r="UHU53" s="198"/>
      <c r="UHV53" s="198"/>
      <c r="UHW53" s="198"/>
      <c r="UHX53" s="198"/>
      <c r="UHY53" s="198"/>
      <c r="UHZ53" s="198"/>
      <c r="UIA53" s="198"/>
      <c r="UIB53" s="198"/>
      <c r="UIC53" s="198"/>
      <c r="UID53" s="198"/>
      <c r="UIE53" s="198"/>
      <c r="UIF53" s="198"/>
      <c r="UIG53" s="198"/>
      <c r="UIH53" s="198"/>
      <c r="UII53" s="198"/>
      <c r="UIJ53" s="198"/>
      <c r="UIK53" s="198"/>
      <c r="UIL53" s="198"/>
      <c r="UIM53" s="198"/>
      <c r="UIN53" s="198"/>
      <c r="UIO53" s="198"/>
      <c r="UIP53" s="198"/>
      <c r="UIQ53" s="198"/>
      <c r="UIR53" s="198"/>
      <c r="UIS53" s="198"/>
      <c r="UIT53" s="198"/>
      <c r="UIU53" s="198"/>
      <c r="UIV53" s="198"/>
      <c r="UIW53" s="198"/>
      <c r="UIX53" s="198"/>
      <c r="UIY53" s="198"/>
      <c r="UIZ53" s="198"/>
      <c r="UJA53" s="198"/>
      <c r="UJB53" s="198"/>
      <c r="UJC53" s="198"/>
      <c r="UJD53" s="198"/>
      <c r="UJE53" s="198"/>
      <c r="UJF53" s="198"/>
      <c r="UJG53" s="198"/>
      <c r="UJH53" s="198"/>
      <c r="UJI53" s="198"/>
      <c r="UJJ53" s="198"/>
      <c r="UJK53" s="198"/>
      <c r="UJL53" s="198"/>
      <c r="UJM53" s="198"/>
      <c r="UJN53" s="198"/>
      <c r="UJO53" s="198"/>
      <c r="UJP53" s="198"/>
      <c r="UJQ53" s="198"/>
      <c r="UJR53" s="198"/>
      <c r="UJS53" s="198"/>
      <c r="UJT53" s="198"/>
      <c r="UJU53" s="198"/>
      <c r="UJV53" s="198"/>
      <c r="UJW53" s="198"/>
      <c r="UJX53" s="198"/>
      <c r="UJY53" s="198"/>
      <c r="UJZ53" s="198"/>
      <c r="UKA53" s="198"/>
      <c r="UKB53" s="198"/>
      <c r="UKC53" s="198"/>
      <c r="UKD53" s="198"/>
      <c r="UKE53" s="198"/>
      <c r="UKF53" s="198"/>
      <c r="UKG53" s="198"/>
      <c r="UKH53" s="198"/>
      <c r="UKI53" s="198"/>
      <c r="UKJ53" s="198"/>
      <c r="UKK53" s="198"/>
      <c r="UKL53" s="198"/>
      <c r="UKM53" s="198"/>
      <c r="UKN53" s="198"/>
      <c r="UKO53" s="198"/>
      <c r="UKP53" s="198"/>
      <c r="UKQ53" s="198"/>
      <c r="UKR53" s="198"/>
      <c r="UKS53" s="198"/>
      <c r="UKT53" s="198"/>
      <c r="UKU53" s="198"/>
      <c r="UKV53" s="198"/>
      <c r="UKW53" s="198"/>
      <c r="UKX53" s="198"/>
      <c r="UKY53" s="198"/>
      <c r="UKZ53" s="198"/>
      <c r="ULA53" s="198"/>
      <c r="ULB53" s="198"/>
      <c r="ULC53" s="198"/>
      <c r="ULD53" s="198"/>
      <c r="ULE53" s="198"/>
      <c r="ULF53" s="198"/>
      <c r="ULG53" s="198"/>
      <c r="ULH53" s="198"/>
      <c r="ULI53" s="198"/>
      <c r="ULJ53" s="198"/>
      <c r="ULK53" s="198"/>
      <c r="ULL53" s="198"/>
      <c r="ULM53" s="198"/>
      <c r="ULN53" s="198"/>
      <c r="ULO53" s="198"/>
      <c r="ULP53" s="198"/>
      <c r="ULQ53" s="198"/>
      <c r="ULR53" s="198"/>
      <c r="ULS53" s="198"/>
      <c r="ULT53" s="198"/>
      <c r="ULU53" s="198"/>
      <c r="ULV53" s="198"/>
      <c r="ULW53" s="198"/>
      <c r="ULX53" s="198"/>
      <c r="ULY53" s="198"/>
      <c r="ULZ53" s="198"/>
      <c r="UMA53" s="198"/>
      <c r="UMB53" s="198"/>
      <c r="UMC53" s="198"/>
      <c r="UMD53" s="198"/>
      <c r="UME53" s="198"/>
      <c r="UMF53" s="198"/>
      <c r="UMG53" s="198"/>
      <c r="UMH53" s="198"/>
      <c r="UMI53" s="198"/>
      <c r="UMJ53" s="198"/>
      <c r="UMK53" s="198"/>
      <c r="UML53" s="198"/>
      <c r="UMM53" s="198"/>
      <c r="UMN53" s="198"/>
      <c r="UMO53" s="198"/>
      <c r="UMP53" s="198"/>
      <c r="UMQ53" s="198"/>
      <c r="UMR53" s="198"/>
      <c r="UMS53" s="198"/>
      <c r="UMT53" s="198"/>
      <c r="UMU53" s="198"/>
      <c r="UMV53" s="198"/>
      <c r="UMW53" s="198"/>
      <c r="UMX53" s="198"/>
      <c r="UMY53" s="198"/>
      <c r="UMZ53" s="198"/>
      <c r="UNA53" s="198"/>
      <c r="UNB53" s="198"/>
      <c r="UNC53" s="198"/>
      <c r="UND53" s="198"/>
      <c r="UNE53" s="198"/>
      <c r="UNF53" s="198"/>
      <c r="UNG53" s="198"/>
      <c r="UNH53" s="198"/>
      <c r="UNI53" s="198"/>
      <c r="UNJ53" s="198"/>
      <c r="UNK53" s="198"/>
      <c r="UNL53" s="198"/>
      <c r="UNM53" s="198"/>
      <c r="UNN53" s="198"/>
      <c r="UNO53" s="198"/>
      <c r="UNP53" s="198"/>
      <c r="UNQ53" s="198"/>
      <c r="UNR53" s="198"/>
      <c r="UNS53" s="198"/>
      <c r="UNT53" s="198"/>
      <c r="UNU53" s="198"/>
      <c r="UNV53" s="198"/>
      <c r="UNW53" s="198"/>
      <c r="UNX53" s="198"/>
      <c r="UNY53" s="198"/>
      <c r="UNZ53" s="198"/>
      <c r="UOA53" s="198"/>
      <c r="UOB53" s="198"/>
      <c r="UOC53" s="198"/>
      <c r="UOD53" s="198"/>
      <c r="UOE53" s="198"/>
      <c r="UOF53" s="198"/>
      <c r="UOG53" s="198"/>
      <c r="UOH53" s="198"/>
      <c r="UOI53" s="198"/>
      <c r="UOJ53" s="198"/>
      <c r="UOK53" s="198"/>
      <c r="UOL53" s="198"/>
      <c r="UOM53" s="198"/>
      <c r="UON53" s="198"/>
      <c r="UOO53" s="198"/>
      <c r="UOP53" s="198"/>
      <c r="UOQ53" s="198"/>
      <c r="UOR53" s="198"/>
      <c r="UOS53" s="198"/>
      <c r="UOT53" s="198"/>
      <c r="UOU53" s="198"/>
      <c r="UOV53" s="198"/>
      <c r="UOW53" s="198"/>
      <c r="UOX53" s="198"/>
      <c r="UOY53" s="198"/>
      <c r="UOZ53" s="198"/>
      <c r="UPA53" s="198"/>
      <c r="UPB53" s="198"/>
      <c r="UPC53" s="198"/>
      <c r="UPD53" s="198"/>
      <c r="UPE53" s="198"/>
      <c r="UPF53" s="198"/>
      <c r="UPG53" s="198"/>
      <c r="UPH53" s="198"/>
      <c r="UPI53" s="198"/>
      <c r="UPJ53" s="198"/>
      <c r="UPK53" s="198"/>
      <c r="UPL53" s="198"/>
      <c r="UPM53" s="198"/>
      <c r="UPN53" s="198"/>
      <c r="UPO53" s="198"/>
      <c r="UPP53" s="198"/>
      <c r="UPQ53" s="198"/>
      <c r="UPR53" s="198"/>
      <c r="UPS53" s="198"/>
      <c r="UPT53" s="198"/>
      <c r="UPU53" s="198"/>
      <c r="UPV53" s="198"/>
      <c r="UPW53" s="198"/>
      <c r="UPX53" s="198"/>
      <c r="UPY53" s="198"/>
      <c r="UPZ53" s="198"/>
      <c r="UQA53" s="198"/>
      <c r="UQB53" s="198"/>
      <c r="UQC53" s="198"/>
      <c r="UQD53" s="198"/>
      <c r="UQE53" s="198"/>
      <c r="UQF53" s="198"/>
      <c r="UQG53" s="198"/>
      <c r="UQH53" s="198"/>
      <c r="UQI53" s="198"/>
      <c r="UQJ53" s="198"/>
      <c r="UQK53" s="198"/>
      <c r="UQL53" s="198"/>
      <c r="UQM53" s="198"/>
      <c r="UQN53" s="198"/>
      <c r="UQO53" s="198"/>
      <c r="UQP53" s="198"/>
      <c r="UQQ53" s="198"/>
      <c r="UQR53" s="198"/>
      <c r="UQS53" s="198"/>
      <c r="UQT53" s="198"/>
      <c r="UQU53" s="198"/>
      <c r="UQV53" s="198"/>
      <c r="UQW53" s="198"/>
      <c r="UQX53" s="198"/>
      <c r="UQY53" s="198"/>
      <c r="UQZ53" s="198"/>
      <c r="URA53" s="198"/>
      <c r="URB53" s="198"/>
      <c r="URC53" s="198"/>
      <c r="URD53" s="198"/>
      <c r="URE53" s="198"/>
      <c r="URF53" s="198"/>
      <c r="URG53" s="198"/>
      <c r="URH53" s="198"/>
      <c r="URI53" s="198"/>
      <c r="URJ53" s="198"/>
      <c r="URK53" s="198"/>
      <c r="URL53" s="198"/>
      <c r="URM53" s="198"/>
      <c r="URN53" s="198"/>
      <c r="URO53" s="198"/>
      <c r="URP53" s="198"/>
      <c r="URQ53" s="198"/>
      <c r="URR53" s="198"/>
      <c r="URS53" s="198"/>
      <c r="URT53" s="198"/>
      <c r="URU53" s="198"/>
      <c r="URV53" s="198"/>
      <c r="URW53" s="198"/>
      <c r="URX53" s="198"/>
      <c r="URY53" s="198"/>
      <c r="URZ53" s="198"/>
      <c r="USA53" s="198"/>
      <c r="USB53" s="198"/>
      <c r="USC53" s="198"/>
      <c r="USD53" s="198"/>
      <c r="USE53" s="198"/>
      <c r="USF53" s="198"/>
      <c r="USG53" s="198"/>
      <c r="USH53" s="198"/>
      <c r="USI53" s="198"/>
      <c r="USJ53" s="198"/>
      <c r="USK53" s="198"/>
      <c r="USL53" s="198"/>
      <c r="USM53" s="198"/>
      <c r="USN53" s="198"/>
      <c r="USO53" s="198"/>
      <c r="USP53" s="198"/>
      <c r="USQ53" s="198"/>
      <c r="USR53" s="198"/>
      <c r="USS53" s="198"/>
      <c r="UST53" s="198"/>
      <c r="USU53" s="198"/>
      <c r="USV53" s="198"/>
      <c r="USW53" s="198"/>
      <c r="USX53" s="198"/>
      <c r="USY53" s="198"/>
      <c r="USZ53" s="198"/>
      <c r="UTA53" s="198"/>
      <c r="UTB53" s="198"/>
      <c r="UTC53" s="198"/>
      <c r="UTD53" s="198"/>
      <c r="UTE53" s="198"/>
      <c r="UTF53" s="198"/>
      <c r="UTG53" s="198"/>
      <c r="UTH53" s="198"/>
      <c r="UTI53" s="198"/>
      <c r="UTJ53" s="198"/>
      <c r="UTK53" s="198"/>
      <c r="UTL53" s="198"/>
      <c r="UTM53" s="198"/>
      <c r="UTN53" s="198"/>
      <c r="UTO53" s="198"/>
      <c r="UTP53" s="198"/>
      <c r="UTQ53" s="198"/>
      <c r="UTR53" s="198"/>
      <c r="UTS53" s="198"/>
      <c r="UTT53" s="198"/>
      <c r="UTU53" s="198"/>
      <c r="UTV53" s="198"/>
      <c r="UTW53" s="198"/>
      <c r="UTX53" s="198"/>
      <c r="UTY53" s="198"/>
      <c r="UTZ53" s="198"/>
      <c r="UUA53" s="198"/>
      <c r="UUB53" s="198"/>
      <c r="UUC53" s="198"/>
      <c r="UUD53" s="198"/>
      <c r="UUE53" s="198"/>
      <c r="UUF53" s="198"/>
      <c r="UUG53" s="198"/>
      <c r="UUH53" s="198"/>
      <c r="UUI53" s="198"/>
      <c r="UUJ53" s="198"/>
      <c r="UUK53" s="198"/>
      <c r="UUL53" s="198"/>
      <c r="UUM53" s="198"/>
      <c r="UUN53" s="198"/>
      <c r="UUO53" s="198"/>
      <c r="UUP53" s="198"/>
      <c r="UUQ53" s="198"/>
      <c r="UUR53" s="198"/>
      <c r="UUS53" s="198"/>
      <c r="UUT53" s="198"/>
      <c r="UUU53" s="198"/>
      <c r="UUV53" s="198"/>
      <c r="UUW53" s="198"/>
      <c r="UUX53" s="198"/>
      <c r="UUY53" s="198"/>
      <c r="UUZ53" s="198"/>
      <c r="UVA53" s="198"/>
      <c r="UVB53" s="198"/>
      <c r="UVC53" s="198"/>
      <c r="UVD53" s="198"/>
      <c r="UVE53" s="198"/>
      <c r="UVF53" s="198"/>
      <c r="UVG53" s="198"/>
      <c r="UVH53" s="198"/>
      <c r="UVI53" s="198"/>
      <c r="UVJ53" s="198"/>
      <c r="UVK53" s="198"/>
      <c r="UVL53" s="198"/>
      <c r="UVM53" s="198"/>
      <c r="UVN53" s="198"/>
      <c r="UVO53" s="198"/>
      <c r="UVP53" s="198"/>
      <c r="UVQ53" s="198"/>
      <c r="UVR53" s="198"/>
      <c r="UVS53" s="198"/>
      <c r="UVT53" s="198"/>
      <c r="UVU53" s="198"/>
      <c r="UVV53" s="198"/>
      <c r="UVW53" s="198"/>
      <c r="UVX53" s="198"/>
      <c r="UVY53" s="198"/>
      <c r="UVZ53" s="198"/>
      <c r="UWA53" s="198"/>
      <c r="UWB53" s="198"/>
      <c r="UWC53" s="198"/>
      <c r="UWD53" s="198"/>
      <c r="UWE53" s="198"/>
      <c r="UWF53" s="198"/>
      <c r="UWG53" s="198"/>
      <c r="UWH53" s="198"/>
      <c r="UWI53" s="198"/>
      <c r="UWJ53" s="198"/>
      <c r="UWK53" s="198"/>
      <c r="UWL53" s="198"/>
      <c r="UWM53" s="198"/>
      <c r="UWN53" s="198"/>
      <c r="UWO53" s="198"/>
      <c r="UWP53" s="198"/>
      <c r="UWQ53" s="198"/>
      <c r="UWR53" s="198"/>
      <c r="UWS53" s="198"/>
      <c r="UWT53" s="198"/>
      <c r="UWU53" s="198"/>
      <c r="UWV53" s="198"/>
      <c r="UWW53" s="198"/>
      <c r="UWX53" s="198"/>
      <c r="UWY53" s="198"/>
      <c r="UWZ53" s="198"/>
      <c r="UXA53" s="198"/>
      <c r="UXB53" s="198"/>
      <c r="UXC53" s="198"/>
      <c r="UXD53" s="198"/>
      <c r="UXE53" s="198"/>
      <c r="UXF53" s="198"/>
      <c r="UXG53" s="198"/>
      <c r="UXH53" s="198"/>
      <c r="UXI53" s="198"/>
      <c r="UXJ53" s="198"/>
      <c r="UXK53" s="198"/>
      <c r="UXL53" s="198"/>
      <c r="UXM53" s="198"/>
      <c r="UXN53" s="198"/>
      <c r="UXO53" s="198"/>
      <c r="UXP53" s="198"/>
      <c r="UXQ53" s="198"/>
      <c r="UXR53" s="198"/>
      <c r="UXS53" s="198"/>
      <c r="UXT53" s="198"/>
      <c r="UXU53" s="198"/>
      <c r="UXV53" s="198"/>
      <c r="UXW53" s="198"/>
      <c r="UXX53" s="198"/>
      <c r="UXY53" s="198"/>
      <c r="UXZ53" s="198"/>
      <c r="UYA53" s="198"/>
      <c r="UYB53" s="198"/>
      <c r="UYC53" s="198"/>
      <c r="UYD53" s="198"/>
      <c r="UYE53" s="198"/>
      <c r="UYF53" s="198"/>
      <c r="UYG53" s="198"/>
      <c r="UYH53" s="198"/>
      <c r="UYI53" s="198"/>
      <c r="UYJ53" s="198"/>
      <c r="UYK53" s="198"/>
      <c r="UYL53" s="198"/>
      <c r="UYM53" s="198"/>
      <c r="UYN53" s="198"/>
      <c r="UYO53" s="198"/>
      <c r="UYP53" s="198"/>
      <c r="UYQ53" s="198"/>
      <c r="UYR53" s="198"/>
      <c r="UYS53" s="198"/>
      <c r="UYT53" s="198"/>
      <c r="UYU53" s="198"/>
      <c r="UYV53" s="198"/>
      <c r="UYW53" s="198"/>
      <c r="UYX53" s="198"/>
      <c r="UYY53" s="198"/>
      <c r="UYZ53" s="198"/>
      <c r="UZA53" s="198"/>
      <c r="UZB53" s="198"/>
      <c r="UZC53" s="198"/>
      <c r="UZD53" s="198"/>
      <c r="UZE53" s="198"/>
      <c r="UZF53" s="198"/>
      <c r="UZG53" s="198"/>
      <c r="UZH53" s="198"/>
      <c r="UZI53" s="198"/>
      <c r="UZJ53" s="198"/>
      <c r="UZK53" s="198"/>
      <c r="UZL53" s="198"/>
      <c r="UZM53" s="198"/>
      <c r="UZN53" s="198"/>
      <c r="UZO53" s="198"/>
      <c r="UZP53" s="198"/>
      <c r="UZQ53" s="198"/>
      <c r="UZR53" s="198"/>
      <c r="UZS53" s="198"/>
      <c r="UZT53" s="198"/>
      <c r="UZU53" s="198"/>
      <c r="UZV53" s="198"/>
      <c r="UZW53" s="198"/>
      <c r="UZX53" s="198"/>
      <c r="UZY53" s="198"/>
      <c r="UZZ53" s="198"/>
      <c r="VAA53" s="198"/>
      <c r="VAB53" s="198"/>
      <c r="VAC53" s="198"/>
      <c r="VAD53" s="198"/>
      <c r="VAE53" s="198"/>
      <c r="VAF53" s="198"/>
      <c r="VAG53" s="198"/>
      <c r="VAH53" s="198"/>
      <c r="VAI53" s="198"/>
      <c r="VAJ53" s="198"/>
      <c r="VAK53" s="198"/>
      <c r="VAL53" s="198"/>
      <c r="VAM53" s="198"/>
      <c r="VAN53" s="198"/>
      <c r="VAO53" s="198"/>
      <c r="VAP53" s="198"/>
      <c r="VAQ53" s="198"/>
      <c r="VAR53" s="198"/>
      <c r="VAS53" s="198"/>
      <c r="VAT53" s="198"/>
      <c r="VAU53" s="198"/>
      <c r="VAV53" s="198"/>
      <c r="VAW53" s="198"/>
      <c r="VAX53" s="198"/>
      <c r="VAY53" s="198"/>
      <c r="VAZ53" s="198"/>
      <c r="VBA53" s="198"/>
      <c r="VBB53" s="198"/>
      <c r="VBC53" s="198"/>
      <c r="VBD53" s="198"/>
      <c r="VBE53" s="198"/>
      <c r="VBF53" s="198"/>
      <c r="VBG53" s="198"/>
      <c r="VBH53" s="198"/>
      <c r="VBI53" s="198"/>
      <c r="VBJ53" s="198"/>
      <c r="VBK53" s="198"/>
      <c r="VBL53" s="198"/>
      <c r="VBM53" s="198"/>
      <c r="VBN53" s="198"/>
      <c r="VBO53" s="198"/>
      <c r="VBP53" s="198"/>
      <c r="VBQ53" s="198"/>
      <c r="VBR53" s="198"/>
      <c r="VBS53" s="198"/>
      <c r="VBT53" s="198"/>
      <c r="VBU53" s="198"/>
      <c r="VBV53" s="198"/>
      <c r="VBW53" s="198"/>
      <c r="VBX53" s="198"/>
      <c r="VBY53" s="198"/>
      <c r="VBZ53" s="198"/>
      <c r="VCA53" s="198"/>
      <c r="VCB53" s="198"/>
      <c r="VCC53" s="198"/>
      <c r="VCD53" s="198"/>
      <c r="VCE53" s="198"/>
      <c r="VCF53" s="198"/>
      <c r="VCG53" s="198"/>
      <c r="VCH53" s="198"/>
      <c r="VCI53" s="198"/>
      <c r="VCJ53" s="198"/>
      <c r="VCK53" s="198"/>
      <c r="VCL53" s="198"/>
      <c r="VCM53" s="198"/>
      <c r="VCN53" s="198"/>
      <c r="VCO53" s="198"/>
      <c r="VCP53" s="198"/>
      <c r="VCQ53" s="198"/>
      <c r="VCR53" s="198"/>
      <c r="VCS53" s="198"/>
      <c r="VCT53" s="198"/>
      <c r="VCU53" s="198"/>
      <c r="VCV53" s="198"/>
      <c r="VCW53" s="198"/>
      <c r="VCX53" s="198"/>
      <c r="VCY53" s="198"/>
      <c r="VCZ53" s="198"/>
      <c r="VDA53" s="198"/>
      <c r="VDB53" s="198"/>
      <c r="VDC53" s="198"/>
      <c r="VDD53" s="198"/>
      <c r="VDE53" s="198"/>
      <c r="VDF53" s="198"/>
      <c r="VDG53" s="198"/>
      <c r="VDH53" s="198"/>
      <c r="VDI53" s="198"/>
      <c r="VDJ53" s="198"/>
      <c r="VDK53" s="198"/>
      <c r="VDL53" s="198"/>
      <c r="VDM53" s="198"/>
      <c r="VDN53" s="198"/>
      <c r="VDO53" s="198"/>
      <c r="VDP53" s="198"/>
      <c r="VDQ53" s="198"/>
      <c r="VDR53" s="198"/>
      <c r="VDS53" s="198"/>
      <c r="VDT53" s="198"/>
      <c r="VDU53" s="198"/>
      <c r="VDV53" s="198"/>
      <c r="VDW53" s="198"/>
      <c r="VDX53" s="198"/>
      <c r="VDY53" s="198"/>
      <c r="VDZ53" s="198"/>
      <c r="VEA53" s="198"/>
      <c r="VEB53" s="198"/>
      <c r="VEC53" s="198"/>
      <c r="VED53" s="198"/>
      <c r="VEE53" s="198"/>
      <c r="VEF53" s="198"/>
      <c r="VEG53" s="198"/>
      <c r="VEH53" s="198"/>
      <c r="VEI53" s="198"/>
      <c r="VEJ53" s="198"/>
      <c r="VEK53" s="198"/>
      <c r="VEL53" s="198"/>
      <c r="VEM53" s="198"/>
      <c r="VEN53" s="198"/>
      <c r="VEO53" s="198"/>
      <c r="VEP53" s="198"/>
      <c r="VEQ53" s="198"/>
      <c r="VER53" s="198"/>
      <c r="VES53" s="198"/>
      <c r="VET53" s="198"/>
      <c r="VEU53" s="198"/>
      <c r="VEV53" s="198"/>
      <c r="VEW53" s="198"/>
      <c r="VEX53" s="198"/>
      <c r="VEY53" s="198"/>
      <c r="VEZ53" s="198"/>
      <c r="VFA53" s="198"/>
      <c r="VFB53" s="198"/>
      <c r="VFC53" s="198"/>
      <c r="VFD53" s="198"/>
      <c r="VFE53" s="198"/>
      <c r="VFF53" s="198"/>
      <c r="VFG53" s="198"/>
      <c r="VFH53" s="198"/>
      <c r="VFI53" s="198"/>
      <c r="VFJ53" s="198"/>
      <c r="VFK53" s="198"/>
      <c r="VFL53" s="198"/>
      <c r="VFM53" s="198"/>
      <c r="VFN53" s="198"/>
      <c r="VFO53" s="198"/>
      <c r="VFP53" s="198"/>
      <c r="VFQ53" s="198"/>
      <c r="VFR53" s="198"/>
      <c r="VFS53" s="198"/>
      <c r="VFT53" s="198"/>
      <c r="VFU53" s="198"/>
      <c r="VFV53" s="198"/>
      <c r="VFW53" s="198"/>
      <c r="VFX53" s="198"/>
      <c r="VFY53" s="198"/>
      <c r="VFZ53" s="198"/>
      <c r="VGA53" s="198"/>
      <c r="VGB53" s="198"/>
      <c r="VGC53" s="198"/>
      <c r="VGD53" s="198"/>
      <c r="VGE53" s="198"/>
      <c r="VGF53" s="198"/>
      <c r="VGG53" s="198"/>
      <c r="VGH53" s="198"/>
      <c r="VGI53" s="198"/>
      <c r="VGJ53" s="198"/>
      <c r="VGK53" s="198"/>
      <c r="VGL53" s="198"/>
      <c r="VGM53" s="198"/>
      <c r="VGN53" s="198"/>
      <c r="VGO53" s="198"/>
      <c r="VGP53" s="198"/>
      <c r="VGQ53" s="198"/>
      <c r="VGR53" s="198"/>
      <c r="VGS53" s="198"/>
      <c r="VGT53" s="198"/>
      <c r="VGU53" s="198"/>
      <c r="VGV53" s="198"/>
      <c r="VGW53" s="198"/>
      <c r="VGX53" s="198"/>
      <c r="VGY53" s="198"/>
      <c r="VGZ53" s="198"/>
      <c r="VHA53" s="198"/>
      <c r="VHB53" s="198"/>
      <c r="VHC53" s="198"/>
      <c r="VHD53" s="198"/>
      <c r="VHE53" s="198"/>
      <c r="VHF53" s="198"/>
      <c r="VHG53" s="198"/>
      <c r="VHH53" s="198"/>
      <c r="VHI53" s="198"/>
      <c r="VHJ53" s="198"/>
      <c r="VHK53" s="198"/>
      <c r="VHL53" s="198"/>
      <c r="VHM53" s="198"/>
      <c r="VHN53" s="198"/>
      <c r="VHO53" s="198"/>
      <c r="VHP53" s="198"/>
      <c r="VHQ53" s="198"/>
      <c r="VHR53" s="198"/>
      <c r="VHS53" s="198"/>
      <c r="VHT53" s="198"/>
      <c r="VHU53" s="198"/>
      <c r="VHV53" s="198"/>
      <c r="VHW53" s="198"/>
      <c r="VHX53" s="198"/>
      <c r="VHY53" s="198"/>
      <c r="VHZ53" s="198"/>
      <c r="VIA53" s="198"/>
      <c r="VIB53" s="198"/>
      <c r="VIC53" s="198"/>
      <c r="VID53" s="198"/>
      <c r="VIE53" s="198"/>
      <c r="VIF53" s="198"/>
      <c r="VIG53" s="198"/>
      <c r="VIH53" s="198"/>
      <c r="VII53" s="198"/>
      <c r="VIJ53" s="198"/>
      <c r="VIK53" s="198"/>
      <c r="VIL53" s="198"/>
      <c r="VIM53" s="198"/>
      <c r="VIN53" s="198"/>
      <c r="VIO53" s="198"/>
      <c r="VIP53" s="198"/>
      <c r="VIQ53" s="198"/>
      <c r="VIR53" s="198"/>
      <c r="VIS53" s="198"/>
      <c r="VIT53" s="198"/>
      <c r="VIU53" s="198"/>
      <c r="VIV53" s="198"/>
      <c r="VIW53" s="198"/>
      <c r="VIX53" s="198"/>
      <c r="VIY53" s="198"/>
      <c r="VIZ53" s="198"/>
      <c r="VJA53" s="198"/>
      <c r="VJB53" s="198"/>
      <c r="VJC53" s="198"/>
      <c r="VJD53" s="198"/>
      <c r="VJE53" s="198"/>
      <c r="VJF53" s="198"/>
      <c r="VJG53" s="198"/>
      <c r="VJH53" s="198"/>
      <c r="VJI53" s="198"/>
      <c r="VJJ53" s="198"/>
      <c r="VJK53" s="198"/>
      <c r="VJL53" s="198"/>
      <c r="VJM53" s="198"/>
      <c r="VJN53" s="198"/>
      <c r="VJO53" s="198"/>
      <c r="VJP53" s="198"/>
      <c r="VJQ53" s="198"/>
      <c r="VJR53" s="198"/>
      <c r="VJS53" s="198"/>
      <c r="VJT53" s="198"/>
      <c r="VJU53" s="198"/>
      <c r="VJV53" s="198"/>
      <c r="VJW53" s="198"/>
      <c r="VJX53" s="198"/>
      <c r="VJY53" s="198"/>
      <c r="VJZ53" s="198"/>
      <c r="VKA53" s="198"/>
      <c r="VKB53" s="198"/>
      <c r="VKC53" s="198"/>
      <c r="VKD53" s="198"/>
      <c r="VKE53" s="198"/>
      <c r="VKF53" s="198"/>
      <c r="VKG53" s="198"/>
      <c r="VKH53" s="198"/>
      <c r="VKI53" s="198"/>
      <c r="VKJ53" s="198"/>
      <c r="VKK53" s="198"/>
      <c r="VKL53" s="198"/>
      <c r="VKM53" s="198"/>
      <c r="VKN53" s="198"/>
      <c r="VKO53" s="198"/>
      <c r="VKP53" s="198"/>
      <c r="VKQ53" s="198"/>
      <c r="VKR53" s="198"/>
      <c r="VKS53" s="198"/>
      <c r="VKT53" s="198"/>
      <c r="VKU53" s="198"/>
      <c r="VKV53" s="198"/>
      <c r="VKW53" s="198"/>
      <c r="VKX53" s="198"/>
      <c r="VKY53" s="198"/>
      <c r="VKZ53" s="198"/>
      <c r="VLA53" s="198"/>
      <c r="VLB53" s="198"/>
      <c r="VLC53" s="198"/>
      <c r="VLD53" s="198"/>
      <c r="VLE53" s="198"/>
      <c r="VLF53" s="198"/>
      <c r="VLG53" s="198"/>
      <c r="VLH53" s="198"/>
      <c r="VLI53" s="198"/>
      <c r="VLJ53" s="198"/>
      <c r="VLK53" s="198"/>
      <c r="VLL53" s="198"/>
      <c r="VLM53" s="198"/>
      <c r="VLN53" s="198"/>
      <c r="VLO53" s="198"/>
      <c r="VLP53" s="198"/>
      <c r="VLQ53" s="198"/>
      <c r="VLR53" s="198"/>
      <c r="VLS53" s="198"/>
      <c r="VLT53" s="198"/>
      <c r="VLU53" s="198"/>
      <c r="VLV53" s="198"/>
      <c r="VLW53" s="198"/>
      <c r="VLX53" s="198"/>
      <c r="VLY53" s="198"/>
      <c r="VLZ53" s="198"/>
      <c r="VMA53" s="198"/>
      <c r="VMB53" s="198"/>
      <c r="VMC53" s="198"/>
      <c r="VMD53" s="198"/>
      <c r="VME53" s="198"/>
      <c r="VMF53" s="198"/>
      <c r="VMG53" s="198"/>
      <c r="VMH53" s="198"/>
      <c r="VMI53" s="198"/>
      <c r="VMJ53" s="198"/>
      <c r="VMK53" s="198"/>
      <c r="VML53" s="198"/>
      <c r="VMM53" s="198"/>
      <c r="VMN53" s="198"/>
      <c r="VMO53" s="198"/>
      <c r="VMP53" s="198"/>
      <c r="VMQ53" s="198"/>
      <c r="VMR53" s="198"/>
      <c r="VMS53" s="198"/>
      <c r="VMT53" s="198"/>
      <c r="VMU53" s="198"/>
      <c r="VMV53" s="198"/>
      <c r="VMW53" s="198"/>
      <c r="VMX53" s="198"/>
      <c r="VMY53" s="198"/>
      <c r="VMZ53" s="198"/>
      <c r="VNA53" s="198"/>
      <c r="VNB53" s="198"/>
      <c r="VNC53" s="198"/>
      <c r="VND53" s="198"/>
      <c r="VNE53" s="198"/>
      <c r="VNF53" s="198"/>
      <c r="VNG53" s="198"/>
      <c r="VNH53" s="198"/>
      <c r="VNI53" s="198"/>
      <c r="VNJ53" s="198"/>
      <c r="VNK53" s="198"/>
      <c r="VNL53" s="198"/>
      <c r="VNM53" s="198"/>
      <c r="VNN53" s="198"/>
      <c r="VNO53" s="198"/>
      <c r="VNP53" s="198"/>
      <c r="VNQ53" s="198"/>
      <c r="VNR53" s="198"/>
      <c r="VNS53" s="198"/>
      <c r="VNT53" s="198"/>
      <c r="VNU53" s="198"/>
      <c r="VNV53" s="198"/>
      <c r="VNW53" s="198"/>
      <c r="VNX53" s="198"/>
      <c r="VNY53" s="198"/>
      <c r="VNZ53" s="198"/>
      <c r="VOA53" s="198"/>
      <c r="VOB53" s="198"/>
      <c r="VOC53" s="198"/>
      <c r="VOD53" s="198"/>
      <c r="VOE53" s="198"/>
      <c r="VOF53" s="198"/>
      <c r="VOG53" s="198"/>
      <c r="VOH53" s="198"/>
      <c r="VOI53" s="198"/>
      <c r="VOJ53" s="198"/>
      <c r="VOK53" s="198"/>
      <c r="VOL53" s="198"/>
      <c r="VOM53" s="198"/>
      <c r="VON53" s="198"/>
      <c r="VOO53" s="198"/>
      <c r="VOP53" s="198"/>
      <c r="VOQ53" s="198"/>
      <c r="VOR53" s="198"/>
      <c r="VOS53" s="198"/>
      <c r="VOT53" s="198"/>
      <c r="VOU53" s="198"/>
      <c r="VOV53" s="198"/>
      <c r="VOW53" s="198"/>
      <c r="VOX53" s="198"/>
      <c r="VOY53" s="198"/>
      <c r="VOZ53" s="198"/>
      <c r="VPA53" s="198"/>
      <c r="VPB53" s="198"/>
      <c r="VPC53" s="198"/>
      <c r="VPD53" s="198"/>
      <c r="VPE53" s="198"/>
      <c r="VPF53" s="198"/>
      <c r="VPG53" s="198"/>
      <c r="VPH53" s="198"/>
      <c r="VPI53" s="198"/>
      <c r="VPJ53" s="198"/>
      <c r="VPK53" s="198"/>
      <c r="VPL53" s="198"/>
      <c r="VPM53" s="198"/>
      <c r="VPN53" s="198"/>
      <c r="VPO53" s="198"/>
      <c r="VPP53" s="198"/>
      <c r="VPQ53" s="198"/>
      <c r="VPR53" s="198"/>
      <c r="VPS53" s="198"/>
      <c r="VPT53" s="198"/>
      <c r="VPU53" s="198"/>
      <c r="VPV53" s="198"/>
      <c r="VPW53" s="198"/>
      <c r="VPX53" s="198"/>
      <c r="VPY53" s="198"/>
      <c r="VPZ53" s="198"/>
      <c r="VQA53" s="198"/>
      <c r="VQB53" s="198"/>
      <c r="VQC53" s="198"/>
      <c r="VQD53" s="198"/>
      <c r="VQE53" s="198"/>
      <c r="VQF53" s="198"/>
      <c r="VQG53" s="198"/>
      <c r="VQH53" s="198"/>
      <c r="VQI53" s="198"/>
      <c r="VQJ53" s="198"/>
      <c r="VQK53" s="198"/>
      <c r="VQL53" s="198"/>
      <c r="VQM53" s="198"/>
      <c r="VQN53" s="198"/>
      <c r="VQO53" s="198"/>
      <c r="VQP53" s="198"/>
      <c r="VQQ53" s="198"/>
      <c r="VQR53" s="198"/>
      <c r="VQS53" s="198"/>
      <c r="VQT53" s="198"/>
      <c r="VQU53" s="198"/>
      <c r="VQV53" s="198"/>
      <c r="VQW53" s="198"/>
      <c r="VQX53" s="198"/>
      <c r="VQY53" s="198"/>
      <c r="VQZ53" s="198"/>
      <c r="VRA53" s="198"/>
      <c r="VRB53" s="198"/>
      <c r="VRC53" s="198"/>
      <c r="VRD53" s="198"/>
      <c r="VRE53" s="198"/>
      <c r="VRF53" s="198"/>
      <c r="VRG53" s="198"/>
      <c r="VRH53" s="198"/>
      <c r="VRI53" s="198"/>
      <c r="VRJ53" s="198"/>
      <c r="VRK53" s="198"/>
      <c r="VRL53" s="198"/>
      <c r="VRM53" s="198"/>
      <c r="VRN53" s="198"/>
      <c r="VRO53" s="198"/>
      <c r="VRP53" s="198"/>
      <c r="VRQ53" s="198"/>
      <c r="VRR53" s="198"/>
      <c r="VRS53" s="198"/>
      <c r="VRT53" s="198"/>
      <c r="VRU53" s="198"/>
      <c r="VRV53" s="198"/>
      <c r="VRW53" s="198"/>
      <c r="VRX53" s="198"/>
      <c r="VRY53" s="198"/>
      <c r="VRZ53" s="198"/>
      <c r="VSA53" s="198"/>
      <c r="VSB53" s="198"/>
      <c r="VSC53" s="198"/>
      <c r="VSD53" s="198"/>
      <c r="VSE53" s="198"/>
      <c r="VSF53" s="198"/>
      <c r="VSG53" s="198"/>
      <c r="VSH53" s="198"/>
      <c r="VSI53" s="198"/>
      <c r="VSJ53" s="198"/>
      <c r="VSK53" s="198"/>
      <c r="VSL53" s="198"/>
      <c r="VSM53" s="198"/>
      <c r="VSN53" s="198"/>
      <c r="VSO53" s="198"/>
      <c r="VSP53" s="198"/>
      <c r="VSQ53" s="198"/>
      <c r="VSR53" s="198"/>
      <c r="VSS53" s="198"/>
      <c r="VST53" s="198"/>
      <c r="VSU53" s="198"/>
      <c r="VSV53" s="198"/>
      <c r="VSW53" s="198"/>
      <c r="VSX53" s="198"/>
      <c r="VSY53" s="198"/>
      <c r="VSZ53" s="198"/>
      <c r="VTA53" s="198"/>
      <c r="VTB53" s="198"/>
      <c r="VTC53" s="198"/>
      <c r="VTD53" s="198"/>
      <c r="VTE53" s="198"/>
      <c r="VTF53" s="198"/>
      <c r="VTG53" s="198"/>
      <c r="VTH53" s="198"/>
      <c r="VTI53" s="198"/>
      <c r="VTJ53" s="198"/>
      <c r="VTK53" s="198"/>
      <c r="VTL53" s="198"/>
      <c r="VTM53" s="198"/>
      <c r="VTN53" s="198"/>
      <c r="VTO53" s="198"/>
      <c r="VTP53" s="198"/>
      <c r="VTQ53" s="198"/>
      <c r="VTR53" s="198"/>
      <c r="VTS53" s="198"/>
      <c r="VTT53" s="198"/>
      <c r="VTU53" s="198"/>
      <c r="VTV53" s="198"/>
      <c r="VTW53" s="198"/>
      <c r="VTX53" s="198"/>
      <c r="VTY53" s="198"/>
      <c r="VTZ53" s="198"/>
      <c r="VUA53" s="198"/>
      <c r="VUB53" s="198"/>
      <c r="VUC53" s="198"/>
      <c r="VUD53" s="198"/>
      <c r="VUE53" s="198"/>
      <c r="VUF53" s="198"/>
      <c r="VUG53" s="198"/>
      <c r="VUH53" s="198"/>
      <c r="VUI53" s="198"/>
      <c r="VUJ53" s="198"/>
      <c r="VUK53" s="198"/>
      <c r="VUL53" s="198"/>
      <c r="VUM53" s="198"/>
      <c r="VUN53" s="198"/>
      <c r="VUO53" s="198"/>
      <c r="VUP53" s="198"/>
      <c r="VUQ53" s="198"/>
      <c r="VUR53" s="198"/>
      <c r="VUS53" s="198"/>
      <c r="VUT53" s="198"/>
      <c r="VUU53" s="198"/>
      <c r="VUV53" s="198"/>
      <c r="VUW53" s="198"/>
      <c r="VUX53" s="198"/>
      <c r="VUY53" s="198"/>
      <c r="VUZ53" s="198"/>
      <c r="VVA53" s="198"/>
      <c r="VVB53" s="198"/>
      <c r="VVC53" s="198"/>
      <c r="VVD53" s="198"/>
      <c r="VVE53" s="198"/>
      <c r="VVF53" s="198"/>
      <c r="VVG53" s="198"/>
      <c r="VVH53" s="198"/>
      <c r="VVI53" s="198"/>
      <c r="VVJ53" s="198"/>
      <c r="VVK53" s="198"/>
      <c r="VVL53" s="198"/>
      <c r="VVM53" s="198"/>
      <c r="VVN53" s="198"/>
      <c r="VVO53" s="198"/>
      <c r="VVP53" s="198"/>
      <c r="VVQ53" s="198"/>
      <c r="VVR53" s="198"/>
      <c r="VVS53" s="198"/>
      <c r="VVT53" s="198"/>
      <c r="VVU53" s="198"/>
      <c r="VVV53" s="198"/>
      <c r="VVW53" s="198"/>
      <c r="VVX53" s="198"/>
      <c r="VVY53" s="198"/>
      <c r="VVZ53" s="198"/>
      <c r="VWA53" s="198"/>
      <c r="VWB53" s="198"/>
      <c r="VWC53" s="198"/>
      <c r="VWD53" s="198"/>
      <c r="VWE53" s="198"/>
      <c r="VWF53" s="198"/>
      <c r="VWG53" s="198"/>
      <c r="VWH53" s="198"/>
      <c r="VWI53" s="198"/>
      <c r="VWJ53" s="198"/>
      <c r="VWK53" s="198"/>
      <c r="VWL53" s="198"/>
      <c r="VWM53" s="198"/>
      <c r="VWN53" s="198"/>
      <c r="VWO53" s="198"/>
      <c r="VWP53" s="198"/>
      <c r="VWQ53" s="198"/>
      <c r="VWR53" s="198"/>
      <c r="VWS53" s="198"/>
      <c r="VWT53" s="198"/>
      <c r="VWU53" s="198"/>
      <c r="VWV53" s="198"/>
      <c r="VWW53" s="198"/>
      <c r="VWX53" s="198"/>
      <c r="VWY53" s="198"/>
      <c r="VWZ53" s="198"/>
      <c r="VXA53" s="198"/>
      <c r="VXB53" s="198"/>
      <c r="VXC53" s="198"/>
      <c r="VXD53" s="198"/>
      <c r="VXE53" s="198"/>
      <c r="VXF53" s="198"/>
      <c r="VXG53" s="198"/>
      <c r="VXH53" s="198"/>
      <c r="VXI53" s="198"/>
      <c r="VXJ53" s="198"/>
      <c r="VXK53" s="198"/>
      <c r="VXL53" s="198"/>
      <c r="VXM53" s="198"/>
      <c r="VXN53" s="198"/>
      <c r="VXO53" s="198"/>
      <c r="VXP53" s="198"/>
      <c r="VXQ53" s="198"/>
      <c r="VXR53" s="198"/>
      <c r="VXS53" s="198"/>
      <c r="VXT53" s="198"/>
      <c r="VXU53" s="198"/>
      <c r="VXV53" s="198"/>
      <c r="VXW53" s="198"/>
      <c r="VXX53" s="198"/>
      <c r="VXY53" s="198"/>
      <c r="VXZ53" s="198"/>
      <c r="VYA53" s="198"/>
      <c r="VYB53" s="198"/>
      <c r="VYC53" s="198"/>
      <c r="VYD53" s="198"/>
      <c r="VYE53" s="198"/>
      <c r="VYF53" s="198"/>
      <c r="VYG53" s="198"/>
      <c r="VYH53" s="198"/>
      <c r="VYI53" s="198"/>
      <c r="VYJ53" s="198"/>
      <c r="VYK53" s="198"/>
      <c r="VYL53" s="198"/>
      <c r="VYM53" s="198"/>
      <c r="VYN53" s="198"/>
      <c r="VYO53" s="198"/>
      <c r="VYP53" s="198"/>
      <c r="VYQ53" s="198"/>
      <c r="VYR53" s="198"/>
      <c r="VYS53" s="198"/>
      <c r="VYT53" s="198"/>
      <c r="VYU53" s="198"/>
      <c r="VYV53" s="198"/>
      <c r="VYW53" s="198"/>
      <c r="VYX53" s="198"/>
      <c r="VYY53" s="198"/>
      <c r="VYZ53" s="198"/>
      <c r="VZA53" s="198"/>
      <c r="VZB53" s="198"/>
      <c r="VZC53" s="198"/>
      <c r="VZD53" s="198"/>
      <c r="VZE53" s="198"/>
      <c r="VZF53" s="198"/>
      <c r="VZG53" s="198"/>
      <c r="VZH53" s="198"/>
      <c r="VZI53" s="198"/>
      <c r="VZJ53" s="198"/>
      <c r="VZK53" s="198"/>
      <c r="VZL53" s="198"/>
      <c r="VZM53" s="198"/>
      <c r="VZN53" s="198"/>
      <c r="VZO53" s="198"/>
      <c r="VZP53" s="198"/>
      <c r="VZQ53" s="198"/>
      <c r="VZR53" s="198"/>
      <c r="VZS53" s="198"/>
      <c r="VZT53" s="198"/>
      <c r="VZU53" s="198"/>
      <c r="VZV53" s="198"/>
      <c r="VZW53" s="198"/>
      <c r="VZX53" s="198"/>
      <c r="VZY53" s="198"/>
      <c r="VZZ53" s="198"/>
      <c r="WAA53" s="198"/>
      <c r="WAB53" s="198"/>
      <c r="WAC53" s="198"/>
      <c r="WAD53" s="198"/>
      <c r="WAE53" s="198"/>
      <c r="WAF53" s="198"/>
      <c r="WAG53" s="198"/>
      <c r="WAH53" s="198"/>
      <c r="WAI53" s="198"/>
      <c r="WAJ53" s="198"/>
      <c r="WAK53" s="198"/>
      <c r="WAL53" s="198"/>
      <c r="WAM53" s="198"/>
      <c r="WAN53" s="198"/>
      <c r="WAO53" s="198"/>
      <c r="WAP53" s="198"/>
      <c r="WAQ53" s="198"/>
      <c r="WAR53" s="198"/>
      <c r="WAS53" s="198"/>
      <c r="WAT53" s="198"/>
      <c r="WAU53" s="198"/>
      <c r="WAV53" s="198"/>
      <c r="WAW53" s="198"/>
      <c r="WAX53" s="198"/>
      <c r="WAY53" s="198"/>
      <c r="WAZ53" s="198"/>
      <c r="WBA53" s="198"/>
      <c r="WBB53" s="198"/>
      <c r="WBC53" s="198"/>
      <c r="WBD53" s="198"/>
      <c r="WBE53" s="198"/>
      <c r="WBF53" s="198"/>
      <c r="WBG53" s="198"/>
      <c r="WBH53" s="198"/>
      <c r="WBI53" s="198"/>
      <c r="WBJ53" s="198"/>
      <c r="WBK53" s="198"/>
      <c r="WBL53" s="198"/>
      <c r="WBM53" s="198"/>
      <c r="WBN53" s="198"/>
      <c r="WBO53" s="198"/>
      <c r="WBP53" s="198"/>
      <c r="WBQ53" s="198"/>
      <c r="WBR53" s="198"/>
      <c r="WBS53" s="198"/>
      <c r="WBT53" s="198"/>
      <c r="WBU53" s="198"/>
      <c r="WBV53" s="198"/>
      <c r="WBW53" s="198"/>
      <c r="WBX53" s="198"/>
      <c r="WBY53" s="198"/>
      <c r="WBZ53" s="198"/>
      <c r="WCA53" s="198"/>
      <c r="WCB53" s="198"/>
      <c r="WCC53" s="198"/>
      <c r="WCD53" s="198"/>
      <c r="WCE53" s="198"/>
      <c r="WCF53" s="198"/>
      <c r="WCG53" s="198"/>
      <c r="WCH53" s="198"/>
      <c r="WCI53" s="198"/>
      <c r="WCJ53" s="198"/>
      <c r="WCK53" s="198"/>
      <c r="WCL53" s="198"/>
      <c r="WCM53" s="198"/>
      <c r="WCN53" s="198"/>
      <c r="WCO53" s="198"/>
      <c r="WCP53" s="198"/>
      <c r="WCQ53" s="198"/>
      <c r="WCR53" s="198"/>
      <c r="WCS53" s="198"/>
      <c r="WCT53" s="198"/>
      <c r="WCU53" s="198"/>
      <c r="WCV53" s="198"/>
      <c r="WCW53" s="198"/>
      <c r="WCX53" s="198"/>
      <c r="WCY53" s="198"/>
      <c r="WCZ53" s="198"/>
      <c r="WDA53" s="198"/>
      <c r="WDB53" s="198"/>
      <c r="WDC53" s="198"/>
      <c r="WDD53" s="198"/>
      <c r="WDE53" s="198"/>
      <c r="WDF53" s="198"/>
      <c r="WDG53" s="198"/>
      <c r="WDH53" s="198"/>
      <c r="WDI53" s="198"/>
      <c r="WDJ53" s="198"/>
      <c r="WDK53" s="198"/>
      <c r="WDL53" s="198"/>
      <c r="WDM53" s="198"/>
      <c r="WDN53" s="198"/>
      <c r="WDO53" s="198"/>
      <c r="WDP53" s="198"/>
      <c r="WDQ53" s="198"/>
      <c r="WDR53" s="198"/>
      <c r="WDS53" s="198"/>
      <c r="WDT53" s="198"/>
      <c r="WDU53" s="198"/>
      <c r="WDV53" s="198"/>
      <c r="WDW53" s="198"/>
      <c r="WDX53" s="198"/>
      <c r="WDY53" s="198"/>
      <c r="WDZ53" s="198"/>
      <c r="WEA53" s="198"/>
      <c r="WEB53" s="198"/>
      <c r="WEC53" s="198"/>
      <c r="WED53" s="198"/>
      <c r="WEE53" s="198"/>
      <c r="WEF53" s="198"/>
      <c r="WEG53" s="198"/>
      <c r="WEH53" s="198"/>
      <c r="WEI53" s="198"/>
      <c r="WEJ53" s="198"/>
      <c r="WEK53" s="198"/>
      <c r="WEL53" s="198"/>
      <c r="WEM53" s="198"/>
      <c r="WEN53" s="198"/>
      <c r="WEO53" s="198"/>
      <c r="WEP53" s="198"/>
      <c r="WEQ53" s="198"/>
      <c r="WER53" s="198"/>
      <c r="WES53" s="198"/>
      <c r="WET53" s="198"/>
      <c r="WEU53" s="198"/>
      <c r="WEV53" s="198"/>
      <c r="WEW53" s="198"/>
      <c r="WEX53" s="198"/>
      <c r="WEY53" s="198"/>
      <c r="WEZ53" s="198"/>
      <c r="WFA53" s="198"/>
      <c r="WFB53" s="198"/>
      <c r="WFC53" s="198"/>
      <c r="WFD53" s="198"/>
      <c r="WFE53" s="198"/>
      <c r="WFF53" s="198"/>
      <c r="WFG53" s="198"/>
      <c r="WFH53" s="198"/>
      <c r="WFI53" s="198"/>
      <c r="WFJ53" s="198"/>
      <c r="WFK53" s="198"/>
      <c r="WFL53" s="198"/>
      <c r="WFM53" s="198"/>
      <c r="WFN53" s="198"/>
      <c r="WFO53" s="198"/>
      <c r="WFP53" s="198"/>
      <c r="WFQ53" s="198"/>
      <c r="WFR53" s="198"/>
      <c r="WFS53" s="198"/>
      <c r="WFT53" s="198"/>
      <c r="WFU53" s="198"/>
      <c r="WFV53" s="198"/>
      <c r="WFW53" s="198"/>
      <c r="WFX53" s="198"/>
      <c r="WFY53" s="198"/>
      <c r="WFZ53" s="198"/>
      <c r="WGA53" s="198"/>
      <c r="WGB53" s="198"/>
      <c r="WGC53" s="198"/>
      <c r="WGD53" s="198"/>
      <c r="WGE53" s="198"/>
      <c r="WGF53" s="198"/>
      <c r="WGG53" s="198"/>
      <c r="WGH53" s="198"/>
      <c r="WGI53" s="198"/>
      <c r="WGJ53" s="198"/>
      <c r="WGK53" s="198"/>
      <c r="WGL53" s="198"/>
      <c r="WGM53" s="198"/>
      <c r="WGN53" s="198"/>
      <c r="WGO53" s="198"/>
      <c r="WGP53" s="198"/>
      <c r="WGQ53" s="198"/>
      <c r="WGR53" s="198"/>
      <c r="WGS53" s="198"/>
      <c r="WGT53" s="198"/>
      <c r="WGU53" s="198"/>
      <c r="WGV53" s="198"/>
      <c r="WGW53" s="198"/>
      <c r="WGX53" s="198"/>
      <c r="WGY53" s="198"/>
      <c r="WGZ53" s="198"/>
      <c r="WHA53" s="198"/>
      <c r="WHB53" s="198"/>
      <c r="WHC53" s="198"/>
      <c r="WHD53" s="198"/>
      <c r="WHE53" s="198"/>
      <c r="WHF53" s="198"/>
      <c r="WHG53" s="198"/>
      <c r="WHH53" s="198"/>
      <c r="WHI53" s="198"/>
      <c r="WHJ53" s="198"/>
      <c r="WHK53" s="198"/>
      <c r="WHL53" s="198"/>
      <c r="WHM53" s="198"/>
      <c r="WHN53" s="198"/>
      <c r="WHO53" s="198"/>
      <c r="WHP53" s="198"/>
      <c r="WHQ53" s="198"/>
      <c r="WHR53" s="198"/>
      <c r="WHS53" s="198"/>
      <c r="WHT53" s="198"/>
      <c r="WHU53" s="198"/>
      <c r="WHV53" s="198"/>
      <c r="WHW53" s="198"/>
      <c r="WHX53" s="198"/>
      <c r="WHY53" s="198"/>
      <c r="WHZ53" s="198"/>
      <c r="WIA53" s="198"/>
      <c r="WIB53" s="198"/>
      <c r="WIC53" s="198"/>
      <c r="WID53" s="198"/>
      <c r="WIE53" s="198"/>
      <c r="WIF53" s="198"/>
      <c r="WIG53" s="198"/>
      <c r="WIH53" s="198"/>
      <c r="WII53" s="198"/>
      <c r="WIJ53" s="198"/>
      <c r="WIK53" s="198"/>
      <c r="WIL53" s="198"/>
      <c r="WIM53" s="198"/>
      <c r="WIN53" s="198"/>
      <c r="WIO53" s="198"/>
      <c r="WIP53" s="198"/>
      <c r="WIQ53" s="198"/>
      <c r="WIR53" s="198"/>
      <c r="WIS53" s="198"/>
      <c r="WIT53" s="198"/>
      <c r="WIU53" s="198"/>
      <c r="WIV53" s="198"/>
      <c r="WIW53" s="198"/>
      <c r="WIX53" s="198"/>
      <c r="WIY53" s="198"/>
      <c r="WIZ53" s="198"/>
      <c r="WJA53" s="198"/>
      <c r="WJB53" s="198"/>
      <c r="WJC53" s="198"/>
      <c r="WJD53" s="198"/>
      <c r="WJE53" s="198"/>
      <c r="WJF53" s="198"/>
      <c r="WJG53" s="198"/>
      <c r="WJH53" s="198"/>
      <c r="WJI53" s="198"/>
      <c r="WJJ53" s="198"/>
      <c r="WJK53" s="198"/>
      <c r="WJL53" s="198"/>
      <c r="WJM53" s="198"/>
      <c r="WJN53" s="198"/>
      <c r="WJO53" s="198"/>
      <c r="WJP53" s="198"/>
      <c r="WJQ53" s="198"/>
      <c r="WJR53" s="198"/>
      <c r="WJS53" s="198"/>
      <c r="WJT53" s="198"/>
      <c r="WJU53" s="198"/>
      <c r="WJV53" s="198"/>
      <c r="WJW53" s="198"/>
      <c r="WJX53" s="198"/>
      <c r="WJY53" s="198"/>
      <c r="WJZ53" s="198"/>
      <c r="WKA53" s="198"/>
      <c r="WKB53" s="198"/>
      <c r="WKC53" s="198"/>
      <c r="WKD53" s="198"/>
      <c r="WKE53" s="198"/>
      <c r="WKF53" s="198"/>
      <c r="WKG53" s="198"/>
      <c r="WKH53" s="198"/>
      <c r="WKI53" s="198"/>
      <c r="WKJ53" s="198"/>
      <c r="WKK53" s="198"/>
      <c r="WKL53" s="198"/>
      <c r="WKM53" s="198"/>
      <c r="WKN53" s="198"/>
      <c r="WKO53" s="198"/>
      <c r="WKP53" s="198"/>
      <c r="WKQ53" s="198"/>
      <c r="WKR53" s="198"/>
      <c r="WKS53" s="198"/>
      <c r="WKT53" s="198"/>
      <c r="WKU53" s="198"/>
      <c r="WKV53" s="198"/>
      <c r="WKW53" s="198"/>
      <c r="WKX53" s="198"/>
      <c r="WKY53" s="198"/>
      <c r="WKZ53" s="198"/>
      <c r="WLA53" s="198"/>
      <c r="WLB53" s="198"/>
      <c r="WLC53" s="198"/>
      <c r="WLD53" s="198"/>
      <c r="WLE53" s="198"/>
      <c r="WLF53" s="198"/>
      <c r="WLG53" s="198"/>
      <c r="WLH53" s="198"/>
      <c r="WLI53" s="198"/>
      <c r="WLJ53" s="198"/>
      <c r="WLK53" s="198"/>
      <c r="WLL53" s="198"/>
      <c r="WLM53" s="198"/>
      <c r="WLN53" s="198"/>
      <c r="WLO53" s="198"/>
      <c r="WLP53" s="198"/>
      <c r="WLQ53" s="198"/>
      <c r="WLR53" s="198"/>
      <c r="WLS53" s="198"/>
      <c r="WLT53" s="198"/>
      <c r="WLU53" s="198"/>
      <c r="WLV53" s="198"/>
      <c r="WLW53" s="198"/>
      <c r="WLX53" s="198"/>
      <c r="WLY53" s="198"/>
      <c r="WLZ53" s="198"/>
      <c r="WMA53" s="198"/>
      <c r="WMB53" s="198"/>
      <c r="WMC53" s="198"/>
      <c r="WMD53" s="198"/>
      <c r="WME53" s="198"/>
      <c r="WMF53" s="198"/>
      <c r="WMG53" s="198"/>
      <c r="WMH53" s="198"/>
      <c r="WMI53" s="198"/>
      <c r="WMJ53" s="198"/>
      <c r="WMK53" s="198"/>
      <c r="WML53" s="198"/>
      <c r="WMM53" s="198"/>
      <c r="WMN53" s="198"/>
      <c r="WMO53" s="198"/>
      <c r="WMP53" s="198"/>
      <c r="WMQ53" s="198"/>
      <c r="WMR53" s="198"/>
      <c r="WMS53" s="198"/>
      <c r="WMT53" s="198"/>
      <c r="WMU53" s="198"/>
      <c r="WMV53" s="198"/>
      <c r="WMW53" s="198"/>
      <c r="WMX53" s="198"/>
      <c r="WMY53" s="198"/>
      <c r="WMZ53" s="198"/>
      <c r="WNA53" s="198"/>
      <c r="WNB53" s="198"/>
      <c r="WNC53" s="198"/>
      <c r="WND53" s="198"/>
      <c r="WNE53" s="198"/>
      <c r="WNF53" s="198"/>
      <c r="WNG53" s="198"/>
      <c r="WNH53" s="198"/>
      <c r="WNI53" s="198"/>
      <c r="WNJ53" s="198"/>
      <c r="WNK53" s="198"/>
      <c r="WNL53" s="198"/>
      <c r="WNM53" s="198"/>
      <c r="WNN53" s="198"/>
      <c r="WNO53" s="198"/>
      <c r="WNP53" s="198"/>
      <c r="WNQ53" s="198"/>
      <c r="WNR53" s="198"/>
      <c r="WNS53" s="198"/>
      <c r="WNT53" s="198"/>
      <c r="WNU53" s="198"/>
      <c r="WNV53" s="198"/>
      <c r="WNW53" s="198"/>
      <c r="WNX53" s="198"/>
      <c r="WNY53" s="198"/>
      <c r="WNZ53" s="198"/>
      <c r="WOA53" s="198"/>
      <c r="WOB53" s="198"/>
      <c r="WOC53" s="198"/>
      <c r="WOD53" s="198"/>
      <c r="WOE53" s="198"/>
      <c r="WOF53" s="198"/>
      <c r="WOG53" s="198"/>
      <c r="WOH53" s="198"/>
      <c r="WOI53" s="198"/>
      <c r="WOJ53" s="198"/>
      <c r="WOK53" s="198"/>
      <c r="WOL53" s="198"/>
      <c r="WOM53" s="198"/>
      <c r="WON53" s="198"/>
      <c r="WOO53" s="198"/>
      <c r="WOP53" s="198"/>
      <c r="WOQ53" s="198"/>
      <c r="WOR53" s="198"/>
      <c r="WOS53" s="198"/>
      <c r="WOT53" s="198"/>
      <c r="WOU53" s="198"/>
      <c r="WOV53" s="198"/>
      <c r="WOW53" s="198"/>
      <c r="WOX53" s="198"/>
      <c r="WOY53" s="198"/>
      <c r="WOZ53" s="198"/>
      <c r="WPA53" s="198"/>
      <c r="WPB53" s="198"/>
      <c r="WPC53" s="198"/>
      <c r="WPD53" s="198"/>
      <c r="WPE53" s="198"/>
      <c r="WPF53" s="198"/>
      <c r="WPG53" s="198"/>
      <c r="WPH53" s="198"/>
      <c r="WPI53" s="198"/>
      <c r="WPJ53" s="198"/>
      <c r="WPK53" s="198"/>
      <c r="WPL53" s="198"/>
      <c r="WPM53" s="198"/>
      <c r="WPN53" s="198"/>
      <c r="WPO53" s="198"/>
      <c r="WPP53" s="198"/>
      <c r="WPQ53" s="198"/>
      <c r="WPR53" s="198"/>
      <c r="WPS53" s="198"/>
      <c r="WPT53" s="198"/>
      <c r="WPU53" s="198"/>
      <c r="WPV53" s="198"/>
      <c r="WPW53" s="198"/>
      <c r="WPX53" s="198"/>
      <c r="WPY53" s="198"/>
      <c r="WPZ53" s="198"/>
      <c r="WQA53" s="198"/>
      <c r="WQB53" s="198"/>
      <c r="WQC53" s="198"/>
      <c r="WQD53" s="198"/>
      <c r="WQE53" s="198"/>
      <c r="WQF53" s="198"/>
      <c r="WQG53" s="198"/>
      <c r="WQH53" s="198"/>
      <c r="WQI53" s="198"/>
      <c r="WQJ53" s="198"/>
      <c r="WQK53" s="198"/>
      <c r="WQL53" s="198"/>
      <c r="WQM53" s="198"/>
      <c r="WQN53" s="198"/>
      <c r="WQO53" s="198"/>
      <c r="WQP53" s="198"/>
      <c r="WQQ53" s="198"/>
      <c r="WQR53" s="198"/>
      <c r="WQS53" s="198"/>
      <c r="WQT53" s="198"/>
      <c r="WQU53" s="198"/>
      <c r="WQV53" s="198"/>
      <c r="WQW53" s="198"/>
      <c r="WQX53" s="198"/>
      <c r="WQY53" s="198"/>
      <c r="WQZ53" s="198"/>
      <c r="WRA53" s="198"/>
      <c r="WRB53" s="198"/>
      <c r="WRC53" s="198"/>
      <c r="WRD53" s="198"/>
      <c r="WRE53" s="198"/>
      <c r="WRF53" s="198"/>
      <c r="WRG53" s="198"/>
      <c r="WRH53" s="198"/>
      <c r="WRI53" s="198"/>
      <c r="WRJ53" s="198"/>
      <c r="WRK53" s="198"/>
      <c r="WRL53" s="198"/>
      <c r="WRM53" s="198"/>
      <c r="WRN53" s="198"/>
      <c r="WRO53" s="198"/>
      <c r="WRP53" s="198"/>
      <c r="WRQ53" s="198"/>
      <c r="WRR53" s="198"/>
      <c r="WRS53" s="198"/>
      <c r="WRT53" s="198"/>
      <c r="WRU53" s="198"/>
      <c r="WRV53" s="198"/>
      <c r="WRW53" s="198"/>
      <c r="WRX53" s="198"/>
      <c r="WRY53" s="198"/>
      <c r="WRZ53" s="198"/>
      <c r="WSA53" s="198"/>
      <c r="WSB53" s="198"/>
      <c r="WSC53" s="198"/>
      <c r="WSD53" s="198"/>
      <c r="WSE53" s="198"/>
      <c r="WSF53" s="198"/>
      <c r="WSG53" s="198"/>
      <c r="WSH53" s="198"/>
      <c r="WSI53" s="198"/>
      <c r="WSJ53" s="198"/>
      <c r="WSK53" s="198"/>
      <c r="WSL53" s="198"/>
      <c r="WSM53" s="198"/>
      <c r="WSN53" s="198"/>
      <c r="WSO53" s="198"/>
      <c r="WSP53" s="198"/>
      <c r="WSQ53" s="198"/>
      <c r="WSR53" s="198"/>
      <c r="WSS53" s="198"/>
      <c r="WST53" s="198"/>
      <c r="WSU53" s="198"/>
      <c r="WSV53" s="198"/>
      <c r="WSW53" s="198"/>
      <c r="WSX53" s="198"/>
      <c r="WSY53" s="198"/>
      <c r="WSZ53" s="198"/>
      <c r="WTA53" s="198"/>
      <c r="WTB53" s="198"/>
      <c r="WTC53" s="198"/>
      <c r="WTD53" s="198"/>
      <c r="WTE53" s="198"/>
      <c r="WTF53" s="198"/>
      <c r="WTG53" s="198"/>
      <c r="WTH53" s="198"/>
      <c r="WTI53" s="198"/>
      <c r="WTJ53" s="198"/>
      <c r="WTK53" s="198"/>
      <c r="WTL53" s="198"/>
      <c r="WTM53" s="198"/>
      <c r="WTN53" s="198"/>
      <c r="WTO53" s="198"/>
      <c r="WTP53" s="198"/>
      <c r="WTQ53" s="198"/>
      <c r="WTR53" s="198"/>
      <c r="WTS53" s="198"/>
      <c r="WTT53" s="198"/>
      <c r="WTU53" s="198"/>
      <c r="WTV53" s="198"/>
      <c r="WTW53" s="198"/>
      <c r="WTX53" s="198"/>
      <c r="WTY53" s="198"/>
      <c r="WTZ53" s="198"/>
      <c r="WUA53" s="198"/>
      <c r="WUB53" s="198"/>
      <c r="WUC53" s="198"/>
      <c r="WUD53" s="198"/>
      <c r="WUE53" s="198"/>
      <c r="WUF53" s="198"/>
      <c r="WUG53" s="198"/>
      <c r="WUH53" s="198"/>
      <c r="WUI53" s="198"/>
      <c r="WUJ53" s="198"/>
      <c r="WUK53" s="198"/>
      <c r="WUL53" s="198"/>
      <c r="WUM53" s="198"/>
      <c r="WUN53" s="198"/>
      <c r="WUO53" s="198"/>
      <c r="WUP53" s="198"/>
      <c r="WUQ53" s="198"/>
      <c r="WUR53" s="198"/>
      <c r="WUS53" s="198"/>
      <c r="WUT53" s="198"/>
      <c r="WUU53" s="198"/>
      <c r="WUV53" s="198"/>
      <c r="WUW53" s="198"/>
      <c r="WUX53" s="198"/>
      <c r="WUY53" s="198"/>
      <c r="WUZ53" s="198"/>
      <c r="WVA53" s="198"/>
      <c r="WVB53" s="198"/>
      <c r="WVC53" s="198"/>
      <c r="WVD53" s="198"/>
      <c r="WVE53" s="198"/>
      <c r="WVF53" s="198"/>
      <c r="WVG53" s="198"/>
      <c r="WVH53" s="198"/>
      <c r="WVI53" s="198"/>
      <c r="WVJ53" s="198"/>
      <c r="WVK53" s="198"/>
      <c r="WVL53" s="198"/>
      <c r="WVM53" s="198"/>
      <c r="WVN53" s="198"/>
      <c r="WVO53" s="198"/>
      <c r="WVP53" s="198"/>
      <c r="WVQ53" s="198"/>
      <c r="WVR53" s="198"/>
      <c r="WVS53" s="198"/>
      <c r="WVT53" s="198"/>
      <c r="WVU53" s="198"/>
      <c r="WVV53" s="198"/>
      <c r="WVW53" s="198"/>
      <c r="WVX53" s="198"/>
      <c r="WVY53" s="198"/>
      <c r="WVZ53" s="198"/>
      <c r="WWA53" s="198"/>
      <c r="WWB53" s="198"/>
      <c r="WWC53" s="198"/>
      <c r="WWD53" s="198"/>
      <c r="WWE53" s="198"/>
      <c r="WWF53" s="198"/>
      <c r="WWG53" s="198"/>
      <c r="WWH53" s="198"/>
      <c r="WWI53" s="198"/>
      <c r="WWJ53" s="198"/>
      <c r="WWK53" s="198"/>
      <c r="WWL53" s="198"/>
      <c r="WWM53" s="198"/>
      <c r="WWN53" s="198"/>
      <c r="WWO53" s="198"/>
      <c r="WWP53" s="198"/>
      <c r="WWQ53" s="198"/>
      <c r="WWR53" s="198"/>
      <c r="WWS53" s="198"/>
      <c r="WWT53" s="198"/>
      <c r="WWU53" s="198"/>
      <c r="WWV53" s="198"/>
      <c r="WWW53" s="198"/>
      <c r="WWX53" s="198"/>
      <c r="WWY53" s="198"/>
      <c r="WWZ53" s="198"/>
      <c r="WXA53" s="198"/>
      <c r="WXB53" s="198"/>
      <c r="WXC53" s="198"/>
      <c r="WXD53" s="198"/>
      <c r="WXE53" s="198"/>
      <c r="WXF53" s="198"/>
      <c r="WXG53" s="198"/>
      <c r="WXH53" s="198"/>
      <c r="WXI53" s="198"/>
      <c r="WXJ53" s="198"/>
      <c r="WXK53" s="198"/>
      <c r="WXL53" s="198"/>
      <c r="WXM53" s="198"/>
      <c r="WXN53" s="198"/>
      <c r="WXO53" s="198"/>
      <c r="WXP53" s="198"/>
      <c r="WXQ53" s="198"/>
      <c r="WXR53" s="198"/>
      <c r="WXS53" s="198"/>
      <c r="WXT53" s="198"/>
      <c r="WXU53" s="198"/>
      <c r="WXV53" s="198"/>
      <c r="WXW53" s="198"/>
      <c r="WXX53" s="198"/>
      <c r="WXY53" s="198"/>
      <c r="WXZ53" s="198"/>
      <c r="WYA53" s="198"/>
      <c r="WYB53" s="198"/>
      <c r="WYC53" s="198"/>
      <c r="WYD53" s="198"/>
      <c r="WYE53" s="198"/>
      <c r="WYF53" s="198"/>
      <c r="WYG53" s="198"/>
      <c r="WYH53" s="198"/>
      <c r="WYI53" s="198"/>
      <c r="WYJ53" s="198"/>
      <c r="WYK53" s="198"/>
      <c r="WYL53" s="198"/>
      <c r="WYM53" s="198"/>
      <c r="WYN53" s="198"/>
      <c r="WYO53" s="198"/>
      <c r="WYP53" s="198"/>
      <c r="WYQ53" s="198"/>
      <c r="WYR53" s="198"/>
      <c r="WYS53" s="198"/>
      <c r="WYT53" s="198"/>
      <c r="WYU53" s="198"/>
      <c r="WYV53" s="198"/>
      <c r="WYW53" s="198"/>
      <c r="WYX53" s="198"/>
      <c r="WYY53" s="198"/>
      <c r="WYZ53" s="198"/>
      <c r="WZA53" s="198"/>
      <c r="WZB53" s="198"/>
      <c r="WZC53" s="198"/>
      <c r="WZD53" s="198"/>
      <c r="WZE53" s="198"/>
      <c r="WZF53" s="198"/>
      <c r="WZG53" s="198"/>
      <c r="WZH53" s="198"/>
      <c r="WZI53" s="198"/>
      <c r="WZJ53" s="198"/>
      <c r="WZK53" s="198"/>
      <c r="WZL53" s="198"/>
      <c r="WZM53" s="198"/>
      <c r="WZN53" s="198"/>
      <c r="WZO53" s="198"/>
      <c r="WZP53" s="198"/>
      <c r="WZQ53" s="198"/>
      <c r="WZR53" s="198"/>
      <c r="WZS53" s="198"/>
      <c r="WZT53" s="198"/>
      <c r="WZU53" s="198"/>
      <c r="WZV53" s="198"/>
      <c r="WZW53" s="198"/>
      <c r="WZX53" s="198"/>
      <c r="WZY53" s="198"/>
      <c r="WZZ53" s="198"/>
      <c r="XAA53" s="198"/>
      <c r="XAB53" s="198"/>
      <c r="XAC53" s="198"/>
      <c r="XAD53" s="198"/>
      <c r="XAE53" s="198"/>
      <c r="XAF53" s="198"/>
      <c r="XAG53" s="198"/>
      <c r="XAH53" s="198"/>
      <c r="XAI53" s="198"/>
      <c r="XAJ53" s="198"/>
      <c r="XAK53" s="198"/>
      <c r="XAL53" s="198"/>
      <c r="XAM53" s="198"/>
      <c r="XAN53" s="198"/>
      <c r="XAO53" s="198"/>
      <c r="XAP53" s="198"/>
      <c r="XAQ53" s="198"/>
      <c r="XAR53" s="198"/>
      <c r="XAS53" s="198"/>
      <c r="XAT53" s="198"/>
      <c r="XAU53" s="198"/>
      <c r="XAV53" s="198"/>
      <c r="XAW53" s="198"/>
      <c r="XAX53" s="198"/>
      <c r="XAY53" s="198"/>
      <c r="XAZ53" s="198"/>
      <c r="XBA53" s="198"/>
      <c r="XBB53" s="198"/>
      <c r="XBC53" s="198"/>
      <c r="XBD53" s="198"/>
      <c r="XBE53" s="198"/>
      <c r="XBF53" s="198"/>
      <c r="XBG53" s="198"/>
      <c r="XBH53" s="198"/>
      <c r="XBI53" s="198"/>
      <c r="XBJ53" s="198"/>
      <c r="XBK53" s="198"/>
      <c r="XBL53" s="198"/>
      <c r="XBM53" s="198"/>
      <c r="XBN53" s="198"/>
      <c r="XBO53" s="198"/>
      <c r="XBP53" s="198"/>
      <c r="XBQ53" s="198"/>
      <c r="XBR53" s="198"/>
      <c r="XBS53" s="198"/>
      <c r="XBT53" s="198"/>
      <c r="XBU53" s="198"/>
      <c r="XBV53" s="198"/>
      <c r="XBW53" s="198"/>
      <c r="XBX53" s="198"/>
      <c r="XBY53" s="198"/>
      <c r="XBZ53" s="198"/>
      <c r="XCA53" s="198"/>
      <c r="XCB53" s="198"/>
      <c r="XCC53" s="198"/>
      <c r="XCD53" s="198"/>
      <c r="XCE53" s="198"/>
      <c r="XCF53" s="198"/>
      <c r="XCG53" s="198"/>
      <c r="XCH53" s="198"/>
      <c r="XCI53" s="198"/>
      <c r="XCJ53" s="198"/>
      <c r="XCK53" s="198"/>
      <c r="XCL53" s="198"/>
      <c r="XCM53" s="198"/>
      <c r="XCN53" s="198"/>
      <c r="XCO53" s="198"/>
      <c r="XCP53" s="198"/>
      <c r="XCQ53" s="198"/>
      <c r="XCR53" s="198"/>
      <c r="XCS53" s="198"/>
      <c r="XCT53" s="198"/>
      <c r="XCU53" s="198"/>
      <c r="XCV53" s="198"/>
      <c r="XCW53" s="198"/>
      <c r="XCX53" s="198"/>
      <c r="XCY53" s="198"/>
      <c r="XCZ53" s="198"/>
      <c r="XDA53" s="198"/>
      <c r="XDB53" s="198"/>
      <c r="XDC53" s="198"/>
      <c r="XDD53" s="198"/>
      <c r="XDE53" s="198"/>
      <c r="XDF53" s="198"/>
      <c r="XDG53" s="198"/>
      <c r="XDH53" s="198"/>
      <c r="XDI53" s="198"/>
      <c r="XDJ53" s="198"/>
      <c r="XDK53" s="198"/>
      <c r="XDL53" s="198"/>
      <c r="XDM53" s="198"/>
      <c r="XDN53" s="198"/>
      <c r="XDO53" s="198"/>
      <c r="XDP53" s="198"/>
      <c r="XDQ53" s="198"/>
      <c r="XDR53" s="198"/>
      <c r="XDS53" s="198"/>
      <c r="XDT53" s="198"/>
      <c r="XDU53" s="198"/>
      <c r="XDV53" s="198"/>
      <c r="XDW53" s="198"/>
      <c r="XDX53" s="198"/>
      <c r="XDY53" s="198"/>
      <c r="XDZ53" s="198"/>
      <c r="XEA53" s="198"/>
      <c r="XEB53" s="198"/>
      <c r="XEC53" s="198"/>
      <c r="XED53" s="198"/>
      <c r="XEE53" s="198"/>
      <c r="XEF53" s="198"/>
      <c r="XEG53" s="198"/>
      <c r="XEH53" s="198"/>
      <c r="XEI53" s="198"/>
      <c r="XEJ53" s="198"/>
      <c r="XEK53" s="198"/>
      <c r="XEL53" s="198"/>
      <c r="XEM53" s="198"/>
      <c r="XEN53" s="198"/>
      <c r="XEO53" s="198"/>
      <c r="XEP53" s="198"/>
      <c r="XEQ53" s="198"/>
      <c r="XER53" s="198"/>
      <c r="XES53" s="198"/>
      <c r="XET53" s="198"/>
      <c r="XEU53" s="198"/>
      <c r="XEV53" s="198"/>
      <c r="XEW53" s="198"/>
      <c r="XEX53" s="198"/>
      <c r="XEY53" s="198"/>
      <c r="XEZ53" s="198"/>
      <c r="XFA53" s="198"/>
      <c r="XFB53" s="198"/>
      <c r="XFC53" s="198"/>
      <c r="XFD53" s="198"/>
    </row>
    <row r="54" spans="1:16384" s="231" customFormat="1" ht="15.75" x14ac:dyDescent="0.45">
      <c r="A54" s="206">
        <v>3.1</v>
      </c>
      <c r="B54" s="118" t="s">
        <v>170</v>
      </c>
      <c r="C54" s="119" t="s">
        <v>155</v>
      </c>
      <c r="D54" s="208" t="str">
        <f>IF(OR(j_WEEKDAY(J_ADDDAY(VLOOKUP(I54,A:F,6,FALSE),H54,1),0)=6,SUMIFS(Holieday[ok],Holieday[date],J_ADDDAY(VLOOKUP(I54,A:F,6,FALSE),H54,1)))=FALSE(),J_ADDDAY(VLOOKUP(I54,A:F,6,FALSE),H54,1),IF(OR(j_WEEKDAY(J_ADDDAY(VLOOKUP(I54,A:F,6,FALSE),H54+1,1),0)=6,SUMIFS(Holieday[ok],Holieday[date],J_ADDDAY(VLOOKUP(I54,A:F,6,FALSE),H54+1,1)))=FALSE(),J_ADDDAY(VLOOKUP(I54,A:F,6,FALSE),H54+1,1),IF(OR(j_WEEKDAY(J_ADDDAY(VLOOKUP(I54,A:F,6,FALSE),H54+2,1),0)=6,SUMIFS(Holieday[ok],Holieday[date],J_ADDDAY(VLOOKUP(I54,A:F,6,FALSE),H54+2,1)))=FALSE(),J_ADDDAY(VLOOKUP(I54,A:F,6,FALSE),H54+2,1),IF(OR(j_WEEKDAY(J_ADDDAY(VLOOKUP(I54,A:F,6,FALSE),H54+3,1),0)=6,SUMIFS(Holieday[ok],Holieday[date],J_ADDDAY(VLOOKUP(I54,A:F,6,FALSE),H54+3,1)))=FALSE(),J_ADDDAY(VLOOKUP(I54,A:F,6,FALSE),H54+3,1),IF(OR(j_WEEKDAY(J_ADDDAY(VLOOKUP(I54,A:F,6,FALSE),H54+4,1),0)=6,SUMIFS(Holieday[ok],Holieday[date],J_ADDDAY(VLOOKUP(I54,A:F,6,FALSE),H54+4,1)))=FALSE(),J_ADDDAY(VLOOKUP(I54,A:F,6,FALSE),H54+4,1),J_ADDDAY(VLOOKUP(I54,A:F,6,FALSE),H54+5,1))))))</f>
        <v>1398/06/07</v>
      </c>
      <c r="E54" s="198">
        <f t="shared" si="15"/>
        <v>13980607</v>
      </c>
      <c r="F54" s="209" t="str">
        <f>IF(N54=0,J_SUBDAY(D54,1,1),IF((N54-(NETWORKDAYS.INTL(J_GregorianDate(D54,1),J_GregorianDate(J_SUBDAY(J_ADDDAY(D54,N54,1),1,1),1),16,1)))+SUMIFS(Holieday[ok],Holieday[date],CONCATENATE("&gt;","=",D54),Holieday[date],CONCATENATE("&lt;","=",J_SUBDAY(J_ADDDAY(D54,N54,1),1,1)))-SUMIFS(Holieday[Friday],Holieday[date],CONCATENATE("&gt;","=",D54),Holieday[date],CONCATENATE("&lt;","=",J_SUBDAY(J_ADDDAY(D54,N54,1),1,1)))=0,J_SUBDAY(J_ADDDAY(D54,N54,1),1,1),IF((N54+1-(NETWORKDAYS.INTL(J_GregorianDate(D54,1),J_GregorianDate(J_SUBDAY(J_ADDDAY(D54,N54+1,1),1,1),1),16,1)))+SUMIFS(Holieday[ok],Holieday[date],CONCATENATE("&gt;","=",D54),Holieday[date],CONCATENATE("&lt;","=",J_SUBDAY(J_ADDDAY(D54,N54+1,1),1,1)))-SUMIFS(Holieday[Friday],Holieday[date],CONCATENATE("&gt;","=",D54),Holieday[date],CONCATENATE("&lt;","=",J_SUBDAY(J_ADDDAY(D54,N54+1,1),1,1)))=1,J_SUBDAY(J_ADDDAY(D54,N54+1,1),1,1),IF((N54+2-(NETWORKDAYS.INTL(J_GregorianDate(D54,1),J_GregorianDate(J_SUBDAY(J_ADDDAY(D54,N54+2,1),1,1),1),16,1)))+SUMIFS(Holieday[ok],Holieday[date],CONCATENATE("&gt;","=",D54),Holieday[date],CONCATENATE("&lt;","=",J_SUBDAY(J_ADDDAY(D54,N54+2,1),1,1)))-SUMIFS(Holieday[Friday],Holieday[date],CONCATENATE("&gt;","=",D54),Holieday[date],CONCATENATE("&lt;","=",J_SUBDAY(J_ADDDAY(D54,N54+2,1),1,1)))=2,J_SUBDAY(J_ADDDAY(D54,N54+2,1),1,1),IF((N54+3-(NETWORKDAYS.INTL(J_GregorianDate(D54,1),J_GregorianDate(J_SUBDAY(J_ADDDAY(D54,N54+3,1),1,1),1),16,1)))+SUMIFS(Holieday[ok],Holieday[date],CONCATENATE("&gt;","=",D54),Holieday[date],CONCATENATE("&lt;","=",J_SUBDAY(J_ADDDAY(D54,N54+3,1),1,1)))-SUMIFS(Holieday[Friday],Holieday[date],CONCATENATE("&gt;","=",D54),Holieday[date],CONCATENATE("&lt;","=",J_SUBDAY(J_ADDDAY(D54,N54+3,1),1,1)))=3,J_SUBDAY(J_ADDDAY(D54,N54+3,1),1,1),IF((N54+4-(NETWORKDAYS.INTL(J_GregorianDate(D54,1),J_GregorianDate(J_SUBDAY(J_ADDDAY(D54,N54+4,1),1,1),1),16,1)))+SUMIFS(Holieday[ok],Holieday[date],CONCATENATE("&gt;","=",D54),Holieday[date],CONCATENATE("&lt;","=",J_SUBDAY(J_ADDDAY(D54,N54+4,1),1,1)))-SUMIFS(Holieday[Friday],Holieday[date],CONCATENATE("&gt;","=",D54),Holieday[date],CONCATENATE("&lt;","=",J_SUBDAY(J_ADDDAY(D54,N54+4,1),1,1)))=4,J_SUBDAY(J_ADDDAY(D54,N54+4,1),1,1),IF((N54+5-(NETWORKDAYS.INTL(J_GregorianDate(D54,1),J_GregorianDate(J_SUBDAY(J_ADDDAY(D54,N54+5,1),1,1),1),16,1)))+SUMIFS(Holieday[ok],Holieday[date],CONCATENATE("&gt;","=",D54),Holieday[date],CONCATENATE("&lt;","=",J_SUBDAY(J_ADDDAY(D54,N54+5,1),1,1)))-SUMIFS(Holieday[Friday],Holieday[date],CONCATENATE("&gt;","=",D54),Holieday[date],CONCATENATE("&lt;","=",J_SUBDAY(J_ADDDAY(D54,N54+5,1),1,1)))=5,J_SUBDAY(J_ADDDAY(D54,N54+5,1),1,1),J_SUBDAY(J_ADDDAY(D54,N54+6,1),1,1))))))))</f>
        <v>1398/06/18</v>
      </c>
      <c r="G54" s="201">
        <f t="shared" si="16"/>
        <v>13980618</v>
      </c>
      <c r="H54" s="121">
        <v>1</v>
      </c>
      <c r="I54" s="122">
        <v>4.2</v>
      </c>
      <c r="J54" s="209" t="str">
        <f>j_WEEKDAY(D54,1)</f>
        <v>پنجشنبه</v>
      </c>
      <c r="K54" s="211">
        <f t="shared" ref="K54:K74" si="18">SUM(JA54:JC54)</f>
        <v>4.1666666666666664E-2</v>
      </c>
      <c r="L54" s="212">
        <f t="shared" ref="L54:L74" si="19">J_DIFF(D54,F54)+1</f>
        <v>12</v>
      </c>
      <c r="M54" s="123">
        <v>1</v>
      </c>
      <c r="N54" s="120">
        <v>10</v>
      </c>
      <c r="O54" s="213">
        <f t="shared" si="17"/>
        <v>12</v>
      </c>
      <c r="P54" s="213">
        <f>VALUE(J_normdate(J_ADDDAY($D54,$O54,1)))</f>
        <v>13980619</v>
      </c>
      <c r="Q54" s="209">
        <f t="shared" si="14"/>
        <v>0</v>
      </c>
      <c r="R54" s="207"/>
      <c r="S54" s="207"/>
      <c r="T54" s="207"/>
      <c r="U54" s="207"/>
      <c r="V54" s="207"/>
      <c r="W54" s="207"/>
      <c r="X54" s="207"/>
      <c r="Y54" s="207"/>
      <c r="Z54" s="207"/>
      <c r="AA54" s="207"/>
      <c r="AB54" s="207"/>
      <c r="AC54" s="207"/>
      <c r="AD54" s="207"/>
      <c r="AE54" s="207"/>
      <c r="AF54" s="207"/>
      <c r="AG54" s="207"/>
      <c r="AH54" s="207"/>
      <c r="AI54" s="207"/>
      <c r="AJ54" s="207"/>
      <c r="AK54" s="207"/>
      <c r="AL54" s="207"/>
      <c r="AM54" s="207"/>
      <c r="AN54" s="207"/>
      <c r="AO54" s="207"/>
      <c r="AP54" s="207"/>
      <c r="AQ54" s="207"/>
      <c r="AR54" s="207"/>
      <c r="AS54" s="207"/>
      <c r="AT54" s="207"/>
      <c r="AU54" s="207"/>
      <c r="AV54" s="207"/>
      <c r="AW54" s="207"/>
      <c r="AX54" s="207"/>
      <c r="AY54" s="207"/>
      <c r="AZ54" s="207"/>
      <c r="BA54" s="207"/>
      <c r="BB54" s="207"/>
      <c r="BC54" s="207"/>
      <c r="BD54" s="207"/>
      <c r="BE54" s="207"/>
      <c r="BF54" s="207"/>
      <c r="BG54" s="207"/>
      <c r="BH54" s="207"/>
      <c r="BI54" s="207"/>
      <c r="BJ54" s="207"/>
      <c r="BK54" s="207"/>
      <c r="BL54" s="207"/>
      <c r="BM54" s="207"/>
      <c r="BN54" s="207"/>
      <c r="BO54" s="207"/>
      <c r="BP54" s="207"/>
      <c r="BQ54" s="207"/>
      <c r="BR54" s="207"/>
      <c r="BS54" s="207"/>
      <c r="BT54" s="207"/>
      <c r="BU54" s="207"/>
      <c r="BV54" s="207"/>
      <c r="BW54" s="207"/>
      <c r="BX54" s="207"/>
      <c r="BY54" s="207"/>
      <c r="BZ54" s="207"/>
      <c r="CA54" s="207"/>
      <c r="CB54" s="207"/>
      <c r="CC54" s="207"/>
      <c r="CD54" s="207"/>
      <c r="CE54" s="207"/>
      <c r="CF54" s="207"/>
      <c r="CG54" s="207"/>
      <c r="CH54" s="207"/>
      <c r="CI54" s="207"/>
      <c r="CJ54" s="207"/>
      <c r="CK54" s="207"/>
      <c r="CL54" s="207"/>
      <c r="CM54" s="207"/>
      <c r="CN54" s="207"/>
      <c r="CO54" s="207"/>
      <c r="CP54" s="207"/>
      <c r="CQ54" s="207"/>
      <c r="CR54" s="207"/>
      <c r="CS54" s="207"/>
      <c r="CT54" s="207"/>
      <c r="CU54" s="207"/>
      <c r="CV54" s="207"/>
      <c r="CW54" s="207"/>
      <c r="CX54" s="207"/>
      <c r="CY54" s="207"/>
      <c r="CZ54" s="207"/>
      <c r="DA54" s="207"/>
      <c r="DB54" s="207"/>
      <c r="DC54" s="207"/>
      <c r="DD54" s="207"/>
      <c r="DE54" s="207"/>
      <c r="DF54" s="207"/>
      <c r="DG54" s="207"/>
      <c r="DH54" s="207"/>
      <c r="DI54" s="207"/>
      <c r="DJ54" s="207"/>
      <c r="DK54" s="207"/>
      <c r="DL54" s="207"/>
      <c r="DM54" s="207"/>
      <c r="DN54" s="207"/>
      <c r="DO54" s="207"/>
      <c r="DP54" s="207"/>
      <c r="DQ54" s="207"/>
      <c r="DR54" s="207"/>
      <c r="DS54" s="207"/>
      <c r="DT54" s="207"/>
      <c r="DU54" s="207"/>
      <c r="DV54" s="207"/>
      <c r="DW54" s="207"/>
      <c r="DX54" s="207"/>
      <c r="DY54" s="207"/>
      <c r="DZ54" s="207"/>
      <c r="EA54" s="207"/>
      <c r="EB54" s="207"/>
      <c r="EC54" s="207"/>
      <c r="ED54" s="207"/>
      <c r="EE54" s="207"/>
      <c r="EF54" s="207"/>
      <c r="EG54" s="207"/>
      <c r="EH54" s="207"/>
      <c r="EI54" s="207"/>
      <c r="EJ54" s="207"/>
      <c r="EK54" s="207"/>
      <c r="EL54" s="207"/>
      <c r="EM54" s="207"/>
      <c r="EN54" s="207"/>
      <c r="EO54" s="207"/>
      <c r="EP54" s="207"/>
      <c r="EQ54" s="207"/>
      <c r="ER54" s="207"/>
      <c r="ES54" s="207"/>
      <c r="ET54" s="207"/>
      <c r="EU54" s="207"/>
      <c r="EV54" s="207"/>
      <c r="EW54" s="207"/>
      <c r="EX54" s="207"/>
      <c r="EY54" s="207"/>
      <c r="EZ54" s="207"/>
      <c r="FA54" s="207"/>
      <c r="FB54" s="207"/>
      <c r="FC54" s="207"/>
      <c r="FD54" s="207"/>
      <c r="FE54" s="207"/>
      <c r="FF54" s="207"/>
      <c r="FG54" s="207"/>
      <c r="FH54" s="207"/>
      <c r="FI54" s="207"/>
      <c r="FJ54" s="207"/>
      <c r="FK54" s="207"/>
      <c r="FL54" s="207"/>
      <c r="FM54" s="207"/>
      <c r="FN54" s="207"/>
      <c r="FO54" s="207"/>
      <c r="FP54" s="207"/>
      <c r="FQ54" s="207"/>
      <c r="FR54" s="207"/>
      <c r="FS54" s="207"/>
      <c r="FT54" s="207"/>
      <c r="FU54" s="207"/>
      <c r="FV54" s="207"/>
      <c r="FW54" s="207"/>
      <c r="FX54" s="207"/>
      <c r="FY54" s="207"/>
      <c r="FZ54" s="207"/>
      <c r="GA54" s="207"/>
      <c r="GB54" s="207"/>
      <c r="GC54" s="207"/>
      <c r="GD54" s="207"/>
      <c r="GE54" s="207"/>
      <c r="GF54" s="207"/>
      <c r="GG54" s="207"/>
      <c r="GH54" s="207"/>
      <c r="GI54" s="207"/>
      <c r="GJ54" s="207"/>
      <c r="GK54" s="207"/>
      <c r="GL54" s="207"/>
      <c r="GM54" s="207"/>
      <c r="GN54" s="207"/>
      <c r="GO54" s="207"/>
      <c r="GP54" s="207"/>
      <c r="GQ54" s="207"/>
      <c r="GR54" s="207"/>
      <c r="GS54" s="207"/>
      <c r="GT54" s="207"/>
      <c r="GU54" s="207"/>
      <c r="GV54" s="207"/>
      <c r="GW54" s="207"/>
      <c r="GX54" s="207"/>
      <c r="GY54" s="207"/>
      <c r="GZ54" s="207"/>
      <c r="HA54" s="207"/>
      <c r="HB54" s="207"/>
      <c r="HC54" s="207"/>
      <c r="HD54" s="207"/>
      <c r="HE54" s="207"/>
      <c r="HF54" s="207"/>
      <c r="HG54" s="207"/>
      <c r="HH54" s="207"/>
      <c r="HI54" s="207"/>
      <c r="HJ54" s="207"/>
      <c r="HK54" s="207"/>
      <c r="HL54" s="207"/>
      <c r="HM54" s="207"/>
      <c r="HN54" s="207"/>
      <c r="HO54" s="207"/>
      <c r="HP54" s="207"/>
      <c r="HQ54" s="207"/>
      <c r="HR54" s="207"/>
      <c r="HS54" s="207"/>
      <c r="HT54" s="207"/>
      <c r="HU54" s="207"/>
      <c r="HV54" s="207"/>
      <c r="HW54" s="207"/>
      <c r="HX54" s="207"/>
      <c r="HY54" s="207"/>
      <c r="HZ54" s="207"/>
      <c r="IA54" s="207"/>
      <c r="IB54" s="207"/>
      <c r="IC54" s="207"/>
      <c r="ID54" s="207"/>
      <c r="IE54" s="207"/>
      <c r="IF54" s="207"/>
      <c r="IG54" s="207"/>
      <c r="IH54" s="207"/>
      <c r="II54" s="207"/>
      <c r="IJ54" s="207"/>
      <c r="IK54" s="207"/>
      <c r="IL54" s="207"/>
      <c r="IM54" s="207"/>
      <c r="IN54" s="207"/>
      <c r="IO54" s="207"/>
      <c r="IP54" s="207"/>
      <c r="IQ54" s="207"/>
      <c r="IR54" s="207"/>
      <c r="IS54" s="207"/>
      <c r="IT54" s="207"/>
      <c r="IU54" s="207"/>
      <c r="IV54" s="207"/>
      <c r="IW54" s="207"/>
      <c r="IX54" s="207"/>
      <c r="IY54" s="32">
        <v>3</v>
      </c>
      <c r="IZ54" s="44">
        <f>(TEXT(K54,"[m]")/60)*VLOOKUP(IY54,'Income Person-hours'!A$2:C$5,3,FALSE)</f>
        <v>0</v>
      </c>
      <c r="JA54" s="124"/>
      <c r="JB54" s="124"/>
      <c r="JC54" s="124">
        <v>4.1666666666666664E-2</v>
      </c>
      <c r="JD54" s="232">
        <f>SUM((TEXT(JA54,"[M]")/60)*'Income Person-hours'!$D$3,(TEXT(JB54,"[M]")/60)*'Income Person-hours'!$D$4,(TEXT(JC54,"[M]")/60)*'Income Person-hours'!$D$5)</f>
        <v>555000</v>
      </c>
    </row>
    <row r="55" spans="1:16384" s="231" customFormat="1" ht="15.75" x14ac:dyDescent="0.45">
      <c r="A55" s="206">
        <v>3.2</v>
      </c>
      <c r="B55" s="118" t="s">
        <v>120</v>
      </c>
      <c r="C55" s="119" t="s">
        <v>157</v>
      </c>
      <c r="D55" s="208" t="str">
        <f>IF(OR(j_WEEKDAY(J_ADDDAY(VLOOKUP(I55,A:F,6,FALSE),H55,1),0)=6,SUMIFS(Holieday[ok],Holieday[date],J_ADDDAY(VLOOKUP(I55,A:F,6,FALSE),H55,1)))=FALSE(),J_ADDDAY(VLOOKUP(I55,A:F,6,FALSE),H55,1),IF(OR(j_WEEKDAY(J_ADDDAY(VLOOKUP(I55,A:F,6,FALSE),H55+1,1),0)=6,SUMIFS(Holieday[ok],Holieday[date],J_ADDDAY(VLOOKUP(I55,A:F,6,FALSE),H55+1,1)))=FALSE(),J_ADDDAY(VLOOKUP(I55,A:F,6,FALSE),H55+1,1),IF(OR(j_WEEKDAY(J_ADDDAY(VLOOKUP(I55,A:F,6,FALSE),H55+2,1),0)=6,SUMIFS(Holieday[ok],Holieday[date],J_ADDDAY(VLOOKUP(I55,A:F,6,FALSE),H55+2,1)))=FALSE(),J_ADDDAY(VLOOKUP(I55,A:F,6,FALSE),H55+2,1),IF(OR(j_WEEKDAY(J_ADDDAY(VLOOKUP(I55,A:F,6,FALSE),H55+3,1),0)=6,SUMIFS(Holieday[ok],Holieday[date],J_ADDDAY(VLOOKUP(I55,A:F,6,FALSE),H55+3,1)))=FALSE(),J_ADDDAY(VLOOKUP(I55,A:F,6,FALSE),H55+3,1),IF(OR(j_WEEKDAY(J_ADDDAY(VLOOKUP(I55,A:F,6,FALSE),H55+4,1),0)=6,SUMIFS(Holieday[ok],Holieday[date],J_ADDDAY(VLOOKUP(I55,A:F,6,FALSE),H55+4,1)))=FALSE(),J_ADDDAY(VLOOKUP(I55,A:F,6,FALSE),H55+4,1),J_ADDDAY(VLOOKUP(I55,A:F,6,FALSE),H55+5,1))))))</f>
        <v>1398/06/20</v>
      </c>
      <c r="E55" s="198">
        <f t="shared" si="15"/>
        <v>13980620</v>
      </c>
      <c r="F55" s="209" t="str">
        <f>IF(N55=0,J_SUBDAY(D55,1,1),IF((N55-(NETWORKDAYS.INTL(J_GregorianDate(D55,1),J_GregorianDate(J_SUBDAY(J_ADDDAY(D55,N55,1),1,1),1),16,1)))+SUMIFS(Holieday[ok],Holieday[date],CONCATENATE("&gt;","=",D55),Holieday[date],CONCATENATE("&lt;","=",J_SUBDAY(J_ADDDAY(D55,N55,1),1,1)))-SUMIFS(Holieday[Friday],Holieday[date],CONCATENATE("&gt;","=",D55),Holieday[date],CONCATENATE("&lt;","=",J_SUBDAY(J_ADDDAY(D55,N55,1),1,1)))=0,J_SUBDAY(J_ADDDAY(D55,N55,1),1,1),IF((N55+1-(NETWORKDAYS.INTL(J_GregorianDate(D55,1),J_GregorianDate(J_SUBDAY(J_ADDDAY(D55,N55+1,1),1,1),1),16,1)))+SUMIFS(Holieday[ok],Holieday[date],CONCATENATE("&gt;","=",D55),Holieday[date],CONCATENATE("&lt;","=",J_SUBDAY(J_ADDDAY(D55,N55+1,1),1,1)))-SUMIFS(Holieday[Friday],Holieday[date],CONCATENATE("&gt;","=",D55),Holieday[date],CONCATENATE("&lt;","=",J_SUBDAY(J_ADDDAY(D55,N55+1,1),1,1)))=1,J_SUBDAY(J_ADDDAY(D55,N55+1,1),1,1),IF((N55+2-(NETWORKDAYS.INTL(J_GregorianDate(D55,1),J_GregorianDate(J_SUBDAY(J_ADDDAY(D55,N55+2,1),1,1),1),16,1)))+SUMIFS(Holieday[ok],Holieday[date],CONCATENATE("&gt;","=",D55),Holieday[date],CONCATENATE("&lt;","=",J_SUBDAY(J_ADDDAY(D55,N55+2,1),1,1)))-SUMIFS(Holieday[Friday],Holieday[date],CONCATENATE("&gt;","=",D55),Holieday[date],CONCATENATE("&lt;","=",J_SUBDAY(J_ADDDAY(D55,N55+2,1),1,1)))=2,J_SUBDAY(J_ADDDAY(D55,N55+2,1),1,1),IF((N55+3-(NETWORKDAYS.INTL(J_GregorianDate(D55,1),J_GregorianDate(J_SUBDAY(J_ADDDAY(D55,N55+3,1),1,1),1),16,1)))+SUMIFS(Holieday[ok],Holieday[date],CONCATENATE("&gt;","=",D55),Holieday[date],CONCATENATE("&lt;","=",J_SUBDAY(J_ADDDAY(D55,N55+3,1),1,1)))-SUMIFS(Holieday[Friday],Holieday[date],CONCATENATE("&gt;","=",D55),Holieday[date],CONCATENATE("&lt;","=",J_SUBDAY(J_ADDDAY(D55,N55+3,1),1,1)))=3,J_SUBDAY(J_ADDDAY(D55,N55+3,1),1,1),IF((N55+4-(NETWORKDAYS.INTL(J_GregorianDate(D55,1),J_GregorianDate(J_SUBDAY(J_ADDDAY(D55,N55+4,1),1,1),1),16,1)))+SUMIFS(Holieday[ok],Holieday[date],CONCATENATE("&gt;","=",D55),Holieday[date],CONCATENATE("&lt;","=",J_SUBDAY(J_ADDDAY(D55,N55+4,1),1,1)))-SUMIFS(Holieday[Friday],Holieday[date],CONCATENATE("&gt;","=",D55),Holieday[date],CONCATENATE("&lt;","=",J_SUBDAY(J_ADDDAY(D55,N55+4,1),1,1)))=4,J_SUBDAY(J_ADDDAY(D55,N55+4,1),1,1),IF((N55+5-(NETWORKDAYS.INTL(J_GregorianDate(D55,1),J_GregorianDate(J_SUBDAY(J_ADDDAY(D55,N55+5,1),1,1),1),16,1)))+SUMIFS(Holieday[ok],Holieday[date],CONCATENATE("&gt;","=",D55),Holieday[date],CONCATENATE("&lt;","=",J_SUBDAY(J_ADDDAY(D55,N55+5,1),1,1)))-SUMIFS(Holieday[Friday],Holieday[date],CONCATENATE("&gt;","=",D55),Holieday[date],CONCATENATE("&lt;","=",J_SUBDAY(J_ADDDAY(D55,N55+5,1),1,1)))=5,J_SUBDAY(J_ADDDAY(D55,N55+5,1),1,1),J_SUBDAY(J_ADDDAY(D55,N55+6,1),1,1))))))))</f>
        <v>1398/06/21</v>
      </c>
      <c r="G55" s="201">
        <f t="shared" si="16"/>
        <v>13980621</v>
      </c>
      <c r="H55" s="121">
        <v>2</v>
      </c>
      <c r="I55" s="122">
        <v>3.1</v>
      </c>
      <c r="J55" s="209" t="str">
        <f>j_WEEKDAY(D55,1)</f>
        <v>چهارشنبه</v>
      </c>
      <c r="K55" s="211">
        <f t="shared" si="18"/>
        <v>0</v>
      </c>
      <c r="L55" s="212">
        <f t="shared" si="19"/>
        <v>2</v>
      </c>
      <c r="M55" s="123">
        <v>1</v>
      </c>
      <c r="N55" s="120">
        <v>2</v>
      </c>
      <c r="O55" s="213">
        <f t="shared" si="17"/>
        <v>2</v>
      </c>
      <c r="P55" s="213">
        <f>VALUE(J_normdate(J_ADDDAY($D55,$O55,1)))</f>
        <v>13980622</v>
      </c>
      <c r="Q55" s="209">
        <f t="shared" si="14"/>
        <v>0</v>
      </c>
      <c r="R55" s="207"/>
      <c r="S55" s="207"/>
      <c r="T55" s="207"/>
      <c r="U55" s="207"/>
      <c r="V55" s="207"/>
      <c r="W55" s="207"/>
      <c r="X55" s="207"/>
      <c r="Y55" s="207"/>
      <c r="Z55" s="207"/>
      <c r="AA55" s="207"/>
      <c r="AB55" s="207"/>
      <c r="AC55" s="207"/>
      <c r="AD55" s="207"/>
      <c r="AE55" s="207"/>
      <c r="AF55" s="207"/>
      <c r="AG55" s="207"/>
      <c r="AH55" s="207"/>
      <c r="AI55" s="207"/>
      <c r="AJ55" s="207"/>
      <c r="AK55" s="207"/>
      <c r="AL55" s="207"/>
      <c r="AM55" s="207"/>
      <c r="AN55" s="207"/>
      <c r="AO55" s="207"/>
      <c r="AP55" s="207"/>
      <c r="AQ55" s="207"/>
      <c r="AR55" s="207"/>
      <c r="AS55" s="207"/>
      <c r="AT55" s="207"/>
      <c r="AU55" s="207"/>
      <c r="AV55" s="207"/>
      <c r="AW55" s="207"/>
      <c r="AX55" s="207"/>
      <c r="AY55" s="207"/>
      <c r="AZ55" s="207"/>
      <c r="BA55" s="207"/>
      <c r="BB55" s="207"/>
      <c r="BC55" s="207"/>
      <c r="BD55" s="207"/>
      <c r="BE55" s="207"/>
      <c r="BF55" s="207"/>
      <c r="BG55" s="207"/>
      <c r="BH55" s="207"/>
      <c r="BI55" s="207"/>
      <c r="BJ55" s="207"/>
      <c r="BK55" s="207"/>
      <c r="BL55" s="207"/>
      <c r="BM55" s="207"/>
      <c r="BN55" s="207"/>
      <c r="BO55" s="207"/>
      <c r="BP55" s="207"/>
      <c r="BQ55" s="207"/>
      <c r="BR55" s="207"/>
      <c r="BS55" s="207"/>
      <c r="BT55" s="207"/>
      <c r="BU55" s="207"/>
      <c r="BV55" s="207"/>
      <c r="BW55" s="207"/>
      <c r="BX55" s="207"/>
      <c r="BY55" s="207"/>
      <c r="BZ55" s="207"/>
      <c r="CA55" s="207"/>
      <c r="CB55" s="207"/>
      <c r="CC55" s="207"/>
      <c r="CD55" s="207"/>
      <c r="CE55" s="207"/>
      <c r="CF55" s="207"/>
      <c r="CG55" s="207"/>
      <c r="CH55" s="207"/>
      <c r="CI55" s="207"/>
      <c r="CJ55" s="207"/>
      <c r="CK55" s="207"/>
      <c r="CL55" s="207"/>
      <c r="CM55" s="207"/>
      <c r="CN55" s="207"/>
      <c r="CO55" s="207"/>
      <c r="CP55" s="207"/>
      <c r="CQ55" s="207"/>
      <c r="CR55" s="207"/>
      <c r="CS55" s="207"/>
      <c r="CT55" s="207"/>
      <c r="CU55" s="207"/>
      <c r="CV55" s="207"/>
      <c r="CW55" s="207"/>
      <c r="CX55" s="207"/>
      <c r="CY55" s="207"/>
      <c r="CZ55" s="207"/>
      <c r="DA55" s="207"/>
      <c r="DB55" s="207"/>
      <c r="DC55" s="207"/>
      <c r="DD55" s="207"/>
      <c r="DE55" s="207"/>
      <c r="DF55" s="207"/>
      <c r="DG55" s="207"/>
      <c r="DH55" s="207"/>
      <c r="DI55" s="207"/>
      <c r="DJ55" s="207"/>
      <c r="DK55" s="207"/>
      <c r="DL55" s="207"/>
      <c r="DM55" s="207"/>
      <c r="DN55" s="207"/>
      <c r="DO55" s="207"/>
      <c r="DP55" s="207"/>
      <c r="DQ55" s="207"/>
      <c r="DR55" s="207"/>
      <c r="DS55" s="207"/>
      <c r="DT55" s="207"/>
      <c r="DU55" s="207"/>
      <c r="DV55" s="207"/>
      <c r="DW55" s="207"/>
      <c r="DX55" s="207"/>
      <c r="DY55" s="207"/>
      <c r="DZ55" s="207"/>
      <c r="EA55" s="207"/>
      <c r="EB55" s="207"/>
      <c r="EC55" s="207"/>
      <c r="ED55" s="207"/>
      <c r="EE55" s="207"/>
      <c r="EF55" s="207"/>
      <c r="EG55" s="207"/>
      <c r="EH55" s="207"/>
      <c r="EI55" s="207"/>
      <c r="EJ55" s="207"/>
      <c r="EK55" s="207"/>
      <c r="EL55" s="207"/>
      <c r="EM55" s="207"/>
      <c r="EN55" s="207"/>
      <c r="EO55" s="207"/>
      <c r="EP55" s="207"/>
      <c r="EQ55" s="207"/>
      <c r="ER55" s="207"/>
      <c r="ES55" s="207"/>
      <c r="ET55" s="207"/>
      <c r="EU55" s="207"/>
      <c r="EV55" s="207"/>
      <c r="EW55" s="207"/>
      <c r="EX55" s="207"/>
      <c r="EY55" s="207"/>
      <c r="EZ55" s="207"/>
      <c r="FA55" s="207"/>
      <c r="FB55" s="207"/>
      <c r="FC55" s="207"/>
      <c r="FD55" s="207"/>
      <c r="FE55" s="207"/>
      <c r="FF55" s="207"/>
      <c r="FG55" s="207"/>
      <c r="FH55" s="207"/>
      <c r="FI55" s="207"/>
      <c r="FJ55" s="207"/>
      <c r="FK55" s="207"/>
      <c r="FL55" s="207"/>
      <c r="FM55" s="207"/>
      <c r="FN55" s="207"/>
      <c r="FO55" s="207"/>
      <c r="FP55" s="207"/>
      <c r="FQ55" s="207"/>
      <c r="FR55" s="207"/>
      <c r="FS55" s="207"/>
      <c r="FT55" s="207"/>
      <c r="FU55" s="207"/>
      <c r="FV55" s="207"/>
      <c r="FW55" s="207"/>
      <c r="FX55" s="207"/>
      <c r="FY55" s="207"/>
      <c r="FZ55" s="207"/>
      <c r="GA55" s="207"/>
      <c r="GB55" s="207"/>
      <c r="GC55" s="207"/>
      <c r="GD55" s="207"/>
      <c r="GE55" s="207"/>
      <c r="GF55" s="207"/>
      <c r="GG55" s="207"/>
      <c r="GH55" s="207"/>
      <c r="GI55" s="207"/>
      <c r="GJ55" s="207"/>
      <c r="GK55" s="207"/>
      <c r="GL55" s="207"/>
      <c r="GM55" s="207"/>
      <c r="GN55" s="207"/>
      <c r="GO55" s="207"/>
      <c r="GP55" s="207"/>
      <c r="GQ55" s="207"/>
      <c r="GR55" s="207"/>
      <c r="GS55" s="207"/>
      <c r="GT55" s="207"/>
      <c r="GU55" s="207"/>
      <c r="GV55" s="207"/>
      <c r="GW55" s="207"/>
      <c r="GX55" s="207"/>
      <c r="GY55" s="207"/>
      <c r="GZ55" s="207"/>
      <c r="HA55" s="207"/>
      <c r="HB55" s="207"/>
      <c r="HC55" s="207"/>
      <c r="HD55" s="207"/>
      <c r="HE55" s="207"/>
      <c r="HF55" s="207"/>
      <c r="HG55" s="207"/>
      <c r="HH55" s="207"/>
      <c r="HI55" s="207"/>
      <c r="HJ55" s="207"/>
      <c r="HK55" s="207"/>
      <c r="HL55" s="207"/>
      <c r="HM55" s="207"/>
      <c r="HN55" s="207"/>
      <c r="HO55" s="207"/>
      <c r="HP55" s="207"/>
      <c r="HQ55" s="207"/>
      <c r="HR55" s="207"/>
      <c r="HS55" s="207"/>
      <c r="HT55" s="207"/>
      <c r="HU55" s="207"/>
      <c r="HV55" s="207"/>
      <c r="HW55" s="207"/>
      <c r="HX55" s="207"/>
      <c r="HY55" s="207"/>
      <c r="HZ55" s="207"/>
      <c r="IA55" s="207"/>
      <c r="IB55" s="207"/>
      <c r="IC55" s="207"/>
      <c r="ID55" s="207"/>
      <c r="IE55" s="207"/>
      <c r="IF55" s="207"/>
      <c r="IG55" s="207"/>
      <c r="IH55" s="207"/>
      <c r="II55" s="207"/>
      <c r="IJ55" s="207"/>
      <c r="IK55" s="207"/>
      <c r="IL55" s="207"/>
      <c r="IM55" s="207"/>
      <c r="IN55" s="207"/>
      <c r="IO55" s="207"/>
      <c r="IP55" s="207"/>
      <c r="IQ55" s="207"/>
      <c r="IR55" s="207"/>
      <c r="IS55" s="207"/>
      <c r="IT55" s="207"/>
      <c r="IU55" s="207"/>
      <c r="IV55" s="207"/>
      <c r="IW55" s="207"/>
      <c r="IX55" s="207"/>
      <c r="IY55" s="32">
        <v>3</v>
      </c>
      <c r="IZ55" s="44">
        <f>(TEXT(K55,"[m]")/60)*VLOOKUP(IY55,'Income Person-hours'!A$2:C$5,3,FALSE)</f>
        <v>0</v>
      </c>
      <c r="JA55" s="124"/>
      <c r="JB55" s="124"/>
      <c r="JC55" s="124"/>
      <c r="JD55" s="232">
        <f>SUM((TEXT(JA55,"[M]")/60)*'Income Person-hours'!$D$3,(TEXT(JB55,"[M]")/60)*'Income Person-hours'!$D$4,(TEXT(JC55,"[M]")/60)*'Income Person-hours'!$D$5)</f>
        <v>0</v>
      </c>
    </row>
    <row r="56" spans="1:16384" s="231" customFormat="1" ht="15.75" x14ac:dyDescent="0.45">
      <c r="A56" s="206">
        <v>3.3</v>
      </c>
      <c r="B56" s="118" t="s">
        <v>189</v>
      </c>
      <c r="C56" s="119" t="s">
        <v>158</v>
      </c>
      <c r="D56" s="208" t="str">
        <f>IF(OR(j_WEEKDAY(J_ADDDAY(VLOOKUP(I56,A:F,6,FALSE),H56,1),0)=6,SUMIFS(Holieday[ok],Holieday[date],J_ADDDAY(VLOOKUP(I56,A:F,6,FALSE),H56,1)))=FALSE(),J_ADDDAY(VLOOKUP(I56,A:F,6,FALSE),H56,1),IF(OR(j_WEEKDAY(J_ADDDAY(VLOOKUP(I56,A:F,6,FALSE),H56+1,1),0)=6,SUMIFS(Holieday[ok],Holieday[date],J_ADDDAY(VLOOKUP(I56,A:F,6,FALSE),H56+1,1)))=FALSE(),J_ADDDAY(VLOOKUP(I56,A:F,6,FALSE),H56+1,1),IF(OR(j_WEEKDAY(J_ADDDAY(VLOOKUP(I56,A:F,6,FALSE),H56+2,1),0)=6,SUMIFS(Holieday[ok],Holieday[date],J_ADDDAY(VLOOKUP(I56,A:F,6,FALSE),H56+2,1)))=FALSE(),J_ADDDAY(VLOOKUP(I56,A:F,6,FALSE),H56+2,1),IF(OR(j_WEEKDAY(J_ADDDAY(VLOOKUP(I56,A:F,6,FALSE),H56+3,1),0)=6,SUMIFS(Holieday[ok],Holieday[date],J_ADDDAY(VLOOKUP(I56,A:F,6,FALSE),H56+3,1)))=FALSE(),J_ADDDAY(VLOOKUP(I56,A:F,6,FALSE),H56+3,1),IF(OR(j_WEEKDAY(J_ADDDAY(VLOOKUP(I56,A:F,6,FALSE),H56+4,1),0)=6,SUMIFS(Holieday[ok],Holieday[date],J_ADDDAY(VLOOKUP(I56,A:F,6,FALSE),H56+4,1)))=FALSE(),J_ADDDAY(VLOOKUP(I56,A:F,6,FALSE),H56+4,1),J_ADDDAY(VLOOKUP(I56,A:F,6,FALSE),H56+5,1))))))</f>
        <v>1398/06/23</v>
      </c>
      <c r="E56" s="198">
        <f t="shared" si="15"/>
        <v>13980623</v>
      </c>
      <c r="F56" s="209" t="str">
        <f>IF(N56=0,J_SUBDAY(D56,1,1),IF((N56-(NETWORKDAYS.INTL(J_GregorianDate(D56,1),J_GregorianDate(J_SUBDAY(J_ADDDAY(D56,N56,1),1,1),1),16,1)))+SUMIFS(Holieday[ok],Holieday[date],CONCATENATE("&gt;","=",D56),Holieday[date],CONCATENATE("&lt;","=",J_SUBDAY(J_ADDDAY(D56,N56,1),1,1)))-SUMIFS(Holieday[Friday],Holieday[date],CONCATENATE("&gt;","=",D56),Holieday[date],CONCATENATE("&lt;","=",J_SUBDAY(J_ADDDAY(D56,N56,1),1,1)))=0,J_SUBDAY(J_ADDDAY(D56,N56,1),1,1),IF((N56+1-(NETWORKDAYS.INTL(J_GregorianDate(D56,1),J_GregorianDate(J_SUBDAY(J_ADDDAY(D56,N56+1,1),1,1),1),16,1)))+SUMIFS(Holieday[ok],Holieday[date],CONCATENATE("&gt;","=",D56),Holieday[date],CONCATENATE("&lt;","=",J_SUBDAY(J_ADDDAY(D56,N56+1,1),1,1)))-SUMIFS(Holieday[Friday],Holieday[date],CONCATENATE("&gt;","=",D56),Holieday[date],CONCATENATE("&lt;","=",J_SUBDAY(J_ADDDAY(D56,N56+1,1),1,1)))=1,J_SUBDAY(J_ADDDAY(D56,N56+1,1),1,1),IF((N56+2-(NETWORKDAYS.INTL(J_GregorianDate(D56,1),J_GregorianDate(J_SUBDAY(J_ADDDAY(D56,N56+2,1),1,1),1),16,1)))+SUMIFS(Holieday[ok],Holieday[date],CONCATENATE("&gt;","=",D56),Holieday[date],CONCATENATE("&lt;","=",J_SUBDAY(J_ADDDAY(D56,N56+2,1),1,1)))-SUMIFS(Holieday[Friday],Holieday[date],CONCATENATE("&gt;","=",D56),Holieday[date],CONCATENATE("&lt;","=",J_SUBDAY(J_ADDDAY(D56,N56+2,1),1,1)))=2,J_SUBDAY(J_ADDDAY(D56,N56+2,1),1,1),IF((N56+3-(NETWORKDAYS.INTL(J_GregorianDate(D56,1),J_GregorianDate(J_SUBDAY(J_ADDDAY(D56,N56+3,1),1,1),1),16,1)))+SUMIFS(Holieday[ok],Holieday[date],CONCATENATE("&gt;","=",D56),Holieday[date],CONCATENATE("&lt;","=",J_SUBDAY(J_ADDDAY(D56,N56+3,1),1,1)))-SUMIFS(Holieday[Friday],Holieday[date],CONCATENATE("&gt;","=",D56),Holieday[date],CONCATENATE("&lt;","=",J_SUBDAY(J_ADDDAY(D56,N56+3,1),1,1)))=3,J_SUBDAY(J_ADDDAY(D56,N56+3,1),1,1),IF((N56+4-(NETWORKDAYS.INTL(J_GregorianDate(D56,1),J_GregorianDate(J_SUBDAY(J_ADDDAY(D56,N56+4,1),1,1),1),16,1)))+SUMIFS(Holieday[ok],Holieday[date],CONCATENATE("&gt;","=",D56),Holieday[date],CONCATENATE("&lt;","=",J_SUBDAY(J_ADDDAY(D56,N56+4,1),1,1)))-SUMIFS(Holieday[Friday],Holieday[date],CONCATENATE("&gt;","=",D56),Holieday[date],CONCATENATE("&lt;","=",J_SUBDAY(J_ADDDAY(D56,N56+4,1),1,1)))=4,J_SUBDAY(J_ADDDAY(D56,N56+4,1),1,1),IF((N56+5-(NETWORKDAYS.INTL(J_GregorianDate(D56,1),J_GregorianDate(J_SUBDAY(J_ADDDAY(D56,N56+5,1),1,1),1),16,1)))+SUMIFS(Holieday[ok],Holieday[date],CONCATENATE("&gt;","=",D56),Holieday[date],CONCATENATE("&lt;","=",J_SUBDAY(J_ADDDAY(D56,N56+5,1),1,1)))-SUMIFS(Holieday[Friday],Holieday[date],CONCATENATE("&gt;","=",D56),Holieday[date],CONCATENATE("&lt;","=",J_SUBDAY(J_ADDDAY(D56,N56+5,1),1,1)))=5,J_SUBDAY(J_ADDDAY(D56,N56+5,1),1,1),J_SUBDAY(J_ADDDAY(D56,N56+6,1),1,1))))))))</f>
        <v>1398/07/25</v>
      </c>
      <c r="G56" s="201">
        <f t="shared" si="16"/>
        <v>13980725</v>
      </c>
      <c r="H56" s="121">
        <v>2</v>
      </c>
      <c r="I56" s="122">
        <v>3.2</v>
      </c>
      <c r="J56" s="209" t="str">
        <f>j_WEEKDAY(D56,1)</f>
        <v>شنبه</v>
      </c>
      <c r="K56" s="211">
        <f t="shared" si="18"/>
        <v>0</v>
      </c>
      <c r="L56" s="212">
        <v>30</v>
      </c>
      <c r="M56" s="123">
        <v>0.9</v>
      </c>
      <c r="N56" s="120">
        <v>30</v>
      </c>
      <c r="O56" s="213">
        <f t="shared" si="17"/>
        <v>27</v>
      </c>
      <c r="P56" s="213">
        <f>VALUE(J_normdate(J_ADDDAY($D56,$O56,1)))</f>
        <v>13980719</v>
      </c>
      <c r="Q56" s="209">
        <f t="shared" si="14"/>
        <v>3</v>
      </c>
      <c r="R56" s="207"/>
      <c r="S56" s="207"/>
      <c r="T56" s="207"/>
      <c r="U56" s="207"/>
      <c r="V56" s="207"/>
      <c r="W56" s="207"/>
      <c r="X56" s="207"/>
      <c r="Y56" s="207"/>
      <c r="Z56" s="207"/>
      <c r="AA56" s="207"/>
      <c r="AB56" s="207"/>
      <c r="AC56" s="207"/>
      <c r="AD56" s="207"/>
      <c r="AE56" s="207"/>
      <c r="AF56" s="207"/>
      <c r="AG56" s="207"/>
      <c r="AH56" s="207"/>
      <c r="AI56" s="207"/>
      <c r="AJ56" s="207"/>
      <c r="AK56" s="207"/>
      <c r="AL56" s="207"/>
      <c r="AM56" s="207"/>
      <c r="AN56" s="207"/>
      <c r="AO56" s="207"/>
      <c r="AP56" s="207"/>
      <c r="AQ56" s="207"/>
      <c r="AR56" s="207"/>
      <c r="AS56" s="207"/>
      <c r="AT56" s="207"/>
      <c r="AU56" s="207"/>
      <c r="AV56" s="207"/>
      <c r="AW56" s="207"/>
      <c r="AX56" s="207"/>
      <c r="AY56" s="207"/>
      <c r="AZ56" s="207"/>
      <c r="BA56" s="207"/>
      <c r="BB56" s="207"/>
      <c r="BC56" s="207"/>
      <c r="BD56" s="207"/>
      <c r="BE56" s="207"/>
      <c r="BF56" s="207"/>
      <c r="BG56" s="207"/>
      <c r="BH56" s="207"/>
      <c r="BI56" s="207"/>
      <c r="BJ56" s="207"/>
      <c r="BK56" s="207"/>
      <c r="BL56" s="207"/>
      <c r="BM56" s="207"/>
      <c r="BN56" s="207"/>
      <c r="BO56" s="207"/>
      <c r="BP56" s="207"/>
      <c r="BQ56" s="207"/>
      <c r="BR56" s="207"/>
      <c r="BS56" s="207"/>
      <c r="BT56" s="207"/>
      <c r="BU56" s="207"/>
      <c r="BV56" s="207"/>
      <c r="BW56" s="207"/>
      <c r="BX56" s="207"/>
      <c r="BY56" s="207"/>
      <c r="BZ56" s="207"/>
      <c r="CA56" s="207"/>
      <c r="CB56" s="207"/>
      <c r="CC56" s="207"/>
      <c r="CD56" s="207"/>
      <c r="CE56" s="207"/>
      <c r="CF56" s="207"/>
      <c r="CG56" s="207"/>
      <c r="CH56" s="207"/>
      <c r="CI56" s="207"/>
      <c r="CJ56" s="207"/>
      <c r="CK56" s="207"/>
      <c r="CL56" s="207"/>
      <c r="CM56" s="207"/>
      <c r="CN56" s="207"/>
      <c r="CO56" s="207"/>
      <c r="CP56" s="207"/>
      <c r="CQ56" s="207"/>
      <c r="CR56" s="207"/>
      <c r="CS56" s="207"/>
      <c r="CT56" s="207"/>
      <c r="CU56" s="207"/>
      <c r="CV56" s="207"/>
      <c r="CW56" s="207"/>
      <c r="CX56" s="207"/>
      <c r="CY56" s="207"/>
      <c r="CZ56" s="207"/>
      <c r="DA56" s="207"/>
      <c r="DB56" s="207"/>
      <c r="DC56" s="207"/>
      <c r="DD56" s="207"/>
      <c r="DE56" s="207"/>
      <c r="DF56" s="207"/>
      <c r="DG56" s="207"/>
      <c r="DH56" s="207"/>
      <c r="DI56" s="207"/>
      <c r="DJ56" s="207"/>
      <c r="DK56" s="207"/>
      <c r="DL56" s="207"/>
      <c r="DM56" s="207"/>
      <c r="DN56" s="207"/>
      <c r="DO56" s="207"/>
      <c r="DP56" s="207"/>
      <c r="DQ56" s="207"/>
      <c r="DR56" s="207"/>
      <c r="DS56" s="207"/>
      <c r="DT56" s="207"/>
      <c r="DU56" s="207"/>
      <c r="DV56" s="207"/>
      <c r="DW56" s="207"/>
      <c r="DX56" s="207"/>
      <c r="DY56" s="207"/>
      <c r="DZ56" s="207"/>
      <c r="EA56" s="207"/>
      <c r="EB56" s="207"/>
      <c r="EC56" s="207"/>
      <c r="ED56" s="207"/>
      <c r="EE56" s="207"/>
      <c r="EF56" s="207"/>
      <c r="EG56" s="207"/>
      <c r="EH56" s="207"/>
      <c r="EI56" s="207"/>
      <c r="EJ56" s="207"/>
      <c r="EK56" s="207"/>
      <c r="EL56" s="207"/>
      <c r="EM56" s="207"/>
      <c r="EN56" s="207"/>
      <c r="EO56" s="207"/>
      <c r="EP56" s="207"/>
      <c r="EQ56" s="207"/>
      <c r="ER56" s="207"/>
      <c r="ES56" s="207"/>
      <c r="ET56" s="207"/>
      <c r="EU56" s="207"/>
      <c r="EV56" s="207"/>
      <c r="EW56" s="207"/>
      <c r="EX56" s="207"/>
      <c r="EY56" s="207"/>
      <c r="EZ56" s="207"/>
      <c r="FA56" s="207"/>
      <c r="FB56" s="207"/>
      <c r="FC56" s="207"/>
      <c r="FD56" s="207"/>
      <c r="FE56" s="207"/>
      <c r="FF56" s="207"/>
      <c r="FG56" s="207"/>
      <c r="FH56" s="207"/>
      <c r="FI56" s="207"/>
      <c r="FJ56" s="207"/>
      <c r="FK56" s="207"/>
      <c r="FL56" s="207"/>
      <c r="FM56" s="207"/>
      <c r="FN56" s="207"/>
      <c r="FO56" s="207"/>
      <c r="FP56" s="207"/>
      <c r="FQ56" s="207"/>
      <c r="FR56" s="207"/>
      <c r="FS56" s="207"/>
      <c r="FT56" s="207"/>
      <c r="FU56" s="207"/>
      <c r="FV56" s="207"/>
      <c r="FW56" s="207"/>
      <c r="FX56" s="207"/>
      <c r="FY56" s="207"/>
      <c r="FZ56" s="207"/>
      <c r="GA56" s="207"/>
      <c r="GB56" s="207"/>
      <c r="GC56" s="207"/>
      <c r="GD56" s="207"/>
      <c r="GE56" s="207"/>
      <c r="GF56" s="207"/>
      <c r="GG56" s="207"/>
      <c r="GH56" s="207"/>
      <c r="GI56" s="207"/>
      <c r="GJ56" s="207"/>
      <c r="GK56" s="207"/>
      <c r="GL56" s="207"/>
      <c r="GM56" s="207"/>
      <c r="GN56" s="207"/>
      <c r="GO56" s="207"/>
      <c r="GP56" s="207"/>
      <c r="GQ56" s="207"/>
      <c r="GR56" s="207"/>
      <c r="GS56" s="207"/>
      <c r="GT56" s="207"/>
      <c r="GU56" s="207"/>
      <c r="GV56" s="207"/>
      <c r="GW56" s="207"/>
      <c r="GX56" s="207"/>
      <c r="GY56" s="207"/>
      <c r="GZ56" s="207"/>
      <c r="HA56" s="207"/>
      <c r="HB56" s="207"/>
      <c r="HC56" s="207"/>
      <c r="HD56" s="207"/>
      <c r="HE56" s="207"/>
      <c r="HF56" s="207"/>
      <c r="HG56" s="207"/>
      <c r="HH56" s="207"/>
      <c r="HI56" s="207"/>
      <c r="HJ56" s="207"/>
      <c r="HK56" s="207"/>
      <c r="HL56" s="207"/>
      <c r="HM56" s="207"/>
      <c r="HN56" s="207"/>
      <c r="HO56" s="207"/>
      <c r="HP56" s="207"/>
      <c r="HQ56" s="207"/>
      <c r="HR56" s="207"/>
      <c r="HS56" s="207"/>
      <c r="HT56" s="207"/>
      <c r="HU56" s="207"/>
      <c r="HV56" s="207"/>
      <c r="HW56" s="207"/>
      <c r="HX56" s="207"/>
      <c r="HY56" s="207"/>
      <c r="HZ56" s="207"/>
      <c r="IA56" s="207"/>
      <c r="IB56" s="207"/>
      <c r="IC56" s="207"/>
      <c r="ID56" s="207"/>
      <c r="IE56" s="207"/>
      <c r="IF56" s="207"/>
      <c r="IG56" s="207"/>
      <c r="IH56" s="207"/>
      <c r="II56" s="207"/>
      <c r="IJ56" s="207"/>
      <c r="IK56" s="207"/>
      <c r="IL56" s="207"/>
      <c r="IM56" s="207"/>
      <c r="IN56" s="207"/>
      <c r="IO56" s="207"/>
      <c r="IP56" s="207"/>
      <c r="IQ56" s="207"/>
      <c r="IR56" s="207"/>
      <c r="IS56" s="207"/>
      <c r="IT56" s="207"/>
      <c r="IU56" s="207"/>
      <c r="IV56" s="207"/>
      <c r="IW56" s="207"/>
      <c r="IX56" s="207"/>
      <c r="IY56" s="32">
        <v>3</v>
      </c>
      <c r="IZ56" s="44">
        <f>(TEXT(K56,"[m]")/60)*VLOOKUP(IY56,'Income Person-hours'!A$2:C$5,3,FALSE)</f>
        <v>0</v>
      </c>
      <c r="JA56" s="124"/>
      <c r="JB56" s="124"/>
      <c r="JC56" s="124"/>
      <c r="JD56" s="232">
        <f>SUM((TEXT(JA56,"[M]")/60)*'Income Person-hours'!$D$3,(TEXT(JB56,"[M]")/60)*'Income Person-hours'!$D$4,(TEXT(JC56,"[M]")/60)*'Income Person-hours'!$D$5)</f>
        <v>0</v>
      </c>
    </row>
    <row r="57" spans="1:16384" s="231" customFormat="1" ht="15.75" x14ac:dyDescent="0.45">
      <c r="A57" s="206">
        <v>3.4</v>
      </c>
      <c r="B57" s="118" t="s">
        <v>127</v>
      </c>
      <c r="C57" s="119" t="s">
        <v>157</v>
      </c>
      <c r="D57" s="208" t="str">
        <f>IF(OR(j_WEEKDAY(J_ADDDAY(VLOOKUP(I57,A:F,6,FALSE),H57,1),0)=6,SUMIFS(Holieday[ok],Holieday[date],J_ADDDAY(VLOOKUP(I57,A:F,6,FALSE),H57,1)))=FALSE(),J_ADDDAY(VLOOKUP(I57,A:F,6,FALSE),H57,1),IF(OR(j_WEEKDAY(J_ADDDAY(VLOOKUP(I57,A:F,6,FALSE),H57+1,1),0)=6,SUMIFS(Holieday[ok],Holieday[date],J_ADDDAY(VLOOKUP(I57,A:F,6,FALSE),H57+1,1)))=FALSE(),J_ADDDAY(VLOOKUP(I57,A:F,6,FALSE),H57+1,1),IF(OR(j_WEEKDAY(J_ADDDAY(VLOOKUP(I57,A:F,6,FALSE),H57+2,1),0)=6,SUMIFS(Holieday[ok],Holieday[date],J_ADDDAY(VLOOKUP(I57,A:F,6,FALSE),H57+2,1)))=FALSE(),J_ADDDAY(VLOOKUP(I57,A:F,6,FALSE),H57+2,1),IF(OR(j_WEEKDAY(J_ADDDAY(VLOOKUP(I57,A:F,6,FALSE),H57+3,1),0)=6,SUMIFS(Holieday[ok],Holieday[date],J_ADDDAY(VLOOKUP(I57,A:F,6,FALSE),H57+3,1)))=FALSE(),J_ADDDAY(VLOOKUP(I57,A:F,6,FALSE),H57+3,1),IF(OR(j_WEEKDAY(J_ADDDAY(VLOOKUP(I57,A:F,6,FALSE),H57+4,1),0)=6,SUMIFS(Holieday[ok],Holieday[date],J_ADDDAY(VLOOKUP(I57,A:F,6,FALSE),H57+4,1)))=FALSE(),J_ADDDAY(VLOOKUP(I57,A:F,6,FALSE),H57+4,1),J_ADDDAY(VLOOKUP(I57,A:F,6,FALSE),H57+5,1))))))</f>
        <v>1398/07/03</v>
      </c>
      <c r="E57" s="198">
        <f t="shared" si="15"/>
        <v>13980703</v>
      </c>
      <c r="F57" s="209" t="str">
        <f>IF(N57=0,J_SUBDAY(D57,1,1),IF((N57-(NETWORKDAYS.INTL(J_GregorianDate(D57,1),J_GregorianDate(J_SUBDAY(J_ADDDAY(D57,N57,1),1,1),1),16,1)))+SUMIFS(Holieday[ok],Holieday[date],CONCATENATE("&gt;","=",D57),Holieday[date],CONCATENATE("&lt;","=",J_SUBDAY(J_ADDDAY(D57,N57,1),1,1)))-SUMIFS(Holieday[Friday],Holieday[date],CONCATENATE("&gt;","=",D57),Holieday[date],CONCATENATE("&lt;","=",J_SUBDAY(J_ADDDAY(D57,N57,1),1,1)))=0,J_SUBDAY(J_ADDDAY(D57,N57,1),1,1),IF((N57+1-(NETWORKDAYS.INTL(J_GregorianDate(D57,1),J_GregorianDate(J_SUBDAY(J_ADDDAY(D57,N57+1,1),1,1),1),16,1)))+SUMIFS(Holieday[ok],Holieday[date],CONCATENATE("&gt;","=",D57),Holieday[date],CONCATENATE("&lt;","=",J_SUBDAY(J_ADDDAY(D57,N57+1,1),1,1)))-SUMIFS(Holieday[Friday],Holieday[date],CONCATENATE("&gt;","=",D57),Holieday[date],CONCATENATE("&lt;","=",J_SUBDAY(J_ADDDAY(D57,N57+1,1),1,1)))=1,J_SUBDAY(J_ADDDAY(D57,N57+1,1),1,1),IF((N57+2-(NETWORKDAYS.INTL(J_GregorianDate(D57,1),J_GregorianDate(J_SUBDAY(J_ADDDAY(D57,N57+2,1),1,1),1),16,1)))+SUMIFS(Holieday[ok],Holieday[date],CONCATENATE("&gt;","=",D57),Holieday[date],CONCATENATE("&lt;","=",J_SUBDAY(J_ADDDAY(D57,N57+2,1),1,1)))-SUMIFS(Holieday[Friday],Holieday[date],CONCATENATE("&gt;","=",D57),Holieday[date],CONCATENATE("&lt;","=",J_SUBDAY(J_ADDDAY(D57,N57+2,1),1,1)))=2,J_SUBDAY(J_ADDDAY(D57,N57+2,1),1,1),IF((N57+3-(NETWORKDAYS.INTL(J_GregorianDate(D57,1),J_GregorianDate(J_SUBDAY(J_ADDDAY(D57,N57+3,1),1,1),1),16,1)))+SUMIFS(Holieday[ok],Holieday[date],CONCATENATE("&gt;","=",D57),Holieday[date],CONCATENATE("&lt;","=",J_SUBDAY(J_ADDDAY(D57,N57+3,1),1,1)))-SUMIFS(Holieday[Friday],Holieday[date],CONCATENATE("&gt;","=",D57),Holieday[date],CONCATENATE("&lt;","=",J_SUBDAY(J_ADDDAY(D57,N57+3,1),1,1)))=3,J_SUBDAY(J_ADDDAY(D57,N57+3,1),1,1),IF((N57+4-(NETWORKDAYS.INTL(J_GregorianDate(D57,1),J_GregorianDate(J_SUBDAY(J_ADDDAY(D57,N57+4,1),1,1),1),16,1)))+SUMIFS(Holieday[ok],Holieday[date],CONCATENATE("&gt;","=",D57),Holieday[date],CONCATENATE("&lt;","=",J_SUBDAY(J_ADDDAY(D57,N57+4,1),1,1)))-SUMIFS(Holieday[Friday],Holieday[date],CONCATENATE("&gt;","=",D57),Holieday[date],CONCATENATE("&lt;","=",J_SUBDAY(J_ADDDAY(D57,N57+4,1),1,1)))=4,J_SUBDAY(J_ADDDAY(D57,N57+4,1),1,1),IF((N57+5-(NETWORKDAYS.INTL(J_GregorianDate(D57,1),J_GregorianDate(J_SUBDAY(J_ADDDAY(D57,N57+5,1),1,1),1),16,1)))+SUMIFS(Holieday[ok],Holieday[date],CONCATENATE("&gt;","=",D57),Holieday[date],CONCATENATE("&lt;","=",J_SUBDAY(J_ADDDAY(D57,N57+5,1),1,1)))-SUMIFS(Holieday[Friday],Holieday[date],CONCATENATE("&gt;","=",D57),Holieday[date],CONCATENATE("&lt;","=",J_SUBDAY(J_ADDDAY(D57,N57+5,1),1,1)))=5,J_SUBDAY(J_ADDDAY(D57,N57+5,1),1,1),J_SUBDAY(J_ADDDAY(D57,N57+6,1),1,1))))))))</f>
        <v>1398/07/10</v>
      </c>
      <c r="G57" s="201">
        <f t="shared" si="16"/>
        <v>13980710</v>
      </c>
      <c r="H57" s="121">
        <v>13</v>
      </c>
      <c r="I57" s="122">
        <v>3.2</v>
      </c>
      <c r="J57" s="209" t="str">
        <f>j_WEEKDAY(D57,1)</f>
        <v>چهارشنبه</v>
      </c>
      <c r="K57" s="211">
        <f t="shared" si="18"/>
        <v>0.83333333333333337</v>
      </c>
      <c r="L57" s="212">
        <v>5</v>
      </c>
      <c r="M57" s="123">
        <v>0.6</v>
      </c>
      <c r="N57" s="120">
        <v>7</v>
      </c>
      <c r="O57" s="213">
        <f t="shared" si="17"/>
        <v>3</v>
      </c>
      <c r="P57" s="213">
        <f>VALUE(J_normdate(J_ADDDAY($D57,$O57,1)))</f>
        <v>13980706</v>
      </c>
      <c r="Q57" s="209">
        <f t="shared" si="14"/>
        <v>2</v>
      </c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  <c r="AO57" s="207"/>
      <c r="AP57" s="207"/>
      <c r="AQ57" s="207"/>
      <c r="AR57" s="207"/>
      <c r="AS57" s="207"/>
      <c r="AT57" s="207"/>
      <c r="AU57" s="207"/>
      <c r="AV57" s="207"/>
      <c r="AW57" s="207"/>
      <c r="AX57" s="207"/>
      <c r="AY57" s="207"/>
      <c r="AZ57" s="207"/>
      <c r="BA57" s="207"/>
      <c r="BB57" s="207"/>
      <c r="BC57" s="207"/>
      <c r="BD57" s="207"/>
      <c r="BE57" s="207"/>
      <c r="BF57" s="207"/>
      <c r="BG57" s="207"/>
      <c r="BH57" s="207"/>
      <c r="BI57" s="207"/>
      <c r="BJ57" s="207"/>
      <c r="BK57" s="207"/>
      <c r="BL57" s="207"/>
      <c r="BM57" s="207"/>
      <c r="BN57" s="207"/>
      <c r="BO57" s="207"/>
      <c r="BP57" s="207"/>
      <c r="BQ57" s="207"/>
      <c r="BR57" s="207"/>
      <c r="BS57" s="207"/>
      <c r="BT57" s="207"/>
      <c r="BU57" s="207"/>
      <c r="BV57" s="207"/>
      <c r="BW57" s="207"/>
      <c r="BX57" s="207"/>
      <c r="BY57" s="207"/>
      <c r="BZ57" s="207"/>
      <c r="CA57" s="207"/>
      <c r="CB57" s="207"/>
      <c r="CC57" s="207"/>
      <c r="CD57" s="207"/>
      <c r="CE57" s="207"/>
      <c r="CF57" s="207"/>
      <c r="CG57" s="207"/>
      <c r="CH57" s="207"/>
      <c r="CI57" s="207"/>
      <c r="CJ57" s="207"/>
      <c r="CK57" s="207"/>
      <c r="CL57" s="207"/>
      <c r="CM57" s="207"/>
      <c r="CN57" s="207"/>
      <c r="CO57" s="207"/>
      <c r="CP57" s="207"/>
      <c r="CQ57" s="207"/>
      <c r="CR57" s="207"/>
      <c r="CS57" s="207"/>
      <c r="CT57" s="207"/>
      <c r="CU57" s="207"/>
      <c r="CV57" s="207"/>
      <c r="CW57" s="207"/>
      <c r="CX57" s="207"/>
      <c r="CY57" s="207"/>
      <c r="CZ57" s="207"/>
      <c r="DA57" s="207"/>
      <c r="DB57" s="207"/>
      <c r="DC57" s="207"/>
      <c r="DD57" s="207"/>
      <c r="DE57" s="207"/>
      <c r="DF57" s="207"/>
      <c r="DG57" s="207"/>
      <c r="DH57" s="207"/>
      <c r="DI57" s="207"/>
      <c r="DJ57" s="207"/>
      <c r="DK57" s="207"/>
      <c r="DL57" s="207"/>
      <c r="DM57" s="207"/>
      <c r="DN57" s="207"/>
      <c r="DO57" s="207"/>
      <c r="DP57" s="207"/>
      <c r="DQ57" s="207"/>
      <c r="DR57" s="207"/>
      <c r="DS57" s="207"/>
      <c r="DT57" s="207"/>
      <c r="DU57" s="207"/>
      <c r="DV57" s="207"/>
      <c r="DW57" s="207"/>
      <c r="DX57" s="207"/>
      <c r="DY57" s="207"/>
      <c r="DZ57" s="207"/>
      <c r="EA57" s="207"/>
      <c r="EB57" s="207"/>
      <c r="EC57" s="207"/>
      <c r="ED57" s="207"/>
      <c r="EE57" s="207"/>
      <c r="EF57" s="207"/>
      <c r="EG57" s="207"/>
      <c r="EH57" s="207"/>
      <c r="EI57" s="207"/>
      <c r="EJ57" s="207"/>
      <c r="EK57" s="207"/>
      <c r="EL57" s="207"/>
      <c r="EM57" s="207"/>
      <c r="EN57" s="207"/>
      <c r="EO57" s="207"/>
      <c r="EP57" s="207"/>
      <c r="EQ57" s="207"/>
      <c r="ER57" s="207"/>
      <c r="ES57" s="207"/>
      <c r="ET57" s="207"/>
      <c r="EU57" s="207"/>
      <c r="EV57" s="207"/>
      <c r="EW57" s="207"/>
      <c r="EX57" s="207"/>
      <c r="EY57" s="207"/>
      <c r="EZ57" s="207"/>
      <c r="FA57" s="207"/>
      <c r="FB57" s="207"/>
      <c r="FC57" s="207"/>
      <c r="FD57" s="207"/>
      <c r="FE57" s="207"/>
      <c r="FF57" s="207"/>
      <c r="FG57" s="207"/>
      <c r="FH57" s="207"/>
      <c r="FI57" s="207"/>
      <c r="FJ57" s="207"/>
      <c r="FK57" s="207"/>
      <c r="FL57" s="207"/>
      <c r="FM57" s="207"/>
      <c r="FN57" s="207"/>
      <c r="FO57" s="207"/>
      <c r="FP57" s="207"/>
      <c r="FQ57" s="207"/>
      <c r="FR57" s="207"/>
      <c r="FS57" s="207"/>
      <c r="FT57" s="207"/>
      <c r="FU57" s="207"/>
      <c r="FV57" s="207"/>
      <c r="FW57" s="207"/>
      <c r="FX57" s="207"/>
      <c r="FY57" s="207"/>
      <c r="FZ57" s="207"/>
      <c r="GA57" s="207"/>
      <c r="GB57" s="207"/>
      <c r="GC57" s="207"/>
      <c r="GD57" s="207"/>
      <c r="GE57" s="207"/>
      <c r="GF57" s="207"/>
      <c r="GG57" s="207"/>
      <c r="GH57" s="207"/>
      <c r="GI57" s="207"/>
      <c r="GJ57" s="207"/>
      <c r="GK57" s="207"/>
      <c r="GL57" s="207"/>
      <c r="GM57" s="207"/>
      <c r="GN57" s="207"/>
      <c r="GO57" s="207"/>
      <c r="GP57" s="207"/>
      <c r="GQ57" s="207"/>
      <c r="GR57" s="207"/>
      <c r="GS57" s="207"/>
      <c r="GT57" s="207"/>
      <c r="GU57" s="207"/>
      <c r="GV57" s="207"/>
      <c r="GW57" s="207"/>
      <c r="GX57" s="207"/>
      <c r="GY57" s="207"/>
      <c r="GZ57" s="207"/>
      <c r="HA57" s="207"/>
      <c r="HB57" s="207"/>
      <c r="HC57" s="207"/>
      <c r="HD57" s="207"/>
      <c r="HE57" s="207"/>
      <c r="HF57" s="207"/>
      <c r="HG57" s="207"/>
      <c r="HH57" s="207"/>
      <c r="HI57" s="207"/>
      <c r="HJ57" s="207"/>
      <c r="HK57" s="207"/>
      <c r="HL57" s="207"/>
      <c r="HM57" s="207"/>
      <c r="HN57" s="207"/>
      <c r="HO57" s="207"/>
      <c r="HP57" s="207"/>
      <c r="HQ57" s="207"/>
      <c r="HR57" s="207"/>
      <c r="HS57" s="207"/>
      <c r="HT57" s="207"/>
      <c r="HU57" s="207"/>
      <c r="HV57" s="207"/>
      <c r="HW57" s="207"/>
      <c r="HX57" s="207"/>
      <c r="HY57" s="207"/>
      <c r="HZ57" s="207"/>
      <c r="IA57" s="207"/>
      <c r="IB57" s="207"/>
      <c r="IC57" s="207"/>
      <c r="ID57" s="207"/>
      <c r="IE57" s="207"/>
      <c r="IF57" s="207"/>
      <c r="IG57" s="207"/>
      <c r="IH57" s="207"/>
      <c r="II57" s="207"/>
      <c r="IJ57" s="207"/>
      <c r="IK57" s="207"/>
      <c r="IL57" s="207"/>
      <c r="IM57" s="207"/>
      <c r="IN57" s="207"/>
      <c r="IO57" s="207"/>
      <c r="IP57" s="207"/>
      <c r="IQ57" s="207"/>
      <c r="IR57" s="207"/>
      <c r="IS57" s="207"/>
      <c r="IT57" s="207"/>
      <c r="IU57" s="207"/>
      <c r="IV57" s="207"/>
      <c r="IW57" s="207"/>
      <c r="IX57" s="207"/>
      <c r="IY57" s="32">
        <v>3</v>
      </c>
      <c r="IZ57" s="44">
        <f>(TEXT(K57,"[m]")/60)*VLOOKUP(IY57,'Income Person-hours'!A$2:C$5,3,FALSE)</f>
        <v>0</v>
      </c>
      <c r="JA57" s="124">
        <v>8.3333333333333329E-2</v>
      </c>
      <c r="JB57" s="124">
        <v>0.16666666666666666</v>
      </c>
      <c r="JC57" s="124">
        <v>0.58333333333333337</v>
      </c>
      <c r="JD57" s="232">
        <f>SUM((TEXT(JA57,"[M]")/60)*'Income Person-hours'!$D$3,(TEXT(JB57,"[M]")/60)*'Income Person-hours'!$D$4,(TEXT(JC57,"[M]")/60)*'Income Person-hours'!$D$5)</f>
        <v>13834000</v>
      </c>
    </row>
    <row r="58" spans="1:16384" s="231" customFormat="1" ht="15.75" hidden="1" x14ac:dyDescent="0.45">
      <c r="A58" s="206">
        <v>3.5</v>
      </c>
      <c r="B58" s="118"/>
      <c r="C58" s="119" t="s">
        <v>158</v>
      </c>
      <c r="D58" s="208" t="str">
        <f>IF(OR(j_WEEKDAY(J_ADDDAY(VLOOKUP(I58,A:F,6,FALSE),H58,1),0)=6,SUMIFS(Holieday[ok],Holieday[date],J_ADDDAY(VLOOKUP(I58,A:F,6,FALSE),H58,1)))=FALSE(),J_ADDDAY(VLOOKUP(I58,A:F,6,FALSE),H58,1),IF(OR(j_WEEKDAY(J_ADDDAY(VLOOKUP(I58,A:F,6,FALSE),H58+1,1),0)=6,SUMIFS(Holieday[ok],Holieday[date],J_ADDDAY(VLOOKUP(I58,A:F,6,FALSE),H58+1,1)))=FALSE(),J_ADDDAY(VLOOKUP(I58,A:F,6,FALSE),H58+1,1),IF(OR(j_WEEKDAY(J_ADDDAY(VLOOKUP(I58,A:F,6,FALSE),H58+2,1),0)=6,SUMIFS(Holieday[ok],Holieday[date],J_ADDDAY(VLOOKUP(I58,A:F,6,FALSE),H58+2,1)))=FALSE(),J_ADDDAY(VLOOKUP(I58,A:F,6,FALSE),H58+2,1),IF(OR(j_WEEKDAY(J_ADDDAY(VLOOKUP(I58,A:F,6,FALSE),H58+3,1),0)=6,SUMIFS(Holieday[ok],Holieday[date],J_ADDDAY(VLOOKUP(I58,A:F,6,FALSE),H58+3,1)))=FALSE(),J_ADDDAY(VLOOKUP(I58,A:F,6,FALSE),H58+3,1),IF(OR(j_WEEKDAY(J_ADDDAY(VLOOKUP(I58,A:F,6,FALSE),H58+4,1),0)=6,SUMIFS(Holieday[ok],Holieday[date],J_ADDDAY(VLOOKUP(I58,A:F,6,FALSE),H58+4,1)))=FALSE(),J_ADDDAY(VLOOKUP(I58,A:F,6,FALSE),H58+4,1),J_ADDDAY(VLOOKUP(I58,A:F,6,FALSE),H58+5,1))))))</f>
        <v>1398/07/10</v>
      </c>
      <c r="E58" s="198">
        <f t="shared" si="15"/>
        <v>13980710</v>
      </c>
      <c r="F58" s="209" t="str">
        <f>IF(N58=0,J_SUBDAY(D58,1,1),IF((N58-(NETWORKDAYS.INTL(J_GregorianDate(D58,1),J_GregorianDate(J_SUBDAY(J_ADDDAY(D58,N58,1),1,1),1),16,1)))+SUMIFS(Holieday[ok],Holieday[date],CONCATENATE("&gt;","=",D58),Holieday[date],CONCATENATE("&lt;","=",J_SUBDAY(J_ADDDAY(D58,N58,1),1,1)))-SUMIFS(Holieday[Friday],Holieday[date],CONCATENATE("&gt;","=",D58),Holieday[date],CONCATENATE("&lt;","=",J_SUBDAY(J_ADDDAY(D58,N58,1),1,1)))=0,J_SUBDAY(J_ADDDAY(D58,N58,1),1,1),IF((N58+1-(NETWORKDAYS.INTL(J_GregorianDate(D58,1),J_GregorianDate(J_SUBDAY(J_ADDDAY(D58,N58+1,1),1,1),1),16,1)))+SUMIFS(Holieday[ok],Holieday[date],CONCATENATE("&gt;","=",D58),Holieday[date],CONCATENATE("&lt;","=",J_SUBDAY(J_ADDDAY(D58,N58+1,1),1,1)))-SUMIFS(Holieday[Friday],Holieday[date],CONCATENATE("&gt;","=",D58),Holieday[date],CONCATENATE("&lt;","=",J_SUBDAY(J_ADDDAY(D58,N58+1,1),1,1)))=1,J_SUBDAY(J_ADDDAY(D58,N58+1,1),1,1),IF((N58+2-(NETWORKDAYS.INTL(J_GregorianDate(D58,1),J_GregorianDate(J_SUBDAY(J_ADDDAY(D58,N58+2,1),1,1),1),16,1)))+SUMIFS(Holieday[ok],Holieday[date],CONCATENATE("&gt;","=",D58),Holieday[date],CONCATENATE("&lt;","=",J_SUBDAY(J_ADDDAY(D58,N58+2,1),1,1)))-SUMIFS(Holieday[Friday],Holieday[date],CONCATENATE("&gt;","=",D58),Holieday[date],CONCATENATE("&lt;","=",J_SUBDAY(J_ADDDAY(D58,N58+2,1),1,1)))=2,J_SUBDAY(J_ADDDAY(D58,N58+2,1),1,1),IF((N58+3-(NETWORKDAYS.INTL(J_GregorianDate(D58,1),J_GregorianDate(J_SUBDAY(J_ADDDAY(D58,N58+3,1),1,1),1),16,1)))+SUMIFS(Holieday[ok],Holieday[date],CONCATENATE("&gt;","=",D58),Holieday[date],CONCATENATE("&lt;","=",J_SUBDAY(J_ADDDAY(D58,N58+3,1),1,1)))-SUMIFS(Holieday[Friday],Holieday[date],CONCATENATE("&gt;","=",D58),Holieday[date],CONCATENATE("&lt;","=",J_SUBDAY(J_ADDDAY(D58,N58+3,1),1,1)))=3,J_SUBDAY(J_ADDDAY(D58,N58+3,1),1,1),IF((N58+4-(NETWORKDAYS.INTL(J_GregorianDate(D58,1),J_GregorianDate(J_SUBDAY(J_ADDDAY(D58,N58+4,1),1,1),1),16,1)))+SUMIFS(Holieday[ok],Holieday[date],CONCATENATE("&gt;","=",D58),Holieday[date],CONCATENATE("&lt;","=",J_SUBDAY(J_ADDDAY(D58,N58+4,1),1,1)))-SUMIFS(Holieday[Friday],Holieday[date],CONCATENATE("&gt;","=",D58),Holieday[date],CONCATENATE("&lt;","=",J_SUBDAY(J_ADDDAY(D58,N58+4,1),1,1)))=4,J_SUBDAY(J_ADDDAY(D58,N58+4,1),1,1),IF((N58+5-(NETWORKDAYS.INTL(J_GregorianDate(D58,1),J_GregorianDate(J_SUBDAY(J_ADDDAY(D58,N58+5,1),1,1),1),16,1)))+SUMIFS(Holieday[ok],Holieday[date],CONCATENATE("&gt;","=",D58),Holieday[date],CONCATENATE("&lt;","=",J_SUBDAY(J_ADDDAY(D58,N58+5,1),1,1)))-SUMIFS(Holieday[Friday],Holieday[date],CONCATENATE("&gt;","=",D58),Holieday[date],CONCATENATE("&lt;","=",J_SUBDAY(J_ADDDAY(D58,N58+5,1),1,1)))=5,J_SUBDAY(J_ADDDAY(D58,N58+5,1),1,1),J_SUBDAY(J_ADDDAY(D58,N58+6,1),1,1))))))))</f>
        <v>1398/07/09</v>
      </c>
      <c r="G58" s="201">
        <f t="shared" si="16"/>
        <v>13980709</v>
      </c>
      <c r="H58" s="121"/>
      <c r="I58" s="122">
        <v>3.4</v>
      </c>
      <c r="J58" s="209" t="str">
        <f>j_WEEKDAY(D58,1)</f>
        <v>چهارشنبه</v>
      </c>
      <c r="K58" s="211">
        <f>SUM(JA58:JC58)</f>
        <v>0</v>
      </c>
      <c r="L58" s="212">
        <f t="shared" si="19"/>
        <v>0</v>
      </c>
      <c r="M58" s="123">
        <v>0</v>
      </c>
      <c r="N58" s="120">
        <v>0</v>
      </c>
      <c r="O58" s="213">
        <f t="shared" si="17"/>
        <v>0</v>
      </c>
      <c r="P58" s="213">
        <f>VALUE(J_normdate(J_ADDDAY($D58,$O58,1)))</f>
        <v>13980710</v>
      </c>
      <c r="Q58" s="209">
        <f t="shared" si="14"/>
        <v>0</v>
      </c>
      <c r="R58" s="207"/>
      <c r="S58" s="207"/>
      <c r="T58" s="207"/>
      <c r="U58" s="207"/>
      <c r="V58" s="207"/>
      <c r="W58" s="207"/>
      <c r="X58" s="207"/>
      <c r="Y58" s="207"/>
      <c r="Z58" s="207"/>
      <c r="AA58" s="207"/>
      <c r="AB58" s="207"/>
      <c r="AC58" s="207"/>
      <c r="AD58" s="207"/>
      <c r="AE58" s="207"/>
      <c r="AF58" s="207"/>
      <c r="AG58" s="207"/>
      <c r="AH58" s="207"/>
      <c r="AI58" s="207"/>
      <c r="AJ58" s="207"/>
      <c r="AK58" s="207"/>
      <c r="AL58" s="207"/>
      <c r="AM58" s="207"/>
      <c r="AN58" s="207"/>
      <c r="AO58" s="207"/>
      <c r="AP58" s="207"/>
      <c r="AQ58" s="207"/>
      <c r="AR58" s="207"/>
      <c r="AS58" s="207"/>
      <c r="AT58" s="207"/>
      <c r="AU58" s="207"/>
      <c r="AV58" s="207"/>
      <c r="AW58" s="207"/>
      <c r="AX58" s="207"/>
      <c r="AY58" s="207"/>
      <c r="AZ58" s="207"/>
      <c r="BA58" s="207"/>
      <c r="BB58" s="207"/>
      <c r="BC58" s="207"/>
      <c r="BD58" s="207"/>
      <c r="BE58" s="207"/>
      <c r="BF58" s="207"/>
      <c r="BG58" s="207"/>
      <c r="BH58" s="207"/>
      <c r="BI58" s="207"/>
      <c r="BJ58" s="207"/>
      <c r="BK58" s="207"/>
      <c r="BL58" s="207"/>
      <c r="BM58" s="207"/>
      <c r="BN58" s="207"/>
      <c r="BO58" s="207"/>
      <c r="BP58" s="207"/>
      <c r="BQ58" s="207"/>
      <c r="BR58" s="207"/>
      <c r="BS58" s="207"/>
      <c r="BT58" s="207"/>
      <c r="BU58" s="207"/>
      <c r="BV58" s="207"/>
      <c r="BW58" s="207"/>
      <c r="BX58" s="207"/>
      <c r="BY58" s="207"/>
      <c r="BZ58" s="207"/>
      <c r="CA58" s="207"/>
      <c r="CB58" s="207"/>
      <c r="CC58" s="207"/>
      <c r="CD58" s="207"/>
      <c r="CE58" s="207"/>
      <c r="CF58" s="207"/>
      <c r="CG58" s="207"/>
      <c r="CH58" s="207"/>
      <c r="CI58" s="207"/>
      <c r="CJ58" s="207"/>
      <c r="CK58" s="207"/>
      <c r="CL58" s="207"/>
      <c r="CM58" s="207"/>
      <c r="CN58" s="207"/>
      <c r="CO58" s="207"/>
      <c r="CP58" s="207"/>
      <c r="CQ58" s="207"/>
      <c r="CR58" s="207"/>
      <c r="CS58" s="207"/>
      <c r="CT58" s="207"/>
      <c r="CU58" s="207"/>
      <c r="CV58" s="207"/>
      <c r="CW58" s="207"/>
      <c r="CX58" s="207"/>
      <c r="CY58" s="207"/>
      <c r="CZ58" s="207"/>
      <c r="DA58" s="207"/>
      <c r="DB58" s="207"/>
      <c r="DC58" s="207"/>
      <c r="DD58" s="207"/>
      <c r="DE58" s="207"/>
      <c r="DF58" s="207"/>
      <c r="DG58" s="207"/>
      <c r="DH58" s="207"/>
      <c r="DI58" s="207"/>
      <c r="DJ58" s="207"/>
      <c r="DK58" s="207"/>
      <c r="DL58" s="207"/>
      <c r="DM58" s="207"/>
      <c r="DN58" s="207"/>
      <c r="DO58" s="207"/>
      <c r="DP58" s="207"/>
      <c r="DQ58" s="207"/>
      <c r="DR58" s="207"/>
      <c r="DS58" s="207"/>
      <c r="DT58" s="207"/>
      <c r="DU58" s="207"/>
      <c r="DV58" s="207"/>
      <c r="DW58" s="207"/>
      <c r="DX58" s="207"/>
      <c r="DY58" s="207"/>
      <c r="DZ58" s="207"/>
      <c r="EA58" s="207"/>
      <c r="EB58" s="207"/>
      <c r="EC58" s="207"/>
      <c r="ED58" s="207"/>
      <c r="EE58" s="207"/>
      <c r="EF58" s="207"/>
      <c r="EG58" s="207"/>
      <c r="EH58" s="207"/>
      <c r="EI58" s="207"/>
      <c r="EJ58" s="207"/>
      <c r="EK58" s="207"/>
      <c r="EL58" s="207"/>
      <c r="EM58" s="207"/>
      <c r="EN58" s="207"/>
      <c r="EO58" s="207"/>
      <c r="EP58" s="207"/>
      <c r="EQ58" s="207"/>
      <c r="ER58" s="207"/>
      <c r="ES58" s="207"/>
      <c r="ET58" s="207"/>
      <c r="EU58" s="207"/>
      <c r="EV58" s="207"/>
      <c r="EW58" s="207"/>
      <c r="EX58" s="207"/>
      <c r="EY58" s="207"/>
      <c r="EZ58" s="207"/>
      <c r="FA58" s="207"/>
      <c r="FB58" s="207"/>
      <c r="FC58" s="207"/>
      <c r="FD58" s="207"/>
      <c r="FE58" s="207"/>
      <c r="FF58" s="207"/>
      <c r="FG58" s="207"/>
      <c r="FH58" s="207"/>
      <c r="FI58" s="207"/>
      <c r="FJ58" s="207"/>
      <c r="FK58" s="207"/>
      <c r="FL58" s="207"/>
      <c r="FM58" s="207"/>
      <c r="FN58" s="207"/>
      <c r="FO58" s="207"/>
      <c r="FP58" s="207"/>
      <c r="FQ58" s="207"/>
      <c r="FR58" s="207"/>
      <c r="FS58" s="207"/>
      <c r="FT58" s="207"/>
      <c r="FU58" s="207"/>
      <c r="FV58" s="207"/>
      <c r="FW58" s="207"/>
      <c r="FX58" s="207"/>
      <c r="FY58" s="207"/>
      <c r="FZ58" s="207"/>
      <c r="GA58" s="207"/>
      <c r="GB58" s="207"/>
      <c r="GC58" s="207"/>
      <c r="GD58" s="207"/>
      <c r="GE58" s="207"/>
      <c r="GF58" s="207"/>
      <c r="GG58" s="207"/>
      <c r="GH58" s="207"/>
      <c r="GI58" s="207"/>
      <c r="GJ58" s="207"/>
      <c r="GK58" s="207"/>
      <c r="GL58" s="207"/>
      <c r="GM58" s="207"/>
      <c r="GN58" s="207"/>
      <c r="GO58" s="207"/>
      <c r="GP58" s="207"/>
      <c r="GQ58" s="207"/>
      <c r="GR58" s="207"/>
      <c r="GS58" s="207"/>
      <c r="GT58" s="207"/>
      <c r="GU58" s="207"/>
      <c r="GV58" s="207"/>
      <c r="GW58" s="207"/>
      <c r="GX58" s="207"/>
      <c r="GY58" s="207"/>
      <c r="GZ58" s="207"/>
      <c r="HA58" s="207"/>
      <c r="HB58" s="207"/>
      <c r="HC58" s="207"/>
      <c r="HD58" s="207"/>
      <c r="HE58" s="207"/>
      <c r="HF58" s="207"/>
      <c r="HG58" s="207"/>
      <c r="HH58" s="207"/>
      <c r="HI58" s="207"/>
      <c r="HJ58" s="207"/>
      <c r="HK58" s="207"/>
      <c r="HL58" s="207"/>
      <c r="HM58" s="207"/>
      <c r="HN58" s="207"/>
      <c r="HO58" s="207"/>
      <c r="HP58" s="207"/>
      <c r="HQ58" s="207"/>
      <c r="HR58" s="207"/>
      <c r="HS58" s="207"/>
      <c r="HT58" s="207"/>
      <c r="HU58" s="207"/>
      <c r="HV58" s="207"/>
      <c r="HW58" s="207"/>
      <c r="HX58" s="207"/>
      <c r="HY58" s="207"/>
      <c r="HZ58" s="207"/>
      <c r="IA58" s="207"/>
      <c r="IB58" s="207"/>
      <c r="IC58" s="207"/>
      <c r="ID58" s="207"/>
      <c r="IE58" s="207"/>
      <c r="IF58" s="207"/>
      <c r="IG58" s="207"/>
      <c r="IH58" s="207"/>
      <c r="II58" s="207"/>
      <c r="IJ58" s="207"/>
      <c r="IK58" s="207"/>
      <c r="IL58" s="207"/>
      <c r="IM58" s="207"/>
      <c r="IN58" s="207"/>
      <c r="IO58" s="207"/>
      <c r="IP58" s="207"/>
      <c r="IQ58" s="207"/>
      <c r="IR58" s="207"/>
      <c r="IS58" s="207"/>
      <c r="IT58" s="207"/>
      <c r="IU58" s="207"/>
      <c r="IV58" s="207"/>
      <c r="IW58" s="207"/>
      <c r="IX58" s="207"/>
      <c r="IY58" s="32">
        <v>2</v>
      </c>
      <c r="IZ58" s="44">
        <f>(TEXT(K58,"[m]")/60)*VLOOKUP(IY58,'Income Person-hours'!A$2:C$5,3,FALSE)</f>
        <v>0</v>
      </c>
      <c r="JA58" s="124"/>
      <c r="JB58" s="124"/>
      <c r="JC58" s="124"/>
      <c r="JD58" s="232">
        <f>SUM((TEXT(JA58,"[M]")/60)*'Income Person-hours'!$D$3,(TEXT(JB58,"[M]")/60)*'Income Person-hours'!$D$4,(TEXT(JC58,"[M]")/60)*'Income Person-hours'!$D$5)</f>
        <v>0</v>
      </c>
    </row>
    <row r="59" spans="1:16384" s="231" customFormat="1" ht="15.75" hidden="1" x14ac:dyDescent="0.45">
      <c r="A59" s="214">
        <v>3.6</v>
      </c>
      <c r="B59" s="118"/>
      <c r="C59" s="119" t="s">
        <v>160</v>
      </c>
      <c r="D59" s="207" t="str">
        <f>IF(OR(j_WEEKDAY(J_ADDDAY(VLOOKUP(I59,A:F,6,FALSE),H59,1),0)=6,SUMIFS(Holieday[ok],Holieday[date],J_ADDDAY(VLOOKUP(I59,A:F,6,FALSE),H59,1)))=FALSE(),J_ADDDAY(VLOOKUP(I59,A:F,6,FALSE),H59,1),IF(OR(j_WEEKDAY(J_ADDDAY(VLOOKUP(I59,A:F,6,FALSE),H59+1,1),0)=6,SUMIFS(Holieday[ok],Holieday[date],J_ADDDAY(VLOOKUP(I59,A:F,6,FALSE),H59+1,1)))=FALSE(),J_ADDDAY(VLOOKUP(I59,A:F,6,FALSE),H59+1,1),IF(OR(j_WEEKDAY(J_ADDDAY(VLOOKUP(I59,A:F,6,FALSE),H59+2,1),0)=6,SUMIFS(Holieday[ok],Holieday[date],J_ADDDAY(VLOOKUP(I59,A:F,6,FALSE),H59+2,1)))=FALSE(),J_ADDDAY(VLOOKUP(I59,A:F,6,FALSE),H59+2,1),IF(OR(j_WEEKDAY(J_ADDDAY(VLOOKUP(I59,A:F,6,FALSE),H59+3,1),0)=6,SUMIFS(Holieday[ok],Holieday[date],J_ADDDAY(VLOOKUP(I59,A:F,6,FALSE),H59+3,1)))=FALSE(),J_ADDDAY(VLOOKUP(I59,A:F,6,FALSE),H59+3,1),IF(OR(j_WEEKDAY(J_ADDDAY(VLOOKUP(I59,A:F,6,FALSE),H59+4,1),0)=6,SUMIFS(Holieday[ok],Holieday[date],J_ADDDAY(VLOOKUP(I59,A:F,6,FALSE),H59+4,1)))=FALSE(),J_ADDDAY(VLOOKUP(I59,A:F,6,FALSE),H59+4,1),J_ADDDAY(VLOOKUP(I59,A:F,6,FALSE),H59+5,1))))))</f>
        <v>1398/07/10</v>
      </c>
      <c r="E59" s="198">
        <f t="shared" si="15"/>
        <v>13980710</v>
      </c>
      <c r="F59" s="210" t="str">
        <f>IF(N59=0,J_SUBDAY(D59,1,1),IF((N59-(NETWORKDAYS.INTL(J_GregorianDate(D59,1),J_GregorianDate(J_SUBDAY(J_ADDDAY(D59,N59,1),1,1),1),16,1)))+SUMIFS(Holieday[ok],Holieday[date],CONCATENATE("&gt;","=",D59),Holieday[date],CONCATENATE("&lt;","=",J_SUBDAY(J_ADDDAY(D59,N59,1),1,1)))-SUMIFS(Holieday[Friday],Holieday[date],CONCATENATE("&gt;","=",D59),Holieday[date],CONCATENATE("&lt;","=",J_SUBDAY(J_ADDDAY(D59,N59,1),1,1)))=0,J_SUBDAY(J_ADDDAY(D59,N59,1),1,1),IF((N59+1-(NETWORKDAYS.INTL(J_GregorianDate(D59,1),J_GregorianDate(J_SUBDAY(J_ADDDAY(D59,N59+1,1),1,1),1),16,1)))+SUMIFS(Holieday[ok],Holieday[date],CONCATENATE("&gt;","=",D59),Holieday[date],CONCATENATE("&lt;","=",J_SUBDAY(J_ADDDAY(D59,N59+1,1),1,1)))-SUMIFS(Holieday[Friday],Holieday[date],CONCATENATE("&gt;","=",D59),Holieday[date],CONCATENATE("&lt;","=",J_SUBDAY(J_ADDDAY(D59,N59+1,1),1,1)))=1,J_SUBDAY(J_ADDDAY(D59,N59+1,1),1,1),IF((N59+2-(NETWORKDAYS.INTL(J_GregorianDate(D59,1),J_GregorianDate(J_SUBDAY(J_ADDDAY(D59,N59+2,1),1,1),1),16,1)))+SUMIFS(Holieday[ok],Holieday[date],CONCATENATE("&gt;","=",D59),Holieday[date],CONCATENATE("&lt;","=",J_SUBDAY(J_ADDDAY(D59,N59+2,1),1,1)))-SUMIFS(Holieday[Friday],Holieday[date],CONCATENATE("&gt;","=",D59),Holieday[date],CONCATENATE("&lt;","=",J_SUBDAY(J_ADDDAY(D59,N59+2,1),1,1)))=2,J_SUBDAY(J_ADDDAY(D59,N59+2,1),1,1),IF((N59+3-(NETWORKDAYS.INTL(J_GregorianDate(D59,1),J_GregorianDate(J_SUBDAY(J_ADDDAY(D59,N59+3,1),1,1),1),16,1)))+SUMIFS(Holieday[ok],Holieday[date],CONCATENATE("&gt;","=",D59),Holieday[date],CONCATENATE("&lt;","=",J_SUBDAY(J_ADDDAY(D59,N59+3,1),1,1)))-SUMIFS(Holieday[Friday],Holieday[date],CONCATENATE("&gt;","=",D59),Holieday[date],CONCATENATE("&lt;","=",J_SUBDAY(J_ADDDAY(D59,N59+3,1),1,1)))=3,J_SUBDAY(J_ADDDAY(D59,N59+3,1),1,1),IF((N59+4-(NETWORKDAYS.INTL(J_GregorianDate(D59,1),J_GregorianDate(J_SUBDAY(J_ADDDAY(D59,N59+4,1),1,1),1),16,1)))+SUMIFS(Holieday[ok],Holieday[date],CONCATENATE("&gt;","=",D59),Holieday[date],CONCATENATE("&lt;","=",J_SUBDAY(J_ADDDAY(D59,N59+4,1),1,1)))-SUMIFS(Holieday[Friday],Holieday[date],CONCATENATE("&gt;","=",D59),Holieday[date],CONCATENATE("&lt;","=",J_SUBDAY(J_ADDDAY(D59,N59+4,1),1,1)))=4,J_SUBDAY(J_ADDDAY(D59,N59+4,1),1,1),IF((N59+5-(NETWORKDAYS.INTL(J_GregorianDate(D59,1),J_GregorianDate(J_SUBDAY(J_ADDDAY(D59,N59+5,1),1,1),1),16,1)))+SUMIFS(Holieday[ok],Holieday[date],CONCATENATE("&gt;","=",D59),Holieday[date],CONCATENATE("&lt;","=",J_SUBDAY(J_ADDDAY(D59,N59+5,1),1,1)))-SUMIFS(Holieday[Friday],Holieday[date],CONCATENATE("&gt;","=",D59),Holieday[date],CONCATENATE("&lt;","=",J_SUBDAY(J_ADDDAY(D59,N59+5,1),1,1)))=5,J_SUBDAY(J_ADDDAY(D59,N59+5,1),1,1),J_SUBDAY(J_ADDDAY(D59,N59+6,1),1,1))))))))</f>
        <v>1398/07/09</v>
      </c>
      <c r="G59" s="201">
        <f t="shared" si="16"/>
        <v>13980709</v>
      </c>
      <c r="H59" s="121"/>
      <c r="I59" s="122">
        <v>3.4</v>
      </c>
      <c r="J59" s="209" t="str">
        <f>j_WEEKDAY(D59,1)</f>
        <v>چهارشنبه</v>
      </c>
      <c r="K59" s="211">
        <f>SUM(JA59:JC59)</f>
        <v>0</v>
      </c>
      <c r="L59" s="212">
        <f t="shared" si="19"/>
        <v>0</v>
      </c>
      <c r="M59" s="123">
        <v>0</v>
      </c>
      <c r="N59" s="120">
        <v>0</v>
      </c>
      <c r="O59" s="213">
        <f t="shared" si="17"/>
        <v>0</v>
      </c>
      <c r="P59" s="213">
        <f>VALUE(J_normdate(J_ADDDAY($D59,$O59,1)))</f>
        <v>13980710</v>
      </c>
      <c r="Q59" s="209">
        <f t="shared" si="14"/>
        <v>0</v>
      </c>
      <c r="R59" s="207"/>
      <c r="S59" s="207"/>
      <c r="T59" s="207"/>
      <c r="U59" s="207"/>
      <c r="V59" s="207"/>
      <c r="W59" s="207"/>
      <c r="X59" s="207"/>
      <c r="Y59" s="207"/>
      <c r="Z59" s="207"/>
      <c r="AA59" s="207"/>
      <c r="AB59" s="207"/>
      <c r="AC59" s="207"/>
      <c r="AD59" s="207"/>
      <c r="AE59" s="207"/>
      <c r="AF59" s="207"/>
      <c r="AG59" s="207"/>
      <c r="AH59" s="207"/>
      <c r="AI59" s="207"/>
      <c r="AJ59" s="207"/>
      <c r="AK59" s="207"/>
      <c r="AL59" s="207"/>
      <c r="AM59" s="207"/>
      <c r="AN59" s="207"/>
      <c r="AO59" s="207"/>
      <c r="AP59" s="207"/>
      <c r="AQ59" s="207"/>
      <c r="AR59" s="207"/>
      <c r="AS59" s="207"/>
      <c r="AT59" s="207"/>
      <c r="AU59" s="207"/>
      <c r="AV59" s="207"/>
      <c r="AW59" s="207"/>
      <c r="AX59" s="207"/>
      <c r="AY59" s="207"/>
      <c r="AZ59" s="207"/>
      <c r="BA59" s="207"/>
      <c r="BB59" s="207"/>
      <c r="BC59" s="207"/>
      <c r="BD59" s="207"/>
      <c r="BE59" s="207"/>
      <c r="BF59" s="207"/>
      <c r="BG59" s="207"/>
      <c r="BH59" s="207"/>
      <c r="BI59" s="207"/>
      <c r="BJ59" s="207"/>
      <c r="BK59" s="207"/>
      <c r="BL59" s="207"/>
      <c r="BM59" s="207"/>
      <c r="BN59" s="207"/>
      <c r="BO59" s="207"/>
      <c r="BP59" s="207"/>
      <c r="BQ59" s="207"/>
      <c r="BR59" s="207"/>
      <c r="BS59" s="207"/>
      <c r="BT59" s="207"/>
      <c r="BU59" s="207"/>
      <c r="BV59" s="207"/>
      <c r="BW59" s="207"/>
      <c r="BX59" s="207"/>
      <c r="BY59" s="207"/>
      <c r="BZ59" s="207"/>
      <c r="CA59" s="207"/>
      <c r="CB59" s="207"/>
      <c r="CC59" s="207"/>
      <c r="CD59" s="207"/>
      <c r="CE59" s="207"/>
      <c r="CF59" s="207"/>
      <c r="CG59" s="207"/>
      <c r="CH59" s="207"/>
      <c r="CI59" s="207"/>
      <c r="CJ59" s="207"/>
      <c r="CK59" s="207"/>
      <c r="CL59" s="207"/>
      <c r="CM59" s="207"/>
      <c r="CN59" s="207"/>
      <c r="CO59" s="207"/>
      <c r="CP59" s="207"/>
      <c r="CQ59" s="207"/>
      <c r="CR59" s="207"/>
      <c r="CS59" s="207"/>
      <c r="CT59" s="207"/>
      <c r="CU59" s="207"/>
      <c r="CV59" s="207"/>
      <c r="CW59" s="207"/>
      <c r="CX59" s="207"/>
      <c r="CY59" s="207"/>
      <c r="CZ59" s="207"/>
      <c r="DA59" s="207"/>
      <c r="DB59" s="207"/>
      <c r="DC59" s="207"/>
      <c r="DD59" s="207"/>
      <c r="DE59" s="207"/>
      <c r="DF59" s="207"/>
      <c r="DG59" s="207"/>
      <c r="DH59" s="207"/>
      <c r="DI59" s="207"/>
      <c r="DJ59" s="207"/>
      <c r="DK59" s="207"/>
      <c r="DL59" s="207"/>
      <c r="DM59" s="207"/>
      <c r="DN59" s="207"/>
      <c r="DO59" s="207"/>
      <c r="DP59" s="207"/>
      <c r="DQ59" s="207"/>
      <c r="DR59" s="207"/>
      <c r="DS59" s="207"/>
      <c r="DT59" s="207"/>
      <c r="DU59" s="207"/>
      <c r="DV59" s="207"/>
      <c r="DW59" s="207"/>
      <c r="DX59" s="207"/>
      <c r="DY59" s="207"/>
      <c r="DZ59" s="207"/>
      <c r="EA59" s="207"/>
      <c r="EB59" s="207"/>
      <c r="EC59" s="207"/>
      <c r="ED59" s="207"/>
      <c r="EE59" s="207"/>
      <c r="EF59" s="207"/>
      <c r="EG59" s="207"/>
      <c r="EH59" s="207"/>
      <c r="EI59" s="207"/>
      <c r="EJ59" s="207"/>
      <c r="EK59" s="207"/>
      <c r="EL59" s="207"/>
      <c r="EM59" s="207"/>
      <c r="EN59" s="207"/>
      <c r="EO59" s="207"/>
      <c r="EP59" s="207"/>
      <c r="EQ59" s="207"/>
      <c r="ER59" s="207"/>
      <c r="ES59" s="207"/>
      <c r="ET59" s="207"/>
      <c r="EU59" s="207"/>
      <c r="EV59" s="207"/>
      <c r="EW59" s="207"/>
      <c r="EX59" s="207"/>
      <c r="EY59" s="207"/>
      <c r="EZ59" s="207"/>
      <c r="FA59" s="207"/>
      <c r="FB59" s="207"/>
      <c r="FC59" s="207"/>
      <c r="FD59" s="207"/>
      <c r="FE59" s="207"/>
      <c r="FF59" s="207"/>
      <c r="FG59" s="207"/>
      <c r="FH59" s="207"/>
      <c r="FI59" s="207"/>
      <c r="FJ59" s="207"/>
      <c r="FK59" s="207"/>
      <c r="FL59" s="207"/>
      <c r="FM59" s="207"/>
      <c r="FN59" s="207"/>
      <c r="FO59" s="207"/>
      <c r="FP59" s="207"/>
      <c r="FQ59" s="207"/>
      <c r="FR59" s="207"/>
      <c r="FS59" s="207"/>
      <c r="FT59" s="207"/>
      <c r="FU59" s="207"/>
      <c r="FV59" s="207"/>
      <c r="FW59" s="207"/>
      <c r="FX59" s="207"/>
      <c r="FY59" s="207"/>
      <c r="FZ59" s="207"/>
      <c r="GA59" s="207"/>
      <c r="GB59" s="207"/>
      <c r="GC59" s="207"/>
      <c r="GD59" s="207"/>
      <c r="GE59" s="207"/>
      <c r="GF59" s="207"/>
      <c r="GG59" s="207"/>
      <c r="GH59" s="207"/>
      <c r="GI59" s="207"/>
      <c r="GJ59" s="207"/>
      <c r="GK59" s="207"/>
      <c r="GL59" s="207"/>
      <c r="GM59" s="207"/>
      <c r="GN59" s="207"/>
      <c r="GO59" s="207"/>
      <c r="GP59" s="207"/>
      <c r="GQ59" s="207"/>
      <c r="GR59" s="207"/>
      <c r="GS59" s="207"/>
      <c r="GT59" s="207"/>
      <c r="GU59" s="207"/>
      <c r="GV59" s="207"/>
      <c r="GW59" s="207"/>
      <c r="GX59" s="207"/>
      <c r="GY59" s="207"/>
      <c r="GZ59" s="207"/>
      <c r="HA59" s="207"/>
      <c r="HB59" s="207"/>
      <c r="HC59" s="207"/>
      <c r="HD59" s="207"/>
      <c r="HE59" s="207"/>
      <c r="HF59" s="207"/>
      <c r="HG59" s="207"/>
      <c r="HH59" s="207"/>
      <c r="HI59" s="207"/>
      <c r="HJ59" s="207"/>
      <c r="HK59" s="207"/>
      <c r="HL59" s="207"/>
      <c r="HM59" s="207"/>
      <c r="HN59" s="207"/>
      <c r="HO59" s="207"/>
      <c r="HP59" s="207"/>
      <c r="HQ59" s="207"/>
      <c r="HR59" s="207"/>
      <c r="HS59" s="207"/>
      <c r="HT59" s="207"/>
      <c r="HU59" s="207"/>
      <c r="HV59" s="207"/>
      <c r="HW59" s="207"/>
      <c r="HX59" s="207"/>
      <c r="HY59" s="207"/>
      <c r="HZ59" s="207"/>
      <c r="IA59" s="207"/>
      <c r="IB59" s="207"/>
      <c r="IC59" s="207"/>
      <c r="ID59" s="207"/>
      <c r="IE59" s="207"/>
      <c r="IF59" s="207"/>
      <c r="IG59" s="207"/>
      <c r="IH59" s="207"/>
      <c r="II59" s="207"/>
      <c r="IJ59" s="207"/>
      <c r="IK59" s="207"/>
      <c r="IL59" s="207"/>
      <c r="IM59" s="207"/>
      <c r="IN59" s="207"/>
      <c r="IO59" s="207"/>
      <c r="IP59" s="207"/>
      <c r="IQ59" s="207"/>
      <c r="IR59" s="207"/>
      <c r="IS59" s="207"/>
      <c r="IT59" s="207"/>
      <c r="IU59" s="207"/>
      <c r="IV59" s="207"/>
      <c r="IW59" s="207"/>
      <c r="IX59" s="207"/>
      <c r="IY59" s="32">
        <v>3</v>
      </c>
      <c r="IZ59" s="44">
        <f>(TEXT(K59,"[m]")/60)*VLOOKUP(IY59,'Income Person-hours'!A$2:C$5,3,FALSE)</f>
        <v>0</v>
      </c>
      <c r="JA59" s="124"/>
      <c r="JB59" s="124"/>
      <c r="JC59" s="124"/>
      <c r="JD59" s="232">
        <f>SUM((TEXT(JA59,"[M]")/60)*'Income Person-hours'!$D$3,(TEXT(JB59,"[M]")/60)*'Income Person-hours'!$D$4,(TEXT(JC59,"[M]")/60)*'Income Person-hours'!$D$5)</f>
        <v>0</v>
      </c>
    </row>
    <row r="60" spans="1:16384" s="12" customFormat="1" ht="15.75" hidden="1" x14ac:dyDescent="0.45">
      <c r="A60" s="206">
        <v>3.7</v>
      </c>
      <c r="B60" s="118"/>
      <c r="C60" s="119" t="s">
        <v>155</v>
      </c>
      <c r="D60" s="8" t="str">
        <f>IF(OR(j_WEEKDAY(J_ADDDAY(VLOOKUP(I60,A:F,6,FALSE),H60,1),0)=6,SUMIFS(Holieday[ok],Holieday[date],J_ADDDAY(VLOOKUP(I60,A:F,6,FALSE),H60,1)))=FALSE(),J_ADDDAY(VLOOKUP(I60,A:F,6,FALSE),H60,1),IF(OR(j_WEEKDAY(J_ADDDAY(VLOOKUP(I60,A:F,6,FALSE),H60+1,1),0)=6,SUMIFS(Holieday[ok],Holieday[date],J_ADDDAY(VLOOKUP(I60,A:F,6,FALSE),H60+1,1)))=FALSE(),J_ADDDAY(VLOOKUP(I60,A:F,6,FALSE),H60+1,1),IF(OR(j_WEEKDAY(J_ADDDAY(VLOOKUP(I60,A:F,6,FALSE),H60+2,1),0)=6,SUMIFS(Holieday[ok],Holieday[date],J_ADDDAY(VLOOKUP(I60,A:F,6,FALSE),H60+2,1)))=FALSE(),J_ADDDAY(VLOOKUP(I60,A:F,6,FALSE),H60+2,1),IF(OR(j_WEEKDAY(J_ADDDAY(VLOOKUP(I60,A:F,6,FALSE),H60+3,1),0)=6,SUMIFS(Holieday[ok],Holieday[date],J_ADDDAY(VLOOKUP(I60,A:F,6,FALSE),H60+3,1)))=FALSE(),J_ADDDAY(VLOOKUP(I60,A:F,6,FALSE),H60+3,1),IF(OR(j_WEEKDAY(J_ADDDAY(VLOOKUP(I60,A:F,6,FALSE),H60+4,1),0)=6,SUMIFS(Holieday[ok],Holieday[date],J_ADDDAY(VLOOKUP(I60,A:F,6,FALSE),H60+4,1)))=FALSE(),J_ADDDAY(VLOOKUP(I60,A:F,6,FALSE),H60+4,1),J_ADDDAY(VLOOKUP(I60,A:F,6,FALSE),H60+5,1))))))</f>
        <v>1398/07/10</v>
      </c>
      <c r="E60" s="2">
        <f t="shared" si="15"/>
        <v>13980710</v>
      </c>
      <c r="F60" s="13" t="str">
        <f>IF(N60=0,J_SUBDAY(D60,1,1),IF((N60-(NETWORKDAYS.INTL(J_GregorianDate(D60,1),J_GregorianDate(J_SUBDAY(J_ADDDAY(D60,N60,1),1,1),1),16,1)))+SUMIFS(Holieday[ok],Holieday[date],CONCATENATE("&gt;","=",D60),Holieday[date],CONCATENATE("&lt;","=",J_SUBDAY(J_ADDDAY(D60,N60,1),1,1)))-SUMIFS(Holieday[Friday],Holieday[date],CONCATENATE("&gt;","=",D60),Holieday[date],CONCATENATE("&lt;","=",J_SUBDAY(J_ADDDAY(D60,N60,1),1,1)))=0,J_SUBDAY(J_ADDDAY(D60,N60,1),1,1),IF((N60+1-(NETWORKDAYS.INTL(J_GregorianDate(D60,1),J_GregorianDate(J_SUBDAY(J_ADDDAY(D60,N60+1,1),1,1),1),16,1)))+SUMIFS(Holieday[ok],Holieday[date],CONCATENATE("&gt;","=",D60),Holieday[date],CONCATENATE("&lt;","=",J_SUBDAY(J_ADDDAY(D60,N60+1,1),1,1)))-SUMIFS(Holieday[Friday],Holieday[date],CONCATENATE("&gt;","=",D60),Holieday[date],CONCATENATE("&lt;","=",J_SUBDAY(J_ADDDAY(D60,N60+1,1),1,1)))=1,J_SUBDAY(J_ADDDAY(D60,N60+1,1),1,1),IF((N60+2-(NETWORKDAYS.INTL(J_GregorianDate(D60,1),J_GregorianDate(J_SUBDAY(J_ADDDAY(D60,N60+2,1),1,1),1),16,1)))+SUMIFS(Holieday[ok],Holieday[date],CONCATENATE("&gt;","=",D60),Holieday[date],CONCATENATE("&lt;","=",J_SUBDAY(J_ADDDAY(D60,N60+2,1),1,1)))-SUMIFS(Holieday[Friday],Holieday[date],CONCATENATE("&gt;","=",D60),Holieday[date],CONCATENATE("&lt;","=",J_SUBDAY(J_ADDDAY(D60,N60+2,1),1,1)))=2,J_SUBDAY(J_ADDDAY(D60,N60+2,1),1,1),IF((N60+3-(NETWORKDAYS.INTL(J_GregorianDate(D60,1),J_GregorianDate(J_SUBDAY(J_ADDDAY(D60,N60+3,1),1,1),1),16,1)))+SUMIFS(Holieday[ok],Holieday[date],CONCATENATE("&gt;","=",D60),Holieday[date],CONCATENATE("&lt;","=",J_SUBDAY(J_ADDDAY(D60,N60+3,1),1,1)))-SUMIFS(Holieday[Friday],Holieday[date],CONCATENATE("&gt;","=",D60),Holieday[date],CONCATENATE("&lt;","=",J_SUBDAY(J_ADDDAY(D60,N60+3,1),1,1)))=3,J_SUBDAY(J_ADDDAY(D60,N60+3,1),1,1),IF((N60+4-(NETWORKDAYS.INTL(J_GregorianDate(D60,1),J_GregorianDate(J_SUBDAY(J_ADDDAY(D60,N60+4,1),1,1),1),16,1)))+SUMIFS(Holieday[ok],Holieday[date],CONCATENATE("&gt;","=",D60),Holieday[date],CONCATENATE("&lt;","=",J_SUBDAY(J_ADDDAY(D60,N60+4,1),1,1)))-SUMIFS(Holieday[Friday],Holieday[date],CONCATENATE("&gt;","=",D60),Holieday[date],CONCATENATE("&lt;","=",J_SUBDAY(J_ADDDAY(D60,N60+4,1),1,1)))=4,J_SUBDAY(J_ADDDAY(D60,N60+4,1),1,1),IF((N60+5-(NETWORKDAYS.INTL(J_GregorianDate(D60,1),J_GregorianDate(J_SUBDAY(J_ADDDAY(D60,N60+5,1),1,1),1),16,1)))+SUMIFS(Holieday[ok],Holieday[date],CONCATENATE("&gt;","=",D60),Holieday[date],CONCATENATE("&lt;","=",J_SUBDAY(J_ADDDAY(D60,N60+5,1),1,1)))-SUMIFS(Holieday[Friday],Holieday[date],CONCATENATE("&gt;","=",D60),Holieday[date],CONCATENATE("&lt;","=",J_SUBDAY(J_ADDDAY(D60,N60+5,1),1,1)))=5,J_SUBDAY(J_ADDDAY(D60,N60+5,1),1,1),J_SUBDAY(J_ADDDAY(D60,N60+6,1),1,1))))))))</f>
        <v>1398/07/09</v>
      </c>
      <c r="G60" s="3">
        <f t="shared" si="16"/>
        <v>13980709</v>
      </c>
      <c r="H60" s="121"/>
      <c r="I60" s="122">
        <v>3.4</v>
      </c>
      <c r="J60" s="10" t="str">
        <f>j_WEEKDAY(D60,1)</f>
        <v>چهارشنبه</v>
      </c>
      <c r="K60" s="23">
        <f>SUM(JA60:JC60)</f>
        <v>0.91666666666666663</v>
      </c>
      <c r="L60" s="9">
        <f t="shared" si="19"/>
        <v>0</v>
      </c>
      <c r="M60" s="123">
        <v>0</v>
      </c>
      <c r="N60" s="120">
        <v>0</v>
      </c>
      <c r="O60" s="11">
        <f t="shared" si="17"/>
        <v>0</v>
      </c>
      <c r="P60" s="11">
        <f>VALUE(J_normdate(J_ADDDAY($D60,$O60,1)))</f>
        <v>13980710</v>
      </c>
      <c r="Q60" s="10">
        <f t="shared" si="14"/>
        <v>0</v>
      </c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  <c r="ES60" s="8"/>
      <c r="ET60" s="8"/>
      <c r="EU60" s="8"/>
      <c r="EV60" s="8"/>
      <c r="EW60" s="8"/>
      <c r="EX60" s="8"/>
      <c r="EY60" s="8"/>
      <c r="EZ60" s="8"/>
      <c r="FA60" s="8"/>
      <c r="FB60" s="8"/>
      <c r="FC60" s="8"/>
      <c r="FD60" s="8"/>
      <c r="FE60" s="8"/>
      <c r="FF60" s="8"/>
      <c r="FG60" s="8"/>
      <c r="FH60" s="8"/>
      <c r="FI60" s="8"/>
      <c r="FJ60" s="8"/>
      <c r="FK60" s="8"/>
      <c r="FL60" s="8"/>
      <c r="FM60" s="8"/>
      <c r="FN60" s="8"/>
      <c r="FO60" s="8"/>
      <c r="FP60" s="8"/>
      <c r="FQ60" s="8"/>
      <c r="FR60" s="8"/>
      <c r="FS60" s="8"/>
      <c r="FT60" s="8"/>
      <c r="FU60" s="8"/>
      <c r="FV60" s="8"/>
      <c r="FW60" s="8"/>
      <c r="FX60" s="8"/>
      <c r="FY60" s="8"/>
      <c r="FZ60" s="8"/>
      <c r="GA60" s="8"/>
      <c r="GB60" s="8"/>
      <c r="GC60" s="8"/>
      <c r="GD60" s="8"/>
      <c r="GE60" s="8"/>
      <c r="GF60" s="8"/>
      <c r="GG60" s="8"/>
      <c r="GH60" s="8"/>
      <c r="GI60" s="8"/>
      <c r="GJ60" s="8"/>
      <c r="GK60" s="8"/>
      <c r="GL60" s="8"/>
      <c r="GM60" s="8"/>
      <c r="GN60" s="8"/>
      <c r="GO60" s="8"/>
      <c r="GP60" s="8"/>
      <c r="GQ60" s="8"/>
      <c r="GR60" s="8"/>
      <c r="GS60" s="8"/>
      <c r="GT60" s="8"/>
      <c r="GU60" s="8"/>
      <c r="GV60" s="8"/>
      <c r="GW60" s="8"/>
      <c r="GX60" s="8"/>
      <c r="GY60" s="8"/>
      <c r="GZ60" s="8"/>
      <c r="HA60" s="8"/>
      <c r="HB60" s="8"/>
      <c r="HC60" s="8"/>
      <c r="HD60" s="8"/>
      <c r="HE60" s="8"/>
      <c r="HF60" s="8"/>
      <c r="HG60" s="8"/>
      <c r="HH60" s="8"/>
      <c r="HI60" s="8"/>
      <c r="HJ60" s="8"/>
      <c r="HK60" s="8"/>
      <c r="HL60" s="8"/>
      <c r="HM60" s="8"/>
      <c r="HN60" s="8"/>
      <c r="HO60" s="8"/>
      <c r="HP60" s="8"/>
      <c r="HQ60" s="8"/>
      <c r="HR60" s="8"/>
      <c r="HS60" s="8"/>
      <c r="HT60" s="8"/>
      <c r="HU60" s="8"/>
      <c r="HV60" s="8"/>
      <c r="HW60" s="8"/>
      <c r="HX60" s="8"/>
      <c r="HY60" s="8"/>
      <c r="HZ60" s="8"/>
      <c r="IA60" s="8"/>
      <c r="IB60" s="8"/>
      <c r="IC60" s="8"/>
      <c r="ID60" s="8"/>
      <c r="IE60" s="8"/>
      <c r="IF60" s="8"/>
      <c r="IG60" s="8"/>
      <c r="IH60" s="8"/>
      <c r="II60" s="8"/>
      <c r="IJ60" s="8"/>
      <c r="IK60" s="8"/>
      <c r="IL60" s="8"/>
      <c r="IM60" s="8"/>
      <c r="IN60" s="8"/>
      <c r="IO60" s="8"/>
      <c r="IP60" s="8"/>
      <c r="IQ60" s="8"/>
      <c r="IR60" s="8"/>
      <c r="IS60" s="8"/>
      <c r="IT60" s="8"/>
      <c r="IU60" s="8"/>
      <c r="IV60" s="8"/>
      <c r="IW60" s="8"/>
      <c r="IX60" s="8"/>
      <c r="IY60" s="32">
        <v>1</v>
      </c>
      <c r="IZ60" s="32"/>
      <c r="JA60" s="124">
        <v>8.3333333333333329E-2</v>
      </c>
      <c r="JB60" s="124">
        <v>0.16666666666666666</v>
      </c>
      <c r="JC60" s="124">
        <v>0.66666666666666663</v>
      </c>
      <c r="JD60" s="72">
        <f>SUM((TEXT(JA60,"[M]")/60)*'Income Person-hours'!$D$3,(TEXT(JB60,"[M]")/60)*'Income Person-hours'!$D$4,(TEXT(JC60,"[M]")/60)*'Income Person-hours'!$D$5)</f>
        <v>14944000</v>
      </c>
    </row>
    <row r="61" spans="1:16384" s="12" customFormat="1" ht="15.75" hidden="1" x14ac:dyDescent="0.45">
      <c r="A61" s="206">
        <v>3.8</v>
      </c>
      <c r="B61" s="128"/>
      <c r="C61" s="119"/>
      <c r="D61" s="8" t="str">
        <f>IF(OR(j_WEEKDAY(J_ADDDAY(VLOOKUP(I61,A:F,6,FALSE),H61,1),0)=6,SUMIFS(Holieday[ok],Holieday[date],J_ADDDAY(VLOOKUP(I61,A:F,6,FALSE),H61,1)))=FALSE(),J_ADDDAY(VLOOKUP(I61,A:F,6,FALSE),H61,1),IF(OR(j_WEEKDAY(J_ADDDAY(VLOOKUP(I61,A:F,6,FALSE),H61+1,1),0)=6,SUMIFS(Holieday[ok],Holieday[date],J_ADDDAY(VLOOKUP(I61,A:F,6,FALSE),H61+1,1)))=FALSE(),J_ADDDAY(VLOOKUP(I61,A:F,6,FALSE),H61+1,1),IF(OR(j_WEEKDAY(J_ADDDAY(VLOOKUP(I61,A:F,6,FALSE),H61+2,1),0)=6,SUMIFS(Holieday[ok],Holieday[date],J_ADDDAY(VLOOKUP(I61,A:F,6,FALSE),H61+2,1)))=FALSE(),J_ADDDAY(VLOOKUP(I61,A:F,6,FALSE),H61+2,1),IF(OR(j_WEEKDAY(J_ADDDAY(VLOOKUP(I61,A:F,6,FALSE),H61+3,1),0)=6,SUMIFS(Holieday[ok],Holieday[date],J_ADDDAY(VLOOKUP(I61,A:F,6,FALSE),H61+3,1)))=FALSE(),J_ADDDAY(VLOOKUP(I61,A:F,6,FALSE),H61+3,1),IF(OR(j_WEEKDAY(J_ADDDAY(VLOOKUP(I61,A:F,6,FALSE),H61+4,1),0)=6,SUMIFS(Holieday[ok],Holieday[date],J_ADDDAY(VLOOKUP(I61,A:F,6,FALSE),H61+4,1)))=FALSE(),J_ADDDAY(VLOOKUP(I61,A:F,6,FALSE),H61+4,1),J_ADDDAY(VLOOKUP(I61,A:F,6,FALSE),H61+5,1))))))</f>
        <v>1398/07/10</v>
      </c>
      <c r="E61" s="2">
        <f t="shared" si="15"/>
        <v>13980710</v>
      </c>
      <c r="F61" s="13" t="str">
        <f>IF(N61=0,J_SUBDAY(D61,1,1),IF((N61-(NETWORKDAYS.INTL(J_GregorianDate(D61,1),J_GregorianDate(J_SUBDAY(J_ADDDAY(D61,N61,1),1,1),1),16,1)))+SUMIFS(Holieday[ok],Holieday[date],CONCATENATE("&gt;","=",D61),Holieday[date],CONCATENATE("&lt;","=",J_SUBDAY(J_ADDDAY(D61,N61,1),1,1)))-SUMIFS(Holieday[Friday],Holieday[date],CONCATENATE("&gt;","=",D61),Holieday[date],CONCATENATE("&lt;","=",J_SUBDAY(J_ADDDAY(D61,N61,1),1,1)))=0,J_SUBDAY(J_ADDDAY(D61,N61,1),1,1),IF((N61+1-(NETWORKDAYS.INTL(J_GregorianDate(D61,1),J_GregorianDate(J_SUBDAY(J_ADDDAY(D61,N61+1,1),1,1),1),16,1)))+SUMIFS(Holieday[ok],Holieday[date],CONCATENATE("&gt;","=",D61),Holieday[date],CONCATENATE("&lt;","=",J_SUBDAY(J_ADDDAY(D61,N61+1,1),1,1)))-SUMIFS(Holieday[Friday],Holieday[date],CONCATENATE("&gt;","=",D61),Holieday[date],CONCATENATE("&lt;","=",J_SUBDAY(J_ADDDAY(D61,N61+1,1),1,1)))=1,J_SUBDAY(J_ADDDAY(D61,N61+1,1),1,1),IF((N61+2-(NETWORKDAYS.INTL(J_GregorianDate(D61,1),J_GregorianDate(J_SUBDAY(J_ADDDAY(D61,N61+2,1),1,1),1),16,1)))+SUMIFS(Holieday[ok],Holieday[date],CONCATENATE("&gt;","=",D61),Holieday[date],CONCATENATE("&lt;","=",J_SUBDAY(J_ADDDAY(D61,N61+2,1),1,1)))-SUMIFS(Holieday[Friday],Holieday[date],CONCATENATE("&gt;","=",D61),Holieday[date],CONCATENATE("&lt;","=",J_SUBDAY(J_ADDDAY(D61,N61+2,1),1,1)))=2,J_SUBDAY(J_ADDDAY(D61,N61+2,1),1,1),IF((N61+3-(NETWORKDAYS.INTL(J_GregorianDate(D61,1),J_GregorianDate(J_SUBDAY(J_ADDDAY(D61,N61+3,1),1,1),1),16,1)))+SUMIFS(Holieday[ok],Holieday[date],CONCATENATE("&gt;","=",D61),Holieday[date],CONCATENATE("&lt;","=",J_SUBDAY(J_ADDDAY(D61,N61+3,1),1,1)))-SUMIFS(Holieday[Friday],Holieday[date],CONCATENATE("&gt;","=",D61),Holieday[date],CONCATENATE("&lt;","=",J_SUBDAY(J_ADDDAY(D61,N61+3,1),1,1)))=3,J_SUBDAY(J_ADDDAY(D61,N61+3,1),1,1),IF((N61+4-(NETWORKDAYS.INTL(J_GregorianDate(D61,1),J_GregorianDate(J_SUBDAY(J_ADDDAY(D61,N61+4,1),1,1),1),16,1)))+SUMIFS(Holieday[ok],Holieday[date],CONCATENATE("&gt;","=",D61),Holieday[date],CONCATENATE("&lt;","=",J_SUBDAY(J_ADDDAY(D61,N61+4,1),1,1)))-SUMIFS(Holieday[Friday],Holieday[date],CONCATENATE("&gt;","=",D61),Holieday[date],CONCATENATE("&lt;","=",J_SUBDAY(J_ADDDAY(D61,N61+4,1),1,1)))=4,J_SUBDAY(J_ADDDAY(D61,N61+4,1),1,1),IF((N61+5-(NETWORKDAYS.INTL(J_GregorianDate(D61,1),J_GregorianDate(J_SUBDAY(J_ADDDAY(D61,N61+5,1),1,1),1),16,1)))+SUMIFS(Holieday[ok],Holieday[date],CONCATENATE("&gt;","=",D61),Holieday[date],CONCATENATE("&lt;","=",J_SUBDAY(J_ADDDAY(D61,N61+5,1),1,1)))-SUMIFS(Holieday[Friday],Holieday[date],CONCATENATE("&gt;","=",D61),Holieday[date],CONCATENATE("&lt;","=",J_SUBDAY(J_ADDDAY(D61,N61+5,1),1,1)))=5,J_SUBDAY(J_ADDDAY(D61,N61+5,1),1,1),J_SUBDAY(J_ADDDAY(D61,N61+6,1),1,1))))))))</f>
        <v>1398/07/09</v>
      </c>
      <c r="G61" s="3">
        <f t="shared" si="16"/>
        <v>13980709</v>
      </c>
      <c r="H61" s="121"/>
      <c r="I61" s="122">
        <v>3.4</v>
      </c>
      <c r="J61" s="10" t="str">
        <f>j_WEEKDAY(D61,1)</f>
        <v>چهارشنبه</v>
      </c>
      <c r="K61" s="23">
        <f t="shared" si="18"/>
        <v>0.41666666666666663</v>
      </c>
      <c r="L61" s="9">
        <f t="shared" si="19"/>
        <v>0</v>
      </c>
      <c r="M61" s="123">
        <v>0</v>
      </c>
      <c r="N61" s="120">
        <v>0</v>
      </c>
      <c r="O61" s="11">
        <f t="shared" si="17"/>
        <v>0</v>
      </c>
      <c r="P61" s="11">
        <f>VALUE(J_normdate(J_ADDDAY($D61,$O61,1)))</f>
        <v>13980710</v>
      </c>
      <c r="Q61" s="10">
        <f t="shared" si="14"/>
        <v>0</v>
      </c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  <c r="ES61" s="8"/>
      <c r="ET61" s="8"/>
      <c r="EU61" s="8"/>
      <c r="EV61" s="8"/>
      <c r="EW61" s="8"/>
      <c r="EX61" s="8"/>
      <c r="EY61" s="8"/>
      <c r="EZ61" s="8"/>
      <c r="FA61" s="8"/>
      <c r="FB61" s="8"/>
      <c r="FC61" s="8"/>
      <c r="FD61" s="8"/>
      <c r="FE61" s="8"/>
      <c r="FF61" s="8"/>
      <c r="FG61" s="8"/>
      <c r="FH61" s="8"/>
      <c r="FI61" s="8"/>
      <c r="FJ61" s="8"/>
      <c r="FK61" s="8"/>
      <c r="FL61" s="8"/>
      <c r="FM61" s="8"/>
      <c r="FN61" s="8"/>
      <c r="FO61" s="8"/>
      <c r="FP61" s="8"/>
      <c r="FQ61" s="8"/>
      <c r="FR61" s="8"/>
      <c r="FS61" s="8"/>
      <c r="FT61" s="8"/>
      <c r="FU61" s="8"/>
      <c r="FV61" s="8"/>
      <c r="FW61" s="8"/>
      <c r="FX61" s="8"/>
      <c r="FY61" s="8"/>
      <c r="FZ61" s="8"/>
      <c r="GA61" s="8"/>
      <c r="GB61" s="8"/>
      <c r="GC61" s="8"/>
      <c r="GD61" s="8"/>
      <c r="GE61" s="8"/>
      <c r="GF61" s="8"/>
      <c r="GG61" s="8"/>
      <c r="GH61" s="8"/>
      <c r="GI61" s="8"/>
      <c r="GJ61" s="8"/>
      <c r="GK61" s="8"/>
      <c r="GL61" s="8"/>
      <c r="GM61" s="8"/>
      <c r="GN61" s="8"/>
      <c r="GO61" s="8"/>
      <c r="GP61" s="8"/>
      <c r="GQ61" s="8"/>
      <c r="GR61" s="8"/>
      <c r="GS61" s="8"/>
      <c r="GT61" s="8"/>
      <c r="GU61" s="8"/>
      <c r="GV61" s="8"/>
      <c r="GW61" s="8"/>
      <c r="GX61" s="8"/>
      <c r="GY61" s="8"/>
      <c r="GZ61" s="8"/>
      <c r="HA61" s="8"/>
      <c r="HB61" s="8"/>
      <c r="HC61" s="8"/>
      <c r="HD61" s="8"/>
      <c r="HE61" s="8"/>
      <c r="HF61" s="8"/>
      <c r="HG61" s="8"/>
      <c r="HH61" s="8"/>
      <c r="HI61" s="8"/>
      <c r="HJ61" s="8"/>
      <c r="HK61" s="8"/>
      <c r="HL61" s="8"/>
      <c r="HM61" s="8"/>
      <c r="HN61" s="8"/>
      <c r="HO61" s="8"/>
      <c r="HP61" s="8"/>
      <c r="HQ61" s="8"/>
      <c r="HR61" s="8"/>
      <c r="HS61" s="8"/>
      <c r="HT61" s="8"/>
      <c r="HU61" s="8"/>
      <c r="HV61" s="8"/>
      <c r="HW61" s="8"/>
      <c r="HX61" s="8"/>
      <c r="HY61" s="8"/>
      <c r="HZ61" s="8"/>
      <c r="IA61" s="8"/>
      <c r="IB61" s="8"/>
      <c r="IC61" s="8"/>
      <c r="ID61" s="8"/>
      <c r="IE61" s="8"/>
      <c r="IF61" s="8"/>
      <c r="IG61" s="8"/>
      <c r="IH61" s="8"/>
      <c r="II61" s="8"/>
      <c r="IJ61" s="8"/>
      <c r="IK61" s="8"/>
      <c r="IL61" s="8"/>
      <c r="IM61" s="8"/>
      <c r="IN61" s="8"/>
      <c r="IO61" s="8"/>
      <c r="IP61" s="8"/>
      <c r="IQ61" s="8"/>
      <c r="IR61" s="8"/>
      <c r="IS61" s="8"/>
      <c r="IT61" s="8"/>
      <c r="IU61" s="8"/>
      <c r="IV61" s="8"/>
      <c r="IW61" s="8"/>
      <c r="IX61" s="8"/>
      <c r="IY61" s="32">
        <v>1</v>
      </c>
      <c r="IZ61" s="32"/>
      <c r="JA61" s="124"/>
      <c r="JB61" s="124">
        <v>8.3333333333333329E-2</v>
      </c>
      <c r="JC61" s="124">
        <v>0.33333333333333331</v>
      </c>
      <c r="JD61" s="72">
        <f>SUM((TEXT(JA61,"[M]")/60)*'Income Person-hours'!$D$3,(TEXT(JB61,"[M]")/60)*'Income Person-hours'!$D$4,(TEXT(JC61,"[M]")/60)*'Income Person-hours'!$D$5)</f>
        <v>6272000</v>
      </c>
    </row>
    <row r="62" spans="1:16384" s="12" customFormat="1" ht="15.75" hidden="1" x14ac:dyDescent="0.45">
      <c r="A62" s="214">
        <v>3.9</v>
      </c>
      <c r="B62" s="128"/>
      <c r="C62" s="119"/>
      <c r="D62" s="8" t="str">
        <f>IF(OR(j_WEEKDAY(J_ADDDAY(VLOOKUP(I62,A:F,6,FALSE),H62,1),0)=6,SUMIFS(Holieday[ok],Holieday[date],J_ADDDAY(VLOOKUP(I62,A:F,6,FALSE),H62,1)))=FALSE(),J_ADDDAY(VLOOKUP(I62,A:F,6,FALSE),H62,1),IF(OR(j_WEEKDAY(J_ADDDAY(VLOOKUP(I62,A:F,6,FALSE),H62+1,1),0)=6,SUMIFS(Holieday[ok],Holieday[date],J_ADDDAY(VLOOKUP(I62,A:F,6,FALSE),H62+1,1)))=FALSE(),J_ADDDAY(VLOOKUP(I62,A:F,6,FALSE),H62+1,1),IF(OR(j_WEEKDAY(J_ADDDAY(VLOOKUP(I62,A:F,6,FALSE),H62+2,1),0)=6,SUMIFS(Holieday[ok],Holieday[date],J_ADDDAY(VLOOKUP(I62,A:F,6,FALSE),H62+2,1)))=FALSE(),J_ADDDAY(VLOOKUP(I62,A:F,6,FALSE),H62+2,1),IF(OR(j_WEEKDAY(J_ADDDAY(VLOOKUP(I62,A:F,6,FALSE),H62+3,1),0)=6,SUMIFS(Holieday[ok],Holieday[date],J_ADDDAY(VLOOKUP(I62,A:F,6,FALSE),H62+3,1)))=FALSE(),J_ADDDAY(VLOOKUP(I62,A:F,6,FALSE),H62+3,1),IF(OR(j_WEEKDAY(J_ADDDAY(VLOOKUP(I62,A:F,6,FALSE),H62+4,1),0)=6,SUMIFS(Holieday[ok],Holieday[date],J_ADDDAY(VLOOKUP(I62,A:F,6,FALSE),H62+4,1)))=FALSE(),J_ADDDAY(VLOOKUP(I62,A:F,6,FALSE),H62+4,1),J_ADDDAY(VLOOKUP(I62,A:F,6,FALSE),H62+5,1))))))</f>
        <v>1398/07/10</v>
      </c>
      <c r="E62" s="2">
        <f t="shared" si="15"/>
        <v>13980710</v>
      </c>
      <c r="F62" s="13" t="str">
        <f>IF(N62=0,J_SUBDAY(D62,1,1),IF((N62-(NETWORKDAYS.INTL(J_GregorianDate(D62,1),J_GregorianDate(J_SUBDAY(J_ADDDAY(D62,N62,1),1,1),1),16,1)))+SUMIFS(Holieday[ok],Holieday[date],CONCATENATE("&gt;","=",D62),Holieday[date],CONCATENATE("&lt;","=",J_SUBDAY(J_ADDDAY(D62,N62,1),1,1)))-SUMIFS(Holieday[Friday],Holieday[date],CONCATENATE("&gt;","=",D62),Holieday[date],CONCATENATE("&lt;","=",J_SUBDAY(J_ADDDAY(D62,N62,1),1,1)))=0,J_SUBDAY(J_ADDDAY(D62,N62,1),1,1),IF((N62+1-(NETWORKDAYS.INTL(J_GregorianDate(D62,1),J_GregorianDate(J_SUBDAY(J_ADDDAY(D62,N62+1,1),1,1),1),16,1)))+SUMIFS(Holieday[ok],Holieday[date],CONCATENATE("&gt;","=",D62),Holieday[date],CONCATENATE("&lt;","=",J_SUBDAY(J_ADDDAY(D62,N62+1,1),1,1)))-SUMIFS(Holieday[Friday],Holieday[date],CONCATENATE("&gt;","=",D62),Holieday[date],CONCATENATE("&lt;","=",J_SUBDAY(J_ADDDAY(D62,N62+1,1),1,1)))=1,J_SUBDAY(J_ADDDAY(D62,N62+1,1),1,1),IF((N62+2-(NETWORKDAYS.INTL(J_GregorianDate(D62,1),J_GregorianDate(J_SUBDAY(J_ADDDAY(D62,N62+2,1),1,1),1),16,1)))+SUMIFS(Holieday[ok],Holieday[date],CONCATENATE("&gt;","=",D62),Holieday[date],CONCATENATE("&lt;","=",J_SUBDAY(J_ADDDAY(D62,N62+2,1),1,1)))-SUMIFS(Holieday[Friday],Holieday[date],CONCATENATE("&gt;","=",D62),Holieday[date],CONCATENATE("&lt;","=",J_SUBDAY(J_ADDDAY(D62,N62+2,1),1,1)))=2,J_SUBDAY(J_ADDDAY(D62,N62+2,1),1,1),IF((N62+3-(NETWORKDAYS.INTL(J_GregorianDate(D62,1),J_GregorianDate(J_SUBDAY(J_ADDDAY(D62,N62+3,1),1,1),1),16,1)))+SUMIFS(Holieday[ok],Holieday[date],CONCATENATE("&gt;","=",D62),Holieday[date],CONCATENATE("&lt;","=",J_SUBDAY(J_ADDDAY(D62,N62+3,1),1,1)))-SUMIFS(Holieday[Friday],Holieday[date],CONCATENATE("&gt;","=",D62),Holieday[date],CONCATENATE("&lt;","=",J_SUBDAY(J_ADDDAY(D62,N62+3,1),1,1)))=3,J_SUBDAY(J_ADDDAY(D62,N62+3,1),1,1),IF((N62+4-(NETWORKDAYS.INTL(J_GregorianDate(D62,1),J_GregorianDate(J_SUBDAY(J_ADDDAY(D62,N62+4,1),1,1),1),16,1)))+SUMIFS(Holieday[ok],Holieday[date],CONCATENATE("&gt;","=",D62),Holieday[date],CONCATENATE("&lt;","=",J_SUBDAY(J_ADDDAY(D62,N62+4,1),1,1)))-SUMIFS(Holieday[Friday],Holieday[date],CONCATENATE("&gt;","=",D62),Holieday[date],CONCATENATE("&lt;","=",J_SUBDAY(J_ADDDAY(D62,N62+4,1),1,1)))=4,J_SUBDAY(J_ADDDAY(D62,N62+4,1),1,1),IF((N62+5-(NETWORKDAYS.INTL(J_GregorianDate(D62,1),J_GregorianDate(J_SUBDAY(J_ADDDAY(D62,N62+5,1),1,1),1),16,1)))+SUMIFS(Holieday[ok],Holieday[date],CONCATENATE("&gt;","=",D62),Holieday[date],CONCATENATE("&lt;","=",J_SUBDAY(J_ADDDAY(D62,N62+5,1),1,1)))-SUMIFS(Holieday[Friday],Holieday[date],CONCATENATE("&gt;","=",D62),Holieday[date],CONCATENATE("&lt;","=",J_SUBDAY(J_ADDDAY(D62,N62+5,1),1,1)))=5,J_SUBDAY(J_ADDDAY(D62,N62+5,1),1,1),J_SUBDAY(J_ADDDAY(D62,N62+6,1),1,1))))))))</f>
        <v>1398/07/09</v>
      </c>
      <c r="G62" s="3">
        <f t="shared" si="16"/>
        <v>13980709</v>
      </c>
      <c r="H62" s="121"/>
      <c r="I62" s="122">
        <v>3.4</v>
      </c>
      <c r="J62" s="10" t="str">
        <f>j_WEEKDAY(D62,1)</f>
        <v>چهارشنبه</v>
      </c>
      <c r="K62" s="23">
        <f t="shared" si="18"/>
        <v>0</v>
      </c>
      <c r="L62" s="9">
        <f t="shared" si="19"/>
        <v>0</v>
      </c>
      <c r="M62" s="123">
        <v>0</v>
      </c>
      <c r="N62" s="120">
        <v>0</v>
      </c>
      <c r="O62" s="11">
        <f t="shared" si="17"/>
        <v>0</v>
      </c>
      <c r="P62" s="11">
        <f>VALUE(J_normdate(J_ADDDAY($D62,$O62,1)))</f>
        <v>13980710</v>
      </c>
      <c r="Q62" s="10">
        <f t="shared" si="14"/>
        <v>0</v>
      </c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  <c r="ES62" s="8"/>
      <c r="ET62" s="8"/>
      <c r="EU62" s="8"/>
      <c r="EV62" s="8"/>
      <c r="EW62" s="8"/>
      <c r="EX62" s="8"/>
      <c r="EY62" s="8"/>
      <c r="EZ62" s="8"/>
      <c r="FA62" s="8"/>
      <c r="FB62" s="8"/>
      <c r="FC62" s="8"/>
      <c r="FD62" s="8"/>
      <c r="FE62" s="8"/>
      <c r="FF62" s="8"/>
      <c r="FG62" s="8"/>
      <c r="FH62" s="8"/>
      <c r="FI62" s="8"/>
      <c r="FJ62" s="8"/>
      <c r="FK62" s="8"/>
      <c r="FL62" s="8"/>
      <c r="FM62" s="8"/>
      <c r="FN62" s="8"/>
      <c r="FO62" s="8"/>
      <c r="FP62" s="8"/>
      <c r="FQ62" s="8"/>
      <c r="FR62" s="8"/>
      <c r="FS62" s="8"/>
      <c r="FT62" s="8"/>
      <c r="FU62" s="8"/>
      <c r="FV62" s="8"/>
      <c r="FW62" s="8"/>
      <c r="FX62" s="8"/>
      <c r="FY62" s="8"/>
      <c r="FZ62" s="8"/>
      <c r="GA62" s="8"/>
      <c r="GB62" s="8"/>
      <c r="GC62" s="8"/>
      <c r="GD62" s="8"/>
      <c r="GE62" s="8"/>
      <c r="GF62" s="8"/>
      <c r="GG62" s="8"/>
      <c r="GH62" s="8"/>
      <c r="GI62" s="8"/>
      <c r="GJ62" s="8"/>
      <c r="GK62" s="8"/>
      <c r="GL62" s="8"/>
      <c r="GM62" s="8"/>
      <c r="GN62" s="8"/>
      <c r="GO62" s="8"/>
      <c r="GP62" s="8"/>
      <c r="GQ62" s="8"/>
      <c r="GR62" s="8"/>
      <c r="GS62" s="8"/>
      <c r="GT62" s="8"/>
      <c r="GU62" s="8"/>
      <c r="GV62" s="8"/>
      <c r="GW62" s="8"/>
      <c r="GX62" s="8"/>
      <c r="GY62" s="8"/>
      <c r="GZ62" s="8"/>
      <c r="HA62" s="8"/>
      <c r="HB62" s="8"/>
      <c r="HC62" s="8"/>
      <c r="HD62" s="8"/>
      <c r="HE62" s="8"/>
      <c r="HF62" s="8"/>
      <c r="HG62" s="8"/>
      <c r="HH62" s="8"/>
      <c r="HI62" s="8"/>
      <c r="HJ62" s="8"/>
      <c r="HK62" s="8"/>
      <c r="HL62" s="8"/>
      <c r="HM62" s="8"/>
      <c r="HN62" s="8"/>
      <c r="HO62" s="8"/>
      <c r="HP62" s="8"/>
      <c r="HQ62" s="8"/>
      <c r="HR62" s="8"/>
      <c r="HS62" s="8"/>
      <c r="HT62" s="8"/>
      <c r="HU62" s="8"/>
      <c r="HV62" s="8"/>
      <c r="HW62" s="8"/>
      <c r="HX62" s="8"/>
      <c r="HY62" s="8"/>
      <c r="HZ62" s="8"/>
      <c r="IA62" s="8"/>
      <c r="IB62" s="8"/>
      <c r="IC62" s="8"/>
      <c r="ID62" s="8"/>
      <c r="IE62" s="8"/>
      <c r="IF62" s="8"/>
      <c r="IG62" s="8"/>
      <c r="IH62" s="8"/>
      <c r="II62" s="8"/>
      <c r="IJ62" s="8"/>
      <c r="IK62" s="8"/>
      <c r="IL62" s="8"/>
      <c r="IM62" s="8"/>
      <c r="IN62" s="8"/>
      <c r="IO62" s="8"/>
      <c r="IP62" s="8"/>
      <c r="IQ62" s="8"/>
      <c r="IR62" s="8"/>
      <c r="IS62" s="8"/>
      <c r="IT62" s="8"/>
      <c r="IU62" s="8"/>
      <c r="IV62" s="8"/>
      <c r="IW62" s="8"/>
      <c r="IX62" s="8"/>
      <c r="IY62" s="32">
        <v>1</v>
      </c>
      <c r="IZ62" s="32"/>
      <c r="JA62" s="125"/>
      <c r="JB62" s="125"/>
      <c r="JC62" s="125"/>
      <c r="JD62" s="72">
        <f>SUM((TEXT(JA62,"[M]")/60)*'Income Person-hours'!$D$3,(TEXT(JB62,"[M]")/60)*'Income Person-hours'!$D$4,(TEXT(JC62,"[M]")/60)*'Income Person-hours'!$D$5)</f>
        <v>0</v>
      </c>
    </row>
    <row r="63" spans="1:16384" s="12" customFormat="1" ht="15.75" hidden="1" x14ac:dyDescent="0.45">
      <c r="A63" s="33">
        <v>3.11</v>
      </c>
      <c r="B63" s="128"/>
      <c r="C63" s="119"/>
      <c r="D63" s="8" t="str">
        <f>IF(OR(j_WEEKDAY(J_ADDDAY(VLOOKUP(I63,A:F,6,FALSE),H63,1),0)=6,SUMIFS(Holieday[ok],Holieday[date],J_ADDDAY(VLOOKUP(I63,A:F,6,FALSE),H63,1)))=FALSE(),J_ADDDAY(VLOOKUP(I63,A:F,6,FALSE),H63,1),IF(OR(j_WEEKDAY(J_ADDDAY(VLOOKUP(I63,A:F,6,FALSE),H63+1,1),0)=6,SUMIFS(Holieday[ok],Holieday[date],J_ADDDAY(VLOOKUP(I63,A:F,6,FALSE),H63+1,1)))=FALSE(),J_ADDDAY(VLOOKUP(I63,A:F,6,FALSE),H63+1,1),IF(OR(j_WEEKDAY(J_ADDDAY(VLOOKUP(I63,A:F,6,FALSE),H63+2,1),0)=6,SUMIFS(Holieday[ok],Holieday[date],J_ADDDAY(VLOOKUP(I63,A:F,6,FALSE),H63+2,1)))=FALSE(),J_ADDDAY(VLOOKUP(I63,A:F,6,FALSE),H63+2,1),IF(OR(j_WEEKDAY(J_ADDDAY(VLOOKUP(I63,A:F,6,FALSE),H63+3,1),0)=6,SUMIFS(Holieday[ok],Holieday[date],J_ADDDAY(VLOOKUP(I63,A:F,6,FALSE),H63+3,1)))=FALSE(),J_ADDDAY(VLOOKUP(I63,A:F,6,FALSE),H63+3,1),IF(OR(j_WEEKDAY(J_ADDDAY(VLOOKUP(I63,A:F,6,FALSE),H63+4,1),0)=6,SUMIFS(Holieday[ok],Holieday[date],J_ADDDAY(VLOOKUP(I63,A:F,6,FALSE),H63+4,1)))=FALSE(),J_ADDDAY(VLOOKUP(I63,A:F,6,FALSE),H63+4,1),J_ADDDAY(VLOOKUP(I63,A:F,6,FALSE),H63+5,1))))))</f>
        <v>1398/07/10</v>
      </c>
      <c r="E63" s="2">
        <f t="shared" si="15"/>
        <v>13980710</v>
      </c>
      <c r="F63" s="13" t="str">
        <f>IF(N63=0,J_SUBDAY(D63,1,1),IF((N63-(NETWORKDAYS.INTL(J_GregorianDate(D63,1),J_GregorianDate(J_SUBDAY(J_ADDDAY(D63,N63,1),1,1),1),16,1)))+SUMIFS(Holieday[ok],Holieday[date],CONCATENATE("&gt;","=",D63),Holieday[date],CONCATENATE("&lt;","=",J_SUBDAY(J_ADDDAY(D63,N63,1),1,1)))-SUMIFS(Holieday[Friday],Holieday[date],CONCATENATE("&gt;","=",D63),Holieday[date],CONCATENATE("&lt;","=",J_SUBDAY(J_ADDDAY(D63,N63,1),1,1)))=0,J_SUBDAY(J_ADDDAY(D63,N63,1),1,1),IF((N63+1-(NETWORKDAYS.INTL(J_GregorianDate(D63,1),J_GregorianDate(J_SUBDAY(J_ADDDAY(D63,N63+1,1),1,1),1),16,1)))+SUMIFS(Holieday[ok],Holieday[date],CONCATENATE("&gt;","=",D63),Holieday[date],CONCATENATE("&lt;","=",J_SUBDAY(J_ADDDAY(D63,N63+1,1),1,1)))-SUMIFS(Holieday[Friday],Holieday[date],CONCATENATE("&gt;","=",D63),Holieday[date],CONCATENATE("&lt;","=",J_SUBDAY(J_ADDDAY(D63,N63+1,1),1,1)))=1,J_SUBDAY(J_ADDDAY(D63,N63+1,1),1,1),IF((N63+2-(NETWORKDAYS.INTL(J_GregorianDate(D63,1),J_GregorianDate(J_SUBDAY(J_ADDDAY(D63,N63+2,1),1,1),1),16,1)))+SUMIFS(Holieday[ok],Holieday[date],CONCATENATE("&gt;","=",D63),Holieday[date],CONCATENATE("&lt;","=",J_SUBDAY(J_ADDDAY(D63,N63+2,1),1,1)))-SUMIFS(Holieday[Friday],Holieday[date],CONCATENATE("&gt;","=",D63),Holieday[date],CONCATENATE("&lt;","=",J_SUBDAY(J_ADDDAY(D63,N63+2,1),1,1)))=2,J_SUBDAY(J_ADDDAY(D63,N63+2,1),1,1),IF((N63+3-(NETWORKDAYS.INTL(J_GregorianDate(D63,1),J_GregorianDate(J_SUBDAY(J_ADDDAY(D63,N63+3,1),1,1),1),16,1)))+SUMIFS(Holieday[ok],Holieday[date],CONCATENATE("&gt;","=",D63),Holieday[date],CONCATENATE("&lt;","=",J_SUBDAY(J_ADDDAY(D63,N63+3,1),1,1)))-SUMIFS(Holieday[Friday],Holieday[date],CONCATENATE("&gt;","=",D63),Holieday[date],CONCATENATE("&lt;","=",J_SUBDAY(J_ADDDAY(D63,N63+3,1),1,1)))=3,J_SUBDAY(J_ADDDAY(D63,N63+3,1),1,1),IF((N63+4-(NETWORKDAYS.INTL(J_GregorianDate(D63,1),J_GregorianDate(J_SUBDAY(J_ADDDAY(D63,N63+4,1),1,1),1),16,1)))+SUMIFS(Holieday[ok],Holieday[date],CONCATENATE("&gt;","=",D63),Holieday[date],CONCATENATE("&lt;","=",J_SUBDAY(J_ADDDAY(D63,N63+4,1),1,1)))-SUMIFS(Holieday[Friday],Holieday[date],CONCATENATE("&gt;","=",D63),Holieday[date],CONCATENATE("&lt;","=",J_SUBDAY(J_ADDDAY(D63,N63+4,1),1,1)))=4,J_SUBDAY(J_ADDDAY(D63,N63+4,1),1,1),IF((N63+5-(NETWORKDAYS.INTL(J_GregorianDate(D63,1),J_GregorianDate(J_SUBDAY(J_ADDDAY(D63,N63+5,1),1,1),1),16,1)))+SUMIFS(Holieday[ok],Holieday[date],CONCATENATE("&gt;","=",D63),Holieday[date],CONCATENATE("&lt;","=",J_SUBDAY(J_ADDDAY(D63,N63+5,1),1,1)))-SUMIFS(Holieday[Friday],Holieday[date],CONCATENATE("&gt;","=",D63),Holieday[date],CONCATENATE("&lt;","=",J_SUBDAY(J_ADDDAY(D63,N63+5,1),1,1)))=5,J_SUBDAY(J_ADDDAY(D63,N63+5,1),1,1),J_SUBDAY(J_ADDDAY(D63,N63+6,1),1,1))))))))</f>
        <v>1398/07/09</v>
      </c>
      <c r="G63" s="3">
        <f t="shared" si="16"/>
        <v>13980709</v>
      </c>
      <c r="H63" s="121"/>
      <c r="I63" s="122">
        <v>3.4</v>
      </c>
      <c r="J63" s="10" t="str">
        <f>j_WEEKDAY(D63,1)</f>
        <v>چهارشنبه</v>
      </c>
      <c r="K63" s="23">
        <f t="shared" si="18"/>
        <v>0</v>
      </c>
      <c r="L63" s="9">
        <f t="shared" si="19"/>
        <v>0</v>
      </c>
      <c r="M63" s="123">
        <v>0</v>
      </c>
      <c r="N63" s="120">
        <v>0</v>
      </c>
      <c r="O63" s="11">
        <f t="shared" si="17"/>
        <v>0</v>
      </c>
      <c r="P63" s="11">
        <f>VALUE(J_normdate(J_ADDDAY($D63,$O63,1)))</f>
        <v>13980710</v>
      </c>
      <c r="Q63" s="10">
        <f t="shared" si="14"/>
        <v>0</v>
      </c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  <c r="ES63" s="8"/>
      <c r="ET63" s="8"/>
      <c r="EU63" s="8"/>
      <c r="EV63" s="8"/>
      <c r="EW63" s="8"/>
      <c r="EX63" s="8"/>
      <c r="EY63" s="8"/>
      <c r="EZ63" s="8"/>
      <c r="FA63" s="8"/>
      <c r="FB63" s="8"/>
      <c r="FC63" s="8"/>
      <c r="FD63" s="8"/>
      <c r="FE63" s="8"/>
      <c r="FF63" s="8"/>
      <c r="FG63" s="8"/>
      <c r="FH63" s="8"/>
      <c r="FI63" s="8"/>
      <c r="FJ63" s="8"/>
      <c r="FK63" s="8"/>
      <c r="FL63" s="8"/>
      <c r="FM63" s="8"/>
      <c r="FN63" s="8"/>
      <c r="FO63" s="8"/>
      <c r="FP63" s="8"/>
      <c r="FQ63" s="8"/>
      <c r="FR63" s="8"/>
      <c r="FS63" s="8"/>
      <c r="FT63" s="8"/>
      <c r="FU63" s="8"/>
      <c r="FV63" s="8"/>
      <c r="FW63" s="8"/>
      <c r="FX63" s="8"/>
      <c r="FY63" s="8"/>
      <c r="FZ63" s="8"/>
      <c r="GA63" s="8"/>
      <c r="GB63" s="8"/>
      <c r="GC63" s="8"/>
      <c r="GD63" s="8"/>
      <c r="GE63" s="8"/>
      <c r="GF63" s="8"/>
      <c r="GG63" s="8"/>
      <c r="GH63" s="8"/>
      <c r="GI63" s="8"/>
      <c r="GJ63" s="8"/>
      <c r="GK63" s="8"/>
      <c r="GL63" s="8"/>
      <c r="GM63" s="8"/>
      <c r="GN63" s="8"/>
      <c r="GO63" s="8"/>
      <c r="GP63" s="8"/>
      <c r="GQ63" s="8"/>
      <c r="GR63" s="8"/>
      <c r="GS63" s="8"/>
      <c r="GT63" s="8"/>
      <c r="GU63" s="8"/>
      <c r="GV63" s="8"/>
      <c r="GW63" s="8"/>
      <c r="GX63" s="8"/>
      <c r="GY63" s="8"/>
      <c r="GZ63" s="8"/>
      <c r="HA63" s="8"/>
      <c r="HB63" s="8"/>
      <c r="HC63" s="8"/>
      <c r="HD63" s="8"/>
      <c r="HE63" s="8"/>
      <c r="HF63" s="8"/>
      <c r="HG63" s="8"/>
      <c r="HH63" s="8"/>
      <c r="HI63" s="8"/>
      <c r="HJ63" s="8"/>
      <c r="HK63" s="8"/>
      <c r="HL63" s="8"/>
      <c r="HM63" s="8"/>
      <c r="HN63" s="8"/>
      <c r="HO63" s="8"/>
      <c r="HP63" s="8"/>
      <c r="HQ63" s="8"/>
      <c r="HR63" s="8"/>
      <c r="HS63" s="8"/>
      <c r="HT63" s="8"/>
      <c r="HU63" s="8"/>
      <c r="HV63" s="8"/>
      <c r="HW63" s="8"/>
      <c r="HX63" s="8"/>
      <c r="HY63" s="8"/>
      <c r="HZ63" s="8"/>
      <c r="IA63" s="8"/>
      <c r="IB63" s="8"/>
      <c r="IC63" s="8"/>
      <c r="ID63" s="8"/>
      <c r="IE63" s="8"/>
      <c r="IF63" s="8"/>
      <c r="IG63" s="8"/>
      <c r="IH63" s="8"/>
      <c r="II63" s="8"/>
      <c r="IJ63" s="8"/>
      <c r="IK63" s="8"/>
      <c r="IL63" s="8"/>
      <c r="IM63" s="8"/>
      <c r="IN63" s="8"/>
      <c r="IO63" s="8"/>
      <c r="IP63" s="8"/>
      <c r="IQ63" s="8"/>
      <c r="IR63" s="8"/>
      <c r="IS63" s="8"/>
      <c r="IT63" s="8"/>
      <c r="IU63" s="8"/>
      <c r="IV63" s="8"/>
      <c r="IW63" s="8"/>
      <c r="IX63" s="8"/>
      <c r="JA63" s="125"/>
      <c r="JB63" s="125"/>
      <c r="JC63" s="125"/>
      <c r="JD63" s="72">
        <f>SUM((TEXT(JA63,"[M]")/60)*'Income Person-hours'!$D$3,(TEXT(JB63,"[M]")/60)*'Income Person-hours'!$D$4,(TEXT(JC63,"[M]")/60)*'Income Person-hours'!$D$5)</f>
        <v>0</v>
      </c>
    </row>
    <row r="64" spans="1:16384" s="12" customFormat="1" ht="15.75" hidden="1" x14ac:dyDescent="0.45">
      <c r="A64" s="33">
        <v>3.12</v>
      </c>
      <c r="B64" s="128"/>
      <c r="C64" s="119"/>
      <c r="D64" s="8" t="str">
        <f>IF(OR(j_WEEKDAY(J_ADDDAY(VLOOKUP(I64,A:F,6,FALSE),H64,1),0)=6,SUMIFS(Holieday[ok],Holieday[date],J_ADDDAY(VLOOKUP(I64,A:F,6,FALSE),H64,1)))=FALSE(),J_ADDDAY(VLOOKUP(I64,A:F,6,FALSE),H64,1),IF(OR(j_WEEKDAY(J_ADDDAY(VLOOKUP(I64,A:F,6,FALSE),H64+1,1),0)=6,SUMIFS(Holieday[ok],Holieday[date],J_ADDDAY(VLOOKUP(I64,A:F,6,FALSE),H64+1,1)))=FALSE(),J_ADDDAY(VLOOKUP(I64,A:F,6,FALSE),H64+1,1),IF(OR(j_WEEKDAY(J_ADDDAY(VLOOKUP(I64,A:F,6,FALSE),H64+2,1),0)=6,SUMIFS(Holieday[ok],Holieday[date],J_ADDDAY(VLOOKUP(I64,A:F,6,FALSE),H64+2,1)))=FALSE(),J_ADDDAY(VLOOKUP(I64,A:F,6,FALSE),H64+2,1),IF(OR(j_WEEKDAY(J_ADDDAY(VLOOKUP(I64,A:F,6,FALSE),H64+3,1),0)=6,SUMIFS(Holieday[ok],Holieday[date],J_ADDDAY(VLOOKUP(I64,A:F,6,FALSE),H64+3,1)))=FALSE(),J_ADDDAY(VLOOKUP(I64,A:F,6,FALSE),H64+3,1),IF(OR(j_WEEKDAY(J_ADDDAY(VLOOKUP(I64,A:F,6,FALSE),H64+4,1),0)=6,SUMIFS(Holieday[ok],Holieday[date],J_ADDDAY(VLOOKUP(I64,A:F,6,FALSE),H64+4,1)))=FALSE(),J_ADDDAY(VLOOKUP(I64,A:F,6,FALSE),H64+4,1),J_ADDDAY(VLOOKUP(I64,A:F,6,FALSE),H64+5,1))))))</f>
        <v>1398/07/10</v>
      </c>
      <c r="E64" s="2">
        <f t="shared" ref="E64:E74" si="20">VALUE(J_normdate(D64))</f>
        <v>13980710</v>
      </c>
      <c r="F64" s="13" t="str">
        <f>IF(N64=0,J_SUBDAY(D64,1,1),IF((N64-(NETWORKDAYS.INTL(J_GregorianDate(D64,1),J_GregorianDate(J_SUBDAY(J_ADDDAY(D64,N64,1),1,1),1),16,1)))+SUMIFS(Holieday[ok],Holieday[date],CONCATENATE("&gt;","=",D64),Holieday[date],CONCATENATE("&lt;","=",J_SUBDAY(J_ADDDAY(D64,N64,1),1,1)))-SUMIFS(Holieday[Friday],Holieday[date],CONCATENATE("&gt;","=",D64),Holieday[date],CONCATENATE("&lt;","=",J_SUBDAY(J_ADDDAY(D64,N64,1),1,1)))=0,J_SUBDAY(J_ADDDAY(D64,N64,1),1,1),IF((N64+1-(NETWORKDAYS.INTL(J_GregorianDate(D64,1),J_GregorianDate(J_SUBDAY(J_ADDDAY(D64,N64+1,1),1,1),1),16,1)))+SUMIFS(Holieday[ok],Holieday[date],CONCATENATE("&gt;","=",D64),Holieday[date],CONCATENATE("&lt;","=",J_SUBDAY(J_ADDDAY(D64,N64+1,1),1,1)))-SUMIFS(Holieday[Friday],Holieday[date],CONCATENATE("&gt;","=",D64),Holieday[date],CONCATENATE("&lt;","=",J_SUBDAY(J_ADDDAY(D64,N64+1,1),1,1)))=1,J_SUBDAY(J_ADDDAY(D64,N64+1,1),1,1),IF((N64+2-(NETWORKDAYS.INTL(J_GregorianDate(D64,1),J_GregorianDate(J_SUBDAY(J_ADDDAY(D64,N64+2,1),1,1),1),16,1)))+SUMIFS(Holieday[ok],Holieday[date],CONCATENATE("&gt;","=",D64),Holieday[date],CONCATENATE("&lt;","=",J_SUBDAY(J_ADDDAY(D64,N64+2,1),1,1)))-SUMIFS(Holieday[Friday],Holieday[date],CONCATENATE("&gt;","=",D64),Holieday[date],CONCATENATE("&lt;","=",J_SUBDAY(J_ADDDAY(D64,N64+2,1),1,1)))=2,J_SUBDAY(J_ADDDAY(D64,N64+2,1),1,1),IF((N64+3-(NETWORKDAYS.INTL(J_GregorianDate(D64,1),J_GregorianDate(J_SUBDAY(J_ADDDAY(D64,N64+3,1),1,1),1),16,1)))+SUMIFS(Holieday[ok],Holieday[date],CONCATENATE("&gt;","=",D64),Holieday[date],CONCATENATE("&lt;","=",J_SUBDAY(J_ADDDAY(D64,N64+3,1),1,1)))-SUMIFS(Holieday[Friday],Holieday[date],CONCATENATE("&gt;","=",D64),Holieday[date],CONCATENATE("&lt;","=",J_SUBDAY(J_ADDDAY(D64,N64+3,1),1,1)))=3,J_SUBDAY(J_ADDDAY(D64,N64+3,1),1,1),IF((N64+4-(NETWORKDAYS.INTL(J_GregorianDate(D64,1),J_GregorianDate(J_SUBDAY(J_ADDDAY(D64,N64+4,1),1,1),1),16,1)))+SUMIFS(Holieday[ok],Holieday[date],CONCATENATE("&gt;","=",D64),Holieday[date],CONCATENATE("&lt;","=",J_SUBDAY(J_ADDDAY(D64,N64+4,1),1,1)))-SUMIFS(Holieday[Friday],Holieday[date],CONCATENATE("&gt;","=",D64),Holieday[date],CONCATENATE("&lt;","=",J_SUBDAY(J_ADDDAY(D64,N64+4,1),1,1)))=4,J_SUBDAY(J_ADDDAY(D64,N64+4,1),1,1),IF((N64+5-(NETWORKDAYS.INTL(J_GregorianDate(D64,1),J_GregorianDate(J_SUBDAY(J_ADDDAY(D64,N64+5,1),1,1),1),16,1)))+SUMIFS(Holieday[ok],Holieday[date],CONCATENATE("&gt;","=",D64),Holieday[date],CONCATENATE("&lt;","=",J_SUBDAY(J_ADDDAY(D64,N64+5,1),1,1)))-SUMIFS(Holieday[Friday],Holieday[date],CONCATENATE("&gt;","=",D64),Holieday[date],CONCATENATE("&lt;","=",J_SUBDAY(J_ADDDAY(D64,N64+5,1),1,1)))=5,J_SUBDAY(J_ADDDAY(D64,N64+5,1),1,1),J_SUBDAY(J_ADDDAY(D64,N64+6,1),1,1))))))))</f>
        <v>1398/07/09</v>
      </c>
      <c r="G64" s="3">
        <f t="shared" ref="G64:G74" si="21">VALUE(J_normdate(F64))</f>
        <v>13980709</v>
      </c>
      <c r="H64" s="121"/>
      <c r="I64" s="122">
        <v>3.4</v>
      </c>
      <c r="J64" s="10" t="str">
        <f>j_WEEKDAY(D64,1)</f>
        <v>چهارشنبه</v>
      </c>
      <c r="K64" s="23">
        <f t="shared" si="18"/>
        <v>0</v>
      </c>
      <c r="L64" s="9">
        <f t="shared" si="19"/>
        <v>0</v>
      </c>
      <c r="M64" s="123">
        <v>0</v>
      </c>
      <c r="N64" s="120">
        <v>0</v>
      </c>
      <c r="O64" s="11">
        <f t="shared" ref="O64:O74" si="22">ROUNDDOWN(M64*L64,0)</f>
        <v>0</v>
      </c>
      <c r="P64" s="11"/>
      <c r="Q64" s="10">
        <f t="shared" si="14"/>
        <v>0</v>
      </c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  <c r="ES64" s="8"/>
      <c r="ET64" s="8"/>
      <c r="EU64" s="8"/>
      <c r="EV64" s="8"/>
      <c r="EW64" s="8"/>
      <c r="EX64" s="8"/>
      <c r="EY64" s="8"/>
      <c r="EZ64" s="8"/>
      <c r="FA64" s="8"/>
      <c r="FB64" s="8"/>
      <c r="FC64" s="8"/>
      <c r="FD64" s="8"/>
      <c r="FE64" s="8"/>
      <c r="FF64" s="8"/>
      <c r="FG64" s="8"/>
      <c r="FH64" s="8"/>
      <c r="FI64" s="8"/>
      <c r="FJ64" s="8"/>
      <c r="FK64" s="8"/>
      <c r="FL64" s="8"/>
      <c r="FM64" s="8"/>
      <c r="FN64" s="8"/>
      <c r="FO64" s="8"/>
      <c r="FP64" s="8"/>
      <c r="FQ64" s="8"/>
      <c r="FR64" s="8"/>
      <c r="FS64" s="8"/>
      <c r="FT64" s="8"/>
      <c r="FU64" s="8"/>
      <c r="FV64" s="8"/>
      <c r="FW64" s="8"/>
      <c r="FX64" s="8"/>
      <c r="FY64" s="8"/>
      <c r="FZ64" s="8"/>
      <c r="GA64" s="8"/>
      <c r="GB64" s="8"/>
      <c r="GC64" s="8"/>
      <c r="GD64" s="8"/>
      <c r="GE64" s="8"/>
      <c r="GF64" s="8"/>
      <c r="GG64" s="8"/>
      <c r="GH64" s="8"/>
      <c r="GI64" s="8"/>
      <c r="GJ64" s="8"/>
      <c r="GK64" s="8"/>
      <c r="GL64" s="8"/>
      <c r="GM64" s="8"/>
      <c r="GN64" s="8"/>
      <c r="GO64" s="8"/>
      <c r="GP64" s="8"/>
      <c r="GQ64" s="8"/>
      <c r="GR64" s="8"/>
      <c r="GS64" s="8"/>
      <c r="GT64" s="8"/>
      <c r="GU64" s="8"/>
      <c r="GV64" s="8"/>
      <c r="GW64" s="8"/>
      <c r="GX64" s="8"/>
      <c r="GY64" s="8"/>
      <c r="GZ64" s="8"/>
      <c r="HA64" s="8"/>
      <c r="HB64" s="8"/>
      <c r="HC64" s="8"/>
      <c r="HD64" s="8"/>
      <c r="HE64" s="8"/>
      <c r="HF64" s="8"/>
      <c r="HG64" s="8"/>
      <c r="HH64" s="8"/>
      <c r="HI64" s="8"/>
      <c r="HJ64" s="8"/>
      <c r="HK64" s="8"/>
      <c r="HL64" s="8"/>
      <c r="HM64" s="8"/>
      <c r="HN64" s="8"/>
      <c r="HO64" s="8"/>
      <c r="HP64" s="8"/>
      <c r="HQ64" s="8"/>
      <c r="HR64" s="8"/>
      <c r="HS64" s="8"/>
      <c r="HT64" s="8"/>
      <c r="HU64" s="8"/>
      <c r="HV64" s="8"/>
      <c r="HW64" s="8"/>
      <c r="HX64" s="8"/>
      <c r="HY64" s="8"/>
      <c r="HZ64" s="8"/>
      <c r="IA64" s="8"/>
      <c r="IB64" s="8"/>
      <c r="IC64" s="8"/>
      <c r="ID64" s="8"/>
      <c r="IE64" s="8"/>
      <c r="IF64" s="8"/>
      <c r="IG64" s="8"/>
      <c r="IH64" s="8"/>
      <c r="II64" s="8"/>
      <c r="IJ64" s="8"/>
      <c r="IK64" s="8"/>
      <c r="IL64" s="8"/>
      <c r="IM64" s="8"/>
      <c r="IN64" s="8"/>
      <c r="IO64" s="8"/>
      <c r="IP64" s="8"/>
      <c r="IQ64" s="8"/>
      <c r="IR64" s="8"/>
      <c r="IS64" s="8"/>
      <c r="IT64" s="8"/>
      <c r="IU64" s="8"/>
      <c r="IV64" s="8"/>
      <c r="IW64" s="8"/>
      <c r="IX64" s="8"/>
      <c r="JA64" s="125"/>
      <c r="JB64" s="125"/>
      <c r="JC64" s="125"/>
      <c r="JD64" s="72">
        <f>SUM((TEXT(JA64,"[M]")/60)*'Income Person-hours'!$D$3,(TEXT(JB64,"[M]")/60)*'Income Person-hours'!$D$4,(TEXT(JC64,"[M]")/60)*'Income Person-hours'!$D$5)</f>
        <v>0</v>
      </c>
    </row>
    <row r="65" spans="1:264" s="12" customFormat="1" ht="15.75" hidden="1" x14ac:dyDescent="0.45">
      <c r="A65" s="33">
        <v>3.13</v>
      </c>
      <c r="B65" s="128"/>
      <c r="C65" s="119"/>
      <c r="D65" s="8" t="str">
        <f>IF(OR(j_WEEKDAY(J_ADDDAY(VLOOKUP(I65,A:F,6,FALSE),H65,1),0)=6,SUMIFS(Holieday[ok],Holieday[date],J_ADDDAY(VLOOKUP(I65,A:F,6,FALSE),H65,1)))=FALSE(),J_ADDDAY(VLOOKUP(I65,A:F,6,FALSE),H65,1),IF(OR(j_WEEKDAY(J_ADDDAY(VLOOKUP(I65,A:F,6,FALSE),H65+1,1),0)=6,SUMIFS(Holieday[ok],Holieday[date],J_ADDDAY(VLOOKUP(I65,A:F,6,FALSE),H65+1,1)))=FALSE(),J_ADDDAY(VLOOKUP(I65,A:F,6,FALSE),H65+1,1),IF(OR(j_WEEKDAY(J_ADDDAY(VLOOKUP(I65,A:F,6,FALSE),H65+2,1),0)=6,SUMIFS(Holieday[ok],Holieday[date],J_ADDDAY(VLOOKUP(I65,A:F,6,FALSE),H65+2,1)))=FALSE(),J_ADDDAY(VLOOKUP(I65,A:F,6,FALSE),H65+2,1),IF(OR(j_WEEKDAY(J_ADDDAY(VLOOKUP(I65,A:F,6,FALSE),H65+3,1),0)=6,SUMIFS(Holieday[ok],Holieday[date],J_ADDDAY(VLOOKUP(I65,A:F,6,FALSE),H65+3,1)))=FALSE(),J_ADDDAY(VLOOKUP(I65,A:F,6,FALSE),H65+3,1),IF(OR(j_WEEKDAY(J_ADDDAY(VLOOKUP(I65,A:F,6,FALSE),H65+4,1),0)=6,SUMIFS(Holieday[ok],Holieday[date],J_ADDDAY(VLOOKUP(I65,A:F,6,FALSE),H65+4,1)))=FALSE(),J_ADDDAY(VLOOKUP(I65,A:F,6,FALSE),H65+4,1),J_ADDDAY(VLOOKUP(I65,A:F,6,FALSE),H65+5,1))))))</f>
        <v>1398/07/10</v>
      </c>
      <c r="E65" s="2">
        <f t="shared" si="20"/>
        <v>13980710</v>
      </c>
      <c r="F65" s="13" t="str">
        <f>IF(N65=0,J_SUBDAY(D65,1,1),IF((N65-(NETWORKDAYS.INTL(J_GregorianDate(D65,1),J_GregorianDate(J_SUBDAY(J_ADDDAY(D65,N65,1),1,1),1),16,1)))+SUMIFS(Holieday[ok],Holieday[date],CONCATENATE("&gt;","=",D65),Holieday[date],CONCATENATE("&lt;","=",J_SUBDAY(J_ADDDAY(D65,N65,1),1,1)))-SUMIFS(Holieday[Friday],Holieday[date],CONCATENATE("&gt;","=",D65),Holieday[date],CONCATENATE("&lt;","=",J_SUBDAY(J_ADDDAY(D65,N65,1),1,1)))=0,J_SUBDAY(J_ADDDAY(D65,N65,1),1,1),IF((N65+1-(NETWORKDAYS.INTL(J_GregorianDate(D65,1),J_GregorianDate(J_SUBDAY(J_ADDDAY(D65,N65+1,1),1,1),1),16,1)))+SUMIFS(Holieday[ok],Holieday[date],CONCATENATE("&gt;","=",D65),Holieday[date],CONCATENATE("&lt;","=",J_SUBDAY(J_ADDDAY(D65,N65+1,1),1,1)))-SUMIFS(Holieday[Friday],Holieday[date],CONCATENATE("&gt;","=",D65),Holieday[date],CONCATENATE("&lt;","=",J_SUBDAY(J_ADDDAY(D65,N65+1,1),1,1)))=1,J_SUBDAY(J_ADDDAY(D65,N65+1,1),1,1),IF((N65+2-(NETWORKDAYS.INTL(J_GregorianDate(D65,1),J_GregorianDate(J_SUBDAY(J_ADDDAY(D65,N65+2,1),1,1),1),16,1)))+SUMIFS(Holieday[ok],Holieday[date],CONCATENATE("&gt;","=",D65),Holieday[date],CONCATENATE("&lt;","=",J_SUBDAY(J_ADDDAY(D65,N65+2,1),1,1)))-SUMIFS(Holieday[Friday],Holieday[date],CONCATENATE("&gt;","=",D65),Holieday[date],CONCATENATE("&lt;","=",J_SUBDAY(J_ADDDAY(D65,N65+2,1),1,1)))=2,J_SUBDAY(J_ADDDAY(D65,N65+2,1),1,1),IF((N65+3-(NETWORKDAYS.INTL(J_GregorianDate(D65,1),J_GregorianDate(J_SUBDAY(J_ADDDAY(D65,N65+3,1),1,1),1),16,1)))+SUMIFS(Holieday[ok],Holieday[date],CONCATENATE("&gt;","=",D65),Holieday[date],CONCATENATE("&lt;","=",J_SUBDAY(J_ADDDAY(D65,N65+3,1),1,1)))-SUMIFS(Holieday[Friday],Holieday[date],CONCATENATE("&gt;","=",D65),Holieday[date],CONCATENATE("&lt;","=",J_SUBDAY(J_ADDDAY(D65,N65+3,1),1,1)))=3,J_SUBDAY(J_ADDDAY(D65,N65+3,1),1,1),IF((N65+4-(NETWORKDAYS.INTL(J_GregorianDate(D65,1),J_GregorianDate(J_SUBDAY(J_ADDDAY(D65,N65+4,1),1,1),1),16,1)))+SUMIFS(Holieday[ok],Holieday[date],CONCATENATE("&gt;","=",D65),Holieday[date],CONCATENATE("&lt;","=",J_SUBDAY(J_ADDDAY(D65,N65+4,1),1,1)))-SUMIFS(Holieday[Friday],Holieday[date],CONCATENATE("&gt;","=",D65),Holieday[date],CONCATENATE("&lt;","=",J_SUBDAY(J_ADDDAY(D65,N65+4,1),1,1)))=4,J_SUBDAY(J_ADDDAY(D65,N65+4,1),1,1),IF((N65+5-(NETWORKDAYS.INTL(J_GregorianDate(D65,1),J_GregorianDate(J_SUBDAY(J_ADDDAY(D65,N65+5,1),1,1),1),16,1)))+SUMIFS(Holieday[ok],Holieday[date],CONCATENATE("&gt;","=",D65),Holieday[date],CONCATENATE("&lt;","=",J_SUBDAY(J_ADDDAY(D65,N65+5,1),1,1)))-SUMIFS(Holieday[Friday],Holieday[date],CONCATENATE("&gt;","=",D65),Holieday[date],CONCATENATE("&lt;","=",J_SUBDAY(J_ADDDAY(D65,N65+5,1),1,1)))=5,J_SUBDAY(J_ADDDAY(D65,N65+5,1),1,1),J_SUBDAY(J_ADDDAY(D65,N65+6,1),1,1))))))))</f>
        <v>1398/07/09</v>
      </c>
      <c r="G65" s="3">
        <f t="shared" si="21"/>
        <v>13980709</v>
      </c>
      <c r="H65" s="121"/>
      <c r="I65" s="122">
        <v>3.4</v>
      </c>
      <c r="J65" s="10" t="str">
        <f>j_WEEKDAY(D65,1)</f>
        <v>چهارشنبه</v>
      </c>
      <c r="K65" s="23">
        <f t="shared" si="18"/>
        <v>0</v>
      </c>
      <c r="L65" s="9">
        <f t="shared" si="19"/>
        <v>0</v>
      </c>
      <c r="M65" s="123">
        <v>0</v>
      </c>
      <c r="N65" s="120">
        <v>0</v>
      </c>
      <c r="O65" s="11">
        <f t="shared" si="22"/>
        <v>0</v>
      </c>
      <c r="P65" s="11"/>
      <c r="Q65" s="10">
        <f t="shared" si="14"/>
        <v>0</v>
      </c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I65" s="8"/>
      <c r="FJ65" s="8"/>
      <c r="FK65" s="8"/>
      <c r="FL65" s="8"/>
      <c r="FM65" s="8"/>
      <c r="FN65" s="8"/>
      <c r="FO65" s="8"/>
      <c r="FP65" s="8"/>
      <c r="FQ65" s="8"/>
      <c r="FR65" s="8"/>
      <c r="FS65" s="8"/>
      <c r="FT65" s="8"/>
      <c r="FU65" s="8"/>
      <c r="FV65" s="8"/>
      <c r="FW65" s="8"/>
      <c r="FX65" s="8"/>
      <c r="FY65" s="8"/>
      <c r="FZ65" s="8"/>
      <c r="GA65" s="8"/>
      <c r="GB65" s="8"/>
      <c r="GC65" s="8"/>
      <c r="GD65" s="8"/>
      <c r="GE65" s="8"/>
      <c r="GF65" s="8"/>
      <c r="GG65" s="8"/>
      <c r="GH65" s="8"/>
      <c r="GI65" s="8"/>
      <c r="GJ65" s="8"/>
      <c r="GK65" s="8"/>
      <c r="GL65" s="8"/>
      <c r="GM65" s="8"/>
      <c r="GN65" s="8"/>
      <c r="GO65" s="8"/>
      <c r="GP65" s="8"/>
      <c r="GQ65" s="8"/>
      <c r="GR65" s="8"/>
      <c r="GS65" s="8"/>
      <c r="GT65" s="8"/>
      <c r="GU65" s="8"/>
      <c r="GV65" s="8"/>
      <c r="GW65" s="8"/>
      <c r="GX65" s="8"/>
      <c r="GY65" s="8"/>
      <c r="GZ65" s="8"/>
      <c r="HA65" s="8"/>
      <c r="HB65" s="8"/>
      <c r="HC65" s="8"/>
      <c r="HD65" s="8"/>
      <c r="HE65" s="8"/>
      <c r="HF65" s="8"/>
      <c r="HG65" s="8"/>
      <c r="HH65" s="8"/>
      <c r="HI65" s="8"/>
      <c r="HJ65" s="8"/>
      <c r="HK65" s="8"/>
      <c r="HL65" s="8"/>
      <c r="HM65" s="8"/>
      <c r="HN65" s="8"/>
      <c r="HO65" s="8"/>
      <c r="HP65" s="8"/>
      <c r="HQ65" s="8"/>
      <c r="HR65" s="8"/>
      <c r="HS65" s="8"/>
      <c r="HT65" s="8"/>
      <c r="HU65" s="8"/>
      <c r="HV65" s="8"/>
      <c r="HW65" s="8"/>
      <c r="HX65" s="8"/>
      <c r="HY65" s="8"/>
      <c r="HZ65" s="8"/>
      <c r="IA65" s="8"/>
      <c r="IB65" s="8"/>
      <c r="IC65" s="8"/>
      <c r="ID65" s="8"/>
      <c r="IE65" s="8"/>
      <c r="IF65" s="8"/>
      <c r="IG65" s="8"/>
      <c r="IH65" s="8"/>
      <c r="II65" s="8"/>
      <c r="IJ65" s="8"/>
      <c r="IK65" s="8"/>
      <c r="IL65" s="8"/>
      <c r="IM65" s="8"/>
      <c r="IN65" s="8"/>
      <c r="IO65" s="8"/>
      <c r="IP65" s="8"/>
      <c r="IQ65" s="8"/>
      <c r="IR65" s="8"/>
      <c r="IS65" s="8"/>
      <c r="IT65" s="8"/>
      <c r="IU65" s="8"/>
      <c r="IV65" s="8"/>
      <c r="IW65" s="8"/>
      <c r="IX65" s="8"/>
      <c r="JA65" s="125"/>
      <c r="JB65" s="125"/>
      <c r="JC65" s="125"/>
      <c r="JD65" s="72">
        <f>SUM((TEXT(JA65,"[M]")/60)*'Income Person-hours'!$D$3,(TEXT(JB65,"[M]")/60)*'Income Person-hours'!$D$4,(TEXT(JC65,"[M]")/60)*'Income Person-hours'!$D$5)</f>
        <v>0</v>
      </c>
    </row>
    <row r="66" spans="1:264" s="12" customFormat="1" ht="15.75" hidden="1" x14ac:dyDescent="0.45">
      <c r="A66" s="33">
        <v>3.14</v>
      </c>
      <c r="B66" s="128"/>
      <c r="C66" s="119"/>
      <c r="D66" s="8" t="str">
        <f>IF(OR(j_WEEKDAY(J_ADDDAY(VLOOKUP(I66,A:F,6,FALSE),H66,1),0)=6,SUMIFS(Holieday[ok],Holieday[date],J_ADDDAY(VLOOKUP(I66,A:F,6,FALSE),H66,1)))=FALSE(),J_ADDDAY(VLOOKUP(I66,A:F,6,FALSE),H66,1),IF(OR(j_WEEKDAY(J_ADDDAY(VLOOKUP(I66,A:F,6,FALSE),H66+1,1),0)=6,SUMIFS(Holieday[ok],Holieday[date],J_ADDDAY(VLOOKUP(I66,A:F,6,FALSE),H66+1,1)))=FALSE(),J_ADDDAY(VLOOKUP(I66,A:F,6,FALSE),H66+1,1),IF(OR(j_WEEKDAY(J_ADDDAY(VLOOKUP(I66,A:F,6,FALSE),H66+2,1),0)=6,SUMIFS(Holieday[ok],Holieday[date],J_ADDDAY(VLOOKUP(I66,A:F,6,FALSE),H66+2,1)))=FALSE(),J_ADDDAY(VLOOKUP(I66,A:F,6,FALSE),H66+2,1),IF(OR(j_WEEKDAY(J_ADDDAY(VLOOKUP(I66,A:F,6,FALSE),H66+3,1),0)=6,SUMIFS(Holieday[ok],Holieday[date],J_ADDDAY(VLOOKUP(I66,A:F,6,FALSE),H66+3,1)))=FALSE(),J_ADDDAY(VLOOKUP(I66,A:F,6,FALSE),H66+3,1),IF(OR(j_WEEKDAY(J_ADDDAY(VLOOKUP(I66,A:F,6,FALSE),H66+4,1),0)=6,SUMIFS(Holieday[ok],Holieday[date],J_ADDDAY(VLOOKUP(I66,A:F,6,FALSE),H66+4,1)))=FALSE(),J_ADDDAY(VLOOKUP(I66,A:F,6,FALSE),H66+4,1),J_ADDDAY(VLOOKUP(I66,A:F,6,FALSE),H66+5,1))))))</f>
        <v>1398/07/10</v>
      </c>
      <c r="E66" s="2">
        <f t="shared" si="20"/>
        <v>13980710</v>
      </c>
      <c r="F66" s="13" t="str">
        <f>IF(N66=0,J_SUBDAY(D66,1,1),IF((N66-(NETWORKDAYS.INTL(J_GregorianDate(D66,1),J_GregorianDate(J_SUBDAY(J_ADDDAY(D66,N66,1),1,1),1),16,1)))+SUMIFS(Holieday[ok],Holieday[date],CONCATENATE("&gt;","=",D66),Holieday[date],CONCATENATE("&lt;","=",J_SUBDAY(J_ADDDAY(D66,N66,1),1,1)))-SUMIFS(Holieday[Friday],Holieday[date],CONCATENATE("&gt;","=",D66),Holieday[date],CONCATENATE("&lt;","=",J_SUBDAY(J_ADDDAY(D66,N66,1),1,1)))=0,J_SUBDAY(J_ADDDAY(D66,N66,1),1,1),IF((N66+1-(NETWORKDAYS.INTL(J_GregorianDate(D66,1),J_GregorianDate(J_SUBDAY(J_ADDDAY(D66,N66+1,1),1,1),1),16,1)))+SUMIFS(Holieday[ok],Holieday[date],CONCATENATE("&gt;","=",D66),Holieday[date],CONCATENATE("&lt;","=",J_SUBDAY(J_ADDDAY(D66,N66+1,1),1,1)))-SUMIFS(Holieday[Friday],Holieday[date],CONCATENATE("&gt;","=",D66),Holieday[date],CONCATENATE("&lt;","=",J_SUBDAY(J_ADDDAY(D66,N66+1,1),1,1)))=1,J_SUBDAY(J_ADDDAY(D66,N66+1,1),1,1),IF((N66+2-(NETWORKDAYS.INTL(J_GregorianDate(D66,1),J_GregorianDate(J_SUBDAY(J_ADDDAY(D66,N66+2,1),1,1),1),16,1)))+SUMIFS(Holieday[ok],Holieday[date],CONCATENATE("&gt;","=",D66),Holieday[date],CONCATENATE("&lt;","=",J_SUBDAY(J_ADDDAY(D66,N66+2,1),1,1)))-SUMIFS(Holieday[Friday],Holieday[date],CONCATENATE("&gt;","=",D66),Holieday[date],CONCATENATE("&lt;","=",J_SUBDAY(J_ADDDAY(D66,N66+2,1),1,1)))=2,J_SUBDAY(J_ADDDAY(D66,N66+2,1),1,1),IF((N66+3-(NETWORKDAYS.INTL(J_GregorianDate(D66,1),J_GregorianDate(J_SUBDAY(J_ADDDAY(D66,N66+3,1),1,1),1),16,1)))+SUMIFS(Holieday[ok],Holieday[date],CONCATENATE("&gt;","=",D66),Holieday[date],CONCATENATE("&lt;","=",J_SUBDAY(J_ADDDAY(D66,N66+3,1),1,1)))-SUMIFS(Holieday[Friday],Holieday[date],CONCATENATE("&gt;","=",D66),Holieday[date],CONCATENATE("&lt;","=",J_SUBDAY(J_ADDDAY(D66,N66+3,1),1,1)))=3,J_SUBDAY(J_ADDDAY(D66,N66+3,1),1,1),IF((N66+4-(NETWORKDAYS.INTL(J_GregorianDate(D66,1),J_GregorianDate(J_SUBDAY(J_ADDDAY(D66,N66+4,1),1,1),1),16,1)))+SUMIFS(Holieday[ok],Holieday[date],CONCATENATE("&gt;","=",D66),Holieday[date],CONCATENATE("&lt;","=",J_SUBDAY(J_ADDDAY(D66,N66+4,1),1,1)))-SUMIFS(Holieday[Friday],Holieday[date],CONCATENATE("&gt;","=",D66),Holieday[date],CONCATENATE("&lt;","=",J_SUBDAY(J_ADDDAY(D66,N66+4,1),1,1)))=4,J_SUBDAY(J_ADDDAY(D66,N66+4,1),1,1),IF((N66+5-(NETWORKDAYS.INTL(J_GregorianDate(D66,1),J_GregorianDate(J_SUBDAY(J_ADDDAY(D66,N66+5,1),1,1),1),16,1)))+SUMIFS(Holieday[ok],Holieday[date],CONCATENATE("&gt;","=",D66),Holieday[date],CONCATENATE("&lt;","=",J_SUBDAY(J_ADDDAY(D66,N66+5,1),1,1)))-SUMIFS(Holieday[Friday],Holieday[date],CONCATENATE("&gt;","=",D66),Holieday[date],CONCATENATE("&lt;","=",J_SUBDAY(J_ADDDAY(D66,N66+5,1),1,1)))=5,J_SUBDAY(J_ADDDAY(D66,N66+5,1),1,1),J_SUBDAY(J_ADDDAY(D66,N66+6,1),1,1))))))))</f>
        <v>1398/07/09</v>
      </c>
      <c r="G66" s="3">
        <f t="shared" si="21"/>
        <v>13980709</v>
      </c>
      <c r="H66" s="121"/>
      <c r="I66" s="122">
        <v>3.4</v>
      </c>
      <c r="J66" s="10" t="str">
        <f>j_WEEKDAY(D66,1)</f>
        <v>چهارشنبه</v>
      </c>
      <c r="K66" s="23">
        <f t="shared" si="18"/>
        <v>0</v>
      </c>
      <c r="L66" s="9">
        <f t="shared" si="19"/>
        <v>0</v>
      </c>
      <c r="M66" s="123">
        <v>0</v>
      </c>
      <c r="N66" s="120">
        <v>0</v>
      </c>
      <c r="O66" s="11">
        <f t="shared" si="22"/>
        <v>0</v>
      </c>
      <c r="P66" s="11"/>
      <c r="Q66" s="10">
        <f t="shared" si="14"/>
        <v>0</v>
      </c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I66" s="8"/>
      <c r="FJ66" s="8"/>
      <c r="FK66" s="8"/>
      <c r="FL66" s="8"/>
      <c r="FM66" s="8"/>
      <c r="FN66" s="8"/>
      <c r="FO66" s="8"/>
      <c r="FP66" s="8"/>
      <c r="FQ66" s="8"/>
      <c r="FR66" s="8"/>
      <c r="FS66" s="8"/>
      <c r="FT66" s="8"/>
      <c r="FU66" s="8"/>
      <c r="FV66" s="8"/>
      <c r="FW66" s="8"/>
      <c r="FX66" s="8"/>
      <c r="FY66" s="8"/>
      <c r="FZ66" s="8"/>
      <c r="GA66" s="8"/>
      <c r="GB66" s="8"/>
      <c r="GC66" s="8"/>
      <c r="GD66" s="8"/>
      <c r="GE66" s="8"/>
      <c r="GF66" s="8"/>
      <c r="GG66" s="8"/>
      <c r="GH66" s="8"/>
      <c r="GI66" s="8"/>
      <c r="GJ66" s="8"/>
      <c r="GK66" s="8"/>
      <c r="GL66" s="8"/>
      <c r="GM66" s="8"/>
      <c r="GN66" s="8"/>
      <c r="GO66" s="8"/>
      <c r="GP66" s="8"/>
      <c r="GQ66" s="8"/>
      <c r="GR66" s="8"/>
      <c r="GS66" s="8"/>
      <c r="GT66" s="8"/>
      <c r="GU66" s="8"/>
      <c r="GV66" s="8"/>
      <c r="GW66" s="8"/>
      <c r="GX66" s="8"/>
      <c r="GY66" s="8"/>
      <c r="GZ66" s="8"/>
      <c r="HA66" s="8"/>
      <c r="HB66" s="8"/>
      <c r="HC66" s="8"/>
      <c r="HD66" s="8"/>
      <c r="HE66" s="8"/>
      <c r="HF66" s="8"/>
      <c r="HG66" s="8"/>
      <c r="HH66" s="8"/>
      <c r="HI66" s="8"/>
      <c r="HJ66" s="8"/>
      <c r="HK66" s="8"/>
      <c r="HL66" s="8"/>
      <c r="HM66" s="8"/>
      <c r="HN66" s="8"/>
      <c r="HO66" s="8"/>
      <c r="HP66" s="8"/>
      <c r="HQ66" s="8"/>
      <c r="HR66" s="8"/>
      <c r="HS66" s="8"/>
      <c r="HT66" s="8"/>
      <c r="HU66" s="8"/>
      <c r="HV66" s="8"/>
      <c r="HW66" s="8"/>
      <c r="HX66" s="8"/>
      <c r="HY66" s="8"/>
      <c r="HZ66" s="8"/>
      <c r="IA66" s="8"/>
      <c r="IB66" s="8"/>
      <c r="IC66" s="8"/>
      <c r="ID66" s="8"/>
      <c r="IE66" s="8"/>
      <c r="IF66" s="8"/>
      <c r="IG66" s="8"/>
      <c r="IH66" s="8"/>
      <c r="II66" s="8"/>
      <c r="IJ66" s="8"/>
      <c r="IK66" s="8"/>
      <c r="IL66" s="8"/>
      <c r="IM66" s="8"/>
      <c r="IN66" s="8"/>
      <c r="IO66" s="8"/>
      <c r="IP66" s="8"/>
      <c r="IQ66" s="8"/>
      <c r="IR66" s="8"/>
      <c r="IS66" s="8"/>
      <c r="IT66" s="8"/>
      <c r="IU66" s="8"/>
      <c r="IV66" s="8"/>
      <c r="IW66" s="8"/>
      <c r="IX66" s="8"/>
      <c r="JA66" s="125"/>
      <c r="JB66" s="125"/>
      <c r="JC66" s="125"/>
      <c r="JD66" s="72">
        <f>SUM((TEXT(JA66,"[M]")/60)*'Income Person-hours'!$D$3,(TEXT(JB66,"[M]")/60)*'Income Person-hours'!$D$4,(TEXT(JC66,"[M]")/60)*'Income Person-hours'!$D$5)</f>
        <v>0</v>
      </c>
    </row>
    <row r="67" spans="1:264" s="12" customFormat="1" ht="15.75" hidden="1" x14ac:dyDescent="0.45">
      <c r="A67" s="33">
        <v>3.15</v>
      </c>
      <c r="B67" s="128"/>
      <c r="C67" s="119"/>
      <c r="D67" s="8" t="str">
        <f>IF(OR(j_WEEKDAY(J_ADDDAY(VLOOKUP(I67,A:F,6,FALSE),H67,1),0)=6,SUMIFS(Holieday[ok],Holieday[date],J_ADDDAY(VLOOKUP(I67,A:F,6,FALSE),H67,1)))=FALSE(),J_ADDDAY(VLOOKUP(I67,A:F,6,FALSE),H67,1),IF(OR(j_WEEKDAY(J_ADDDAY(VLOOKUP(I67,A:F,6,FALSE),H67+1,1),0)=6,SUMIFS(Holieday[ok],Holieday[date],J_ADDDAY(VLOOKUP(I67,A:F,6,FALSE),H67+1,1)))=FALSE(),J_ADDDAY(VLOOKUP(I67,A:F,6,FALSE),H67+1,1),IF(OR(j_WEEKDAY(J_ADDDAY(VLOOKUP(I67,A:F,6,FALSE),H67+2,1),0)=6,SUMIFS(Holieday[ok],Holieday[date],J_ADDDAY(VLOOKUP(I67,A:F,6,FALSE),H67+2,1)))=FALSE(),J_ADDDAY(VLOOKUP(I67,A:F,6,FALSE),H67+2,1),IF(OR(j_WEEKDAY(J_ADDDAY(VLOOKUP(I67,A:F,6,FALSE),H67+3,1),0)=6,SUMIFS(Holieday[ok],Holieday[date],J_ADDDAY(VLOOKUP(I67,A:F,6,FALSE),H67+3,1)))=FALSE(),J_ADDDAY(VLOOKUP(I67,A:F,6,FALSE),H67+3,1),IF(OR(j_WEEKDAY(J_ADDDAY(VLOOKUP(I67,A:F,6,FALSE),H67+4,1),0)=6,SUMIFS(Holieday[ok],Holieday[date],J_ADDDAY(VLOOKUP(I67,A:F,6,FALSE),H67+4,1)))=FALSE(),J_ADDDAY(VLOOKUP(I67,A:F,6,FALSE),H67+4,1),J_ADDDAY(VLOOKUP(I67,A:F,6,FALSE),H67+5,1))))))</f>
        <v>1398/07/10</v>
      </c>
      <c r="E67" s="2">
        <f t="shared" si="20"/>
        <v>13980710</v>
      </c>
      <c r="F67" s="13" t="str">
        <f>IF(N67=0,J_SUBDAY(D67,1,1),IF((N67-(NETWORKDAYS.INTL(J_GregorianDate(D67,1),J_GregorianDate(J_SUBDAY(J_ADDDAY(D67,N67,1),1,1),1),16,1)))+SUMIFS(Holieday[ok],Holieday[date],CONCATENATE("&gt;","=",D67),Holieday[date],CONCATENATE("&lt;","=",J_SUBDAY(J_ADDDAY(D67,N67,1),1,1)))-SUMIFS(Holieday[Friday],Holieday[date],CONCATENATE("&gt;","=",D67),Holieday[date],CONCATENATE("&lt;","=",J_SUBDAY(J_ADDDAY(D67,N67,1),1,1)))=0,J_SUBDAY(J_ADDDAY(D67,N67,1),1,1),IF((N67+1-(NETWORKDAYS.INTL(J_GregorianDate(D67,1),J_GregorianDate(J_SUBDAY(J_ADDDAY(D67,N67+1,1),1,1),1),16,1)))+SUMIFS(Holieday[ok],Holieday[date],CONCATENATE("&gt;","=",D67),Holieday[date],CONCATENATE("&lt;","=",J_SUBDAY(J_ADDDAY(D67,N67+1,1),1,1)))-SUMIFS(Holieday[Friday],Holieday[date],CONCATENATE("&gt;","=",D67),Holieday[date],CONCATENATE("&lt;","=",J_SUBDAY(J_ADDDAY(D67,N67+1,1),1,1)))=1,J_SUBDAY(J_ADDDAY(D67,N67+1,1),1,1),IF((N67+2-(NETWORKDAYS.INTL(J_GregorianDate(D67,1),J_GregorianDate(J_SUBDAY(J_ADDDAY(D67,N67+2,1),1,1),1),16,1)))+SUMIFS(Holieday[ok],Holieday[date],CONCATENATE("&gt;","=",D67),Holieday[date],CONCATENATE("&lt;","=",J_SUBDAY(J_ADDDAY(D67,N67+2,1),1,1)))-SUMIFS(Holieday[Friday],Holieday[date],CONCATENATE("&gt;","=",D67),Holieday[date],CONCATENATE("&lt;","=",J_SUBDAY(J_ADDDAY(D67,N67+2,1),1,1)))=2,J_SUBDAY(J_ADDDAY(D67,N67+2,1),1,1),IF((N67+3-(NETWORKDAYS.INTL(J_GregorianDate(D67,1),J_GregorianDate(J_SUBDAY(J_ADDDAY(D67,N67+3,1),1,1),1),16,1)))+SUMIFS(Holieday[ok],Holieday[date],CONCATENATE("&gt;","=",D67),Holieday[date],CONCATENATE("&lt;","=",J_SUBDAY(J_ADDDAY(D67,N67+3,1),1,1)))-SUMIFS(Holieday[Friday],Holieday[date],CONCATENATE("&gt;","=",D67),Holieday[date],CONCATENATE("&lt;","=",J_SUBDAY(J_ADDDAY(D67,N67+3,1),1,1)))=3,J_SUBDAY(J_ADDDAY(D67,N67+3,1),1,1),IF((N67+4-(NETWORKDAYS.INTL(J_GregorianDate(D67,1),J_GregorianDate(J_SUBDAY(J_ADDDAY(D67,N67+4,1),1,1),1),16,1)))+SUMIFS(Holieday[ok],Holieday[date],CONCATENATE("&gt;","=",D67),Holieday[date],CONCATENATE("&lt;","=",J_SUBDAY(J_ADDDAY(D67,N67+4,1),1,1)))-SUMIFS(Holieday[Friday],Holieday[date],CONCATENATE("&gt;","=",D67),Holieday[date],CONCATENATE("&lt;","=",J_SUBDAY(J_ADDDAY(D67,N67+4,1),1,1)))=4,J_SUBDAY(J_ADDDAY(D67,N67+4,1),1,1),IF((N67+5-(NETWORKDAYS.INTL(J_GregorianDate(D67,1),J_GregorianDate(J_SUBDAY(J_ADDDAY(D67,N67+5,1),1,1),1),16,1)))+SUMIFS(Holieday[ok],Holieday[date],CONCATENATE("&gt;","=",D67),Holieday[date],CONCATENATE("&lt;","=",J_SUBDAY(J_ADDDAY(D67,N67+5,1),1,1)))-SUMIFS(Holieday[Friday],Holieday[date],CONCATENATE("&gt;","=",D67),Holieday[date],CONCATENATE("&lt;","=",J_SUBDAY(J_ADDDAY(D67,N67+5,1),1,1)))=5,J_SUBDAY(J_ADDDAY(D67,N67+5,1),1,1),J_SUBDAY(J_ADDDAY(D67,N67+6,1),1,1))))))))</f>
        <v>1398/07/09</v>
      </c>
      <c r="G67" s="3">
        <f t="shared" si="21"/>
        <v>13980709</v>
      </c>
      <c r="H67" s="121"/>
      <c r="I67" s="122">
        <v>3.4</v>
      </c>
      <c r="J67" s="10" t="str">
        <f>j_WEEKDAY(D67,1)</f>
        <v>چهارشنبه</v>
      </c>
      <c r="K67" s="23">
        <f t="shared" si="18"/>
        <v>0</v>
      </c>
      <c r="L67" s="9">
        <f t="shared" si="19"/>
        <v>0</v>
      </c>
      <c r="M67" s="123">
        <v>0</v>
      </c>
      <c r="N67" s="120">
        <v>0</v>
      </c>
      <c r="O67" s="11">
        <f t="shared" si="22"/>
        <v>0</v>
      </c>
      <c r="P67" s="11"/>
      <c r="Q67" s="10">
        <f t="shared" si="14"/>
        <v>0</v>
      </c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T67" s="8"/>
      <c r="EU67" s="8"/>
      <c r="EV67" s="8"/>
      <c r="EW67" s="8"/>
      <c r="EX67" s="8"/>
      <c r="EY67" s="8"/>
      <c r="EZ67" s="8"/>
      <c r="FA67" s="8"/>
      <c r="FB67" s="8"/>
      <c r="FC67" s="8"/>
      <c r="FD67" s="8"/>
      <c r="FE67" s="8"/>
      <c r="FF67" s="8"/>
      <c r="FG67" s="8"/>
      <c r="FH67" s="8"/>
      <c r="FI67" s="8"/>
      <c r="FJ67" s="8"/>
      <c r="FK67" s="8"/>
      <c r="FL67" s="8"/>
      <c r="FM67" s="8"/>
      <c r="FN67" s="8"/>
      <c r="FO67" s="8"/>
      <c r="FP67" s="8"/>
      <c r="FQ67" s="8"/>
      <c r="FR67" s="8"/>
      <c r="FS67" s="8"/>
      <c r="FT67" s="8"/>
      <c r="FU67" s="8"/>
      <c r="FV67" s="8"/>
      <c r="FW67" s="8"/>
      <c r="FX67" s="8"/>
      <c r="FY67" s="8"/>
      <c r="FZ67" s="8"/>
      <c r="GA67" s="8"/>
      <c r="GB67" s="8"/>
      <c r="GC67" s="8"/>
      <c r="GD67" s="8"/>
      <c r="GE67" s="8"/>
      <c r="GF67" s="8"/>
      <c r="GG67" s="8"/>
      <c r="GH67" s="8"/>
      <c r="GI67" s="8"/>
      <c r="GJ67" s="8"/>
      <c r="GK67" s="8"/>
      <c r="GL67" s="8"/>
      <c r="GM67" s="8"/>
      <c r="GN67" s="8"/>
      <c r="GO67" s="8"/>
      <c r="GP67" s="8"/>
      <c r="GQ67" s="8"/>
      <c r="GR67" s="8"/>
      <c r="GS67" s="8"/>
      <c r="GT67" s="8"/>
      <c r="GU67" s="8"/>
      <c r="GV67" s="8"/>
      <c r="GW67" s="8"/>
      <c r="GX67" s="8"/>
      <c r="GY67" s="8"/>
      <c r="GZ67" s="8"/>
      <c r="HA67" s="8"/>
      <c r="HB67" s="8"/>
      <c r="HC67" s="8"/>
      <c r="HD67" s="8"/>
      <c r="HE67" s="8"/>
      <c r="HF67" s="8"/>
      <c r="HG67" s="8"/>
      <c r="HH67" s="8"/>
      <c r="HI67" s="8"/>
      <c r="HJ67" s="8"/>
      <c r="HK67" s="8"/>
      <c r="HL67" s="8"/>
      <c r="HM67" s="8"/>
      <c r="HN67" s="8"/>
      <c r="HO67" s="8"/>
      <c r="HP67" s="8"/>
      <c r="HQ67" s="8"/>
      <c r="HR67" s="8"/>
      <c r="HS67" s="8"/>
      <c r="HT67" s="8"/>
      <c r="HU67" s="8"/>
      <c r="HV67" s="8"/>
      <c r="HW67" s="8"/>
      <c r="HX67" s="8"/>
      <c r="HY67" s="8"/>
      <c r="HZ67" s="8"/>
      <c r="IA67" s="8"/>
      <c r="IB67" s="8"/>
      <c r="IC67" s="8"/>
      <c r="ID67" s="8"/>
      <c r="IE67" s="8"/>
      <c r="IF67" s="8"/>
      <c r="IG67" s="8"/>
      <c r="IH67" s="8"/>
      <c r="II67" s="8"/>
      <c r="IJ67" s="8"/>
      <c r="IK67" s="8"/>
      <c r="IL67" s="8"/>
      <c r="IM67" s="8"/>
      <c r="IN67" s="8"/>
      <c r="IO67" s="8"/>
      <c r="IP67" s="8"/>
      <c r="IQ67" s="8"/>
      <c r="IR67" s="8"/>
      <c r="IS67" s="8"/>
      <c r="IT67" s="8"/>
      <c r="IU67" s="8"/>
      <c r="IV67" s="8"/>
      <c r="IW67" s="8"/>
      <c r="IX67" s="8"/>
      <c r="JA67" s="125"/>
      <c r="JB67" s="125"/>
      <c r="JC67" s="125"/>
      <c r="JD67" s="72">
        <f>SUM((TEXT(JA67,"[M]")/60)*'Income Person-hours'!$D$3,(TEXT(JB67,"[M]")/60)*'Income Person-hours'!$D$4,(TEXT(JC67,"[M]")/60)*'Income Person-hours'!$D$5)</f>
        <v>0</v>
      </c>
    </row>
    <row r="68" spans="1:264" s="12" customFormat="1" ht="15.75" hidden="1" x14ac:dyDescent="0.45">
      <c r="A68" s="33">
        <v>3.16</v>
      </c>
      <c r="B68" s="128"/>
      <c r="C68" s="119"/>
      <c r="D68" s="8" t="str">
        <f>IF(OR(j_WEEKDAY(J_ADDDAY(VLOOKUP(I68,A:F,6,FALSE),H68,1),0)=6,SUMIFS(Holieday[ok],Holieday[date],J_ADDDAY(VLOOKUP(I68,A:F,6,FALSE),H68,1)))=FALSE(),J_ADDDAY(VLOOKUP(I68,A:F,6,FALSE),H68,1),IF(OR(j_WEEKDAY(J_ADDDAY(VLOOKUP(I68,A:F,6,FALSE),H68+1,1),0)=6,SUMIFS(Holieday[ok],Holieday[date],J_ADDDAY(VLOOKUP(I68,A:F,6,FALSE),H68+1,1)))=FALSE(),J_ADDDAY(VLOOKUP(I68,A:F,6,FALSE),H68+1,1),IF(OR(j_WEEKDAY(J_ADDDAY(VLOOKUP(I68,A:F,6,FALSE),H68+2,1),0)=6,SUMIFS(Holieday[ok],Holieday[date],J_ADDDAY(VLOOKUP(I68,A:F,6,FALSE),H68+2,1)))=FALSE(),J_ADDDAY(VLOOKUP(I68,A:F,6,FALSE),H68+2,1),IF(OR(j_WEEKDAY(J_ADDDAY(VLOOKUP(I68,A:F,6,FALSE),H68+3,1),0)=6,SUMIFS(Holieday[ok],Holieday[date],J_ADDDAY(VLOOKUP(I68,A:F,6,FALSE),H68+3,1)))=FALSE(),J_ADDDAY(VLOOKUP(I68,A:F,6,FALSE),H68+3,1),IF(OR(j_WEEKDAY(J_ADDDAY(VLOOKUP(I68,A:F,6,FALSE),H68+4,1),0)=6,SUMIFS(Holieday[ok],Holieday[date],J_ADDDAY(VLOOKUP(I68,A:F,6,FALSE),H68+4,1)))=FALSE(),J_ADDDAY(VLOOKUP(I68,A:F,6,FALSE),H68+4,1),J_ADDDAY(VLOOKUP(I68,A:F,6,FALSE),H68+5,1))))))</f>
        <v>1398/07/10</v>
      </c>
      <c r="E68" s="2">
        <f t="shared" si="20"/>
        <v>13980710</v>
      </c>
      <c r="F68" s="13" t="str">
        <f>IF(N68=0,J_SUBDAY(D68,1,1),IF((N68-(NETWORKDAYS.INTL(J_GregorianDate(D68,1),J_GregorianDate(J_SUBDAY(J_ADDDAY(D68,N68,1),1,1),1),16,1)))+SUMIFS(Holieday[ok],Holieday[date],CONCATENATE("&gt;","=",D68),Holieday[date],CONCATENATE("&lt;","=",J_SUBDAY(J_ADDDAY(D68,N68,1),1,1)))-SUMIFS(Holieday[Friday],Holieday[date],CONCATENATE("&gt;","=",D68),Holieday[date],CONCATENATE("&lt;","=",J_SUBDAY(J_ADDDAY(D68,N68,1),1,1)))=0,J_SUBDAY(J_ADDDAY(D68,N68,1),1,1),IF((N68+1-(NETWORKDAYS.INTL(J_GregorianDate(D68,1),J_GregorianDate(J_SUBDAY(J_ADDDAY(D68,N68+1,1),1,1),1),16,1)))+SUMIFS(Holieday[ok],Holieday[date],CONCATENATE("&gt;","=",D68),Holieday[date],CONCATENATE("&lt;","=",J_SUBDAY(J_ADDDAY(D68,N68+1,1),1,1)))-SUMIFS(Holieday[Friday],Holieday[date],CONCATENATE("&gt;","=",D68),Holieday[date],CONCATENATE("&lt;","=",J_SUBDAY(J_ADDDAY(D68,N68+1,1),1,1)))=1,J_SUBDAY(J_ADDDAY(D68,N68+1,1),1,1),IF((N68+2-(NETWORKDAYS.INTL(J_GregorianDate(D68,1),J_GregorianDate(J_SUBDAY(J_ADDDAY(D68,N68+2,1),1,1),1),16,1)))+SUMIFS(Holieday[ok],Holieday[date],CONCATENATE("&gt;","=",D68),Holieday[date],CONCATENATE("&lt;","=",J_SUBDAY(J_ADDDAY(D68,N68+2,1),1,1)))-SUMIFS(Holieday[Friday],Holieday[date],CONCATENATE("&gt;","=",D68),Holieday[date],CONCATENATE("&lt;","=",J_SUBDAY(J_ADDDAY(D68,N68+2,1),1,1)))=2,J_SUBDAY(J_ADDDAY(D68,N68+2,1),1,1),IF((N68+3-(NETWORKDAYS.INTL(J_GregorianDate(D68,1),J_GregorianDate(J_SUBDAY(J_ADDDAY(D68,N68+3,1),1,1),1),16,1)))+SUMIFS(Holieday[ok],Holieday[date],CONCATENATE("&gt;","=",D68),Holieday[date],CONCATENATE("&lt;","=",J_SUBDAY(J_ADDDAY(D68,N68+3,1),1,1)))-SUMIFS(Holieday[Friday],Holieday[date],CONCATENATE("&gt;","=",D68),Holieday[date],CONCATENATE("&lt;","=",J_SUBDAY(J_ADDDAY(D68,N68+3,1),1,1)))=3,J_SUBDAY(J_ADDDAY(D68,N68+3,1),1,1),IF((N68+4-(NETWORKDAYS.INTL(J_GregorianDate(D68,1),J_GregorianDate(J_SUBDAY(J_ADDDAY(D68,N68+4,1),1,1),1),16,1)))+SUMIFS(Holieday[ok],Holieday[date],CONCATENATE("&gt;","=",D68),Holieday[date],CONCATENATE("&lt;","=",J_SUBDAY(J_ADDDAY(D68,N68+4,1),1,1)))-SUMIFS(Holieday[Friday],Holieday[date],CONCATENATE("&gt;","=",D68),Holieday[date],CONCATENATE("&lt;","=",J_SUBDAY(J_ADDDAY(D68,N68+4,1),1,1)))=4,J_SUBDAY(J_ADDDAY(D68,N68+4,1),1,1),IF((N68+5-(NETWORKDAYS.INTL(J_GregorianDate(D68,1),J_GregorianDate(J_SUBDAY(J_ADDDAY(D68,N68+5,1),1,1),1),16,1)))+SUMIFS(Holieday[ok],Holieday[date],CONCATENATE("&gt;","=",D68),Holieday[date],CONCATENATE("&lt;","=",J_SUBDAY(J_ADDDAY(D68,N68+5,1),1,1)))-SUMIFS(Holieday[Friday],Holieday[date],CONCATENATE("&gt;","=",D68),Holieday[date],CONCATENATE("&lt;","=",J_SUBDAY(J_ADDDAY(D68,N68+5,1),1,1)))=5,J_SUBDAY(J_ADDDAY(D68,N68+5,1),1,1),J_SUBDAY(J_ADDDAY(D68,N68+6,1),1,1))))))))</f>
        <v>1398/07/09</v>
      </c>
      <c r="G68" s="3">
        <f t="shared" si="21"/>
        <v>13980709</v>
      </c>
      <c r="H68" s="121"/>
      <c r="I68" s="122">
        <v>3.4</v>
      </c>
      <c r="J68" s="10" t="str">
        <f>j_WEEKDAY(D68,1)</f>
        <v>چهارشنبه</v>
      </c>
      <c r="K68" s="23">
        <f t="shared" si="18"/>
        <v>0</v>
      </c>
      <c r="L68" s="9">
        <f t="shared" si="19"/>
        <v>0</v>
      </c>
      <c r="M68" s="123">
        <v>0</v>
      </c>
      <c r="N68" s="120">
        <v>0</v>
      </c>
      <c r="O68" s="11">
        <f t="shared" si="22"/>
        <v>0</v>
      </c>
      <c r="P68" s="11"/>
      <c r="Q68" s="10">
        <f t="shared" si="14"/>
        <v>0</v>
      </c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T68" s="8"/>
      <c r="EU68" s="8"/>
      <c r="EV68" s="8"/>
      <c r="EW68" s="8"/>
      <c r="EX68" s="8"/>
      <c r="EY68" s="8"/>
      <c r="EZ68" s="8"/>
      <c r="FA68" s="8"/>
      <c r="FB68" s="8"/>
      <c r="FC68" s="8"/>
      <c r="FD68" s="8"/>
      <c r="FE68" s="8"/>
      <c r="FF68" s="8"/>
      <c r="FG68" s="8"/>
      <c r="FH68" s="8"/>
      <c r="FI68" s="8"/>
      <c r="FJ68" s="8"/>
      <c r="FK68" s="8"/>
      <c r="FL68" s="8"/>
      <c r="FM68" s="8"/>
      <c r="FN68" s="8"/>
      <c r="FO68" s="8"/>
      <c r="FP68" s="8"/>
      <c r="FQ68" s="8"/>
      <c r="FR68" s="8"/>
      <c r="FS68" s="8"/>
      <c r="FT68" s="8"/>
      <c r="FU68" s="8"/>
      <c r="FV68" s="8"/>
      <c r="FW68" s="8"/>
      <c r="FX68" s="8"/>
      <c r="FY68" s="8"/>
      <c r="FZ68" s="8"/>
      <c r="GA68" s="8"/>
      <c r="GB68" s="8"/>
      <c r="GC68" s="8"/>
      <c r="GD68" s="8"/>
      <c r="GE68" s="8"/>
      <c r="GF68" s="8"/>
      <c r="GG68" s="8"/>
      <c r="GH68" s="8"/>
      <c r="GI68" s="8"/>
      <c r="GJ68" s="8"/>
      <c r="GK68" s="8"/>
      <c r="GL68" s="8"/>
      <c r="GM68" s="8"/>
      <c r="GN68" s="8"/>
      <c r="GO68" s="8"/>
      <c r="GP68" s="8"/>
      <c r="GQ68" s="8"/>
      <c r="GR68" s="8"/>
      <c r="GS68" s="8"/>
      <c r="GT68" s="8"/>
      <c r="GU68" s="8"/>
      <c r="GV68" s="8"/>
      <c r="GW68" s="8"/>
      <c r="GX68" s="8"/>
      <c r="GY68" s="8"/>
      <c r="GZ68" s="8"/>
      <c r="HA68" s="8"/>
      <c r="HB68" s="8"/>
      <c r="HC68" s="8"/>
      <c r="HD68" s="8"/>
      <c r="HE68" s="8"/>
      <c r="HF68" s="8"/>
      <c r="HG68" s="8"/>
      <c r="HH68" s="8"/>
      <c r="HI68" s="8"/>
      <c r="HJ68" s="8"/>
      <c r="HK68" s="8"/>
      <c r="HL68" s="8"/>
      <c r="HM68" s="8"/>
      <c r="HN68" s="8"/>
      <c r="HO68" s="8"/>
      <c r="HP68" s="8"/>
      <c r="HQ68" s="8"/>
      <c r="HR68" s="8"/>
      <c r="HS68" s="8"/>
      <c r="HT68" s="8"/>
      <c r="HU68" s="8"/>
      <c r="HV68" s="8"/>
      <c r="HW68" s="8"/>
      <c r="HX68" s="8"/>
      <c r="HY68" s="8"/>
      <c r="HZ68" s="8"/>
      <c r="IA68" s="8"/>
      <c r="IB68" s="8"/>
      <c r="IC68" s="8"/>
      <c r="ID68" s="8"/>
      <c r="IE68" s="8"/>
      <c r="IF68" s="8"/>
      <c r="IG68" s="8"/>
      <c r="IH68" s="8"/>
      <c r="II68" s="8"/>
      <c r="IJ68" s="8"/>
      <c r="IK68" s="8"/>
      <c r="IL68" s="8"/>
      <c r="IM68" s="8"/>
      <c r="IN68" s="8"/>
      <c r="IO68" s="8"/>
      <c r="IP68" s="8"/>
      <c r="IQ68" s="8"/>
      <c r="IR68" s="8"/>
      <c r="IS68" s="8"/>
      <c r="IT68" s="8"/>
      <c r="IU68" s="8"/>
      <c r="IV68" s="8"/>
      <c r="IW68" s="8"/>
      <c r="IX68" s="8"/>
      <c r="JA68" s="125"/>
      <c r="JB68" s="125"/>
      <c r="JC68" s="125"/>
      <c r="JD68" s="72">
        <f>SUM((TEXT(JA68,"[M]")/60)*'Income Person-hours'!$D$3,(TEXT(JB68,"[M]")/60)*'Income Person-hours'!$D$4,(TEXT(JC68,"[M]")/60)*'Income Person-hours'!$D$5)</f>
        <v>0</v>
      </c>
    </row>
    <row r="69" spans="1:264" s="12" customFormat="1" ht="15.75" hidden="1" x14ac:dyDescent="0.45">
      <c r="A69" s="33">
        <v>3.17</v>
      </c>
      <c r="B69" s="128"/>
      <c r="C69" s="119"/>
      <c r="D69" s="8" t="str">
        <f>IF(OR(j_WEEKDAY(J_ADDDAY(VLOOKUP(I69,A:F,6,FALSE),H69,1),0)=6,SUMIFS(Holieday[ok],Holieday[date],J_ADDDAY(VLOOKUP(I69,A:F,6,FALSE),H69,1)))=FALSE(),J_ADDDAY(VLOOKUP(I69,A:F,6,FALSE),H69,1),IF(OR(j_WEEKDAY(J_ADDDAY(VLOOKUP(I69,A:F,6,FALSE),H69+1,1),0)=6,SUMIFS(Holieday[ok],Holieday[date],J_ADDDAY(VLOOKUP(I69,A:F,6,FALSE),H69+1,1)))=FALSE(),J_ADDDAY(VLOOKUP(I69,A:F,6,FALSE),H69+1,1),IF(OR(j_WEEKDAY(J_ADDDAY(VLOOKUP(I69,A:F,6,FALSE),H69+2,1),0)=6,SUMIFS(Holieday[ok],Holieday[date],J_ADDDAY(VLOOKUP(I69,A:F,6,FALSE),H69+2,1)))=FALSE(),J_ADDDAY(VLOOKUP(I69,A:F,6,FALSE),H69+2,1),IF(OR(j_WEEKDAY(J_ADDDAY(VLOOKUP(I69,A:F,6,FALSE),H69+3,1),0)=6,SUMIFS(Holieday[ok],Holieday[date],J_ADDDAY(VLOOKUP(I69,A:F,6,FALSE),H69+3,1)))=FALSE(),J_ADDDAY(VLOOKUP(I69,A:F,6,FALSE),H69+3,1),IF(OR(j_WEEKDAY(J_ADDDAY(VLOOKUP(I69,A:F,6,FALSE),H69+4,1),0)=6,SUMIFS(Holieday[ok],Holieday[date],J_ADDDAY(VLOOKUP(I69,A:F,6,FALSE),H69+4,1)))=FALSE(),J_ADDDAY(VLOOKUP(I69,A:F,6,FALSE),H69+4,1),J_ADDDAY(VLOOKUP(I69,A:F,6,FALSE),H69+5,1))))))</f>
        <v>1398/07/10</v>
      </c>
      <c r="E69" s="2">
        <f t="shared" si="20"/>
        <v>13980710</v>
      </c>
      <c r="F69" s="13" t="str">
        <f>IF(N69=0,J_SUBDAY(D69,1,1),IF((N69-(NETWORKDAYS.INTL(J_GregorianDate(D69,1),J_GregorianDate(J_SUBDAY(J_ADDDAY(D69,N69,1),1,1),1),16,1)))+SUMIFS(Holieday[ok],Holieday[date],CONCATENATE("&gt;","=",D69),Holieday[date],CONCATENATE("&lt;","=",J_SUBDAY(J_ADDDAY(D69,N69,1),1,1)))-SUMIFS(Holieday[Friday],Holieday[date],CONCATENATE("&gt;","=",D69),Holieday[date],CONCATENATE("&lt;","=",J_SUBDAY(J_ADDDAY(D69,N69,1),1,1)))=0,J_SUBDAY(J_ADDDAY(D69,N69,1),1,1),IF((N69+1-(NETWORKDAYS.INTL(J_GregorianDate(D69,1),J_GregorianDate(J_SUBDAY(J_ADDDAY(D69,N69+1,1),1,1),1),16,1)))+SUMIFS(Holieday[ok],Holieday[date],CONCATENATE("&gt;","=",D69),Holieday[date],CONCATENATE("&lt;","=",J_SUBDAY(J_ADDDAY(D69,N69+1,1),1,1)))-SUMIFS(Holieday[Friday],Holieday[date],CONCATENATE("&gt;","=",D69),Holieday[date],CONCATENATE("&lt;","=",J_SUBDAY(J_ADDDAY(D69,N69+1,1),1,1)))=1,J_SUBDAY(J_ADDDAY(D69,N69+1,1),1,1),IF((N69+2-(NETWORKDAYS.INTL(J_GregorianDate(D69,1),J_GregorianDate(J_SUBDAY(J_ADDDAY(D69,N69+2,1),1,1),1),16,1)))+SUMIFS(Holieday[ok],Holieday[date],CONCATENATE("&gt;","=",D69),Holieday[date],CONCATENATE("&lt;","=",J_SUBDAY(J_ADDDAY(D69,N69+2,1),1,1)))-SUMIFS(Holieday[Friday],Holieday[date],CONCATENATE("&gt;","=",D69),Holieday[date],CONCATENATE("&lt;","=",J_SUBDAY(J_ADDDAY(D69,N69+2,1),1,1)))=2,J_SUBDAY(J_ADDDAY(D69,N69+2,1),1,1),IF((N69+3-(NETWORKDAYS.INTL(J_GregorianDate(D69,1),J_GregorianDate(J_SUBDAY(J_ADDDAY(D69,N69+3,1),1,1),1),16,1)))+SUMIFS(Holieday[ok],Holieday[date],CONCATENATE("&gt;","=",D69),Holieday[date],CONCATENATE("&lt;","=",J_SUBDAY(J_ADDDAY(D69,N69+3,1),1,1)))-SUMIFS(Holieday[Friday],Holieday[date],CONCATENATE("&gt;","=",D69),Holieday[date],CONCATENATE("&lt;","=",J_SUBDAY(J_ADDDAY(D69,N69+3,1),1,1)))=3,J_SUBDAY(J_ADDDAY(D69,N69+3,1),1,1),IF((N69+4-(NETWORKDAYS.INTL(J_GregorianDate(D69,1),J_GregorianDate(J_SUBDAY(J_ADDDAY(D69,N69+4,1),1,1),1),16,1)))+SUMIFS(Holieday[ok],Holieday[date],CONCATENATE("&gt;","=",D69),Holieday[date],CONCATENATE("&lt;","=",J_SUBDAY(J_ADDDAY(D69,N69+4,1),1,1)))-SUMIFS(Holieday[Friday],Holieday[date],CONCATENATE("&gt;","=",D69),Holieday[date],CONCATENATE("&lt;","=",J_SUBDAY(J_ADDDAY(D69,N69+4,1),1,1)))=4,J_SUBDAY(J_ADDDAY(D69,N69+4,1),1,1),IF((N69+5-(NETWORKDAYS.INTL(J_GregorianDate(D69,1),J_GregorianDate(J_SUBDAY(J_ADDDAY(D69,N69+5,1),1,1),1),16,1)))+SUMIFS(Holieday[ok],Holieday[date],CONCATENATE("&gt;","=",D69),Holieday[date],CONCATENATE("&lt;","=",J_SUBDAY(J_ADDDAY(D69,N69+5,1),1,1)))-SUMIFS(Holieday[Friday],Holieday[date],CONCATENATE("&gt;","=",D69),Holieday[date],CONCATENATE("&lt;","=",J_SUBDAY(J_ADDDAY(D69,N69+5,1),1,1)))=5,J_SUBDAY(J_ADDDAY(D69,N69+5,1),1,1),J_SUBDAY(J_ADDDAY(D69,N69+6,1),1,1))))))))</f>
        <v>1398/07/09</v>
      </c>
      <c r="G69" s="3">
        <f t="shared" si="21"/>
        <v>13980709</v>
      </c>
      <c r="H69" s="121"/>
      <c r="I69" s="122">
        <v>3.4</v>
      </c>
      <c r="J69" s="10" t="str">
        <f>j_WEEKDAY(D69,1)</f>
        <v>چهارشنبه</v>
      </c>
      <c r="K69" s="23">
        <f t="shared" si="18"/>
        <v>0</v>
      </c>
      <c r="L69" s="9">
        <f t="shared" si="19"/>
        <v>0</v>
      </c>
      <c r="M69" s="123">
        <v>0</v>
      </c>
      <c r="N69" s="120">
        <v>0</v>
      </c>
      <c r="O69" s="11">
        <f t="shared" si="22"/>
        <v>0</v>
      </c>
      <c r="P69" s="11"/>
      <c r="Q69" s="10">
        <f t="shared" si="14"/>
        <v>0</v>
      </c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T69" s="8"/>
      <c r="EU69" s="8"/>
      <c r="EV69" s="8"/>
      <c r="EW69" s="8"/>
      <c r="EX69" s="8"/>
      <c r="EY69" s="8"/>
      <c r="EZ69" s="8"/>
      <c r="FA69" s="8"/>
      <c r="FB69" s="8"/>
      <c r="FC69" s="8"/>
      <c r="FD69" s="8"/>
      <c r="FE69" s="8"/>
      <c r="FF69" s="8"/>
      <c r="FG69" s="8"/>
      <c r="FH69" s="8"/>
      <c r="FI69" s="8"/>
      <c r="FJ69" s="8"/>
      <c r="FK69" s="8"/>
      <c r="FL69" s="8"/>
      <c r="FM69" s="8"/>
      <c r="FN69" s="8"/>
      <c r="FO69" s="8"/>
      <c r="FP69" s="8"/>
      <c r="FQ69" s="8"/>
      <c r="FR69" s="8"/>
      <c r="FS69" s="8"/>
      <c r="FT69" s="8"/>
      <c r="FU69" s="8"/>
      <c r="FV69" s="8"/>
      <c r="FW69" s="8"/>
      <c r="FX69" s="8"/>
      <c r="FY69" s="8"/>
      <c r="FZ69" s="8"/>
      <c r="GA69" s="8"/>
      <c r="GB69" s="8"/>
      <c r="GC69" s="8"/>
      <c r="GD69" s="8"/>
      <c r="GE69" s="8"/>
      <c r="GF69" s="8"/>
      <c r="GG69" s="8"/>
      <c r="GH69" s="8"/>
      <c r="GI69" s="8"/>
      <c r="GJ69" s="8"/>
      <c r="GK69" s="8"/>
      <c r="GL69" s="8"/>
      <c r="GM69" s="8"/>
      <c r="GN69" s="8"/>
      <c r="GO69" s="8"/>
      <c r="GP69" s="8"/>
      <c r="GQ69" s="8"/>
      <c r="GR69" s="8"/>
      <c r="GS69" s="8"/>
      <c r="GT69" s="8"/>
      <c r="GU69" s="8"/>
      <c r="GV69" s="8"/>
      <c r="GW69" s="8"/>
      <c r="GX69" s="8"/>
      <c r="GY69" s="8"/>
      <c r="GZ69" s="8"/>
      <c r="HA69" s="8"/>
      <c r="HB69" s="8"/>
      <c r="HC69" s="8"/>
      <c r="HD69" s="8"/>
      <c r="HE69" s="8"/>
      <c r="HF69" s="8"/>
      <c r="HG69" s="8"/>
      <c r="HH69" s="8"/>
      <c r="HI69" s="8"/>
      <c r="HJ69" s="8"/>
      <c r="HK69" s="8"/>
      <c r="HL69" s="8"/>
      <c r="HM69" s="8"/>
      <c r="HN69" s="8"/>
      <c r="HO69" s="8"/>
      <c r="HP69" s="8"/>
      <c r="HQ69" s="8"/>
      <c r="HR69" s="8"/>
      <c r="HS69" s="8"/>
      <c r="HT69" s="8"/>
      <c r="HU69" s="8"/>
      <c r="HV69" s="8"/>
      <c r="HW69" s="8"/>
      <c r="HX69" s="8"/>
      <c r="HY69" s="8"/>
      <c r="HZ69" s="8"/>
      <c r="IA69" s="8"/>
      <c r="IB69" s="8"/>
      <c r="IC69" s="8"/>
      <c r="ID69" s="8"/>
      <c r="IE69" s="8"/>
      <c r="IF69" s="8"/>
      <c r="IG69" s="8"/>
      <c r="IH69" s="8"/>
      <c r="II69" s="8"/>
      <c r="IJ69" s="8"/>
      <c r="IK69" s="8"/>
      <c r="IL69" s="8"/>
      <c r="IM69" s="8"/>
      <c r="IN69" s="8"/>
      <c r="IO69" s="8"/>
      <c r="IP69" s="8"/>
      <c r="IQ69" s="8"/>
      <c r="IR69" s="8"/>
      <c r="IS69" s="8"/>
      <c r="IT69" s="8"/>
      <c r="IU69" s="8"/>
      <c r="IV69" s="8"/>
      <c r="IW69" s="8"/>
      <c r="IX69" s="8"/>
      <c r="JA69" s="125"/>
      <c r="JB69" s="125"/>
      <c r="JC69" s="125"/>
      <c r="JD69" s="72">
        <f>SUM((TEXT(JA69,"[M]")/60)*'Income Person-hours'!$D$3,(TEXT(JB69,"[M]")/60)*'Income Person-hours'!$D$4,(TEXT(JC69,"[M]")/60)*'Income Person-hours'!$D$5)</f>
        <v>0</v>
      </c>
    </row>
    <row r="70" spans="1:264" s="12" customFormat="1" ht="15.75" hidden="1" x14ac:dyDescent="0.45">
      <c r="A70" s="33">
        <v>3.18</v>
      </c>
      <c r="B70" s="128"/>
      <c r="C70" s="119"/>
      <c r="D70" s="8" t="str">
        <f>IF(OR(j_WEEKDAY(J_ADDDAY(VLOOKUP(I70,A:F,6,FALSE),H70,1),0)=6,SUMIFS(Holieday[ok],Holieday[date],J_ADDDAY(VLOOKUP(I70,A:F,6,FALSE),H70,1)))=FALSE(),J_ADDDAY(VLOOKUP(I70,A:F,6,FALSE),H70,1),IF(OR(j_WEEKDAY(J_ADDDAY(VLOOKUP(I70,A:F,6,FALSE),H70+1,1),0)=6,SUMIFS(Holieday[ok],Holieday[date],J_ADDDAY(VLOOKUP(I70,A:F,6,FALSE),H70+1,1)))=FALSE(),J_ADDDAY(VLOOKUP(I70,A:F,6,FALSE),H70+1,1),IF(OR(j_WEEKDAY(J_ADDDAY(VLOOKUP(I70,A:F,6,FALSE),H70+2,1),0)=6,SUMIFS(Holieday[ok],Holieday[date],J_ADDDAY(VLOOKUP(I70,A:F,6,FALSE),H70+2,1)))=FALSE(),J_ADDDAY(VLOOKUP(I70,A:F,6,FALSE),H70+2,1),IF(OR(j_WEEKDAY(J_ADDDAY(VLOOKUP(I70,A:F,6,FALSE),H70+3,1),0)=6,SUMIFS(Holieday[ok],Holieday[date],J_ADDDAY(VLOOKUP(I70,A:F,6,FALSE),H70+3,1)))=FALSE(),J_ADDDAY(VLOOKUP(I70,A:F,6,FALSE),H70+3,1),IF(OR(j_WEEKDAY(J_ADDDAY(VLOOKUP(I70,A:F,6,FALSE),H70+4,1),0)=6,SUMIFS(Holieday[ok],Holieday[date],J_ADDDAY(VLOOKUP(I70,A:F,6,FALSE),H70+4,1)))=FALSE(),J_ADDDAY(VLOOKUP(I70,A:F,6,FALSE),H70+4,1),J_ADDDAY(VLOOKUP(I70,A:F,6,FALSE),H70+5,1))))))</f>
        <v>1398/07/10</v>
      </c>
      <c r="E70" s="2">
        <f t="shared" si="20"/>
        <v>13980710</v>
      </c>
      <c r="F70" s="13" t="str">
        <f>IF(N70=0,J_SUBDAY(D70,1,1),IF((N70-(NETWORKDAYS.INTL(J_GregorianDate(D70,1),J_GregorianDate(J_SUBDAY(J_ADDDAY(D70,N70,1),1,1),1),16,1)))+SUMIFS(Holieday[ok],Holieday[date],CONCATENATE("&gt;","=",D70),Holieday[date],CONCATENATE("&lt;","=",J_SUBDAY(J_ADDDAY(D70,N70,1),1,1)))-SUMIFS(Holieday[Friday],Holieday[date],CONCATENATE("&gt;","=",D70),Holieday[date],CONCATENATE("&lt;","=",J_SUBDAY(J_ADDDAY(D70,N70,1),1,1)))=0,J_SUBDAY(J_ADDDAY(D70,N70,1),1,1),IF((N70+1-(NETWORKDAYS.INTL(J_GregorianDate(D70,1),J_GregorianDate(J_SUBDAY(J_ADDDAY(D70,N70+1,1),1,1),1),16,1)))+SUMIFS(Holieday[ok],Holieday[date],CONCATENATE("&gt;","=",D70),Holieday[date],CONCATENATE("&lt;","=",J_SUBDAY(J_ADDDAY(D70,N70+1,1),1,1)))-SUMIFS(Holieday[Friday],Holieday[date],CONCATENATE("&gt;","=",D70),Holieday[date],CONCATENATE("&lt;","=",J_SUBDAY(J_ADDDAY(D70,N70+1,1),1,1)))=1,J_SUBDAY(J_ADDDAY(D70,N70+1,1),1,1),IF((N70+2-(NETWORKDAYS.INTL(J_GregorianDate(D70,1),J_GregorianDate(J_SUBDAY(J_ADDDAY(D70,N70+2,1),1,1),1),16,1)))+SUMIFS(Holieday[ok],Holieday[date],CONCATENATE("&gt;","=",D70),Holieday[date],CONCATENATE("&lt;","=",J_SUBDAY(J_ADDDAY(D70,N70+2,1),1,1)))-SUMIFS(Holieday[Friday],Holieday[date],CONCATENATE("&gt;","=",D70),Holieday[date],CONCATENATE("&lt;","=",J_SUBDAY(J_ADDDAY(D70,N70+2,1),1,1)))=2,J_SUBDAY(J_ADDDAY(D70,N70+2,1),1,1),IF((N70+3-(NETWORKDAYS.INTL(J_GregorianDate(D70,1),J_GregorianDate(J_SUBDAY(J_ADDDAY(D70,N70+3,1),1,1),1),16,1)))+SUMIFS(Holieday[ok],Holieday[date],CONCATENATE("&gt;","=",D70),Holieday[date],CONCATENATE("&lt;","=",J_SUBDAY(J_ADDDAY(D70,N70+3,1),1,1)))-SUMIFS(Holieday[Friday],Holieday[date],CONCATENATE("&gt;","=",D70),Holieday[date],CONCATENATE("&lt;","=",J_SUBDAY(J_ADDDAY(D70,N70+3,1),1,1)))=3,J_SUBDAY(J_ADDDAY(D70,N70+3,1),1,1),IF((N70+4-(NETWORKDAYS.INTL(J_GregorianDate(D70,1),J_GregorianDate(J_SUBDAY(J_ADDDAY(D70,N70+4,1),1,1),1),16,1)))+SUMIFS(Holieday[ok],Holieday[date],CONCATENATE("&gt;","=",D70),Holieday[date],CONCATENATE("&lt;","=",J_SUBDAY(J_ADDDAY(D70,N70+4,1),1,1)))-SUMIFS(Holieday[Friday],Holieday[date],CONCATENATE("&gt;","=",D70),Holieday[date],CONCATENATE("&lt;","=",J_SUBDAY(J_ADDDAY(D70,N70+4,1),1,1)))=4,J_SUBDAY(J_ADDDAY(D70,N70+4,1),1,1),IF((N70+5-(NETWORKDAYS.INTL(J_GregorianDate(D70,1),J_GregorianDate(J_SUBDAY(J_ADDDAY(D70,N70+5,1),1,1),1),16,1)))+SUMIFS(Holieday[ok],Holieday[date],CONCATENATE("&gt;","=",D70),Holieday[date],CONCATENATE("&lt;","=",J_SUBDAY(J_ADDDAY(D70,N70+5,1),1,1)))-SUMIFS(Holieday[Friday],Holieday[date],CONCATENATE("&gt;","=",D70),Holieday[date],CONCATENATE("&lt;","=",J_SUBDAY(J_ADDDAY(D70,N70+5,1),1,1)))=5,J_SUBDAY(J_ADDDAY(D70,N70+5,1),1,1),J_SUBDAY(J_ADDDAY(D70,N70+6,1),1,1))))))))</f>
        <v>1398/07/09</v>
      </c>
      <c r="G70" s="3">
        <f t="shared" si="21"/>
        <v>13980709</v>
      </c>
      <c r="H70" s="121"/>
      <c r="I70" s="122">
        <v>3.4</v>
      </c>
      <c r="J70" s="10" t="str">
        <f>j_WEEKDAY(D70,1)</f>
        <v>چهارشنبه</v>
      </c>
      <c r="K70" s="23">
        <f t="shared" si="18"/>
        <v>0</v>
      </c>
      <c r="L70" s="9">
        <f t="shared" si="19"/>
        <v>0</v>
      </c>
      <c r="M70" s="123">
        <v>0</v>
      </c>
      <c r="N70" s="120">
        <v>0</v>
      </c>
      <c r="O70" s="11">
        <f t="shared" si="22"/>
        <v>0</v>
      </c>
      <c r="P70" s="11"/>
      <c r="Q70" s="10">
        <f t="shared" si="14"/>
        <v>0</v>
      </c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T70" s="8"/>
      <c r="EU70" s="8"/>
      <c r="EV70" s="8"/>
      <c r="EW70" s="8"/>
      <c r="EX70" s="8"/>
      <c r="EY70" s="8"/>
      <c r="EZ70" s="8"/>
      <c r="FA70" s="8"/>
      <c r="FB70" s="8"/>
      <c r="FC70" s="8"/>
      <c r="FD70" s="8"/>
      <c r="FE70" s="8"/>
      <c r="FF70" s="8"/>
      <c r="FG70" s="8"/>
      <c r="FH70" s="8"/>
      <c r="FI70" s="8"/>
      <c r="FJ70" s="8"/>
      <c r="FK70" s="8"/>
      <c r="FL70" s="8"/>
      <c r="FM70" s="8"/>
      <c r="FN70" s="8"/>
      <c r="FO70" s="8"/>
      <c r="FP70" s="8"/>
      <c r="FQ70" s="8"/>
      <c r="FR70" s="8"/>
      <c r="FS70" s="8"/>
      <c r="FT70" s="8"/>
      <c r="FU70" s="8"/>
      <c r="FV70" s="8"/>
      <c r="FW70" s="8"/>
      <c r="FX70" s="8"/>
      <c r="FY70" s="8"/>
      <c r="FZ70" s="8"/>
      <c r="GA70" s="8"/>
      <c r="GB70" s="8"/>
      <c r="GC70" s="8"/>
      <c r="GD70" s="8"/>
      <c r="GE70" s="8"/>
      <c r="GF70" s="8"/>
      <c r="GG70" s="8"/>
      <c r="GH70" s="8"/>
      <c r="GI70" s="8"/>
      <c r="GJ70" s="8"/>
      <c r="GK70" s="8"/>
      <c r="GL70" s="8"/>
      <c r="GM70" s="8"/>
      <c r="GN70" s="8"/>
      <c r="GO70" s="8"/>
      <c r="GP70" s="8"/>
      <c r="GQ70" s="8"/>
      <c r="GR70" s="8"/>
      <c r="GS70" s="8"/>
      <c r="GT70" s="8"/>
      <c r="GU70" s="8"/>
      <c r="GV70" s="8"/>
      <c r="GW70" s="8"/>
      <c r="GX70" s="8"/>
      <c r="GY70" s="8"/>
      <c r="GZ70" s="8"/>
      <c r="HA70" s="8"/>
      <c r="HB70" s="8"/>
      <c r="HC70" s="8"/>
      <c r="HD70" s="8"/>
      <c r="HE70" s="8"/>
      <c r="HF70" s="8"/>
      <c r="HG70" s="8"/>
      <c r="HH70" s="8"/>
      <c r="HI70" s="8"/>
      <c r="HJ70" s="8"/>
      <c r="HK70" s="8"/>
      <c r="HL70" s="8"/>
      <c r="HM70" s="8"/>
      <c r="HN70" s="8"/>
      <c r="HO70" s="8"/>
      <c r="HP70" s="8"/>
      <c r="HQ70" s="8"/>
      <c r="HR70" s="8"/>
      <c r="HS70" s="8"/>
      <c r="HT70" s="8"/>
      <c r="HU70" s="8"/>
      <c r="HV70" s="8"/>
      <c r="HW70" s="8"/>
      <c r="HX70" s="8"/>
      <c r="HY70" s="8"/>
      <c r="HZ70" s="8"/>
      <c r="IA70" s="8"/>
      <c r="IB70" s="8"/>
      <c r="IC70" s="8"/>
      <c r="ID70" s="8"/>
      <c r="IE70" s="8"/>
      <c r="IF70" s="8"/>
      <c r="IG70" s="8"/>
      <c r="IH70" s="8"/>
      <c r="II70" s="8"/>
      <c r="IJ70" s="8"/>
      <c r="IK70" s="8"/>
      <c r="IL70" s="8"/>
      <c r="IM70" s="8"/>
      <c r="IN70" s="8"/>
      <c r="IO70" s="8"/>
      <c r="IP70" s="8"/>
      <c r="IQ70" s="8"/>
      <c r="IR70" s="8"/>
      <c r="IS70" s="8"/>
      <c r="IT70" s="8"/>
      <c r="IU70" s="8"/>
      <c r="IV70" s="8"/>
      <c r="IW70" s="8"/>
      <c r="IX70" s="8"/>
      <c r="JA70" s="125"/>
      <c r="JB70" s="125"/>
      <c r="JC70" s="125"/>
      <c r="JD70" s="72">
        <f>SUM((TEXT(JA70,"[M]")/60)*'Income Person-hours'!$D$3,(TEXT(JB70,"[M]")/60)*'Income Person-hours'!$D$4,(TEXT(JC70,"[M]")/60)*'Income Person-hours'!$D$5)</f>
        <v>0</v>
      </c>
    </row>
    <row r="71" spans="1:264" s="12" customFormat="1" ht="15.75" hidden="1" x14ac:dyDescent="0.45">
      <c r="A71" s="33">
        <v>3.19</v>
      </c>
      <c r="B71" s="128"/>
      <c r="C71" s="119"/>
      <c r="D71" s="8" t="str">
        <f>IF(OR(j_WEEKDAY(J_ADDDAY(VLOOKUP(I71,A:F,6,FALSE),H71,1),0)=6,SUMIFS(Holieday[ok],Holieday[date],J_ADDDAY(VLOOKUP(I71,A:F,6,FALSE),H71,1)))=FALSE(),J_ADDDAY(VLOOKUP(I71,A:F,6,FALSE),H71,1),IF(OR(j_WEEKDAY(J_ADDDAY(VLOOKUP(I71,A:F,6,FALSE),H71+1,1),0)=6,SUMIFS(Holieday[ok],Holieday[date],J_ADDDAY(VLOOKUP(I71,A:F,6,FALSE),H71+1,1)))=FALSE(),J_ADDDAY(VLOOKUP(I71,A:F,6,FALSE),H71+1,1),IF(OR(j_WEEKDAY(J_ADDDAY(VLOOKUP(I71,A:F,6,FALSE),H71+2,1),0)=6,SUMIFS(Holieday[ok],Holieday[date],J_ADDDAY(VLOOKUP(I71,A:F,6,FALSE),H71+2,1)))=FALSE(),J_ADDDAY(VLOOKUP(I71,A:F,6,FALSE),H71+2,1),IF(OR(j_WEEKDAY(J_ADDDAY(VLOOKUP(I71,A:F,6,FALSE),H71+3,1),0)=6,SUMIFS(Holieday[ok],Holieday[date],J_ADDDAY(VLOOKUP(I71,A:F,6,FALSE),H71+3,1)))=FALSE(),J_ADDDAY(VLOOKUP(I71,A:F,6,FALSE),H71+3,1),IF(OR(j_WEEKDAY(J_ADDDAY(VLOOKUP(I71,A:F,6,FALSE),H71+4,1),0)=6,SUMIFS(Holieday[ok],Holieday[date],J_ADDDAY(VLOOKUP(I71,A:F,6,FALSE),H71+4,1)))=FALSE(),J_ADDDAY(VLOOKUP(I71,A:F,6,FALSE),H71+4,1),J_ADDDAY(VLOOKUP(I71,A:F,6,FALSE),H71+5,1))))))</f>
        <v>1398/07/10</v>
      </c>
      <c r="E71" s="2">
        <f t="shared" si="20"/>
        <v>13980710</v>
      </c>
      <c r="F71" s="13" t="str">
        <f>IF(N71=0,J_SUBDAY(D71,1,1),IF((N71-(NETWORKDAYS.INTL(J_GregorianDate(D71,1),J_GregorianDate(J_SUBDAY(J_ADDDAY(D71,N71,1),1,1),1),16,1)))+SUMIFS(Holieday[ok],Holieday[date],CONCATENATE("&gt;","=",D71),Holieday[date],CONCATENATE("&lt;","=",J_SUBDAY(J_ADDDAY(D71,N71,1),1,1)))-SUMIFS(Holieday[Friday],Holieday[date],CONCATENATE("&gt;","=",D71),Holieday[date],CONCATENATE("&lt;","=",J_SUBDAY(J_ADDDAY(D71,N71,1),1,1)))=0,J_SUBDAY(J_ADDDAY(D71,N71,1),1,1),IF((N71+1-(NETWORKDAYS.INTL(J_GregorianDate(D71,1),J_GregorianDate(J_SUBDAY(J_ADDDAY(D71,N71+1,1),1,1),1),16,1)))+SUMIFS(Holieday[ok],Holieday[date],CONCATENATE("&gt;","=",D71),Holieday[date],CONCATENATE("&lt;","=",J_SUBDAY(J_ADDDAY(D71,N71+1,1),1,1)))-SUMIFS(Holieday[Friday],Holieday[date],CONCATENATE("&gt;","=",D71),Holieday[date],CONCATENATE("&lt;","=",J_SUBDAY(J_ADDDAY(D71,N71+1,1),1,1)))=1,J_SUBDAY(J_ADDDAY(D71,N71+1,1),1,1),IF((N71+2-(NETWORKDAYS.INTL(J_GregorianDate(D71,1),J_GregorianDate(J_SUBDAY(J_ADDDAY(D71,N71+2,1),1,1),1),16,1)))+SUMIFS(Holieday[ok],Holieday[date],CONCATENATE("&gt;","=",D71),Holieday[date],CONCATENATE("&lt;","=",J_SUBDAY(J_ADDDAY(D71,N71+2,1),1,1)))-SUMIFS(Holieday[Friday],Holieday[date],CONCATENATE("&gt;","=",D71),Holieday[date],CONCATENATE("&lt;","=",J_SUBDAY(J_ADDDAY(D71,N71+2,1),1,1)))=2,J_SUBDAY(J_ADDDAY(D71,N71+2,1),1,1),IF((N71+3-(NETWORKDAYS.INTL(J_GregorianDate(D71,1),J_GregorianDate(J_SUBDAY(J_ADDDAY(D71,N71+3,1),1,1),1),16,1)))+SUMIFS(Holieday[ok],Holieday[date],CONCATENATE("&gt;","=",D71),Holieday[date],CONCATENATE("&lt;","=",J_SUBDAY(J_ADDDAY(D71,N71+3,1),1,1)))-SUMIFS(Holieday[Friday],Holieday[date],CONCATENATE("&gt;","=",D71),Holieday[date],CONCATENATE("&lt;","=",J_SUBDAY(J_ADDDAY(D71,N71+3,1),1,1)))=3,J_SUBDAY(J_ADDDAY(D71,N71+3,1),1,1),IF((N71+4-(NETWORKDAYS.INTL(J_GregorianDate(D71,1),J_GregorianDate(J_SUBDAY(J_ADDDAY(D71,N71+4,1),1,1),1),16,1)))+SUMIFS(Holieday[ok],Holieday[date],CONCATENATE("&gt;","=",D71),Holieday[date],CONCATENATE("&lt;","=",J_SUBDAY(J_ADDDAY(D71,N71+4,1),1,1)))-SUMIFS(Holieday[Friday],Holieday[date],CONCATENATE("&gt;","=",D71),Holieday[date],CONCATENATE("&lt;","=",J_SUBDAY(J_ADDDAY(D71,N71+4,1),1,1)))=4,J_SUBDAY(J_ADDDAY(D71,N71+4,1),1,1),IF((N71+5-(NETWORKDAYS.INTL(J_GregorianDate(D71,1),J_GregorianDate(J_SUBDAY(J_ADDDAY(D71,N71+5,1),1,1),1),16,1)))+SUMIFS(Holieday[ok],Holieday[date],CONCATENATE("&gt;","=",D71),Holieday[date],CONCATENATE("&lt;","=",J_SUBDAY(J_ADDDAY(D71,N71+5,1),1,1)))-SUMIFS(Holieday[Friday],Holieday[date],CONCATENATE("&gt;","=",D71),Holieday[date],CONCATENATE("&lt;","=",J_SUBDAY(J_ADDDAY(D71,N71+5,1),1,1)))=5,J_SUBDAY(J_ADDDAY(D71,N71+5,1),1,1),J_SUBDAY(J_ADDDAY(D71,N71+6,1),1,1))))))))</f>
        <v>1398/07/09</v>
      </c>
      <c r="G71" s="3">
        <f t="shared" si="21"/>
        <v>13980709</v>
      </c>
      <c r="H71" s="121"/>
      <c r="I71" s="122">
        <v>3.4</v>
      </c>
      <c r="J71" s="10" t="str">
        <f>j_WEEKDAY(D71,1)</f>
        <v>چهارشنبه</v>
      </c>
      <c r="K71" s="23">
        <f t="shared" si="18"/>
        <v>0</v>
      </c>
      <c r="L71" s="9">
        <f t="shared" si="19"/>
        <v>0</v>
      </c>
      <c r="M71" s="123">
        <v>0</v>
      </c>
      <c r="N71" s="120">
        <v>0</v>
      </c>
      <c r="O71" s="11">
        <f t="shared" si="22"/>
        <v>0</v>
      </c>
      <c r="P71" s="11"/>
      <c r="Q71" s="10">
        <f t="shared" si="14"/>
        <v>0</v>
      </c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T71" s="8"/>
      <c r="EU71" s="8"/>
      <c r="EV71" s="8"/>
      <c r="EW71" s="8"/>
      <c r="EX71" s="8"/>
      <c r="EY71" s="8"/>
      <c r="EZ71" s="8"/>
      <c r="FA71" s="8"/>
      <c r="FB71" s="8"/>
      <c r="FC71" s="8"/>
      <c r="FD71" s="8"/>
      <c r="FE71" s="8"/>
      <c r="FF71" s="8"/>
      <c r="FG71" s="8"/>
      <c r="FH71" s="8"/>
      <c r="FI71" s="8"/>
      <c r="FJ71" s="8"/>
      <c r="FK71" s="8"/>
      <c r="FL71" s="8"/>
      <c r="FM71" s="8"/>
      <c r="FN71" s="8"/>
      <c r="FO71" s="8"/>
      <c r="FP71" s="8"/>
      <c r="FQ71" s="8"/>
      <c r="FR71" s="8"/>
      <c r="FS71" s="8"/>
      <c r="FT71" s="8"/>
      <c r="FU71" s="8"/>
      <c r="FV71" s="8"/>
      <c r="FW71" s="8"/>
      <c r="FX71" s="8"/>
      <c r="FY71" s="8"/>
      <c r="FZ71" s="8"/>
      <c r="GA71" s="8"/>
      <c r="GB71" s="8"/>
      <c r="GC71" s="8"/>
      <c r="GD71" s="8"/>
      <c r="GE71" s="8"/>
      <c r="GF71" s="8"/>
      <c r="GG71" s="8"/>
      <c r="GH71" s="8"/>
      <c r="GI71" s="8"/>
      <c r="GJ71" s="8"/>
      <c r="GK71" s="8"/>
      <c r="GL71" s="8"/>
      <c r="GM71" s="8"/>
      <c r="GN71" s="8"/>
      <c r="GO71" s="8"/>
      <c r="GP71" s="8"/>
      <c r="GQ71" s="8"/>
      <c r="GR71" s="8"/>
      <c r="GS71" s="8"/>
      <c r="GT71" s="8"/>
      <c r="GU71" s="8"/>
      <c r="GV71" s="8"/>
      <c r="GW71" s="8"/>
      <c r="GX71" s="8"/>
      <c r="GY71" s="8"/>
      <c r="GZ71" s="8"/>
      <c r="HA71" s="8"/>
      <c r="HB71" s="8"/>
      <c r="HC71" s="8"/>
      <c r="HD71" s="8"/>
      <c r="HE71" s="8"/>
      <c r="HF71" s="8"/>
      <c r="HG71" s="8"/>
      <c r="HH71" s="8"/>
      <c r="HI71" s="8"/>
      <c r="HJ71" s="8"/>
      <c r="HK71" s="8"/>
      <c r="HL71" s="8"/>
      <c r="HM71" s="8"/>
      <c r="HN71" s="8"/>
      <c r="HO71" s="8"/>
      <c r="HP71" s="8"/>
      <c r="HQ71" s="8"/>
      <c r="HR71" s="8"/>
      <c r="HS71" s="8"/>
      <c r="HT71" s="8"/>
      <c r="HU71" s="8"/>
      <c r="HV71" s="8"/>
      <c r="HW71" s="8"/>
      <c r="HX71" s="8"/>
      <c r="HY71" s="8"/>
      <c r="HZ71" s="8"/>
      <c r="IA71" s="8"/>
      <c r="IB71" s="8"/>
      <c r="IC71" s="8"/>
      <c r="ID71" s="8"/>
      <c r="IE71" s="8"/>
      <c r="IF71" s="8"/>
      <c r="IG71" s="8"/>
      <c r="IH71" s="8"/>
      <c r="II71" s="8"/>
      <c r="IJ71" s="8"/>
      <c r="IK71" s="8"/>
      <c r="IL71" s="8"/>
      <c r="IM71" s="8"/>
      <c r="IN71" s="8"/>
      <c r="IO71" s="8"/>
      <c r="IP71" s="8"/>
      <c r="IQ71" s="8"/>
      <c r="IR71" s="8"/>
      <c r="IS71" s="8"/>
      <c r="IT71" s="8"/>
      <c r="IU71" s="8"/>
      <c r="IV71" s="8"/>
      <c r="IW71" s="8"/>
      <c r="IX71" s="8"/>
      <c r="JA71" s="125"/>
      <c r="JB71" s="125"/>
      <c r="JC71" s="125"/>
      <c r="JD71" s="72">
        <f>SUM((TEXT(JA71,"[M]")/60)*'Income Person-hours'!$D$3,(TEXT(JB71,"[M]")/60)*'Income Person-hours'!$D$4,(TEXT(JC71,"[M]")/60)*'Income Person-hours'!$D$5)</f>
        <v>0</v>
      </c>
    </row>
    <row r="72" spans="1:264" s="12" customFormat="1" ht="15.75" hidden="1" x14ac:dyDescent="0.45">
      <c r="A72" s="33">
        <v>3.21</v>
      </c>
      <c r="B72" s="128"/>
      <c r="C72" s="119"/>
      <c r="D72" s="8" t="str">
        <f>IF(OR(j_WEEKDAY(J_ADDDAY(VLOOKUP(I72,A:F,6,FALSE),H72,1),0)=6,SUMIFS(Holieday[ok],Holieday[date],J_ADDDAY(VLOOKUP(I72,A:F,6,FALSE),H72,1)))=FALSE(),J_ADDDAY(VLOOKUP(I72,A:F,6,FALSE),H72,1),IF(OR(j_WEEKDAY(J_ADDDAY(VLOOKUP(I72,A:F,6,FALSE),H72+1,1),0)=6,SUMIFS(Holieday[ok],Holieday[date],J_ADDDAY(VLOOKUP(I72,A:F,6,FALSE),H72+1,1)))=FALSE(),J_ADDDAY(VLOOKUP(I72,A:F,6,FALSE),H72+1,1),IF(OR(j_WEEKDAY(J_ADDDAY(VLOOKUP(I72,A:F,6,FALSE),H72+2,1),0)=6,SUMIFS(Holieday[ok],Holieday[date],J_ADDDAY(VLOOKUP(I72,A:F,6,FALSE),H72+2,1)))=FALSE(),J_ADDDAY(VLOOKUP(I72,A:F,6,FALSE),H72+2,1),IF(OR(j_WEEKDAY(J_ADDDAY(VLOOKUP(I72,A:F,6,FALSE),H72+3,1),0)=6,SUMIFS(Holieday[ok],Holieday[date],J_ADDDAY(VLOOKUP(I72,A:F,6,FALSE),H72+3,1)))=FALSE(),J_ADDDAY(VLOOKUP(I72,A:F,6,FALSE),H72+3,1),IF(OR(j_WEEKDAY(J_ADDDAY(VLOOKUP(I72,A:F,6,FALSE),H72+4,1),0)=6,SUMIFS(Holieday[ok],Holieday[date],J_ADDDAY(VLOOKUP(I72,A:F,6,FALSE),H72+4,1)))=FALSE(),J_ADDDAY(VLOOKUP(I72,A:F,6,FALSE),H72+4,1),J_ADDDAY(VLOOKUP(I72,A:F,6,FALSE),H72+5,1))))))</f>
        <v>1398/07/10</v>
      </c>
      <c r="E72" s="2">
        <f t="shared" si="20"/>
        <v>13980710</v>
      </c>
      <c r="F72" s="13" t="str">
        <f>IF(N72=0,J_SUBDAY(D72,1,1),IF((N72-(NETWORKDAYS.INTL(J_GregorianDate(D72,1),J_GregorianDate(J_SUBDAY(J_ADDDAY(D72,N72,1),1,1),1),16,1)))+SUMIFS(Holieday[ok],Holieday[date],CONCATENATE("&gt;","=",D72),Holieday[date],CONCATENATE("&lt;","=",J_SUBDAY(J_ADDDAY(D72,N72,1),1,1)))-SUMIFS(Holieday[Friday],Holieday[date],CONCATENATE("&gt;","=",D72),Holieday[date],CONCATENATE("&lt;","=",J_SUBDAY(J_ADDDAY(D72,N72,1),1,1)))=0,J_SUBDAY(J_ADDDAY(D72,N72,1),1,1),IF((N72+1-(NETWORKDAYS.INTL(J_GregorianDate(D72,1),J_GregorianDate(J_SUBDAY(J_ADDDAY(D72,N72+1,1),1,1),1),16,1)))+SUMIFS(Holieday[ok],Holieday[date],CONCATENATE("&gt;","=",D72),Holieday[date],CONCATENATE("&lt;","=",J_SUBDAY(J_ADDDAY(D72,N72+1,1),1,1)))-SUMIFS(Holieday[Friday],Holieday[date],CONCATENATE("&gt;","=",D72),Holieday[date],CONCATENATE("&lt;","=",J_SUBDAY(J_ADDDAY(D72,N72+1,1),1,1)))=1,J_SUBDAY(J_ADDDAY(D72,N72+1,1),1,1),IF((N72+2-(NETWORKDAYS.INTL(J_GregorianDate(D72,1),J_GregorianDate(J_SUBDAY(J_ADDDAY(D72,N72+2,1),1,1),1),16,1)))+SUMIFS(Holieday[ok],Holieday[date],CONCATENATE("&gt;","=",D72),Holieday[date],CONCATENATE("&lt;","=",J_SUBDAY(J_ADDDAY(D72,N72+2,1),1,1)))-SUMIFS(Holieday[Friday],Holieday[date],CONCATENATE("&gt;","=",D72),Holieday[date],CONCATENATE("&lt;","=",J_SUBDAY(J_ADDDAY(D72,N72+2,1),1,1)))=2,J_SUBDAY(J_ADDDAY(D72,N72+2,1),1,1),IF((N72+3-(NETWORKDAYS.INTL(J_GregorianDate(D72,1),J_GregorianDate(J_SUBDAY(J_ADDDAY(D72,N72+3,1),1,1),1),16,1)))+SUMIFS(Holieday[ok],Holieday[date],CONCATENATE("&gt;","=",D72),Holieday[date],CONCATENATE("&lt;","=",J_SUBDAY(J_ADDDAY(D72,N72+3,1),1,1)))-SUMIFS(Holieday[Friday],Holieday[date],CONCATENATE("&gt;","=",D72),Holieday[date],CONCATENATE("&lt;","=",J_SUBDAY(J_ADDDAY(D72,N72+3,1),1,1)))=3,J_SUBDAY(J_ADDDAY(D72,N72+3,1),1,1),IF((N72+4-(NETWORKDAYS.INTL(J_GregorianDate(D72,1),J_GregorianDate(J_SUBDAY(J_ADDDAY(D72,N72+4,1),1,1),1),16,1)))+SUMIFS(Holieday[ok],Holieday[date],CONCATENATE("&gt;","=",D72),Holieday[date],CONCATENATE("&lt;","=",J_SUBDAY(J_ADDDAY(D72,N72+4,1),1,1)))-SUMIFS(Holieday[Friday],Holieday[date],CONCATENATE("&gt;","=",D72),Holieday[date],CONCATENATE("&lt;","=",J_SUBDAY(J_ADDDAY(D72,N72+4,1),1,1)))=4,J_SUBDAY(J_ADDDAY(D72,N72+4,1),1,1),IF((N72+5-(NETWORKDAYS.INTL(J_GregorianDate(D72,1),J_GregorianDate(J_SUBDAY(J_ADDDAY(D72,N72+5,1),1,1),1),16,1)))+SUMIFS(Holieday[ok],Holieday[date],CONCATENATE("&gt;","=",D72),Holieday[date],CONCATENATE("&lt;","=",J_SUBDAY(J_ADDDAY(D72,N72+5,1),1,1)))-SUMIFS(Holieday[Friday],Holieday[date],CONCATENATE("&gt;","=",D72),Holieday[date],CONCATENATE("&lt;","=",J_SUBDAY(J_ADDDAY(D72,N72+5,1),1,1)))=5,J_SUBDAY(J_ADDDAY(D72,N72+5,1),1,1),J_SUBDAY(J_ADDDAY(D72,N72+6,1),1,1))))))))</f>
        <v>1398/07/09</v>
      </c>
      <c r="G72" s="3">
        <f t="shared" si="21"/>
        <v>13980709</v>
      </c>
      <c r="H72" s="121"/>
      <c r="I72" s="122">
        <v>3.4</v>
      </c>
      <c r="J72" s="10" t="str">
        <f>j_WEEKDAY(D72,1)</f>
        <v>چهارشنبه</v>
      </c>
      <c r="K72" s="23">
        <f t="shared" si="18"/>
        <v>0</v>
      </c>
      <c r="L72" s="9">
        <f t="shared" si="19"/>
        <v>0</v>
      </c>
      <c r="M72" s="123">
        <v>0</v>
      </c>
      <c r="N72" s="120">
        <v>0</v>
      </c>
      <c r="O72" s="11">
        <f t="shared" si="22"/>
        <v>0</v>
      </c>
      <c r="P72" s="11"/>
      <c r="Q72" s="10">
        <f t="shared" si="14"/>
        <v>0</v>
      </c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T72" s="8"/>
      <c r="EU72" s="8"/>
      <c r="EV72" s="8"/>
      <c r="EW72" s="8"/>
      <c r="EX72" s="8"/>
      <c r="EY72" s="8"/>
      <c r="EZ72" s="8"/>
      <c r="FA72" s="8"/>
      <c r="FB72" s="8"/>
      <c r="FC72" s="8"/>
      <c r="FD72" s="8"/>
      <c r="FE72" s="8"/>
      <c r="FF72" s="8"/>
      <c r="FG72" s="8"/>
      <c r="FH72" s="8"/>
      <c r="FI72" s="8"/>
      <c r="FJ72" s="8"/>
      <c r="FK72" s="8"/>
      <c r="FL72" s="8"/>
      <c r="FM72" s="8"/>
      <c r="FN72" s="8"/>
      <c r="FO72" s="8"/>
      <c r="FP72" s="8"/>
      <c r="FQ72" s="8"/>
      <c r="FR72" s="8"/>
      <c r="FS72" s="8"/>
      <c r="FT72" s="8"/>
      <c r="FU72" s="8"/>
      <c r="FV72" s="8"/>
      <c r="FW72" s="8"/>
      <c r="FX72" s="8"/>
      <c r="FY72" s="8"/>
      <c r="FZ72" s="8"/>
      <c r="GA72" s="8"/>
      <c r="GB72" s="8"/>
      <c r="GC72" s="8"/>
      <c r="GD72" s="8"/>
      <c r="GE72" s="8"/>
      <c r="GF72" s="8"/>
      <c r="GG72" s="8"/>
      <c r="GH72" s="8"/>
      <c r="GI72" s="8"/>
      <c r="GJ72" s="8"/>
      <c r="GK72" s="8"/>
      <c r="GL72" s="8"/>
      <c r="GM72" s="8"/>
      <c r="GN72" s="8"/>
      <c r="GO72" s="8"/>
      <c r="GP72" s="8"/>
      <c r="GQ72" s="8"/>
      <c r="GR72" s="8"/>
      <c r="GS72" s="8"/>
      <c r="GT72" s="8"/>
      <c r="GU72" s="8"/>
      <c r="GV72" s="8"/>
      <c r="GW72" s="8"/>
      <c r="GX72" s="8"/>
      <c r="GY72" s="8"/>
      <c r="GZ72" s="8"/>
      <c r="HA72" s="8"/>
      <c r="HB72" s="8"/>
      <c r="HC72" s="8"/>
      <c r="HD72" s="8"/>
      <c r="HE72" s="8"/>
      <c r="HF72" s="8"/>
      <c r="HG72" s="8"/>
      <c r="HH72" s="8"/>
      <c r="HI72" s="8"/>
      <c r="HJ72" s="8"/>
      <c r="HK72" s="8"/>
      <c r="HL72" s="8"/>
      <c r="HM72" s="8"/>
      <c r="HN72" s="8"/>
      <c r="HO72" s="8"/>
      <c r="HP72" s="8"/>
      <c r="HQ72" s="8"/>
      <c r="HR72" s="8"/>
      <c r="HS72" s="8"/>
      <c r="HT72" s="8"/>
      <c r="HU72" s="8"/>
      <c r="HV72" s="8"/>
      <c r="HW72" s="8"/>
      <c r="HX72" s="8"/>
      <c r="HY72" s="8"/>
      <c r="HZ72" s="8"/>
      <c r="IA72" s="8"/>
      <c r="IB72" s="8"/>
      <c r="IC72" s="8"/>
      <c r="ID72" s="8"/>
      <c r="IE72" s="8"/>
      <c r="IF72" s="8"/>
      <c r="IG72" s="8"/>
      <c r="IH72" s="8"/>
      <c r="II72" s="8"/>
      <c r="IJ72" s="8"/>
      <c r="IK72" s="8"/>
      <c r="IL72" s="8"/>
      <c r="IM72" s="8"/>
      <c r="IN72" s="8"/>
      <c r="IO72" s="8"/>
      <c r="IP72" s="8"/>
      <c r="IQ72" s="8"/>
      <c r="IR72" s="8"/>
      <c r="IS72" s="8"/>
      <c r="IT72" s="8"/>
      <c r="IU72" s="8"/>
      <c r="IV72" s="8"/>
      <c r="IW72" s="8"/>
      <c r="IX72" s="8"/>
      <c r="JA72" s="125"/>
      <c r="JB72" s="125"/>
      <c r="JC72" s="125"/>
      <c r="JD72" s="72">
        <f>SUM((TEXT(JA72,"[M]")/60)*'Income Person-hours'!$D$3,(TEXT(JB72,"[M]")/60)*'Income Person-hours'!$D$4,(TEXT(JC72,"[M]")/60)*'Income Person-hours'!$D$5)</f>
        <v>0</v>
      </c>
    </row>
    <row r="73" spans="1:264" s="12" customFormat="1" ht="15.75" hidden="1" x14ac:dyDescent="0.45">
      <c r="A73" s="33">
        <v>3.22</v>
      </c>
      <c r="B73" s="128"/>
      <c r="C73" s="119"/>
      <c r="D73" s="8" t="str">
        <f>IF(OR(j_WEEKDAY(J_ADDDAY(VLOOKUP(I73,A:F,6,FALSE),H73,1),0)=6,SUMIFS(Holieday[ok],Holieday[date],J_ADDDAY(VLOOKUP(I73,A:F,6,FALSE),H73,1)))=FALSE(),J_ADDDAY(VLOOKUP(I73,A:F,6,FALSE),H73,1),IF(OR(j_WEEKDAY(J_ADDDAY(VLOOKUP(I73,A:F,6,FALSE),H73+1,1),0)=6,SUMIFS(Holieday[ok],Holieday[date],J_ADDDAY(VLOOKUP(I73,A:F,6,FALSE),H73+1,1)))=FALSE(),J_ADDDAY(VLOOKUP(I73,A:F,6,FALSE),H73+1,1),IF(OR(j_WEEKDAY(J_ADDDAY(VLOOKUP(I73,A:F,6,FALSE),H73+2,1),0)=6,SUMIFS(Holieday[ok],Holieday[date],J_ADDDAY(VLOOKUP(I73,A:F,6,FALSE),H73+2,1)))=FALSE(),J_ADDDAY(VLOOKUP(I73,A:F,6,FALSE),H73+2,1),IF(OR(j_WEEKDAY(J_ADDDAY(VLOOKUP(I73,A:F,6,FALSE),H73+3,1),0)=6,SUMIFS(Holieday[ok],Holieday[date],J_ADDDAY(VLOOKUP(I73,A:F,6,FALSE),H73+3,1)))=FALSE(),J_ADDDAY(VLOOKUP(I73,A:F,6,FALSE),H73+3,1),IF(OR(j_WEEKDAY(J_ADDDAY(VLOOKUP(I73,A:F,6,FALSE),H73+4,1),0)=6,SUMIFS(Holieday[ok],Holieday[date],J_ADDDAY(VLOOKUP(I73,A:F,6,FALSE),H73+4,1)))=FALSE(),J_ADDDAY(VLOOKUP(I73,A:F,6,FALSE),H73+4,1),J_ADDDAY(VLOOKUP(I73,A:F,6,FALSE),H73+5,1))))))</f>
        <v>1398/07/10</v>
      </c>
      <c r="E73" s="2">
        <f t="shared" si="20"/>
        <v>13980710</v>
      </c>
      <c r="F73" s="13" t="str">
        <f>IF(N73=0,J_SUBDAY(D73,1,1),IF((N73-(NETWORKDAYS.INTL(J_GregorianDate(D73,1),J_GregorianDate(J_SUBDAY(J_ADDDAY(D73,N73,1),1,1),1),16,1)))+SUMIFS(Holieday[ok],Holieday[date],CONCATENATE("&gt;","=",D73),Holieday[date],CONCATENATE("&lt;","=",J_SUBDAY(J_ADDDAY(D73,N73,1),1,1)))-SUMIFS(Holieday[Friday],Holieday[date],CONCATENATE("&gt;","=",D73),Holieday[date],CONCATENATE("&lt;","=",J_SUBDAY(J_ADDDAY(D73,N73,1),1,1)))=0,J_SUBDAY(J_ADDDAY(D73,N73,1),1,1),IF((N73+1-(NETWORKDAYS.INTL(J_GregorianDate(D73,1),J_GregorianDate(J_SUBDAY(J_ADDDAY(D73,N73+1,1),1,1),1),16,1)))+SUMIFS(Holieday[ok],Holieday[date],CONCATENATE("&gt;","=",D73),Holieday[date],CONCATENATE("&lt;","=",J_SUBDAY(J_ADDDAY(D73,N73+1,1),1,1)))-SUMIFS(Holieday[Friday],Holieday[date],CONCATENATE("&gt;","=",D73),Holieday[date],CONCATENATE("&lt;","=",J_SUBDAY(J_ADDDAY(D73,N73+1,1),1,1)))=1,J_SUBDAY(J_ADDDAY(D73,N73+1,1),1,1),IF((N73+2-(NETWORKDAYS.INTL(J_GregorianDate(D73,1),J_GregorianDate(J_SUBDAY(J_ADDDAY(D73,N73+2,1),1,1),1),16,1)))+SUMIFS(Holieday[ok],Holieday[date],CONCATENATE("&gt;","=",D73),Holieday[date],CONCATENATE("&lt;","=",J_SUBDAY(J_ADDDAY(D73,N73+2,1),1,1)))-SUMIFS(Holieday[Friday],Holieday[date],CONCATENATE("&gt;","=",D73),Holieday[date],CONCATENATE("&lt;","=",J_SUBDAY(J_ADDDAY(D73,N73+2,1),1,1)))=2,J_SUBDAY(J_ADDDAY(D73,N73+2,1),1,1),IF((N73+3-(NETWORKDAYS.INTL(J_GregorianDate(D73,1),J_GregorianDate(J_SUBDAY(J_ADDDAY(D73,N73+3,1),1,1),1),16,1)))+SUMIFS(Holieday[ok],Holieday[date],CONCATENATE("&gt;","=",D73),Holieday[date],CONCATENATE("&lt;","=",J_SUBDAY(J_ADDDAY(D73,N73+3,1),1,1)))-SUMIFS(Holieday[Friday],Holieday[date],CONCATENATE("&gt;","=",D73),Holieday[date],CONCATENATE("&lt;","=",J_SUBDAY(J_ADDDAY(D73,N73+3,1),1,1)))=3,J_SUBDAY(J_ADDDAY(D73,N73+3,1),1,1),IF((N73+4-(NETWORKDAYS.INTL(J_GregorianDate(D73,1),J_GregorianDate(J_SUBDAY(J_ADDDAY(D73,N73+4,1),1,1),1),16,1)))+SUMIFS(Holieday[ok],Holieday[date],CONCATENATE("&gt;","=",D73),Holieday[date],CONCATENATE("&lt;","=",J_SUBDAY(J_ADDDAY(D73,N73+4,1),1,1)))-SUMIFS(Holieday[Friday],Holieday[date],CONCATENATE("&gt;","=",D73),Holieday[date],CONCATENATE("&lt;","=",J_SUBDAY(J_ADDDAY(D73,N73+4,1),1,1)))=4,J_SUBDAY(J_ADDDAY(D73,N73+4,1),1,1),IF((N73+5-(NETWORKDAYS.INTL(J_GregorianDate(D73,1),J_GregorianDate(J_SUBDAY(J_ADDDAY(D73,N73+5,1),1,1),1),16,1)))+SUMIFS(Holieday[ok],Holieday[date],CONCATENATE("&gt;","=",D73),Holieday[date],CONCATENATE("&lt;","=",J_SUBDAY(J_ADDDAY(D73,N73+5,1),1,1)))-SUMIFS(Holieday[Friday],Holieday[date],CONCATENATE("&gt;","=",D73),Holieday[date],CONCATENATE("&lt;","=",J_SUBDAY(J_ADDDAY(D73,N73+5,1),1,1)))=5,J_SUBDAY(J_ADDDAY(D73,N73+5,1),1,1),J_SUBDAY(J_ADDDAY(D73,N73+6,1),1,1))))))))</f>
        <v>1398/07/09</v>
      </c>
      <c r="G73" s="3">
        <f t="shared" si="21"/>
        <v>13980709</v>
      </c>
      <c r="H73" s="121"/>
      <c r="I73" s="122">
        <v>3.4</v>
      </c>
      <c r="J73" s="10" t="str">
        <f>j_WEEKDAY(D73,1)</f>
        <v>چهارشنبه</v>
      </c>
      <c r="K73" s="23">
        <f t="shared" si="18"/>
        <v>0</v>
      </c>
      <c r="L73" s="9">
        <f t="shared" si="19"/>
        <v>0</v>
      </c>
      <c r="M73" s="123">
        <v>0</v>
      </c>
      <c r="N73" s="120">
        <v>0</v>
      </c>
      <c r="O73" s="11">
        <f t="shared" si="22"/>
        <v>0</v>
      </c>
      <c r="P73" s="11"/>
      <c r="Q73" s="10">
        <f t="shared" si="14"/>
        <v>0</v>
      </c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T73" s="8"/>
      <c r="EU73" s="8"/>
      <c r="EV73" s="8"/>
      <c r="EW73" s="8"/>
      <c r="EX73" s="8"/>
      <c r="EY73" s="8"/>
      <c r="EZ73" s="8"/>
      <c r="FA73" s="8"/>
      <c r="FB73" s="8"/>
      <c r="FC73" s="8"/>
      <c r="FD73" s="8"/>
      <c r="FE73" s="8"/>
      <c r="FF73" s="8"/>
      <c r="FG73" s="8"/>
      <c r="FH73" s="8"/>
      <c r="FI73" s="8"/>
      <c r="FJ73" s="8"/>
      <c r="FK73" s="8"/>
      <c r="FL73" s="8"/>
      <c r="FM73" s="8"/>
      <c r="FN73" s="8"/>
      <c r="FO73" s="8"/>
      <c r="FP73" s="8"/>
      <c r="FQ73" s="8"/>
      <c r="FR73" s="8"/>
      <c r="FS73" s="8"/>
      <c r="FT73" s="8"/>
      <c r="FU73" s="8"/>
      <c r="FV73" s="8"/>
      <c r="FW73" s="8"/>
      <c r="FX73" s="8"/>
      <c r="FY73" s="8"/>
      <c r="FZ73" s="8"/>
      <c r="GA73" s="8"/>
      <c r="GB73" s="8"/>
      <c r="GC73" s="8"/>
      <c r="GD73" s="8"/>
      <c r="GE73" s="8"/>
      <c r="GF73" s="8"/>
      <c r="GG73" s="8"/>
      <c r="GH73" s="8"/>
      <c r="GI73" s="8"/>
      <c r="GJ73" s="8"/>
      <c r="GK73" s="8"/>
      <c r="GL73" s="8"/>
      <c r="GM73" s="8"/>
      <c r="GN73" s="8"/>
      <c r="GO73" s="8"/>
      <c r="GP73" s="8"/>
      <c r="GQ73" s="8"/>
      <c r="GR73" s="8"/>
      <c r="GS73" s="8"/>
      <c r="GT73" s="8"/>
      <c r="GU73" s="8"/>
      <c r="GV73" s="8"/>
      <c r="GW73" s="8"/>
      <c r="GX73" s="8"/>
      <c r="GY73" s="8"/>
      <c r="GZ73" s="8"/>
      <c r="HA73" s="8"/>
      <c r="HB73" s="8"/>
      <c r="HC73" s="8"/>
      <c r="HD73" s="8"/>
      <c r="HE73" s="8"/>
      <c r="HF73" s="8"/>
      <c r="HG73" s="8"/>
      <c r="HH73" s="8"/>
      <c r="HI73" s="8"/>
      <c r="HJ73" s="8"/>
      <c r="HK73" s="8"/>
      <c r="HL73" s="8"/>
      <c r="HM73" s="8"/>
      <c r="HN73" s="8"/>
      <c r="HO73" s="8"/>
      <c r="HP73" s="8"/>
      <c r="HQ73" s="8"/>
      <c r="HR73" s="8"/>
      <c r="HS73" s="8"/>
      <c r="HT73" s="8"/>
      <c r="HU73" s="8"/>
      <c r="HV73" s="8"/>
      <c r="HW73" s="8"/>
      <c r="HX73" s="8"/>
      <c r="HY73" s="8"/>
      <c r="HZ73" s="8"/>
      <c r="IA73" s="8"/>
      <c r="IB73" s="8"/>
      <c r="IC73" s="8"/>
      <c r="ID73" s="8"/>
      <c r="IE73" s="8"/>
      <c r="IF73" s="8"/>
      <c r="IG73" s="8"/>
      <c r="IH73" s="8"/>
      <c r="II73" s="8"/>
      <c r="IJ73" s="8"/>
      <c r="IK73" s="8"/>
      <c r="IL73" s="8"/>
      <c r="IM73" s="8"/>
      <c r="IN73" s="8"/>
      <c r="IO73" s="8"/>
      <c r="IP73" s="8"/>
      <c r="IQ73" s="8"/>
      <c r="IR73" s="8"/>
      <c r="IS73" s="8"/>
      <c r="IT73" s="8"/>
      <c r="IU73" s="8"/>
      <c r="IV73" s="8"/>
      <c r="IW73" s="8"/>
      <c r="IX73" s="8"/>
      <c r="JA73" s="125"/>
      <c r="JB73" s="125"/>
      <c r="JC73" s="125"/>
      <c r="JD73" s="72">
        <f>SUM((TEXT(JA73,"[M]")/60)*'Income Person-hours'!$D$3,(TEXT(JB73,"[M]")/60)*'Income Person-hours'!$D$4,(TEXT(JC73,"[M]")/60)*'Income Person-hours'!$D$5)</f>
        <v>0</v>
      </c>
    </row>
    <row r="74" spans="1:264" s="12" customFormat="1" ht="15.75" hidden="1" x14ac:dyDescent="0.45">
      <c r="A74" s="33">
        <v>3.23</v>
      </c>
      <c r="B74" s="128"/>
      <c r="C74" s="119"/>
      <c r="D74" s="8" t="str">
        <f>IF(OR(j_WEEKDAY(J_ADDDAY(VLOOKUP(I74,A:F,6,FALSE),H74,1),0)=6,SUMIFS(Holieday[ok],Holieday[date],J_ADDDAY(VLOOKUP(I74,A:F,6,FALSE),H74,1)))=FALSE(),J_ADDDAY(VLOOKUP(I74,A:F,6,FALSE),H74,1),IF(OR(j_WEEKDAY(J_ADDDAY(VLOOKUP(I74,A:F,6,FALSE),H74+1,1),0)=6,SUMIFS(Holieday[ok],Holieday[date],J_ADDDAY(VLOOKUP(I74,A:F,6,FALSE),H74+1,1)))=FALSE(),J_ADDDAY(VLOOKUP(I74,A:F,6,FALSE),H74+1,1),IF(OR(j_WEEKDAY(J_ADDDAY(VLOOKUP(I74,A:F,6,FALSE),H74+2,1),0)=6,SUMIFS(Holieday[ok],Holieday[date],J_ADDDAY(VLOOKUP(I74,A:F,6,FALSE),H74+2,1)))=FALSE(),J_ADDDAY(VLOOKUP(I74,A:F,6,FALSE),H74+2,1),IF(OR(j_WEEKDAY(J_ADDDAY(VLOOKUP(I74,A:F,6,FALSE),H74+3,1),0)=6,SUMIFS(Holieday[ok],Holieday[date],J_ADDDAY(VLOOKUP(I74,A:F,6,FALSE),H74+3,1)))=FALSE(),J_ADDDAY(VLOOKUP(I74,A:F,6,FALSE),H74+3,1),IF(OR(j_WEEKDAY(J_ADDDAY(VLOOKUP(I74,A:F,6,FALSE),H74+4,1),0)=6,SUMIFS(Holieday[ok],Holieday[date],J_ADDDAY(VLOOKUP(I74,A:F,6,FALSE),H74+4,1)))=FALSE(),J_ADDDAY(VLOOKUP(I74,A:F,6,FALSE),H74+4,1),J_ADDDAY(VLOOKUP(I74,A:F,6,FALSE),H74+5,1))))))</f>
        <v>1398/07/10</v>
      </c>
      <c r="E74" s="2">
        <f t="shared" si="20"/>
        <v>13980710</v>
      </c>
      <c r="F74" s="13" t="str">
        <f>IF(N74=0,J_SUBDAY(D74,1,1),IF((N74-(NETWORKDAYS.INTL(J_GregorianDate(D74,1),J_GregorianDate(J_SUBDAY(J_ADDDAY(D74,N74,1),1,1),1),16,1)))+SUMIFS(Holieday[ok],Holieday[date],CONCATENATE("&gt;","=",D74),Holieday[date],CONCATENATE("&lt;","=",J_SUBDAY(J_ADDDAY(D74,N74,1),1,1)))-SUMIFS(Holieday[Friday],Holieday[date],CONCATENATE("&gt;","=",D74),Holieday[date],CONCATENATE("&lt;","=",J_SUBDAY(J_ADDDAY(D74,N74,1),1,1)))=0,J_SUBDAY(J_ADDDAY(D74,N74,1),1,1),IF((N74+1-(NETWORKDAYS.INTL(J_GregorianDate(D74,1),J_GregorianDate(J_SUBDAY(J_ADDDAY(D74,N74+1,1),1,1),1),16,1)))+SUMIFS(Holieday[ok],Holieday[date],CONCATENATE("&gt;","=",D74),Holieday[date],CONCATENATE("&lt;","=",J_SUBDAY(J_ADDDAY(D74,N74+1,1),1,1)))-SUMIFS(Holieday[Friday],Holieday[date],CONCATENATE("&gt;","=",D74),Holieday[date],CONCATENATE("&lt;","=",J_SUBDAY(J_ADDDAY(D74,N74+1,1),1,1)))=1,J_SUBDAY(J_ADDDAY(D74,N74+1,1),1,1),IF((N74+2-(NETWORKDAYS.INTL(J_GregorianDate(D74,1),J_GregorianDate(J_SUBDAY(J_ADDDAY(D74,N74+2,1),1,1),1),16,1)))+SUMIFS(Holieday[ok],Holieday[date],CONCATENATE("&gt;","=",D74),Holieday[date],CONCATENATE("&lt;","=",J_SUBDAY(J_ADDDAY(D74,N74+2,1),1,1)))-SUMIFS(Holieday[Friday],Holieday[date],CONCATENATE("&gt;","=",D74),Holieday[date],CONCATENATE("&lt;","=",J_SUBDAY(J_ADDDAY(D74,N74+2,1),1,1)))=2,J_SUBDAY(J_ADDDAY(D74,N74+2,1),1,1),IF((N74+3-(NETWORKDAYS.INTL(J_GregorianDate(D74,1),J_GregorianDate(J_SUBDAY(J_ADDDAY(D74,N74+3,1),1,1),1),16,1)))+SUMIFS(Holieday[ok],Holieday[date],CONCATENATE("&gt;","=",D74),Holieday[date],CONCATENATE("&lt;","=",J_SUBDAY(J_ADDDAY(D74,N74+3,1),1,1)))-SUMIFS(Holieday[Friday],Holieday[date],CONCATENATE("&gt;","=",D74),Holieday[date],CONCATENATE("&lt;","=",J_SUBDAY(J_ADDDAY(D74,N74+3,1),1,1)))=3,J_SUBDAY(J_ADDDAY(D74,N74+3,1),1,1),IF((N74+4-(NETWORKDAYS.INTL(J_GregorianDate(D74,1),J_GregorianDate(J_SUBDAY(J_ADDDAY(D74,N74+4,1),1,1),1),16,1)))+SUMIFS(Holieday[ok],Holieday[date],CONCATENATE("&gt;","=",D74),Holieday[date],CONCATENATE("&lt;","=",J_SUBDAY(J_ADDDAY(D74,N74+4,1),1,1)))-SUMIFS(Holieday[Friday],Holieday[date],CONCATENATE("&gt;","=",D74),Holieday[date],CONCATENATE("&lt;","=",J_SUBDAY(J_ADDDAY(D74,N74+4,1),1,1)))=4,J_SUBDAY(J_ADDDAY(D74,N74+4,1),1,1),IF((N74+5-(NETWORKDAYS.INTL(J_GregorianDate(D74,1),J_GregorianDate(J_SUBDAY(J_ADDDAY(D74,N74+5,1),1,1),1),16,1)))+SUMIFS(Holieday[ok],Holieday[date],CONCATENATE("&gt;","=",D74),Holieday[date],CONCATENATE("&lt;","=",J_SUBDAY(J_ADDDAY(D74,N74+5,1),1,1)))-SUMIFS(Holieday[Friday],Holieday[date],CONCATENATE("&gt;","=",D74),Holieday[date],CONCATENATE("&lt;","=",J_SUBDAY(J_ADDDAY(D74,N74+5,1),1,1)))=5,J_SUBDAY(J_ADDDAY(D74,N74+5,1),1,1),J_SUBDAY(J_ADDDAY(D74,N74+6,1),1,1))))))))</f>
        <v>1398/07/09</v>
      </c>
      <c r="G74" s="3">
        <f t="shared" si="21"/>
        <v>13980709</v>
      </c>
      <c r="H74" s="121"/>
      <c r="I74" s="122">
        <v>3.4</v>
      </c>
      <c r="J74" s="10" t="str">
        <f>j_WEEKDAY(D74,1)</f>
        <v>چهارشنبه</v>
      </c>
      <c r="K74" s="23">
        <f t="shared" si="18"/>
        <v>0</v>
      </c>
      <c r="L74" s="9">
        <f t="shared" si="19"/>
        <v>0</v>
      </c>
      <c r="M74" s="123">
        <v>0</v>
      </c>
      <c r="N74" s="120">
        <v>0</v>
      </c>
      <c r="O74" s="11">
        <f t="shared" si="22"/>
        <v>0</v>
      </c>
      <c r="P74" s="11"/>
      <c r="Q74" s="10">
        <f t="shared" si="14"/>
        <v>0</v>
      </c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T74" s="8"/>
      <c r="EU74" s="8"/>
      <c r="EV74" s="8"/>
      <c r="EW74" s="8"/>
      <c r="EX74" s="8"/>
      <c r="EY74" s="8"/>
      <c r="EZ74" s="8"/>
      <c r="FA74" s="8"/>
      <c r="FB74" s="8"/>
      <c r="FC74" s="8"/>
      <c r="FD74" s="8"/>
      <c r="FE74" s="8"/>
      <c r="FF74" s="8"/>
      <c r="FG74" s="8"/>
      <c r="FH74" s="8"/>
      <c r="FI74" s="8"/>
      <c r="FJ74" s="8"/>
      <c r="FK74" s="8"/>
      <c r="FL74" s="8"/>
      <c r="FM74" s="8"/>
      <c r="FN74" s="8"/>
      <c r="FO74" s="8"/>
      <c r="FP74" s="8"/>
      <c r="FQ74" s="8"/>
      <c r="FR74" s="8"/>
      <c r="FS74" s="8"/>
      <c r="FT74" s="8"/>
      <c r="FU74" s="8"/>
      <c r="FV74" s="8"/>
      <c r="FW74" s="8"/>
      <c r="FX74" s="8"/>
      <c r="FY74" s="8"/>
      <c r="FZ74" s="8"/>
      <c r="GA74" s="8"/>
      <c r="GB74" s="8"/>
      <c r="GC74" s="8"/>
      <c r="GD74" s="8"/>
      <c r="GE74" s="8"/>
      <c r="GF74" s="8"/>
      <c r="GG74" s="8"/>
      <c r="GH74" s="8"/>
      <c r="GI74" s="8"/>
      <c r="GJ74" s="8"/>
      <c r="GK74" s="8"/>
      <c r="GL74" s="8"/>
      <c r="GM74" s="8"/>
      <c r="GN74" s="8"/>
      <c r="GO74" s="8"/>
      <c r="GP74" s="8"/>
      <c r="GQ74" s="8"/>
      <c r="GR74" s="8"/>
      <c r="GS74" s="8"/>
      <c r="GT74" s="8"/>
      <c r="GU74" s="8"/>
      <c r="GV74" s="8"/>
      <c r="GW74" s="8"/>
      <c r="GX74" s="8"/>
      <c r="GY74" s="8"/>
      <c r="GZ74" s="8"/>
      <c r="HA74" s="8"/>
      <c r="HB74" s="8"/>
      <c r="HC74" s="8"/>
      <c r="HD74" s="8"/>
      <c r="HE74" s="8"/>
      <c r="HF74" s="8"/>
      <c r="HG74" s="8"/>
      <c r="HH74" s="8"/>
      <c r="HI74" s="8"/>
      <c r="HJ74" s="8"/>
      <c r="HK74" s="8"/>
      <c r="HL74" s="8"/>
      <c r="HM74" s="8"/>
      <c r="HN74" s="8"/>
      <c r="HO74" s="8"/>
      <c r="HP74" s="8"/>
      <c r="HQ74" s="8"/>
      <c r="HR74" s="8"/>
      <c r="HS74" s="8"/>
      <c r="HT74" s="8"/>
      <c r="HU74" s="8"/>
      <c r="HV74" s="8"/>
      <c r="HW74" s="8"/>
      <c r="HX74" s="8"/>
      <c r="HY74" s="8"/>
      <c r="HZ74" s="8"/>
      <c r="IA74" s="8"/>
      <c r="IB74" s="8"/>
      <c r="IC74" s="8"/>
      <c r="ID74" s="8"/>
      <c r="IE74" s="8"/>
      <c r="IF74" s="8"/>
      <c r="IG74" s="8"/>
      <c r="IH74" s="8"/>
      <c r="II74" s="8"/>
      <c r="IJ74" s="8"/>
      <c r="IK74" s="8"/>
      <c r="IL74" s="8"/>
      <c r="IM74" s="8"/>
      <c r="IN74" s="8"/>
      <c r="IO74" s="8"/>
      <c r="IP74" s="8"/>
      <c r="IQ74" s="8"/>
      <c r="IR74" s="8"/>
      <c r="IS74" s="8"/>
      <c r="IT74" s="8"/>
      <c r="IU74" s="8"/>
      <c r="IV74" s="8"/>
      <c r="IW74" s="8"/>
      <c r="IX74" s="8"/>
      <c r="JA74" s="125"/>
      <c r="JB74" s="125"/>
      <c r="JC74" s="125"/>
      <c r="JD74" s="72">
        <f>SUM((TEXT(JA74,"[M]")/60)*'Income Person-hours'!$D$3,(TEXT(JB74,"[M]")/60)*'Income Person-hours'!$D$4,(TEXT(JC74,"[M]")/60)*'Income Person-hours'!$D$5)</f>
        <v>0</v>
      </c>
    </row>
    <row r="75" spans="1:264" s="198" customFormat="1" ht="15.75" x14ac:dyDescent="0.45">
      <c r="A75" s="197">
        <v>4</v>
      </c>
      <c r="B75" s="129" t="s">
        <v>168</v>
      </c>
      <c r="C75" s="115"/>
      <c r="D75" s="201" t="str">
        <f>FDate(MIN(E76:E96))</f>
        <v>1398/06/03</v>
      </c>
      <c r="E75" s="198">
        <f t="shared" ref="E75:E106" si="23">VALUE(J_normdate(D75))</f>
        <v>13980603</v>
      </c>
      <c r="F75" s="201" t="str">
        <f>J_SUBDAY(J_ADDDAY(D75,L75,1),1,1)</f>
        <v>1398/08/01</v>
      </c>
      <c r="G75" s="201">
        <f t="shared" ref="G75:G106" si="24">VALUE(J_normdate(F75))</f>
        <v>13980801</v>
      </c>
      <c r="H75" s="116"/>
      <c r="I75" s="117"/>
      <c r="J75" s="200" t="str">
        <f>j_WEEKDAY(D75,1)</f>
        <v>يكشنبه</v>
      </c>
      <c r="K75" s="202">
        <f>SUM(K76:K96)</f>
        <v>1.833333333333333</v>
      </c>
      <c r="L75" s="203">
        <f>J_DIFF(D75,FDate(MAX(G76:G96)))+1</f>
        <v>60</v>
      </c>
      <c r="M75" s="204">
        <f>IF(SUM(L76:L96)&lt;&gt;0,SUMPRODUCT(L76:L96,M76:M96)/SUM(L76:L96),0)</f>
        <v>0.89655172413793116</v>
      </c>
      <c r="N75" s="205">
        <f>IF(F75&gt;=D75,NETWORKDAYS.INTL(J_GregorianDate(D75,1),J_GregorianDate(F75,1),16,1)-SUMIFS(Holieday[ok],Holieday[date],CONCATENATE("&gt;","=",D75),Holieday[date],CONCATENATE("&lt;","=",F75))+SUMIFS(Holieday[Friday],Holieday[date],CONCATENATE("&gt;","=",D75),Holieday[date],CONCATENATE("&lt;","=",F75)),0)</f>
        <v>52</v>
      </c>
      <c r="O75" s="196">
        <f t="shared" ref="O75:O88" si="25">ROUNDDOWN(M75*L75,0)</f>
        <v>53</v>
      </c>
      <c r="P75" s="196">
        <f>VALUE(J_normdate(J_ADDDAY($D75,$O75,1)))</f>
        <v>13980725</v>
      </c>
      <c r="Q75" s="200">
        <f t="shared" ref="Q75:Q88" si="26">L75-O75</f>
        <v>7</v>
      </c>
      <c r="IY75" s="31"/>
      <c r="IZ75" s="43"/>
      <c r="JA75" s="228"/>
      <c r="JB75" s="228"/>
      <c r="JC75" s="228"/>
    </row>
    <row r="76" spans="1:264" s="231" customFormat="1" ht="15.75" x14ac:dyDescent="0.45">
      <c r="A76" s="206">
        <v>4.0999999999999996</v>
      </c>
      <c r="B76" s="118" t="s">
        <v>184</v>
      </c>
      <c r="C76" s="119" t="s">
        <v>154</v>
      </c>
      <c r="D76" s="210" t="str">
        <f>IF(OR(j_WEEKDAY(J_ADDDAY(VLOOKUP(I76,A:F,6,FALSE),H76,1),0)=6,SUMIFS(Holieday[ok],Holieday[date],J_ADDDAY(VLOOKUP(I76,A:F,6,FALSE),H76,1)))=FALSE(),J_ADDDAY(VLOOKUP(I76,A:F,6,FALSE),H76,1),IF(OR(j_WEEKDAY(J_ADDDAY(VLOOKUP(I76,A:F,6,FALSE),H76+1,1),0)=6,SUMIFS(Holieday[ok],Holieday[date],J_ADDDAY(VLOOKUP(I76,A:F,6,FALSE),H76+1,1)))=FALSE(),J_ADDDAY(VLOOKUP(I76,A:F,6,FALSE),H76+1,1),IF(OR(j_WEEKDAY(J_ADDDAY(VLOOKUP(I76,A:F,6,FALSE),H76+2,1),0)=6,SUMIFS(Holieday[ok],Holieday[date],J_ADDDAY(VLOOKUP(I76,A:F,6,FALSE),H76+2,1)))=FALSE(),J_ADDDAY(VLOOKUP(I76,A:F,6,FALSE),H76+2,1),IF(OR(j_WEEKDAY(J_ADDDAY(VLOOKUP(I76,A:F,6,FALSE),H76+3,1),0)=6,SUMIFS(Holieday[ok],Holieday[date],J_ADDDAY(VLOOKUP(I76,A:F,6,FALSE),H76+3,1)))=FALSE(),J_ADDDAY(VLOOKUP(I76,A:F,6,FALSE),H76+3,1),IF(OR(j_WEEKDAY(J_ADDDAY(VLOOKUP(I76,A:F,6,FALSE),H76+4,1),0)=6,SUMIFS(Holieday[ok],Holieday[date],J_ADDDAY(VLOOKUP(I76,A:F,6,FALSE),H76+4,1)))=FALSE(),J_ADDDAY(VLOOKUP(I76,A:F,6,FALSE),H76+4,1),J_ADDDAY(VLOOKUP(I76,A:F,6,FALSE),H76+5,1))))))</f>
        <v>1398/06/03</v>
      </c>
      <c r="E76" s="198">
        <f t="shared" si="23"/>
        <v>13980603</v>
      </c>
      <c r="F76" s="210" t="str">
        <f>IF(N76=0,J_SUBDAY(D76,1,1)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0,J_SUBDAY(J_ADDDAY(D76,N76,1)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1,J_SUBDAY(J_ADDDAY(D76,N76+1,1),1,1),IF((N76-NETWORKDAYS.INTL(J_GregorianDate(D76,1),J_GregorianDate(J_SUBDAY(J_ADDDAY(D76,N76,1),1,1),1),16,1)-SUMIFS(Holieday[ok],Holieday[date],CONCATENATE("&gt;","=",D76),Holieday[date],CONCATENATE("&lt;","=",J_SUBDAY(J_ADDDAY(D76,N76,1),1,1)))+SUMIFS(Holieday[Friday],Holieday[date],CONCATENATE("&gt;","=",D76),Holieday[date],CONCATENATE("&lt;","=",J_SUBDAY(J_ADDDAY(D76,N76,1),1,1))))=2,J_SUBDAY(J_ADDDAY(D76,N76+2,1),1,1),J_SUBDAY(J_ADDDAY(D76,N76+3,1),1,1)))))</f>
        <v>1398/06/03</v>
      </c>
      <c r="G76" s="201">
        <f t="shared" si="24"/>
        <v>13980603</v>
      </c>
      <c r="H76" s="121">
        <v>0</v>
      </c>
      <c r="I76" s="122">
        <v>1.2</v>
      </c>
      <c r="J76" s="209" t="str">
        <f>j_WEEKDAY(D76,1)</f>
        <v>يكشنبه</v>
      </c>
      <c r="K76" s="211">
        <f t="shared" ref="K76:K96" si="27">SUM(JA76:JC76)</f>
        <v>0.58333333333333326</v>
      </c>
      <c r="L76" s="212">
        <f t="shared" ref="L76:L96" si="28">J_DIFF(D76,F76)+1</f>
        <v>1</v>
      </c>
      <c r="M76" s="123">
        <v>1</v>
      </c>
      <c r="N76" s="120">
        <v>1</v>
      </c>
      <c r="O76" s="213">
        <f t="shared" si="25"/>
        <v>1</v>
      </c>
      <c r="P76" s="213">
        <f>VALUE(J_normdate(J_ADDDAY($D76,$O76,1)))</f>
        <v>13980604</v>
      </c>
      <c r="Q76" s="209">
        <f t="shared" si="26"/>
        <v>0</v>
      </c>
      <c r="R76" s="207"/>
      <c r="S76" s="207"/>
      <c r="T76" s="207"/>
      <c r="U76" s="207"/>
      <c r="V76" s="207"/>
      <c r="W76" s="207"/>
      <c r="X76" s="207"/>
      <c r="Y76" s="207"/>
      <c r="Z76" s="207"/>
      <c r="AA76" s="207"/>
      <c r="AB76" s="207"/>
      <c r="AC76" s="207"/>
      <c r="AD76" s="207"/>
      <c r="AE76" s="207"/>
      <c r="AF76" s="207"/>
      <c r="AG76" s="207"/>
      <c r="AH76" s="207"/>
      <c r="AI76" s="207"/>
      <c r="AJ76" s="207"/>
      <c r="AK76" s="207"/>
      <c r="AL76" s="207"/>
      <c r="AM76" s="207"/>
      <c r="AN76" s="207"/>
      <c r="AO76" s="207"/>
      <c r="AP76" s="207"/>
      <c r="AQ76" s="207"/>
      <c r="AR76" s="207"/>
      <c r="AS76" s="207"/>
      <c r="AT76" s="207"/>
      <c r="AU76" s="207"/>
      <c r="AV76" s="207"/>
      <c r="AW76" s="207"/>
      <c r="AX76" s="207"/>
      <c r="AY76" s="207"/>
      <c r="AZ76" s="207"/>
      <c r="BA76" s="207"/>
      <c r="BB76" s="207"/>
      <c r="BC76" s="207"/>
      <c r="BD76" s="207"/>
      <c r="BE76" s="207"/>
      <c r="BF76" s="207"/>
      <c r="BG76" s="207"/>
      <c r="BH76" s="207"/>
      <c r="BI76" s="207"/>
      <c r="BJ76" s="207"/>
      <c r="BK76" s="207"/>
      <c r="BL76" s="207"/>
      <c r="BM76" s="207"/>
      <c r="BN76" s="207"/>
      <c r="BO76" s="207"/>
      <c r="BP76" s="207"/>
      <c r="BQ76" s="207"/>
      <c r="BR76" s="207"/>
      <c r="BS76" s="207"/>
      <c r="BT76" s="207"/>
      <c r="BU76" s="207"/>
      <c r="BV76" s="207"/>
      <c r="BW76" s="207"/>
      <c r="BX76" s="207"/>
      <c r="BY76" s="207"/>
      <c r="BZ76" s="207"/>
      <c r="CA76" s="207"/>
      <c r="CB76" s="207"/>
      <c r="CC76" s="207"/>
      <c r="CD76" s="207"/>
      <c r="CE76" s="207"/>
      <c r="CF76" s="207"/>
      <c r="CG76" s="207"/>
      <c r="CH76" s="207"/>
      <c r="CI76" s="207"/>
      <c r="CJ76" s="207"/>
      <c r="CK76" s="207"/>
      <c r="CL76" s="207"/>
      <c r="CM76" s="207"/>
      <c r="CN76" s="207"/>
      <c r="CO76" s="207"/>
      <c r="CP76" s="207"/>
      <c r="CQ76" s="207"/>
      <c r="CR76" s="207"/>
      <c r="CS76" s="207"/>
      <c r="CT76" s="207"/>
      <c r="CU76" s="207"/>
      <c r="CV76" s="207"/>
      <c r="CW76" s="207"/>
      <c r="CX76" s="207"/>
      <c r="CY76" s="207"/>
      <c r="CZ76" s="207"/>
      <c r="DA76" s="207"/>
      <c r="DB76" s="207"/>
      <c r="DC76" s="207"/>
      <c r="DD76" s="207"/>
      <c r="DE76" s="207"/>
      <c r="DF76" s="207"/>
      <c r="DG76" s="207"/>
      <c r="DH76" s="207"/>
      <c r="DI76" s="207"/>
      <c r="DJ76" s="207"/>
      <c r="DK76" s="207"/>
      <c r="DL76" s="207"/>
      <c r="DM76" s="207"/>
      <c r="DN76" s="207"/>
      <c r="DO76" s="207"/>
      <c r="DP76" s="207"/>
      <c r="DQ76" s="207"/>
      <c r="DR76" s="207"/>
      <c r="DS76" s="207"/>
      <c r="DT76" s="207"/>
      <c r="DU76" s="207"/>
      <c r="DV76" s="207"/>
      <c r="DW76" s="207"/>
      <c r="DX76" s="207"/>
      <c r="DY76" s="207"/>
      <c r="DZ76" s="207"/>
      <c r="EA76" s="207"/>
      <c r="EB76" s="207"/>
      <c r="EC76" s="207"/>
      <c r="ED76" s="207"/>
      <c r="EE76" s="207"/>
      <c r="EF76" s="207"/>
      <c r="EG76" s="207"/>
      <c r="EH76" s="207"/>
      <c r="EI76" s="207"/>
      <c r="EJ76" s="207"/>
      <c r="EK76" s="207"/>
      <c r="EL76" s="207"/>
      <c r="EM76" s="207"/>
      <c r="EN76" s="207"/>
      <c r="EO76" s="207"/>
      <c r="EP76" s="207"/>
      <c r="EQ76" s="207"/>
      <c r="ER76" s="207"/>
      <c r="ES76" s="207"/>
      <c r="ET76" s="207"/>
      <c r="EU76" s="207"/>
      <c r="EV76" s="207"/>
      <c r="EW76" s="207"/>
      <c r="EX76" s="207"/>
      <c r="EY76" s="207"/>
      <c r="EZ76" s="207"/>
      <c r="FA76" s="207"/>
      <c r="FB76" s="207"/>
      <c r="FC76" s="207"/>
      <c r="FD76" s="207"/>
      <c r="FE76" s="207"/>
      <c r="FF76" s="207"/>
      <c r="FG76" s="207"/>
      <c r="FH76" s="207"/>
      <c r="FI76" s="207"/>
      <c r="FJ76" s="207"/>
      <c r="FK76" s="207"/>
      <c r="FL76" s="207"/>
      <c r="FM76" s="207"/>
      <c r="FN76" s="207"/>
      <c r="FO76" s="207"/>
      <c r="FP76" s="207"/>
      <c r="FQ76" s="207"/>
      <c r="FR76" s="207"/>
      <c r="FS76" s="207"/>
      <c r="FT76" s="207"/>
      <c r="FU76" s="207"/>
      <c r="FV76" s="207"/>
      <c r="FW76" s="207"/>
      <c r="FX76" s="207"/>
      <c r="FY76" s="207"/>
      <c r="FZ76" s="207"/>
      <c r="GA76" s="207"/>
      <c r="GB76" s="207"/>
      <c r="GC76" s="207"/>
      <c r="GD76" s="207"/>
      <c r="GE76" s="207"/>
      <c r="GF76" s="207"/>
      <c r="GG76" s="207"/>
      <c r="GH76" s="207"/>
      <c r="GI76" s="207"/>
      <c r="GJ76" s="207"/>
      <c r="GK76" s="207"/>
      <c r="GL76" s="207"/>
      <c r="GM76" s="207"/>
      <c r="GN76" s="207"/>
      <c r="GO76" s="207"/>
      <c r="GP76" s="207"/>
      <c r="GQ76" s="207"/>
      <c r="GR76" s="207"/>
      <c r="GS76" s="207"/>
      <c r="GT76" s="207"/>
      <c r="GU76" s="207"/>
      <c r="GV76" s="207"/>
      <c r="GW76" s="207"/>
      <c r="GX76" s="207"/>
      <c r="GY76" s="207"/>
      <c r="GZ76" s="207"/>
      <c r="HA76" s="207"/>
      <c r="HB76" s="207"/>
      <c r="HC76" s="207"/>
      <c r="HD76" s="207"/>
      <c r="HE76" s="207"/>
      <c r="HF76" s="207"/>
      <c r="HG76" s="207"/>
      <c r="HH76" s="207"/>
      <c r="HI76" s="207"/>
      <c r="HJ76" s="207"/>
      <c r="HK76" s="207"/>
      <c r="HL76" s="207"/>
      <c r="HM76" s="207"/>
      <c r="HN76" s="207"/>
      <c r="HO76" s="207"/>
      <c r="HP76" s="207"/>
      <c r="HQ76" s="207"/>
      <c r="HR76" s="207"/>
      <c r="HS76" s="207"/>
      <c r="HT76" s="207"/>
      <c r="HU76" s="207"/>
      <c r="HV76" s="207"/>
      <c r="HW76" s="207"/>
      <c r="HX76" s="207"/>
      <c r="HY76" s="207"/>
      <c r="HZ76" s="207"/>
      <c r="IA76" s="207"/>
      <c r="IB76" s="207"/>
      <c r="IC76" s="207"/>
      <c r="ID76" s="207"/>
      <c r="IE76" s="207"/>
      <c r="IF76" s="207"/>
      <c r="IG76" s="207"/>
      <c r="IH76" s="207"/>
      <c r="II76" s="207"/>
      <c r="IJ76" s="207"/>
      <c r="IK76" s="207"/>
      <c r="IL76" s="207"/>
      <c r="IM76" s="207"/>
      <c r="IN76" s="207"/>
      <c r="IO76" s="207"/>
      <c r="IP76" s="207"/>
      <c r="IQ76" s="207"/>
      <c r="IR76" s="207"/>
      <c r="IS76" s="207"/>
      <c r="IT76" s="207"/>
      <c r="IU76" s="207"/>
      <c r="IV76" s="207"/>
      <c r="IW76" s="207"/>
      <c r="IX76" s="207"/>
      <c r="IY76" s="32">
        <v>2</v>
      </c>
      <c r="IZ76" s="44">
        <f>(TEXT(K76,"[m]")/60)*VLOOKUP(IY76,'Income Person-hours'!A$2:C$5,3,FALSE)</f>
        <v>0</v>
      </c>
      <c r="JA76" s="124">
        <v>8.3333333333333329E-2</v>
      </c>
      <c r="JB76" s="124">
        <v>0.16666666666666666</v>
      </c>
      <c r="JC76" s="124">
        <v>0.33333333333333331</v>
      </c>
      <c r="JD76" s="232">
        <f>SUM((TEXT(JA76,"[M]")/60)*'Income Person-hours'!$D$3,(TEXT(JB76,"[M]")/60)*'Income Person-hours'!$D$4,(TEXT(JC76,"[M]")/60)*'Income Person-hours'!$D$5)</f>
        <v>10504000</v>
      </c>
    </row>
    <row r="77" spans="1:264" s="231" customFormat="1" ht="15.75" x14ac:dyDescent="0.45">
      <c r="A77" s="206">
        <v>4.2</v>
      </c>
      <c r="B77" s="118" t="s">
        <v>165</v>
      </c>
      <c r="C77" s="119" t="s">
        <v>157</v>
      </c>
      <c r="D77" s="210" t="str">
        <f>IF(OR(j_WEEKDAY(J_ADDDAY(VLOOKUP(I77,A:F,6,FALSE),H77,1),0)=6,SUMIFS(Holieday[ok],Holieday[date],J_ADDDAY(VLOOKUP(I77,A:F,6,FALSE),H77,1)))=FALSE(),J_ADDDAY(VLOOKUP(I77,A:F,6,FALSE),H77,1),IF(OR(j_WEEKDAY(J_ADDDAY(VLOOKUP(I77,A:F,6,FALSE),H77+1,1),0)=6,SUMIFS(Holieday[ok],Holieday[date],J_ADDDAY(VLOOKUP(I77,A:F,6,FALSE),H77+1,1)))=FALSE(),J_ADDDAY(VLOOKUP(I77,A:F,6,FALSE),H77+1,1),IF(OR(j_WEEKDAY(J_ADDDAY(VLOOKUP(I77,A:F,6,FALSE),H77+2,1),0)=6,SUMIFS(Holieday[ok],Holieday[date],J_ADDDAY(VLOOKUP(I77,A:F,6,FALSE),H77+2,1)))=FALSE(),J_ADDDAY(VLOOKUP(I77,A:F,6,FALSE),H77+2,1),IF(OR(j_WEEKDAY(J_ADDDAY(VLOOKUP(I77,A:F,6,FALSE),H77+3,1),0)=6,SUMIFS(Holieday[ok],Holieday[date],J_ADDDAY(VLOOKUP(I77,A:F,6,FALSE),H77+3,1)))=FALSE(),J_ADDDAY(VLOOKUP(I77,A:F,6,FALSE),H77+3,1),IF(OR(j_WEEKDAY(J_ADDDAY(VLOOKUP(I77,A:F,6,FALSE),H77+4,1),0)=6,SUMIFS(Holieday[ok],Holieday[date],J_ADDDAY(VLOOKUP(I77,A:F,6,FALSE),H77+4,1)))=FALSE(),J_ADDDAY(VLOOKUP(I77,A:F,6,FALSE),H77+4,1),J_ADDDAY(VLOOKUP(I77,A:F,6,FALSE),H77+5,1))))))</f>
        <v>1398/06/04</v>
      </c>
      <c r="E77" s="198">
        <f t="shared" si="23"/>
        <v>13980604</v>
      </c>
      <c r="F77" s="210" t="str">
        <f>IF(N77=0,J_SUBDAY(D77,1,1)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0,J_SUBDAY(J_ADDDAY(D77,N77,1)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1,J_SUBDAY(J_ADDDAY(D77,N77+1,1),1,1),IF((N77-NETWORKDAYS.INTL(J_GregorianDate(D77,1),J_GregorianDate(J_SUBDAY(J_ADDDAY(D77,N77,1),1,1),1),16,1)-SUMIFS(Holieday[ok],Holieday[date],CONCATENATE("&gt;","=",D77),Holieday[date],CONCATENATE("&lt;","=",J_SUBDAY(J_ADDDAY(D77,N77,1),1,1)))+SUMIFS(Holieday[Friday],Holieday[date],CONCATENATE("&gt;","=",D77),Holieday[date],CONCATENATE("&lt;","=",J_SUBDAY(J_ADDDAY(D77,N77,1),1,1))))=2,J_SUBDAY(J_ADDDAY(D77,N77+2,1),1,1),J_SUBDAY(J_ADDDAY(D77,N77+3,1),1,1)))))</f>
        <v>1398/06/06</v>
      </c>
      <c r="G77" s="201">
        <f t="shared" si="24"/>
        <v>13980606</v>
      </c>
      <c r="H77" s="121">
        <v>1</v>
      </c>
      <c r="I77" s="122">
        <v>4.0999999999999996</v>
      </c>
      <c r="J77" s="209" t="str">
        <f>j_WEEKDAY(D77,1)</f>
        <v>دوشنبه</v>
      </c>
      <c r="K77" s="211">
        <f t="shared" si="27"/>
        <v>0</v>
      </c>
      <c r="L77" s="212">
        <f t="shared" si="28"/>
        <v>3</v>
      </c>
      <c r="M77" s="123">
        <v>1</v>
      </c>
      <c r="N77" s="120">
        <v>3</v>
      </c>
      <c r="O77" s="213">
        <f t="shared" si="25"/>
        <v>3</v>
      </c>
      <c r="P77" s="213">
        <f>VALUE(J_normdate(J_ADDDAY($D77,$O77,1)))</f>
        <v>13980607</v>
      </c>
      <c r="Q77" s="209">
        <f t="shared" si="26"/>
        <v>0</v>
      </c>
      <c r="R77" s="207"/>
      <c r="S77" s="207"/>
      <c r="T77" s="207"/>
      <c r="U77" s="207"/>
      <c r="V77" s="207"/>
      <c r="W77" s="207"/>
      <c r="X77" s="207"/>
      <c r="Y77" s="207"/>
      <c r="Z77" s="207"/>
      <c r="AA77" s="207"/>
      <c r="AB77" s="207"/>
      <c r="AC77" s="207"/>
      <c r="AD77" s="207"/>
      <c r="AE77" s="207"/>
      <c r="AF77" s="207"/>
      <c r="AG77" s="207"/>
      <c r="AH77" s="207"/>
      <c r="AI77" s="207"/>
      <c r="AJ77" s="207"/>
      <c r="AK77" s="207"/>
      <c r="AL77" s="207"/>
      <c r="AM77" s="207"/>
      <c r="AN77" s="207"/>
      <c r="AO77" s="207"/>
      <c r="AP77" s="207"/>
      <c r="AQ77" s="207"/>
      <c r="AR77" s="207"/>
      <c r="AS77" s="207"/>
      <c r="AT77" s="207"/>
      <c r="AU77" s="207"/>
      <c r="AV77" s="207"/>
      <c r="AW77" s="207"/>
      <c r="AX77" s="207"/>
      <c r="AY77" s="207"/>
      <c r="AZ77" s="207"/>
      <c r="BA77" s="207"/>
      <c r="BB77" s="207"/>
      <c r="BC77" s="207"/>
      <c r="BD77" s="207"/>
      <c r="BE77" s="207"/>
      <c r="BF77" s="207"/>
      <c r="BG77" s="207"/>
      <c r="BH77" s="207"/>
      <c r="BI77" s="207"/>
      <c r="BJ77" s="207"/>
      <c r="BK77" s="207"/>
      <c r="BL77" s="207"/>
      <c r="BM77" s="207"/>
      <c r="BN77" s="207"/>
      <c r="BO77" s="207"/>
      <c r="BP77" s="207"/>
      <c r="BQ77" s="207"/>
      <c r="BR77" s="207"/>
      <c r="BS77" s="207"/>
      <c r="BT77" s="207"/>
      <c r="BU77" s="207"/>
      <c r="BV77" s="207"/>
      <c r="BW77" s="207"/>
      <c r="BX77" s="207"/>
      <c r="BY77" s="207"/>
      <c r="BZ77" s="207"/>
      <c r="CA77" s="207"/>
      <c r="CB77" s="207"/>
      <c r="CC77" s="207"/>
      <c r="CD77" s="207"/>
      <c r="CE77" s="207"/>
      <c r="CF77" s="207"/>
      <c r="CG77" s="207"/>
      <c r="CH77" s="207"/>
      <c r="CI77" s="207"/>
      <c r="CJ77" s="207"/>
      <c r="CK77" s="207"/>
      <c r="CL77" s="207"/>
      <c r="CM77" s="207"/>
      <c r="CN77" s="207"/>
      <c r="CO77" s="207"/>
      <c r="CP77" s="207"/>
      <c r="CQ77" s="207"/>
      <c r="CR77" s="207"/>
      <c r="CS77" s="207"/>
      <c r="CT77" s="207"/>
      <c r="CU77" s="207"/>
      <c r="CV77" s="207"/>
      <c r="CW77" s="207"/>
      <c r="CX77" s="207"/>
      <c r="CY77" s="207"/>
      <c r="CZ77" s="207"/>
      <c r="DA77" s="207"/>
      <c r="DB77" s="207"/>
      <c r="DC77" s="207"/>
      <c r="DD77" s="207"/>
      <c r="DE77" s="207"/>
      <c r="DF77" s="207"/>
      <c r="DG77" s="207"/>
      <c r="DH77" s="207"/>
      <c r="DI77" s="207"/>
      <c r="DJ77" s="207"/>
      <c r="DK77" s="207"/>
      <c r="DL77" s="207"/>
      <c r="DM77" s="207"/>
      <c r="DN77" s="207"/>
      <c r="DO77" s="207"/>
      <c r="DP77" s="207"/>
      <c r="DQ77" s="207"/>
      <c r="DR77" s="207"/>
      <c r="DS77" s="207"/>
      <c r="DT77" s="207"/>
      <c r="DU77" s="207"/>
      <c r="DV77" s="207"/>
      <c r="DW77" s="207"/>
      <c r="DX77" s="207"/>
      <c r="DY77" s="207"/>
      <c r="DZ77" s="207"/>
      <c r="EA77" s="207"/>
      <c r="EB77" s="207"/>
      <c r="EC77" s="207"/>
      <c r="ED77" s="207"/>
      <c r="EE77" s="207"/>
      <c r="EF77" s="207"/>
      <c r="EG77" s="207"/>
      <c r="EH77" s="207"/>
      <c r="EI77" s="207"/>
      <c r="EJ77" s="207"/>
      <c r="EK77" s="207"/>
      <c r="EL77" s="207"/>
      <c r="EM77" s="207"/>
      <c r="EN77" s="207"/>
      <c r="EO77" s="207"/>
      <c r="EP77" s="207"/>
      <c r="EQ77" s="207"/>
      <c r="ER77" s="207"/>
      <c r="ES77" s="207"/>
      <c r="ET77" s="207"/>
      <c r="EU77" s="207"/>
      <c r="EV77" s="207"/>
      <c r="EW77" s="207"/>
      <c r="EX77" s="207"/>
      <c r="EY77" s="207"/>
      <c r="EZ77" s="207"/>
      <c r="FA77" s="207"/>
      <c r="FB77" s="207"/>
      <c r="FC77" s="207"/>
      <c r="FD77" s="207"/>
      <c r="FE77" s="207"/>
      <c r="FF77" s="207"/>
      <c r="FG77" s="207"/>
      <c r="FH77" s="207"/>
      <c r="FI77" s="207"/>
      <c r="FJ77" s="207"/>
      <c r="FK77" s="207"/>
      <c r="FL77" s="207"/>
      <c r="FM77" s="207"/>
      <c r="FN77" s="207"/>
      <c r="FO77" s="207"/>
      <c r="FP77" s="207"/>
      <c r="FQ77" s="207"/>
      <c r="FR77" s="207"/>
      <c r="FS77" s="207"/>
      <c r="FT77" s="207"/>
      <c r="FU77" s="207"/>
      <c r="FV77" s="207"/>
      <c r="FW77" s="207"/>
      <c r="FX77" s="207"/>
      <c r="FY77" s="207"/>
      <c r="FZ77" s="207"/>
      <c r="GA77" s="207"/>
      <c r="GB77" s="207"/>
      <c r="GC77" s="207"/>
      <c r="GD77" s="207"/>
      <c r="GE77" s="207"/>
      <c r="GF77" s="207"/>
      <c r="GG77" s="207"/>
      <c r="GH77" s="207"/>
      <c r="GI77" s="207"/>
      <c r="GJ77" s="207"/>
      <c r="GK77" s="207"/>
      <c r="GL77" s="207"/>
      <c r="GM77" s="207"/>
      <c r="GN77" s="207"/>
      <c r="GO77" s="207"/>
      <c r="GP77" s="207"/>
      <c r="GQ77" s="207"/>
      <c r="GR77" s="207"/>
      <c r="GS77" s="207"/>
      <c r="GT77" s="207"/>
      <c r="GU77" s="207"/>
      <c r="GV77" s="207"/>
      <c r="GW77" s="207"/>
      <c r="GX77" s="207"/>
      <c r="GY77" s="207"/>
      <c r="GZ77" s="207"/>
      <c r="HA77" s="207"/>
      <c r="HB77" s="207"/>
      <c r="HC77" s="207"/>
      <c r="HD77" s="207"/>
      <c r="HE77" s="207"/>
      <c r="HF77" s="207"/>
      <c r="HG77" s="207"/>
      <c r="HH77" s="207"/>
      <c r="HI77" s="207"/>
      <c r="HJ77" s="207"/>
      <c r="HK77" s="207"/>
      <c r="HL77" s="207"/>
      <c r="HM77" s="207"/>
      <c r="HN77" s="207"/>
      <c r="HO77" s="207"/>
      <c r="HP77" s="207"/>
      <c r="HQ77" s="207"/>
      <c r="HR77" s="207"/>
      <c r="HS77" s="207"/>
      <c r="HT77" s="207"/>
      <c r="HU77" s="207"/>
      <c r="HV77" s="207"/>
      <c r="HW77" s="207"/>
      <c r="HX77" s="207"/>
      <c r="HY77" s="207"/>
      <c r="HZ77" s="207"/>
      <c r="IA77" s="207"/>
      <c r="IB77" s="207"/>
      <c r="IC77" s="207"/>
      <c r="ID77" s="207"/>
      <c r="IE77" s="207"/>
      <c r="IF77" s="207"/>
      <c r="IG77" s="207"/>
      <c r="IH77" s="207"/>
      <c r="II77" s="207"/>
      <c r="IJ77" s="207"/>
      <c r="IK77" s="207"/>
      <c r="IL77" s="207"/>
      <c r="IM77" s="207"/>
      <c r="IN77" s="207"/>
      <c r="IO77" s="207"/>
      <c r="IP77" s="207"/>
      <c r="IQ77" s="207"/>
      <c r="IR77" s="207"/>
      <c r="IS77" s="207"/>
      <c r="IT77" s="207"/>
      <c r="IU77" s="207"/>
      <c r="IV77" s="207"/>
      <c r="IW77" s="207"/>
      <c r="IX77" s="207"/>
      <c r="IY77" s="32">
        <v>3</v>
      </c>
      <c r="IZ77" s="44">
        <f>(TEXT(K77,"[m]")/60)*VLOOKUP(IY77,'Income Person-hours'!A$2:C$5,3,FALSE)</f>
        <v>0</v>
      </c>
      <c r="JA77" s="124"/>
      <c r="JB77" s="124"/>
      <c r="JC77" s="124"/>
      <c r="JD77" s="232">
        <f>SUM((TEXT(JA77,"[M]")/60)*'Income Person-hours'!$D$3,(TEXT(JB77,"[M]")/60)*'Income Person-hours'!$D$4,(TEXT(JC77,"[M]")/60)*'Income Person-hours'!$D$5)</f>
        <v>0</v>
      </c>
    </row>
    <row r="78" spans="1:264" s="231" customFormat="1" ht="15.75" x14ac:dyDescent="0.45">
      <c r="A78" s="206">
        <v>4.3</v>
      </c>
      <c r="B78" s="118" t="s">
        <v>166</v>
      </c>
      <c r="C78" s="119" t="s">
        <v>154</v>
      </c>
      <c r="D78" s="210" t="str">
        <f>IF(OR(j_WEEKDAY(J_ADDDAY(VLOOKUP(I78,A:F,6,FALSE),H78,1),0)=6,SUMIFS(Holieday[ok],Holieday[date],J_ADDDAY(VLOOKUP(I78,A:F,6,FALSE),H78,1)))=FALSE(),J_ADDDAY(VLOOKUP(I78,A:F,6,FALSE),H78,1),IF(OR(j_WEEKDAY(J_ADDDAY(VLOOKUP(I78,A:F,6,FALSE),H78+1,1),0)=6,SUMIFS(Holieday[ok],Holieday[date],J_ADDDAY(VLOOKUP(I78,A:F,6,FALSE),H78+1,1)))=FALSE(),J_ADDDAY(VLOOKUP(I78,A:F,6,FALSE),H78+1,1),IF(OR(j_WEEKDAY(J_ADDDAY(VLOOKUP(I78,A:F,6,FALSE),H78+2,1),0)=6,SUMIFS(Holieday[ok],Holieday[date],J_ADDDAY(VLOOKUP(I78,A:F,6,FALSE),H78+2,1)))=FALSE(),J_ADDDAY(VLOOKUP(I78,A:F,6,FALSE),H78+2,1),IF(OR(j_WEEKDAY(J_ADDDAY(VLOOKUP(I78,A:F,6,FALSE),H78+3,1),0)=6,SUMIFS(Holieday[ok],Holieday[date],J_ADDDAY(VLOOKUP(I78,A:F,6,FALSE),H78+3,1)))=FALSE(),J_ADDDAY(VLOOKUP(I78,A:F,6,FALSE),H78+3,1),IF(OR(j_WEEKDAY(J_ADDDAY(VLOOKUP(I78,A:F,6,FALSE),H78+4,1),0)=6,SUMIFS(Holieday[ok],Holieday[date],J_ADDDAY(VLOOKUP(I78,A:F,6,FALSE),H78+4,1)))=FALSE(),J_ADDDAY(VLOOKUP(I78,A:F,6,FALSE),H78+4,1),J_ADDDAY(VLOOKUP(I78,A:F,6,FALSE),H78+5,1))))))</f>
        <v>1398/06/14</v>
      </c>
      <c r="E78" s="198">
        <f t="shared" si="23"/>
        <v>13980614</v>
      </c>
      <c r="F78" s="210" t="str">
        <f>IF(N78=0,J_SUBDAY(D78,1,1)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0,J_SUBDAY(J_ADDDAY(D78,N78,1)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1,J_SUBDAY(J_ADDDAY(D78,N78+1,1),1,1),IF((N78-NETWORKDAYS.INTL(J_GregorianDate(D78,1),J_GregorianDate(J_SUBDAY(J_ADDDAY(D78,N78,1),1,1),1),16,1)-SUMIFS(Holieday[ok],Holieday[date],CONCATENATE("&gt;","=",D78),Holieday[date],CONCATENATE("&lt;","=",J_SUBDAY(J_ADDDAY(D78,N78,1),1,1)))+SUMIFS(Holieday[Friday],Holieday[date],CONCATENATE("&gt;","=",D78),Holieday[date],CONCATENATE("&lt;","=",J_SUBDAY(J_ADDDAY(D78,N78,1),1,1))))=2,J_SUBDAY(J_ADDDAY(D78,N78+2,1),1,1),J_SUBDAY(J_ADDDAY(D78,N78+3,1),1,1)))))</f>
        <v>1398/06/21</v>
      </c>
      <c r="G78" s="201">
        <f t="shared" si="24"/>
        <v>13980621</v>
      </c>
      <c r="H78" s="121">
        <v>8</v>
      </c>
      <c r="I78" s="122">
        <v>4.2</v>
      </c>
      <c r="J78" s="209" t="str">
        <f>j_WEEKDAY(D78,1)</f>
        <v>پنجشنبه</v>
      </c>
      <c r="K78" s="211">
        <f t="shared" si="27"/>
        <v>0.83333333333333326</v>
      </c>
      <c r="L78" s="212">
        <f t="shared" si="28"/>
        <v>8</v>
      </c>
      <c r="M78" s="123">
        <v>1</v>
      </c>
      <c r="N78" s="120">
        <v>7</v>
      </c>
      <c r="O78" s="213">
        <f t="shared" si="25"/>
        <v>8</v>
      </c>
      <c r="P78" s="213">
        <f>VALUE(J_normdate(J_ADDDAY($D78,$O78,1)))</f>
        <v>13980622</v>
      </c>
      <c r="Q78" s="209">
        <f t="shared" si="26"/>
        <v>0</v>
      </c>
      <c r="R78" s="207"/>
      <c r="S78" s="207"/>
      <c r="T78" s="207"/>
      <c r="U78" s="207"/>
      <c r="V78" s="207"/>
      <c r="W78" s="207"/>
      <c r="X78" s="207"/>
      <c r="Y78" s="207"/>
      <c r="Z78" s="207"/>
      <c r="AA78" s="207"/>
      <c r="AB78" s="207"/>
      <c r="AC78" s="207"/>
      <c r="AD78" s="207"/>
      <c r="AE78" s="207"/>
      <c r="AF78" s="207"/>
      <c r="AG78" s="207"/>
      <c r="AH78" s="207"/>
      <c r="AI78" s="207"/>
      <c r="AJ78" s="207"/>
      <c r="AK78" s="207"/>
      <c r="AL78" s="207"/>
      <c r="AM78" s="207"/>
      <c r="AN78" s="207"/>
      <c r="AO78" s="207"/>
      <c r="AP78" s="207"/>
      <c r="AQ78" s="207"/>
      <c r="AR78" s="207"/>
      <c r="AS78" s="207"/>
      <c r="AT78" s="207"/>
      <c r="AU78" s="207"/>
      <c r="AV78" s="207"/>
      <c r="AW78" s="207"/>
      <c r="AX78" s="207"/>
      <c r="AY78" s="207"/>
      <c r="AZ78" s="207"/>
      <c r="BA78" s="207"/>
      <c r="BB78" s="207"/>
      <c r="BC78" s="207"/>
      <c r="BD78" s="207"/>
      <c r="BE78" s="207"/>
      <c r="BF78" s="207"/>
      <c r="BG78" s="207"/>
      <c r="BH78" s="207"/>
      <c r="BI78" s="207"/>
      <c r="BJ78" s="207"/>
      <c r="BK78" s="207"/>
      <c r="BL78" s="207"/>
      <c r="BM78" s="207"/>
      <c r="BN78" s="207"/>
      <c r="BO78" s="207"/>
      <c r="BP78" s="207"/>
      <c r="BQ78" s="207"/>
      <c r="BR78" s="207"/>
      <c r="BS78" s="207"/>
      <c r="BT78" s="207"/>
      <c r="BU78" s="207"/>
      <c r="BV78" s="207"/>
      <c r="BW78" s="207"/>
      <c r="BX78" s="207"/>
      <c r="BY78" s="207"/>
      <c r="BZ78" s="207"/>
      <c r="CA78" s="207"/>
      <c r="CB78" s="207"/>
      <c r="CC78" s="207"/>
      <c r="CD78" s="207"/>
      <c r="CE78" s="207"/>
      <c r="CF78" s="207"/>
      <c r="CG78" s="207"/>
      <c r="CH78" s="207"/>
      <c r="CI78" s="207"/>
      <c r="CJ78" s="207"/>
      <c r="CK78" s="207"/>
      <c r="CL78" s="207"/>
      <c r="CM78" s="207"/>
      <c r="CN78" s="207"/>
      <c r="CO78" s="207"/>
      <c r="CP78" s="207"/>
      <c r="CQ78" s="207"/>
      <c r="CR78" s="207"/>
      <c r="CS78" s="207"/>
      <c r="CT78" s="207"/>
      <c r="CU78" s="207"/>
      <c r="CV78" s="207"/>
      <c r="CW78" s="207"/>
      <c r="CX78" s="207"/>
      <c r="CY78" s="207"/>
      <c r="CZ78" s="207"/>
      <c r="DA78" s="207"/>
      <c r="DB78" s="207"/>
      <c r="DC78" s="207"/>
      <c r="DD78" s="207"/>
      <c r="DE78" s="207"/>
      <c r="DF78" s="207"/>
      <c r="DG78" s="207"/>
      <c r="DH78" s="207"/>
      <c r="DI78" s="207"/>
      <c r="DJ78" s="207"/>
      <c r="DK78" s="207"/>
      <c r="DL78" s="207"/>
      <c r="DM78" s="207"/>
      <c r="DN78" s="207"/>
      <c r="DO78" s="207"/>
      <c r="DP78" s="207"/>
      <c r="DQ78" s="207"/>
      <c r="DR78" s="207"/>
      <c r="DS78" s="207"/>
      <c r="DT78" s="207"/>
      <c r="DU78" s="207"/>
      <c r="DV78" s="207"/>
      <c r="DW78" s="207"/>
      <c r="DX78" s="207"/>
      <c r="DY78" s="207"/>
      <c r="DZ78" s="207"/>
      <c r="EA78" s="207"/>
      <c r="EB78" s="207"/>
      <c r="EC78" s="207"/>
      <c r="ED78" s="207"/>
      <c r="EE78" s="207"/>
      <c r="EF78" s="207"/>
      <c r="EG78" s="207"/>
      <c r="EH78" s="207"/>
      <c r="EI78" s="207"/>
      <c r="EJ78" s="207"/>
      <c r="EK78" s="207"/>
      <c r="EL78" s="207"/>
      <c r="EM78" s="207"/>
      <c r="EN78" s="207"/>
      <c r="EO78" s="207"/>
      <c r="EP78" s="207"/>
      <c r="EQ78" s="207"/>
      <c r="ER78" s="207"/>
      <c r="ES78" s="207"/>
      <c r="ET78" s="207"/>
      <c r="EU78" s="207"/>
      <c r="EV78" s="207"/>
      <c r="EW78" s="207"/>
      <c r="EX78" s="207"/>
      <c r="EY78" s="207"/>
      <c r="EZ78" s="207"/>
      <c r="FA78" s="207"/>
      <c r="FB78" s="207"/>
      <c r="FC78" s="207"/>
      <c r="FD78" s="207"/>
      <c r="FE78" s="207"/>
      <c r="FF78" s="207"/>
      <c r="FG78" s="207"/>
      <c r="FH78" s="207"/>
      <c r="FI78" s="207"/>
      <c r="FJ78" s="207"/>
      <c r="FK78" s="207"/>
      <c r="FL78" s="207"/>
      <c r="FM78" s="207"/>
      <c r="FN78" s="207"/>
      <c r="FO78" s="207"/>
      <c r="FP78" s="207"/>
      <c r="FQ78" s="207"/>
      <c r="FR78" s="207"/>
      <c r="FS78" s="207"/>
      <c r="FT78" s="207"/>
      <c r="FU78" s="207"/>
      <c r="FV78" s="207"/>
      <c r="FW78" s="207"/>
      <c r="FX78" s="207"/>
      <c r="FY78" s="207"/>
      <c r="FZ78" s="207"/>
      <c r="GA78" s="207"/>
      <c r="GB78" s="207"/>
      <c r="GC78" s="207"/>
      <c r="GD78" s="207"/>
      <c r="GE78" s="207"/>
      <c r="GF78" s="207"/>
      <c r="GG78" s="207"/>
      <c r="GH78" s="207"/>
      <c r="GI78" s="207"/>
      <c r="GJ78" s="207"/>
      <c r="GK78" s="207"/>
      <c r="GL78" s="207"/>
      <c r="GM78" s="207"/>
      <c r="GN78" s="207"/>
      <c r="GO78" s="207"/>
      <c r="GP78" s="207"/>
      <c r="GQ78" s="207"/>
      <c r="GR78" s="207"/>
      <c r="GS78" s="207"/>
      <c r="GT78" s="207"/>
      <c r="GU78" s="207"/>
      <c r="GV78" s="207"/>
      <c r="GW78" s="207"/>
      <c r="GX78" s="207"/>
      <c r="GY78" s="207"/>
      <c r="GZ78" s="207"/>
      <c r="HA78" s="207"/>
      <c r="HB78" s="207"/>
      <c r="HC78" s="207"/>
      <c r="HD78" s="207"/>
      <c r="HE78" s="207"/>
      <c r="HF78" s="207"/>
      <c r="HG78" s="207"/>
      <c r="HH78" s="207"/>
      <c r="HI78" s="207"/>
      <c r="HJ78" s="207"/>
      <c r="HK78" s="207"/>
      <c r="HL78" s="207"/>
      <c r="HM78" s="207"/>
      <c r="HN78" s="207"/>
      <c r="HO78" s="207"/>
      <c r="HP78" s="207"/>
      <c r="HQ78" s="207"/>
      <c r="HR78" s="207"/>
      <c r="HS78" s="207"/>
      <c r="HT78" s="207"/>
      <c r="HU78" s="207"/>
      <c r="HV78" s="207"/>
      <c r="HW78" s="207"/>
      <c r="HX78" s="207"/>
      <c r="HY78" s="207"/>
      <c r="HZ78" s="207"/>
      <c r="IA78" s="207"/>
      <c r="IB78" s="207"/>
      <c r="IC78" s="207"/>
      <c r="ID78" s="207"/>
      <c r="IE78" s="207"/>
      <c r="IF78" s="207"/>
      <c r="IG78" s="207"/>
      <c r="IH78" s="207"/>
      <c r="II78" s="207"/>
      <c r="IJ78" s="207"/>
      <c r="IK78" s="207"/>
      <c r="IL78" s="207"/>
      <c r="IM78" s="207"/>
      <c r="IN78" s="207"/>
      <c r="IO78" s="207"/>
      <c r="IP78" s="207"/>
      <c r="IQ78" s="207"/>
      <c r="IR78" s="207"/>
      <c r="IS78" s="207"/>
      <c r="IT78" s="207"/>
      <c r="IU78" s="207"/>
      <c r="IV78" s="207"/>
      <c r="IW78" s="207"/>
      <c r="IX78" s="207"/>
      <c r="IY78" s="32">
        <v>3</v>
      </c>
      <c r="IZ78" s="44">
        <f>(TEXT(K78,"[m]")/60)*VLOOKUP(IY78,'Income Person-hours'!A$2:C$5,3,FALSE)</f>
        <v>0</v>
      </c>
      <c r="JA78" s="124"/>
      <c r="JB78" s="124">
        <v>0.16666666666666666</v>
      </c>
      <c r="JC78" s="124">
        <v>0.66666666666666663</v>
      </c>
      <c r="JD78" s="232">
        <f>SUM((TEXT(JA78,"[M]")/60)*'Income Person-hours'!$D$3,(TEXT(JB78,"[M]")/60)*'Income Person-hours'!$D$4,(TEXT(JC78,"[M]")/60)*'Income Person-hours'!$D$5)</f>
        <v>12544000</v>
      </c>
    </row>
    <row r="79" spans="1:264" s="231" customFormat="1" ht="15.75" x14ac:dyDescent="0.45">
      <c r="A79" s="206">
        <v>4.4000000000000004</v>
      </c>
      <c r="B79" s="118" t="s">
        <v>177</v>
      </c>
      <c r="C79" s="119" t="s">
        <v>155</v>
      </c>
      <c r="D79" s="210" t="str">
        <f>IF(OR(j_WEEKDAY(J_ADDDAY(VLOOKUP(I79,A:F,6,FALSE),H79,1),0)=6,SUMIFS(Holieday[ok],Holieday[date],J_ADDDAY(VLOOKUP(I79,A:F,6,FALSE),H79,1)))=FALSE(),J_ADDDAY(VLOOKUP(I79,A:F,6,FALSE),H79,1),IF(OR(j_WEEKDAY(J_ADDDAY(VLOOKUP(I79,A:F,6,FALSE),H79+1,1),0)=6,SUMIFS(Holieday[ok],Holieday[date],J_ADDDAY(VLOOKUP(I79,A:F,6,FALSE),H79+1,1)))=FALSE(),J_ADDDAY(VLOOKUP(I79,A:F,6,FALSE),H79+1,1),IF(OR(j_WEEKDAY(J_ADDDAY(VLOOKUP(I79,A:F,6,FALSE),H79+2,1),0)=6,SUMIFS(Holieday[ok],Holieday[date],J_ADDDAY(VLOOKUP(I79,A:F,6,FALSE),H79+2,1)))=FALSE(),J_ADDDAY(VLOOKUP(I79,A:F,6,FALSE),H79+2,1),IF(OR(j_WEEKDAY(J_ADDDAY(VLOOKUP(I79,A:F,6,FALSE),H79+3,1),0)=6,SUMIFS(Holieday[ok],Holieday[date],J_ADDDAY(VLOOKUP(I79,A:F,6,FALSE),H79+3,1)))=FALSE(),J_ADDDAY(VLOOKUP(I79,A:F,6,FALSE),H79+3,1),IF(OR(j_WEEKDAY(J_ADDDAY(VLOOKUP(I79,A:F,6,FALSE),H79+4,1),0)=6,SUMIFS(Holieday[ok],Holieday[date],J_ADDDAY(VLOOKUP(I79,A:F,6,FALSE),H79+4,1)))=FALSE(),J_ADDDAY(VLOOKUP(I79,A:F,6,FALSE),H79+4,1),J_ADDDAY(VLOOKUP(I79,A:F,6,FALSE),H79+5,1))))))</f>
        <v>1398/06/24</v>
      </c>
      <c r="E79" s="198">
        <f t="shared" si="23"/>
        <v>13980624</v>
      </c>
      <c r="F79" s="210" t="str">
        <f>IF(N79=0,J_SUBDAY(D79,1,1)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0,J_SUBDAY(J_ADDDAY(D79,N79,1)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1,J_SUBDAY(J_ADDDAY(D79,N79+1,1),1,1),IF((N79-NETWORKDAYS.INTL(J_GregorianDate(D79,1),J_GregorianDate(J_SUBDAY(J_ADDDAY(D79,N79,1),1,1),1),16,1)-SUMIFS(Holieday[ok],Holieday[date],CONCATENATE("&gt;","=",D79),Holieday[date],CONCATENATE("&lt;","=",J_SUBDAY(J_ADDDAY(D79,N79,1),1,1)))+SUMIFS(Holieday[Friday],Holieday[date],CONCATENATE("&gt;","=",D79),Holieday[date],CONCATENATE("&lt;","=",J_SUBDAY(J_ADDDAY(D79,N79,1),1,1))))=2,J_SUBDAY(J_ADDDAY(D79,N79+2,1),1,1),J_SUBDAY(J_ADDDAY(D79,N79+3,1),1,1)))))</f>
        <v>1398/06/31</v>
      </c>
      <c r="G79" s="201">
        <f t="shared" si="24"/>
        <v>13980631</v>
      </c>
      <c r="H79" s="121">
        <v>3</v>
      </c>
      <c r="I79" s="122">
        <v>4.3</v>
      </c>
      <c r="J79" s="209" t="str">
        <f>j_WEEKDAY(D79,1)</f>
        <v>يكشنبه</v>
      </c>
      <c r="K79" s="211">
        <f t="shared" si="27"/>
        <v>0.41666666666666663</v>
      </c>
      <c r="L79" s="212">
        <f t="shared" si="28"/>
        <v>8</v>
      </c>
      <c r="M79" s="123">
        <v>0.8</v>
      </c>
      <c r="N79" s="120">
        <v>7</v>
      </c>
      <c r="O79" s="213">
        <f t="shared" si="25"/>
        <v>6</v>
      </c>
      <c r="P79" s="213">
        <f>VALUE(J_normdate(J_ADDDAY($D79,$O79,1)))</f>
        <v>13980630</v>
      </c>
      <c r="Q79" s="209">
        <f t="shared" si="26"/>
        <v>2</v>
      </c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07"/>
      <c r="DC79" s="207"/>
      <c r="DD79" s="207"/>
      <c r="DE79" s="207"/>
      <c r="DF79" s="207"/>
      <c r="DG79" s="207"/>
      <c r="DH79" s="207"/>
      <c r="DI79" s="207"/>
      <c r="DJ79" s="207"/>
      <c r="DK79" s="207"/>
      <c r="DL79" s="207"/>
      <c r="DM79" s="207"/>
      <c r="DN79" s="207"/>
      <c r="DO79" s="207"/>
      <c r="DP79" s="207"/>
      <c r="DQ79" s="207"/>
      <c r="DR79" s="207"/>
      <c r="DS79" s="207"/>
      <c r="DT79" s="207"/>
      <c r="DU79" s="207"/>
      <c r="DV79" s="207"/>
      <c r="DW79" s="207"/>
      <c r="DX79" s="207"/>
      <c r="DY79" s="207"/>
      <c r="DZ79" s="207"/>
      <c r="EA79" s="207"/>
      <c r="EB79" s="207"/>
      <c r="EC79" s="207"/>
      <c r="ED79" s="207"/>
      <c r="EE79" s="207"/>
      <c r="EF79" s="207"/>
      <c r="EG79" s="207"/>
      <c r="EH79" s="207"/>
      <c r="EI79" s="207"/>
      <c r="EJ79" s="207"/>
      <c r="EK79" s="207"/>
      <c r="EL79" s="207"/>
      <c r="EM79" s="207"/>
      <c r="EN79" s="207"/>
      <c r="EO79" s="207"/>
      <c r="EP79" s="207"/>
      <c r="EQ79" s="207"/>
      <c r="ER79" s="207"/>
      <c r="ES79" s="207"/>
      <c r="ET79" s="207"/>
      <c r="EU79" s="207"/>
      <c r="EV79" s="207"/>
      <c r="EW79" s="207"/>
      <c r="EX79" s="207"/>
      <c r="EY79" s="207"/>
      <c r="EZ79" s="207"/>
      <c r="FA79" s="207"/>
      <c r="FB79" s="207"/>
      <c r="FC79" s="207"/>
      <c r="FD79" s="207"/>
      <c r="FE79" s="207"/>
      <c r="FF79" s="207"/>
      <c r="FG79" s="207"/>
      <c r="FH79" s="207"/>
      <c r="FI79" s="207"/>
      <c r="FJ79" s="207"/>
      <c r="FK79" s="207"/>
      <c r="FL79" s="207"/>
      <c r="FM79" s="207"/>
      <c r="FN79" s="207"/>
      <c r="FO79" s="207"/>
      <c r="FP79" s="207"/>
      <c r="FQ79" s="207"/>
      <c r="FR79" s="207"/>
      <c r="FS79" s="207"/>
      <c r="FT79" s="207"/>
      <c r="FU79" s="207"/>
      <c r="FV79" s="207"/>
      <c r="FW79" s="207"/>
      <c r="FX79" s="207"/>
      <c r="FY79" s="207"/>
      <c r="FZ79" s="207"/>
      <c r="GA79" s="207"/>
      <c r="GB79" s="207"/>
      <c r="GC79" s="207"/>
      <c r="GD79" s="207"/>
      <c r="GE79" s="207"/>
      <c r="GF79" s="207"/>
      <c r="GG79" s="207"/>
      <c r="GH79" s="207"/>
      <c r="GI79" s="207"/>
      <c r="GJ79" s="207"/>
      <c r="GK79" s="207"/>
      <c r="GL79" s="207"/>
      <c r="GM79" s="207"/>
      <c r="GN79" s="207"/>
      <c r="GO79" s="207"/>
      <c r="GP79" s="207"/>
      <c r="GQ79" s="207"/>
      <c r="GR79" s="207"/>
      <c r="GS79" s="207"/>
      <c r="GT79" s="207"/>
      <c r="GU79" s="207"/>
      <c r="GV79" s="207"/>
      <c r="GW79" s="207"/>
      <c r="GX79" s="207"/>
      <c r="GY79" s="207"/>
      <c r="GZ79" s="207"/>
      <c r="HA79" s="207"/>
      <c r="HB79" s="207"/>
      <c r="HC79" s="207"/>
      <c r="HD79" s="207"/>
      <c r="HE79" s="207"/>
      <c r="HF79" s="207"/>
      <c r="HG79" s="207"/>
      <c r="HH79" s="207"/>
      <c r="HI79" s="207"/>
      <c r="HJ79" s="207"/>
      <c r="HK79" s="207"/>
      <c r="HL79" s="207"/>
      <c r="HM79" s="207"/>
      <c r="HN79" s="207"/>
      <c r="HO79" s="207"/>
      <c r="HP79" s="207"/>
      <c r="HQ79" s="207"/>
      <c r="HR79" s="207"/>
      <c r="HS79" s="207"/>
      <c r="HT79" s="207"/>
      <c r="HU79" s="207"/>
      <c r="HV79" s="207"/>
      <c r="HW79" s="207"/>
      <c r="HX79" s="207"/>
      <c r="HY79" s="207"/>
      <c r="HZ79" s="207"/>
      <c r="IA79" s="207"/>
      <c r="IB79" s="207"/>
      <c r="IC79" s="207"/>
      <c r="ID79" s="207"/>
      <c r="IE79" s="207"/>
      <c r="IF79" s="207"/>
      <c r="IG79" s="207"/>
      <c r="IH79" s="207"/>
      <c r="II79" s="207"/>
      <c r="IJ79" s="207"/>
      <c r="IK79" s="207"/>
      <c r="IL79" s="207"/>
      <c r="IM79" s="207"/>
      <c r="IN79" s="207"/>
      <c r="IO79" s="207"/>
      <c r="IP79" s="207"/>
      <c r="IQ79" s="207"/>
      <c r="IR79" s="207"/>
      <c r="IS79" s="207"/>
      <c r="IT79" s="207"/>
      <c r="IU79" s="207"/>
      <c r="IV79" s="207"/>
      <c r="IW79" s="207"/>
      <c r="IX79" s="207"/>
      <c r="IY79" s="32">
        <v>3</v>
      </c>
      <c r="IZ79" s="44">
        <f>(TEXT(K79,"[m]")/60)*VLOOKUP(IY79,'Income Person-hours'!A$2:C$5,3,FALSE)</f>
        <v>0</v>
      </c>
      <c r="JA79" s="124"/>
      <c r="JB79" s="124">
        <v>8.3333333333333329E-2</v>
      </c>
      <c r="JC79" s="124">
        <v>0.33333333333333331</v>
      </c>
      <c r="JD79" s="232">
        <f>SUM((TEXT(JA79,"[M]")/60)*'Income Person-hours'!$D$3,(TEXT(JB79,"[M]")/60)*'Income Person-hours'!$D$4,(TEXT(JC79,"[M]")/60)*'Income Person-hours'!$D$5)</f>
        <v>6272000</v>
      </c>
    </row>
    <row r="80" spans="1:264" s="12" customFormat="1" ht="15.75" x14ac:dyDescent="0.45">
      <c r="A80" s="206">
        <v>4.5</v>
      </c>
      <c r="B80" s="128" t="s">
        <v>183</v>
      </c>
      <c r="C80" s="119"/>
      <c r="D80" s="13" t="str">
        <f>IF(OR(j_WEEKDAY(J_ADDDAY(VLOOKUP(I80,A:F,6,FALSE),H80,1),0)=6,SUMIFS(Holieday[ok],Holieday[date],J_ADDDAY(VLOOKUP(I80,A:F,6,FALSE),H80,1)))=FALSE(),J_ADDDAY(VLOOKUP(I80,A:F,6,FALSE),H80,1),IF(OR(j_WEEKDAY(J_ADDDAY(VLOOKUP(I80,A:F,6,FALSE),H80+1,1),0)=6,SUMIFS(Holieday[ok],Holieday[date],J_ADDDAY(VLOOKUP(I80,A:F,6,FALSE),H80+1,1)))=FALSE(),J_ADDDAY(VLOOKUP(I80,A:F,6,FALSE),H80+1,1),IF(OR(j_WEEKDAY(J_ADDDAY(VLOOKUP(I80,A:F,6,FALSE),H80+2,1),0)=6,SUMIFS(Holieday[ok],Holieday[date],J_ADDDAY(VLOOKUP(I80,A:F,6,FALSE),H80+2,1)))=FALSE(),J_ADDDAY(VLOOKUP(I80,A:F,6,FALSE),H80+2,1),IF(OR(j_WEEKDAY(J_ADDDAY(VLOOKUP(I80,A:F,6,FALSE),H80+3,1),0)=6,SUMIFS(Holieday[ok],Holieday[date],J_ADDDAY(VLOOKUP(I80,A:F,6,FALSE),H80+3,1)))=FALSE(),J_ADDDAY(VLOOKUP(I80,A:F,6,FALSE),H80+3,1),IF(OR(j_WEEKDAY(J_ADDDAY(VLOOKUP(I80,A:F,6,FALSE),H80+4,1),0)=6,SUMIFS(Holieday[ok],Holieday[date],J_ADDDAY(VLOOKUP(I80,A:F,6,FALSE),H80+4,1)))=FALSE(),J_ADDDAY(VLOOKUP(I80,A:F,6,FALSE),H80+4,1),J_ADDDAY(VLOOKUP(I80,A:F,6,FALSE),H80+5,1))))))</f>
        <v>1398/07/01</v>
      </c>
      <c r="E80" s="2">
        <f t="shared" si="23"/>
        <v>13980701</v>
      </c>
      <c r="F80" s="13" t="str">
        <f>IF(N80=0,J_SUBDAY(D80,1,1),IF((N80-NETWORKDAYS.INTL(J_GregorianDate(D80,1),J_GregorianDate(J_SUBDAY(J_ADDDAY(D80,N80,1),1,1),1),16,1)-SUMIFS(Holieday[ok],Holieday[date],CONCATENATE("&gt;","=",D80),Holieday[date],CONCATENATE("&lt;","=",J_SUBDAY(J_ADDDAY(D80,N80,1),1,1)))+SUMIFS(Holieday[Friday],Holieday[date],CONCATENATE("&gt;","=",D80),Holieday[date],CONCATENATE("&lt;","=",J_SUBDAY(J_ADDDAY(D80,N80,1),1,1))))=0,J_SUBDAY(J_ADDDAY(D80,N80,1),1,1),IF((N80-NETWORKDAYS.INTL(J_GregorianDate(D80,1),J_GregorianDate(J_SUBDAY(J_ADDDAY(D80,N80,1),1,1),1),16,1)-SUMIFS(Holieday[ok],Holieday[date],CONCATENATE("&gt;","=",D80),Holieday[date],CONCATENATE("&lt;","=",J_SUBDAY(J_ADDDAY(D80,N80,1),1,1)))+SUMIFS(Holieday[Friday],Holieday[date],CONCATENATE("&gt;","=",D80),Holieday[date],CONCATENATE("&lt;","=",J_SUBDAY(J_ADDDAY(D80,N80,1),1,1))))=1,J_SUBDAY(J_ADDDAY(D80,N80+1,1),1,1),IF((N80-NETWORKDAYS.INTL(J_GregorianDate(D80,1),J_GregorianDate(J_SUBDAY(J_ADDDAY(D80,N80,1),1,1),1),16,1)-SUMIFS(Holieday[ok],Holieday[date],CONCATENATE("&gt;","=",D80),Holieday[date],CONCATENATE("&lt;","=",J_SUBDAY(J_ADDDAY(D80,N80,1),1,1)))+SUMIFS(Holieday[Friday],Holieday[date],CONCATENATE("&gt;","=",D80),Holieday[date],CONCATENATE("&lt;","=",J_SUBDAY(J_ADDDAY(D80,N80,1),1,1))))=2,J_SUBDAY(J_ADDDAY(D80,N80+2,1),1,1),J_SUBDAY(J_ADDDAY(D80,N80+3,1),1,1)))))</f>
        <v>1398/07/08</v>
      </c>
      <c r="G80" s="3">
        <f t="shared" si="24"/>
        <v>13980708</v>
      </c>
      <c r="H80" s="121">
        <v>1</v>
      </c>
      <c r="I80" s="122">
        <v>4.4000000000000004</v>
      </c>
      <c r="J80" s="10" t="str">
        <f>j_WEEKDAY(D80,1)</f>
        <v>دوشنبه</v>
      </c>
      <c r="K80" s="23">
        <f t="shared" si="27"/>
        <v>0</v>
      </c>
      <c r="L80" s="9">
        <f t="shared" si="28"/>
        <v>8</v>
      </c>
      <c r="M80" s="123">
        <v>0.95</v>
      </c>
      <c r="N80" s="120">
        <v>7</v>
      </c>
      <c r="O80" s="11">
        <f t="shared" si="25"/>
        <v>7</v>
      </c>
      <c r="P80" s="11">
        <f>VALUE(J_normdate(J_ADDDAY($D80,$O80,1)))</f>
        <v>13980708</v>
      </c>
      <c r="Q80" s="10">
        <f t="shared" si="26"/>
        <v>1</v>
      </c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  <c r="ES80" s="8"/>
      <c r="ET80" s="8"/>
      <c r="EU80" s="8"/>
      <c r="EV80" s="8"/>
      <c r="EW80" s="8"/>
      <c r="EX80" s="8"/>
      <c r="EY80" s="8"/>
      <c r="EZ80" s="8"/>
      <c r="FA80" s="8"/>
      <c r="FB80" s="8"/>
      <c r="FC80" s="8"/>
      <c r="FD80" s="8"/>
      <c r="FE80" s="8"/>
      <c r="FF80" s="8"/>
      <c r="FG80" s="8"/>
      <c r="FH80" s="8"/>
      <c r="FI80" s="8"/>
      <c r="FJ80" s="8"/>
      <c r="FK80" s="8"/>
      <c r="FL80" s="8"/>
      <c r="FM80" s="8"/>
      <c r="FN80" s="8"/>
      <c r="FO80" s="8"/>
      <c r="FP80" s="8"/>
      <c r="FQ80" s="8"/>
      <c r="FR80" s="8"/>
      <c r="FS80" s="8"/>
      <c r="FT80" s="8"/>
      <c r="FU80" s="8"/>
      <c r="FV80" s="8"/>
      <c r="FW80" s="8"/>
      <c r="FX80" s="8"/>
      <c r="FY80" s="8"/>
      <c r="FZ80" s="8"/>
      <c r="GA80" s="8"/>
      <c r="GB80" s="8"/>
      <c r="GC80" s="8"/>
      <c r="GD80" s="8"/>
      <c r="GE80" s="8"/>
      <c r="GF80" s="8"/>
      <c r="GG80" s="8"/>
      <c r="GH80" s="8"/>
      <c r="GI80" s="8"/>
      <c r="GJ80" s="8"/>
      <c r="GK80" s="8"/>
      <c r="GL80" s="8"/>
      <c r="GM80" s="8"/>
      <c r="GN80" s="8"/>
      <c r="GO80" s="8"/>
      <c r="GP80" s="8"/>
      <c r="GQ80" s="8"/>
      <c r="GR80" s="8"/>
      <c r="GS80" s="8"/>
      <c r="GT80" s="8"/>
      <c r="GU80" s="8"/>
      <c r="GV80" s="8"/>
      <c r="GW80" s="8"/>
      <c r="GX80" s="8"/>
      <c r="GY80" s="8"/>
      <c r="GZ80" s="8"/>
      <c r="HA80" s="8"/>
      <c r="HB80" s="8"/>
      <c r="HC80" s="8"/>
      <c r="HD80" s="8"/>
      <c r="HE80" s="8"/>
      <c r="HF80" s="8"/>
      <c r="HG80" s="8"/>
      <c r="HH80" s="8"/>
      <c r="HI80" s="8"/>
      <c r="HJ80" s="8"/>
      <c r="HK80" s="8"/>
      <c r="HL80" s="8"/>
      <c r="HM80" s="8"/>
      <c r="HN80" s="8"/>
      <c r="HO80" s="8"/>
      <c r="HP80" s="8"/>
      <c r="HQ80" s="8"/>
      <c r="HR80" s="8"/>
      <c r="HS80" s="8"/>
      <c r="HT80" s="8"/>
      <c r="HU80" s="8"/>
      <c r="HV80" s="8"/>
      <c r="HW80" s="8"/>
      <c r="HX80" s="8"/>
      <c r="HY80" s="8"/>
      <c r="HZ80" s="8"/>
      <c r="IA80" s="8"/>
      <c r="IB80" s="8"/>
      <c r="IC80" s="8"/>
      <c r="ID80" s="8"/>
      <c r="IE80" s="8"/>
      <c r="IF80" s="8"/>
      <c r="IG80" s="8"/>
      <c r="IH80" s="8"/>
      <c r="II80" s="8"/>
      <c r="IJ80" s="8"/>
      <c r="IK80" s="8"/>
      <c r="IL80" s="8"/>
      <c r="IM80" s="8"/>
      <c r="IN80" s="8"/>
      <c r="IO80" s="8"/>
      <c r="IP80" s="8"/>
      <c r="IQ80" s="8"/>
      <c r="IR80" s="8"/>
      <c r="IS80" s="8"/>
      <c r="IT80" s="8"/>
      <c r="IU80" s="8"/>
      <c r="IV80" s="8"/>
      <c r="IW80" s="8"/>
      <c r="IX80" s="8"/>
      <c r="IY80" s="32">
        <v>1</v>
      </c>
      <c r="IZ80" s="44">
        <f>(TEXT(K80,"[m]")/60)*VLOOKUP(IY80,'Income Person-hours'!A$2:C$5,3,FALSE)</f>
        <v>0</v>
      </c>
      <c r="JA80" s="125"/>
      <c r="JB80" s="125"/>
      <c r="JC80" s="125"/>
      <c r="JD80" s="72">
        <f>SUM((TEXT(JA80,"[M]")/60)*'Income Person-hours'!$D$3,(TEXT(JB80,"[M]")/60)*'Income Person-hours'!$D$4,(TEXT(JC80,"[M]")/60)*'Income Person-hours'!$D$5)</f>
        <v>0</v>
      </c>
    </row>
    <row r="81" spans="1:264" s="12" customFormat="1" ht="15.75" x14ac:dyDescent="0.45">
      <c r="A81" s="206">
        <v>4.5999999999999996</v>
      </c>
      <c r="B81" s="128" t="s">
        <v>159</v>
      </c>
      <c r="C81" s="119"/>
      <c r="D81" s="13" t="str">
        <f>IF(OR(j_WEEKDAY(J_ADDDAY(VLOOKUP(I81,A:F,6,FALSE),H81,1),0)=6,SUMIFS(Holieday[ok],Holieday[date],J_ADDDAY(VLOOKUP(I81,A:F,6,FALSE),H81,1)))=FALSE(),J_ADDDAY(VLOOKUP(I81,A:F,6,FALSE),H81,1),IF(OR(j_WEEKDAY(J_ADDDAY(VLOOKUP(I81,A:F,6,FALSE),H81+1,1),0)=6,SUMIFS(Holieday[ok],Holieday[date],J_ADDDAY(VLOOKUP(I81,A:F,6,FALSE),H81+1,1)))=FALSE(),J_ADDDAY(VLOOKUP(I81,A:F,6,FALSE),H81+1,1),IF(OR(j_WEEKDAY(J_ADDDAY(VLOOKUP(I81,A:F,6,FALSE),H81+2,1),0)=6,SUMIFS(Holieday[ok],Holieday[date],J_ADDDAY(VLOOKUP(I81,A:F,6,FALSE),H81+2,1)))=FALSE(),J_ADDDAY(VLOOKUP(I81,A:F,6,FALSE),H81+2,1),IF(OR(j_WEEKDAY(J_ADDDAY(VLOOKUP(I81,A:F,6,FALSE),H81+3,1),0)=6,SUMIFS(Holieday[ok],Holieday[date],J_ADDDAY(VLOOKUP(I81,A:F,6,FALSE),H81+3,1)))=FALSE(),J_ADDDAY(VLOOKUP(I81,A:F,6,FALSE),H81+3,1),IF(OR(j_WEEKDAY(J_ADDDAY(VLOOKUP(I81,A:F,6,FALSE),H81+4,1),0)=6,SUMIFS(Holieday[ok],Holieday[date],J_ADDDAY(VLOOKUP(I81,A:F,6,FALSE),H81+4,1)))=FALSE(),J_ADDDAY(VLOOKUP(I81,A:F,6,FALSE),H81+4,1),J_ADDDAY(VLOOKUP(I81,A:F,6,FALSE),H81+5,1))))))</f>
        <v>1398/07/01</v>
      </c>
      <c r="E81" s="2">
        <f t="shared" si="23"/>
        <v>13980701</v>
      </c>
      <c r="F81" s="13" t="str">
        <f>IF(N81=0,J_SUBDAY(D81,1,1),IF((N81-NETWORKDAYS.INTL(J_GregorianDate(D81,1),J_GregorianDate(J_SUBDAY(J_ADDDAY(D81,N81,1),1,1),1),16,1)-SUMIFS(Holieday[ok],Holieday[date],CONCATENATE("&gt;","=",D81),Holieday[date],CONCATENATE("&lt;","=",J_SUBDAY(J_ADDDAY(D81,N81,1),1,1)))+SUMIFS(Holieday[Friday],Holieday[date],CONCATENATE("&gt;","=",D81),Holieday[date],CONCATENATE("&lt;","=",J_SUBDAY(J_ADDDAY(D81,N81,1),1,1))))=0,J_SUBDAY(J_ADDDAY(D81,N81,1),1,1),IF((N81-NETWORKDAYS.INTL(J_GregorianDate(D81,1),J_GregorianDate(J_SUBDAY(J_ADDDAY(D81,N81,1),1,1),1),16,1)-SUMIFS(Holieday[ok],Holieday[date],CONCATENATE("&gt;","=",D81),Holieday[date],CONCATENATE("&lt;","=",J_SUBDAY(J_ADDDAY(D81,N81,1),1,1)))+SUMIFS(Holieday[Friday],Holieday[date],CONCATENATE("&gt;","=",D81),Holieday[date],CONCATENATE("&lt;","=",J_SUBDAY(J_ADDDAY(D81,N81,1),1,1))))=1,J_SUBDAY(J_ADDDAY(D81,N81+1,1),1,1),IF((N81-NETWORKDAYS.INTL(J_GregorianDate(D81,1),J_GregorianDate(J_SUBDAY(J_ADDDAY(D81,N81,1),1,1),1),16,1)-SUMIFS(Holieday[ok],Holieday[date],CONCATENATE("&gt;","=",D81),Holieday[date],CONCATENATE("&lt;","=",J_SUBDAY(J_ADDDAY(D81,N81,1),1,1)))+SUMIFS(Holieday[Friday],Holieday[date],CONCATENATE("&gt;","=",D81),Holieday[date],CONCATENATE("&lt;","=",J_SUBDAY(J_ADDDAY(D81,N81,1),1,1))))=2,J_SUBDAY(J_ADDDAY(D81,N81+2,1),1,1),J_SUBDAY(J_ADDDAY(D81,N81+3,1),1,1)))))</f>
        <v>1398/07/08</v>
      </c>
      <c r="G81" s="3">
        <f t="shared" si="24"/>
        <v>13980708</v>
      </c>
      <c r="H81" s="121">
        <v>1</v>
      </c>
      <c r="I81" s="122">
        <v>4.4000000000000004</v>
      </c>
      <c r="J81" s="10" t="str">
        <f>j_WEEKDAY(D81,1)</f>
        <v>دوشنبه</v>
      </c>
      <c r="K81" s="23">
        <f t="shared" si="27"/>
        <v>0</v>
      </c>
      <c r="L81" s="9">
        <f t="shared" si="28"/>
        <v>8</v>
      </c>
      <c r="M81" s="123">
        <v>0.9</v>
      </c>
      <c r="N81" s="120">
        <v>7</v>
      </c>
      <c r="O81" s="11">
        <f t="shared" si="25"/>
        <v>7</v>
      </c>
      <c r="P81" s="11">
        <f>VALUE(J_normdate(J_ADDDAY($D81,$O81,1)))</f>
        <v>13980708</v>
      </c>
      <c r="Q81" s="10">
        <f t="shared" si="26"/>
        <v>1</v>
      </c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  <c r="ES81" s="8"/>
      <c r="ET81" s="8"/>
      <c r="EU81" s="8"/>
      <c r="EV81" s="8"/>
      <c r="EW81" s="8"/>
      <c r="EX81" s="8"/>
      <c r="EY81" s="8"/>
      <c r="EZ81" s="8"/>
      <c r="FA81" s="8"/>
      <c r="FB81" s="8"/>
      <c r="FC81" s="8"/>
      <c r="FD81" s="8"/>
      <c r="FE81" s="8"/>
      <c r="FF81" s="8"/>
      <c r="FG81" s="8"/>
      <c r="FH81" s="8"/>
      <c r="FI81" s="8"/>
      <c r="FJ81" s="8"/>
      <c r="FK81" s="8"/>
      <c r="FL81" s="8"/>
      <c r="FM81" s="8"/>
      <c r="FN81" s="8"/>
      <c r="FO81" s="8"/>
      <c r="FP81" s="8"/>
      <c r="FQ81" s="8"/>
      <c r="FR81" s="8"/>
      <c r="FS81" s="8"/>
      <c r="FT81" s="8"/>
      <c r="FU81" s="8"/>
      <c r="FV81" s="8"/>
      <c r="FW81" s="8"/>
      <c r="FX81" s="8"/>
      <c r="FY81" s="8"/>
      <c r="FZ81" s="8"/>
      <c r="GA81" s="8"/>
      <c r="GB81" s="8"/>
      <c r="GC81" s="8"/>
      <c r="GD81" s="8"/>
      <c r="GE81" s="8"/>
      <c r="GF81" s="8"/>
      <c r="GG81" s="8"/>
      <c r="GH81" s="8"/>
      <c r="GI81" s="8"/>
      <c r="GJ81" s="8"/>
      <c r="GK81" s="8"/>
      <c r="GL81" s="8"/>
      <c r="GM81" s="8"/>
      <c r="GN81" s="8"/>
      <c r="GO81" s="8"/>
      <c r="GP81" s="8"/>
      <c r="GQ81" s="8"/>
      <c r="GR81" s="8"/>
      <c r="GS81" s="8"/>
      <c r="GT81" s="8"/>
      <c r="GU81" s="8"/>
      <c r="GV81" s="8"/>
      <c r="GW81" s="8"/>
      <c r="GX81" s="8"/>
      <c r="GY81" s="8"/>
      <c r="GZ81" s="8"/>
      <c r="HA81" s="8"/>
      <c r="HB81" s="8"/>
      <c r="HC81" s="8"/>
      <c r="HD81" s="8"/>
      <c r="HE81" s="8"/>
      <c r="HF81" s="8"/>
      <c r="HG81" s="8"/>
      <c r="HH81" s="8"/>
      <c r="HI81" s="8"/>
      <c r="HJ81" s="8"/>
      <c r="HK81" s="8"/>
      <c r="HL81" s="8"/>
      <c r="HM81" s="8"/>
      <c r="HN81" s="8"/>
      <c r="HO81" s="8"/>
      <c r="HP81" s="8"/>
      <c r="HQ81" s="8"/>
      <c r="HR81" s="8"/>
      <c r="HS81" s="8"/>
      <c r="HT81" s="8"/>
      <c r="HU81" s="8"/>
      <c r="HV81" s="8"/>
      <c r="HW81" s="8"/>
      <c r="HX81" s="8"/>
      <c r="HY81" s="8"/>
      <c r="HZ81" s="8"/>
      <c r="IA81" s="8"/>
      <c r="IB81" s="8"/>
      <c r="IC81" s="8"/>
      <c r="ID81" s="8"/>
      <c r="IE81" s="8"/>
      <c r="IF81" s="8"/>
      <c r="IG81" s="8"/>
      <c r="IH81" s="8"/>
      <c r="II81" s="8"/>
      <c r="IJ81" s="8"/>
      <c r="IK81" s="8"/>
      <c r="IL81" s="8"/>
      <c r="IM81" s="8"/>
      <c r="IN81" s="8"/>
      <c r="IO81" s="8"/>
      <c r="IP81" s="8"/>
      <c r="IQ81" s="8"/>
      <c r="IR81" s="8"/>
      <c r="IS81" s="8"/>
      <c r="IT81" s="8"/>
      <c r="IU81" s="8"/>
      <c r="IV81" s="8"/>
      <c r="IW81" s="8"/>
      <c r="IX81" s="8"/>
      <c r="IY81" s="32">
        <v>3</v>
      </c>
      <c r="IZ81" s="44">
        <f>(TEXT(K81,"[m]")/60)*VLOOKUP(IY81,'Income Person-hours'!A$2:C$5,3,FALSE)</f>
        <v>0</v>
      </c>
      <c r="JA81" s="125"/>
      <c r="JB81" s="125"/>
      <c r="JC81" s="125"/>
      <c r="JD81" s="72">
        <f>SUM((TEXT(JA81,"[M]")/60)*'Income Person-hours'!$D$3,(TEXT(JB81,"[M]")/60)*'Income Person-hours'!$D$4,(TEXT(JC81,"[M]")/60)*'Income Person-hours'!$D$5)</f>
        <v>0</v>
      </c>
    </row>
    <row r="82" spans="1:264" s="12" customFormat="1" ht="15.75" x14ac:dyDescent="0.45">
      <c r="A82" s="206">
        <v>4.7</v>
      </c>
      <c r="B82" s="128" t="s">
        <v>185</v>
      </c>
      <c r="C82" s="119"/>
      <c r="D82" s="13" t="str">
        <f>IF(OR(j_WEEKDAY(J_ADDDAY(VLOOKUP(I82,A:F,6,FALSE),H82,1),0)=6,SUMIFS(Holieday[ok],Holieday[date],J_ADDDAY(VLOOKUP(I82,A:F,6,FALSE),H82,1)))=FALSE(),J_ADDDAY(VLOOKUP(I82,A:F,6,FALSE),H82,1),IF(OR(j_WEEKDAY(J_ADDDAY(VLOOKUP(I82,A:F,6,FALSE),H82+1,1),0)=6,SUMIFS(Holieday[ok],Holieday[date],J_ADDDAY(VLOOKUP(I82,A:F,6,FALSE),H82+1,1)))=FALSE(),J_ADDDAY(VLOOKUP(I82,A:F,6,FALSE),H82+1,1),IF(OR(j_WEEKDAY(J_ADDDAY(VLOOKUP(I82,A:F,6,FALSE),H82+2,1),0)=6,SUMIFS(Holieday[ok],Holieday[date],J_ADDDAY(VLOOKUP(I82,A:F,6,FALSE),H82+2,1)))=FALSE(),J_ADDDAY(VLOOKUP(I82,A:F,6,FALSE),H82+2,1),IF(OR(j_WEEKDAY(J_ADDDAY(VLOOKUP(I82,A:F,6,FALSE),H82+3,1),0)=6,SUMIFS(Holieday[ok],Holieday[date],J_ADDDAY(VLOOKUP(I82,A:F,6,FALSE),H82+3,1)))=FALSE(),J_ADDDAY(VLOOKUP(I82,A:F,6,FALSE),H82+3,1),IF(OR(j_WEEKDAY(J_ADDDAY(VLOOKUP(I82,A:F,6,FALSE),H82+4,1),0)=6,SUMIFS(Holieday[ok],Holieday[date],J_ADDDAY(VLOOKUP(I82,A:F,6,FALSE),H82+4,1)))=FALSE(),J_ADDDAY(VLOOKUP(I82,A:F,6,FALSE),H82+4,1),J_ADDDAY(VLOOKUP(I82,A:F,6,FALSE),H82+5,1))))))</f>
        <v>1398/07/16</v>
      </c>
      <c r="E82" s="2">
        <f t="shared" si="23"/>
        <v>13980716</v>
      </c>
      <c r="F82" s="13" t="str">
        <f>IF(N82=0,J_SUBDAY(D82,1,1),IF((N82-NETWORKDAYS.INTL(J_GregorianDate(D82,1),J_GregorianDate(J_SUBDAY(J_ADDDAY(D82,N82,1),1,1),1),16,1)-SUMIFS(Holieday[ok],Holieday[date],CONCATENATE("&gt;","=",D82),Holieday[date],CONCATENATE("&lt;","=",J_SUBDAY(J_ADDDAY(D82,N82,1),1,1)))+SUMIFS(Holieday[Friday],Holieday[date],CONCATENATE("&gt;","=",D82),Holieday[date],CONCATENATE("&lt;","=",J_SUBDAY(J_ADDDAY(D82,N82,1),1,1))))=0,J_SUBDAY(J_ADDDAY(D82,N82,1),1,1),IF((N82-NETWORKDAYS.INTL(J_GregorianDate(D82,1),J_GregorianDate(J_SUBDAY(J_ADDDAY(D82,N82,1),1,1),1),16,1)-SUMIFS(Holieday[ok],Holieday[date],CONCATENATE("&gt;","=",D82),Holieday[date],CONCATENATE("&lt;","=",J_SUBDAY(J_ADDDAY(D82,N82,1),1,1)))+SUMIFS(Holieday[Friday],Holieday[date],CONCATENATE("&gt;","=",D82),Holieday[date],CONCATENATE("&lt;","=",J_SUBDAY(J_ADDDAY(D82,N82,1),1,1))))=1,J_SUBDAY(J_ADDDAY(D82,N82+1,1),1,1),IF((N82-NETWORKDAYS.INTL(J_GregorianDate(D82,1),J_GregorianDate(J_SUBDAY(J_ADDDAY(D82,N82,1),1,1),1),16,1)-SUMIFS(Holieday[ok],Holieday[date],CONCATENATE("&gt;","=",D82),Holieday[date],CONCATENATE("&lt;","=",J_SUBDAY(J_ADDDAY(D82,N82,1),1,1)))+SUMIFS(Holieday[Friday],Holieday[date],CONCATENATE("&gt;","=",D82),Holieday[date],CONCATENATE("&lt;","=",J_SUBDAY(J_ADDDAY(D82,N82,1),1,1))))=2,J_SUBDAY(J_ADDDAY(D82,N82+2,1),1,1),J_SUBDAY(J_ADDDAY(D82,N82+3,1),1,1)))))</f>
        <v>1398/08/01</v>
      </c>
      <c r="G82" s="3">
        <f t="shared" si="24"/>
        <v>13980801</v>
      </c>
      <c r="H82" s="121">
        <v>8</v>
      </c>
      <c r="I82" s="122">
        <v>4.5999999999999996</v>
      </c>
      <c r="J82" s="10" t="str">
        <f>j_WEEKDAY(D82,1)</f>
        <v>سه‌شنبه</v>
      </c>
      <c r="K82" s="23">
        <f t="shared" si="27"/>
        <v>0</v>
      </c>
      <c r="L82" s="9">
        <f t="shared" si="28"/>
        <v>16</v>
      </c>
      <c r="M82" s="123">
        <v>0.95</v>
      </c>
      <c r="N82" s="120">
        <v>14</v>
      </c>
      <c r="O82" s="11">
        <f t="shared" si="25"/>
        <v>15</v>
      </c>
      <c r="P82" s="11">
        <f>VALUE(J_normdate(J_ADDDAY($D82,$O82,1)))</f>
        <v>13980801</v>
      </c>
      <c r="Q82" s="10">
        <f t="shared" si="26"/>
        <v>1</v>
      </c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  <c r="ES82" s="8"/>
      <c r="ET82" s="8"/>
      <c r="EU82" s="8"/>
      <c r="EV82" s="8"/>
      <c r="EW82" s="8"/>
      <c r="EX82" s="8"/>
      <c r="EY82" s="8"/>
      <c r="EZ82" s="8"/>
      <c r="FA82" s="8"/>
      <c r="FB82" s="8"/>
      <c r="FC82" s="8"/>
      <c r="FD82" s="8"/>
      <c r="FE82" s="8"/>
      <c r="FF82" s="8"/>
      <c r="FG82" s="8"/>
      <c r="FH82" s="8"/>
      <c r="FI82" s="8"/>
      <c r="FJ82" s="8"/>
      <c r="FK82" s="8"/>
      <c r="FL82" s="8"/>
      <c r="FM82" s="8"/>
      <c r="FN82" s="8"/>
      <c r="FO82" s="8"/>
      <c r="FP82" s="8"/>
      <c r="FQ82" s="8"/>
      <c r="FR82" s="8"/>
      <c r="FS82" s="8"/>
      <c r="FT82" s="8"/>
      <c r="FU82" s="8"/>
      <c r="FV82" s="8"/>
      <c r="FW82" s="8"/>
      <c r="FX82" s="8"/>
      <c r="FY82" s="8"/>
      <c r="FZ82" s="8"/>
      <c r="GA82" s="8"/>
      <c r="GB82" s="8"/>
      <c r="GC82" s="8"/>
      <c r="GD82" s="8"/>
      <c r="GE82" s="8"/>
      <c r="GF82" s="8"/>
      <c r="GG82" s="8"/>
      <c r="GH82" s="8"/>
      <c r="GI82" s="8"/>
      <c r="GJ82" s="8"/>
      <c r="GK82" s="8"/>
      <c r="GL82" s="8"/>
      <c r="GM82" s="8"/>
      <c r="GN82" s="8"/>
      <c r="GO82" s="8"/>
      <c r="GP82" s="8"/>
      <c r="GQ82" s="8"/>
      <c r="GR82" s="8"/>
      <c r="GS82" s="8"/>
      <c r="GT82" s="8"/>
      <c r="GU82" s="8"/>
      <c r="GV82" s="8"/>
      <c r="GW82" s="8"/>
      <c r="GX82" s="8"/>
      <c r="GY82" s="8"/>
      <c r="GZ82" s="8"/>
      <c r="HA82" s="8"/>
      <c r="HB82" s="8"/>
      <c r="HC82" s="8"/>
      <c r="HD82" s="8"/>
      <c r="HE82" s="8"/>
      <c r="HF82" s="8"/>
      <c r="HG82" s="8"/>
      <c r="HH82" s="8"/>
      <c r="HI82" s="8"/>
      <c r="HJ82" s="8"/>
      <c r="HK82" s="8"/>
      <c r="HL82" s="8"/>
      <c r="HM82" s="8"/>
      <c r="HN82" s="8"/>
      <c r="HO82" s="8"/>
      <c r="HP82" s="8"/>
      <c r="HQ82" s="8"/>
      <c r="HR82" s="8"/>
      <c r="HS82" s="8"/>
      <c r="HT82" s="8"/>
      <c r="HU82" s="8"/>
      <c r="HV82" s="8"/>
      <c r="HW82" s="8"/>
      <c r="HX82" s="8"/>
      <c r="HY82" s="8"/>
      <c r="HZ82" s="8"/>
      <c r="IA82" s="8"/>
      <c r="IB82" s="8"/>
      <c r="IC82" s="8"/>
      <c r="ID82" s="8"/>
      <c r="IE82" s="8"/>
      <c r="IF82" s="8"/>
      <c r="IG82" s="8"/>
      <c r="IH82" s="8"/>
      <c r="II82" s="8"/>
      <c r="IJ82" s="8"/>
      <c r="IK82" s="8"/>
      <c r="IL82" s="8"/>
      <c r="IM82" s="8"/>
      <c r="IN82" s="8"/>
      <c r="IO82" s="8"/>
      <c r="IP82" s="8"/>
      <c r="IQ82" s="8"/>
      <c r="IR82" s="8"/>
      <c r="IS82" s="8"/>
      <c r="IT82" s="8"/>
      <c r="IU82" s="8"/>
      <c r="IV82" s="8"/>
      <c r="IW82" s="8"/>
      <c r="IX82" s="8"/>
      <c r="IY82" s="32">
        <v>1</v>
      </c>
      <c r="IZ82" s="36">
        <f>(TEXT(K82,"[m]")/60)*VLOOKUP(IY82,'Income Person-hours'!A$2:C$5,3,FALSE)</f>
        <v>0</v>
      </c>
      <c r="JA82" s="125"/>
      <c r="JB82" s="125"/>
      <c r="JC82" s="125"/>
      <c r="JD82" s="72">
        <f>SUM((TEXT(JA82,"[M]")/60)*'Income Person-hours'!$D$3,(TEXT(JB82,"[M]")/60)*'Income Person-hours'!$D$4,(TEXT(JC82,"[M]")/60)*'Income Person-hours'!$D$5)</f>
        <v>0</v>
      </c>
    </row>
    <row r="83" spans="1:264" s="12" customFormat="1" ht="15.75" x14ac:dyDescent="0.45">
      <c r="A83" s="206">
        <v>4.8</v>
      </c>
      <c r="B83" s="128" t="s">
        <v>188</v>
      </c>
      <c r="C83" s="119"/>
      <c r="D83" s="13" t="str">
        <f>IF(OR(j_WEEKDAY(J_ADDDAY(VLOOKUP(I83,A:F,6,FALSE),H83,1),0)=6,SUMIFS(Holieday[ok],Holieday[date],J_ADDDAY(VLOOKUP(I83,A:F,6,FALSE),H83,1)))=FALSE(),J_ADDDAY(VLOOKUP(I83,A:F,6,FALSE),H83,1),IF(OR(j_WEEKDAY(J_ADDDAY(VLOOKUP(I83,A:F,6,FALSE),H83+1,1),0)=6,SUMIFS(Holieday[ok],Holieday[date],J_ADDDAY(VLOOKUP(I83,A:F,6,FALSE),H83+1,1)))=FALSE(),J_ADDDAY(VLOOKUP(I83,A:F,6,FALSE),H83+1,1),IF(OR(j_WEEKDAY(J_ADDDAY(VLOOKUP(I83,A:F,6,FALSE),H83+2,1),0)=6,SUMIFS(Holieday[ok],Holieday[date],J_ADDDAY(VLOOKUP(I83,A:F,6,FALSE),H83+2,1)))=FALSE(),J_ADDDAY(VLOOKUP(I83,A:F,6,FALSE),H83+2,1),IF(OR(j_WEEKDAY(J_ADDDAY(VLOOKUP(I83,A:F,6,FALSE),H83+3,1),0)=6,SUMIFS(Holieday[ok],Holieday[date],J_ADDDAY(VLOOKUP(I83,A:F,6,FALSE),H83+3,1)))=FALSE(),J_ADDDAY(VLOOKUP(I83,A:F,6,FALSE),H83+3,1),IF(OR(j_WEEKDAY(J_ADDDAY(VLOOKUP(I83,A:F,6,FALSE),H83+4,1),0)=6,SUMIFS(Holieday[ok],Holieday[date],J_ADDDAY(VLOOKUP(I83,A:F,6,FALSE),H83+4,1)))=FALSE(),J_ADDDAY(VLOOKUP(I83,A:F,6,FALSE),H83+4,1),J_ADDDAY(VLOOKUP(I83,A:F,6,FALSE),H83+5,1))))))</f>
        <v>1398/07/23</v>
      </c>
      <c r="E83" s="2">
        <f t="shared" si="23"/>
        <v>13980723</v>
      </c>
      <c r="F83" s="13" t="str">
        <f>IF(N83=0,J_SUBDAY(D83,1,1),IF((N83-NETWORKDAYS.INTL(J_GregorianDate(D83,1),J_GregorianDate(J_SUBDAY(J_ADDDAY(D83,N83,1),1,1),1),16,1)-SUMIFS(Holieday[ok],Holieday[date],CONCATENATE("&gt;","=",D83),Holieday[date],CONCATENATE("&lt;","=",J_SUBDAY(J_ADDDAY(D83,N83,1),1,1)))+SUMIFS(Holieday[Friday],Holieday[date],CONCATENATE("&gt;","=",D83),Holieday[date],CONCATENATE("&lt;","=",J_SUBDAY(J_ADDDAY(D83,N83,1),1,1))))=0,J_SUBDAY(J_ADDDAY(D83,N83,1),1,1),IF((N83-NETWORKDAYS.INTL(J_GregorianDate(D83,1),J_GregorianDate(J_SUBDAY(J_ADDDAY(D83,N83,1),1,1),1),16,1)-SUMIFS(Holieday[ok],Holieday[date],CONCATENATE("&gt;","=",D83),Holieday[date],CONCATENATE("&lt;","=",J_SUBDAY(J_ADDDAY(D83,N83,1),1,1)))+SUMIFS(Holieday[Friday],Holieday[date],CONCATENATE("&gt;","=",D83),Holieday[date],CONCATENATE("&lt;","=",J_SUBDAY(J_ADDDAY(D83,N83,1),1,1))))=1,J_SUBDAY(J_ADDDAY(D83,N83+1,1),1,1),IF((N83-NETWORKDAYS.INTL(J_GregorianDate(D83,1),J_GregorianDate(J_SUBDAY(J_ADDDAY(D83,N83,1),1,1),1),16,1)-SUMIFS(Holieday[ok],Holieday[date],CONCATENATE("&gt;","=",D83),Holieday[date],CONCATENATE("&lt;","=",J_SUBDAY(J_ADDDAY(D83,N83,1),1,1)))+SUMIFS(Holieday[Friday],Holieday[date],CONCATENATE("&gt;","=",D83),Holieday[date],CONCATENATE("&lt;","=",J_SUBDAY(J_ADDDAY(D83,N83,1),1,1))))=2,J_SUBDAY(J_ADDDAY(D83,N83+2,1),1,1),J_SUBDAY(J_ADDDAY(D83,N83+3,1),1,1)))))</f>
        <v>1398/07/28</v>
      </c>
      <c r="G83" s="3">
        <f t="shared" si="24"/>
        <v>13980728</v>
      </c>
      <c r="H83" s="121">
        <v>15</v>
      </c>
      <c r="I83" s="122">
        <v>4.5999999999999996</v>
      </c>
      <c r="J83" s="10" t="str">
        <f>j_WEEKDAY(D83,1)</f>
        <v>سه‌شنبه</v>
      </c>
      <c r="K83" s="23">
        <f t="shared" si="27"/>
        <v>0</v>
      </c>
      <c r="L83" s="9">
        <f t="shared" si="28"/>
        <v>6</v>
      </c>
      <c r="M83" s="123">
        <v>0.6</v>
      </c>
      <c r="N83" s="120">
        <v>5</v>
      </c>
      <c r="O83" s="11">
        <f t="shared" si="25"/>
        <v>3</v>
      </c>
      <c r="P83" s="11">
        <f>VALUE(J_normdate(J_ADDDAY($D83,$O83,1)))</f>
        <v>13980726</v>
      </c>
      <c r="Q83" s="10">
        <f t="shared" si="26"/>
        <v>3</v>
      </c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  <c r="ES83" s="8"/>
      <c r="ET83" s="8"/>
      <c r="EU83" s="8"/>
      <c r="EV83" s="8"/>
      <c r="EW83" s="8"/>
      <c r="EX83" s="8"/>
      <c r="EY83" s="8"/>
      <c r="EZ83" s="8"/>
      <c r="FA83" s="8"/>
      <c r="FB83" s="8"/>
      <c r="FC83" s="8"/>
      <c r="FD83" s="8"/>
      <c r="FE83" s="8"/>
      <c r="FF83" s="8"/>
      <c r="FG83" s="8"/>
      <c r="FH83" s="8"/>
      <c r="FI83" s="8"/>
      <c r="FJ83" s="8"/>
      <c r="FK83" s="8"/>
      <c r="FL83" s="8"/>
      <c r="FM83" s="8"/>
      <c r="FN83" s="8"/>
      <c r="FO83" s="8"/>
      <c r="FP83" s="8"/>
      <c r="FQ83" s="8"/>
      <c r="FR83" s="8"/>
      <c r="FS83" s="8"/>
      <c r="FT83" s="8"/>
      <c r="FU83" s="8"/>
      <c r="FV83" s="8"/>
      <c r="FW83" s="8"/>
      <c r="FX83" s="8"/>
      <c r="FY83" s="8"/>
      <c r="FZ83" s="8"/>
      <c r="GA83" s="8"/>
      <c r="GB83" s="8"/>
      <c r="GC83" s="8"/>
      <c r="GD83" s="8"/>
      <c r="GE83" s="8"/>
      <c r="GF83" s="8"/>
      <c r="GG83" s="8"/>
      <c r="GH83" s="8"/>
      <c r="GI83" s="8"/>
      <c r="GJ83" s="8"/>
      <c r="GK83" s="8"/>
      <c r="GL83" s="8"/>
      <c r="GM83" s="8"/>
      <c r="GN83" s="8"/>
      <c r="GO83" s="8"/>
      <c r="GP83" s="8"/>
      <c r="GQ83" s="8"/>
      <c r="GR83" s="8"/>
      <c r="GS83" s="8"/>
      <c r="GT83" s="8"/>
      <c r="GU83" s="8"/>
      <c r="GV83" s="8"/>
      <c r="GW83" s="8"/>
      <c r="GX83" s="8"/>
      <c r="GY83" s="8"/>
      <c r="GZ83" s="8"/>
      <c r="HA83" s="8"/>
      <c r="HB83" s="8"/>
      <c r="HC83" s="8"/>
      <c r="HD83" s="8"/>
      <c r="HE83" s="8"/>
      <c r="HF83" s="8"/>
      <c r="HG83" s="8"/>
      <c r="HH83" s="8"/>
      <c r="HI83" s="8"/>
      <c r="HJ83" s="8"/>
      <c r="HK83" s="8"/>
      <c r="HL83" s="8"/>
      <c r="HM83" s="8"/>
      <c r="HN83" s="8"/>
      <c r="HO83" s="8"/>
      <c r="HP83" s="8"/>
      <c r="HQ83" s="8"/>
      <c r="HR83" s="8"/>
      <c r="HS83" s="8"/>
      <c r="HT83" s="8"/>
      <c r="HU83" s="8"/>
      <c r="HV83" s="8"/>
      <c r="HW83" s="8"/>
      <c r="HX83" s="8"/>
      <c r="HY83" s="8"/>
      <c r="HZ83" s="8"/>
      <c r="IA83" s="8"/>
      <c r="IB83" s="8"/>
      <c r="IC83" s="8"/>
      <c r="ID83" s="8"/>
      <c r="IE83" s="8"/>
      <c r="IF83" s="8"/>
      <c r="IG83" s="8"/>
      <c r="IH83" s="8"/>
      <c r="II83" s="8"/>
      <c r="IJ83" s="8"/>
      <c r="IK83" s="8"/>
      <c r="IL83" s="8"/>
      <c r="IM83" s="8"/>
      <c r="IN83" s="8"/>
      <c r="IO83" s="8"/>
      <c r="IP83" s="8"/>
      <c r="IQ83" s="8"/>
      <c r="IR83" s="8"/>
      <c r="IS83" s="8"/>
      <c r="IT83" s="8"/>
      <c r="IU83" s="8"/>
      <c r="IV83" s="8"/>
      <c r="IW83" s="8"/>
      <c r="IX83" s="8"/>
      <c r="IY83" s="32">
        <v>1</v>
      </c>
      <c r="IZ83" s="36">
        <f>(TEXT(K83,"[m]")/60)*VLOOKUP(IY83,'Income Person-hours'!A$2:C$5,3,FALSE)</f>
        <v>0</v>
      </c>
      <c r="JA83" s="125"/>
      <c r="JB83" s="125"/>
      <c r="JC83" s="125"/>
      <c r="JD83" s="72">
        <f>SUM((TEXT(JA83,"[M]")/60)*'Income Person-hours'!$D$3,(TEXT(JB83,"[M]")/60)*'Income Person-hours'!$D$4,(TEXT(JC83,"[M]")/60)*'Income Person-hours'!$D$5)</f>
        <v>0</v>
      </c>
    </row>
    <row r="84" spans="1:264" s="12" customFormat="1" ht="15.75" hidden="1" x14ac:dyDescent="0.45">
      <c r="A84" s="206">
        <v>4.9000000000000004</v>
      </c>
      <c r="B84" s="128"/>
      <c r="C84" s="119"/>
      <c r="D84" s="13" t="str">
        <f>IF(OR(j_WEEKDAY(J_ADDDAY(VLOOKUP(I84,A:F,6,FALSE),H84,1),0)=6,SUMIFS(Holieday[ok],Holieday[date],J_ADDDAY(VLOOKUP(I84,A:F,6,FALSE),H84,1)))=FALSE(),J_ADDDAY(VLOOKUP(I84,A:F,6,FALSE),H84,1),IF(OR(j_WEEKDAY(J_ADDDAY(VLOOKUP(I84,A:F,6,FALSE),H84+1,1),0)=6,SUMIFS(Holieday[ok],Holieday[date],J_ADDDAY(VLOOKUP(I84,A:F,6,FALSE),H84+1,1)))=FALSE(),J_ADDDAY(VLOOKUP(I84,A:F,6,FALSE),H84+1,1),IF(OR(j_WEEKDAY(J_ADDDAY(VLOOKUP(I84,A:F,6,FALSE),H84+2,1),0)=6,SUMIFS(Holieday[ok],Holieday[date],J_ADDDAY(VLOOKUP(I84,A:F,6,FALSE),H84+2,1)))=FALSE(),J_ADDDAY(VLOOKUP(I84,A:F,6,FALSE),H84+2,1),IF(OR(j_WEEKDAY(J_ADDDAY(VLOOKUP(I84,A:F,6,FALSE),H84+3,1),0)=6,SUMIFS(Holieday[ok],Holieday[date],J_ADDDAY(VLOOKUP(I84,A:F,6,FALSE),H84+3,1)))=FALSE(),J_ADDDAY(VLOOKUP(I84,A:F,6,FALSE),H84+3,1),IF(OR(j_WEEKDAY(J_ADDDAY(VLOOKUP(I84,A:F,6,FALSE),H84+4,1),0)=6,SUMIFS(Holieday[ok],Holieday[date],J_ADDDAY(VLOOKUP(I84,A:F,6,FALSE),H84+4,1)))=FALSE(),J_ADDDAY(VLOOKUP(I84,A:F,6,FALSE),H84+4,1),J_ADDDAY(VLOOKUP(I84,A:F,6,FALSE),H84+5,1))))))</f>
        <v>1398/07/28</v>
      </c>
      <c r="E84" s="2">
        <f t="shared" si="23"/>
        <v>13980728</v>
      </c>
      <c r="F84" s="13" t="str">
        <f>IF(N84=0,J_SUBDAY(D84,1,1),IF((N84-NETWORKDAYS.INTL(J_GregorianDate(D84,1),J_GregorianDate(J_SUBDAY(J_ADDDAY(D84,N84,1),1,1),1),16,1)-SUMIFS(Holieday[ok],Holieday[date],CONCATENATE("&gt;","=",D84),Holieday[date],CONCATENATE("&lt;","=",J_SUBDAY(J_ADDDAY(D84,N84,1),1,1)))+SUMIFS(Holieday[Friday],Holieday[date],CONCATENATE("&gt;","=",D84),Holieday[date],CONCATENATE("&lt;","=",J_SUBDAY(J_ADDDAY(D84,N84,1),1,1))))=0,J_SUBDAY(J_ADDDAY(D84,N84,1),1,1),IF((N84-NETWORKDAYS.INTL(J_GregorianDate(D84,1),J_GregorianDate(J_SUBDAY(J_ADDDAY(D84,N84,1),1,1),1),16,1)-SUMIFS(Holieday[ok],Holieday[date],CONCATENATE("&gt;","=",D84),Holieday[date],CONCATENATE("&lt;","=",J_SUBDAY(J_ADDDAY(D84,N84,1),1,1)))+SUMIFS(Holieday[Friday],Holieday[date],CONCATENATE("&gt;","=",D84),Holieday[date],CONCATENATE("&lt;","=",J_SUBDAY(J_ADDDAY(D84,N84,1),1,1))))=1,J_SUBDAY(J_ADDDAY(D84,N84+1,1),1,1),IF((N84-NETWORKDAYS.INTL(J_GregorianDate(D84,1),J_GregorianDate(J_SUBDAY(J_ADDDAY(D84,N84,1),1,1),1),16,1)-SUMIFS(Holieday[ok],Holieday[date],CONCATENATE("&gt;","=",D84),Holieday[date],CONCATENATE("&lt;","=",J_SUBDAY(J_ADDDAY(D84,N84,1),1,1)))+SUMIFS(Holieday[Friday],Holieday[date],CONCATENATE("&gt;","=",D84),Holieday[date],CONCATENATE("&lt;","=",J_SUBDAY(J_ADDDAY(D84,N84,1),1,1))))=2,J_SUBDAY(J_ADDDAY(D84,N84+2,1),1,1),J_SUBDAY(J_ADDDAY(D84,N84+3,1),1,1)))))</f>
        <v>1398/07/27</v>
      </c>
      <c r="G84" s="3">
        <f t="shared" si="24"/>
        <v>13980727</v>
      </c>
      <c r="H84" s="121"/>
      <c r="I84" s="122">
        <v>4.8</v>
      </c>
      <c r="J84" s="10" t="str">
        <f>j_WEEKDAY(D84,1)</f>
        <v>يكشنبه</v>
      </c>
      <c r="K84" s="23">
        <f t="shared" si="27"/>
        <v>0</v>
      </c>
      <c r="L84" s="9">
        <f t="shared" si="28"/>
        <v>0</v>
      </c>
      <c r="M84" s="123">
        <v>0</v>
      </c>
      <c r="N84" s="120">
        <v>0</v>
      </c>
      <c r="O84" s="11">
        <f t="shared" si="25"/>
        <v>0</v>
      </c>
      <c r="P84" s="11">
        <f>VALUE(J_normdate(J_ADDDAY($D84,$O84,1)))</f>
        <v>13980728</v>
      </c>
      <c r="Q84" s="10">
        <f t="shared" si="26"/>
        <v>0</v>
      </c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  <c r="ES84" s="8"/>
      <c r="ET84" s="8"/>
      <c r="EU84" s="8"/>
      <c r="EV84" s="8"/>
      <c r="EW84" s="8"/>
      <c r="EX84" s="8"/>
      <c r="EY84" s="8"/>
      <c r="EZ84" s="8"/>
      <c r="FA84" s="8"/>
      <c r="FB84" s="8"/>
      <c r="FC84" s="8"/>
      <c r="FD84" s="8"/>
      <c r="FE84" s="8"/>
      <c r="FF84" s="8"/>
      <c r="FG84" s="8"/>
      <c r="FH84" s="8"/>
      <c r="FI84" s="8"/>
      <c r="FJ84" s="8"/>
      <c r="FK84" s="8"/>
      <c r="FL84" s="8"/>
      <c r="FM84" s="8"/>
      <c r="FN84" s="8"/>
      <c r="FO84" s="8"/>
      <c r="FP84" s="8"/>
      <c r="FQ84" s="8"/>
      <c r="FR84" s="8"/>
      <c r="FS84" s="8"/>
      <c r="FT84" s="8"/>
      <c r="FU84" s="8"/>
      <c r="FV84" s="8"/>
      <c r="FW84" s="8"/>
      <c r="FX84" s="8"/>
      <c r="FY84" s="8"/>
      <c r="FZ84" s="8"/>
      <c r="GA84" s="8"/>
      <c r="GB84" s="8"/>
      <c r="GC84" s="8"/>
      <c r="GD84" s="8"/>
      <c r="GE84" s="8"/>
      <c r="GF84" s="8"/>
      <c r="GG84" s="8"/>
      <c r="GH84" s="8"/>
      <c r="GI84" s="8"/>
      <c r="GJ84" s="8"/>
      <c r="GK84" s="8"/>
      <c r="GL84" s="8"/>
      <c r="GM84" s="8"/>
      <c r="GN84" s="8"/>
      <c r="GO84" s="8"/>
      <c r="GP84" s="8"/>
      <c r="GQ84" s="8"/>
      <c r="GR84" s="8"/>
      <c r="GS84" s="8"/>
      <c r="GT84" s="8"/>
      <c r="GU84" s="8"/>
      <c r="GV84" s="8"/>
      <c r="GW84" s="8"/>
      <c r="GX84" s="8"/>
      <c r="GY84" s="8"/>
      <c r="GZ84" s="8"/>
      <c r="HA84" s="8"/>
      <c r="HB84" s="8"/>
      <c r="HC84" s="8"/>
      <c r="HD84" s="8"/>
      <c r="HE84" s="8"/>
      <c r="HF84" s="8"/>
      <c r="HG84" s="8"/>
      <c r="HH84" s="8"/>
      <c r="HI84" s="8"/>
      <c r="HJ84" s="8"/>
      <c r="HK84" s="8"/>
      <c r="HL84" s="8"/>
      <c r="HM84" s="8"/>
      <c r="HN84" s="8"/>
      <c r="HO84" s="8"/>
      <c r="HP84" s="8"/>
      <c r="HQ84" s="8"/>
      <c r="HR84" s="8"/>
      <c r="HS84" s="8"/>
      <c r="HT84" s="8"/>
      <c r="HU84" s="8"/>
      <c r="HV84" s="8"/>
      <c r="HW84" s="8"/>
      <c r="HX84" s="8"/>
      <c r="HY84" s="8"/>
      <c r="HZ84" s="8"/>
      <c r="IA84" s="8"/>
      <c r="IB84" s="8"/>
      <c r="IC84" s="8"/>
      <c r="ID84" s="8"/>
      <c r="IE84" s="8"/>
      <c r="IF84" s="8"/>
      <c r="IG84" s="8"/>
      <c r="IH84" s="8"/>
      <c r="II84" s="8"/>
      <c r="IJ84" s="8"/>
      <c r="IK84" s="8"/>
      <c r="IL84" s="8"/>
      <c r="IM84" s="8"/>
      <c r="IN84" s="8"/>
      <c r="IO84" s="8"/>
      <c r="IP84" s="8"/>
      <c r="IQ84" s="8"/>
      <c r="IR84" s="8"/>
      <c r="IS84" s="8"/>
      <c r="IT84" s="8"/>
      <c r="IU84" s="8"/>
      <c r="IV84" s="8"/>
      <c r="IW84" s="8"/>
      <c r="IX84" s="8"/>
      <c r="IY84" s="32">
        <v>1</v>
      </c>
      <c r="IZ84" s="36">
        <f>(TEXT(K84,"[m]")/60)*VLOOKUP(IY84,'Income Person-hours'!A$2:C$5,3,FALSE)</f>
        <v>0</v>
      </c>
      <c r="JA84" s="125"/>
      <c r="JB84" s="125"/>
      <c r="JC84" s="125"/>
      <c r="JD84" s="72">
        <f>SUM((TEXT(JA84,"[M]")/60)*'Income Person-hours'!$D$3,(TEXT(JB84,"[M]")/60)*'Income Person-hours'!$D$4,(TEXT(JC84,"[M]")/60)*'Income Person-hours'!$D$5)</f>
        <v>0</v>
      </c>
    </row>
    <row r="85" spans="1:264" s="12" customFormat="1" ht="15.75" hidden="1" x14ac:dyDescent="0.45">
      <c r="A85" s="33">
        <v>4.1100000000000003</v>
      </c>
      <c r="B85" s="128"/>
      <c r="C85" s="119"/>
      <c r="D85" s="13" t="str">
        <f>IF(OR(j_WEEKDAY(J_ADDDAY(VLOOKUP(I85,A:F,6,FALSE),H85,1),0)=6,SUMIFS(Holieday[ok],Holieday[date],J_ADDDAY(VLOOKUP(I85,A:F,6,FALSE),H85,1)))=FALSE(),J_ADDDAY(VLOOKUP(I85,A:F,6,FALSE),H85,1),IF(OR(j_WEEKDAY(J_ADDDAY(VLOOKUP(I85,A:F,6,FALSE),H85+1,1),0)=6,SUMIFS(Holieday[ok],Holieday[date],J_ADDDAY(VLOOKUP(I85,A:F,6,FALSE),H85+1,1)))=FALSE(),J_ADDDAY(VLOOKUP(I85,A:F,6,FALSE),H85+1,1),IF(OR(j_WEEKDAY(J_ADDDAY(VLOOKUP(I85,A:F,6,FALSE),H85+2,1),0)=6,SUMIFS(Holieday[ok],Holieday[date],J_ADDDAY(VLOOKUP(I85,A:F,6,FALSE),H85+2,1)))=FALSE(),J_ADDDAY(VLOOKUP(I85,A:F,6,FALSE),H85+2,1),IF(OR(j_WEEKDAY(J_ADDDAY(VLOOKUP(I85,A:F,6,FALSE),H85+3,1),0)=6,SUMIFS(Holieday[ok],Holieday[date],J_ADDDAY(VLOOKUP(I85,A:F,6,FALSE),H85+3,1)))=FALSE(),J_ADDDAY(VLOOKUP(I85,A:F,6,FALSE),H85+3,1),IF(OR(j_WEEKDAY(J_ADDDAY(VLOOKUP(I85,A:F,6,FALSE),H85+4,1),0)=6,SUMIFS(Holieday[ok],Holieday[date],J_ADDDAY(VLOOKUP(I85,A:F,6,FALSE),H85+4,1)))=FALSE(),J_ADDDAY(VLOOKUP(I85,A:F,6,FALSE),H85+4,1),J_ADDDAY(VLOOKUP(I85,A:F,6,FALSE),H85+5,1))))))</f>
        <v>1398/07/28</v>
      </c>
      <c r="E85" s="2">
        <f t="shared" si="23"/>
        <v>13980728</v>
      </c>
      <c r="F85" s="13" t="str">
        <f>IF(N85=0,J_SUBDAY(D85,1,1),IF((N85-NETWORKDAYS.INTL(J_GregorianDate(D85,1),J_GregorianDate(J_SUBDAY(J_ADDDAY(D85,N85,1),1,1),1),16,1)-SUMIFS(Holieday[ok],Holieday[date],CONCATENATE("&gt;","=",D85),Holieday[date],CONCATENATE("&lt;","=",J_SUBDAY(J_ADDDAY(D85,N85,1),1,1)))+SUMIFS(Holieday[Friday],Holieday[date],CONCATENATE("&gt;","=",D85),Holieday[date],CONCATENATE("&lt;","=",J_SUBDAY(J_ADDDAY(D85,N85,1),1,1))))=0,J_SUBDAY(J_ADDDAY(D85,N85,1),1,1),IF((N85-NETWORKDAYS.INTL(J_GregorianDate(D85,1),J_GregorianDate(J_SUBDAY(J_ADDDAY(D85,N85,1),1,1),1),16,1)-SUMIFS(Holieday[ok],Holieday[date],CONCATENATE("&gt;","=",D85),Holieday[date],CONCATENATE("&lt;","=",J_SUBDAY(J_ADDDAY(D85,N85,1),1,1)))+SUMIFS(Holieday[Friday],Holieday[date],CONCATENATE("&gt;","=",D85),Holieday[date],CONCATENATE("&lt;","=",J_SUBDAY(J_ADDDAY(D85,N85,1),1,1))))=1,J_SUBDAY(J_ADDDAY(D85,N85+1,1),1,1),IF((N85-NETWORKDAYS.INTL(J_GregorianDate(D85,1),J_GregorianDate(J_SUBDAY(J_ADDDAY(D85,N85,1),1,1),1),16,1)-SUMIFS(Holieday[ok],Holieday[date],CONCATENATE("&gt;","=",D85),Holieday[date],CONCATENATE("&lt;","=",J_SUBDAY(J_ADDDAY(D85,N85,1),1,1)))+SUMIFS(Holieday[Friday],Holieday[date],CONCATENATE("&gt;","=",D85),Holieday[date],CONCATENATE("&lt;","=",J_SUBDAY(J_ADDDAY(D85,N85,1),1,1))))=2,J_SUBDAY(J_ADDDAY(D85,N85+2,1),1,1),J_SUBDAY(J_ADDDAY(D85,N85+3,1),1,1)))))</f>
        <v>1398/07/27</v>
      </c>
      <c r="G85" s="3">
        <f t="shared" si="24"/>
        <v>13980727</v>
      </c>
      <c r="H85" s="121"/>
      <c r="I85" s="122">
        <v>4.8</v>
      </c>
      <c r="J85" s="10" t="str">
        <f>j_WEEKDAY(D85,1)</f>
        <v>يكشنبه</v>
      </c>
      <c r="K85" s="23">
        <f t="shared" si="27"/>
        <v>0</v>
      </c>
      <c r="L85" s="9">
        <f t="shared" si="28"/>
        <v>0</v>
      </c>
      <c r="M85" s="123">
        <v>0</v>
      </c>
      <c r="N85" s="120">
        <v>0</v>
      </c>
      <c r="O85" s="11">
        <f t="shared" si="25"/>
        <v>0</v>
      </c>
      <c r="P85" s="11">
        <f>VALUE(J_normdate(J_ADDDAY($D85,$O85,1)))</f>
        <v>13980728</v>
      </c>
      <c r="Q85" s="10">
        <f t="shared" si="26"/>
        <v>0</v>
      </c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  <c r="ES85" s="8"/>
      <c r="ET85" s="8"/>
      <c r="EU85" s="8"/>
      <c r="EV85" s="8"/>
      <c r="EW85" s="8"/>
      <c r="EX85" s="8"/>
      <c r="EY85" s="8"/>
      <c r="EZ85" s="8"/>
      <c r="FA85" s="8"/>
      <c r="FB85" s="8"/>
      <c r="FC85" s="8"/>
      <c r="FD85" s="8"/>
      <c r="FE85" s="8"/>
      <c r="FF85" s="8"/>
      <c r="FG85" s="8"/>
      <c r="FH85" s="8"/>
      <c r="FI85" s="8"/>
      <c r="FJ85" s="8"/>
      <c r="FK85" s="8"/>
      <c r="FL85" s="8"/>
      <c r="FM85" s="8"/>
      <c r="FN85" s="8"/>
      <c r="FO85" s="8"/>
      <c r="FP85" s="8"/>
      <c r="FQ85" s="8"/>
      <c r="FR85" s="8"/>
      <c r="FS85" s="8"/>
      <c r="FT85" s="8"/>
      <c r="FU85" s="8"/>
      <c r="FV85" s="8"/>
      <c r="FW85" s="8"/>
      <c r="FX85" s="8"/>
      <c r="FY85" s="8"/>
      <c r="FZ85" s="8"/>
      <c r="GA85" s="8"/>
      <c r="GB85" s="8"/>
      <c r="GC85" s="8"/>
      <c r="GD85" s="8"/>
      <c r="GE85" s="8"/>
      <c r="GF85" s="8"/>
      <c r="GG85" s="8"/>
      <c r="GH85" s="8"/>
      <c r="GI85" s="8"/>
      <c r="GJ85" s="8"/>
      <c r="GK85" s="8"/>
      <c r="GL85" s="8"/>
      <c r="GM85" s="8"/>
      <c r="GN85" s="8"/>
      <c r="GO85" s="8"/>
      <c r="GP85" s="8"/>
      <c r="GQ85" s="8"/>
      <c r="GR85" s="8"/>
      <c r="GS85" s="8"/>
      <c r="GT85" s="8"/>
      <c r="GU85" s="8"/>
      <c r="GV85" s="8"/>
      <c r="GW85" s="8"/>
      <c r="GX85" s="8"/>
      <c r="GY85" s="8"/>
      <c r="GZ85" s="8"/>
      <c r="HA85" s="8"/>
      <c r="HB85" s="8"/>
      <c r="HC85" s="8"/>
      <c r="HD85" s="8"/>
      <c r="HE85" s="8"/>
      <c r="HF85" s="8"/>
      <c r="HG85" s="8"/>
      <c r="HH85" s="8"/>
      <c r="HI85" s="8"/>
      <c r="HJ85" s="8"/>
      <c r="HK85" s="8"/>
      <c r="HL85" s="8"/>
      <c r="HM85" s="8"/>
      <c r="HN85" s="8"/>
      <c r="HO85" s="8"/>
      <c r="HP85" s="8"/>
      <c r="HQ85" s="8"/>
      <c r="HR85" s="8"/>
      <c r="HS85" s="8"/>
      <c r="HT85" s="8"/>
      <c r="HU85" s="8"/>
      <c r="HV85" s="8"/>
      <c r="HW85" s="8"/>
      <c r="HX85" s="8"/>
      <c r="HY85" s="8"/>
      <c r="HZ85" s="8"/>
      <c r="IA85" s="8"/>
      <c r="IB85" s="8"/>
      <c r="IC85" s="8"/>
      <c r="ID85" s="8"/>
      <c r="IE85" s="8"/>
      <c r="IF85" s="8"/>
      <c r="IG85" s="8"/>
      <c r="IH85" s="8"/>
      <c r="II85" s="8"/>
      <c r="IJ85" s="8"/>
      <c r="IK85" s="8"/>
      <c r="IL85" s="8"/>
      <c r="IM85" s="8"/>
      <c r="IN85" s="8"/>
      <c r="IO85" s="8"/>
      <c r="IP85" s="8"/>
      <c r="IQ85" s="8"/>
      <c r="IR85" s="8"/>
      <c r="IS85" s="8"/>
      <c r="IT85" s="8"/>
      <c r="IU85" s="8"/>
      <c r="IV85" s="8"/>
      <c r="IW85" s="8"/>
      <c r="IX85" s="8"/>
      <c r="IY85" s="32">
        <v>1</v>
      </c>
      <c r="IZ85" s="36">
        <f>(TEXT(K85,"[m]")/60)*VLOOKUP(IY85,'Income Person-hours'!A$2:C$5,3,FALSE)</f>
        <v>0</v>
      </c>
      <c r="JA85" s="125"/>
      <c r="JB85" s="125"/>
      <c r="JC85" s="125"/>
      <c r="JD85" s="72">
        <f>SUM((TEXT(JA85,"[M]")/60)*'Income Person-hours'!$D$3,(TEXT(JB85,"[M]")/60)*'Income Person-hours'!$D$4,(TEXT(JC85,"[M]")/60)*'Income Person-hours'!$D$5)</f>
        <v>0</v>
      </c>
    </row>
    <row r="86" spans="1:264" s="12" customFormat="1" ht="15.75" hidden="1" x14ac:dyDescent="0.45">
      <c r="A86" s="33">
        <v>4.12</v>
      </c>
      <c r="B86" s="128"/>
      <c r="C86" s="119"/>
      <c r="D86" s="13" t="str">
        <f>IF(OR(j_WEEKDAY(J_ADDDAY(VLOOKUP(I86,A:F,6,FALSE),H86,1),0)=6,SUMIFS(Holieday[ok],Holieday[date],J_ADDDAY(VLOOKUP(I86,A:F,6,FALSE),H86,1)))=FALSE(),J_ADDDAY(VLOOKUP(I86,A:F,6,FALSE),H86,1),IF(OR(j_WEEKDAY(J_ADDDAY(VLOOKUP(I86,A:F,6,FALSE),H86+1,1),0)=6,SUMIFS(Holieday[ok],Holieday[date],J_ADDDAY(VLOOKUP(I86,A:F,6,FALSE),H86+1,1)))=FALSE(),J_ADDDAY(VLOOKUP(I86,A:F,6,FALSE),H86+1,1),IF(OR(j_WEEKDAY(J_ADDDAY(VLOOKUP(I86,A:F,6,FALSE),H86+2,1),0)=6,SUMIFS(Holieday[ok],Holieday[date],J_ADDDAY(VLOOKUP(I86,A:F,6,FALSE),H86+2,1)))=FALSE(),J_ADDDAY(VLOOKUP(I86,A:F,6,FALSE),H86+2,1),IF(OR(j_WEEKDAY(J_ADDDAY(VLOOKUP(I86,A:F,6,FALSE),H86+3,1),0)=6,SUMIFS(Holieday[ok],Holieday[date],J_ADDDAY(VLOOKUP(I86,A:F,6,FALSE),H86+3,1)))=FALSE(),J_ADDDAY(VLOOKUP(I86,A:F,6,FALSE),H86+3,1),IF(OR(j_WEEKDAY(J_ADDDAY(VLOOKUP(I86,A:F,6,FALSE),H86+4,1),0)=6,SUMIFS(Holieday[ok],Holieday[date],J_ADDDAY(VLOOKUP(I86,A:F,6,FALSE),H86+4,1)))=FALSE(),J_ADDDAY(VLOOKUP(I86,A:F,6,FALSE),H86+4,1),J_ADDDAY(VLOOKUP(I86,A:F,6,FALSE),H86+5,1))))))</f>
        <v>1398/07/28</v>
      </c>
      <c r="E86" s="2">
        <f t="shared" si="23"/>
        <v>13980728</v>
      </c>
      <c r="F86" s="13" t="str">
        <f>IF(N86=0,J_SUBDAY(D86,1,1),IF((N86-NETWORKDAYS.INTL(J_GregorianDate(D86,1),J_GregorianDate(J_SUBDAY(J_ADDDAY(D86,N86,1),1,1),1),16,1)-SUMIFS(Holieday[ok],Holieday[date],CONCATENATE("&gt;","=",D86),Holieday[date],CONCATENATE("&lt;","=",J_SUBDAY(J_ADDDAY(D86,N86,1),1,1)))+SUMIFS(Holieday[Friday],Holieday[date],CONCATENATE("&gt;","=",D86),Holieday[date],CONCATENATE("&lt;","=",J_SUBDAY(J_ADDDAY(D86,N86,1),1,1))))=0,J_SUBDAY(J_ADDDAY(D86,N86,1),1,1),IF((N86-NETWORKDAYS.INTL(J_GregorianDate(D86,1),J_GregorianDate(J_SUBDAY(J_ADDDAY(D86,N86,1),1,1),1),16,1)-SUMIFS(Holieday[ok],Holieday[date],CONCATENATE("&gt;","=",D86),Holieday[date],CONCATENATE("&lt;","=",J_SUBDAY(J_ADDDAY(D86,N86,1),1,1)))+SUMIFS(Holieday[Friday],Holieday[date],CONCATENATE("&gt;","=",D86),Holieday[date],CONCATENATE("&lt;","=",J_SUBDAY(J_ADDDAY(D86,N86,1),1,1))))=1,J_SUBDAY(J_ADDDAY(D86,N86+1,1),1,1),IF((N86-NETWORKDAYS.INTL(J_GregorianDate(D86,1),J_GregorianDate(J_SUBDAY(J_ADDDAY(D86,N86,1),1,1),1),16,1)-SUMIFS(Holieday[ok],Holieday[date],CONCATENATE("&gt;","=",D86),Holieday[date],CONCATENATE("&lt;","=",J_SUBDAY(J_ADDDAY(D86,N86,1),1,1)))+SUMIFS(Holieday[Friday],Holieday[date],CONCATENATE("&gt;","=",D86),Holieday[date],CONCATENATE("&lt;","=",J_SUBDAY(J_ADDDAY(D86,N86,1),1,1))))=2,J_SUBDAY(J_ADDDAY(D86,N86+2,1),1,1),J_SUBDAY(J_ADDDAY(D86,N86+3,1),1,1)))))</f>
        <v>1398/07/27</v>
      </c>
      <c r="G86" s="3">
        <f t="shared" si="24"/>
        <v>13980727</v>
      </c>
      <c r="H86" s="121"/>
      <c r="I86" s="122">
        <v>4.8</v>
      </c>
      <c r="J86" s="10" t="str">
        <f>j_WEEKDAY(D86,1)</f>
        <v>يكشنبه</v>
      </c>
      <c r="K86" s="23">
        <f t="shared" si="27"/>
        <v>0</v>
      </c>
      <c r="L86" s="9">
        <f t="shared" si="28"/>
        <v>0</v>
      </c>
      <c r="M86" s="123">
        <v>0</v>
      </c>
      <c r="N86" s="120">
        <v>0</v>
      </c>
      <c r="O86" s="11">
        <f t="shared" si="25"/>
        <v>0</v>
      </c>
      <c r="P86" s="11">
        <f>VALUE(J_normdate(J_ADDDAY($D86,$O86,1)))</f>
        <v>13980728</v>
      </c>
      <c r="Q86" s="10">
        <f t="shared" si="26"/>
        <v>0</v>
      </c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  <c r="ES86" s="8"/>
      <c r="ET86" s="8"/>
      <c r="EU86" s="8"/>
      <c r="EV86" s="8"/>
      <c r="EW86" s="8"/>
      <c r="EX86" s="8"/>
      <c r="EY86" s="8"/>
      <c r="EZ86" s="8"/>
      <c r="FA86" s="8"/>
      <c r="FB86" s="8"/>
      <c r="FC86" s="8"/>
      <c r="FD86" s="8"/>
      <c r="FE86" s="8"/>
      <c r="FF86" s="8"/>
      <c r="FG86" s="8"/>
      <c r="FH86" s="8"/>
      <c r="FI86" s="8"/>
      <c r="FJ86" s="8"/>
      <c r="FK86" s="8"/>
      <c r="FL86" s="8"/>
      <c r="FM86" s="8"/>
      <c r="FN86" s="8"/>
      <c r="FO86" s="8"/>
      <c r="FP86" s="8"/>
      <c r="FQ86" s="8"/>
      <c r="FR86" s="8"/>
      <c r="FS86" s="8"/>
      <c r="FT86" s="8"/>
      <c r="FU86" s="8"/>
      <c r="FV86" s="8"/>
      <c r="FW86" s="8"/>
      <c r="FX86" s="8"/>
      <c r="FY86" s="8"/>
      <c r="FZ86" s="8"/>
      <c r="GA86" s="8"/>
      <c r="GB86" s="8"/>
      <c r="GC86" s="8"/>
      <c r="GD86" s="8"/>
      <c r="GE86" s="8"/>
      <c r="GF86" s="8"/>
      <c r="GG86" s="8"/>
      <c r="GH86" s="8"/>
      <c r="GI86" s="8"/>
      <c r="GJ86" s="8"/>
      <c r="GK86" s="8"/>
      <c r="GL86" s="8"/>
      <c r="GM86" s="8"/>
      <c r="GN86" s="8"/>
      <c r="GO86" s="8"/>
      <c r="GP86" s="8"/>
      <c r="GQ86" s="8"/>
      <c r="GR86" s="8"/>
      <c r="GS86" s="8"/>
      <c r="GT86" s="8"/>
      <c r="GU86" s="8"/>
      <c r="GV86" s="8"/>
      <c r="GW86" s="8"/>
      <c r="GX86" s="8"/>
      <c r="GY86" s="8"/>
      <c r="GZ86" s="8"/>
      <c r="HA86" s="8"/>
      <c r="HB86" s="8"/>
      <c r="HC86" s="8"/>
      <c r="HD86" s="8"/>
      <c r="HE86" s="8"/>
      <c r="HF86" s="8"/>
      <c r="HG86" s="8"/>
      <c r="HH86" s="8"/>
      <c r="HI86" s="8"/>
      <c r="HJ86" s="8"/>
      <c r="HK86" s="8"/>
      <c r="HL86" s="8"/>
      <c r="HM86" s="8"/>
      <c r="HN86" s="8"/>
      <c r="HO86" s="8"/>
      <c r="HP86" s="8"/>
      <c r="HQ86" s="8"/>
      <c r="HR86" s="8"/>
      <c r="HS86" s="8"/>
      <c r="HT86" s="8"/>
      <c r="HU86" s="8"/>
      <c r="HV86" s="8"/>
      <c r="HW86" s="8"/>
      <c r="HX86" s="8"/>
      <c r="HY86" s="8"/>
      <c r="HZ86" s="8"/>
      <c r="IA86" s="8"/>
      <c r="IB86" s="8"/>
      <c r="IC86" s="8"/>
      <c r="ID86" s="8"/>
      <c r="IE86" s="8"/>
      <c r="IF86" s="8"/>
      <c r="IG86" s="8"/>
      <c r="IH86" s="8"/>
      <c r="II86" s="8"/>
      <c r="IJ86" s="8"/>
      <c r="IK86" s="8"/>
      <c r="IL86" s="8"/>
      <c r="IM86" s="8"/>
      <c r="IN86" s="8"/>
      <c r="IO86" s="8"/>
      <c r="IP86" s="8"/>
      <c r="IQ86" s="8"/>
      <c r="IR86" s="8"/>
      <c r="IS86" s="8"/>
      <c r="IT86" s="8"/>
      <c r="IU86" s="8"/>
      <c r="IV86" s="8"/>
      <c r="IW86" s="8"/>
      <c r="IX86" s="8"/>
      <c r="IY86" s="32">
        <v>1</v>
      </c>
      <c r="IZ86" s="36">
        <f>(TEXT(K86,"[m]")/60)*VLOOKUP(IY86,'Income Person-hours'!A$2:C$5,3,FALSE)</f>
        <v>0</v>
      </c>
      <c r="JA86" s="125"/>
      <c r="JB86" s="125"/>
      <c r="JC86" s="125"/>
      <c r="JD86" s="72">
        <f>SUM((TEXT(JA86,"[M]")/60)*'Income Person-hours'!$D$3,(TEXT(JB86,"[M]")/60)*'Income Person-hours'!$D$4,(TEXT(JC86,"[M]")/60)*'Income Person-hours'!$D$5)</f>
        <v>0</v>
      </c>
    </row>
    <row r="87" spans="1:264" s="12" customFormat="1" ht="15.75" hidden="1" x14ac:dyDescent="0.45">
      <c r="A87" s="33">
        <v>4.13</v>
      </c>
      <c r="B87" s="128"/>
      <c r="C87" s="119"/>
      <c r="D87" s="13" t="str">
        <f>IF(OR(j_WEEKDAY(J_ADDDAY(VLOOKUP(I87,A:F,6,FALSE),H87,1),0)=6,SUMIFS(Holieday[ok],Holieday[date],J_ADDDAY(VLOOKUP(I87,A:F,6,FALSE),H87,1)))=FALSE(),J_ADDDAY(VLOOKUP(I87,A:F,6,FALSE),H87,1),IF(OR(j_WEEKDAY(J_ADDDAY(VLOOKUP(I87,A:F,6,FALSE),H87+1,1),0)=6,SUMIFS(Holieday[ok],Holieday[date],J_ADDDAY(VLOOKUP(I87,A:F,6,FALSE),H87+1,1)))=FALSE(),J_ADDDAY(VLOOKUP(I87,A:F,6,FALSE),H87+1,1),IF(OR(j_WEEKDAY(J_ADDDAY(VLOOKUP(I87,A:F,6,FALSE),H87+2,1),0)=6,SUMIFS(Holieday[ok],Holieday[date],J_ADDDAY(VLOOKUP(I87,A:F,6,FALSE),H87+2,1)))=FALSE(),J_ADDDAY(VLOOKUP(I87,A:F,6,FALSE),H87+2,1),IF(OR(j_WEEKDAY(J_ADDDAY(VLOOKUP(I87,A:F,6,FALSE),H87+3,1),0)=6,SUMIFS(Holieday[ok],Holieday[date],J_ADDDAY(VLOOKUP(I87,A:F,6,FALSE),H87+3,1)))=FALSE(),J_ADDDAY(VLOOKUP(I87,A:F,6,FALSE),H87+3,1),IF(OR(j_WEEKDAY(J_ADDDAY(VLOOKUP(I87,A:F,6,FALSE),H87+4,1),0)=6,SUMIFS(Holieday[ok],Holieday[date],J_ADDDAY(VLOOKUP(I87,A:F,6,FALSE),H87+4,1)))=FALSE(),J_ADDDAY(VLOOKUP(I87,A:F,6,FALSE),H87+4,1),J_ADDDAY(VLOOKUP(I87,A:F,6,FALSE),H87+5,1))))))</f>
        <v>1398/07/28</v>
      </c>
      <c r="E87" s="2">
        <f t="shared" si="23"/>
        <v>13980728</v>
      </c>
      <c r="F87" s="13" t="str">
        <f>IF(N87=0,J_SUBDAY(D87,1,1),IF((N87-NETWORKDAYS.INTL(J_GregorianDate(D87,1),J_GregorianDate(J_SUBDAY(J_ADDDAY(D87,N87,1),1,1),1),16,1)-SUMIFS(Holieday[ok],Holieday[date],CONCATENATE("&gt;","=",D87),Holieday[date],CONCATENATE("&lt;","=",J_SUBDAY(J_ADDDAY(D87,N87,1),1,1)))+SUMIFS(Holieday[Friday],Holieday[date],CONCATENATE("&gt;","=",D87),Holieday[date],CONCATENATE("&lt;","=",J_SUBDAY(J_ADDDAY(D87,N87,1),1,1))))=0,J_SUBDAY(J_ADDDAY(D87,N87,1),1,1),IF((N87-NETWORKDAYS.INTL(J_GregorianDate(D87,1),J_GregorianDate(J_SUBDAY(J_ADDDAY(D87,N87,1),1,1),1),16,1)-SUMIFS(Holieday[ok],Holieday[date],CONCATENATE("&gt;","=",D87),Holieday[date],CONCATENATE("&lt;","=",J_SUBDAY(J_ADDDAY(D87,N87,1),1,1)))+SUMIFS(Holieday[Friday],Holieday[date],CONCATENATE("&gt;","=",D87),Holieday[date],CONCATENATE("&lt;","=",J_SUBDAY(J_ADDDAY(D87,N87,1),1,1))))=1,J_SUBDAY(J_ADDDAY(D87,N87+1,1),1,1),IF((N87-NETWORKDAYS.INTL(J_GregorianDate(D87,1),J_GregorianDate(J_SUBDAY(J_ADDDAY(D87,N87,1),1,1),1),16,1)-SUMIFS(Holieday[ok],Holieday[date],CONCATENATE("&gt;","=",D87),Holieday[date],CONCATENATE("&lt;","=",J_SUBDAY(J_ADDDAY(D87,N87,1),1,1)))+SUMIFS(Holieday[Friday],Holieday[date],CONCATENATE("&gt;","=",D87),Holieday[date],CONCATENATE("&lt;","=",J_SUBDAY(J_ADDDAY(D87,N87,1),1,1))))=2,J_SUBDAY(J_ADDDAY(D87,N87+2,1),1,1),J_SUBDAY(J_ADDDAY(D87,N87+3,1),1,1)))))</f>
        <v>1398/07/27</v>
      </c>
      <c r="G87" s="3">
        <f t="shared" si="24"/>
        <v>13980727</v>
      </c>
      <c r="H87" s="121"/>
      <c r="I87" s="122">
        <v>4.8</v>
      </c>
      <c r="J87" s="10" t="str">
        <f>j_WEEKDAY(D87,1)</f>
        <v>يكشنبه</v>
      </c>
      <c r="K87" s="23">
        <f t="shared" si="27"/>
        <v>0</v>
      </c>
      <c r="L87" s="9">
        <f t="shared" si="28"/>
        <v>0</v>
      </c>
      <c r="M87" s="123">
        <v>0</v>
      </c>
      <c r="N87" s="120">
        <v>0</v>
      </c>
      <c r="O87" s="11">
        <f t="shared" si="25"/>
        <v>0</v>
      </c>
      <c r="P87" s="11">
        <f>VALUE(J_normdate(J_ADDDAY($D87,$O87,1)))</f>
        <v>13980728</v>
      </c>
      <c r="Q87" s="10">
        <f t="shared" si="26"/>
        <v>0</v>
      </c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  <c r="ES87" s="8"/>
      <c r="ET87" s="8"/>
      <c r="EU87" s="8"/>
      <c r="EV87" s="8"/>
      <c r="EW87" s="8"/>
      <c r="EX87" s="8"/>
      <c r="EY87" s="8"/>
      <c r="EZ87" s="8"/>
      <c r="FA87" s="8"/>
      <c r="FB87" s="8"/>
      <c r="FC87" s="8"/>
      <c r="FD87" s="8"/>
      <c r="FE87" s="8"/>
      <c r="FF87" s="8"/>
      <c r="FG87" s="8"/>
      <c r="FH87" s="8"/>
      <c r="FI87" s="8"/>
      <c r="FJ87" s="8"/>
      <c r="FK87" s="8"/>
      <c r="FL87" s="8"/>
      <c r="FM87" s="8"/>
      <c r="FN87" s="8"/>
      <c r="FO87" s="8"/>
      <c r="FP87" s="8"/>
      <c r="FQ87" s="8"/>
      <c r="FR87" s="8"/>
      <c r="FS87" s="8"/>
      <c r="FT87" s="8"/>
      <c r="FU87" s="8"/>
      <c r="FV87" s="8"/>
      <c r="FW87" s="8"/>
      <c r="FX87" s="8"/>
      <c r="FY87" s="8"/>
      <c r="FZ87" s="8"/>
      <c r="GA87" s="8"/>
      <c r="GB87" s="8"/>
      <c r="GC87" s="8"/>
      <c r="GD87" s="8"/>
      <c r="GE87" s="8"/>
      <c r="GF87" s="8"/>
      <c r="GG87" s="8"/>
      <c r="GH87" s="8"/>
      <c r="GI87" s="8"/>
      <c r="GJ87" s="8"/>
      <c r="GK87" s="8"/>
      <c r="GL87" s="8"/>
      <c r="GM87" s="8"/>
      <c r="GN87" s="8"/>
      <c r="GO87" s="8"/>
      <c r="GP87" s="8"/>
      <c r="GQ87" s="8"/>
      <c r="GR87" s="8"/>
      <c r="GS87" s="8"/>
      <c r="GT87" s="8"/>
      <c r="GU87" s="8"/>
      <c r="GV87" s="8"/>
      <c r="GW87" s="8"/>
      <c r="GX87" s="8"/>
      <c r="GY87" s="8"/>
      <c r="GZ87" s="8"/>
      <c r="HA87" s="8"/>
      <c r="HB87" s="8"/>
      <c r="HC87" s="8"/>
      <c r="HD87" s="8"/>
      <c r="HE87" s="8"/>
      <c r="HF87" s="8"/>
      <c r="HG87" s="8"/>
      <c r="HH87" s="8"/>
      <c r="HI87" s="8"/>
      <c r="HJ87" s="8"/>
      <c r="HK87" s="8"/>
      <c r="HL87" s="8"/>
      <c r="HM87" s="8"/>
      <c r="HN87" s="8"/>
      <c r="HO87" s="8"/>
      <c r="HP87" s="8"/>
      <c r="HQ87" s="8"/>
      <c r="HR87" s="8"/>
      <c r="HS87" s="8"/>
      <c r="HT87" s="8"/>
      <c r="HU87" s="8"/>
      <c r="HV87" s="8"/>
      <c r="HW87" s="8"/>
      <c r="HX87" s="8"/>
      <c r="HY87" s="8"/>
      <c r="HZ87" s="8"/>
      <c r="IA87" s="8"/>
      <c r="IB87" s="8"/>
      <c r="IC87" s="8"/>
      <c r="ID87" s="8"/>
      <c r="IE87" s="8"/>
      <c r="IF87" s="8"/>
      <c r="IG87" s="8"/>
      <c r="IH87" s="8"/>
      <c r="II87" s="8"/>
      <c r="IJ87" s="8"/>
      <c r="IK87" s="8"/>
      <c r="IL87" s="8"/>
      <c r="IM87" s="8"/>
      <c r="IN87" s="8"/>
      <c r="IO87" s="8"/>
      <c r="IP87" s="8"/>
      <c r="IQ87" s="8"/>
      <c r="IR87" s="8"/>
      <c r="IS87" s="8"/>
      <c r="IT87" s="8"/>
      <c r="IU87" s="8"/>
      <c r="IV87" s="8"/>
      <c r="IW87" s="8"/>
      <c r="IX87" s="8"/>
      <c r="IY87" s="32">
        <v>1</v>
      </c>
      <c r="IZ87" s="36">
        <f>(TEXT(K87,"[m]")/60)*VLOOKUP(IY87,'Income Person-hours'!A$2:C$5,3,FALSE)</f>
        <v>0</v>
      </c>
      <c r="JA87" s="125"/>
      <c r="JB87" s="125"/>
      <c r="JC87" s="125"/>
      <c r="JD87" s="72">
        <f>SUM((TEXT(JA87,"[M]")/60)*'Income Person-hours'!$D$3,(TEXT(JB87,"[M]")/60)*'Income Person-hours'!$D$4,(TEXT(JC87,"[M]")/60)*'Income Person-hours'!$D$5)</f>
        <v>0</v>
      </c>
    </row>
    <row r="88" spans="1:264" s="12" customFormat="1" ht="15.75" hidden="1" x14ac:dyDescent="0.45">
      <c r="A88" s="33">
        <v>4.1399999999999997</v>
      </c>
      <c r="B88" s="128"/>
      <c r="C88" s="119"/>
      <c r="D88" s="13" t="str">
        <f>IF(OR(j_WEEKDAY(J_ADDDAY(VLOOKUP(I88,A:F,6,FALSE),H88,1),0)=6,SUMIFS(Holieday[ok],Holieday[date],J_ADDDAY(VLOOKUP(I88,A:F,6,FALSE),H88,1)))=FALSE(),J_ADDDAY(VLOOKUP(I88,A:F,6,FALSE),H88,1),IF(OR(j_WEEKDAY(J_ADDDAY(VLOOKUP(I88,A:F,6,FALSE),H88+1,1),0)=6,SUMIFS(Holieday[ok],Holieday[date],J_ADDDAY(VLOOKUP(I88,A:F,6,FALSE),H88+1,1)))=FALSE(),J_ADDDAY(VLOOKUP(I88,A:F,6,FALSE),H88+1,1),IF(OR(j_WEEKDAY(J_ADDDAY(VLOOKUP(I88,A:F,6,FALSE),H88+2,1),0)=6,SUMIFS(Holieday[ok],Holieday[date],J_ADDDAY(VLOOKUP(I88,A:F,6,FALSE),H88+2,1)))=FALSE(),J_ADDDAY(VLOOKUP(I88,A:F,6,FALSE),H88+2,1),IF(OR(j_WEEKDAY(J_ADDDAY(VLOOKUP(I88,A:F,6,FALSE),H88+3,1),0)=6,SUMIFS(Holieday[ok],Holieday[date],J_ADDDAY(VLOOKUP(I88,A:F,6,FALSE),H88+3,1)))=FALSE(),J_ADDDAY(VLOOKUP(I88,A:F,6,FALSE),H88+3,1),IF(OR(j_WEEKDAY(J_ADDDAY(VLOOKUP(I88,A:F,6,FALSE),H88+4,1),0)=6,SUMIFS(Holieday[ok],Holieday[date],J_ADDDAY(VLOOKUP(I88,A:F,6,FALSE),H88+4,1)))=FALSE(),J_ADDDAY(VLOOKUP(I88,A:F,6,FALSE),H88+4,1),J_ADDDAY(VLOOKUP(I88,A:F,6,FALSE),H88+5,1))))))</f>
        <v>1398/07/28</v>
      </c>
      <c r="E88" s="2">
        <f t="shared" si="23"/>
        <v>13980728</v>
      </c>
      <c r="F88" s="13" t="str">
        <f>IF(N88=0,J_SUBDAY(D88,1,1)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0,J_SUBDAY(J_ADDDAY(D88,N88,1)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1,J_SUBDAY(J_ADDDAY(D88,N88+1,1),1,1),IF((N88-NETWORKDAYS.INTL(J_GregorianDate(D88,1),J_GregorianDate(J_SUBDAY(J_ADDDAY(D88,N88,1),1,1),1),16,1)-SUMIFS(Holieday[ok],Holieday[date],CONCATENATE("&gt;","=",D88),Holieday[date],CONCATENATE("&lt;","=",J_SUBDAY(J_ADDDAY(D88,N88,1),1,1)))+SUMIFS(Holieday[Friday],Holieday[date],CONCATENATE("&gt;","=",D88),Holieday[date],CONCATENATE("&lt;","=",J_SUBDAY(J_ADDDAY(D88,N88,1),1,1))))=2,J_SUBDAY(J_ADDDAY(D88,N88+2,1),1,1),J_SUBDAY(J_ADDDAY(D88,N88+3,1),1,1)))))</f>
        <v>1398/07/27</v>
      </c>
      <c r="G88" s="3">
        <f t="shared" si="24"/>
        <v>13980727</v>
      </c>
      <c r="H88" s="121"/>
      <c r="I88" s="122">
        <v>4.8</v>
      </c>
      <c r="J88" s="10" t="str">
        <f>j_WEEKDAY(D88,1)</f>
        <v>يكشنبه</v>
      </c>
      <c r="K88" s="23">
        <f t="shared" si="27"/>
        <v>0</v>
      </c>
      <c r="L88" s="9">
        <f t="shared" si="28"/>
        <v>0</v>
      </c>
      <c r="M88" s="123">
        <v>0</v>
      </c>
      <c r="N88" s="120">
        <v>0</v>
      </c>
      <c r="O88" s="11">
        <f t="shared" si="25"/>
        <v>0</v>
      </c>
      <c r="P88" s="11">
        <f>VALUE(J_normdate(J_ADDDAY($D88,$O88,1)))</f>
        <v>13980728</v>
      </c>
      <c r="Q88" s="10">
        <f t="shared" si="26"/>
        <v>0</v>
      </c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  <c r="ES88" s="8"/>
      <c r="ET88" s="8"/>
      <c r="EU88" s="8"/>
      <c r="EV88" s="8"/>
      <c r="EW88" s="8"/>
      <c r="EX88" s="8"/>
      <c r="EY88" s="8"/>
      <c r="EZ88" s="8"/>
      <c r="FA88" s="8"/>
      <c r="FB88" s="8"/>
      <c r="FC88" s="8"/>
      <c r="FD88" s="8"/>
      <c r="FE88" s="8"/>
      <c r="FF88" s="8"/>
      <c r="FG88" s="8"/>
      <c r="FH88" s="8"/>
      <c r="FI88" s="8"/>
      <c r="FJ88" s="8"/>
      <c r="FK88" s="8"/>
      <c r="FL88" s="8"/>
      <c r="FM88" s="8"/>
      <c r="FN88" s="8"/>
      <c r="FO88" s="8"/>
      <c r="FP88" s="8"/>
      <c r="FQ88" s="8"/>
      <c r="FR88" s="8"/>
      <c r="FS88" s="8"/>
      <c r="FT88" s="8"/>
      <c r="FU88" s="8"/>
      <c r="FV88" s="8"/>
      <c r="FW88" s="8"/>
      <c r="FX88" s="8"/>
      <c r="FY88" s="8"/>
      <c r="FZ88" s="8"/>
      <c r="GA88" s="8"/>
      <c r="GB88" s="8"/>
      <c r="GC88" s="8"/>
      <c r="GD88" s="8"/>
      <c r="GE88" s="8"/>
      <c r="GF88" s="8"/>
      <c r="GG88" s="8"/>
      <c r="GH88" s="8"/>
      <c r="GI88" s="8"/>
      <c r="GJ88" s="8"/>
      <c r="GK88" s="8"/>
      <c r="GL88" s="8"/>
      <c r="GM88" s="8"/>
      <c r="GN88" s="8"/>
      <c r="GO88" s="8"/>
      <c r="GP88" s="8"/>
      <c r="GQ88" s="8"/>
      <c r="GR88" s="8"/>
      <c r="GS88" s="8"/>
      <c r="GT88" s="8"/>
      <c r="GU88" s="8"/>
      <c r="GV88" s="8"/>
      <c r="GW88" s="8"/>
      <c r="GX88" s="8"/>
      <c r="GY88" s="8"/>
      <c r="GZ88" s="8"/>
      <c r="HA88" s="8"/>
      <c r="HB88" s="8"/>
      <c r="HC88" s="8"/>
      <c r="HD88" s="8"/>
      <c r="HE88" s="8"/>
      <c r="HF88" s="8"/>
      <c r="HG88" s="8"/>
      <c r="HH88" s="8"/>
      <c r="HI88" s="8"/>
      <c r="HJ88" s="8"/>
      <c r="HK88" s="8"/>
      <c r="HL88" s="8"/>
      <c r="HM88" s="8"/>
      <c r="HN88" s="8"/>
      <c r="HO88" s="8"/>
      <c r="HP88" s="8"/>
      <c r="HQ88" s="8"/>
      <c r="HR88" s="8"/>
      <c r="HS88" s="8"/>
      <c r="HT88" s="8"/>
      <c r="HU88" s="8"/>
      <c r="HV88" s="8"/>
      <c r="HW88" s="8"/>
      <c r="HX88" s="8"/>
      <c r="HY88" s="8"/>
      <c r="HZ88" s="8"/>
      <c r="IA88" s="8"/>
      <c r="IB88" s="8"/>
      <c r="IC88" s="8"/>
      <c r="ID88" s="8"/>
      <c r="IE88" s="8"/>
      <c r="IF88" s="8"/>
      <c r="IG88" s="8"/>
      <c r="IH88" s="8"/>
      <c r="II88" s="8"/>
      <c r="IJ88" s="8"/>
      <c r="IK88" s="8"/>
      <c r="IL88" s="8"/>
      <c r="IM88" s="8"/>
      <c r="IN88" s="8"/>
      <c r="IO88" s="8"/>
      <c r="IP88" s="8"/>
      <c r="IQ88" s="8"/>
      <c r="IR88" s="8"/>
      <c r="IS88" s="8"/>
      <c r="IT88" s="8"/>
      <c r="IU88" s="8"/>
      <c r="IV88" s="8"/>
      <c r="IW88" s="8"/>
      <c r="IX88" s="8"/>
      <c r="JA88" s="125"/>
      <c r="JB88" s="125"/>
      <c r="JC88" s="125"/>
      <c r="JD88" s="72">
        <f>SUM((TEXT(JA88,"[M]")/60)*'Income Person-hours'!$D$3,(TEXT(JB88,"[M]")/60)*'Income Person-hours'!$D$4,(TEXT(JC88,"[M]")/60)*'Income Person-hours'!$D$5)</f>
        <v>0</v>
      </c>
    </row>
    <row r="89" spans="1:264" s="12" customFormat="1" ht="15.75" hidden="1" x14ac:dyDescent="0.45">
      <c r="A89" s="33">
        <v>4.1500000000000004</v>
      </c>
      <c r="B89" s="128"/>
      <c r="C89" s="119"/>
      <c r="D89" s="13" t="str">
        <f>IF(OR(j_WEEKDAY(J_ADDDAY(VLOOKUP(I89,A:F,6,FALSE),H89,1),0)=6,SUMIFS(Holieday[ok],Holieday[date],J_ADDDAY(VLOOKUP(I89,A:F,6,FALSE),H89,1)))=FALSE(),J_ADDDAY(VLOOKUP(I89,A:F,6,FALSE),H89,1),IF(OR(j_WEEKDAY(J_ADDDAY(VLOOKUP(I89,A:F,6,FALSE),H89+1,1),0)=6,SUMIFS(Holieday[ok],Holieday[date],J_ADDDAY(VLOOKUP(I89,A:F,6,FALSE),H89+1,1)))=FALSE(),J_ADDDAY(VLOOKUP(I89,A:F,6,FALSE),H89+1,1),IF(OR(j_WEEKDAY(J_ADDDAY(VLOOKUP(I89,A:F,6,FALSE),H89+2,1),0)=6,SUMIFS(Holieday[ok],Holieday[date],J_ADDDAY(VLOOKUP(I89,A:F,6,FALSE),H89+2,1)))=FALSE(),J_ADDDAY(VLOOKUP(I89,A:F,6,FALSE),H89+2,1),IF(OR(j_WEEKDAY(J_ADDDAY(VLOOKUP(I89,A:F,6,FALSE),H89+3,1),0)=6,SUMIFS(Holieday[ok],Holieday[date],J_ADDDAY(VLOOKUP(I89,A:F,6,FALSE),H89+3,1)))=FALSE(),J_ADDDAY(VLOOKUP(I89,A:F,6,FALSE),H89+3,1),IF(OR(j_WEEKDAY(J_ADDDAY(VLOOKUP(I89,A:F,6,FALSE),H89+4,1),0)=6,SUMIFS(Holieday[ok],Holieday[date],J_ADDDAY(VLOOKUP(I89,A:F,6,FALSE),H89+4,1)))=FALSE(),J_ADDDAY(VLOOKUP(I89,A:F,6,FALSE),H89+4,1),J_ADDDAY(VLOOKUP(I89,A:F,6,FALSE),H89+5,1))))))</f>
        <v>1398/07/28</v>
      </c>
      <c r="E89" s="2">
        <f t="shared" si="23"/>
        <v>13980728</v>
      </c>
      <c r="F89" s="13" t="str">
        <f>IF(N89=0,J_SUBDAY(D89,1,1)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0,J_SUBDAY(J_ADDDAY(D89,N89,1)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1,J_SUBDAY(J_ADDDAY(D89,N89+1,1),1,1),IF((N89-NETWORKDAYS.INTL(J_GregorianDate(D89,1),J_GregorianDate(J_SUBDAY(J_ADDDAY(D89,N89,1),1,1),1),16,1)-SUMIFS(Holieday[ok],Holieday[date],CONCATENATE("&gt;","=",D89),Holieday[date],CONCATENATE("&lt;","=",J_SUBDAY(J_ADDDAY(D89,N89,1),1,1)))+SUMIFS(Holieday[Friday],Holieday[date],CONCATENATE("&gt;","=",D89),Holieday[date],CONCATENATE("&lt;","=",J_SUBDAY(J_ADDDAY(D89,N89,1),1,1))))=2,J_SUBDAY(J_ADDDAY(D89,N89+2,1),1,1),J_SUBDAY(J_ADDDAY(D89,N89+3,1),1,1)))))</f>
        <v>1398/07/27</v>
      </c>
      <c r="G89" s="3">
        <f t="shared" si="24"/>
        <v>13980727</v>
      </c>
      <c r="H89" s="121"/>
      <c r="I89" s="122">
        <v>4.8</v>
      </c>
      <c r="J89" s="10" t="str">
        <f>j_WEEKDAY(D89,1)</f>
        <v>يكشنبه</v>
      </c>
      <c r="K89" s="23">
        <f t="shared" si="27"/>
        <v>0</v>
      </c>
      <c r="L89" s="9">
        <f t="shared" si="28"/>
        <v>0</v>
      </c>
      <c r="M89" s="123">
        <v>0</v>
      </c>
      <c r="N89" s="120">
        <v>0</v>
      </c>
      <c r="O89" s="11">
        <f t="shared" ref="O89:O96" si="29">ROUNDDOWN(M89*L89,0)</f>
        <v>0</v>
      </c>
      <c r="P89" s="11">
        <f>VALUE(J_normdate(J_ADDDAY($D89,$O89,1)))</f>
        <v>13980728</v>
      </c>
      <c r="Q89" s="10">
        <f t="shared" ref="Q89:Q96" si="30">L89-O89</f>
        <v>0</v>
      </c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  <c r="ES89" s="8"/>
      <c r="ET89" s="8"/>
      <c r="EU89" s="8"/>
      <c r="EV89" s="8"/>
      <c r="EW89" s="8"/>
      <c r="EX89" s="8"/>
      <c r="EY89" s="8"/>
      <c r="EZ89" s="8"/>
      <c r="FA89" s="8"/>
      <c r="FB89" s="8"/>
      <c r="FC89" s="8"/>
      <c r="FD89" s="8"/>
      <c r="FE89" s="8"/>
      <c r="FF89" s="8"/>
      <c r="FG89" s="8"/>
      <c r="FH89" s="8"/>
      <c r="FI89" s="8"/>
      <c r="FJ89" s="8"/>
      <c r="FK89" s="8"/>
      <c r="FL89" s="8"/>
      <c r="FM89" s="8"/>
      <c r="FN89" s="8"/>
      <c r="FO89" s="8"/>
      <c r="FP89" s="8"/>
      <c r="FQ89" s="8"/>
      <c r="FR89" s="8"/>
      <c r="FS89" s="8"/>
      <c r="FT89" s="8"/>
      <c r="FU89" s="8"/>
      <c r="FV89" s="8"/>
      <c r="FW89" s="8"/>
      <c r="FX89" s="8"/>
      <c r="FY89" s="8"/>
      <c r="FZ89" s="8"/>
      <c r="GA89" s="8"/>
      <c r="GB89" s="8"/>
      <c r="GC89" s="8"/>
      <c r="GD89" s="8"/>
      <c r="GE89" s="8"/>
      <c r="GF89" s="8"/>
      <c r="GG89" s="8"/>
      <c r="GH89" s="8"/>
      <c r="GI89" s="8"/>
      <c r="GJ89" s="8"/>
      <c r="GK89" s="8"/>
      <c r="GL89" s="8"/>
      <c r="GM89" s="8"/>
      <c r="GN89" s="8"/>
      <c r="GO89" s="8"/>
      <c r="GP89" s="8"/>
      <c r="GQ89" s="8"/>
      <c r="GR89" s="8"/>
      <c r="GS89" s="8"/>
      <c r="GT89" s="8"/>
      <c r="GU89" s="8"/>
      <c r="GV89" s="8"/>
      <c r="GW89" s="8"/>
      <c r="GX89" s="8"/>
      <c r="GY89" s="8"/>
      <c r="GZ89" s="8"/>
      <c r="HA89" s="8"/>
      <c r="HB89" s="8"/>
      <c r="HC89" s="8"/>
      <c r="HD89" s="8"/>
      <c r="HE89" s="8"/>
      <c r="HF89" s="8"/>
      <c r="HG89" s="8"/>
      <c r="HH89" s="8"/>
      <c r="HI89" s="8"/>
      <c r="HJ89" s="8"/>
      <c r="HK89" s="8"/>
      <c r="HL89" s="8"/>
      <c r="HM89" s="8"/>
      <c r="HN89" s="8"/>
      <c r="HO89" s="8"/>
      <c r="HP89" s="8"/>
      <c r="HQ89" s="8"/>
      <c r="HR89" s="8"/>
      <c r="HS89" s="8"/>
      <c r="HT89" s="8"/>
      <c r="HU89" s="8"/>
      <c r="HV89" s="8"/>
      <c r="HW89" s="8"/>
      <c r="HX89" s="8"/>
      <c r="HY89" s="8"/>
      <c r="HZ89" s="8"/>
      <c r="IA89" s="8"/>
      <c r="IB89" s="8"/>
      <c r="IC89" s="8"/>
      <c r="ID89" s="8"/>
      <c r="IE89" s="8"/>
      <c r="IF89" s="8"/>
      <c r="IG89" s="8"/>
      <c r="IH89" s="8"/>
      <c r="II89" s="8"/>
      <c r="IJ89" s="8"/>
      <c r="IK89" s="8"/>
      <c r="IL89" s="8"/>
      <c r="IM89" s="8"/>
      <c r="IN89" s="8"/>
      <c r="IO89" s="8"/>
      <c r="IP89" s="8"/>
      <c r="IQ89" s="8"/>
      <c r="IR89" s="8"/>
      <c r="IS89" s="8"/>
      <c r="IT89" s="8"/>
      <c r="IU89" s="8"/>
      <c r="IV89" s="8"/>
      <c r="IW89" s="8"/>
      <c r="IX89" s="8"/>
      <c r="JA89" s="125"/>
      <c r="JB89" s="125"/>
      <c r="JC89" s="125"/>
      <c r="JD89" s="72">
        <f>SUM((TEXT(JA89,"[M]")/60)*'Income Person-hours'!$D$3,(TEXT(JB89,"[M]")/60)*'Income Person-hours'!$D$4,(TEXT(JC89,"[M]")/60)*'Income Person-hours'!$D$5)</f>
        <v>0</v>
      </c>
    </row>
    <row r="90" spans="1:264" s="12" customFormat="1" ht="15.75" hidden="1" x14ac:dyDescent="0.45">
      <c r="A90" s="33">
        <v>4.16</v>
      </c>
      <c r="B90" s="128"/>
      <c r="C90" s="119"/>
      <c r="D90" s="13" t="str">
        <f>IF(OR(j_WEEKDAY(J_ADDDAY(VLOOKUP(I90,A:F,6,FALSE),H90,1),0)=6,SUMIFS(Holieday[ok],Holieday[date],J_ADDDAY(VLOOKUP(I90,A:F,6,FALSE),H90,1)))=FALSE(),J_ADDDAY(VLOOKUP(I90,A:F,6,FALSE),H90,1),IF(OR(j_WEEKDAY(J_ADDDAY(VLOOKUP(I90,A:F,6,FALSE),H90+1,1),0)=6,SUMIFS(Holieday[ok],Holieday[date],J_ADDDAY(VLOOKUP(I90,A:F,6,FALSE),H90+1,1)))=FALSE(),J_ADDDAY(VLOOKUP(I90,A:F,6,FALSE),H90+1,1),IF(OR(j_WEEKDAY(J_ADDDAY(VLOOKUP(I90,A:F,6,FALSE),H90+2,1),0)=6,SUMIFS(Holieday[ok],Holieday[date],J_ADDDAY(VLOOKUP(I90,A:F,6,FALSE),H90+2,1)))=FALSE(),J_ADDDAY(VLOOKUP(I90,A:F,6,FALSE),H90+2,1),IF(OR(j_WEEKDAY(J_ADDDAY(VLOOKUP(I90,A:F,6,FALSE),H90+3,1),0)=6,SUMIFS(Holieday[ok],Holieday[date],J_ADDDAY(VLOOKUP(I90,A:F,6,FALSE),H90+3,1)))=FALSE(),J_ADDDAY(VLOOKUP(I90,A:F,6,FALSE),H90+3,1),IF(OR(j_WEEKDAY(J_ADDDAY(VLOOKUP(I90,A:F,6,FALSE),H90+4,1),0)=6,SUMIFS(Holieday[ok],Holieday[date],J_ADDDAY(VLOOKUP(I90,A:F,6,FALSE),H90+4,1)))=FALSE(),J_ADDDAY(VLOOKUP(I90,A:F,6,FALSE),H90+4,1),J_ADDDAY(VLOOKUP(I90,A:F,6,FALSE),H90+5,1))))))</f>
        <v>1398/07/28</v>
      </c>
      <c r="E90" s="2">
        <f t="shared" si="23"/>
        <v>13980728</v>
      </c>
      <c r="F90" s="13" t="str">
        <f>IF(N90=0,J_SUBDAY(D90,1,1)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0,J_SUBDAY(J_ADDDAY(D90,N90,1)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1,J_SUBDAY(J_ADDDAY(D90,N90+1,1),1,1),IF((N90-NETWORKDAYS.INTL(J_GregorianDate(D90,1),J_GregorianDate(J_SUBDAY(J_ADDDAY(D90,N90,1),1,1),1),16,1)-SUMIFS(Holieday[ok],Holieday[date],CONCATENATE("&gt;","=",D90),Holieday[date],CONCATENATE("&lt;","=",J_SUBDAY(J_ADDDAY(D90,N90,1),1,1)))+SUMIFS(Holieday[Friday],Holieday[date],CONCATENATE("&gt;","=",D90),Holieday[date],CONCATENATE("&lt;","=",J_SUBDAY(J_ADDDAY(D90,N90,1),1,1))))=2,J_SUBDAY(J_ADDDAY(D90,N90+2,1),1,1),J_SUBDAY(J_ADDDAY(D90,N90+3,1),1,1)))))</f>
        <v>1398/07/27</v>
      </c>
      <c r="G90" s="3">
        <f t="shared" si="24"/>
        <v>13980727</v>
      </c>
      <c r="H90" s="121"/>
      <c r="I90" s="122">
        <v>4.8</v>
      </c>
      <c r="J90" s="10" t="str">
        <f>j_WEEKDAY(D90,1)</f>
        <v>يكشنبه</v>
      </c>
      <c r="K90" s="23">
        <f t="shared" si="27"/>
        <v>0</v>
      </c>
      <c r="L90" s="9">
        <f t="shared" si="28"/>
        <v>0</v>
      </c>
      <c r="M90" s="123">
        <v>0</v>
      </c>
      <c r="N90" s="120">
        <v>0</v>
      </c>
      <c r="O90" s="11">
        <f t="shared" si="29"/>
        <v>0</v>
      </c>
      <c r="P90" s="11">
        <f>VALUE(J_normdate(J_ADDDAY($D90,$O90,1)))</f>
        <v>13980728</v>
      </c>
      <c r="Q90" s="10">
        <f t="shared" si="30"/>
        <v>0</v>
      </c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  <c r="ES90" s="8"/>
      <c r="ET90" s="8"/>
      <c r="EU90" s="8"/>
      <c r="EV90" s="8"/>
      <c r="EW90" s="8"/>
      <c r="EX90" s="8"/>
      <c r="EY90" s="8"/>
      <c r="EZ90" s="8"/>
      <c r="FA90" s="8"/>
      <c r="FB90" s="8"/>
      <c r="FC90" s="8"/>
      <c r="FD90" s="8"/>
      <c r="FE90" s="8"/>
      <c r="FF90" s="8"/>
      <c r="FG90" s="8"/>
      <c r="FH90" s="8"/>
      <c r="FI90" s="8"/>
      <c r="FJ90" s="8"/>
      <c r="FK90" s="8"/>
      <c r="FL90" s="8"/>
      <c r="FM90" s="8"/>
      <c r="FN90" s="8"/>
      <c r="FO90" s="8"/>
      <c r="FP90" s="8"/>
      <c r="FQ90" s="8"/>
      <c r="FR90" s="8"/>
      <c r="FS90" s="8"/>
      <c r="FT90" s="8"/>
      <c r="FU90" s="8"/>
      <c r="FV90" s="8"/>
      <c r="FW90" s="8"/>
      <c r="FX90" s="8"/>
      <c r="FY90" s="8"/>
      <c r="FZ90" s="8"/>
      <c r="GA90" s="8"/>
      <c r="GB90" s="8"/>
      <c r="GC90" s="8"/>
      <c r="GD90" s="8"/>
      <c r="GE90" s="8"/>
      <c r="GF90" s="8"/>
      <c r="GG90" s="8"/>
      <c r="GH90" s="8"/>
      <c r="GI90" s="8"/>
      <c r="GJ90" s="8"/>
      <c r="GK90" s="8"/>
      <c r="GL90" s="8"/>
      <c r="GM90" s="8"/>
      <c r="GN90" s="8"/>
      <c r="GO90" s="8"/>
      <c r="GP90" s="8"/>
      <c r="GQ90" s="8"/>
      <c r="GR90" s="8"/>
      <c r="GS90" s="8"/>
      <c r="GT90" s="8"/>
      <c r="GU90" s="8"/>
      <c r="GV90" s="8"/>
      <c r="GW90" s="8"/>
      <c r="GX90" s="8"/>
      <c r="GY90" s="8"/>
      <c r="GZ90" s="8"/>
      <c r="HA90" s="8"/>
      <c r="HB90" s="8"/>
      <c r="HC90" s="8"/>
      <c r="HD90" s="8"/>
      <c r="HE90" s="8"/>
      <c r="HF90" s="8"/>
      <c r="HG90" s="8"/>
      <c r="HH90" s="8"/>
      <c r="HI90" s="8"/>
      <c r="HJ90" s="8"/>
      <c r="HK90" s="8"/>
      <c r="HL90" s="8"/>
      <c r="HM90" s="8"/>
      <c r="HN90" s="8"/>
      <c r="HO90" s="8"/>
      <c r="HP90" s="8"/>
      <c r="HQ90" s="8"/>
      <c r="HR90" s="8"/>
      <c r="HS90" s="8"/>
      <c r="HT90" s="8"/>
      <c r="HU90" s="8"/>
      <c r="HV90" s="8"/>
      <c r="HW90" s="8"/>
      <c r="HX90" s="8"/>
      <c r="HY90" s="8"/>
      <c r="HZ90" s="8"/>
      <c r="IA90" s="8"/>
      <c r="IB90" s="8"/>
      <c r="IC90" s="8"/>
      <c r="ID90" s="8"/>
      <c r="IE90" s="8"/>
      <c r="IF90" s="8"/>
      <c r="IG90" s="8"/>
      <c r="IH90" s="8"/>
      <c r="II90" s="8"/>
      <c r="IJ90" s="8"/>
      <c r="IK90" s="8"/>
      <c r="IL90" s="8"/>
      <c r="IM90" s="8"/>
      <c r="IN90" s="8"/>
      <c r="IO90" s="8"/>
      <c r="IP90" s="8"/>
      <c r="IQ90" s="8"/>
      <c r="IR90" s="8"/>
      <c r="IS90" s="8"/>
      <c r="IT90" s="8"/>
      <c r="IU90" s="8"/>
      <c r="IV90" s="8"/>
      <c r="IW90" s="8"/>
      <c r="IX90" s="8"/>
      <c r="JA90" s="125"/>
      <c r="JB90" s="125"/>
      <c r="JC90" s="125"/>
      <c r="JD90" s="72">
        <f>SUM((TEXT(JA90,"[M]")/60)*'Income Person-hours'!$D$3,(TEXT(JB90,"[M]")/60)*'Income Person-hours'!$D$4,(TEXT(JC90,"[M]")/60)*'Income Person-hours'!$D$5)</f>
        <v>0</v>
      </c>
    </row>
    <row r="91" spans="1:264" s="12" customFormat="1" ht="15.75" hidden="1" x14ac:dyDescent="0.45">
      <c r="A91" s="33">
        <v>4.17</v>
      </c>
      <c r="B91" s="128"/>
      <c r="C91" s="119"/>
      <c r="D91" s="13" t="str">
        <f>IF(OR(j_WEEKDAY(J_ADDDAY(VLOOKUP(I91,A:F,6,FALSE),H91,1),0)=6,SUMIFS(Holieday[ok],Holieday[date],J_ADDDAY(VLOOKUP(I91,A:F,6,FALSE),H91,1)))=FALSE(),J_ADDDAY(VLOOKUP(I91,A:F,6,FALSE),H91,1),IF(OR(j_WEEKDAY(J_ADDDAY(VLOOKUP(I91,A:F,6,FALSE),H91+1,1),0)=6,SUMIFS(Holieday[ok],Holieday[date],J_ADDDAY(VLOOKUP(I91,A:F,6,FALSE),H91+1,1)))=FALSE(),J_ADDDAY(VLOOKUP(I91,A:F,6,FALSE),H91+1,1),IF(OR(j_WEEKDAY(J_ADDDAY(VLOOKUP(I91,A:F,6,FALSE),H91+2,1),0)=6,SUMIFS(Holieday[ok],Holieday[date],J_ADDDAY(VLOOKUP(I91,A:F,6,FALSE),H91+2,1)))=FALSE(),J_ADDDAY(VLOOKUP(I91,A:F,6,FALSE),H91+2,1),IF(OR(j_WEEKDAY(J_ADDDAY(VLOOKUP(I91,A:F,6,FALSE),H91+3,1),0)=6,SUMIFS(Holieday[ok],Holieday[date],J_ADDDAY(VLOOKUP(I91,A:F,6,FALSE),H91+3,1)))=FALSE(),J_ADDDAY(VLOOKUP(I91,A:F,6,FALSE),H91+3,1),IF(OR(j_WEEKDAY(J_ADDDAY(VLOOKUP(I91,A:F,6,FALSE),H91+4,1),0)=6,SUMIFS(Holieday[ok],Holieday[date],J_ADDDAY(VLOOKUP(I91,A:F,6,FALSE),H91+4,1)))=FALSE(),J_ADDDAY(VLOOKUP(I91,A:F,6,FALSE),H91+4,1),J_ADDDAY(VLOOKUP(I91,A:F,6,FALSE),H91+5,1))))))</f>
        <v>1398/07/28</v>
      </c>
      <c r="E91" s="2">
        <f t="shared" si="23"/>
        <v>13980728</v>
      </c>
      <c r="F91" s="13" t="str">
        <f>IF(N91=0,J_SUBDAY(D91,1,1)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0,J_SUBDAY(J_ADDDAY(D91,N91,1)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1,J_SUBDAY(J_ADDDAY(D91,N91+1,1),1,1),IF((N91-NETWORKDAYS.INTL(J_GregorianDate(D91,1),J_GregorianDate(J_SUBDAY(J_ADDDAY(D91,N91,1),1,1),1),16,1)-SUMIFS(Holieday[ok],Holieday[date],CONCATENATE("&gt;","=",D91),Holieday[date],CONCATENATE("&lt;","=",J_SUBDAY(J_ADDDAY(D91,N91,1),1,1)))+SUMIFS(Holieday[Friday],Holieday[date],CONCATENATE("&gt;","=",D91),Holieday[date],CONCATENATE("&lt;","=",J_SUBDAY(J_ADDDAY(D91,N91,1),1,1))))=2,J_SUBDAY(J_ADDDAY(D91,N91+2,1),1,1),J_SUBDAY(J_ADDDAY(D91,N91+3,1),1,1)))))</f>
        <v>1398/07/27</v>
      </c>
      <c r="G91" s="3">
        <f t="shared" si="24"/>
        <v>13980727</v>
      </c>
      <c r="H91" s="121"/>
      <c r="I91" s="122">
        <v>4.8</v>
      </c>
      <c r="J91" s="10" t="str">
        <f>j_WEEKDAY(D91,1)</f>
        <v>يكشنبه</v>
      </c>
      <c r="K91" s="23">
        <f t="shared" si="27"/>
        <v>0</v>
      </c>
      <c r="L91" s="9">
        <f t="shared" si="28"/>
        <v>0</v>
      </c>
      <c r="M91" s="123">
        <v>0</v>
      </c>
      <c r="N91" s="120">
        <v>0</v>
      </c>
      <c r="O91" s="11">
        <f t="shared" si="29"/>
        <v>0</v>
      </c>
      <c r="P91" s="11">
        <f>VALUE(J_normdate(J_ADDDAY($D91,$O91,1)))</f>
        <v>13980728</v>
      </c>
      <c r="Q91" s="10">
        <f t="shared" si="30"/>
        <v>0</v>
      </c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  <c r="ES91" s="8"/>
      <c r="ET91" s="8"/>
      <c r="EU91" s="8"/>
      <c r="EV91" s="8"/>
      <c r="EW91" s="8"/>
      <c r="EX91" s="8"/>
      <c r="EY91" s="8"/>
      <c r="EZ91" s="8"/>
      <c r="FA91" s="8"/>
      <c r="FB91" s="8"/>
      <c r="FC91" s="8"/>
      <c r="FD91" s="8"/>
      <c r="FE91" s="8"/>
      <c r="FF91" s="8"/>
      <c r="FG91" s="8"/>
      <c r="FH91" s="8"/>
      <c r="FI91" s="8"/>
      <c r="FJ91" s="8"/>
      <c r="FK91" s="8"/>
      <c r="FL91" s="8"/>
      <c r="FM91" s="8"/>
      <c r="FN91" s="8"/>
      <c r="FO91" s="8"/>
      <c r="FP91" s="8"/>
      <c r="FQ91" s="8"/>
      <c r="FR91" s="8"/>
      <c r="FS91" s="8"/>
      <c r="FT91" s="8"/>
      <c r="FU91" s="8"/>
      <c r="FV91" s="8"/>
      <c r="FW91" s="8"/>
      <c r="FX91" s="8"/>
      <c r="FY91" s="8"/>
      <c r="FZ91" s="8"/>
      <c r="GA91" s="8"/>
      <c r="GB91" s="8"/>
      <c r="GC91" s="8"/>
      <c r="GD91" s="8"/>
      <c r="GE91" s="8"/>
      <c r="GF91" s="8"/>
      <c r="GG91" s="8"/>
      <c r="GH91" s="8"/>
      <c r="GI91" s="8"/>
      <c r="GJ91" s="8"/>
      <c r="GK91" s="8"/>
      <c r="GL91" s="8"/>
      <c r="GM91" s="8"/>
      <c r="GN91" s="8"/>
      <c r="GO91" s="8"/>
      <c r="GP91" s="8"/>
      <c r="GQ91" s="8"/>
      <c r="GR91" s="8"/>
      <c r="GS91" s="8"/>
      <c r="GT91" s="8"/>
      <c r="GU91" s="8"/>
      <c r="GV91" s="8"/>
      <c r="GW91" s="8"/>
      <c r="GX91" s="8"/>
      <c r="GY91" s="8"/>
      <c r="GZ91" s="8"/>
      <c r="HA91" s="8"/>
      <c r="HB91" s="8"/>
      <c r="HC91" s="8"/>
      <c r="HD91" s="8"/>
      <c r="HE91" s="8"/>
      <c r="HF91" s="8"/>
      <c r="HG91" s="8"/>
      <c r="HH91" s="8"/>
      <c r="HI91" s="8"/>
      <c r="HJ91" s="8"/>
      <c r="HK91" s="8"/>
      <c r="HL91" s="8"/>
      <c r="HM91" s="8"/>
      <c r="HN91" s="8"/>
      <c r="HO91" s="8"/>
      <c r="HP91" s="8"/>
      <c r="HQ91" s="8"/>
      <c r="HR91" s="8"/>
      <c r="HS91" s="8"/>
      <c r="HT91" s="8"/>
      <c r="HU91" s="8"/>
      <c r="HV91" s="8"/>
      <c r="HW91" s="8"/>
      <c r="HX91" s="8"/>
      <c r="HY91" s="8"/>
      <c r="HZ91" s="8"/>
      <c r="IA91" s="8"/>
      <c r="IB91" s="8"/>
      <c r="IC91" s="8"/>
      <c r="ID91" s="8"/>
      <c r="IE91" s="8"/>
      <c r="IF91" s="8"/>
      <c r="IG91" s="8"/>
      <c r="IH91" s="8"/>
      <c r="II91" s="8"/>
      <c r="IJ91" s="8"/>
      <c r="IK91" s="8"/>
      <c r="IL91" s="8"/>
      <c r="IM91" s="8"/>
      <c r="IN91" s="8"/>
      <c r="IO91" s="8"/>
      <c r="IP91" s="8"/>
      <c r="IQ91" s="8"/>
      <c r="IR91" s="8"/>
      <c r="IS91" s="8"/>
      <c r="IT91" s="8"/>
      <c r="IU91" s="8"/>
      <c r="IV91" s="8"/>
      <c r="IW91" s="8"/>
      <c r="IX91" s="8"/>
      <c r="JA91" s="125"/>
      <c r="JB91" s="125"/>
      <c r="JC91" s="125"/>
      <c r="JD91" s="72">
        <f>SUM((TEXT(JA91,"[M]")/60)*'Income Person-hours'!$D$3,(TEXT(JB91,"[M]")/60)*'Income Person-hours'!$D$4,(TEXT(JC91,"[M]")/60)*'Income Person-hours'!$D$5)</f>
        <v>0</v>
      </c>
    </row>
    <row r="92" spans="1:264" s="12" customFormat="1" ht="15.75" hidden="1" x14ac:dyDescent="0.45">
      <c r="A92" s="33">
        <v>4.18</v>
      </c>
      <c r="B92" s="128"/>
      <c r="C92" s="119"/>
      <c r="D92" s="13" t="str">
        <f>IF(OR(j_WEEKDAY(J_ADDDAY(VLOOKUP(I92,A:F,6,FALSE),H92,1),0)=6,SUMIFS(Holieday[ok],Holieday[date],J_ADDDAY(VLOOKUP(I92,A:F,6,FALSE),H92,1)))=FALSE(),J_ADDDAY(VLOOKUP(I92,A:F,6,FALSE),H92,1),IF(OR(j_WEEKDAY(J_ADDDAY(VLOOKUP(I92,A:F,6,FALSE),H92+1,1),0)=6,SUMIFS(Holieday[ok],Holieday[date],J_ADDDAY(VLOOKUP(I92,A:F,6,FALSE),H92+1,1)))=FALSE(),J_ADDDAY(VLOOKUP(I92,A:F,6,FALSE),H92+1,1),IF(OR(j_WEEKDAY(J_ADDDAY(VLOOKUP(I92,A:F,6,FALSE),H92+2,1),0)=6,SUMIFS(Holieday[ok],Holieday[date],J_ADDDAY(VLOOKUP(I92,A:F,6,FALSE),H92+2,1)))=FALSE(),J_ADDDAY(VLOOKUP(I92,A:F,6,FALSE),H92+2,1),IF(OR(j_WEEKDAY(J_ADDDAY(VLOOKUP(I92,A:F,6,FALSE),H92+3,1),0)=6,SUMIFS(Holieday[ok],Holieday[date],J_ADDDAY(VLOOKUP(I92,A:F,6,FALSE),H92+3,1)))=FALSE(),J_ADDDAY(VLOOKUP(I92,A:F,6,FALSE),H92+3,1),IF(OR(j_WEEKDAY(J_ADDDAY(VLOOKUP(I92,A:F,6,FALSE),H92+4,1),0)=6,SUMIFS(Holieday[ok],Holieday[date],J_ADDDAY(VLOOKUP(I92,A:F,6,FALSE),H92+4,1)))=FALSE(),J_ADDDAY(VLOOKUP(I92,A:F,6,FALSE),H92+4,1),J_ADDDAY(VLOOKUP(I92,A:F,6,FALSE),H92+5,1))))))</f>
        <v>1398/07/28</v>
      </c>
      <c r="E92" s="2">
        <f t="shared" si="23"/>
        <v>13980728</v>
      </c>
      <c r="F92" s="13" t="str">
        <f>IF(N92=0,J_SUBDAY(D92,1,1)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0,J_SUBDAY(J_ADDDAY(D92,N92,1)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1,J_SUBDAY(J_ADDDAY(D92,N92+1,1),1,1),IF((N92-NETWORKDAYS.INTL(J_GregorianDate(D92,1),J_GregorianDate(J_SUBDAY(J_ADDDAY(D92,N92,1),1,1),1),16,1)-SUMIFS(Holieday[ok],Holieday[date],CONCATENATE("&gt;","=",D92),Holieday[date],CONCATENATE("&lt;","=",J_SUBDAY(J_ADDDAY(D92,N92,1),1,1)))+SUMIFS(Holieday[Friday],Holieday[date],CONCATENATE("&gt;","=",D92),Holieday[date],CONCATENATE("&lt;","=",J_SUBDAY(J_ADDDAY(D92,N92,1),1,1))))=2,J_SUBDAY(J_ADDDAY(D92,N92+2,1),1,1),J_SUBDAY(J_ADDDAY(D92,N92+3,1),1,1)))))</f>
        <v>1398/07/27</v>
      </c>
      <c r="G92" s="3">
        <f t="shared" si="24"/>
        <v>13980727</v>
      </c>
      <c r="H92" s="121"/>
      <c r="I92" s="122">
        <v>4.8</v>
      </c>
      <c r="J92" s="10" t="str">
        <f>j_WEEKDAY(D92,1)</f>
        <v>يكشنبه</v>
      </c>
      <c r="K92" s="23">
        <f t="shared" si="27"/>
        <v>0</v>
      </c>
      <c r="L92" s="9">
        <f t="shared" si="28"/>
        <v>0</v>
      </c>
      <c r="M92" s="123">
        <v>0</v>
      </c>
      <c r="N92" s="120">
        <v>0</v>
      </c>
      <c r="O92" s="11">
        <f t="shared" si="29"/>
        <v>0</v>
      </c>
      <c r="P92" s="11">
        <f>VALUE(J_normdate(J_ADDDAY($D92,$O92,1)))</f>
        <v>13980728</v>
      </c>
      <c r="Q92" s="10">
        <f t="shared" si="30"/>
        <v>0</v>
      </c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  <c r="ES92" s="8"/>
      <c r="ET92" s="8"/>
      <c r="EU92" s="8"/>
      <c r="EV92" s="8"/>
      <c r="EW92" s="8"/>
      <c r="EX92" s="8"/>
      <c r="EY92" s="8"/>
      <c r="EZ92" s="8"/>
      <c r="FA92" s="8"/>
      <c r="FB92" s="8"/>
      <c r="FC92" s="8"/>
      <c r="FD92" s="8"/>
      <c r="FE92" s="8"/>
      <c r="FF92" s="8"/>
      <c r="FG92" s="8"/>
      <c r="FH92" s="8"/>
      <c r="FI92" s="8"/>
      <c r="FJ92" s="8"/>
      <c r="FK92" s="8"/>
      <c r="FL92" s="8"/>
      <c r="FM92" s="8"/>
      <c r="FN92" s="8"/>
      <c r="FO92" s="8"/>
      <c r="FP92" s="8"/>
      <c r="FQ92" s="8"/>
      <c r="FR92" s="8"/>
      <c r="FS92" s="8"/>
      <c r="FT92" s="8"/>
      <c r="FU92" s="8"/>
      <c r="FV92" s="8"/>
      <c r="FW92" s="8"/>
      <c r="FX92" s="8"/>
      <c r="FY92" s="8"/>
      <c r="FZ92" s="8"/>
      <c r="GA92" s="8"/>
      <c r="GB92" s="8"/>
      <c r="GC92" s="8"/>
      <c r="GD92" s="8"/>
      <c r="GE92" s="8"/>
      <c r="GF92" s="8"/>
      <c r="GG92" s="8"/>
      <c r="GH92" s="8"/>
      <c r="GI92" s="8"/>
      <c r="GJ92" s="8"/>
      <c r="GK92" s="8"/>
      <c r="GL92" s="8"/>
      <c r="GM92" s="8"/>
      <c r="GN92" s="8"/>
      <c r="GO92" s="8"/>
      <c r="GP92" s="8"/>
      <c r="GQ92" s="8"/>
      <c r="GR92" s="8"/>
      <c r="GS92" s="8"/>
      <c r="GT92" s="8"/>
      <c r="GU92" s="8"/>
      <c r="GV92" s="8"/>
      <c r="GW92" s="8"/>
      <c r="GX92" s="8"/>
      <c r="GY92" s="8"/>
      <c r="GZ92" s="8"/>
      <c r="HA92" s="8"/>
      <c r="HB92" s="8"/>
      <c r="HC92" s="8"/>
      <c r="HD92" s="8"/>
      <c r="HE92" s="8"/>
      <c r="HF92" s="8"/>
      <c r="HG92" s="8"/>
      <c r="HH92" s="8"/>
      <c r="HI92" s="8"/>
      <c r="HJ92" s="8"/>
      <c r="HK92" s="8"/>
      <c r="HL92" s="8"/>
      <c r="HM92" s="8"/>
      <c r="HN92" s="8"/>
      <c r="HO92" s="8"/>
      <c r="HP92" s="8"/>
      <c r="HQ92" s="8"/>
      <c r="HR92" s="8"/>
      <c r="HS92" s="8"/>
      <c r="HT92" s="8"/>
      <c r="HU92" s="8"/>
      <c r="HV92" s="8"/>
      <c r="HW92" s="8"/>
      <c r="HX92" s="8"/>
      <c r="HY92" s="8"/>
      <c r="HZ92" s="8"/>
      <c r="IA92" s="8"/>
      <c r="IB92" s="8"/>
      <c r="IC92" s="8"/>
      <c r="ID92" s="8"/>
      <c r="IE92" s="8"/>
      <c r="IF92" s="8"/>
      <c r="IG92" s="8"/>
      <c r="IH92" s="8"/>
      <c r="II92" s="8"/>
      <c r="IJ92" s="8"/>
      <c r="IK92" s="8"/>
      <c r="IL92" s="8"/>
      <c r="IM92" s="8"/>
      <c r="IN92" s="8"/>
      <c r="IO92" s="8"/>
      <c r="IP92" s="8"/>
      <c r="IQ92" s="8"/>
      <c r="IR92" s="8"/>
      <c r="IS92" s="8"/>
      <c r="IT92" s="8"/>
      <c r="IU92" s="8"/>
      <c r="IV92" s="8"/>
      <c r="IW92" s="8"/>
      <c r="IX92" s="8"/>
      <c r="JA92" s="125"/>
      <c r="JB92" s="125"/>
      <c r="JC92" s="125"/>
      <c r="JD92" s="72">
        <f>SUM((TEXT(JA92,"[M]")/60)*'Income Person-hours'!$D$3,(TEXT(JB92,"[M]")/60)*'Income Person-hours'!$D$4,(TEXT(JC92,"[M]")/60)*'Income Person-hours'!$D$5)</f>
        <v>0</v>
      </c>
    </row>
    <row r="93" spans="1:264" s="12" customFormat="1" ht="15.75" hidden="1" x14ac:dyDescent="0.45">
      <c r="A93" s="33">
        <v>4.1900000000000004</v>
      </c>
      <c r="B93" s="128"/>
      <c r="C93" s="119"/>
      <c r="D93" s="13" t="str">
        <f>IF(OR(j_WEEKDAY(J_ADDDAY(VLOOKUP(I93,A:F,6,FALSE),H93,1),0)=6,SUMIFS(Holieday[ok],Holieday[date],J_ADDDAY(VLOOKUP(I93,A:F,6,FALSE),H93,1)))=FALSE(),J_ADDDAY(VLOOKUP(I93,A:F,6,FALSE),H93,1),IF(OR(j_WEEKDAY(J_ADDDAY(VLOOKUP(I93,A:F,6,FALSE),H93+1,1),0)=6,SUMIFS(Holieday[ok],Holieday[date],J_ADDDAY(VLOOKUP(I93,A:F,6,FALSE),H93+1,1)))=FALSE(),J_ADDDAY(VLOOKUP(I93,A:F,6,FALSE),H93+1,1),IF(OR(j_WEEKDAY(J_ADDDAY(VLOOKUP(I93,A:F,6,FALSE),H93+2,1),0)=6,SUMIFS(Holieday[ok],Holieday[date],J_ADDDAY(VLOOKUP(I93,A:F,6,FALSE),H93+2,1)))=FALSE(),J_ADDDAY(VLOOKUP(I93,A:F,6,FALSE),H93+2,1),IF(OR(j_WEEKDAY(J_ADDDAY(VLOOKUP(I93,A:F,6,FALSE),H93+3,1),0)=6,SUMIFS(Holieday[ok],Holieday[date],J_ADDDAY(VLOOKUP(I93,A:F,6,FALSE),H93+3,1)))=FALSE(),J_ADDDAY(VLOOKUP(I93,A:F,6,FALSE),H93+3,1),IF(OR(j_WEEKDAY(J_ADDDAY(VLOOKUP(I93,A:F,6,FALSE),H93+4,1),0)=6,SUMIFS(Holieday[ok],Holieday[date],J_ADDDAY(VLOOKUP(I93,A:F,6,FALSE),H93+4,1)))=FALSE(),J_ADDDAY(VLOOKUP(I93,A:F,6,FALSE),H93+4,1),J_ADDDAY(VLOOKUP(I93,A:F,6,FALSE),H93+5,1))))))</f>
        <v>1398/07/28</v>
      </c>
      <c r="E93" s="2">
        <f t="shared" si="23"/>
        <v>13980728</v>
      </c>
      <c r="F93" s="13" t="str">
        <f>IF(N93=0,J_SUBDAY(D93,1,1)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0,J_SUBDAY(J_ADDDAY(D93,N93,1)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1,J_SUBDAY(J_ADDDAY(D93,N93+1,1),1,1),IF((N93-NETWORKDAYS.INTL(J_GregorianDate(D93,1),J_GregorianDate(J_SUBDAY(J_ADDDAY(D93,N93,1),1,1),1),16,1)-SUMIFS(Holieday[ok],Holieday[date],CONCATENATE("&gt;","=",D93),Holieday[date],CONCATENATE("&lt;","=",J_SUBDAY(J_ADDDAY(D93,N93,1),1,1)))+SUMIFS(Holieday[Friday],Holieday[date],CONCATENATE("&gt;","=",D93),Holieday[date],CONCATENATE("&lt;","=",J_SUBDAY(J_ADDDAY(D93,N93,1),1,1))))=2,J_SUBDAY(J_ADDDAY(D93,N93+2,1),1,1),J_SUBDAY(J_ADDDAY(D93,N93+3,1),1,1)))))</f>
        <v>1398/07/27</v>
      </c>
      <c r="G93" s="3">
        <f t="shared" si="24"/>
        <v>13980727</v>
      </c>
      <c r="H93" s="121"/>
      <c r="I93" s="122">
        <v>4.8</v>
      </c>
      <c r="J93" s="10" t="str">
        <f>j_WEEKDAY(D93,1)</f>
        <v>يكشنبه</v>
      </c>
      <c r="K93" s="23">
        <f t="shared" si="27"/>
        <v>0</v>
      </c>
      <c r="L93" s="9">
        <f t="shared" si="28"/>
        <v>0</v>
      </c>
      <c r="M93" s="123">
        <v>0</v>
      </c>
      <c r="N93" s="120">
        <v>0</v>
      </c>
      <c r="O93" s="11">
        <f t="shared" si="29"/>
        <v>0</v>
      </c>
      <c r="P93" s="11">
        <f>VALUE(J_normdate(J_ADDDAY($D93,$O93,1)))</f>
        <v>13980728</v>
      </c>
      <c r="Q93" s="10">
        <f t="shared" si="30"/>
        <v>0</v>
      </c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  <c r="ES93" s="8"/>
      <c r="ET93" s="8"/>
      <c r="EU93" s="8"/>
      <c r="EV93" s="8"/>
      <c r="EW93" s="8"/>
      <c r="EX93" s="8"/>
      <c r="EY93" s="8"/>
      <c r="EZ93" s="8"/>
      <c r="FA93" s="8"/>
      <c r="FB93" s="8"/>
      <c r="FC93" s="8"/>
      <c r="FD93" s="8"/>
      <c r="FE93" s="8"/>
      <c r="FF93" s="8"/>
      <c r="FG93" s="8"/>
      <c r="FH93" s="8"/>
      <c r="FI93" s="8"/>
      <c r="FJ93" s="8"/>
      <c r="FK93" s="8"/>
      <c r="FL93" s="8"/>
      <c r="FM93" s="8"/>
      <c r="FN93" s="8"/>
      <c r="FO93" s="8"/>
      <c r="FP93" s="8"/>
      <c r="FQ93" s="8"/>
      <c r="FR93" s="8"/>
      <c r="FS93" s="8"/>
      <c r="FT93" s="8"/>
      <c r="FU93" s="8"/>
      <c r="FV93" s="8"/>
      <c r="FW93" s="8"/>
      <c r="FX93" s="8"/>
      <c r="FY93" s="8"/>
      <c r="FZ93" s="8"/>
      <c r="GA93" s="8"/>
      <c r="GB93" s="8"/>
      <c r="GC93" s="8"/>
      <c r="GD93" s="8"/>
      <c r="GE93" s="8"/>
      <c r="GF93" s="8"/>
      <c r="GG93" s="8"/>
      <c r="GH93" s="8"/>
      <c r="GI93" s="8"/>
      <c r="GJ93" s="8"/>
      <c r="GK93" s="8"/>
      <c r="GL93" s="8"/>
      <c r="GM93" s="8"/>
      <c r="GN93" s="8"/>
      <c r="GO93" s="8"/>
      <c r="GP93" s="8"/>
      <c r="GQ93" s="8"/>
      <c r="GR93" s="8"/>
      <c r="GS93" s="8"/>
      <c r="GT93" s="8"/>
      <c r="GU93" s="8"/>
      <c r="GV93" s="8"/>
      <c r="GW93" s="8"/>
      <c r="GX93" s="8"/>
      <c r="GY93" s="8"/>
      <c r="GZ93" s="8"/>
      <c r="HA93" s="8"/>
      <c r="HB93" s="8"/>
      <c r="HC93" s="8"/>
      <c r="HD93" s="8"/>
      <c r="HE93" s="8"/>
      <c r="HF93" s="8"/>
      <c r="HG93" s="8"/>
      <c r="HH93" s="8"/>
      <c r="HI93" s="8"/>
      <c r="HJ93" s="8"/>
      <c r="HK93" s="8"/>
      <c r="HL93" s="8"/>
      <c r="HM93" s="8"/>
      <c r="HN93" s="8"/>
      <c r="HO93" s="8"/>
      <c r="HP93" s="8"/>
      <c r="HQ93" s="8"/>
      <c r="HR93" s="8"/>
      <c r="HS93" s="8"/>
      <c r="HT93" s="8"/>
      <c r="HU93" s="8"/>
      <c r="HV93" s="8"/>
      <c r="HW93" s="8"/>
      <c r="HX93" s="8"/>
      <c r="HY93" s="8"/>
      <c r="HZ93" s="8"/>
      <c r="IA93" s="8"/>
      <c r="IB93" s="8"/>
      <c r="IC93" s="8"/>
      <c r="ID93" s="8"/>
      <c r="IE93" s="8"/>
      <c r="IF93" s="8"/>
      <c r="IG93" s="8"/>
      <c r="IH93" s="8"/>
      <c r="II93" s="8"/>
      <c r="IJ93" s="8"/>
      <c r="IK93" s="8"/>
      <c r="IL93" s="8"/>
      <c r="IM93" s="8"/>
      <c r="IN93" s="8"/>
      <c r="IO93" s="8"/>
      <c r="IP93" s="8"/>
      <c r="IQ93" s="8"/>
      <c r="IR93" s="8"/>
      <c r="IS93" s="8"/>
      <c r="IT93" s="8"/>
      <c r="IU93" s="8"/>
      <c r="IV93" s="8"/>
      <c r="IW93" s="8"/>
      <c r="IX93" s="8"/>
      <c r="JA93" s="125"/>
      <c r="JB93" s="125"/>
      <c r="JC93" s="125"/>
      <c r="JD93" s="72">
        <f>SUM((TEXT(JA93,"[M]")/60)*'Income Person-hours'!$D$3,(TEXT(JB93,"[M]")/60)*'Income Person-hours'!$D$4,(TEXT(JC93,"[M]")/60)*'Income Person-hours'!$D$5)</f>
        <v>0</v>
      </c>
    </row>
    <row r="94" spans="1:264" s="12" customFormat="1" ht="15.75" hidden="1" x14ac:dyDescent="0.45">
      <c r="A94" s="33">
        <v>4.21</v>
      </c>
      <c r="B94" s="128"/>
      <c r="C94" s="119"/>
      <c r="D94" s="13" t="str">
        <f>IF(OR(j_WEEKDAY(J_ADDDAY(VLOOKUP(I94,A:F,6,FALSE),H94,1),0)=6,SUMIFS(Holieday[ok],Holieday[date],J_ADDDAY(VLOOKUP(I94,A:F,6,FALSE),H94,1)))=FALSE(),J_ADDDAY(VLOOKUP(I94,A:F,6,FALSE),H94,1),IF(OR(j_WEEKDAY(J_ADDDAY(VLOOKUP(I94,A:F,6,FALSE),H94+1,1),0)=6,SUMIFS(Holieday[ok],Holieday[date],J_ADDDAY(VLOOKUP(I94,A:F,6,FALSE),H94+1,1)))=FALSE(),J_ADDDAY(VLOOKUP(I94,A:F,6,FALSE),H94+1,1),IF(OR(j_WEEKDAY(J_ADDDAY(VLOOKUP(I94,A:F,6,FALSE),H94+2,1),0)=6,SUMIFS(Holieday[ok],Holieday[date],J_ADDDAY(VLOOKUP(I94,A:F,6,FALSE),H94+2,1)))=FALSE(),J_ADDDAY(VLOOKUP(I94,A:F,6,FALSE),H94+2,1),IF(OR(j_WEEKDAY(J_ADDDAY(VLOOKUP(I94,A:F,6,FALSE),H94+3,1),0)=6,SUMIFS(Holieday[ok],Holieday[date],J_ADDDAY(VLOOKUP(I94,A:F,6,FALSE),H94+3,1)))=FALSE(),J_ADDDAY(VLOOKUP(I94,A:F,6,FALSE),H94+3,1),IF(OR(j_WEEKDAY(J_ADDDAY(VLOOKUP(I94,A:F,6,FALSE),H94+4,1),0)=6,SUMIFS(Holieday[ok],Holieday[date],J_ADDDAY(VLOOKUP(I94,A:F,6,FALSE),H94+4,1)))=FALSE(),J_ADDDAY(VLOOKUP(I94,A:F,6,FALSE),H94+4,1),J_ADDDAY(VLOOKUP(I94,A:F,6,FALSE),H94+5,1))))))</f>
        <v>1398/07/28</v>
      </c>
      <c r="E94" s="2">
        <f t="shared" si="23"/>
        <v>13980728</v>
      </c>
      <c r="F94" s="13" t="str">
        <f>IF(N94=0,J_SUBDAY(D94,1,1)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0,J_SUBDAY(J_ADDDAY(D94,N94,1)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1,J_SUBDAY(J_ADDDAY(D94,N94+1,1),1,1),IF((N94-NETWORKDAYS.INTL(J_GregorianDate(D94,1),J_GregorianDate(J_SUBDAY(J_ADDDAY(D94,N94,1),1,1),1),16,1)-SUMIFS(Holieday[ok],Holieday[date],CONCATENATE("&gt;","=",D94),Holieday[date],CONCATENATE("&lt;","=",J_SUBDAY(J_ADDDAY(D94,N94,1),1,1)))+SUMIFS(Holieday[Friday],Holieday[date],CONCATENATE("&gt;","=",D94),Holieday[date],CONCATENATE("&lt;","=",J_SUBDAY(J_ADDDAY(D94,N94,1),1,1))))=2,J_SUBDAY(J_ADDDAY(D94,N94+2,1),1,1),J_SUBDAY(J_ADDDAY(D94,N94+3,1),1,1)))))</f>
        <v>1398/07/27</v>
      </c>
      <c r="G94" s="3">
        <f t="shared" si="24"/>
        <v>13980727</v>
      </c>
      <c r="H94" s="121"/>
      <c r="I94" s="122">
        <v>4.8</v>
      </c>
      <c r="J94" s="10" t="str">
        <f>j_WEEKDAY(D94,1)</f>
        <v>يكشنبه</v>
      </c>
      <c r="K94" s="23">
        <f t="shared" si="27"/>
        <v>0</v>
      </c>
      <c r="L94" s="9">
        <f t="shared" si="28"/>
        <v>0</v>
      </c>
      <c r="M94" s="123">
        <v>0</v>
      </c>
      <c r="N94" s="120">
        <v>0</v>
      </c>
      <c r="O94" s="11">
        <f t="shared" si="29"/>
        <v>0</v>
      </c>
      <c r="P94" s="11">
        <f>VALUE(J_normdate(J_ADDDAY($D94,$O94,1)))</f>
        <v>13980728</v>
      </c>
      <c r="Q94" s="10">
        <f t="shared" si="30"/>
        <v>0</v>
      </c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  <c r="ES94" s="8"/>
      <c r="ET94" s="8"/>
      <c r="EU94" s="8"/>
      <c r="EV94" s="8"/>
      <c r="EW94" s="8"/>
      <c r="EX94" s="8"/>
      <c r="EY94" s="8"/>
      <c r="EZ94" s="8"/>
      <c r="FA94" s="8"/>
      <c r="FB94" s="8"/>
      <c r="FC94" s="8"/>
      <c r="FD94" s="8"/>
      <c r="FE94" s="8"/>
      <c r="FF94" s="8"/>
      <c r="FG94" s="8"/>
      <c r="FH94" s="8"/>
      <c r="FI94" s="8"/>
      <c r="FJ94" s="8"/>
      <c r="FK94" s="8"/>
      <c r="FL94" s="8"/>
      <c r="FM94" s="8"/>
      <c r="FN94" s="8"/>
      <c r="FO94" s="8"/>
      <c r="FP94" s="8"/>
      <c r="FQ94" s="8"/>
      <c r="FR94" s="8"/>
      <c r="FS94" s="8"/>
      <c r="FT94" s="8"/>
      <c r="FU94" s="8"/>
      <c r="FV94" s="8"/>
      <c r="FW94" s="8"/>
      <c r="FX94" s="8"/>
      <c r="FY94" s="8"/>
      <c r="FZ94" s="8"/>
      <c r="GA94" s="8"/>
      <c r="GB94" s="8"/>
      <c r="GC94" s="8"/>
      <c r="GD94" s="8"/>
      <c r="GE94" s="8"/>
      <c r="GF94" s="8"/>
      <c r="GG94" s="8"/>
      <c r="GH94" s="8"/>
      <c r="GI94" s="8"/>
      <c r="GJ94" s="8"/>
      <c r="GK94" s="8"/>
      <c r="GL94" s="8"/>
      <c r="GM94" s="8"/>
      <c r="GN94" s="8"/>
      <c r="GO94" s="8"/>
      <c r="GP94" s="8"/>
      <c r="GQ94" s="8"/>
      <c r="GR94" s="8"/>
      <c r="GS94" s="8"/>
      <c r="GT94" s="8"/>
      <c r="GU94" s="8"/>
      <c r="GV94" s="8"/>
      <c r="GW94" s="8"/>
      <c r="GX94" s="8"/>
      <c r="GY94" s="8"/>
      <c r="GZ94" s="8"/>
      <c r="HA94" s="8"/>
      <c r="HB94" s="8"/>
      <c r="HC94" s="8"/>
      <c r="HD94" s="8"/>
      <c r="HE94" s="8"/>
      <c r="HF94" s="8"/>
      <c r="HG94" s="8"/>
      <c r="HH94" s="8"/>
      <c r="HI94" s="8"/>
      <c r="HJ94" s="8"/>
      <c r="HK94" s="8"/>
      <c r="HL94" s="8"/>
      <c r="HM94" s="8"/>
      <c r="HN94" s="8"/>
      <c r="HO94" s="8"/>
      <c r="HP94" s="8"/>
      <c r="HQ94" s="8"/>
      <c r="HR94" s="8"/>
      <c r="HS94" s="8"/>
      <c r="HT94" s="8"/>
      <c r="HU94" s="8"/>
      <c r="HV94" s="8"/>
      <c r="HW94" s="8"/>
      <c r="HX94" s="8"/>
      <c r="HY94" s="8"/>
      <c r="HZ94" s="8"/>
      <c r="IA94" s="8"/>
      <c r="IB94" s="8"/>
      <c r="IC94" s="8"/>
      <c r="ID94" s="8"/>
      <c r="IE94" s="8"/>
      <c r="IF94" s="8"/>
      <c r="IG94" s="8"/>
      <c r="IH94" s="8"/>
      <c r="II94" s="8"/>
      <c r="IJ94" s="8"/>
      <c r="IK94" s="8"/>
      <c r="IL94" s="8"/>
      <c r="IM94" s="8"/>
      <c r="IN94" s="8"/>
      <c r="IO94" s="8"/>
      <c r="IP94" s="8"/>
      <c r="IQ94" s="8"/>
      <c r="IR94" s="8"/>
      <c r="IS94" s="8"/>
      <c r="IT94" s="8"/>
      <c r="IU94" s="8"/>
      <c r="IV94" s="8"/>
      <c r="IW94" s="8"/>
      <c r="IX94" s="8"/>
      <c r="JA94" s="125"/>
      <c r="JB94" s="125"/>
      <c r="JC94" s="125"/>
      <c r="JD94" s="72">
        <f>SUM((TEXT(JA94,"[M]")/60)*'Income Person-hours'!$D$3,(TEXT(JB94,"[M]")/60)*'Income Person-hours'!$D$4,(TEXT(JC94,"[M]")/60)*'Income Person-hours'!$D$5)</f>
        <v>0</v>
      </c>
    </row>
    <row r="95" spans="1:264" s="12" customFormat="1" ht="15.75" hidden="1" x14ac:dyDescent="0.45">
      <c r="A95" s="33">
        <v>4.22</v>
      </c>
      <c r="B95" s="128"/>
      <c r="C95" s="119"/>
      <c r="D95" s="13" t="str">
        <f>IF(OR(j_WEEKDAY(J_ADDDAY(VLOOKUP(I95,A:F,6,FALSE),H95,1),0)=6,SUMIFS(Holieday[ok],Holieday[date],J_ADDDAY(VLOOKUP(I95,A:F,6,FALSE),H95,1)))=FALSE(),J_ADDDAY(VLOOKUP(I95,A:F,6,FALSE),H95,1),IF(OR(j_WEEKDAY(J_ADDDAY(VLOOKUP(I95,A:F,6,FALSE),H95+1,1),0)=6,SUMIFS(Holieday[ok],Holieday[date],J_ADDDAY(VLOOKUP(I95,A:F,6,FALSE),H95+1,1)))=FALSE(),J_ADDDAY(VLOOKUP(I95,A:F,6,FALSE),H95+1,1),IF(OR(j_WEEKDAY(J_ADDDAY(VLOOKUP(I95,A:F,6,FALSE),H95+2,1),0)=6,SUMIFS(Holieday[ok],Holieday[date],J_ADDDAY(VLOOKUP(I95,A:F,6,FALSE),H95+2,1)))=FALSE(),J_ADDDAY(VLOOKUP(I95,A:F,6,FALSE),H95+2,1),IF(OR(j_WEEKDAY(J_ADDDAY(VLOOKUP(I95,A:F,6,FALSE),H95+3,1),0)=6,SUMIFS(Holieday[ok],Holieday[date],J_ADDDAY(VLOOKUP(I95,A:F,6,FALSE),H95+3,1)))=FALSE(),J_ADDDAY(VLOOKUP(I95,A:F,6,FALSE),H95+3,1),IF(OR(j_WEEKDAY(J_ADDDAY(VLOOKUP(I95,A:F,6,FALSE),H95+4,1),0)=6,SUMIFS(Holieday[ok],Holieday[date],J_ADDDAY(VLOOKUP(I95,A:F,6,FALSE),H95+4,1)))=FALSE(),J_ADDDAY(VLOOKUP(I95,A:F,6,FALSE),H95+4,1),J_ADDDAY(VLOOKUP(I95,A:F,6,FALSE),H95+5,1))))))</f>
        <v>1398/07/28</v>
      </c>
      <c r="E95" s="2">
        <f t="shared" si="23"/>
        <v>13980728</v>
      </c>
      <c r="F95" s="13" t="str">
        <f>IF(N95=0,J_SUBDAY(D95,1,1)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0,J_SUBDAY(J_ADDDAY(D95,N95,1)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1,J_SUBDAY(J_ADDDAY(D95,N95+1,1),1,1),IF((N95-NETWORKDAYS.INTL(J_GregorianDate(D95,1),J_GregorianDate(J_SUBDAY(J_ADDDAY(D95,N95,1),1,1),1),16,1)-SUMIFS(Holieday[ok],Holieday[date],CONCATENATE("&gt;","=",D95),Holieday[date],CONCATENATE("&lt;","=",J_SUBDAY(J_ADDDAY(D95,N95,1),1,1)))+SUMIFS(Holieday[Friday],Holieday[date],CONCATENATE("&gt;","=",D95),Holieday[date],CONCATENATE("&lt;","=",J_SUBDAY(J_ADDDAY(D95,N95,1),1,1))))=2,J_SUBDAY(J_ADDDAY(D95,N95+2,1),1,1),J_SUBDAY(J_ADDDAY(D95,N95+3,1),1,1)))))</f>
        <v>1398/07/27</v>
      </c>
      <c r="G95" s="3">
        <f t="shared" si="24"/>
        <v>13980727</v>
      </c>
      <c r="H95" s="121"/>
      <c r="I95" s="122">
        <v>4.8</v>
      </c>
      <c r="J95" s="10" t="str">
        <f>j_WEEKDAY(D95,1)</f>
        <v>يكشنبه</v>
      </c>
      <c r="K95" s="23">
        <f t="shared" si="27"/>
        <v>0</v>
      </c>
      <c r="L95" s="9">
        <f t="shared" si="28"/>
        <v>0</v>
      </c>
      <c r="M95" s="123">
        <v>0</v>
      </c>
      <c r="N95" s="120">
        <v>0</v>
      </c>
      <c r="O95" s="11">
        <f t="shared" si="29"/>
        <v>0</v>
      </c>
      <c r="P95" s="11">
        <f>VALUE(J_normdate(J_ADDDAY($D95,$O95,1)))</f>
        <v>13980728</v>
      </c>
      <c r="Q95" s="10">
        <f t="shared" si="30"/>
        <v>0</v>
      </c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  <c r="ES95" s="8"/>
      <c r="ET95" s="8"/>
      <c r="EU95" s="8"/>
      <c r="EV95" s="8"/>
      <c r="EW95" s="8"/>
      <c r="EX95" s="8"/>
      <c r="EY95" s="8"/>
      <c r="EZ95" s="8"/>
      <c r="FA95" s="8"/>
      <c r="FB95" s="8"/>
      <c r="FC95" s="8"/>
      <c r="FD95" s="8"/>
      <c r="FE95" s="8"/>
      <c r="FF95" s="8"/>
      <c r="FG95" s="8"/>
      <c r="FH95" s="8"/>
      <c r="FI95" s="8"/>
      <c r="FJ95" s="8"/>
      <c r="FK95" s="8"/>
      <c r="FL95" s="8"/>
      <c r="FM95" s="8"/>
      <c r="FN95" s="8"/>
      <c r="FO95" s="8"/>
      <c r="FP95" s="8"/>
      <c r="FQ95" s="8"/>
      <c r="FR95" s="8"/>
      <c r="FS95" s="8"/>
      <c r="FT95" s="8"/>
      <c r="FU95" s="8"/>
      <c r="FV95" s="8"/>
      <c r="FW95" s="8"/>
      <c r="FX95" s="8"/>
      <c r="FY95" s="8"/>
      <c r="FZ95" s="8"/>
      <c r="GA95" s="8"/>
      <c r="GB95" s="8"/>
      <c r="GC95" s="8"/>
      <c r="GD95" s="8"/>
      <c r="GE95" s="8"/>
      <c r="GF95" s="8"/>
      <c r="GG95" s="8"/>
      <c r="GH95" s="8"/>
      <c r="GI95" s="8"/>
      <c r="GJ95" s="8"/>
      <c r="GK95" s="8"/>
      <c r="GL95" s="8"/>
      <c r="GM95" s="8"/>
      <c r="GN95" s="8"/>
      <c r="GO95" s="8"/>
      <c r="GP95" s="8"/>
      <c r="GQ95" s="8"/>
      <c r="GR95" s="8"/>
      <c r="GS95" s="8"/>
      <c r="GT95" s="8"/>
      <c r="GU95" s="8"/>
      <c r="GV95" s="8"/>
      <c r="GW95" s="8"/>
      <c r="GX95" s="8"/>
      <c r="GY95" s="8"/>
      <c r="GZ95" s="8"/>
      <c r="HA95" s="8"/>
      <c r="HB95" s="8"/>
      <c r="HC95" s="8"/>
      <c r="HD95" s="8"/>
      <c r="HE95" s="8"/>
      <c r="HF95" s="8"/>
      <c r="HG95" s="8"/>
      <c r="HH95" s="8"/>
      <c r="HI95" s="8"/>
      <c r="HJ95" s="8"/>
      <c r="HK95" s="8"/>
      <c r="HL95" s="8"/>
      <c r="HM95" s="8"/>
      <c r="HN95" s="8"/>
      <c r="HO95" s="8"/>
      <c r="HP95" s="8"/>
      <c r="HQ95" s="8"/>
      <c r="HR95" s="8"/>
      <c r="HS95" s="8"/>
      <c r="HT95" s="8"/>
      <c r="HU95" s="8"/>
      <c r="HV95" s="8"/>
      <c r="HW95" s="8"/>
      <c r="HX95" s="8"/>
      <c r="HY95" s="8"/>
      <c r="HZ95" s="8"/>
      <c r="IA95" s="8"/>
      <c r="IB95" s="8"/>
      <c r="IC95" s="8"/>
      <c r="ID95" s="8"/>
      <c r="IE95" s="8"/>
      <c r="IF95" s="8"/>
      <c r="IG95" s="8"/>
      <c r="IH95" s="8"/>
      <c r="II95" s="8"/>
      <c r="IJ95" s="8"/>
      <c r="IK95" s="8"/>
      <c r="IL95" s="8"/>
      <c r="IM95" s="8"/>
      <c r="IN95" s="8"/>
      <c r="IO95" s="8"/>
      <c r="IP95" s="8"/>
      <c r="IQ95" s="8"/>
      <c r="IR95" s="8"/>
      <c r="IS95" s="8"/>
      <c r="IT95" s="8"/>
      <c r="IU95" s="8"/>
      <c r="IV95" s="8"/>
      <c r="IW95" s="8"/>
      <c r="IX95" s="8"/>
      <c r="JA95" s="125"/>
      <c r="JB95" s="125"/>
      <c r="JC95" s="125"/>
      <c r="JD95" s="72">
        <f>SUM((TEXT(JA95,"[M]")/60)*'Income Person-hours'!$D$3,(TEXT(JB95,"[M]")/60)*'Income Person-hours'!$D$4,(TEXT(JC95,"[M]")/60)*'Income Person-hours'!$D$5)</f>
        <v>0</v>
      </c>
    </row>
    <row r="96" spans="1:264" s="12" customFormat="1" ht="15.75" hidden="1" x14ac:dyDescent="0.45">
      <c r="A96" s="33">
        <v>4.2300000000000004</v>
      </c>
      <c r="B96" s="128"/>
      <c r="C96" s="119"/>
      <c r="D96" s="13" t="str">
        <f>IF(OR(j_WEEKDAY(J_ADDDAY(VLOOKUP(I96,A:F,6,FALSE),H96,1),0)=6,SUMIFS(Holieday[ok],Holieday[date],J_ADDDAY(VLOOKUP(I96,A:F,6,FALSE),H96,1)))=FALSE(),J_ADDDAY(VLOOKUP(I96,A:F,6,FALSE),H96,1),IF(OR(j_WEEKDAY(J_ADDDAY(VLOOKUP(I96,A:F,6,FALSE),H96+1,1),0)=6,SUMIFS(Holieday[ok],Holieday[date],J_ADDDAY(VLOOKUP(I96,A:F,6,FALSE),H96+1,1)))=FALSE(),J_ADDDAY(VLOOKUP(I96,A:F,6,FALSE),H96+1,1),IF(OR(j_WEEKDAY(J_ADDDAY(VLOOKUP(I96,A:F,6,FALSE),H96+2,1),0)=6,SUMIFS(Holieday[ok],Holieday[date],J_ADDDAY(VLOOKUP(I96,A:F,6,FALSE),H96+2,1)))=FALSE(),J_ADDDAY(VLOOKUP(I96,A:F,6,FALSE),H96+2,1),IF(OR(j_WEEKDAY(J_ADDDAY(VLOOKUP(I96,A:F,6,FALSE),H96+3,1),0)=6,SUMIFS(Holieday[ok],Holieday[date],J_ADDDAY(VLOOKUP(I96,A:F,6,FALSE),H96+3,1)))=FALSE(),J_ADDDAY(VLOOKUP(I96,A:F,6,FALSE),H96+3,1),IF(OR(j_WEEKDAY(J_ADDDAY(VLOOKUP(I96,A:F,6,FALSE),H96+4,1),0)=6,SUMIFS(Holieday[ok],Holieday[date],J_ADDDAY(VLOOKUP(I96,A:F,6,FALSE),H96+4,1)))=FALSE(),J_ADDDAY(VLOOKUP(I96,A:F,6,FALSE),H96+4,1),J_ADDDAY(VLOOKUP(I96,A:F,6,FALSE),H96+5,1))))))</f>
        <v>1398/07/28</v>
      </c>
      <c r="E96" s="2">
        <f t="shared" si="23"/>
        <v>13980728</v>
      </c>
      <c r="F96" s="13" t="str">
        <f>IF(N96=0,J_SUBDAY(D96,1,1)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0,J_SUBDAY(J_ADDDAY(D96,N96,1)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1,J_SUBDAY(J_ADDDAY(D96,N96+1,1),1,1),IF((N96-NETWORKDAYS.INTL(J_GregorianDate(D96,1),J_GregorianDate(J_SUBDAY(J_ADDDAY(D96,N96,1),1,1),1),16,1)-SUMIFS(Holieday[ok],Holieday[date],CONCATENATE("&gt;","=",D96),Holieday[date],CONCATENATE("&lt;","=",J_SUBDAY(J_ADDDAY(D96,N96,1),1,1)))+SUMIFS(Holieday[Friday],Holieday[date],CONCATENATE("&gt;","=",D96),Holieday[date],CONCATENATE("&lt;","=",J_SUBDAY(J_ADDDAY(D96,N96,1),1,1))))=2,J_SUBDAY(J_ADDDAY(D96,N96+2,1),1,1),J_SUBDAY(J_ADDDAY(D96,N96+3,1),1,1)))))</f>
        <v>1398/07/27</v>
      </c>
      <c r="G96" s="3">
        <f t="shared" si="24"/>
        <v>13980727</v>
      </c>
      <c r="H96" s="121"/>
      <c r="I96" s="122">
        <v>4.8</v>
      </c>
      <c r="J96" s="10" t="str">
        <f>j_WEEKDAY(D96,1)</f>
        <v>يكشنبه</v>
      </c>
      <c r="K96" s="23">
        <f t="shared" si="27"/>
        <v>0</v>
      </c>
      <c r="L96" s="9">
        <f t="shared" si="28"/>
        <v>0</v>
      </c>
      <c r="M96" s="123">
        <v>0</v>
      </c>
      <c r="N96" s="120">
        <v>0</v>
      </c>
      <c r="O96" s="11">
        <f t="shared" si="29"/>
        <v>0</v>
      </c>
      <c r="P96" s="11">
        <f>VALUE(J_normdate(J_ADDDAY($D96,$O96,1)))</f>
        <v>13980728</v>
      </c>
      <c r="Q96" s="10">
        <f t="shared" si="30"/>
        <v>0</v>
      </c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  <c r="ES96" s="8"/>
      <c r="ET96" s="8"/>
      <c r="EU96" s="8"/>
      <c r="EV96" s="8"/>
      <c r="EW96" s="8"/>
      <c r="EX96" s="8"/>
      <c r="EY96" s="8"/>
      <c r="EZ96" s="8"/>
      <c r="FA96" s="8"/>
      <c r="FB96" s="8"/>
      <c r="FC96" s="8"/>
      <c r="FD96" s="8"/>
      <c r="FE96" s="8"/>
      <c r="FF96" s="8"/>
      <c r="FG96" s="8"/>
      <c r="FH96" s="8"/>
      <c r="FI96" s="8"/>
      <c r="FJ96" s="8"/>
      <c r="FK96" s="8"/>
      <c r="FL96" s="8"/>
      <c r="FM96" s="8"/>
      <c r="FN96" s="8"/>
      <c r="FO96" s="8"/>
      <c r="FP96" s="8"/>
      <c r="FQ96" s="8"/>
      <c r="FR96" s="8"/>
      <c r="FS96" s="8"/>
      <c r="FT96" s="8"/>
      <c r="FU96" s="8"/>
      <c r="FV96" s="8"/>
      <c r="FW96" s="8"/>
      <c r="FX96" s="8"/>
      <c r="FY96" s="8"/>
      <c r="FZ96" s="8"/>
      <c r="GA96" s="8"/>
      <c r="GB96" s="8"/>
      <c r="GC96" s="8"/>
      <c r="GD96" s="8"/>
      <c r="GE96" s="8"/>
      <c r="GF96" s="8"/>
      <c r="GG96" s="8"/>
      <c r="GH96" s="8"/>
      <c r="GI96" s="8"/>
      <c r="GJ96" s="8"/>
      <c r="GK96" s="8"/>
      <c r="GL96" s="8"/>
      <c r="GM96" s="8"/>
      <c r="GN96" s="8"/>
      <c r="GO96" s="8"/>
      <c r="GP96" s="8"/>
      <c r="GQ96" s="8"/>
      <c r="GR96" s="8"/>
      <c r="GS96" s="8"/>
      <c r="GT96" s="8"/>
      <c r="GU96" s="8"/>
      <c r="GV96" s="8"/>
      <c r="GW96" s="8"/>
      <c r="GX96" s="8"/>
      <c r="GY96" s="8"/>
      <c r="GZ96" s="8"/>
      <c r="HA96" s="8"/>
      <c r="HB96" s="8"/>
      <c r="HC96" s="8"/>
      <c r="HD96" s="8"/>
      <c r="HE96" s="8"/>
      <c r="HF96" s="8"/>
      <c r="HG96" s="8"/>
      <c r="HH96" s="8"/>
      <c r="HI96" s="8"/>
      <c r="HJ96" s="8"/>
      <c r="HK96" s="8"/>
      <c r="HL96" s="8"/>
      <c r="HM96" s="8"/>
      <c r="HN96" s="8"/>
      <c r="HO96" s="8"/>
      <c r="HP96" s="8"/>
      <c r="HQ96" s="8"/>
      <c r="HR96" s="8"/>
      <c r="HS96" s="8"/>
      <c r="HT96" s="8"/>
      <c r="HU96" s="8"/>
      <c r="HV96" s="8"/>
      <c r="HW96" s="8"/>
      <c r="HX96" s="8"/>
      <c r="HY96" s="8"/>
      <c r="HZ96" s="8"/>
      <c r="IA96" s="8"/>
      <c r="IB96" s="8"/>
      <c r="IC96" s="8"/>
      <c r="ID96" s="8"/>
      <c r="IE96" s="8"/>
      <c r="IF96" s="8"/>
      <c r="IG96" s="8"/>
      <c r="IH96" s="8"/>
      <c r="II96" s="8"/>
      <c r="IJ96" s="8"/>
      <c r="IK96" s="8"/>
      <c r="IL96" s="8"/>
      <c r="IM96" s="8"/>
      <c r="IN96" s="8"/>
      <c r="IO96" s="8"/>
      <c r="IP96" s="8"/>
      <c r="IQ96" s="8"/>
      <c r="IR96" s="8"/>
      <c r="IS96" s="8"/>
      <c r="IT96" s="8"/>
      <c r="IU96" s="8"/>
      <c r="IV96" s="8"/>
      <c r="IW96" s="8"/>
      <c r="IX96" s="8"/>
      <c r="JA96" s="125"/>
      <c r="JB96" s="125"/>
      <c r="JC96" s="125"/>
      <c r="JD96" s="72">
        <f>SUM((TEXT(JA96,"[M]")/60)*'Income Person-hours'!$D$3,(TEXT(JB96,"[M]")/60)*'Income Person-hours'!$D$4,(TEXT(JC96,"[M]")/60)*'Income Person-hours'!$D$5)</f>
        <v>0</v>
      </c>
    </row>
    <row r="97" spans="1:264" s="198" customFormat="1" ht="15.75" hidden="1" x14ac:dyDescent="0.45">
      <c r="A97" s="197">
        <v>5</v>
      </c>
      <c r="B97" s="114" t="s">
        <v>121</v>
      </c>
      <c r="C97" s="115"/>
      <c r="D97" s="200" t="str">
        <f>FDate(MIN(E98:E118))</f>
        <v>1398/06/21</v>
      </c>
      <c r="E97" s="198">
        <f t="shared" si="23"/>
        <v>13980621</v>
      </c>
      <c r="F97" s="200" t="str">
        <f>J_SUBDAY(J_ADDDAY(D97,L97,1),1,1)</f>
        <v>1398/06/20</v>
      </c>
      <c r="G97" s="201">
        <f t="shared" si="24"/>
        <v>13980620</v>
      </c>
      <c r="H97" s="116"/>
      <c r="I97" s="117"/>
      <c r="J97" s="200" t="str">
        <f>j_WEEKDAY(D97,1)</f>
        <v>پنجشنبه</v>
      </c>
      <c r="K97" s="202">
        <f>SUM(K98:K118)</f>
        <v>0</v>
      </c>
      <c r="L97" s="203">
        <f>J_DIFF(D97,FDate(MAX(G98:G118)))+1</f>
        <v>0</v>
      </c>
      <c r="M97" s="204">
        <f>IF(SUM(L98:L118)&lt;&gt;0,SUMPRODUCT(L98:L118,M98:M118)/SUM(L98:L118),0)</f>
        <v>0</v>
      </c>
      <c r="N97" s="205">
        <f>IF(F97&gt;=D97,NETWORKDAYS.INTL(J_GregorianDate(D97,1),J_GregorianDate(F97,1),16,1)-SUMIFS(Holieday[ok],Holieday[date],CONCATENATE("&gt;","=",D97),Holieday[date],CONCATENATE("&lt;","=",F97))+SUMIFS(Holieday[Friday],Holieday[date],CONCATENATE("&gt;","=",D97),Holieday[date],CONCATENATE("&lt;","=",F97)),0)</f>
        <v>0</v>
      </c>
      <c r="O97" s="196">
        <f>ROUNDDOWN(M97*L97,0)</f>
        <v>0</v>
      </c>
      <c r="P97" s="196">
        <f>VALUE(J_normdate(J_ADDDAY($D97,$O97,1)))</f>
        <v>13980621</v>
      </c>
      <c r="Q97" s="200">
        <f>L97-O97</f>
        <v>0</v>
      </c>
      <c r="IY97" s="31"/>
      <c r="IZ97" s="43"/>
      <c r="JA97" s="228"/>
      <c r="JB97" s="228"/>
      <c r="JC97" s="228"/>
      <c r="JD97" s="229"/>
    </row>
    <row r="98" spans="1:264" s="231" customFormat="1" ht="15.75" hidden="1" x14ac:dyDescent="0.45">
      <c r="A98" s="206">
        <v>5.0999999999999996</v>
      </c>
      <c r="C98" s="119"/>
      <c r="D98" s="209" t="str">
        <f>IF(OR(j_WEEKDAY(J_ADDDAY(VLOOKUP(I98,A:F,6,FALSE),H98,1),0)=6,SUMIFS(Holieday[ok],Holieday[date],J_ADDDAY(VLOOKUP(I98,A:F,6,FALSE),H98,1)))=FALSE(),J_ADDDAY(VLOOKUP(I98,A:F,6,FALSE),H98,1),IF(OR(j_WEEKDAY(J_ADDDAY(VLOOKUP(I98,A:F,6,FALSE),H98+1,1),0)=6,SUMIFS(Holieday[ok],Holieday[date],J_ADDDAY(VLOOKUP(I98,A:F,6,FALSE),H98+1,1)))=FALSE(),J_ADDDAY(VLOOKUP(I98,A:F,6,FALSE),H98+1,1),IF(OR(j_WEEKDAY(J_ADDDAY(VLOOKUP(I98,A:F,6,FALSE),H98+2,1),0)=6,SUMIFS(Holieday[ok],Holieday[date],J_ADDDAY(VLOOKUP(I98,A:F,6,FALSE),H98+2,1)))=FALSE(),J_ADDDAY(VLOOKUP(I98,A:F,6,FALSE),H98+2,1),IF(OR(j_WEEKDAY(J_ADDDAY(VLOOKUP(I98,A:F,6,FALSE),H98+3,1),0)=6,SUMIFS(Holieday[ok],Holieday[date],J_ADDDAY(VLOOKUP(I98,A:F,6,FALSE),H98+3,1)))=FALSE(),J_ADDDAY(VLOOKUP(I98,A:F,6,FALSE),H98+3,1),IF(OR(j_WEEKDAY(J_ADDDAY(VLOOKUP(I98,A:F,6,FALSE),H98+4,1),0)=6,SUMIFS(Holieday[ok],Holieday[date],J_ADDDAY(VLOOKUP(I98,A:F,6,FALSE),H98+4,1)))=FALSE(),J_ADDDAY(VLOOKUP(I98,A:F,6,FALSE),H98+4,1),J_ADDDAY(VLOOKUP(I98,A:F,6,FALSE),H98+5,1))))))</f>
        <v>1398/06/21</v>
      </c>
      <c r="E98" s="198">
        <f t="shared" si="23"/>
        <v>13980621</v>
      </c>
      <c r="F98" s="209" t="str">
        <f>IF(N98=0,J_SUBDAY(D98,1,1)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0,J_SUBDAY(J_ADDDAY(D98,N98,1)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1,J_SUBDAY(J_ADDDAY(D98,N98+1,1),1,1),IF((N98-NETWORKDAYS.INTL(J_GregorianDate(D98,1),J_GregorianDate(J_SUBDAY(J_ADDDAY(D98,N98,1),1,1),1),16,1)-SUMIFS(Holieday[ok],Holieday[date],CONCATENATE("&gt;","=",D98),Holieday[date],CONCATENATE("&lt;","=",J_SUBDAY(J_ADDDAY(D98,N98,1),1,1)))+SUMIFS(Holieday[Friday],Holieday[date],CONCATENATE("&gt;","=",D98),Holieday[date],CONCATENATE("&lt;","=",J_SUBDAY(J_ADDDAY(D98,N98,1),1,1))))=2,J_SUBDAY(J_ADDDAY(D98,N98+2,1),1,1),J_SUBDAY(J_ADDDAY(D98,N98+3,1),1,1)))))</f>
        <v>1398/06/20</v>
      </c>
      <c r="G98" s="201">
        <f t="shared" si="24"/>
        <v>13980620</v>
      </c>
      <c r="H98" s="121"/>
      <c r="I98" s="122">
        <v>4.3</v>
      </c>
      <c r="J98" s="209" t="str">
        <f>j_WEEKDAY(D98,1)</f>
        <v>پنجشنبه</v>
      </c>
      <c r="K98" s="211">
        <f>SUM(JA98:JC98)</f>
        <v>0</v>
      </c>
      <c r="L98" s="212">
        <f t="shared" ref="L98:L118" si="31">J_DIFF(D98,F98)+1</f>
        <v>0</v>
      </c>
      <c r="M98" s="123">
        <v>0</v>
      </c>
      <c r="N98" s="120">
        <v>0</v>
      </c>
      <c r="O98" s="213">
        <f>ROUNDDOWN(M98*L98,0)</f>
        <v>0</v>
      </c>
      <c r="P98" s="213">
        <f>VALUE(J_normdate(J_ADDDAY($D98,$O98,1)))</f>
        <v>13980621</v>
      </c>
      <c r="Q98" s="209">
        <f>L98-O98</f>
        <v>0</v>
      </c>
      <c r="R98" s="207"/>
      <c r="S98" s="207"/>
      <c r="T98" s="207"/>
      <c r="U98" s="207"/>
      <c r="V98" s="207"/>
      <c r="W98" s="207"/>
      <c r="X98" s="207"/>
      <c r="Y98" s="207"/>
      <c r="Z98" s="207"/>
      <c r="AA98" s="207"/>
      <c r="AB98" s="207"/>
      <c r="AC98" s="207"/>
      <c r="AD98" s="207"/>
      <c r="AE98" s="207"/>
      <c r="AF98" s="207"/>
      <c r="AG98" s="207"/>
      <c r="AH98" s="207"/>
      <c r="AI98" s="207"/>
      <c r="AJ98" s="207"/>
      <c r="AK98" s="207"/>
      <c r="AL98" s="207"/>
      <c r="AM98" s="207"/>
      <c r="AN98" s="207"/>
      <c r="AO98" s="207"/>
      <c r="AP98" s="207"/>
      <c r="AQ98" s="207"/>
      <c r="AR98" s="207"/>
      <c r="AS98" s="207"/>
      <c r="AT98" s="207"/>
      <c r="AU98" s="207"/>
      <c r="AV98" s="207"/>
      <c r="AW98" s="207"/>
      <c r="AX98" s="207"/>
      <c r="AY98" s="207"/>
      <c r="AZ98" s="207"/>
      <c r="BA98" s="207"/>
      <c r="BB98" s="207"/>
      <c r="BC98" s="207"/>
      <c r="BD98" s="207"/>
      <c r="BE98" s="207"/>
      <c r="BF98" s="207"/>
      <c r="BG98" s="207"/>
      <c r="BH98" s="207"/>
      <c r="BI98" s="207"/>
      <c r="BJ98" s="207"/>
      <c r="BK98" s="207"/>
      <c r="BL98" s="207"/>
      <c r="BM98" s="207"/>
      <c r="BN98" s="207"/>
      <c r="BO98" s="207"/>
      <c r="BP98" s="207"/>
      <c r="BQ98" s="207"/>
      <c r="BR98" s="207"/>
      <c r="BS98" s="207"/>
      <c r="BT98" s="207"/>
      <c r="BU98" s="207"/>
      <c r="BV98" s="207"/>
      <c r="BW98" s="207"/>
      <c r="BX98" s="207"/>
      <c r="BY98" s="207"/>
      <c r="BZ98" s="207"/>
      <c r="CA98" s="207"/>
      <c r="CB98" s="207"/>
      <c r="CC98" s="207"/>
      <c r="CD98" s="207"/>
      <c r="CE98" s="207"/>
      <c r="CF98" s="207"/>
      <c r="CG98" s="207"/>
      <c r="CH98" s="207"/>
      <c r="CI98" s="207"/>
      <c r="CJ98" s="207"/>
      <c r="CK98" s="207"/>
      <c r="CL98" s="207"/>
      <c r="CM98" s="207"/>
      <c r="CN98" s="207"/>
      <c r="CO98" s="207"/>
      <c r="CP98" s="207"/>
      <c r="CQ98" s="207"/>
      <c r="CR98" s="207"/>
      <c r="CS98" s="207"/>
      <c r="CT98" s="207"/>
      <c r="CU98" s="207"/>
      <c r="CV98" s="207"/>
      <c r="CW98" s="207"/>
      <c r="CX98" s="207"/>
      <c r="CY98" s="207"/>
      <c r="CZ98" s="207"/>
      <c r="DA98" s="207"/>
      <c r="DB98" s="207"/>
      <c r="DC98" s="207"/>
      <c r="DD98" s="207"/>
      <c r="DE98" s="207"/>
      <c r="DF98" s="207"/>
      <c r="DG98" s="207"/>
      <c r="DH98" s="207"/>
      <c r="DI98" s="207"/>
      <c r="DJ98" s="207"/>
      <c r="DK98" s="207"/>
      <c r="DL98" s="207"/>
      <c r="DM98" s="207"/>
      <c r="DN98" s="207"/>
      <c r="DO98" s="207"/>
      <c r="DP98" s="207"/>
      <c r="DQ98" s="207"/>
      <c r="DR98" s="207"/>
      <c r="DS98" s="207"/>
      <c r="DT98" s="207"/>
      <c r="DU98" s="207"/>
      <c r="DV98" s="207"/>
      <c r="DW98" s="207"/>
      <c r="DX98" s="207"/>
      <c r="DY98" s="207"/>
      <c r="DZ98" s="207"/>
      <c r="EA98" s="207"/>
      <c r="EB98" s="207"/>
      <c r="EC98" s="207"/>
      <c r="ED98" s="207"/>
      <c r="EE98" s="207"/>
      <c r="EF98" s="207"/>
      <c r="EG98" s="207"/>
      <c r="EH98" s="207"/>
      <c r="EI98" s="207"/>
      <c r="EJ98" s="207"/>
      <c r="EK98" s="207"/>
      <c r="EL98" s="207"/>
      <c r="EM98" s="207"/>
      <c r="EN98" s="207"/>
      <c r="EO98" s="207"/>
      <c r="EP98" s="207"/>
      <c r="EQ98" s="207"/>
      <c r="ER98" s="207"/>
      <c r="ES98" s="207"/>
      <c r="ET98" s="207"/>
      <c r="EU98" s="207"/>
      <c r="EV98" s="207"/>
      <c r="EW98" s="207"/>
      <c r="EX98" s="207"/>
      <c r="EY98" s="207"/>
      <c r="EZ98" s="207"/>
      <c r="FA98" s="207"/>
      <c r="FB98" s="207"/>
      <c r="FC98" s="207"/>
      <c r="FD98" s="207"/>
      <c r="FE98" s="207"/>
      <c r="FF98" s="207"/>
      <c r="FG98" s="207"/>
      <c r="FH98" s="207"/>
      <c r="FI98" s="207"/>
      <c r="FJ98" s="207"/>
      <c r="FK98" s="207"/>
      <c r="FL98" s="207"/>
      <c r="FM98" s="207"/>
      <c r="FN98" s="207"/>
      <c r="FO98" s="207"/>
      <c r="FP98" s="207"/>
      <c r="FQ98" s="207"/>
      <c r="FR98" s="207"/>
      <c r="FS98" s="207"/>
      <c r="FT98" s="207"/>
      <c r="FU98" s="207"/>
      <c r="FV98" s="207"/>
      <c r="FW98" s="207"/>
      <c r="FX98" s="207"/>
      <c r="FY98" s="207"/>
      <c r="FZ98" s="207"/>
      <c r="GA98" s="207"/>
      <c r="GB98" s="207"/>
      <c r="GC98" s="207"/>
      <c r="GD98" s="207"/>
      <c r="GE98" s="207"/>
      <c r="GF98" s="207"/>
      <c r="GG98" s="207"/>
      <c r="GH98" s="207"/>
      <c r="GI98" s="207"/>
      <c r="GJ98" s="207"/>
      <c r="GK98" s="207"/>
      <c r="GL98" s="207"/>
      <c r="GM98" s="207"/>
      <c r="GN98" s="207"/>
      <c r="GO98" s="207"/>
      <c r="GP98" s="207"/>
      <c r="GQ98" s="207"/>
      <c r="GR98" s="207"/>
      <c r="GS98" s="207"/>
      <c r="GT98" s="207"/>
      <c r="GU98" s="207"/>
      <c r="GV98" s="207"/>
      <c r="GW98" s="207"/>
      <c r="GX98" s="207"/>
      <c r="GY98" s="207"/>
      <c r="GZ98" s="207"/>
      <c r="HA98" s="207"/>
      <c r="HB98" s="207"/>
      <c r="HC98" s="207"/>
      <c r="HD98" s="207"/>
      <c r="HE98" s="207"/>
      <c r="HF98" s="207"/>
      <c r="HG98" s="207"/>
      <c r="HH98" s="207"/>
      <c r="HI98" s="207"/>
      <c r="HJ98" s="207"/>
      <c r="HK98" s="207"/>
      <c r="HL98" s="207"/>
      <c r="HM98" s="207"/>
      <c r="HN98" s="207"/>
      <c r="HO98" s="207"/>
      <c r="HP98" s="207"/>
      <c r="HQ98" s="207"/>
      <c r="HR98" s="207"/>
      <c r="HS98" s="207"/>
      <c r="HT98" s="207"/>
      <c r="HU98" s="207"/>
      <c r="HV98" s="207"/>
      <c r="HW98" s="207"/>
      <c r="HX98" s="207"/>
      <c r="HY98" s="207"/>
      <c r="HZ98" s="207"/>
      <c r="IA98" s="207"/>
      <c r="IB98" s="207"/>
      <c r="IC98" s="207"/>
      <c r="ID98" s="207"/>
      <c r="IE98" s="207"/>
      <c r="IF98" s="207"/>
      <c r="IG98" s="207"/>
      <c r="IH98" s="207"/>
      <c r="II98" s="207"/>
      <c r="IJ98" s="207"/>
      <c r="IK98" s="207"/>
      <c r="IL98" s="207"/>
      <c r="IM98" s="207"/>
      <c r="IN98" s="207"/>
      <c r="IO98" s="207"/>
      <c r="IP98" s="207"/>
      <c r="IQ98" s="207"/>
      <c r="IR98" s="207"/>
      <c r="IS98" s="207"/>
      <c r="IT98" s="207"/>
      <c r="IU98" s="207"/>
      <c r="IV98" s="207"/>
      <c r="IW98" s="207"/>
      <c r="IX98" s="207"/>
      <c r="IY98" s="32">
        <v>2</v>
      </c>
      <c r="IZ98" s="44">
        <f>(TEXT(K98,"[m]")/60)*VLOOKUP(IY98,'Income Person-hours'!A$2:C$5,3,FALSE)</f>
        <v>0</v>
      </c>
      <c r="JA98" s="124"/>
      <c r="JB98" s="124"/>
      <c r="JC98" s="124"/>
      <c r="JD98" s="232">
        <f>SUM((TEXT(JA98,"[M]")/60)*'Income Person-hours'!$D$3,(TEXT(JB98,"[M]")/60)*'Income Person-hours'!$D$4,(TEXT(JC98,"[M]")/60)*'Income Person-hours'!$D$5)</f>
        <v>0</v>
      </c>
    </row>
    <row r="99" spans="1:264" s="231" customFormat="1" ht="15.75" hidden="1" x14ac:dyDescent="0.45">
      <c r="A99" s="206">
        <v>5.2</v>
      </c>
      <c r="C99" s="119"/>
      <c r="D99" s="210" t="str">
        <f>IF(OR(j_WEEKDAY(J_ADDDAY(VLOOKUP(I99,A:F,6,FALSE),H99,1),0)=6,SUMIFS(Holieday[ok],Holieday[date],J_ADDDAY(VLOOKUP(I99,A:F,6,FALSE),H99,1)))=FALSE(),J_ADDDAY(VLOOKUP(I99,A:F,6,FALSE),H99,1),IF(OR(j_WEEKDAY(J_ADDDAY(VLOOKUP(I99,A:F,6,FALSE),H99+1,1),0)=6,SUMIFS(Holieday[ok],Holieday[date],J_ADDDAY(VLOOKUP(I99,A:F,6,FALSE),H99+1,1)))=FALSE(),J_ADDDAY(VLOOKUP(I99,A:F,6,FALSE),H99+1,1),IF(OR(j_WEEKDAY(J_ADDDAY(VLOOKUP(I99,A:F,6,FALSE),H99+2,1),0)=6,SUMIFS(Holieday[ok],Holieday[date],J_ADDDAY(VLOOKUP(I99,A:F,6,FALSE),H99+2,1)))=FALSE(),J_ADDDAY(VLOOKUP(I99,A:F,6,FALSE),H99+2,1),IF(OR(j_WEEKDAY(J_ADDDAY(VLOOKUP(I99,A:F,6,FALSE),H99+3,1),0)=6,SUMIFS(Holieday[ok],Holieday[date],J_ADDDAY(VLOOKUP(I99,A:F,6,FALSE),H99+3,1)))=FALSE(),J_ADDDAY(VLOOKUP(I99,A:F,6,FALSE),H99+3,1),IF(OR(j_WEEKDAY(J_ADDDAY(VLOOKUP(I99,A:F,6,FALSE),H99+4,1),0)=6,SUMIFS(Holieday[ok],Holieday[date],J_ADDDAY(VLOOKUP(I99,A:F,6,FALSE),H99+4,1)))=FALSE(),J_ADDDAY(VLOOKUP(I99,A:F,6,FALSE),H99+4,1),J_ADDDAY(VLOOKUP(I99,A:F,6,FALSE),H99+5,1))))))</f>
        <v>1398/06/21</v>
      </c>
      <c r="E99" s="198">
        <f t="shared" si="23"/>
        <v>13980621</v>
      </c>
      <c r="F99" s="209" t="str">
        <f>IF(N99=0,J_SUBDAY(D99,1,1)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0,J_SUBDAY(J_ADDDAY(D99,N99,1)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1,J_SUBDAY(J_ADDDAY(D99,N99+1,1),1,1),IF((N99-NETWORKDAYS.INTL(J_GregorianDate(D99,1),J_GregorianDate(J_SUBDAY(J_ADDDAY(D99,N99,1),1,1),1),16,1)-SUMIFS(Holieday[ok],Holieday[date],CONCATENATE("&gt;","=",D99),Holieday[date],CONCATENATE("&lt;","=",J_SUBDAY(J_ADDDAY(D99,N99,1),1,1)))+SUMIFS(Holieday[Friday],Holieday[date],CONCATENATE("&gt;","=",D99),Holieday[date],CONCATENATE("&lt;","=",J_SUBDAY(J_ADDDAY(D99,N99,1),1,1))))=2,J_SUBDAY(J_ADDDAY(D99,N99+2,1),1,1),J_SUBDAY(J_ADDDAY(D99,N99+3,1),1,1)))))</f>
        <v>1398/06/20</v>
      </c>
      <c r="G99" s="201">
        <f t="shared" si="24"/>
        <v>13980620</v>
      </c>
      <c r="H99" s="121"/>
      <c r="I99" s="122">
        <v>4.3</v>
      </c>
      <c r="J99" s="209" t="str">
        <f>j_WEEKDAY(D99,1)</f>
        <v>پنجشنبه</v>
      </c>
      <c r="K99" s="211">
        <f>SUM(JA99:JC99)</f>
        <v>0</v>
      </c>
      <c r="L99" s="212">
        <f t="shared" si="31"/>
        <v>0</v>
      </c>
      <c r="M99" s="123">
        <v>0</v>
      </c>
      <c r="N99" s="120">
        <v>0</v>
      </c>
      <c r="O99" s="213">
        <f t="shared" ref="O99:O118" si="32">ROUNDDOWN(M99*L99,0)</f>
        <v>0</v>
      </c>
      <c r="P99" s="213">
        <f>VALUE(J_normdate(J_ADDDAY($D99,$O99,1)))</f>
        <v>13980621</v>
      </c>
      <c r="Q99" s="209">
        <f t="shared" ref="Q99:Q118" si="33">L99-O99</f>
        <v>0</v>
      </c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  <c r="AC99" s="207"/>
      <c r="AD99" s="207"/>
      <c r="AE99" s="207"/>
      <c r="AF99" s="207"/>
      <c r="AG99" s="207"/>
      <c r="AH99" s="207"/>
      <c r="AI99" s="207"/>
      <c r="AJ99" s="207"/>
      <c r="AK99" s="207"/>
      <c r="AL99" s="207"/>
      <c r="AM99" s="207"/>
      <c r="AN99" s="207"/>
      <c r="AO99" s="207"/>
      <c r="AP99" s="207"/>
      <c r="AQ99" s="207"/>
      <c r="AR99" s="207"/>
      <c r="AS99" s="207"/>
      <c r="AT99" s="207"/>
      <c r="AU99" s="207"/>
      <c r="AV99" s="207"/>
      <c r="AW99" s="207"/>
      <c r="AX99" s="207"/>
      <c r="AY99" s="207"/>
      <c r="AZ99" s="207"/>
      <c r="BA99" s="207"/>
      <c r="BB99" s="207"/>
      <c r="BC99" s="207"/>
      <c r="BD99" s="207"/>
      <c r="BE99" s="207"/>
      <c r="BF99" s="207"/>
      <c r="BG99" s="207"/>
      <c r="BH99" s="207"/>
      <c r="BI99" s="207"/>
      <c r="BJ99" s="207"/>
      <c r="BK99" s="207"/>
      <c r="BL99" s="207"/>
      <c r="BM99" s="207"/>
      <c r="BN99" s="207"/>
      <c r="BO99" s="207"/>
      <c r="BP99" s="207"/>
      <c r="BQ99" s="207"/>
      <c r="BR99" s="207"/>
      <c r="BS99" s="207"/>
      <c r="BT99" s="207"/>
      <c r="BU99" s="207"/>
      <c r="BV99" s="207"/>
      <c r="BW99" s="207"/>
      <c r="BX99" s="207"/>
      <c r="BY99" s="207"/>
      <c r="BZ99" s="207"/>
      <c r="CA99" s="207"/>
      <c r="CB99" s="207"/>
      <c r="CC99" s="207"/>
      <c r="CD99" s="207"/>
      <c r="CE99" s="207"/>
      <c r="CF99" s="207"/>
      <c r="CG99" s="207"/>
      <c r="CH99" s="207"/>
      <c r="CI99" s="207"/>
      <c r="CJ99" s="207"/>
      <c r="CK99" s="207"/>
      <c r="CL99" s="207"/>
      <c r="CM99" s="207"/>
      <c r="CN99" s="207"/>
      <c r="CO99" s="207"/>
      <c r="CP99" s="207"/>
      <c r="CQ99" s="207"/>
      <c r="CR99" s="207"/>
      <c r="CS99" s="207"/>
      <c r="CT99" s="207"/>
      <c r="CU99" s="207"/>
      <c r="CV99" s="207"/>
      <c r="CW99" s="207"/>
      <c r="CX99" s="207"/>
      <c r="CY99" s="207"/>
      <c r="CZ99" s="207"/>
      <c r="DA99" s="207"/>
      <c r="DB99" s="207"/>
      <c r="DC99" s="207"/>
      <c r="DD99" s="207"/>
      <c r="DE99" s="207"/>
      <c r="DF99" s="207"/>
      <c r="DG99" s="207"/>
      <c r="DH99" s="207"/>
      <c r="DI99" s="207"/>
      <c r="DJ99" s="207"/>
      <c r="DK99" s="207"/>
      <c r="DL99" s="207"/>
      <c r="DM99" s="207"/>
      <c r="DN99" s="207"/>
      <c r="DO99" s="207"/>
      <c r="DP99" s="207"/>
      <c r="DQ99" s="207"/>
      <c r="DR99" s="207"/>
      <c r="DS99" s="207"/>
      <c r="DT99" s="207"/>
      <c r="DU99" s="207"/>
      <c r="DV99" s="207"/>
      <c r="DW99" s="207"/>
      <c r="DX99" s="207"/>
      <c r="DY99" s="207"/>
      <c r="DZ99" s="207"/>
      <c r="EA99" s="207"/>
      <c r="EB99" s="207"/>
      <c r="EC99" s="207"/>
      <c r="ED99" s="207"/>
      <c r="EE99" s="207"/>
      <c r="EF99" s="207"/>
      <c r="EG99" s="207"/>
      <c r="EH99" s="207"/>
      <c r="EI99" s="207"/>
      <c r="EJ99" s="207"/>
      <c r="EK99" s="207"/>
      <c r="EL99" s="207"/>
      <c r="EM99" s="207"/>
      <c r="EN99" s="207"/>
      <c r="EO99" s="207"/>
      <c r="EP99" s="207"/>
      <c r="EQ99" s="207"/>
      <c r="ER99" s="207"/>
      <c r="ES99" s="207"/>
      <c r="ET99" s="207"/>
      <c r="EU99" s="207"/>
      <c r="EV99" s="207"/>
      <c r="EW99" s="207"/>
      <c r="EX99" s="207"/>
      <c r="EY99" s="207"/>
      <c r="EZ99" s="207"/>
      <c r="FA99" s="207"/>
      <c r="FB99" s="207"/>
      <c r="FC99" s="207"/>
      <c r="FD99" s="207"/>
      <c r="FE99" s="207"/>
      <c r="FF99" s="207"/>
      <c r="FG99" s="207"/>
      <c r="FH99" s="207"/>
      <c r="FI99" s="207"/>
      <c r="FJ99" s="207"/>
      <c r="FK99" s="207"/>
      <c r="FL99" s="207"/>
      <c r="FM99" s="207"/>
      <c r="FN99" s="207"/>
      <c r="FO99" s="207"/>
      <c r="FP99" s="207"/>
      <c r="FQ99" s="207"/>
      <c r="FR99" s="207"/>
      <c r="FS99" s="207"/>
      <c r="FT99" s="207"/>
      <c r="FU99" s="207"/>
      <c r="FV99" s="207"/>
      <c r="FW99" s="207"/>
      <c r="FX99" s="207"/>
      <c r="FY99" s="207"/>
      <c r="FZ99" s="207"/>
      <c r="GA99" s="207"/>
      <c r="GB99" s="207"/>
      <c r="GC99" s="207"/>
      <c r="GD99" s="207"/>
      <c r="GE99" s="207"/>
      <c r="GF99" s="207"/>
      <c r="GG99" s="207"/>
      <c r="GH99" s="207"/>
      <c r="GI99" s="207"/>
      <c r="GJ99" s="207"/>
      <c r="GK99" s="207"/>
      <c r="GL99" s="207"/>
      <c r="GM99" s="207"/>
      <c r="GN99" s="207"/>
      <c r="GO99" s="207"/>
      <c r="GP99" s="207"/>
      <c r="GQ99" s="207"/>
      <c r="GR99" s="207"/>
      <c r="GS99" s="207"/>
      <c r="GT99" s="207"/>
      <c r="GU99" s="207"/>
      <c r="GV99" s="207"/>
      <c r="GW99" s="207"/>
      <c r="GX99" s="207"/>
      <c r="GY99" s="207"/>
      <c r="GZ99" s="207"/>
      <c r="HA99" s="207"/>
      <c r="HB99" s="207"/>
      <c r="HC99" s="207"/>
      <c r="HD99" s="207"/>
      <c r="HE99" s="207"/>
      <c r="HF99" s="207"/>
      <c r="HG99" s="207"/>
      <c r="HH99" s="207"/>
      <c r="HI99" s="207"/>
      <c r="HJ99" s="207"/>
      <c r="HK99" s="207"/>
      <c r="HL99" s="207"/>
      <c r="HM99" s="207"/>
      <c r="HN99" s="207"/>
      <c r="HO99" s="207"/>
      <c r="HP99" s="207"/>
      <c r="HQ99" s="207"/>
      <c r="HR99" s="207"/>
      <c r="HS99" s="207"/>
      <c r="HT99" s="207"/>
      <c r="HU99" s="207"/>
      <c r="HV99" s="207"/>
      <c r="HW99" s="207"/>
      <c r="HX99" s="207"/>
      <c r="HY99" s="207"/>
      <c r="HZ99" s="207"/>
      <c r="IA99" s="207"/>
      <c r="IB99" s="207"/>
      <c r="IC99" s="207"/>
      <c r="ID99" s="207"/>
      <c r="IE99" s="207"/>
      <c r="IF99" s="207"/>
      <c r="IG99" s="207"/>
      <c r="IH99" s="207"/>
      <c r="II99" s="207"/>
      <c r="IJ99" s="207"/>
      <c r="IK99" s="207"/>
      <c r="IL99" s="207"/>
      <c r="IM99" s="207"/>
      <c r="IN99" s="207"/>
      <c r="IO99" s="207"/>
      <c r="IP99" s="207"/>
      <c r="IQ99" s="207"/>
      <c r="IR99" s="207"/>
      <c r="IS99" s="207"/>
      <c r="IT99" s="207"/>
      <c r="IU99" s="207"/>
      <c r="IV99" s="207"/>
      <c r="IW99" s="207"/>
      <c r="IX99" s="207"/>
      <c r="IY99" s="32">
        <v>2</v>
      </c>
      <c r="IZ99" s="44">
        <f>(TEXT(K99,"[m]")/60)*VLOOKUP(IY99,'Income Person-hours'!A$2:C$5,3,FALSE)</f>
        <v>0</v>
      </c>
      <c r="JA99" s="124"/>
      <c r="JB99" s="124"/>
      <c r="JC99" s="124"/>
      <c r="JD99" s="232">
        <f>SUM((TEXT(JA99,"[M]")/60)*'Income Person-hours'!$D$3,(TEXT(JB99,"[M]")/60)*'Income Person-hours'!$D$4,(TEXT(JC99,"[M]")/60)*'Income Person-hours'!$D$5)</f>
        <v>0</v>
      </c>
    </row>
    <row r="100" spans="1:264" s="231" customFormat="1" ht="15.75" hidden="1" x14ac:dyDescent="0.45">
      <c r="A100" s="214">
        <v>5.3</v>
      </c>
      <c r="C100" s="119"/>
      <c r="D100" s="209" t="str">
        <f>IF(OR(j_WEEKDAY(J_ADDDAY(VLOOKUP(I100,A:F,6,FALSE),H100,1),0)=6,SUMIFS(Holieday[ok],Holieday[date],J_ADDDAY(VLOOKUP(I100,A:F,6,FALSE),H100,1)))=FALSE(),J_ADDDAY(VLOOKUP(I100,A:F,6,FALSE),H100,1),IF(OR(j_WEEKDAY(J_ADDDAY(VLOOKUP(I100,A:F,6,FALSE),H100+1,1),0)=6,SUMIFS(Holieday[ok],Holieday[date],J_ADDDAY(VLOOKUP(I100,A:F,6,FALSE),H100+1,1)))=FALSE(),J_ADDDAY(VLOOKUP(I100,A:F,6,FALSE),H100+1,1),IF(OR(j_WEEKDAY(J_ADDDAY(VLOOKUP(I100,A:F,6,FALSE),H100+2,1),0)=6,SUMIFS(Holieday[ok],Holieday[date],J_ADDDAY(VLOOKUP(I100,A:F,6,FALSE),H100+2,1)))=FALSE(),J_ADDDAY(VLOOKUP(I100,A:F,6,FALSE),H100+2,1),IF(OR(j_WEEKDAY(J_ADDDAY(VLOOKUP(I100,A:F,6,FALSE),H100+3,1),0)=6,SUMIFS(Holieday[ok],Holieday[date],J_ADDDAY(VLOOKUP(I100,A:F,6,FALSE),H100+3,1)))=FALSE(),J_ADDDAY(VLOOKUP(I100,A:F,6,FALSE),H100+3,1),IF(OR(j_WEEKDAY(J_ADDDAY(VLOOKUP(I100,A:F,6,FALSE),H100+4,1),0)=6,SUMIFS(Holieday[ok],Holieday[date],J_ADDDAY(VLOOKUP(I100,A:F,6,FALSE),H100+4,1)))=FALSE(),J_ADDDAY(VLOOKUP(I100,A:F,6,FALSE),H100+4,1),J_ADDDAY(VLOOKUP(I100,A:F,6,FALSE),H100+5,1))))))</f>
        <v>1398/06/21</v>
      </c>
      <c r="E100" s="198">
        <f t="shared" si="23"/>
        <v>13980621</v>
      </c>
      <c r="F100" s="209" t="str">
        <f>IF(N100=0,J_SUBDAY(D100,1,1)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0,J_SUBDAY(J_ADDDAY(D100,N100,1)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1,J_SUBDAY(J_ADDDAY(D100,N100+1,1),1,1),IF((N100-NETWORKDAYS.INTL(J_GregorianDate(D100,1),J_GregorianDate(J_SUBDAY(J_ADDDAY(D100,N100,1),1,1),1),16,1)-SUMIFS(Holieday[ok],Holieday[date],CONCATENATE("&gt;","=",D100),Holieday[date],CONCATENATE("&lt;","=",J_SUBDAY(J_ADDDAY(D100,N100,1),1,1)))+SUMIFS(Holieday[Friday],Holieday[date],CONCATENATE("&gt;","=",D100),Holieday[date],CONCATENATE("&lt;","=",J_SUBDAY(J_ADDDAY(D100,N100,1),1,1))))=2,J_SUBDAY(J_ADDDAY(D100,N100+2,1),1,1),J_SUBDAY(J_ADDDAY(D100,N100+3,1),1,1)))))</f>
        <v>1398/06/20</v>
      </c>
      <c r="G100" s="201">
        <f t="shared" si="24"/>
        <v>13980620</v>
      </c>
      <c r="H100" s="121"/>
      <c r="I100" s="122">
        <v>4.3</v>
      </c>
      <c r="J100" s="209" t="str">
        <f>j_WEEKDAY(D100,1)</f>
        <v>پنجشنبه</v>
      </c>
      <c r="K100" s="211">
        <f>SUM(JA100:JC100)</f>
        <v>0</v>
      </c>
      <c r="L100" s="212">
        <f t="shared" si="31"/>
        <v>0</v>
      </c>
      <c r="M100" s="123">
        <v>0</v>
      </c>
      <c r="N100" s="120">
        <v>0</v>
      </c>
      <c r="O100" s="213">
        <f t="shared" si="32"/>
        <v>0</v>
      </c>
      <c r="P100" s="213">
        <f>VALUE(J_normdate(J_ADDDAY($D100,$O100,1)))</f>
        <v>13980621</v>
      </c>
      <c r="Q100" s="209">
        <f t="shared" si="33"/>
        <v>0</v>
      </c>
      <c r="R100" s="207"/>
      <c r="S100" s="207"/>
      <c r="T100" s="207"/>
      <c r="U100" s="207"/>
      <c r="V100" s="207"/>
      <c r="W100" s="207"/>
      <c r="X100" s="207"/>
      <c r="Y100" s="207"/>
      <c r="Z100" s="207"/>
      <c r="AA100" s="207"/>
      <c r="AB100" s="207"/>
      <c r="AC100" s="207"/>
      <c r="AD100" s="207"/>
      <c r="AE100" s="207"/>
      <c r="AF100" s="207"/>
      <c r="AG100" s="207"/>
      <c r="AH100" s="207"/>
      <c r="AI100" s="207"/>
      <c r="AJ100" s="207"/>
      <c r="AK100" s="207"/>
      <c r="AL100" s="207"/>
      <c r="AM100" s="207"/>
      <c r="AN100" s="207"/>
      <c r="AO100" s="207"/>
      <c r="AP100" s="207"/>
      <c r="AQ100" s="207"/>
      <c r="AR100" s="207"/>
      <c r="AS100" s="207"/>
      <c r="AT100" s="207"/>
      <c r="AU100" s="207"/>
      <c r="AV100" s="207"/>
      <c r="AW100" s="207"/>
      <c r="AX100" s="207"/>
      <c r="AY100" s="207"/>
      <c r="AZ100" s="207"/>
      <c r="BA100" s="207"/>
      <c r="BB100" s="207"/>
      <c r="BC100" s="207"/>
      <c r="BD100" s="207"/>
      <c r="BE100" s="207"/>
      <c r="BF100" s="207"/>
      <c r="BG100" s="207"/>
      <c r="BH100" s="207"/>
      <c r="BI100" s="207"/>
      <c r="BJ100" s="207"/>
      <c r="BK100" s="207"/>
      <c r="BL100" s="207"/>
      <c r="BM100" s="207"/>
      <c r="BN100" s="207"/>
      <c r="BO100" s="207"/>
      <c r="BP100" s="207"/>
      <c r="BQ100" s="207"/>
      <c r="BR100" s="207"/>
      <c r="BS100" s="207"/>
      <c r="BT100" s="207"/>
      <c r="BU100" s="207"/>
      <c r="BV100" s="207"/>
      <c r="BW100" s="207"/>
      <c r="BX100" s="207"/>
      <c r="BY100" s="207"/>
      <c r="BZ100" s="207"/>
      <c r="CA100" s="207"/>
      <c r="CB100" s="207"/>
      <c r="CC100" s="207"/>
      <c r="CD100" s="207"/>
      <c r="CE100" s="207"/>
      <c r="CF100" s="207"/>
      <c r="CG100" s="207"/>
      <c r="CH100" s="207"/>
      <c r="CI100" s="207"/>
      <c r="CJ100" s="207"/>
      <c r="CK100" s="207"/>
      <c r="CL100" s="207"/>
      <c r="CM100" s="207"/>
      <c r="CN100" s="207"/>
      <c r="CO100" s="207"/>
      <c r="CP100" s="207"/>
      <c r="CQ100" s="207"/>
      <c r="CR100" s="207"/>
      <c r="CS100" s="207"/>
      <c r="CT100" s="207"/>
      <c r="CU100" s="207"/>
      <c r="CV100" s="207"/>
      <c r="CW100" s="207"/>
      <c r="CX100" s="207"/>
      <c r="CY100" s="207"/>
      <c r="CZ100" s="207"/>
      <c r="DA100" s="207"/>
      <c r="DB100" s="207"/>
      <c r="DC100" s="207"/>
      <c r="DD100" s="207"/>
      <c r="DE100" s="207"/>
      <c r="DF100" s="207"/>
      <c r="DG100" s="207"/>
      <c r="DH100" s="207"/>
      <c r="DI100" s="207"/>
      <c r="DJ100" s="207"/>
      <c r="DK100" s="207"/>
      <c r="DL100" s="207"/>
      <c r="DM100" s="207"/>
      <c r="DN100" s="207"/>
      <c r="DO100" s="207"/>
      <c r="DP100" s="207"/>
      <c r="DQ100" s="207"/>
      <c r="DR100" s="207"/>
      <c r="DS100" s="207"/>
      <c r="DT100" s="207"/>
      <c r="DU100" s="207"/>
      <c r="DV100" s="207"/>
      <c r="DW100" s="207"/>
      <c r="DX100" s="207"/>
      <c r="DY100" s="207"/>
      <c r="DZ100" s="207"/>
      <c r="EA100" s="207"/>
      <c r="EB100" s="207"/>
      <c r="EC100" s="207"/>
      <c r="ED100" s="207"/>
      <c r="EE100" s="207"/>
      <c r="EF100" s="207"/>
      <c r="EG100" s="207"/>
      <c r="EH100" s="207"/>
      <c r="EI100" s="207"/>
      <c r="EJ100" s="207"/>
      <c r="EK100" s="207"/>
      <c r="EL100" s="207"/>
      <c r="EM100" s="207"/>
      <c r="EN100" s="207"/>
      <c r="EO100" s="207"/>
      <c r="EP100" s="207"/>
      <c r="EQ100" s="207"/>
      <c r="ER100" s="207"/>
      <c r="ES100" s="207"/>
      <c r="ET100" s="207"/>
      <c r="EU100" s="207"/>
      <c r="EV100" s="207"/>
      <c r="EW100" s="207"/>
      <c r="EX100" s="207"/>
      <c r="EY100" s="207"/>
      <c r="EZ100" s="207"/>
      <c r="FA100" s="207"/>
      <c r="FB100" s="207"/>
      <c r="FC100" s="207"/>
      <c r="FD100" s="207"/>
      <c r="FE100" s="207"/>
      <c r="FF100" s="207"/>
      <c r="FG100" s="207"/>
      <c r="FH100" s="207"/>
      <c r="FI100" s="207"/>
      <c r="FJ100" s="207"/>
      <c r="FK100" s="207"/>
      <c r="FL100" s="207"/>
      <c r="FM100" s="207"/>
      <c r="FN100" s="207"/>
      <c r="FO100" s="207"/>
      <c r="FP100" s="207"/>
      <c r="FQ100" s="207"/>
      <c r="FR100" s="207"/>
      <c r="FS100" s="207"/>
      <c r="FT100" s="207"/>
      <c r="FU100" s="207"/>
      <c r="FV100" s="207"/>
      <c r="FW100" s="207"/>
      <c r="FX100" s="207"/>
      <c r="FY100" s="207"/>
      <c r="FZ100" s="207"/>
      <c r="GA100" s="207"/>
      <c r="GB100" s="207"/>
      <c r="GC100" s="207"/>
      <c r="GD100" s="207"/>
      <c r="GE100" s="207"/>
      <c r="GF100" s="207"/>
      <c r="GG100" s="207"/>
      <c r="GH100" s="207"/>
      <c r="GI100" s="207"/>
      <c r="GJ100" s="207"/>
      <c r="GK100" s="207"/>
      <c r="GL100" s="207"/>
      <c r="GM100" s="207"/>
      <c r="GN100" s="207"/>
      <c r="GO100" s="207"/>
      <c r="GP100" s="207"/>
      <c r="GQ100" s="207"/>
      <c r="GR100" s="207"/>
      <c r="GS100" s="207"/>
      <c r="GT100" s="207"/>
      <c r="GU100" s="207"/>
      <c r="GV100" s="207"/>
      <c r="GW100" s="207"/>
      <c r="GX100" s="207"/>
      <c r="GY100" s="207"/>
      <c r="GZ100" s="207"/>
      <c r="HA100" s="207"/>
      <c r="HB100" s="207"/>
      <c r="HC100" s="207"/>
      <c r="HD100" s="207"/>
      <c r="HE100" s="207"/>
      <c r="HF100" s="207"/>
      <c r="HG100" s="207"/>
      <c r="HH100" s="207"/>
      <c r="HI100" s="207"/>
      <c r="HJ100" s="207"/>
      <c r="HK100" s="207"/>
      <c r="HL100" s="207"/>
      <c r="HM100" s="207"/>
      <c r="HN100" s="207"/>
      <c r="HO100" s="207"/>
      <c r="HP100" s="207"/>
      <c r="HQ100" s="207"/>
      <c r="HR100" s="207"/>
      <c r="HS100" s="207"/>
      <c r="HT100" s="207"/>
      <c r="HU100" s="207"/>
      <c r="HV100" s="207"/>
      <c r="HW100" s="207"/>
      <c r="HX100" s="207"/>
      <c r="HY100" s="207"/>
      <c r="HZ100" s="207"/>
      <c r="IA100" s="207"/>
      <c r="IB100" s="207"/>
      <c r="IC100" s="207"/>
      <c r="ID100" s="207"/>
      <c r="IE100" s="207"/>
      <c r="IF100" s="207"/>
      <c r="IG100" s="207"/>
      <c r="IH100" s="207"/>
      <c r="II100" s="207"/>
      <c r="IJ100" s="207"/>
      <c r="IK100" s="207"/>
      <c r="IL100" s="207"/>
      <c r="IM100" s="207"/>
      <c r="IN100" s="207"/>
      <c r="IO100" s="207"/>
      <c r="IP100" s="207"/>
      <c r="IQ100" s="207"/>
      <c r="IR100" s="207"/>
      <c r="IS100" s="207"/>
      <c r="IT100" s="207"/>
      <c r="IU100" s="207"/>
      <c r="IV100" s="207"/>
      <c r="IW100" s="207"/>
      <c r="IX100" s="207"/>
      <c r="IY100" s="32">
        <v>3</v>
      </c>
      <c r="IZ100" s="44">
        <f>(TEXT(K100,"[m]")/60)*VLOOKUP(IY100,'Income Person-hours'!A$2:C$5,3,FALSE)</f>
        <v>0</v>
      </c>
      <c r="JA100" s="124"/>
      <c r="JB100" s="124"/>
      <c r="JC100" s="124"/>
      <c r="JD100" s="232">
        <f>SUM((TEXT(JA100,"[M]")/60)*'Income Person-hours'!$D$3,(TEXT(JB100,"[M]")/60)*'Income Person-hours'!$D$4,(TEXT(JC100,"[M]")/60)*'Income Person-hours'!$D$5)</f>
        <v>0</v>
      </c>
    </row>
    <row r="101" spans="1:264" s="12" customFormat="1" ht="15.75" hidden="1" x14ac:dyDescent="0.45">
      <c r="A101" s="206">
        <v>5.4</v>
      </c>
      <c r="B101" s="128"/>
      <c r="C101" s="119"/>
      <c r="D101" s="13" t="str">
        <f>IF(OR(j_WEEKDAY(J_ADDDAY(VLOOKUP(I101,A:F,6,FALSE),H101,1),0)=6,SUMIFS(Holieday[ok],Holieday[date],J_ADDDAY(VLOOKUP(I101,A:F,6,FALSE),H101,1)))=FALSE(),J_ADDDAY(VLOOKUP(I101,A:F,6,FALSE),H101,1),IF(OR(j_WEEKDAY(J_ADDDAY(VLOOKUP(I101,A:F,6,FALSE),H101+1,1),0)=6,SUMIFS(Holieday[ok],Holieday[date],J_ADDDAY(VLOOKUP(I101,A:F,6,FALSE),H101+1,1)))=FALSE(),J_ADDDAY(VLOOKUP(I101,A:F,6,FALSE),H101+1,1),IF(OR(j_WEEKDAY(J_ADDDAY(VLOOKUP(I101,A:F,6,FALSE),H101+2,1),0)=6,SUMIFS(Holieday[ok],Holieday[date],J_ADDDAY(VLOOKUP(I101,A:F,6,FALSE),H101+2,1)))=FALSE(),J_ADDDAY(VLOOKUP(I101,A:F,6,FALSE),H101+2,1),IF(OR(j_WEEKDAY(J_ADDDAY(VLOOKUP(I101,A:F,6,FALSE),H101+3,1),0)=6,SUMIFS(Holieday[ok],Holieday[date],J_ADDDAY(VLOOKUP(I101,A:F,6,FALSE),H101+3,1)))=FALSE(),J_ADDDAY(VLOOKUP(I101,A:F,6,FALSE),H101+3,1),IF(OR(j_WEEKDAY(J_ADDDAY(VLOOKUP(I101,A:F,6,FALSE),H101+4,1),0)=6,SUMIFS(Holieday[ok],Holieday[date],J_ADDDAY(VLOOKUP(I101,A:F,6,FALSE),H101+4,1)))=FALSE(),J_ADDDAY(VLOOKUP(I101,A:F,6,FALSE),H101+4,1),J_ADDDAY(VLOOKUP(I101,A:F,6,FALSE),H101+5,1))))))</f>
        <v>1398/06/21</v>
      </c>
      <c r="E101" s="2">
        <f t="shared" si="23"/>
        <v>13980621</v>
      </c>
      <c r="F101" s="13" t="str">
        <f>IF(N101=0,J_SUBDAY(D101,1,1)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0,J_SUBDAY(J_ADDDAY(D101,N101,1)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1,J_SUBDAY(J_ADDDAY(D101,N101+1,1),1,1),IF((N101-NETWORKDAYS.INTL(J_GregorianDate(D101,1),J_GregorianDate(J_SUBDAY(J_ADDDAY(D101,N101,1),1,1),1),16,1)-SUMIFS(Holieday[ok],Holieday[date],CONCATENATE("&gt;","=",D101),Holieday[date],CONCATENATE("&lt;","=",J_SUBDAY(J_ADDDAY(D101,N101,1),1,1)))+SUMIFS(Holieday[Friday],Holieday[date],CONCATENATE("&gt;","=",D101),Holieday[date],CONCATENATE("&lt;","=",J_SUBDAY(J_ADDDAY(D101,N101,1),1,1))))=2,J_SUBDAY(J_ADDDAY(D101,N101+2,1),1,1),J_SUBDAY(J_ADDDAY(D101,N101+3,1),1,1)))))</f>
        <v>1398/06/20</v>
      </c>
      <c r="G101" s="3">
        <f t="shared" si="24"/>
        <v>13980620</v>
      </c>
      <c r="H101" s="121"/>
      <c r="I101" s="122">
        <v>4.3</v>
      </c>
      <c r="J101" s="10" t="str">
        <f>j_WEEKDAY(D101,1)</f>
        <v>پنجشنبه</v>
      </c>
      <c r="K101" s="23">
        <f>SUM(JA101:JC101)</f>
        <v>0</v>
      </c>
      <c r="L101" s="9">
        <f t="shared" si="31"/>
        <v>0</v>
      </c>
      <c r="M101" s="123">
        <v>0</v>
      </c>
      <c r="N101" s="120">
        <v>0</v>
      </c>
      <c r="O101" s="11">
        <f t="shared" si="32"/>
        <v>0</v>
      </c>
      <c r="P101" s="11">
        <f>VALUE(J_normdate(J_ADDDAY($D101,$O101,1)))</f>
        <v>13980621</v>
      </c>
      <c r="Q101" s="10">
        <f t="shared" si="33"/>
        <v>0</v>
      </c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  <c r="ES101" s="8"/>
      <c r="ET101" s="8"/>
      <c r="EU101" s="8"/>
      <c r="EV101" s="8"/>
      <c r="EW101" s="8"/>
      <c r="EX101" s="8"/>
      <c r="EY101" s="8"/>
      <c r="EZ101" s="8"/>
      <c r="FA101" s="8"/>
      <c r="FB101" s="8"/>
      <c r="FC101" s="8"/>
      <c r="FD101" s="8"/>
      <c r="FE101" s="8"/>
      <c r="FF101" s="8"/>
      <c r="FG101" s="8"/>
      <c r="FH101" s="8"/>
      <c r="FI101" s="8"/>
      <c r="FJ101" s="8"/>
      <c r="FK101" s="8"/>
      <c r="FL101" s="8"/>
      <c r="FM101" s="8"/>
      <c r="FN101" s="8"/>
      <c r="FO101" s="8"/>
      <c r="FP101" s="8"/>
      <c r="FQ101" s="8"/>
      <c r="FR101" s="8"/>
      <c r="FS101" s="8"/>
      <c r="FT101" s="8"/>
      <c r="FU101" s="8"/>
      <c r="FV101" s="8"/>
      <c r="FW101" s="8"/>
      <c r="FX101" s="8"/>
      <c r="FY101" s="8"/>
      <c r="FZ101" s="8"/>
      <c r="GA101" s="8"/>
      <c r="GB101" s="8"/>
      <c r="GC101" s="8"/>
      <c r="GD101" s="8"/>
      <c r="GE101" s="8"/>
      <c r="GF101" s="8"/>
      <c r="GG101" s="8"/>
      <c r="GH101" s="8"/>
      <c r="GI101" s="8"/>
      <c r="GJ101" s="8"/>
      <c r="GK101" s="8"/>
      <c r="GL101" s="8"/>
      <c r="GM101" s="8"/>
      <c r="GN101" s="8"/>
      <c r="GO101" s="8"/>
      <c r="GP101" s="8"/>
      <c r="GQ101" s="8"/>
      <c r="GR101" s="8"/>
      <c r="GS101" s="8"/>
      <c r="GT101" s="8"/>
      <c r="GU101" s="8"/>
      <c r="GV101" s="8"/>
      <c r="GW101" s="8"/>
      <c r="GX101" s="8"/>
      <c r="GY101" s="8"/>
      <c r="GZ101" s="8"/>
      <c r="HA101" s="8"/>
      <c r="HB101" s="8"/>
      <c r="HC101" s="8"/>
      <c r="HD101" s="8"/>
      <c r="HE101" s="8"/>
      <c r="HF101" s="8"/>
      <c r="HG101" s="8"/>
      <c r="HH101" s="8"/>
      <c r="HI101" s="8"/>
      <c r="HJ101" s="8"/>
      <c r="HK101" s="8"/>
      <c r="HL101" s="8"/>
      <c r="HM101" s="8"/>
      <c r="HN101" s="8"/>
      <c r="HO101" s="8"/>
      <c r="HP101" s="8"/>
      <c r="HQ101" s="8"/>
      <c r="HR101" s="8"/>
      <c r="HS101" s="8"/>
      <c r="HT101" s="8"/>
      <c r="HU101" s="8"/>
      <c r="HV101" s="8"/>
      <c r="HW101" s="8"/>
      <c r="HX101" s="8"/>
      <c r="HY101" s="8"/>
      <c r="HZ101" s="8"/>
      <c r="IA101" s="8"/>
      <c r="IB101" s="8"/>
      <c r="IC101" s="8"/>
      <c r="ID101" s="8"/>
      <c r="IE101" s="8"/>
      <c r="IF101" s="8"/>
      <c r="IG101" s="8"/>
      <c r="IH101" s="8"/>
      <c r="II101" s="8"/>
      <c r="IJ101" s="8"/>
      <c r="IK101" s="8"/>
      <c r="IL101" s="8"/>
      <c r="IM101" s="8"/>
      <c r="IN101" s="8"/>
      <c r="IO101" s="8"/>
      <c r="IP101" s="8"/>
      <c r="IQ101" s="8"/>
      <c r="IR101" s="8"/>
      <c r="IS101" s="8"/>
      <c r="IT101" s="8"/>
      <c r="IU101" s="8"/>
      <c r="IV101" s="8"/>
      <c r="IW101" s="8"/>
      <c r="IX101" s="8"/>
      <c r="IY101" s="32">
        <v>3</v>
      </c>
      <c r="IZ101" s="44">
        <f>(TEXT(K101,"[m]")/60)*VLOOKUP(IY101,'Income Person-hours'!A$2:C$5,3,FALSE)</f>
        <v>0</v>
      </c>
      <c r="JA101" s="124"/>
      <c r="JB101" s="124"/>
      <c r="JC101" s="124"/>
      <c r="JD101" s="72">
        <f>SUM((TEXT(JA101,"[M]")/60)*'Income Person-hours'!$D$3,(TEXT(JB101,"[M]")/60)*'Income Person-hours'!$D$4,(TEXT(JC101,"[M]")/60)*'Income Person-hours'!$D$5)</f>
        <v>0</v>
      </c>
    </row>
    <row r="102" spans="1:264" s="12" customFormat="1" ht="15.75" hidden="1" x14ac:dyDescent="0.45">
      <c r="A102" s="206">
        <v>5.5</v>
      </c>
      <c r="B102" s="128"/>
      <c r="C102" s="119"/>
      <c r="D102" s="13" t="str">
        <f>IF(OR(j_WEEKDAY(J_ADDDAY(VLOOKUP(I102,A:F,6,FALSE),H102,1),0)=6,SUMIFS(Holieday[ok],Holieday[date],J_ADDDAY(VLOOKUP(I102,A:F,6,FALSE),H102,1)))=FALSE(),J_ADDDAY(VLOOKUP(I102,A:F,6,FALSE),H102,1),IF(OR(j_WEEKDAY(J_ADDDAY(VLOOKUP(I102,A:F,6,FALSE),H102+1,1),0)=6,SUMIFS(Holieday[ok],Holieday[date],J_ADDDAY(VLOOKUP(I102,A:F,6,FALSE),H102+1,1)))=FALSE(),J_ADDDAY(VLOOKUP(I102,A:F,6,FALSE),H102+1,1),IF(OR(j_WEEKDAY(J_ADDDAY(VLOOKUP(I102,A:F,6,FALSE),H102+2,1),0)=6,SUMIFS(Holieday[ok],Holieday[date],J_ADDDAY(VLOOKUP(I102,A:F,6,FALSE),H102+2,1)))=FALSE(),J_ADDDAY(VLOOKUP(I102,A:F,6,FALSE),H102+2,1),IF(OR(j_WEEKDAY(J_ADDDAY(VLOOKUP(I102,A:F,6,FALSE),H102+3,1),0)=6,SUMIFS(Holieday[ok],Holieday[date],J_ADDDAY(VLOOKUP(I102,A:F,6,FALSE),H102+3,1)))=FALSE(),J_ADDDAY(VLOOKUP(I102,A:F,6,FALSE),H102+3,1),IF(OR(j_WEEKDAY(J_ADDDAY(VLOOKUP(I102,A:F,6,FALSE),H102+4,1),0)=6,SUMIFS(Holieday[ok],Holieday[date],J_ADDDAY(VLOOKUP(I102,A:F,6,FALSE),H102+4,1)))=FALSE(),J_ADDDAY(VLOOKUP(I102,A:F,6,FALSE),H102+4,1),J_ADDDAY(VLOOKUP(I102,A:F,6,FALSE),H102+5,1))))))</f>
        <v>1398/06/21</v>
      </c>
      <c r="E102" s="2">
        <f t="shared" si="23"/>
        <v>13980621</v>
      </c>
      <c r="F102" s="13" t="str">
        <f>IF(N102=0,J_SUBDAY(D102,1,1)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0,J_SUBDAY(J_ADDDAY(D102,N102,1)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1,J_SUBDAY(J_ADDDAY(D102,N102+1,1),1,1),IF((N102-NETWORKDAYS.INTL(J_GregorianDate(D102,1),J_GregorianDate(J_SUBDAY(J_ADDDAY(D102,N102,1),1,1),1),16,1)-SUMIFS(Holieday[ok],Holieday[date],CONCATENATE("&gt;","=",D102),Holieday[date],CONCATENATE("&lt;","=",J_SUBDAY(J_ADDDAY(D102,N102,1),1,1)))+SUMIFS(Holieday[Friday],Holieday[date],CONCATENATE("&gt;","=",D102),Holieday[date],CONCATENATE("&lt;","=",J_SUBDAY(J_ADDDAY(D102,N102,1),1,1))))=2,J_SUBDAY(J_ADDDAY(D102,N102+2,1),1,1),J_SUBDAY(J_ADDDAY(D102,N102+3,1),1,1)))))</f>
        <v>1398/06/20</v>
      </c>
      <c r="G102" s="3">
        <f t="shared" si="24"/>
        <v>13980620</v>
      </c>
      <c r="H102" s="121"/>
      <c r="I102" s="122">
        <v>4.3</v>
      </c>
      <c r="J102" s="10" t="str">
        <f>j_WEEKDAY(D102,1)</f>
        <v>پنجشنبه</v>
      </c>
      <c r="K102" s="23">
        <f t="shared" ref="K102:K118" si="34">SUM(JA102:JC102)</f>
        <v>0</v>
      </c>
      <c r="L102" s="9">
        <f t="shared" si="31"/>
        <v>0</v>
      </c>
      <c r="M102" s="123">
        <v>0</v>
      </c>
      <c r="N102" s="120">
        <v>0</v>
      </c>
      <c r="O102" s="11">
        <f t="shared" si="32"/>
        <v>0</v>
      </c>
      <c r="P102" s="11">
        <f>VALUE(J_normdate(J_ADDDAY($D102,$O102,1)))</f>
        <v>13980621</v>
      </c>
      <c r="Q102" s="10">
        <f t="shared" si="33"/>
        <v>0</v>
      </c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  <c r="ES102" s="8"/>
      <c r="ET102" s="8"/>
      <c r="EU102" s="8"/>
      <c r="EV102" s="8"/>
      <c r="EW102" s="8"/>
      <c r="EX102" s="8"/>
      <c r="EY102" s="8"/>
      <c r="EZ102" s="8"/>
      <c r="FA102" s="8"/>
      <c r="FB102" s="8"/>
      <c r="FC102" s="8"/>
      <c r="FD102" s="8"/>
      <c r="FE102" s="8"/>
      <c r="FF102" s="8"/>
      <c r="FG102" s="8"/>
      <c r="FH102" s="8"/>
      <c r="FI102" s="8"/>
      <c r="FJ102" s="8"/>
      <c r="FK102" s="8"/>
      <c r="FL102" s="8"/>
      <c r="FM102" s="8"/>
      <c r="FN102" s="8"/>
      <c r="FO102" s="8"/>
      <c r="FP102" s="8"/>
      <c r="FQ102" s="8"/>
      <c r="FR102" s="8"/>
      <c r="FS102" s="8"/>
      <c r="FT102" s="8"/>
      <c r="FU102" s="8"/>
      <c r="FV102" s="8"/>
      <c r="FW102" s="8"/>
      <c r="FX102" s="8"/>
      <c r="FY102" s="8"/>
      <c r="FZ102" s="8"/>
      <c r="GA102" s="8"/>
      <c r="GB102" s="8"/>
      <c r="GC102" s="8"/>
      <c r="GD102" s="8"/>
      <c r="GE102" s="8"/>
      <c r="GF102" s="8"/>
      <c r="GG102" s="8"/>
      <c r="GH102" s="8"/>
      <c r="GI102" s="8"/>
      <c r="GJ102" s="8"/>
      <c r="GK102" s="8"/>
      <c r="GL102" s="8"/>
      <c r="GM102" s="8"/>
      <c r="GN102" s="8"/>
      <c r="GO102" s="8"/>
      <c r="GP102" s="8"/>
      <c r="GQ102" s="8"/>
      <c r="GR102" s="8"/>
      <c r="GS102" s="8"/>
      <c r="GT102" s="8"/>
      <c r="GU102" s="8"/>
      <c r="GV102" s="8"/>
      <c r="GW102" s="8"/>
      <c r="GX102" s="8"/>
      <c r="GY102" s="8"/>
      <c r="GZ102" s="8"/>
      <c r="HA102" s="8"/>
      <c r="HB102" s="8"/>
      <c r="HC102" s="8"/>
      <c r="HD102" s="8"/>
      <c r="HE102" s="8"/>
      <c r="HF102" s="8"/>
      <c r="HG102" s="8"/>
      <c r="HH102" s="8"/>
      <c r="HI102" s="8"/>
      <c r="HJ102" s="8"/>
      <c r="HK102" s="8"/>
      <c r="HL102" s="8"/>
      <c r="HM102" s="8"/>
      <c r="HN102" s="8"/>
      <c r="HO102" s="8"/>
      <c r="HP102" s="8"/>
      <c r="HQ102" s="8"/>
      <c r="HR102" s="8"/>
      <c r="HS102" s="8"/>
      <c r="HT102" s="8"/>
      <c r="HU102" s="8"/>
      <c r="HV102" s="8"/>
      <c r="HW102" s="8"/>
      <c r="HX102" s="8"/>
      <c r="HY102" s="8"/>
      <c r="HZ102" s="8"/>
      <c r="IA102" s="8"/>
      <c r="IB102" s="8"/>
      <c r="IC102" s="8"/>
      <c r="ID102" s="8"/>
      <c r="IE102" s="8"/>
      <c r="IF102" s="8"/>
      <c r="IG102" s="8"/>
      <c r="IH102" s="8"/>
      <c r="II102" s="8"/>
      <c r="IJ102" s="8"/>
      <c r="IK102" s="8"/>
      <c r="IL102" s="8"/>
      <c r="IM102" s="8"/>
      <c r="IN102" s="8"/>
      <c r="IO102" s="8"/>
      <c r="IP102" s="8"/>
      <c r="IQ102" s="8"/>
      <c r="IR102" s="8"/>
      <c r="IS102" s="8"/>
      <c r="IT102" s="8"/>
      <c r="IU102" s="8"/>
      <c r="IV102" s="8"/>
      <c r="IW102" s="8"/>
      <c r="IX102" s="8"/>
      <c r="JA102" s="125"/>
      <c r="JB102" s="125"/>
      <c r="JC102" s="125"/>
      <c r="JD102" s="72">
        <f>SUM((TEXT(JA102,"[M]")/60)*'Income Person-hours'!$D$3,(TEXT(JB102,"[M]")/60)*'Income Person-hours'!$D$4,(TEXT(JC102,"[M]")/60)*'Income Person-hours'!$D$5)</f>
        <v>0</v>
      </c>
    </row>
    <row r="103" spans="1:264" s="12" customFormat="1" ht="15.75" hidden="1" x14ac:dyDescent="0.45">
      <c r="A103" s="214">
        <v>5.6</v>
      </c>
      <c r="B103" s="118"/>
      <c r="C103" s="119"/>
      <c r="D103" s="13" t="str">
        <f>IF(OR(j_WEEKDAY(J_ADDDAY(VLOOKUP(I103,A:F,6,FALSE),H103,1),0)=6,SUMIFS(Holieday[ok],Holieday[date],J_ADDDAY(VLOOKUP(I103,A:F,6,FALSE),H103,1)))=FALSE(),J_ADDDAY(VLOOKUP(I103,A:F,6,FALSE),H103,1),IF(OR(j_WEEKDAY(J_ADDDAY(VLOOKUP(I103,A:F,6,FALSE),H103+1,1),0)=6,SUMIFS(Holieday[ok],Holieday[date],J_ADDDAY(VLOOKUP(I103,A:F,6,FALSE),H103+1,1)))=FALSE(),J_ADDDAY(VLOOKUP(I103,A:F,6,FALSE),H103+1,1),IF(OR(j_WEEKDAY(J_ADDDAY(VLOOKUP(I103,A:F,6,FALSE),H103+2,1),0)=6,SUMIFS(Holieday[ok],Holieday[date],J_ADDDAY(VLOOKUP(I103,A:F,6,FALSE),H103+2,1)))=FALSE(),J_ADDDAY(VLOOKUP(I103,A:F,6,FALSE),H103+2,1),IF(OR(j_WEEKDAY(J_ADDDAY(VLOOKUP(I103,A:F,6,FALSE),H103+3,1),0)=6,SUMIFS(Holieday[ok],Holieday[date],J_ADDDAY(VLOOKUP(I103,A:F,6,FALSE),H103+3,1)))=FALSE(),J_ADDDAY(VLOOKUP(I103,A:F,6,FALSE),H103+3,1),IF(OR(j_WEEKDAY(J_ADDDAY(VLOOKUP(I103,A:F,6,FALSE),H103+4,1),0)=6,SUMIFS(Holieday[ok],Holieday[date],J_ADDDAY(VLOOKUP(I103,A:F,6,FALSE),H103+4,1)))=FALSE(),J_ADDDAY(VLOOKUP(I103,A:F,6,FALSE),H103+4,1),J_ADDDAY(VLOOKUP(I103,A:F,6,FALSE),H103+5,1))))))</f>
        <v>1398/06/21</v>
      </c>
      <c r="E103" s="2">
        <f t="shared" si="23"/>
        <v>13980621</v>
      </c>
      <c r="F103" s="13" t="str">
        <f>IF(N103=0,J_SUBDAY(D103,1,1)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0,J_SUBDAY(J_ADDDAY(D103,N103,1)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1,J_SUBDAY(J_ADDDAY(D103,N103+1,1),1,1),IF((N103-NETWORKDAYS.INTL(J_GregorianDate(D103,1),J_GregorianDate(J_SUBDAY(J_ADDDAY(D103,N103,1),1,1),1),16,1)-SUMIFS(Holieday[ok],Holieday[date],CONCATENATE("&gt;","=",D103),Holieday[date],CONCATENATE("&lt;","=",J_SUBDAY(J_ADDDAY(D103,N103,1),1,1)))+SUMIFS(Holieday[Friday],Holieday[date],CONCATENATE("&gt;","=",D103),Holieday[date],CONCATENATE("&lt;","=",J_SUBDAY(J_ADDDAY(D103,N103,1),1,1))))=2,J_SUBDAY(J_ADDDAY(D103,N103+2,1),1,1),J_SUBDAY(J_ADDDAY(D103,N103+3,1),1,1)))))</f>
        <v>1398/06/20</v>
      </c>
      <c r="G103" s="3">
        <f t="shared" si="24"/>
        <v>13980620</v>
      </c>
      <c r="H103" s="121"/>
      <c r="I103" s="122">
        <v>4.3</v>
      </c>
      <c r="J103" s="10" t="str">
        <f>j_WEEKDAY(D103,1)</f>
        <v>پنجشنبه</v>
      </c>
      <c r="K103" s="23">
        <f t="shared" si="34"/>
        <v>0</v>
      </c>
      <c r="L103" s="9">
        <f t="shared" si="31"/>
        <v>0</v>
      </c>
      <c r="M103" s="123">
        <v>0</v>
      </c>
      <c r="N103" s="120">
        <v>0</v>
      </c>
      <c r="O103" s="11">
        <f t="shared" si="32"/>
        <v>0</v>
      </c>
      <c r="P103" s="11">
        <f>VALUE(J_normdate(J_ADDDAY($D103,$O103,1)))</f>
        <v>13980621</v>
      </c>
      <c r="Q103" s="10">
        <f t="shared" si="33"/>
        <v>0</v>
      </c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  <c r="ES103" s="8"/>
      <c r="ET103" s="8"/>
      <c r="EU103" s="8"/>
      <c r="EV103" s="8"/>
      <c r="EW103" s="8"/>
      <c r="EX103" s="8"/>
      <c r="EY103" s="8"/>
      <c r="EZ103" s="8"/>
      <c r="FA103" s="8"/>
      <c r="FB103" s="8"/>
      <c r="FC103" s="8"/>
      <c r="FD103" s="8"/>
      <c r="FE103" s="8"/>
      <c r="FF103" s="8"/>
      <c r="FG103" s="8"/>
      <c r="FH103" s="8"/>
      <c r="FI103" s="8"/>
      <c r="FJ103" s="8"/>
      <c r="FK103" s="8"/>
      <c r="FL103" s="8"/>
      <c r="FM103" s="8"/>
      <c r="FN103" s="8"/>
      <c r="FO103" s="8"/>
      <c r="FP103" s="8"/>
      <c r="FQ103" s="8"/>
      <c r="FR103" s="8"/>
      <c r="FS103" s="8"/>
      <c r="FT103" s="8"/>
      <c r="FU103" s="8"/>
      <c r="FV103" s="8"/>
      <c r="FW103" s="8"/>
      <c r="FX103" s="8"/>
      <c r="FY103" s="8"/>
      <c r="FZ103" s="8"/>
      <c r="GA103" s="8"/>
      <c r="GB103" s="8"/>
      <c r="GC103" s="8"/>
      <c r="GD103" s="8"/>
      <c r="GE103" s="8"/>
      <c r="GF103" s="8"/>
      <c r="GG103" s="8"/>
      <c r="GH103" s="8"/>
      <c r="GI103" s="8"/>
      <c r="GJ103" s="8"/>
      <c r="GK103" s="8"/>
      <c r="GL103" s="8"/>
      <c r="GM103" s="8"/>
      <c r="GN103" s="8"/>
      <c r="GO103" s="8"/>
      <c r="GP103" s="8"/>
      <c r="GQ103" s="8"/>
      <c r="GR103" s="8"/>
      <c r="GS103" s="8"/>
      <c r="GT103" s="8"/>
      <c r="GU103" s="8"/>
      <c r="GV103" s="8"/>
      <c r="GW103" s="8"/>
      <c r="GX103" s="8"/>
      <c r="GY103" s="8"/>
      <c r="GZ103" s="8"/>
      <c r="HA103" s="8"/>
      <c r="HB103" s="8"/>
      <c r="HC103" s="8"/>
      <c r="HD103" s="8"/>
      <c r="HE103" s="8"/>
      <c r="HF103" s="8"/>
      <c r="HG103" s="8"/>
      <c r="HH103" s="8"/>
      <c r="HI103" s="8"/>
      <c r="HJ103" s="8"/>
      <c r="HK103" s="8"/>
      <c r="HL103" s="8"/>
      <c r="HM103" s="8"/>
      <c r="HN103" s="8"/>
      <c r="HO103" s="8"/>
      <c r="HP103" s="8"/>
      <c r="HQ103" s="8"/>
      <c r="HR103" s="8"/>
      <c r="HS103" s="8"/>
      <c r="HT103" s="8"/>
      <c r="HU103" s="8"/>
      <c r="HV103" s="8"/>
      <c r="HW103" s="8"/>
      <c r="HX103" s="8"/>
      <c r="HY103" s="8"/>
      <c r="HZ103" s="8"/>
      <c r="IA103" s="8"/>
      <c r="IB103" s="8"/>
      <c r="IC103" s="8"/>
      <c r="ID103" s="8"/>
      <c r="IE103" s="8"/>
      <c r="IF103" s="8"/>
      <c r="IG103" s="8"/>
      <c r="IH103" s="8"/>
      <c r="II103" s="8"/>
      <c r="IJ103" s="8"/>
      <c r="IK103" s="8"/>
      <c r="IL103" s="8"/>
      <c r="IM103" s="8"/>
      <c r="IN103" s="8"/>
      <c r="IO103" s="8"/>
      <c r="IP103" s="8"/>
      <c r="IQ103" s="8"/>
      <c r="IR103" s="8"/>
      <c r="IS103" s="8"/>
      <c r="IT103" s="8"/>
      <c r="IU103" s="8"/>
      <c r="IV103" s="8"/>
      <c r="IW103" s="8"/>
      <c r="IX103" s="8"/>
      <c r="JA103" s="124"/>
      <c r="JB103" s="124"/>
      <c r="JC103" s="124"/>
      <c r="JD103" s="72">
        <f>SUM((TEXT(JA103,"[M]")/60)*'Income Person-hours'!$D$3,(TEXT(JB103,"[M]")/60)*'Income Person-hours'!$D$4,(TEXT(JC103,"[M]")/60)*'Income Person-hours'!$D$5)</f>
        <v>0</v>
      </c>
    </row>
    <row r="104" spans="1:264" s="12" customFormat="1" ht="15.75" hidden="1" x14ac:dyDescent="0.45">
      <c r="A104" s="206">
        <v>5.7</v>
      </c>
      <c r="B104" s="118"/>
      <c r="C104" s="119"/>
      <c r="D104" s="13" t="str">
        <f>IF(OR(j_WEEKDAY(J_ADDDAY(VLOOKUP(I104,A:F,6,FALSE),H104,1),0)=6,SUMIFS(Holieday[ok],Holieday[date],J_ADDDAY(VLOOKUP(I104,A:F,6,FALSE),H104,1)))=FALSE(),J_ADDDAY(VLOOKUP(I104,A:F,6,FALSE),H104,1),IF(OR(j_WEEKDAY(J_ADDDAY(VLOOKUP(I104,A:F,6,FALSE),H104+1,1),0)=6,SUMIFS(Holieday[ok],Holieday[date],J_ADDDAY(VLOOKUP(I104,A:F,6,FALSE),H104+1,1)))=FALSE(),J_ADDDAY(VLOOKUP(I104,A:F,6,FALSE),H104+1,1),IF(OR(j_WEEKDAY(J_ADDDAY(VLOOKUP(I104,A:F,6,FALSE),H104+2,1),0)=6,SUMIFS(Holieday[ok],Holieday[date],J_ADDDAY(VLOOKUP(I104,A:F,6,FALSE),H104+2,1)))=FALSE(),J_ADDDAY(VLOOKUP(I104,A:F,6,FALSE),H104+2,1),IF(OR(j_WEEKDAY(J_ADDDAY(VLOOKUP(I104,A:F,6,FALSE),H104+3,1),0)=6,SUMIFS(Holieday[ok],Holieday[date],J_ADDDAY(VLOOKUP(I104,A:F,6,FALSE),H104+3,1)))=FALSE(),J_ADDDAY(VLOOKUP(I104,A:F,6,FALSE),H104+3,1),IF(OR(j_WEEKDAY(J_ADDDAY(VLOOKUP(I104,A:F,6,FALSE),H104+4,1),0)=6,SUMIFS(Holieday[ok],Holieday[date],J_ADDDAY(VLOOKUP(I104,A:F,6,FALSE),H104+4,1)))=FALSE(),J_ADDDAY(VLOOKUP(I104,A:F,6,FALSE),H104+4,1),J_ADDDAY(VLOOKUP(I104,A:F,6,FALSE),H104+5,1))))))</f>
        <v>1398/06/21</v>
      </c>
      <c r="E104" s="2">
        <f t="shared" si="23"/>
        <v>13980621</v>
      </c>
      <c r="F104" s="13" t="str">
        <f>IF(N104=0,J_SUBDAY(D104,1,1)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0,J_SUBDAY(J_ADDDAY(D104,N104,1)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1,J_SUBDAY(J_ADDDAY(D104,N104+1,1),1,1),IF((N104-NETWORKDAYS.INTL(J_GregorianDate(D104,1),J_GregorianDate(J_SUBDAY(J_ADDDAY(D104,N104,1),1,1),1),16,1)-SUMIFS(Holieday[ok],Holieday[date],CONCATENATE("&gt;","=",D104),Holieday[date],CONCATENATE("&lt;","=",J_SUBDAY(J_ADDDAY(D104,N104,1),1,1)))+SUMIFS(Holieday[Friday],Holieday[date],CONCATENATE("&gt;","=",D104),Holieday[date],CONCATENATE("&lt;","=",J_SUBDAY(J_ADDDAY(D104,N104,1),1,1))))=2,J_SUBDAY(J_ADDDAY(D104,N104+2,1),1,1),J_SUBDAY(J_ADDDAY(D104,N104+3,1),1,1)))))</f>
        <v>1398/06/20</v>
      </c>
      <c r="G104" s="3">
        <f t="shared" si="24"/>
        <v>13980620</v>
      </c>
      <c r="H104" s="121"/>
      <c r="I104" s="122">
        <v>4.3</v>
      </c>
      <c r="J104" s="10" t="str">
        <f>j_WEEKDAY(D104,1)</f>
        <v>پنجشنبه</v>
      </c>
      <c r="K104" s="23">
        <f t="shared" si="34"/>
        <v>0</v>
      </c>
      <c r="L104" s="9">
        <f t="shared" si="31"/>
        <v>0</v>
      </c>
      <c r="M104" s="123">
        <v>0</v>
      </c>
      <c r="N104" s="120">
        <v>0</v>
      </c>
      <c r="O104" s="11">
        <f t="shared" si="32"/>
        <v>0</v>
      </c>
      <c r="P104" s="11">
        <f>VALUE(J_normdate(J_ADDDAY($D104,$O104,1)))</f>
        <v>13980621</v>
      </c>
      <c r="Q104" s="10">
        <f t="shared" si="33"/>
        <v>0</v>
      </c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  <c r="ES104" s="8"/>
      <c r="ET104" s="8"/>
      <c r="EU104" s="8"/>
      <c r="EV104" s="8"/>
      <c r="EW104" s="8"/>
      <c r="EX104" s="8"/>
      <c r="EY104" s="8"/>
      <c r="EZ104" s="8"/>
      <c r="FA104" s="8"/>
      <c r="FB104" s="8"/>
      <c r="FC104" s="8"/>
      <c r="FD104" s="8"/>
      <c r="FE104" s="8"/>
      <c r="FF104" s="8"/>
      <c r="FG104" s="8"/>
      <c r="FH104" s="8"/>
      <c r="FI104" s="8"/>
      <c r="FJ104" s="8"/>
      <c r="FK104" s="8"/>
      <c r="FL104" s="8"/>
      <c r="FM104" s="8"/>
      <c r="FN104" s="8"/>
      <c r="FO104" s="8"/>
      <c r="FP104" s="8"/>
      <c r="FQ104" s="8"/>
      <c r="FR104" s="8"/>
      <c r="FS104" s="8"/>
      <c r="FT104" s="8"/>
      <c r="FU104" s="8"/>
      <c r="FV104" s="8"/>
      <c r="FW104" s="8"/>
      <c r="FX104" s="8"/>
      <c r="FY104" s="8"/>
      <c r="FZ104" s="8"/>
      <c r="GA104" s="8"/>
      <c r="GB104" s="8"/>
      <c r="GC104" s="8"/>
      <c r="GD104" s="8"/>
      <c r="GE104" s="8"/>
      <c r="GF104" s="8"/>
      <c r="GG104" s="8"/>
      <c r="GH104" s="8"/>
      <c r="GI104" s="8"/>
      <c r="GJ104" s="8"/>
      <c r="GK104" s="8"/>
      <c r="GL104" s="8"/>
      <c r="GM104" s="8"/>
      <c r="GN104" s="8"/>
      <c r="GO104" s="8"/>
      <c r="GP104" s="8"/>
      <c r="GQ104" s="8"/>
      <c r="GR104" s="8"/>
      <c r="GS104" s="8"/>
      <c r="GT104" s="8"/>
      <c r="GU104" s="8"/>
      <c r="GV104" s="8"/>
      <c r="GW104" s="8"/>
      <c r="GX104" s="8"/>
      <c r="GY104" s="8"/>
      <c r="GZ104" s="8"/>
      <c r="HA104" s="8"/>
      <c r="HB104" s="8"/>
      <c r="HC104" s="8"/>
      <c r="HD104" s="8"/>
      <c r="HE104" s="8"/>
      <c r="HF104" s="8"/>
      <c r="HG104" s="8"/>
      <c r="HH104" s="8"/>
      <c r="HI104" s="8"/>
      <c r="HJ104" s="8"/>
      <c r="HK104" s="8"/>
      <c r="HL104" s="8"/>
      <c r="HM104" s="8"/>
      <c r="HN104" s="8"/>
      <c r="HO104" s="8"/>
      <c r="HP104" s="8"/>
      <c r="HQ104" s="8"/>
      <c r="HR104" s="8"/>
      <c r="HS104" s="8"/>
      <c r="HT104" s="8"/>
      <c r="HU104" s="8"/>
      <c r="HV104" s="8"/>
      <c r="HW104" s="8"/>
      <c r="HX104" s="8"/>
      <c r="HY104" s="8"/>
      <c r="HZ104" s="8"/>
      <c r="IA104" s="8"/>
      <c r="IB104" s="8"/>
      <c r="IC104" s="8"/>
      <c r="ID104" s="8"/>
      <c r="IE104" s="8"/>
      <c r="IF104" s="8"/>
      <c r="IG104" s="8"/>
      <c r="IH104" s="8"/>
      <c r="II104" s="8"/>
      <c r="IJ104" s="8"/>
      <c r="IK104" s="8"/>
      <c r="IL104" s="8"/>
      <c r="IM104" s="8"/>
      <c r="IN104" s="8"/>
      <c r="IO104" s="8"/>
      <c r="IP104" s="8"/>
      <c r="IQ104" s="8"/>
      <c r="IR104" s="8"/>
      <c r="IS104" s="8"/>
      <c r="IT104" s="8"/>
      <c r="IU104" s="8"/>
      <c r="IV104" s="8"/>
      <c r="IW104" s="8"/>
      <c r="IX104" s="8"/>
      <c r="JA104" s="124"/>
      <c r="JB104" s="124"/>
      <c r="JC104" s="124"/>
      <c r="JD104" s="72">
        <f>SUM((TEXT(JA104,"[M]")/60)*'Income Person-hours'!$D$3,(TEXT(JB104,"[M]")/60)*'Income Person-hours'!$D$4,(TEXT(JC104,"[M]")/60)*'Income Person-hours'!$D$5)</f>
        <v>0</v>
      </c>
    </row>
    <row r="105" spans="1:264" s="12" customFormat="1" ht="15.75" hidden="1" x14ac:dyDescent="0.45">
      <c r="A105" s="206">
        <v>5.8</v>
      </c>
      <c r="B105" s="118"/>
      <c r="C105" s="119"/>
      <c r="D105" s="13" t="str">
        <f>IF(OR(j_WEEKDAY(J_ADDDAY(VLOOKUP(I105,A:F,6,FALSE),H105,1),0)=6,SUMIFS(Holieday[ok],Holieday[date],J_ADDDAY(VLOOKUP(I105,A:F,6,FALSE),H105,1)))=FALSE(),J_ADDDAY(VLOOKUP(I105,A:F,6,FALSE),H105,1),IF(OR(j_WEEKDAY(J_ADDDAY(VLOOKUP(I105,A:F,6,FALSE),H105+1,1),0)=6,SUMIFS(Holieday[ok],Holieday[date],J_ADDDAY(VLOOKUP(I105,A:F,6,FALSE),H105+1,1)))=FALSE(),J_ADDDAY(VLOOKUP(I105,A:F,6,FALSE),H105+1,1),IF(OR(j_WEEKDAY(J_ADDDAY(VLOOKUP(I105,A:F,6,FALSE),H105+2,1),0)=6,SUMIFS(Holieday[ok],Holieday[date],J_ADDDAY(VLOOKUP(I105,A:F,6,FALSE),H105+2,1)))=FALSE(),J_ADDDAY(VLOOKUP(I105,A:F,6,FALSE),H105+2,1),IF(OR(j_WEEKDAY(J_ADDDAY(VLOOKUP(I105,A:F,6,FALSE),H105+3,1),0)=6,SUMIFS(Holieday[ok],Holieday[date],J_ADDDAY(VLOOKUP(I105,A:F,6,FALSE),H105+3,1)))=FALSE(),J_ADDDAY(VLOOKUP(I105,A:F,6,FALSE),H105+3,1),IF(OR(j_WEEKDAY(J_ADDDAY(VLOOKUP(I105,A:F,6,FALSE),H105+4,1),0)=6,SUMIFS(Holieday[ok],Holieday[date],J_ADDDAY(VLOOKUP(I105,A:F,6,FALSE),H105+4,1)))=FALSE(),J_ADDDAY(VLOOKUP(I105,A:F,6,FALSE),H105+4,1),J_ADDDAY(VLOOKUP(I105,A:F,6,FALSE),H105+5,1))))))</f>
        <v>1398/06/21</v>
      </c>
      <c r="E105" s="2">
        <f t="shared" si="23"/>
        <v>13980621</v>
      </c>
      <c r="F105" s="13" t="str">
        <f>IF(N105=0,J_SUBDAY(D105,1,1)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0,J_SUBDAY(J_ADDDAY(D105,N105,1)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1,J_SUBDAY(J_ADDDAY(D105,N105+1,1),1,1),IF((N105-NETWORKDAYS.INTL(J_GregorianDate(D105,1),J_GregorianDate(J_SUBDAY(J_ADDDAY(D105,N105,1),1,1),1),16,1)-SUMIFS(Holieday[ok],Holieday[date],CONCATENATE("&gt;","=",D105),Holieday[date],CONCATENATE("&lt;","=",J_SUBDAY(J_ADDDAY(D105,N105,1),1,1)))+SUMIFS(Holieday[Friday],Holieday[date],CONCATENATE("&gt;","=",D105),Holieday[date],CONCATENATE("&lt;","=",J_SUBDAY(J_ADDDAY(D105,N105,1),1,1))))=2,J_SUBDAY(J_ADDDAY(D105,N105+2,1),1,1),J_SUBDAY(J_ADDDAY(D105,N105+3,1),1,1)))))</f>
        <v>1398/06/20</v>
      </c>
      <c r="G105" s="3">
        <f t="shared" si="24"/>
        <v>13980620</v>
      </c>
      <c r="H105" s="121"/>
      <c r="I105" s="122">
        <v>4.3</v>
      </c>
      <c r="J105" s="10" t="str">
        <f>j_WEEKDAY(D105,1)</f>
        <v>پنجشنبه</v>
      </c>
      <c r="K105" s="23">
        <f t="shared" si="34"/>
        <v>0</v>
      </c>
      <c r="L105" s="9">
        <f t="shared" si="31"/>
        <v>0</v>
      </c>
      <c r="M105" s="123">
        <v>0</v>
      </c>
      <c r="N105" s="120">
        <v>0</v>
      </c>
      <c r="O105" s="11">
        <f t="shared" si="32"/>
        <v>0</v>
      </c>
      <c r="P105" s="11">
        <f>VALUE(J_normdate(J_ADDDAY($D105,$O105,1)))</f>
        <v>13980621</v>
      </c>
      <c r="Q105" s="10">
        <f t="shared" si="33"/>
        <v>0</v>
      </c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  <c r="ES105" s="8"/>
      <c r="ET105" s="8"/>
      <c r="EU105" s="8"/>
      <c r="EV105" s="8"/>
      <c r="EW105" s="8"/>
      <c r="EX105" s="8"/>
      <c r="EY105" s="8"/>
      <c r="EZ105" s="8"/>
      <c r="FA105" s="8"/>
      <c r="FB105" s="8"/>
      <c r="FC105" s="8"/>
      <c r="FD105" s="8"/>
      <c r="FE105" s="8"/>
      <c r="FF105" s="8"/>
      <c r="FG105" s="8"/>
      <c r="FH105" s="8"/>
      <c r="FI105" s="8"/>
      <c r="FJ105" s="8"/>
      <c r="FK105" s="8"/>
      <c r="FL105" s="8"/>
      <c r="FM105" s="8"/>
      <c r="FN105" s="8"/>
      <c r="FO105" s="8"/>
      <c r="FP105" s="8"/>
      <c r="FQ105" s="8"/>
      <c r="FR105" s="8"/>
      <c r="FS105" s="8"/>
      <c r="FT105" s="8"/>
      <c r="FU105" s="8"/>
      <c r="FV105" s="8"/>
      <c r="FW105" s="8"/>
      <c r="FX105" s="8"/>
      <c r="FY105" s="8"/>
      <c r="FZ105" s="8"/>
      <c r="GA105" s="8"/>
      <c r="GB105" s="8"/>
      <c r="GC105" s="8"/>
      <c r="GD105" s="8"/>
      <c r="GE105" s="8"/>
      <c r="GF105" s="8"/>
      <c r="GG105" s="8"/>
      <c r="GH105" s="8"/>
      <c r="GI105" s="8"/>
      <c r="GJ105" s="8"/>
      <c r="GK105" s="8"/>
      <c r="GL105" s="8"/>
      <c r="GM105" s="8"/>
      <c r="GN105" s="8"/>
      <c r="GO105" s="8"/>
      <c r="GP105" s="8"/>
      <c r="GQ105" s="8"/>
      <c r="GR105" s="8"/>
      <c r="GS105" s="8"/>
      <c r="GT105" s="8"/>
      <c r="GU105" s="8"/>
      <c r="GV105" s="8"/>
      <c r="GW105" s="8"/>
      <c r="GX105" s="8"/>
      <c r="GY105" s="8"/>
      <c r="GZ105" s="8"/>
      <c r="HA105" s="8"/>
      <c r="HB105" s="8"/>
      <c r="HC105" s="8"/>
      <c r="HD105" s="8"/>
      <c r="HE105" s="8"/>
      <c r="HF105" s="8"/>
      <c r="HG105" s="8"/>
      <c r="HH105" s="8"/>
      <c r="HI105" s="8"/>
      <c r="HJ105" s="8"/>
      <c r="HK105" s="8"/>
      <c r="HL105" s="8"/>
      <c r="HM105" s="8"/>
      <c r="HN105" s="8"/>
      <c r="HO105" s="8"/>
      <c r="HP105" s="8"/>
      <c r="HQ105" s="8"/>
      <c r="HR105" s="8"/>
      <c r="HS105" s="8"/>
      <c r="HT105" s="8"/>
      <c r="HU105" s="8"/>
      <c r="HV105" s="8"/>
      <c r="HW105" s="8"/>
      <c r="HX105" s="8"/>
      <c r="HY105" s="8"/>
      <c r="HZ105" s="8"/>
      <c r="IA105" s="8"/>
      <c r="IB105" s="8"/>
      <c r="IC105" s="8"/>
      <c r="ID105" s="8"/>
      <c r="IE105" s="8"/>
      <c r="IF105" s="8"/>
      <c r="IG105" s="8"/>
      <c r="IH105" s="8"/>
      <c r="II105" s="8"/>
      <c r="IJ105" s="8"/>
      <c r="IK105" s="8"/>
      <c r="IL105" s="8"/>
      <c r="IM105" s="8"/>
      <c r="IN105" s="8"/>
      <c r="IO105" s="8"/>
      <c r="IP105" s="8"/>
      <c r="IQ105" s="8"/>
      <c r="IR105" s="8"/>
      <c r="IS105" s="8"/>
      <c r="IT105" s="8"/>
      <c r="IU105" s="8"/>
      <c r="IV105" s="8"/>
      <c r="IW105" s="8"/>
      <c r="IX105" s="8"/>
      <c r="JA105" s="125"/>
      <c r="JB105" s="125"/>
      <c r="JC105" s="125"/>
      <c r="JD105" s="72">
        <f>SUM((TEXT(JA105,"[M]")/60)*'Income Person-hours'!$D$3,(TEXT(JB105,"[M]")/60)*'Income Person-hours'!$D$4,(TEXT(JC105,"[M]")/60)*'Income Person-hours'!$D$5)</f>
        <v>0</v>
      </c>
    </row>
    <row r="106" spans="1:264" s="12" customFormat="1" ht="15.75" hidden="1" x14ac:dyDescent="0.45">
      <c r="A106" s="214">
        <v>5.9</v>
      </c>
      <c r="B106" s="128"/>
      <c r="C106" s="119"/>
      <c r="D106" s="13" t="str">
        <f>IF(OR(j_WEEKDAY(J_ADDDAY(VLOOKUP(I106,A:F,6,FALSE),H106,1),0)=6,SUMIFS(Holieday[ok],Holieday[date],J_ADDDAY(VLOOKUP(I106,A:F,6,FALSE),H106,1)))=FALSE(),J_ADDDAY(VLOOKUP(I106,A:F,6,FALSE),H106,1),IF(OR(j_WEEKDAY(J_ADDDAY(VLOOKUP(I106,A:F,6,FALSE),H106+1,1),0)=6,SUMIFS(Holieday[ok],Holieday[date],J_ADDDAY(VLOOKUP(I106,A:F,6,FALSE),H106+1,1)))=FALSE(),J_ADDDAY(VLOOKUP(I106,A:F,6,FALSE),H106+1,1),IF(OR(j_WEEKDAY(J_ADDDAY(VLOOKUP(I106,A:F,6,FALSE),H106+2,1),0)=6,SUMIFS(Holieday[ok],Holieday[date],J_ADDDAY(VLOOKUP(I106,A:F,6,FALSE),H106+2,1)))=FALSE(),J_ADDDAY(VLOOKUP(I106,A:F,6,FALSE),H106+2,1),IF(OR(j_WEEKDAY(J_ADDDAY(VLOOKUP(I106,A:F,6,FALSE),H106+3,1),0)=6,SUMIFS(Holieday[ok],Holieday[date],J_ADDDAY(VLOOKUP(I106,A:F,6,FALSE),H106+3,1)))=FALSE(),J_ADDDAY(VLOOKUP(I106,A:F,6,FALSE),H106+3,1),IF(OR(j_WEEKDAY(J_ADDDAY(VLOOKUP(I106,A:F,6,FALSE),H106+4,1),0)=6,SUMIFS(Holieday[ok],Holieday[date],J_ADDDAY(VLOOKUP(I106,A:F,6,FALSE),H106+4,1)))=FALSE(),J_ADDDAY(VLOOKUP(I106,A:F,6,FALSE),H106+4,1),J_ADDDAY(VLOOKUP(I106,A:F,6,FALSE),H106+5,1))))))</f>
        <v>1398/06/21</v>
      </c>
      <c r="E106" s="2">
        <f t="shared" si="23"/>
        <v>13980621</v>
      </c>
      <c r="F106" s="13" t="str">
        <f>IF(N106=0,J_SUBDAY(D106,1,1)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0,J_SUBDAY(J_ADDDAY(D106,N106,1)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1,J_SUBDAY(J_ADDDAY(D106,N106+1,1),1,1),IF((N106-NETWORKDAYS.INTL(J_GregorianDate(D106,1),J_GregorianDate(J_SUBDAY(J_ADDDAY(D106,N106,1),1,1),1),16,1)-SUMIFS(Holieday[ok],Holieday[date],CONCATENATE("&gt;","=",D106),Holieday[date],CONCATENATE("&lt;","=",J_SUBDAY(J_ADDDAY(D106,N106,1),1,1)))+SUMIFS(Holieday[Friday],Holieday[date],CONCATENATE("&gt;","=",D106),Holieday[date],CONCATENATE("&lt;","=",J_SUBDAY(J_ADDDAY(D106,N106,1),1,1))))=2,J_SUBDAY(J_ADDDAY(D106,N106+2,1),1,1),J_SUBDAY(J_ADDDAY(D106,N106+3,1),1,1)))))</f>
        <v>1398/06/20</v>
      </c>
      <c r="G106" s="3">
        <f t="shared" si="24"/>
        <v>13980620</v>
      </c>
      <c r="H106" s="121"/>
      <c r="I106" s="122">
        <v>4.3</v>
      </c>
      <c r="J106" s="10" t="str">
        <f>j_WEEKDAY(D106,1)</f>
        <v>پنجشنبه</v>
      </c>
      <c r="K106" s="23">
        <f t="shared" si="34"/>
        <v>0</v>
      </c>
      <c r="L106" s="9">
        <f t="shared" si="31"/>
        <v>0</v>
      </c>
      <c r="M106" s="123">
        <v>0</v>
      </c>
      <c r="N106" s="120">
        <v>0</v>
      </c>
      <c r="O106" s="11">
        <f t="shared" si="32"/>
        <v>0</v>
      </c>
      <c r="P106" s="11">
        <f>VALUE(J_normdate(J_ADDDAY($D106,$O106,1)))</f>
        <v>13980621</v>
      </c>
      <c r="Q106" s="10">
        <f t="shared" si="33"/>
        <v>0</v>
      </c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  <c r="ES106" s="8"/>
      <c r="ET106" s="8"/>
      <c r="EU106" s="8"/>
      <c r="EV106" s="8"/>
      <c r="EW106" s="8"/>
      <c r="EX106" s="8"/>
      <c r="EY106" s="8"/>
      <c r="EZ106" s="8"/>
      <c r="FA106" s="8"/>
      <c r="FB106" s="8"/>
      <c r="FC106" s="8"/>
      <c r="FD106" s="8"/>
      <c r="FE106" s="8"/>
      <c r="FF106" s="8"/>
      <c r="FG106" s="8"/>
      <c r="FH106" s="8"/>
      <c r="FI106" s="8"/>
      <c r="FJ106" s="8"/>
      <c r="FK106" s="8"/>
      <c r="FL106" s="8"/>
      <c r="FM106" s="8"/>
      <c r="FN106" s="8"/>
      <c r="FO106" s="8"/>
      <c r="FP106" s="8"/>
      <c r="FQ106" s="8"/>
      <c r="FR106" s="8"/>
      <c r="FS106" s="8"/>
      <c r="FT106" s="8"/>
      <c r="FU106" s="8"/>
      <c r="FV106" s="8"/>
      <c r="FW106" s="8"/>
      <c r="FX106" s="8"/>
      <c r="FY106" s="8"/>
      <c r="FZ106" s="8"/>
      <c r="GA106" s="8"/>
      <c r="GB106" s="8"/>
      <c r="GC106" s="8"/>
      <c r="GD106" s="8"/>
      <c r="GE106" s="8"/>
      <c r="GF106" s="8"/>
      <c r="GG106" s="8"/>
      <c r="GH106" s="8"/>
      <c r="GI106" s="8"/>
      <c r="GJ106" s="8"/>
      <c r="GK106" s="8"/>
      <c r="GL106" s="8"/>
      <c r="GM106" s="8"/>
      <c r="GN106" s="8"/>
      <c r="GO106" s="8"/>
      <c r="GP106" s="8"/>
      <c r="GQ106" s="8"/>
      <c r="GR106" s="8"/>
      <c r="GS106" s="8"/>
      <c r="GT106" s="8"/>
      <c r="GU106" s="8"/>
      <c r="GV106" s="8"/>
      <c r="GW106" s="8"/>
      <c r="GX106" s="8"/>
      <c r="GY106" s="8"/>
      <c r="GZ106" s="8"/>
      <c r="HA106" s="8"/>
      <c r="HB106" s="8"/>
      <c r="HC106" s="8"/>
      <c r="HD106" s="8"/>
      <c r="HE106" s="8"/>
      <c r="HF106" s="8"/>
      <c r="HG106" s="8"/>
      <c r="HH106" s="8"/>
      <c r="HI106" s="8"/>
      <c r="HJ106" s="8"/>
      <c r="HK106" s="8"/>
      <c r="HL106" s="8"/>
      <c r="HM106" s="8"/>
      <c r="HN106" s="8"/>
      <c r="HO106" s="8"/>
      <c r="HP106" s="8"/>
      <c r="HQ106" s="8"/>
      <c r="HR106" s="8"/>
      <c r="HS106" s="8"/>
      <c r="HT106" s="8"/>
      <c r="HU106" s="8"/>
      <c r="HV106" s="8"/>
      <c r="HW106" s="8"/>
      <c r="HX106" s="8"/>
      <c r="HY106" s="8"/>
      <c r="HZ106" s="8"/>
      <c r="IA106" s="8"/>
      <c r="IB106" s="8"/>
      <c r="IC106" s="8"/>
      <c r="ID106" s="8"/>
      <c r="IE106" s="8"/>
      <c r="IF106" s="8"/>
      <c r="IG106" s="8"/>
      <c r="IH106" s="8"/>
      <c r="II106" s="8"/>
      <c r="IJ106" s="8"/>
      <c r="IK106" s="8"/>
      <c r="IL106" s="8"/>
      <c r="IM106" s="8"/>
      <c r="IN106" s="8"/>
      <c r="IO106" s="8"/>
      <c r="IP106" s="8"/>
      <c r="IQ106" s="8"/>
      <c r="IR106" s="8"/>
      <c r="IS106" s="8"/>
      <c r="IT106" s="8"/>
      <c r="IU106" s="8"/>
      <c r="IV106" s="8"/>
      <c r="IW106" s="8"/>
      <c r="IX106" s="8"/>
      <c r="JA106" s="125"/>
      <c r="JB106" s="125"/>
      <c r="JC106" s="125"/>
      <c r="JD106" s="72">
        <f>SUM((TEXT(JA106,"[M]")/60)*'Income Person-hours'!$D$3,(TEXT(JB106,"[M]")/60)*'Income Person-hours'!$D$4,(TEXT(JC106,"[M]")/60)*'Income Person-hours'!$D$5)</f>
        <v>0</v>
      </c>
    </row>
    <row r="107" spans="1:264" s="12" customFormat="1" ht="15.75" hidden="1" x14ac:dyDescent="0.45">
      <c r="A107" s="33">
        <v>5.1100000000000003</v>
      </c>
      <c r="B107" s="128"/>
      <c r="C107" s="119"/>
      <c r="D107" s="13" t="str">
        <f>IF(OR(j_WEEKDAY(J_ADDDAY(VLOOKUP(I107,A:F,6,FALSE),H107,1),0)=6,SUMIFS(Holieday[ok],Holieday[date],J_ADDDAY(VLOOKUP(I107,A:F,6,FALSE),H107,1)))=FALSE(),J_ADDDAY(VLOOKUP(I107,A:F,6,FALSE),H107,1),IF(OR(j_WEEKDAY(J_ADDDAY(VLOOKUP(I107,A:F,6,FALSE),H107+1,1),0)=6,SUMIFS(Holieday[ok],Holieday[date],J_ADDDAY(VLOOKUP(I107,A:F,6,FALSE),H107+1,1)))=FALSE(),J_ADDDAY(VLOOKUP(I107,A:F,6,FALSE),H107+1,1),IF(OR(j_WEEKDAY(J_ADDDAY(VLOOKUP(I107,A:F,6,FALSE),H107+2,1),0)=6,SUMIFS(Holieday[ok],Holieday[date],J_ADDDAY(VLOOKUP(I107,A:F,6,FALSE),H107+2,1)))=FALSE(),J_ADDDAY(VLOOKUP(I107,A:F,6,FALSE),H107+2,1),IF(OR(j_WEEKDAY(J_ADDDAY(VLOOKUP(I107,A:F,6,FALSE),H107+3,1),0)=6,SUMIFS(Holieday[ok],Holieday[date],J_ADDDAY(VLOOKUP(I107,A:F,6,FALSE),H107+3,1)))=FALSE(),J_ADDDAY(VLOOKUP(I107,A:F,6,FALSE),H107+3,1),IF(OR(j_WEEKDAY(J_ADDDAY(VLOOKUP(I107,A:F,6,FALSE),H107+4,1),0)=6,SUMIFS(Holieday[ok],Holieday[date],J_ADDDAY(VLOOKUP(I107,A:F,6,FALSE),H107+4,1)))=FALSE(),J_ADDDAY(VLOOKUP(I107,A:F,6,FALSE),H107+4,1),J_ADDDAY(VLOOKUP(I107,A:F,6,FALSE),H107+5,1))))))</f>
        <v>1398/06/21</v>
      </c>
      <c r="E107" s="2">
        <f t="shared" ref="E107:E138" si="35">VALUE(J_normdate(D107))</f>
        <v>13980621</v>
      </c>
      <c r="F107" s="13" t="str">
        <f>IF(N107=0,J_SUBDAY(D107,1,1)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0,J_SUBDAY(J_ADDDAY(D107,N107,1)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1,J_SUBDAY(J_ADDDAY(D107,N107+1,1),1,1),IF((N107-NETWORKDAYS.INTL(J_GregorianDate(D107,1),J_GregorianDate(J_SUBDAY(J_ADDDAY(D107,N107,1),1,1),1),16,1)-SUMIFS(Holieday[ok],Holieday[date],CONCATENATE("&gt;","=",D107),Holieday[date],CONCATENATE("&lt;","=",J_SUBDAY(J_ADDDAY(D107,N107,1),1,1)))+SUMIFS(Holieday[Friday],Holieday[date],CONCATENATE("&gt;","=",D107),Holieday[date],CONCATENATE("&lt;","=",J_SUBDAY(J_ADDDAY(D107,N107,1),1,1))))=2,J_SUBDAY(J_ADDDAY(D107,N107+2,1),1,1),J_SUBDAY(J_ADDDAY(D107,N107+3,1),1,1)))))</f>
        <v>1398/06/20</v>
      </c>
      <c r="G107" s="3">
        <f t="shared" ref="G107:G138" si="36">VALUE(J_normdate(F107))</f>
        <v>13980620</v>
      </c>
      <c r="H107" s="121"/>
      <c r="I107" s="122">
        <v>4.3</v>
      </c>
      <c r="J107" s="10" t="str">
        <f>j_WEEKDAY(D107,1)</f>
        <v>پنجشنبه</v>
      </c>
      <c r="K107" s="23">
        <f t="shared" si="34"/>
        <v>0</v>
      </c>
      <c r="L107" s="9">
        <f t="shared" si="31"/>
        <v>0</v>
      </c>
      <c r="M107" s="123">
        <v>0</v>
      </c>
      <c r="N107" s="120">
        <v>0</v>
      </c>
      <c r="O107" s="11">
        <f t="shared" si="32"/>
        <v>0</v>
      </c>
      <c r="P107" s="11">
        <f>VALUE(J_normdate(J_ADDDAY($D107,$O107,1)))</f>
        <v>13980621</v>
      </c>
      <c r="Q107" s="10">
        <f t="shared" si="33"/>
        <v>0</v>
      </c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  <c r="ES107" s="8"/>
      <c r="ET107" s="8"/>
      <c r="EU107" s="8"/>
      <c r="EV107" s="8"/>
      <c r="EW107" s="8"/>
      <c r="EX107" s="8"/>
      <c r="EY107" s="8"/>
      <c r="EZ107" s="8"/>
      <c r="FA107" s="8"/>
      <c r="FB107" s="8"/>
      <c r="FC107" s="8"/>
      <c r="FD107" s="8"/>
      <c r="FE107" s="8"/>
      <c r="FF107" s="8"/>
      <c r="FG107" s="8"/>
      <c r="FH107" s="8"/>
      <c r="FI107" s="8"/>
      <c r="FJ107" s="8"/>
      <c r="FK107" s="8"/>
      <c r="FL107" s="8"/>
      <c r="FM107" s="8"/>
      <c r="FN107" s="8"/>
      <c r="FO107" s="8"/>
      <c r="FP107" s="8"/>
      <c r="FQ107" s="8"/>
      <c r="FR107" s="8"/>
      <c r="FS107" s="8"/>
      <c r="FT107" s="8"/>
      <c r="FU107" s="8"/>
      <c r="FV107" s="8"/>
      <c r="FW107" s="8"/>
      <c r="FX107" s="8"/>
      <c r="FY107" s="8"/>
      <c r="FZ107" s="8"/>
      <c r="GA107" s="8"/>
      <c r="GB107" s="8"/>
      <c r="GC107" s="8"/>
      <c r="GD107" s="8"/>
      <c r="GE107" s="8"/>
      <c r="GF107" s="8"/>
      <c r="GG107" s="8"/>
      <c r="GH107" s="8"/>
      <c r="GI107" s="8"/>
      <c r="GJ107" s="8"/>
      <c r="GK107" s="8"/>
      <c r="GL107" s="8"/>
      <c r="GM107" s="8"/>
      <c r="GN107" s="8"/>
      <c r="GO107" s="8"/>
      <c r="GP107" s="8"/>
      <c r="GQ107" s="8"/>
      <c r="GR107" s="8"/>
      <c r="GS107" s="8"/>
      <c r="GT107" s="8"/>
      <c r="GU107" s="8"/>
      <c r="GV107" s="8"/>
      <c r="GW107" s="8"/>
      <c r="GX107" s="8"/>
      <c r="GY107" s="8"/>
      <c r="GZ107" s="8"/>
      <c r="HA107" s="8"/>
      <c r="HB107" s="8"/>
      <c r="HC107" s="8"/>
      <c r="HD107" s="8"/>
      <c r="HE107" s="8"/>
      <c r="HF107" s="8"/>
      <c r="HG107" s="8"/>
      <c r="HH107" s="8"/>
      <c r="HI107" s="8"/>
      <c r="HJ107" s="8"/>
      <c r="HK107" s="8"/>
      <c r="HL107" s="8"/>
      <c r="HM107" s="8"/>
      <c r="HN107" s="8"/>
      <c r="HO107" s="8"/>
      <c r="HP107" s="8"/>
      <c r="HQ107" s="8"/>
      <c r="HR107" s="8"/>
      <c r="HS107" s="8"/>
      <c r="HT107" s="8"/>
      <c r="HU107" s="8"/>
      <c r="HV107" s="8"/>
      <c r="HW107" s="8"/>
      <c r="HX107" s="8"/>
      <c r="HY107" s="8"/>
      <c r="HZ107" s="8"/>
      <c r="IA107" s="8"/>
      <c r="IB107" s="8"/>
      <c r="IC107" s="8"/>
      <c r="ID107" s="8"/>
      <c r="IE107" s="8"/>
      <c r="IF107" s="8"/>
      <c r="IG107" s="8"/>
      <c r="IH107" s="8"/>
      <c r="II107" s="8"/>
      <c r="IJ107" s="8"/>
      <c r="IK107" s="8"/>
      <c r="IL107" s="8"/>
      <c r="IM107" s="8"/>
      <c r="IN107" s="8"/>
      <c r="IO107" s="8"/>
      <c r="IP107" s="8"/>
      <c r="IQ107" s="8"/>
      <c r="IR107" s="8"/>
      <c r="IS107" s="8"/>
      <c r="IT107" s="8"/>
      <c r="IU107" s="8"/>
      <c r="IV107" s="8"/>
      <c r="IW107" s="8"/>
      <c r="IX107" s="8"/>
      <c r="JA107" s="125"/>
      <c r="JB107" s="125"/>
      <c r="JC107" s="125"/>
      <c r="JD107" s="72">
        <f>SUM((TEXT(JA107,"[M]")/60)*'Income Person-hours'!$D$3,(TEXT(JB107,"[M]")/60)*'Income Person-hours'!$D$4,(TEXT(JC107,"[M]")/60)*'Income Person-hours'!$D$5)</f>
        <v>0</v>
      </c>
    </row>
    <row r="108" spans="1:264" s="12" customFormat="1" ht="15.75" hidden="1" x14ac:dyDescent="0.45">
      <c r="A108" s="33">
        <v>5.12</v>
      </c>
      <c r="B108" s="128"/>
      <c r="C108" s="119"/>
      <c r="D108" s="13" t="str">
        <f>IF(OR(j_WEEKDAY(J_ADDDAY(VLOOKUP(I108,A:F,6,FALSE),H108,1),0)=6,SUMIFS(Holieday[ok],Holieday[date],J_ADDDAY(VLOOKUP(I108,A:F,6,FALSE),H108,1)))=FALSE(),J_ADDDAY(VLOOKUP(I108,A:F,6,FALSE),H108,1),IF(OR(j_WEEKDAY(J_ADDDAY(VLOOKUP(I108,A:F,6,FALSE),H108+1,1),0)=6,SUMIFS(Holieday[ok],Holieday[date],J_ADDDAY(VLOOKUP(I108,A:F,6,FALSE),H108+1,1)))=FALSE(),J_ADDDAY(VLOOKUP(I108,A:F,6,FALSE),H108+1,1),IF(OR(j_WEEKDAY(J_ADDDAY(VLOOKUP(I108,A:F,6,FALSE),H108+2,1),0)=6,SUMIFS(Holieday[ok],Holieday[date],J_ADDDAY(VLOOKUP(I108,A:F,6,FALSE),H108+2,1)))=FALSE(),J_ADDDAY(VLOOKUP(I108,A:F,6,FALSE),H108+2,1),IF(OR(j_WEEKDAY(J_ADDDAY(VLOOKUP(I108,A:F,6,FALSE),H108+3,1),0)=6,SUMIFS(Holieday[ok],Holieday[date],J_ADDDAY(VLOOKUP(I108,A:F,6,FALSE),H108+3,1)))=FALSE(),J_ADDDAY(VLOOKUP(I108,A:F,6,FALSE),H108+3,1),IF(OR(j_WEEKDAY(J_ADDDAY(VLOOKUP(I108,A:F,6,FALSE),H108+4,1),0)=6,SUMIFS(Holieday[ok],Holieday[date],J_ADDDAY(VLOOKUP(I108,A:F,6,FALSE),H108+4,1)))=FALSE(),J_ADDDAY(VLOOKUP(I108,A:F,6,FALSE),H108+4,1),J_ADDDAY(VLOOKUP(I108,A:F,6,FALSE),H108+5,1))))))</f>
        <v>1398/06/21</v>
      </c>
      <c r="E108" s="2">
        <f t="shared" si="35"/>
        <v>13980621</v>
      </c>
      <c r="F108" s="13" t="str">
        <f>IF(N108=0,J_SUBDAY(D108,1,1)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0,J_SUBDAY(J_ADDDAY(D108,N108,1)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1,J_SUBDAY(J_ADDDAY(D108,N108+1,1),1,1),IF((N108-NETWORKDAYS.INTL(J_GregorianDate(D108,1),J_GregorianDate(J_SUBDAY(J_ADDDAY(D108,N108,1),1,1),1),16,1)-SUMIFS(Holieday[ok],Holieday[date],CONCATENATE("&gt;","=",D108),Holieday[date],CONCATENATE("&lt;","=",J_SUBDAY(J_ADDDAY(D108,N108,1),1,1)))+SUMIFS(Holieday[Friday],Holieday[date],CONCATENATE("&gt;","=",D108),Holieday[date],CONCATENATE("&lt;","=",J_SUBDAY(J_ADDDAY(D108,N108,1),1,1))))=2,J_SUBDAY(J_ADDDAY(D108,N108+2,1),1,1),J_SUBDAY(J_ADDDAY(D108,N108+3,1),1,1)))))</f>
        <v>1398/06/20</v>
      </c>
      <c r="G108" s="3">
        <f t="shared" si="36"/>
        <v>13980620</v>
      </c>
      <c r="H108" s="121"/>
      <c r="I108" s="122">
        <v>4.3</v>
      </c>
      <c r="J108" s="10" t="str">
        <f>j_WEEKDAY(D108,1)</f>
        <v>پنجشنبه</v>
      </c>
      <c r="K108" s="23">
        <f t="shared" si="34"/>
        <v>0</v>
      </c>
      <c r="L108" s="9">
        <f t="shared" si="31"/>
        <v>0</v>
      </c>
      <c r="M108" s="123">
        <v>0</v>
      </c>
      <c r="N108" s="120">
        <v>0</v>
      </c>
      <c r="O108" s="11">
        <f t="shared" si="32"/>
        <v>0</v>
      </c>
      <c r="P108" s="11">
        <f>VALUE(J_normdate(J_ADDDAY($D108,$O108,1)))</f>
        <v>13980621</v>
      </c>
      <c r="Q108" s="10">
        <f t="shared" si="33"/>
        <v>0</v>
      </c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  <c r="ES108" s="8"/>
      <c r="ET108" s="8"/>
      <c r="EU108" s="8"/>
      <c r="EV108" s="8"/>
      <c r="EW108" s="8"/>
      <c r="EX108" s="8"/>
      <c r="EY108" s="8"/>
      <c r="EZ108" s="8"/>
      <c r="FA108" s="8"/>
      <c r="FB108" s="8"/>
      <c r="FC108" s="8"/>
      <c r="FD108" s="8"/>
      <c r="FE108" s="8"/>
      <c r="FF108" s="8"/>
      <c r="FG108" s="8"/>
      <c r="FH108" s="8"/>
      <c r="FI108" s="8"/>
      <c r="FJ108" s="8"/>
      <c r="FK108" s="8"/>
      <c r="FL108" s="8"/>
      <c r="FM108" s="8"/>
      <c r="FN108" s="8"/>
      <c r="FO108" s="8"/>
      <c r="FP108" s="8"/>
      <c r="FQ108" s="8"/>
      <c r="FR108" s="8"/>
      <c r="FS108" s="8"/>
      <c r="FT108" s="8"/>
      <c r="FU108" s="8"/>
      <c r="FV108" s="8"/>
      <c r="FW108" s="8"/>
      <c r="FX108" s="8"/>
      <c r="FY108" s="8"/>
      <c r="FZ108" s="8"/>
      <c r="GA108" s="8"/>
      <c r="GB108" s="8"/>
      <c r="GC108" s="8"/>
      <c r="GD108" s="8"/>
      <c r="GE108" s="8"/>
      <c r="GF108" s="8"/>
      <c r="GG108" s="8"/>
      <c r="GH108" s="8"/>
      <c r="GI108" s="8"/>
      <c r="GJ108" s="8"/>
      <c r="GK108" s="8"/>
      <c r="GL108" s="8"/>
      <c r="GM108" s="8"/>
      <c r="GN108" s="8"/>
      <c r="GO108" s="8"/>
      <c r="GP108" s="8"/>
      <c r="GQ108" s="8"/>
      <c r="GR108" s="8"/>
      <c r="GS108" s="8"/>
      <c r="GT108" s="8"/>
      <c r="GU108" s="8"/>
      <c r="GV108" s="8"/>
      <c r="GW108" s="8"/>
      <c r="GX108" s="8"/>
      <c r="GY108" s="8"/>
      <c r="GZ108" s="8"/>
      <c r="HA108" s="8"/>
      <c r="HB108" s="8"/>
      <c r="HC108" s="8"/>
      <c r="HD108" s="8"/>
      <c r="HE108" s="8"/>
      <c r="HF108" s="8"/>
      <c r="HG108" s="8"/>
      <c r="HH108" s="8"/>
      <c r="HI108" s="8"/>
      <c r="HJ108" s="8"/>
      <c r="HK108" s="8"/>
      <c r="HL108" s="8"/>
      <c r="HM108" s="8"/>
      <c r="HN108" s="8"/>
      <c r="HO108" s="8"/>
      <c r="HP108" s="8"/>
      <c r="HQ108" s="8"/>
      <c r="HR108" s="8"/>
      <c r="HS108" s="8"/>
      <c r="HT108" s="8"/>
      <c r="HU108" s="8"/>
      <c r="HV108" s="8"/>
      <c r="HW108" s="8"/>
      <c r="HX108" s="8"/>
      <c r="HY108" s="8"/>
      <c r="HZ108" s="8"/>
      <c r="IA108" s="8"/>
      <c r="IB108" s="8"/>
      <c r="IC108" s="8"/>
      <c r="ID108" s="8"/>
      <c r="IE108" s="8"/>
      <c r="IF108" s="8"/>
      <c r="IG108" s="8"/>
      <c r="IH108" s="8"/>
      <c r="II108" s="8"/>
      <c r="IJ108" s="8"/>
      <c r="IK108" s="8"/>
      <c r="IL108" s="8"/>
      <c r="IM108" s="8"/>
      <c r="IN108" s="8"/>
      <c r="IO108" s="8"/>
      <c r="IP108" s="8"/>
      <c r="IQ108" s="8"/>
      <c r="IR108" s="8"/>
      <c r="IS108" s="8"/>
      <c r="IT108" s="8"/>
      <c r="IU108" s="8"/>
      <c r="IV108" s="8"/>
      <c r="IW108" s="8"/>
      <c r="IX108" s="8"/>
      <c r="JA108" s="125"/>
      <c r="JB108" s="125"/>
      <c r="JC108" s="125"/>
      <c r="JD108" s="72">
        <f>SUM((TEXT(JA108,"[M]")/60)*'Income Person-hours'!$D$3,(TEXT(JB108,"[M]")/60)*'Income Person-hours'!$D$4,(TEXT(JC108,"[M]")/60)*'Income Person-hours'!$D$5)</f>
        <v>0</v>
      </c>
    </row>
    <row r="109" spans="1:264" s="12" customFormat="1" ht="15.75" hidden="1" x14ac:dyDescent="0.45">
      <c r="A109" s="33">
        <v>5.13</v>
      </c>
      <c r="B109" s="128"/>
      <c r="C109" s="119"/>
      <c r="D109" s="13" t="str">
        <f>IF(OR(j_WEEKDAY(J_ADDDAY(VLOOKUP(I109,A:F,6,FALSE),H109,1),0)=6,SUMIFS(Holieday[ok],Holieday[date],J_ADDDAY(VLOOKUP(I109,A:F,6,FALSE),H109,1)))=FALSE(),J_ADDDAY(VLOOKUP(I109,A:F,6,FALSE),H109,1),IF(OR(j_WEEKDAY(J_ADDDAY(VLOOKUP(I109,A:F,6,FALSE),H109+1,1),0)=6,SUMIFS(Holieday[ok],Holieday[date],J_ADDDAY(VLOOKUP(I109,A:F,6,FALSE),H109+1,1)))=FALSE(),J_ADDDAY(VLOOKUP(I109,A:F,6,FALSE),H109+1,1),IF(OR(j_WEEKDAY(J_ADDDAY(VLOOKUP(I109,A:F,6,FALSE),H109+2,1),0)=6,SUMIFS(Holieday[ok],Holieday[date],J_ADDDAY(VLOOKUP(I109,A:F,6,FALSE),H109+2,1)))=FALSE(),J_ADDDAY(VLOOKUP(I109,A:F,6,FALSE),H109+2,1),IF(OR(j_WEEKDAY(J_ADDDAY(VLOOKUP(I109,A:F,6,FALSE),H109+3,1),0)=6,SUMIFS(Holieday[ok],Holieday[date],J_ADDDAY(VLOOKUP(I109,A:F,6,FALSE),H109+3,1)))=FALSE(),J_ADDDAY(VLOOKUP(I109,A:F,6,FALSE),H109+3,1),IF(OR(j_WEEKDAY(J_ADDDAY(VLOOKUP(I109,A:F,6,FALSE),H109+4,1),0)=6,SUMIFS(Holieday[ok],Holieday[date],J_ADDDAY(VLOOKUP(I109,A:F,6,FALSE),H109+4,1)))=FALSE(),J_ADDDAY(VLOOKUP(I109,A:F,6,FALSE),H109+4,1),J_ADDDAY(VLOOKUP(I109,A:F,6,FALSE),H109+5,1))))))</f>
        <v>1398/06/21</v>
      </c>
      <c r="E109" s="2">
        <f t="shared" si="35"/>
        <v>13980621</v>
      </c>
      <c r="F109" s="13" t="str">
        <f>IF(N109=0,J_SUBDAY(D109,1,1)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0,J_SUBDAY(J_ADDDAY(D109,N109,1)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1,J_SUBDAY(J_ADDDAY(D109,N109+1,1),1,1),IF((N109-NETWORKDAYS.INTL(J_GregorianDate(D109,1),J_GregorianDate(J_SUBDAY(J_ADDDAY(D109,N109,1),1,1),1),16,1)-SUMIFS(Holieday[ok],Holieday[date],CONCATENATE("&gt;","=",D109),Holieday[date],CONCATENATE("&lt;","=",J_SUBDAY(J_ADDDAY(D109,N109,1),1,1)))+SUMIFS(Holieday[Friday],Holieday[date],CONCATENATE("&gt;","=",D109),Holieday[date],CONCATENATE("&lt;","=",J_SUBDAY(J_ADDDAY(D109,N109,1),1,1))))=2,J_SUBDAY(J_ADDDAY(D109,N109+2,1),1,1),J_SUBDAY(J_ADDDAY(D109,N109+3,1),1,1)))))</f>
        <v>1398/06/20</v>
      </c>
      <c r="G109" s="3">
        <f t="shared" si="36"/>
        <v>13980620</v>
      </c>
      <c r="H109" s="121"/>
      <c r="I109" s="122">
        <v>4.3</v>
      </c>
      <c r="J109" s="10" t="str">
        <f>j_WEEKDAY(D109,1)</f>
        <v>پنجشنبه</v>
      </c>
      <c r="K109" s="23">
        <f t="shared" si="34"/>
        <v>0</v>
      </c>
      <c r="L109" s="9">
        <f t="shared" si="31"/>
        <v>0</v>
      </c>
      <c r="M109" s="123">
        <v>0</v>
      </c>
      <c r="N109" s="120">
        <v>0</v>
      </c>
      <c r="O109" s="11">
        <f t="shared" si="32"/>
        <v>0</v>
      </c>
      <c r="P109" s="11">
        <f>VALUE(J_normdate(J_ADDDAY($D109,$O109,1)))</f>
        <v>13980621</v>
      </c>
      <c r="Q109" s="10">
        <f t="shared" si="33"/>
        <v>0</v>
      </c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  <c r="ES109" s="8"/>
      <c r="ET109" s="8"/>
      <c r="EU109" s="8"/>
      <c r="EV109" s="8"/>
      <c r="EW109" s="8"/>
      <c r="EX109" s="8"/>
      <c r="EY109" s="8"/>
      <c r="EZ109" s="8"/>
      <c r="FA109" s="8"/>
      <c r="FB109" s="8"/>
      <c r="FC109" s="8"/>
      <c r="FD109" s="8"/>
      <c r="FE109" s="8"/>
      <c r="FF109" s="8"/>
      <c r="FG109" s="8"/>
      <c r="FH109" s="8"/>
      <c r="FI109" s="8"/>
      <c r="FJ109" s="8"/>
      <c r="FK109" s="8"/>
      <c r="FL109" s="8"/>
      <c r="FM109" s="8"/>
      <c r="FN109" s="8"/>
      <c r="FO109" s="8"/>
      <c r="FP109" s="8"/>
      <c r="FQ109" s="8"/>
      <c r="FR109" s="8"/>
      <c r="FS109" s="8"/>
      <c r="FT109" s="8"/>
      <c r="FU109" s="8"/>
      <c r="FV109" s="8"/>
      <c r="FW109" s="8"/>
      <c r="FX109" s="8"/>
      <c r="FY109" s="8"/>
      <c r="FZ109" s="8"/>
      <c r="GA109" s="8"/>
      <c r="GB109" s="8"/>
      <c r="GC109" s="8"/>
      <c r="GD109" s="8"/>
      <c r="GE109" s="8"/>
      <c r="GF109" s="8"/>
      <c r="GG109" s="8"/>
      <c r="GH109" s="8"/>
      <c r="GI109" s="8"/>
      <c r="GJ109" s="8"/>
      <c r="GK109" s="8"/>
      <c r="GL109" s="8"/>
      <c r="GM109" s="8"/>
      <c r="GN109" s="8"/>
      <c r="GO109" s="8"/>
      <c r="GP109" s="8"/>
      <c r="GQ109" s="8"/>
      <c r="GR109" s="8"/>
      <c r="GS109" s="8"/>
      <c r="GT109" s="8"/>
      <c r="GU109" s="8"/>
      <c r="GV109" s="8"/>
      <c r="GW109" s="8"/>
      <c r="GX109" s="8"/>
      <c r="GY109" s="8"/>
      <c r="GZ109" s="8"/>
      <c r="HA109" s="8"/>
      <c r="HB109" s="8"/>
      <c r="HC109" s="8"/>
      <c r="HD109" s="8"/>
      <c r="HE109" s="8"/>
      <c r="HF109" s="8"/>
      <c r="HG109" s="8"/>
      <c r="HH109" s="8"/>
      <c r="HI109" s="8"/>
      <c r="HJ109" s="8"/>
      <c r="HK109" s="8"/>
      <c r="HL109" s="8"/>
      <c r="HM109" s="8"/>
      <c r="HN109" s="8"/>
      <c r="HO109" s="8"/>
      <c r="HP109" s="8"/>
      <c r="HQ109" s="8"/>
      <c r="HR109" s="8"/>
      <c r="HS109" s="8"/>
      <c r="HT109" s="8"/>
      <c r="HU109" s="8"/>
      <c r="HV109" s="8"/>
      <c r="HW109" s="8"/>
      <c r="HX109" s="8"/>
      <c r="HY109" s="8"/>
      <c r="HZ109" s="8"/>
      <c r="IA109" s="8"/>
      <c r="IB109" s="8"/>
      <c r="IC109" s="8"/>
      <c r="ID109" s="8"/>
      <c r="IE109" s="8"/>
      <c r="IF109" s="8"/>
      <c r="IG109" s="8"/>
      <c r="IH109" s="8"/>
      <c r="II109" s="8"/>
      <c r="IJ109" s="8"/>
      <c r="IK109" s="8"/>
      <c r="IL109" s="8"/>
      <c r="IM109" s="8"/>
      <c r="IN109" s="8"/>
      <c r="IO109" s="8"/>
      <c r="IP109" s="8"/>
      <c r="IQ109" s="8"/>
      <c r="IR109" s="8"/>
      <c r="IS109" s="8"/>
      <c r="IT109" s="8"/>
      <c r="IU109" s="8"/>
      <c r="IV109" s="8"/>
      <c r="IW109" s="8"/>
      <c r="IX109" s="8"/>
      <c r="JA109" s="125"/>
      <c r="JB109" s="125"/>
      <c r="JC109" s="125"/>
      <c r="JD109" s="72">
        <f>SUM((TEXT(JA109,"[M]")/60)*'Income Person-hours'!$D$3,(TEXT(JB109,"[M]")/60)*'Income Person-hours'!$D$4,(TEXT(JC109,"[M]")/60)*'Income Person-hours'!$D$5)</f>
        <v>0</v>
      </c>
    </row>
    <row r="110" spans="1:264" s="12" customFormat="1" ht="15.75" hidden="1" x14ac:dyDescent="0.45">
      <c r="A110" s="33">
        <v>5.14</v>
      </c>
      <c r="B110" s="128"/>
      <c r="C110" s="119"/>
      <c r="D110" s="13" t="str">
        <f>IF(OR(j_WEEKDAY(J_ADDDAY(VLOOKUP(I110,A:F,6,FALSE),H110,1),0)=6,SUMIFS(Holieday[ok],Holieday[date],J_ADDDAY(VLOOKUP(I110,A:F,6,FALSE),H110,1)))=FALSE(),J_ADDDAY(VLOOKUP(I110,A:F,6,FALSE),H110,1),IF(OR(j_WEEKDAY(J_ADDDAY(VLOOKUP(I110,A:F,6,FALSE),H110+1,1),0)=6,SUMIFS(Holieday[ok],Holieday[date],J_ADDDAY(VLOOKUP(I110,A:F,6,FALSE),H110+1,1)))=FALSE(),J_ADDDAY(VLOOKUP(I110,A:F,6,FALSE),H110+1,1),IF(OR(j_WEEKDAY(J_ADDDAY(VLOOKUP(I110,A:F,6,FALSE),H110+2,1),0)=6,SUMIFS(Holieday[ok],Holieday[date],J_ADDDAY(VLOOKUP(I110,A:F,6,FALSE),H110+2,1)))=FALSE(),J_ADDDAY(VLOOKUP(I110,A:F,6,FALSE),H110+2,1),IF(OR(j_WEEKDAY(J_ADDDAY(VLOOKUP(I110,A:F,6,FALSE),H110+3,1),0)=6,SUMIFS(Holieday[ok],Holieday[date],J_ADDDAY(VLOOKUP(I110,A:F,6,FALSE),H110+3,1)))=FALSE(),J_ADDDAY(VLOOKUP(I110,A:F,6,FALSE),H110+3,1),IF(OR(j_WEEKDAY(J_ADDDAY(VLOOKUP(I110,A:F,6,FALSE),H110+4,1),0)=6,SUMIFS(Holieday[ok],Holieday[date],J_ADDDAY(VLOOKUP(I110,A:F,6,FALSE),H110+4,1)))=FALSE(),J_ADDDAY(VLOOKUP(I110,A:F,6,FALSE),H110+4,1),J_ADDDAY(VLOOKUP(I110,A:F,6,FALSE),H110+5,1))))))</f>
        <v>1398/06/21</v>
      </c>
      <c r="E110" s="2">
        <f t="shared" si="35"/>
        <v>13980621</v>
      </c>
      <c r="F110" s="13" t="str">
        <f>IF(N110=0,J_SUBDAY(D110,1,1)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0,J_SUBDAY(J_ADDDAY(D110,N110,1)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1,J_SUBDAY(J_ADDDAY(D110,N110+1,1),1,1),IF((N110-NETWORKDAYS.INTL(J_GregorianDate(D110,1),J_GregorianDate(J_SUBDAY(J_ADDDAY(D110,N110,1),1,1),1),16,1)-SUMIFS(Holieday[ok],Holieday[date],CONCATENATE("&gt;","=",D110),Holieday[date],CONCATENATE("&lt;","=",J_SUBDAY(J_ADDDAY(D110,N110,1),1,1)))+SUMIFS(Holieday[Friday],Holieday[date],CONCATENATE("&gt;","=",D110),Holieday[date],CONCATENATE("&lt;","=",J_SUBDAY(J_ADDDAY(D110,N110,1),1,1))))=2,J_SUBDAY(J_ADDDAY(D110,N110+2,1),1,1),J_SUBDAY(J_ADDDAY(D110,N110+3,1),1,1)))))</f>
        <v>1398/06/20</v>
      </c>
      <c r="G110" s="3">
        <f t="shared" si="36"/>
        <v>13980620</v>
      </c>
      <c r="H110" s="121"/>
      <c r="I110" s="122">
        <v>4.3</v>
      </c>
      <c r="J110" s="10" t="str">
        <f>j_WEEKDAY(D110,1)</f>
        <v>پنجشنبه</v>
      </c>
      <c r="K110" s="23">
        <f t="shared" si="34"/>
        <v>0</v>
      </c>
      <c r="L110" s="9">
        <f t="shared" si="31"/>
        <v>0</v>
      </c>
      <c r="M110" s="123">
        <v>0</v>
      </c>
      <c r="N110" s="120">
        <v>0</v>
      </c>
      <c r="O110" s="11">
        <f t="shared" si="32"/>
        <v>0</v>
      </c>
      <c r="P110" s="11">
        <f>VALUE(J_normdate(J_ADDDAY($D110,$O110,1)))</f>
        <v>13980621</v>
      </c>
      <c r="Q110" s="10">
        <f t="shared" si="33"/>
        <v>0</v>
      </c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  <c r="ES110" s="8"/>
      <c r="ET110" s="8"/>
      <c r="EU110" s="8"/>
      <c r="EV110" s="8"/>
      <c r="EW110" s="8"/>
      <c r="EX110" s="8"/>
      <c r="EY110" s="8"/>
      <c r="EZ110" s="8"/>
      <c r="FA110" s="8"/>
      <c r="FB110" s="8"/>
      <c r="FC110" s="8"/>
      <c r="FD110" s="8"/>
      <c r="FE110" s="8"/>
      <c r="FF110" s="8"/>
      <c r="FG110" s="8"/>
      <c r="FH110" s="8"/>
      <c r="FI110" s="8"/>
      <c r="FJ110" s="8"/>
      <c r="FK110" s="8"/>
      <c r="FL110" s="8"/>
      <c r="FM110" s="8"/>
      <c r="FN110" s="8"/>
      <c r="FO110" s="8"/>
      <c r="FP110" s="8"/>
      <c r="FQ110" s="8"/>
      <c r="FR110" s="8"/>
      <c r="FS110" s="8"/>
      <c r="FT110" s="8"/>
      <c r="FU110" s="8"/>
      <c r="FV110" s="8"/>
      <c r="FW110" s="8"/>
      <c r="FX110" s="8"/>
      <c r="FY110" s="8"/>
      <c r="FZ110" s="8"/>
      <c r="GA110" s="8"/>
      <c r="GB110" s="8"/>
      <c r="GC110" s="8"/>
      <c r="GD110" s="8"/>
      <c r="GE110" s="8"/>
      <c r="GF110" s="8"/>
      <c r="GG110" s="8"/>
      <c r="GH110" s="8"/>
      <c r="GI110" s="8"/>
      <c r="GJ110" s="8"/>
      <c r="GK110" s="8"/>
      <c r="GL110" s="8"/>
      <c r="GM110" s="8"/>
      <c r="GN110" s="8"/>
      <c r="GO110" s="8"/>
      <c r="GP110" s="8"/>
      <c r="GQ110" s="8"/>
      <c r="GR110" s="8"/>
      <c r="GS110" s="8"/>
      <c r="GT110" s="8"/>
      <c r="GU110" s="8"/>
      <c r="GV110" s="8"/>
      <c r="GW110" s="8"/>
      <c r="GX110" s="8"/>
      <c r="GY110" s="8"/>
      <c r="GZ110" s="8"/>
      <c r="HA110" s="8"/>
      <c r="HB110" s="8"/>
      <c r="HC110" s="8"/>
      <c r="HD110" s="8"/>
      <c r="HE110" s="8"/>
      <c r="HF110" s="8"/>
      <c r="HG110" s="8"/>
      <c r="HH110" s="8"/>
      <c r="HI110" s="8"/>
      <c r="HJ110" s="8"/>
      <c r="HK110" s="8"/>
      <c r="HL110" s="8"/>
      <c r="HM110" s="8"/>
      <c r="HN110" s="8"/>
      <c r="HO110" s="8"/>
      <c r="HP110" s="8"/>
      <c r="HQ110" s="8"/>
      <c r="HR110" s="8"/>
      <c r="HS110" s="8"/>
      <c r="HT110" s="8"/>
      <c r="HU110" s="8"/>
      <c r="HV110" s="8"/>
      <c r="HW110" s="8"/>
      <c r="HX110" s="8"/>
      <c r="HY110" s="8"/>
      <c r="HZ110" s="8"/>
      <c r="IA110" s="8"/>
      <c r="IB110" s="8"/>
      <c r="IC110" s="8"/>
      <c r="ID110" s="8"/>
      <c r="IE110" s="8"/>
      <c r="IF110" s="8"/>
      <c r="IG110" s="8"/>
      <c r="IH110" s="8"/>
      <c r="II110" s="8"/>
      <c r="IJ110" s="8"/>
      <c r="IK110" s="8"/>
      <c r="IL110" s="8"/>
      <c r="IM110" s="8"/>
      <c r="IN110" s="8"/>
      <c r="IO110" s="8"/>
      <c r="IP110" s="8"/>
      <c r="IQ110" s="8"/>
      <c r="IR110" s="8"/>
      <c r="IS110" s="8"/>
      <c r="IT110" s="8"/>
      <c r="IU110" s="8"/>
      <c r="IV110" s="8"/>
      <c r="IW110" s="8"/>
      <c r="IX110" s="8"/>
      <c r="JA110" s="125"/>
      <c r="JB110" s="125"/>
      <c r="JC110" s="125"/>
      <c r="JD110" s="72">
        <f>SUM((TEXT(JA110,"[M]")/60)*'Income Person-hours'!$D$3,(TEXT(JB110,"[M]")/60)*'Income Person-hours'!$D$4,(TEXT(JC110,"[M]")/60)*'Income Person-hours'!$D$5)</f>
        <v>0</v>
      </c>
    </row>
    <row r="111" spans="1:264" s="12" customFormat="1" ht="15.75" hidden="1" x14ac:dyDescent="0.45">
      <c r="A111" s="33">
        <v>5.15</v>
      </c>
      <c r="B111" s="128"/>
      <c r="C111" s="119"/>
      <c r="D111" s="13" t="str">
        <f>IF(OR(j_WEEKDAY(J_ADDDAY(VLOOKUP(I111,A:F,6,FALSE),H111,1),0)=6,SUMIFS(Holieday[ok],Holieday[date],J_ADDDAY(VLOOKUP(I111,A:F,6,FALSE),H111,1)))=FALSE(),J_ADDDAY(VLOOKUP(I111,A:F,6,FALSE),H111,1),IF(OR(j_WEEKDAY(J_ADDDAY(VLOOKUP(I111,A:F,6,FALSE),H111+1,1),0)=6,SUMIFS(Holieday[ok],Holieday[date],J_ADDDAY(VLOOKUP(I111,A:F,6,FALSE),H111+1,1)))=FALSE(),J_ADDDAY(VLOOKUP(I111,A:F,6,FALSE),H111+1,1),IF(OR(j_WEEKDAY(J_ADDDAY(VLOOKUP(I111,A:F,6,FALSE),H111+2,1),0)=6,SUMIFS(Holieday[ok],Holieday[date],J_ADDDAY(VLOOKUP(I111,A:F,6,FALSE),H111+2,1)))=FALSE(),J_ADDDAY(VLOOKUP(I111,A:F,6,FALSE),H111+2,1),IF(OR(j_WEEKDAY(J_ADDDAY(VLOOKUP(I111,A:F,6,FALSE),H111+3,1),0)=6,SUMIFS(Holieday[ok],Holieday[date],J_ADDDAY(VLOOKUP(I111,A:F,6,FALSE),H111+3,1)))=FALSE(),J_ADDDAY(VLOOKUP(I111,A:F,6,FALSE),H111+3,1),IF(OR(j_WEEKDAY(J_ADDDAY(VLOOKUP(I111,A:F,6,FALSE),H111+4,1),0)=6,SUMIFS(Holieday[ok],Holieday[date],J_ADDDAY(VLOOKUP(I111,A:F,6,FALSE),H111+4,1)))=FALSE(),J_ADDDAY(VLOOKUP(I111,A:F,6,FALSE),H111+4,1),J_ADDDAY(VLOOKUP(I111,A:F,6,FALSE),H111+5,1))))))</f>
        <v>1398/06/21</v>
      </c>
      <c r="E111" s="2">
        <f t="shared" si="35"/>
        <v>13980621</v>
      </c>
      <c r="F111" s="13" t="str">
        <f>IF(N111=0,J_SUBDAY(D111,1,1)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0,J_SUBDAY(J_ADDDAY(D111,N111,1)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1,J_SUBDAY(J_ADDDAY(D111,N111+1,1),1,1),IF((N111-NETWORKDAYS.INTL(J_GregorianDate(D111,1),J_GregorianDate(J_SUBDAY(J_ADDDAY(D111,N111,1),1,1),1),16,1)-SUMIFS(Holieday[ok],Holieday[date],CONCATENATE("&gt;","=",D111),Holieday[date],CONCATENATE("&lt;","=",J_SUBDAY(J_ADDDAY(D111,N111,1),1,1)))+SUMIFS(Holieday[Friday],Holieday[date],CONCATENATE("&gt;","=",D111),Holieday[date],CONCATENATE("&lt;","=",J_SUBDAY(J_ADDDAY(D111,N111,1),1,1))))=2,J_SUBDAY(J_ADDDAY(D111,N111+2,1),1,1),J_SUBDAY(J_ADDDAY(D111,N111+3,1),1,1)))))</f>
        <v>1398/06/20</v>
      </c>
      <c r="G111" s="3">
        <f t="shared" si="36"/>
        <v>13980620</v>
      </c>
      <c r="H111" s="121"/>
      <c r="I111" s="122">
        <v>4.3</v>
      </c>
      <c r="J111" s="10" t="str">
        <f>j_WEEKDAY(D111,1)</f>
        <v>پنجشنبه</v>
      </c>
      <c r="K111" s="23">
        <f t="shared" si="34"/>
        <v>0</v>
      </c>
      <c r="L111" s="9">
        <f t="shared" si="31"/>
        <v>0</v>
      </c>
      <c r="M111" s="123">
        <v>0</v>
      </c>
      <c r="N111" s="120">
        <v>0</v>
      </c>
      <c r="O111" s="11">
        <f t="shared" si="32"/>
        <v>0</v>
      </c>
      <c r="P111" s="11">
        <f>VALUE(J_normdate(J_ADDDAY($D111,$O111,1)))</f>
        <v>13980621</v>
      </c>
      <c r="Q111" s="10">
        <f t="shared" si="33"/>
        <v>0</v>
      </c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  <c r="ES111" s="8"/>
      <c r="ET111" s="8"/>
      <c r="EU111" s="8"/>
      <c r="EV111" s="8"/>
      <c r="EW111" s="8"/>
      <c r="EX111" s="8"/>
      <c r="EY111" s="8"/>
      <c r="EZ111" s="8"/>
      <c r="FA111" s="8"/>
      <c r="FB111" s="8"/>
      <c r="FC111" s="8"/>
      <c r="FD111" s="8"/>
      <c r="FE111" s="8"/>
      <c r="FF111" s="8"/>
      <c r="FG111" s="8"/>
      <c r="FH111" s="8"/>
      <c r="FI111" s="8"/>
      <c r="FJ111" s="8"/>
      <c r="FK111" s="8"/>
      <c r="FL111" s="8"/>
      <c r="FM111" s="8"/>
      <c r="FN111" s="8"/>
      <c r="FO111" s="8"/>
      <c r="FP111" s="8"/>
      <c r="FQ111" s="8"/>
      <c r="FR111" s="8"/>
      <c r="FS111" s="8"/>
      <c r="FT111" s="8"/>
      <c r="FU111" s="8"/>
      <c r="FV111" s="8"/>
      <c r="FW111" s="8"/>
      <c r="FX111" s="8"/>
      <c r="FY111" s="8"/>
      <c r="FZ111" s="8"/>
      <c r="GA111" s="8"/>
      <c r="GB111" s="8"/>
      <c r="GC111" s="8"/>
      <c r="GD111" s="8"/>
      <c r="GE111" s="8"/>
      <c r="GF111" s="8"/>
      <c r="GG111" s="8"/>
      <c r="GH111" s="8"/>
      <c r="GI111" s="8"/>
      <c r="GJ111" s="8"/>
      <c r="GK111" s="8"/>
      <c r="GL111" s="8"/>
      <c r="GM111" s="8"/>
      <c r="GN111" s="8"/>
      <c r="GO111" s="8"/>
      <c r="GP111" s="8"/>
      <c r="GQ111" s="8"/>
      <c r="GR111" s="8"/>
      <c r="GS111" s="8"/>
      <c r="GT111" s="8"/>
      <c r="GU111" s="8"/>
      <c r="GV111" s="8"/>
      <c r="GW111" s="8"/>
      <c r="GX111" s="8"/>
      <c r="GY111" s="8"/>
      <c r="GZ111" s="8"/>
      <c r="HA111" s="8"/>
      <c r="HB111" s="8"/>
      <c r="HC111" s="8"/>
      <c r="HD111" s="8"/>
      <c r="HE111" s="8"/>
      <c r="HF111" s="8"/>
      <c r="HG111" s="8"/>
      <c r="HH111" s="8"/>
      <c r="HI111" s="8"/>
      <c r="HJ111" s="8"/>
      <c r="HK111" s="8"/>
      <c r="HL111" s="8"/>
      <c r="HM111" s="8"/>
      <c r="HN111" s="8"/>
      <c r="HO111" s="8"/>
      <c r="HP111" s="8"/>
      <c r="HQ111" s="8"/>
      <c r="HR111" s="8"/>
      <c r="HS111" s="8"/>
      <c r="HT111" s="8"/>
      <c r="HU111" s="8"/>
      <c r="HV111" s="8"/>
      <c r="HW111" s="8"/>
      <c r="HX111" s="8"/>
      <c r="HY111" s="8"/>
      <c r="HZ111" s="8"/>
      <c r="IA111" s="8"/>
      <c r="IB111" s="8"/>
      <c r="IC111" s="8"/>
      <c r="ID111" s="8"/>
      <c r="IE111" s="8"/>
      <c r="IF111" s="8"/>
      <c r="IG111" s="8"/>
      <c r="IH111" s="8"/>
      <c r="II111" s="8"/>
      <c r="IJ111" s="8"/>
      <c r="IK111" s="8"/>
      <c r="IL111" s="8"/>
      <c r="IM111" s="8"/>
      <c r="IN111" s="8"/>
      <c r="IO111" s="8"/>
      <c r="IP111" s="8"/>
      <c r="IQ111" s="8"/>
      <c r="IR111" s="8"/>
      <c r="IS111" s="8"/>
      <c r="IT111" s="8"/>
      <c r="IU111" s="8"/>
      <c r="IV111" s="8"/>
      <c r="IW111" s="8"/>
      <c r="IX111" s="8"/>
      <c r="JA111" s="125"/>
      <c r="JB111" s="125"/>
      <c r="JC111" s="125"/>
      <c r="JD111" s="72">
        <f>SUM((TEXT(JA111,"[M]")/60)*'Income Person-hours'!$D$3,(TEXT(JB111,"[M]")/60)*'Income Person-hours'!$D$4,(TEXT(JC111,"[M]")/60)*'Income Person-hours'!$D$5)</f>
        <v>0</v>
      </c>
    </row>
    <row r="112" spans="1:264" s="12" customFormat="1" ht="15.75" hidden="1" x14ac:dyDescent="0.45">
      <c r="A112" s="33">
        <v>5.16</v>
      </c>
      <c r="B112" s="128"/>
      <c r="C112" s="119"/>
      <c r="D112" s="13" t="str">
        <f>IF(OR(j_WEEKDAY(J_ADDDAY(VLOOKUP(I112,A:F,6,FALSE),H112,1),0)=6,SUMIFS(Holieday[ok],Holieday[date],J_ADDDAY(VLOOKUP(I112,A:F,6,FALSE),H112,1)))=FALSE(),J_ADDDAY(VLOOKUP(I112,A:F,6,FALSE),H112,1),IF(OR(j_WEEKDAY(J_ADDDAY(VLOOKUP(I112,A:F,6,FALSE),H112+1,1),0)=6,SUMIFS(Holieday[ok],Holieday[date],J_ADDDAY(VLOOKUP(I112,A:F,6,FALSE),H112+1,1)))=FALSE(),J_ADDDAY(VLOOKUP(I112,A:F,6,FALSE),H112+1,1),IF(OR(j_WEEKDAY(J_ADDDAY(VLOOKUP(I112,A:F,6,FALSE),H112+2,1),0)=6,SUMIFS(Holieday[ok],Holieday[date],J_ADDDAY(VLOOKUP(I112,A:F,6,FALSE),H112+2,1)))=FALSE(),J_ADDDAY(VLOOKUP(I112,A:F,6,FALSE),H112+2,1),IF(OR(j_WEEKDAY(J_ADDDAY(VLOOKUP(I112,A:F,6,FALSE),H112+3,1),0)=6,SUMIFS(Holieday[ok],Holieday[date],J_ADDDAY(VLOOKUP(I112,A:F,6,FALSE),H112+3,1)))=FALSE(),J_ADDDAY(VLOOKUP(I112,A:F,6,FALSE),H112+3,1),IF(OR(j_WEEKDAY(J_ADDDAY(VLOOKUP(I112,A:F,6,FALSE),H112+4,1),0)=6,SUMIFS(Holieday[ok],Holieday[date],J_ADDDAY(VLOOKUP(I112,A:F,6,FALSE),H112+4,1)))=FALSE(),J_ADDDAY(VLOOKUP(I112,A:F,6,FALSE),H112+4,1),J_ADDDAY(VLOOKUP(I112,A:F,6,FALSE),H112+5,1))))))</f>
        <v>1398/06/21</v>
      </c>
      <c r="E112" s="2">
        <f t="shared" si="35"/>
        <v>13980621</v>
      </c>
      <c r="F112" s="13" t="str">
        <f>IF(N112=0,J_SUBDAY(D112,1,1)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0,J_SUBDAY(J_ADDDAY(D112,N112,1)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1,J_SUBDAY(J_ADDDAY(D112,N112+1,1),1,1),IF((N112-NETWORKDAYS.INTL(J_GregorianDate(D112,1),J_GregorianDate(J_SUBDAY(J_ADDDAY(D112,N112,1),1,1),1),16,1)-SUMIFS(Holieday[ok],Holieday[date],CONCATENATE("&gt;","=",D112),Holieday[date],CONCATENATE("&lt;","=",J_SUBDAY(J_ADDDAY(D112,N112,1),1,1)))+SUMIFS(Holieday[Friday],Holieday[date],CONCATENATE("&gt;","=",D112),Holieday[date],CONCATENATE("&lt;","=",J_SUBDAY(J_ADDDAY(D112,N112,1),1,1))))=2,J_SUBDAY(J_ADDDAY(D112,N112+2,1),1,1),J_SUBDAY(J_ADDDAY(D112,N112+3,1),1,1)))))</f>
        <v>1398/06/20</v>
      </c>
      <c r="G112" s="3">
        <f t="shared" si="36"/>
        <v>13980620</v>
      </c>
      <c r="H112" s="121"/>
      <c r="I112" s="122">
        <v>4.3</v>
      </c>
      <c r="J112" s="10" t="str">
        <f>j_WEEKDAY(D112,1)</f>
        <v>پنجشنبه</v>
      </c>
      <c r="K112" s="23">
        <f t="shared" si="34"/>
        <v>0</v>
      </c>
      <c r="L112" s="9">
        <f t="shared" si="31"/>
        <v>0</v>
      </c>
      <c r="M112" s="123">
        <v>0</v>
      </c>
      <c r="N112" s="120">
        <v>0</v>
      </c>
      <c r="O112" s="11">
        <f t="shared" si="32"/>
        <v>0</v>
      </c>
      <c r="P112" s="11">
        <f>VALUE(J_normdate(J_ADDDAY($D112,$O112,1)))</f>
        <v>13980621</v>
      </c>
      <c r="Q112" s="10">
        <f t="shared" si="33"/>
        <v>0</v>
      </c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  <c r="ES112" s="8"/>
      <c r="ET112" s="8"/>
      <c r="EU112" s="8"/>
      <c r="EV112" s="8"/>
      <c r="EW112" s="8"/>
      <c r="EX112" s="8"/>
      <c r="EY112" s="8"/>
      <c r="EZ112" s="8"/>
      <c r="FA112" s="8"/>
      <c r="FB112" s="8"/>
      <c r="FC112" s="8"/>
      <c r="FD112" s="8"/>
      <c r="FE112" s="8"/>
      <c r="FF112" s="8"/>
      <c r="FG112" s="8"/>
      <c r="FH112" s="8"/>
      <c r="FI112" s="8"/>
      <c r="FJ112" s="8"/>
      <c r="FK112" s="8"/>
      <c r="FL112" s="8"/>
      <c r="FM112" s="8"/>
      <c r="FN112" s="8"/>
      <c r="FO112" s="8"/>
      <c r="FP112" s="8"/>
      <c r="FQ112" s="8"/>
      <c r="FR112" s="8"/>
      <c r="FS112" s="8"/>
      <c r="FT112" s="8"/>
      <c r="FU112" s="8"/>
      <c r="FV112" s="8"/>
      <c r="FW112" s="8"/>
      <c r="FX112" s="8"/>
      <c r="FY112" s="8"/>
      <c r="FZ112" s="8"/>
      <c r="GA112" s="8"/>
      <c r="GB112" s="8"/>
      <c r="GC112" s="8"/>
      <c r="GD112" s="8"/>
      <c r="GE112" s="8"/>
      <c r="GF112" s="8"/>
      <c r="GG112" s="8"/>
      <c r="GH112" s="8"/>
      <c r="GI112" s="8"/>
      <c r="GJ112" s="8"/>
      <c r="GK112" s="8"/>
      <c r="GL112" s="8"/>
      <c r="GM112" s="8"/>
      <c r="GN112" s="8"/>
      <c r="GO112" s="8"/>
      <c r="GP112" s="8"/>
      <c r="GQ112" s="8"/>
      <c r="GR112" s="8"/>
      <c r="GS112" s="8"/>
      <c r="GT112" s="8"/>
      <c r="GU112" s="8"/>
      <c r="GV112" s="8"/>
      <c r="GW112" s="8"/>
      <c r="GX112" s="8"/>
      <c r="GY112" s="8"/>
      <c r="GZ112" s="8"/>
      <c r="HA112" s="8"/>
      <c r="HB112" s="8"/>
      <c r="HC112" s="8"/>
      <c r="HD112" s="8"/>
      <c r="HE112" s="8"/>
      <c r="HF112" s="8"/>
      <c r="HG112" s="8"/>
      <c r="HH112" s="8"/>
      <c r="HI112" s="8"/>
      <c r="HJ112" s="8"/>
      <c r="HK112" s="8"/>
      <c r="HL112" s="8"/>
      <c r="HM112" s="8"/>
      <c r="HN112" s="8"/>
      <c r="HO112" s="8"/>
      <c r="HP112" s="8"/>
      <c r="HQ112" s="8"/>
      <c r="HR112" s="8"/>
      <c r="HS112" s="8"/>
      <c r="HT112" s="8"/>
      <c r="HU112" s="8"/>
      <c r="HV112" s="8"/>
      <c r="HW112" s="8"/>
      <c r="HX112" s="8"/>
      <c r="HY112" s="8"/>
      <c r="HZ112" s="8"/>
      <c r="IA112" s="8"/>
      <c r="IB112" s="8"/>
      <c r="IC112" s="8"/>
      <c r="ID112" s="8"/>
      <c r="IE112" s="8"/>
      <c r="IF112" s="8"/>
      <c r="IG112" s="8"/>
      <c r="IH112" s="8"/>
      <c r="II112" s="8"/>
      <c r="IJ112" s="8"/>
      <c r="IK112" s="8"/>
      <c r="IL112" s="8"/>
      <c r="IM112" s="8"/>
      <c r="IN112" s="8"/>
      <c r="IO112" s="8"/>
      <c r="IP112" s="8"/>
      <c r="IQ112" s="8"/>
      <c r="IR112" s="8"/>
      <c r="IS112" s="8"/>
      <c r="IT112" s="8"/>
      <c r="IU112" s="8"/>
      <c r="IV112" s="8"/>
      <c r="IW112" s="8"/>
      <c r="IX112" s="8"/>
      <c r="JA112" s="125"/>
      <c r="JB112" s="125"/>
      <c r="JC112" s="125"/>
      <c r="JD112" s="72">
        <f>SUM((TEXT(JA112,"[M]")/60)*'Income Person-hours'!$D$3,(TEXT(JB112,"[M]")/60)*'Income Person-hours'!$D$4,(TEXT(JC112,"[M]")/60)*'Income Person-hours'!$D$5)</f>
        <v>0</v>
      </c>
    </row>
    <row r="113" spans="1:16382" s="12" customFormat="1" ht="15.75" hidden="1" x14ac:dyDescent="0.45">
      <c r="A113" s="33">
        <v>5.17</v>
      </c>
      <c r="B113" s="128"/>
      <c r="C113" s="119"/>
      <c r="D113" s="13" t="str">
        <f>IF(OR(j_WEEKDAY(J_ADDDAY(VLOOKUP(I113,A:F,6,FALSE),H113,1),0)=6,SUMIFS(Holieday[ok],Holieday[date],J_ADDDAY(VLOOKUP(I113,A:F,6,FALSE),H113,1)))=FALSE(),J_ADDDAY(VLOOKUP(I113,A:F,6,FALSE),H113,1),IF(OR(j_WEEKDAY(J_ADDDAY(VLOOKUP(I113,A:F,6,FALSE),H113+1,1),0)=6,SUMIFS(Holieday[ok],Holieday[date],J_ADDDAY(VLOOKUP(I113,A:F,6,FALSE),H113+1,1)))=FALSE(),J_ADDDAY(VLOOKUP(I113,A:F,6,FALSE),H113+1,1),IF(OR(j_WEEKDAY(J_ADDDAY(VLOOKUP(I113,A:F,6,FALSE),H113+2,1),0)=6,SUMIFS(Holieday[ok],Holieday[date],J_ADDDAY(VLOOKUP(I113,A:F,6,FALSE),H113+2,1)))=FALSE(),J_ADDDAY(VLOOKUP(I113,A:F,6,FALSE),H113+2,1),IF(OR(j_WEEKDAY(J_ADDDAY(VLOOKUP(I113,A:F,6,FALSE),H113+3,1),0)=6,SUMIFS(Holieday[ok],Holieday[date],J_ADDDAY(VLOOKUP(I113,A:F,6,FALSE),H113+3,1)))=FALSE(),J_ADDDAY(VLOOKUP(I113,A:F,6,FALSE),H113+3,1),IF(OR(j_WEEKDAY(J_ADDDAY(VLOOKUP(I113,A:F,6,FALSE),H113+4,1),0)=6,SUMIFS(Holieday[ok],Holieday[date],J_ADDDAY(VLOOKUP(I113,A:F,6,FALSE),H113+4,1)))=FALSE(),J_ADDDAY(VLOOKUP(I113,A:F,6,FALSE),H113+4,1),J_ADDDAY(VLOOKUP(I113,A:F,6,FALSE),H113+5,1))))))</f>
        <v>1398/06/21</v>
      </c>
      <c r="E113" s="2">
        <f t="shared" si="35"/>
        <v>13980621</v>
      </c>
      <c r="F113" s="13" t="str">
        <f>IF(N113=0,J_SUBDAY(D113,1,1)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0,J_SUBDAY(J_ADDDAY(D113,N113,1)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1,J_SUBDAY(J_ADDDAY(D113,N113+1,1),1,1),IF((N113-NETWORKDAYS.INTL(J_GregorianDate(D113,1),J_GregorianDate(J_SUBDAY(J_ADDDAY(D113,N113,1),1,1),1),16,1)-SUMIFS(Holieday[ok],Holieday[date],CONCATENATE("&gt;","=",D113),Holieday[date],CONCATENATE("&lt;","=",J_SUBDAY(J_ADDDAY(D113,N113,1),1,1)))+SUMIFS(Holieday[Friday],Holieday[date],CONCATENATE("&gt;","=",D113),Holieday[date],CONCATENATE("&lt;","=",J_SUBDAY(J_ADDDAY(D113,N113,1),1,1))))=2,J_SUBDAY(J_ADDDAY(D113,N113+2,1),1,1),J_SUBDAY(J_ADDDAY(D113,N113+3,1),1,1)))))</f>
        <v>1398/06/20</v>
      </c>
      <c r="G113" s="3">
        <f t="shared" si="36"/>
        <v>13980620</v>
      </c>
      <c r="H113" s="121"/>
      <c r="I113" s="122">
        <v>4.3</v>
      </c>
      <c r="J113" s="10" t="str">
        <f>j_WEEKDAY(D113,1)</f>
        <v>پنجشنبه</v>
      </c>
      <c r="K113" s="23">
        <f t="shared" si="34"/>
        <v>0</v>
      </c>
      <c r="L113" s="9">
        <f t="shared" si="31"/>
        <v>0</v>
      </c>
      <c r="M113" s="123">
        <v>0</v>
      </c>
      <c r="N113" s="120">
        <v>0</v>
      </c>
      <c r="O113" s="11">
        <f t="shared" si="32"/>
        <v>0</v>
      </c>
      <c r="P113" s="11">
        <f>VALUE(J_normdate(J_ADDDAY($D113,$O113,1)))</f>
        <v>13980621</v>
      </c>
      <c r="Q113" s="10">
        <f t="shared" si="33"/>
        <v>0</v>
      </c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  <c r="ES113" s="8"/>
      <c r="ET113" s="8"/>
      <c r="EU113" s="8"/>
      <c r="EV113" s="8"/>
      <c r="EW113" s="8"/>
      <c r="EX113" s="8"/>
      <c r="EY113" s="8"/>
      <c r="EZ113" s="8"/>
      <c r="FA113" s="8"/>
      <c r="FB113" s="8"/>
      <c r="FC113" s="8"/>
      <c r="FD113" s="8"/>
      <c r="FE113" s="8"/>
      <c r="FF113" s="8"/>
      <c r="FG113" s="8"/>
      <c r="FH113" s="8"/>
      <c r="FI113" s="8"/>
      <c r="FJ113" s="8"/>
      <c r="FK113" s="8"/>
      <c r="FL113" s="8"/>
      <c r="FM113" s="8"/>
      <c r="FN113" s="8"/>
      <c r="FO113" s="8"/>
      <c r="FP113" s="8"/>
      <c r="FQ113" s="8"/>
      <c r="FR113" s="8"/>
      <c r="FS113" s="8"/>
      <c r="FT113" s="8"/>
      <c r="FU113" s="8"/>
      <c r="FV113" s="8"/>
      <c r="FW113" s="8"/>
      <c r="FX113" s="8"/>
      <c r="FY113" s="8"/>
      <c r="FZ113" s="8"/>
      <c r="GA113" s="8"/>
      <c r="GB113" s="8"/>
      <c r="GC113" s="8"/>
      <c r="GD113" s="8"/>
      <c r="GE113" s="8"/>
      <c r="GF113" s="8"/>
      <c r="GG113" s="8"/>
      <c r="GH113" s="8"/>
      <c r="GI113" s="8"/>
      <c r="GJ113" s="8"/>
      <c r="GK113" s="8"/>
      <c r="GL113" s="8"/>
      <c r="GM113" s="8"/>
      <c r="GN113" s="8"/>
      <c r="GO113" s="8"/>
      <c r="GP113" s="8"/>
      <c r="GQ113" s="8"/>
      <c r="GR113" s="8"/>
      <c r="GS113" s="8"/>
      <c r="GT113" s="8"/>
      <c r="GU113" s="8"/>
      <c r="GV113" s="8"/>
      <c r="GW113" s="8"/>
      <c r="GX113" s="8"/>
      <c r="GY113" s="8"/>
      <c r="GZ113" s="8"/>
      <c r="HA113" s="8"/>
      <c r="HB113" s="8"/>
      <c r="HC113" s="8"/>
      <c r="HD113" s="8"/>
      <c r="HE113" s="8"/>
      <c r="HF113" s="8"/>
      <c r="HG113" s="8"/>
      <c r="HH113" s="8"/>
      <c r="HI113" s="8"/>
      <c r="HJ113" s="8"/>
      <c r="HK113" s="8"/>
      <c r="HL113" s="8"/>
      <c r="HM113" s="8"/>
      <c r="HN113" s="8"/>
      <c r="HO113" s="8"/>
      <c r="HP113" s="8"/>
      <c r="HQ113" s="8"/>
      <c r="HR113" s="8"/>
      <c r="HS113" s="8"/>
      <c r="HT113" s="8"/>
      <c r="HU113" s="8"/>
      <c r="HV113" s="8"/>
      <c r="HW113" s="8"/>
      <c r="HX113" s="8"/>
      <c r="HY113" s="8"/>
      <c r="HZ113" s="8"/>
      <c r="IA113" s="8"/>
      <c r="IB113" s="8"/>
      <c r="IC113" s="8"/>
      <c r="ID113" s="8"/>
      <c r="IE113" s="8"/>
      <c r="IF113" s="8"/>
      <c r="IG113" s="8"/>
      <c r="IH113" s="8"/>
      <c r="II113" s="8"/>
      <c r="IJ113" s="8"/>
      <c r="IK113" s="8"/>
      <c r="IL113" s="8"/>
      <c r="IM113" s="8"/>
      <c r="IN113" s="8"/>
      <c r="IO113" s="8"/>
      <c r="IP113" s="8"/>
      <c r="IQ113" s="8"/>
      <c r="IR113" s="8"/>
      <c r="IS113" s="8"/>
      <c r="IT113" s="8"/>
      <c r="IU113" s="8"/>
      <c r="IV113" s="8"/>
      <c r="IW113" s="8"/>
      <c r="IX113" s="8"/>
      <c r="JA113" s="125"/>
      <c r="JB113" s="125"/>
      <c r="JC113" s="125"/>
      <c r="JD113" s="72">
        <f>SUM((TEXT(JA113,"[M]")/60)*'Income Person-hours'!$D$3,(TEXT(JB113,"[M]")/60)*'Income Person-hours'!$D$4,(TEXT(JC113,"[M]")/60)*'Income Person-hours'!$D$5)</f>
        <v>0</v>
      </c>
    </row>
    <row r="114" spans="1:16382" s="12" customFormat="1" ht="15.75" hidden="1" x14ac:dyDescent="0.45">
      <c r="A114" s="33">
        <v>5.18</v>
      </c>
      <c r="B114" s="128"/>
      <c r="C114" s="119"/>
      <c r="D114" s="13" t="str">
        <f>IF(OR(j_WEEKDAY(J_ADDDAY(VLOOKUP(I114,A:F,6,FALSE),H114,1),0)=6,SUMIFS(Holieday[ok],Holieday[date],J_ADDDAY(VLOOKUP(I114,A:F,6,FALSE),H114,1)))=FALSE(),J_ADDDAY(VLOOKUP(I114,A:F,6,FALSE),H114,1),IF(OR(j_WEEKDAY(J_ADDDAY(VLOOKUP(I114,A:F,6,FALSE),H114+1,1),0)=6,SUMIFS(Holieday[ok],Holieday[date],J_ADDDAY(VLOOKUP(I114,A:F,6,FALSE),H114+1,1)))=FALSE(),J_ADDDAY(VLOOKUP(I114,A:F,6,FALSE),H114+1,1),IF(OR(j_WEEKDAY(J_ADDDAY(VLOOKUP(I114,A:F,6,FALSE),H114+2,1),0)=6,SUMIFS(Holieday[ok],Holieday[date],J_ADDDAY(VLOOKUP(I114,A:F,6,FALSE),H114+2,1)))=FALSE(),J_ADDDAY(VLOOKUP(I114,A:F,6,FALSE),H114+2,1),IF(OR(j_WEEKDAY(J_ADDDAY(VLOOKUP(I114,A:F,6,FALSE),H114+3,1),0)=6,SUMIFS(Holieday[ok],Holieday[date],J_ADDDAY(VLOOKUP(I114,A:F,6,FALSE),H114+3,1)))=FALSE(),J_ADDDAY(VLOOKUP(I114,A:F,6,FALSE),H114+3,1),IF(OR(j_WEEKDAY(J_ADDDAY(VLOOKUP(I114,A:F,6,FALSE),H114+4,1),0)=6,SUMIFS(Holieday[ok],Holieday[date],J_ADDDAY(VLOOKUP(I114,A:F,6,FALSE),H114+4,1)))=FALSE(),J_ADDDAY(VLOOKUP(I114,A:F,6,FALSE),H114+4,1),J_ADDDAY(VLOOKUP(I114,A:F,6,FALSE),H114+5,1))))))</f>
        <v>1398/06/21</v>
      </c>
      <c r="E114" s="2">
        <f t="shared" si="35"/>
        <v>13980621</v>
      </c>
      <c r="F114" s="13" t="str">
        <f>IF(N114=0,J_SUBDAY(D114,1,1)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0,J_SUBDAY(J_ADDDAY(D114,N114,1)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1,J_SUBDAY(J_ADDDAY(D114,N114+1,1),1,1),IF((N114-NETWORKDAYS.INTL(J_GregorianDate(D114,1),J_GregorianDate(J_SUBDAY(J_ADDDAY(D114,N114,1),1,1),1),16,1)-SUMIFS(Holieday[ok],Holieday[date],CONCATENATE("&gt;","=",D114),Holieday[date],CONCATENATE("&lt;","=",J_SUBDAY(J_ADDDAY(D114,N114,1),1,1)))+SUMIFS(Holieday[Friday],Holieday[date],CONCATENATE("&gt;","=",D114),Holieday[date],CONCATENATE("&lt;","=",J_SUBDAY(J_ADDDAY(D114,N114,1),1,1))))=2,J_SUBDAY(J_ADDDAY(D114,N114+2,1),1,1),J_SUBDAY(J_ADDDAY(D114,N114+3,1),1,1)))))</f>
        <v>1398/06/20</v>
      </c>
      <c r="G114" s="3">
        <f t="shared" si="36"/>
        <v>13980620</v>
      </c>
      <c r="H114" s="121"/>
      <c r="I114" s="122">
        <v>4.3</v>
      </c>
      <c r="J114" s="10" t="str">
        <f>j_WEEKDAY(D114,1)</f>
        <v>پنجشنبه</v>
      </c>
      <c r="K114" s="23">
        <f t="shared" si="34"/>
        <v>0</v>
      </c>
      <c r="L114" s="9">
        <f t="shared" si="31"/>
        <v>0</v>
      </c>
      <c r="M114" s="123">
        <v>0</v>
      </c>
      <c r="N114" s="120">
        <v>0</v>
      </c>
      <c r="O114" s="11">
        <f t="shared" si="32"/>
        <v>0</v>
      </c>
      <c r="P114" s="11">
        <f>VALUE(J_normdate(J_ADDDAY($D114,$O114,1)))</f>
        <v>13980621</v>
      </c>
      <c r="Q114" s="10">
        <f t="shared" si="33"/>
        <v>0</v>
      </c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  <c r="ES114" s="8"/>
      <c r="ET114" s="8"/>
      <c r="EU114" s="8"/>
      <c r="EV114" s="8"/>
      <c r="EW114" s="8"/>
      <c r="EX114" s="8"/>
      <c r="EY114" s="8"/>
      <c r="EZ114" s="8"/>
      <c r="FA114" s="8"/>
      <c r="FB114" s="8"/>
      <c r="FC114" s="8"/>
      <c r="FD114" s="8"/>
      <c r="FE114" s="8"/>
      <c r="FF114" s="8"/>
      <c r="FG114" s="8"/>
      <c r="FH114" s="8"/>
      <c r="FI114" s="8"/>
      <c r="FJ114" s="8"/>
      <c r="FK114" s="8"/>
      <c r="FL114" s="8"/>
      <c r="FM114" s="8"/>
      <c r="FN114" s="8"/>
      <c r="FO114" s="8"/>
      <c r="FP114" s="8"/>
      <c r="FQ114" s="8"/>
      <c r="FR114" s="8"/>
      <c r="FS114" s="8"/>
      <c r="FT114" s="8"/>
      <c r="FU114" s="8"/>
      <c r="FV114" s="8"/>
      <c r="FW114" s="8"/>
      <c r="FX114" s="8"/>
      <c r="FY114" s="8"/>
      <c r="FZ114" s="8"/>
      <c r="GA114" s="8"/>
      <c r="GB114" s="8"/>
      <c r="GC114" s="8"/>
      <c r="GD114" s="8"/>
      <c r="GE114" s="8"/>
      <c r="GF114" s="8"/>
      <c r="GG114" s="8"/>
      <c r="GH114" s="8"/>
      <c r="GI114" s="8"/>
      <c r="GJ114" s="8"/>
      <c r="GK114" s="8"/>
      <c r="GL114" s="8"/>
      <c r="GM114" s="8"/>
      <c r="GN114" s="8"/>
      <c r="GO114" s="8"/>
      <c r="GP114" s="8"/>
      <c r="GQ114" s="8"/>
      <c r="GR114" s="8"/>
      <c r="GS114" s="8"/>
      <c r="GT114" s="8"/>
      <c r="GU114" s="8"/>
      <c r="GV114" s="8"/>
      <c r="GW114" s="8"/>
      <c r="GX114" s="8"/>
      <c r="GY114" s="8"/>
      <c r="GZ114" s="8"/>
      <c r="HA114" s="8"/>
      <c r="HB114" s="8"/>
      <c r="HC114" s="8"/>
      <c r="HD114" s="8"/>
      <c r="HE114" s="8"/>
      <c r="HF114" s="8"/>
      <c r="HG114" s="8"/>
      <c r="HH114" s="8"/>
      <c r="HI114" s="8"/>
      <c r="HJ114" s="8"/>
      <c r="HK114" s="8"/>
      <c r="HL114" s="8"/>
      <c r="HM114" s="8"/>
      <c r="HN114" s="8"/>
      <c r="HO114" s="8"/>
      <c r="HP114" s="8"/>
      <c r="HQ114" s="8"/>
      <c r="HR114" s="8"/>
      <c r="HS114" s="8"/>
      <c r="HT114" s="8"/>
      <c r="HU114" s="8"/>
      <c r="HV114" s="8"/>
      <c r="HW114" s="8"/>
      <c r="HX114" s="8"/>
      <c r="HY114" s="8"/>
      <c r="HZ114" s="8"/>
      <c r="IA114" s="8"/>
      <c r="IB114" s="8"/>
      <c r="IC114" s="8"/>
      <c r="ID114" s="8"/>
      <c r="IE114" s="8"/>
      <c r="IF114" s="8"/>
      <c r="IG114" s="8"/>
      <c r="IH114" s="8"/>
      <c r="II114" s="8"/>
      <c r="IJ114" s="8"/>
      <c r="IK114" s="8"/>
      <c r="IL114" s="8"/>
      <c r="IM114" s="8"/>
      <c r="IN114" s="8"/>
      <c r="IO114" s="8"/>
      <c r="IP114" s="8"/>
      <c r="IQ114" s="8"/>
      <c r="IR114" s="8"/>
      <c r="IS114" s="8"/>
      <c r="IT114" s="8"/>
      <c r="IU114" s="8"/>
      <c r="IV114" s="8"/>
      <c r="IW114" s="8"/>
      <c r="IX114" s="8"/>
      <c r="JA114" s="125"/>
      <c r="JB114" s="125"/>
      <c r="JC114" s="125"/>
      <c r="JD114" s="72">
        <f>SUM((TEXT(JA114,"[M]")/60)*'Income Person-hours'!$D$3,(TEXT(JB114,"[M]")/60)*'Income Person-hours'!$D$4,(TEXT(JC114,"[M]")/60)*'Income Person-hours'!$D$5)</f>
        <v>0</v>
      </c>
    </row>
    <row r="115" spans="1:16382" s="12" customFormat="1" ht="15.75" hidden="1" x14ac:dyDescent="0.45">
      <c r="A115" s="33">
        <v>5.19</v>
      </c>
      <c r="B115" s="128"/>
      <c r="C115" s="119"/>
      <c r="D115" s="13" t="str">
        <f>IF(OR(j_WEEKDAY(J_ADDDAY(VLOOKUP(I115,A:F,6,FALSE),H115,1),0)=6,SUMIFS(Holieday[ok],Holieday[date],J_ADDDAY(VLOOKUP(I115,A:F,6,FALSE),H115,1)))=FALSE(),J_ADDDAY(VLOOKUP(I115,A:F,6,FALSE),H115,1),IF(OR(j_WEEKDAY(J_ADDDAY(VLOOKUP(I115,A:F,6,FALSE),H115+1,1),0)=6,SUMIFS(Holieday[ok],Holieday[date],J_ADDDAY(VLOOKUP(I115,A:F,6,FALSE),H115+1,1)))=FALSE(),J_ADDDAY(VLOOKUP(I115,A:F,6,FALSE),H115+1,1),IF(OR(j_WEEKDAY(J_ADDDAY(VLOOKUP(I115,A:F,6,FALSE),H115+2,1),0)=6,SUMIFS(Holieday[ok],Holieday[date],J_ADDDAY(VLOOKUP(I115,A:F,6,FALSE),H115+2,1)))=FALSE(),J_ADDDAY(VLOOKUP(I115,A:F,6,FALSE),H115+2,1),IF(OR(j_WEEKDAY(J_ADDDAY(VLOOKUP(I115,A:F,6,FALSE),H115+3,1),0)=6,SUMIFS(Holieday[ok],Holieday[date],J_ADDDAY(VLOOKUP(I115,A:F,6,FALSE),H115+3,1)))=FALSE(),J_ADDDAY(VLOOKUP(I115,A:F,6,FALSE),H115+3,1),IF(OR(j_WEEKDAY(J_ADDDAY(VLOOKUP(I115,A:F,6,FALSE),H115+4,1),0)=6,SUMIFS(Holieday[ok],Holieday[date],J_ADDDAY(VLOOKUP(I115,A:F,6,FALSE),H115+4,1)))=FALSE(),J_ADDDAY(VLOOKUP(I115,A:F,6,FALSE),H115+4,1),J_ADDDAY(VLOOKUP(I115,A:F,6,FALSE),H115+5,1))))))</f>
        <v>1398/06/21</v>
      </c>
      <c r="E115" s="2">
        <f t="shared" si="35"/>
        <v>13980621</v>
      </c>
      <c r="F115" s="13" t="str">
        <f>IF(N115=0,J_SUBDAY(D115,1,1)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0,J_SUBDAY(J_ADDDAY(D115,N115,1)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1,J_SUBDAY(J_ADDDAY(D115,N115+1,1),1,1),IF((N115-NETWORKDAYS.INTL(J_GregorianDate(D115,1),J_GregorianDate(J_SUBDAY(J_ADDDAY(D115,N115,1),1,1),1),16,1)-SUMIFS(Holieday[ok],Holieday[date],CONCATENATE("&gt;","=",D115),Holieday[date],CONCATENATE("&lt;","=",J_SUBDAY(J_ADDDAY(D115,N115,1),1,1)))+SUMIFS(Holieday[Friday],Holieday[date],CONCATENATE("&gt;","=",D115),Holieday[date],CONCATENATE("&lt;","=",J_SUBDAY(J_ADDDAY(D115,N115,1),1,1))))=2,J_SUBDAY(J_ADDDAY(D115,N115+2,1),1,1),J_SUBDAY(J_ADDDAY(D115,N115+3,1),1,1)))))</f>
        <v>1398/06/20</v>
      </c>
      <c r="G115" s="3">
        <f t="shared" si="36"/>
        <v>13980620</v>
      </c>
      <c r="H115" s="121"/>
      <c r="I115" s="122">
        <v>4.3</v>
      </c>
      <c r="J115" s="10" t="str">
        <f>j_WEEKDAY(D115,1)</f>
        <v>پنجشنبه</v>
      </c>
      <c r="K115" s="23">
        <f t="shared" si="34"/>
        <v>0</v>
      </c>
      <c r="L115" s="9">
        <f t="shared" si="31"/>
        <v>0</v>
      </c>
      <c r="M115" s="123">
        <v>0</v>
      </c>
      <c r="N115" s="120">
        <v>0</v>
      </c>
      <c r="O115" s="11">
        <f t="shared" si="32"/>
        <v>0</v>
      </c>
      <c r="P115" s="11">
        <f>VALUE(J_normdate(J_ADDDAY($D115,$O115,1)))</f>
        <v>13980621</v>
      </c>
      <c r="Q115" s="10">
        <f t="shared" si="33"/>
        <v>0</v>
      </c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  <c r="ES115" s="8"/>
      <c r="ET115" s="8"/>
      <c r="EU115" s="8"/>
      <c r="EV115" s="8"/>
      <c r="EW115" s="8"/>
      <c r="EX115" s="8"/>
      <c r="EY115" s="8"/>
      <c r="EZ115" s="8"/>
      <c r="FA115" s="8"/>
      <c r="FB115" s="8"/>
      <c r="FC115" s="8"/>
      <c r="FD115" s="8"/>
      <c r="FE115" s="8"/>
      <c r="FF115" s="8"/>
      <c r="FG115" s="8"/>
      <c r="FH115" s="8"/>
      <c r="FI115" s="8"/>
      <c r="FJ115" s="8"/>
      <c r="FK115" s="8"/>
      <c r="FL115" s="8"/>
      <c r="FM115" s="8"/>
      <c r="FN115" s="8"/>
      <c r="FO115" s="8"/>
      <c r="FP115" s="8"/>
      <c r="FQ115" s="8"/>
      <c r="FR115" s="8"/>
      <c r="FS115" s="8"/>
      <c r="FT115" s="8"/>
      <c r="FU115" s="8"/>
      <c r="FV115" s="8"/>
      <c r="FW115" s="8"/>
      <c r="FX115" s="8"/>
      <c r="FY115" s="8"/>
      <c r="FZ115" s="8"/>
      <c r="GA115" s="8"/>
      <c r="GB115" s="8"/>
      <c r="GC115" s="8"/>
      <c r="GD115" s="8"/>
      <c r="GE115" s="8"/>
      <c r="GF115" s="8"/>
      <c r="GG115" s="8"/>
      <c r="GH115" s="8"/>
      <c r="GI115" s="8"/>
      <c r="GJ115" s="8"/>
      <c r="GK115" s="8"/>
      <c r="GL115" s="8"/>
      <c r="GM115" s="8"/>
      <c r="GN115" s="8"/>
      <c r="GO115" s="8"/>
      <c r="GP115" s="8"/>
      <c r="GQ115" s="8"/>
      <c r="GR115" s="8"/>
      <c r="GS115" s="8"/>
      <c r="GT115" s="8"/>
      <c r="GU115" s="8"/>
      <c r="GV115" s="8"/>
      <c r="GW115" s="8"/>
      <c r="GX115" s="8"/>
      <c r="GY115" s="8"/>
      <c r="GZ115" s="8"/>
      <c r="HA115" s="8"/>
      <c r="HB115" s="8"/>
      <c r="HC115" s="8"/>
      <c r="HD115" s="8"/>
      <c r="HE115" s="8"/>
      <c r="HF115" s="8"/>
      <c r="HG115" s="8"/>
      <c r="HH115" s="8"/>
      <c r="HI115" s="8"/>
      <c r="HJ115" s="8"/>
      <c r="HK115" s="8"/>
      <c r="HL115" s="8"/>
      <c r="HM115" s="8"/>
      <c r="HN115" s="8"/>
      <c r="HO115" s="8"/>
      <c r="HP115" s="8"/>
      <c r="HQ115" s="8"/>
      <c r="HR115" s="8"/>
      <c r="HS115" s="8"/>
      <c r="HT115" s="8"/>
      <c r="HU115" s="8"/>
      <c r="HV115" s="8"/>
      <c r="HW115" s="8"/>
      <c r="HX115" s="8"/>
      <c r="HY115" s="8"/>
      <c r="HZ115" s="8"/>
      <c r="IA115" s="8"/>
      <c r="IB115" s="8"/>
      <c r="IC115" s="8"/>
      <c r="ID115" s="8"/>
      <c r="IE115" s="8"/>
      <c r="IF115" s="8"/>
      <c r="IG115" s="8"/>
      <c r="IH115" s="8"/>
      <c r="II115" s="8"/>
      <c r="IJ115" s="8"/>
      <c r="IK115" s="8"/>
      <c r="IL115" s="8"/>
      <c r="IM115" s="8"/>
      <c r="IN115" s="8"/>
      <c r="IO115" s="8"/>
      <c r="IP115" s="8"/>
      <c r="IQ115" s="8"/>
      <c r="IR115" s="8"/>
      <c r="IS115" s="8"/>
      <c r="IT115" s="8"/>
      <c r="IU115" s="8"/>
      <c r="IV115" s="8"/>
      <c r="IW115" s="8"/>
      <c r="IX115" s="8"/>
      <c r="JA115" s="125"/>
      <c r="JB115" s="125"/>
      <c r="JC115" s="125"/>
      <c r="JD115" s="72">
        <f>SUM((TEXT(JA115,"[M]")/60)*'Income Person-hours'!$D$3,(TEXT(JB115,"[M]")/60)*'Income Person-hours'!$D$4,(TEXT(JC115,"[M]")/60)*'Income Person-hours'!$D$5)</f>
        <v>0</v>
      </c>
    </row>
    <row r="116" spans="1:16382" s="12" customFormat="1" ht="15.75" hidden="1" x14ac:dyDescent="0.45">
      <c r="A116" s="33">
        <v>5.21</v>
      </c>
      <c r="B116" s="128"/>
      <c r="C116" s="119"/>
      <c r="D116" s="13" t="str">
        <f>IF(OR(j_WEEKDAY(J_ADDDAY(VLOOKUP(I116,A:F,6,FALSE),H116,1),0)=6,SUMIFS(Holieday[ok],Holieday[date],J_ADDDAY(VLOOKUP(I116,A:F,6,FALSE),H116,1)))=FALSE(),J_ADDDAY(VLOOKUP(I116,A:F,6,FALSE),H116,1),IF(OR(j_WEEKDAY(J_ADDDAY(VLOOKUP(I116,A:F,6,FALSE),H116+1,1),0)=6,SUMIFS(Holieday[ok],Holieday[date],J_ADDDAY(VLOOKUP(I116,A:F,6,FALSE),H116+1,1)))=FALSE(),J_ADDDAY(VLOOKUP(I116,A:F,6,FALSE),H116+1,1),IF(OR(j_WEEKDAY(J_ADDDAY(VLOOKUP(I116,A:F,6,FALSE),H116+2,1),0)=6,SUMIFS(Holieday[ok],Holieday[date],J_ADDDAY(VLOOKUP(I116,A:F,6,FALSE),H116+2,1)))=FALSE(),J_ADDDAY(VLOOKUP(I116,A:F,6,FALSE),H116+2,1),IF(OR(j_WEEKDAY(J_ADDDAY(VLOOKUP(I116,A:F,6,FALSE),H116+3,1),0)=6,SUMIFS(Holieday[ok],Holieday[date],J_ADDDAY(VLOOKUP(I116,A:F,6,FALSE),H116+3,1)))=FALSE(),J_ADDDAY(VLOOKUP(I116,A:F,6,FALSE),H116+3,1),IF(OR(j_WEEKDAY(J_ADDDAY(VLOOKUP(I116,A:F,6,FALSE),H116+4,1),0)=6,SUMIFS(Holieday[ok],Holieday[date],J_ADDDAY(VLOOKUP(I116,A:F,6,FALSE),H116+4,1)))=FALSE(),J_ADDDAY(VLOOKUP(I116,A:F,6,FALSE),H116+4,1),J_ADDDAY(VLOOKUP(I116,A:F,6,FALSE),H116+5,1))))))</f>
        <v>1398/06/21</v>
      </c>
      <c r="E116" s="2">
        <f t="shared" si="35"/>
        <v>13980621</v>
      </c>
      <c r="F116" s="13" t="str">
        <f>IF(N116=0,J_SUBDAY(D116,1,1)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0,J_SUBDAY(J_ADDDAY(D116,N116,1)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1,J_SUBDAY(J_ADDDAY(D116,N116+1,1),1,1),IF((N116-NETWORKDAYS.INTL(J_GregorianDate(D116,1),J_GregorianDate(J_SUBDAY(J_ADDDAY(D116,N116,1),1,1),1),16,1)-SUMIFS(Holieday[ok],Holieday[date],CONCATENATE("&gt;","=",D116),Holieday[date],CONCATENATE("&lt;","=",J_SUBDAY(J_ADDDAY(D116,N116,1),1,1)))+SUMIFS(Holieday[Friday],Holieday[date],CONCATENATE("&gt;","=",D116),Holieday[date],CONCATENATE("&lt;","=",J_SUBDAY(J_ADDDAY(D116,N116,1),1,1))))=2,J_SUBDAY(J_ADDDAY(D116,N116+2,1),1,1),J_SUBDAY(J_ADDDAY(D116,N116+3,1),1,1)))))</f>
        <v>1398/06/20</v>
      </c>
      <c r="G116" s="3">
        <f t="shared" si="36"/>
        <v>13980620</v>
      </c>
      <c r="H116" s="121"/>
      <c r="I116" s="122">
        <v>4.3</v>
      </c>
      <c r="J116" s="10" t="str">
        <f>j_WEEKDAY(D116,1)</f>
        <v>پنجشنبه</v>
      </c>
      <c r="K116" s="23">
        <f t="shared" si="34"/>
        <v>0</v>
      </c>
      <c r="L116" s="9">
        <f t="shared" si="31"/>
        <v>0</v>
      </c>
      <c r="M116" s="123">
        <v>0</v>
      </c>
      <c r="N116" s="120">
        <v>0</v>
      </c>
      <c r="O116" s="11">
        <f t="shared" si="32"/>
        <v>0</v>
      </c>
      <c r="P116" s="11">
        <f>VALUE(J_normdate(J_ADDDAY($D116,$O116,1)))</f>
        <v>13980621</v>
      </c>
      <c r="Q116" s="10">
        <f t="shared" si="33"/>
        <v>0</v>
      </c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  <c r="ES116" s="8"/>
      <c r="ET116" s="8"/>
      <c r="EU116" s="8"/>
      <c r="EV116" s="8"/>
      <c r="EW116" s="8"/>
      <c r="EX116" s="8"/>
      <c r="EY116" s="8"/>
      <c r="EZ116" s="8"/>
      <c r="FA116" s="8"/>
      <c r="FB116" s="8"/>
      <c r="FC116" s="8"/>
      <c r="FD116" s="8"/>
      <c r="FE116" s="8"/>
      <c r="FF116" s="8"/>
      <c r="FG116" s="8"/>
      <c r="FH116" s="8"/>
      <c r="FI116" s="8"/>
      <c r="FJ116" s="8"/>
      <c r="FK116" s="8"/>
      <c r="FL116" s="8"/>
      <c r="FM116" s="8"/>
      <c r="FN116" s="8"/>
      <c r="FO116" s="8"/>
      <c r="FP116" s="8"/>
      <c r="FQ116" s="8"/>
      <c r="FR116" s="8"/>
      <c r="FS116" s="8"/>
      <c r="FT116" s="8"/>
      <c r="FU116" s="8"/>
      <c r="FV116" s="8"/>
      <c r="FW116" s="8"/>
      <c r="FX116" s="8"/>
      <c r="FY116" s="8"/>
      <c r="FZ116" s="8"/>
      <c r="GA116" s="8"/>
      <c r="GB116" s="8"/>
      <c r="GC116" s="8"/>
      <c r="GD116" s="8"/>
      <c r="GE116" s="8"/>
      <c r="GF116" s="8"/>
      <c r="GG116" s="8"/>
      <c r="GH116" s="8"/>
      <c r="GI116" s="8"/>
      <c r="GJ116" s="8"/>
      <c r="GK116" s="8"/>
      <c r="GL116" s="8"/>
      <c r="GM116" s="8"/>
      <c r="GN116" s="8"/>
      <c r="GO116" s="8"/>
      <c r="GP116" s="8"/>
      <c r="GQ116" s="8"/>
      <c r="GR116" s="8"/>
      <c r="GS116" s="8"/>
      <c r="GT116" s="8"/>
      <c r="GU116" s="8"/>
      <c r="GV116" s="8"/>
      <c r="GW116" s="8"/>
      <c r="GX116" s="8"/>
      <c r="GY116" s="8"/>
      <c r="GZ116" s="8"/>
      <c r="HA116" s="8"/>
      <c r="HB116" s="8"/>
      <c r="HC116" s="8"/>
      <c r="HD116" s="8"/>
      <c r="HE116" s="8"/>
      <c r="HF116" s="8"/>
      <c r="HG116" s="8"/>
      <c r="HH116" s="8"/>
      <c r="HI116" s="8"/>
      <c r="HJ116" s="8"/>
      <c r="HK116" s="8"/>
      <c r="HL116" s="8"/>
      <c r="HM116" s="8"/>
      <c r="HN116" s="8"/>
      <c r="HO116" s="8"/>
      <c r="HP116" s="8"/>
      <c r="HQ116" s="8"/>
      <c r="HR116" s="8"/>
      <c r="HS116" s="8"/>
      <c r="HT116" s="8"/>
      <c r="HU116" s="8"/>
      <c r="HV116" s="8"/>
      <c r="HW116" s="8"/>
      <c r="HX116" s="8"/>
      <c r="HY116" s="8"/>
      <c r="HZ116" s="8"/>
      <c r="IA116" s="8"/>
      <c r="IB116" s="8"/>
      <c r="IC116" s="8"/>
      <c r="ID116" s="8"/>
      <c r="IE116" s="8"/>
      <c r="IF116" s="8"/>
      <c r="IG116" s="8"/>
      <c r="IH116" s="8"/>
      <c r="II116" s="8"/>
      <c r="IJ116" s="8"/>
      <c r="IK116" s="8"/>
      <c r="IL116" s="8"/>
      <c r="IM116" s="8"/>
      <c r="IN116" s="8"/>
      <c r="IO116" s="8"/>
      <c r="IP116" s="8"/>
      <c r="IQ116" s="8"/>
      <c r="IR116" s="8"/>
      <c r="IS116" s="8"/>
      <c r="IT116" s="8"/>
      <c r="IU116" s="8"/>
      <c r="IV116" s="8"/>
      <c r="IW116" s="8"/>
      <c r="IX116" s="8"/>
      <c r="JA116" s="125"/>
      <c r="JB116" s="125"/>
      <c r="JC116" s="125"/>
      <c r="JD116" s="72">
        <f>SUM((TEXT(JA116,"[M]")/60)*'Income Person-hours'!$D$3,(TEXT(JB116,"[M]")/60)*'Income Person-hours'!$D$4,(TEXT(JC116,"[M]")/60)*'Income Person-hours'!$D$5)</f>
        <v>0</v>
      </c>
    </row>
    <row r="117" spans="1:16382" s="12" customFormat="1" ht="15.75" hidden="1" x14ac:dyDescent="0.45">
      <c r="A117" s="33">
        <v>5.22</v>
      </c>
      <c r="B117" s="128"/>
      <c r="C117" s="119"/>
      <c r="D117" s="13" t="str">
        <f>IF(OR(j_WEEKDAY(J_ADDDAY(VLOOKUP(I117,A:F,6,FALSE),H117,1),0)=6,SUMIFS(Holieday[ok],Holieday[date],J_ADDDAY(VLOOKUP(I117,A:F,6,FALSE),H117,1)))=FALSE(),J_ADDDAY(VLOOKUP(I117,A:F,6,FALSE),H117,1),IF(OR(j_WEEKDAY(J_ADDDAY(VLOOKUP(I117,A:F,6,FALSE),H117+1,1),0)=6,SUMIFS(Holieday[ok],Holieday[date],J_ADDDAY(VLOOKUP(I117,A:F,6,FALSE),H117+1,1)))=FALSE(),J_ADDDAY(VLOOKUP(I117,A:F,6,FALSE),H117+1,1),IF(OR(j_WEEKDAY(J_ADDDAY(VLOOKUP(I117,A:F,6,FALSE),H117+2,1),0)=6,SUMIFS(Holieday[ok],Holieday[date],J_ADDDAY(VLOOKUP(I117,A:F,6,FALSE),H117+2,1)))=FALSE(),J_ADDDAY(VLOOKUP(I117,A:F,6,FALSE),H117+2,1),IF(OR(j_WEEKDAY(J_ADDDAY(VLOOKUP(I117,A:F,6,FALSE),H117+3,1),0)=6,SUMIFS(Holieday[ok],Holieday[date],J_ADDDAY(VLOOKUP(I117,A:F,6,FALSE),H117+3,1)))=FALSE(),J_ADDDAY(VLOOKUP(I117,A:F,6,FALSE),H117+3,1),IF(OR(j_WEEKDAY(J_ADDDAY(VLOOKUP(I117,A:F,6,FALSE),H117+4,1),0)=6,SUMIFS(Holieday[ok],Holieday[date],J_ADDDAY(VLOOKUP(I117,A:F,6,FALSE),H117+4,1)))=FALSE(),J_ADDDAY(VLOOKUP(I117,A:F,6,FALSE),H117+4,1),J_ADDDAY(VLOOKUP(I117,A:F,6,FALSE),H117+5,1))))))</f>
        <v>1398/06/21</v>
      </c>
      <c r="E117" s="2">
        <f t="shared" si="35"/>
        <v>13980621</v>
      </c>
      <c r="F117" s="13" t="str">
        <f>IF(N117=0,J_SUBDAY(D117,1,1)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0,J_SUBDAY(J_ADDDAY(D117,N117,1)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1,J_SUBDAY(J_ADDDAY(D117,N117+1,1),1,1),IF((N117-NETWORKDAYS.INTL(J_GregorianDate(D117,1),J_GregorianDate(J_SUBDAY(J_ADDDAY(D117,N117,1),1,1),1),16,1)-SUMIFS(Holieday[ok],Holieday[date],CONCATENATE("&gt;","=",D117),Holieday[date],CONCATENATE("&lt;","=",J_SUBDAY(J_ADDDAY(D117,N117,1),1,1)))+SUMIFS(Holieday[Friday],Holieday[date],CONCATENATE("&gt;","=",D117),Holieday[date],CONCATENATE("&lt;","=",J_SUBDAY(J_ADDDAY(D117,N117,1),1,1))))=2,J_SUBDAY(J_ADDDAY(D117,N117+2,1),1,1),J_SUBDAY(J_ADDDAY(D117,N117+3,1),1,1)))))</f>
        <v>1398/06/20</v>
      </c>
      <c r="G117" s="3">
        <f t="shared" si="36"/>
        <v>13980620</v>
      </c>
      <c r="H117" s="121"/>
      <c r="I117" s="122">
        <v>4.3</v>
      </c>
      <c r="J117" s="10" t="str">
        <f>j_WEEKDAY(D117,1)</f>
        <v>پنجشنبه</v>
      </c>
      <c r="K117" s="23">
        <f t="shared" si="34"/>
        <v>0</v>
      </c>
      <c r="L117" s="9">
        <f t="shared" si="31"/>
        <v>0</v>
      </c>
      <c r="M117" s="123">
        <v>0</v>
      </c>
      <c r="N117" s="120">
        <v>0</v>
      </c>
      <c r="O117" s="11">
        <f t="shared" si="32"/>
        <v>0</v>
      </c>
      <c r="P117" s="11">
        <f>VALUE(J_normdate(J_ADDDAY($D117,$O117,1)))</f>
        <v>13980621</v>
      </c>
      <c r="Q117" s="10">
        <f t="shared" si="33"/>
        <v>0</v>
      </c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  <c r="ES117" s="8"/>
      <c r="ET117" s="8"/>
      <c r="EU117" s="8"/>
      <c r="EV117" s="8"/>
      <c r="EW117" s="8"/>
      <c r="EX117" s="8"/>
      <c r="EY117" s="8"/>
      <c r="EZ117" s="8"/>
      <c r="FA117" s="8"/>
      <c r="FB117" s="8"/>
      <c r="FC117" s="8"/>
      <c r="FD117" s="8"/>
      <c r="FE117" s="8"/>
      <c r="FF117" s="8"/>
      <c r="FG117" s="8"/>
      <c r="FH117" s="8"/>
      <c r="FI117" s="8"/>
      <c r="FJ117" s="8"/>
      <c r="FK117" s="8"/>
      <c r="FL117" s="8"/>
      <c r="FM117" s="8"/>
      <c r="FN117" s="8"/>
      <c r="FO117" s="8"/>
      <c r="FP117" s="8"/>
      <c r="FQ117" s="8"/>
      <c r="FR117" s="8"/>
      <c r="FS117" s="8"/>
      <c r="FT117" s="8"/>
      <c r="FU117" s="8"/>
      <c r="FV117" s="8"/>
      <c r="FW117" s="8"/>
      <c r="FX117" s="8"/>
      <c r="FY117" s="8"/>
      <c r="FZ117" s="8"/>
      <c r="GA117" s="8"/>
      <c r="GB117" s="8"/>
      <c r="GC117" s="8"/>
      <c r="GD117" s="8"/>
      <c r="GE117" s="8"/>
      <c r="GF117" s="8"/>
      <c r="GG117" s="8"/>
      <c r="GH117" s="8"/>
      <c r="GI117" s="8"/>
      <c r="GJ117" s="8"/>
      <c r="GK117" s="8"/>
      <c r="GL117" s="8"/>
      <c r="GM117" s="8"/>
      <c r="GN117" s="8"/>
      <c r="GO117" s="8"/>
      <c r="GP117" s="8"/>
      <c r="GQ117" s="8"/>
      <c r="GR117" s="8"/>
      <c r="GS117" s="8"/>
      <c r="GT117" s="8"/>
      <c r="GU117" s="8"/>
      <c r="GV117" s="8"/>
      <c r="GW117" s="8"/>
      <c r="GX117" s="8"/>
      <c r="GY117" s="8"/>
      <c r="GZ117" s="8"/>
      <c r="HA117" s="8"/>
      <c r="HB117" s="8"/>
      <c r="HC117" s="8"/>
      <c r="HD117" s="8"/>
      <c r="HE117" s="8"/>
      <c r="HF117" s="8"/>
      <c r="HG117" s="8"/>
      <c r="HH117" s="8"/>
      <c r="HI117" s="8"/>
      <c r="HJ117" s="8"/>
      <c r="HK117" s="8"/>
      <c r="HL117" s="8"/>
      <c r="HM117" s="8"/>
      <c r="HN117" s="8"/>
      <c r="HO117" s="8"/>
      <c r="HP117" s="8"/>
      <c r="HQ117" s="8"/>
      <c r="HR117" s="8"/>
      <c r="HS117" s="8"/>
      <c r="HT117" s="8"/>
      <c r="HU117" s="8"/>
      <c r="HV117" s="8"/>
      <c r="HW117" s="8"/>
      <c r="HX117" s="8"/>
      <c r="HY117" s="8"/>
      <c r="HZ117" s="8"/>
      <c r="IA117" s="8"/>
      <c r="IB117" s="8"/>
      <c r="IC117" s="8"/>
      <c r="ID117" s="8"/>
      <c r="IE117" s="8"/>
      <c r="IF117" s="8"/>
      <c r="IG117" s="8"/>
      <c r="IH117" s="8"/>
      <c r="II117" s="8"/>
      <c r="IJ117" s="8"/>
      <c r="IK117" s="8"/>
      <c r="IL117" s="8"/>
      <c r="IM117" s="8"/>
      <c r="IN117" s="8"/>
      <c r="IO117" s="8"/>
      <c r="IP117" s="8"/>
      <c r="IQ117" s="8"/>
      <c r="IR117" s="8"/>
      <c r="IS117" s="8"/>
      <c r="IT117" s="8"/>
      <c r="IU117" s="8"/>
      <c r="IV117" s="8"/>
      <c r="IW117" s="8"/>
      <c r="IX117" s="8"/>
      <c r="JA117" s="125"/>
      <c r="JB117" s="125"/>
      <c r="JC117" s="125"/>
      <c r="JD117" s="72">
        <f>SUM((TEXT(JA117,"[M]")/60)*'Income Person-hours'!$D$3,(TEXT(JB117,"[M]")/60)*'Income Person-hours'!$D$4,(TEXT(JC117,"[M]")/60)*'Income Person-hours'!$D$5)</f>
        <v>0</v>
      </c>
    </row>
    <row r="118" spans="1:16382" s="12" customFormat="1" ht="15.75" hidden="1" x14ac:dyDescent="0.45">
      <c r="A118" s="33">
        <v>5.23</v>
      </c>
      <c r="B118" s="128"/>
      <c r="C118" s="119"/>
      <c r="D118" s="13" t="str">
        <f>IF(OR(j_WEEKDAY(J_ADDDAY(VLOOKUP(I118,A:F,6,FALSE),H118,1),0)=6,SUMIFS(Holieday[ok],Holieday[date],J_ADDDAY(VLOOKUP(I118,A:F,6,FALSE),H118,1)))=FALSE(),J_ADDDAY(VLOOKUP(I118,A:F,6,FALSE),H118,1),IF(OR(j_WEEKDAY(J_ADDDAY(VLOOKUP(I118,A:F,6,FALSE),H118+1,1),0)=6,SUMIFS(Holieday[ok],Holieday[date],J_ADDDAY(VLOOKUP(I118,A:F,6,FALSE),H118+1,1)))=FALSE(),J_ADDDAY(VLOOKUP(I118,A:F,6,FALSE),H118+1,1),IF(OR(j_WEEKDAY(J_ADDDAY(VLOOKUP(I118,A:F,6,FALSE),H118+2,1),0)=6,SUMIFS(Holieday[ok],Holieday[date],J_ADDDAY(VLOOKUP(I118,A:F,6,FALSE),H118+2,1)))=FALSE(),J_ADDDAY(VLOOKUP(I118,A:F,6,FALSE),H118+2,1),IF(OR(j_WEEKDAY(J_ADDDAY(VLOOKUP(I118,A:F,6,FALSE),H118+3,1),0)=6,SUMIFS(Holieday[ok],Holieday[date],J_ADDDAY(VLOOKUP(I118,A:F,6,FALSE),H118+3,1)))=FALSE(),J_ADDDAY(VLOOKUP(I118,A:F,6,FALSE),H118+3,1),IF(OR(j_WEEKDAY(J_ADDDAY(VLOOKUP(I118,A:F,6,FALSE),H118+4,1),0)=6,SUMIFS(Holieday[ok],Holieday[date],J_ADDDAY(VLOOKUP(I118,A:F,6,FALSE),H118+4,1)))=FALSE(),J_ADDDAY(VLOOKUP(I118,A:F,6,FALSE),H118+4,1),J_ADDDAY(VLOOKUP(I118,A:F,6,FALSE),H118+5,1))))))</f>
        <v>1398/06/21</v>
      </c>
      <c r="E118" s="2">
        <f t="shared" si="35"/>
        <v>13980621</v>
      </c>
      <c r="F118" s="13" t="str">
        <f>IF(N118=0,J_SUBDAY(D118,1,1)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0,J_SUBDAY(J_ADDDAY(D118,N118,1)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1,J_SUBDAY(J_ADDDAY(D118,N118+1,1),1,1),IF((N118-NETWORKDAYS.INTL(J_GregorianDate(D118,1),J_GregorianDate(J_SUBDAY(J_ADDDAY(D118,N118,1),1,1),1),16,1)-SUMIFS(Holieday[ok],Holieday[date],CONCATENATE("&gt;","=",D118),Holieday[date],CONCATENATE("&lt;","=",J_SUBDAY(J_ADDDAY(D118,N118,1),1,1)))+SUMIFS(Holieday[Friday],Holieday[date],CONCATENATE("&gt;","=",D118),Holieday[date],CONCATENATE("&lt;","=",J_SUBDAY(J_ADDDAY(D118,N118,1),1,1))))=2,J_SUBDAY(J_ADDDAY(D118,N118+2,1),1,1),J_SUBDAY(J_ADDDAY(D118,N118+3,1),1,1)))))</f>
        <v>1398/06/20</v>
      </c>
      <c r="G118" s="3">
        <f t="shared" si="36"/>
        <v>13980620</v>
      </c>
      <c r="H118" s="121"/>
      <c r="I118" s="122">
        <v>4.3</v>
      </c>
      <c r="J118" s="10" t="str">
        <f>j_WEEKDAY(D118,1)</f>
        <v>پنجشنبه</v>
      </c>
      <c r="K118" s="23">
        <f t="shared" si="34"/>
        <v>0</v>
      </c>
      <c r="L118" s="9">
        <f t="shared" si="31"/>
        <v>0</v>
      </c>
      <c r="M118" s="123">
        <v>0</v>
      </c>
      <c r="N118" s="120">
        <v>0</v>
      </c>
      <c r="O118" s="11">
        <f t="shared" si="32"/>
        <v>0</v>
      </c>
      <c r="P118" s="11">
        <f>VALUE(J_normdate(J_ADDDAY($D118,$O118,1)))</f>
        <v>13980621</v>
      </c>
      <c r="Q118" s="10">
        <f t="shared" si="33"/>
        <v>0</v>
      </c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  <c r="ES118" s="8"/>
      <c r="ET118" s="8"/>
      <c r="EU118" s="8"/>
      <c r="EV118" s="8"/>
      <c r="EW118" s="8"/>
      <c r="EX118" s="8"/>
      <c r="EY118" s="8"/>
      <c r="EZ118" s="8"/>
      <c r="FA118" s="8"/>
      <c r="FB118" s="8"/>
      <c r="FC118" s="8"/>
      <c r="FD118" s="8"/>
      <c r="FE118" s="8"/>
      <c r="FF118" s="8"/>
      <c r="FG118" s="8"/>
      <c r="FH118" s="8"/>
      <c r="FI118" s="8"/>
      <c r="FJ118" s="8"/>
      <c r="FK118" s="8"/>
      <c r="FL118" s="8"/>
      <c r="FM118" s="8"/>
      <c r="FN118" s="8"/>
      <c r="FO118" s="8"/>
      <c r="FP118" s="8"/>
      <c r="FQ118" s="8"/>
      <c r="FR118" s="8"/>
      <c r="FS118" s="8"/>
      <c r="FT118" s="8"/>
      <c r="FU118" s="8"/>
      <c r="FV118" s="8"/>
      <c r="FW118" s="8"/>
      <c r="FX118" s="8"/>
      <c r="FY118" s="8"/>
      <c r="FZ118" s="8"/>
      <c r="GA118" s="8"/>
      <c r="GB118" s="8"/>
      <c r="GC118" s="8"/>
      <c r="GD118" s="8"/>
      <c r="GE118" s="8"/>
      <c r="GF118" s="8"/>
      <c r="GG118" s="8"/>
      <c r="GH118" s="8"/>
      <c r="GI118" s="8"/>
      <c r="GJ118" s="8"/>
      <c r="GK118" s="8"/>
      <c r="GL118" s="8"/>
      <c r="GM118" s="8"/>
      <c r="GN118" s="8"/>
      <c r="GO118" s="8"/>
      <c r="GP118" s="8"/>
      <c r="GQ118" s="8"/>
      <c r="GR118" s="8"/>
      <c r="GS118" s="8"/>
      <c r="GT118" s="8"/>
      <c r="GU118" s="8"/>
      <c r="GV118" s="8"/>
      <c r="GW118" s="8"/>
      <c r="GX118" s="8"/>
      <c r="GY118" s="8"/>
      <c r="GZ118" s="8"/>
      <c r="HA118" s="8"/>
      <c r="HB118" s="8"/>
      <c r="HC118" s="8"/>
      <c r="HD118" s="8"/>
      <c r="HE118" s="8"/>
      <c r="HF118" s="8"/>
      <c r="HG118" s="8"/>
      <c r="HH118" s="8"/>
      <c r="HI118" s="8"/>
      <c r="HJ118" s="8"/>
      <c r="HK118" s="8"/>
      <c r="HL118" s="8"/>
      <c r="HM118" s="8"/>
      <c r="HN118" s="8"/>
      <c r="HO118" s="8"/>
      <c r="HP118" s="8"/>
      <c r="HQ118" s="8"/>
      <c r="HR118" s="8"/>
      <c r="HS118" s="8"/>
      <c r="HT118" s="8"/>
      <c r="HU118" s="8"/>
      <c r="HV118" s="8"/>
      <c r="HW118" s="8"/>
      <c r="HX118" s="8"/>
      <c r="HY118" s="8"/>
      <c r="HZ118" s="8"/>
      <c r="IA118" s="8"/>
      <c r="IB118" s="8"/>
      <c r="IC118" s="8"/>
      <c r="ID118" s="8"/>
      <c r="IE118" s="8"/>
      <c r="IF118" s="8"/>
      <c r="IG118" s="8"/>
      <c r="IH118" s="8"/>
      <c r="II118" s="8"/>
      <c r="IJ118" s="8"/>
      <c r="IK118" s="8"/>
      <c r="IL118" s="8"/>
      <c r="IM118" s="8"/>
      <c r="IN118" s="8"/>
      <c r="IO118" s="8"/>
      <c r="IP118" s="8"/>
      <c r="IQ118" s="8"/>
      <c r="IR118" s="8"/>
      <c r="IS118" s="8"/>
      <c r="IT118" s="8"/>
      <c r="IU118" s="8"/>
      <c r="IV118" s="8"/>
      <c r="IW118" s="8"/>
      <c r="IX118" s="8"/>
      <c r="JA118" s="125"/>
      <c r="JB118" s="125"/>
      <c r="JC118" s="125"/>
      <c r="JD118" s="72">
        <f>SUM((TEXT(JA118,"[M]")/60)*'Income Person-hours'!$D$3,(TEXT(JB118,"[M]")/60)*'Income Person-hours'!$D$4,(TEXT(JC118,"[M]")/60)*'Income Person-hours'!$D$5)</f>
        <v>0</v>
      </c>
    </row>
    <row r="119" spans="1:16382" s="198" customFormat="1" ht="15.75" x14ac:dyDescent="0.45">
      <c r="A119" s="197">
        <v>6</v>
      </c>
      <c r="B119" s="114" t="s">
        <v>186</v>
      </c>
      <c r="C119" s="115"/>
      <c r="D119" s="200" t="str">
        <f>FDate(MIN(E120:E140))</f>
        <v>1398/07/29</v>
      </c>
      <c r="E119" s="198">
        <f t="shared" si="35"/>
        <v>13980729</v>
      </c>
      <c r="F119" s="200" t="str">
        <f>J_SUBDAY(J_ADDDAY(D119,L119,1),1,1)</f>
        <v>1398/08/22</v>
      </c>
      <c r="G119" s="201">
        <f t="shared" si="36"/>
        <v>13980822</v>
      </c>
      <c r="H119" s="116"/>
      <c r="I119" s="117"/>
      <c r="J119" s="200" t="str">
        <f>j_WEEKDAY(D119,1)</f>
        <v>دوشنبه</v>
      </c>
      <c r="K119" s="202">
        <f>SUM(K120:K140)</f>
        <v>1.9583333333333335</v>
      </c>
      <c r="L119" s="203">
        <f>J_DIFF(D119,FDate(MAX(G120:G140)))+1</f>
        <v>24</v>
      </c>
      <c r="M119" s="204">
        <f>IF(SUM(L120:L140)&lt;&gt;0,SUMPRODUCT(L120:L140,M120:M140)/SUM(L120:L140),0)</f>
        <v>0.34042553191489361</v>
      </c>
      <c r="N119" s="205">
        <f>IF(F119&gt;=D119,NETWORKDAYS.INTL(J_GregorianDate(D119,1),J_GregorianDate(F119,1),16,1)-SUMIFS(Holieday[ok],Holieday[date],CONCATENATE("&gt;","=",D119),Holieday[date],CONCATENATE("&lt;","=",F119))+SUMIFS(Holieday[Friday],Holieday[date],CONCATENATE("&gt;","=",D119),Holieday[date],CONCATENATE("&lt;","=",F119)),0)</f>
        <v>21</v>
      </c>
      <c r="O119" s="196">
        <f t="shared" ref="O119:O120" si="37">ROUNDDOWN(M119*L119,0)</f>
        <v>8</v>
      </c>
      <c r="P119" s="196">
        <f>VALUE(J_normdate(J_ADDDAY($D119,$O119,1)))</f>
        <v>13980807</v>
      </c>
      <c r="Q119" s="200">
        <f t="shared" ref="Q119:Q120" si="38">L119-O119</f>
        <v>16</v>
      </c>
      <c r="IY119" s="31"/>
      <c r="IZ119" s="43"/>
      <c r="JA119" s="228"/>
      <c r="JB119" s="228"/>
      <c r="JC119" s="228"/>
      <c r="JD119" s="229"/>
    </row>
    <row r="120" spans="1:16382" s="234" customFormat="1" ht="15.75" x14ac:dyDescent="0.45">
      <c r="A120" s="206">
        <v>6.1</v>
      </c>
      <c r="B120" s="118" t="s">
        <v>187</v>
      </c>
      <c r="C120" s="119" t="s">
        <v>154</v>
      </c>
      <c r="D120" s="210" t="str">
        <f>IF(OR(j_WEEKDAY(J_ADDDAY(VLOOKUP(I120,A:F,6,FALSE),H120,1),0)=6,SUMIFS(Holieday[ok],Holieday[date],J_ADDDAY(VLOOKUP(I120,A:F,6,FALSE),H120,1)))=FALSE(),J_ADDDAY(VLOOKUP(I120,A:F,6,FALSE),H120,1),IF(OR(j_WEEKDAY(J_ADDDAY(VLOOKUP(I120,A:F,6,FALSE),H120+1,1),0)=6,SUMIFS(Holieday[ok],Holieday[date],J_ADDDAY(VLOOKUP(I120,A:F,6,FALSE),H120+1,1)))=FALSE(),J_ADDDAY(VLOOKUP(I120,A:F,6,FALSE),H120+1,1),IF(OR(j_WEEKDAY(J_ADDDAY(VLOOKUP(I120,A:F,6,FALSE),H120+2,1),0)=6,SUMIFS(Holieday[ok],Holieday[date],J_ADDDAY(VLOOKUP(I120,A:F,6,FALSE),H120+2,1)))=FALSE(),J_ADDDAY(VLOOKUP(I120,A:F,6,FALSE),H120+2,1),IF(OR(j_WEEKDAY(J_ADDDAY(VLOOKUP(I120,A:F,6,FALSE),H120+3,1),0)=6,SUMIFS(Holieday[ok],Holieday[date],J_ADDDAY(VLOOKUP(I120,A:F,6,FALSE),H120+3,1)))=FALSE(),J_ADDDAY(VLOOKUP(I120,A:F,6,FALSE),H120+3,1),IF(OR(j_WEEKDAY(J_ADDDAY(VLOOKUP(I120,A:F,6,FALSE),H120+4,1),0)=6,SUMIFS(Holieday[ok],Holieday[date],J_ADDDAY(VLOOKUP(I120,A:F,6,FALSE),H120+4,1)))=FALSE(),J_ADDDAY(VLOOKUP(I120,A:F,6,FALSE),H120+4,1),J_ADDDAY(VLOOKUP(I120,A:F,6,FALSE),H120+5,1))))))</f>
        <v>1398/07/29</v>
      </c>
      <c r="E120" s="198">
        <f t="shared" si="35"/>
        <v>13980729</v>
      </c>
      <c r="F120" s="209" t="str">
        <f>IF(N120=0,J_SUBDAY(D120,1,1)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0,J_SUBDAY(J_ADDDAY(D120,N120,1)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1,J_SUBDAY(J_ADDDAY(D120,N120+1,1),1,1),IF((N120-NETWORKDAYS.INTL(J_GregorianDate(D120,1),J_GregorianDate(J_SUBDAY(J_ADDDAY(D120,N120,1),1,1),1),16,1)-SUMIFS(Holieday[ok],Holieday[date],CONCATENATE("&gt;","=",D120),Holieday[date],CONCATENATE("&lt;","=",J_SUBDAY(J_ADDDAY(D120,N120,1),1,1)))+SUMIFS(Holieday[Friday],Holieday[date],CONCATENATE("&gt;","=",D120),Holieday[date],CONCATENATE("&lt;","=",J_SUBDAY(J_ADDDAY(D120,N120,1),1,1))))=2,J_SUBDAY(J_ADDDAY(D120,N120+2,1),1,1),J_SUBDAY(J_ADDDAY(D120,N120+3,1),1,1)))))</f>
        <v>1398/08/06</v>
      </c>
      <c r="G120" s="201">
        <f t="shared" si="36"/>
        <v>13980806</v>
      </c>
      <c r="H120" s="121">
        <v>4</v>
      </c>
      <c r="I120" s="122">
        <v>3.3</v>
      </c>
      <c r="J120" s="209" t="str">
        <f>j_WEEKDAY(D120,1)</f>
        <v>دوشنبه</v>
      </c>
      <c r="K120" s="211">
        <f t="shared" ref="K120:K140" si="39">SUM(JA120:JC120)</f>
        <v>0.25</v>
      </c>
      <c r="L120" s="212">
        <f t="shared" ref="L120:L140" si="40">J_DIFF(D120,F120)+1</f>
        <v>8</v>
      </c>
      <c r="M120" s="123">
        <v>1</v>
      </c>
      <c r="N120" s="120">
        <v>7</v>
      </c>
      <c r="O120" s="213">
        <f t="shared" si="37"/>
        <v>8</v>
      </c>
      <c r="P120" s="213">
        <f>VALUE(J_normdate(J_ADDDAY($D120,$O120,1)))</f>
        <v>13980807</v>
      </c>
      <c r="Q120" s="209">
        <f t="shared" si="38"/>
        <v>0</v>
      </c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07"/>
      <c r="DC120" s="207"/>
      <c r="DD120" s="207"/>
      <c r="DE120" s="207"/>
      <c r="DF120" s="207"/>
      <c r="DG120" s="207"/>
      <c r="DH120" s="207"/>
      <c r="DI120" s="207"/>
      <c r="DJ120" s="207"/>
      <c r="DK120" s="207"/>
      <c r="DL120" s="207"/>
      <c r="DM120" s="207"/>
      <c r="DN120" s="207"/>
      <c r="DO120" s="207"/>
      <c r="DP120" s="207"/>
      <c r="DQ120" s="207"/>
      <c r="DR120" s="207"/>
      <c r="DS120" s="207"/>
      <c r="DT120" s="207"/>
      <c r="DU120" s="207"/>
      <c r="DV120" s="207"/>
      <c r="DW120" s="207"/>
      <c r="DX120" s="207"/>
      <c r="DY120" s="207"/>
      <c r="DZ120" s="207"/>
      <c r="EA120" s="207"/>
      <c r="EB120" s="207"/>
      <c r="EC120" s="207"/>
      <c r="ED120" s="207"/>
      <c r="EE120" s="207"/>
      <c r="EF120" s="207"/>
      <c r="EG120" s="207"/>
      <c r="EH120" s="207"/>
      <c r="EI120" s="207"/>
      <c r="EJ120" s="207"/>
      <c r="EK120" s="207"/>
      <c r="EL120" s="207"/>
      <c r="EM120" s="207"/>
      <c r="EN120" s="207"/>
      <c r="EO120" s="207"/>
      <c r="EP120" s="207"/>
      <c r="EQ120" s="207"/>
      <c r="ER120" s="207"/>
      <c r="ES120" s="207"/>
      <c r="ET120" s="207"/>
      <c r="EU120" s="207"/>
      <c r="EV120" s="207"/>
      <c r="EW120" s="207"/>
      <c r="EX120" s="207"/>
      <c r="EY120" s="207"/>
      <c r="EZ120" s="207"/>
      <c r="FA120" s="207"/>
      <c r="FB120" s="207"/>
      <c r="FC120" s="207"/>
      <c r="FD120" s="207"/>
      <c r="FE120" s="207"/>
      <c r="FF120" s="207"/>
      <c r="FG120" s="207"/>
      <c r="FH120" s="207"/>
      <c r="FI120" s="207"/>
      <c r="FJ120" s="207"/>
      <c r="FK120" s="207"/>
      <c r="FL120" s="207"/>
      <c r="FM120" s="207"/>
      <c r="FN120" s="207"/>
      <c r="FO120" s="207"/>
      <c r="FP120" s="207"/>
      <c r="FQ120" s="207"/>
      <c r="FR120" s="207"/>
      <c r="FS120" s="207"/>
      <c r="FT120" s="207"/>
      <c r="FU120" s="207"/>
      <c r="FV120" s="207"/>
      <c r="FW120" s="207"/>
      <c r="FX120" s="207"/>
      <c r="FY120" s="207"/>
      <c r="FZ120" s="207"/>
      <c r="GA120" s="207"/>
      <c r="GB120" s="207"/>
      <c r="GC120" s="207"/>
      <c r="GD120" s="207"/>
      <c r="GE120" s="207"/>
      <c r="GF120" s="207"/>
      <c r="GG120" s="207"/>
      <c r="GH120" s="207"/>
      <c r="GI120" s="207"/>
      <c r="GJ120" s="207"/>
      <c r="GK120" s="207"/>
      <c r="GL120" s="207"/>
      <c r="GM120" s="207"/>
      <c r="GN120" s="207"/>
      <c r="GO120" s="207"/>
      <c r="GP120" s="207"/>
      <c r="GQ120" s="207"/>
      <c r="GR120" s="207"/>
      <c r="GS120" s="207"/>
      <c r="GT120" s="207"/>
      <c r="GU120" s="207"/>
      <c r="GV120" s="207"/>
      <c r="GW120" s="207"/>
      <c r="GX120" s="207"/>
      <c r="GY120" s="207"/>
      <c r="GZ120" s="207"/>
      <c r="HA120" s="207"/>
      <c r="HB120" s="207"/>
      <c r="HC120" s="207"/>
      <c r="HD120" s="207"/>
      <c r="HE120" s="207"/>
      <c r="HF120" s="207"/>
      <c r="HG120" s="207"/>
      <c r="HH120" s="207"/>
      <c r="HI120" s="207"/>
      <c r="HJ120" s="207"/>
      <c r="HK120" s="207"/>
      <c r="HL120" s="207"/>
      <c r="HM120" s="207"/>
      <c r="HN120" s="207"/>
      <c r="HO120" s="207"/>
      <c r="HP120" s="207"/>
      <c r="HQ120" s="207"/>
      <c r="HR120" s="207"/>
      <c r="HS120" s="207"/>
      <c r="HT120" s="207"/>
      <c r="HU120" s="207"/>
      <c r="HV120" s="207"/>
      <c r="HW120" s="207"/>
      <c r="HX120" s="207"/>
      <c r="HY120" s="207"/>
      <c r="HZ120" s="207"/>
      <c r="IA120" s="207"/>
      <c r="IB120" s="207"/>
      <c r="IC120" s="207"/>
      <c r="ID120" s="207"/>
      <c r="IE120" s="207"/>
      <c r="IF120" s="207"/>
      <c r="IG120" s="207"/>
      <c r="IH120" s="207"/>
      <c r="II120" s="207"/>
      <c r="IJ120" s="207"/>
      <c r="IK120" s="207"/>
      <c r="IL120" s="207"/>
      <c r="IM120" s="207"/>
      <c r="IN120" s="207"/>
      <c r="IO120" s="207"/>
      <c r="IP120" s="207"/>
      <c r="IQ120" s="207"/>
      <c r="IR120" s="207"/>
      <c r="IS120" s="207"/>
      <c r="IT120" s="207"/>
      <c r="IU120" s="207"/>
      <c r="IV120" s="207"/>
      <c r="IW120" s="207"/>
      <c r="IX120" s="207"/>
      <c r="IY120" s="65">
        <v>1</v>
      </c>
      <c r="IZ120" s="65">
        <f>(TEXT(K120,"[m]")/60)*VLOOKUP(IY120,'Income Person-hours'!A$2:C$5,3,FALSE)</f>
        <v>0</v>
      </c>
      <c r="JA120" s="124"/>
      <c r="JB120" s="130">
        <v>8.3333333333333329E-2</v>
      </c>
      <c r="JC120" s="131">
        <v>0.16666666666666666</v>
      </c>
      <c r="JD120" s="232">
        <f>SUM((TEXT(JA120,"[M]")/60)*'Income Person-hours'!$D$3,(TEXT(JB120,"[M]")/60)*'Income Person-hours'!$D$4,(TEXT(JC120,"[M]")/60)*'Income Person-hours'!$D$5)</f>
        <v>4052000</v>
      </c>
      <c r="JE120" s="231"/>
      <c r="JF120" s="231"/>
      <c r="JG120" s="231"/>
      <c r="JH120" s="231"/>
      <c r="JI120" s="231"/>
      <c r="JJ120" s="231"/>
      <c r="JK120" s="231"/>
      <c r="JL120" s="231"/>
      <c r="JM120" s="231"/>
      <c r="JN120" s="231"/>
      <c r="JO120" s="231"/>
      <c r="JP120" s="231"/>
      <c r="JQ120" s="231"/>
      <c r="JR120" s="231"/>
      <c r="JS120" s="231"/>
      <c r="JT120" s="231"/>
      <c r="JU120" s="231"/>
      <c r="JV120" s="231"/>
      <c r="JW120" s="231"/>
      <c r="JX120" s="231"/>
      <c r="JY120" s="231"/>
      <c r="JZ120" s="231"/>
      <c r="KA120" s="231"/>
      <c r="KB120" s="231"/>
      <c r="KC120" s="231"/>
      <c r="KD120" s="231"/>
      <c r="KE120" s="231"/>
      <c r="KF120" s="231"/>
      <c r="KG120" s="231"/>
      <c r="KH120" s="231"/>
      <c r="KI120" s="231"/>
      <c r="KJ120" s="231"/>
      <c r="KK120" s="231"/>
      <c r="KL120" s="231"/>
      <c r="KM120" s="231"/>
      <c r="KN120" s="231"/>
      <c r="KO120" s="231"/>
      <c r="KP120" s="231"/>
      <c r="KQ120" s="231"/>
      <c r="KR120" s="231"/>
      <c r="KS120" s="231"/>
      <c r="KT120" s="231"/>
      <c r="KU120" s="231"/>
      <c r="KV120" s="231"/>
      <c r="KW120" s="231"/>
      <c r="KX120" s="231"/>
      <c r="KY120" s="231"/>
      <c r="KZ120" s="231"/>
      <c r="LA120" s="231"/>
      <c r="LB120" s="231"/>
      <c r="LC120" s="231"/>
      <c r="LD120" s="231"/>
      <c r="LE120" s="231"/>
      <c r="LF120" s="231"/>
      <c r="LG120" s="231"/>
      <c r="LH120" s="231"/>
      <c r="LI120" s="231"/>
      <c r="LJ120" s="231"/>
      <c r="LK120" s="231"/>
      <c r="LL120" s="231"/>
      <c r="LM120" s="231"/>
      <c r="LN120" s="231"/>
      <c r="LO120" s="231"/>
      <c r="LP120" s="231"/>
      <c r="LQ120" s="231"/>
      <c r="LR120" s="231"/>
      <c r="LS120" s="231"/>
      <c r="LT120" s="231"/>
      <c r="LU120" s="231"/>
      <c r="LV120" s="231"/>
      <c r="LW120" s="231"/>
      <c r="LX120" s="231"/>
      <c r="LY120" s="231"/>
      <c r="LZ120" s="231"/>
      <c r="MA120" s="231"/>
      <c r="MB120" s="231"/>
      <c r="MC120" s="231"/>
      <c r="MD120" s="231"/>
      <c r="ME120" s="231"/>
      <c r="MF120" s="231"/>
      <c r="MG120" s="231"/>
      <c r="MH120" s="231"/>
      <c r="MI120" s="231"/>
      <c r="MJ120" s="231"/>
      <c r="MK120" s="231"/>
      <c r="ML120" s="231"/>
      <c r="MM120" s="231"/>
      <c r="MN120" s="231"/>
      <c r="MO120" s="231"/>
      <c r="MP120" s="231"/>
      <c r="MQ120" s="231"/>
      <c r="MR120" s="231"/>
      <c r="MS120" s="231"/>
      <c r="MT120" s="231"/>
      <c r="MU120" s="231"/>
      <c r="MV120" s="231"/>
      <c r="MW120" s="231"/>
      <c r="MX120" s="231"/>
      <c r="MY120" s="231"/>
      <c r="MZ120" s="231"/>
      <c r="NA120" s="231"/>
      <c r="NB120" s="231"/>
      <c r="NC120" s="231"/>
      <c r="ND120" s="231"/>
      <c r="NE120" s="231"/>
      <c r="NF120" s="231"/>
      <c r="NG120" s="231"/>
      <c r="NH120" s="231"/>
      <c r="NI120" s="231"/>
      <c r="NJ120" s="231"/>
      <c r="NK120" s="231"/>
      <c r="NL120" s="231"/>
      <c r="NM120" s="231"/>
      <c r="NN120" s="231"/>
      <c r="NO120" s="231"/>
      <c r="NP120" s="231"/>
      <c r="NQ120" s="231"/>
      <c r="NR120" s="231"/>
      <c r="NS120" s="231"/>
      <c r="NT120" s="231"/>
      <c r="NU120" s="231"/>
      <c r="NV120" s="231"/>
      <c r="NW120" s="231"/>
      <c r="NX120" s="231"/>
      <c r="NY120" s="231"/>
      <c r="NZ120" s="231"/>
      <c r="OA120" s="231"/>
      <c r="OB120" s="231"/>
      <c r="OC120" s="231"/>
      <c r="OD120" s="231"/>
      <c r="OE120" s="231"/>
      <c r="OF120" s="231"/>
      <c r="OG120" s="231"/>
      <c r="OH120" s="231"/>
      <c r="OI120" s="231"/>
      <c r="OJ120" s="231"/>
      <c r="OK120" s="231"/>
      <c r="OL120" s="231"/>
      <c r="OM120" s="231"/>
      <c r="ON120" s="231"/>
      <c r="OO120" s="231"/>
      <c r="OP120" s="231"/>
      <c r="OQ120" s="231"/>
      <c r="OR120" s="231"/>
      <c r="OS120" s="231"/>
      <c r="OT120" s="231"/>
      <c r="OU120" s="231"/>
      <c r="OV120" s="231"/>
      <c r="OW120" s="231"/>
      <c r="OX120" s="231"/>
      <c r="OY120" s="231"/>
      <c r="OZ120" s="231"/>
      <c r="PA120" s="231"/>
      <c r="PB120" s="231"/>
      <c r="PC120" s="231"/>
      <c r="PD120" s="231"/>
      <c r="PE120" s="231"/>
      <c r="PF120" s="231"/>
      <c r="PG120" s="231"/>
      <c r="PH120" s="231"/>
      <c r="PI120" s="231"/>
      <c r="PJ120" s="231"/>
      <c r="PK120" s="231"/>
      <c r="PL120" s="231"/>
      <c r="PM120" s="231"/>
      <c r="PN120" s="231"/>
      <c r="PO120" s="231"/>
      <c r="PP120" s="231"/>
      <c r="PQ120" s="231"/>
      <c r="PR120" s="231"/>
      <c r="PS120" s="231"/>
      <c r="PT120" s="231"/>
      <c r="PU120" s="231"/>
      <c r="PV120" s="231"/>
      <c r="PW120" s="231"/>
      <c r="PX120" s="231"/>
      <c r="PY120" s="231"/>
      <c r="PZ120" s="231"/>
      <c r="QA120" s="231"/>
      <c r="QB120" s="231"/>
      <c r="QC120" s="231"/>
      <c r="QD120" s="231"/>
      <c r="QE120" s="231"/>
      <c r="QF120" s="231"/>
      <c r="QG120" s="231"/>
      <c r="QH120" s="231"/>
      <c r="QI120" s="231"/>
      <c r="QJ120" s="231"/>
      <c r="QK120" s="231"/>
      <c r="QL120" s="231"/>
      <c r="QM120" s="231"/>
      <c r="QN120" s="231"/>
      <c r="QO120" s="231"/>
      <c r="QP120" s="231"/>
      <c r="QQ120" s="231"/>
      <c r="QR120" s="231"/>
      <c r="QS120" s="231"/>
      <c r="QT120" s="231"/>
      <c r="QU120" s="231"/>
      <c r="QV120" s="231"/>
      <c r="QW120" s="231"/>
      <c r="QX120" s="231"/>
      <c r="QY120" s="231"/>
      <c r="QZ120" s="231"/>
      <c r="RA120" s="231"/>
      <c r="RB120" s="231"/>
      <c r="RC120" s="231"/>
      <c r="RD120" s="231"/>
      <c r="RE120" s="231"/>
      <c r="RF120" s="231"/>
      <c r="RG120" s="231"/>
      <c r="RH120" s="231"/>
      <c r="RI120" s="231"/>
      <c r="RJ120" s="231"/>
      <c r="RK120" s="231"/>
      <c r="RL120" s="231"/>
      <c r="RM120" s="231"/>
      <c r="RN120" s="231"/>
      <c r="RO120" s="231"/>
      <c r="RP120" s="231"/>
      <c r="RQ120" s="231"/>
      <c r="RR120" s="231"/>
      <c r="RS120" s="231"/>
      <c r="RT120" s="231"/>
      <c r="RU120" s="231"/>
      <c r="RV120" s="231"/>
      <c r="RW120" s="231"/>
      <c r="RX120" s="231"/>
      <c r="RY120" s="231"/>
      <c r="RZ120" s="231"/>
      <c r="SA120" s="231"/>
      <c r="SB120" s="231"/>
      <c r="SC120" s="231"/>
      <c r="SD120" s="231"/>
      <c r="SE120" s="231"/>
      <c r="SF120" s="231"/>
      <c r="SG120" s="231"/>
      <c r="SH120" s="231"/>
      <c r="SI120" s="231"/>
      <c r="SJ120" s="231"/>
      <c r="SK120" s="231"/>
      <c r="SL120" s="231"/>
      <c r="SM120" s="231"/>
      <c r="SN120" s="231"/>
      <c r="SO120" s="231"/>
      <c r="SP120" s="231"/>
      <c r="SQ120" s="231"/>
      <c r="SR120" s="231"/>
      <c r="SS120" s="231"/>
      <c r="ST120" s="231"/>
      <c r="SU120" s="231"/>
      <c r="SV120" s="231"/>
      <c r="SW120" s="231"/>
      <c r="SX120" s="231"/>
      <c r="SY120" s="231"/>
      <c r="SZ120" s="231"/>
      <c r="TA120" s="231"/>
      <c r="TB120" s="231"/>
      <c r="TC120" s="231"/>
      <c r="TD120" s="231"/>
      <c r="TE120" s="231"/>
      <c r="TF120" s="231"/>
      <c r="TG120" s="231"/>
      <c r="TH120" s="231"/>
      <c r="TI120" s="231"/>
      <c r="TJ120" s="231"/>
      <c r="TK120" s="231"/>
      <c r="TL120" s="231"/>
      <c r="TM120" s="231"/>
      <c r="TN120" s="231"/>
      <c r="TO120" s="231"/>
      <c r="TP120" s="231"/>
      <c r="TQ120" s="231"/>
      <c r="TR120" s="231"/>
      <c r="TS120" s="231"/>
      <c r="TT120" s="231"/>
      <c r="TU120" s="231"/>
      <c r="TV120" s="231"/>
      <c r="TW120" s="231"/>
      <c r="TX120" s="231"/>
      <c r="TY120" s="231"/>
      <c r="TZ120" s="231"/>
      <c r="UA120" s="231"/>
      <c r="UB120" s="231"/>
      <c r="UC120" s="231"/>
      <c r="UD120" s="231"/>
      <c r="UE120" s="231"/>
      <c r="UF120" s="231"/>
      <c r="UG120" s="231"/>
      <c r="UH120" s="231"/>
      <c r="UI120" s="231"/>
      <c r="UJ120" s="231"/>
      <c r="UK120" s="231"/>
      <c r="UL120" s="231"/>
      <c r="UM120" s="231"/>
      <c r="UN120" s="231"/>
      <c r="UO120" s="231"/>
      <c r="UP120" s="231"/>
      <c r="UQ120" s="231"/>
      <c r="UR120" s="231"/>
      <c r="US120" s="231"/>
      <c r="UT120" s="231"/>
      <c r="UU120" s="231"/>
      <c r="UV120" s="231"/>
      <c r="UW120" s="231"/>
      <c r="UX120" s="231"/>
      <c r="UY120" s="231"/>
      <c r="UZ120" s="231"/>
      <c r="VA120" s="231"/>
      <c r="VB120" s="231"/>
      <c r="VC120" s="231"/>
      <c r="VD120" s="231"/>
      <c r="VE120" s="231"/>
      <c r="VF120" s="231"/>
      <c r="VG120" s="231"/>
      <c r="VH120" s="231"/>
      <c r="VI120" s="231"/>
      <c r="VJ120" s="231"/>
      <c r="VK120" s="231"/>
      <c r="VL120" s="231"/>
      <c r="VM120" s="231"/>
      <c r="VN120" s="231"/>
      <c r="VO120" s="231"/>
      <c r="VP120" s="231"/>
      <c r="VQ120" s="231"/>
      <c r="VR120" s="231"/>
      <c r="VS120" s="231"/>
      <c r="VT120" s="231"/>
      <c r="VU120" s="231"/>
      <c r="VV120" s="231"/>
      <c r="VW120" s="231"/>
      <c r="VX120" s="231"/>
      <c r="VY120" s="231"/>
      <c r="VZ120" s="231"/>
      <c r="WA120" s="231"/>
      <c r="WB120" s="231"/>
      <c r="WC120" s="231"/>
      <c r="WD120" s="231"/>
      <c r="WE120" s="231"/>
      <c r="WF120" s="231"/>
      <c r="WG120" s="231"/>
      <c r="WH120" s="231"/>
      <c r="WI120" s="231"/>
      <c r="WJ120" s="231"/>
      <c r="WK120" s="231"/>
      <c r="WL120" s="231"/>
      <c r="WM120" s="231"/>
      <c r="WN120" s="231"/>
      <c r="WO120" s="231"/>
      <c r="WP120" s="231"/>
      <c r="WQ120" s="231"/>
      <c r="WR120" s="231"/>
      <c r="WS120" s="231"/>
      <c r="WT120" s="231"/>
      <c r="WU120" s="231"/>
      <c r="WV120" s="231"/>
      <c r="WW120" s="231"/>
      <c r="WX120" s="231"/>
      <c r="WY120" s="231"/>
      <c r="WZ120" s="231"/>
      <c r="XA120" s="231"/>
      <c r="XB120" s="231"/>
      <c r="XC120" s="231"/>
      <c r="XD120" s="231"/>
      <c r="XE120" s="231"/>
      <c r="XF120" s="231"/>
      <c r="XG120" s="231"/>
      <c r="XH120" s="231"/>
      <c r="XI120" s="231"/>
      <c r="XJ120" s="231"/>
      <c r="XK120" s="231"/>
      <c r="XL120" s="231"/>
      <c r="XM120" s="231"/>
      <c r="XN120" s="231"/>
      <c r="XO120" s="231"/>
      <c r="XP120" s="231"/>
      <c r="XQ120" s="231"/>
      <c r="XR120" s="231"/>
      <c r="XS120" s="231"/>
      <c r="XT120" s="231"/>
      <c r="XU120" s="231"/>
      <c r="XV120" s="231"/>
      <c r="XW120" s="231"/>
      <c r="XX120" s="231"/>
      <c r="XY120" s="231"/>
      <c r="XZ120" s="231"/>
      <c r="YA120" s="231"/>
      <c r="YB120" s="231"/>
      <c r="YC120" s="231"/>
      <c r="YD120" s="231"/>
      <c r="YE120" s="231"/>
      <c r="YF120" s="231"/>
      <c r="YG120" s="231"/>
      <c r="YH120" s="231"/>
      <c r="YI120" s="231"/>
      <c r="YJ120" s="231"/>
      <c r="YK120" s="231"/>
      <c r="YL120" s="231"/>
      <c r="YM120" s="231"/>
      <c r="YN120" s="231"/>
      <c r="YO120" s="231"/>
      <c r="YP120" s="231"/>
      <c r="YQ120" s="231"/>
      <c r="YR120" s="231"/>
      <c r="YS120" s="231"/>
      <c r="YT120" s="231"/>
      <c r="YU120" s="231"/>
      <c r="YV120" s="231"/>
      <c r="YW120" s="231"/>
      <c r="YX120" s="231"/>
      <c r="YY120" s="231"/>
      <c r="YZ120" s="231"/>
      <c r="ZA120" s="231"/>
      <c r="ZB120" s="231"/>
      <c r="ZC120" s="231"/>
      <c r="ZD120" s="231"/>
      <c r="ZE120" s="231"/>
      <c r="ZF120" s="231"/>
      <c r="ZG120" s="231"/>
      <c r="ZH120" s="231"/>
      <c r="ZI120" s="231"/>
      <c r="ZJ120" s="231"/>
      <c r="ZK120" s="231"/>
      <c r="ZL120" s="231"/>
      <c r="ZM120" s="231"/>
      <c r="ZN120" s="231"/>
      <c r="ZO120" s="231"/>
      <c r="ZP120" s="231"/>
      <c r="ZQ120" s="231"/>
      <c r="ZR120" s="231"/>
      <c r="ZS120" s="231"/>
      <c r="ZT120" s="231"/>
      <c r="ZU120" s="231"/>
      <c r="ZV120" s="231"/>
      <c r="ZW120" s="231"/>
      <c r="ZX120" s="231"/>
      <c r="ZY120" s="231"/>
      <c r="ZZ120" s="231"/>
      <c r="AAA120" s="231"/>
      <c r="AAB120" s="231"/>
      <c r="AAC120" s="231"/>
      <c r="AAD120" s="231"/>
      <c r="AAE120" s="231"/>
      <c r="AAF120" s="231"/>
      <c r="AAG120" s="231"/>
      <c r="AAH120" s="231"/>
      <c r="AAI120" s="231"/>
      <c r="AAJ120" s="231"/>
      <c r="AAK120" s="231"/>
      <c r="AAL120" s="231"/>
      <c r="AAM120" s="231"/>
      <c r="AAN120" s="231"/>
      <c r="AAO120" s="231"/>
      <c r="AAP120" s="231"/>
      <c r="AAQ120" s="231"/>
      <c r="AAR120" s="231"/>
      <c r="AAS120" s="231"/>
      <c r="AAT120" s="231"/>
      <c r="AAU120" s="231"/>
      <c r="AAV120" s="231"/>
      <c r="AAW120" s="231"/>
      <c r="AAX120" s="231"/>
      <c r="AAY120" s="231"/>
      <c r="AAZ120" s="231"/>
      <c r="ABA120" s="231"/>
      <c r="ABB120" s="231"/>
      <c r="ABC120" s="231"/>
      <c r="ABD120" s="231"/>
      <c r="ABE120" s="231"/>
      <c r="ABF120" s="231"/>
      <c r="ABG120" s="231"/>
      <c r="ABH120" s="231"/>
      <c r="ABI120" s="231"/>
      <c r="ABJ120" s="231"/>
      <c r="ABK120" s="231"/>
      <c r="ABL120" s="231"/>
      <c r="ABM120" s="231"/>
      <c r="ABN120" s="231"/>
      <c r="ABO120" s="231"/>
      <c r="ABP120" s="231"/>
      <c r="ABQ120" s="231"/>
      <c r="ABR120" s="231"/>
      <c r="ABS120" s="231"/>
      <c r="ABT120" s="231"/>
      <c r="ABU120" s="231"/>
      <c r="ABV120" s="231"/>
      <c r="ABW120" s="231"/>
      <c r="ABX120" s="231"/>
      <c r="ABY120" s="231"/>
      <c r="ABZ120" s="231"/>
      <c r="ACA120" s="231"/>
      <c r="ACB120" s="231"/>
      <c r="ACC120" s="231"/>
      <c r="ACD120" s="231"/>
      <c r="ACE120" s="231"/>
      <c r="ACF120" s="231"/>
      <c r="ACG120" s="231"/>
      <c r="ACH120" s="231"/>
      <c r="ACI120" s="231"/>
      <c r="ACJ120" s="231"/>
      <c r="ACK120" s="231"/>
      <c r="ACL120" s="231"/>
      <c r="ACM120" s="231"/>
      <c r="ACN120" s="231"/>
      <c r="ACO120" s="231"/>
      <c r="ACP120" s="231"/>
      <c r="ACQ120" s="231"/>
      <c r="ACR120" s="231"/>
      <c r="ACS120" s="231"/>
      <c r="ACT120" s="231"/>
      <c r="ACU120" s="231"/>
      <c r="ACV120" s="231"/>
      <c r="ACW120" s="231"/>
      <c r="ACX120" s="231"/>
      <c r="ACY120" s="231"/>
      <c r="ACZ120" s="231"/>
      <c r="ADA120" s="231"/>
      <c r="ADB120" s="231"/>
      <c r="ADC120" s="231"/>
      <c r="ADD120" s="231"/>
      <c r="ADE120" s="231"/>
      <c r="ADF120" s="231"/>
      <c r="ADG120" s="231"/>
      <c r="ADH120" s="231"/>
      <c r="ADI120" s="231"/>
      <c r="ADJ120" s="231"/>
      <c r="ADK120" s="231"/>
      <c r="ADL120" s="231"/>
      <c r="ADM120" s="231"/>
      <c r="ADN120" s="231"/>
      <c r="ADO120" s="231"/>
      <c r="ADP120" s="231"/>
      <c r="ADQ120" s="231"/>
      <c r="ADR120" s="231"/>
      <c r="ADS120" s="231"/>
      <c r="ADT120" s="231"/>
      <c r="ADU120" s="231"/>
      <c r="ADV120" s="231"/>
      <c r="ADW120" s="231"/>
      <c r="ADX120" s="231"/>
      <c r="ADY120" s="231"/>
      <c r="ADZ120" s="231"/>
      <c r="AEA120" s="231"/>
      <c r="AEB120" s="231"/>
      <c r="AEC120" s="231"/>
      <c r="AED120" s="231"/>
      <c r="AEE120" s="231"/>
      <c r="AEF120" s="231"/>
      <c r="AEG120" s="231"/>
      <c r="AEH120" s="231"/>
      <c r="AEI120" s="231"/>
      <c r="AEJ120" s="231"/>
      <c r="AEK120" s="231"/>
      <c r="AEL120" s="231"/>
      <c r="AEM120" s="231"/>
      <c r="AEN120" s="231"/>
      <c r="AEO120" s="231"/>
      <c r="AEP120" s="231"/>
      <c r="AEQ120" s="231"/>
      <c r="AER120" s="231"/>
      <c r="AES120" s="231"/>
      <c r="AET120" s="231"/>
      <c r="AEU120" s="231"/>
      <c r="AEV120" s="231"/>
      <c r="AEW120" s="231"/>
      <c r="AEX120" s="231"/>
      <c r="AEY120" s="231"/>
      <c r="AEZ120" s="231"/>
      <c r="AFA120" s="231"/>
      <c r="AFB120" s="231"/>
      <c r="AFC120" s="231"/>
      <c r="AFD120" s="231"/>
      <c r="AFE120" s="231"/>
      <c r="AFF120" s="231"/>
      <c r="AFG120" s="231"/>
      <c r="AFH120" s="231"/>
      <c r="AFI120" s="231"/>
      <c r="AFJ120" s="231"/>
      <c r="AFK120" s="231"/>
      <c r="AFL120" s="231"/>
      <c r="AFM120" s="231"/>
      <c r="AFN120" s="231"/>
      <c r="AFO120" s="231"/>
      <c r="AFP120" s="231"/>
      <c r="AFQ120" s="231"/>
      <c r="AFR120" s="231"/>
      <c r="AFS120" s="231"/>
      <c r="AFT120" s="231"/>
      <c r="AFU120" s="231"/>
      <c r="AFV120" s="231"/>
      <c r="AFW120" s="231"/>
      <c r="AFX120" s="231"/>
      <c r="AFY120" s="231"/>
      <c r="AFZ120" s="231"/>
      <c r="AGA120" s="231"/>
      <c r="AGB120" s="231"/>
      <c r="AGC120" s="231"/>
      <c r="AGD120" s="231"/>
      <c r="AGE120" s="231"/>
      <c r="AGF120" s="231"/>
      <c r="AGG120" s="231"/>
      <c r="AGH120" s="231"/>
      <c r="AGI120" s="231"/>
      <c r="AGJ120" s="231"/>
      <c r="AGK120" s="231"/>
      <c r="AGL120" s="231"/>
      <c r="AGM120" s="231"/>
      <c r="AGN120" s="231"/>
      <c r="AGO120" s="231"/>
      <c r="AGP120" s="231"/>
      <c r="AGQ120" s="231"/>
      <c r="AGR120" s="231"/>
      <c r="AGS120" s="231"/>
      <c r="AGT120" s="231"/>
      <c r="AGU120" s="231"/>
      <c r="AGV120" s="231"/>
      <c r="AGW120" s="231"/>
      <c r="AGX120" s="231"/>
      <c r="AGY120" s="231"/>
      <c r="AGZ120" s="231"/>
      <c r="AHA120" s="231"/>
      <c r="AHB120" s="231"/>
      <c r="AHC120" s="231"/>
      <c r="AHD120" s="231"/>
      <c r="AHE120" s="231"/>
      <c r="AHF120" s="231"/>
      <c r="AHG120" s="231"/>
      <c r="AHH120" s="231"/>
      <c r="AHI120" s="231"/>
      <c r="AHJ120" s="231"/>
      <c r="AHK120" s="231"/>
      <c r="AHL120" s="231"/>
      <c r="AHM120" s="231"/>
      <c r="AHN120" s="231"/>
      <c r="AHO120" s="231"/>
      <c r="AHP120" s="231"/>
      <c r="AHQ120" s="231"/>
      <c r="AHR120" s="231"/>
      <c r="AHS120" s="231"/>
      <c r="AHT120" s="231"/>
      <c r="AHU120" s="231"/>
      <c r="AHV120" s="231"/>
      <c r="AHW120" s="231"/>
      <c r="AHX120" s="231"/>
      <c r="AHY120" s="231"/>
      <c r="AHZ120" s="231"/>
      <c r="AIA120" s="231"/>
      <c r="AIB120" s="231"/>
      <c r="AIC120" s="231"/>
      <c r="AID120" s="231"/>
      <c r="AIE120" s="231"/>
      <c r="AIF120" s="231"/>
      <c r="AIG120" s="231"/>
      <c r="AIH120" s="231"/>
      <c r="AII120" s="231"/>
      <c r="AIJ120" s="231"/>
      <c r="AIK120" s="231"/>
      <c r="AIL120" s="231"/>
      <c r="AIM120" s="231"/>
      <c r="AIN120" s="231"/>
      <c r="AIO120" s="231"/>
      <c r="AIP120" s="231"/>
      <c r="AIQ120" s="231"/>
      <c r="AIR120" s="231"/>
      <c r="AIS120" s="231"/>
      <c r="AIT120" s="231"/>
      <c r="AIU120" s="231"/>
      <c r="AIV120" s="231"/>
      <c r="AIW120" s="231"/>
      <c r="AIX120" s="231"/>
      <c r="AIY120" s="231"/>
      <c r="AIZ120" s="231"/>
      <c r="AJA120" s="231"/>
      <c r="AJB120" s="231"/>
      <c r="AJC120" s="231"/>
      <c r="AJD120" s="231"/>
      <c r="AJE120" s="231"/>
      <c r="AJF120" s="231"/>
      <c r="AJG120" s="231"/>
      <c r="AJH120" s="231"/>
      <c r="AJI120" s="231"/>
      <c r="AJJ120" s="231"/>
      <c r="AJK120" s="231"/>
      <c r="AJL120" s="231"/>
      <c r="AJM120" s="231"/>
      <c r="AJN120" s="231"/>
      <c r="AJO120" s="231"/>
      <c r="AJP120" s="231"/>
      <c r="AJQ120" s="231"/>
      <c r="AJR120" s="231"/>
      <c r="AJS120" s="231"/>
      <c r="AJT120" s="231"/>
      <c r="AJU120" s="231"/>
      <c r="AJV120" s="231"/>
      <c r="AJW120" s="231"/>
      <c r="AJX120" s="231"/>
      <c r="AJY120" s="231"/>
      <c r="AJZ120" s="231"/>
      <c r="AKA120" s="231"/>
      <c r="AKB120" s="231"/>
      <c r="AKC120" s="231"/>
      <c r="AKD120" s="231"/>
      <c r="AKE120" s="231"/>
      <c r="AKF120" s="231"/>
      <c r="AKG120" s="231"/>
      <c r="AKH120" s="231"/>
      <c r="AKI120" s="231"/>
      <c r="AKJ120" s="231"/>
      <c r="AKK120" s="231"/>
      <c r="AKL120" s="231"/>
      <c r="AKM120" s="231"/>
      <c r="AKN120" s="231"/>
      <c r="AKO120" s="231"/>
      <c r="AKP120" s="231"/>
      <c r="AKQ120" s="231"/>
      <c r="AKR120" s="231"/>
      <c r="AKS120" s="231"/>
      <c r="AKT120" s="231"/>
      <c r="AKU120" s="231"/>
      <c r="AKV120" s="231"/>
      <c r="AKW120" s="231"/>
      <c r="AKX120" s="231"/>
      <c r="AKY120" s="231"/>
      <c r="AKZ120" s="231"/>
      <c r="ALA120" s="231"/>
      <c r="ALB120" s="231"/>
      <c r="ALC120" s="231"/>
      <c r="ALD120" s="231"/>
      <c r="ALE120" s="231"/>
      <c r="ALF120" s="231"/>
      <c r="ALG120" s="231"/>
      <c r="ALH120" s="231"/>
      <c r="ALI120" s="231"/>
      <c r="ALJ120" s="231"/>
      <c r="ALK120" s="231"/>
      <c r="ALL120" s="231"/>
      <c r="ALM120" s="231"/>
      <c r="ALN120" s="231"/>
      <c r="ALO120" s="231"/>
      <c r="ALP120" s="231"/>
      <c r="ALQ120" s="231"/>
      <c r="ALR120" s="231"/>
      <c r="ALS120" s="231"/>
      <c r="ALT120" s="231"/>
      <c r="ALU120" s="231"/>
      <c r="ALV120" s="231"/>
      <c r="ALW120" s="231"/>
      <c r="ALX120" s="231"/>
      <c r="ALY120" s="231"/>
      <c r="ALZ120" s="231"/>
      <c r="AMA120" s="231"/>
      <c r="AMB120" s="231"/>
      <c r="AMC120" s="231"/>
      <c r="AMD120" s="231"/>
      <c r="AME120" s="231"/>
      <c r="AMF120" s="231"/>
      <c r="AMG120" s="231"/>
      <c r="AMH120" s="231"/>
      <c r="AMI120" s="231"/>
      <c r="AMJ120" s="231"/>
      <c r="AMK120" s="231"/>
      <c r="AML120" s="231"/>
      <c r="AMM120" s="231"/>
      <c r="AMN120" s="231"/>
      <c r="AMO120" s="231"/>
      <c r="AMP120" s="231"/>
      <c r="AMQ120" s="231"/>
      <c r="AMR120" s="231"/>
      <c r="AMS120" s="231"/>
      <c r="AMT120" s="231"/>
      <c r="AMU120" s="231"/>
      <c r="AMV120" s="231"/>
      <c r="AMW120" s="231"/>
      <c r="AMX120" s="231"/>
      <c r="AMY120" s="231"/>
      <c r="AMZ120" s="231"/>
      <c r="ANA120" s="231"/>
      <c r="ANB120" s="231"/>
      <c r="ANC120" s="231"/>
      <c r="AND120" s="231"/>
      <c r="ANE120" s="231"/>
      <c r="ANF120" s="231"/>
      <c r="ANG120" s="231"/>
      <c r="ANH120" s="231"/>
      <c r="ANI120" s="231"/>
      <c r="ANJ120" s="231"/>
      <c r="ANK120" s="231"/>
      <c r="ANL120" s="231"/>
      <c r="ANM120" s="231"/>
      <c r="ANN120" s="231"/>
      <c r="ANO120" s="231"/>
      <c r="ANP120" s="231"/>
      <c r="ANQ120" s="231"/>
      <c r="ANR120" s="231"/>
      <c r="ANS120" s="231"/>
      <c r="ANT120" s="231"/>
      <c r="ANU120" s="231"/>
      <c r="ANV120" s="231"/>
      <c r="ANW120" s="231"/>
      <c r="ANX120" s="231"/>
      <c r="ANY120" s="231"/>
      <c r="ANZ120" s="231"/>
      <c r="AOA120" s="231"/>
      <c r="AOB120" s="231"/>
      <c r="AOC120" s="231"/>
      <c r="AOD120" s="231"/>
      <c r="AOE120" s="231"/>
      <c r="AOF120" s="231"/>
      <c r="AOG120" s="231"/>
      <c r="AOH120" s="231"/>
      <c r="AOI120" s="231"/>
      <c r="AOJ120" s="231"/>
      <c r="AOK120" s="231"/>
      <c r="AOL120" s="231"/>
      <c r="AOM120" s="231"/>
      <c r="AON120" s="231"/>
      <c r="AOO120" s="231"/>
      <c r="AOP120" s="231"/>
      <c r="AOQ120" s="231"/>
      <c r="AOR120" s="231"/>
      <c r="AOS120" s="231"/>
      <c r="AOT120" s="231"/>
      <c r="AOU120" s="231"/>
      <c r="AOV120" s="231"/>
      <c r="AOW120" s="231"/>
      <c r="AOX120" s="231"/>
      <c r="AOY120" s="231"/>
      <c r="AOZ120" s="231"/>
      <c r="APA120" s="231"/>
      <c r="APB120" s="231"/>
      <c r="APC120" s="231"/>
      <c r="APD120" s="231"/>
      <c r="APE120" s="231"/>
      <c r="APF120" s="231"/>
      <c r="APG120" s="231"/>
      <c r="APH120" s="231"/>
      <c r="API120" s="231"/>
      <c r="APJ120" s="231"/>
      <c r="APK120" s="231"/>
      <c r="APL120" s="231"/>
      <c r="APM120" s="231"/>
      <c r="APN120" s="231"/>
      <c r="APO120" s="231"/>
      <c r="APP120" s="231"/>
      <c r="APQ120" s="231"/>
      <c r="APR120" s="231"/>
      <c r="APS120" s="231"/>
      <c r="APT120" s="231"/>
      <c r="APU120" s="231"/>
      <c r="APV120" s="231"/>
      <c r="APW120" s="231"/>
      <c r="APX120" s="231"/>
      <c r="APY120" s="231"/>
      <c r="APZ120" s="231"/>
      <c r="AQA120" s="231"/>
      <c r="AQB120" s="231"/>
      <c r="AQC120" s="231"/>
      <c r="AQD120" s="231"/>
      <c r="AQE120" s="231"/>
      <c r="AQF120" s="231"/>
      <c r="AQG120" s="231"/>
      <c r="AQH120" s="231"/>
      <c r="AQI120" s="231"/>
      <c r="AQJ120" s="231"/>
      <c r="AQK120" s="231"/>
      <c r="AQL120" s="231"/>
      <c r="AQM120" s="231"/>
      <c r="AQN120" s="231"/>
      <c r="AQO120" s="231"/>
      <c r="AQP120" s="231"/>
      <c r="AQQ120" s="231"/>
      <c r="AQR120" s="231"/>
      <c r="AQS120" s="231"/>
      <c r="AQT120" s="231"/>
      <c r="AQU120" s="231"/>
      <c r="AQV120" s="231"/>
      <c r="AQW120" s="231"/>
      <c r="AQX120" s="231"/>
      <c r="AQY120" s="231"/>
      <c r="AQZ120" s="231"/>
      <c r="ARA120" s="231"/>
      <c r="ARB120" s="231"/>
      <c r="ARC120" s="231"/>
      <c r="ARD120" s="231"/>
      <c r="ARE120" s="231"/>
      <c r="ARF120" s="231"/>
      <c r="ARG120" s="231"/>
      <c r="ARH120" s="231"/>
      <c r="ARI120" s="231"/>
      <c r="ARJ120" s="231"/>
      <c r="ARK120" s="231"/>
      <c r="ARL120" s="231"/>
      <c r="ARM120" s="231"/>
      <c r="ARN120" s="231"/>
      <c r="ARO120" s="231"/>
      <c r="ARP120" s="231"/>
      <c r="ARQ120" s="231"/>
      <c r="ARR120" s="231"/>
      <c r="ARS120" s="231"/>
      <c r="ART120" s="231"/>
      <c r="ARU120" s="231"/>
      <c r="ARV120" s="231"/>
      <c r="ARW120" s="231"/>
      <c r="ARX120" s="231"/>
      <c r="ARY120" s="231"/>
      <c r="ARZ120" s="231"/>
      <c r="ASA120" s="231"/>
      <c r="ASB120" s="231"/>
      <c r="ASC120" s="231"/>
      <c r="ASD120" s="231"/>
      <c r="ASE120" s="231"/>
      <c r="ASF120" s="231"/>
      <c r="ASG120" s="231"/>
      <c r="ASH120" s="231"/>
      <c r="ASI120" s="231"/>
      <c r="ASJ120" s="231"/>
      <c r="ASK120" s="231"/>
      <c r="ASL120" s="231"/>
      <c r="ASM120" s="231"/>
      <c r="ASN120" s="231"/>
      <c r="ASO120" s="231"/>
      <c r="ASP120" s="231"/>
      <c r="ASQ120" s="231"/>
      <c r="ASR120" s="231"/>
      <c r="ASS120" s="231"/>
      <c r="AST120" s="231"/>
      <c r="ASU120" s="231"/>
      <c r="ASV120" s="231"/>
      <c r="ASW120" s="231"/>
      <c r="ASX120" s="231"/>
      <c r="ASY120" s="231"/>
      <c r="ASZ120" s="231"/>
      <c r="ATA120" s="231"/>
      <c r="ATB120" s="231"/>
      <c r="ATC120" s="231"/>
      <c r="ATD120" s="231"/>
      <c r="ATE120" s="231"/>
      <c r="ATF120" s="231"/>
      <c r="ATG120" s="231"/>
      <c r="ATH120" s="231"/>
      <c r="ATI120" s="231"/>
      <c r="ATJ120" s="231"/>
      <c r="ATK120" s="231"/>
      <c r="ATL120" s="231"/>
      <c r="ATM120" s="231"/>
      <c r="ATN120" s="231"/>
      <c r="ATO120" s="231"/>
      <c r="ATP120" s="231"/>
      <c r="ATQ120" s="231"/>
      <c r="ATR120" s="231"/>
      <c r="ATS120" s="231"/>
      <c r="ATT120" s="231"/>
      <c r="ATU120" s="231"/>
      <c r="ATV120" s="231"/>
      <c r="ATW120" s="231"/>
      <c r="ATX120" s="231"/>
      <c r="ATY120" s="231"/>
      <c r="ATZ120" s="231"/>
      <c r="AUA120" s="231"/>
      <c r="AUB120" s="231"/>
      <c r="AUC120" s="231"/>
      <c r="AUD120" s="231"/>
      <c r="AUE120" s="231"/>
      <c r="AUF120" s="231"/>
      <c r="AUG120" s="231"/>
      <c r="AUH120" s="231"/>
      <c r="AUI120" s="231"/>
      <c r="AUJ120" s="231"/>
      <c r="AUK120" s="231"/>
      <c r="AUL120" s="231"/>
      <c r="AUM120" s="231"/>
      <c r="AUN120" s="231"/>
      <c r="AUO120" s="231"/>
      <c r="AUP120" s="231"/>
      <c r="AUQ120" s="231"/>
      <c r="AUR120" s="231"/>
      <c r="AUS120" s="231"/>
      <c r="AUT120" s="231"/>
      <c r="AUU120" s="231"/>
      <c r="AUV120" s="231"/>
      <c r="AUW120" s="231"/>
      <c r="AUX120" s="231"/>
      <c r="AUY120" s="231"/>
      <c r="AUZ120" s="231"/>
      <c r="AVA120" s="231"/>
      <c r="AVB120" s="231"/>
      <c r="AVC120" s="231"/>
      <c r="AVD120" s="231"/>
      <c r="AVE120" s="231"/>
      <c r="AVF120" s="231"/>
      <c r="AVG120" s="231"/>
      <c r="AVH120" s="231"/>
      <c r="AVI120" s="231"/>
      <c r="AVJ120" s="231"/>
      <c r="AVK120" s="231"/>
      <c r="AVL120" s="231"/>
      <c r="AVM120" s="231"/>
      <c r="AVN120" s="231"/>
      <c r="AVO120" s="231"/>
      <c r="AVP120" s="231"/>
      <c r="AVQ120" s="231"/>
      <c r="AVR120" s="231"/>
      <c r="AVS120" s="231"/>
      <c r="AVT120" s="231"/>
      <c r="AVU120" s="231"/>
      <c r="AVV120" s="231"/>
      <c r="AVW120" s="231"/>
      <c r="AVX120" s="231"/>
      <c r="AVY120" s="231"/>
      <c r="AVZ120" s="231"/>
      <c r="AWA120" s="231"/>
      <c r="AWB120" s="231"/>
      <c r="AWC120" s="231"/>
      <c r="AWD120" s="231"/>
      <c r="AWE120" s="231"/>
      <c r="AWF120" s="231"/>
      <c r="AWG120" s="231"/>
      <c r="AWH120" s="231"/>
      <c r="AWI120" s="231"/>
      <c r="AWJ120" s="231"/>
      <c r="AWK120" s="231"/>
      <c r="AWL120" s="231"/>
      <c r="AWM120" s="231"/>
      <c r="AWN120" s="231"/>
      <c r="AWO120" s="231"/>
      <c r="AWP120" s="231"/>
      <c r="AWQ120" s="231"/>
      <c r="AWR120" s="231"/>
      <c r="AWS120" s="231"/>
      <c r="AWT120" s="231"/>
      <c r="AWU120" s="231"/>
      <c r="AWV120" s="231"/>
      <c r="AWW120" s="231"/>
      <c r="AWX120" s="231"/>
      <c r="AWY120" s="231"/>
      <c r="AWZ120" s="231"/>
      <c r="AXA120" s="231"/>
      <c r="AXB120" s="231"/>
      <c r="AXC120" s="231"/>
      <c r="AXD120" s="231"/>
      <c r="AXE120" s="231"/>
      <c r="AXF120" s="231"/>
      <c r="AXG120" s="231"/>
      <c r="AXH120" s="231"/>
      <c r="AXI120" s="231"/>
      <c r="AXJ120" s="231"/>
      <c r="AXK120" s="231"/>
      <c r="AXL120" s="231"/>
      <c r="AXM120" s="231"/>
      <c r="AXN120" s="231"/>
      <c r="AXO120" s="231"/>
      <c r="AXP120" s="231"/>
      <c r="AXQ120" s="231"/>
      <c r="AXR120" s="231"/>
      <c r="AXS120" s="231"/>
      <c r="AXT120" s="231"/>
      <c r="AXU120" s="231"/>
      <c r="AXV120" s="231"/>
      <c r="AXW120" s="231"/>
      <c r="AXX120" s="231"/>
      <c r="AXY120" s="231"/>
      <c r="AXZ120" s="231"/>
      <c r="AYA120" s="231"/>
      <c r="AYB120" s="231"/>
      <c r="AYC120" s="231"/>
      <c r="AYD120" s="231"/>
      <c r="AYE120" s="231"/>
      <c r="AYF120" s="231"/>
      <c r="AYG120" s="231"/>
      <c r="AYH120" s="231"/>
      <c r="AYI120" s="231"/>
      <c r="AYJ120" s="231"/>
      <c r="AYK120" s="231"/>
      <c r="AYL120" s="231"/>
      <c r="AYM120" s="231"/>
      <c r="AYN120" s="231"/>
      <c r="AYO120" s="231"/>
      <c r="AYP120" s="231"/>
      <c r="AYQ120" s="231"/>
      <c r="AYR120" s="231"/>
      <c r="AYS120" s="231"/>
      <c r="AYT120" s="231"/>
      <c r="AYU120" s="231"/>
      <c r="AYV120" s="231"/>
      <c r="AYW120" s="231"/>
      <c r="AYX120" s="231"/>
      <c r="AYY120" s="231"/>
      <c r="AYZ120" s="231"/>
      <c r="AZA120" s="231"/>
      <c r="AZB120" s="231"/>
      <c r="AZC120" s="231"/>
      <c r="AZD120" s="231"/>
      <c r="AZE120" s="231"/>
      <c r="AZF120" s="231"/>
      <c r="AZG120" s="231"/>
      <c r="AZH120" s="231"/>
      <c r="AZI120" s="231"/>
      <c r="AZJ120" s="231"/>
      <c r="AZK120" s="231"/>
      <c r="AZL120" s="231"/>
      <c r="AZM120" s="231"/>
      <c r="AZN120" s="231"/>
      <c r="AZO120" s="231"/>
      <c r="AZP120" s="231"/>
      <c r="AZQ120" s="231"/>
      <c r="AZR120" s="231"/>
      <c r="AZS120" s="231"/>
      <c r="AZT120" s="231"/>
      <c r="AZU120" s="231"/>
      <c r="AZV120" s="231"/>
      <c r="AZW120" s="231"/>
      <c r="AZX120" s="231"/>
      <c r="AZY120" s="231"/>
      <c r="AZZ120" s="231"/>
      <c r="BAA120" s="231"/>
      <c r="BAB120" s="231"/>
      <c r="BAC120" s="231"/>
      <c r="BAD120" s="231"/>
      <c r="BAE120" s="231"/>
      <c r="BAF120" s="231"/>
      <c r="BAG120" s="231"/>
      <c r="BAH120" s="231"/>
      <c r="BAI120" s="231"/>
      <c r="BAJ120" s="231"/>
      <c r="BAK120" s="231"/>
      <c r="BAL120" s="231"/>
      <c r="BAM120" s="231"/>
      <c r="BAN120" s="231"/>
      <c r="BAO120" s="231"/>
      <c r="BAP120" s="231"/>
      <c r="BAQ120" s="231"/>
      <c r="BAR120" s="231"/>
      <c r="BAS120" s="231"/>
      <c r="BAT120" s="231"/>
      <c r="BAU120" s="231"/>
      <c r="BAV120" s="231"/>
      <c r="BAW120" s="231"/>
      <c r="BAX120" s="231"/>
      <c r="BAY120" s="231"/>
      <c r="BAZ120" s="231"/>
      <c r="BBA120" s="231"/>
      <c r="BBB120" s="231"/>
      <c r="BBC120" s="231"/>
      <c r="BBD120" s="231"/>
      <c r="BBE120" s="231"/>
      <c r="BBF120" s="231"/>
      <c r="BBG120" s="231"/>
      <c r="BBH120" s="231"/>
      <c r="BBI120" s="231"/>
      <c r="BBJ120" s="231"/>
      <c r="BBK120" s="231"/>
      <c r="BBL120" s="231"/>
      <c r="BBM120" s="231"/>
      <c r="BBN120" s="231"/>
      <c r="BBO120" s="231"/>
      <c r="BBP120" s="231"/>
      <c r="BBQ120" s="231"/>
      <c r="BBR120" s="231"/>
      <c r="BBS120" s="231"/>
      <c r="BBT120" s="231"/>
      <c r="BBU120" s="231"/>
      <c r="BBV120" s="231"/>
      <c r="BBW120" s="231"/>
      <c r="BBX120" s="231"/>
      <c r="BBY120" s="231"/>
      <c r="BBZ120" s="231"/>
      <c r="BCA120" s="231"/>
      <c r="BCB120" s="231"/>
      <c r="BCC120" s="231"/>
      <c r="BCD120" s="231"/>
      <c r="BCE120" s="231"/>
      <c r="BCF120" s="231"/>
      <c r="BCG120" s="231"/>
      <c r="BCH120" s="231"/>
      <c r="BCI120" s="231"/>
      <c r="BCJ120" s="231"/>
      <c r="BCK120" s="231"/>
      <c r="BCL120" s="231"/>
      <c r="BCM120" s="231"/>
      <c r="BCN120" s="231"/>
      <c r="BCO120" s="231"/>
      <c r="BCP120" s="231"/>
      <c r="BCQ120" s="231"/>
      <c r="BCR120" s="231"/>
      <c r="BCS120" s="231"/>
      <c r="BCT120" s="231"/>
      <c r="BCU120" s="231"/>
      <c r="BCV120" s="231"/>
      <c r="BCW120" s="231"/>
      <c r="BCX120" s="231"/>
      <c r="BCY120" s="231"/>
      <c r="BCZ120" s="231"/>
      <c r="BDA120" s="231"/>
      <c r="BDB120" s="231"/>
      <c r="BDC120" s="231"/>
      <c r="BDD120" s="231"/>
      <c r="BDE120" s="231"/>
      <c r="BDF120" s="231"/>
      <c r="BDG120" s="231"/>
      <c r="BDH120" s="231"/>
      <c r="BDI120" s="231"/>
      <c r="BDJ120" s="231"/>
      <c r="BDK120" s="231"/>
      <c r="BDL120" s="231"/>
      <c r="BDM120" s="231"/>
      <c r="BDN120" s="231"/>
      <c r="BDO120" s="231"/>
      <c r="BDP120" s="231"/>
      <c r="BDQ120" s="231"/>
      <c r="BDR120" s="231"/>
      <c r="BDS120" s="231"/>
      <c r="BDT120" s="231"/>
      <c r="BDU120" s="231"/>
      <c r="BDV120" s="231"/>
      <c r="BDW120" s="231"/>
      <c r="BDX120" s="231"/>
      <c r="BDY120" s="231"/>
      <c r="BDZ120" s="231"/>
      <c r="BEA120" s="231"/>
      <c r="BEB120" s="231"/>
      <c r="BEC120" s="231"/>
      <c r="BED120" s="231"/>
      <c r="BEE120" s="231"/>
      <c r="BEF120" s="231"/>
      <c r="BEG120" s="231"/>
      <c r="BEH120" s="231"/>
      <c r="BEI120" s="231"/>
      <c r="BEJ120" s="231"/>
      <c r="BEK120" s="231"/>
      <c r="BEL120" s="231"/>
      <c r="BEM120" s="231"/>
      <c r="BEN120" s="231"/>
      <c r="BEO120" s="231"/>
      <c r="BEP120" s="231"/>
      <c r="BEQ120" s="231"/>
      <c r="BER120" s="231"/>
      <c r="BES120" s="231"/>
      <c r="BET120" s="231"/>
      <c r="BEU120" s="231"/>
      <c r="BEV120" s="231"/>
      <c r="BEW120" s="231"/>
      <c r="BEX120" s="231"/>
      <c r="BEY120" s="231"/>
      <c r="BEZ120" s="231"/>
      <c r="BFA120" s="231"/>
      <c r="BFB120" s="231"/>
      <c r="BFC120" s="231"/>
      <c r="BFD120" s="231"/>
      <c r="BFE120" s="231"/>
      <c r="BFF120" s="231"/>
      <c r="BFG120" s="231"/>
      <c r="BFH120" s="231"/>
      <c r="BFI120" s="231"/>
      <c r="BFJ120" s="231"/>
      <c r="BFK120" s="231"/>
      <c r="BFL120" s="231"/>
      <c r="BFM120" s="231"/>
      <c r="BFN120" s="231"/>
      <c r="BFO120" s="231"/>
      <c r="BFP120" s="231"/>
      <c r="BFQ120" s="231"/>
      <c r="BFR120" s="231"/>
      <c r="BFS120" s="231"/>
      <c r="BFT120" s="231"/>
      <c r="BFU120" s="231"/>
      <c r="BFV120" s="231"/>
      <c r="BFW120" s="231"/>
      <c r="BFX120" s="231"/>
      <c r="BFY120" s="231"/>
      <c r="BFZ120" s="231"/>
      <c r="BGA120" s="231"/>
      <c r="BGB120" s="231"/>
      <c r="BGC120" s="231"/>
      <c r="BGD120" s="231"/>
      <c r="BGE120" s="231"/>
      <c r="BGF120" s="231"/>
      <c r="BGG120" s="231"/>
      <c r="BGH120" s="231"/>
      <c r="BGI120" s="231"/>
      <c r="BGJ120" s="231"/>
      <c r="BGK120" s="231"/>
      <c r="BGL120" s="231"/>
      <c r="BGM120" s="231"/>
      <c r="BGN120" s="231"/>
      <c r="BGO120" s="231"/>
      <c r="BGP120" s="231"/>
      <c r="BGQ120" s="231"/>
      <c r="BGR120" s="231"/>
      <c r="BGS120" s="231"/>
      <c r="BGT120" s="231"/>
      <c r="BGU120" s="231"/>
      <c r="BGV120" s="231"/>
      <c r="BGW120" s="231"/>
      <c r="BGX120" s="231"/>
      <c r="BGY120" s="231"/>
      <c r="BGZ120" s="231"/>
      <c r="BHA120" s="231"/>
      <c r="BHB120" s="231"/>
      <c r="BHC120" s="231"/>
      <c r="BHD120" s="231"/>
      <c r="BHE120" s="231"/>
      <c r="BHF120" s="231"/>
      <c r="BHG120" s="231"/>
      <c r="BHH120" s="231"/>
      <c r="BHI120" s="231"/>
      <c r="BHJ120" s="231"/>
      <c r="BHK120" s="231"/>
      <c r="BHL120" s="231"/>
      <c r="BHM120" s="231"/>
      <c r="BHN120" s="231"/>
      <c r="BHO120" s="231"/>
      <c r="BHP120" s="231"/>
      <c r="BHQ120" s="231"/>
      <c r="BHR120" s="231"/>
      <c r="BHS120" s="231"/>
      <c r="BHT120" s="231"/>
      <c r="BHU120" s="231"/>
      <c r="BHV120" s="231"/>
      <c r="BHW120" s="231"/>
      <c r="BHX120" s="231"/>
      <c r="BHY120" s="231"/>
      <c r="BHZ120" s="231"/>
      <c r="BIA120" s="231"/>
      <c r="BIB120" s="231"/>
      <c r="BIC120" s="231"/>
      <c r="BID120" s="231"/>
      <c r="BIE120" s="231"/>
      <c r="BIF120" s="231"/>
      <c r="BIG120" s="231"/>
      <c r="BIH120" s="231"/>
      <c r="BII120" s="231"/>
      <c r="BIJ120" s="231"/>
      <c r="BIK120" s="231"/>
      <c r="BIL120" s="231"/>
      <c r="BIM120" s="231"/>
      <c r="BIN120" s="231"/>
      <c r="BIO120" s="231"/>
      <c r="BIP120" s="231"/>
      <c r="BIQ120" s="231"/>
      <c r="BIR120" s="231"/>
      <c r="BIS120" s="231"/>
      <c r="BIT120" s="231"/>
      <c r="BIU120" s="231"/>
      <c r="BIV120" s="231"/>
      <c r="BIW120" s="231"/>
      <c r="BIX120" s="231"/>
      <c r="BIY120" s="231"/>
      <c r="BIZ120" s="231"/>
      <c r="BJA120" s="231"/>
      <c r="BJB120" s="231"/>
      <c r="BJC120" s="231"/>
      <c r="BJD120" s="231"/>
      <c r="BJE120" s="231"/>
      <c r="BJF120" s="231"/>
      <c r="BJG120" s="231"/>
      <c r="BJH120" s="231"/>
      <c r="BJI120" s="231"/>
      <c r="BJJ120" s="231"/>
      <c r="BJK120" s="231"/>
      <c r="BJL120" s="231"/>
      <c r="BJM120" s="231"/>
      <c r="BJN120" s="231"/>
      <c r="BJO120" s="231"/>
      <c r="BJP120" s="231"/>
      <c r="BJQ120" s="231"/>
      <c r="BJR120" s="231"/>
      <c r="BJS120" s="231"/>
      <c r="BJT120" s="231"/>
      <c r="BJU120" s="231"/>
      <c r="BJV120" s="231"/>
      <c r="BJW120" s="231"/>
      <c r="BJX120" s="231"/>
      <c r="BJY120" s="231"/>
      <c r="BJZ120" s="231"/>
      <c r="BKA120" s="231"/>
      <c r="BKB120" s="231"/>
      <c r="BKC120" s="231"/>
      <c r="BKD120" s="231"/>
      <c r="BKE120" s="231"/>
      <c r="BKF120" s="231"/>
      <c r="BKG120" s="231"/>
      <c r="BKH120" s="231"/>
      <c r="BKI120" s="231"/>
      <c r="BKJ120" s="231"/>
      <c r="BKK120" s="231"/>
      <c r="BKL120" s="231"/>
      <c r="BKM120" s="231"/>
      <c r="BKN120" s="231"/>
      <c r="BKO120" s="231"/>
      <c r="BKP120" s="231"/>
      <c r="BKQ120" s="231"/>
      <c r="BKR120" s="231"/>
      <c r="BKS120" s="231"/>
      <c r="BKT120" s="231"/>
      <c r="BKU120" s="231"/>
      <c r="BKV120" s="231"/>
      <c r="BKW120" s="231"/>
      <c r="BKX120" s="231"/>
      <c r="BKY120" s="231"/>
      <c r="BKZ120" s="231"/>
      <c r="BLA120" s="231"/>
      <c r="BLB120" s="231"/>
      <c r="BLC120" s="231"/>
      <c r="BLD120" s="231"/>
      <c r="BLE120" s="231"/>
      <c r="BLF120" s="231"/>
      <c r="BLG120" s="231"/>
      <c r="BLH120" s="231"/>
      <c r="BLI120" s="231"/>
      <c r="BLJ120" s="231"/>
      <c r="BLK120" s="231"/>
      <c r="BLL120" s="231"/>
      <c r="BLM120" s="231"/>
      <c r="BLN120" s="231"/>
      <c r="BLO120" s="231"/>
      <c r="BLP120" s="231"/>
      <c r="BLQ120" s="231"/>
      <c r="BLR120" s="231"/>
      <c r="BLS120" s="231"/>
      <c r="BLT120" s="231"/>
      <c r="BLU120" s="231"/>
      <c r="BLV120" s="231"/>
      <c r="BLW120" s="231"/>
      <c r="BLX120" s="231"/>
      <c r="BLY120" s="231"/>
      <c r="BLZ120" s="231"/>
      <c r="BMA120" s="231"/>
      <c r="BMB120" s="231"/>
      <c r="BMC120" s="231"/>
      <c r="BMD120" s="231"/>
      <c r="BME120" s="231"/>
      <c r="BMF120" s="231"/>
      <c r="BMG120" s="231"/>
      <c r="BMH120" s="231"/>
      <c r="BMI120" s="231"/>
      <c r="BMJ120" s="231"/>
      <c r="BMK120" s="231"/>
      <c r="BML120" s="231"/>
      <c r="BMM120" s="231"/>
      <c r="BMN120" s="231"/>
      <c r="BMO120" s="231"/>
      <c r="BMP120" s="231"/>
      <c r="BMQ120" s="231"/>
      <c r="BMR120" s="231"/>
      <c r="BMS120" s="231"/>
      <c r="BMT120" s="231"/>
      <c r="BMU120" s="231"/>
      <c r="BMV120" s="231"/>
      <c r="BMW120" s="231"/>
      <c r="BMX120" s="231"/>
      <c r="BMY120" s="231"/>
      <c r="BMZ120" s="231"/>
      <c r="BNA120" s="231"/>
      <c r="BNB120" s="231"/>
      <c r="BNC120" s="231"/>
      <c r="BND120" s="231"/>
      <c r="BNE120" s="231"/>
      <c r="BNF120" s="231"/>
      <c r="BNG120" s="231"/>
      <c r="BNH120" s="231"/>
      <c r="BNI120" s="231"/>
      <c r="BNJ120" s="231"/>
      <c r="BNK120" s="231"/>
      <c r="BNL120" s="231"/>
      <c r="BNM120" s="231"/>
      <c r="BNN120" s="231"/>
      <c r="BNO120" s="231"/>
      <c r="BNP120" s="231"/>
      <c r="BNQ120" s="231"/>
      <c r="BNR120" s="231"/>
      <c r="BNS120" s="231"/>
      <c r="BNT120" s="231"/>
      <c r="BNU120" s="231"/>
      <c r="BNV120" s="231"/>
      <c r="BNW120" s="231"/>
      <c r="BNX120" s="231"/>
      <c r="BNY120" s="231"/>
      <c r="BNZ120" s="231"/>
      <c r="BOA120" s="231"/>
      <c r="BOB120" s="231"/>
      <c r="BOC120" s="231"/>
      <c r="BOD120" s="231"/>
      <c r="BOE120" s="231"/>
      <c r="BOF120" s="231"/>
      <c r="BOG120" s="231"/>
      <c r="BOH120" s="231"/>
      <c r="BOI120" s="231"/>
      <c r="BOJ120" s="231"/>
      <c r="BOK120" s="231"/>
      <c r="BOL120" s="231"/>
      <c r="BOM120" s="231"/>
      <c r="BON120" s="231"/>
      <c r="BOO120" s="231"/>
      <c r="BOP120" s="231"/>
      <c r="BOQ120" s="231"/>
      <c r="BOR120" s="231"/>
      <c r="BOS120" s="231"/>
      <c r="BOT120" s="231"/>
      <c r="BOU120" s="231"/>
      <c r="BOV120" s="231"/>
      <c r="BOW120" s="231"/>
      <c r="BOX120" s="231"/>
      <c r="BOY120" s="231"/>
      <c r="BOZ120" s="231"/>
      <c r="BPA120" s="231"/>
      <c r="BPB120" s="231"/>
      <c r="BPC120" s="231"/>
      <c r="BPD120" s="231"/>
      <c r="BPE120" s="231"/>
      <c r="BPF120" s="231"/>
      <c r="BPG120" s="231"/>
      <c r="BPH120" s="231"/>
      <c r="BPI120" s="231"/>
      <c r="BPJ120" s="231"/>
      <c r="BPK120" s="231"/>
      <c r="BPL120" s="231"/>
      <c r="BPM120" s="231"/>
      <c r="BPN120" s="231"/>
      <c r="BPO120" s="231"/>
      <c r="BPP120" s="231"/>
      <c r="BPQ120" s="231"/>
      <c r="BPR120" s="231"/>
      <c r="BPS120" s="231"/>
      <c r="BPT120" s="231"/>
      <c r="BPU120" s="231"/>
      <c r="BPV120" s="231"/>
      <c r="BPW120" s="231"/>
      <c r="BPX120" s="231"/>
      <c r="BPY120" s="231"/>
      <c r="BPZ120" s="231"/>
      <c r="BQA120" s="231"/>
      <c r="BQB120" s="231"/>
      <c r="BQC120" s="231"/>
      <c r="BQD120" s="231"/>
      <c r="BQE120" s="231"/>
      <c r="BQF120" s="231"/>
      <c r="BQG120" s="231"/>
      <c r="BQH120" s="231"/>
      <c r="BQI120" s="231"/>
      <c r="BQJ120" s="231"/>
      <c r="BQK120" s="231"/>
      <c r="BQL120" s="231"/>
      <c r="BQM120" s="231"/>
      <c r="BQN120" s="231"/>
      <c r="BQO120" s="231"/>
      <c r="BQP120" s="231"/>
      <c r="BQQ120" s="231"/>
      <c r="BQR120" s="231"/>
      <c r="BQS120" s="231"/>
      <c r="BQT120" s="231"/>
      <c r="BQU120" s="231"/>
      <c r="BQV120" s="231"/>
      <c r="BQW120" s="231"/>
      <c r="BQX120" s="231"/>
      <c r="BQY120" s="231"/>
      <c r="BQZ120" s="231"/>
      <c r="BRA120" s="231"/>
      <c r="BRB120" s="231"/>
      <c r="BRC120" s="231"/>
      <c r="BRD120" s="231"/>
      <c r="BRE120" s="231"/>
      <c r="BRF120" s="231"/>
      <c r="BRG120" s="231"/>
      <c r="BRH120" s="231"/>
      <c r="BRI120" s="231"/>
      <c r="BRJ120" s="231"/>
      <c r="BRK120" s="231"/>
      <c r="BRL120" s="231"/>
      <c r="BRM120" s="231"/>
      <c r="BRN120" s="231"/>
      <c r="BRO120" s="231"/>
      <c r="BRP120" s="231"/>
      <c r="BRQ120" s="231"/>
      <c r="BRR120" s="231"/>
      <c r="BRS120" s="231"/>
      <c r="BRT120" s="231"/>
      <c r="BRU120" s="231"/>
      <c r="BRV120" s="231"/>
      <c r="BRW120" s="231"/>
      <c r="BRX120" s="231"/>
      <c r="BRY120" s="231"/>
      <c r="BRZ120" s="231"/>
      <c r="BSA120" s="231"/>
      <c r="BSB120" s="231"/>
      <c r="BSC120" s="231"/>
      <c r="BSD120" s="231"/>
      <c r="BSE120" s="231"/>
      <c r="BSF120" s="231"/>
      <c r="BSG120" s="231"/>
      <c r="BSH120" s="231"/>
      <c r="BSI120" s="231"/>
      <c r="BSJ120" s="231"/>
      <c r="BSK120" s="231"/>
      <c r="BSL120" s="231"/>
      <c r="BSM120" s="231"/>
      <c r="BSN120" s="231"/>
      <c r="BSO120" s="231"/>
      <c r="BSP120" s="231"/>
      <c r="BSQ120" s="231"/>
      <c r="BSR120" s="231"/>
      <c r="BSS120" s="231"/>
      <c r="BST120" s="231"/>
      <c r="BSU120" s="231"/>
      <c r="BSV120" s="231"/>
      <c r="BSW120" s="231"/>
      <c r="BSX120" s="231"/>
      <c r="BSY120" s="231"/>
      <c r="BSZ120" s="231"/>
      <c r="BTA120" s="231"/>
      <c r="BTB120" s="231"/>
      <c r="BTC120" s="231"/>
      <c r="BTD120" s="231"/>
      <c r="BTE120" s="231"/>
      <c r="BTF120" s="231"/>
      <c r="BTG120" s="231"/>
      <c r="BTH120" s="231"/>
      <c r="BTI120" s="231"/>
      <c r="BTJ120" s="231"/>
      <c r="BTK120" s="231"/>
      <c r="BTL120" s="231"/>
      <c r="BTM120" s="231"/>
      <c r="BTN120" s="231"/>
      <c r="BTO120" s="231"/>
      <c r="BTP120" s="231"/>
      <c r="BTQ120" s="231"/>
      <c r="BTR120" s="231"/>
      <c r="BTS120" s="231"/>
      <c r="BTT120" s="231"/>
      <c r="BTU120" s="231"/>
      <c r="BTV120" s="231"/>
      <c r="BTW120" s="231"/>
      <c r="BTX120" s="231"/>
      <c r="BTY120" s="231"/>
      <c r="BTZ120" s="231"/>
      <c r="BUA120" s="231"/>
      <c r="BUB120" s="231"/>
      <c r="BUC120" s="231"/>
      <c r="BUD120" s="231"/>
      <c r="BUE120" s="231"/>
      <c r="BUF120" s="231"/>
      <c r="BUG120" s="231"/>
      <c r="BUH120" s="231"/>
      <c r="BUI120" s="231"/>
      <c r="BUJ120" s="231"/>
      <c r="BUK120" s="231"/>
      <c r="BUL120" s="231"/>
      <c r="BUM120" s="231"/>
      <c r="BUN120" s="231"/>
      <c r="BUO120" s="231"/>
      <c r="BUP120" s="231"/>
      <c r="BUQ120" s="231"/>
      <c r="BUR120" s="231"/>
      <c r="BUS120" s="231"/>
      <c r="BUT120" s="231"/>
      <c r="BUU120" s="231"/>
      <c r="BUV120" s="231"/>
      <c r="BUW120" s="231"/>
      <c r="BUX120" s="231"/>
      <c r="BUY120" s="231"/>
      <c r="BUZ120" s="231"/>
      <c r="BVA120" s="231"/>
      <c r="BVB120" s="231"/>
      <c r="BVC120" s="231"/>
      <c r="BVD120" s="231"/>
      <c r="BVE120" s="231"/>
      <c r="BVF120" s="231"/>
      <c r="BVG120" s="231"/>
      <c r="BVH120" s="231"/>
      <c r="BVI120" s="231"/>
      <c r="BVJ120" s="231"/>
      <c r="BVK120" s="231"/>
      <c r="BVL120" s="231"/>
      <c r="BVM120" s="231"/>
      <c r="BVN120" s="231"/>
      <c r="BVO120" s="231"/>
      <c r="BVP120" s="231"/>
      <c r="BVQ120" s="231"/>
      <c r="BVR120" s="231"/>
      <c r="BVS120" s="231"/>
      <c r="BVT120" s="231"/>
      <c r="BVU120" s="231"/>
      <c r="BVV120" s="231"/>
      <c r="BVW120" s="231"/>
      <c r="BVX120" s="231"/>
      <c r="BVY120" s="231"/>
      <c r="BVZ120" s="231"/>
      <c r="BWA120" s="231"/>
      <c r="BWB120" s="231"/>
      <c r="BWC120" s="231"/>
      <c r="BWD120" s="231"/>
      <c r="BWE120" s="231"/>
      <c r="BWF120" s="231"/>
      <c r="BWG120" s="231"/>
      <c r="BWH120" s="231"/>
      <c r="BWI120" s="231"/>
      <c r="BWJ120" s="231"/>
      <c r="BWK120" s="231"/>
      <c r="BWL120" s="231"/>
      <c r="BWM120" s="231"/>
      <c r="BWN120" s="231"/>
      <c r="BWO120" s="231"/>
      <c r="BWP120" s="231"/>
      <c r="BWQ120" s="231"/>
      <c r="BWR120" s="231"/>
      <c r="BWS120" s="231"/>
      <c r="BWT120" s="231"/>
      <c r="BWU120" s="231"/>
      <c r="BWV120" s="231"/>
      <c r="BWW120" s="231"/>
      <c r="BWX120" s="231"/>
      <c r="BWY120" s="231"/>
      <c r="BWZ120" s="231"/>
      <c r="BXA120" s="231"/>
      <c r="BXB120" s="231"/>
      <c r="BXC120" s="231"/>
      <c r="BXD120" s="231"/>
      <c r="BXE120" s="231"/>
      <c r="BXF120" s="231"/>
      <c r="BXG120" s="231"/>
      <c r="BXH120" s="231"/>
      <c r="BXI120" s="231"/>
      <c r="BXJ120" s="231"/>
      <c r="BXK120" s="231"/>
      <c r="BXL120" s="231"/>
      <c r="BXM120" s="231"/>
      <c r="BXN120" s="231"/>
      <c r="BXO120" s="231"/>
      <c r="BXP120" s="231"/>
      <c r="BXQ120" s="231"/>
      <c r="BXR120" s="231"/>
      <c r="BXS120" s="231"/>
      <c r="BXT120" s="231"/>
      <c r="BXU120" s="231"/>
      <c r="BXV120" s="231"/>
      <c r="BXW120" s="231"/>
      <c r="BXX120" s="231"/>
      <c r="BXY120" s="231"/>
      <c r="BXZ120" s="231"/>
      <c r="BYA120" s="231"/>
      <c r="BYB120" s="231"/>
      <c r="BYC120" s="231"/>
      <c r="BYD120" s="231"/>
      <c r="BYE120" s="231"/>
      <c r="BYF120" s="231"/>
      <c r="BYG120" s="231"/>
      <c r="BYH120" s="231"/>
      <c r="BYI120" s="231"/>
      <c r="BYJ120" s="231"/>
      <c r="BYK120" s="231"/>
      <c r="BYL120" s="231"/>
      <c r="BYM120" s="231"/>
      <c r="BYN120" s="231"/>
      <c r="BYO120" s="231"/>
      <c r="BYP120" s="231"/>
      <c r="BYQ120" s="231"/>
      <c r="BYR120" s="231"/>
      <c r="BYS120" s="231"/>
      <c r="BYT120" s="231"/>
      <c r="BYU120" s="231"/>
      <c r="BYV120" s="231"/>
      <c r="BYW120" s="231"/>
      <c r="BYX120" s="231"/>
      <c r="BYY120" s="231"/>
      <c r="BYZ120" s="231"/>
      <c r="BZA120" s="231"/>
      <c r="BZB120" s="231"/>
      <c r="BZC120" s="231"/>
      <c r="BZD120" s="231"/>
      <c r="BZE120" s="231"/>
      <c r="BZF120" s="231"/>
      <c r="BZG120" s="231"/>
      <c r="BZH120" s="231"/>
      <c r="BZI120" s="231"/>
      <c r="BZJ120" s="231"/>
      <c r="BZK120" s="231"/>
      <c r="BZL120" s="231"/>
      <c r="BZM120" s="231"/>
      <c r="BZN120" s="231"/>
      <c r="BZO120" s="231"/>
      <c r="BZP120" s="231"/>
      <c r="BZQ120" s="231"/>
      <c r="BZR120" s="231"/>
      <c r="BZS120" s="231"/>
      <c r="BZT120" s="231"/>
      <c r="BZU120" s="231"/>
      <c r="BZV120" s="231"/>
      <c r="BZW120" s="231"/>
      <c r="BZX120" s="231"/>
      <c r="BZY120" s="231"/>
      <c r="BZZ120" s="231"/>
      <c r="CAA120" s="231"/>
      <c r="CAB120" s="231"/>
      <c r="CAC120" s="231"/>
      <c r="CAD120" s="231"/>
      <c r="CAE120" s="231"/>
      <c r="CAF120" s="231"/>
      <c r="CAG120" s="231"/>
      <c r="CAH120" s="231"/>
      <c r="CAI120" s="231"/>
      <c r="CAJ120" s="231"/>
      <c r="CAK120" s="231"/>
      <c r="CAL120" s="231"/>
      <c r="CAM120" s="231"/>
      <c r="CAN120" s="231"/>
      <c r="CAO120" s="231"/>
      <c r="CAP120" s="231"/>
      <c r="CAQ120" s="231"/>
      <c r="CAR120" s="231"/>
      <c r="CAS120" s="231"/>
      <c r="CAT120" s="231"/>
      <c r="CAU120" s="231"/>
      <c r="CAV120" s="231"/>
      <c r="CAW120" s="231"/>
      <c r="CAX120" s="231"/>
      <c r="CAY120" s="231"/>
      <c r="CAZ120" s="231"/>
      <c r="CBA120" s="231"/>
      <c r="CBB120" s="231"/>
      <c r="CBC120" s="231"/>
      <c r="CBD120" s="231"/>
      <c r="CBE120" s="231"/>
      <c r="CBF120" s="231"/>
      <c r="CBG120" s="231"/>
      <c r="CBH120" s="231"/>
      <c r="CBI120" s="231"/>
      <c r="CBJ120" s="231"/>
      <c r="CBK120" s="231"/>
      <c r="CBL120" s="231"/>
      <c r="CBM120" s="231"/>
      <c r="CBN120" s="231"/>
      <c r="CBO120" s="231"/>
      <c r="CBP120" s="231"/>
      <c r="CBQ120" s="231"/>
      <c r="CBR120" s="231"/>
      <c r="CBS120" s="231"/>
      <c r="CBT120" s="231"/>
      <c r="CBU120" s="231"/>
      <c r="CBV120" s="231"/>
      <c r="CBW120" s="231"/>
      <c r="CBX120" s="231"/>
      <c r="CBY120" s="231"/>
      <c r="CBZ120" s="231"/>
      <c r="CCA120" s="231"/>
      <c r="CCB120" s="231"/>
      <c r="CCC120" s="231"/>
      <c r="CCD120" s="231"/>
      <c r="CCE120" s="231"/>
      <c r="CCF120" s="231"/>
      <c r="CCG120" s="231"/>
      <c r="CCH120" s="231"/>
      <c r="CCI120" s="231"/>
      <c r="CCJ120" s="231"/>
      <c r="CCK120" s="231"/>
      <c r="CCL120" s="231"/>
      <c r="CCM120" s="231"/>
      <c r="CCN120" s="231"/>
      <c r="CCO120" s="231"/>
      <c r="CCP120" s="231"/>
      <c r="CCQ120" s="231"/>
      <c r="CCR120" s="231"/>
      <c r="CCS120" s="231"/>
      <c r="CCT120" s="231"/>
      <c r="CCU120" s="231"/>
      <c r="CCV120" s="231"/>
      <c r="CCW120" s="231"/>
      <c r="CCX120" s="231"/>
      <c r="CCY120" s="231"/>
      <c r="CCZ120" s="231"/>
      <c r="CDA120" s="231"/>
      <c r="CDB120" s="231"/>
      <c r="CDC120" s="231"/>
      <c r="CDD120" s="231"/>
      <c r="CDE120" s="231"/>
      <c r="CDF120" s="231"/>
      <c r="CDG120" s="231"/>
      <c r="CDH120" s="231"/>
      <c r="CDI120" s="231"/>
      <c r="CDJ120" s="231"/>
      <c r="CDK120" s="231"/>
      <c r="CDL120" s="231"/>
      <c r="CDM120" s="231"/>
      <c r="CDN120" s="231"/>
      <c r="CDO120" s="231"/>
      <c r="CDP120" s="231"/>
      <c r="CDQ120" s="231"/>
      <c r="CDR120" s="231"/>
      <c r="CDS120" s="231"/>
      <c r="CDT120" s="231"/>
      <c r="CDU120" s="231"/>
      <c r="CDV120" s="231"/>
      <c r="CDW120" s="231"/>
      <c r="CDX120" s="231"/>
      <c r="CDY120" s="231"/>
      <c r="CDZ120" s="231"/>
      <c r="CEA120" s="231"/>
      <c r="CEB120" s="231"/>
      <c r="CEC120" s="231"/>
      <c r="CED120" s="231"/>
      <c r="CEE120" s="231"/>
      <c r="CEF120" s="231"/>
      <c r="CEG120" s="231"/>
      <c r="CEH120" s="231"/>
      <c r="CEI120" s="231"/>
      <c r="CEJ120" s="231"/>
      <c r="CEK120" s="231"/>
      <c r="CEL120" s="231"/>
      <c r="CEM120" s="231"/>
      <c r="CEN120" s="231"/>
      <c r="CEO120" s="231"/>
      <c r="CEP120" s="231"/>
      <c r="CEQ120" s="231"/>
      <c r="CER120" s="231"/>
      <c r="CES120" s="231"/>
      <c r="CET120" s="231"/>
      <c r="CEU120" s="231"/>
      <c r="CEV120" s="231"/>
      <c r="CEW120" s="231"/>
      <c r="CEX120" s="231"/>
      <c r="CEY120" s="231"/>
      <c r="CEZ120" s="231"/>
      <c r="CFA120" s="231"/>
      <c r="CFB120" s="231"/>
      <c r="CFC120" s="231"/>
      <c r="CFD120" s="231"/>
      <c r="CFE120" s="231"/>
      <c r="CFF120" s="231"/>
      <c r="CFG120" s="231"/>
      <c r="CFH120" s="231"/>
      <c r="CFI120" s="231"/>
      <c r="CFJ120" s="231"/>
      <c r="CFK120" s="231"/>
      <c r="CFL120" s="231"/>
      <c r="CFM120" s="231"/>
      <c r="CFN120" s="231"/>
      <c r="CFO120" s="231"/>
      <c r="CFP120" s="231"/>
      <c r="CFQ120" s="231"/>
      <c r="CFR120" s="231"/>
      <c r="CFS120" s="231"/>
      <c r="CFT120" s="231"/>
      <c r="CFU120" s="231"/>
      <c r="CFV120" s="231"/>
      <c r="CFW120" s="231"/>
      <c r="CFX120" s="231"/>
      <c r="CFY120" s="231"/>
      <c r="CFZ120" s="231"/>
      <c r="CGA120" s="231"/>
      <c r="CGB120" s="231"/>
      <c r="CGC120" s="231"/>
      <c r="CGD120" s="231"/>
      <c r="CGE120" s="231"/>
      <c r="CGF120" s="231"/>
      <c r="CGG120" s="231"/>
      <c r="CGH120" s="231"/>
      <c r="CGI120" s="231"/>
      <c r="CGJ120" s="231"/>
      <c r="CGK120" s="231"/>
      <c r="CGL120" s="231"/>
      <c r="CGM120" s="231"/>
      <c r="CGN120" s="231"/>
      <c r="CGO120" s="231"/>
      <c r="CGP120" s="231"/>
      <c r="CGQ120" s="231"/>
      <c r="CGR120" s="231"/>
      <c r="CGS120" s="231"/>
      <c r="CGT120" s="231"/>
      <c r="CGU120" s="231"/>
      <c r="CGV120" s="231"/>
      <c r="CGW120" s="231"/>
      <c r="CGX120" s="231"/>
      <c r="CGY120" s="231"/>
      <c r="CGZ120" s="231"/>
      <c r="CHA120" s="231"/>
      <c r="CHB120" s="231"/>
      <c r="CHC120" s="231"/>
      <c r="CHD120" s="231"/>
      <c r="CHE120" s="231"/>
      <c r="CHF120" s="231"/>
      <c r="CHG120" s="231"/>
      <c r="CHH120" s="231"/>
      <c r="CHI120" s="231"/>
      <c r="CHJ120" s="231"/>
      <c r="CHK120" s="231"/>
      <c r="CHL120" s="231"/>
      <c r="CHM120" s="231"/>
      <c r="CHN120" s="231"/>
      <c r="CHO120" s="231"/>
      <c r="CHP120" s="231"/>
      <c r="CHQ120" s="231"/>
      <c r="CHR120" s="231"/>
      <c r="CHS120" s="231"/>
      <c r="CHT120" s="231"/>
      <c r="CHU120" s="231"/>
      <c r="CHV120" s="231"/>
      <c r="CHW120" s="231"/>
      <c r="CHX120" s="231"/>
      <c r="CHY120" s="231"/>
      <c r="CHZ120" s="231"/>
      <c r="CIA120" s="231"/>
      <c r="CIB120" s="231"/>
      <c r="CIC120" s="231"/>
      <c r="CID120" s="231"/>
      <c r="CIE120" s="231"/>
      <c r="CIF120" s="231"/>
      <c r="CIG120" s="231"/>
      <c r="CIH120" s="231"/>
      <c r="CII120" s="231"/>
      <c r="CIJ120" s="231"/>
      <c r="CIK120" s="231"/>
      <c r="CIL120" s="231"/>
      <c r="CIM120" s="231"/>
      <c r="CIN120" s="231"/>
      <c r="CIO120" s="231"/>
      <c r="CIP120" s="231"/>
      <c r="CIQ120" s="231"/>
      <c r="CIR120" s="231"/>
      <c r="CIS120" s="231"/>
      <c r="CIT120" s="231"/>
      <c r="CIU120" s="231"/>
      <c r="CIV120" s="231"/>
      <c r="CIW120" s="231"/>
      <c r="CIX120" s="231"/>
      <c r="CIY120" s="231"/>
      <c r="CIZ120" s="231"/>
      <c r="CJA120" s="231"/>
      <c r="CJB120" s="231"/>
      <c r="CJC120" s="231"/>
      <c r="CJD120" s="231"/>
      <c r="CJE120" s="231"/>
      <c r="CJF120" s="231"/>
      <c r="CJG120" s="231"/>
      <c r="CJH120" s="231"/>
      <c r="CJI120" s="231"/>
      <c r="CJJ120" s="231"/>
      <c r="CJK120" s="231"/>
      <c r="CJL120" s="231"/>
      <c r="CJM120" s="231"/>
      <c r="CJN120" s="231"/>
      <c r="CJO120" s="231"/>
      <c r="CJP120" s="231"/>
      <c r="CJQ120" s="231"/>
      <c r="CJR120" s="231"/>
      <c r="CJS120" s="231"/>
      <c r="CJT120" s="231"/>
      <c r="CJU120" s="231"/>
      <c r="CJV120" s="231"/>
      <c r="CJW120" s="231"/>
      <c r="CJX120" s="231"/>
      <c r="CJY120" s="231"/>
      <c r="CJZ120" s="231"/>
      <c r="CKA120" s="231"/>
      <c r="CKB120" s="231"/>
      <c r="CKC120" s="231"/>
      <c r="CKD120" s="231"/>
      <c r="CKE120" s="231"/>
      <c r="CKF120" s="231"/>
      <c r="CKG120" s="231"/>
      <c r="CKH120" s="231"/>
      <c r="CKI120" s="231"/>
      <c r="CKJ120" s="231"/>
      <c r="CKK120" s="231"/>
      <c r="CKL120" s="231"/>
      <c r="CKM120" s="231"/>
      <c r="CKN120" s="231"/>
      <c r="CKO120" s="231"/>
      <c r="CKP120" s="231"/>
      <c r="CKQ120" s="231"/>
      <c r="CKR120" s="231"/>
      <c r="CKS120" s="231"/>
      <c r="CKT120" s="231"/>
      <c r="CKU120" s="231"/>
      <c r="CKV120" s="231"/>
      <c r="CKW120" s="231"/>
      <c r="CKX120" s="231"/>
      <c r="CKY120" s="231"/>
      <c r="CKZ120" s="231"/>
      <c r="CLA120" s="231"/>
      <c r="CLB120" s="231"/>
      <c r="CLC120" s="231"/>
      <c r="CLD120" s="231"/>
      <c r="CLE120" s="231"/>
      <c r="CLF120" s="231"/>
      <c r="CLG120" s="231"/>
      <c r="CLH120" s="231"/>
      <c r="CLI120" s="231"/>
      <c r="CLJ120" s="231"/>
      <c r="CLK120" s="231"/>
      <c r="CLL120" s="231"/>
      <c r="CLM120" s="231"/>
      <c r="CLN120" s="231"/>
      <c r="CLO120" s="231"/>
      <c r="CLP120" s="231"/>
      <c r="CLQ120" s="231"/>
      <c r="CLR120" s="231"/>
      <c r="CLS120" s="231"/>
      <c r="CLT120" s="231"/>
      <c r="CLU120" s="231"/>
      <c r="CLV120" s="231"/>
      <c r="CLW120" s="231"/>
      <c r="CLX120" s="231"/>
      <c r="CLY120" s="231"/>
      <c r="CLZ120" s="231"/>
      <c r="CMA120" s="231"/>
      <c r="CMB120" s="231"/>
      <c r="CMC120" s="231"/>
      <c r="CMD120" s="231"/>
      <c r="CME120" s="231"/>
      <c r="CMF120" s="231"/>
      <c r="CMG120" s="231"/>
      <c r="CMH120" s="231"/>
      <c r="CMI120" s="231"/>
      <c r="CMJ120" s="231"/>
      <c r="CMK120" s="231"/>
      <c r="CML120" s="231"/>
      <c r="CMM120" s="231"/>
      <c r="CMN120" s="231"/>
      <c r="CMO120" s="231"/>
      <c r="CMP120" s="231"/>
      <c r="CMQ120" s="231"/>
      <c r="CMR120" s="231"/>
      <c r="CMS120" s="231"/>
      <c r="CMT120" s="231"/>
      <c r="CMU120" s="231"/>
      <c r="CMV120" s="231"/>
      <c r="CMW120" s="231"/>
      <c r="CMX120" s="231"/>
      <c r="CMY120" s="231"/>
      <c r="CMZ120" s="231"/>
      <c r="CNA120" s="231"/>
      <c r="CNB120" s="231"/>
      <c r="CNC120" s="231"/>
      <c r="CND120" s="231"/>
      <c r="CNE120" s="231"/>
      <c r="CNF120" s="231"/>
      <c r="CNG120" s="231"/>
      <c r="CNH120" s="231"/>
      <c r="CNI120" s="231"/>
      <c r="CNJ120" s="231"/>
      <c r="CNK120" s="231"/>
      <c r="CNL120" s="231"/>
      <c r="CNM120" s="231"/>
      <c r="CNN120" s="231"/>
      <c r="CNO120" s="231"/>
      <c r="CNP120" s="231"/>
      <c r="CNQ120" s="231"/>
      <c r="CNR120" s="231"/>
      <c r="CNS120" s="231"/>
      <c r="CNT120" s="231"/>
      <c r="CNU120" s="231"/>
      <c r="CNV120" s="231"/>
      <c r="CNW120" s="231"/>
      <c r="CNX120" s="231"/>
      <c r="CNY120" s="231"/>
      <c r="CNZ120" s="231"/>
      <c r="COA120" s="231"/>
      <c r="COB120" s="231"/>
      <c r="COC120" s="231"/>
      <c r="COD120" s="231"/>
      <c r="COE120" s="231"/>
      <c r="COF120" s="231"/>
      <c r="COG120" s="231"/>
      <c r="COH120" s="231"/>
      <c r="COI120" s="231"/>
      <c r="COJ120" s="231"/>
      <c r="COK120" s="231"/>
      <c r="COL120" s="231"/>
      <c r="COM120" s="231"/>
      <c r="CON120" s="231"/>
      <c r="COO120" s="231"/>
      <c r="COP120" s="231"/>
      <c r="COQ120" s="231"/>
      <c r="COR120" s="231"/>
      <c r="COS120" s="231"/>
      <c r="COT120" s="231"/>
      <c r="COU120" s="231"/>
      <c r="COV120" s="231"/>
      <c r="COW120" s="231"/>
      <c r="COX120" s="231"/>
      <c r="COY120" s="231"/>
      <c r="COZ120" s="231"/>
      <c r="CPA120" s="231"/>
      <c r="CPB120" s="231"/>
      <c r="CPC120" s="231"/>
      <c r="CPD120" s="231"/>
      <c r="CPE120" s="231"/>
      <c r="CPF120" s="231"/>
      <c r="CPG120" s="231"/>
      <c r="CPH120" s="231"/>
      <c r="CPI120" s="231"/>
      <c r="CPJ120" s="231"/>
      <c r="CPK120" s="231"/>
      <c r="CPL120" s="231"/>
      <c r="CPM120" s="231"/>
      <c r="CPN120" s="231"/>
      <c r="CPO120" s="231"/>
      <c r="CPP120" s="231"/>
      <c r="CPQ120" s="231"/>
      <c r="CPR120" s="231"/>
      <c r="CPS120" s="231"/>
      <c r="CPT120" s="231"/>
      <c r="CPU120" s="231"/>
      <c r="CPV120" s="231"/>
      <c r="CPW120" s="231"/>
      <c r="CPX120" s="231"/>
      <c r="CPY120" s="231"/>
      <c r="CPZ120" s="231"/>
      <c r="CQA120" s="231"/>
      <c r="CQB120" s="231"/>
      <c r="CQC120" s="231"/>
      <c r="CQD120" s="231"/>
      <c r="CQE120" s="231"/>
      <c r="CQF120" s="231"/>
      <c r="CQG120" s="231"/>
      <c r="CQH120" s="231"/>
      <c r="CQI120" s="231"/>
      <c r="CQJ120" s="231"/>
      <c r="CQK120" s="231"/>
      <c r="CQL120" s="231"/>
      <c r="CQM120" s="231"/>
      <c r="CQN120" s="231"/>
      <c r="CQO120" s="231"/>
      <c r="CQP120" s="231"/>
      <c r="CQQ120" s="231"/>
      <c r="CQR120" s="231"/>
      <c r="CQS120" s="231"/>
      <c r="CQT120" s="231"/>
      <c r="CQU120" s="231"/>
      <c r="CQV120" s="231"/>
      <c r="CQW120" s="231"/>
      <c r="CQX120" s="231"/>
      <c r="CQY120" s="231"/>
      <c r="CQZ120" s="231"/>
      <c r="CRA120" s="231"/>
      <c r="CRB120" s="231"/>
      <c r="CRC120" s="231"/>
      <c r="CRD120" s="231"/>
      <c r="CRE120" s="231"/>
      <c r="CRF120" s="231"/>
      <c r="CRG120" s="231"/>
      <c r="CRH120" s="231"/>
      <c r="CRI120" s="231"/>
      <c r="CRJ120" s="231"/>
      <c r="CRK120" s="231"/>
      <c r="CRL120" s="231"/>
      <c r="CRM120" s="231"/>
      <c r="CRN120" s="231"/>
      <c r="CRO120" s="231"/>
      <c r="CRP120" s="231"/>
      <c r="CRQ120" s="231"/>
      <c r="CRR120" s="231"/>
      <c r="CRS120" s="231"/>
      <c r="CRT120" s="231"/>
      <c r="CRU120" s="231"/>
      <c r="CRV120" s="231"/>
      <c r="CRW120" s="231"/>
      <c r="CRX120" s="231"/>
      <c r="CRY120" s="231"/>
      <c r="CRZ120" s="231"/>
      <c r="CSA120" s="231"/>
      <c r="CSB120" s="231"/>
      <c r="CSC120" s="231"/>
      <c r="CSD120" s="231"/>
      <c r="CSE120" s="231"/>
      <c r="CSF120" s="231"/>
      <c r="CSG120" s="231"/>
      <c r="CSH120" s="231"/>
      <c r="CSI120" s="231"/>
      <c r="CSJ120" s="231"/>
      <c r="CSK120" s="231"/>
      <c r="CSL120" s="231"/>
      <c r="CSM120" s="231"/>
      <c r="CSN120" s="231"/>
      <c r="CSO120" s="231"/>
      <c r="CSP120" s="231"/>
      <c r="CSQ120" s="231"/>
      <c r="CSR120" s="231"/>
      <c r="CSS120" s="231"/>
      <c r="CST120" s="231"/>
      <c r="CSU120" s="231"/>
      <c r="CSV120" s="231"/>
      <c r="CSW120" s="231"/>
      <c r="CSX120" s="231"/>
      <c r="CSY120" s="231"/>
      <c r="CSZ120" s="231"/>
      <c r="CTA120" s="231"/>
      <c r="CTB120" s="231"/>
      <c r="CTC120" s="231"/>
      <c r="CTD120" s="231"/>
      <c r="CTE120" s="231"/>
      <c r="CTF120" s="231"/>
      <c r="CTG120" s="231"/>
      <c r="CTH120" s="231"/>
      <c r="CTI120" s="231"/>
      <c r="CTJ120" s="231"/>
      <c r="CTK120" s="231"/>
      <c r="CTL120" s="231"/>
      <c r="CTM120" s="231"/>
      <c r="CTN120" s="231"/>
      <c r="CTO120" s="231"/>
      <c r="CTP120" s="231"/>
      <c r="CTQ120" s="231"/>
      <c r="CTR120" s="231"/>
      <c r="CTS120" s="231"/>
      <c r="CTT120" s="231"/>
      <c r="CTU120" s="231"/>
      <c r="CTV120" s="231"/>
      <c r="CTW120" s="231"/>
      <c r="CTX120" s="231"/>
      <c r="CTY120" s="231"/>
      <c r="CTZ120" s="231"/>
      <c r="CUA120" s="231"/>
      <c r="CUB120" s="231"/>
      <c r="CUC120" s="231"/>
      <c r="CUD120" s="231"/>
      <c r="CUE120" s="231"/>
      <c r="CUF120" s="231"/>
      <c r="CUG120" s="231"/>
      <c r="CUH120" s="231"/>
      <c r="CUI120" s="231"/>
      <c r="CUJ120" s="231"/>
      <c r="CUK120" s="231"/>
      <c r="CUL120" s="231"/>
      <c r="CUM120" s="231"/>
      <c r="CUN120" s="231"/>
      <c r="CUO120" s="231"/>
      <c r="CUP120" s="231"/>
      <c r="CUQ120" s="231"/>
      <c r="CUR120" s="231"/>
      <c r="CUS120" s="231"/>
      <c r="CUT120" s="231"/>
      <c r="CUU120" s="231"/>
      <c r="CUV120" s="231"/>
      <c r="CUW120" s="231"/>
      <c r="CUX120" s="231"/>
      <c r="CUY120" s="231"/>
      <c r="CUZ120" s="231"/>
      <c r="CVA120" s="231"/>
      <c r="CVB120" s="231"/>
      <c r="CVC120" s="231"/>
      <c r="CVD120" s="231"/>
      <c r="CVE120" s="231"/>
      <c r="CVF120" s="231"/>
      <c r="CVG120" s="231"/>
      <c r="CVH120" s="231"/>
      <c r="CVI120" s="231"/>
      <c r="CVJ120" s="231"/>
      <c r="CVK120" s="231"/>
      <c r="CVL120" s="231"/>
      <c r="CVM120" s="231"/>
      <c r="CVN120" s="231"/>
      <c r="CVO120" s="231"/>
      <c r="CVP120" s="231"/>
      <c r="CVQ120" s="231"/>
      <c r="CVR120" s="231"/>
      <c r="CVS120" s="231"/>
      <c r="CVT120" s="231"/>
      <c r="CVU120" s="231"/>
      <c r="CVV120" s="231"/>
      <c r="CVW120" s="231"/>
      <c r="CVX120" s="231"/>
      <c r="CVY120" s="231"/>
      <c r="CVZ120" s="231"/>
      <c r="CWA120" s="231"/>
      <c r="CWB120" s="231"/>
      <c r="CWC120" s="231"/>
      <c r="CWD120" s="231"/>
      <c r="CWE120" s="231"/>
      <c r="CWF120" s="231"/>
      <c r="CWG120" s="231"/>
      <c r="CWH120" s="231"/>
      <c r="CWI120" s="231"/>
      <c r="CWJ120" s="231"/>
      <c r="CWK120" s="231"/>
      <c r="CWL120" s="231"/>
      <c r="CWM120" s="231"/>
      <c r="CWN120" s="231"/>
      <c r="CWO120" s="231"/>
      <c r="CWP120" s="231"/>
      <c r="CWQ120" s="231"/>
      <c r="CWR120" s="231"/>
      <c r="CWS120" s="231"/>
      <c r="CWT120" s="231"/>
      <c r="CWU120" s="231"/>
      <c r="CWV120" s="231"/>
      <c r="CWW120" s="231"/>
      <c r="CWX120" s="231"/>
      <c r="CWY120" s="231"/>
      <c r="CWZ120" s="231"/>
      <c r="CXA120" s="231"/>
      <c r="CXB120" s="231"/>
      <c r="CXC120" s="231"/>
      <c r="CXD120" s="231"/>
      <c r="CXE120" s="231"/>
      <c r="CXF120" s="231"/>
      <c r="CXG120" s="231"/>
      <c r="CXH120" s="231"/>
      <c r="CXI120" s="231"/>
      <c r="CXJ120" s="231"/>
      <c r="CXK120" s="231"/>
      <c r="CXL120" s="231"/>
      <c r="CXM120" s="231"/>
      <c r="CXN120" s="231"/>
      <c r="CXO120" s="231"/>
      <c r="CXP120" s="231"/>
      <c r="CXQ120" s="231"/>
      <c r="CXR120" s="231"/>
      <c r="CXS120" s="231"/>
      <c r="CXT120" s="231"/>
      <c r="CXU120" s="231"/>
      <c r="CXV120" s="231"/>
      <c r="CXW120" s="231"/>
      <c r="CXX120" s="231"/>
      <c r="CXY120" s="231"/>
      <c r="CXZ120" s="231"/>
      <c r="CYA120" s="231"/>
      <c r="CYB120" s="231"/>
      <c r="CYC120" s="231"/>
      <c r="CYD120" s="231"/>
      <c r="CYE120" s="231"/>
      <c r="CYF120" s="231"/>
      <c r="CYG120" s="231"/>
      <c r="CYH120" s="231"/>
      <c r="CYI120" s="231"/>
      <c r="CYJ120" s="231"/>
      <c r="CYK120" s="231"/>
      <c r="CYL120" s="231"/>
      <c r="CYM120" s="231"/>
      <c r="CYN120" s="231"/>
      <c r="CYO120" s="231"/>
      <c r="CYP120" s="231"/>
      <c r="CYQ120" s="231"/>
      <c r="CYR120" s="231"/>
      <c r="CYS120" s="231"/>
      <c r="CYT120" s="231"/>
      <c r="CYU120" s="231"/>
      <c r="CYV120" s="231"/>
      <c r="CYW120" s="231"/>
      <c r="CYX120" s="231"/>
      <c r="CYY120" s="231"/>
      <c r="CYZ120" s="231"/>
      <c r="CZA120" s="231"/>
      <c r="CZB120" s="231"/>
      <c r="CZC120" s="231"/>
      <c r="CZD120" s="231"/>
      <c r="CZE120" s="231"/>
      <c r="CZF120" s="231"/>
      <c r="CZG120" s="231"/>
      <c r="CZH120" s="231"/>
      <c r="CZI120" s="231"/>
      <c r="CZJ120" s="231"/>
      <c r="CZK120" s="231"/>
      <c r="CZL120" s="231"/>
      <c r="CZM120" s="231"/>
      <c r="CZN120" s="231"/>
      <c r="CZO120" s="231"/>
      <c r="CZP120" s="231"/>
      <c r="CZQ120" s="231"/>
      <c r="CZR120" s="231"/>
      <c r="CZS120" s="231"/>
      <c r="CZT120" s="231"/>
      <c r="CZU120" s="231"/>
      <c r="CZV120" s="231"/>
      <c r="CZW120" s="231"/>
      <c r="CZX120" s="231"/>
      <c r="CZY120" s="231"/>
      <c r="CZZ120" s="231"/>
      <c r="DAA120" s="231"/>
      <c r="DAB120" s="231"/>
      <c r="DAC120" s="231"/>
      <c r="DAD120" s="231"/>
      <c r="DAE120" s="231"/>
      <c r="DAF120" s="231"/>
      <c r="DAG120" s="231"/>
      <c r="DAH120" s="231"/>
      <c r="DAI120" s="231"/>
      <c r="DAJ120" s="231"/>
      <c r="DAK120" s="231"/>
      <c r="DAL120" s="231"/>
      <c r="DAM120" s="231"/>
      <c r="DAN120" s="231"/>
      <c r="DAO120" s="231"/>
      <c r="DAP120" s="231"/>
      <c r="DAQ120" s="231"/>
      <c r="DAR120" s="231"/>
      <c r="DAS120" s="231"/>
      <c r="DAT120" s="231"/>
      <c r="DAU120" s="231"/>
      <c r="DAV120" s="231"/>
      <c r="DAW120" s="231"/>
      <c r="DAX120" s="231"/>
      <c r="DAY120" s="231"/>
      <c r="DAZ120" s="231"/>
      <c r="DBA120" s="231"/>
      <c r="DBB120" s="231"/>
      <c r="DBC120" s="231"/>
      <c r="DBD120" s="231"/>
      <c r="DBE120" s="231"/>
      <c r="DBF120" s="231"/>
      <c r="DBG120" s="231"/>
      <c r="DBH120" s="231"/>
      <c r="DBI120" s="231"/>
      <c r="DBJ120" s="231"/>
      <c r="DBK120" s="231"/>
      <c r="DBL120" s="231"/>
      <c r="DBM120" s="231"/>
      <c r="DBN120" s="231"/>
      <c r="DBO120" s="231"/>
      <c r="DBP120" s="231"/>
      <c r="DBQ120" s="231"/>
      <c r="DBR120" s="231"/>
      <c r="DBS120" s="231"/>
      <c r="DBT120" s="231"/>
      <c r="DBU120" s="231"/>
      <c r="DBV120" s="231"/>
      <c r="DBW120" s="231"/>
      <c r="DBX120" s="231"/>
      <c r="DBY120" s="231"/>
      <c r="DBZ120" s="231"/>
      <c r="DCA120" s="231"/>
      <c r="DCB120" s="231"/>
      <c r="DCC120" s="231"/>
      <c r="DCD120" s="231"/>
      <c r="DCE120" s="231"/>
      <c r="DCF120" s="231"/>
      <c r="DCG120" s="231"/>
      <c r="DCH120" s="231"/>
      <c r="DCI120" s="231"/>
      <c r="DCJ120" s="231"/>
      <c r="DCK120" s="231"/>
      <c r="DCL120" s="231"/>
      <c r="DCM120" s="231"/>
      <c r="DCN120" s="231"/>
      <c r="DCO120" s="231"/>
      <c r="DCP120" s="231"/>
      <c r="DCQ120" s="231"/>
      <c r="DCR120" s="231"/>
      <c r="DCS120" s="231"/>
      <c r="DCT120" s="231"/>
      <c r="DCU120" s="231"/>
      <c r="DCV120" s="231"/>
      <c r="DCW120" s="231"/>
      <c r="DCX120" s="231"/>
      <c r="DCY120" s="231"/>
      <c r="DCZ120" s="231"/>
      <c r="DDA120" s="231"/>
      <c r="DDB120" s="231"/>
      <c r="DDC120" s="231"/>
      <c r="DDD120" s="231"/>
      <c r="DDE120" s="231"/>
      <c r="DDF120" s="231"/>
      <c r="DDG120" s="231"/>
      <c r="DDH120" s="231"/>
      <c r="DDI120" s="231"/>
      <c r="DDJ120" s="231"/>
      <c r="DDK120" s="231"/>
      <c r="DDL120" s="231"/>
      <c r="DDM120" s="231"/>
      <c r="DDN120" s="231"/>
      <c r="DDO120" s="231"/>
      <c r="DDP120" s="231"/>
      <c r="DDQ120" s="231"/>
      <c r="DDR120" s="231"/>
      <c r="DDS120" s="231"/>
      <c r="DDT120" s="231"/>
      <c r="DDU120" s="231"/>
      <c r="DDV120" s="231"/>
      <c r="DDW120" s="231"/>
      <c r="DDX120" s="231"/>
      <c r="DDY120" s="231"/>
      <c r="DDZ120" s="231"/>
      <c r="DEA120" s="231"/>
      <c r="DEB120" s="231"/>
      <c r="DEC120" s="231"/>
      <c r="DED120" s="231"/>
      <c r="DEE120" s="231"/>
      <c r="DEF120" s="231"/>
      <c r="DEG120" s="231"/>
      <c r="DEH120" s="231"/>
      <c r="DEI120" s="231"/>
      <c r="DEJ120" s="231"/>
      <c r="DEK120" s="231"/>
      <c r="DEL120" s="231"/>
      <c r="DEM120" s="231"/>
      <c r="DEN120" s="231"/>
      <c r="DEO120" s="231"/>
      <c r="DEP120" s="231"/>
      <c r="DEQ120" s="231"/>
      <c r="DER120" s="231"/>
      <c r="DES120" s="231"/>
      <c r="DET120" s="231"/>
      <c r="DEU120" s="231"/>
      <c r="DEV120" s="231"/>
      <c r="DEW120" s="231"/>
      <c r="DEX120" s="231"/>
      <c r="DEY120" s="231"/>
      <c r="DEZ120" s="231"/>
      <c r="DFA120" s="231"/>
      <c r="DFB120" s="231"/>
      <c r="DFC120" s="231"/>
      <c r="DFD120" s="231"/>
      <c r="DFE120" s="231"/>
      <c r="DFF120" s="231"/>
      <c r="DFG120" s="231"/>
      <c r="DFH120" s="231"/>
      <c r="DFI120" s="231"/>
      <c r="DFJ120" s="231"/>
      <c r="DFK120" s="231"/>
      <c r="DFL120" s="231"/>
      <c r="DFM120" s="231"/>
      <c r="DFN120" s="231"/>
      <c r="DFO120" s="231"/>
      <c r="DFP120" s="231"/>
      <c r="DFQ120" s="231"/>
      <c r="DFR120" s="231"/>
      <c r="DFS120" s="231"/>
      <c r="DFT120" s="231"/>
      <c r="DFU120" s="231"/>
      <c r="DFV120" s="231"/>
      <c r="DFW120" s="231"/>
      <c r="DFX120" s="231"/>
      <c r="DFY120" s="231"/>
      <c r="DFZ120" s="231"/>
      <c r="DGA120" s="231"/>
      <c r="DGB120" s="231"/>
      <c r="DGC120" s="231"/>
      <c r="DGD120" s="231"/>
      <c r="DGE120" s="231"/>
      <c r="DGF120" s="231"/>
      <c r="DGG120" s="231"/>
      <c r="DGH120" s="231"/>
      <c r="DGI120" s="231"/>
      <c r="DGJ120" s="231"/>
      <c r="DGK120" s="231"/>
      <c r="DGL120" s="231"/>
      <c r="DGM120" s="231"/>
      <c r="DGN120" s="231"/>
      <c r="DGO120" s="231"/>
      <c r="DGP120" s="231"/>
      <c r="DGQ120" s="231"/>
      <c r="DGR120" s="231"/>
      <c r="DGS120" s="231"/>
      <c r="DGT120" s="231"/>
      <c r="DGU120" s="231"/>
      <c r="DGV120" s="231"/>
      <c r="DGW120" s="231"/>
      <c r="DGX120" s="231"/>
      <c r="DGY120" s="231"/>
      <c r="DGZ120" s="231"/>
      <c r="DHA120" s="231"/>
      <c r="DHB120" s="231"/>
      <c r="DHC120" s="231"/>
      <c r="DHD120" s="231"/>
      <c r="DHE120" s="231"/>
      <c r="DHF120" s="231"/>
      <c r="DHG120" s="231"/>
      <c r="DHH120" s="231"/>
      <c r="DHI120" s="231"/>
      <c r="DHJ120" s="231"/>
      <c r="DHK120" s="231"/>
      <c r="DHL120" s="231"/>
      <c r="DHM120" s="231"/>
      <c r="DHN120" s="231"/>
      <c r="DHO120" s="231"/>
      <c r="DHP120" s="231"/>
      <c r="DHQ120" s="231"/>
      <c r="DHR120" s="231"/>
      <c r="DHS120" s="231"/>
      <c r="DHT120" s="231"/>
      <c r="DHU120" s="231"/>
      <c r="DHV120" s="231"/>
      <c r="DHW120" s="231"/>
      <c r="DHX120" s="231"/>
      <c r="DHY120" s="231"/>
      <c r="DHZ120" s="231"/>
      <c r="DIA120" s="231"/>
      <c r="DIB120" s="231"/>
      <c r="DIC120" s="231"/>
      <c r="DID120" s="231"/>
      <c r="DIE120" s="231"/>
      <c r="DIF120" s="231"/>
      <c r="DIG120" s="231"/>
      <c r="DIH120" s="231"/>
      <c r="DII120" s="231"/>
      <c r="DIJ120" s="231"/>
      <c r="DIK120" s="231"/>
      <c r="DIL120" s="231"/>
      <c r="DIM120" s="231"/>
      <c r="DIN120" s="231"/>
      <c r="DIO120" s="231"/>
      <c r="DIP120" s="231"/>
      <c r="DIQ120" s="231"/>
      <c r="DIR120" s="231"/>
      <c r="DIS120" s="231"/>
      <c r="DIT120" s="231"/>
      <c r="DIU120" s="231"/>
      <c r="DIV120" s="231"/>
      <c r="DIW120" s="231"/>
      <c r="DIX120" s="231"/>
      <c r="DIY120" s="231"/>
      <c r="DIZ120" s="231"/>
      <c r="DJA120" s="231"/>
      <c r="DJB120" s="231"/>
      <c r="DJC120" s="231"/>
      <c r="DJD120" s="231"/>
      <c r="DJE120" s="231"/>
      <c r="DJF120" s="231"/>
      <c r="DJG120" s="231"/>
      <c r="DJH120" s="231"/>
      <c r="DJI120" s="231"/>
      <c r="DJJ120" s="231"/>
      <c r="DJK120" s="231"/>
      <c r="DJL120" s="231"/>
      <c r="DJM120" s="231"/>
      <c r="DJN120" s="231"/>
      <c r="DJO120" s="231"/>
      <c r="DJP120" s="231"/>
      <c r="DJQ120" s="231"/>
      <c r="DJR120" s="231"/>
      <c r="DJS120" s="231"/>
      <c r="DJT120" s="231"/>
      <c r="DJU120" s="231"/>
      <c r="DJV120" s="231"/>
      <c r="DJW120" s="231"/>
      <c r="DJX120" s="231"/>
      <c r="DJY120" s="231"/>
      <c r="DJZ120" s="231"/>
      <c r="DKA120" s="231"/>
      <c r="DKB120" s="231"/>
      <c r="DKC120" s="231"/>
      <c r="DKD120" s="231"/>
      <c r="DKE120" s="231"/>
      <c r="DKF120" s="231"/>
      <c r="DKG120" s="231"/>
      <c r="DKH120" s="231"/>
      <c r="DKI120" s="231"/>
      <c r="DKJ120" s="231"/>
      <c r="DKK120" s="231"/>
      <c r="DKL120" s="231"/>
      <c r="DKM120" s="231"/>
      <c r="DKN120" s="231"/>
      <c r="DKO120" s="231"/>
      <c r="DKP120" s="231"/>
      <c r="DKQ120" s="231"/>
      <c r="DKR120" s="231"/>
      <c r="DKS120" s="231"/>
      <c r="DKT120" s="231"/>
      <c r="DKU120" s="231"/>
      <c r="DKV120" s="231"/>
      <c r="DKW120" s="231"/>
      <c r="DKX120" s="231"/>
      <c r="DKY120" s="231"/>
      <c r="DKZ120" s="231"/>
      <c r="DLA120" s="231"/>
      <c r="DLB120" s="231"/>
      <c r="DLC120" s="231"/>
      <c r="DLD120" s="231"/>
      <c r="DLE120" s="231"/>
      <c r="DLF120" s="231"/>
      <c r="DLG120" s="231"/>
      <c r="DLH120" s="231"/>
      <c r="DLI120" s="231"/>
      <c r="DLJ120" s="231"/>
      <c r="DLK120" s="231"/>
      <c r="DLL120" s="231"/>
      <c r="DLM120" s="231"/>
      <c r="DLN120" s="231"/>
      <c r="DLO120" s="231"/>
      <c r="DLP120" s="231"/>
      <c r="DLQ120" s="231"/>
      <c r="DLR120" s="231"/>
      <c r="DLS120" s="231"/>
      <c r="DLT120" s="231"/>
      <c r="DLU120" s="231"/>
      <c r="DLV120" s="231"/>
      <c r="DLW120" s="231"/>
      <c r="DLX120" s="231"/>
      <c r="DLY120" s="231"/>
      <c r="DLZ120" s="231"/>
      <c r="DMA120" s="231"/>
      <c r="DMB120" s="231"/>
      <c r="DMC120" s="231"/>
      <c r="DMD120" s="231"/>
      <c r="DME120" s="231"/>
      <c r="DMF120" s="231"/>
      <c r="DMG120" s="231"/>
      <c r="DMH120" s="231"/>
      <c r="DMI120" s="231"/>
      <c r="DMJ120" s="231"/>
      <c r="DMK120" s="231"/>
      <c r="DML120" s="231"/>
      <c r="DMM120" s="231"/>
      <c r="DMN120" s="231"/>
      <c r="DMO120" s="231"/>
      <c r="DMP120" s="231"/>
      <c r="DMQ120" s="231"/>
      <c r="DMR120" s="231"/>
      <c r="DMS120" s="231"/>
      <c r="DMT120" s="231"/>
      <c r="DMU120" s="231"/>
      <c r="DMV120" s="231"/>
      <c r="DMW120" s="231"/>
      <c r="DMX120" s="231"/>
      <c r="DMY120" s="231"/>
      <c r="DMZ120" s="231"/>
      <c r="DNA120" s="231"/>
      <c r="DNB120" s="231"/>
      <c r="DNC120" s="231"/>
      <c r="DND120" s="231"/>
      <c r="DNE120" s="231"/>
      <c r="DNF120" s="231"/>
      <c r="DNG120" s="231"/>
      <c r="DNH120" s="231"/>
      <c r="DNI120" s="231"/>
      <c r="DNJ120" s="231"/>
      <c r="DNK120" s="231"/>
      <c r="DNL120" s="231"/>
      <c r="DNM120" s="231"/>
      <c r="DNN120" s="231"/>
      <c r="DNO120" s="231"/>
      <c r="DNP120" s="231"/>
      <c r="DNQ120" s="231"/>
      <c r="DNR120" s="231"/>
      <c r="DNS120" s="231"/>
      <c r="DNT120" s="231"/>
      <c r="DNU120" s="231"/>
      <c r="DNV120" s="231"/>
      <c r="DNW120" s="231"/>
      <c r="DNX120" s="231"/>
      <c r="DNY120" s="231"/>
      <c r="DNZ120" s="231"/>
      <c r="DOA120" s="231"/>
      <c r="DOB120" s="231"/>
      <c r="DOC120" s="231"/>
      <c r="DOD120" s="231"/>
      <c r="DOE120" s="231"/>
      <c r="DOF120" s="231"/>
      <c r="DOG120" s="231"/>
      <c r="DOH120" s="231"/>
      <c r="DOI120" s="231"/>
      <c r="DOJ120" s="231"/>
      <c r="DOK120" s="231"/>
      <c r="DOL120" s="231"/>
      <c r="DOM120" s="231"/>
      <c r="DON120" s="231"/>
      <c r="DOO120" s="231"/>
      <c r="DOP120" s="231"/>
      <c r="DOQ120" s="231"/>
      <c r="DOR120" s="231"/>
      <c r="DOS120" s="231"/>
      <c r="DOT120" s="231"/>
      <c r="DOU120" s="231"/>
      <c r="DOV120" s="231"/>
      <c r="DOW120" s="231"/>
      <c r="DOX120" s="231"/>
      <c r="DOY120" s="231"/>
      <c r="DOZ120" s="231"/>
      <c r="DPA120" s="231"/>
      <c r="DPB120" s="231"/>
      <c r="DPC120" s="231"/>
      <c r="DPD120" s="231"/>
      <c r="DPE120" s="231"/>
      <c r="DPF120" s="231"/>
      <c r="DPG120" s="231"/>
      <c r="DPH120" s="231"/>
      <c r="DPI120" s="231"/>
      <c r="DPJ120" s="231"/>
      <c r="DPK120" s="231"/>
      <c r="DPL120" s="231"/>
      <c r="DPM120" s="231"/>
      <c r="DPN120" s="231"/>
      <c r="DPO120" s="231"/>
      <c r="DPP120" s="231"/>
      <c r="DPQ120" s="231"/>
      <c r="DPR120" s="231"/>
      <c r="DPS120" s="231"/>
      <c r="DPT120" s="231"/>
      <c r="DPU120" s="231"/>
      <c r="DPV120" s="231"/>
      <c r="DPW120" s="231"/>
      <c r="DPX120" s="231"/>
      <c r="DPY120" s="231"/>
      <c r="DPZ120" s="231"/>
      <c r="DQA120" s="231"/>
      <c r="DQB120" s="231"/>
      <c r="DQC120" s="231"/>
      <c r="DQD120" s="231"/>
      <c r="DQE120" s="231"/>
      <c r="DQF120" s="231"/>
      <c r="DQG120" s="231"/>
      <c r="DQH120" s="231"/>
      <c r="DQI120" s="231"/>
      <c r="DQJ120" s="231"/>
      <c r="DQK120" s="231"/>
      <c r="DQL120" s="231"/>
      <c r="DQM120" s="231"/>
      <c r="DQN120" s="231"/>
      <c r="DQO120" s="231"/>
      <c r="DQP120" s="231"/>
      <c r="DQQ120" s="231"/>
      <c r="DQR120" s="231"/>
      <c r="DQS120" s="231"/>
      <c r="DQT120" s="231"/>
      <c r="DQU120" s="231"/>
      <c r="DQV120" s="231"/>
      <c r="DQW120" s="231"/>
      <c r="DQX120" s="231"/>
      <c r="DQY120" s="231"/>
      <c r="DQZ120" s="231"/>
      <c r="DRA120" s="231"/>
      <c r="DRB120" s="231"/>
      <c r="DRC120" s="231"/>
      <c r="DRD120" s="231"/>
      <c r="DRE120" s="231"/>
      <c r="DRF120" s="231"/>
      <c r="DRG120" s="231"/>
      <c r="DRH120" s="231"/>
      <c r="DRI120" s="231"/>
      <c r="DRJ120" s="231"/>
      <c r="DRK120" s="231"/>
      <c r="DRL120" s="231"/>
      <c r="DRM120" s="231"/>
      <c r="DRN120" s="231"/>
      <c r="DRO120" s="231"/>
      <c r="DRP120" s="231"/>
      <c r="DRQ120" s="231"/>
      <c r="DRR120" s="231"/>
      <c r="DRS120" s="231"/>
      <c r="DRT120" s="231"/>
      <c r="DRU120" s="231"/>
      <c r="DRV120" s="231"/>
      <c r="DRW120" s="231"/>
      <c r="DRX120" s="231"/>
      <c r="DRY120" s="231"/>
      <c r="DRZ120" s="231"/>
      <c r="DSA120" s="231"/>
      <c r="DSB120" s="231"/>
      <c r="DSC120" s="231"/>
      <c r="DSD120" s="231"/>
      <c r="DSE120" s="231"/>
      <c r="DSF120" s="231"/>
      <c r="DSG120" s="231"/>
      <c r="DSH120" s="231"/>
      <c r="DSI120" s="231"/>
      <c r="DSJ120" s="231"/>
      <c r="DSK120" s="231"/>
      <c r="DSL120" s="231"/>
      <c r="DSM120" s="231"/>
      <c r="DSN120" s="231"/>
      <c r="DSO120" s="231"/>
      <c r="DSP120" s="231"/>
      <c r="DSQ120" s="231"/>
      <c r="DSR120" s="231"/>
      <c r="DSS120" s="231"/>
      <c r="DST120" s="231"/>
      <c r="DSU120" s="231"/>
      <c r="DSV120" s="231"/>
      <c r="DSW120" s="231"/>
      <c r="DSX120" s="231"/>
      <c r="DSY120" s="231"/>
      <c r="DSZ120" s="231"/>
      <c r="DTA120" s="231"/>
      <c r="DTB120" s="231"/>
      <c r="DTC120" s="231"/>
      <c r="DTD120" s="231"/>
      <c r="DTE120" s="231"/>
      <c r="DTF120" s="231"/>
      <c r="DTG120" s="231"/>
      <c r="DTH120" s="231"/>
      <c r="DTI120" s="231"/>
      <c r="DTJ120" s="231"/>
      <c r="DTK120" s="231"/>
      <c r="DTL120" s="231"/>
      <c r="DTM120" s="231"/>
      <c r="DTN120" s="231"/>
      <c r="DTO120" s="231"/>
      <c r="DTP120" s="231"/>
      <c r="DTQ120" s="231"/>
      <c r="DTR120" s="231"/>
      <c r="DTS120" s="231"/>
      <c r="DTT120" s="231"/>
      <c r="DTU120" s="231"/>
      <c r="DTV120" s="231"/>
      <c r="DTW120" s="231"/>
      <c r="DTX120" s="231"/>
      <c r="DTY120" s="231"/>
      <c r="DTZ120" s="231"/>
      <c r="DUA120" s="231"/>
      <c r="DUB120" s="231"/>
      <c r="DUC120" s="231"/>
      <c r="DUD120" s="231"/>
      <c r="DUE120" s="231"/>
      <c r="DUF120" s="231"/>
      <c r="DUG120" s="231"/>
      <c r="DUH120" s="231"/>
      <c r="DUI120" s="231"/>
      <c r="DUJ120" s="231"/>
      <c r="DUK120" s="231"/>
      <c r="DUL120" s="231"/>
      <c r="DUM120" s="231"/>
      <c r="DUN120" s="231"/>
      <c r="DUO120" s="231"/>
      <c r="DUP120" s="231"/>
      <c r="DUQ120" s="231"/>
      <c r="DUR120" s="231"/>
      <c r="DUS120" s="231"/>
      <c r="DUT120" s="231"/>
      <c r="DUU120" s="231"/>
      <c r="DUV120" s="231"/>
      <c r="DUW120" s="231"/>
      <c r="DUX120" s="231"/>
      <c r="DUY120" s="231"/>
      <c r="DUZ120" s="231"/>
      <c r="DVA120" s="231"/>
      <c r="DVB120" s="231"/>
      <c r="DVC120" s="231"/>
      <c r="DVD120" s="231"/>
      <c r="DVE120" s="231"/>
      <c r="DVF120" s="231"/>
      <c r="DVG120" s="231"/>
      <c r="DVH120" s="231"/>
      <c r="DVI120" s="231"/>
      <c r="DVJ120" s="231"/>
      <c r="DVK120" s="231"/>
      <c r="DVL120" s="231"/>
      <c r="DVM120" s="231"/>
      <c r="DVN120" s="231"/>
      <c r="DVO120" s="231"/>
      <c r="DVP120" s="231"/>
      <c r="DVQ120" s="231"/>
      <c r="DVR120" s="231"/>
      <c r="DVS120" s="231"/>
      <c r="DVT120" s="231"/>
      <c r="DVU120" s="231"/>
      <c r="DVV120" s="231"/>
      <c r="DVW120" s="231"/>
      <c r="DVX120" s="231"/>
      <c r="DVY120" s="231"/>
      <c r="DVZ120" s="231"/>
      <c r="DWA120" s="231"/>
      <c r="DWB120" s="231"/>
      <c r="DWC120" s="231"/>
      <c r="DWD120" s="231"/>
      <c r="DWE120" s="231"/>
      <c r="DWF120" s="231"/>
      <c r="DWG120" s="231"/>
      <c r="DWH120" s="231"/>
      <c r="DWI120" s="231"/>
      <c r="DWJ120" s="231"/>
      <c r="DWK120" s="231"/>
      <c r="DWL120" s="231"/>
      <c r="DWM120" s="231"/>
      <c r="DWN120" s="231"/>
      <c r="DWO120" s="231"/>
      <c r="DWP120" s="231"/>
      <c r="DWQ120" s="231"/>
      <c r="DWR120" s="231"/>
      <c r="DWS120" s="231"/>
      <c r="DWT120" s="231"/>
      <c r="DWU120" s="231"/>
      <c r="DWV120" s="231"/>
      <c r="DWW120" s="231"/>
      <c r="DWX120" s="231"/>
      <c r="DWY120" s="231"/>
      <c r="DWZ120" s="231"/>
      <c r="DXA120" s="231"/>
      <c r="DXB120" s="231"/>
      <c r="DXC120" s="231"/>
      <c r="DXD120" s="231"/>
      <c r="DXE120" s="231"/>
      <c r="DXF120" s="231"/>
      <c r="DXG120" s="231"/>
      <c r="DXH120" s="231"/>
      <c r="DXI120" s="231"/>
      <c r="DXJ120" s="231"/>
      <c r="DXK120" s="231"/>
      <c r="DXL120" s="231"/>
      <c r="DXM120" s="231"/>
      <c r="DXN120" s="231"/>
      <c r="DXO120" s="231"/>
      <c r="DXP120" s="231"/>
      <c r="DXQ120" s="231"/>
      <c r="DXR120" s="231"/>
      <c r="DXS120" s="231"/>
      <c r="DXT120" s="231"/>
      <c r="DXU120" s="231"/>
      <c r="DXV120" s="231"/>
      <c r="DXW120" s="231"/>
      <c r="DXX120" s="231"/>
      <c r="DXY120" s="231"/>
      <c r="DXZ120" s="231"/>
      <c r="DYA120" s="231"/>
      <c r="DYB120" s="231"/>
      <c r="DYC120" s="231"/>
      <c r="DYD120" s="231"/>
      <c r="DYE120" s="231"/>
      <c r="DYF120" s="231"/>
      <c r="DYG120" s="231"/>
      <c r="DYH120" s="231"/>
      <c r="DYI120" s="231"/>
      <c r="DYJ120" s="231"/>
      <c r="DYK120" s="231"/>
      <c r="DYL120" s="231"/>
      <c r="DYM120" s="231"/>
      <c r="DYN120" s="231"/>
      <c r="DYO120" s="231"/>
      <c r="DYP120" s="231"/>
      <c r="DYQ120" s="231"/>
      <c r="DYR120" s="231"/>
      <c r="DYS120" s="231"/>
      <c r="DYT120" s="231"/>
      <c r="DYU120" s="231"/>
      <c r="DYV120" s="231"/>
      <c r="DYW120" s="231"/>
      <c r="DYX120" s="231"/>
      <c r="DYY120" s="231"/>
      <c r="DYZ120" s="231"/>
      <c r="DZA120" s="231"/>
      <c r="DZB120" s="231"/>
      <c r="DZC120" s="231"/>
      <c r="DZD120" s="231"/>
      <c r="DZE120" s="231"/>
      <c r="DZF120" s="231"/>
      <c r="DZG120" s="231"/>
      <c r="DZH120" s="231"/>
      <c r="DZI120" s="231"/>
      <c r="DZJ120" s="231"/>
      <c r="DZK120" s="231"/>
      <c r="DZL120" s="231"/>
      <c r="DZM120" s="231"/>
      <c r="DZN120" s="231"/>
      <c r="DZO120" s="231"/>
      <c r="DZP120" s="231"/>
      <c r="DZQ120" s="231"/>
      <c r="DZR120" s="231"/>
      <c r="DZS120" s="231"/>
      <c r="DZT120" s="231"/>
      <c r="DZU120" s="231"/>
      <c r="DZV120" s="231"/>
      <c r="DZW120" s="231"/>
      <c r="DZX120" s="231"/>
      <c r="DZY120" s="231"/>
      <c r="DZZ120" s="231"/>
      <c r="EAA120" s="231"/>
      <c r="EAB120" s="231"/>
      <c r="EAC120" s="231"/>
      <c r="EAD120" s="231"/>
      <c r="EAE120" s="231"/>
      <c r="EAF120" s="231"/>
      <c r="EAG120" s="231"/>
      <c r="EAH120" s="231"/>
      <c r="EAI120" s="231"/>
      <c r="EAJ120" s="231"/>
      <c r="EAK120" s="231"/>
      <c r="EAL120" s="231"/>
      <c r="EAM120" s="231"/>
      <c r="EAN120" s="231"/>
      <c r="EAO120" s="231"/>
      <c r="EAP120" s="231"/>
      <c r="EAQ120" s="231"/>
      <c r="EAR120" s="231"/>
      <c r="EAS120" s="231"/>
      <c r="EAT120" s="231"/>
      <c r="EAU120" s="231"/>
      <c r="EAV120" s="231"/>
      <c r="EAW120" s="231"/>
      <c r="EAX120" s="231"/>
      <c r="EAY120" s="231"/>
      <c r="EAZ120" s="231"/>
      <c r="EBA120" s="231"/>
      <c r="EBB120" s="231"/>
      <c r="EBC120" s="231"/>
      <c r="EBD120" s="231"/>
      <c r="EBE120" s="231"/>
      <c r="EBF120" s="231"/>
      <c r="EBG120" s="231"/>
      <c r="EBH120" s="231"/>
      <c r="EBI120" s="231"/>
      <c r="EBJ120" s="231"/>
      <c r="EBK120" s="231"/>
      <c r="EBL120" s="231"/>
      <c r="EBM120" s="231"/>
      <c r="EBN120" s="231"/>
      <c r="EBO120" s="231"/>
      <c r="EBP120" s="231"/>
      <c r="EBQ120" s="231"/>
      <c r="EBR120" s="231"/>
      <c r="EBS120" s="231"/>
      <c r="EBT120" s="231"/>
      <c r="EBU120" s="231"/>
      <c r="EBV120" s="231"/>
      <c r="EBW120" s="231"/>
      <c r="EBX120" s="231"/>
      <c r="EBY120" s="231"/>
      <c r="EBZ120" s="231"/>
      <c r="ECA120" s="231"/>
      <c r="ECB120" s="231"/>
      <c r="ECC120" s="231"/>
      <c r="ECD120" s="231"/>
      <c r="ECE120" s="231"/>
      <c r="ECF120" s="231"/>
      <c r="ECG120" s="231"/>
      <c r="ECH120" s="231"/>
      <c r="ECI120" s="231"/>
      <c r="ECJ120" s="231"/>
      <c r="ECK120" s="231"/>
      <c r="ECL120" s="231"/>
      <c r="ECM120" s="231"/>
      <c r="ECN120" s="231"/>
      <c r="ECO120" s="231"/>
      <c r="ECP120" s="231"/>
      <c r="ECQ120" s="231"/>
      <c r="ECR120" s="231"/>
      <c r="ECS120" s="231"/>
      <c r="ECT120" s="231"/>
      <c r="ECU120" s="231"/>
      <c r="ECV120" s="231"/>
      <c r="ECW120" s="231"/>
      <c r="ECX120" s="231"/>
      <c r="ECY120" s="231"/>
      <c r="ECZ120" s="231"/>
      <c r="EDA120" s="231"/>
      <c r="EDB120" s="231"/>
      <c r="EDC120" s="231"/>
      <c r="EDD120" s="231"/>
      <c r="EDE120" s="231"/>
      <c r="EDF120" s="231"/>
      <c r="EDG120" s="231"/>
      <c r="EDH120" s="231"/>
      <c r="EDI120" s="231"/>
      <c r="EDJ120" s="231"/>
      <c r="EDK120" s="231"/>
      <c r="EDL120" s="231"/>
      <c r="EDM120" s="231"/>
      <c r="EDN120" s="231"/>
      <c r="EDO120" s="231"/>
      <c r="EDP120" s="231"/>
      <c r="EDQ120" s="231"/>
      <c r="EDR120" s="231"/>
      <c r="EDS120" s="231"/>
      <c r="EDT120" s="231"/>
      <c r="EDU120" s="231"/>
      <c r="EDV120" s="231"/>
      <c r="EDW120" s="231"/>
      <c r="EDX120" s="231"/>
      <c r="EDY120" s="231"/>
      <c r="EDZ120" s="231"/>
      <c r="EEA120" s="231"/>
      <c r="EEB120" s="231"/>
      <c r="EEC120" s="231"/>
      <c r="EED120" s="231"/>
      <c r="EEE120" s="231"/>
      <c r="EEF120" s="231"/>
      <c r="EEG120" s="231"/>
      <c r="EEH120" s="231"/>
      <c r="EEI120" s="231"/>
      <c r="EEJ120" s="231"/>
      <c r="EEK120" s="231"/>
      <c r="EEL120" s="231"/>
      <c r="EEM120" s="231"/>
      <c r="EEN120" s="231"/>
      <c r="EEO120" s="231"/>
      <c r="EEP120" s="231"/>
      <c r="EEQ120" s="231"/>
      <c r="EER120" s="231"/>
      <c r="EES120" s="231"/>
      <c r="EET120" s="231"/>
      <c r="EEU120" s="231"/>
      <c r="EEV120" s="231"/>
      <c r="EEW120" s="231"/>
      <c r="EEX120" s="231"/>
      <c r="EEY120" s="231"/>
      <c r="EEZ120" s="231"/>
      <c r="EFA120" s="231"/>
      <c r="EFB120" s="231"/>
      <c r="EFC120" s="231"/>
      <c r="EFD120" s="231"/>
      <c r="EFE120" s="231"/>
      <c r="EFF120" s="231"/>
      <c r="EFG120" s="231"/>
      <c r="EFH120" s="231"/>
      <c r="EFI120" s="231"/>
      <c r="EFJ120" s="231"/>
      <c r="EFK120" s="231"/>
      <c r="EFL120" s="231"/>
      <c r="EFM120" s="231"/>
      <c r="EFN120" s="231"/>
      <c r="EFO120" s="231"/>
      <c r="EFP120" s="231"/>
      <c r="EFQ120" s="231"/>
      <c r="EFR120" s="231"/>
      <c r="EFS120" s="231"/>
      <c r="EFT120" s="231"/>
      <c r="EFU120" s="231"/>
      <c r="EFV120" s="231"/>
      <c r="EFW120" s="231"/>
      <c r="EFX120" s="231"/>
      <c r="EFY120" s="231"/>
      <c r="EFZ120" s="231"/>
      <c r="EGA120" s="231"/>
      <c r="EGB120" s="231"/>
      <c r="EGC120" s="231"/>
      <c r="EGD120" s="231"/>
      <c r="EGE120" s="231"/>
      <c r="EGF120" s="231"/>
      <c r="EGG120" s="231"/>
      <c r="EGH120" s="231"/>
      <c r="EGI120" s="231"/>
      <c r="EGJ120" s="231"/>
      <c r="EGK120" s="231"/>
      <c r="EGL120" s="231"/>
      <c r="EGM120" s="231"/>
      <c r="EGN120" s="231"/>
      <c r="EGO120" s="231"/>
      <c r="EGP120" s="231"/>
      <c r="EGQ120" s="231"/>
      <c r="EGR120" s="231"/>
      <c r="EGS120" s="231"/>
      <c r="EGT120" s="231"/>
      <c r="EGU120" s="231"/>
      <c r="EGV120" s="231"/>
      <c r="EGW120" s="231"/>
      <c r="EGX120" s="231"/>
      <c r="EGY120" s="231"/>
      <c r="EGZ120" s="231"/>
      <c r="EHA120" s="231"/>
      <c r="EHB120" s="231"/>
      <c r="EHC120" s="231"/>
      <c r="EHD120" s="231"/>
      <c r="EHE120" s="231"/>
      <c r="EHF120" s="231"/>
      <c r="EHG120" s="231"/>
      <c r="EHH120" s="231"/>
      <c r="EHI120" s="231"/>
      <c r="EHJ120" s="231"/>
      <c r="EHK120" s="231"/>
      <c r="EHL120" s="231"/>
      <c r="EHM120" s="231"/>
      <c r="EHN120" s="231"/>
      <c r="EHO120" s="231"/>
      <c r="EHP120" s="231"/>
      <c r="EHQ120" s="231"/>
      <c r="EHR120" s="231"/>
      <c r="EHS120" s="231"/>
      <c r="EHT120" s="231"/>
      <c r="EHU120" s="231"/>
      <c r="EHV120" s="231"/>
      <c r="EHW120" s="231"/>
      <c r="EHX120" s="231"/>
      <c r="EHY120" s="231"/>
      <c r="EHZ120" s="231"/>
      <c r="EIA120" s="231"/>
      <c r="EIB120" s="231"/>
      <c r="EIC120" s="231"/>
      <c r="EID120" s="231"/>
      <c r="EIE120" s="231"/>
      <c r="EIF120" s="231"/>
      <c r="EIG120" s="231"/>
      <c r="EIH120" s="231"/>
      <c r="EII120" s="231"/>
      <c r="EIJ120" s="231"/>
      <c r="EIK120" s="231"/>
      <c r="EIL120" s="231"/>
      <c r="EIM120" s="231"/>
      <c r="EIN120" s="231"/>
      <c r="EIO120" s="231"/>
      <c r="EIP120" s="231"/>
      <c r="EIQ120" s="231"/>
      <c r="EIR120" s="231"/>
      <c r="EIS120" s="231"/>
      <c r="EIT120" s="231"/>
      <c r="EIU120" s="231"/>
      <c r="EIV120" s="231"/>
      <c r="EIW120" s="231"/>
      <c r="EIX120" s="231"/>
      <c r="EIY120" s="231"/>
      <c r="EIZ120" s="231"/>
      <c r="EJA120" s="231"/>
      <c r="EJB120" s="231"/>
      <c r="EJC120" s="231"/>
      <c r="EJD120" s="231"/>
      <c r="EJE120" s="231"/>
      <c r="EJF120" s="231"/>
      <c r="EJG120" s="231"/>
      <c r="EJH120" s="231"/>
      <c r="EJI120" s="231"/>
      <c r="EJJ120" s="231"/>
      <c r="EJK120" s="231"/>
      <c r="EJL120" s="231"/>
      <c r="EJM120" s="231"/>
      <c r="EJN120" s="231"/>
      <c r="EJO120" s="231"/>
      <c r="EJP120" s="231"/>
      <c r="EJQ120" s="231"/>
      <c r="EJR120" s="231"/>
      <c r="EJS120" s="231"/>
      <c r="EJT120" s="231"/>
      <c r="EJU120" s="231"/>
      <c r="EJV120" s="231"/>
      <c r="EJW120" s="231"/>
      <c r="EJX120" s="231"/>
      <c r="EJY120" s="231"/>
      <c r="EJZ120" s="231"/>
      <c r="EKA120" s="231"/>
      <c r="EKB120" s="231"/>
      <c r="EKC120" s="231"/>
      <c r="EKD120" s="231"/>
      <c r="EKE120" s="231"/>
      <c r="EKF120" s="231"/>
      <c r="EKG120" s="231"/>
      <c r="EKH120" s="231"/>
      <c r="EKI120" s="231"/>
      <c r="EKJ120" s="231"/>
      <c r="EKK120" s="231"/>
      <c r="EKL120" s="231"/>
      <c r="EKM120" s="231"/>
      <c r="EKN120" s="231"/>
      <c r="EKO120" s="231"/>
      <c r="EKP120" s="231"/>
      <c r="EKQ120" s="231"/>
      <c r="EKR120" s="231"/>
      <c r="EKS120" s="231"/>
      <c r="EKT120" s="231"/>
      <c r="EKU120" s="231"/>
      <c r="EKV120" s="231"/>
      <c r="EKW120" s="231"/>
      <c r="EKX120" s="231"/>
      <c r="EKY120" s="231"/>
      <c r="EKZ120" s="231"/>
      <c r="ELA120" s="231"/>
      <c r="ELB120" s="231"/>
      <c r="ELC120" s="231"/>
      <c r="ELD120" s="231"/>
      <c r="ELE120" s="231"/>
      <c r="ELF120" s="231"/>
      <c r="ELG120" s="231"/>
      <c r="ELH120" s="231"/>
      <c r="ELI120" s="231"/>
      <c r="ELJ120" s="231"/>
      <c r="ELK120" s="231"/>
      <c r="ELL120" s="231"/>
      <c r="ELM120" s="231"/>
      <c r="ELN120" s="231"/>
      <c r="ELO120" s="231"/>
      <c r="ELP120" s="231"/>
      <c r="ELQ120" s="231"/>
      <c r="ELR120" s="231"/>
      <c r="ELS120" s="231"/>
      <c r="ELT120" s="231"/>
      <c r="ELU120" s="231"/>
      <c r="ELV120" s="231"/>
      <c r="ELW120" s="231"/>
      <c r="ELX120" s="231"/>
      <c r="ELY120" s="231"/>
      <c r="ELZ120" s="231"/>
      <c r="EMA120" s="231"/>
      <c r="EMB120" s="231"/>
      <c r="EMC120" s="231"/>
      <c r="EMD120" s="231"/>
      <c r="EME120" s="231"/>
      <c r="EMF120" s="231"/>
      <c r="EMG120" s="231"/>
      <c r="EMH120" s="231"/>
      <c r="EMI120" s="231"/>
      <c r="EMJ120" s="231"/>
      <c r="EMK120" s="231"/>
      <c r="EML120" s="231"/>
      <c r="EMM120" s="231"/>
      <c r="EMN120" s="231"/>
      <c r="EMO120" s="231"/>
      <c r="EMP120" s="231"/>
      <c r="EMQ120" s="231"/>
      <c r="EMR120" s="231"/>
      <c r="EMS120" s="231"/>
      <c r="EMT120" s="231"/>
      <c r="EMU120" s="231"/>
      <c r="EMV120" s="231"/>
      <c r="EMW120" s="231"/>
      <c r="EMX120" s="231"/>
      <c r="EMY120" s="231"/>
      <c r="EMZ120" s="231"/>
      <c r="ENA120" s="231"/>
      <c r="ENB120" s="231"/>
      <c r="ENC120" s="231"/>
      <c r="END120" s="231"/>
      <c r="ENE120" s="231"/>
      <c r="ENF120" s="231"/>
      <c r="ENG120" s="231"/>
      <c r="ENH120" s="231"/>
      <c r="ENI120" s="231"/>
      <c r="ENJ120" s="231"/>
      <c r="ENK120" s="231"/>
      <c r="ENL120" s="231"/>
      <c r="ENM120" s="231"/>
      <c r="ENN120" s="231"/>
      <c r="ENO120" s="231"/>
      <c r="ENP120" s="231"/>
      <c r="ENQ120" s="231"/>
      <c r="ENR120" s="231"/>
      <c r="ENS120" s="231"/>
      <c r="ENT120" s="231"/>
      <c r="ENU120" s="231"/>
      <c r="ENV120" s="231"/>
      <c r="ENW120" s="231"/>
      <c r="ENX120" s="231"/>
      <c r="ENY120" s="231"/>
      <c r="ENZ120" s="231"/>
      <c r="EOA120" s="231"/>
      <c r="EOB120" s="231"/>
      <c r="EOC120" s="231"/>
      <c r="EOD120" s="231"/>
      <c r="EOE120" s="231"/>
      <c r="EOF120" s="231"/>
      <c r="EOG120" s="231"/>
      <c r="EOH120" s="231"/>
      <c r="EOI120" s="231"/>
      <c r="EOJ120" s="231"/>
      <c r="EOK120" s="231"/>
      <c r="EOL120" s="231"/>
      <c r="EOM120" s="231"/>
      <c r="EON120" s="231"/>
      <c r="EOO120" s="231"/>
      <c r="EOP120" s="231"/>
      <c r="EOQ120" s="231"/>
      <c r="EOR120" s="231"/>
      <c r="EOS120" s="231"/>
      <c r="EOT120" s="231"/>
      <c r="EOU120" s="231"/>
      <c r="EOV120" s="231"/>
      <c r="EOW120" s="231"/>
      <c r="EOX120" s="231"/>
      <c r="EOY120" s="231"/>
      <c r="EOZ120" s="231"/>
      <c r="EPA120" s="231"/>
      <c r="EPB120" s="231"/>
      <c r="EPC120" s="231"/>
      <c r="EPD120" s="231"/>
      <c r="EPE120" s="231"/>
      <c r="EPF120" s="231"/>
      <c r="EPG120" s="231"/>
      <c r="EPH120" s="231"/>
      <c r="EPI120" s="231"/>
      <c r="EPJ120" s="231"/>
      <c r="EPK120" s="231"/>
      <c r="EPL120" s="231"/>
      <c r="EPM120" s="231"/>
      <c r="EPN120" s="231"/>
      <c r="EPO120" s="231"/>
      <c r="EPP120" s="231"/>
      <c r="EPQ120" s="231"/>
      <c r="EPR120" s="231"/>
      <c r="EPS120" s="231"/>
      <c r="EPT120" s="231"/>
      <c r="EPU120" s="231"/>
      <c r="EPV120" s="231"/>
      <c r="EPW120" s="231"/>
      <c r="EPX120" s="231"/>
      <c r="EPY120" s="231"/>
      <c r="EPZ120" s="231"/>
      <c r="EQA120" s="231"/>
      <c r="EQB120" s="231"/>
      <c r="EQC120" s="231"/>
      <c r="EQD120" s="231"/>
      <c r="EQE120" s="231"/>
      <c r="EQF120" s="231"/>
      <c r="EQG120" s="231"/>
      <c r="EQH120" s="231"/>
      <c r="EQI120" s="231"/>
      <c r="EQJ120" s="231"/>
      <c r="EQK120" s="231"/>
      <c r="EQL120" s="231"/>
      <c r="EQM120" s="231"/>
      <c r="EQN120" s="231"/>
      <c r="EQO120" s="231"/>
      <c r="EQP120" s="231"/>
      <c r="EQQ120" s="231"/>
      <c r="EQR120" s="231"/>
      <c r="EQS120" s="231"/>
      <c r="EQT120" s="231"/>
      <c r="EQU120" s="231"/>
      <c r="EQV120" s="231"/>
      <c r="EQW120" s="231"/>
      <c r="EQX120" s="231"/>
      <c r="EQY120" s="231"/>
      <c r="EQZ120" s="231"/>
      <c r="ERA120" s="231"/>
      <c r="ERB120" s="231"/>
      <c r="ERC120" s="231"/>
      <c r="ERD120" s="231"/>
      <c r="ERE120" s="231"/>
      <c r="ERF120" s="231"/>
      <c r="ERG120" s="231"/>
      <c r="ERH120" s="231"/>
      <c r="ERI120" s="231"/>
      <c r="ERJ120" s="231"/>
      <c r="ERK120" s="231"/>
      <c r="ERL120" s="231"/>
      <c r="ERM120" s="231"/>
      <c r="ERN120" s="231"/>
      <c r="ERO120" s="231"/>
      <c r="ERP120" s="231"/>
      <c r="ERQ120" s="231"/>
      <c r="ERR120" s="231"/>
      <c r="ERS120" s="231"/>
      <c r="ERT120" s="231"/>
      <c r="ERU120" s="231"/>
      <c r="ERV120" s="231"/>
      <c r="ERW120" s="231"/>
      <c r="ERX120" s="231"/>
      <c r="ERY120" s="231"/>
      <c r="ERZ120" s="231"/>
      <c r="ESA120" s="231"/>
      <c r="ESB120" s="231"/>
      <c r="ESC120" s="231"/>
      <c r="ESD120" s="231"/>
      <c r="ESE120" s="231"/>
      <c r="ESF120" s="231"/>
      <c r="ESG120" s="231"/>
      <c r="ESH120" s="231"/>
      <c r="ESI120" s="231"/>
      <c r="ESJ120" s="231"/>
      <c r="ESK120" s="231"/>
      <c r="ESL120" s="231"/>
      <c r="ESM120" s="231"/>
      <c r="ESN120" s="231"/>
      <c r="ESO120" s="231"/>
      <c r="ESP120" s="231"/>
      <c r="ESQ120" s="231"/>
      <c r="ESR120" s="231"/>
      <c r="ESS120" s="231"/>
      <c r="EST120" s="231"/>
      <c r="ESU120" s="231"/>
      <c r="ESV120" s="231"/>
      <c r="ESW120" s="231"/>
      <c r="ESX120" s="231"/>
      <c r="ESY120" s="231"/>
      <c r="ESZ120" s="231"/>
      <c r="ETA120" s="231"/>
      <c r="ETB120" s="231"/>
      <c r="ETC120" s="231"/>
      <c r="ETD120" s="231"/>
      <c r="ETE120" s="231"/>
      <c r="ETF120" s="231"/>
      <c r="ETG120" s="231"/>
      <c r="ETH120" s="231"/>
      <c r="ETI120" s="231"/>
      <c r="ETJ120" s="231"/>
      <c r="ETK120" s="231"/>
      <c r="ETL120" s="231"/>
      <c r="ETM120" s="231"/>
      <c r="ETN120" s="231"/>
      <c r="ETO120" s="231"/>
      <c r="ETP120" s="231"/>
      <c r="ETQ120" s="231"/>
      <c r="ETR120" s="231"/>
      <c r="ETS120" s="231"/>
      <c r="ETT120" s="231"/>
      <c r="ETU120" s="231"/>
      <c r="ETV120" s="231"/>
      <c r="ETW120" s="231"/>
      <c r="ETX120" s="231"/>
      <c r="ETY120" s="231"/>
      <c r="ETZ120" s="231"/>
      <c r="EUA120" s="231"/>
      <c r="EUB120" s="231"/>
      <c r="EUC120" s="231"/>
      <c r="EUD120" s="231"/>
      <c r="EUE120" s="231"/>
      <c r="EUF120" s="231"/>
      <c r="EUG120" s="231"/>
      <c r="EUH120" s="231"/>
      <c r="EUI120" s="231"/>
      <c r="EUJ120" s="231"/>
      <c r="EUK120" s="231"/>
      <c r="EUL120" s="231"/>
      <c r="EUM120" s="231"/>
      <c r="EUN120" s="231"/>
      <c r="EUO120" s="231"/>
      <c r="EUP120" s="231"/>
      <c r="EUQ120" s="231"/>
      <c r="EUR120" s="231"/>
      <c r="EUS120" s="231"/>
      <c r="EUT120" s="231"/>
      <c r="EUU120" s="231"/>
      <c r="EUV120" s="231"/>
      <c r="EUW120" s="231"/>
      <c r="EUX120" s="231"/>
      <c r="EUY120" s="231"/>
      <c r="EUZ120" s="231"/>
      <c r="EVA120" s="231"/>
      <c r="EVB120" s="231"/>
      <c r="EVC120" s="231"/>
      <c r="EVD120" s="231"/>
      <c r="EVE120" s="231"/>
      <c r="EVF120" s="231"/>
      <c r="EVG120" s="231"/>
      <c r="EVH120" s="231"/>
      <c r="EVI120" s="231"/>
      <c r="EVJ120" s="231"/>
      <c r="EVK120" s="231"/>
      <c r="EVL120" s="231"/>
      <c r="EVM120" s="231"/>
      <c r="EVN120" s="231"/>
      <c r="EVO120" s="231"/>
      <c r="EVP120" s="231"/>
      <c r="EVQ120" s="231"/>
      <c r="EVR120" s="231"/>
      <c r="EVS120" s="231"/>
      <c r="EVT120" s="231"/>
      <c r="EVU120" s="231"/>
      <c r="EVV120" s="231"/>
      <c r="EVW120" s="231"/>
      <c r="EVX120" s="231"/>
      <c r="EVY120" s="231"/>
      <c r="EVZ120" s="231"/>
      <c r="EWA120" s="231"/>
      <c r="EWB120" s="231"/>
      <c r="EWC120" s="231"/>
      <c r="EWD120" s="231"/>
      <c r="EWE120" s="231"/>
      <c r="EWF120" s="231"/>
      <c r="EWG120" s="231"/>
      <c r="EWH120" s="231"/>
      <c r="EWI120" s="231"/>
      <c r="EWJ120" s="231"/>
      <c r="EWK120" s="231"/>
      <c r="EWL120" s="231"/>
      <c r="EWM120" s="231"/>
      <c r="EWN120" s="231"/>
      <c r="EWO120" s="231"/>
      <c r="EWP120" s="231"/>
      <c r="EWQ120" s="231"/>
      <c r="EWR120" s="231"/>
      <c r="EWS120" s="231"/>
      <c r="EWT120" s="231"/>
      <c r="EWU120" s="231"/>
      <c r="EWV120" s="231"/>
      <c r="EWW120" s="231"/>
      <c r="EWX120" s="231"/>
      <c r="EWY120" s="231"/>
      <c r="EWZ120" s="231"/>
      <c r="EXA120" s="231"/>
      <c r="EXB120" s="231"/>
      <c r="EXC120" s="231"/>
      <c r="EXD120" s="231"/>
      <c r="EXE120" s="231"/>
      <c r="EXF120" s="231"/>
      <c r="EXG120" s="231"/>
      <c r="EXH120" s="231"/>
      <c r="EXI120" s="231"/>
      <c r="EXJ120" s="231"/>
      <c r="EXK120" s="231"/>
      <c r="EXL120" s="231"/>
      <c r="EXM120" s="231"/>
      <c r="EXN120" s="231"/>
      <c r="EXO120" s="231"/>
      <c r="EXP120" s="231"/>
      <c r="EXQ120" s="231"/>
      <c r="EXR120" s="231"/>
      <c r="EXS120" s="231"/>
      <c r="EXT120" s="231"/>
      <c r="EXU120" s="231"/>
      <c r="EXV120" s="231"/>
      <c r="EXW120" s="231"/>
      <c r="EXX120" s="231"/>
      <c r="EXY120" s="231"/>
      <c r="EXZ120" s="231"/>
      <c r="EYA120" s="231"/>
      <c r="EYB120" s="231"/>
      <c r="EYC120" s="231"/>
      <c r="EYD120" s="231"/>
      <c r="EYE120" s="231"/>
      <c r="EYF120" s="231"/>
      <c r="EYG120" s="231"/>
      <c r="EYH120" s="231"/>
      <c r="EYI120" s="231"/>
      <c r="EYJ120" s="231"/>
      <c r="EYK120" s="231"/>
      <c r="EYL120" s="231"/>
      <c r="EYM120" s="231"/>
      <c r="EYN120" s="231"/>
      <c r="EYO120" s="231"/>
      <c r="EYP120" s="231"/>
      <c r="EYQ120" s="231"/>
      <c r="EYR120" s="231"/>
      <c r="EYS120" s="231"/>
      <c r="EYT120" s="231"/>
      <c r="EYU120" s="231"/>
      <c r="EYV120" s="231"/>
      <c r="EYW120" s="231"/>
      <c r="EYX120" s="231"/>
      <c r="EYY120" s="231"/>
      <c r="EYZ120" s="231"/>
      <c r="EZA120" s="231"/>
      <c r="EZB120" s="231"/>
      <c r="EZC120" s="231"/>
      <c r="EZD120" s="231"/>
      <c r="EZE120" s="231"/>
      <c r="EZF120" s="231"/>
      <c r="EZG120" s="231"/>
      <c r="EZH120" s="231"/>
      <c r="EZI120" s="231"/>
      <c r="EZJ120" s="231"/>
      <c r="EZK120" s="231"/>
      <c r="EZL120" s="231"/>
      <c r="EZM120" s="231"/>
      <c r="EZN120" s="231"/>
      <c r="EZO120" s="231"/>
      <c r="EZP120" s="231"/>
      <c r="EZQ120" s="231"/>
      <c r="EZR120" s="231"/>
      <c r="EZS120" s="231"/>
      <c r="EZT120" s="231"/>
      <c r="EZU120" s="231"/>
      <c r="EZV120" s="231"/>
      <c r="EZW120" s="231"/>
      <c r="EZX120" s="231"/>
      <c r="EZY120" s="231"/>
      <c r="EZZ120" s="231"/>
      <c r="FAA120" s="231"/>
      <c r="FAB120" s="231"/>
      <c r="FAC120" s="231"/>
      <c r="FAD120" s="231"/>
      <c r="FAE120" s="231"/>
      <c r="FAF120" s="231"/>
      <c r="FAG120" s="231"/>
      <c r="FAH120" s="231"/>
      <c r="FAI120" s="231"/>
      <c r="FAJ120" s="231"/>
      <c r="FAK120" s="231"/>
      <c r="FAL120" s="231"/>
      <c r="FAM120" s="231"/>
      <c r="FAN120" s="231"/>
      <c r="FAO120" s="231"/>
      <c r="FAP120" s="231"/>
      <c r="FAQ120" s="231"/>
      <c r="FAR120" s="231"/>
      <c r="FAS120" s="231"/>
      <c r="FAT120" s="231"/>
      <c r="FAU120" s="231"/>
      <c r="FAV120" s="231"/>
      <c r="FAW120" s="231"/>
      <c r="FAX120" s="231"/>
      <c r="FAY120" s="231"/>
      <c r="FAZ120" s="231"/>
      <c r="FBA120" s="231"/>
      <c r="FBB120" s="231"/>
      <c r="FBC120" s="231"/>
      <c r="FBD120" s="231"/>
      <c r="FBE120" s="231"/>
      <c r="FBF120" s="231"/>
      <c r="FBG120" s="231"/>
      <c r="FBH120" s="231"/>
      <c r="FBI120" s="231"/>
      <c r="FBJ120" s="231"/>
      <c r="FBK120" s="231"/>
      <c r="FBL120" s="231"/>
      <c r="FBM120" s="231"/>
      <c r="FBN120" s="231"/>
      <c r="FBO120" s="231"/>
      <c r="FBP120" s="231"/>
      <c r="FBQ120" s="231"/>
      <c r="FBR120" s="231"/>
      <c r="FBS120" s="231"/>
      <c r="FBT120" s="231"/>
      <c r="FBU120" s="231"/>
      <c r="FBV120" s="231"/>
      <c r="FBW120" s="231"/>
      <c r="FBX120" s="231"/>
      <c r="FBY120" s="231"/>
      <c r="FBZ120" s="231"/>
      <c r="FCA120" s="231"/>
      <c r="FCB120" s="231"/>
      <c r="FCC120" s="231"/>
      <c r="FCD120" s="231"/>
      <c r="FCE120" s="231"/>
      <c r="FCF120" s="231"/>
      <c r="FCG120" s="231"/>
      <c r="FCH120" s="231"/>
      <c r="FCI120" s="231"/>
      <c r="FCJ120" s="231"/>
      <c r="FCK120" s="231"/>
      <c r="FCL120" s="231"/>
      <c r="FCM120" s="231"/>
      <c r="FCN120" s="231"/>
      <c r="FCO120" s="231"/>
      <c r="FCP120" s="231"/>
      <c r="FCQ120" s="231"/>
      <c r="FCR120" s="231"/>
      <c r="FCS120" s="231"/>
      <c r="FCT120" s="231"/>
      <c r="FCU120" s="231"/>
      <c r="FCV120" s="231"/>
      <c r="FCW120" s="231"/>
      <c r="FCX120" s="231"/>
      <c r="FCY120" s="231"/>
      <c r="FCZ120" s="231"/>
      <c r="FDA120" s="231"/>
      <c r="FDB120" s="231"/>
      <c r="FDC120" s="231"/>
      <c r="FDD120" s="231"/>
      <c r="FDE120" s="231"/>
      <c r="FDF120" s="231"/>
      <c r="FDG120" s="231"/>
      <c r="FDH120" s="231"/>
      <c r="FDI120" s="231"/>
      <c r="FDJ120" s="231"/>
      <c r="FDK120" s="231"/>
      <c r="FDL120" s="231"/>
      <c r="FDM120" s="231"/>
      <c r="FDN120" s="231"/>
      <c r="FDO120" s="231"/>
      <c r="FDP120" s="231"/>
      <c r="FDQ120" s="231"/>
      <c r="FDR120" s="231"/>
      <c r="FDS120" s="231"/>
      <c r="FDT120" s="231"/>
      <c r="FDU120" s="231"/>
      <c r="FDV120" s="231"/>
      <c r="FDW120" s="231"/>
      <c r="FDX120" s="231"/>
      <c r="FDY120" s="231"/>
      <c r="FDZ120" s="231"/>
      <c r="FEA120" s="231"/>
      <c r="FEB120" s="231"/>
      <c r="FEC120" s="231"/>
      <c r="FED120" s="231"/>
      <c r="FEE120" s="231"/>
      <c r="FEF120" s="231"/>
      <c r="FEG120" s="231"/>
      <c r="FEH120" s="231"/>
      <c r="FEI120" s="231"/>
      <c r="FEJ120" s="231"/>
      <c r="FEK120" s="231"/>
      <c r="FEL120" s="231"/>
      <c r="FEM120" s="231"/>
      <c r="FEN120" s="231"/>
      <c r="FEO120" s="231"/>
      <c r="FEP120" s="231"/>
      <c r="FEQ120" s="231"/>
      <c r="FER120" s="231"/>
      <c r="FES120" s="231"/>
      <c r="FET120" s="231"/>
      <c r="FEU120" s="231"/>
      <c r="FEV120" s="231"/>
      <c r="FEW120" s="231"/>
      <c r="FEX120" s="231"/>
      <c r="FEY120" s="231"/>
      <c r="FEZ120" s="231"/>
      <c r="FFA120" s="231"/>
      <c r="FFB120" s="231"/>
      <c r="FFC120" s="231"/>
      <c r="FFD120" s="231"/>
      <c r="FFE120" s="231"/>
      <c r="FFF120" s="231"/>
      <c r="FFG120" s="231"/>
      <c r="FFH120" s="231"/>
      <c r="FFI120" s="231"/>
      <c r="FFJ120" s="231"/>
      <c r="FFK120" s="231"/>
      <c r="FFL120" s="231"/>
      <c r="FFM120" s="231"/>
      <c r="FFN120" s="231"/>
      <c r="FFO120" s="231"/>
      <c r="FFP120" s="231"/>
      <c r="FFQ120" s="231"/>
      <c r="FFR120" s="231"/>
      <c r="FFS120" s="231"/>
      <c r="FFT120" s="231"/>
      <c r="FFU120" s="231"/>
      <c r="FFV120" s="231"/>
      <c r="FFW120" s="231"/>
      <c r="FFX120" s="231"/>
      <c r="FFY120" s="231"/>
      <c r="FFZ120" s="231"/>
      <c r="FGA120" s="231"/>
      <c r="FGB120" s="231"/>
      <c r="FGC120" s="231"/>
      <c r="FGD120" s="231"/>
      <c r="FGE120" s="231"/>
      <c r="FGF120" s="231"/>
      <c r="FGG120" s="231"/>
      <c r="FGH120" s="231"/>
      <c r="FGI120" s="231"/>
      <c r="FGJ120" s="231"/>
      <c r="FGK120" s="231"/>
      <c r="FGL120" s="231"/>
      <c r="FGM120" s="231"/>
      <c r="FGN120" s="231"/>
      <c r="FGO120" s="231"/>
      <c r="FGP120" s="231"/>
      <c r="FGQ120" s="231"/>
      <c r="FGR120" s="231"/>
      <c r="FGS120" s="231"/>
      <c r="FGT120" s="231"/>
      <c r="FGU120" s="231"/>
      <c r="FGV120" s="231"/>
      <c r="FGW120" s="231"/>
      <c r="FGX120" s="231"/>
      <c r="FGY120" s="231"/>
      <c r="FGZ120" s="231"/>
      <c r="FHA120" s="231"/>
      <c r="FHB120" s="231"/>
      <c r="FHC120" s="231"/>
      <c r="FHD120" s="231"/>
      <c r="FHE120" s="231"/>
      <c r="FHF120" s="231"/>
      <c r="FHG120" s="231"/>
      <c r="FHH120" s="231"/>
      <c r="FHI120" s="231"/>
      <c r="FHJ120" s="231"/>
      <c r="FHK120" s="231"/>
      <c r="FHL120" s="231"/>
      <c r="FHM120" s="231"/>
      <c r="FHN120" s="231"/>
      <c r="FHO120" s="231"/>
      <c r="FHP120" s="231"/>
      <c r="FHQ120" s="231"/>
      <c r="FHR120" s="231"/>
      <c r="FHS120" s="231"/>
      <c r="FHT120" s="231"/>
      <c r="FHU120" s="231"/>
      <c r="FHV120" s="231"/>
      <c r="FHW120" s="231"/>
      <c r="FHX120" s="231"/>
      <c r="FHY120" s="231"/>
      <c r="FHZ120" s="231"/>
      <c r="FIA120" s="231"/>
      <c r="FIB120" s="231"/>
      <c r="FIC120" s="231"/>
      <c r="FID120" s="231"/>
      <c r="FIE120" s="231"/>
      <c r="FIF120" s="231"/>
      <c r="FIG120" s="231"/>
      <c r="FIH120" s="231"/>
      <c r="FII120" s="231"/>
      <c r="FIJ120" s="231"/>
      <c r="FIK120" s="231"/>
      <c r="FIL120" s="231"/>
      <c r="FIM120" s="231"/>
      <c r="FIN120" s="231"/>
      <c r="FIO120" s="231"/>
      <c r="FIP120" s="231"/>
      <c r="FIQ120" s="231"/>
      <c r="FIR120" s="231"/>
      <c r="FIS120" s="231"/>
      <c r="FIT120" s="231"/>
      <c r="FIU120" s="231"/>
      <c r="FIV120" s="231"/>
      <c r="FIW120" s="231"/>
      <c r="FIX120" s="231"/>
      <c r="FIY120" s="231"/>
      <c r="FIZ120" s="231"/>
      <c r="FJA120" s="231"/>
      <c r="FJB120" s="231"/>
      <c r="FJC120" s="231"/>
      <c r="FJD120" s="231"/>
      <c r="FJE120" s="231"/>
      <c r="FJF120" s="231"/>
      <c r="FJG120" s="231"/>
      <c r="FJH120" s="231"/>
      <c r="FJI120" s="231"/>
      <c r="FJJ120" s="231"/>
      <c r="FJK120" s="231"/>
      <c r="FJL120" s="231"/>
      <c r="FJM120" s="231"/>
      <c r="FJN120" s="231"/>
      <c r="FJO120" s="231"/>
      <c r="FJP120" s="231"/>
      <c r="FJQ120" s="231"/>
      <c r="FJR120" s="231"/>
      <c r="FJS120" s="231"/>
      <c r="FJT120" s="231"/>
      <c r="FJU120" s="231"/>
      <c r="FJV120" s="231"/>
      <c r="FJW120" s="231"/>
      <c r="FJX120" s="231"/>
      <c r="FJY120" s="231"/>
      <c r="FJZ120" s="231"/>
      <c r="FKA120" s="231"/>
      <c r="FKB120" s="231"/>
      <c r="FKC120" s="231"/>
      <c r="FKD120" s="231"/>
      <c r="FKE120" s="231"/>
      <c r="FKF120" s="231"/>
      <c r="FKG120" s="231"/>
      <c r="FKH120" s="231"/>
      <c r="FKI120" s="231"/>
      <c r="FKJ120" s="231"/>
      <c r="FKK120" s="231"/>
      <c r="FKL120" s="231"/>
      <c r="FKM120" s="231"/>
      <c r="FKN120" s="231"/>
      <c r="FKO120" s="231"/>
      <c r="FKP120" s="231"/>
      <c r="FKQ120" s="231"/>
      <c r="FKR120" s="231"/>
      <c r="FKS120" s="231"/>
      <c r="FKT120" s="231"/>
      <c r="FKU120" s="231"/>
      <c r="FKV120" s="231"/>
      <c r="FKW120" s="231"/>
      <c r="FKX120" s="231"/>
      <c r="FKY120" s="231"/>
      <c r="FKZ120" s="231"/>
      <c r="FLA120" s="231"/>
      <c r="FLB120" s="231"/>
      <c r="FLC120" s="231"/>
      <c r="FLD120" s="231"/>
      <c r="FLE120" s="231"/>
      <c r="FLF120" s="231"/>
      <c r="FLG120" s="231"/>
      <c r="FLH120" s="231"/>
      <c r="FLI120" s="231"/>
      <c r="FLJ120" s="231"/>
      <c r="FLK120" s="231"/>
      <c r="FLL120" s="231"/>
      <c r="FLM120" s="231"/>
      <c r="FLN120" s="231"/>
      <c r="FLO120" s="231"/>
      <c r="FLP120" s="231"/>
      <c r="FLQ120" s="231"/>
      <c r="FLR120" s="231"/>
      <c r="FLS120" s="231"/>
      <c r="FLT120" s="231"/>
      <c r="FLU120" s="231"/>
      <c r="FLV120" s="231"/>
      <c r="FLW120" s="231"/>
      <c r="FLX120" s="231"/>
      <c r="FLY120" s="231"/>
      <c r="FLZ120" s="231"/>
      <c r="FMA120" s="231"/>
      <c r="FMB120" s="231"/>
      <c r="FMC120" s="231"/>
      <c r="FMD120" s="231"/>
      <c r="FME120" s="231"/>
      <c r="FMF120" s="231"/>
      <c r="FMG120" s="231"/>
      <c r="FMH120" s="231"/>
      <c r="FMI120" s="231"/>
      <c r="FMJ120" s="231"/>
      <c r="FMK120" s="231"/>
      <c r="FML120" s="231"/>
      <c r="FMM120" s="231"/>
      <c r="FMN120" s="231"/>
      <c r="FMO120" s="231"/>
      <c r="FMP120" s="231"/>
      <c r="FMQ120" s="231"/>
      <c r="FMR120" s="231"/>
      <c r="FMS120" s="231"/>
      <c r="FMT120" s="231"/>
      <c r="FMU120" s="231"/>
      <c r="FMV120" s="231"/>
      <c r="FMW120" s="231"/>
      <c r="FMX120" s="231"/>
      <c r="FMY120" s="231"/>
      <c r="FMZ120" s="231"/>
      <c r="FNA120" s="231"/>
      <c r="FNB120" s="231"/>
      <c r="FNC120" s="231"/>
      <c r="FND120" s="231"/>
      <c r="FNE120" s="231"/>
      <c r="FNF120" s="231"/>
      <c r="FNG120" s="231"/>
      <c r="FNH120" s="231"/>
      <c r="FNI120" s="231"/>
      <c r="FNJ120" s="231"/>
      <c r="FNK120" s="231"/>
      <c r="FNL120" s="231"/>
      <c r="FNM120" s="231"/>
      <c r="FNN120" s="231"/>
      <c r="FNO120" s="231"/>
      <c r="FNP120" s="231"/>
      <c r="FNQ120" s="231"/>
      <c r="FNR120" s="231"/>
      <c r="FNS120" s="231"/>
      <c r="FNT120" s="231"/>
      <c r="FNU120" s="231"/>
      <c r="FNV120" s="231"/>
      <c r="FNW120" s="231"/>
      <c r="FNX120" s="231"/>
      <c r="FNY120" s="231"/>
      <c r="FNZ120" s="231"/>
      <c r="FOA120" s="231"/>
      <c r="FOB120" s="231"/>
      <c r="FOC120" s="231"/>
      <c r="FOD120" s="231"/>
      <c r="FOE120" s="231"/>
      <c r="FOF120" s="231"/>
      <c r="FOG120" s="231"/>
      <c r="FOH120" s="231"/>
      <c r="FOI120" s="231"/>
      <c r="FOJ120" s="231"/>
      <c r="FOK120" s="231"/>
      <c r="FOL120" s="231"/>
      <c r="FOM120" s="231"/>
      <c r="FON120" s="231"/>
      <c r="FOO120" s="231"/>
      <c r="FOP120" s="231"/>
      <c r="FOQ120" s="231"/>
      <c r="FOR120" s="231"/>
      <c r="FOS120" s="231"/>
      <c r="FOT120" s="231"/>
      <c r="FOU120" s="231"/>
      <c r="FOV120" s="231"/>
      <c r="FOW120" s="231"/>
      <c r="FOX120" s="231"/>
      <c r="FOY120" s="231"/>
      <c r="FOZ120" s="231"/>
      <c r="FPA120" s="231"/>
      <c r="FPB120" s="231"/>
      <c r="FPC120" s="231"/>
      <c r="FPD120" s="231"/>
      <c r="FPE120" s="231"/>
      <c r="FPF120" s="231"/>
      <c r="FPG120" s="231"/>
      <c r="FPH120" s="231"/>
      <c r="FPI120" s="231"/>
      <c r="FPJ120" s="231"/>
      <c r="FPK120" s="231"/>
      <c r="FPL120" s="231"/>
      <c r="FPM120" s="231"/>
      <c r="FPN120" s="231"/>
      <c r="FPO120" s="231"/>
      <c r="FPP120" s="231"/>
      <c r="FPQ120" s="231"/>
      <c r="FPR120" s="231"/>
      <c r="FPS120" s="231"/>
      <c r="FPT120" s="231"/>
      <c r="FPU120" s="231"/>
      <c r="FPV120" s="231"/>
      <c r="FPW120" s="231"/>
      <c r="FPX120" s="231"/>
      <c r="FPY120" s="231"/>
      <c r="FPZ120" s="231"/>
      <c r="FQA120" s="231"/>
      <c r="FQB120" s="231"/>
      <c r="FQC120" s="231"/>
      <c r="FQD120" s="231"/>
      <c r="FQE120" s="231"/>
      <c r="FQF120" s="231"/>
      <c r="FQG120" s="231"/>
      <c r="FQH120" s="231"/>
      <c r="FQI120" s="231"/>
      <c r="FQJ120" s="231"/>
      <c r="FQK120" s="231"/>
      <c r="FQL120" s="231"/>
      <c r="FQM120" s="231"/>
      <c r="FQN120" s="231"/>
      <c r="FQO120" s="231"/>
      <c r="FQP120" s="231"/>
      <c r="FQQ120" s="231"/>
      <c r="FQR120" s="231"/>
      <c r="FQS120" s="231"/>
      <c r="FQT120" s="231"/>
      <c r="FQU120" s="231"/>
      <c r="FQV120" s="231"/>
      <c r="FQW120" s="231"/>
      <c r="FQX120" s="231"/>
      <c r="FQY120" s="231"/>
      <c r="FQZ120" s="231"/>
      <c r="FRA120" s="231"/>
      <c r="FRB120" s="231"/>
      <c r="FRC120" s="231"/>
      <c r="FRD120" s="231"/>
      <c r="FRE120" s="231"/>
      <c r="FRF120" s="231"/>
      <c r="FRG120" s="231"/>
      <c r="FRH120" s="231"/>
      <c r="FRI120" s="231"/>
      <c r="FRJ120" s="231"/>
      <c r="FRK120" s="231"/>
      <c r="FRL120" s="231"/>
      <c r="FRM120" s="231"/>
      <c r="FRN120" s="231"/>
      <c r="FRO120" s="231"/>
      <c r="FRP120" s="231"/>
      <c r="FRQ120" s="231"/>
      <c r="FRR120" s="231"/>
      <c r="FRS120" s="231"/>
      <c r="FRT120" s="231"/>
      <c r="FRU120" s="231"/>
      <c r="FRV120" s="231"/>
      <c r="FRW120" s="231"/>
      <c r="FRX120" s="231"/>
      <c r="FRY120" s="231"/>
      <c r="FRZ120" s="231"/>
      <c r="FSA120" s="231"/>
      <c r="FSB120" s="231"/>
      <c r="FSC120" s="231"/>
      <c r="FSD120" s="231"/>
      <c r="FSE120" s="231"/>
      <c r="FSF120" s="231"/>
      <c r="FSG120" s="231"/>
      <c r="FSH120" s="231"/>
      <c r="FSI120" s="231"/>
      <c r="FSJ120" s="231"/>
      <c r="FSK120" s="231"/>
      <c r="FSL120" s="231"/>
      <c r="FSM120" s="231"/>
      <c r="FSN120" s="231"/>
      <c r="FSO120" s="231"/>
      <c r="FSP120" s="231"/>
      <c r="FSQ120" s="231"/>
      <c r="FSR120" s="231"/>
      <c r="FSS120" s="231"/>
      <c r="FST120" s="231"/>
      <c r="FSU120" s="231"/>
      <c r="FSV120" s="231"/>
      <c r="FSW120" s="231"/>
      <c r="FSX120" s="231"/>
      <c r="FSY120" s="231"/>
      <c r="FSZ120" s="231"/>
      <c r="FTA120" s="231"/>
      <c r="FTB120" s="231"/>
      <c r="FTC120" s="231"/>
      <c r="FTD120" s="231"/>
      <c r="FTE120" s="231"/>
      <c r="FTF120" s="231"/>
      <c r="FTG120" s="231"/>
      <c r="FTH120" s="231"/>
      <c r="FTI120" s="231"/>
      <c r="FTJ120" s="231"/>
      <c r="FTK120" s="231"/>
      <c r="FTL120" s="231"/>
      <c r="FTM120" s="231"/>
      <c r="FTN120" s="231"/>
      <c r="FTO120" s="231"/>
      <c r="FTP120" s="231"/>
      <c r="FTQ120" s="231"/>
      <c r="FTR120" s="231"/>
      <c r="FTS120" s="231"/>
      <c r="FTT120" s="231"/>
      <c r="FTU120" s="231"/>
      <c r="FTV120" s="231"/>
      <c r="FTW120" s="231"/>
      <c r="FTX120" s="231"/>
      <c r="FTY120" s="231"/>
      <c r="FTZ120" s="231"/>
      <c r="FUA120" s="231"/>
      <c r="FUB120" s="231"/>
      <c r="FUC120" s="231"/>
      <c r="FUD120" s="231"/>
      <c r="FUE120" s="231"/>
      <c r="FUF120" s="231"/>
      <c r="FUG120" s="231"/>
      <c r="FUH120" s="231"/>
      <c r="FUI120" s="231"/>
      <c r="FUJ120" s="231"/>
      <c r="FUK120" s="231"/>
      <c r="FUL120" s="231"/>
      <c r="FUM120" s="231"/>
      <c r="FUN120" s="231"/>
      <c r="FUO120" s="231"/>
      <c r="FUP120" s="231"/>
      <c r="FUQ120" s="231"/>
      <c r="FUR120" s="231"/>
      <c r="FUS120" s="231"/>
      <c r="FUT120" s="231"/>
      <c r="FUU120" s="231"/>
      <c r="FUV120" s="231"/>
      <c r="FUW120" s="231"/>
      <c r="FUX120" s="231"/>
      <c r="FUY120" s="231"/>
      <c r="FUZ120" s="231"/>
      <c r="FVA120" s="231"/>
      <c r="FVB120" s="231"/>
      <c r="FVC120" s="231"/>
      <c r="FVD120" s="231"/>
      <c r="FVE120" s="231"/>
      <c r="FVF120" s="231"/>
      <c r="FVG120" s="231"/>
      <c r="FVH120" s="231"/>
      <c r="FVI120" s="231"/>
      <c r="FVJ120" s="231"/>
      <c r="FVK120" s="231"/>
      <c r="FVL120" s="231"/>
      <c r="FVM120" s="231"/>
      <c r="FVN120" s="231"/>
      <c r="FVO120" s="231"/>
      <c r="FVP120" s="231"/>
      <c r="FVQ120" s="231"/>
      <c r="FVR120" s="231"/>
      <c r="FVS120" s="231"/>
      <c r="FVT120" s="231"/>
      <c r="FVU120" s="231"/>
      <c r="FVV120" s="231"/>
      <c r="FVW120" s="231"/>
      <c r="FVX120" s="231"/>
      <c r="FVY120" s="231"/>
      <c r="FVZ120" s="231"/>
      <c r="FWA120" s="231"/>
      <c r="FWB120" s="231"/>
      <c r="FWC120" s="231"/>
      <c r="FWD120" s="231"/>
      <c r="FWE120" s="231"/>
      <c r="FWF120" s="231"/>
      <c r="FWG120" s="231"/>
      <c r="FWH120" s="231"/>
      <c r="FWI120" s="231"/>
      <c r="FWJ120" s="231"/>
      <c r="FWK120" s="231"/>
      <c r="FWL120" s="231"/>
      <c r="FWM120" s="231"/>
      <c r="FWN120" s="231"/>
      <c r="FWO120" s="231"/>
      <c r="FWP120" s="231"/>
      <c r="FWQ120" s="231"/>
      <c r="FWR120" s="231"/>
      <c r="FWS120" s="231"/>
      <c r="FWT120" s="231"/>
      <c r="FWU120" s="231"/>
      <c r="FWV120" s="231"/>
      <c r="FWW120" s="231"/>
      <c r="FWX120" s="231"/>
      <c r="FWY120" s="231"/>
      <c r="FWZ120" s="231"/>
      <c r="FXA120" s="231"/>
      <c r="FXB120" s="231"/>
      <c r="FXC120" s="231"/>
      <c r="FXD120" s="231"/>
      <c r="FXE120" s="231"/>
      <c r="FXF120" s="231"/>
      <c r="FXG120" s="231"/>
      <c r="FXH120" s="231"/>
      <c r="FXI120" s="231"/>
      <c r="FXJ120" s="231"/>
      <c r="FXK120" s="231"/>
      <c r="FXL120" s="231"/>
      <c r="FXM120" s="231"/>
      <c r="FXN120" s="231"/>
      <c r="FXO120" s="231"/>
      <c r="FXP120" s="231"/>
      <c r="FXQ120" s="231"/>
      <c r="FXR120" s="231"/>
      <c r="FXS120" s="231"/>
      <c r="FXT120" s="231"/>
      <c r="FXU120" s="231"/>
      <c r="FXV120" s="231"/>
      <c r="FXW120" s="231"/>
      <c r="FXX120" s="231"/>
      <c r="FXY120" s="231"/>
      <c r="FXZ120" s="231"/>
      <c r="FYA120" s="231"/>
      <c r="FYB120" s="231"/>
      <c r="FYC120" s="231"/>
      <c r="FYD120" s="231"/>
      <c r="FYE120" s="231"/>
      <c r="FYF120" s="231"/>
      <c r="FYG120" s="231"/>
      <c r="FYH120" s="231"/>
      <c r="FYI120" s="231"/>
      <c r="FYJ120" s="231"/>
      <c r="FYK120" s="231"/>
      <c r="FYL120" s="231"/>
      <c r="FYM120" s="231"/>
      <c r="FYN120" s="231"/>
      <c r="FYO120" s="231"/>
      <c r="FYP120" s="231"/>
      <c r="FYQ120" s="231"/>
      <c r="FYR120" s="231"/>
      <c r="FYS120" s="231"/>
      <c r="FYT120" s="231"/>
      <c r="FYU120" s="231"/>
      <c r="FYV120" s="231"/>
      <c r="FYW120" s="231"/>
      <c r="FYX120" s="231"/>
      <c r="FYY120" s="231"/>
      <c r="FYZ120" s="231"/>
      <c r="FZA120" s="231"/>
      <c r="FZB120" s="231"/>
      <c r="FZC120" s="231"/>
      <c r="FZD120" s="231"/>
      <c r="FZE120" s="231"/>
      <c r="FZF120" s="231"/>
      <c r="FZG120" s="231"/>
      <c r="FZH120" s="231"/>
      <c r="FZI120" s="231"/>
      <c r="FZJ120" s="231"/>
      <c r="FZK120" s="231"/>
      <c r="FZL120" s="231"/>
      <c r="FZM120" s="231"/>
      <c r="FZN120" s="231"/>
      <c r="FZO120" s="231"/>
      <c r="FZP120" s="231"/>
      <c r="FZQ120" s="231"/>
      <c r="FZR120" s="231"/>
      <c r="FZS120" s="231"/>
      <c r="FZT120" s="231"/>
      <c r="FZU120" s="231"/>
      <c r="FZV120" s="231"/>
      <c r="FZW120" s="231"/>
      <c r="FZX120" s="231"/>
      <c r="FZY120" s="231"/>
      <c r="FZZ120" s="231"/>
      <c r="GAA120" s="231"/>
      <c r="GAB120" s="231"/>
      <c r="GAC120" s="231"/>
      <c r="GAD120" s="231"/>
      <c r="GAE120" s="231"/>
      <c r="GAF120" s="231"/>
      <c r="GAG120" s="231"/>
      <c r="GAH120" s="231"/>
      <c r="GAI120" s="231"/>
      <c r="GAJ120" s="231"/>
      <c r="GAK120" s="231"/>
      <c r="GAL120" s="231"/>
      <c r="GAM120" s="231"/>
      <c r="GAN120" s="231"/>
      <c r="GAO120" s="231"/>
      <c r="GAP120" s="231"/>
      <c r="GAQ120" s="231"/>
      <c r="GAR120" s="231"/>
      <c r="GAS120" s="231"/>
      <c r="GAT120" s="231"/>
      <c r="GAU120" s="231"/>
      <c r="GAV120" s="231"/>
      <c r="GAW120" s="231"/>
      <c r="GAX120" s="231"/>
      <c r="GAY120" s="231"/>
      <c r="GAZ120" s="231"/>
      <c r="GBA120" s="231"/>
      <c r="GBB120" s="231"/>
      <c r="GBC120" s="231"/>
      <c r="GBD120" s="231"/>
      <c r="GBE120" s="231"/>
      <c r="GBF120" s="231"/>
      <c r="GBG120" s="231"/>
      <c r="GBH120" s="231"/>
      <c r="GBI120" s="231"/>
      <c r="GBJ120" s="231"/>
      <c r="GBK120" s="231"/>
      <c r="GBL120" s="231"/>
      <c r="GBM120" s="231"/>
      <c r="GBN120" s="231"/>
      <c r="GBO120" s="231"/>
      <c r="GBP120" s="231"/>
      <c r="GBQ120" s="231"/>
      <c r="GBR120" s="231"/>
      <c r="GBS120" s="231"/>
      <c r="GBT120" s="231"/>
      <c r="GBU120" s="231"/>
      <c r="GBV120" s="231"/>
      <c r="GBW120" s="231"/>
      <c r="GBX120" s="231"/>
      <c r="GBY120" s="231"/>
      <c r="GBZ120" s="231"/>
      <c r="GCA120" s="231"/>
      <c r="GCB120" s="231"/>
      <c r="GCC120" s="231"/>
      <c r="GCD120" s="231"/>
      <c r="GCE120" s="231"/>
      <c r="GCF120" s="231"/>
      <c r="GCG120" s="231"/>
      <c r="GCH120" s="231"/>
      <c r="GCI120" s="231"/>
      <c r="GCJ120" s="231"/>
      <c r="GCK120" s="231"/>
      <c r="GCL120" s="231"/>
      <c r="GCM120" s="231"/>
      <c r="GCN120" s="231"/>
      <c r="GCO120" s="231"/>
      <c r="GCP120" s="231"/>
      <c r="GCQ120" s="231"/>
      <c r="GCR120" s="231"/>
      <c r="GCS120" s="231"/>
      <c r="GCT120" s="231"/>
      <c r="GCU120" s="231"/>
      <c r="GCV120" s="231"/>
      <c r="GCW120" s="231"/>
      <c r="GCX120" s="231"/>
      <c r="GCY120" s="231"/>
      <c r="GCZ120" s="231"/>
      <c r="GDA120" s="231"/>
      <c r="GDB120" s="231"/>
      <c r="GDC120" s="231"/>
      <c r="GDD120" s="231"/>
      <c r="GDE120" s="231"/>
      <c r="GDF120" s="231"/>
      <c r="GDG120" s="231"/>
      <c r="GDH120" s="231"/>
      <c r="GDI120" s="231"/>
      <c r="GDJ120" s="231"/>
      <c r="GDK120" s="231"/>
      <c r="GDL120" s="231"/>
      <c r="GDM120" s="231"/>
      <c r="GDN120" s="231"/>
      <c r="GDO120" s="231"/>
      <c r="GDP120" s="231"/>
      <c r="GDQ120" s="231"/>
      <c r="GDR120" s="231"/>
      <c r="GDS120" s="231"/>
      <c r="GDT120" s="231"/>
      <c r="GDU120" s="231"/>
      <c r="GDV120" s="231"/>
      <c r="GDW120" s="231"/>
      <c r="GDX120" s="231"/>
      <c r="GDY120" s="231"/>
      <c r="GDZ120" s="231"/>
      <c r="GEA120" s="231"/>
      <c r="GEB120" s="231"/>
      <c r="GEC120" s="231"/>
      <c r="GED120" s="231"/>
      <c r="GEE120" s="231"/>
      <c r="GEF120" s="231"/>
      <c r="GEG120" s="231"/>
      <c r="GEH120" s="231"/>
      <c r="GEI120" s="231"/>
      <c r="GEJ120" s="231"/>
      <c r="GEK120" s="231"/>
      <c r="GEL120" s="231"/>
      <c r="GEM120" s="231"/>
      <c r="GEN120" s="231"/>
      <c r="GEO120" s="231"/>
      <c r="GEP120" s="231"/>
      <c r="GEQ120" s="231"/>
      <c r="GER120" s="231"/>
      <c r="GES120" s="231"/>
      <c r="GET120" s="231"/>
      <c r="GEU120" s="231"/>
      <c r="GEV120" s="231"/>
      <c r="GEW120" s="231"/>
      <c r="GEX120" s="231"/>
      <c r="GEY120" s="231"/>
      <c r="GEZ120" s="231"/>
      <c r="GFA120" s="231"/>
      <c r="GFB120" s="231"/>
      <c r="GFC120" s="231"/>
      <c r="GFD120" s="231"/>
      <c r="GFE120" s="231"/>
      <c r="GFF120" s="231"/>
      <c r="GFG120" s="231"/>
      <c r="GFH120" s="231"/>
      <c r="GFI120" s="231"/>
      <c r="GFJ120" s="231"/>
      <c r="GFK120" s="231"/>
      <c r="GFL120" s="231"/>
      <c r="GFM120" s="231"/>
      <c r="GFN120" s="231"/>
      <c r="GFO120" s="231"/>
      <c r="GFP120" s="231"/>
      <c r="GFQ120" s="231"/>
      <c r="GFR120" s="231"/>
      <c r="GFS120" s="231"/>
      <c r="GFT120" s="231"/>
      <c r="GFU120" s="231"/>
      <c r="GFV120" s="231"/>
      <c r="GFW120" s="231"/>
      <c r="GFX120" s="231"/>
      <c r="GFY120" s="231"/>
      <c r="GFZ120" s="231"/>
      <c r="GGA120" s="231"/>
      <c r="GGB120" s="231"/>
      <c r="GGC120" s="231"/>
      <c r="GGD120" s="231"/>
      <c r="GGE120" s="231"/>
      <c r="GGF120" s="231"/>
      <c r="GGG120" s="231"/>
      <c r="GGH120" s="231"/>
      <c r="GGI120" s="231"/>
      <c r="GGJ120" s="231"/>
      <c r="GGK120" s="231"/>
      <c r="GGL120" s="231"/>
      <c r="GGM120" s="231"/>
      <c r="GGN120" s="231"/>
      <c r="GGO120" s="231"/>
      <c r="GGP120" s="231"/>
      <c r="GGQ120" s="231"/>
      <c r="GGR120" s="231"/>
      <c r="GGS120" s="231"/>
      <c r="GGT120" s="231"/>
      <c r="GGU120" s="231"/>
      <c r="GGV120" s="231"/>
      <c r="GGW120" s="231"/>
      <c r="GGX120" s="231"/>
      <c r="GGY120" s="231"/>
      <c r="GGZ120" s="231"/>
      <c r="GHA120" s="231"/>
      <c r="GHB120" s="231"/>
      <c r="GHC120" s="231"/>
      <c r="GHD120" s="231"/>
      <c r="GHE120" s="231"/>
      <c r="GHF120" s="231"/>
      <c r="GHG120" s="231"/>
      <c r="GHH120" s="231"/>
      <c r="GHI120" s="231"/>
      <c r="GHJ120" s="231"/>
      <c r="GHK120" s="231"/>
      <c r="GHL120" s="231"/>
      <c r="GHM120" s="231"/>
      <c r="GHN120" s="231"/>
      <c r="GHO120" s="231"/>
      <c r="GHP120" s="231"/>
      <c r="GHQ120" s="231"/>
      <c r="GHR120" s="231"/>
      <c r="GHS120" s="231"/>
      <c r="GHT120" s="231"/>
      <c r="GHU120" s="231"/>
      <c r="GHV120" s="231"/>
      <c r="GHW120" s="231"/>
      <c r="GHX120" s="231"/>
      <c r="GHY120" s="231"/>
      <c r="GHZ120" s="231"/>
      <c r="GIA120" s="231"/>
      <c r="GIB120" s="231"/>
      <c r="GIC120" s="231"/>
      <c r="GID120" s="231"/>
      <c r="GIE120" s="231"/>
      <c r="GIF120" s="231"/>
      <c r="GIG120" s="231"/>
      <c r="GIH120" s="231"/>
      <c r="GII120" s="231"/>
      <c r="GIJ120" s="231"/>
      <c r="GIK120" s="231"/>
      <c r="GIL120" s="231"/>
      <c r="GIM120" s="231"/>
      <c r="GIN120" s="231"/>
      <c r="GIO120" s="231"/>
      <c r="GIP120" s="231"/>
      <c r="GIQ120" s="231"/>
      <c r="GIR120" s="231"/>
      <c r="GIS120" s="231"/>
      <c r="GIT120" s="231"/>
      <c r="GIU120" s="231"/>
      <c r="GIV120" s="231"/>
      <c r="GIW120" s="231"/>
      <c r="GIX120" s="231"/>
      <c r="GIY120" s="231"/>
      <c r="GIZ120" s="231"/>
      <c r="GJA120" s="231"/>
      <c r="GJB120" s="231"/>
      <c r="GJC120" s="231"/>
      <c r="GJD120" s="231"/>
      <c r="GJE120" s="231"/>
      <c r="GJF120" s="231"/>
      <c r="GJG120" s="231"/>
      <c r="GJH120" s="231"/>
      <c r="GJI120" s="231"/>
      <c r="GJJ120" s="231"/>
      <c r="GJK120" s="231"/>
      <c r="GJL120" s="231"/>
      <c r="GJM120" s="231"/>
      <c r="GJN120" s="231"/>
      <c r="GJO120" s="231"/>
      <c r="GJP120" s="231"/>
      <c r="GJQ120" s="231"/>
      <c r="GJR120" s="231"/>
      <c r="GJS120" s="231"/>
      <c r="GJT120" s="231"/>
      <c r="GJU120" s="231"/>
      <c r="GJV120" s="231"/>
      <c r="GJW120" s="231"/>
      <c r="GJX120" s="231"/>
      <c r="GJY120" s="231"/>
      <c r="GJZ120" s="231"/>
      <c r="GKA120" s="231"/>
      <c r="GKB120" s="231"/>
      <c r="GKC120" s="231"/>
      <c r="GKD120" s="231"/>
      <c r="GKE120" s="231"/>
      <c r="GKF120" s="231"/>
      <c r="GKG120" s="231"/>
      <c r="GKH120" s="231"/>
      <c r="GKI120" s="231"/>
      <c r="GKJ120" s="231"/>
      <c r="GKK120" s="231"/>
      <c r="GKL120" s="231"/>
      <c r="GKM120" s="231"/>
      <c r="GKN120" s="231"/>
      <c r="GKO120" s="231"/>
      <c r="GKP120" s="231"/>
      <c r="GKQ120" s="231"/>
      <c r="GKR120" s="231"/>
      <c r="GKS120" s="231"/>
      <c r="GKT120" s="231"/>
      <c r="GKU120" s="231"/>
      <c r="GKV120" s="231"/>
      <c r="GKW120" s="231"/>
      <c r="GKX120" s="231"/>
      <c r="GKY120" s="231"/>
      <c r="GKZ120" s="231"/>
      <c r="GLA120" s="231"/>
      <c r="GLB120" s="231"/>
      <c r="GLC120" s="231"/>
      <c r="GLD120" s="231"/>
      <c r="GLE120" s="231"/>
      <c r="GLF120" s="231"/>
      <c r="GLG120" s="231"/>
      <c r="GLH120" s="231"/>
      <c r="GLI120" s="231"/>
      <c r="GLJ120" s="231"/>
      <c r="GLK120" s="231"/>
      <c r="GLL120" s="231"/>
      <c r="GLM120" s="231"/>
      <c r="GLN120" s="231"/>
      <c r="GLO120" s="231"/>
      <c r="GLP120" s="231"/>
      <c r="GLQ120" s="231"/>
      <c r="GLR120" s="231"/>
      <c r="GLS120" s="231"/>
      <c r="GLT120" s="231"/>
      <c r="GLU120" s="231"/>
      <c r="GLV120" s="231"/>
      <c r="GLW120" s="231"/>
      <c r="GLX120" s="231"/>
      <c r="GLY120" s="231"/>
      <c r="GLZ120" s="231"/>
      <c r="GMA120" s="231"/>
      <c r="GMB120" s="231"/>
      <c r="GMC120" s="231"/>
      <c r="GMD120" s="231"/>
      <c r="GME120" s="231"/>
      <c r="GMF120" s="231"/>
      <c r="GMG120" s="231"/>
      <c r="GMH120" s="231"/>
      <c r="GMI120" s="231"/>
      <c r="GMJ120" s="231"/>
      <c r="GMK120" s="231"/>
      <c r="GML120" s="231"/>
      <c r="GMM120" s="231"/>
      <c r="GMN120" s="231"/>
      <c r="GMO120" s="231"/>
      <c r="GMP120" s="231"/>
      <c r="GMQ120" s="231"/>
      <c r="GMR120" s="231"/>
      <c r="GMS120" s="231"/>
      <c r="GMT120" s="231"/>
      <c r="GMU120" s="231"/>
      <c r="GMV120" s="231"/>
      <c r="GMW120" s="231"/>
      <c r="GMX120" s="231"/>
      <c r="GMY120" s="231"/>
      <c r="GMZ120" s="231"/>
      <c r="GNA120" s="231"/>
      <c r="GNB120" s="231"/>
      <c r="GNC120" s="231"/>
      <c r="GND120" s="231"/>
      <c r="GNE120" s="231"/>
      <c r="GNF120" s="231"/>
      <c r="GNG120" s="231"/>
      <c r="GNH120" s="231"/>
      <c r="GNI120" s="231"/>
      <c r="GNJ120" s="231"/>
      <c r="GNK120" s="231"/>
      <c r="GNL120" s="231"/>
      <c r="GNM120" s="231"/>
      <c r="GNN120" s="231"/>
      <c r="GNO120" s="231"/>
      <c r="GNP120" s="231"/>
      <c r="GNQ120" s="231"/>
      <c r="GNR120" s="231"/>
      <c r="GNS120" s="231"/>
      <c r="GNT120" s="231"/>
      <c r="GNU120" s="231"/>
      <c r="GNV120" s="231"/>
      <c r="GNW120" s="231"/>
      <c r="GNX120" s="231"/>
      <c r="GNY120" s="231"/>
      <c r="GNZ120" s="231"/>
      <c r="GOA120" s="231"/>
      <c r="GOB120" s="231"/>
      <c r="GOC120" s="231"/>
      <c r="GOD120" s="231"/>
      <c r="GOE120" s="231"/>
      <c r="GOF120" s="231"/>
      <c r="GOG120" s="231"/>
      <c r="GOH120" s="231"/>
      <c r="GOI120" s="231"/>
      <c r="GOJ120" s="231"/>
      <c r="GOK120" s="231"/>
      <c r="GOL120" s="231"/>
      <c r="GOM120" s="231"/>
      <c r="GON120" s="231"/>
      <c r="GOO120" s="231"/>
      <c r="GOP120" s="231"/>
      <c r="GOQ120" s="231"/>
      <c r="GOR120" s="231"/>
      <c r="GOS120" s="231"/>
      <c r="GOT120" s="231"/>
      <c r="GOU120" s="231"/>
      <c r="GOV120" s="231"/>
      <c r="GOW120" s="231"/>
      <c r="GOX120" s="231"/>
      <c r="GOY120" s="231"/>
      <c r="GOZ120" s="231"/>
      <c r="GPA120" s="231"/>
      <c r="GPB120" s="231"/>
      <c r="GPC120" s="231"/>
      <c r="GPD120" s="231"/>
      <c r="GPE120" s="231"/>
      <c r="GPF120" s="231"/>
      <c r="GPG120" s="231"/>
      <c r="GPH120" s="231"/>
      <c r="GPI120" s="231"/>
      <c r="GPJ120" s="231"/>
      <c r="GPK120" s="231"/>
      <c r="GPL120" s="231"/>
      <c r="GPM120" s="231"/>
      <c r="GPN120" s="231"/>
      <c r="GPO120" s="231"/>
      <c r="GPP120" s="231"/>
      <c r="GPQ120" s="231"/>
      <c r="GPR120" s="231"/>
      <c r="GPS120" s="231"/>
      <c r="GPT120" s="231"/>
      <c r="GPU120" s="231"/>
      <c r="GPV120" s="231"/>
      <c r="GPW120" s="231"/>
      <c r="GPX120" s="231"/>
      <c r="GPY120" s="231"/>
      <c r="GPZ120" s="231"/>
      <c r="GQA120" s="231"/>
      <c r="GQB120" s="231"/>
      <c r="GQC120" s="231"/>
      <c r="GQD120" s="231"/>
      <c r="GQE120" s="231"/>
      <c r="GQF120" s="231"/>
      <c r="GQG120" s="231"/>
      <c r="GQH120" s="231"/>
      <c r="GQI120" s="231"/>
      <c r="GQJ120" s="231"/>
      <c r="GQK120" s="231"/>
      <c r="GQL120" s="231"/>
      <c r="GQM120" s="231"/>
      <c r="GQN120" s="231"/>
      <c r="GQO120" s="231"/>
      <c r="GQP120" s="231"/>
      <c r="GQQ120" s="231"/>
      <c r="GQR120" s="231"/>
      <c r="GQS120" s="231"/>
      <c r="GQT120" s="231"/>
      <c r="GQU120" s="231"/>
      <c r="GQV120" s="231"/>
      <c r="GQW120" s="231"/>
      <c r="GQX120" s="231"/>
      <c r="GQY120" s="231"/>
      <c r="GQZ120" s="231"/>
      <c r="GRA120" s="231"/>
      <c r="GRB120" s="231"/>
      <c r="GRC120" s="231"/>
      <c r="GRD120" s="231"/>
      <c r="GRE120" s="231"/>
      <c r="GRF120" s="231"/>
      <c r="GRG120" s="231"/>
      <c r="GRH120" s="231"/>
      <c r="GRI120" s="231"/>
      <c r="GRJ120" s="231"/>
      <c r="GRK120" s="231"/>
      <c r="GRL120" s="231"/>
      <c r="GRM120" s="231"/>
      <c r="GRN120" s="231"/>
      <c r="GRO120" s="231"/>
      <c r="GRP120" s="231"/>
      <c r="GRQ120" s="231"/>
      <c r="GRR120" s="231"/>
      <c r="GRS120" s="231"/>
      <c r="GRT120" s="231"/>
      <c r="GRU120" s="231"/>
      <c r="GRV120" s="231"/>
      <c r="GRW120" s="231"/>
      <c r="GRX120" s="231"/>
      <c r="GRY120" s="231"/>
      <c r="GRZ120" s="231"/>
      <c r="GSA120" s="231"/>
      <c r="GSB120" s="231"/>
      <c r="GSC120" s="231"/>
      <c r="GSD120" s="231"/>
      <c r="GSE120" s="231"/>
      <c r="GSF120" s="231"/>
      <c r="GSG120" s="231"/>
      <c r="GSH120" s="231"/>
      <c r="GSI120" s="231"/>
      <c r="GSJ120" s="231"/>
      <c r="GSK120" s="231"/>
      <c r="GSL120" s="231"/>
      <c r="GSM120" s="231"/>
      <c r="GSN120" s="231"/>
      <c r="GSO120" s="231"/>
      <c r="GSP120" s="231"/>
      <c r="GSQ120" s="231"/>
      <c r="GSR120" s="231"/>
      <c r="GSS120" s="231"/>
      <c r="GST120" s="231"/>
      <c r="GSU120" s="231"/>
      <c r="GSV120" s="231"/>
      <c r="GSW120" s="231"/>
      <c r="GSX120" s="231"/>
      <c r="GSY120" s="231"/>
      <c r="GSZ120" s="231"/>
      <c r="GTA120" s="231"/>
      <c r="GTB120" s="231"/>
      <c r="GTC120" s="231"/>
      <c r="GTD120" s="231"/>
      <c r="GTE120" s="231"/>
      <c r="GTF120" s="231"/>
      <c r="GTG120" s="231"/>
      <c r="GTH120" s="231"/>
      <c r="GTI120" s="231"/>
      <c r="GTJ120" s="231"/>
      <c r="GTK120" s="231"/>
      <c r="GTL120" s="231"/>
      <c r="GTM120" s="231"/>
      <c r="GTN120" s="231"/>
      <c r="GTO120" s="231"/>
      <c r="GTP120" s="231"/>
      <c r="GTQ120" s="231"/>
      <c r="GTR120" s="231"/>
      <c r="GTS120" s="231"/>
      <c r="GTT120" s="231"/>
      <c r="GTU120" s="231"/>
      <c r="GTV120" s="231"/>
      <c r="GTW120" s="231"/>
      <c r="GTX120" s="231"/>
      <c r="GTY120" s="231"/>
      <c r="GTZ120" s="231"/>
      <c r="GUA120" s="231"/>
      <c r="GUB120" s="231"/>
      <c r="GUC120" s="231"/>
      <c r="GUD120" s="231"/>
      <c r="GUE120" s="231"/>
      <c r="GUF120" s="231"/>
      <c r="GUG120" s="231"/>
      <c r="GUH120" s="231"/>
      <c r="GUI120" s="231"/>
      <c r="GUJ120" s="231"/>
      <c r="GUK120" s="231"/>
      <c r="GUL120" s="231"/>
      <c r="GUM120" s="231"/>
      <c r="GUN120" s="231"/>
      <c r="GUO120" s="231"/>
      <c r="GUP120" s="231"/>
      <c r="GUQ120" s="231"/>
      <c r="GUR120" s="231"/>
      <c r="GUS120" s="231"/>
      <c r="GUT120" s="231"/>
      <c r="GUU120" s="231"/>
      <c r="GUV120" s="231"/>
      <c r="GUW120" s="231"/>
      <c r="GUX120" s="231"/>
      <c r="GUY120" s="231"/>
      <c r="GUZ120" s="231"/>
      <c r="GVA120" s="231"/>
      <c r="GVB120" s="231"/>
      <c r="GVC120" s="231"/>
      <c r="GVD120" s="231"/>
      <c r="GVE120" s="231"/>
      <c r="GVF120" s="231"/>
      <c r="GVG120" s="231"/>
      <c r="GVH120" s="231"/>
      <c r="GVI120" s="231"/>
      <c r="GVJ120" s="231"/>
      <c r="GVK120" s="231"/>
      <c r="GVL120" s="231"/>
      <c r="GVM120" s="231"/>
      <c r="GVN120" s="231"/>
      <c r="GVO120" s="231"/>
      <c r="GVP120" s="231"/>
      <c r="GVQ120" s="231"/>
      <c r="GVR120" s="231"/>
      <c r="GVS120" s="231"/>
      <c r="GVT120" s="231"/>
      <c r="GVU120" s="231"/>
      <c r="GVV120" s="231"/>
      <c r="GVW120" s="231"/>
      <c r="GVX120" s="231"/>
      <c r="GVY120" s="231"/>
      <c r="GVZ120" s="231"/>
      <c r="GWA120" s="231"/>
      <c r="GWB120" s="231"/>
      <c r="GWC120" s="231"/>
      <c r="GWD120" s="231"/>
      <c r="GWE120" s="231"/>
      <c r="GWF120" s="231"/>
      <c r="GWG120" s="231"/>
      <c r="GWH120" s="231"/>
      <c r="GWI120" s="231"/>
      <c r="GWJ120" s="231"/>
      <c r="GWK120" s="231"/>
      <c r="GWL120" s="231"/>
      <c r="GWM120" s="231"/>
      <c r="GWN120" s="231"/>
      <c r="GWO120" s="231"/>
      <c r="GWP120" s="231"/>
      <c r="GWQ120" s="231"/>
      <c r="GWR120" s="231"/>
      <c r="GWS120" s="231"/>
      <c r="GWT120" s="231"/>
      <c r="GWU120" s="231"/>
      <c r="GWV120" s="231"/>
      <c r="GWW120" s="231"/>
      <c r="GWX120" s="231"/>
      <c r="GWY120" s="231"/>
      <c r="GWZ120" s="231"/>
      <c r="GXA120" s="231"/>
      <c r="GXB120" s="231"/>
      <c r="GXC120" s="231"/>
      <c r="GXD120" s="231"/>
      <c r="GXE120" s="231"/>
      <c r="GXF120" s="231"/>
      <c r="GXG120" s="231"/>
      <c r="GXH120" s="231"/>
      <c r="GXI120" s="231"/>
      <c r="GXJ120" s="231"/>
      <c r="GXK120" s="231"/>
      <c r="GXL120" s="231"/>
      <c r="GXM120" s="231"/>
      <c r="GXN120" s="231"/>
      <c r="GXO120" s="231"/>
      <c r="GXP120" s="231"/>
      <c r="GXQ120" s="231"/>
      <c r="GXR120" s="231"/>
      <c r="GXS120" s="231"/>
      <c r="GXT120" s="231"/>
      <c r="GXU120" s="231"/>
      <c r="GXV120" s="231"/>
      <c r="GXW120" s="231"/>
      <c r="GXX120" s="231"/>
      <c r="GXY120" s="231"/>
      <c r="GXZ120" s="231"/>
      <c r="GYA120" s="231"/>
      <c r="GYB120" s="231"/>
      <c r="GYC120" s="231"/>
      <c r="GYD120" s="231"/>
      <c r="GYE120" s="231"/>
      <c r="GYF120" s="231"/>
      <c r="GYG120" s="231"/>
      <c r="GYH120" s="231"/>
      <c r="GYI120" s="231"/>
      <c r="GYJ120" s="231"/>
      <c r="GYK120" s="231"/>
      <c r="GYL120" s="231"/>
      <c r="GYM120" s="231"/>
      <c r="GYN120" s="231"/>
      <c r="GYO120" s="231"/>
      <c r="GYP120" s="231"/>
      <c r="GYQ120" s="231"/>
      <c r="GYR120" s="231"/>
      <c r="GYS120" s="231"/>
      <c r="GYT120" s="231"/>
      <c r="GYU120" s="231"/>
      <c r="GYV120" s="231"/>
      <c r="GYW120" s="231"/>
      <c r="GYX120" s="231"/>
      <c r="GYY120" s="231"/>
      <c r="GYZ120" s="231"/>
      <c r="GZA120" s="231"/>
      <c r="GZB120" s="231"/>
      <c r="GZC120" s="231"/>
      <c r="GZD120" s="231"/>
      <c r="GZE120" s="231"/>
      <c r="GZF120" s="231"/>
      <c r="GZG120" s="231"/>
      <c r="GZH120" s="231"/>
      <c r="GZI120" s="231"/>
      <c r="GZJ120" s="231"/>
      <c r="GZK120" s="231"/>
      <c r="GZL120" s="231"/>
      <c r="GZM120" s="231"/>
      <c r="GZN120" s="231"/>
      <c r="GZO120" s="231"/>
      <c r="GZP120" s="231"/>
      <c r="GZQ120" s="231"/>
      <c r="GZR120" s="231"/>
      <c r="GZS120" s="231"/>
      <c r="GZT120" s="231"/>
      <c r="GZU120" s="231"/>
      <c r="GZV120" s="231"/>
      <c r="GZW120" s="231"/>
      <c r="GZX120" s="231"/>
      <c r="GZY120" s="231"/>
      <c r="GZZ120" s="231"/>
      <c r="HAA120" s="231"/>
      <c r="HAB120" s="231"/>
      <c r="HAC120" s="231"/>
      <c r="HAD120" s="231"/>
      <c r="HAE120" s="231"/>
      <c r="HAF120" s="231"/>
      <c r="HAG120" s="231"/>
      <c r="HAH120" s="231"/>
      <c r="HAI120" s="231"/>
      <c r="HAJ120" s="231"/>
      <c r="HAK120" s="231"/>
      <c r="HAL120" s="231"/>
      <c r="HAM120" s="231"/>
      <c r="HAN120" s="231"/>
      <c r="HAO120" s="231"/>
      <c r="HAP120" s="231"/>
      <c r="HAQ120" s="231"/>
      <c r="HAR120" s="231"/>
      <c r="HAS120" s="231"/>
      <c r="HAT120" s="231"/>
      <c r="HAU120" s="231"/>
      <c r="HAV120" s="231"/>
      <c r="HAW120" s="231"/>
      <c r="HAX120" s="231"/>
      <c r="HAY120" s="231"/>
      <c r="HAZ120" s="231"/>
      <c r="HBA120" s="231"/>
      <c r="HBB120" s="231"/>
      <c r="HBC120" s="231"/>
      <c r="HBD120" s="231"/>
      <c r="HBE120" s="231"/>
      <c r="HBF120" s="231"/>
      <c r="HBG120" s="231"/>
      <c r="HBH120" s="231"/>
      <c r="HBI120" s="231"/>
      <c r="HBJ120" s="231"/>
      <c r="HBK120" s="231"/>
      <c r="HBL120" s="231"/>
      <c r="HBM120" s="231"/>
      <c r="HBN120" s="231"/>
      <c r="HBO120" s="231"/>
      <c r="HBP120" s="231"/>
      <c r="HBQ120" s="231"/>
      <c r="HBR120" s="231"/>
      <c r="HBS120" s="231"/>
      <c r="HBT120" s="231"/>
      <c r="HBU120" s="231"/>
      <c r="HBV120" s="231"/>
      <c r="HBW120" s="231"/>
      <c r="HBX120" s="231"/>
      <c r="HBY120" s="231"/>
      <c r="HBZ120" s="231"/>
      <c r="HCA120" s="231"/>
      <c r="HCB120" s="231"/>
      <c r="HCC120" s="231"/>
      <c r="HCD120" s="231"/>
      <c r="HCE120" s="231"/>
      <c r="HCF120" s="231"/>
      <c r="HCG120" s="231"/>
      <c r="HCH120" s="231"/>
      <c r="HCI120" s="231"/>
      <c r="HCJ120" s="231"/>
      <c r="HCK120" s="231"/>
      <c r="HCL120" s="231"/>
      <c r="HCM120" s="231"/>
      <c r="HCN120" s="231"/>
      <c r="HCO120" s="231"/>
      <c r="HCP120" s="231"/>
      <c r="HCQ120" s="231"/>
      <c r="HCR120" s="231"/>
      <c r="HCS120" s="231"/>
      <c r="HCT120" s="231"/>
      <c r="HCU120" s="231"/>
      <c r="HCV120" s="231"/>
      <c r="HCW120" s="231"/>
      <c r="HCX120" s="231"/>
      <c r="HCY120" s="231"/>
      <c r="HCZ120" s="231"/>
      <c r="HDA120" s="231"/>
      <c r="HDB120" s="231"/>
      <c r="HDC120" s="231"/>
      <c r="HDD120" s="231"/>
      <c r="HDE120" s="231"/>
      <c r="HDF120" s="231"/>
      <c r="HDG120" s="231"/>
      <c r="HDH120" s="231"/>
      <c r="HDI120" s="231"/>
      <c r="HDJ120" s="231"/>
      <c r="HDK120" s="231"/>
      <c r="HDL120" s="231"/>
      <c r="HDM120" s="231"/>
      <c r="HDN120" s="231"/>
      <c r="HDO120" s="231"/>
      <c r="HDP120" s="231"/>
      <c r="HDQ120" s="231"/>
      <c r="HDR120" s="231"/>
      <c r="HDS120" s="231"/>
      <c r="HDT120" s="231"/>
      <c r="HDU120" s="231"/>
      <c r="HDV120" s="231"/>
      <c r="HDW120" s="231"/>
      <c r="HDX120" s="231"/>
      <c r="HDY120" s="231"/>
      <c r="HDZ120" s="231"/>
      <c r="HEA120" s="231"/>
      <c r="HEB120" s="231"/>
      <c r="HEC120" s="231"/>
      <c r="HED120" s="231"/>
      <c r="HEE120" s="231"/>
      <c r="HEF120" s="231"/>
      <c r="HEG120" s="231"/>
      <c r="HEH120" s="231"/>
      <c r="HEI120" s="231"/>
      <c r="HEJ120" s="231"/>
      <c r="HEK120" s="231"/>
      <c r="HEL120" s="231"/>
      <c r="HEM120" s="231"/>
      <c r="HEN120" s="231"/>
      <c r="HEO120" s="231"/>
      <c r="HEP120" s="231"/>
      <c r="HEQ120" s="231"/>
      <c r="HER120" s="231"/>
      <c r="HES120" s="231"/>
      <c r="HET120" s="231"/>
      <c r="HEU120" s="231"/>
      <c r="HEV120" s="231"/>
      <c r="HEW120" s="231"/>
      <c r="HEX120" s="231"/>
      <c r="HEY120" s="231"/>
      <c r="HEZ120" s="231"/>
      <c r="HFA120" s="231"/>
      <c r="HFB120" s="231"/>
      <c r="HFC120" s="231"/>
      <c r="HFD120" s="231"/>
      <c r="HFE120" s="231"/>
      <c r="HFF120" s="231"/>
      <c r="HFG120" s="231"/>
      <c r="HFH120" s="231"/>
      <c r="HFI120" s="231"/>
      <c r="HFJ120" s="231"/>
      <c r="HFK120" s="231"/>
      <c r="HFL120" s="231"/>
      <c r="HFM120" s="231"/>
      <c r="HFN120" s="231"/>
      <c r="HFO120" s="231"/>
      <c r="HFP120" s="231"/>
      <c r="HFQ120" s="231"/>
      <c r="HFR120" s="231"/>
      <c r="HFS120" s="231"/>
      <c r="HFT120" s="231"/>
      <c r="HFU120" s="231"/>
      <c r="HFV120" s="231"/>
      <c r="HFW120" s="231"/>
      <c r="HFX120" s="231"/>
      <c r="HFY120" s="231"/>
      <c r="HFZ120" s="231"/>
      <c r="HGA120" s="231"/>
      <c r="HGB120" s="231"/>
      <c r="HGC120" s="231"/>
      <c r="HGD120" s="231"/>
      <c r="HGE120" s="231"/>
      <c r="HGF120" s="231"/>
      <c r="HGG120" s="231"/>
      <c r="HGH120" s="231"/>
      <c r="HGI120" s="231"/>
      <c r="HGJ120" s="231"/>
      <c r="HGK120" s="231"/>
      <c r="HGL120" s="231"/>
      <c r="HGM120" s="231"/>
      <c r="HGN120" s="231"/>
      <c r="HGO120" s="231"/>
      <c r="HGP120" s="231"/>
      <c r="HGQ120" s="231"/>
      <c r="HGR120" s="231"/>
      <c r="HGS120" s="231"/>
      <c r="HGT120" s="231"/>
      <c r="HGU120" s="231"/>
      <c r="HGV120" s="231"/>
      <c r="HGW120" s="231"/>
      <c r="HGX120" s="231"/>
      <c r="HGY120" s="231"/>
      <c r="HGZ120" s="231"/>
      <c r="HHA120" s="231"/>
      <c r="HHB120" s="231"/>
      <c r="HHC120" s="231"/>
      <c r="HHD120" s="231"/>
      <c r="HHE120" s="231"/>
      <c r="HHF120" s="231"/>
      <c r="HHG120" s="231"/>
      <c r="HHH120" s="231"/>
      <c r="HHI120" s="231"/>
      <c r="HHJ120" s="231"/>
      <c r="HHK120" s="231"/>
      <c r="HHL120" s="231"/>
      <c r="HHM120" s="231"/>
      <c r="HHN120" s="231"/>
      <c r="HHO120" s="231"/>
      <c r="HHP120" s="231"/>
      <c r="HHQ120" s="231"/>
      <c r="HHR120" s="231"/>
      <c r="HHS120" s="231"/>
      <c r="HHT120" s="231"/>
      <c r="HHU120" s="231"/>
      <c r="HHV120" s="231"/>
      <c r="HHW120" s="231"/>
      <c r="HHX120" s="231"/>
      <c r="HHY120" s="231"/>
      <c r="HHZ120" s="231"/>
      <c r="HIA120" s="231"/>
      <c r="HIB120" s="231"/>
      <c r="HIC120" s="231"/>
      <c r="HID120" s="231"/>
      <c r="HIE120" s="231"/>
      <c r="HIF120" s="231"/>
      <c r="HIG120" s="231"/>
      <c r="HIH120" s="231"/>
      <c r="HII120" s="231"/>
      <c r="HIJ120" s="231"/>
      <c r="HIK120" s="231"/>
      <c r="HIL120" s="231"/>
      <c r="HIM120" s="231"/>
      <c r="HIN120" s="231"/>
      <c r="HIO120" s="231"/>
      <c r="HIP120" s="231"/>
      <c r="HIQ120" s="231"/>
      <c r="HIR120" s="231"/>
      <c r="HIS120" s="231"/>
      <c r="HIT120" s="231"/>
      <c r="HIU120" s="231"/>
      <c r="HIV120" s="231"/>
      <c r="HIW120" s="231"/>
      <c r="HIX120" s="231"/>
      <c r="HIY120" s="231"/>
      <c r="HIZ120" s="231"/>
      <c r="HJA120" s="231"/>
      <c r="HJB120" s="231"/>
      <c r="HJC120" s="231"/>
      <c r="HJD120" s="231"/>
      <c r="HJE120" s="231"/>
      <c r="HJF120" s="231"/>
      <c r="HJG120" s="231"/>
      <c r="HJH120" s="231"/>
      <c r="HJI120" s="231"/>
      <c r="HJJ120" s="231"/>
      <c r="HJK120" s="231"/>
      <c r="HJL120" s="231"/>
      <c r="HJM120" s="231"/>
      <c r="HJN120" s="231"/>
      <c r="HJO120" s="231"/>
      <c r="HJP120" s="231"/>
      <c r="HJQ120" s="231"/>
      <c r="HJR120" s="231"/>
      <c r="HJS120" s="231"/>
      <c r="HJT120" s="231"/>
      <c r="HJU120" s="231"/>
      <c r="HJV120" s="231"/>
      <c r="HJW120" s="231"/>
      <c r="HJX120" s="231"/>
      <c r="HJY120" s="231"/>
      <c r="HJZ120" s="231"/>
      <c r="HKA120" s="231"/>
      <c r="HKB120" s="231"/>
      <c r="HKC120" s="231"/>
      <c r="HKD120" s="231"/>
      <c r="HKE120" s="231"/>
      <c r="HKF120" s="231"/>
      <c r="HKG120" s="231"/>
      <c r="HKH120" s="231"/>
      <c r="HKI120" s="231"/>
      <c r="HKJ120" s="231"/>
      <c r="HKK120" s="231"/>
      <c r="HKL120" s="231"/>
      <c r="HKM120" s="231"/>
      <c r="HKN120" s="231"/>
      <c r="HKO120" s="231"/>
      <c r="HKP120" s="231"/>
      <c r="HKQ120" s="231"/>
      <c r="HKR120" s="231"/>
      <c r="HKS120" s="231"/>
      <c r="HKT120" s="231"/>
      <c r="HKU120" s="231"/>
      <c r="HKV120" s="231"/>
      <c r="HKW120" s="231"/>
      <c r="HKX120" s="231"/>
      <c r="HKY120" s="231"/>
      <c r="HKZ120" s="231"/>
      <c r="HLA120" s="231"/>
      <c r="HLB120" s="231"/>
      <c r="HLC120" s="231"/>
      <c r="HLD120" s="231"/>
      <c r="HLE120" s="231"/>
      <c r="HLF120" s="231"/>
      <c r="HLG120" s="231"/>
      <c r="HLH120" s="231"/>
      <c r="HLI120" s="231"/>
      <c r="HLJ120" s="231"/>
      <c r="HLK120" s="231"/>
      <c r="HLL120" s="231"/>
      <c r="HLM120" s="231"/>
      <c r="HLN120" s="231"/>
      <c r="HLO120" s="231"/>
      <c r="HLP120" s="231"/>
      <c r="HLQ120" s="231"/>
      <c r="HLR120" s="231"/>
      <c r="HLS120" s="231"/>
      <c r="HLT120" s="231"/>
      <c r="HLU120" s="231"/>
      <c r="HLV120" s="231"/>
      <c r="HLW120" s="231"/>
      <c r="HLX120" s="231"/>
      <c r="HLY120" s="231"/>
      <c r="HLZ120" s="231"/>
      <c r="HMA120" s="231"/>
      <c r="HMB120" s="231"/>
      <c r="HMC120" s="231"/>
      <c r="HMD120" s="231"/>
      <c r="HME120" s="231"/>
      <c r="HMF120" s="231"/>
      <c r="HMG120" s="231"/>
      <c r="HMH120" s="231"/>
      <c r="HMI120" s="231"/>
      <c r="HMJ120" s="231"/>
      <c r="HMK120" s="231"/>
      <c r="HML120" s="231"/>
      <c r="HMM120" s="231"/>
      <c r="HMN120" s="231"/>
      <c r="HMO120" s="231"/>
      <c r="HMP120" s="231"/>
      <c r="HMQ120" s="231"/>
      <c r="HMR120" s="231"/>
      <c r="HMS120" s="231"/>
      <c r="HMT120" s="231"/>
      <c r="HMU120" s="231"/>
      <c r="HMV120" s="231"/>
      <c r="HMW120" s="231"/>
      <c r="HMX120" s="231"/>
      <c r="HMY120" s="231"/>
      <c r="HMZ120" s="231"/>
      <c r="HNA120" s="231"/>
      <c r="HNB120" s="231"/>
      <c r="HNC120" s="231"/>
      <c r="HND120" s="231"/>
      <c r="HNE120" s="231"/>
      <c r="HNF120" s="231"/>
      <c r="HNG120" s="231"/>
      <c r="HNH120" s="231"/>
      <c r="HNI120" s="231"/>
      <c r="HNJ120" s="231"/>
      <c r="HNK120" s="231"/>
      <c r="HNL120" s="231"/>
      <c r="HNM120" s="231"/>
      <c r="HNN120" s="231"/>
      <c r="HNO120" s="231"/>
      <c r="HNP120" s="231"/>
      <c r="HNQ120" s="231"/>
      <c r="HNR120" s="231"/>
      <c r="HNS120" s="231"/>
      <c r="HNT120" s="231"/>
      <c r="HNU120" s="231"/>
      <c r="HNV120" s="231"/>
      <c r="HNW120" s="231"/>
      <c r="HNX120" s="231"/>
      <c r="HNY120" s="231"/>
      <c r="HNZ120" s="231"/>
      <c r="HOA120" s="231"/>
      <c r="HOB120" s="231"/>
      <c r="HOC120" s="231"/>
      <c r="HOD120" s="231"/>
      <c r="HOE120" s="231"/>
      <c r="HOF120" s="231"/>
      <c r="HOG120" s="231"/>
      <c r="HOH120" s="231"/>
      <c r="HOI120" s="231"/>
      <c r="HOJ120" s="231"/>
      <c r="HOK120" s="231"/>
      <c r="HOL120" s="231"/>
      <c r="HOM120" s="231"/>
      <c r="HON120" s="231"/>
      <c r="HOO120" s="231"/>
      <c r="HOP120" s="231"/>
      <c r="HOQ120" s="231"/>
      <c r="HOR120" s="231"/>
      <c r="HOS120" s="231"/>
      <c r="HOT120" s="231"/>
      <c r="HOU120" s="231"/>
      <c r="HOV120" s="231"/>
      <c r="HOW120" s="231"/>
      <c r="HOX120" s="231"/>
      <c r="HOY120" s="231"/>
      <c r="HOZ120" s="231"/>
      <c r="HPA120" s="231"/>
      <c r="HPB120" s="231"/>
      <c r="HPC120" s="231"/>
      <c r="HPD120" s="231"/>
      <c r="HPE120" s="231"/>
      <c r="HPF120" s="231"/>
      <c r="HPG120" s="231"/>
      <c r="HPH120" s="231"/>
      <c r="HPI120" s="231"/>
      <c r="HPJ120" s="231"/>
      <c r="HPK120" s="231"/>
      <c r="HPL120" s="231"/>
      <c r="HPM120" s="231"/>
      <c r="HPN120" s="231"/>
      <c r="HPO120" s="231"/>
      <c r="HPP120" s="231"/>
      <c r="HPQ120" s="231"/>
      <c r="HPR120" s="231"/>
      <c r="HPS120" s="231"/>
      <c r="HPT120" s="231"/>
      <c r="HPU120" s="231"/>
      <c r="HPV120" s="231"/>
      <c r="HPW120" s="231"/>
      <c r="HPX120" s="231"/>
      <c r="HPY120" s="231"/>
      <c r="HPZ120" s="231"/>
      <c r="HQA120" s="231"/>
      <c r="HQB120" s="231"/>
      <c r="HQC120" s="231"/>
      <c r="HQD120" s="231"/>
      <c r="HQE120" s="231"/>
      <c r="HQF120" s="231"/>
      <c r="HQG120" s="231"/>
      <c r="HQH120" s="231"/>
      <c r="HQI120" s="231"/>
      <c r="HQJ120" s="231"/>
      <c r="HQK120" s="231"/>
      <c r="HQL120" s="231"/>
      <c r="HQM120" s="231"/>
      <c r="HQN120" s="231"/>
      <c r="HQO120" s="231"/>
      <c r="HQP120" s="231"/>
      <c r="HQQ120" s="231"/>
      <c r="HQR120" s="231"/>
      <c r="HQS120" s="231"/>
      <c r="HQT120" s="231"/>
      <c r="HQU120" s="231"/>
      <c r="HQV120" s="231"/>
      <c r="HQW120" s="231"/>
      <c r="HQX120" s="231"/>
      <c r="HQY120" s="231"/>
      <c r="HQZ120" s="231"/>
      <c r="HRA120" s="231"/>
      <c r="HRB120" s="231"/>
      <c r="HRC120" s="231"/>
      <c r="HRD120" s="231"/>
      <c r="HRE120" s="231"/>
      <c r="HRF120" s="231"/>
      <c r="HRG120" s="231"/>
      <c r="HRH120" s="231"/>
      <c r="HRI120" s="231"/>
      <c r="HRJ120" s="231"/>
      <c r="HRK120" s="231"/>
      <c r="HRL120" s="231"/>
      <c r="HRM120" s="231"/>
      <c r="HRN120" s="231"/>
      <c r="HRO120" s="231"/>
      <c r="HRP120" s="231"/>
      <c r="HRQ120" s="231"/>
      <c r="HRR120" s="231"/>
      <c r="HRS120" s="231"/>
      <c r="HRT120" s="231"/>
      <c r="HRU120" s="231"/>
      <c r="HRV120" s="231"/>
      <c r="HRW120" s="231"/>
      <c r="HRX120" s="231"/>
      <c r="HRY120" s="231"/>
      <c r="HRZ120" s="231"/>
      <c r="HSA120" s="231"/>
      <c r="HSB120" s="231"/>
      <c r="HSC120" s="231"/>
      <c r="HSD120" s="231"/>
      <c r="HSE120" s="231"/>
      <c r="HSF120" s="231"/>
      <c r="HSG120" s="231"/>
      <c r="HSH120" s="231"/>
      <c r="HSI120" s="231"/>
      <c r="HSJ120" s="231"/>
      <c r="HSK120" s="231"/>
      <c r="HSL120" s="231"/>
      <c r="HSM120" s="231"/>
      <c r="HSN120" s="231"/>
      <c r="HSO120" s="231"/>
      <c r="HSP120" s="231"/>
      <c r="HSQ120" s="231"/>
      <c r="HSR120" s="231"/>
      <c r="HSS120" s="231"/>
      <c r="HST120" s="231"/>
      <c r="HSU120" s="231"/>
      <c r="HSV120" s="231"/>
      <c r="HSW120" s="231"/>
      <c r="HSX120" s="231"/>
      <c r="HSY120" s="231"/>
      <c r="HSZ120" s="231"/>
      <c r="HTA120" s="231"/>
      <c r="HTB120" s="231"/>
      <c r="HTC120" s="231"/>
      <c r="HTD120" s="231"/>
      <c r="HTE120" s="231"/>
      <c r="HTF120" s="231"/>
      <c r="HTG120" s="231"/>
      <c r="HTH120" s="231"/>
      <c r="HTI120" s="231"/>
      <c r="HTJ120" s="231"/>
      <c r="HTK120" s="231"/>
      <c r="HTL120" s="231"/>
      <c r="HTM120" s="231"/>
      <c r="HTN120" s="231"/>
      <c r="HTO120" s="231"/>
      <c r="HTP120" s="231"/>
      <c r="HTQ120" s="231"/>
      <c r="HTR120" s="231"/>
      <c r="HTS120" s="231"/>
      <c r="HTT120" s="231"/>
      <c r="HTU120" s="231"/>
      <c r="HTV120" s="231"/>
      <c r="HTW120" s="231"/>
      <c r="HTX120" s="231"/>
      <c r="HTY120" s="231"/>
      <c r="HTZ120" s="231"/>
      <c r="HUA120" s="231"/>
      <c r="HUB120" s="231"/>
      <c r="HUC120" s="231"/>
      <c r="HUD120" s="231"/>
      <c r="HUE120" s="231"/>
      <c r="HUF120" s="231"/>
      <c r="HUG120" s="231"/>
      <c r="HUH120" s="231"/>
      <c r="HUI120" s="231"/>
      <c r="HUJ120" s="231"/>
      <c r="HUK120" s="231"/>
      <c r="HUL120" s="231"/>
      <c r="HUM120" s="231"/>
      <c r="HUN120" s="231"/>
      <c r="HUO120" s="231"/>
      <c r="HUP120" s="231"/>
      <c r="HUQ120" s="231"/>
      <c r="HUR120" s="231"/>
      <c r="HUS120" s="231"/>
      <c r="HUT120" s="231"/>
      <c r="HUU120" s="231"/>
      <c r="HUV120" s="231"/>
      <c r="HUW120" s="231"/>
      <c r="HUX120" s="231"/>
      <c r="HUY120" s="231"/>
      <c r="HUZ120" s="231"/>
      <c r="HVA120" s="231"/>
      <c r="HVB120" s="231"/>
      <c r="HVC120" s="231"/>
      <c r="HVD120" s="231"/>
      <c r="HVE120" s="231"/>
      <c r="HVF120" s="231"/>
      <c r="HVG120" s="231"/>
      <c r="HVH120" s="231"/>
      <c r="HVI120" s="231"/>
      <c r="HVJ120" s="231"/>
      <c r="HVK120" s="231"/>
      <c r="HVL120" s="231"/>
      <c r="HVM120" s="231"/>
      <c r="HVN120" s="231"/>
      <c r="HVO120" s="231"/>
      <c r="HVP120" s="231"/>
      <c r="HVQ120" s="231"/>
      <c r="HVR120" s="231"/>
      <c r="HVS120" s="231"/>
      <c r="HVT120" s="231"/>
      <c r="HVU120" s="231"/>
      <c r="HVV120" s="231"/>
      <c r="HVW120" s="231"/>
      <c r="HVX120" s="231"/>
      <c r="HVY120" s="231"/>
      <c r="HVZ120" s="231"/>
      <c r="HWA120" s="231"/>
      <c r="HWB120" s="231"/>
      <c r="HWC120" s="231"/>
      <c r="HWD120" s="231"/>
      <c r="HWE120" s="231"/>
      <c r="HWF120" s="231"/>
      <c r="HWG120" s="231"/>
      <c r="HWH120" s="231"/>
      <c r="HWI120" s="231"/>
      <c r="HWJ120" s="231"/>
      <c r="HWK120" s="231"/>
      <c r="HWL120" s="231"/>
      <c r="HWM120" s="231"/>
      <c r="HWN120" s="231"/>
      <c r="HWO120" s="231"/>
      <c r="HWP120" s="231"/>
      <c r="HWQ120" s="231"/>
      <c r="HWR120" s="231"/>
      <c r="HWS120" s="231"/>
      <c r="HWT120" s="231"/>
      <c r="HWU120" s="231"/>
      <c r="HWV120" s="231"/>
      <c r="HWW120" s="231"/>
      <c r="HWX120" s="231"/>
      <c r="HWY120" s="231"/>
      <c r="HWZ120" s="231"/>
      <c r="HXA120" s="231"/>
      <c r="HXB120" s="231"/>
      <c r="HXC120" s="231"/>
      <c r="HXD120" s="231"/>
      <c r="HXE120" s="231"/>
      <c r="HXF120" s="231"/>
      <c r="HXG120" s="231"/>
      <c r="HXH120" s="231"/>
      <c r="HXI120" s="231"/>
      <c r="HXJ120" s="231"/>
      <c r="HXK120" s="231"/>
      <c r="HXL120" s="231"/>
      <c r="HXM120" s="231"/>
      <c r="HXN120" s="231"/>
      <c r="HXO120" s="231"/>
      <c r="HXP120" s="231"/>
      <c r="HXQ120" s="231"/>
      <c r="HXR120" s="231"/>
      <c r="HXS120" s="231"/>
      <c r="HXT120" s="231"/>
      <c r="HXU120" s="231"/>
      <c r="HXV120" s="231"/>
      <c r="HXW120" s="231"/>
      <c r="HXX120" s="231"/>
      <c r="HXY120" s="231"/>
      <c r="HXZ120" s="231"/>
      <c r="HYA120" s="231"/>
      <c r="HYB120" s="231"/>
      <c r="HYC120" s="231"/>
      <c r="HYD120" s="231"/>
      <c r="HYE120" s="231"/>
      <c r="HYF120" s="231"/>
      <c r="HYG120" s="231"/>
      <c r="HYH120" s="231"/>
      <c r="HYI120" s="231"/>
      <c r="HYJ120" s="231"/>
      <c r="HYK120" s="231"/>
      <c r="HYL120" s="231"/>
      <c r="HYM120" s="231"/>
      <c r="HYN120" s="231"/>
      <c r="HYO120" s="231"/>
      <c r="HYP120" s="231"/>
      <c r="HYQ120" s="231"/>
      <c r="HYR120" s="231"/>
      <c r="HYS120" s="231"/>
      <c r="HYT120" s="231"/>
      <c r="HYU120" s="231"/>
      <c r="HYV120" s="231"/>
      <c r="HYW120" s="231"/>
      <c r="HYX120" s="231"/>
      <c r="HYY120" s="231"/>
      <c r="HYZ120" s="231"/>
      <c r="HZA120" s="231"/>
      <c r="HZB120" s="231"/>
      <c r="HZC120" s="231"/>
      <c r="HZD120" s="231"/>
      <c r="HZE120" s="231"/>
      <c r="HZF120" s="231"/>
      <c r="HZG120" s="231"/>
      <c r="HZH120" s="231"/>
      <c r="HZI120" s="231"/>
      <c r="HZJ120" s="231"/>
      <c r="HZK120" s="231"/>
      <c r="HZL120" s="231"/>
      <c r="HZM120" s="231"/>
      <c r="HZN120" s="231"/>
      <c r="HZO120" s="231"/>
      <c r="HZP120" s="231"/>
      <c r="HZQ120" s="231"/>
      <c r="HZR120" s="231"/>
      <c r="HZS120" s="231"/>
      <c r="HZT120" s="231"/>
      <c r="HZU120" s="231"/>
      <c r="HZV120" s="231"/>
      <c r="HZW120" s="231"/>
      <c r="HZX120" s="231"/>
      <c r="HZY120" s="231"/>
      <c r="HZZ120" s="231"/>
      <c r="IAA120" s="231"/>
      <c r="IAB120" s="231"/>
      <c r="IAC120" s="231"/>
      <c r="IAD120" s="231"/>
      <c r="IAE120" s="231"/>
      <c r="IAF120" s="231"/>
      <c r="IAG120" s="231"/>
      <c r="IAH120" s="231"/>
      <c r="IAI120" s="231"/>
      <c r="IAJ120" s="231"/>
      <c r="IAK120" s="231"/>
      <c r="IAL120" s="231"/>
      <c r="IAM120" s="231"/>
      <c r="IAN120" s="231"/>
      <c r="IAO120" s="231"/>
      <c r="IAP120" s="231"/>
      <c r="IAQ120" s="231"/>
      <c r="IAR120" s="231"/>
      <c r="IAS120" s="231"/>
      <c r="IAT120" s="231"/>
      <c r="IAU120" s="231"/>
      <c r="IAV120" s="231"/>
      <c r="IAW120" s="231"/>
      <c r="IAX120" s="231"/>
      <c r="IAY120" s="231"/>
      <c r="IAZ120" s="231"/>
      <c r="IBA120" s="231"/>
      <c r="IBB120" s="231"/>
      <c r="IBC120" s="231"/>
      <c r="IBD120" s="231"/>
      <c r="IBE120" s="231"/>
      <c r="IBF120" s="231"/>
      <c r="IBG120" s="231"/>
      <c r="IBH120" s="231"/>
      <c r="IBI120" s="231"/>
      <c r="IBJ120" s="231"/>
      <c r="IBK120" s="231"/>
      <c r="IBL120" s="231"/>
      <c r="IBM120" s="231"/>
      <c r="IBN120" s="231"/>
      <c r="IBO120" s="231"/>
      <c r="IBP120" s="231"/>
      <c r="IBQ120" s="231"/>
      <c r="IBR120" s="231"/>
      <c r="IBS120" s="231"/>
      <c r="IBT120" s="231"/>
      <c r="IBU120" s="231"/>
      <c r="IBV120" s="231"/>
      <c r="IBW120" s="231"/>
      <c r="IBX120" s="231"/>
      <c r="IBY120" s="231"/>
      <c r="IBZ120" s="231"/>
      <c r="ICA120" s="231"/>
      <c r="ICB120" s="231"/>
      <c r="ICC120" s="231"/>
      <c r="ICD120" s="231"/>
      <c r="ICE120" s="231"/>
      <c r="ICF120" s="231"/>
      <c r="ICG120" s="231"/>
      <c r="ICH120" s="231"/>
      <c r="ICI120" s="231"/>
      <c r="ICJ120" s="231"/>
      <c r="ICK120" s="231"/>
      <c r="ICL120" s="231"/>
      <c r="ICM120" s="231"/>
      <c r="ICN120" s="231"/>
      <c r="ICO120" s="231"/>
      <c r="ICP120" s="231"/>
      <c r="ICQ120" s="231"/>
      <c r="ICR120" s="231"/>
      <c r="ICS120" s="231"/>
      <c r="ICT120" s="231"/>
      <c r="ICU120" s="231"/>
      <c r="ICV120" s="231"/>
      <c r="ICW120" s="231"/>
      <c r="ICX120" s="231"/>
      <c r="ICY120" s="231"/>
      <c r="ICZ120" s="231"/>
      <c r="IDA120" s="231"/>
      <c r="IDB120" s="231"/>
      <c r="IDC120" s="231"/>
      <c r="IDD120" s="231"/>
      <c r="IDE120" s="231"/>
      <c r="IDF120" s="231"/>
      <c r="IDG120" s="231"/>
      <c r="IDH120" s="231"/>
      <c r="IDI120" s="231"/>
      <c r="IDJ120" s="231"/>
      <c r="IDK120" s="231"/>
      <c r="IDL120" s="231"/>
      <c r="IDM120" s="231"/>
      <c r="IDN120" s="231"/>
      <c r="IDO120" s="231"/>
      <c r="IDP120" s="231"/>
      <c r="IDQ120" s="231"/>
      <c r="IDR120" s="231"/>
      <c r="IDS120" s="231"/>
      <c r="IDT120" s="231"/>
      <c r="IDU120" s="231"/>
      <c r="IDV120" s="231"/>
      <c r="IDW120" s="231"/>
      <c r="IDX120" s="231"/>
      <c r="IDY120" s="231"/>
      <c r="IDZ120" s="231"/>
      <c r="IEA120" s="231"/>
      <c r="IEB120" s="231"/>
      <c r="IEC120" s="231"/>
      <c r="IED120" s="231"/>
      <c r="IEE120" s="231"/>
      <c r="IEF120" s="231"/>
      <c r="IEG120" s="231"/>
      <c r="IEH120" s="231"/>
      <c r="IEI120" s="231"/>
      <c r="IEJ120" s="231"/>
      <c r="IEK120" s="231"/>
      <c r="IEL120" s="231"/>
      <c r="IEM120" s="231"/>
      <c r="IEN120" s="231"/>
      <c r="IEO120" s="231"/>
      <c r="IEP120" s="231"/>
      <c r="IEQ120" s="231"/>
      <c r="IER120" s="231"/>
      <c r="IES120" s="231"/>
      <c r="IET120" s="231"/>
      <c r="IEU120" s="231"/>
      <c r="IEV120" s="231"/>
      <c r="IEW120" s="231"/>
      <c r="IEX120" s="231"/>
      <c r="IEY120" s="231"/>
      <c r="IEZ120" s="231"/>
      <c r="IFA120" s="231"/>
      <c r="IFB120" s="231"/>
      <c r="IFC120" s="231"/>
      <c r="IFD120" s="231"/>
      <c r="IFE120" s="231"/>
      <c r="IFF120" s="231"/>
      <c r="IFG120" s="231"/>
      <c r="IFH120" s="231"/>
      <c r="IFI120" s="231"/>
      <c r="IFJ120" s="231"/>
      <c r="IFK120" s="231"/>
      <c r="IFL120" s="231"/>
      <c r="IFM120" s="231"/>
      <c r="IFN120" s="231"/>
      <c r="IFO120" s="231"/>
      <c r="IFP120" s="231"/>
      <c r="IFQ120" s="231"/>
      <c r="IFR120" s="231"/>
      <c r="IFS120" s="231"/>
      <c r="IFT120" s="231"/>
      <c r="IFU120" s="231"/>
      <c r="IFV120" s="231"/>
      <c r="IFW120" s="231"/>
      <c r="IFX120" s="231"/>
      <c r="IFY120" s="231"/>
      <c r="IFZ120" s="231"/>
      <c r="IGA120" s="231"/>
      <c r="IGB120" s="231"/>
      <c r="IGC120" s="231"/>
      <c r="IGD120" s="231"/>
      <c r="IGE120" s="231"/>
      <c r="IGF120" s="231"/>
      <c r="IGG120" s="231"/>
      <c r="IGH120" s="231"/>
      <c r="IGI120" s="231"/>
      <c r="IGJ120" s="231"/>
      <c r="IGK120" s="231"/>
      <c r="IGL120" s="231"/>
      <c r="IGM120" s="231"/>
      <c r="IGN120" s="231"/>
      <c r="IGO120" s="231"/>
      <c r="IGP120" s="231"/>
      <c r="IGQ120" s="231"/>
      <c r="IGR120" s="231"/>
      <c r="IGS120" s="231"/>
      <c r="IGT120" s="231"/>
      <c r="IGU120" s="231"/>
      <c r="IGV120" s="231"/>
      <c r="IGW120" s="231"/>
      <c r="IGX120" s="231"/>
      <c r="IGY120" s="231"/>
      <c r="IGZ120" s="231"/>
      <c r="IHA120" s="231"/>
      <c r="IHB120" s="231"/>
      <c r="IHC120" s="231"/>
      <c r="IHD120" s="231"/>
      <c r="IHE120" s="231"/>
      <c r="IHF120" s="231"/>
      <c r="IHG120" s="231"/>
      <c r="IHH120" s="231"/>
      <c r="IHI120" s="231"/>
      <c r="IHJ120" s="231"/>
      <c r="IHK120" s="231"/>
      <c r="IHL120" s="231"/>
      <c r="IHM120" s="231"/>
      <c r="IHN120" s="231"/>
      <c r="IHO120" s="231"/>
      <c r="IHP120" s="231"/>
      <c r="IHQ120" s="231"/>
      <c r="IHR120" s="231"/>
      <c r="IHS120" s="231"/>
      <c r="IHT120" s="231"/>
      <c r="IHU120" s="231"/>
      <c r="IHV120" s="231"/>
      <c r="IHW120" s="231"/>
      <c r="IHX120" s="231"/>
      <c r="IHY120" s="231"/>
      <c r="IHZ120" s="231"/>
      <c r="IIA120" s="231"/>
      <c r="IIB120" s="231"/>
      <c r="IIC120" s="231"/>
      <c r="IID120" s="231"/>
      <c r="IIE120" s="231"/>
      <c r="IIF120" s="231"/>
      <c r="IIG120" s="231"/>
      <c r="IIH120" s="231"/>
      <c r="III120" s="231"/>
      <c r="IIJ120" s="231"/>
      <c r="IIK120" s="231"/>
      <c r="IIL120" s="231"/>
      <c r="IIM120" s="231"/>
      <c r="IIN120" s="231"/>
      <c r="IIO120" s="231"/>
      <c r="IIP120" s="231"/>
      <c r="IIQ120" s="231"/>
      <c r="IIR120" s="231"/>
      <c r="IIS120" s="231"/>
      <c r="IIT120" s="231"/>
      <c r="IIU120" s="231"/>
      <c r="IIV120" s="231"/>
      <c r="IIW120" s="231"/>
      <c r="IIX120" s="231"/>
      <c r="IIY120" s="231"/>
      <c r="IIZ120" s="231"/>
      <c r="IJA120" s="231"/>
      <c r="IJB120" s="231"/>
      <c r="IJC120" s="231"/>
      <c r="IJD120" s="231"/>
      <c r="IJE120" s="231"/>
      <c r="IJF120" s="231"/>
      <c r="IJG120" s="231"/>
      <c r="IJH120" s="231"/>
      <c r="IJI120" s="231"/>
      <c r="IJJ120" s="231"/>
      <c r="IJK120" s="231"/>
      <c r="IJL120" s="231"/>
      <c r="IJM120" s="231"/>
      <c r="IJN120" s="231"/>
      <c r="IJO120" s="231"/>
      <c r="IJP120" s="231"/>
      <c r="IJQ120" s="231"/>
      <c r="IJR120" s="231"/>
      <c r="IJS120" s="231"/>
      <c r="IJT120" s="231"/>
      <c r="IJU120" s="231"/>
      <c r="IJV120" s="231"/>
      <c r="IJW120" s="231"/>
      <c r="IJX120" s="231"/>
      <c r="IJY120" s="231"/>
      <c r="IJZ120" s="231"/>
      <c r="IKA120" s="231"/>
      <c r="IKB120" s="231"/>
      <c r="IKC120" s="231"/>
      <c r="IKD120" s="231"/>
      <c r="IKE120" s="231"/>
      <c r="IKF120" s="231"/>
      <c r="IKG120" s="231"/>
      <c r="IKH120" s="231"/>
      <c r="IKI120" s="231"/>
      <c r="IKJ120" s="231"/>
      <c r="IKK120" s="231"/>
      <c r="IKL120" s="231"/>
      <c r="IKM120" s="231"/>
      <c r="IKN120" s="231"/>
      <c r="IKO120" s="231"/>
      <c r="IKP120" s="231"/>
      <c r="IKQ120" s="231"/>
      <c r="IKR120" s="231"/>
      <c r="IKS120" s="231"/>
      <c r="IKT120" s="231"/>
      <c r="IKU120" s="231"/>
      <c r="IKV120" s="231"/>
      <c r="IKW120" s="231"/>
      <c r="IKX120" s="231"/>
      <c r="IKY120" s="231"/>
      <c r="IKZ120" s="231"/>
      <c r="ILA120" s="231"/>
      <c r="ILB120" s="231"/>
      <c r="ILC120" s="231"/>
      <c r="ILD120" s="231"/>
      <c r="ILE120" s="231"/>
      <c r="ILF120" s="231"/>
      <c r="ILG120" s="231"/>
      <c r="ILH120" s="231"/>
      <c r="ILI120" s="231"/>
      <c r="ILJ120" s="231"/>
      <c r="ILK120" s="231"/>
      <c r="ILL120" s="231"/>
      <c r="ILM120" s="231"/>
      <c r="ILN120" s="231"/>
      <c r="ILO120" s="231"/>
      <c r="ILP120" s="231"/>
      <c r="ILQ120" s="231"/>
      <c r="ILR120" s="231"/>
      <c r="ILS120" s="231"/>
      <c r="ILT120" s="231"/>
      <c r="ILU120" s="231"/>
      <c r="ILV120" s="231"/>
      <c r="ILW120" s="231"/>
      <c r="ILX120" s="231"/>
      <c r="ILY120" s="231"/>
      <c r="ILZ120" s="231"/>
      <c r="IMA120" s="231"/>
      <c r="IMB120" s="231"/>
      <c r="IMC120" s="231"/>
      <c r="IMD120" s="231"/>
      <c r="IME120" s="231"/>
      <c r="IMF120" s="231"/>
      <c r="IMG120" s="231"/>
      <c r="IMH120" s="231"/>
      <c r="IMI120" s="231"/>
      <c r="IMJ120" s="231"/>
      <c r="IMK120" s="231"/>
      <c r="IML120" s="231"/>
      <c r="IMM120" s="231"/>
      <c r="IMN120" s="231"/>
      <c r="IMO120" s="231"/>
      <c r="IMP120" s="231"/>
      <c r="IMQ120" s="231"/>
      <c r="IMR120" s="231"/>
      <c r="IMS120" s="231"/>
      <c r="IMT120" s="231"/>
      <c r="IMU120" s="231"/>
      <c r="IMV120" s="231"/>
      <c r="IMW120" s="231"/>
      <c r="IMX120" s="231"/>
      <c r="IMY120" s="231"/>
      <c r="IMZ120" s="231"/>
      <c r="INA120" s="231"/>
      <c r="INB120" s="231"/>
      <c r="INC120" s="231"/>
      <c r="IND120" s="231"/>
      <c r="INE120" s="231"/>
      <c r="INF120" s="231"/>
      <c r="ING120" s="231"/>
      <c r="INH120" s="231"/>
      <c r="INI120" s="231"/>
      <c r="INJ120" s="231"/>
      <c r="INK120" s="231"/>
      <c r="INL120" s="231"/>
      <c r="INM120" s="231"/>
      <c r="INN120" s="231"/>
      <c r="INO120" s="231"/>
      <c r="INP120" s="231"/>
      <c r="INQ120" s="231"/>
      <c r="INR120" s="231"/>
      <c r="INS120" s="231"/>
      <c r="INT120" s="231"/>
      <c r="INU120" s="231"/>
      <c r="INV120" s="231"/>
      <c r="INW120" s="231"/>
      <c r="INX120" s="231"/>
      <c r="INY120" s="231"/>
      <c r="INZ120" s="231"/>
      <c r="IOA120" s="231"/>
      <c r="IOB120" s="231"/>
      <c r="IOC120" s="231"/>
      <c r="IOD120" s="231"/>
      <c r="IOE120" s="231"/>
      <c r="IOF120" s="231"/>
      <c r="IOG120" s="231"/>
      <c r="IOH120" s="231"/>
      <c r="IOI120" s="231"/>
      <c r="IOJ120" s="231"/>
      <c r="IOK120" s="231"/>
      <c r="IOL120" s="231"/>
      <c r="IOM120" s="231"/>
      <c r="ION120" s="231"/>
      <c r="IOO120" s="231"/>
      <c r="IOP120" s="231"/>
      <c r="IOQ120" s="231"/>
      <c r="IOR120" s="231"/>
      <c r="IOS120" s="231"/>
      <c r="IOT120" s="231"/>
      <c r="IOU120" s="231"/>
      <c r="IOV120" s="231"/>
      <c r="IOW120" s="231"/>
      <c r="IOX120" s="231"/>
      <c r="IOY120" s="231"/>
      <c r="IOZ120" s="231"/>
      <c r="IPA120" s="231"/>
      <c r="IPB120" s="231"/>
      <c r="IPC120" s="231"/>
      <c r="IPD120" s="231"/>
      <c r="IPE120" s="231"/>
      <c r="IPF120" s="231"/>
      <c r="IPG120" s="231"/>
      <c r="IPH120" s="231"/>
      <c r="IPI120" s="231"/>
      <c r="IPJ120" s="231"/>
      <c r="IPK120" s="231"/>
      <c r="IPL120" s="231"/>
      <c r="IPM120" s="231"/>
      <c r="IPN120" s="231"/>
      <c r="IPO120" s="231"/>
      <c r="IPP120" s="231"/>
      <c r="IPQ120" s="231"/>
      <c r="IPR120" s="231"/>
      <c r="IPS120" s="231"/>
      <c r="IPT120" s="231"/>
      <c r="IPU120" s="231"/>
      <c r="IPV120" s="231"/>
      <c r="IPW120" s="231"/>
      <c r="IPX120" s="231"/>
      <c r="IPY120" s="231"/>
      <c r="IPZ120" s="231"/>
      <c r="IQA120" s="231"/>
      <c r="IQB120" s="231"/>
      <c r="IQC120" s="231"/>
      <c r="IQD120" s="231"/>
      <c r="IQE120" s="231"/>
      <c r="IQF120" s="231"/>
      <c r="IQG120" s="231"/>
      <c r="IQH120" s="231"/>
      <c r="IQI120" s="231"/>
      <c r="IQJ120" s="231"/>
      <c r="IQK120" s="231"/>
      <c r="IQL120" s="231"/>
      <c r="IQM120" s="231"/>
      <c r="IQN120" s="231"/>
      <c r="IQO120" s="231"/>
      <c r="IQP120" s="231"/>
      <c r="IQQ120" s="231"/>
      <c r="IQR120" s="231"/>
      <c r="IQS120" s="231"/>
      <c r="IQT120" s="231"/>
      <c r="IQU120" s="231"/>
      <c r="IQV120" s="231"/>
      <c r="IQW120" s="231"/>
      <c r="IQX120" s="231"/>
      <c r="IQY120" s="231"/>
      <c r="IQZ120" s="231"/>
      <c r="IRA120" s="231"/>
      <c r="IRB120" s="231"/>
      <c r="IRC120" s="231"/>
      <c r="IRD120" s="231"/>
      <c r="IRE120" s="231"/>
      <c r="IRF120" s="231"/>
      <c r="IRG120" s="231"/>
      <c r="IRH120" s="231"/>
      <c r="IRI120" s="231"/>
      <c r="IRJ120" s="231"/>
      <c r="IRK120" s="231"/>
      <c r="IRL120" s="231"/>
      <c r="IRM120" s="231"/>
      <c r="IRN120" s="231"/>
      <c r="IRO120" s="231"/>
      <c r="IRP120" s="231"/>
      <c r="IRQ120" s="231"/>
      <c r="IRR120" s="231"/>
      <c r="IRS120" s="231"/>
      <c r="IRT120" s="231"/>
      <c r="IRU120" s="231"/>
      <c r="IRV120" s="231"/>
      <c r="IRW120" s="231"/>
      <c r="IRX120" s="231"/>
      <c r="IRY120" s="231"/>
      <c r="IRZ120" s="231"/>
      <c r="ISA120" s="231"/>
      <c r="ISB120" s="231"/>
      <c r="ISC120" s="231"/>
      <c r="ISD120" s="231"/>
      <c r="ISE120" s="231"/>
      <c r="ISF120" s="231"/>
      <c r="ISG120" s="231"/>
      <c r="ISH120" s="231"/>
      <c r="ISI120" s="231"/>
      <c r="ISJ120" s="231"/>
      <c r="ISK120" s="231"/>
      <c r="ISL120" s="231"/>
      <c r="ISM120" s="231"/>
      <c r="ISN120" s="231"/>
      <c r="ISO120" s="231"/>
      <c r="ISP120" s="231"/>
      <c r="ISQ120" s="231"/>
      <c r="ISR120" s="231"/>
      <c r="ISS120" s="231"/>
      <c r="IST120" s="231"/>
      <c r="ISU120" s="231"/>
      <c r="ISV120" s="231"/>
      <c r="ISW120" s="231"/>
      <c r="ISX120" s="231"/>
      <c r="ISY120" s="231"/>
      <c r="ISZ120" s="231"/>
      <c r="ITA120" s="231"/>
      <c r="ITB120" s="231"/>
      <c r="ITC120" s="231"/>
      <c r="ITD120" s="231"/>
      <c r="ITE120" s="231"/>
      <c r="ITF120" s="231"/>
      <c r="ITG120" s="231"/>
      <c r="ITH120" s="231"/>
      <c r="ITI120" s="231"/>
      <c r="ITJ120" s="231"/>
      <c r="ITK120" s="231"/>
      <c r="ITL120" s="231"/>
      <c r="ITM120" s="231"/>
      <c r="ITN120" s="231"/>
      <c r="ITO120" s="231"/>
      <c r="ITP120" s="231"/>
      <c r="ITQ120" s="231"/>
      <c r="ITR120" s="231"/>
      <c r="ITS120" s="231"/>
      <c r="ITT120" s="231"/>
      <c r="ITU120" s="231"/>
      <c r="ITV120" s="231"/>
      <c r="ITW120" s="231"/>
      <c r="ITX120" s="231"/>
      <c r="ITY120" s="231"/>
      <c r="ITZ120" s="231"/>
      <c r="IUA120" s="231"/>
      <c r="IUB120" s="231"/>
      <c r="IUC120" s="231"/>
      <c r="IUD120" s="231"/>
      <c r="IUE120" s="231"/>
      <c r="IUF120" s="231"/>
      <c r="IUG120" s="231"/>
      <c r="IUH120" s="231"/>
      <c r="IUI120" s="231"/>
      <c r="IUJ120" s="231"/>
      <c r="IUK120" s="231"/>
      <c r="IUL120" s="231"/>
      <c r="IUM120" s="231"/>
      <c r="IUN120" s="231"/>
      <c r="IUO120" s="231"/>
      <c r="IUP120" s="231"/>
      <c r="IUQ120" s="231"/>
      <c r="IUR120" s="231"/>
      <c r="IUS120" s="231"/>
      <c r="IUT120" s="231"/>
      <c r="IUU120" s="231"/>
      <c r="IUV120" s="231"/>
      <c r="IUW120" s="231"/>
      <c r="IUX120" s="231"/>
      <c r="IUY120" s="231"/>
      <c r="IUZ120" s="231"/>
      <c r="IVA120" s="231"/>
      <c r="IVB120" s="231"/>
      <c r="IVC120" s="231"/>
      <c r="IVD120" s="231"/>
      <c r="IVE120" s="231"/>
      <c r="IVF120" s="231"/>
      <c r="IVG120" s="231"/>
      <c r="IVH120" s="231"/>
      <c r="IVI120" s="231"/>
      <c r="IVJ120" s="231"/>
      <c r="IVK120" s="231"/>
      <c r="IVL120" s="231"/>
      <c r="IVM120" s="231"/>
      <c r="IVN120" s="231"/>
      <c r="IVO120" s="231"/>
      <c r="IVP120" s="231"/>
      <c r="IVQ120" s="231"/>
      <c r="IVR120" s="231"/>
      <c r="IVS120" s="231"/>
      <c r="IVT120" s="231"/>
      <c r="IVU120" s="231"/>
      <c r="IVV120" s="231"/>
      <c r="IVW120" s="231"/>
      <c r="IVX120" s="231"/>
      <c r="IVY120" s="231"/>
      <c r="IVZ120" s="231"/>
      <c r="IWA120" s="231"/>
      <c r="IWB120" s="231"/>
      <c r="IWC120" s="231"/>
      <c r="IWD120" s="231"/>
      <c r="IWE120" s="231"/>
      <c r="IWF120" s="231"/>
      <c r="IWG120" s="231"/>
      <c r="IWH120" s="231"/>
      <c r="IWI120" s="231"/>
      <c r="IWJ120" s="231"/>
      <c r="IWK120" s="231"/>
      <c r="IWL120" s="231"/>
      <c r="IWM120" s="231"/>
      <c r="IWN120" s="231"/>
      <c r="IWO120" s="231"/>
      <c r="IWP120" s="231"/>
      <c r="IWQ120" s="231"/>
      <c r="IWR120" s="231"/>
      <c r="IWS120" s="231"/>
      <c r="IWT120" s="231"/>
      <c r="IWU120" s="231"/>
      <c r="IWV120" s="231"/>
      <c r="IWW120" s="231"/>
      <c r="IWX120" s="231"/>
      <c r="IWY120" s="231"/>
      <c r="IWZ120" s="231"/>
      <c r="IXA120" s="231"/>
      <c r="IXB120" s="231"/>
      <c r="IXC120" s="231"/>
      <c r="IXD120" s="231"/>
      <c r="IXE120" s="231"/>
      <c r="IXF120" s="231"/>
      <c r="IXG120" s="231"/>
      <c r="IXH120" s="231"/>
      <c r="IXI120" s="231"/>
      <c r="IXJ120" s="231"/>
      <c r="IXK120" s="231"/>
      <c r="IXL120" s="231"/>
      <c r="IXM120" s="231"/>
      <c r="IXN120" s="231"/>
      <c r="IXO120" s="231"/>
      <c r="IXP120" s="231"/>
      <c r="IXQ120" s="231"/>
      <c r="IXR120" s="231"/>
      <c r="IXS120" s="231"/>
      <c r="IXT120" s="231"/>
      <c r="IXU120" s="231"/>
      <c r="IXV120" s="231"/>
      <c r="IXW120" s="231"/>
      <c r="IXX120" s="231"/>
      <c r="IXY120" s="231"/>
      <c r="IXZ120" s="231"/>
      <c r="IYA120" s="231"/>
      <c r="IYB120" s="231"/>
      <c r="IYC120" s="231"/>
      <c r="IYD120" s="231"/>
      <c r="IYE120" s="231"/>
      <c r="IYF120" s="231"/>
      <c r="IYG120" s="231"/>
      <c r="IYH120" s="231"/>
      <c r="IYI120" s="231"/>
      <c r="IYJ120" s="231"/>
      <c r="IYK120" s="231"/>
      <c r="IYL120" s="231"/>
      <c r="IYM120" s="231"/>
      <c r="IYN120" s="231"/>
      <c r="IYO120" s="231"/>
      <c r="IYP120" s="231"/>
      <c r="IYQ120" s="231"/>
      <c r="IYR120" s="231"/>
      <c r="IYS120" s="231"/>
      <c r="IYT120" s="231"/>
      <c r="IYU120" s="231"/>
      <c r="IYV120" s="231"/>
      <c r="IYW120" s="231"/>
      <c r="IYX120" s="231"/>
      <c r="IYY120" s="231"/>
      <c r="IYZ120" s="231"/>
      <c r="IZA120" s="231"/>
      <c r="IZB120" s="231"/>
      <c r="IZC120" s="231"/>
      <c r="IZD120" s="231"/>
      <c r="IZE120" s="231"/>
      <c r="IZF120" s="231"/>
      <c r="IZG120" s="231"/>
      <c r="IZH120" s="231"/>
      <c r="IZI120" s="231"/>
      <c r="IZJ120" s="231"/>
      <c r="IZK120" s="231"/>
      <c r="IZL120" s="231"/>
      <c r="IZM120" s="231"/>
      <c r="IZN120" s="231"/>
      <c r="IZO120" s="231"/>
      <c r="IZP120" s="231"/>
      <c r="IZQ120" s="231"/>
      <c r="IZR120" s="231"/>
      <c r="IZS120" s="231"/>
      <c r="IZT120" s="231"/>
      <c r="IZU120" s="231"/>
      <c r="IZV120" s="231"/>
      <c r="IZW120" s="231"/>
      <c r="IZX120" s="231"/>
      <c r="IZY120" s="231"/>
      <c r="IZZ120" s="231"/>
      <c r="JAA120" s="231"/>
      <c r="JAB120" s="231"/>
      <c r="JAC120" s="231"/>
      <c r="JAD120" s="231"/>
      <c r="JAE120" s="231"/>
      <c r="JAF120" s="231"/>
      <c r="JAG120" s="231"/>
      <c r="JAH120" s="231"/>
      <c r="JAI120" s="231"/>
      <c r="JAJ120" s="231"/>
      <c r="JAK120" s="231"/>
      <c r="JAL120" s="231"/>
      <c r="JAM120" s="231"/>
      <c r="JAN120" s="231"/>
      <c r="JAO120" s="231"/>
      <c r="JAP120" s="231"/>
      <c r="JAQ120" s="231"/>
      <c r="JAR120" s="231"/>
      <c r="JAS120" s="231"/>
      <c r="JAT120" s="231"/>
      <c r="JAU120" s="231"/>
      <c r="JAV120" s="231"/>
      <c r="JAW120" s="231"/>
      <c r="JAX120" s="231"/>
      <c r="JAY120" s="231"/>
      <c r="JAZ120" s="231"/>
      <c r="JBA120" s="231"/>
      <c r="JBB120" s="231"/>
      <c r="JBC120" s="231"/>
      <c r="JBD120" s="231"/>
      <c r="JBE120" s="231"/>
      <c r="JBF120" s="231"/>
      <c r="JBG120" s="231"/>
      <c r="JBH120" s="231"/>
      <c r="JBI120" s="231"/>
      <c r="JBJ120" s="231"/>
      <c r="JBK120" s="231"/>
      <c r="JBL120" s="231"/>
      <c r="JBM120" s="231"/>
      <c r="JBN120" s="231"/>
      <c r="JBO120" s="231"/>
      <c r="JBP120" s="231"/>
      <c r="JBQ120" s="231"/>
      <c r="JBR120" s="231"/>
      <c r="JBS120" s="231"/>
      <c r="JBT120" s="231"/>
      <c r="JBU120" s="231"/>
      <c r="JBV120" s="231"/>
      <c r="JBW120" s="231"/>
      <c r="JBX120" s="231"/>
      <c r="JBY120" s="231"/>
      <c r="JBZ120" s="231"/>
      <c r="JCA120" s="231"/>
      <c r="JCB120" s="231"/>
      <c r="JCC120" s="231"/>
      <c r="JCD120" s="231"/>
      <c r="JCE120" s="231"/>
      <c r="JCF120" s="231"/>
      <c r="JCG120" s="231"/>
      <c r="JCH120" s="231"/>
      <c r="JCI120" s="231"/>
      <c r="JCJ120" s="231"/>
      <c r="JCK120" s="231"/>
      <c r="JCL120" s="231"/>
      <c r="JCM120" s="231"/>
      <c r="JCN120" s="231"/>
      <c r="JCO120" s="231"/>
      <c r="JCP120" s="231"/>
      <c r="JCQ120" s="231"/>
      <c r="JCR120" s="231"/>
      <c r="JCS120" s="231"/>
      <c r="JCT120" s="231"/>
      <c r="JCU120" s="231"/>
      <c r="JCV120" s="231"/>
      <c r="JCW120" s="231"/>
      <c r="JCX120" s="231"/>
      <c r="JCY120" s="231"/>
      <c r="JCZ120" s="231"/>
      <c r="JDA120" s="231"/>
      <c r="JDB120" s="231"/>
      <c r="JDC120" s="231"/>
      <c r="JDD120" s="231"/>
      <c r="JDE120" s="231"/>
      <c r="JDF120" s="231"/>
      <c r="JDG120" s="231"/>
      <c r="JDH120" s="231"/>
      <c r="JDI120" s="231"/>
      <c r="JDJ120" s="231"/>
      <c r="JDK120" s="231"/>
      <c r="JDL120" s="231"/>
      <c r="JDM120" s="231"/>
      <c r="JDN120" s="231"/>
      <c r="JDO120" s="231"/>
      <c r="JDP120" s="231"/>
      <c r="JDQ120" s="231"/>
      <c r="JDR120" s="231"/>
      <c r="JDS120" s="231"/>
      <c r="JDT120" s="231"/>
      <c r="JDU120" s="231"/>
      <c r="JDV120" s="231"/>
      <c r="JDW120" s="231"/>
      <c r="JDX120" s="231"/>
      <c r="JDY120" s="231"/>
      <c r="JDZ120" s="231"/>
      <c r="JEA120" s="231"/>
      <c r="JEB120" s="231"/>
      <c r="JEC120" s="231"/>
      <c r="JED120" s="231"/>
      <c r="JEE120" s="231"/>
      <c r="JEF120" s="231"/>
      <c r="JEG120" s="231"/>
      <c r="JEH120" s="231"/>
      <c r="JEI120" s="231"/>
      <c r="JEJ120" s="231"/>
      <c r="JEK120" s="231"/>
      <c r="JEL120" s="231"/>
      <c r="JEM120" s="231"/>
      <c r="JEN120" s="231"/>
      <c r="JEO120" s="231"/>
      <c r="JEP120" s="231"/>
      <c r="JEQ120" s="231"/>
      <c r="JER120" s="231"/>
      <c r="JES120" s="231"/>
      <c r="JET120" s="231"/>
      <c r="JEU120" s="231"/>
      <c r="JEV120" s="231"/>
      <c r="JEW120" s="231"/>
      <c r="JEX120" s="231"/>
      <c r="JEY120" s="231"/>
      <c r="JEZ120" s="231"/>
      <c r="JFA120" s="231"/>
      <c r="JFB120" s="231"/>
      <c r="JFC120" s="231"/>
      <c r="JFD120" s="231"/>
      <c r="JFE120" s="231"/>
      <c r="JFF120" s="231"/>
      <c r="JFG120" s="231"/>
      <c r="JFH120" s="231"/>
      <c r="JFI120" s="231"/>
      <c r="JFJ120" s="231"/>
      <c r="JFK120" s="231"/>
      <c r="JFL120" s="231"/>
      <c r="JFM120" s="231"/>
      <c r="JFN120" s="231"/>
      <c r="JFO120" s="231"/>
      <c r="JFP120" s="231"/>
      <c r="JFQ120" s="231"/>
      <c r="JFR120" s="231"/>
      <c r="JFS120" s="231"/>
      <c r="JFT120" s="231"/>
      <c r="JFU120" s="231"/>
      <c r="JFV120" s="231"/>
      <c r="JFW120" s="231"/>
      <c r="JFX120" s="231"/>
      <c r="JFY120" s="231"/>
      <c r="JFZ120" s="231"/>
      <c r="JGA120" s="231"/>
      <c r="JGB120" s="231"/>
      <c r="JGC120" s="231"/>
      <c r="JGD120" s="231"/>
      <c r="JGE120" s="231"/>
      <c r="JGF120" s="231"/>
      <c r="JGG120" s="231"/>
      <c r="JGH120" s="231"/>
      <c r="JGI120" s="231"/>
      <c r="JGJ120" s="231"/>
      <c r="JGK120" s="231"/>
      <c r="JGL120" s="231"/>
      <c r="JGM120" s="231"/>
      <c r="JGN120" s="231"/>
      <c r="JGO120" s="231"/>
      <c r="JGP120" s="231"/>
      <c r="JGQ120" s="231"/>
      <c r="JGR120" s="231"/>
      <c r="JGS120" s="231"/>
      <c r="JGT120" s="231"/>
      <c r="JGU120" s="231"/>
      <c r="JGV120" s="231"/>
      <c r="JGW120" s="231"/>
      <c r="JGX120" s="231"/>
      <c r="JGY120" s="231"/>
      <c r="JGZ120" s="231"/>
      <c r="JHA120" s="231"/>
      <c r="JHB120" s="231"/>
      <c r="JHC120" s="231"/>
      <c r="JHD120" s="231"/>
      <c r="JHE120" s="231"/>
      <c r="JHF120" s="231"/>
      <c r="JHG120" s="231"/>
      <c r="JHH120" s="231"/>
      <c r="JHI120" s="231"/>
      <c r="JHJ120" s="231"/>
      <c r="JHK120" s="231"/>
      <c r="JHL120" s="231"/>
      <c r="JHM120" s="231"/>
      <c r="JHN120" s="231"/>
      <c r="JHO120" s="231"/>
      <c r="JHP120" s="231"/>
      <c r="JHQ120" s="231"/>
      <c r="JHR120" s="231"/>
      <c r="JHS120" s="231"/>
      <c r="JHT120" s="231"/>
      <c r="JHU120" s="231"/>
      <c r="JHV120" s="231"/>
      <c r="JHW120" s="231"/>
      <c r="JHX120" s="231"/>
      <c r="JHY120" s="231"/>
      <c r="JHZ120" s="231"/>
      <c r="JIA120" s="231"/>
      <c r="JIB120" s="231"/>
      <c r="JIC120" s="231"/>
      <c r="JID120" s="231"/>
      <c r="JIE120" s="231"/>
      <c r="JIF120" s="231"/>
      <c r="JIG120" s="231"/>
      <c r="JIH120" s="231"/>
      <c r="JII120" s="231"/>
      <c r="JIJ120" s="231"/>
      <c r="JIK120" s="231"/>
      <c r="JIL120" s="231"/>
      <c r="JIM120" s="231"/>
      <c r="JIN120" s="231"/>
      <c r="JIO120" s="231"/>
      <c r="JIP120" s="231"/>
      <c r="JIQ120" s="231"/>
      <c r="JIR120" s="231"/>
      <c r="JIS120" s="231"/>
      <c r="JIT120" s="231"/>
      <c r="JIU120" s="231"/>
      <c r="JIV120" s="231"/>
      <c r="JIW120" s="231"/>
      <c r="JIX120" s="231"/>
      <c r="JIY120" s="231"/>
      <c r="JIZ120" s="231"/>
      <c r="JJA120" s="231"/>
      <c r="JJB120" s="231"/>
      <c r="JJC120" s="231"/>
      <c r="JJD120" s="231"/>
      <c r="JJE120" s="231"/>
      <c r="JJF120" s="231"/>
      <c r="JJG120" s="231"/>
      <c r="JJH120" s="231"/>
      <c r="JJI120" s="231"/>
      <c r="JJJ120" s="231"/>
      <c r="JJK120" s="231"/>
      <c r="JJL120" s="231"/>
      <c r="JJM120" s="231"/>
      <c r="JJN120" s="231"/>
      <c r="JJO120" s="231"/>
      <c r="JJP120" s="231"/>
      <c r="JJQ120" s="231"/>
      <c r="JJR120" s="231"/>
      <c r="JJS120" s="231"/>
      <c r="JJT120" s="231"/>
      <c r="JJU120" s="231"/>
      <c r="JJV120" s="231"/>
      <c r="JJW120" s="231"/>
      <c r="JJX120" s="231"/>
      <c r="JJY120" s="231"/>
      <c r="JJZ120" s="231"/>
      <c r="JKA120" s="231"/>
      <c r="JKB120" s="231"/>
      <c r="JKC120" s="231"/>
      <c r="JKD120" s="231"/>
      <c r="JKE120" s="231"/>
      <c r="JKF120" s="231"/>
      <c r="JKG120" s="231"/>
      <c r="JKH120" s="231"/>
      <c r="JKI120" s="231"/>
      <c r="JKJ120" s="231"/>
      <c r="JKK120" s="231"/>
      <c r="JKL120" s="231"/>
      <c r="JKM120" s="231"/>
      <c r="JKN120" s="231"/>
      <c r="JKO120" s="231"/>
      <c r="JKP120" s="231"/>
      <c r="JKQ120" s="231"/>
      <c r="JKR120" s="231"/>
      <c r="JKS120" s="231"/>
      <c r="JKT120" s="231"/>
      <c r="JKU120" s="231"/>
      <c r="JKV120" s="231"/>
      <c r="JKW120" s="231"/>
      <c r="JKX120" s="231"/>
      <c r="JKY120" s="231"/>
      <c r="JKZ120" s="231"/>
      <c r="JLA120" s="231"/>
      <c r="JLB120" s="231"/>
      <c r="JLC120" s="231"/>
      <c r="JLD120" s="231"/>
      <c r="JLE120" s="231"/>
      <c r="JLF120" s="231"/>
      <c r="JLG120" s="231"/>
      <c r="JLH120" s="231"/>
      <c r="JLI120" s="231"/>
      <c r="JLJ120" s="231"/>
      <c r="JLK120" s="231"/>
      <c r="JLL120" s="231"/>
      <c r="JLM120" s="231"/>
      <c r="JLN120" s="231"/>
      <c r="JLO120" s="231"/>
      <c r="JLP120" s="231"/>
      <c r="JLQ120" s="231"/>
      <c r="JLR120" s="231"/>
      <c r="JLS120" s="231"/>
      <c r="JLT120" s="231"/>
      <c r="JLU120" s="231"/>
      <c r="JLV120" s="231"/>
      <c r="JLW120" s="231"/>
      <c r="JLX120" s="231"/>
      <c r="JLY120" s="231"/>
      <c r="JLZ120" s="231"/>
      <c r="JMA120" s="231"/>
      <c r="JMB120" s="231"/>
      <c r="JMC120" s="231"/>
      <c r="JMD120" s="231"/>
      <c r="JME120" s="231"/>
      <c r="JMF120" s="231"/>
      <c r="JMG120" s="231"/>
      <c r="JMH120" s="231"/>
      <c r="JMI120" s="231"/>
      <c r="JMJ120" s="231"/>
      <c r="JMK120" s="231"/>
      <c r="JML120" s="231"/>
      <c r="JMM120" s="231"/>
      <c r="JMN120" s="231"/>
      <c r="JMO120" s="231"/>
      <c r="JMP120" s="231"/>
      <c r="JMQ120" s="231"/>
      <c r="JMR120" s="231"/>
      <c r="JMS120" s="231"/>
      <c r="JMT120" s="231"/>
      <c r="JMU120" s="231"/>
      <c r="JMV120" s="231"/>
      <c r="JMW120" s="231"/>
      <c r="JMX120" s="231"/>
      <c r="JMY120" s="231"/>
      <c r="JMZ120" s="231"/>
      <c r="JNA120" s="231"/>
      <c r="JNB120" s="231"/>
      <c r="JNC120" s="231"/>
      <c r="JND120" s="231"/>
      <c r="JNE120" s="231"/>
      <c r="JNF120" s="231"/>
      <c r="JNG120" s="231"/>
      <c r="JNH120" s="231"/>
      <c r="JNI120" s="231"/>
      <c r="JNJ120" s="231"/>
      <c r="JNK120" s="231"/>
      <c r="JNL120" s="231"/>
      <c r="JNM120" s="231"/>
      <c r="JNN120" s="231"/>
      <c r="JNO120" s="231"/>
      <c r="JNP120" s="231"/>
      <c r="JNQ120" s="231"/>
      <c r="JNR120" s="231"/>
      <c r="JNS120" s="231"/>
      <c r="JNT120" s="231"/>
      <c r="JNU120" s="231"/>
      <c r="JNV120" s="231"/>
      <c r="JNW120" s="231"/>
      <c r="JNX120" s="231"/>
      <c r="JNY120" s="231"/>
      <c r="JNZ120" s="231"/>
      <c r="JOA120" s="231"/>
      <c r="JOB120" s="231"/>
      <c r="JOC120" s="231"/>
      <c r="JOD120" s="231"/>
      <c r="JOE120" s="231"/>
      <c r="JOF120" s="231"/>
      <c r="JOG120" s="231"/>
      <c r="JOH120" s="231"/>
      <c r="JOI120" s="231"/>
      <c r="JOJ120" s="231"/>
      <c r="JOK120" s="231"/>
      <c r="JOL120" s="231"/>
      <c r="JOM120" s="231"/>
      <c r="JON120" s="231"/>
      <c r="JOO120" s="231"/>
      <c r="JOP120" s="231"/>
      <c r="JOQ120" s="231"/>
      <c r="JOR120" s="231"/>
      <c r="JOS120" s="231"/>
      <c r="JOT120" s="231"/>
      <c r="JOU120" s="231"/>
      <c r="JOV120" s="231"/>
      <c r="JOW120" s="231"/>
      <c r="JOX120" s="231"/>
      <c r="JOY120" s="231"/>
      <c r="JOZ120" s="231"/>
      <c r="JPA120" s="231"/>
      <c r="JPB120" s="231"/>
      <c r="JPC120" s="231"/>
      <c r="JPD120" s="231"/>
      <c r="JPE120" s="231"/>
      <c r="JPF120" s="231"/>
      <c r="JPG120" s="231"/>
      <c r="JPH120" s="231"/>
      <c r="JPI120" s="231"/>
      <c r="JPJ120" s="231"/>
      <c r="JPK120" s="231"/>
      <c r="JPL120" s="231"/>
      <c r="JPM120" s="231"/>
      <c r="JPN120" s="231"/>
      <c r="JPO120" s="231"/>
      <c r="JPP120" s="231"/>
      <c r="JPQ120" s="231"/>
      <c r="JPR120" s="231"/>
      <c r="JPS120" s="231"/>
      <c r="JPT120" s="231"/>
      <c r="JPU120" s="231"/>
      <c r="JPV120" s="231"/>
      <c r="JPW120" s="231"/>
      <c r="JPX120" s="231"/>
      <c r="JPY120" s="231"/>
      <c r="JPZ120" s="231"/>
      <c r="JQA120" s="231"/>
      <c r="JQB120" s="231"/>
      <c r="JQC120" s="231"/>
      <c r="JQD120" s="231"/>
      <c r="JQE120" s="231"/>
      <c r="JQF120" s="231"/>
      <c r="JQG120" s="231"/>
      <c r="JQH120" s="231"/>
      <c r="JQI120" s="231"/>
      <c r="JQJ120" s="231"/>
      <c r="JQK120" s="231"/>
      <c r="JQL120" s="231"/>
      <c r="JQM120" s="231"/>
      <c r="JQN120" s="231"/>
      <c r="JQO120" s="231"/>
      <c r="JQP120" s="231"/>
      <c r="JQQ120" s="231"/>
      <c r="JQR120" s="231"/>
      <c r="JQS120" s="231"/>
      <c r="JQT120" s="231"/>
      <c r="JQU120" s="231"/>
      <c r="JQV120" s="231"/>
      <c r="JQW120" s="231"/>
      <c r="JQX120" s="231"/>
      <c r="JQY120" s="231"/>
      <c r="JQZ120" s="231"/>
      <c r="JRA120" s="231"/>
      <c r="JRB120" s="231"/>
      <c r="JRC120" s="231"/>
      <c r="JRD120" s="231"/>
      <c r="JRE120" s="231"/>
      <c r="JRF120" s="231"/>
      <c r="JRG120" s="231"/>
      <c r="JRH120" s="231"/>
      <c r="JRI120" s="231"/>
      <c r="JRJ120" s="231"/>
      <c r="JRK120" s="231"/>
      <c r="JRL120" s="231"/>
      <c r="JRM120" s="231"/>
      <c r="JRN120" s="231"/>
      <c r="JRO120" s="231"/>
      <c r="JRP120" s="231"/>
      <c r="JRQ120" s="231"/>
      <c r="JRR120" s="231"/>
      <c r="JRS120" s="231"/>
      <c r="JRT120" s="231"/>
      <c r="JRU120" s="231"/>
      <c r="JRV120" s="231"/>
      <c r="JRW120" s="231"/>
      <c r="JRX120" s="231"/>
      <c r="JRY120" s="231"/>
      <c r="JRZ120" s="231"/>
      <c r="JSA120" s="231"/>
      <c r="JSB120" s="231"/>
      <c r="JSC120" s="231"/>
      <c r="JSD120" s="231"/>
      <c r="JSE120" s="231"/>
      <c r="JSF120" s="231"/>
      <c r="JSG120" s="231"/>
      <c r="JSH120" s="231"/>
      <c r="JSI120" s="231"/>
      <c r="JSJ120" s="231"/>
      <c r="JSK120" s="231"/>
      <c r="JSL120" s="231"/>
      <c r="JSM120" s="231"/>
      <c r="JSN120" s="231"/>
      <c r="JSO120" s="231"/>
      <c r="JSP120" s="231"/>
      <c r="JSQ120" s="231"/>
      <c r="JSR120" s="231"/>
      <c r="JSS120" s="231"/>
      <c r="JST120" s="231"/>
      <c r="JSU120" s="231"/>
      <c r="JSV120" s="231"/>
      <c r="JSW120" s="231"/>
      <c r="JSX120" s="231"/>
      <c r="JSY120" s="231"/>
      <c r="JSZ120" s="231"/>
      <c r="JTA120" s="231"/>
      <c r="JTB120" s="231"/>
      <c r="JTC120" s="231"/>
      <c r="JTD120" s="231"/>
      <c r="JTE120" s="231"/>
      <c r="JTF120" s="231"/>
      <c r="JTG120" s="231"/>
      <c r="JTH120" s="231"/>
      <c r="JTI120" s="231"/>
      <c r="JTJ120" s="231"/>
      <c r="JTK120" s="231"/>
      <c r="JTL120" s="231"/>
      <c r="JTM120" s="231"/>
      <c r="JTN120" s="231"/>
      <c r="JTO120" s="231"/>
      <c r="JTP120" s="231"/>
      <c r="JTQ120" s="231"/>
      <c r="JTR120" s="231"/>
      <c r="JTS120" s="231"/>
      <c r="JTT120" s="231"/>
      <c r="JTU120" s="231"/>
      <c r="JTV120" s="231"/>
      <c r="JTW120" s="231"/>
      <c r="JTX120" s="231"/>
      <c r="JTY120" s="231"/>
      <c r="JTZ120" s="231"/>
      <c r="JUA120" s="231"/>
      <c r="JUB120" s="231"/>
      <c r="JUC120" s="231"/>
      <c r="JUD120" s="231"/>
      <c r="JUE120" s="231"/>
      <c r="JUF120" s="231"/>
      <c r="JUG120" s="231"/>
      <c r="JUH120" s="231"/>
      <c r="JUI120" s="231"/>
      <c r="JUJ120" s="231"/>
      <c r="JUK120" s="231"/>
      <c r="JUL120" s="231"/>
      <c r="JUM120" s="231"/>
      <c r="JUN120" s="231"/>
      <c r="JUO120" s="231"/>
      <c r="JUP120" s="231"/>
      <c r="JUQ120" s="231"/>
      <c r="JUR120" s="231"/>
      <c r="JUS120" s="231"/>
      <c r="JUT120" s="231"/>
      <c r="JUU120" s="231"/>
      <c r="JUV120" s="231"/>
      <c r="JUW120" s="231"/>
      <c r="JUX120" s="231"/>
      <c r="JUY120" s="231"/>
      <c r="JUZ120" s="231"/>
      <c r="JVA120" s="231"/>
      <c r="JVB120" s="231"/>
      <c r="JVC120" s="231"/>
      <c r="JVD120" s="231"/>
      <c r="JVE120" s="231"/>
      <c r="JVF120" s="231"/>
      <c r="JVG120" s="231"/>
      <c r="JVH120" s="231"/>
      <c r="JVI120" s="231"/>
      <c r="JVJ120" s="231"/>
      <c r="JVK120" s="231"/>
      <c r="JVL120" s="231"/>
      <c r="JVM120" s="231"/>
      <c r="JVN120" s="231"/>
      <c r="JVO120" s="231"/>
      <c r="JVP120" s="231"/>
      <c r="JVQ120" s="231"/>
      <c r="JVR120" s="231"/>
      <c r="JVS120" s="231"/>
      <c r="JVT120" s="231"/>
      <c r="JVU120" s="231"/>
      <c r="JVV120" s="231"/>
      <c r="JVW120" s="231"/>
      <c r="JVX120" s="231"/>
      <c r="JVY120" s="231"/>
      <c r="JVZ120" s="231"/>
      <c r="JWA120" s="231"/>
      <c r="JWB120" s="231"/>
      <c r="JWC120" s="231"/>
      <c r="JWD120" s="231"/>
      <c r="JWE120" s="231"/>
      <c r="JWF120" s="231"/>
      <c r="JWG120" s="231"/>
      <c r="JWH120" s="231"/>
      <c r="JWI120" s="231"/>
      <c r="JWJ120" s="231"/>
      <c r="JWK120" s="231"/>
      <c r="JWL120" s="231"/>
      <c r="JWM120" s="231"/>
      <c r="JWN120" s="231"/>
      <c r="JWO120" s="231"/>
      <c r="JWP120" s="231"/>
      <c r="JWQ120" s="231"/>
      <c r="JWR120" s="231"/>
      <c r="JWS120" s="231"/>
      <c r="JWT120" s="231"/>
      <c r="JWU120" s="231"/>
      <c r="JWV120" s="231"/>
      <c r="JWW120" s="231"/>
      <c r="JWX120" s="231"/>
      <c r="JWY120" s="231"/>
      <c r="JWZ120" s="231"/>
      <c r="JXA120" s="231"/>
      <c r="JXB120" s="231"/>
      <c r="JXC120" s="231"/>
      <c r="JXD120" s="231"/>
      <c r="JXE120" s="231"/>
      <c r="JXF120" s="231"/>
      <c r="JXG120" s="231"/>
      <c r="JXH120" s="231"/>
      <c r="JXI120" s="231"/>
      <c r="JXJ120" s="231"/>
      <c r="JXK120" s="231"/>
      <c r="JXL120" s="231"/>
      <c r="JXM120" s="231"/>
      <c r="JXN120" s="231"/>
      <c r="JXO120" s="231"/>
      <c r="JXP120" s="231"/>
      <c r="JXQ120" s="231"/>
      <c r="JXR120" s="231"/>
      <c r="JXS120" s="231"/>
      <c r="JXT120" s="231"/>
      <c r="JXU120" s="231"/>
      <c r="JXV120" s="231"/>
      <c r="JXW120" s="231"/>
      <c r="JXX120" s="231"/>
      <c r="JXY120" s="231"/>
      <c r="JXZ120" s="231"/>
      <c r="JYA120" s="231"/>
      <c r="JYB120" s="231"/>
      <c r="JYC120" s="231"/>
      <c r="JYD120" s="231"/>
      <c r="JYE120" s="231"/>
      <c r="JYF120" s="231"/>
      <c r="JYG120" s="231"/>
      <c r="JYH120" s="231"/>
      <c r="JYI120" s="231"/>
      <c r="JYJ120" s="231"/>
      <c r="JYK120" s="231"/>
      <c r="JYL120" s="231"/>
      <c r="JYM120" s="231"/>
      <c r="JYN120" s="231"/>
      <c r="JYO120" s="231"/>
      <c r="JYP120" s="231"/>
      <c r="JYQ120" s="231"/>
      <c r="JYR120" s="231"/>
      <c r="JYS120" s="231"/>
      <c r="JYT120" s="231"/>
      <c r="JYU120" s="231"/>
      <c r="JYV120" s="231"/>
      <c r="JYW120" s="231"/>
      <c r="JYX120" s="231"/>
      <c r="JYY120" s="231"/>
      <c r="JYZ120" s="231"/>
      <c r="JZA120" s="231"/>
      <c r="JZB120" s="231"/>
      <c r="JZC120" s="231"/>
      <c r="JZD120" s="231"/>
      <c r="JZE120" s="231"/>
      <c r="JZF120" s="231"/>
      <c r="JZG120" s="231"/>
      <c r="JZH120" s="231"/>
      <c r="JZI120" s="231"/>
      <c r="JZJ120" s="231"/>
      <c r="JZK120" s="231"/>
      <c r="JZL120" s="231"/>
      <c r="JZM120" s="231"/>
      <c r="JZN120" s="231"/>
      <c r="JZO120" s="231"/>
      <c r="JZP120" s="231"/>
      <c r="JZQ120" s="231"/>
      <c r="JZR120" s="231"/>
      <c r="JZS120" s="231"/>
      <c r="JZT120" s="231"/>
      <c r="JZU120" s="231"/>
      <c r="JZV120" s="231"/>
      <c r="JZW120" s="231"/>
      <c r="JZX120" s="231"/>
      <c r="JZY120" s="231"/>
      <c r="JZZ120" s="231"/>
      <c r="KAA120" s="231"/>
      <c r="KAB120" s="231"/>
      <c r="KAC120" s="231"/>
      <c r="KAD120" s="231"/>
      <c r="KAE120" s="231"/>
      <c r="KAF120" s="231"/>
      <c r="KAG120" s="231"/>
      <c r="KAH120" s="231"/>
      <c r="KAI120" s="231"/>
      <c r="KAJ120" s="231"/>
      <c r="KAK120" s="231"/>
      <c r="KAL120" s="231"/>
      <c r="KAM120" s="231"/>
      <c r="KAN120" s="231"/>
      <c r="KAO120" s="231"/>
      <c r="KAP120" s="231"/>
      <c r="KAQ120" s="231"/>
      <c r="KAR120" s="231"/>
      <c r="KAS120" s="231"/>
      <c r="KAT120" s="231"/>
      <c r="KAU120" s="231"/>
      <c r="KAV120" s="231"/>
      <c r="KAW120" s="231"/>
      <c r="KAX120" s="231"/>
      <c r="KAY120" s="231"/>
      <c r="KAZ120" s="231"/>
      <c r="KBA120" s="231"/>
      <c r="KBB120" s="231"/>
      <c r="KBC120" s="231"/>
      <c r="KBD120" s="231"/>
      <c r="KBE120" s="231"/>
      <c r="KBF120" s="231"/>
      <c r="KBG120" s="231"/>
      <c r="KBH120" s="231"/>
      <c r="KBI120" s="231"/>
      <c r="KBJ120" s="231"/>
      <c r="KBK120" s="231"/>
      <c r="KBL120" s="231"/>
      <c r="KBM120" s="231"/>
      <c r="KBN120" s="231"/>
      <c r="KBO120" s="231"/>
      <c r="KBP120" s="231"/>
      <c r="KBQ120" s="231"/>
      <c r="KBR120" s="231"/>
      <c r="KBS120" s="231"/>
      <c r="KBT120" s="231"/>
      <c r="KBU120" s="231"/>
      <c r="KBV120" s="231"/>
      <c r="KBW120" s="231"/>
      <c r="KBX120" s="231"/>
      <c r="KBY120" s="231"/>
      <c r="KBZ120" s="231"/>
      <c r="KCA120" s="231"/>
      <c r="KCB120" s="231"/>
      <c r="KCC120" s="231"/>
      <c r="KCD120" s="231"/>
      <c r="KCE120" s="231"/>
      <c r="KCF120" s="231"/>
      <c r="KCG120" s="231"/>
      <c r="KCH120" s="231"/>
      <c r="KCI120" s="231"/>
      <c r="KCJ120" s="231"/>
      <c r="KCK120" s="231"/>
      <c r="KCL120" s="231"/>
      <c r="KCM120" s="231"/>
      <c r="KCN120" s="231"/>
      <c r="KCO120" s="231"/>
      <c r="KCP120" s="231"/>
      <c r="KCQ120" s="231"/>
      <c r="KCR120" s="231"/>
      <c r="KCS120" s="231"/>
      <c r="KCT120" s="231"/>
      <c r="KCU120" s="231"/>
      <c r="KCV120" s="231"/>
      <c r="KCW120" s="231"/>
      <c r="KCX120" s="231"/>
      <c r="KCY120" s="231"/>
      <c r="KCZ120" s="231"/>
      <c r="KDA120" s="231"/>
      <c r="KDB120" s="231"/>
      <c r="KDC120" s="231"/>
      <c r="KDD120" s="231"/>
      <c r="KDE120" s="231"/>
      <c r="KDF120" s="231"/>
      <c r="KDG120" s="231"/>
      <c r="KDH120" s="231"/>
      <c r="KDI120" s="231"/>
      <c r="KDJ120" s="231"/>
      <c r="KDK120" s="231"/>
      <c r="KDL120" s="231"/>
      <c r="KDM120" s="231"/>
      <c r="KDN120" s="231"/>
      <c r="KDO120" s="231"/>
      <c r="KDP120" s="231"/>
      <c r="KDQ120" s="231"/>
      <c r="KDR120" s="231"/>
      <c r="KDS120" s="231"/>
      <c r="KDT120" s="231"/>
      <c r="KDU120" s="231"/>
      <c r="KDV120" s="231"/>
      <c r="KDW120" s="231"/>
      <c r="KDX120" s="231"/>
      <c r="KDY120" s="231"/>
      <c r="KDZ120" s="231"/>
      <c r="KEA120" s="231"/>
      <c r="KEB120" s="231"/>
      <c r="KEC120" s="231"/>
      <c r="KED120" s="231"/>
      <c r="KEE120" s="231"/>
      <c r="KEF120" s="231"/>
      <c r="KEG120" s="231"/>
      <c r="KEH120" s="231"/>
      <c r="KEI120" s="231"/>
      <c r="KEJ120" s="231"/>
      <c r="KEK120" s="231"/>
      <c r="KEL120" s="231"/>
      <c r="KEM120" s="231"/>
      <c r="KEN120" s="231"/>
      <c r="KEO120" s="231"/>
      <c r="KEP120" s="231"/>
      <c r="KEQ120" s="231"/>
      <c r="KER120" s="231"/>
      <c r="KES120" s="231"/>
      <c r="KET120" s="231"/>
      <c r="KEU120" s="231"/>
      <c r="KEV120" s="231"/>
      <c r="KEW120" s="231"/>
      <c r="KEX120" s="231"/>
      <c r="KEY120" s="231"/>
      <c r="KEZ120" s="231"/>
      <c r="KFA120" s="231"/>
      <c r="KFB120" s="231"/>
      <c r="KFC120" s="231"/>
      <c r="KFD120" s="231"/>
      <c r="KFE120" s="231"/>
      <c r="KFF120" s="231"/>
      <c r="KFG120" s="231"/>
      <c r="KFH120" s="231"/>
      <c r="KFI120" s="231"/>
      <c r="KFJ120" s="231"/>
      <c r="KFK120" s="231"/>
      <c r="KFL120" s="231"/>
      <c r="KFM120" s="231"/>
      <c r="KFN120" s="231"/>
      <c r="KFO120" s="231"/>
      <c r="KFP120" s="231"/>
      <c r="KFQ120" s="231"/>
      <c r="KFR120" s="231"/>
      <c r="KFS120" s="231"/>
      <c r="KFT120" s="231"/>
      <c r="KFU120" s="231"/>
      <c r="KFV120" s="231"/>
      <c r="KFW120" s="231"/>
      <c r="KFX120" s="231"/>
      <c r="KFY120" s="231"/>
      <c r="KFZ120" s="231"/>
      <c r="KGA120" s="231"/>
      <c r="KGB120" s="231"/>
      <c r="KGC120" s="231"/>
      <c r="KGD120" s="231"/>
      <c r="KGE120" s="231"/>
      <c r="KGF120" s="231"/>
      <c r="KGG120" s="231"/>
      <c r="KGH120" s="231"/>
      <c r="KGI120" s="231"/>
      <c r="KGJ120" s="231"/>
      <c r="KGK120" s="231"/>
      <c r="KGL120" s="231"/>
      <c r="KGM120" s="231"/>
      <c r="KGN120" s="231"/>
      <c r="KGO120" s="231"/>
      <c r="KGP120" s="231"/>
      <c r="KGQ120" s="231"/>
      <c r="KGR120" s="231"/>
      <c r="KGS120" s="231"/>
      <c r="KGT120" s="231"/>
      <c r="KGU120" s="231"/>
      <c r="KGV120" s="231"/>
      <c r="KGW120" s="231"/>
      <c r="KGX120" s="231"/>
      <c r="KGY120" s="231"/>
      <c r="KGZ120" s="231"/>
      <c r="KHA120" s="231"/>
      <c r="KHB120" s="231"/>
      <c r="KHC120" s="231"/>
      <c r="KHD120" s="231"/>
      <c r="KHE120" s="231"/>
      <c r="KHF120" s="231"/>
      <c r="KHG120" s="231"/>
      <c r="KHH120" s="231"/>
      <c r="KHI120" s="231"/>
      <c r="KHJ120" s="231"/>
      <c r="KHK120" s="231"/>
      <c r="KHL120" s="231"/>
      <c r="KHM120" s="231"/>
      <c r="KHN120" s="231"/>
      <c r="KHO120" s="231"/>
      <c r="KHP120" s="231"/>
      <c r="KHQ120" s="231"/>
      <c r="KHR120" s="231"/>
      <c r="KHS120" s="231"/>
      <c r="KHT120" s="231"/>
      <c r="KHU120" s="231"/>
      <c r="KHV120" s="231"/>
      <c r="KHW120" s="231"/>
      <c r="KHX120" s="231"/>
      <c r="KHY120" s="231"/>
      <c r="KHZ120" s="231"/>
      <c r="KIA120" s="231"/>
      <c r="KIB120" s="231"/>
      <c r="KIC120" s="231"/>
      <c r="KID120" s="231"/>
      <c r="KIE120" s="231"/>
      <c r="KIF120" s="231"/>
      <c r="KIG120" s="231"/>
      <c r="KIH120" s="231"/>
      <c r="KII120" s="231"/>
      <c r="KIJ120" s="231"/>
      <c r="KIK120" s="231"/>
      <c r="KIL120" s="231"/>
      <c r="KIM120" s="231"/>
      <c r="KIN120" s="231"/>
      <c r="KIO120" s="231"/>
      <c r="KIP120" s="231"/>
      <c r="KIQ120" s="231"/>
      <c r="KIR120" s="231"/>
      <c r="KIS120" s="231"/>
      <c r="KIT120" s="231"/>
      <c r="KIU120" s="231"/>
      <c r="KIV120" s="231"/>
      <c r="KIW120" s="231"/>
      <c r="KIX120" s="231"/>
      <c r="KIY120" s="231"/>
      <c r="KIZ120" s="231"/>
      <c r="KJA120" s="231"/>
      <c r="KJB120" s="231"/>
      <c r="KJC120" s="231"/>
      <c r="KJD120" s="231"/>
      <c r="KJE120" s="231"/>
      <c r="KJF120" s="231"/>
      <c r="KJG120" s="231"/>
      <c r="KJH120" s="231"/>
      <c r="KJI120" s="231"/>
      <c r="KJJ120" s="231"/>
      <c r="KJK120" s="231"/>
      <c r="KJL120" s="231"/>
      <c r="KJM120" s="231"/>
      <c r="KJN120" s="231"/>
      <c r="KJO120" s="231"/>
      <c r="KJP120" s="231"/>
      <c r="KJQ120" s="231"/>
      <c r="KJR120" s="231"/>
      <c r="KJS120" s="231"/>
      <c r="KJT120" s="231"/>
      <c r="KJU120" s="231"/>
      <c r="KJV120" s="231"/>
      <c r="KJW120" s="231"/>
      <c r="KJX120" s="231"/>
      <c r="KJY120" s="231"/>
      <c r="KJZ120" s="231"/>
      <c r="KKA120" s="231"/>
      <c r="KKB120" s="231"/>
      <c r="KKC120" s="231"/>
      <c r="KKD120" s="231"/>
      <c r="KKE120" s="231"/>
      <c r="KKF120" s="231"/>
      <c r="KKG120" s="231"/>
      <c r="KKH120" s="231"/>
      <c r="KKI120" s="231"/>
      <c r="KKJ120" s="231"/>
      <c r="KKK120" s="231"/>
      <c r="KKL120" s="231"/>
      <c r="KKM120" s="231"/>
      <c r="KKN120" s="231"/>
      <c r="KKO120" s="231"/>
      <c r="KKP120" s="231"/>
      <c r="KKQ120" s="231"/>
      <c r="KKR120" s="231"/>
      <c r="KKS120" s="231"/>
      <c r="KKT120" s="231"/>
      <c r="KKU120" s="231"/>
      <c r="KKV120" s="231"/>
      <c r="KKW120" s="231"/>
      <c r="KKX120" s="231"/>
      <c r="KKY120" s="231"/>
      <c r="KKZ120" s="231"/>
      <c r="KLA120" s="231"/>
      <c r="KLB120" s="231"/>
      <c r="KLC120" s="231"/>
      <c r="KLD120" s="231"/>
      <c r="KLE120" s="231"/>
      <c r="KLF120" s="231"/>
      <c r="KLG120" s="231"/>
      <c r="KLH120" s="231"/>
      <c r="KLI120" s="231"/>
      <c r="KLJ120" s="231"/>
      <c r="KLK120" s="231"/>
      <c r="KLL120" s="231"/>
      <c r="KLM120" s="231"/>
      <c r="KLN120" s="231"/>
      <c r="KLO120" s="231"/>
      <c r="KLP120" s="231"/>
      <c r="KLQ120" s="231"/>
      <c r="KLR120" s="231"/>
      <c r="KLS120" s="231"/>
      <c r="KLT120" s="231"/>
      <c r="KLU120" s="231"/>
      <c r="KLV120" s="231"/>
      <c r="KLW120" s="231"/>
      <c r="KLX120" s="231"/>
      <c r="KLY120" s="231"/>
      <c r="KLZ120" s="231"/>
      <c r="KMA120" s="231"/>
      <c r="KMB120" s="231"/>
      <c r="KMC120" s="231"/>
      <c r="KMD120" s="231"/>
      <c r="KME120" s="231"/>
      <c r="KMF120" s="231"/>
      <c r="KMG120" s="231"/>
      <c r="KMH120" s="231"/>
      <c r="KMI120" s="231"/>
      <c r="KMJ120" s="231"/>
      <c r="KMK120" s="231"/>
      <c r="KML120" s="231"/>
      <c r="KMM120" s="231"/>
      <c r="KMN120" s="231"/>
      <c r="KMO120" s="231"/>
      <c r="KMP120" s="231"/>
      <c r="KMQ120" s="231"/>
      <c r="KMR120" s="231"/>
      <c r="KMS120" s="231"/>
      <c r="KMT120" s="231"/>
      <c r="KMU120" s="231"/>
      <c r="KMV120" s="231"/>
      <c r="KMW120" s="231"/>
      <c r="KMX120" s="231"/>
      <c r="KMY120" s="231"/>
      <c r="KMZ120" s="231"/>
      <c r="KNA120" s="231"/>
      <c r="KNB120" s="231"/>
      <c r="KNC120" s="231"/>
      <c r="KND120" s="231"/>
      <c r="KNE120" s="231"/>
      <c r="KNF120" s="231"/>
      <c r="KNG120" s="231"/>
      <c r="KNH120" s="231"/>
      <c r="KNI120" s="231"/>
      <c r="KNJ120" s="231"/>
      <c r="KNK120" s="231"/>
      <c r="KNL120" s="231"/>
      <c r="KNM120" s="231"/>
      <c r="KNN120" s="231"/>
      <c r="KNO120" s="231"/>
      <c r="KNP120" s="231"/>
      <c r="KNQ120" s="231"/>
      <c r="KNR120" s="231"/>
      <c r="KNS120" s="231"/>
      <c r="KNT120" s="231"/>
      <c r="KNU120" s="231"/>
      <c r="KNV120" s="231"/>
      <c r="KNW120" s="231"/>
      <c r="KNX120" s="231"/>
      <c r="KNY120" s="231"/>
      <c r="KNZ120" s="231"/>
      <c r="KOA120" s="231"/>
      <c r="KOB120" s="231"/>
      <c r="KOC120" s="231"/>
      <c r="KOD120" s="231"/>
      <c r="KOE120" s="231"/>
      <c r="KOF120" s="231"/>
      <c r="KOG120" s="231"/>
      <c r="KOH120" s="231"/>
      <c r="KOI120" s="231"/>
      <c r="KOJ120" s="231"/>
      <c r="KOK120" s="231"/>
      <c r="KOL120" s="231"/>
      <c r="KOM120" s="231"/>
      <c r="KON120" s="231"/>
      <c r="KOO120" s="231"/>
      <c r="KOP120" s="231"/>
      <c r="KOQ120" s="231"/>
      <c r="KOR120" s="231"/>
      <c r="KOS120" s="231"/>
      <c r="KOT120" s="231"/>
      <c r="KOU120" s="231"/>
      <c r="KOV120" s="231"/>
      <c r="KOW120" s="231"/>
      <c r="KOX120" s="231"/>
      <c r="KOY120" s="231"/>
      <c r="KOZ120" s="231"/>
      <c r="KPA120" s="231"/>
      <c r="KPB120" s="231"/>
      <c r="KPC120" s="231"/>
      <c r="KPD120" s="231"/>
      <c r="KPE120" s="231"/>
      <c r="KPF120" s="231"/>
      <c r="KPG120" s="231"/>
      <c r="KPH120" s="231"/>
      <c r="KPI120" s="231"/>
      <c r="KPJ120" s="231"/>
      <c r="KPK120" s="231"/>
      <c r="KPL120" s="231"/>
      <c r="KPM120" s="231"/>
      <c r="KPN120" s="231"/>
      <c r="KPO120" s="231"/>
      <c r="KPP120" s="231"/>
      <c r="KPQ120" s="231"/>
      <c r="KPR120" s="231"/>
      <c r="KPS120" s="231"/>
      <c r="KPT120" s="231"/>
      <c r="KPU120" s="231"/>
      <c r="KPV120" s="231"/>
      <c r="KPW120" s="231"/>
      <c r="KPX120" s="231"/>
      <c r="KPY120" s="231"/>
      <c r="KPZ120" s="231"/>
      <c r="KQA120" s="231"/>
      <c r="KQB120" s="231"/>
      <c r="KQC120" s="231"/>
      <c r="KQD120" s="231"/>
      <c r="KQE120" s="231"/>
      <c r="KQF120" s="231"/>
      <c r="KQG120" s="231"/>
      <c r="KQH120" s="231"/>
      <c r="KQI120" s="231"/>
      <c r="KQJ120" s="231"/>
      <c r="KQK120" s="231"/>
      <c r="KQL120" s="231"/>
      <c r="KQM120" s="231"/>
      <c r="KQN120" s="231"/>
      <c r="KQO120" s="231"/>
      <c r="KQP120" s="231"/>
      <c r="KQQ120" s="231"/>
      <c r="KQR120" s="231"/>
      <c r="KQS120" s="231"/>
      <c r="KQT120" s="231"/>
      <c r="KQU120" s="231"/>
      <c r="KQV120" s="231"/>
      <c r="KQW120" s="231"/>
      <c r="KQX120" s="231"/>
      <c r="KQY120" s="231"/>
      <c r="KQZ120" s="231"/>
      <c r="KRA120" s="231"/>
      <c r="KRB120" s="231"/>
      <c r="KRC120" s="231"/>
      <c r="KRD120" s="231"/>
      <c r="KRE120" s="231"/>
      <c r="KRF120" s="231"/>
      <c r="KRG120" s="231"/>
      <c r="KRH120" s="231"/>
      <c r="KRI120" s="231"/>
      <c r="KRJ120" s="231"/>
      <c r="KRK120" s="231"/>
      <c r="KRL120" s="231"/>
      <c r="KRM120" s="231"/>
      <c r="KRN120" s="231"/>
      <c r="KRO120" s="231"/>
      <c r="KRP120" s="231"/>
      <c r="KRQ120" s="231"/>
      <c r="KRR120" s="231"/>
      <c r="KRS120" s="231"/>
      <c r="KRT120" s="231"/>
      <c r="KRU120" s="231"/>
      <c r="KRV120" s="231"/>
      <c r="KRW120" s="231"/>
      <c r="KRX120" s="231"/>
      <c r="KRY120" s="231"/>
      <c r="KRZ120" s="231"/>
      <c r="KSA120" s="231"/>
      <c r="KSB120" s="231"/>
      <c r="KSC120" s="231"/>
      <c r="KSD120" s="231"/>
      <c r="KSE120" s="231"/>
      <c r="KSF120" s="231"/>
      <c r="KSG120" s="231"/>
      <c r="KSH120" s="231"/>
      <c r="KSI120" s="231"/>
      <c r="KSJ120" s="231"/>
      <c r="KSK120" s="231"/>
      <c r="KSL120" s="231"/>
      <c r="KSM120" s="231"/>
      <c r="KSN120" s="231"/>
      <c r="KSO120" s="231"/>
      <c r="KSP120" s="231"/>
      <c r="KSQ120" s="231"/>
      <c r="KSR120" s="231"/>
      <c r="KSS120" s="231"/>
      <c r="KST120" s="231"/>
      <c r="KSU120" s="231"/>
      <c r="KSV120" s="231"/>
      <c r="KSW120" s="231"/>
      <c r="KSX120" s="231"/>
      <c r="KSY120" s="231"/>
      <c r="KSZ120" s="231"/>
      <c r="KTA120" s="231"/>
      <c r="KTB120" s="231"/>
      <c r="KTC120" s="231"/>
      <c r="KTD120" s="231"/>
      <c r="KTE120" s="231"/>
      <c r="KTF120" s="231"/>
      <c r="KTG120" s="231"/>
      <c r="KTH120" s="231"/>
      <c r="KTI120" s="231"/>
      <c r="KTJ120" s="231"/>
      <c r="KTK120" s="231"/>
      <c r="KTL120" s="231"/>
      <c r="KTM120" s="231"/>
      <c r="KTN120" s="231"/>
      <c r="KTO120" s="231"/>
      <c r="KTP120" s="231"/>
      <c r="KTQ120" s="231"/>
      <c r="KTR120" s="231"/>
      <c r="KTS120" s="231"/>
      <c r="KTT120" s="231"/>
      <c r="KTU120" s="231"/>
      <c r="KTV120" s="231"/>
      <c r="KTW120" s="231"/>
      <c r="KTX120" s="231"/>
      <c r="KTY120" s="231"/>
      <c r="KTZ120" s="231"/>
      <c r="KUA120" s="231"/>
      <c r="KUB120" s="231"/>
      <c r="KUC120" s="231"/>
      <c r="KUD120" s="231"/>
      <c r="KUE120" s="231"/>
      <c r="KUF120" s="231"/>
      <c r="KUG120" s="231"/>
      <c r="KUH120" s="231"/>
      <c r="KUI120" s="231"/>
      <c r="KUJ120" s="231"/>
      <c r="KUK120" s="231"/>
      <c r="KUL120" s="231"/>
      <c r="KUM120" s="231"/>
      <c r="KUN120" s="231"/>
      <c r="KUO120" s="231"/>
      <c r="KUP120" s="231"/>
      <c r="KUQ120" s="231"/>
      <c r="KUR120" s="231"/>
      <c r="KUS120" s="231"/>
      <c r="KUT120" s="231"/>
      <c r="KUU120" s="231"/>
      <c r="KUV120" s="231"/>
      <c r="KUW120" s="231"/>
      <c r="KUX120" s="231"/>
      <c r="KUY120" s="231"/>
      <c r="KUZ120" s="231"/>
      <c r="KVA120" s="231"/>
      <c r="KVB120" s="231"/>
      <c r="KVC120" s="231"/>
      <c r="KVD120" s="231"/>
      <c r="KVE120" s="231"/>
      <c r="KVF120" s="231"/>
      <c r="KVG120" s="231"/>
      <c r="KVH120" s="231"/>
      <c r="KVI120" s="231"/>
      <c r="KVJ120" s="231"/>
      <c r="KVK120" s="231"/>
      <c r="KVL120" s="231"/>
      <c r="KVM120" s="231"/>
      <c r="KVN120" s="231"/>
      <c r="KVO120" s="231"/>
      <c r="KVP120" s="231"/>
      <c r="KVQ120" s="231"/>
      <c r="KVR120" s="231"/>
      <c r="KVS120" s="231"/>
      <c r="KVT120" s="231"/>
      <c r="KVU120" s="231"/>
      <c r="KVV120" s="231"/>
      <c r="KVW120" s="231"/>
      <c r="KVX120" s="231"/>
      <c r="KVY120" s="231"/>
      <c r="KVZ120" s="231"/>
      <c r="KWA120" s="231"/>
      <c r="KWB120" s="231"/>
      <c r="KWC120" s="231"/>
      <c r="KWD120" s="231"/>
      <c r="KWE120" s="231"/>
      <c r="KWF120" s="231"/>
      <c r="KWG120" s="231"/>
      <c r="KWH120" s="231"/>
      <c r="KWI120" s="231"/>
      <c r="KWJ120" s="231"/>
      <c r="KWK120" s="231"/>
      <c r="KWL120" s="231"/>
      <c r="KWM120" s="231"/>
      <c r="KWN120" s="231"/>
      <c r="KWO120" s="231"/>
      <c r="KWP120" s="231"/>
      <c r="KWQ120" s="231"/>
      <c r="KWR120" s="231"/>
      <c r="KWS120" s="231"/>
      <c r="KWT120" s="231"/>
      <c r="KWU120" s="231"/>
      <c r="KWV120" s="231"/>
      <c r="KWW120" s="231"/>
      <c r="KWX120" s="231"/>
      <c r="KWY120" s="231"/>
      <c r="KWZ120" s="231"/>
      <c r="KXA120" s="231"/>
      <c r="KXB120" s="231"/>
      <c r="KXC120" s="231"/>
      <c r="KXD120" s="231"/>
      <c r="KXE120" s="231"/>
      <c r="KXF120" s="231"/>
      <c r="KXG120" s="231"/>
      <c r="KXH120" s="231"/>
      <c r="KXI120" s="231"/>
      <c r="KXJ120" s="231"/>
      <c r="KXK120" s="231"/>
      <c r="KXL120" s="231"/>
      <c r="KXM120" s="231"/>
      <c r="KXN120" s="231"/>
      <c r="KXO120" s="231"/>
      <c r="KXP120" s="231"/>
      <c r="KXQ120" s="231"/>
      <c r="KXR120" s="231"/>
      <c r="KXS120" s="231"/>
      <c r="KXT120" s="231"/>
      <c r="KXU120" s="231"/>
      <c r="KXV120" s="231"/>
      <c r="KXW120" s="231"/>
      <c r="KXX120" s="231"/>
      <c r="KXY120" s="231"/>
      <c r="KXZ120" s="231"/>
      <c r="KYA120" s="231"/>
      <c r="KYB120" s="231"/>
      <c r="KYC120" s="231"/>
      <c r="KYD120" s="231"/>
      <c r="KYE120" s="231"/>
      <c r="KYF120" s="231"/>
      <c r="KYG120" s="231"/>
      <c r="KYH120" s="231"/>
      <c r="KYI120" s="231"/>
      <c r="KYJ120" s="231"/>
      <c r="KYK120" s="231"/>
      <c r="KYL120" s="231"/>
      <c r="KYM120" s="231"/>
      <c r="KYN120" s="231"/>
      <c r="KYO120" s="231"/>
      <c r="KYP120" s="231"/>
      <c r="KYQ120" s="231"/>
      <c r="KYR120" s="231"/>
      <c r="KYS120" s="231"/>
      <c r="KYT120" s="231"/>
      <c r="KYU120" s="231"/>
      <c r="KYV120" s="231"/>
      <c r="KYW120" s="231"/>
      <c r="KYX120" s="231"/>
      <c r="KYY120" s="231"/>
      <c r="KYZ120" s="231"/>
      <c r="KZA120" s="231"/>
      <c r="KZB120" s="231"/>
      <c r="KZC120" s="231"/>
      <c r="KZD120" s="231"/>
      <c r="KZE120" s="231"/>
      <c r="KZF120" s="231"/>
      <c r="KZG120" s="231"/>
      <c r="KZH120" s="231"/>
      <c r="KZI120" s="231"/>
      <c r="KZJ120" s="231"/>
      <c r="KZK120" s="231"/>
      <c r="KZL120" s="231"/>
      <c r="KZM120" s="231"/>
      <c r="KZN120" s="231"/>
      <c r="KZO120" s="231"/>
      <c r="KZP120" s="231"/>
      <c r="KZQ120" s="231"/>
      <c r="KZR120" s="231"/>
      <c r="KZS120" s="231"/>
      <c r="KZT120" s="231"/>
      <c r="KZU120" s="231"/>
      <c r="KZV120" s="231"/>
      <c r="KZW120" s="231"/>
      <c r="KZX120" s="231"/>
      <c r="KZY120" s="231"/>
      <c r="KZZ120" s="231"/>
      <c r="LAA120" s="231"/>
      <c r="LAB120" s="231"/>
      <c r="LAC120" s="231"/>
      <c r="LAD120" s="231"/>
      <c r="LAE120" s="231"/>
      <c r="LAF120" s="231"/>
      <c r="LAG120" s="231"/>
      <c r="LAH120" s="231"/>
      <c r="LAI120" s="231"/>
      <c r="LAJ120" s="231"/>
      <c r="LAK120" s="231"/>
      <c r="LAL120" s="231"/>
      <c r="LAM120" s="231"/>
      <c r="LAN120" s="231"/>
      <c r="LAO120" s="231"/>
      <c r="LAP120" s="231"/>
      <c r="LAQ120" s="231"/>
      <c r="LAR120" s="231"/>
      <c r="LAS120" s="231"/>
      <c r="LAT120" s="231"/>
      <c r="LAU120" s="231"/>
      <c r="LAV120" s="231"/>
      <c r="LAW120" s="231"/>
      <c r="LAX120" s="231"/>
      <c r="LAY120" s="231"/>
      <c r="LAZ120" s="231"/>
      <c r="LBA120" s="231"/>
      <c r="LBB120" s="231"/>
      <c r="LBC120" s="231"/>
      <c r="LBD120" s="231"/>
      <c r="LBE120" s="231"/>
      <c r="LBF120" s="231"/>
      <c r="LBG120" s="231"/>
      <c r="LBH120" s="231"/>
      <c r="LBI120" s="231"/>
      <c r="LBJ120" s="231"/>
      <c r="LBK120" s="231"/>
      <c r="LBL120" s="231"/>
      <c r="LBM120" s="231"/>
      <c r="LBN120" s="231"/>
      <c r="LBO120" s="231"/>
      <c r="LBP120" s="231"/>
      <c r="LBQ120" s="231"/>
      <c r="LBR120" s="231"/>
      <c r="LBS120" s="231"/>
      <c r="LBT120" s="231"/>
      <c r="LBU120" s="231"/>
      <c r="LBV120" s="231"/>
      <c r="LBW120" s="231"/>
      <c r="LBX120" s="231"/>
      <c r="LBY120" s="231"/>
      <c r="LBZ120" s="231"/>
      <c r="LCA120" s="231"/>
      <c r="LCB120" s="231"/>
      <c r="LCC120" s="231"/>
      <c r="LCD120" s="231"/>
      <c r="LCE120" s="231"/>
      <c r="LCF120" s="231"/>
      <c r="LCG120" s="231"/>
      <c r="LCH120" s="231"/>
      <c r="LCI120" s="231"/>
      <c r="LCJ120" s="231"/>
      <c r="LCK120" s="231"/>
      <c r="LCL120" s="231"/>
      <c r="LCM120" s="231"/>
      <c r="LCN120" s="231"/>
      <c r="LCO120" s="231"/>
      <c r="LCP120" s="231"/>
      <c r="LCQ120" s="231"/>
      <c r="LCR120" s="231"/>
      <c r="LCS120" s="231"/>
      <c r="LCT120" s="231"/>
      <c r="LCU120" s="231"/>
      <c r="LCV120" s="231"/>
      <c r="LCW120" s="231"/>
      <c r="LCX120" s="231"/>
      <c r="LCY120" s="231"/>
      <c r="LCZ120" s="231"/>
      <c r="LDA120" s="231"/>
      <c r="LDB120" s="231"/>
      <c r="LDC120" s="231"/>
      <c r="LDD120" s="231"/>
      <c r="LDE120" s="231"/>
      <c r="LDF120" s="231"/>
      <c r="LDG120" s="231"/>
      <c r="LDH120" s="231"/>
      <c r="LDI120" s="231"/>
      <c r="LDJ120" s="231"/>
      <c r="LDK120" s="231"/>
      <c r="LDL120" s="231"/>
      <c r="LDM120" s="231"/>
      <c r="LDN120" s="231"/>
      <c r="LDO120" s="231"/>
      <c r="LDP120" s="231"/>
      <c r="LDQ120" s="231"/>
      <c r="LDR120" s="231"/>
      <c r="LDS120" s="231"/>
      <c r="LDT120" s="231"/>
      <c r="LDU120" s="231"/>
      <c r="LDV120" s="231"/>
      <c r="LDW120" s="231"/>
      <c r="LDX120" s="231"/>
      <c r="LDY120" s="231"/>
      <c r="LDZ120" s="231"/>
      <c r="LEA120" s="231"/>
      <c r="LEB120" s="231"/>
      <c r="LEC120" s="231"/>
      <c r="LED120" s="231"/>
      <c r="LEE120" s="231"/>
      <c r="LEF120" s="231"/>
      <c r="LEG120" s="231"/>
      <c r="LEH120" s="231"/>
      <c r="LEI120" s="231"/>
      <c r="LEJ120" s="231"/>
      <c r="LEK120" s="231"/>
      <c r="LEL120" s="231"/>
      <c r="LEM120" s="231"/>
      <c r="LEN120" s="231"/>
      <c r="LEO120" s="231"/>
      <c r="LEP120" s="231"/>
      <c r="LEQ120" s="231"/>
      <c r="LER120" s="231"/>
      <c r="LES120" s="231"/>
      <c r="LET120" s="231"/>
      <c r="LEU120" s="231"/>
      <c r="LEV120" s="231"/>
      <c r="LEW120" s="231"/>
      <c r="LEX120" s="231"/>
      <c r="LEY120" s="231"/>
      <c r="LEZ120" s="231"/>
      <c r="LFA120" s="231"/>
      <c r="LFB120" s="231"/>
      <c r="LFC120" s="231"/>
      <c r="LFD120" s="231"/>
      <c r="LFE120" s="231"/>
      <c r="LFF120" s="231"/>
      <c r="LFG120" s="231"/>
      <c r="LFH120" s="231"/>
      <c r="LFI120" s="231"/>
      <c r="LFJ120" s="231"/>
      <c r="LFK120" s="231"/>
      <c r="LFL120" s="231"/>
      <c r="LFM120" s="231"/>
      <c r="LFN120" s="231"/>
      <c r="LFO120" s="231"/>
      <c r="LFP120" s="231"/>
      <c r="LFQ120" s="231"/>
      <c r="LFR120" s="231"/>
      <c r="LFS120" s="231"/>
      <c r="LFT120" s="231"/>
      <c r="LFU120" s="231"/>
      <c r="LFV120" s="231"/>
      <c r="LFW120" s="231"/>
      <c r="LFX120" s="231"/>
      <c r="LFY120" s="231"/>
      <c r="LFZ120" s="231"/>
      <c r="LGA120" s="231"/>
      <c r="LGB120" s="231"/>
      <c r="LGC120" s="231"/>
      <c r="LGD120" s="231"/>
      <c r="LGE120" s="231"/>
      <c r="LGF120" s="231"/>
      <c r="LGG120" s="231"/>
      <c r="LGH120" s="231"/>
      <c r="LGI120" s="231"/>
      <c r="LGJ120" s="231"/>
      <c r="LGK120" s="231"/>
      <c r="LGL120" s="231"/>
      <c r="LGM120" s="231"/>
      <c r="LGN120" s="231"/>
      <c r="LGO120" s="231"/>
      <c r="LGP120" s="231"/>
      <c r="LGQ120" s="231"/>
      <c r="LGR120" s="231"/>
      <c r="LGS120" s="231"/>
      <c r="LGT120" s="231"/>
      <c r="LGU120" s="231"/>
      <c r="LGV120" s="231"/>
      <c r="LGW120" s="231"/>
      <c r="LGX120" s="231"/>
      <c r="LGY120" s="231"/>
      <c r="LGZ120" s="231"/>
      <c r="LHA120" s="231"/>
      <c r="LHB120" s="231"/>
      <c r="LHC120" s="231"/>
      <c r="LHD120" s="231"/>
      <c r="LHE120" s="231"/>
      <c r="LHF120" s="231"/>
      <c r="LHG120" s="231"/>
      <c r="LHH120" s="231"/>
      <c r="LHI120" s="231"/>
      <c r="LHJ120" s="231"/>
      <c r="LHK120" s="231"/>
      <c r="LHL120" s="231"/>
      <c r="LHM120" s="231"/>
      <c r="LHN120" s="231"/>
      <c r="LHO120" s="231"/>
      <c r="LHP120" s="231"/>
      <c r="LHQ120" s="231"/>
      <c r="LHR120" s="231"/>
      <c r="LHS120" s="231"/>
      <c r="LHT120" s="231"/>
      <c r="LHU120" s="231"/>
      <c r="LHV120" s="231"/>
      <c r="LHW120" s="231"/>
      <c r="LHX120" s="231"/>
      <c r="LHY120" s="231"/>
      <c r="LHZ120" s="231"/>
      <c r="LIA120" s="231"/>
      <c r="LIB120" s="231"/>
      <c r="LIC120" s="231"/>
      <c r="LID120" s="231"/>
      <c r="LIE120" s="231"/>
      <c r="LIF120" s="231"/>
      <c r="LIG120" s="231"/>
      <c r="LIH120" s="231"/>
      <c r="LII120" s="231"/>
      <c r="LIJ120" s="231"/>
      <c r="LIK120" s="231"/>
      <c r="LIL120" s="231"/>
      <c r="LIM120" s="231"/>
      <c r="LIN120" s="231"/>
      <c r="LIO120" s="231"/>
      <c r="LIP120" s="231"/>
      <c r="LIQ120" s="231"/>
      <c r="LIR120" s="231"/>
      <c r="LIS120" s="231"/>
      <c r="LIT120" s="231"/>
      <c r="LIU120" s="231"/>
      <c r="LIV120" s="231"/>
      <c r="LIW120" s="231"/>
      <c r="LIX120" s="231"/>
      <c r="LIY120" s="231"/>
      <c r="LIZ120" s="231"/>
      <c r="LJA120" s="231"/>
      <c r="LJB120" s="231"/>
      <c r="LJC120" s="231"/>
      <c r="LJD120" s="231"/>
      <c r="LJE120" s="231"/>
      <c r="LJF120" s="231"/>
      <c r="LJG120" s="231"/>
      <c r="LJH120" s="231"/>
      <c r="LJI120" s="231"/>
      <c r="LJJ120" s="231"/>
      <c r="LJK120" s="231"/>
      <c r="LJL120" s="231"/>
      <c r="LJM120" s="231"/>
      <c r="LJN120" s="231"/>
      <c r="LJO120" s="231"/>
      <c r="LJP120" s="231"/>
      <c r="LJQ120" s="231"/>
      <c r="LJR120" s="231"/>
      <c r="LJS120" s="231"/>
      <c r="LJT120" s="231"/>
      <c r="LJU120" s="231"/>
      <c r="LJV120" s="231"/>
      <c r="LJW120" s="231"/>
      <c r="LJX120" s="231"/>
      <c r="LJY120" s="231"/>
      <c r="LJZ120" s="231"/>
      <c r="LKA120" s="231"/>
      <c r="LKB120" s="231"/>
      <c r="LKC120" s="231"/>
      <c r="LKD120" s="231"/>
      <c r="LKE120" s="231"/>
      <c r="LKF120" s="231"/>
      <c r="LKG120" s="231"/>
      <c r="LKH120" s="231"/>
      <c r="LKI120" s="231"/>
      <c r="LKJ120" s="231"/>
      <c r="LKK120" s="231"/>
      <c r="LKL120" s="231"/>
      <c r="LKM120" s="231"/>
      <c r="LKN120" s="231"/>
      <c r="LKO120" s="231"/>
      <c r="LKP120" s="231"/>
      <c r="LKQ120" s="231"/>
      <c r="LKR120" s="231"/>
      <c r="LKS120" s="231"/>
      <c r="LKT120" s="231"/>
      <c r="LKU120" s="231"/>
      <c r="LKV120" s="231"/>
      <c r="LKW120" s="231"/>
      <c r="LKX120" s="231"/>
      <c r="LKY120" s="231"/>
      <c r="LKZ120" s="231"/>
      <c r="LLA120" s="231"/>
      <c r="LLB120" s="231"/>
      <c r="LLC120" s="231"/>
      <c r="LLD120" s="231"/>
      <c r="LLE120" s="231"/>
      <c r="LLF120" s="231"/>
      <c r="LLG120" s="231"/>
      <c r="LLH120" s="231"/>
      <c r="LLI120" s="231"/>
      <c r="LLJ120" s="231"/>
      <c r="LLK120" s="231"/>
      <c r="LLL120" s="231"/>
      <c r="LLM120" s="231"/>
      <c r="LLN120" s="231"/>
      <c r="LLO120" s="231"/>
      <c r="LLP120" s="231"/>
      <c r="LLQ120" s="231"/>
      <c r="LLR120" s="231"/>
      <c r="LLS120" s="231"/>
      <c r="LLT120" s="231"/>
      <c r="LLU120" s="231"/>
      <c r="LLV120" s="231"/>
      <c r="LLW120" s="231"/>
      <c r="LLX120" s="231"/>
      <c r="LLY120" s="231"/>
      <c r="LLZ120" s="231"/>
      <c r="LMA120" s="231"/>
      <c r="LMB120" s="231"/>
      <c r="LMC120" s="231"/>
      <c r="LMD120" s="231"/>
      <c r="LME120" s="231"/>
      <c r="LMF120" s="231"/>
      <c r="LMG120" s="231"/>
      <c r="LMH120" s="231"/>
      <c r="LMI120" s="231"/>
      <c r="LMJ120" s="231"/>
      <c r="LMK120" s="231"/>
      <c r="LML120" s="231"/>
      <c r="LMM120" s="231"/>
      <c r="LMN120" s="231"/>
      <c r="LMO120" s="231"/>
      <c r="LMP120" s="231"/>
      <c r="LMQ120" s="231"/>
      <c r="LMR120" s="231"/>
      <c r="LMS120" s="231"/>
      <c r="LMT120" s="231"/>
      <c r="LMU120" s="231"/>
      <c r="LMV120" s="231"/>
      <c r="LMW120" s="231"/>
      <c r="LMX120" s="231"/>
      <c r="LMY120" s="231"/>
      <c r="LMZ120" s="231"/>
      <c r="LNA120" s="231"/>
      <c r="LNB120" s="231"/>
      <c r="LNC120" s="231"/>
      <c r="LND120" s="231"/>
      <c r="LNE120" s="231"/>
      <c r="LNF120" s="231"/>
      <c r="LNG120" s="231"/>
      <c r="LNH120" s="231"/>
      <c r="LNI120" s="231"/>
      <c r="LNJ120" s="231"/>
      <c r="LNK120" s="231"/>
      <c r="LNL120" s="231"/>
      <c r="LNM120" s="231"/>
      <c r="LNN120" s="231"/>
      <c r="LNO120" s="231"/>
      <c r="LNP120" s="231"/>
      <c r="LNQ120" s="231"/>
      <c r="LNR120" s="231"/>
      <c r="LNS120" s="231"/>
      <c r="LNT120" s="231"/>
      <c r="LNU120" s="231"/>
      <c r="LNV120" s="231"/>
      <c r="LNW120" s="231"/>
      <c r="LNX120" s="231"/>
      <c r="LNY120" s="231"/>
      <c r="LNZ120" s="231"/>
      <c r="LOA120" s="231"/>
      <c r="LOB120" s="231"/>
      <c r="LOC120" s="231"/>
      <c r="LOD120" s="231"/>
      <c r="LOE120" s="231"/>
      <c r="LOF120" s="231"/>
      <c r="LOG120" s="231"/>
      <c r="LOH120" s="231"/>
      <c r="LOI120" s="231"/>
      <c r="LOJ120" s="231"/>
      <c r="LOK120" s="231"/>
      <c r="LOL120" s="231"/>
      <c r="LOM120" s="231"/>
      <c r="LON120" s="231"/>
      <c r="LOO120" s="231"/>
      <c r="LOP120" s="231"/>
      <c r="LOQ120" s="231"/>
      <c r="LOR120" s="231"/>
      <c r="LOS120" s="231"/>
      <c r="LOT120" s="231"/>
      <c r="LOU120" s="231"/>
      <c r="LOV120" s="231"/>
      <c r="LOW120" s="231"/>
      <c r="LOX120" s="231"/>
      <c r="LOY120" s="231"/>
      <c r="LOZ120" s="231"/>
      <c r="LPA120" s="231"/>
      <c r="LPB120" s="231"/>
      <c r="LPC120" s="231"/>
      <c r="LPD120" s="231"/>
      <c r="LPE120" s="231"/>
      <c r="LPF120" s="231"/>
      <c r="LPG120" s="231"/>
      <c r="LPH120" s="231"/>
      <c r="LPI120" s="231"/>
      <c r="LPJ120" s="231"/>
      <c r="LPK120" s="231"/>
      <c r="LPL120" s="231"/>
      <c r="LPM120" s="231"/>
      <c r="LPN120" s="231"/>
      <c r="LPO120" s="231"/>
      <c r="LPP120" s="231"/>
      <c r="LPQ120" s="231"/>
      <c r="LPR120" s="231"/>
      <c r="LPS120" s="231"/>
      <c r="LPT120" s="231"/>
      <c r="LPU120" s="231"/>
      <c r="LPV120" s="231"/>
      <c r="LPW120" s="231"/>
      <c r="LPX120" s="231"/>
      <c r="LPY120" s="231"/>
      <c r="LPZ120" s="231"/>
      <c r="LQA120" s="231"/>
      <c r="LQB120" s="231"/>
      <c r="LQC120" s="231"/>
      <c r="LQD120" s="231"/>
      <c r="LQE120" s="231"/>
      <c r="LQF120" s="231"/>
      <c r="LQG120" s="231"/>
      <c r="LQH120" s="231"/>
      <c r="LQI120" s="231"/>
      <c r="LQJ120" s="231"/>
      <c r="LQK120" s="231"/>
      <c r="LQL120" s="231"/>
      <c r="LQM120" s="231"/>
      <c r="LQN120" s="231"/>
      <c r="LQO120" s="231"/>
      <c r="LQP120" s="231"/>
      <c r="LQQ120" s="231"/>
      <c r="LQR120" s="231"/>
      <c r="LQS120" s="231"/>
      <c r="LQT120" s="231"/>
      <c r="LQU120" s="231"/>
      <c r="LQV120" s="231"/>
      <c r="LQW120" s="231"/>
      <c r="LQX120" s="231"/>
      <c r="LQY120" s="231"/>
      <c r="LQZ120" s="231"/>
      <c r="LRA120" s="231"/>
      <c r="LRB120" s="231"/>
      <c r="LRC120" s="231"/>
      <c r="LRD120" s="231"/>
      <c r="LRE120" s="231"/>
      <c r="LRF120" s="231"/>
      <c r="LRG120" s="231"/>
      <c r="LRH120" s="231"/>
      <c r="LRI120" s="231"/>
      <c r="LRJ120" s="231"/>
      <c r="LRK120" s="231"/>
      <c r="LRL120" s="231"/>
      <c r="LRM120" s="231"/>
      <c r="LRN120" s="231"/>
      <c r="LRO120" s="231"/>
      <c r="LRP120" s="231"/>
      <c r="LRQ120" s="231"/>
      <c r="LRR120" s="231"/>
      <c r="LRS120" s="231"/>
      <c r="LRT120" s="231"/>
      <c r="LRU120" s="231"/>
      <c r="LRV120" s="231"/>
      <c r="LRW120" s="231"/>
      <c r="LRX120" s="231"/>
      <c r="LRY120" s="231"/>
      <c r="LRZ120" s="231"/>
      <c r="LSA120" s="231"/>
      <c r="LSB120" s="231"/>
      <c r="LSC120" s="231"/>
      <c r="LSD120" s="231"/>
      <c r="LSE120" s="231"/>
      <c r="LSF120" s="231"/>
      <c r="LSG120" s="231"/>
      <c r="LSH120" s="231"/>
      <c r="LSI120" s="231"/>
      <c r="LSJ120" s="231"/>
      <c r="LSK120" s="231"/>
      <c r="LSL120" s="231"/>
      <c r="LSM120" s="231"/>
      <c r="LSN120" s="231"/>
      <c r="LSO120" s="231"/>
      <c r="LSP120" s="231"/>
      <c r="LSQ120" s="231"/>
      <c r="LSR120" s="231"/>
      <c r="LSS120" s="231"/>
      <c r="LST120" s="231"/>
      <c r="LSU120" s="231"/>
      <c r="LSV120" s="231"/>
      <c r="LSW120" s="231"/>
      <c r="LSX120" s="231"/>
      <c r="LSY120" s="231"/>
      <c r="LSZ120" s="231"/>
      <c r="LTA120" s="231"/>
      <c r="LTB120" s="231"/>
      <c r="LTC120" s="231"/>
      <c r="LTD120" s="231"/>
      <c r="LTE120" s="231"/>
      <c r="LTF120" s="231"/>
      <c r="LTG120" s="231"/>
      <c r="LTH120" s="231"/>
      <c r="LTI120" s="231"/>
      <c r="LTJ120" s="231"/>
      <c r="LTK120" s="231"/>
      <c r="LTL120" s="231"/>
      <c r="LTM120" s="231"/>
      <c r="LTN120" s="231"/>
      <c r="LTO120" s="231"/>
      <c r="LTP120" s="231"/>
      <c r="LTQ120" s="231"/>
      <c r="LTR120" s="231"/>
      <c r="LTS120" s="231"/>
      <c r="LTT120" s="231"/>
      <c r="LTU120" s="231"/>
      <c r="LTV120" s="231"/>
      <c r="LTW120" s="231"/>
      <c r="LTX120" s="231"/>
      <c r="LTY120" s="231"/>
      <c r="LTZ120" s="231"/>
      <c r="LUA120" s="231"/>
      <c r="LUB120" s="231"/>
      <c r="LUC120" s="231"/>
      <c r="LUD120" s="231"/>
      <c r="LUE120" s="231"/>
      <c r="LUF120" s="231"/>
      <c r="LUG120" s="231"/>
      <c r="LUH120" s="231"/>
      <c r="LUI120" s="231"/>
      <c r="LUJ120" s="231"/>
      <c r="LUK120" s="231"/>
      <c r="LUL120" s="231"/>
      <c r="LUM120" s="231"/>
      <c r="LUN120" s="231"/>
      <c r="LUO120" s="231"/>
      <c r="LUP120" s="231"/>
      <c r="LUQ120" s="231"/>
      <c r="LUR120" s="231"/>
      <c r="LUS120" s="231"/>
      <c r="LUT120" s="231"/>
      <c r="LUU120" s="231"/>
      <c r="LUV120" s="231"/>
      <c r="LUW120" s="231"/>
      <c r="LUX120" s="231"/>
      <c r="LUY120" s="231"/>
      <c r="LUZ120" s="231"/>
      <c r="LVA120" s="231"/>
      <c r="LVB120" s="231"/>
      <c r="LVC120" s="231"/>
      <c r="LVD120" s="231"/>
      <c r="LVE120" s="231"/>
      <c r="LVF120" s="231"/>
      <c r="LVG120" s="231"/>
      <c r="LVH120" s="231"/>
      <c r="LVI120" s="231"/>
      <c r="LVJ120" s="231"/>
      <c r="LVK120" s="231"/>
      <c r="LVL120" s="231"/>
      <c r="LVM120" s="231"/>
      <c r="LVN120" s="231"/>
      <c r="LVO120" s="231"/>
      <c r="LVP120" s="231"/>
      <c r="LVQ120" s="231"/>
      <c r="LVR120" s="231"/>
      <c r="LVS120" s="231"/>
      <c r="LVT120" s="231"/>
      <c r="LVU120" s="231"/>
      <c r="LVV120" s="231"/>
      <c r="LVW120" s="231"/>
      <c r="LVX120" s="231"/>
      <c r="LVY120" s="231"/>
      <c r="LVZ120" s="231"/>
      <c r="LWA120" s="231"/>
      <c r="LWB120" s="231"/>
      <c r="LWC120" s="231"/>
      <c r="LWD120" s="231"/>
      <c r="LWE120" s="231"/>
      <c r="LWF120" s="231"/>
      <c r="LWG120" s="231"/>
      <c r="LWH120" s="231"/>
      <c r="LWI120" s="231"/>
      <c r="LWJ120" s="231"/>
      <c r="LWK120" s="231"/>
      <c r="LWL120" s="231"/>
      <c r="LWM120" s="231"/>
      <c r="LWN120" s="231"/>
      <c r="LWO120" s="231"/>
      <c r="LWP120" s="231"/>
      <c r="LWQ120" s="231"/>
      <c r="LWR120" s="231"/>
      <c r="LWS120" s="231"/>
      <c r="LWT120" s="231"/>
      <c r="LWU120" s="231"/>
      <c r="LWV120" s="231"/>
      <c r="LWW120" s="231"/>
      <c r="LWX120" s="231"/>
      <c r="LWY120" s="231"/>
      <c r="LWZ120" s="231"/>
      <c r="LXA120" s="231"/>
      <c r="LXB120" s="231"/>
      <c r="LXC120" s="231"/>
      <c r="LXD120" s="231"/>
      <c r="LXE120" s="231"/>
      <c r="LXF120" s="231"/>
      <c r="LXG120" s="231"/>
      <c r="LXH120" s="231"/>
      <c r="LXI120" s="231"/>
      <c r="LXJ120" s="231"/>
      <c r="LXK120" s="231"/>
      <c r="LXL120" s="231"/>
      <c r="LXM120" s="231"/>
      <c r="LXN120" s="231"/>
      <c r="LXO120" s="231"/>
      <c r="LXP120" s="231"/>
      <c r="LXQ120" s="231"/>
      <c r="LXR120" s="231"/>
      <c r="LXS120" s="231"/>
      <c r="LXT120" s="231"/>
      <c r="LXU120" s="231"/>
      <c r="LXV120" s="231"/>
      <c r="LXW120" s="231"/>
      <c r="LXX120" s="231"/>
      <c r="LXY120" s="231"/>
      <c r="LXZ120" s="231"/>
      <c r="LYA120" s="231"/>
      <c r="LYB120" s="231"/>
      <c r="LYC120" s="231"/>
      <c r="LYD120" s="231"/>
      <c r="LYE120" s="231"/>
      <c r="LYF120" s="231"/>
      <c r="LYG120" s="231"/>
      <c r="LYH120" s="231"/>
      <c r="LYI120" s="231"/>
      <c r="LYJ120" s="231"/>
      <c r="LYK120" s="231"/>
      <c r="LYL120" s="231"/>
      <c r="LYM120" s="231"/>
      <c r="LYN120" s="231"/>
      <c r="LYO120" s="231"/>
      <c r="LYP120" s="231"/>
      <c r="LYQ120" s="231"/>
      <c r="LYR120" s="231"/>
      <c r="LYS120" s="231"/>
      <c r="LYT120" s="231"/>
      <c r="LYU120" s="231"/>
      <c r="LYV120" s="231"/>
      <c r="LYW120" s="231"/>
      <c r="LYX120" s="231"/>
      <c r="LYY120" s="231"/>
      <c r="LYZ120" s="231"/>
      <c r="LZA120" s="231"/>
      <c r="LZB120" s="231"/>
      <c r="LZC120" s="231"/>
      <c r="LZD120" s="231"/>
      <c r="LZE120" s="231"/>
      <c r="LZF120" s="231"/>
      <c r="LZG120" s="231"/>
      <c r="LZH120" s="231"/>
      <c r="LZI120" s="231"/>
      <c r="LZJ120" s="231"/>
      <c r="LZK120" s="231"/>
      <c r="LZL120" s="231"/>
      <c r="LZM120" s="231"/>
      <c r="LZN120" s="231"/>
      <c r="LZO120" s="231"/>
      <c r="LZP120" s="231"/>
      <c r="LZQ120" s="231"/>
      <c r="LZR120" s="231"/>
      <c r="LZS120" s="231"/>
      <c r="LZT120" s="231"/>
      <c r="LZU120" s="231"/>
      <c r="LZV120" s="231"/>
      <c r="LZW120" s="231"/>
      <c r="LZX120" s="231"/>
      <c r="LZY120" s="231"/>
      <c r="LZZ120" s="231"/>
      <c r="MAA120" s="231"/>
      <c r="MAB120" s="231"/>
      <c r="MAC120" s="231"/>
      <c r="MAD120" s="231"/>
      <c r="MAE120" s="231"/>
      <c r="MAF120" s="231"/>
      <c r="MAG120" s="231"/>
      <c r="MAH120" s="231"/>
      <c r="MAI120" s="231"/>
      <c r="MAJ120" s="231"/>
      <c r="MAK120" s="231"/>
      <c r="MAL120" s="231"/>
      <c r="MAM120" s="231"/>
      <c r="MAN120" s="231"/>
      <c r="MAO120" s="231"/>
      <c r="MAP120" s="231"/>
      <c r="MAQ120" s="231"/>
      <c r="MAR120" s="231"/>
      <c r="MAS120" s="231"/>
      <c r="MAT120" s="231"/>
      <c r="MAU120" s="231"/>
      <c r="MAV120" s="231"/>
      <c r="MAW120" s="231"/>
      <c r="MAX120" s="231"/>
      <c r="MAY120" s="231"/>
      <c r="MAZ120" s="231"/>
      <c r="MBA120" s="231"/>
      <c r="MBB120" s="231"/>
      <c r="MBC120" s="231"/>
      <c r="MBD120" s="231"/>
      <c r="MBE120" s="231"/>
      <c r="MBF120" s="231"/>
      <c r="MBG120" s="231"/>
      <c r="MBH120" s="231"/>
      <c r="MBI120" s="231"/>
      <c r="MBJ120" s="231"/>
      <c r="MBK120" s="231"/>
      <c r="MBL120" s="231"/>
      <c r="MBM120" s="231"/>
      <c r="MBN120" s="231"/>
      <c r="MBO120" s="231"/>
      <c r="MBP120" s="231"/>
      <c r="MBQ120" s="231"/>
      <c r="MBR120" s="231"/>
      <c r="MBS120" s="231"/>
      <c r="MBT120" s="231"/>
      <c r="MBU120" s="231"/>
      <c r="MBV120" s="231"/>
      <c r="MBW120" s="231"/>
      <c r="MBX120" s="231"/>
      <c r="MBY120" s="231"/>
      <c r="MBZ120" s="231"/>
      <c r="MCA120" s="231"/>
      <c r="MCB120" s="231"/>
      <c r="MCC120" s="231"/>
      <c r="MCD120" s="231"/>
      <c r="MCE120" s="231"/>
      <c r="MCF120" s="231"/>
      <c r="MCG120" s="231"/>
      <c r="MCH120" s="231"/>
      <c r="MCI120" s="231"/>
      <c r="MCJ120" s="231"/>
      <c r="MCK120" s="231"/>
      <c r="MCL120" s="231"/>
      <c r="MCM120" s="231"/>
      <c r="MCN120" s="231"/>
      <c r="MCO120" s="231"/>
      <c r="MCP120" s="231"/>
      <c r="MCQ120" s="231"/>
      <c r="MCR120" s="231"/>
      <c r="MCS120" s="231"/>
      <c r="MCT120" s="231"/>
      <c r="MCU120" s="231"/>
      <c r="MCV120" s="231"/>
      <c r="MCW120" s="231"/>
      <c r="MCX120" s="231"/>
      <c r="MCY120" s="231"/>
      <c r="MCZ120" s="231"/>
      <c r="MDA120" s="231"/>
      <c r="MDB120" s="231"/>
      <c r="MDC120" s="231"/>
      <c r="MDD120" s="231"/>
      <c r="MDE120" s="231"/>
      <c r="MDF120" s="231"/>
      <c r="MDG120" s="231"/>
      <c r="MDH120" s="231"/>
      <c r="MDI120" s="231"/>
      <c r="MDJ120" s="231"/>
      <c r="MDK120" s="231"/>
      <c r="MDL120" s="231"/>
      <c r="MDM120" s="231"/>
      <c r="MDN120" s="231"/>
      <c r="MDO120" s="231"/>
      <c r="MDP120" s="231"/>
      <c r="MDQ120" s="231"/>
      <c r="MDR120" s="231"/>
      <c r="MDS120" s="231"/>
      <c r="MDT120" s="231"/>
      <c r="MDU120" s="231"/>
      <c r="MDV120" s="231"/>
      <c r="MDW120" s="231"/>
      <c r="MDX120" s="231"/>
      <c r="MDY120" s="231"/>
      <c r="MDZ120" s="231"/>
      <c r="MEA120" s="231"/>
      <c r="MEB120" s="231"/>
      <c r="MEC120" s="231"/>
      <c r="MED120" s="231"/>
      <c r="MEE120" s="231"/>
      <c r="MEF120" s="231"/>
      <c r="MEG120" s="231"/>
      <c r="MEH120" s="231"/>
      <c r="MEI120" s="231"/>
      <c r="MEJ120" s="231"/>
      <c r="MEK120" s="231"/>
      <c r="MEL120" s="231"/>
      <c r="MEM120" s="231"/>
      <c r="MEN120" s="231"/>
      <c r="MEO120" s="231"/>
      <c r="MEP120" s="231"/>
      <c r="MEQ120" s="231"/>
      <c r="MER120" s="231"/>
      <c r="MES120" s="231"/>
      <c r="MET120" s="231"/>
      <c r="MEU120" s="231"/>
      <c r="MEV120" s="231"/>
      <c r="MEW120" s="231"/>
      <c r="MEX120" s="231"/>
      <c r="MEY120" s="231"/>
      <c r="MEZ120" s="231"/>
      <c r="MFA120" s="231"/>
      <c r="MFB120" s="231"/>
      <c r="MFC120" s="231"/>
      <c r="MFD120" s="231"/>
      <c r="MFE120" s="231"/>
      <c r="MFF120" s="231"/>
      <c r="MFG120" s="231"/>
      <c r="MFH120" s="231"/>
      <c r="MFI120" s="231"/>
      <c r="MFJ120" s="231"/>
      <c r="MFK120" s="231"/>
      <c r="MFL120" s="231"/>
      <c r="MFM120" s="231"/>
      <c r="MFN120" s="231"/>
      <c r="MFO120" s="231"/>
      <c r="MFP120" s="231"/>
      <c r="MFQ120" s="231"/>
      <c r="MFR120" s="231"/>
      <c r="MFS120" s="231"/>
      <c r="MFT120" s="231"/>
      <c r="MFU120" s="231"/>
      <c r="MFV120" s="231"/>
      <c r="MFW120" s="231"/>
      <c r="MFX120" s="231"/>
      <c r="MFY120" s="231"/>
      <c r="MFZ120" s="231"/>
      <c r="MGA120" s="231"/>
      <c r="MGB120" s="231"/>
      <c r="MGC120" s="231"/>
      <c r="MGD120" s="231"/>
      <c r="MGE120" s="231"/>
      <c r="MGF120" s="231"/>
      <c r="MGG120" s="231"/>
      <c r="MGH120" s="231"/>
      <c r="MGI120" s="231"/>
      <c r="MGJ120" s="231"/>
      <c r="MGK120" s="231"/>
      <c r="MGL120" s="231"/>
      <c r="MGM120" s="231"/>
      <c r="MGN120" s="231"/>
      <c r="MGO120" s="231"/>
      <c r="MGP120" s="231"/>
      <c r="MGQ120" s="231"/>
      <c r="MGR120" s="231"/>
      <c r="MGS120" s="231"/>
      <c r="MGT120" s="231"/>
      <c r="MGU120" s="231"/>
      <c r="MGV120" s="231"/>
      <c r="MGW120" s="231"/>
      <c r="MGX120" s="231"/>
      <c r="MGY120" s="231"/>
      <c r="MGZ120" s="231"/>
      <c r="MHA120" s="231"/>
      <c r="MHB120" s="231"/>
      <c r="MHC120" s="231"/>
      <c r="MHD120" s="231"/>
      <c r="MHE120" s="231"/>
      <c r="MHF120" s="231"/>
      <c r="MHG120" s="231"/>
      <c r="MHH120" s="231"/>
      <c r="MHI120" s="231"/>
      <c r="MHJ120" s="231"/>
      <c r="MHK120" s="231"/>
      <c r="MHL120" s="231"/>
      <c r="MHM120" s="231"/>
      <c r="MHN120" s="231"/>
      <c r="MHO120" s="231"/>
      <c r="MHP120" s="231"/>
      <c r="MHQ120" s="231"/>
      <c r="MHR120" s="231"/>
      <c r="MHS120" s="231"/>
      <c r="MHT120" s="231"/>
      <c r="MHU120" s="231"/>
      <c r="MHV120" s="231"/>
      <c r="MHW120" s="231"/>
      <c r="MHX120" s="231"/>
      <c r="MHY120" s="231"/>
      <c r="MHZ120" s="231"/>
      <c r="MIA120" s="231"/>
      <c r="MIB120" s="231"/>
      <c r="MIC120" s="231"/>
      <c r="MID120" s="231"/>
      <c r="MIE120" s="231"/>
      <c r="MIF120" s="231"/>
      <c r="MIG120" s="231"/>
      <c r="MIH120" s="231"/>
      <c r="MII120" s="231"/>
      <c r="MIJ120" s="231"/>
      <c r="MIK120" s="231"/>
      <c r="MIL120" s="231"/>
      <c r="MIM120" s="231"/>
      <c r="MIN120" s="231"/>
      <c r="MIO120" s="231"/>
      <c r="MIP120" s="231"/>
      <c r="MIQ120" s="231"/>
      <c r="MIR120" s="231"/>
      <c r="MIS120" s="231"/>
      <c r="MIT120" s="231"/>
      <c r="MIU120" s="231"/>
      <c r="MIV120" s="231"/>
      <c r="MIW120" s="231"/>
      <c r="MIX120" s="231"/>
      <c r="MIY120" s="231"/>
      <c r="MIZ120" s="231"/>
      <c r="MJA120" s="231"/>
      <c r="MJB120" s="231"/>
      <c r="MJC120" s="231"/>
      <c r="MJD120" s="231"/>
      <c r="MJE120" s="231"/>
      <c r="MJF120" s="231"/>
      <c r="MJG120" s="231"/>
      <c r="MJH120" s="231"/>
      <c r="MJI120" s="231"/>
      <c r="MJJ120" s="231"/>
      <c r="MJK120" s="231"/>
      <c r="MJL120" s="231"/>
      <c r="MJM120" s="231"/>
      <c r="MJN120" s="231"/>
      <c r="MJO120" s="231"/>
      <c r="MJP120" s="231"/>
      <c r="MJQ120" s="231"/>
      <c r="MJR120" s="231"/>
      <c r="MJS120" s="231"/>
      <c r="MJT120" s="231"/>
      <c r="MJU120" s="231"/>
      <c r="MJV120" s="231"/>
      <c r="MJW120" s="231"/>
      <c r="MJX120" s="231"/>
      <c r="MJY120" s="231"/>
      <c r="MJZ120" s="231"/>
      <c r="MKA120" s="231"/>
      <c r="MKB120" s="231"/>
      <c r="MKC120" s="231"/>
      <c r="MKD120" s="231"/>
      <c r="MKE120" s="231"/>
      <c r="MKF120" s="231"/>
      <c r="MKG120" s="231"/>
      <c r="MKH120" s="231"/>
      <c r="MKI120" s="231"/>
      <c r="MKJ120" s="231"/>
      <c r="MKK120" s="231"/>
      <c r="MKL120" s="231"/>
      <c r="MKM120" s="231"/>
      <c r="MKN120" s="231"/>
      <c r="MKO120" s="231"/>
      <c r="MKP120" s="231"/>
      <c r="MKQ120" s="231"/>
      <c r="MKR120" s="231"/>
      <c r="MKS120" s="231"/>
      <c r="MKT120" s="231"/>
      <c r="MKU120" s="231"/>
      <c r="MKV120" s="231"/>
      <c r="MKW120" s="231"/>
      <c r="MKX120" s="231"/>
      <c r="MKY120" s="231"/>
      <c r="MKZ120" s="231"/>
      <c r="MLA120" s="231"/>
      <c r="MLB120" s="231"/>
      <c r="MLC120" s="231"/>
      <c r="MLD120" s="231"/>
      <c r="MLE120" s="231"/>
      <c r="MLF120" s="231"/>
      <c r="MLG120" s="231"/>
      <c r="MLH120" s="231"/>
      <c r="MLI120" s="231"/>
      <c r="MLJ120" s="231"/>
      <c r="MLK120" s="231"/>
      <c r="MLL120" s="231"/>
      <c r="MLM120" s="231"/>
      <c r="MLN120" s="231"/>
      <c r="MLO120" s="231"/>
      <c r="MLP120" s="231"/>
      <c r="MLQ120" s="231"/>
      <c r="MLR120" s="231"/>
      <c r="MLS120" s="231"/>
      <c r="MLT120" s="231"/>
      <c r="MLU120" s="231"/>
      <c r="MLV120" s="231"/>
      <c r="MLW120" s="231"/>
      <c r="MLX120" s="231"/>
      <c r="MLY120" s="231"/>
      <c r="MLZ120" s="231"/>
      <c r="MMA120" s="231"/>
      <c r="MMB120" s="231"/>
      <c r="MMC120" s="231"/>
      <c r="MMD120" s="231"/>
      <c r="MME120" s="231"/>
      <c r="MMF120" s="231"/>
      <c r="MMG120" s="231"/>
      <c r="MMH120" s="231"/>
      <c r="MMI120" s="231"/>
      <c r="MMJ120" s="231"/>
      <c r="MMK120" s="231"/>
      <c r="MML120" s="231"/>
      <c r="MMM120" s="231"/>
      <c r="MMN120" s="231"/>
      <c r="MMO120" s="231"/>
      <c r="MMP120" s="231"/>
      <c r="MMQ120" s="231"/>
      <c r="MMR120" s="231"/>
      <c r="MMS120" s="231"/>
      <c r="MMT120" s="231"/>
      <c r="MMU120" s="231"/>
      <c r="MMV120" s="231"/>
      <c r="MMW120" s="231"/>
      <c r="MMX120" s="231"/>
      <c r="MMY120" s="231"/>
      <c r="MMZ120" s="231"/>
      <c r="MNA120" s="231"/>
      <c r="MNB120" s="231"/>
      <c r="MNC120" s="231"/>
      <c r="MND120" s="231"/>
      <c r="MNE120" s="231"/>
      <c r="MNF120" s="231"/>
      <c r="MNG120" s="231"/>
      <c r="MNH120" s="231"/>
      <c r="MNI120" s="231"/>
      <c r="MNJ120" s="231"/>
      <c r="MNK120" s="231"/>
      <c r="MNL120" s="231"/>
      <c r="MNM120" s="231"/>
      <c r="MNN120" s="231"/>
      <c r="MNO120" s="231"/>
      <c r="MNP120" s="231"/>
      <c r="MNQ120" s="231"/>
      <c r="MNR120" s="231"/>
      <c r="MNS120" s="231"/>
      <c r="MNT120" s="231"/>
      <c r="MNU120" s="231"/>
      <c r="MNV120" s="231"/>
      <c r="MNW120" s="231"/>
      <c r="MNX120" s="231"/>
      <c r="MNY120" s="231"/>
      <c r="MNZ120" s="231"/>
      <c r="MOA120" s="231"/>
      <c r="MOB120" s="231"/>
      <c r="MOC120" s="231"/>
      <c r="MOD120" s="231"/>
      <c r="MOE120" s="231"/>
      <c r="MOF120" s="231"/>
      <c r="MOG120" s="231"/>
      <c r="MOH120" s="231"/>
      <c r="MOI120" s="231"/>
      <c r="MOJ120" s="231"/>
      <c r="MOK120" s="231"/>
      <c r="MOL120" s="231"/>
      <c r="MOM120" s="231"/>
      <c r="MON120" s="231"/>
      <c r="MOO120" s="231"/>
      <c r="MOP120" s="231"/>
      <c r="MOQ120" s="231"/>
      <c r="MOR120" s="231"/>
      <c r="MOS120" s="231"/>
      <c r="MOT120" s="231"/>
      <c r="MOU120" s="231"/>
      <c r="MOV120" s="231"/>
      <c r="MOW120" s="231"/>
      <c r="MOX120" s="231"/>
      <c r="MOY120" s="231"/>
      <c r="MOZ120" s="231"/>
      <c r="MPA120" s="231"/>
      <c r="MPB120" s="231"/>
      <c r="MPC120" s="231"/>
      <c r="MPD120" s="231"/>
      <c r="MPE120" s="231"/>
      <c r="MPF120" s="231"/>
      <c r="MPG120" s="231"/>
      <c r="MPH120" s="231"/>
      <c r="MPI120" s="231"/>
      <c r="MPJ120" s="231"/>
      <c r="MPK120" s="231"/>
      <c r="MPL120" s="231"/>
      <c r="MPM120" s="231"/>
      <c r="MPN120" s="231"/>
      <c r="MPO120" s="231"/>
      <c r="MPP120" s="231"/>
      <c r="MPQ120" s="231"/>
      <c r="MPR120" s="231"/>
      <c r="MPS120" s="231"/>
      <c r="MPT120" s="231"/>
      <c r="MPU120" s="231"/>
      <c r="MPV120" s="231"/>
      <c r="MPW120" s="231"/>
      <c r="MPX120" s="231"/>
      <c r="MPY120" s="231"/>
      <c r="MPZ120" s="231"/>
      <c r="MQA120" s="231"/>
      <c r="MQB120" s="231"/>
      <c r="MQC120" s="231"/>
      <c r="MQD120" s="231"/>
      <c r="MQE120" s="231"/>
      <c r="MQF120" s="231"/>
      <c r="MQG120" s="231"/>
      <c r="MQH120" s="231"/>
      <c r="MQI120" s="231"/>
      <c r="MQJ120" s="231"/>
      <c r="MQK120" s="231"/>
      <c r="MQL120" s="231"/>
      <c r="MQM120" s="231"/>
      <c r="MQN120" s="231"/>
      <c r="MQO120" s="231"/>
      <c r="MQP120" s="231"/>
      <c r="MQQ120" s="231"/>
      <c r="MQR120" s="231"/>
      <c r="MQS120" s="231"/>
      <c r="MQT120" s="231"/>
      <c r="MQU120" s="231"/>
      <c r="MQV120" s="231"/>
      <c r="MQW120" s="231"/>
      <c r="MQX120" s="231"/>
      <c r="MQY120" s="231"/>
      <c r="MQZ120" s="231"/>
      <c r="MRA120" s="231"/>
      <c r="MRB120" s="231"/>
      <c r="MRC120" s="231"/>
      <c r="MRD120" s="231"/>
      <c r="MRE120" s="231"/>
      <c r="MRF120" s="231"/>
      <c r="MRG120" s="231"/>
      <c r="MRH120" s="231"/>
      <c r="MRI120" s="231"/>
      <c r="MRJ120" s="231"/>
      <c r="MRK120" s="231"/>
      <c r="MRL120" s="231"/>
      <c r="MRM120" s="231"/>
      <c r="MRN120" s="231"/>
      <c r="MRO120" s="231"/>
      <c r="MRP120" s="231"/>
      <c r="MRQ120" s="231"/>
      <c r="MRR120" s="231"/>
      <c r="MRS120" s="231"/>
      <c r="MRT120" s="231"/>
      <c r="MRU120" s="231"/>
      <c r="MRV120" s="231"/>
      <c r="MRW120" s="231"/>
      <c r="MRX120" s="231"/>
      <c r="MRY120" s="231"/>
      <c r="MRZ120" s="231"/>
      <c r="MSA120" s="231"/>
      <c r="MSB120" s="231"/>
      <c r="MSC120" s="231"/>
      <c r="MSD120" s="231"/>
      <c r="MSE120" s="231"/>
      <c r="MSF120" s="231"/>
      <c r="MSG120" s="231"/>
      <c r="MSH120" s="231"/>
      <c r="MSI120" s="231"/>
      <c r="MSJ120" s="231"/>
      <c r="MSK120" s="231"/>
      <c r="MSL120" s="231"/>
      <c r="MSM120" s="231"/>
      <c r="MSN120" s="231"/>
      <c r="MSO120" s="231"/>
      <c r="MSP120" s="231"/>
      <c r="MSQ120" s="231"/>
      <c r="MSR120" s="231"/>
      <c r="MSS120" s="231"/>
      <c r="MST120" s="231"/>
      <c r="MSU120" s="231"/>
      <c r="MSV120" s="231"/>
      <c r="MSW120" s="231"/>
      <c r="MSX120" s="231"/>
      <c r="MSY120" s="231"/>
      <c r="MSZ120" s="231"/>
      <c r="MTA120" s="231"/>
      <c r="MTB120" s="231"/>
      <c r="MTC120" s="231"/>
      <c r="MTD120" s="231"/>
      <c r="MTE120" s="231"/>
      <c r="MTF120" s="231"/>
      <c r="MTG120" s="231"/>
      <c r="MTH120" s="231"/>
      <c r="MTI120" s="231"/>
      <c r="MTJ120" s="231"/>
      <c r="MTK120" s="231"/>
      <c r="MTL120" s="231"/>
      <c r="MTM120" s="231"/>
      <c r="MTN120" s="231"/>
      <c r="MTO120" s="231"/>
      <c r="MTP120" s="231"/>
      <c r="MTQ120" s="231"/>
      <c r="MTR120" s="231"/>
      <c r="MTS120" s="231"/>
      <c r="MTT120" s="231"/>
      <c r="MTU120" s="231"/>
      <c r="MTV120" s="231"/>
      <c r="MTW120" s="231"/>
      <c r="MTX120" s="231"/>
      <c r="MTY120" s="231"/>
      <c r="MTZ120" s="231"/>
      <c r="MUA120" s="231"/>
      <c r="MUB120" s="231"/>
      <c r="MUC120" s="231"/>
      <c r="MUD120" s="231"/>
      <c r="MUE120" s="231"/>
      <c r="MUF120" s="231"/>
      <c r="MUG120" s="231"/>
      <c r="MUH120" s="231"/>
      <c r="MUI120" s="231"/>
      <c r="MUJ120" s="231"/>
      <c r="MUK120" s="231"/>
      <c r="MUL120" s="231"/>
      <c r="MUM120" s="231"/>
      <c r="MUN120" s="231"/>
      <c r="MUO120" s="231"/>
      <c r="MUP120" s="231"/>
      <c r="MUQ120" s="231"/>
      <c r="MUR120" s="231"/>
      <c r="MUS120" s="231"/>
      <c r="MUT120" s="231"/>
      <c r="MUU120" s="231"/>
      <c r="MUV120" s="231"/>
      <c r="MUW120" s="231"/>
      <c r="MUX120" s="231"/>
      <c r="MUY120" s="231"/>
      <c r="MUZ120" s="231"/>
      <c r="MVA120" s="231"/>
      <c r="MVB120" s="231"/>
      <c r="MVC120" s="231"/>
      <c r="MVD120" s="231"/>
      <c r="MVE120" s="231"/>
      <c r="MVF120" s="231"/>
      <c r="MVG120" s="231"/>
      <c r="MVH120" s="231"/>
      <c r="MVI120" s="231"/>
      <c r="MVJ120" s="231"/>
      <c r="MVK120" s="231"/>
      <c r="MVL120" s="231"/>
      <c r="MVM120" s="231"/>
      <c r="MVN120" s="231"/>
      <c r="MVO120" s="231"/>
      <c r="MVP120" s="231"/>
      <c r="MVQ120" s="231"/>
      <c r="MVR120" s="231"/>
      <c r="MVS120" s="231"/>
      <c r="MVT120" s="231"/>
      <c r="MVU120" s="231"/>
      <c r="MVV120" s="231"/>
      <c r="MVW120" s="231"/>
      <c r="MVX120" s="231"/>
      <c r="MVY120" s="231"/>
      <c r="MVZ120" s="231"/>
      <c r="MWA120" s="231"/>
      <c r="MWB120" s="231"/>
      <c r="MWC120" s="231"/>
      <c r="MWD120" s="231"/>
      <c r="MWE120" s="231"/>
      <c r="MWF120" s="231"/>
      <c r="MWG120" s="231"/>
      <c r="MWH120" s="231"/>
      <c r="MWI120" s="231"/>
      <c r="MWJ120" s="231"/>
      <c r="MWK120" s="231"/>
      <c r="MWL120" s="231"/>
      <c r="MWM120" s="231"/>
      <c r="MWN120" s="231"/>
      <c r="MWO120" s="231"/>
      <c r="MWP120" s="231"/>
      <c r="MWQ120" s="231"/>
      <c r="MWR120" s="231"/>
      <c r="MWS120" s="231"/>
      <c r="MWT120" s="231"/>
      <c r="MWU120" s="231"/>
      <c r="MWV120" s="231"/>
      <c r="MWW120" s="231"/>
      <c r="MWX120" s="231"/>
      <c r="MWY120" s="231"/>
      <c r="MWZ120" s="231"/>
      <c r="MXA120" s="231"/>
      <c r="MXB120" s="231"/>
      <c r="MXC120" s="231"/>
      <c r="MXD120" s="231"/>
      <c r="MXE120" s="231"/>
      <c r="MXF120" s="231"/>
      <c r="MXG120" s="231"/>
      <c r="MXH120" s="231"/>
      <c r="MXI120" s="231"/>
      <c r="MXJ120" s="231"/>
      <c r="MXK120" s="231"/>
      <c r="MXL120" s="231"/>
      <c r="MXM120" s="231"/>
      <c r="MXN120" s="231"/>
      <c r="MXO120" s="231"/>
      <c r="MXP120" s="231"/>
      <c r="MXQ120" s="231"/>
      <c r="MXR120" s="231"/>
      <c r="MXS120" s="231"/>
      <c r="MXT120" s="231"/>
      <c r="MXU120" s="231"/>
      <c r="MXV120" s="231"/>
      <c r="MXW120" s="231"/>
      <c r="MXX120" s="231"/>
      <c r="MXY120" s="231"/>
      <c r="MXZ120" s="231"/>
      <c r="MYA120" s="231"/>
      <c r="MYB120" s="231"/>
      <c r="MYC120" s="231"/>
      <c r="MYD120" s="231"/>
      <c r="MYE120" s="231"/>
      <c r="MYF120" s="231"/>
      <c r="MYG120" s="231"/>
      <c r="MYH120" s="231"/>
      <c r="MYI120" s="231"/>
      <c r="MYJ120" s="231"/>
      <c r="MYK120" s="231"/>
      <c r="MYL120" s="231"/>
      <c r="MYM120" s="231"/>
      <c r="MYN120" s="231"/>
      <c r="MYO120" s="231"/>
      <c r="MYP120" s="231"/>
      <c r="MYQ120" s="231"/>
      <c r="MYR120" s="231"/>
      <c r="MYS120" s="231"/>
      <c r="MYT120" s="231"/>
      <c r="MYU120" s="231"/>
      <c r="MYV120" s="231"/>
      <c r="MYW120" s="231"/>
      <c r="MYX120" s="231"/>
      <c r="MYY120" s="231"/>
      <c r="MYZ120" s="231"/>
      <c r="MZA120" s="231"/>
      <c r="MZB120" s="231"/>
      <c r="MZC120" s="231"/>
      <c r="MZD120" s="231"/>
      <c r="MZE120" s="231"/>
      <c r="MZF120" s="231"/>
      <c r="MZG120" s="231"/>
      <c r="MZH120" s="231"/>
      <c r="MZI120" s="231"/>
      <c r="MZJ120" s="231"/>
      <c r="MZK120" s="231"/>
      <c r="MZL120" s="231"/>
      <c r="MZM120" s="231"/>
      <c r="MZN120" s="231"/>
      <c r="MZO120" s="231"/>
      <c r="MZP120" s="231"/>
      <c r="MZQ120" s="231"/>
      <c r="MZR120" s="231"/>
      <c r="MZS120" s="231"/>
      <c r="MZT120" s="231"/>
      <c r="MZU120" s="231"/>
      <c r="MZV120" s="231"/>
      <c r="MZW120" s="231"/>
      <c r="MZX120" s="231"/>
      <c r="MZY120" s="231"/>
      <c r="MZZ120" s="231"/>
      <c r="NAA120" s="231"/>
      <c r="NAB120" s="231"/>
      <c r="NAC120" s="231"/>
      <c r="NAD120" s="231"/>
      <c r="NAE120" s="231"/>
      <c r="NAF120" s="231"/>
      <c r="NAG120" s="231"/>
      <c r="NAH120" s="231"/>
      <c r="NAI120" s="231"/>
      <c r="NAJ120" s="231"/>
      <c r="NAK120" s="231"/>
      <c r="NAL120" s="231"/>
      <c r="NAM120" s="231"/>
      <c r="NAN120" s="231"/>
      <c r="NAO120" s="231"/>
      <c r="NAP120" s="231"/>
      <c r="NAQ120" s="231"/>
      <c r="NAR120" s="231"/>
      <c r="NAS120" s="231"/>
      <c r="NAT120" s="231"/>
      <c r="NAU120" s="231"/>
      <c r="NAV120" s="231"/>
      <c r="NAW120" s="231"/>
      <c r="NAX120" s="231"/>
      <c r="NAY120" s="231"/>
      <c r="NAZ120" s="231"/>
      <c r="NBA120" s="231"/>
      <c r="NBB120" s="231"/>
      <c r="NBC120" s="231"/>
      <c r="NBD120" s="231"/>
      <c r="NBE120" s="231"/>
      <c r="NBF120" s="231"/>
      <c r="NBG120" s="231"/>
      <c r="NBH120" s="231"/>
      <c r="NBI120" s="231"/>
      <c r="NBJ120" s="231"/>
      <c r="NBK120" s="231"/>
      <c r="NBL120" s="231"/>
      <c r="NBM120" s="231"/>
      <c r="NBN120" s="231"/>
      <c r="NBO120" s="231"/>
      <c r="NBP120" s="231"/>
      <c r="NBQ120" s="231"/>
      <c r="NBR120" s="231"/>
      <c r="NBS120" s="231"/>
      <c r="NBT120" s="231"/>
      <c r="NBU120" s="231"/>
      <c r="NBV120" s="231"/>
      <c r="NBW120" s="231"/>
      <c r="NBX120" s="231"/>
      <c r="NBY120" s="231"/>
      <c r="NBZ120" s="231"/>
      <c r="NCA120" s="231"/>
      <c r="NCB120" s="231"/>
      <c r="NCC120" s="231"/>
      <c r="NCD120" s="231"/>
      <c r="NCE120" s="231"/>
      <c r="NCF120" s="231"/>
      <c r="NCG120" s="231"/>
      <c r="NCH120" s="231"/>
      <c r="NCI120" s="231"/>
      <c r="NCJ120" s="231"/>
      <c r="NCK120" s="231"/>
      <c r="NCL120" s="231"/>
      <c r="NCM120" s="231"/>
      <c r="NCN120" s="231"/>
      <c r="NCO120" s="231"/>
      <c r="NCP120" s="231"/>
      <c r="NCQ120" s="231"/>
      <c r="NCR120" s="231"/>
      <c r="NCS120" s="231"/>
      <c r="NCT120" s="231"/>
      <c r="NCU120" s="231"/>
      <c r="NCV120" s="231"/>
      <c r="NCW120" s="231"/>
      <c r="NCX120" s="231"/>
      <c r="NCY120" s="231"/>
      <c r="NCZ120" s="231"/>
      <c r="NDA120" s="231"/>
      <c r="NDB120" s="231"/>
      <c r="NDC120" s="231"/>
      <c r="NDD120" s="231"/>
      <c r="NDE120" s="231"/>
      <c r="NDF120" s="231"/>
      <c r="NDG120" s="231"/>
      <c r="NDH120" s="231"/>
      <c r="NDI120" s="231"/>
      <c r="NDJ120" s="231"/>
      <c r="NDK120" s="231"/>
      <c r="NDL120" s="231"/>
      <c r="NDM120" s="231"/>
      <c r="NDN120" s="231"/>
      <c r="NDO120" s="231"/>
      <c r="NDP120" s="231"/>
      <c r="NDQ120" s="231"/>
      <c r="NDR120" s="231"/>
      <c r="NDS120" s="231"/>
      <c r="NDT120" s="231"/>
      <c r="NDU120" s="231"/>
      <c r="NDV120" s="231"/>
      <c r="NDW120" s="231"/>
      <c r="NDX120" s="231"/>
      <c r="NDY120" s="231"/>
      <c r="NDZ120" s="231"/>
      <c r="NEA120" s="231"/>
      <c r="NEB120" s="231"/>
      <c r="NEC120" s="231"/>
      <c r="NED120" s="231"/>
      <c r="NEE120" s="231"/>
      <c r="NEF120" s="231"/>
      <c r="NEG120" s="231"/>
      <c r="NEH120" s="231"/>
      <c r="NEI120" s="231"/>
      <c r="NEJ120" s="231"/>
      <c r="NEK120" s="231"/>
      <c r="NEL120" s="231"/>
      <c r="NEM120" s="231"/>
      <c r="NEN120" s="231"/>
      <c r="NEO120" s="231"/>
      <c r="NEP120" s="231"/>
      <c r="NEQ120" s="231"/>
      <c r="NER120" s="231"/>
      <c r="NES120" s="231"/>
      <c r="NET120" s="231"/>
      <c r="NEU120" s="231"/>
      <c r="NEV120" s="231"/>
      <c r="NEW120" s="231"/>
      <c r="NEX120" s="231"/>
      <c r="NEY120" s="231"/>
      <c r="NEZ120" s="231"/>
      <c r="NFA120" s="231"/>
      <c r="NFB120" s="231"/>
      <c r="NFC120" s="231"/>
      <c r="NFD120" s="231"/>
      <c r="NFE120" s="231"/>
      <c r="NFF120" s="231"/>
      <c r="NFG120" s="231"/>
      <c r="NFH120" s="231"/>
      <c r="NFI120" s="231"/>
      <c r="NFJ120" s="231"/>
      <c r="NFK120" s="231"/>
      <c r="NFL120" s="231"/>
      <c r="NFM120" s="231"/>
      <c r="NFN120" s="231"/>
      <c r="NFO120" s="231"/>
      <c r="NFP120" s="231"/>
      <c r="NFQ120" s="231"/>
      <c r="NFR120" s="231"/>
      <c r="NFS120" s="231"/>
      <c r="NFT120" s="231"/>
      <c r="NFU120" s="231"/>
      <c r="NFV120" s="231"/>
      <c r="NFW120" s="231"/>
      <c r="NFX120" s="231"/>
      <c r="NFY120" s="231"/>
      <c r="NFZ120" s="231"/>
      <c r="NGA120" s="231"/>
      <c r="NGB120" s="231"/>
      <c r="NGC120" s="231"/>
      <c r="NGD120" s="231"/>
      <c r="NGE120" s="231"/>
      <c r="NGF120" s="231"/>
      <c r="NGG120" s="231"/>
      <c r="NGH120" s="231"/>
      <c r="NGI120" s="231"/>
      <c r="NGJ120" s="231"/>
      <c r="NGK120" s="231"/>
      <c r="NGL120" s="231"/>
      <c r="NGM120" s="231"/>
      <c r="NGN120" s="231"/>
      <c r="NGO120" s="231"/>
      <c r="NGP120" s="231"/>
      <c r="NGQ120" s="231"/>
      <c r="NGR120" s="231"/>
      <c r="NGS120" s="231"/>
      <c r="NGT120" s="231"/>
      <c r="NGU120" s="231"/>
      <c r="NGV120" s="231"/>
      <c r="NGW120" s="231"/>
      <c r="NGX120" s="231"/>
      <c r="NGY120" s="231"/>
      <c r="NGZ120" s="231"/>
      <c r="NHA120" s="231"/>
      <c r="NHB120" s="231"/>
      <c r="NHC120" s="231"/>
      <c r="NHD120" s="231"/>
      <c r="NHE120" s="231"/>
      <c r="NHF120" s="231"/>
      <c r="NHG120" s="231"/>
      <c r="NHH120" s="231"/>
      <c r="NHI120" s="231"/>
      <c r="NHJ120" s="231"/>
      <c r="NHK120" s="231"/>
      <c r="NHL120" s="231"/>
      <c r="NHM120" s="231"/>
      <c r="NHN120" s="231"/>
      <c r="NHO120" s="231"/>
      <c r="NHP120" s="231"/>
      <c r="NHQ120" s="231"/>
      <c r="NHR120" s="231"/>
      <c r="NHS120" s="231"/>
      <c r="NHT120" s="231"/>
      <c r="NHU120" s="231"/>
      <c r="NHV120" s="231"/>
      <c r="NHW120" s="231"/>
      <c r="NHX120" s="231"/>
      <c r="NHY120" s="231"/>
      <c r="NHZ120" s="231"/>
      <c r="NIA120" s="231"/>
      <c r="NIB120" s="231"/>
      <c r="NIC120" s="231"/>
      <c r="NID120" s="231"/>
      <c r="NIE120" s="231"/>
      <c r="NIF120" s="231"/>
      <c r="NIG120" s="231"/>
      <c r="NIH120" s="231"/>
      <c r="NII120" s="231"/>
      <c r="NIJ120" s="231"/>
      <c r="NIK120" s="231"/>
      <c r="NIL120" s="231"/>
      <c r="NIM120" s="231"/>
      <c r="NIN120" s="231"/>
      <c r="NIO120" s="231"/>
      <c r="NIP120" s="231"/>
      <c r="NIQ120" s="231"/>
      <c r="NIR120" s="231"/>
      <c r="NIS120" s="231"/>
      <c r="NIT120" s="231"/>
      <c r="NIU120" s="231"/>
      <c r="NIV120" s="231"/>
      <c r="NIW120" s="231"/>
      <c r="NIX120" s="231"/>
      <c r="NIY120" s="231"/>
      <c r="NIZ120" s="231"/>
      <c r="NJA120" s="231"/>
      <c r="NJB120" s="231"/>
      <c r="NJC120" s="231"/>
      <c r="NJD120" s="231"/>
      <c r="NJE120" s="231"/>
      <c r="NJF120" s="231"/>
      <c r="NJG120" s="231"/>
      <c r="NJH120" s="231"/>
      <c r="NJI120" s="231"/>
      <c r="NJJ120" s="231"/>
      <c r="NJK120" s="231"/>
      <c r="NJL120" s="231"/>
      <c r="NJM120" s="231"/>
      <c r="NJN120" s="231"/>
      <c r="NJO120" s="231"/>
      <c r="NJP120" s="231"/>
      <c r="NJQ120" s="231"/>
      <c r="NJR120" s="231"/>
      <c r="NJS120" s="231"/>
      <c r="NJT120" s="231"/>
      <c r="NJU120" s="231"/>
      <c r="NJV120" s="231"/>
      <c r="NJW120" s="231"/>
      <c r="NJX120" s="231"/>
      <c r="NJY120" s="231"/>
      <c r="NJZ120" s="231"/>
      <c r="NKA120" s="231"/>
      <c r="NKB120" s="231"/>
      <c r="NKC120" s="231"/>
      <c r="NKD120" s="231"/>
      <c r="NKE120" s="231"/>
      <c r="NKF120" s="231"/>
      <c r="NKG120" s="231"/>
      <c r="NKH120" s="231"/>
      <c r="NKI120" s="231"/>
      <c r="NKJ120" s="231"/>
      <c r="NKK120" s="231"/>
      <c r="NKL120" s="231"/>
      <c r="NKM120" s="231"/>
      <c r="NKN120" s="231"/>
      <c r="NKO120" s="231"/>
      <c r="NKP120" s="231"/>
      <c r="NKQ120" s="231"/>
      <c r="NKR120" s="231"/>
      <c r="NKS120" s="231"/>
      <c r="NKT120" s="231"/>
      <c r="NKU120" s="231"/>
      <c r="NKV120" s="231"/>
      <c r="NKW120" s="231"/>
      <c r="NKX120" s="231"/>
      <c r="NKY120" s="231"/>
      <c r="NKZ120" s="231"/>
      <c r="NLA120" s="231"/>
      <c r="NLB120" s="231"/>
      <c r="NLC120" s="231"/>
      <c r="NLD120" s="231"/>
      <c r="NLE120" s="231"/>
      <c r="NLF120" s="231"/>
      <c r="NLG120" s="231"/>
      <c r="NLH120" s="231"/>
      <c r="NLI120" s="231"/>
      <c r="NLJ120" s="231"/>
      <c r="NLK120" s="231"/>
      <c r="NLL120" s="231"/>
      <c r="NLM120" s="231"/>
      <c r="NLN120" s="231"/>
      <c r="NLO120" s="231"/>
      <c r="NLP120" s="231"/>
      <c r="NLQ120" s="231"/>
      <c r="NLR120" s="231"/>
      <c r="NLS120" s="231"/>
      <c r="NLT120" s="231"/>
      <c r="NLU120" s="231"/>
      <c r="NLV120" s="231"/>
      <c r="NLW120" s="231"/>
      <c r="NLX120" s="231"/>
      <c r="NLY120" s="231"/>
      <c r="NLZ120" s="231"/>
      <c r="NMA120" s="231"/>
      <c r="NMB120" s="231"/>
      <c r="NMC120" s="231"/>
      <c r="NMD120" s="231"/>
      <c r="NME120" s="231"/>
      <c r="NMF120" s="231"/>
      <c r="NMG120" s="231"/>
      <c r="NMH120" s="231"/>
      <c r="NMI120" s="231"/>
      <c r="NMJ120" s="231"/>
      <c r="NMK120" s="231"/>
      <c r="NML120" s="231"/>
      <c r="NMM120" s="231"/>
      <c r="NMN120" s="231"/>
      <c r="NMO120" s="231"/>
      <c r="NMP120" s="231"/>
      <c r="NMQ120" s="231"/>
      <c r="NMR120" s="231"/>
      <c r="NMS120" s="231"/>
      <c r="NMT120" s="231"/>
      <c r="NMU120" s="231"/>
      <c r="NMV120" s="231"/>
      <c r="NMW120" s="231"/>
      <c r="NMX120" s="231"/>
      <c r="NMY120" s="231"/>
      <c r="NMZ120" s="231"/>
      <c r="NNA120" s="231"/>
      <c r="NNB120" s="231"/>
      <c r="NNC120" s="231"/>
      <c r="NND120" s="231"/>
      <c r="NNE120" s="231"/>
      <c r="NNF120" s="231"/>
      <c r="NNG120" s="231"/>
      <c r="NNH120" s="231"/>
      <c r="NNI120" s="231"/>
      <c r="NNJ120" s="231"/>
      <c r="NNK120" s="231"/>
      <c r="NNL120" s="231"/>
      <c r="NNM120" s="231"/>
      <c r="NNN120" s="231"/>
      <c r="NNO120" s="231"/>
      <c r="NNP120" s="231"/>
      <c r="NNQ120" s="231"/>
      <c r="NNR120" s="231"/>
      <c r="NNS120" s="231"/>
      <c r="NNT120" s="231"/>
      <c r="NNU120" s="231"/>
      <c r="NNV120" s="231"/>
      <c r="NNW120" s="231"/>
      <c r="NNX120" s="231"/>
      <c r="NNY120" s="231"/>
      <c r="NNZ120" s="231"/>
      <c r="NOA120" s="231"/>
      <c r="NOB120" s="231"/>
      <c r="NOC120" s="231"/>
      <c r="NOD120" s="231"/>
      <c r="NOE120" s="231"/>
      <c r="NOF120" s="231"/>
      <c r="NOG120" s="231"/>
      <c r="NOH120" s="231"/>
      <c r="NOI120" s="231"/>
      <c r="NOJ120" s="231"/>
      <c r="NOK120" s="231"/>
      <c r="NOL120" s="231"/>
      <c r="NOM120" s="231"/>
      <c r="NON120" s="231"/>
      <c r="NOO120" s="231"/>
      <c r="NOP120" s="231"/>
      <c r="NOQ120" s="231"/>
      <c r="NOR120" s="231"/>
      <c r="NOS120" s="231"/>
      <c r="NOT120" s="231"/>
      <c r="NOU120" s="231"/>
      <c r="NOV120" s="231"/>
      <c r="NOW120" s="231"/>
      <c r="NOX120" s="231"/>
      <c r="NOY120" s="231"/>
      <c r="NOZ120" s="231"/>
      <c r="NPA120" s="231"/>
      <c r="NPB120" s="231"/>
      <c r="NPC120" s="231"/>
      <c r="NPD120" s="231"/>
      <c r="NPE120" s="231"/>
      <c r="NPF120" s="231"/>
      <c r="NPG120" s="231"/>
      <c r="NPH120" s="231"/>
      <c r="NPI120" s="231"/>
      <c r="NPJ120" s="231"/>
      <c r="NPK120" s="231"/>
      <c r="NPL120" s="231"/>
      <c r="NPM120" s="231"/>
      <c r="NPN120" s="231"/>
      <c r="NPO120" s="231"/>
      <c r="NPP120" s="231"/>
      <c r="NPQ120" s="231"/>
      <c r="NPR120" s="231"/>
      <c r="NPS120" s="231"/>
      <c r="NPT120" s="231"/>
      <c r="NPU120" s="231"/>
      <c r="NPV120" s="231"/>
      <c r="NPW120" s="231"/>
      <c r="NPX120" s="231"/>
      <c r="NPY120" s="231"/>
      <c r="NPZ120" s="231"/>
      <c r="NQA120" s="231"/>
      <c r="NQB120" s="231"/>
      <c r="NQC120" s="231"/>
      <c r="NQD120" s="231"/>
      <c r="NQE120" s="231"/>
      <c r="NQF120" s="231"/>
      <c r="NQG120" s="231"/>
      <c r="NQH120" s="231"/>
      <c r="NQI120" s="231"/>
      <c r="NQJ120" s="231"/>
      <c r="NQK120" s="231"/>
      <c r="NQL120" s="231"/>
      <c r="NQM120" s="231"/>
      <c r="NQN120" s="231"/>
      <c r="NQO120" s="231"/>
      <c r="NQP120" s="231"/>
      <c r="NQQ120" s="231"/>
      <c r="NQR120" s="231"/>
      <c r="NQS120" s="231"/>
      <c r="NQT120" s="231"/>
      <c r="NQU120" s="231"/>
      <c r="NQV120" s="231"/>
      <c r="NQW120" s="231"/>
      <c r="NQX120" s="231"/>
      <c r="NQY120" s="231"/>
      <c r="NQZ120" s="231"/>
      <c r="NRA120" s="231"/>
      <c r="NRB120" s="231"/>
      <c r="NRC120" s="231"/>
      <c r="NRD120" s="231"/>
      <c r="NRE120" s="231"/>
      <c r="NRF120" s="231"/>
      <c r="NRG120" s="231"/>
      <c r="NRH120" s="231"/>
      <c r="NRI120" s="231"/>
      <c r="NRJ120" s="231"/>
      <c r="NRK120" s="231"/>
      <c r="NRL120" s="231"/>
      <c r="NRM120" s="231"/>
      <c r="NRN120" s="231"/>
      <c r="NRO120" s="231"/>
      <c r="NRP120" s="231"/>
      <c r="NRQ120" s="231"/>
      <c r="NRR120" s="231"/>
      <c r="NRS120" s="231"/>
      <c r="NRT120" s="231"/>
      <c r="NRU120" s="231"/>
      <c r="NRV120" s="231"/>
      <c r="NRW120" s="231"/>
      <c r="NRX120" s="231"/>
      <c r="NRY120" s="231"/>
      <c r="NRZ120" s="231"/>
      <c r="NSA120" s="231"/>
      <c r="NSB120" s="231"/>
      <c r="NSC120" s="231"/>
      <c r="NSD120" s="231"/>
      <c r="NSE120" s="231"/>
      <c r="NSF120" s="231"/>
      <c r="NSG120" s="231"/>
      <c r="NSH120" s="231"/>
      <c r="NSI120" s="231"/>
      <c r="NSJ120" s="231"/>
      <c r="NSK120" s="231"/>
      <c r="NSL120" s="231"/>
      <c r="NSM120" s="231"/>
      <c r="NSN120" s="231"/>
      <c r="NSO120" s="231"/>
      <c r="NSP120" s="231"/>
      <c r="NSQ120" s="231"/>
      <c r="NSR120" s="231"/>
      <c r="NSS120" s="231"/>
      <c r="NST120" s="231"/>
      <c r="NSU120" s="231"/>
      <c r="NSV120" s="231"/>
      <c r="NSW120" s="231"/>
      <c r="NSX120" s="231"/>
      <c r="NSY120" s="231"/>
      <c r="NSZ120" s="231"/>
      <c r="NTA120" s="231"/>
      <c r="NTB120" s="231"/>
      <c r="NTC120" s="231"/>
      <c r="NTD120" s="231"/>
      <c r="NTE120" s="231"/>
      <c r="NTF120" s="231"/>
      <c r="NTG120" s="231"/>
      <c r="NTH120" s="231"/>
      <c r="NTI120" s="231"/>
      <c r="NTJ120" s="231"/>
      <c r="NTK120" s="231"/>
      <c r="NTL120" s="231"/>
      <c r="NTM120" s="231"/>
      <c r="NTN120" s="231"/>
      <c r="NTO120" s="231"/>
      <c r="NTP120" s="231"/>
      <c r="NTQ120" s="231"/>
      <c r="NTR120" s="231"/>
      <c r="NTS120" s="231"/>
      <c r="NTT120" s="231"/>
      <c r="NTU120" s="231"/>
      <c r="NTV120" s="231"/>
      <c r="NTW120" s="231"/>
      <c r="NTX120" s="231"/>
      <c r="NTY120" s="231"/>
      <c r="NTZ120" s="231"/>
      <c r="NUA120" s="231"/>
      <c r="NUB120" s="231"/>
      <c r="NUC120" s="231"/>
      <c r="NUD120" s="231"/>
      <c r="NUE120" s="231"/>
      <c r="NUF120" s="231"/>
      <c r="NUG120" s="231"/>
      <c r="NUH120" s="231"/>
      <c r="NUI120" s="231"/>
      <c r="NUJ120" s="231"/>
      <c r="NUK120" s="231"/>
      <c r="NUL120" s="231"/>
      <c r="NUM120" s="231"/>
      <c r="NUN120" s="231"/>
      <c r="NUO120" s="231"/>
      <c r="NUP120" s="231"/>
      <c r="NUQ120" s="231"/>
      <c r="NUR120" s="231"/>
      <c r="NUS120" s="231"/>
      <c r="NUT120" s="231"/>
      <c r="NUU120" s="231"/>
      <c r="NUV120" s="231"/>
      <c r="NUW120" s="231"/>
      <c r="NUX120" s="231"/>
      <c r="NUY120" s="231"/>
      <c r="NUZ120" s="231"/>
      <c r="NVA120" s="231"/>
      <c r="NVB120" s="231"/>
      <c r="NVC120" s="231"/>
      <c r="NVD120" s="231"/>
      <c r="NVE120" s="231"/>
      <c r="NVF120" s="231"/>
      <c r="NVG120" s="231"/>
      <c r="NVH120" s="231"/>
      <c r="NVI120" s="231"/>
      <c r="NVJ120" s="231"/>
      <c r="NVK120" s="231"/>
      <c r="NVL120" s="231"/>
      <c r="NVM120" s="231"/>
      <c r="NVN120" s="231"/>
      <c r="NVO120" s="231"/>
      <c r="NVP120" s="231"/>
      <c r="NVQ120" s="231"/>
      <c r="NVR120" s="231"/>
      <c r="NVS120" s="231"/>
      <c r="NVT120" s="231"/>
      <c r="NVU120" s="231"/>
      <c r="NVV120" s="231"/>
      <c r="NVW120" s="231"/>
      <c r="NVX120" s="231"/>
      <c r="NVY120" s="231"/>
      <c r="NVZ120" s="231"/>
      <c r="NWA120" s="231"/>
      <c r="NWB120" s="231"/>
      <c r="NWC120" s="231"/>
      <c r="NWD120" s="231"/>
      <c r="NWE120" s="231"/>
      <c r="NWF120" s="231"/>
      <c r="NWG120" s="231"/>
      <c r="NWH120" s="231"/>
      <c r="NWI120" s="231"/>
      <c r="NWJ120" s="231"/>
      <c r="NWK120" s="231"/>
      <c r="NWL120" s="231"/>
      <c r="NWM120" s="231"/>
      <c r="NWN120" s="231"/>
      <c r="NWO120" s="231"/>
      <c r="NWP120" s="231"/>
      <c r="NWQ120" s="231"/>
      <c r="NWR120" s="231"/>
      <c r="NWS120" s="231"/>
      <c r="NWT120" s="231"/>
      <c r="NWU120" s="231"/>
      <c r="NWV120" s="231"/>
      <c r="NWW120" s="231"/>
      <c r="NWX120" s="231"/>
      <c r="NWY120" s="231"/>
      <c r="NWZ120" s="231"/>
      <c r="NXA120" s="231"/>
      <c r="NXB120" s="231"/>
      <c r="NXC120" s="231"/>
      <c r="NXD120" s="231"/>
      <c r="NXE120" s="231"/>
      <c r="NXF120" s="231"/>
      <c r="NXG120" s="231"/>
      <c r="NXH120" s="231"/>
      <c r="NXI120" s="231"/>
      <c r="NXJ120" s="231"/>
      <c r="NXK120" s="231"/>
      <c r="NXL120" s="231"/>
      <c r="NXM120" s="231"/>
      <c r="NXN120" s="231"/>
      <c r="NXO120" s="231"/>
      <c r="NXP120" s="231"/>
      <c r="NXQ120" s="231"/>
      <c r="NXR120" s="231"/>
      <c r="NXS120" s="231"/>
      <c r="NXT120" s="231"/>
      <c r="NXU120" s="231"/>
      <c r="NXV120" s="231"/>
      <c r="NXW120" s="231"/>
      <c r="NXX120" s="231"/>
      <c r="NXY120" s="231"/>
      <c r="NXZ120" s="231"/>
      <c r="NYA120" s="231"/>
      <c r="NYB120" s="231"/>
      <c r="NYC120" s="231"/>
      <c r="NYD120" s="231"/>
      <c r="NYE120" s="231"/>
      <c r="NYF120" s="231"/>
      <c r="NYG120" s="231"/>
      <c r="NYH120" s="231"/>
      <c r="NYI120" s="231"/>
      <c r="NYJ120" s="231"/>
      <c r="NYK120" s="231"/>
      <c r="NYL120" s="231"/>
      <c r="NYM120" s="231"/>
      <c r="NYN120" s="231"/>
      <c r="NYO120" s="231"/>
      <c r="NYP120" s="231"/>
      <c r="NYQ120" s="231"/>
      <c r="NYR120" s="231"/>
      <c r="NYS120" s="231"/>
      <c r="NYT120" s="231"/>
      <c r="NYU120" s="231"/>
      <c r="NYV120" s="231"/>
      <c r="NYW120" s="231"/>
      <c r="NYX120" s="231"/>
      <c r="NYY120" s="231"/>
      <c r="NYZ120" s="231"/>
      <c r="NZA120" s="231"/>
      <c r="NZB120" s="231"/>
      <c r="NZC120" s="231"/>
      <c r="NZD120" s="231"/>
      <c r="NZE120" s="231"/>
      <c r="NZF120" s="231"/>
      <c r="NZG120" s="231"/>
      <c r="NZH120" s="231"/>
      <c r="NZI120" s="231"/>
      <c r="NZJ120" s="231"/>
      <c r="NZK120" s="231"/>
      <c r="NZL120" s="231"/>
      <c r="NZM120" s="231"/>
      <c r="NZN120" s="231"/>
      <c r="NZO120" s="231"/>
      <c r="NZP120" s="231"/>
      <c r="NZQ120" s="231"/>
      <c r="NZR120" s="231"/>
      <c r="NZS120" s="231"/>
      <c r="NZT120" s="231"/>
      <c r="NZU120" s="231"/>
      <c r="NZV120" s="231"/>
      <c r="NZW120" s="231"/>
      <c r="NZX120" s="231"/>
      <c r="NZY120" s="231"/>
      <c r="NZZ120" s="231"/>
      <c r="OAA120" s="231"/>
      <c r="OAB120" s="231"/>
      <c r="OAC120" s="231"/>
      <c r="OAD120" s="231"/>
      <c r="OAE120" s="231"/>
      <c r="OAF120" s="231"/>
      <c r="OAG120" s="231"/>
      <c r="OAH120" s="231"/>
      <c r="OAI120" s="231"/>
      <c r="OAJ120" s="231"/>
      <c r="OAK120" s="231"/>
      <c r="OAL120" s="231"/>
      <c r="OAM120" s="231"/>
      <c r="OAN120" s="231"/>
      <c r="OAO120" s="231"/>
      <c r="OAP120" s="231"/>
      <c r="OAQ120" s="231"/>
      <c r="OAR120" s="231"/>
      <c r="OAS120" s="231"/>
      <c r="OAT120" s="231"/>
      <c r="OAU120" s="231"/>
      <c r="OAV120" s="231"/>
      <c r="OAW120" s="231"/>
      <c r="OAX120" s="231"/>
      <c r="OAY120" s="231"/>
      <c r="OAZ120" s="231"/>
      <c r="OBA120" s="231"/>
      <c r="OBB120" s="231"/>
      <c r="OBC120" s="231"/>
      <c r="OBD120" s="231"/>
      <c r="OBE120" s="231"/>
      <c r="OBF120" s="231"/>
      <c r="OBG120" s="231"/>
      <c r="OBH120" s="231"/>
      <c r="OBI120" s="231"/>
      <c r="OBJ120" s="231"/>
      <c r="OBK120" s="231"/>
      <c r="OBL120" s="231"/>
      <c r="OBM120" s="231"/>
      <c r="OBN120" s="231"/>
      <c r="OBO120" s="231"/>
      <c r="OBP120" s="231"/>
      <c r="OBQ120" s="231"/>
      <c r="OBR120" s="231"/>
      <c r="OBS120" s="231"/>
      <c r="OBT120" s="231"/>
      <c r="OBU120" s="231"/>
      <c r="OBV120" s="231"/>
      <c r="OBW120" s="231"/>
      <c r="OBX120" s="231"/>
      <c r="OBY120" s="231"/>
      <c r="OBZ120" s="231"/>
      <c r="OCA120" s="231"/>
      <c r="OCB120" s="231"/>
      <c r="OCC120" s="231"/>
      <c r="OCD120" s="231"/>
      <c r="OCE120" s="231"/>
      <c r="OCF120" s="231"/>
      <c r="OCG120" s="231"/>
      <c r="OCH120" s="231"/>
      <c r="OCI120" s="231"/>
      <c r="OCJ120" s="231"/>
      <c r="OCK120" s="231"/>
      <c r="OCL120" s="231"/>
      <c r="OCM120" s="231"/>
      <c r="OCN120" s="231"/>
      <c r="OCO120" s="231"/>
      <c r="OCP120" s="231"/>
      <c r="OCQ120" s="231"/>
      <c r="OCR120" s="231"/>
      <c r="OCS120" s="231"/>
      <c r="OCT120" s="231"/>
      <c r="OCU120" s="231"/>
      <c r="OCV120" s="231"/>
      <c r="OCW120" s="231"/>
      <c r="OCX120" s="231"/>
      <c r="OCY120" s="231"/>
      <c r="OCZ120" s="231"/>
      <c r="ODA120" s="231"/>
      <c r="ODB120" s="231"/>
      <c r="ODC120" s="231"/>
      <c r="ODD120" s="231"/>
      <c r="ODE120" s="231"/>
      <c r="ODF120" s="231"/>
      <c r="ODG120" s="231"/>
      <c r="ODH120" s="231"/>
      <c r="ODI120" s="231"/>
      <c r="ODJ120" s="231"/>
      <c r="ODK120" s="231"/>
      <c r="ODL120" s="231"/>
      <c r="ODM120" s="231"/>
      <c r="ODN120" s="231"/>
      <c r="ODO120" s="231"/>
      <c r="ODP120" s="231"/>
      <c r="ODQ120" s="231"/>
      <c r="ODR120" s="231"/>
      <c r="ODS120" s="231"/>
      <c r="ODT120" s="231"/>
      <c r="ODU120" s="231"/>
      <c r="ODV120" s="231"/>
      <c r="ODW120" s="231"/>
      <c r="ODX120" s="231"/>
      <c r="ODY120" s="231"/>
      <c r="ODZ120" s="231"/>
      <c r="OEA120" s="231"/>
      <c r="OEB120" s="231"/>
      <c r="OEC120" s="231"/>
      <c r="OED120" s="231"/>
      <c r="OEE120" s="231"/>
      <c r="OEF120" s="231"/>
      <c r="OEG120" s="231"/>
      <c r="OEH120" s="231"/>
      <c r="OEI120" s="231"/>
      <c r="OEJ120" s="231"/>
      <c r="OEK120" s="231"/>
      <c r="OEL120" s="231"/>
      <c r="OEM120" s="231"/>
      <c r="OEN120" s="231"/>
      <c r="OEO120" s="231"/>
      <c r="OEP120" s="231"/>
      <c r="OEQ120" s="231"/>
      <c r="OER120" s="231"/>
      <c r="OES120" s="231"/>
      <c r="OET120" s="231"/>
      <c r="OEU120" s="231"/>
      <c r="OEV120" s="231"/>
      <c r="OEW120" s="231"/>
      <c r="OEX120" s="231"/>
      <c r="OEY120" s="231"/>
      <c r="OEZ120" s="231"/>
      <c r="OFA120" s="231"/>
      <c r="OFB120" s="231"/>
      <c r="OFC120" s="231"/>
      <c r="OFD120" s="231"/>
      <c r="OFE120" s="231"/>
      <c r="OFF120" s="231"/>
      <c r="OFG120" s="231"/>
      <c r="OFH120" s="231"/>
      <c r="OFI120" s="231"/>
      <c r="OFJ120" s="231"/>
      <c r="OFK120" s="231"/>
      <c r="OFL120" s="231"/>
      <c r="OFM120" s="231"/>
      <c r="OFN120" s="231"/>
      <c r="OFO120" s="231"/>
      <c r="OFP120" s="231"/>
      <c r="OFQ120" s="231"/>
      <c r="OFR120" s="231"/>
      <c r="OFS120" s="231"/>
      <c r="OFT120" s="231"/>
      <c r="OFU120" s="231"/>
      <c r="OFV120" s="231"/>
      <c r="OFW120" s="231"/>
      <c r="OFX120" s="231"/>
      <c r="OFY120" s="231"/>
      <c r="OFZ120" s="231"/>
      <c r="OGA120" s="231"/>
      <c r="OGB120" s="231"/>
      <c r="OGC120" s="231"/>
      <c r="OGD120" s="231"/>
      <c r="OGE120" s="231"/>
      <c r="OGF120" s="231"/>
      <c r="OGG120" s="231"/>
      <c r="OGH120" s="231"/>
      <c r="OGI120" s="231"/>
      <c r="OGJ120" s="231"/>
      <c r="OGK120" s="231"/>
      <c r="OGL120" s="231"/>
      <c r="OGM120" s="231"/>
      <c r="OGN120" s="231"/>
      <c r="OGO120" s="231"/>
      <c r="OGP120" s="231"/>
      <c r="OGQ120" s="231"/>
      <c r="OGR120" s="231"/>
      <c r="OGS120" s="231"/>
      <c r="OGT120" s="231"/>
      <c r="OGU120" s="231"/>
      <c r="OGV120" s="231"/>
      <c r="OGW120" s="231"/>
      <c r="OGX120" s="231"/>
      <c r="OGY120" s="231"/>
      <c r="OGZ120" s="231"/>
      <c r="OHA120" s="231"/>
      <c r="OHB120" s="231"/>
      <c r="OHC120" s="231"/>
      <c r="OHD120" s="231"/>
      <c r="OHE120" s="231"/>
      <c r="OHF120" s="231"/>
      <c r="OHG120" s="231"/>
      <c r="OHH120" s="231"/>
      <c r="OHI120" s="231"/>
      <c r="OHJ120" s="231"/>
      <c r="OHK120" s="231"/>
      <c r="OHL120" s="231"/>
      <c r="OHM120" s="231"/>
      <c r="OHN120" s="231"/>
      <c r="OHO120" s="231"/>
      <c r="OHP120" s="231"/>
      <c r="OHQ120" s="231"/>
      <c r="OHR120" s="231"/>
      <c r="OHS120" s="231"/>
      <c r="OHT120" s="231"/>
      <c r="OHU120" s="231"/>
      <c r="OHV120" s="231"/>
      <c r="OHW120" s="231"/>
      <c r="OHX120" s="231"/>
      <c r="OHY120" s="231"/>
      <c r="OHZ120" s="231"/>
      <c r="OIA120" s="231"/>
      <c r="OIB120" s="231"/>
      <c r="OIC120" s="231"/>
      <c r="OID120" s="231"/>
      <c r="OIE120" s="231"/>
      <c r="OIF120" s="231"/>
      <c r="OIG120" s="231"/>
      <c r="OIH120" s="231"/>
      <c r="OII120" s="231"/>
      <c r="OIJ120" s="231"/>
      <c r="OIK120" s="231"/>
      <c r="OIL120" s="231"/>
      <c r="OIM120" s="231"/>
      <c r="OIN120" s="231"/>
      <c r="OIO120" s="231"/>
      <c r="OIP120" s="231"/>
      <c r="OIQ120" s="231"/>
      <c r="OIR120" s="231"/>
      <c r="OIS120" s="231"/>
      <c r="OIT120" s="231"/>
      <c r="OIU120" s="231"/>
      <c r="OIV120" s="231"/>
      <c r="OIW120" s="231"/>
      <c r="OIX120" s="231"/>
      <c r="OIY120" s="231"/>
      <c r="OIZ120" s="231"/>
      <c r="OJA120" s="231"/>
      <c r="OJB120" s="231"/>
      <c r="OJC120" s="231"/>
      <c r="OJD120" s="231"/>
      <c r="OJE120" s="231"/>
      <c r="OJF120" s="231"/>
      <c r="OJG120" s="231"/>
      <c r="OJH120" s="231"/>
      <c r="OJI120" s="231"/>
      <c r="OJJ120" s="231"/>
      <c r="OJK120" s="231"/>
      <c r="OJL120" s="231"/>
      <c r="OJM120" s="231"/>
      <c r="OJN120" s="231"/>
      <c r="OJO120" s="231"/>
      <c r="OJP120" s="231"/>
      <c r="OJQ120" s="231"/>
      <c r="OJR120" s="231"/>
      <c r="OJS120" s="231"/>
      <c r="OJT120" s="231"/>
      <c r="OJU120" s="231"/>
      <c r="OJV120" s="231"/>
      <c r="OJW120" s="231"/>
      <c r="OJX120" s="231"/>
      <c r="OJY120" s="231"/>
      <c r="OJZ120" s="231"/>
      <c r="OKA120" s="231"/>
      <c r="OKB120" s="231"/>
      <c r="OKC120" s="231"/>
      <c r="OKD120" s="231"/>
      <c r="OKE120" s="231"/>
      <c r="OKF120" s="231"/>
      <c r="OKG120" s="231"/>
      <c r="OKH120" s="231"/>
      <c r="OKI120" s="231"/>
      <c r="OKJ120" s="231"/>
      <c r="OKK120" s="231"/>
      <c r="OKL120" s="231"/>
      <c r="OKM120" s="231"/>
      <c r="OKN120" s="231"/>
      <c r="OKO120" s="231"/>
      <c r="OKP120" s="231"/>
      <c r="OKQ120" s="231"/>
      <c r="OKR120" s="231"/>
      <c r="OKS120" s="231"/>
      <c r="OKT120" s="231"/>
      <c r="OKU120" s="231"/>
      <c r="OKV120" s="231"/>
      <c r="OKW120" s="231"/>
      <c r="OKX120" s="231"/>
      <c r="OKY120" s="231"/>
      <c r="OKZ120" s="231"/>
      <c r="OLA120" s="231"/>
      <c r="OLB120" s="231"/>
      <c r="OLC120" s="231"/>
      <c r="OLD120" s="231"/>
      <c r="OLE120" s="231"/>
      <c r="OLF120" s="231"/>
      <c r="OLG120" s="231"/>
      <c r="OLH120" s="231"/>
      <c r="OLI120" s="231"/>
      <c r="OLJ120" s="231"/>
      <c r="OLK120" s="231"/>
      <c r="OLL120" s="231"/>
      <c r="OLM120" s="231"/>
      <c r="OLN120" s="231"/>
      <c r="OLO120" s="231"/>
      <c r="OLP120" s="231"/>
      <c r="OLQ120" s="231"/>
      <c r="OLR120" s="231"/>
      <c r="OLS120" s="231"/>
      <c r="OLT120" s="231"/>
      <c r="OLU120" s="231"/>
      <c r="OLV120" s="231"/>
      <c r="OLW120" s="231"/>
      <c r="OLX120" s="231"/>
      <c r="OLY120" s="231"/>
      <c r="OLZ120" s="231"/>
      <c r="OMA120" s="231"/>
      <c r="OMB120" s="231"/>
      <c r="OMC120" s="231"/>
      <c r="OMD120" s="231"/>
      <c r="OME120" s="231"/>
      <c r="OMF120" s="231"/>
      <c r="OMG120" s="231"/>
      <c r="OMH120" s="231"/>
      <c r="OMI120" s="231"/>
      <c r="OMJ120" s="231"/>
      <c r="OMK120" s="231"/>
      <c r="OML120" s="231"/>
      <c r="OMM120" s="231"/>
      <c r="OMN120" s="231"/>
      <c r="OMO120" s="231"/>
      <c r="OMP120" s="231"/>
      <c r="OMQ120" s="231"/>
      <c r="OMR120" s="231"/>
      <c r="OMS120" s="231"/>
      <c r="OMT120" s="231"/>
      <c r="OMU120" s="231"/>
      <c r="OMV120" s="231"/>
      <c r="OMW120" s="231"/>
      <c r="OMX120" s="231"/>
      <c r="OMY120" s="231"/>
      <c r="OMZ120" s="231"/>
      <c r="ONA120" s="231"/>
      <c r="ONB120" s="231"/>
      <c r="ONC120" s="231"/>
      <c r="OND120" s="231"/>
      <c r="ONE120" s="231"/>
      <c r="ONF120" s="231"/>
      <c r="ONG120" s="231"/>
      <c r="ONH120" s="231"/>
      <c r="ONI120" s="231"/>
      <c r="ONJ120" s="231"/>
      <c r="ONK120" s="231"/>
      <c r="ONL120" s="231"/>
      <c r="ONM120" s="231"/>
      <c r="ONN120" s="231"/>
      <c r="ONO120" s="231"/>
      <c r="ONP120" s="231"/>
      <c r="ONQ120" s="231"/>
      <c r="ONR120" s="231"/>
      <c r="ONS120" s="231"/>
      <c r="ONT120" s="231"/>
      <c r="ONU120" s="231"/>
      <c r="ONV120" s="231"/>
      <c r="ONW120" s="231"/>
      <c r="ONX120" s="231"/>
      <c r="ONY120" s="231"/>
      <c r="ONZ120" s="231"/>
      <c r="OOA120" s="231"/>
      <c r="OOB120" s="231"/>
      <c r="OOC120" s="231"/>
      <c r="OOD120" s="231"/>
      <c r="OOE120" s="231"/>
      <c r="OOF120" s="231"/>
      <c r="OOG120" s="231"/>
      <c r="OOH120" s="231"/>
      <c r="OOI120" s="231"/>
      <c r="OOJ120" s="231"/>
      <c r="OOK120" s="231"/>
      <c r="OOL120" s="231"/>
      <c r="OOM120" s="231"/>
      <c r="OON120" s="231"/>
      <c r="OOO120" s="231"/>
      <c r="OOP120" s="231"/>
      <c r="OOQ120" s="231"/>
      <c r="OOR120" s="231"/>
      <c r="OOS120" s="231"/>
      <c r="OOT120" s="231"/>
      <c r="OOU120" s="231"/>
      <c r="OOV120" s="231"/>
      <c r="OOW120" s="231"/>
      <c r="OOX120" s="231"/>
      <c r="OOY120" s="231"/>
      <c r="OOZ120" s="231"/>
      <c r="OPA120" s="231"/>
      <c r="OPB120" s="231"/>
      <c r="OPC120" s="231"/>
      <c r="OPD120" s="231"/>
      <c r="OPE120" s="231"/>
      <c r="OPF120" s="231"/>
      <c r="OPG120" s="231"/>
      <c r="OPH120" s="231"/>
      <c r="OPI120" s="231"/>
      <c r="OPJ120" s="231"/>
      <c r="OPK120" s="231"/>
      <c r="OPL120" s="231"/>
      <c r="OPM120" s="231"/>
      <c r="OPN120" s="231"/>
      <c r="OPO120" s="231"/>
      <c r="OPP120" s="231"/>
      <c r="OPQ120" s="231"/>
      <c r="OPR120" s="231"/>
      <c r="OPS120" s="231"/>
      <c r="OPT120" s="231"/>
      <c r="OPU120" s="231"/>
      <c r="OPV120" s="231"/>
      <c r="OPW120" s="231"/>
      <c r="OPX120" s="231"/>
      <c r="OPY120" s="231"/>
      <c r="OPZ120" s="231"/>
      <c r="OQA120" s="231"/>
      <c r="OQB120" s="231"/>
      <c r="OQC120" s="231"/>
      <c r="OQD120" s="231"/>
      <c r="OQE120" s="231"/>
      <c r="OQF120" s="231"/>
      <c r="OQG120" s="231"/>
      <c r="OQH120" s="231"/>
      <c r="OQI120" s="231"/>
      <c r="OQJ120" s="231"/>
      <c r="OQK120" s="231"/>
      <c r="OQL120" s="231"/>
      <c r="OQM120" s="231"/>
      <c r="OQN120" s="231"/>
      <c r="OQO120" s="231"/>
      <c r="OQP120" s="231"/>
      <c r="OQQ120" s="231"/>
      <c r="OQR120" s="231"/>
      <c r="OQS120" s="231"/>
      <c r="OQT120" s="231"/>
      <c r="OQU120" s="231"/>
      <c r="OQV120" s="231"/>
      <c r="OQW120" s="231"/>
      <c r="OQX120" s="231"/>
      <c r="OQY120" s="231"/>
      <c r="OQZ120" s="231"/>
      <c r="ORA120" s="231"/>
      <c r="ORB120" s="231"/>
      <c r="ORC120" s="231"/>
      <c r="ORD120" s="231"/>
      <c r="ORE120" s="231"/>
      <c r="ORF120" s="231"/>
      <c r="ORG120" s="231"/>
      <c r="ORH120" s="231"/>
      <c r="ORI120" s="231"/>
      <c r="ORJ120" s="231"/>
      <c r="ORK120" s="231"/>
      <c r="ORL120" s="231"/>
      <c r="ORM120" s="231"/>
      <c r="ORN120" s="231"/>
      <c r="ORO120" s="231"/>
      <c r="ORP120" s="231"/>
      <c r="ORQ120" s="231"/>
      <c r="ORR120" s="231"/>
      <c r="ORS120" s="231"/>
      <c r="ORT120" s="231"/>
      <c r="ORU120" s="231"/>
      <c r="ORV120" s="231"/>
      <c r="ORW120" s="231"/>
      <c r="ORX120" s="231"/>
      <c r="ORY120" s="231"/>
      <c r="ORZ120" s="231"/>
      <c r="OSA120" s="231"/>
      <c r="OSB120" s="231"/>
      <c r="OSC120" s="231"/>
      <c r="OSD120" s="231"/>
      <c r="OSE120" s="231"/>
      <c r="OSF120" s="231"/>
      <c r="OSG120" s="231"/>
      <c r="OSH120" s="231"/>
      <c r="OSI120" s="231"/>
      <c r="OSJ120" s="231"/>
      <c r="OSK120" s="231"/>
      <c r="OSL120" s="231"/>
      <c r="OSM120" s="231"/>
      <c r="OSN120" s="231"/>
      <c r="OSO120" s="231"/>
      <c r="OSP120" s="231"/>
      <c r="OSQ120" s="231"/>
      <c r="OSR120" s="231"/>
      <c r="OSS120" s="231"/>
      <c r="OST120" s="231"/>
      <c r="OSU120" s="231"/>
      <c r="OSV120" s="231"/>
      <c r="OSW120" s="231"/>
      <c r="OSX120" s="231"/>
      <c r="OSY120" s="231"/>
      <c r="OSZ120" s="231"/>
      <c r="OTA120" s="231"/>
      <c r="OTB120" s="231"/>
      <c r="OTC120" s="231"/>
      <c r="OTD120" s="231"/>
      <c r="OTE120" s="231"/>
      <c r="OTF120" s="231"/>
      <c r="OTG120" s="231"/>
      <c r="OTH120" s="231"/>
      <c r="OTI120" s="231"/>
      <c r="OTJ120" s="231"/>
      <c r="OTK120" s="231"/>
      <c r="OTL120" s="231"/>
      <c r="OTM120" s="231"/>
      <c r="OTN120" s="231"/>
      <c r="OTO120" s="231"/>
      <c r="OTP120" s="231"/>
      <c r="OTQ120" s="231"/>
      <c r="OTR120" s="231"/>
      <c r="OTS120" s="231"/>
      <c r="OTT120" s="231"/>
      <c r="OTU120" s="231"/>
      <c r="OTV120" s="231"/>
      <c r="OTW120" s="231"/>
      <c r="OTX120" s="231"/>
      <c r="OTY120" s="231"/>
      <c r="OTZ120" s="231"/>
      <c r="OUA120" s="231"/>
      <c r="OUB120" s="231"/>
      <c r="OUC120" s="231"/>
      <c r="OUD120" s="231"/>
      <c r="OUE120" s="231"/>
      <c r="OUF120" s="231"/>
      <c r="OUG120" s="231"/>
      <c r="OUH120" s="231"/>
      <c r="OUI120" s="231"/>
      <c r="OUJ120" s="231"/>
      <c r="OUK120" s="231"/>
      <c r="OUL120" s="231"/>
      <c r="OUM120" s="231"/>
      <c r="OUN120" s="231"/>
      <c r="OUO120" s="231"/>
      <c r="OUP120" s="231"/>
      <c r="OUQ120" s="231"/>
      <c r="OUR120" s="231"/>
      <c r="OUS120" s="231"/>
      <c r="OUT120" s="231"/>
      <c r="OUU120" s="231"/>
      <c r="OUV120" s="231"/>
      <c r="OUW120" s="231"/>
      <c r="OUX120" s="231"/>
      <c r="OUY120" s="231"/>
      <c r="OUZ120" s="231"/>
      <c r="OVA120" s="231"/>
      <c r="OVB120" s="231"/>
      <c r="OVC120" s="231"/>
      <c r="OVD120" s="231"/>
      <c r="OVE120" s="231"/>
      <c r="OVF120" s="231"/>
      <c r="OVG120" s="231"/>
      <c r="OVH120" s="231"/>
      <c r="OVI120" s="231"/>
      <c r="OVJ120" s="231"/>
      <c r="OVK120" s="231"/>
      <c r="OVL120" s="231"/>
      <c r="OVM120" s="231"/>
      <c r="OVN120" s="231"/>
      <c r="OVO120" s="231"/>
      <c r="OVP120" s="231"/>
      <c r="OVQ120" s="231"/>
      <c r="OVR120" s="231"/>
      <c r="OVS120" s="231"/>
      <c r="OVT120" s="231"/>
      <c r="OVU120" s="231"/>
      <c r="OVV120" s="231"/>
      <c r="OVW120" s="231"/>
      <c r="OVX120" s="231"/>
      <c r="OVY120" s="231"/>
      <c r="OVZ120" s="231"/>
      <c r="OWA120" s="231"/>
      <c r="OWB120" s="231"/>
      <c r="OWC120" s="231"/>
      <c r="OWD120" s="231"/>
      <c r="OWE120" s="231"/>
      <c r="OWF120" s="231"/>
      <c r="OWG120" s="231"/>
      <c r="OWH120" s="231"/>
      <c r="OWI120" s="231"/>
      <c r="OWJ120" s="231"/>
      <c r="OWK120" s="231"/>
      <c r="OWL120" s="231"/>
      <c r="OWM120" s="231"/>
      <c r="OWN120" s="231"/>
      <c r="OWO120" s="231"/>
      <c r="OWP120" s="231"/>
      <c r="OWQ120" s="231"/>
      <c r="OWR120" s="231"/>
      <c r="OWS120" s="231"/>
      <c r="OWT120" s="231"/>
      <c r="OWU120" s="231"/>
      <c r="OWV120" s="231"/>
      <c r="OWW120" s="231"/>
      <c r="OWX120" s="231"/>
      <c r="OWY120" s="231"/>
      <c r="OWZ120" s="231"/>
      <c r="OXA120" s="231"/>
      <c r="OXB120" s="231"/>
      <c r="OXC120" s="231"/>
      <c r="OXD120" s="231"/>
      <c r="OXE120" s="231"/>
      <c r="OXF120" s="231"/>
      <c r="OXG120" s="231"/>
      <c r="OXH120" s="231"/>
      <c r="OXI120" s="231"/>
      <c r="OXJ120" s="231"/>
      <c r="OXK120" s="231"/>
      <c r="OXL120" s="231"/>
      <c r="OXM120" s="231"/>
      <c r="OXN120" s="231"/>
      <c r="OXO120" s="231"/>
      <c r="OXP120" s="231"/>
      <c r="OXQ120" s="231"/>
      <c r="OXR120" s="231"/>
      <c r="OXS120" s="231"/>
      <c r="OXT120" s="231"/>
      <c r="OXU120" s="231"/>
      <c r="OXV120" s="231"/>
      <c r="OXW120" s="231"/>
      <c r="OXX120" s="231"/>
      <c r="OXY120" s="231"/>
      <c r="OXZ120" s="231"/>
      <c r="OYA120" s="231"/>
      <c r="OYB120" s="231"/>
      <c r="OYC120" s="231"/>
      <c r="OYD120" s="231"/>
      <c r="OYE120" s="231"/>
      <c r="OYF120" s="231"/>
      <c r="OYG120" s="231"/>
      <c r="OYH120" s="231"/>
      <c r="OYI120" s="231"/>
      <c r="OYJ120" s="231"/>
      <c r="OYK120" s="231"/>
      <c r="OYL120" s="231"/>
      <c r="OYM120" s="231"/>
      <c r="OYN120" s="231"/>
      <c r="OYO120" s="231"/>
      <c r="OYP120" s="231"/>
      <c r="OYQ120" s="231"/>
      <c r="OYR120" s="231"/>
      <c r="OYS120" s="231"/>
      <c r="OYT120" s="231"/>
      <c r="OYU120" s="231"/>
      <c r="OYV120" s="231"/>
      <c r="OYW120" s="231"/>
      <c r="OYX120" s="231"/>
      <c r="OYY120" s="231"/>
      <c r="OYZ120" s="231"/>
      <c r="OZA120" s="231"/>
      <c r="OZB120" s="231"/>
      <c r="OZC120" s="231"/>
      <c r="OZD120" s="231"/>
      <c r="OZE120" s="231"/>
      <c r="OZF120" s="231"/>
      <c r="OZG120" s="231"/>
      <c r="OZH120" s="231"/>
      <c r="OZI120" s="231"/>
      <c r="OZJ120" s="231"/>
      <c r="OZK120" s="231"/>
      <c r="OZL120" s="231"/>
      <c r="OZM120" s="231"/>
      <c r="OZN120" s="231"/>
      <c r="OZO120" s="231"/>
      <c r="OZP120" s="231"/>
      <c r="OZQ120" s="231"/>
      <c r="OZR120" s="231"/>
      <c r="OZS120" s="231"/>
      <c r="OZT120" s="231"/>
      <c r="OZU120" s="231"/>
      <c r="OZV120" s="231"/>
      <c r="OZW120" s="231"/>
      <c r="OZX120" s="231"/>
      <c r="OZY120" s="231"/>
      <c r="OZZ120" s="231"/>
      <c r="PAA120" s="231"/>
      <c r="PAB120" s="231"/>
      <c r="PAC120" s="231"/>
      <c r="PAD120" s="231"/>
      <c r="PAE120" s="231"/>
      <c r="PAF120" s="231"/>
      <c r="PAG120" s="231"/>
      <c r="PAH120" s="231"/>
      <c r="PAI120" s="231"/>
      <c r="PAJ120" s="231"/>
      <c r="PAK120" s="231"/>
      <c r="PAL120" s="231"/>
      <c r="PAM120" s="231"/>
      <c r="PAN120" s="231"/>
      <c r="PAO120" s="231"/>
      <c r="PAP120" s="231"/>
      <c r="PAQ120" s="231"/>
      <c r="PAR120" s="231"/>
      <c r="PAS120" s="231"/>
      <c r="PAT120" s="231"/>
      <c r="PAU120" s="231"/>
      <c r="PAV120" s="231"/>
      <c r="PAW120" s="231"/>
      <c r="PAX120" s="231"/>
      <c r="PAY120" s="231"/>
      <c r="PAZ120" s="231"/>
      <c r="PBA120" s="231"/>
      <c r="PBB120" s="231"/>
      <c r="PBC120" s="231"/>
      <c r="PBD120" s="231"/>
      <c r="PBE120" s="231"/>
      <c r="PBF120" s="231"/>
      <c r="PBG120" s="231"/>
      <c r="PBH120" s="231"/>
      <c r="PBI120" s="231"/>
      <c r="PBJ120" s="231"/>
      <c r="PBK120" s="231"/>
      <c r="PBL120" s="231"/>
      <c r="PBM120" s="231"/>
      <c r="PBN120" s="231"/>
      <c r="PBO120" s="231"/>
      <c r="PBP120" s="231"/>
      <c r="PBQ120" s="231"/>
      <c r="PBR120" s="231"/>
      <c r="PBS120" s="231"/>
      <c r="PBT120" s="231"/>
      <c r="PBU120" s="231"/>
      <c r="PBV120" s="231"/>
      <c r="PBW120" s="231"/>
      <c r="PBX120" s="231"/>
      <c r="PBY120" s="231"/>
      <c r="PBZ120" s="231"/>
      <c r="PCA120" s="231"/>
      <c r="PCB120" s="231"/>
      <c r="PCC120" s="231"/>
      <c r="PCD120" s="231"/>
      <c r="PCE120" s="231"/>
      <c r="PCF120" s="231"/>
      <c r="PCG120" s="231"/>
      <c r="PCH120" s="231"/>
      <c r="PCI120" s="231"/>
      <c r="PCJ120" s="231"/>
      <c r="PCK120" s="231"/>
      <c r="PCL120" s="231"/>
      <c r="PCM120" s="231"/>
      <c r="PCN120" s="231"/>
      <c r="PCO120" s="231"/>
      <c r="PCP120" s="231"/>
      <c r="PCQ120" s="231"/>
      <c r="PCR120" s="231"/>
      <c r="PCS120" s="231"/>
      <c r="PCT120" s="231"/>
      <c r="PCU120" s="231"/>
      <c r="PCV120" s="231"/>
      <c r="PCW120" s="231"/>
      <c r="PCX120" s="231"/>
      <c r="PCY120" s="231"/>
      <c r="PCZ120" s="231"/>
      <c r="PDA120" s="231"/>
      <c r="PDB120" s="231"/>
      <c r="PDC120" s="231"/>
      <c r="PDD120" s="231"/>
      <c r="PDE120" s="231"/>
      <c r="PDF120" s="231"/>
      <c r="PDG120" s="231"/>
      <c r="PDH120" s="231"/>
      <c r="PDI120" s="231"/>
      <c r="PDJ120" s="231"/>
      <c r="PDK120" s="231"/>
      <c r="PDL120" s="231"/>
      <c r="PDM120" s="231"/>
      <c r="PDN120" s="231"/>
      <c r="PDO120" s="231"/>
      <c r="PDP120" s="231"/>
      <c r="PDQ120" s="231"/>
      <c r="PDR120" s="231"/>
      <c r="PDS120" s="231"/>
      <c r="PDT120" s="231"/>
      <c r="PDU120" s="231"/>
      <c r="PDV120" s="231"/>
      <c r="PDW120" s="231"/>
      <c r="PDX120" s="231"/>
      <c r="PDY120" s="231"/>
      <c r="PDZ120" s="231"/>
      <c r="PEA120" s="231"/>
      <c r="PEB120" s="231"/>
      <c r="PEC120" s="231"/>
      <c r="PED120" s="231"/>
      <c r="PEE120" s="231"/>
      <c r="PEF120" s="231"/>
      <c r="PEG120" s="231"/>
      <c r="PEH120" s="231"/>
      <c r="PEI120" s="231"/>
      <c r="PEJ120" s="231"/>
      <c r="PEK120" s="231"/>
      <c r="PEL120" s="231"/>
      <c r="PEM120" s="231"/>
      <c r="PEN120" s="231"/>
      <c r="PEO120" s="231"/>
      <c r="PEP120" s="231"/>
      <c r="PEQ120" s="231"/>
      <c r="PER120" s="231"/>
      <c r="PES120" s="231"/>
      <c r="PET120" s="231"/>
      <c r="PEU120" s="231"/>
      <c r="PEV120" s="231"/>
      <c r="PEW120" s="231"/>
      <c r="PEX120" s="231"/>
      <c r="PEY120" s="231"/>
      <c r="PEZ120" s="231"/>
      <c r="PFA120" s="231"/>
      <c r="PFB120" s="231"/>
      <c r="PFC120" s="231"/>
      <c r="PFD120" s="231"/>
      <c r="PFE120" s="231"/>
      <c r="PFF120" s="231"/>
      <c r="PFG120" s="231"/>
      <c r="PFH120" s="231"/>
      <c r="PFI120" s="231"/>
      <c r="PFJ120" s="231"/>
      <c r="PFK120" s="231"/>
      <c r="PFL120" s="231"/>
      <c r="PFM120" s="231"/>
      <c r="PFN120" s="231"/>
      <c r="PFO120" s="231"/>
      <c r="PFP120" s="231"/>
      <c r="PFQ120" s="231"/>
      <c r="PFR120" s="231"/>
      <c r="PFS120" s="231"/>
      <c r="PFT120" s="231"/>
      <c r="PFU120" s="231"/>
      <c r="PFV120" s="231"/>
      <c r="PFW120" s="231"/>
      <c r="PFX120" s="231"/>
      <c r="PFY120" s="231"/>
      <c r="PFZ120" s="231"/>
      <c r="PGA120" s="231"/>
      <c r="PGB120" s="231"/>
      <c r="PGC120" s="231"/>
      <c r="PGD120" s="231"/>
      <c r="PGE120" s="231"/>
      <c r="PGF120" s="231"/>
      <c r="PGG120" s="231"/>
      <c r="PGH120" s="231"/>
      <c r="PGI120" s="231"/>
      <c r="PGJ120" s="231"/>
      <c r="PGK120" s="231"/>
      <c r="PGL120" s="231"/>
      <c r="PGM120" s="231"/>
      <c r="PGN120" s="231"/>
      <c r="PGO120" s="231"/>
      <c r="PGP120" s="231"/>
      <c r="PGQ120" s="231"/>
      <c r="PGR120" s="231"/>
      <c r="PGS120" s="231"/>
      <c r="PGT120" s="231"/>
      <c r="PGU120" s="231"/>
      <c r="PGV120" s="231"/>
      <c r="PGW120" s="231"/>
      <c r="PGX120" s="231"/>
      <c r="PGY120" s="231"/>
      <c r="PGZ120" s="231"/>
      <c r="PHA120" s="231"/>
      <c r="PHB120" s="231"/>
      <c r="PHC120" s="231"/>
      <c r="PHD120" s="231"/>
      <c r="PHE120" s="231"/>
      <c r="PHF120" s="231"/>
      <c r="PHG120" s="231"/>
      <c r="PHH120" s="231"/>
      <c r="PHI120" s="231"/>
      <c r="PHJ120" s="231"/>
      <c r="PHK120" s="231"/>
      <c r="PHL120" s="231"/>
      <c r="PHM120" s="231"/>
      <c r="PHN120" s="231"/>
      <c r="PHO120" s="231"/>
      <c r="PHP120" s="231"/>
      <c r="PHQ120" s="231"/>
      <c r="PHR120" s="231"/>
      <c r="PHS120" s="231"/>
      <c r="PHT120" s="231"/>
      <c r="PHU120" s="231"/>
      <c r="PHV120" s="231"/>
      <c r="PHW120" s="231"/>
      <c r="PHX120" s="231"/>
      <c r="PHY120" s="231"/>
      <c r="PHZ120" s="231"/>
      <c r="PIA120" s="231"/>
      <c r="PIB120" s="231"/>
      <c r="PIC120" s="231"/>
      <c r="PID120" s="231"/>
      <c r="PIE120" s="231"/>
      <c r="PIF120" s="231"/>
      <c r="PIG120" s="231"/>
      <c r="PIH120" s="231"/>
      <c r="PII120" s="231"/>
      <c r="PIJ120" s="231"/>
      <c r="PIK120" s="231"/>
      <c r="PIL120" s="231"/>
      <c r="PIM120" s="231"/>
      <c r="PIN120" s="231"/>
      <c r="PIO120" s="231"/>
      <c r="PIP120" s="231"/>
      <c r="PIQ120" s="231"/>
      <c r="PIR120" s="231"/>
      <c r="PIS120" s="231"/>
      <c r="PIT120" s="231"/>
      <c r="PIU120" s="231"/>
      <c r="PIV120" s="231"/>
      <c r="PIW120" s="231"/>
      <c r="PIX120" s="231"/>
      <c r="PIY120" s="231"/>
      <c r="PIZ120" s="231"/>
      <c r="PJA120" s="231"/>
      <c r="PJB120" s="231"/>
      <c r="PJC120" s="231"/>
      <c r="PJD120" s="231"/>
      <c r="PJE120" s="231"/>
      <c r="PJF120" s="231"/>
      <c r="PJG120" s="231"/>
      <c r="PJH120" s="231"/>
      <c r="PJI120" s="231"/>
      <c r="PJJ120" s="231"/>
      <c r="PJK120" s="231"/>
      <c r="PJL120" s="231"/>
      <c r="PJM120" s="231"/>
      <c r="PJN120" s="231"/>
      <c r="PJO120" s="231"/>
      <c r="PJP120" s="231"/>
      <c r="PJQ120" s="231"/>
      <c r="PJR120" s="231"/>
      <c r="PJS120" s="231"/>
      <c r="PJT120" s="231"/>
      <c r="PJU120" s="231"/>
      <c r="PJV120" s="231"/>
      <c r="PJW120" s="231"/>
      <c r="PJX120" s="231"/>
      <c r="PJY120" s="231"/>
      <c r="PJZ120" s="231"/>
      <c r="PKA120" s="231"/>
      <c r="PKB120" s="231"/>
      <c r="PKC120" s="231"/>
      <c r="PKD120" s="231"/>
      <c r="PKE120" s="231"/>
      <c r="PKF120" s="231"/>
      <c r="PKG120" s="231"/>
      <c r="PKH120" s="231"/>
      <c r="PKI120" s="231"/>
      <c r="PKJ120" s="231"/>
      <c r="PKK120" s="231"/>
      <c r="PKL120" s="231"/>
      <c r="PKM120" s="231"/>
      <c r="PKN120" s="231"/>
      <c r="PKO120" s="231"/>
      <c r="PKP120" s="231"/>
      <c r="PKQ120" s="231"/>
      <c r="PKR120" s="231"/>
      <c r="PKS120" s="231"/>
      <c r="PKT120" s="231"/>
      <c r="PKU120" s="231"/>
      <c r="PKV120" s="231"/>
      <c r="PKW120" s="231"/>
      <c r="PKX120" s="231"/>
      <c r="PKY120" s="231"/>
      <c r="PKZ120" s="231"/>
      <c r="PLA120" s="231"/>
      <c r="PLB120" s="231"/>
      <c r="PLC120" s="231"/>
      <c r="PLD120" s="231"/>
      <c r="PLE120" s="231"/>
      <c r="PLF120" s="231"/>
      <c r="PLG120" s="231"/>
      <c r="PLH120" s="231"/>
      <c r="PLI120" s="231"/>
      <c r="PLJ120" s="231"/>
      <c r="PLK120" s="231"/>
      <c r="PLL120" s="231"/>
      <c r="PLM120" s="231"/>
      <c r="PLN120" s="231"/>
      <c r="PLO120" s="231"/>
      <c r="PLP120" s="231"/>
      <c r="PLQ120" s="231"/>
      <c r="PLR120" s="231"/>
      <c r="PLS120" s="231"/>
      <c r="PLT120" s="231"/>
      <c r="PLU120" s="231"/>
      <c r="PLV120" s="231"/>
      <c r="PLW120" s="231"/>
      <c r="PLX120" s="231"/>
      <c r="PLY120" s="231"/>
      <c r="PLZ120" s="231"/>
      <c r="PMA120" s="231"/>
      <c r="PMB120" s="231"/>
      <c r="PMC120" s="231"/>
      <c r="PMD120" s="231"/>
      <c r="PME120" s="231"/>
      <c r="PMF120" s="231"/>
      <c r="PMG120" s="231"/>
      <c r="PMH120" s="231"/>
      <c r="PMI120" s="231"/>
      <c r="PMJ120" s="231"/>
      <c r="PMK120" s="231"/>
      <c r="PML120" s="231"/>
      <c r="PMM120" s="231"/>
      <c r="PMN120" s="231"/>
      <c r="PMO120" s="231"/>
      <c r="PMP120" s="231"/>
      <c r="PMQ120" s="231"/>
      <c r="PMR120" s="231"/>
      <c r="PMS120" s="231"/>
      <c r="PMT120" s="231"/>
      <c r="PMU120" s="231"/>
      <c r="PMV120" s="231"/>
      <c r="PMW120" s="231"/>
      <c r="PMX120" s="231"/>
      <c r="PMY120" s="231"/>
      <c r="PMZ120" s="231"/>
      <c r="PNA120" s="231"/>
      <c r="PNB120" s="231"/>
      <c r="PNC120" s="231"/>
      <c r="PND120" s="231"/>
      <c r="PNE120" s="231"/>
      <c r="PNF120" s="231"/>
      <c r="PNG120" s="231"/>
      <c r="PNH120" s="231"/>
      <c r="PNI120" s="231"/>
      <c r="PNJ120" s="231"/>
      <c r="PNK120" s="231"/>
      <c r="PNL120" s="231"/>
      <c r="PNM120" s="231"/>
      <c r="PNN120" s="231"/>
      <c r="PNO120" s="231"/>
      <c r="PNP120" s="231"/>
      <c r="PNQ120" s="231"/>
      <c r="PNR120" s="231"/>
      <c r="PNS120" s="231"/>
      <c r="PNT120" s="231"/>
      <c r="PNU120" s="231"/>
      <c r="PNV120" s="231"/>
      <c r="PNW120" s="231"/>
      <c r="PNX120" s="231"/>
      <c r="PNY120" s="231"/>
      <c r="PNZ120" s="231"/>
      <c r="POA120" s="231"/>
      <c r="POB120" s="231"/>
      <c r="POC120" s="231"/>
      <c r="POD120" s="231"/>
      <c r="POE120" s="231"/>
      <c r="POF120" s="231"/>
      <c r="POG120" s="231"/>
      <c r="POH120" s="231"/>
      <c r="POI120" s="231"/>
      <c r="POJ120" s="231"/>
      <c r="POK120" s="231"/>
      <c r="POL120" s="231"/>
      <c r="POM120" s="231"/>
      <c r="PON120" s="231"/>
      <c r="POO120" s="231"/>
      <c r="POP120" s="231"/>
      <c r="POQ120" s="231"/>
      <c r="POR120" s="231"/>
      <c r="POS120" s="231"/>
      <c r="POT120" s="231"/>
      <c r="POU120" s="231"/>
      <c r="POV120" s="231"/>
      <c r="POW120" s="231"/>
      <c r="POX120" s="231"/>
      <c r="POY120" s="231"/>
      <c r="POZ120" s="231"/>
      <c r="PPA120" s="231"/>
      <c r="PPB120" s="231"/>
      <c r="PPC120" s="231"/>
      <c r="PPD120" s="231"/>
      <c r="PPE120" s="231"/>
      <c r="PPF120" s="231"/>
      <c r="PPG120" s="231"/>
      <c r="PPH120" s="231"/>
      <c r="PPI120" s="231"/>
      <c r="PPJ120" s="231"/>
      <c r="PPK120" s="231"/>
      <c r="PPL120" s="231"/>
      <c r="PPM120" s="231"/>
      <c r="PPN120" s="231"/>
      <c r="PPO120" s="231"/>
      <c r="PPP120" s="231"/>
      <c r="PPQ120" s="231"/>
      <c r="PPR120" s="231"/>
      <c r="PPS120" s="231"/>
      <c r="PPT120" s="231"/>
      <c r="PPU120" s="231"/>
      <c r="PPV120" s="231"/>
      <c r="PPW120" s="231"/>
      <c r="PPX120" s="231"/>
      <c r="PPY120" s="231"/>
      <c r="PPZ120" s="231"/>
      <c r="PQA120" s="231"/>
      <c r="PQB120" s="231"/>
      <c r="PQC120" s="231"/>
      <c r="PQD120" s="231"/>
      <c r="PQE120" s="231"/>
      <c r="PQF120" s="231"/>
      <c r="PQG120" s="231"/>
      <c r="PQH120" s="231"/>
      <c r="PQI120" s="231"/>
      <c r="PQJ120" s="231"/>
      <c r="PQK120" s="231"/>
      <c r="PQL120" s="231"/>
      <c r="PQM120" s="231"/>
      <c r="PQN120" s="231"/>
      <c r="PQO120" s="231"/>
      <c r="PQP120" s="231"/>
      <c r="PQQ120" s="231"/>
      <c r="PQR120" s="231"/>
      <c r="PQS120" s="231"/>
      <c r="PQT120" s="231"/>
      <c r="PQU120" s="231"/>
      <c r="PQV120" s="231"/>
      <c r="PQW120" s="231"/>
      <c r="PQX120" s="231"/>
      <c r="PQY120" s="231"/>
      <c r="PQZ120" s="231"/>
      <c r="PRA120" s="231"/>
      <c r="PRB120" s="231"/>
      <c r="PRC120" s="231"/>
      <c r="PRD120" s="231"/>
      <c r="PRE120" s="231"/>
      <c r="PRF120" s="231"/>
      <c r="PRG120" s="231"/>
      <c r="PRH120" s="231"/>
      <c r="PRI120" s="231"/>
      <c r="PRJ120" s="231"/>
      <c r="PRK120" s="231"/>
      <c r="PRL120" s="231"/>
      <c r="PRM120" s="231"/>
      <c r="PRN120" s="231"/>
      <c r="PRO120" s="231"/>
      <c r="PRP120" s="231"/>
      <c r="PRQ120" s="231"/>
      <c r="PRR120" s="231"/>
      <c r="PRS120" s="231"/>
      <c r="PRT120" s="231"/>
      <c r="PRU120" s="231"/>
      <c r="PRV120" s="231"/>
      <c r="PRW120" s="231"/>
      <c r="PRX120" s="231"/>
      <c r="PRY120" s="231"/>
      <c r="PRZ120" s="231"/>
      <c r="PSA120" s="231"/>
      <c r="PSB120" s="231"/>
      <c r="PSC120" s="231"/>
      <c r="PSD120" s="231"/>
      <c r="PSE120" s="231"/>
      <c r="PSF120" s="231"/>
      <c r="PSG120" s="231"/>
      <c r="PSH120" s="231"/>
      <c r="PSI120" s="231"/>
      <c r="PSJ120" s="231"/>
      <c r="PSK120" s="231"/>
      <c r="PSL120" s="231"/>
      <c r="PSM120" s="231"/>
      <c r="PSN120" s="231"/>
      <c r="PSO120" s="231"/>
      <c r="PSP120" s="231"/>
      <c r="PSQ120" s="231"/>
      <c r="PSR120" s="231"/>
      <c r="PSS120" s="231"/>
      <c r="PST120" s="231"/>
      <c r="PSU120" s="231"/>
      <c r="PSV120" s="231"/>
      <c r="PSW120" s="231"/>
      <c r="PSX120" s="231"/>
      <c r="PSY120" s="231"/>
      <c r="PSZ120" s="231"/>
      <c r="PTA120" s="231"/>
      <c r="PTB120" s="231"/>
      <c r="PTC120" s="231"/>
      <c r="PTD120" s="231"/>
      <c r="PTE120" s="231"/>
      <c r="PTF120" s="231"/>
      <c r="PTG120" s="231"/>
      <c r="PTH120" s="231"/>
      <c r="PTI120" s="231"/>
      <c r="PTJ120" s="231"/>
      <c r="PTK120" s="231"/>
      <c r="PTL120" s="231"/>
      <c r="PTM120" s="231"/>
      <c r="PTN120" s="231"/>
      <c r="PTO120" s="231"/>
      <c r="PTP120" s="231"/>
      <c r="PTQ120" s="231"/>
      <c r="PTR120" s="231"/>
      <c r="PTS120" s="231"/>
      <c r="PTT120" s="231"/>
      <c r="PTU120" s="231"/>
      <c r="PTV120" s="231"/>
      <c r="PTW120" s="231"/>
      <c r="PTX120" s="231"/>
      <c r="PTY120" s="231"/>
      <c r="PTZ120" s="231"/>
      <c r="PUA120" s="231"/>
      <c r="PUB120" s="231"/>
      <c r="PUC120" s="231"/>
      <c r="PUD120" s="231"/>
      <c r="PUE120" s="231"/>
      <c r="PUF120" s="231"/>
      <c r="PUG120" s="231"/>
      <c r="PUH120" s="231"/>
      <c r="PUI120" s="231"/>
      <c r="PUJ120" s="231"/>
      <c r="PUK120" s="231"/>
      <c r="PUL120" s="231"/>
      <c r="PUM120" s="231"/>
      <c r="PUN120" s="231"/>
      <c r="PUO120" s="231"/>
      <c r="PUP120" s="231"/>
      <c r="PUQ120" s="231"/>
      <c r="PUR120" s="231"/>
      <c r="PUS120" s="231"/>
      <c r="PUT120" s="231"/>
      <c r="PUU120" s="231"/>
      <c r="PUV120" s="231"/>
      <c r="PUW120" s="231"/>
      <c r="PUX120" s="231"/>
      <c r="PUY120" s="231"/>
      <c r="PUZ120" s="231"/>
      <c r="PVA120" s="231"/>
      <c r="PVB120" s="231"/>
      <c r="PVC120" s="231"/>
      <c r="PVD120" s="231"/>
      <c r="PVE120" s="231"/>
      <c r="PVF120" s="231"/>
      <c r="PVG120" s="231"/>
      <c r="PVH120" s="231"/>
      <c r="PVI120" s="231"/>
      <c r="PVJ120" s="231"/>
      <c r="PVK120" s="231"/>
      <c r="PVL120" s="231"/>
      <c r="PVM120" s="231"/>
      <c r="PVN120" s="231"/>
      <c r="PVO120" s="231"/>
      <c r="PVP120" s="231"/>
      <c r="PVQ120" s="231"/>
      <c r="PVR120" s="231"/>
      <c r="PVS120" s="231"/>
      <c r="PVT120" s="231"/>
      <c r="PVU120" s="231"/>
      <c r="PVV120" s="231"/>
      <c r="PVW120" s="231"/>
      <c r="PVX120" s="231"/>
      <c r="PVY120" s="231"/>
      <c r="PVZ120" s="231"/>
      <c r="PWA120" s="231"/>
      <c r="PWB120" s="231"/>
      <c r="PWC120" s="231"/>
      <c r="PWD120" s="231"/>
      <c r="PWE120" s="231"/>
      <c r="PWF120" s="231"/>
      <c r="PWG120" s="231"/>
      <c r="PWH120" s="231"/>
      <c r="PWI120" s="231"/>
      <c r="PWJ120" s="231"/>
      <c r="PWK120" s="231"/>
      <c r="PWL120" s="231"/>
      <c r="PWM120" s="231"/>
      <c r="PWN120" s="231"/>
      <c r="PWO120" s="231"/>
      <c r="PWP120" s="231"/>
      <c r="PWQ120" s="231"/>
      <c r="PWR120" s="231"/>
      <c r="PWS120" s="231"/>
      <c r="PWT120" s="231"/>
      <c r="PWU120" s="231"/>
      <c r="PWV120" s="231"/>
      <c r="PWW120" s="231"/>
      <c r="PWX120" s="231"/>
      <c r="PWY120" s="231"/>
      <c r="PWZ120" s="231"/>
      <c r="PXA120" s="231"/>
      <c r="PXB120" s="231"/>
      <c r="PXC120" s="231"/>
      <c r="PXD120" s="231"/>
      <c r="PXE120" s="231"/>
      <c r="PXF120" s="231"/>
      <c r="PXG120" s="231"/>
      <c r="PXH120" s="231"/>
      <c r="PXI120" s="231"/>
      <c r="PXJ120" s="231"/>
      <c r="PXK120" s="231"/>
      <c r="PXL120" s="231"/>
      <c r="PXM120" s="231"/>
      <c r="PXN120" s="231"/>
      <c r="PXO120" s="231"/>
      <c r="PXP120" s="231"/>
      <c r="PXQ120" s="231"/>
      <c r="PXR120" s="231"/>
      <c r="PXS120" s="231"/>
      <c r="PXT120" s="231"/>
      <c r="PXU120" s="231"/>
      <c r="PXV120" s="231"/>
      <c r="PXW120" s="231"/>
      <c r="PXX120" s="231"/>
      <c r="PXY120" s="231"/>
      <c r="PXZ120" s="231"/>
      <c r="PYA120" s="231"/>
      <c r="PYB120" s="231"/>
      <c r="PYC120" s="231"/>
      <c r="PYD120" s="231"/>
      <c r="PYE120" s="231"/>
      <c r="PYF120" s="231"/>
      <c r="PYG120" s="231"/>
      <c r="PYH120" s="231"/>
      <c r="PYI120" s="231"/>
      <c r="PYJ120" s="231"/>
      <c r="PYK120" s="231"/>
      <c r="PYL120" s="231"/>
      <c r="PYM120" s="231"/>
      <c r="PYN120" s="231"/>
      <c r="PYO120" s="231"/>
      <c r="PYP120" s="231"/>
      <c r="PYQ120" s="231"/>
      <c r="PYR120" s="231"/>
      <c r="PYS120" s="231"/>
      <c r="PYT120" s="231"/>
      <c r="PYU120" s="231"/>
      <c r="PYV120" s="231"/>
      <c r="PYW120" s="231"/>
      <c r="PYX120" s="231"/>
      <c r="PYY120" s="231"/>
      <c r="PYZ120" s="231"/>
      <c r="PZA120" s="231"/>
      <c r="PZB120" s="231"/>
      <c r="PZC120" s="231"/>
      <c r="PZD120" s="231"/>
      <c r="PZE120" s="231"/>
      <c r="PZF120" s="231"/>
      <c r="PZG120" s="231"/>
      <c r="PZH120" s="231"/>
      <c r="PZI120" s="231"/>
      <c r="PZJ120" s="231"/>
      <c r="PZK120" s="231"/>
      <c r="PZL120" s="231"/>
      <c r="PZM120" s="231"/>
      <c r="PZN120" s="231"/>
      <c r="PZO120" s="231"/>
      <c r="PZP120" s="231"/>
      <c r="PZQ120" s="231"/>
      <c r="PZR120" s="231"/>
      <c r="PZS120" s="231"/>
      <c r="PZT120" s="231"/>
      <c r="PZU120" s="231"/>
      <c r="PZV120" s="231"/>
      <c r="PZW120" s="231"/>
      <c r="PZX120" s="231"/>
      <c r="PZY120" s="231"/>
      <c r="PZZ120" s="231"/>
      <c r="QAA120" s="231"/>
      <c r="QAB120" s="231"/>
      <c r="QAC120" s="231"/>
      <c r="QAD120" s="231"/>
      <c r="QAE120" s="231"/>
      <c r="QAF120" s="231"/>
      <c r="QAG120" s="231"/>
      <c r="QAH120" s="231"/>
      <c r="QAI120" s="231"/>
      <c r="QAJ120" s="231"/>
      <c r="QAK120" s="231"/>
      <c r="QAL120" s="231"/>
      <c r="QAM120" s="231"/>
      <c r="QAN120" s="231"/>
      <c r="QAO120" s="231"/>
      <c r="QAP120" s="231"/>
      <c r="QAQ120" s="231"/>
      <c r="QAR120" s="231"/>
      <c r="QAS120" s="231"/>
      <c r="QAT120" s="231"/>
      <c r="QAU120" s="231"/>
      <c r="QAV120" s="231"/>
      <c r="QAW120" s="231"/>
      <c r="QAX120" s="231"/>
      <c r="QAY120" s="231"/>
      <c r="QAZ120" s="231"/>
      <c r="QBA120" s="231"/>
      <c r="QBB120" s="231"/>
      <c r="QBC120" s="231"/>
      <c r="QBD120" s="231"/>
      <c r="QBE120" s="231"/>
      <c r="QBF120" s="231"/>
      <c r="QBG120" s="231"/>
      <c r="QBH120" s="231"/>
      <c r="QBI120" s="231"/>
      <c r="QBJ120" s="231"/>
      <c r="QBK120" s="231"/>
      <c r="QBL120" s="231"/>
      <c r="QBM120" s="231"/>
      <c r="QBN120" s="231"/>
      <c r="QBO120" s="231"/>
      <c r="QBP120" s="231"/>
      <c r="QBQ120" s="231"/>
      <c r="QBR120" s="231"/>
      <c r="QBS120" s="231"/>
      <c r="QBT120" s="231"/>
      <c r="QBU120" s="231"/>
      <c r="QBV120" s="231"/>
      <c r="QBW120" s="231"/>
      <c r="QBX120" s="231"/>
      <c r="QBY120" s="231"/>
      <c r="QBZ120" s="231"/>
      <c r="QCA120" s="231"/>
      <c r="QCB120" s="231"/>
      <c r="QCC120" s="231"/>
      <c r="QCD120" s="231"/>
      <c r="QCE120" s="231"/>
      <c r="QCF120" s="231"/>
      <c r="QCG120" s="231"/>
      <c r="QCH120" s="231"/>
      <c r="QCI120" s="231"/>
      <c r="QCJ120" s="231"/>
      <c r="QCK120" s="231"/>
      <c r="QCL120" s="231"/>
      <c r="QCM120" s="231"/>
      <c r="QCN120" s="231"/>
      <c r="QCO120" s="231"/>
      <c r="QCP120" s="231"/>
      <c r="QCQ120" s="231"/>
      <c r="QCR120" s="231"/>
      <c r="QCS120" s="231"/>
      <c r="QCT120" s="231"/>
      <c r="QCU120" s="231"/>
      <c r="QCV120" s="231"/>
      <c r="QCW120" s="231"/>
      <c r="QCX120" s="231"/>
      <c r="QCY120" s="231"/>
      <c r="QCZ120" s="231"/>
      <c r="QDA120" s="231"/>
      <c r="QDB120" s="231"/>
      <c r="QDC120" s="231"/>
      <c r="QDD120" s="231"/>
      <c r="QDE120" s="231"/>
      <c r="QDF120" s="231"/>
      <c r="QDG120" s="231"/>
      <c r="QDH120" s="231"/>
      <c r="QDI120" s="231"/>
      <c r="QDJ120" s="231"/>
      <c r="QDK120" s="231"/>
      <c r="QDL120" s="231"/>
      <c r="QDM120" s="231"/>
      <c r="QDN120" s="231"/>
      <c r="QDO120" s="231"/>
      <c r="QDP120" s="231"/>
      <c r="QDQ120" s="231"/>
      <c r="QDR120" s="231"/>
      <c r="QDS120" s="231"/>
      <c r="QDT120" s="231"/>
      <c r="QDU120" s="231"/>
      <c r="QDV120" s="231"/>
      <c r="QDW120" s="231"/>
      <c r="QDX120" s="231"/>
      <c r="QDY120" s="231"/>
      <c r="QDZ120" s="231"/>
      <c r="QEA120" s="231"/>
      <c r="QEB120" s="231"/>
      <c r="QEC120" s="231"/>
      <c r="QED120" s="231"/>
      <c r="QEE120" s="231"/>
      <c r="QEF120" s="231"/>
      <c r="QEG120" s="231"/>
      <c r="QEH120" s="231"/>
      <c r="QEI120" s="231"/>
      <c r="QEJ120" s="231"/>
      <c r="QEK120" s="231"/>
      <c r="QEL120" s="231"/>
      <c r="QEM120" s="231"/>
      <c r="QEN120" s="231"/>
      <c r="QEO120" s="231"/>
      <c r="QEP120" s="231"/>
      <c r="QEQ120" s="231"/>
      <c r="QER120" s="231"/>
      <c r="QES120" s="231"/>
      <c r="QET120" s="231"/>
      <c r="QEU120" s="231"/>
      <c r="QEV120" s="231"/>
      <c r="QEW120" s="231"/>
      <c r="QEX120" s="231"/>
      <c r="QEY120" s="231"/>
      <c r="QEZ120" s="231"/>
      <c r="QFA120" s="231"/>
      <c r="QFB120" s="231"/>
      <c r="QFC120" s="231"/>
      <c r="QFD120" s="231"/>
      <c r="QFE120" s="231"/>
      <c r="QFF120" s="231"/>
      <c r="QFG120" s="231"/>
      <c r="QFH120" s="231"/>
      <c r="QFI120" s="231"/>
      <c r="QFJ120" s="231"/>
      <c r="QFK120" s="231"/>
      <c r="QFL120" s="231"/>
      <c r="QFM120" s="231"/>
      <c r="QFN120" s="231"/>
      <c r="QFO120" s="231"/>
      <c r="QFP120" s="231"/>
      <c r="QFQ120" s="231"/>
      <c r="QFR120" s="231"/>
      <c r="QFS120" s="231"/>
      <c r="QFT120" s="231"/>
      <c r="QFU120" s="231"/>
      <c r="QFV120" s="231"/>
      <c r="QFW120" s="231"/>
      <c r="QFX120" s="231"/>
      <c r="QFY120" s="231"/>
      <c r="QFZ120" s="231"/>
      <c r="QGA120" s="231"/>
      <c r="QGB120" s="231"/>
      <c r="QGC120" s="231"/>
      <c r="QGD120" s="231"/>
      <c r="QGE120" s="231"/>
      <c r="QGF120" s="231"/>
      <c r="QGG120" s="231"/>
      <c r="QGH120" s="231"/>
      <c r="QGI120" s="231"/>
      <c r="QGJ120" s="231"/>
      <c r="QGK120" s="231"/>
      <c r="QGL120" s="231"/>
      <c r="QGM120" s="231"/>
      <c r="QGN120" s="231"/>
      <c r="QGO120" s="231"/>
      <c r="QGP120" s="231"/>
      <c r="QGQ120" s="231"/>
      <c r="QGR120" s="231"/>
      <c r="QGS120" s="231"/>
      <c r="QGT120" s="231"/>
      <c r="QGU120" s="231"/>
      <c r="QGV120" s="231"/>
      <c r="QGW120" s="231"/>
      <c r="QGX120" s="231"/>
      <c r="QGY120" s="231"/>
      <c r="QGZ120" s="231"/>
      <c r="QHA120" s="231"/>
      <c r="QHB120" s="231"/>
      <c r="QHC120" s="231"/>
      <c r="QHD120" s="231"/>
      <c r="QHE120" s="231"/>
      <c r="QHF120" s="231"/>
      <c r="QHG120" s="231"/>
      <c r="QHH120" s="231"/>
      <c r="QHI120" s="231"/>
      <c r="QHJ120" s="231"/>
      <c r="QHK120" s="231"/>
      <c r="QHL120" s="231"/>
      <c r="QHM120" s="231"/>
      <c r="QHN120" s="231"/>
      <c r="QHO120" s="231"/>
      <c r="QHP120" s="231"/>
      <c r="QHQ120" s="231"/>
      <c r="QHR120" s="231"/>
      <c r="QHS120" s="231"/>
      <c r="QHT120" s="231"/>
      <c r="QHU120" s="231"/>
      <c r="QHV120" s="231"/>
      <c r="QHW120" s="231"/>
      <c r="QHX120" s="231"/>
      <c r="QHY120" s="231"/>
      <c r="QHZ120" s="231"/>
      <c r="QIA120" s="231"/>
      <c r="QIB120" s="231"/>
      <c r="QIC120" s="231"/>
      <c r="QID120" s="231"/>
      <c r="QIE120" s="231"/>
      <c r="QIF120" s="231"/>
      <c r="QIG120" s="231"/>
      <c r="QIH120" s="231"/>
      <c r="QII120" s="231"/>
      <c r="QIJ120" s="231"/>
      <c r="QIK120" s="231"/>
      <c r="QIL120" s="231"/>
      <c r="QIM120" s="231"/>
      <c r="QIN120" s="231"/>
      <c r="QIO120" s="231"/>
      <c r="QIP120" s="231"/>
      <c r="QIQ120" s="231"/>
      <c r="QIR120" s="231"/>
      <c r="QIS120" s="231"/>
      <c r="QIT120" s="231"/>
      <c r="QIU120" s="231"/>
      <c r="QIV120" s="231"/>
      <c r="QIW120" s="231"/>
      <c r="QIX120" s="231"/>
      <c r="QIY120" s="231"/>
      <c r="QIZ120" s="231"/>
      <c r="QJA120" s="231"/>
      <c r="QJB120" s="231"/>
      <c r="QJC120" s="231"/>
      <c r="QJD120" s="231"/>
      <c r="QJE120" s="231"/>
      <c r="QJF120" s="231"/>
      <c r="QJG120" s="231"/>
      <c r="QJH120" s="231"/>
      <c r="QJI120" s="231"/>
      <c r="QJJ120" s="231"/>
      <c r="QJK120" s="231"/>
      <c r="QJL120" s="231"/>
      <c r="QJM120" s="231"/>
      <c r="QJN120" s="231"/>
      <c r="QJO120" s="231"/>
      <c r="QJP120" s="231"/>
      <c r="QJQ120" s="231"/>
      <c r="QJR120" s="231"/>
      <c r="QJS120" s="231"/>
      <c r="QJT120" s="231"/>
      <c r="QJU120" s="231"/>
      <c r="QJV120" s="231"/>
      <c r="QJW120" s="231"/>
      <c r="QJX120" s="231"/>
      <c r="QJY120" s="231"/>
      <c r="QJZ120" s="231"/>
      <c r="QKA120" s="231"/>
      <c r="QKB120" s="231"/>
      <c r="QKC120" s="231"/>
      <c r="QKD120" s="231"/>
      <c r="QKE120" s="231"/>
      <c r="QKF120" s="231"/>
      <c r="QKG120" s="231"/>
      <c r="QKH120" s="231"/>
      <c r="QKI120" s="231"/>
      <c r="QKJ120" s="231"/>
      <c r="QKK120" s="231"/>
      <c r="QKL120" s="231"/>
      <c r="QKM120" s="231"/>
      <c r="QKN120" s="231"/>
      <c r="QKO120" s="231"/>
      <c r="QKP120" s="231"/>
      <c r="QKQ120" s="231"/>
      <c r="QKR120" s="231"/>
      <c r="QKS120" s="231"/>
      <c r="QKT120" s="231"/>
      <c r="QKU120" s="231"/>
      <c r="QKV120" s="231"/>
      <c r="QKW120" s="231"/>
      <c r="QKX120" s="231"/>
      <c r="QKY120" s="231"/>
      <c r="QKZ120" s="231"/>
      <c r="QLA120" s="231"/>
      <c r="QLB120" s="231"/>
      <c r="QLC120" s="231"/>
      <c r="QLD120" s="231"/>
      <c r="QLE120" s="231"/>
      <c r="QLF120" s="231"/>
      <c r="QLG120" s="231"/>
      <c r="QLH120" s="231"/>
      <c r="QLI120" s="231"/>
      <c r="QLJ120" s="231"/>
      <c r="QLK120" s="231"/>
      <c r="QLL120" s="231"/>
      <c r="QLM120" s="231"/>
      <c r="QLN120" s="231"/>
      <c r="QLO120" s="231"/>
      <c r="QLP120" s="231"/>
      <c r="QLQ120" s="231"/>
      <c r="QLR120" s="231"/>
      <c r="QLS120" s="231"/>
      <c r="QLT120" s="231"/>
      <c r="QLU120" s="231"/>
      <c r="QLV120" s="231"/>
      <c r="QLW120" s="231"/>
      <c r="QLX120" s="231"/>
      <c r="QLY120" s="231"/>
      <c r="QLZ120" s="231"/>
      <c r="QMA120" s="231"/>
      <c r="QMB120" s="231"/>
      <c r="QMC120" s="231"/>
      <c r="QMD120" s="231"/>
      <c r="QME120" s="231"/>
      <c r="QMF120" s="231"/>
      <c r="QMG120" s="231"/>
      <c r="QMH120" s="231"/>
      <c r="QMI120" s="231"/>
      <c r="QMJ120" s="231"/>
      <c r="QMK120" s="231"/>
      <c r="QML120" s="231"/>
      <c r="QMM120" s="231"/>
      <c r="QMN120" s="231"/>
      <c r="QMO120" s="231"/>
      <c r="QMP120" s="231"/>
      <c r="QMQ120" s="231"/>
      <c r="QMR120" s="231"/>
      <c r="QMS120" s="231"/>
      <c r="QMT120" s="231"/>
      <c r="QMU120" s="231"/>
      <c r="QMV120" s="231"/>
      <c r="QMW120" s="231"/>
      <c r="QMX120" s="231"/>
      <c r="QMY120" s="231"/>
      <c r="QMZ120" s="231"/>
      <c r="QNA120" s="231"/>
      <c r="QNB120" s="231"/>
      <c r="QNC120" s="231"/>
      <c r="QND120" s="231"/>
      <c r="QNE120" s="231"/>
      <c r="QNF120" s="231"/>
      <c r="QNG120" s="231"/>
      <c r="QNH120" s="231"/>
      <c r="QNI120" s="231"/>
      <c r="QNJ120" s="231"/>
      <c r="QNK120" s="231"/>
      <c r="QNL120" s="231"/>
      <c r="QNM120" s="231"/>
      <c r="QNN120" s="231"/>
      <c r="QNO120" s="231"/>
      <c r="QNP120" s="231"/>
      <c r="QNQ120" s="231"/>
      <c r="QNR120" s="231"/>
      <c r="QNS120" s="231"/>
      <c r="QNT120" s="231"/>
      <c r="QNU120" s="231"/>
      <c r="QNV120" s="231"/>
      <c r="QNW120" s="231"/>
      <c r="QNX120" s="231"/>
      <c r="QNY120" s="231"/>
      <c r="QNZ120" s="231"/>
      <c r="QOA120" s="231"/>
      <c r="QOB120" s="231"/>
      <c r="QOC120" s="231"/>
      <c r="QOD120" s="231"/>
      <c r="QOE120" s="231"/>
      <c r="QOF120" s="231"/>
      <c r="QOG120" s="231"/>
      <c r="QOH120" s="231"/>
      <c r="QOI120" s="231"/>
      <c r="QOJ120" s="231"/>
      <c r="QOK120" s="231"/>
      <c r="QOL120" s="231"/>
      <c r="QOM120" s="231"/>
      <c r="QON120" s="231"/>
      <c r="QOO120" s="231"/>
      <c r="QOP120" s="231"/>
      <c r="QOQ120" s="231"/>
      <c r="QOR120" s="231"/>
      <c r="QOS120" s="231"/>
      <c r="QOT120" s="231"/>
      <c r="QOU120" s="231"/>
      <c r="QOV120" s="231"/>
      <c r="QOW120" s="231"/>
      <c r="QOX120" s="231"/>
      <c r="QOY120" s="231"/>
      <c r="QOZ120" s="231"/>
      <c r="QPA120" s="231"/>
      <c r="QPB120" s="231"/>
      <c r="QPC120" s="231"/>
      <c r="QPD120" s="231"/>
      <c r="QPE120" s="231"/>
      <c r="QPF120" s="231"/>
      <c r="QPG120" s="231"/>
      <c r="QPH120" s="231"/>
      <c r="QPI120" s="231"/>
      <c r="QPJ120" s="231"/>
      <c r="QPK120" s="231"/>
      <c r="QPL120" s="231"/>
      <c r="QPM120" s="231"/>
      <c r="QPN120" s="231"/>
      <c r="QPO120" s="231"/>
      <c r="QPP120" s="231"/>
      <c r="QPQ120" s="231"/>
      <c r="QPR120" s="231"/>
      <c r="QPS120" s="231"/>
      <c r="QPT120" s="231"/>
      <c r="QPU120" s="231"/>
      <c r="QPV120" s="231"/>
      <c r="QPW120" s="231"/>
      <c r="QPX120" s="231"/>
      <c r="QPY120" s="231"/>
      <c r="QPZ120" s="231"/>
      <c r="QQA120" s="231"/>
      <c r="QQB120" s="231"/>
      <c r="QQC120" s="231"/>
      <c r="QQD120" s="231"/>
      <c r="QQE120" s="231"/>
      <c r="QQF120" s="231"/>
      <c r="QQG120" s="231"/>
      <c r="QQH120" s="231"/>
      <c r="QQI120" s="231"/>
      <c r="QQJ120" s="231"/>
      <c r="QQK120" s="231"/>
      <c r="QQL120" s="231"/>
      <c r="QQM120" s="231"/>
      <c r="QQN120" s="231"/>
      <c r="QQO120" s="231"/>
      <c r="QQP120" s="231"/>
      <c r="QQQ120" s="231"/>
      <c r="QQR120" s="231"/>
      <c r="QQS120" s="231"/>
      <c r="QQT120" s="231"/>
      <c r="QQU120" s="231"/>
      <c r="QQV120" s="231"/>
      <c r="QQW120" s="231"/>
      <c r="QQX120" s="231"/>
      <c r="QQY120" s="231"/>
      <c r="QQZ120" s="231"/>
      <c r="QRA120" s="231"/>
      <c r="QRB120" s="231"/>
      <c r="QRC120" s="231"/>
      <c r="QRD120" s="231"/>
      <c r="QRE120" s="231"/>
      <c r="QRF120" s="231"/>
      <c r="QRG120" s="231"/>
      <c r="QRH120" s="231"/>
      <c r="QRI120" s="231"/>
      <c r="QRJ120" s="231"/>
      <c r="QRK120" s="231"/>
      <c r="QRL120" s="231"/>
      <c r="QRM120" s="231"/>
      <c r="QRN120" s="231"/>
      <c r="QRO120" s="231"/>
      <c r="QRP120" s="231"/>
      <c r="QRQ120" s="231"/>
      <c r="QRR120" s="231"/>
      <c r="QRS120" s="231"/>
      <c r="QRT120" s="231"/>
      <c r="QRU120" s="231"/>
      <c r="QRV120" s="231"/>
      <c r="QRW120" s="231"/>
      <c r="QRX120" s="231"/>
      <c r="QRY120" s="231"/>
      <c r="QRZ120" s="231"/>
      <c r="QSA120" s="231"/>
      <c r="QSB120" s="231"/>
      <c r="QSC120" s="231"/>
      <c r="QSD120" s="231"/>
      <c r="QSE120" s="231"/>
      <c r="QSF120" s="231"/>
      <c r="QSG120" s="231"/>
      <c r="QSH120" s="231"/>
      <c r="QSI120" s="231"/>
      <c r="QSJ120" s="231"/>
      <c r="QSK120" s="231"/>
      <c r="QSL120" s="231"/>
      <c r="QSM120" s="231"/>
      <c r="QSN120" s="231"/>
      <c r="QSO120" s="231"/>
      <c r="QSP120" s="231"/>
      <c r="QSQ120" s="231"/>
      <c r="QSR120" s="231"/>
      <c r="QSS120" s="231"/>
      <c r="QST120" s="231"/>
      <c r="QSU120" s="231"/>
      <c r="QSV120" s="231"/>
      <c r="QSW120" s="231"/>
      <c r="QSX120" s="231"/>
      <c r="QSY120" s="231"/>
      <c r="QSZ120" s="231"/>
      <c r="QTA120" s="231"/>
      <c r="QTB120" s="231"/>
      <c r="QTC120" s="231"/>
      <c r="QTD120" s="231"/>
      <c r="QTE120" s="231"/>
      <c r="QTF120" s="231"/>
      <c r="QTG120" s="231"/>
      <c r="QTH120" s="231"/>
      <c r="QTI120" s="231"/>
      <c r="QTJ120" s="231"/>
      <c r="QTK120" s="231"/>
      <c r="QTL120" s="231"/>
      <c r="QTM120" s="231"/>
      <c r="QTN120" s="231"/>
      <c r="QTO120" s="231"/>
      <c r="QTP120" s="231"/>
      <c r="QTQ120" s="231"/>
      <c r="QTR120" s="231"/>
      <c r="QTS120" s="231"/>
      <c r="QTT120" s="231"/>
      <c r="QTU120" s="231"/>
      <c r="QTV120" s="231"/>
      <c r="QTW120" s="231"/>
      <c r="QTX120" s="231"/>
      <c r="QTY120" s="231"/>
      <c r="QTZ120" s="231"/>
      <c r="QUA120" s="231"/>
      <c r="QUB120" s="231"/>
      <c r="QUC120" s="231"/>
      <c r="QUD120" s="231"/>
      <c r="QUE120" s="231"/>
      <c r="QUF120" s="231"/>
      <c r="QUG120" s="231"/>
      <c r="QUH120" s="231"/>
      <c r="QUI120" s="231"/>
      <c r="QUJ120" s="231"/>
      <c r="QUK120" s="231"/>
      <c r="QUL120" s="231"/>
      <c r="QUM120" s="231"/>
      <c r="QUN120" s="231"/>
      <c r="QUO120" s="231"/>
      <c r="QUP120" s="231"/>
      <c r="QUQ120" s="231"/>
      <c r="QUR120" s="231"/>
      <c r="QUS120" s="231"/>
      <c r="QUT120" s="231"/>
      <c r="QUU120" s="231"/>
      <c r="QUV120" s="231"/>
      <c r="QUW120" s="231"/>
      <c r="QUX120" s="231"/>
      <c r="QUY120" s="231"/>
      <c r="QUZ120" s="231"/>
      <c r="QVA120" s="231"/>
      <c r="QVB120" s="231"/>
      <c r="QVC120" s="231"/>
      <c r="QVD120" s="231"/>
      <c r="QVE120" s="231"/>
      <c r="QVF120" s="231"/>
      <c r="QVG120" s="231"/>
      <c r="QVH120" s="231"/>
      <c r="QVI120" s="231"/>
      <c r="QVJ120" s="231"/>
      <c r="QVK120" s="231"/>
      <c r="QVL120" s="231"/>
      <c r="QVM120" s="231"/>
      <c r="QVN120" s="231"/>
      <c r="QVO120" s="231"/>
      <c r="QVP120" s="231"/>
      <c r="QVQ120" s="231"/>
      <c r="QVR120" s="231"/>
      <c r="QVS120" s="231"/>
      <c r="QVT120" s="231"/>
      <c r="QVU120" s="231"/>
      <c r="QVV120" s="231"/>
      <c r="QVW120" s="231"/>
      <c r="QVX120" s="231"/>
      <c r="QVY120" s="231"/>
      <c r="QVZ120" s="231"/>
      <c r="QWA120" s="231"/>
      <c r="QWB120" s="231"/>
      <c r="QWC120" s="231"/>
      <c r="QWD120" s="231"/>
      <c r="QWE120" s="231"/>
      <c r="QWF120" s="231"/>
      <c r="QWG120" s="231"/>
      <c r="QWH120" s="231"/>
      <c r="QWI120" s="231"/>
      <c r="QWJ120" s="231"/>
      <c r="QWK120" s="231"/>
      <c r="QWL120" s="231"/>
      <c r="QWM120" s="231"/>
      <c r="QWN120" s="231"/>
      <c r="QWO120" s="231"/>
      <c r="QWP120" s="231"/>
      <c r="QWQ120" s="231"/>
      <c r="QWR120" s="231"/>
      <c r="QWS120" s="231"/>
      <c r="QWT120" s="231"/>
      <c r="QWU120" s="231"/>
      <c r="QWV120" s="231"/>
      <c r="QWW120" s="231"/>
      <c r="QWX120" s="231"/>
      <c r="QWY120" s="231"/>
      <c r="QWZ120" s="231"/>
      <c r="QXA120" s="231"/>
      <c r="QXB120" s="231"/>
      <c r="QXC120" s="231"/>
      <c r="QXD120" s="231"/>
      <c r="QXE120" s="231"/>
      <c r="QXF120" s="231"/>
      <c r="QXG120" s="231"/>
      <c r="QXH120" s="231"/>
      <c r="QXI120" s="231"/>
      <c r="QXJ120" s="231"/>
      <c r="QXK120" s="231"/>
      <c r="QXL120" s="231"/>
      <c r="QXM120" s="231"/>
      <c r="QXN120" s="231"/>
      <c r="QXO120" s="231"/>
      <c r="QXP120" s="231"/>
      <c r="QXQ120" s="231"/>
      <c r="QXR120" s="231"/>
      <c r="QXS120" s="231"/>
      <c r="QXT120" s="231"/>
      <c r="QXU120" s="231"/>
      <c r="QXV120" s="231"/>
      <c r="QXW120" s="231"/>
      <c r="QXX120" s="231"/>
      <c r="QXY120" s="231"/>
      <c r="QXZ120" s="231"/>
      <c r="QYA120" s="231"/>
      <c r="QYB120" s="231"/>
      <c r="QYC120" s="231"/>
      <c r="QYD120" s="231"/>
      <c r="QYE120" s="231"/>
      <c r="QYF120" s="231"/>
      <c r="QYG120" s="231"/>
      <c r="QYH120" s="231"/>
      <c r="QYI120" s="231"/>
      <c r="QYJ120" s="231"/>
      <c r="QYK120" s="231"/>
      <c r="QYL120" s="231"/>
      <c r="QYM120" s="231"/>
      <c r="QYN120" s="231"/>
      <c r="QYO120" s="231"/>
      <c r="QYP120" s="231"/>
      <c r="QYQ120" s="231"/>
      <c r="QYR120" s="231"/>
      <c r="QYS120" s="231"/>
      <c r="QYT120" s="231"/>
      <c r="QYU120" s="231"/>
      <c r="QYV120" s="231"/>
      <c r="QYW120" s="231"/>
      <c r="QYX120" s="231"/>
      <c r="QYY120" s="231"/>
      <c r="QYZ120" s="231"/>
      <c r="QZA120" s="231"/>
      <c r="QZB120" s="231"/>
      <c r="QZC120" s="231"/>
      <c r="QZD120" s="231"/>
      <c r="QZE120" s="231"/>
      <c r="QZF120" s="231"/>
      <c r="QZG120" s="231"/>
      <c r="QZH120" s="231"/>
      <c r="QZI120" s="231"/>
      <c r="QZJ120" s="231"/>
      <c r="QZK120" s="231"/>
      <c r="QZL120" s="231"/>
      <c r="QZM120" s="231"/>
      <c r="QZN120" s="231"/>
      <c r="QZO120" s="231"/>
      <c r="QZP120" s="231"/>
      <c r="QZQ120" s="231"/>
      <c r="QZR120" s="231"/>
      <c r="QZS120" s="231"/>
      <c r="QZT120" s="231"/>
      <c r="QZU120" s="231"/>
      <c r="QZV120" s="231"/>
      <c r="QZW120" s="231"/>
      <c r="QZX120" s="231"/>
      <c r="QZY120" s="231"/>
      <c r="QZZ120" s="231"/>
      <c r="RAA120" s="231"/>
      <c r="RAB120" s="231"/>
      <c r="RAC120" s="231"/>
      <c r="RAD120" s="231"/>
      <c r="RAE120" s="231"/>
      <c r="RAF120" s="231"/>
      <c r="RAG120" s="231"/>
      <c r="RAH120" s="231"/>
      <c r="RAI120" s="231"/>
      <c r="RAJ120" s="231"/>
      <c r="RAK120" s="231"/>
      <c r="RAL120" s="231"/>
      <c r="RAM120" s="231"/>
      <c r="RAN120" s="231"/>
      <c r="RAO120" s="231"/>
      <c r="RAP120" s="231"/>
      <c r="RAQ120" s="231"/>
      <c r="RAR120" s="231"/>
      <c r="RAS120" s="231"/>
      <c r="RAT120" s="231"/>
      <c r="RAU120" s="231"/>
      <c r="RAV120" s="231"/>
      <c r="RAW120" s="231"/>
      <c r="RAX120" s="231"/>
      <c r="RAY120" s="231"/>
      <c r="RAZ120" s="231"/>
      <c r="RBA120" s="231"/>
      <c r="RBB120" s="231"/>
      <c r="RBC120" s="231"/>
      <c r="RBD120" s="231"/>
      <c r="RBE120" s="231"/>
      <c r="RBF120" s="231"/>
      <c r="RBG120" s="231"/>
      <c r="RBH120" s="231"/>
      <c r="RBI120" s="231"/>
      <c r="RBJ120" s="231"/>
      <c r="RBK120" s="231"/>
      <c r="RBL120" s="231"/>
      <c r="RBM120" s="231"/>
      <c r="RBN120" s="231"/>
      <c r="RBO120" s="231"/>
      <c r="RBP120" s="231"/>
      <c r="RBQ120" s="231"/>
      <c r="RBR120" s="231"/>
      <c r="RBS120" s="231"/>
      <c r="RBT120" s="231"/>
      <c r="RBU120" s="231"/>
      <c r="RBV120" s="231"/>
      <c r="RBW120" s="231"/>
      <c r="RBX120" s="231"/>
      <c r="RBY120" s="231"/>
      <c r="RBZ120" s="231"/>
      <c r="RCA120" s="231"/>
      <c r="RCB120" s="231"/>
      <c r="RCC120" s="231"/>
      <c r="RCD120" s="231"/>
      <c r="RCE120" s="231"/>
      <c r="RCF120" s="231"/>
      <c r="RCG120" s="231"/>
      <c r="RCH120" s="231"/>
      <c r="RCI120" s="231"/>
      <c r="RCJ120" s="231"/>
      <c r="RCK120" s="231"/>
      <c r="RCL120" s="231"/>
      <c r="RCM120" s="231"/>
      <c r="RCN120" s="231"/>
      <c r="RCO120" s="231"/>
      <c r="RCP120" s="231"/>
      <c r="RCQ120" s="231"/>
      <c r="RCR120" s="231"/>
      <c r="RCS120" s="231"/>
      <c r="RCT120" s="231"/>
      <c r="RCU120" s="231"/>
      <c r="RCV120" s="231"/>
      <c r="RCW120" s="231"/>
      <c r="RCX120" s="231"/>
      <c r="RCY120" s="231"/>
      <c r="RCZ120" s="231"/>
      <c r="RDA120" s="231"/>
      <c r="RDB120" s="231"/>
      <c r="RDC120" s="231"/>
      <c r="RDD120" s="231"/>
      <c r="RDE120" s="231"/>
      <c r="RDF120" s="231"/>
      <c r="RDG120" s="231"/>
      <c r="RDH120" s="231"/>
      <c r="RDI120" s="231"/>
      <c r="RDJ120" s="231"/>
      <c r="RDK120" s="231"/>
      <c r="RDL120" s="231"/>
      <c r="RDM120" s="231"/>
      <c r="RDN120" s="231"/>
      <c r="RDO120" s="231"/>
      <c r="RDP120" s="231"/>
      <c r="RDQ120" s="231"/>
      <c r="RDR120" s="231"/>
      <c r="RDS120" s="231"/>
      <c r="RDT120" s="231"/>
      <c r="RDU120" s="231"/>
      <c r="RDV120" s="231"/>
      <c r="RDW120" s="231"/>
      <c r="RDX120" s="231"/>
      <c r="RDY120" s="231"/>
      <c r="RDZ120" s="231"/>
      <c r="REA120" s="231"/>
      <c r="REB120" s="231"/>
      <c r="REC120" s="231"/>
      <c r="RED120" s="231"/>
      <c r="REE120" s="231"/>
      <c r="REF120" s="231"/>
      <c r="REG120" s="231"/>
      <c r="REH120" s="231"/>
      <c r="REI120" s="231"/>
      <c r="REJ120" s="231"/>
      <c r="REK120" s="231"/>
      <c r="REL120" s="231"/>
      <c r="REM120" s="231"/>
      <c r="REN120" s="231"/>
      <c r="REO120" s="231"/>
      <c r="REP120" s="231"/>
      <c r="REQ120" s="231"/>
      <c r="RER120" s="231"/>
      <c r="RES120" s="231"/>
      <c r="RET120" s="231"/>
      <c r="REU120" s="231"/>
      <c r="REV120" s="231"/>
      <c r="REW120" s="231"/>
      <c r="REX120" s="231"/>
      <c r="REY120" s="231"/>
      <c r="REZ120" s="231"/>
      <c r="RFA120" s="231"/>
      <c r="RFB120" s="231"/>
      <c r="RFC120" s="231"/>
      <c r="RFD120" s="231"/>
      <c r="RFE120" s="231"/>
      <c r="RFF120" s="231"/>
      <c r="RFG120" s="231"/>
      <c r="RFH120" s="231"/>
      <c r="RFI120" s="231"/>
      <c r="RFJ120" s="231"/>
      <c r="RFK120" s="231"/>
      <c r="RFL120" s="231"/>
      <c r="RFM120" s="231"/>
      <c r="RFN120" s="231"/>
      <c r="RFO120" s="231"/>
      <c r="RFP120" s="231"/>
      <c r="RFQ120" s="231"/>
      <c r="RFR120" s="231"/>
      <c r="RFS120" s="231"/>
      <c r="RFT120" s="231"/>
      <c r="RFU120" s="231"/>
      <c r="RFV120" s="231"/>
      <c r="RFW120" s="231"/>
      <c r="RFX120" s="231"/>
      <c r="RFY120" s="231"/>
      <c r="RFZ120" s="231"/>
      <c r="RGA120" s="231"/>
      <c r="RGB120" s="231"/>
      <c r="RGC120" s="231"/>
      <c r="RGD120" s="231"/>
      <c r="RGE120" s="231"/>
      <c r="RGF120" s="231"/>
      <c r="RGG120" s="231"/>
      <c r="RGH120" s="231"/>
      <c r="RGI120" s="231"/>
      <c r="RGJ120" s="231"/>
      <c r="RGK120" s="231"/>
      <c r="RGL120" s="231"/>
      <c r="RGM120" s="231"/>
      <c r="RGN120" s="231"/>
      <c r="RGO120" s="231"/>
      <c r="RGP120" s="231"/>
      <c r="RGQ120" s="231"/>
      <c r="RGR120" s="231"/>
      <c r="RGS120" s="231"/>
      <c r="RGT120" s="231"/>
      <c r="RGU120" s="231"/>
      <c r="RGV120" s="231"/>
      <c r="RGW120" s="231"/>
      <c r="RGX120" s="231"/>
      <c r="RGY120" s="231"/>
      <c r="RGZ120" s="231"/>
      <c r="RHA120" s="231"/>
      <c r="RHB120" s="231"/>
      <c r="RHC120" s="231"/>
      <c r="RHD120" s="231"/>
      <c r="RHE120" s="231"/>
      <c r="RHF120" s="231"/>
      <c r="RHG120" s="231"/>
      <c r="RHH120" s="231"/>
      <c r="RHI120" s="231"/>
      <c r="RHJ120" s="231"/>
      <c r="RHK120" s="231"/>
      <c r="RHL120" s="231"/>
      <c r="RHM120" s="231"/>
      <c r="RHN120" s="231"/>
      <c r="RHO120" s="231"/>
      <c r="RHP120" s="231"/>
      <c r="RHQ120" s="231"/>
      <c r="RHR120" s="231"/>
      <c r="RHS120" s="231"/>
      <c r="RHT120" s="231"/>
      <c r="RHU120" s="231"/>
      <c r="RHV120" s="231"/>
      <c r="RHW120" s="231"/>
      <c r="RHX120" s="231"/>
      <c r="RHY120" s="231"/>
      <c r="RHZ120" s="231"/>
      <c r="RIA120" s="231"/>
      <c r="RIB120" s="231"/>
      <c r="RIC120" s="231"/>
      <c r="RID120" s="231"/>
      <c r="RIE120" s="231"/>
      <c r="RIF120" s="231"/>
      <c r="RIG120" s="231"/>
      <c r="RIH120" s="231"/>
      <c r="RII120" s="231"/>
      <c r="RIJ120" s="231"/>
      <c r="RIK120" s="231"/>
      <c r="RIL120" s="231"/>
      <c r="RIM120" s="231"/>
      <c r="RIN120" s="231"/>
      <c r="RIO120" s="231"/>
      <c r="RIP120" s="231"/>
      <c r="RIQ120" s="231"/>
      <c r="RIR120" s="231"/>
      <c r="RIS120" s="231"/>
      <c r="RIT120" s="231"/>
      <c r="RIU120" s="231"/>
      <c r="RIV120" s="231"/>
      <c r="RIW120" s="231"/>
      <c r="RIX120" s="231"/>
      <c r="RIY120" s="231"/>
      <c r="RIZ120" s="231"/>
      <c r="RJA120" s="231"/>
      <c r="RJB120" s="231"/>
      <c r="RJC120" s="231"/>
      <c r="RJD120" s="231"/>
      <c r="RJE120" s="231"/>
      <c r="RJF120" s="231"/>
      <c r="RJG120" s="231"/>
      <c r="RJH120" s="231"/>
      <c r="RJI120" s="231"/>
      <c r="RJJ120" s="231"/>
      <c r="RJK120" s="231"/>
      <c r="RJL120" s="231"/>
      <c r="RJM120" s="231"/>
      <c r="RJN120" s="231"/>
      <c r="RJO120" s="231"/>
      <c r="RJP120" s="231"/>
      <c r="RJQ120" s="231"/>
      <c r="RJR120" s="231"/>
      <c r="RJS120" s="231"/>
      <c r="RJT120" s="231"/>
      <c r="RJU120" s="231"/>
      <c r="RJV120" s="231"/>
      <c r="RJW120" s="231"/>
      <c r="RJX120" s="231"/>
      <c r="RJY120" s="231"/>
      <c r="RJZ120" s="231"/>
      <c r="RKA120" s="231"/>
      <c r="RKB120" s="231"/>
      <c r="RKC120" s="231"/>
      <c r="RKD120" s="231"/>
      <c r="RKE120" s="231"/>
      <c r="RKF120" s="231"/>
      <c r="RKG120" s="231"/>
      <c r="RKH120" s="231"/>
      <c r="RKI120" s="231"/>
      <c r="RKJ120" s="231"/>
      <c r="RKK120" s="231"/>
      <c r="RKL120" s="231"/>
      <c r="RKM120" s="231"/>
      <c r="RKN120" s="231"/>
      <c r="RKO120" s="231"/>
      <c r="RKP120" s="231"/>
      <c r="RKQ120" s="231"/>
      <c r="RKR120" s="231"/>
      <c r="RKS120" s="231"/>
      <c r="RKT120" s="231"/>
      <c r="RKU120" s="231"/>
      <c r="RKV120" s="231"/>
      <c r="RKW120" s="231"/>
      <c r="RKX120" s="231"/>
      <c r="RKY120" s="231"/>
      <c r="RKZ120" s="231"/>
      <c r="RLA120" s="231"/>
      <c r="RLB120" s="231"/>
      <c r="RLC120" s="231"/>
      <c r="RLD120" s="231"/>
      <c r="RLE120" s="231"/>
      <c r="RLF120" s="231"/>
      <c r="RLG120" s="231"/>
      <c r="RLH120" s="231"/>
      <c r="RLI120" s="231"/>
      <c r="RLJ120" s="231"/>
      <c r="RLK120" s="231"/>
      <c r="RLL120" s="231"/>
      <c r="RLM120" s="231"/>
      <c r="RLN120" s="231"/>
      <c r="RLO120" s="231"/>
      <c r="RLP120" s="231"/>
      <c r="RLQ120" s="231"/>
      <c r="RLR120" s="231"/>
      <c r="RLS120" s="231"/>
      <c r="RLT120" s="231"/>
      <c r="RLU120" s="231"/>
      <c r="RLV120" s="231"/>
      <c r="RLW120" s="231"/>
      <c r="RLX120" s="231"/>
      <c r="RLY120" s="231"/>
      <c r="RLZ120" s="231"/>
      <c r="RMA120" s="231"/>
      <c r="RMB120" s="231"/>
      <c r="RMC120" s="231"/>
      <c r="RMD120" s="231"/>
      <c r="RME120" s="231"/>
      <c r="RMF120" s="231"/>
      <c r="RMG120" s="231"/>
      <c r="RMH120" s="231"/>
      <c r="RMI120" s="231"/>
      <c r="RMJ120" s="231"/>
      <c r="RMK120" s="231"/>
      <c r="RML120" s="231"/>
      <c r="RMM120" s="231"/>
      <c r="RMN120" s="231"/>
      <c r="RMO120" s="231"/>
      <c r="RMP120" s="231"/>
      <c r="RMQ120" s="231"/>
      <c r="RMR120" s="231"/>
      <c r="RMS120" s="231"/>
      <c r="RMT120" s="231"/>
      <c r="RMU120" s="231"/>
      <c r="RMV120" s="231"/>
      <c r="RMW120" s="231"/>
      <c r="RMX120" s="231"/>
      <c r="RMY120" s="231"/>
      <c r="RMZ120" s="231"/>
      <c r="RNA120" s="231"/>
      <c r="RNB120" s="231"/>
      <c r="RNC120" s="231"/>
      <c r="RND120" s="231"/>
      <c r="RNE120" s="231"/>
      <c r="RNF120" s="231"/>
      <c r="RNG120" s="231"/>
      <c r="RNH120" s="231"/>
      <c r="RNI120" s="231"/>
      <c r="RNJ120" s="231"/>
      <c r="RNK120" s="231"/>
      <c r="RNL120" s="231"/>
      <c r="RNM120" s="231"/>
      <c r="RNN120" s="231"/>
      <c r="RNO120" s="231"/>
      <c r="RNP120" s="231"/>
      <c r="RNQ120" s="231"/>
      <c r="RNR120" s="231"/>
      <c r="RNS120" s="231"/>
      <c r="RNT120" s="231"/>
      <c r="RNU120" s="231"/>
      <c r="RNV120" s="231"/>
      <c r="RNW120" s="231"/>
      <c r="RNX120" s="231"/>
      <c r="RNY120" s="231"/>
      <c r="RNZ120" s="231"/>
      <c r="ROA120" s="231"/>
      <c r="ROB120" s="231"/>
      <c r="ROC120" s="231"/>
      <c r="ROD120" s="231"/>
      <c r="ROE120" s="231"/>
      <c r="ROF120" s="231"/>
      <c r="ROG120" s="231"/>
      <c r="ROH120" s="231"/>
      <c r="ROI120" s="231"/>
      <c r="ROJ120" s="231"/>
      <c r="ROK120" s="231"/>
      <c r="ROL120" s="231"/>
      <c r="ROM120" s="231"/>
      <c r="RON120" s="231"/>
      <c r="ROO120" s="231"/>
      <c r="ROP120" s="231"/>
      <c r="ROQ120" s="231"/>
      <c r="ROR120" s="231"/>
      <c r="ROS120" s="231"/>
      <c r="ROT120" s="231"/>
      <c r="ROU120" s="231"/>
      <c r="ROV120" s="231"/>
      <c r="ROW120" s="231"/>
      <c r="ROX120" s="231"/>
      <c r="ROY120" s="231"/>
      <c r="ROZ120" s="231"/>
      <c r="RPA120" s="231"/>
      <c r="RPB120" s="231"/>
      <c r="RPC120" s="231"/>
      <c r="RPD120" s="231"/>
      <c r="RPE120" s="231"/>
      <c r="RPF120" s="231"/>
      <c r="RPG120" s="231"/>
      <c r="RPH120" s="231"/>
      <c r="RPI120" s="231"/>
      <c r="RPJ120" s="231"/>
      <c r="RPK120" s="231"/>
      <c r="RPL120" s="231"/>
      <c r="RPM120" s="231"/>
      <c r="RPN120" s="231"/>
      <c r="RPO120" s="231"/>
      <c r="RPP120" s="231"/>
      <c r="RPQ120" s="231"/>
      <c r="RPR120" s="231"/>
      <c r="RPS120" s="231"/>
      <c r="RPT120" s="231"/>
      <c r="RPU120" s="231"/>
      <c r="RPV120" s="231"/>
      <c r="RPW120" s="231"/>
      <c r="RPX120" s="231"/>
      <c r="RPY120" s="231"/>
      <c r="RPZ120" s="231"/>
      <c r="RQA120" s="231"/>
      <c r="RQB120" s="231"/>
      <c r="RQC120" s="231"/>
      <c r="RQD120" s="231"/>
      <c r="RQE120" s="231"/>
      <c r="RQF120" s="231"/>
      <c r="RQG120" s="231"/>
      <c r="RQH120" s="231"/>
      <c r="RQI120" s="231"/>
      <c r="RQJ120" s="231"/>
      <c r="RQK120" s="231"/>
      <c r="RQL120" s="231"/>
      <c r="RQM120" s="231"/>
      <c r="RQN120" s="231"/>
      <c r="RQO120" s="231"/>
      <c r="RQP120" s="231"/>
      <c r="RQQ120" s="231"/>
      <c r="RQR120" s="231"/>
      <c r="RQS120" s="231"/>
      <c r="RQT120" s="231"/>
      <c r="RQU120" s="231"/>
      <c r="RQV120" s="231"/>
      <c r="RQW120" s="231"/>
      <c r="RQX120" s="231"/>
      <c r="RQY120" s="231"/>
      <c r="RQZ120" s="231"/>
      <c r="RRA120" s="231"/>
      <c r="RRB120" s="231"/>
      <c r="RRC120" s="231"/>
      <c r="RRD120" s="231"/>
      <c r="RRE120" s="231"/>
      <c r="RRF120" s="231"/>
      <c r="RRG120" s="231"/>
      <c r="RRH120" s="231"/>
      <c r="RRI120" s="231"/>
      <c r="RRJ120" s="231"/>
      <c r="RRK120" s="231"/>
      <c r="RRL120" s="231"/>
      <c r="RRM120" s="231"/>
      <c r="RRN120" s="231"/>
      <c r="RRO120" s="231"/>
      <c r="RRP120" s="231"/>
      <c r="RRQ120" s="231"/>
      <c r="RRR120" s="231"/>
      <c r="RRS120" s="231"/>
      <c r="RRT120" s="231"/>
      <c r="RRU120" s="231"/>
      <c r="RRV120" s="231"/>
      <c r="RRW120" s="231"/>
      <c r="RRX120" s="231"/>
      <c r="RRY120" s="231"/>
      <c r="RRZ120" s="231"/>
      <c r="RSA120" s="231"/>
      <c r="RSB120" s="231"/>
      <c r="RSC120" s="231"/>
      <c r="RSD120" s="231"/>
      <c r="RSE120" s="231"/>
      <c r="RSF120" s="231"/>
      <c r="RSG120" s="231"/>
      <c r="RSH120" s="231"/>
      <c r="RSI120" s="231"/>
      <c r="RSJ120" s="231"/>
      <c r="RSK120" s="231"/>
      <c r="RSL120" s="231"/>
      <c r="RSM120" s="231"/>
      <c r="RSN120" s="231"/>
      <c r="RSO120" s="231"/>
      <c r="RSP120" s="231"/>
      <c r="RSQ120" s="231"/>
      <c r="RSR120" s="231"/>
      <c r="RSS120" s="231"/>
      <c r="RST120" s="231"/>
      <c r="RSU120" s="231"/>
      <c r="RSV120" s="231"/>
      <c r="RSW120" s="231"/>
      <c r="RSX120" s="231"/>
      <c r="RSY120" s="231"/>
      <c r="RSZ120" s="231"/>
      <c r="RTA120" s="231"/>
      <c r="RTB120" s="231"/>
      <c r="RTC120" s="231"/>
      <c r="RTD120" s="231"/>
      <c r="RTE120" s="231"/>
      <c r="RTF120" s="231"/>
      <c r="RTG120" s="231"/>
      <c r="RTH120" s="231"/>
      <c r="RTI120" s="231"/>
      <c r="RTJ120" s="231"/>
      <c r="RTK120" s="231"/>
      <c r="RTL120" s="231"/>
      <c r="RTM120" s="231"/>
      <c r="RTN120" s="231"/>
      <c r="RTO120" s="231"/>
      <c r="RTP120" s="231"/>
      <c r="RTQ120" s="231"/>
      <c r="RTR120" s="231"/>
      <c r="RTS120" s="231"/>
      <c r="RTT120" s="231"/>
      <c r="RTU120" s="231"/>
      <c r="RTV120" s="231"/>
      <c r="RTW120" s="231"/>
      <c r="RTX120" s="231"/>
      <c r="RTY120" s="231"/>
      <c r="RTZ120" s="231"/>
      <c r="RUA120" s="231"/>
      <c r="RUB120" s="231"/>
      <c r="RUC120" s="231"/>
      <c r="RUD120" s="231"/>
      <c r="RUE120" s="231"/>
      <c r="RUF120" s="231"/>
      <c r="RUG120" s="231"/>
      <c r="RUH120" s="231"/>
      <c r="RUI120" s="231"/>
      <c r="RUJ120" s="231"/>
      <c r="RUK120" s="231"/>
      <c r="RUL120" s="231"/>
      <c r="RUM120" s="231"/>
      <c r="RUN120" s="231"/>
      <c r="RUO120" s="231"/>
      <c r="RUP120" s="231"/>
      <c r="RUQ120" s="231"/>
      <c r="RUR120" s="231"/>
      <c r="RUS120" s="231"/>
      <c r="RUT120" s="231"/>
      <c r="RUU120" s="231"/>
      <c r="RUV120" s="231"/>
      <c r="RUW120" s="231"/>
      <c r="RUX120" s="231"/>
      <c r="RUY120" s="231"/>
      <c r="RUZ120" s="231"/>
      <c r="RVA120" s="231"/>
      <c r="RVB120" s="231"/>
      <c r="RVC120" s="231"/>
      <c r="RVD120" s="231"/>
      <c r="RVE120" s="231"/>
      <c r="RVF120" s="231"/>
      <c r="RVG120" s="231"/>
      <c r="RVH120" s="231"/>
      <c r="RVI120" s="231"/>
      <c r="RVJ120" s="231"/>
      <c r="RVK120" s="231"/>
      <c r="RVL120" s="231"/>
      <c r="RVM120" s="231"/>
      <c r="RVN120" s="231"/>
      <c r="RVO120" s="231"/>
      <c r="RVP120" s="231"/>
      <c r="RVQ120" s="231"/>
      <c r="RVR120" s="231"/>
      <c r="RVS120" s="231"/>
      <c r="RVT120" s="231"/>
      <c r="RVU120" s="231"/>
      <c r="RVV120" s="231"/>
      <c r="RVW120" s="231"/>
      <c r="RVX120" s="231"/>
      <c r="RVY120" s="231"/>
      <c r="RVZ120" s="231"/>
      <c r="RWA120" s="231"/>
      <c r="RWB120" s="231"/>
      <c r="RWC120" s="231"/>
      <c r="RWD120" s="231"/>
      <c r="RWE120" s="231"/>
      <c r="RWF120" s="231"/>
      <c r="RWG120" s="231"/>
      <c r="RWH120" s="231"/>
      <c r="RWI120" s="231"/>
      <c r="RWJ120" s="231"/>
      <c r="RWK120" s="231"/>
      <c r="RWL120" s="231"/>
      <c r="RWM120" s="231"/>
      <c r="RWN120" s="231"/>
      <c r="RWO120" s="231"/>
      <c r="RWP120" s="231"/>
      <c r="RWQ120" s="231"/>
      <c r="RWR120" s="231"/>
      <c r="RWS120" s="231"/>
      <c r="RWT120" s="231"/>
      <c r="RWU120" s="231"/>
      <c r="RWV120" s="231"/>
      <c r="RWW120" s="231"/>
      <c r="RWX120" s="231"/>
      <c r="RWY120" s="231"/>
      <c r="RWZ120" s="231"/>
      <c r="RXA120" s="231"/>
      <c r="RXB120" s="231"/>
      <c r="RXC120" s="231"/>
      <c r="RXD120" s="231"/>
      <c r="RXE120" s="231"/>
      <c r="RXF120" s="231"/>
      <c r="RXG120" s="231"/>
      <c r="RXH120" s="231"/>
      <c r="RXI120" s="231"/>
      <c r="RXJ120" s="231"/>
      <c r="RXK120" s="231"/>
      <c r="RXL120" s="231"/>
      <c r="RXM120" s="231"/>
      <c r="RXN120" s="231"/>
      <c r="RXO120" s="231"/>
      <c r="RXP120" s="231"/>
      <c r="RXQ120" s="231"/>
      <c r="RXR120" s="231"/>
      <c r="RXS120" s="231"/>
      <c r="RXT120" s="231"/>
      <c r="RXU120" s="231"/>
      <c r="RXV120" s="231"/>
      <c r="RXW120" s="231"/>
      <c r="RXX120" s="231"/>
      <c r="RXY120" s="231"/>
      <c r="RXZ120" s="231"/>
      <c r="RYA120" s="231"/>
      <c r="RYB120" s="231"/>
      <c r="RYC120" s="231"/>
      <c r="RYD120" s="231"/>
      <c r="RYE120" s="231"/>
      <c r="RYF120" s="231"/>
      <c r="RYG120" s="231"/>
      <c r="RYH120" s="231"/>
      <c r="RYI120" s="231"/>
      <c r="RYJ120" s="231"/>
      <c r="RYK120" s="231"/>
      <c r="RYL120" s="231"/>
      <c r="RYM120" s="231"/>
      <c r="RYN120" s="231"/>
      <c r="RYO120" s="231"/>
      <c r="RYP120" s="231"/>
      <c r="RYQ120" s="231"/>
      <c r="RYR120" s="231"/>
      <c r="RYS120" s="231"/>
      <c r="RYT120" s="231"/>
      <c r="RYU120" s="231"/>
      <c r="RYV120" s="231"/>
      <c r="RYW120" s="231"/>
      <c r="RYX120" s="231"/>
      <c r="RYY120" s="231"/>
      <c r="RYZ120" s="231"/>
      <c r="RZA120" s="231"/>
      <c r="RZB120" s="231"/>
      <c r="RZC120" s="231"/>
      <c r="RZD120" s="231"/>
      <c r="RZE120" s="231"/>
      <c r="RZF120" s="231"/>
      <c r="RZG120" s="231"/>
      <c r="RZH120" s="231"/>
      <c r="RZI120" s="231"/>
      <c r="RZJ120" s="231"/>
      <c r="RZK120" s="231"/>
      <c r="RZL120" s="231"/>
      <c r="RZM120" s="231"/>
      <c r="RZN120" s="231"/>
      <c r="RZO120" s="231"/>
      <c r="RZP120" s="231"/>
      <c r="RZQ120" s="231"/>
      <c r="RZR120" s="231"/>
      <c r="RZS120" s="231"/>
      <c r="RZT120" s="231"/>
      <c r="RZU120" s="231"/>
      <c r="RZV120" s="231"/>
      <c r="RZW120" s="231"/>
      <c r="RZX120" s="231"/>
      <c r="RZY120" s="231"/>
      <c r="RZZ120" s="231"/>
      <c r="SAA120" s="231"/>
      <c r="SAB120" s="231"/>
      <c r="SAC120" s="231"/>
      <c r="SAD120" s="231"/>
      <c r="SAE120" s="231"/>
      <c r="SAF120" s="231"/>
      <c r="SAG120" s="231"/>
      <c r="SAH120" s="231"/>
      <c r="SAI120" s="231"/>
      <c r="SAJ120" s="231"/>
      <c r="SAK120" s="231"/>
      <c r="SAL120" s="231"/>
      <c r="SAM120" s="231"/>
      <c r="SAN120" s="231"/>
      <c r="SAO120" s="231"/>
      <c r="SAP120" s="231"/>
      <c r="SAQ120" s="231"/>
      <c r="SAR120" s="231"/>
      <c r="SAS120" s="231"/>
      <c r="SAT120" s="231"/>
      <c r="SAU120" s="231"/>
      <c r="SAV120" s="231"/>
      <c r="SAW120" s="231"/>
      <c r="SAX120" s="231"/>
      <c r="SAY120" s="231"/>
      <c r="SAZ120" s="231"/>
      <c r="SBA120" s="231"/>
      <c r="SBB120" s="231"/>
      <c r="SBC120" s="231"/>
      <c r="SBD120" s="231"/>
      <c r="SBE120" s="231"/>
      <c r="SBF120" s="231"/>
      <c r="SBG120" s="231"/>
      <c r="SBH120" s="231"/>
      <c r="SBI120" s="231"/>
      <c r="SBJ120" s="231"/>
      <c r="SBK120" s="231"/>
      <c r="SBL120" s="231"/>
      <c r="SBM120" s="231"/>
      <c r="SBN120" s="231"/>
      <c r="SBO120" s="231"/>
      <c r="SBP120" s="231"/>
      <c r="SBQ120" s="231"/>
      <c r="SBR120" s="231"/>
      <c r="SBS120" s="231"/>
      <c r="SBT120" s="231"/>
      <c r="SBU120" s="231"/>
      <c r="SBV120" s="231"/>
      <c r="SBW120" s="231"/>
      <c r="SBX120" s="231"/>
      <c r="SBY120" s="231"/>
      <c r="SBZ120" s="231"/>
      <c r="SCA120" s="231"/>
      <c r="SCB120" s="231"/>
      <c r="SCC120" s="231"/>
      <c r="SCD120" s="231"/>
      <c r="SCE120" s="231"/>
      <c r="SCF120" s="231"/>
      <c r="SCG120" s="231"/>
      <c r="SCH120" s="231"/>
      <c r="SCI120" s="231"/>
      <c r="SCJ120" s="231"/>
      <c r="SCK120" s="231"/>
      <c r="SCL120" s="231"/>
      <c r="SCM120" s="231"/>
      <c r="SCN120" s="231"/>
      <c r="SCO120" s="231"/>
      <c r="SCP120" s="231"/>
      <c r="SCQ120" s="231"/>
      <c r="SCR120" s="231"/>
      <c r="SCS120" s="231"/>
      <c r="SCT120" s="231"/>
      <c r="SCU120" s="231"/>
      <c r="SCV120" s="231"/>
      <c r="SCW120" s="231"/>
      <c r="SCX120" s="231"/>
      <c r="SCY120" s="231"/>
      <c r="SCZ120" s="231"/>
      <c r="SDA120" s="231"/>
      <c r="SDB120" s="231"/>
      <c r="SDC120" s="231"/>
      <c r="SDD120" s="231"/>
      <c r="SDE120" s="231"/>
      <c r="SDF120" s="231"/>
      <c r="SDG120" s="231"/>
      <c r="SDH120" s="231"/>
      <c r="SDI120" s="231"/>
      <c r="SDJ120" s="231"/>
      <c r="SDK120" s="231"/>
      <c r="SDL120" s="231"/>
      <c r="SDM120" s="231"/>
      <c r="SDN120" s="231"/>
      <c r="SDO120" s="231"/>
      <c r="SDP120" s="231"/>
      <c r="SDQ120" s="231"/>
      <c r="SDR120" s="231"/>
      <c r="SDS120" s="231"/>
      <c r="SDT120" s="231"/>
      <c r="SDU120" s="231"/>
      <c r="SDV120" s="231"/>
      <c r="SDW120" s="231"/>
      <c r="SDX120" s="231"/>
      <c r="SDY120" s="231"/>
      <c r="SDZ120" s="231"/>
      <c r="SEA120" s="231"/>
      <c r="SEB120" s="231"/>
      <c r="SEC120" s="231"/>
      <c r="SED120" s="231"/>
      <c r="SEE120" s="231"/>
      <c r="SEF120" s="231"/>
      <c r="SEG120" s="231"/>
      <c r="SEH120" s="231"/>
      <c r="SEI120" s="231"/>
      <c r="SEJ120" s="231"/>
      <c r="SEK120" s="231"/>
      <c r="SEL120" s="231"/>
      <c r="SEM120" s="231"/>
      <c r="SEN120" s="231"/>
      <c r="SEO120" s="231"/>
      <c r="SEP120" s="231"/>
      <c r="SEQ120" s="231"/>
      <c r="SER120" s="231"/>
      <c r="SES120" s="231"/>
      <c r="SET120" s="231"/>
      <c r="SEU120" s="231"/>
      <c r="SEV120" s="231"/>
      <c r="SEW120" s="231"/>
      <c r="SEX120" s="231"/>
      <c r="SEY120" s="231"/>
      <c r="SEZ120" s="231"/>
      <c r="SFA120" s="231"/>
      <c r="SFB120" s="231"/>
      <c r="SFC120" s="231"/>
      <c r="SFD120" s="231"/>
      <c r="SFE120" s="231"/>
      <c r="SFF120" s="231"/>
      <c r="SFG120" s="231"/>
      <c r="SFH120" s="231"/>
      <c r="SFI120" s="231"/>
      <c r="SFJ120" s="231"/>
      <c r="SFK120" s="231"/>
      <c r="SFL120" s="231"/>
      <c r="SFM120" s="231"/>
      <c r="SFN120" s="231"/>
      <c r="SFO120" s="231"/>
      <c r="SFP120" s="231"/>
      <c r="SFQ120" s="231"/>
      <c r="SFR120" s="231"/>
      <c r="SFS120" s="231"/>
      <c r="SFT120" s="231"/>
      <c r="SFU120" s="231"/>
      <c r="SFV120" s="231"/>
      <c r="SFW120" s="231"/>
      <c r="SFX120" s="231"/>
      <c r="SFY120" s="231"/>
      <c r="SFZ120" s="231"/>
      <c r="SGA120" s="231"/>
      <c r="SGB120" s="231"/>
      <c r="SGC120" s="231"/>
      <c r="SGD120" s="231"/>
      <c r="SGE120" s="231"/>
      <c r="SGF120" s="231"/>
      <c r="SGG120" s="231"/>
      <c r="SGH120" s="231"/>
      <c r="SGI120" s="231"/>
      <c r="SGJ120" s="231"/>
      <c r="SGK120" s="231"/>
      <c r="SGL120" s="231"/>
      <c r="SGM120" s="231"/>
      <c r="SGN120" s="231"/>
      <c r="SGO120" s="231"/>
      <c r="SGP120" s="231"/>
      <c r="SGQ120" s="231"/>
      <c r="SGR120" s="231"/>
      <c r="SGS120" s="231"/>
      <c r="SGT120" s="231"/>
      <c r="SGU120" s="231"/>
      <c r="SGV120" s="231"/>
      <c r="SGW120" s="231"/>
      <c r="SGX120" s="231"/>
      <c r="SGY120" s="231"/>
      <c r="SGZ120" s="231"/>
      <c r="SHA120" s="231"/>
      <c r="SHB120" s="231"/>
      <c r="SHC120" s="231"/>
      <c r="SHD120" s="231"/>
      <c r="SHE120" s="231"/>
      <c r="SHF120" s="231"/>
      <c r="SHG120" s="231"/>
      <c r="SHH120" s="231"/>
      <c r="SHI120" s="231"/>
      <c r="SHJ120" s="231"/>
      <c r="SHK120" s="231"/>
      <c r="SHL120" s="231"/>
      <c r="SHM120" s="231"/>
      <c r="SHN120" s="231"/>
      <c r="SHO120" s="231"/>
      <c r="SHP120" s="231"/>
      <c r="SHQ120" s="231"/>
      <c r="SHR120" s="231"/>
      <c r="SHS120" s="231"/>
      <c r="SHT120" s="231"/>
      <c r="SHU120" s="231"/>
      <c r="SHV120" s="231"/>
      <c r="SHW120" s="231"/>
      <c r="SHX120" s="231"/>
      <c r="SHY120" s="231"/>
      <c r="SHZ120" s="231"/>
      <c r="SIA120" s="231"/>
      <c r="SIB120" s="231"/>
      <c r="SIC120" s="231"/>
      <c r="SID120" s="231"/>
      <c r="SIE120" s="231"/>
      <c r="SIF120" s="231"/>
      <c r="SIG120" s="231"/>
      <c r="SIH120" s="231"/>
      <c r="SII120" s="231"/>
      <c r="SIJ120" s="231"/>
      <c r="SIK120" s="231"/>
      <c r="SIL120" s="231"/>
      <c r="SIM120" s="231"/>
      <c r="SIN120" s="231"/>
      <c r="SIO120" s="231"/>
      <c r="SIP120" s="231"/>
      <c r="SIQ120" s="231"/>
      <c r="SIR120" s="231"/>
      <c r="SIS120" s="231"/>
      <c r="SIT120" s="231"/>
      <c r="SIU120" s="231"/>
      <c r="SIV120" s="231"/>
      <c r="SIW120" s="231"/>
      <c r="SIX120" s="231"/>
      <c r="SIY120" s="231"/>
      <c r="SIZ120" s="231"/>
      <c r="SJA120" s="231"/>
      <c r="SJB120" s="231"/>
      <c r="SJC120" s="231"/>
      <c r="SJD120" s="231"/>
      <c r="SJE120" s="231"/>
      <c r="SJF120" s="231"/>
      <c r="SJG120" s="231"/>
      <c r="SJH120" s="231"/>
      <c r="SJI120" s="231"/>
      <c r="SJJ120" s="231"/>
      <c r="SJK120" s="231"/>
      <c r="SJL120" s="231"/>
      <c r="SJM120" s="231"/>
      <c r="SJN120" s="231"/>
      <c r="SJO120" s="231"/>
      <c r="SJP120" s="231"/>
      <c r="SJQ120" s="231"/>
      <c r="SJR120" s="231"/>
      <c r="SJS120" s="231"/>
      <c r="SJT120" s="231"/>
      <c r="SJU120" s="231"/>
      <c r="SJV120" s="231"/>
      <c r="SJW120" s="231"/>
      <c r="SJX120" s="231"/>
      <c r="SJY120" s="231"/>
      <c r="SJZ120" s="231"/>
      <c r="SKA120" s="231"/>
      <c r="SKB120" s="231"/>
      <c r="SKC120" s="231"/>
      <c r="SKD120" s="231"/>
      <c r="SKE120" s="231"/>
      <c r="SKF120" s="231"/>
      <c r="SKG120" s="231"/>
      <c r="SKH120" s="231"/>
      <c r="SKI120" s="231"/>
      <c r="SKJ120" s="231"/>
      <c r="SKK120" s="231"/>
      <c r="SKL120" s="231"/>
      <c r="SKM120" s="231"/>
      <c r="SKN120" s="231"/>
      <c r="SKO120" s="231"/>
      <c r="SKP120" s="231"/>
      <c r="SKQ120" s="231"/>
      <c r="SKR120" s="231"/>
      <c r="SKS120" s="231"/>
      <c r="SKT120" s="231"/>
      <c r="SKU120" s="231"/>
      <c r="SKV120" s="231"/>
      <c r="SKW120" s="231"/>
      <c r="SKX120" s="231"/>
      <c r="SKY120" s="231"/>
      <c r="SKZ120" s="231"/>
      <c r="SLA120" s="231"/>
      <c r="SLB120" s="231"/>
      <c r="SLC120" s="231"/>
      <c r="SLD120" s="231"/>
      <c r="SLE120" s="231"/>
      <c r="SLF120" s="231"/>
      <c r="SLG120" s="231"/>
      <c r="SLH120" s="231"/>
      <c r="SLI120" s="231"/>
      <c r="SLJ120" s="231"/>
      <c r="SLK120" s="231"/>
      <c r="SLL120" s="231"/>
      <c r="SLM120" s="231"/>
      <c r="SLN120" s="231"/>
      <c r="SLO120" s="231"/>
      <c r="SLP120" s="231"/>
      <c r="SLQ120" s="231"/>
      <c r="SLR120" s="231"/>
      <c r="SLS120" s="231"/>
      <c r="SLT120" s="231"/>
      <c r="SLU120" s="231"/>
      <c r="SLV120" s="231"/>
      <c r="SLW120" s="231"/>
      <c r="SLX120" s="231"/>
      <c r="SLY120" s="231"/>
      <c r="SLZ120" s="231"/>
      <c r="SMA120" s="231"/>
      <c r="SMB120" s="231"/>
      <c r="SMC120" s="231"/>
      <c r="SMD120" s="231"/>
      <c r="SME120" s="231"/>
      <c r="SMF120" s="231"/>
      <c r="SMG120" s="231"/>
      <c r="SMH120" s="231"/>
      <c r="SMI120" s="231"/>
      <c r="SMJ120" s="231"/>
      <c r="SMK120" s="231"/>
      <c r="SML120" s="231"/>
      <c r="SMM120" s="231"/>
      <c r="SMN120" s="231"/>
      <c r="SMO120" s="231"/>
      <c r="SMP120" s="231"/>
      <c r="SMQ120" s="231"/>
      <c r="SMR120" s="231"/>
      <c r="SMS120" s="231"/>
      <c r="SMT120" s="231"/>
      <c r="SMU120" s="231"/>
      <c r="SMV120" s="231"/>
      <c r="SMW120" s="231"/>
      <c r="SMX120" s="231"/>
      <c r="SMY120" s="231"/>
      <c r="SMZ120" s="231"/>
      <c r="SNA120" s="231"/>
      <c r="SNB120" s="231"/>
      <c r="SNC120" s="231"/>
      <c r="SND120" s="231"/>
      <c r="SNE120" s="231"/>
      <c r="SNF120" s="231"/>
      <c r="SNG120" s="231"/>
      <c r="SNH120" s="231"/>
      <c r="SNI120" s="231"/>
      <c r="SNJ120" s="231"/>
      <c r="SNK120" s="231"/>
      <c r="SNL120" s="231"/>
      <c r="SNM120" s="231"/>
      <c r="SNN120" s="231"/>
      <c r="SNO120" s="231"/>
      <c r="SNP120" s="231"/>
      <c r="SNQ120" s="231"/>
      <c r="SNR120" s="231"/>
      <c r="SNS120" s="231"/>
      <c r="SNT120" s="231"/>
      <c r="SNU120" s="231"/>
      <c r="SNV120" s="231"/>
      <c r="SNW120" s="231"/>
      <c r="SNX120" s="231"/>
      <c r="SNY120" s="231"/>
      <c r="SNZ120" s="231"/>
      <c r="SOA120" s="231"/>
      <c r="SOB120" s="231"/>
      <c r="SOC120" s="231"/>
      <c r="SOD120" s="231"/>
      <c r="SOE120" s="231"/>
      <c r="SOF120" s="231"/>
      <c r="SOG120" s="231"/>
      <c r="SOH120" s="231"/>
      <c r="SOI120" s="231"/>
      <c r="SOJ120" s="231"/>
      <c r="SOK120" s="231"/>
      <c r="SOL120" s="231"/>
      <c r="SOM120" s="231"/>
      <c r="SON120" s="231"/>
      <c r="SOO120" s="231"/>
      <c r="SOP120" s="231"/>
      <c r="SOQ120" s="231"/>
      <c r="SOR120" s="231"/>
      <c r="SOS120" s="231"/>
      <c r="SOT120" s="231"/>
      <c r="SOU120" s="231"/>
      <c r="SOV120" s="231"/>
      <c r="SOW120" s="231"/>
      <c r="SOX120" s="231"/>
      <c r="SOY120" s="231"/>
      <c r="SOZ120" s="231"/>
      <c r="SPA120" s="231"/>
      <c r="SPB120" s="231"/>
      <c r="SPC120" s="231"/>
      <c r="SPD120" s="231"/>
      <c r="SPE120" s="231"/>
      <c r="SPF120" s="231"/>
      <c r="SPG120" s="231"/>
      <c r="SPH120" s="231"/>
      <c r="SPI120" s="231"/>
      <c r="SPJ120" s="231"/>
      <c r="SPK120" s="231"/>
      <c r="SPL120" s="231"/>
      <c r="SPM120" s="231"/>
      <c r="SPN120" s="231"/>
      <c r="SPO120" s="231"/>
      <c r="SPP120" s="231"/>
      <c r="SPQ120" s="231"/>
      <c r="SPR120" s="231"/>
      <c r="SPS120" s="231"/>
      <c r="SPT120" s="231"/>
      <c r="SPU120" s="231"/>
      <c r="SPV120" s="231"/>
      <c r="SPW120" s="231"/>
      <c r="SPX120" s="231"/>
      <c r="SPY120" s="231"/>
      <c r="SPZ120" s="231"/>
      <c r="SQA120" s="231"/>
      <c r="SQB120" s="231"/>
      <c r="SQC120" s="231"/>
      <c r="SQD120" s="231"/>
      <c r="SQE120" s="231"/>
      <c r="SQF120" s="231"/>
      <c r="SQG120" s="231"/>
      <c r="SQH120" s="231"/>
      <c r="SQI120" s="231"/>
      <c r="SQJ120" s="231"/>
      <c r="SQK120" s="231"/>
      <c r="SQL120" s="231"/>
      <c r="SQM120" s="231"/>
      <c r="SQN120" s="231"/>
      <c r="SQO120" s="231"/>
      <c r="SQP120" s="231"/>
      <c r="SQQ120" s="231"/>
      <c r="SQR120" s="231"/>
      <c r="SQS120" s="231"/>
      <c r="SQT120" s="231"/>
      <c r="SQU120" s="231"/>
      <c r="SQV120" s="231"/>
      <c r="SQW120" s="231"/>
      <c r="SQX120" s="231"/>
      <c r="SQY120" s="231"/>
      <c r="SQZ120" s="231"/>
      <c r="SRA120" s="231"/>
      <c r="SRB120" s="231"/>
      <c r="SRC120" s="231"/>
      <c r="SRD120" s="231"/>
      <c r="SRE120" s="231"/>
      <c r="SRF120" s="231"/>
      <c r="SRG120" s="231"/>
      <c r="SRH120" s="231"/>
      <c r="SRI120" s="231"/>
      <c r="SRJ120" s="231"/>
      <c r="SRK120" s="231"/>
      <c r="SRL120" s="231"/>
      <c r="SRM120" s="231"/>
      <c r="SRN120" s="231"/>
      <c r="SRO120" s="231"/>
      <c r="SRP120" s="231"/>
      <c r="SRQ120" s="231"/>
      <c r="SRR120" s="231"/>
      <c r="SRS120" s="231"/>
      <c r="SRT120" s="231"/>
      <c r="SRU120" s="231"/>
      <c r="SRV120" s="231"/>
      <c r="SRW120" s="231"/>
      <c r="SRX120" s="231"/>
      <c r="SRY120" s="231"/>
      <c r="SRZ120" s="231"/>
      <c r="SSA120" s="231"/>
      <c r="SSB120" s="231"/>
      <c r="SSC120" s="231"/>
      <c r="SSD120" s="231"/>
      <c r="SSE120" s="231"/>
      <c r="SSF120" s="231"/>
      <c r="SSG120" s="231"/>
      <c r="SSH120" s="231"/>
      <c r="SSI120" s="231"/>
      <c r="SSJ120" s="231"/>
      <c r="SSK120" s="231"/>
      <c r="SSL120" s="231"/>
      <c r="SSM120" s="231"/>
      <c r="SSN120" s="231"/>
      <c r="SSO120" s="231"/>
      <c r="SSP120" s="231"/>
      <c r="SSQ120" s="231"/>
      <c r="SSR120" s="231"/>
      <c r="SSS120" s="231"/>
      <c r="SST120" s="231"/>
      <c r="SSU120" s="231"/>
      <c r="SSV120" s="231"/>
      <c r="SSW120" s="231"/>
      <c r="SSX120" s="231"/>
      <c r="SSY120" s="231"/>
      <c r="SSZ120" s="231"/>
      <c r="STA120" s="231"/>
      <c r="STB120" s="231"/>
      <c r="STC120" s="231"/>
      <c r="STD120" s="231"/>
      <c r="STE120" s="231"/>
      <c r="STF120" s="231"/>
      <c r="STG120" s="231"/>
      <c r="STH120" s="231"/>
      <c r="STI120" s="231"/>
      <c r="STJ120" s="231"/>
      <c r="STK120" s="231"/>
      <c r="STL120" s="231"/>
      <c r="STM120" s="231"/>
      <c r="STN120" s="231"/>
      <c r="STO120" s="231"/>
      <c r="STP120" s="231"/>
      <c r="STQ120" s="231"/>
      <c r="STR120" s="231"/>
      <c r="STS120" s="231"/>
      <c r="STT120" s="231"/>
      <c r="STU120" s="231"/>
      <c r="STV120" s="231"/>
      <c r="STW120" s="231"/>
      <c r="STX120" s="231"/>
      <c r="STY120" s="231"/>
      <c r="STZ120" s="231"/>
      <c r="SUA120" s="231"/>
      <c r="SUB120" s="231"/>
      <c r="SUC120" s="231"/>
      <c r="SUD120" s="231"/>
      <c r="SUE120" s="231"/>
      <c r="SUF120" s="231"/>
      <c r="SUG120" s="231"/>
      <c r="SUH120" s="231"/>
      <c r="SUI120" s="231"/>
      <c r="SUJ120" s="231"/>
      <c r="SUK120" s="231"/>
      <c r="SUL120" s="231"/>
      <c r="SUM120" s="231"/>
      <c r="SUN120" s="231"/>
      <c r="SUO120" s="231"/>
      <c r="SUP120" s="231"/>
      <c r="SUQ120" s="231"/>
      <c r="SUR120" s="231"/>
      <c r="SUS120" s="231"/>
      <c r="SUT120" s="231"/>
      <c r="SUU120" s="231"/>
      <c r="SUV120" s="231"/>
      <c r="SUW120" s="231"/>
      <c r="SUX120" s="231"/>
      <c r="SUY120" s="231"/>
      <c r="SUZ120" s="231"/>
      <c r="SVA120" s="231"/>
      <c r="SVB120" s="231"/>
      <c r="SVC120" s="231"/>
      <c r="SVD120" s="231"/>
      <c r="SVE120" s="231"/>
      <c r="SVF120" s="231"/>
      <c r="SVG120" s="231"/>
      <c r="SVH120" s="231"/>
      <c r="SVI120" s="231"/>
      <c r="SVJ120" s="231"/>
      <c r="SVK120" s="231"/>
      <c r="SVL120" s="231"/>
      <c r="SVM120" s="231"/>
      <c r="SVN120" s="231"/>
      <c r="SVO120" s="231"/>
      <c r="SVP120" s="231"/>
      <c r="SVQ120" s="231"/>
      <c r="SVR120" s="231"/>
      <c r="SVS120" s="231"/>
      <c r="SVT120" s="231"/>
      <c r="SVU120" s="231"/>
      <c r="SVV120" s="231"/>
      <c r="SVW120" s="231"/>
      <c r="SVX120" s="231"/>
      <c r="SVY120" s="231"/>
      <c r="SVZ120" s="231"/>
      <c r="SWA120" s="231"/>
      <c r="SWB120" s="231"/>
      <c r="SWC120" s="231"/>
      <c r="SWD120" s="231"/>
      <c r="SWE120" s="231"/>
      <c r="SWF120" s="231"/>
      <c r="SWG120" s="231"/>
      <c r="SWH120" s="231"/>
      <c r="SWI120" s="231"/>
      <c r="SWJ120" s="231"/>
      <c r="SWK120" s="231"/>
      <c r="SWL120" s="231"/>
      <c r="SWM120" s="231"/>
      <c r="SWN120" s="231"/>
      <c r="SWO120" s="231"/>
      <c r="SWP120" s="231"/>
      <c r="SWQ120" s="231"/>
      <c r="SWR120" s="231"/>
      <c r="SWS120" s="231"/>
      <c r="SWT120" s="231"/>
      <c r="SWU120" s="231"/>
      <c r="SWV120" s="231"/>
      <c r="SWW120" s="231"/>
      <c r="SWX120" s="231"/>
      <c r="SWY120" s="231"/>
      <c r="SWZ120" s="231"/>
      <c r="SXA120" s="231"/>
      <c r="SXB120" s="231"/>
      <c r="SXC120" s="231"/>
      <c r="SXD120" s="231"/>
      <c r="SXE120" s="231"/>
      <c r="SXF120" s="231"/>
      <c r="SXG120" s="231"/>
      <c r="SXH120" s="231"/>
      <c r="SXI120" s="231"/>
      <c r="SXJ120" s="231"/>
      <c r="SXK120" s="231"/>
      <c r="SXL120" s="231"/>
      <c r="SXM120" s="231"/>
      <c r="SXN120" s="231"/>
      <c r="SXO120" s="231"/>
      <c r="SXP120" s="231"/>
      <c r="SXQ120" s="231"/>
      <c r="SXR120" s="231"/>
      <c r="SXS120" s="231"/>
      <c r="SXT120" s="231"/>
      <c r="SXU120" s="231"/>
      <c r="SXV120" s="231"/>
      <c r="SXW120" s="231"/>
      <c r="SXX120" s="231"/>
      <c r="SXY120" s="231"/>
      <c r="SXZ120" s="231"/>
      <c r="SYA120" s="231"/>
      <c r="SYB120" s="231"/>
      <c r="SYC120" s="231"/>
      <c r="SYD120" s="231"/>
      <c r="SYE120" s="231"/>
      <c r="SYF120" s="231"/>
      <c r="SYG120" s="231"/>
      <c r="SYH120" s="231"/>
      <c r="SYI120" s="231"/>
      <c r="SYJ120" s="231"/>
      <c r="SYK120" s="231"/>
      <c r="SYL120" s="231"/>
      <c r="SYM120" s="231"/>
      <c r="SYN120" s="231"/>
      <c r="SYO120" s="231"/>
      <c r="SYP120" s="231"/>
      <c r="SYQ120" s="231"/>
      <c r="SYR120" s="231"/>
      <c r="SYS120" s="231"/>
      <c r="SYT120" s="231"/>
      <c r="SYU120" s="231"/>
      <c r="SYV120" s="231"/>
      <c r="SYW120" s="231"/>
      <c r="SYX120" s="231"/>
      <c r="SYY120" s="231"/>
      <c r="SYZ120" s="231"/>
      <c r="SZA120" s="231"/>
      <c r="SZB120" s="231"/>
      <c r="SZC120" s="231"/>
      <c r="SZD120" s="231"/>
      <c r="SZE120" s="231"/>
      <c r="SZF120" s="231"/>
      <c r="SZG120" s="231"/>
      <c r="SZH120" s="231"/>
      <c r="SZI120" s="231"/>
      <c r="SZJ120" s="231"/>
      <c r="SZK120" s="231"/>
      <c r="SZL120" s="231"/>
      <c r="SZM120" s="231"/>
      <c r="SZN120" s="231"/>
      <c r="SZO120" s="231"/>
      <c r="SZP120" s="231"/>
      <c r="SZQ120" s="231"/>
      <c r="SZR120" s="231"/>
      <c r="SZS120" s="231"/>
      <c r="SZT120" s="231"/>
      <c r="SZU120" s="231"/>
      <c r="SZV120" s="231"/>
      <c r="SZW120" s="231"/>
      <c r="SZX120" s="231"/>
      <c r="SZY120" s="231"/>
      <c r="SZZ120" s="231"/>
      <c r="TAA120" s="231"/>
      <c r="TAB120" s="231"/>
      <c r="TAC120" s="231"/>
      <c r="TAD120" s="231"/>
      <c r="TAE120" s="231"/>
      <c r="TAF120" s="231"/>
      <c r="TAG120" s="231"/>
      <c r="TAH120" s="231"/>
      <c r="TAI120" s="231"/>
      <c r="TAJ120" s="231"/>
      <c r="TAK120" s="231"/>
      <c r="TAL120" s="231"/>
      <c r="TAM120" s="231"/>
      <c r="TAN120" s="231"/>
      <c r="TAO120" s="231"/>
      <c r="TAP120" s="231"/>
      <c r="TAQ120" s="231"/>
      <c r="TAR120" s="231"/>
      <c r="TAS120" s="231"/>
      <c r="TAT120" s="231"/>
      <c r="TAU120" s="231"/>
      <c r="TAV120" s="231"/>
      <c r="TAW120" s="231"/>
      <c r="TAX120" s="231"/>
      <c r="TAY120" s="231"/>
      <c r="TAZ120" s="231"/>
      <c r="TBA120" s="231"/>
      <c r="TBB120" s="231"/>
      <c r="TBC120" s="231"/>
      <c r="TBD120" s="231"/>
      <c r="TBE120" s="231"/>
      <c r="TBF120" s="231"/>
      <c r="TBG120" s="231"/>
      <c r="TBH120" s="231"/>
      <c r="TBI120" s="231"/>
      <c r="TBJ120" s="231"/>
      <c r="TBK120" s="231"/>
      <c r="TBL120" s="231"/>
      <c r="TBM120" s="231"/>
      <c r="TBN120" s="231"/>
      <c r="TBO120" s="231"/>
      <c r="TBP120" s="231"/>
      <c r="TBQ120" s="231"/>
      <c r="TBR120" s="231"/>
      <c r="TBS120" s="231"/>
      <c r="TBT120" s="231"/>
      <c r="TBU120" s="231"/>
      <c r="TBV120" s="231"/>
      <c r="TBW120" s="231"/>
      <c r="TBX120" s="231"/>
      <c r="TBY120" s="231"/>
      <c r="TBZ120" s="231"/>
      <c r="TCA120" s="231"/>
      <c r="TCB120" s="231"/>
      <c r="TCC120" s="231"/>
      <c r="TCD120" s="231"/>
      <c r="TCE120" s="231"/>
      <c r="TCF120" s="231"/>
      <c r="TCG120" s="231"/>
      <c r="TCH120" s="231"/>
      <c r="TCI120" s="231"/>
      <c r="TCJ120" s="231"/>
      <c r="TCK120" s="231"/>
      <c r="TCL120" s="231"/>
      <c r="TCM120" s="231"/>
      <c r="TCN120" s="231"/>
      <c r="TCO120" s="231"/>
      <c r="TCP120" s="231"/>
      <c r="TCQ120" s="231"/>
      <c r="TCR120" s="231"/>
      <c r="TCS120" s="231"/>
      <c r="TCT120" s="231"/>
      <c r="TCU120" s="231"/>
      <c r="TCV120" s="231"/>
      <c r="TCW120" s="231"/>
      <c r="TCX120" s="231"/>
      <c r="TCY120" s="231"/>
      <c r="TCZ120" s="231"/>
      <c r="TDA120" s="231"/>
      <c r="TDB120" s="231"/>
      <c r="TDC120" s="231"/>
      <c r="TDD120" s="231"/>
      <c r="TDE120" s="231"/>
      <c r="TDF120" s="231"/>
      <c r="TDG120" s="231"/>
      <c r="TDH120" s="231"/>
      <c r="TDI120" s="231"/>
      <c r="TDJ120" s="231"/>
      <c r="TDK120" s="231"/>
      <c r="TDL120" s="231"/>
      <c r="TDM120" s="231"/>
      <c r="TDN120" s="231"/>
      <c r="TDO120" s="231"/>
      <c r="TDP120" s="231"/>
      <c r="TDQ120" s="231"/>
      <c r="TDR120" s="231"/>
      <c r="TDS120" s="231"/>
      <c r="TDT120" s="231"/>
      <c r="TDU120" s="231"/>
      <c r="TDV120" s="231"/>
      <c r="TDW120" s="231"/>
      <c r="TDX120" s="231"/>
      <c r="TDY120" s="231"/>
      <c r="TDZ120" s="231"/>
      <c r="TEA120" s="231"/>
      <c r="TEB120" s="231"/>
      <c r="TEC120" s="231"/>
      <c r="TED120" s="231"/>
      <c r="TEE120" s="231"/>
      <c r="TEF120" s="231"/>
      <c r="TEG120" s="231"/>
      <c r="TEH120" s="231"/>
      <c r="TEI120" s="231"/>
      <c r="TEJ120" s="231"/>
      <c r="TEK120" s="231"/>
      <c r="TEL120" s="231"/>
      <c r="TEM120" s="231"/>
      <c r="TEN120" s="231"/>
      <c r="TEO120" s="231"/>
      <c r="TEP120" s="231"/>
      <c r="TEQ120" s="231"/>
      <c r="TER120" s="231"/>
      <c r="TES120" s="231"/>
      <c r="TET120" s="231"/>
      <c r="TEU120" s="231"/>
      <c r="TEV120" s="231"/>
      <c r="TEW120" s="231"/>
      <c r="TEX120" s="231"/>
      <c r="TEY120" s="231"/>
      <c r="TEZ120" s="231"/>
      <c r="TFA120" s="231"/>
      <c r="TFB120" s="231"/>
      <c r="TFC120" s="231"/>
      <c r="TFD120" s="231"/>
      <c r="TFE120" s="231"/>
      <c r="TFF120" s="231"/>
      <c r="TFG120" s="231"/>
      <c r="TFH120" s="231"/>
      <c r="TFI120" s="231"/>
      <c r="TFJ120" s="231"/>
      <c r="TFK120" s="231"/>
      <c r="TFL120" s="231"/>
      <c r="TFM120" s="231"/>
      <c r="TFN120" s="231"/>
      <c r="TFO120" s="231"/>
      <c r="TFP120" s="231"/>
      <c r="TFQ120" s="231"/>
      <c r="TFR120" s="231"/>
      <c r="TFS120" s="231"/>
      <c r="TFT120" s="231"/>
      <c r="TFU120" s="231"/>
      <c r="TFV120" s="231"/>
      <c r="TFW120" s="231"/>
      <c r="TFX120" s="231"/>
      <c r="TFY120" s="231"/>
      <c r="TFZ120" s="231"/>
      <c r="TGA120" s="231"/>
      <c r="TGB120" s="231"/>
      <c r="TGC120" s="231"/>
      <c r="TGD120" s="231"/>
      <c r="TGE120" s="231"/>
      <c r="TGF120" s="231"/>
      <c r="TGG120" s="231"/>
      <c r="TGH120" s="231"/>
      <c r="TGI120" s="231"/>
      <c r="TGJ120" s="231"/>
      <c r="TGK120" s="231"/>
      <c r="TGL120" s="231"/>
      <c r="TGM120" s="231"/>
      <c r="TGN120" s="231"/>
      <c r="TGO120" s="231"/>
      <c r="TGP120" s="231"/>
      <c r="TGQ120" s="231"/>
      <c r="TGR120" s="231"/>
      <c r="TGS120" s="231"/>
      <c r="TGT120" s="231"/>
      <c r="TGU120" s="231"/>
      <c r="TGV120" s="231"/>
      <c r="TGW120" s="231"/>
      <c r="TGX120" s="231"/>
      <c r="TGY120" s="231"/>
      <c r="TGZ120" s="231"/>
      <c r="THA120" s="231"/>
      <c r="THB120" s="231"/>
      <c r="THC120" s="231"/>
      <c r="THD120" s="231"/>
      <c r="THE120" s="231"/>
      <c r="THF120" s="231"/>
      <c r="THG120" s="231"/>
      <c r="THH120" s="231"/>
      <c r="THI120" s="231"/>
      <c r="THJ120" s="231"/>
      <c r="THK120" s="231"/>
      <c r="THL120" s="231"/>
      <c r="THM120" s="231"/>
      <c r="THN120" s="231"/>
      <c r="THO120" s="231"/>
      <c r="THP120" s="231"/>
      <c r="THQ120" s="231"/>
      <c r="THR120" s="231"/>
      <c r="THS120" s="231"/>
      <c r="THT120" s="231"/>
      <c r="THU120" s="231"/>
      <c r="THV120" s="231"/>
      <c r="THW120" s="231"/>
      <c r="THX120" s="231"/>
      <c r="THY120" s="231"/>
      <c r="THZ120" s="231"/>
      <c r="TIA120" s="231"/>
      <c r="TIB120" s="231"/>
      <c r="TIC120" s="231"/>
      <c r="TID120" s="231"/>
      <c r="TIE120" s="231"/>
      <c r="TIF120" s="231"/>
      <c r="TIG120" s="231"/>
      <c r="TIH120" s="231"/>
      <c r="TII120" s="231"/>
      <c r="TIJ120" s="231"/>
      <c r="TIK120" s="231"/>
      <c r="TIL120" s="231"/>
      <c r="TIM120" s="231"/>
      <c r="TIN120" s="231"/>
      <c r="TIO120" s="231"/>
      <c r="TIP120" s="231"/>
      <c r="TIQ120" s="231"/>
      <c r="TIR120" s="231"/>
      <c r="TIS120" s="231"/>
      <c r="TIT120" s="231"/>
      <c r="TIU120" s="231"/>
      <c r="TIV120" s="231"/>
      <c r="TIW120" s="231"/>
      <c r="TIX120" s="231"/>
      <c r="TIY120" s="231"/>
      <c r="TIZ120" s="231"/>
      <c r="TJA120" s="231"/>
      <c r="TJB120" s="231"/>
      <c r="TJC120" s="231"/>
      <c r="TJD120" s="231"/>
      <c r="TJE120" s="231"/>
      <c r="TJF120" s="231"/>
      <c r="TJG120" s="231"/>
      <c r="TJH120" s="231"/>
      <c r="TJI120" s="231"/>
      <c r="TJJ120" s="231"/>
      <c r="TJK120" s="231"/>
      <c r="TJL120" s="231"/>
      <c r="TJM120" s="231"/>
      <c r="TJN120" s="231"/>
      <c r="TJO120" s="231"/>
      <c r="TJP120" s="231"/>
      <c r="TJQ120" s="231"/>
      <c r="TJR120" s="231"/>
      <c r="TJS120" s="231"/>
      <c r="TJT120" s="231"/>
      <c r="TJU120" s="231"/>
      <c r="TJV120" s="231"/>
      <c r="TJW120" s="231"/>
      <c r="TJX120" s="231"/>
      <c r="TJY120" s="231"/>
      <c r="TJZ120" s="231"/>
      <c r="TKA120" s="231"/>
      <c r="TKB120" s="231"/>
      <c r="TKC120" s="231"/>
      <c r="TKD120" s="231"/>
      <c r="TKE120" s="231"/>
      <c r="TKF120" s="231"/>
      <c r="TKG120" s="231"/>
      <c r="TKH120" s="231"/>
      <c r="TKI120" s="231"/>
      <c r="TKJ120" s="231"/>
      <c r="TKK120" s="231"/>
      <c r="TKL120" s="231"/>
      <c r="TKM120" s="231"/>
      <c r="TKN120" s="231"/>
      <c r="TKO120" s="231"/>
      <c r="TKP120" s="231"/>
      <c r="TKQ120" s="231"/>
      <c r="TKR120" s="231"/>
      <c r="TKS120" s="231"/>
      <c r="TKT120" s="231"/>
      <c r="TKU120" s="231"/>
      <c r="TKV120" s="231"/>
      <c r="TKW120" s="231"/>
      <c r="TKX120" s="231"/>
      <c r="TKY120" s="231"/>
      <c r="TKZ120" s="231"/>
      <c r="TLA120" s="231"/>
      <c r="TLB120" s="231"/>
      <c r="TLC120" s="231"/>
      <c r="TLD120" s="231"/>
      <c r="TLE120" s="231"/>
      <c r="TLF120" s="231"/>
      <c r="TLG120" s="231"/>
      <c r="TLH120" s="231"/>
      <c r="TLI120" s="231"/>
      <c r="TLJ120" s="231"/>
      <c r="TLK120" s="231"/>
      <c r="TLL120" s="231"/>
      <c r="TLM120" s="231"/>
      <c r="TLN120" s="231"/>
      <c r="TLO120" s="231"/>
      <c r="TLP120" s="231"/>
      <c r="TLQ120" s="231"/>
      <c r="TLR120" s="231"/>
      <c r="TLS120" s="231"/>
      <c r="TLT120" s="231"/>
      <c r="TLU120" s="231"/>
      <c r="TLV120" s="231"/>
      <c r="TLW120" s="231"/>
      <c r="TLX120" s="231"/>
      <c r="TLY120" s="231"/>
      <c r="TLZ120" s="231"/>
      <c r="TMA120" s="231"/>
      <c r="TMB120" s="231"/>
      <c r="TMC120" s="231"/>
      <c r="TMD120" s="231"/>
      <c r="TME120" s="231"/>
      <c r="TMF120" s="231"/>
      <c r="TMG120" s="231"/>
      <c r="TMH120" s="231"/>
      <c r="TMI120" s="231"/>
      <c r="TMJ120" s="231"/>
      <c r="TMK120" s="231"/>
      <c r="TML120" s="231"/>
      <c r="TMM120" s="231"/>
      <c r="TMN120" s="231"/>
      <c r="TMO120" s="231"/>
      <c r="TMP120" s="231"/>
      <c r="TMQ120" s="231"/>
      <c r="TMR120" s="231"/>
      <c r="TMS120" s="231"/>
      <c r="TMT120" s="231"/>
      <c r="TMU120" s="231"/>
      <c r="TMV120" s="231"/>
      <c r="TMW120" s="231"/>
      <c r="TMX120" s="231"/>
      <c r="TMY120" s="231"/>
      <c r="TMZ120" s="231"/>
      <c r="TNA120" s="231"/>
      <c r="TNB120" s="231"/>
      <c r="TNC120" s="231"/>
      <c r="TND120" s="231"/>
      <c r="TNE120" s="231"/>
      <c r="TNF120" s="231"/>
      <c r="TNG120" s="231"/>
      <c r="TNH120" s="231"/>
      <c r="TNI120" s="231"/>
      <c r="TNJ120" s="231"/>
      <c r="TNK120" s="231"/>
      <c r="TNL120" s="231"/>
      <c r="TNM120" s="231"/>
      <c r="TNN120" s="231"/>
      <c r="TNO120" s="231"/>
      <c r="TNP120" s="231"/>
      <c r="TNQ120" s="231"/>
      <c r="TNR120" s="231"/>
      <c r="TNS120" s="231"/>
      <c r="TNT120" s="231"/>
      <c r="TNU120" s="231"/>
      <c r="TNV120" s="231"/>
      <c r="TNW120" s="231"/>
      <c r="TNX120" s="231"/>
      <c r="TNY120" s="231"/>
      <c r="TNZ120" s="231"/>
      <c r="TOA120" s="231"/>
      <c r="TOB120" s="231"/>
      <c r="TOC120" s="231"/>
      <c r="TOD120" s="231"/>
      <c r="TOE120" s="231"/>
      <c r="TOF120" s="231"/>
      <c r="TOG120" s="231"/>
      <c r="TOH120" s="231"/>
      <c r="TOI120" s="231"/>
      <c r="TOJ120" s="231"/>
      <c r="TOK120" s="231"/>
      <c r="TOL120" s="231"/>
      <c r="TOM120" s="231"/>
      <c r="TON120" s="231"/>
      <c r="TOO120" s="231"/>
      <c r="TOP120" s="231"/>
      <c r="TOQ120" s="231"/>
      <c r="TOR120" s="231"/>
      <c r="TOS120" s="231"/>
      <c r="TOT120" s="231"/>
      <c r="TOU120" s="231"/>
      <c r="TOV120" s="231"/>
      <c r="TOW120" s="231"/>
      <c r="TOX120" s="231"/>
      <c r="TOY120" s="231"/>
      <c r="TOZ120" s="231"/>
      <c r="TPA120" s="231"/>
      <c r="TPB120" s="231"/>
      <c r="TPC120" s="231"/>
      <c r="TPD120" s="231"/>
      <c r="TPE120" s="231"/>
      <c r="TPF120" s="231"/>
      <c r="TPG120" s="231"/>
      <c r="TPH120" s="231"/>
      <c r="TPI120" s="231"/>
      <c r="TPJ120" s="231"/>
      <c r="TPK120" s="231"/>
      <c r="TPL120" s="231"/>
      <c r="TPM120" s="231"/>
      <c r="TPN120" s="231"/>
      <c r="TPO120" s="231"/>
      <c r="TPP120" s="231"/>
      <c r="TPQ120" s="231"/>
      <c r="TPR120" s="231"/>
      <c r="TPS120" s="231"/>
      <c r="TPT120" s="231"/>
      <c r="TPU120" s="231"/>
      <c r="TPV120" s="231"/>
      <c r="TPW120" s="231"/>
      <c r="TPX120" s="231"/>
      <c r="TPY120" s="231"/>
      <c r="TPZ120" s="231"/>
      <c r="TQA120" s="231"/>
      <c r="TQB120" s="231"/>
      <c r="TQC120" s="231"/>
      <c r="TQD120" s="231"/>
      <c r="TQE120" s="231"/>
      <c r="TQF120" s="231"/>
      <c r="TQG120" s="231"/>
      <c r="TQH120" s="231"/>
      <c r="TQI120" s="231"/>
      <c r="TQJ120" s="231"/>
      <c r="TQK120" s="231"/>
      <c r="TQL120" s="231"/>
      <c r="TQM120" s="231"/>
      <c r="TQN120" s="231"/>
      <c r="TQO120" s="231"/>
      <c r="TQP120" s="231"/>
      <c r="TQQ120" s="231"/>
      <c r="TQR120" s="231"/>
      <c r="TQS120" s="231"/>
      <c r="TQT120" s="231"/>
      <c r="TQU120" s="231"/>
      <c r="TQV120" s="231"/>
      <c r="TQW120" s="231"/>
      <c r="TQX120" s="231"/>
      <c r="TQY120" s="231"/>
      <c r="TQZ120" s="231"/>
      <c r="TRA120" s="231"/>
      <c r="TRB120" s="231"/>
      <c r="TRC120" s="231"/>
      <c r="TRD120" s="231"/>
      <c r="TRE120" s="231"/>
      <c r="TRF120" s="231"/>
      <c r="TRG120" s="231"/>
      <c r="TRH120" s="231"/>
      <c r="TRI120" s="231"/>
      <c r="TRJ120" s="231"/>
      <c r="TRK120" s="231"/>
      <c r="TRL120" s="231"/>
      <c r="TRM120" s="231"/>
      <c r="TRN120" s="231"/>
      <c r="TRO120" s="231"/>
      <c r="TRP120" s="231"/>
      <c r="TRQ120" s="231"/>
      <c r="TRR120" s="231"/>
      <c r="TRS120" s="231"/>
      <c r="TRT120" s="231"/>
      <c r="TRU120" s="231"/>
      <c r="TRV120" s="231"/>
      <c r="TRW120" s="231"/>
      <c r="TRX120" s="231"/>
      <c r="TRY120" s="231"/>
      <c r="TRZ120" s="231"/>
      <c r="TSA120" s="231"/>
      <c r="TSB120" s="231"/>
      <c r="TSC120" s="231"/>
      <c r="TSD120" s="231"/>
      <c r="TSE120" s="231"/>
      <c r="TSF120" s="231"/>
      <c r="TSG120" s="231"/>
      <c r="TSH120" s="231"/>
      <c r="TSI120" s="231"/>
      <c r="TSJ120" s="231"/>
      <c r="TSK120" s="231"/>
      <c r="TSL120" s="231"/>
      <c r="TSM120" s="231"/>
      <c r="TSN120" s="231"/>
      <c r="TSO120" s="231"/>
      <c r="TSP120" s="231"/>
      <c r="TSQ120" s="231"/>
      <c r="TSR120" s="231"/>
      <c r="TSS120" s="231"/>
      <c r="TST120" s="231"/>
      <c r="TSU120" s="231"/>
      <c r="TSV120" s="231"/>
      <c r="TSW120" s="231"/>
      <c r="TSX120" s="231"/>
      <c r="TSY120" s="231"/>
      <c r="TSZ120" s="231"/>
      <c r="TTA120" s="231"/>
      <c r="TTB120" s="231"/>
      <c r="TTC120" s="231"/>
      <c r="TTD120" s="231"/>
      <c r="TTE120" s="231"/>
      <c r="TTF120" s="231"/>
      <c r="TTG120" s="231"/>
      <c r="TTH120" s="231"/>
      <c r="TTI120" s="231"/>
      <c r="TTJ120" s="231"/>
      <c r="TTK120" s="231"/>
      <c r="TTL120" s="231"/>
      <c r="TTM120" s="231"/>
      <c r="TTN120" s="231"/>
      <c r="TTO120" s="231"/>
      <c r="TTP120" s="231"/>
      <c r="TTQ120" s="231"/>
      <c r="TTR120" s="231"/>
      <c r="TTS120" s="231"/>
      <c r="TTT120" s="231"/>
      <c r="TTU120" s="231"/>
      <c r="TTV120" s="231"/>
      <c r="TTW120" s="231"/>
      <c r="TTX120" s="231"/>
      <c r="TTY120" s="231"/>
      <c r="TTZ120" s="231"/>
      <c r="TUA120" s="231"/>
      <c r="TUB120" s="231"/>
      <c r="TUC120" s="231"/>
      <c r="TUD120" s="231"/>
      <c r="TUE120" s="231"/>
      <c r="TUF120" s="231"/>
      <c r="TUG120" s="231"/>
      <c r="TUH120" s="231"/>
      <c r="TUI120" s="231"/>
      <c r="TUJ120" s="231"/>
      <c r="TUK120" s="231"/>
      <c r="TUL120" s="231"/>
      <c r="TUM120" s="231"/>
      <c r="TUN120" s="231"/>
      <c r="TUO120" s="231"/>
      <c r="TUP120" s="231"/>
      <c r="TUQ120" s="231"/>
      <c r="TUR120" s="231"/>
      <c r="TUS120" s="231"/>
      <c r="TUT120" s="231"/>
      <c r="TUU120" s="231"/>
      <c r="TUV120" s="231"/>
      <c r="TUW120" s="231"/>
      <c r="TUX120" s="231"/>
      <c r="TUY120" s="231"/>
      <c r="TUZ120" s="231"/>
      <c r="TVA120" s="231"/>
      <c r="TVB120" s="231"/>
      <c r="TVC120" s="231"/>
      <c r="TVD120" s="231"/>
      <c r="TVE120" s="231"/>
      <c r="TVF120" s="231"/>
      <c r="TVG120" s="231"/>
      <c r="TVH120" s="231"/>
      <c r="TVI120" s="231"/>
      <c r="TVJ120" s="231"/>
      <c r="TVK120" s="231"/>
      <c r="TVL120" s="231"/>
      <c r="TVM120" s="231"/>
      <c r="TVN120" s="231"/>
      <c r="TVO120" s="231"/>
      <c r="TVP120" s="231"/>
      <c r="TVQ120" s="231"/>
      <c r="TVR120" s="231"/>
      <c r="TVS120" s="231"/>
      <c r="TVT120" s="231"/>
      <c r="TVU120" s="231"/>
      <c r="TVV120" s="231"/>
      <c r="TVW120" s="231"/>
      <c r="TVX120" s="231"/>
      <c r="TVY120" s="231"/>
      <c r="TVZ120" s="231"/>
      <c r="TWA120" s="231"/>
      <c r="TWB120" s="231"/>
      <c r="TWC120" s="231"/>
      <c r="TWD120" s="231"/>
      <c r="TWE120" s="231"/>
      <c r="TWF120" s="231"/>
      <c r="TWG120" s="231"/>
      <c r="TWH120" s="231"/>
      <c r="TWI120" s="231"/>
      <c r="TWJ120" s="231"/>
      <c r="TWK120" s="231"/>
      <c r="TWL120" s="231"/>
      <c r="TWM120" s="231"/>
      <c r="TWN120" s="231"/>
      <c r="TWO120" s="231"/>
      <c r="TWP120" s="231"/>
      <c r="TWQ120" s="231"/>
      <c r="TWR120" s="231"/>
      <c r="TWS120" s="231"/>
      <c r="TWT120" s="231"/>
      <c r="TWU120" s="231"/>
      <c r="TWV120" s="231"/>
      <c r="TWW120" s="231"/>
      <c r="TWX120" s="231"/>
      <c r="TWY120" s="231"/>
      <c r="TWZ120" s="231"/>
      <c r="TXA120" s="231"/>
      <c r="TXB120" s="231"/>
      <c r="TXC120" s="231"/>
      <c r="TXD120" s="231"/>
      <c r="TXE120" s="231"/>
      <c r="TXF120" s="231"/>
      <c r="TXG120" s="231"/>
      <c r="TXH120" s="231"/>
      <c r="TXI120" s="231"/>
      <c r="TXJ120" s="231"/>
      <c r="TXK120" s="231"/>
      <c r="TXL120" s="231"/>
      <c r="TXM120" s="231"/>
      <c r="TXN120" s="231"/>
      <c r="TXO120" s="231"/>
      <c r="TXP120" s="231"/>
      <c r="TXQ120" s="231"/>
      <c r="TXR120" s="231"/>
      <c r="TXS120" s="231"/>
      <c r="TXT120" s="231"/>
      <c r="TXU120" s="231"/>
      <c r="TXV120" s="231"/>
      <c r="TXW120" s="231"/>
      <c r="TXX120" s="231"/>
      <c r="TXY120" s="231"/>
      <c r="TXZ120" s="231"/>
      <c r="TYA120" s="231"/>
      <c r="TYB120" s="231"/>
      <c r="TYC120" s="231"/>
      <c r="TYD120" s="231"/>
      <c r="TYE120" s="231"/>
      <c r="TYF120" s="231"/>
      <c r="TYG120" s="231"/>
      <c r="TYH120" s="231"/>
      <c r="TYI120" s="231"/>
      <c r="TYJ120" s="231"/>
      <c r="TYK120" s="231"/>
      <c r="TYL120" s="231"/>
      <c r="TYM120" s="231"/>
      <c r="TYN120" s="231"/>
      <c r="TYO120" s="231"/>
      <c r="TYP120" s="231"/>
      <c r="TYQ120" s="231"/>
      <c r="TYR120" s="231"/>
      <c r="TYS120" s="231"/>
      <c r="TYT120" s="231"/>
      <c r="TYU120" s="231"/>
      <c r="TYV120" s="231"/>
      <c r="TYW120" s="231"/>
      <c r="TYX120" s="231"/>
      <c r="TYY120" s="231"/>
      <c r="TYZ120" s="231"/>
      <c r="TZA120" s="231"/>
      <c r="TZB120" s="231"/>
      <c r="TZC120" s="231"/>
      <c r="TZD120" s="231"/>
      <c r="TZE120" s="231"/>
      <c r="TZF120" s="231"/>
      <c r="TZG120" s="231"/>
      <c r="TZH120" s="231"/>
      <c r="TZI120" s="231"/>
      <c r="TZJ120" s="231"/>
      <c r="TZK120" s="231"/>
      <c r="TZL120" s="231"/>
      <c r="TZM120" s="231"/>
      <c r="TZN120" s="231"/>
      <c r="TZO120" s="231"/>
      <c r="TZP120" s="231"/>
      <c r="TZQ120" s="231"/>
      <c r="TZR120" s="231"/>
      <c r="TZS120" s="231"/>
      <c r="TZT120" s="231"/>
      <c r="TZU120" s="231"/>
      <c r="TZV120" s="231"/>
      <c r="TZW120" s="231"/>
      <c r="TZX120" s="231"/>
      <c r="TZY120" s="231"/>
      <c r="TZZ120" s="231"/>
      <c r="UAA120" s="231"/>
      <c r="UAB120" s="231"/>
      <c r="UAC120" s="231"/>
      <c r="UAD120" s="231"/>
      <c r="UAE120" s="231"/>
      <c r="UAF120" s="231"/>
      <c r="UAG120" s="231"/>
      <c r="UAH120" s="231"/>
      <c r="UAI120" s="231"/>
      <c r="UAJ120" s="231"/>
      <c r="UAK120" s="231"/>
      <c r="UAL120" s="231"/>
      <c r="UAM120" s="231"/>
      <c r="UAN120" s="231"/>
      <c r="UAO120" s="231"/>
      <c r="UAP120" s="231"/>
      <c r="UAQ120" s="231"/>
      <c r="UAR120" s="231"/>
      <c r="UAS120" s="231"/>
      <c r="UAT120" s="231"/>
      <c r="UAU120" s="231"/>
      <c r="UAV120" s="231"/>
      <c r="UAW120" s="231"/>
      <c r="UAX120" s="231"/>
      <c r="UAY120" s="231"/>
      <c r="UAZ120" s="231"/>
      <c r="UBA120" s="231"/>
      <c r="UBB120" s="231"/>
      <c r="UBC120" s="231"/>
      <c r="UBD120" s="231"/>
      <c r="UBE120" s="231"/>
      <c r="UBF120" s="231"/>
      <c r="UBG120" s="231"/>
      <c r="UBH120" s="231"/>
      <c r="UBI120" s="231"/>
      <c r="UBJ120" s="231"/>
      <c r="UBK120" s="231"/>
      <c r="UBL120" s="231"/>
      <c r="UBM120" s="231"/>
      <c r="UBN120" s="231"/>
      <c r="UBO120" s="231"/>
      <c r="UBP120" s="231"/>
      <c r="UBQ120" s="231"/>
      <c r="UBR120" s="231"/>
      <c r="UBS120" s="231"/>
      <c r="UBT120" s="231"/>
      <c r="UBU120" s="231"/>
      <c r="UBV120" s="231"/>
      <c r="UBW120" s="231"/>
      <c r="UBX120" s="231"/>
      <c r="UBY120" s="231"/>
      <c r="UBZ120" s="231"/>
      <c r="UCA120" s="231"/>
      <c r="UCB120" s="231"/>
      <c r="UCC120" s="231"/>
      <c r="UCD120" s="231"/>
      <c r="UCE120" s="231"/>
      <c r="UCF120" s="231"/>
      <c r="UCG120" s="231"/>
      <c r="UCH120" s="231"/>
      <c r="UCI120" s="231"/>
      <c r="UCJ120" s="231"/>
      <c r="UCK120" s="231"/>
      <c r="UCL120" s="231"/>
      <c r="UCM120" s="231"/>
      <c r="UCN120" s="231"/>
      <c r="UCO120" s="231"/>
      <c r="UCP120" s="231"/>
      <c r="UCQ120" s="231"/>
      <c r="UCR120" s="231"/>
      <c r="UCS120" s="231"/>
      <c r="UCT120" s="231"/>
      <c r="UCU120" s="231"/>
      <c r="UCV120" s="231"/>
      <c r="UCW120" s="231"/>
      <c r="UCX120" s="231"/>
      <c r="UCY120" s="231"/>
      <c r="UCZ120" s="231"/>
      <c r="UDA120" s="231"/>
      <c r="UDB120" s="231"/>
      <c r="UDC120" s="231"/>
      <c r="UDD120" s="231"/>
      <c r="UDE120" s="231"/>
      <c r="UDF120" s="231"/>
      <c r="UDG120" s="231"/>
      <c r="UDH120" s="231"/>
      <c r="UDI120" s="231"/>
      <c r="UDJ120" s="231"/>
      <c r="UDK120" s="231"/>
      <c r="UDL120" s="231"/>
      <c r="UDM120" s="231"/>
      <c r="UDN120" s="231"/>
      <c r="UDO120" s="231"/>
      <c r="UDP120" s="231"/>
      <c r="UDQ120" s="231"/>
      <c r="UDR120" s="231"/>
      <c r="UDS120" s="231"/>
      <c r="UDT120" s="231"/>
      <c r="UDU120" s="231"/>
      <c r="UDV120" s="231"/>
      <c r="UDW120" s="231"/>
      <c r="UDX120" s="231"/>
      <c r="UDY120" s="231"/>
      <c r="UDZ120" s="231"/>
      <c r="UEA120" s="231"/>
      <c r="UEB120" s="231"/>
      <c r="UEC120" s="231"/>
      <c r="UED120" s="231"/>
      <c r="UEE120" s="231"/>
      <c r="UEF120" s="231"/>
      <c r="UEG120" s="231"/>
      <c r="UEH120" s="231"/>
      <c r="UEI120" s="231"/>
      <c r="UEJ120" s="231"/>
      <c r="UEK120" s="231"/>
      <c r="UEL120" s="231"/>
      <c r="UEM120" s="231"/>
      <c r="UEN120" s="231"/>
      <c r="UEO120" s="231"/>
      <c r="UEP120" s="231"/>
      <c r="UEQ120" s="231"/>
      <c r="UER120" s="231"/>
      <c r="UES120" s="231"/>
      <c r="UET120" s="231"/>
      <c r="UEU120" s="231"/>
      <c r="UEV120" s="231"/>
      <c r="UEW120" s="231"/>
      <c r="UEX120" s="231"/>
      <c r="UEY120" s="231"/>
      <c r="UEZ120" s="231"/>
      <c r="UFA120" s="231"/>
      <c r="UFB120" s="231"/>
      <c r="UFC120" s="231"/>
      <c r="UFD120" s="231"/>
      <c r="UFE120" s="231"/>
      <c r="UFF120" s="231"/>
      <c r="UFG120" s="231"/>
      <c r="UFH120" s="231"/>
      <c r="UFI120" s="231"/>
      <c r="UFJ120" s="231"/>
      <c r="UFK120" s="231"/>
      <c r="UFL120" s="231"/>
      <c r="UFM120" s="231"/>
      <c r="UFN120" s="231"/>
      <c r="UFO120" s="231"/>
      <c r="UFP120" s="231"/>
      <c r="UFQ120" s="231"/>
      <c r="UFR120" s="231"/>
      <c r="UFS120" s="231"/>
      <c r="UFT120" s="231"/>
      <c r="UFU120" s="231"/>
      <c r="UFV120" s="231"/>
      <c r="UFW120" s="231"/>
      <c r="UFX120" s="231"/>
      <c r="UFY120" s="231"/>
      <c r="UFZ120" s="231"/>
      <c r="UGA120" s="231"/>
      <c r="UGB120" s="231"/>
      <c r="UGC120" s="231"/>
      <c r="UGD120" s="231"/>
      <c r="UGE120" s="231"/>
      <c r="UGF120" s="231"/>
      <c r="UGG120" s="231"/>
      <c r="UGH120" s="231"/>
      <c r="UGI120" s="231"/>
      <c r="UGJ120" s="231"/>
      <c r="UGK120" s="231"/>
      <c r="UGL120" s="231"/>
      <c r="UGM120" s="231"/>
      <c r="UGN120" s="231"/>
      <c r="UGO120" s="231"/>
      <c r="UGP120" s="231"/>
      <c r="UGQ120" s="231"/>
      <c r="UGR120" s="231"/>
      <c r="UGS120" s="231"/>
      <c r="UGT120" s="231"/>
      <c r="UGU120" s="231"/>
      <c r="UGV120" s="231"/>
      <c r="UGW120" s="231"/>
      <c r="UGX120" s="231"/>
      <c r="UGY120" s="231"/>
      <c r="UGZ120" s="231"/>
      <c r="UHA120" s="231"/>
      <c r="UHB120" s="231"/>
      <c r="UHC120" s="231"/>
      <c r="UHD120" s="231"/>
      <c r="UHE120" s="231"/>
      <c r="UHF120" s="231"/>
      <c r="UHG120" s="231"/>
      <c r="UHH120" s="231"/>
      <c r="UHI120" s="231"/>
      <c r="UHJ120" s="231"/>
      <c r="UHK120" s="231"/>
      <c r="UHL120" s="231"/>
      <c r="UHM120" s="231"/>
      <c r="UHN120" s="231"/>
      <c r="UHO120" s="231"/>
      <c r="UHP120" s="231"/>
      <c r="UHQ120" s="231"/>
      <c r="UHR120" s="231"/>
      <c r="UHS120" s="231"/>
      <c r="UHT120" s="231"/>
      <c r="UHU120" s="231"/>
      <c r="UHV120" s="231"/>
      <c r="UHW120" s="231"/>
      <c r="UHX120" s="231"/>
      <c r="UHY120" s="231"/>
      <c r="UHZ120" s="231"/>
      <c r="UIA120" s="231"/>
      <c r="UIB120" s="231"/>
      <c r="UIC120" s="231"/>
      <c r="UID120" s="231"/>
      <c r="UIE120" s="231"/>
      <c r="UIF120" s="231"/>
      <c r="UIG120" s="231"/>
      <c r="UIH120" s="231"/>
      <c r="UII120" s="231"/>
      <c r="UIJ120" s="231"/>
      <c r="UIK120" s="231"/>
      <c r="UIL120" s="231"/>
      <c r="UIM120" s="231"/>
      <c r="UIN120" s="231"/>
      <c r="UIO120" s="231"/>
      <c r="UIP120" s="231"/>
      <c r="UIQ120" s="231"/>
      <c r="UIR120" s="231"/>
      <c r="UIS120" s="231"/>
      <c r="UIT120" s="231"/>
      <c r="UIU120" s="231"/>
      <c r="UIV120" s="231"/>
      <c r="UIW120" s="231"/>
      <c r="UIX120" s="231"/>
      <c r="UIY120" s="231"/>
      <c r="UIZ120" s="231"/>
      <c r="UJA120" s="231"/>
      <c r="UJB120" s="231"/>
      <c r="UJC120" s="231"/>
      <c r="UJD120" s="231"/>
      <c r="UJE120" s="231"/>
      <c r="UJF120" s="231"/>
      <c r="UJG120" s="231"/>
      <c r="UJH120" s="231"/>
      <c r="UJI120" s="231"/>
      <c r="UJJ120" s="231"/>
      <c r="UJK120" s="231"/>
      <c r="UJL120" s="231"/>
      <c r="UJM120" s="231"/>
      <c r="UJN120" s="231"/>
      <c r="UJO120" s="231"/>
      <c r="UJP120" s="231"/>
      <c r="UJQ120" s="231"/>
      <c r="UJR120" s="231"/>
      <c r="UJS120" s="231"/>
      <c r="UJT120" s="231"/>
      <c r="UJU120" s="231"/>
      <c r="UJV120" s="231"/>
      <c r="UJW120" s="231"/>
      <c r="UJX120" s="231"/>
      <c r="UJY120" s="231"/>
      <c r="UJZ120" s="231"/>
      <c r="UKA120" s="231"/>
      <c r="UKB120" s="231"/>
      <c r="UKC120" s="231"/>
      <c r="UKD120" s="231"/>
      <c r="UKE120" s="231"/>
      <c r="UKF120" s="231"/>
      <c r="UKG120" s="231"/>
      <c r="UKH120" s="231"/>
      <c r="UKI120" s="231"/>
      <c r="UKJ120" s="231"/>
      <c r="UKK120" s="231"/>
      <c r="UKL120" s="231"/>
      <c r="UKM120" s="231"/>
      <c r="UKN120" s="231"/>
      <c r="UKO120" s="231"/>
      <c r="UKP120" s="231"/>
      <c r="UKQ120" s="231"/>
      <c r="UKR120" s="231"/>
      <c r="UKS120" s="231"/>
      <c r="UKT120" s="231"/>
      <c r="UKU120" s="231"/>
      <c r="UKV120" s="231"/>
      <c r="UKW120" s="231"/>
      <c r="UKX120" s="231"/>
      <c r="UKY120" s="231"/>
      <c r="UKZ120" s="231"/>
      <c r="ULA120" s="231"/>
      <c r="ULB120" s="231"/>
      <c r="ULC120" s="231"/>
      <c r="ULD120" s="231"/>
      <c r="ULE120" s="231"/>
      <c r="ULF120" s="231"/>
      <c r="ULG120" s="231"/>
      <c r="ULH120" s="231"/>
      <c r="ULI120" s="231"/>
      <c r="ULJ120" s="231"/>
      <c r="ULK120" s="231"/>
      <c r="ULL120" s="231"/>
      <c r="ULM120" s="231"/>
      <c r="ULN120" s="231"/>
      <c r="ULO120" s="231"/>
      <c r="ULP120" s="231"/>
      <c r="ULQ120" s="231"/>
      <c r="ULR120" s="231"/>
      <c r="ULS120" s="231"/>
      <c r="ULT120" s="231"/>
      <c r="ULU120" s="231"/>
      <c r="ULV120" s="231"/>
      <c r="ULW120" s="231"/>
      <c r="ULX120" s="231"/>
      <c r="ULY120" s="231"/>
      <c r="ULZ120" s="231"/>
      <c r="UMA120" s="231"/>
      <c r="UMB120" s="231"/>
      <c r="UMC120" s="231"/>
      <c r="UMD120" s="231"/>
      <c r="UME120" s="231"/>
      <c r="UMF120" s="231"/>
      <c r="UMG120" s="231"/>
      <c r="UMH120" s="231"/>
      <c r="UMI120" s="231"/>
      <c r="UMJ120" s="231"/>
      <c r="UMK120" s="231"/>
      <c r="UML120" s="231"/>
      <c r="UMM120" s="231"/>
      <c r="UMN120" s="231"/>
      <c r="UMO120" s="231"/>
      <c r="UMP120" s="231"/>
      <c r="UMQ120" s="231"/>
      <c r="UMR120" s="231"/>
      <c r="UMS120" s="231"/>
      <c r="UMT120" s="231"/>
      <c r="UMU120" s="231"/>
      <c r="UMV120" s="231"/>
      <c r="UMW120" s="231"/>
      <c r="UMX120" s="231"/>
      <c r="UMY120" s="231"/>
      <c r="UMZ120" s="231"/>
      <c r="UNA120" s="231"/>
      <c r="UNB120" s="231"/>
      <c r="UNC120" s="231"/>
      <c r="UND120" s="231"/>
      <c r="UNE120" s="231"/>
      <c r="UNF120" s="231"/>
      <c r="UNG120" s="231"/>
      <c r="UNH120" s="231"/>
      <c r="UNI120" s="231"/>
      <c r="UNJ120" s="231"/>
      <c r="UNK120" s="231"/>
      <c r="UNL120" s="231"/>
      <c r="UNM120" s="231"/>
      <c r="UNN120" s="231"/>
      <c r="UNO120" s="231"/>
      <c r="UNP120" s="231"/>
      <c r="UNQ120" s="231"/>
      <c r="UNR120" s="231"/>
      <c r="UNS120" s="231"/>
      <c r="UNT120" s="231"/>
      <c r="UNU120" s="231"/>
      <c r="UNV120" s="231"/>
      <c r="UNW120" s="231"/>
      <c r="UNX120" s="231"/>
      <c r="UNY120" s="231"/>
      <c r="UNZ120" s="231"/>
      <c r="UOA120" s="231"/>
      <c r="UOB120" s="231"/>
      <c r="UOC120" s="231"/>
      <c r="UOD120" s="231"/>
      <c r="UOE120" s="231"/>
      <c r="UOF120" s="231"/>
      <c r="UOG120" s="231"/>
      <c r="UOH120" s="231"/>
      <c r="UOI120" s="231"/>
      <c r="UOJ120" s="231"/>
      <c r="UOK120" s="231"/>
      <c r="UOL120" s="231"/>
      <c r="UOM120" s="231"/>
      <c r="UON120" s="231"/>
      <c r="UOO120" s="231"/>
      <c r="UOP120" s="231"/>
      <c r="UOQ120" s="231"/>
      <c r="UOR120" s="231"/>
      <c r="UOS120" s="231"/>
      <c r="UOT120" s="231"/>
      <c r="UOU120" s="231"/>
      <c r="UOV120" s="231"/>
      <c r="UOW120" s="231"/>
      <c r="UOX120" s="231"/>
      <c r="UOY120" s="231"/>
      <c r="UOZ120" s="231"/>
      <c r="UPA120" s="231"/>
      <c r="UPB120" s="231"/>
      <c r="UPC120" s="231"/>
      <c r="UPD120" s="231"/>
      <c r="UPE120" s="231"/>
      <c r="UPF120" s="231"/>
      <c r="UPG120" s="231"/>
      <c r="UPH120" s="231"/>
      <c r="UPI120" s="231"/>
      <c r="UPJ120" s="231"/>
      <c r="UPK120" s="231"/>
      <c r="UPL120" s="231"/>
      <c r="UPM120" s="231"/>
      <c r="UPN120" s="231"/>
      <c r="UPO120" s="231"/>
      <c r="UPP120" s="231"/>
      <c r="UPQ120" s="231"/>
      <c r="UPR120" s="231"/>
      <c r="UPS120" s="231"/>
      <c r="UPT120" s="231"/>
      <c r="UPU120" s="231"/>
      <c r="UPV120" s="231"/>
      <c r="UPW120" s="231"/>
      <c r="UPX120" s="231"/>
      <c r="UPY120" s="231"/>
      <c r="UPZ120" s="231"/>
      <c r="UQA120" s="231"/>
      <c r="UQB120" s="231"/>
      <c r="UQC120" s="231"/>
      <c r="UQD120" s="231"/>
      <c r="UQE120" s="231"/>
      <c r="UQF120" s="231"/>
      <c r="UQG120" s="231"/>
      <c r="UQH120" s="231"/>
      <c r="UQI120" s="231"/>
      <c r="UQJ120" s="231"/>
      <c r="UQK120" s="231"/>
      <c r="UQL120" s="231"/>
      <c r="UQM120" s="231"/>
      <c r="UQN120" s="231"/>
      <c r="UQO120" s="231"/>
      <c r="UQP120" s="231"/>
      <c r="UQQ120" s="231"/>
      <c r="UQR120" s="231"/>
      <c r="UQS120" s="231"/>
      <c r="UQT120" s="231"/>
      <c r="UQU120" s="231"/>
      <c r="UQV120" s="231"/>
      <c r="UQW120" s="231"/>
      <c r="UQX120" s="231"/>
      <c r="UQY120" s="231"/>
      <c r="UQZ120" s="231"/>
      <c r="URA120" s="231"/>
      <c r="URB120" s="231"/>
      <c r="URC120" s="231"/>
      <c r="URD120" s="231"/>
      <c r="URE120" s="231"/>
      <c r="URF120" s="231"/>
      <c r="URG120" s="231"/>
      <c r="URH120" s="231"/>
      <c r="URI120" s="231"/>
      <c r="URJ120" s="231"/>
      <c r="URK120" s="231"/>
      <c r="URL120" s="231"/>
      <c r="URM120" s="231"/>
      <c r="URN120" s="231"/>
      <c r="URO120" s="231"/>
      <c r="URP120" s="231"/>
      <c r="URQ120" s="231"/>
      <c r="URR120" s="231"/>
      <c r="URS120" s="231"/>
      <c r="URT120" s="231"/>
      <c r="URU120" s="231"/>
      <c r="URV120" s="231"/>
      <c r="URW120" s="231"/>
      <c r="URX120" s="231"/>
      <c r="URY120" s="231"/>
      <c r="URZ120" s="231"/>
      <c r="USA120" s="231"/>
      <c r="USB120" s="231"/>
      <c r="USC120" s="231"/>
      <c r="USD120" s="231"/>
      <c r="USE120" s="231"/>
      <c r="USF120" s="231"/>
      <c r="USG120" s="231"/>
      <c r="USH120" s="231"/>
      <c r="USI120" s="231"/>
      <c r="USJ120" s="231"/>
      <c r="USK120" s="231"/>
      <c r="USL120" s="231"/>
      <c r="USM120" s="231"/>
      <c r="USN120" s="231"/>
      <c r="USO120" s="231"/>
      <c r="USP120" s="231"/>
      <c r="USQ120" s="231"/>
      <c r="USR120" s="231"/>
      <c r="USS120" s="231"/>
      <c r="UST120" s="231"/>
      <c r="USU120" s="231"/>
      <c r="USV120" s="231"/>
      <c r="USW120" s="231"/>
      <c r="USX120" s="231"/>
      <c r="USY120" s="231"/>
      <c r="USZ120" s="231"/>
      <c r="UTA120" s="231"/>
      <c r="UTB120" s="231"/>
      <c r="UTC120" s="231"/>
      <c r="UTD120" s="231"/>
      <c r="UTE120" s="231"/>
      <c r="UTF120" s="231"/>
      <c r="UTG120" s="231"/>
      <c r="UTH120" s="231"/>
      <c r="UTI120" s="231"/>
      <c r="UTJ120" s="231"/>
      <c r="UTK120" s="231"/>
      <c r="UTL120" s="231"/>
      <c r="UTM120" s="231"/>
      <c r="UTN120" s="231"/>
      <c r="UTO120" s="231"/>
      <c r="UTP120" s="231"/>
      <c r="UTQ120" s="231"/>
      <c r="UTR120" s="231"/>
      <c r="UTS120" s="231"/>
      <c r="UTT120" s="231"/>
      <c r="UTU120" s="231"/>
      <c r="UTV120" s="231"/>
      <c r="UTW120" s="231"/>
      <c r="UTX120" s="231"/>
      <c r="UTY120" s="231"/>
      <c r="UTZ120" s="231"/>
      <c r="UUA120" s="231"/>
      <c r="UUB120" s="231"/>
      <c r="UUC120" s="231"/>
      <c r="UUD120" s="231"/>
      <c r="UUE120" s="231"/>
      <c r="UUF120" s="231"/>
      <c r="UUG120" s="231"/>
      <c r="UUH120" s="231"/>
      <c r="UUI120" s="231"/>
      <c r="UUJ120" s="231"/>
      <c r="UUK120" s="231"/>
      <c r="UUL120" s="231"/>
      <c r="UUM120" s="231"/>
      <c r="UUN120" s="231"/>
      <c r="UUO120" s="231"/>
      <c r="UUP120" s="231"/>
      <c r="UUQ120" s="231"/>
      <c r="UUR120" s="231"/>
      <c r="UUS120" s="231"/>
      <c r="UUT120" s="231"/>
      <c r="UUU120" s="231"/>
      <c r="UUV120" s="231"/>
      <c r="UUW120" s="231"/>
      <c r="UUX120" s="231"/>
      <c r="UUY120" s="231"/>
      <c r="UUZ120" s="231"/>
      <c r="UVA120" s="231"/>
      <c r="UVB120" s="231"/>
      <c r="UVC120" s="231"/>
      <c r="UVD120" s="231"/>
      <c r="UVE120" s="231"/>
      <c r="UVF120" s="231"/>
      <c r="UVG120" s="231"/>
      <c r="UVH120" s="231"/>
      <c r="UVI120" s="231"/>
      <c r="UVJ120" s="231"/>
      <c r="UVK120" s="231"/>
      <c r="UVL120" s="231"/>
      <c r="UVM120" s="231"/>
      <c r="UVN120" s="231"/>
      <c r="UVO120" s="231"/>
      <c r="UVP120" s="231"/>
      <c r="UVQ120" s="231"/>
      <c r="UVR120" s="231"/>
      <c r="UVS120" s="231"/>
      <c r="UVT120" s="231"/>
      <c r="UVU120" s="231"/>
      <c r="UVV120" s="231"/>
      <c r="UVW120" s="231"/>
      <c r="UVX120" s="231"/>
      <c r="UVY120" s="231"/>
      <c r="UVZ120" s="231"/>
      <c r="UWA120" s="231"/>
      <c r="UWB120" s="231"/>
      <c r="UWC120" s="231"/>
      <c r="UWD120" s="231"/>
      <c r="UWE120" s="231"/>
      <c r="UWF120" s="231"/>
      <c r="UWG120" s="231"/>
      <c r="UWH120" s="231"/>
      <c r="UWI120" s="231"/>
      <c r="UWJ120" s="231"/>
      <c r="UWK120" s="231"/>
      <c r="UWL120" s="231"/>
      <c r="UWM120" s="231"/>
      <c r="UWN120" s="231"/>
      <c r="UWO120" s="231"/>
      <c r="UWP120" s="231"/>
      <c r="UWQ120" s="231"/>
      <c r="UWR120" s="231"/>
      <c r="UWS120" s="231"/>
      <c r="UWT120" s="231"/>
      <c r="UWU120" s="231"/>
      <c r="UWV120" s="231"/>
      <c r="UWW120" s="231"/>
      <c r="UWX120" s="231"/>
      <c r="UWY120" s="231"/>
      <c r="UWZ120" s="231"/>
      <c r="UXA120" s="231"/>
      <c r="UXB120" s="231"/>
      <c r="UXC120" s="231"/>
      <c r="UXD120" s="231"/>
      <c r="UXE120" s="231"/>
      <c r="UXF120" s="231"/>
      <c r="UXG120" s="231"/>
      <c r="UXH120" s="231"/>
      <c r="UXI120" s="231"/>
      <c r="UXJ120" s="231"/>
      <c r="UXK120" s="231"/>
      <c r="UXL120" s="231"/>
      <c r="UXM120" s="231"/>
      <c r="UXN120" s="231"/>
      <c r="UXO120" s="231"/>
      <c r="UXP120" s="231"/>
      <c r="UXQ120" s="231"/>
      <c r="UXR120" s="231"/>
      <c r="UXS120" s="231"/>
      <c r="UXT120" s="231"/>
      <c r="UXU120" s="231"/>
      <c r="UXV120" s="231"/>
      <c r="UXW120" s="231"/>
      <c r="UXX120" s="231"/>
      <c r="UXY120" s="231"/>
      <c r="UXZ120" s="231"/>
      <c r="UYA120" s="231"/>
      <c r="UYB120" s="231"/>
      <c r="UYC120" s="231"/>
      <c r="UYD120" s="231"/>
      <c r="UYE120" s="231"/>
      <c r="UYF120" s="231"/>
      <c r="UYG120" s="231"/>
      <c r="UYH120" s="231"/>
      <c r="UYI120" s="231"/>
      <c r="UYJ120" s="231"/>
      <c r="UYK120" s="231"/>
      <c r="UYL120" s="231"/>
      <c r="UYM120" s="231"/>
      <c r="UYN120" s="231"/>
      <c r="UYO120" s="231"/>
      <c r="UYP120" s="231"/>
      <c r="UYQ120" s="231"/>
      <c r="UYR120" s="231"/>
      <c r="UYS120" s="231"/>
      <c r="UYT120" s="231"/>
      <c r="UYU120" s="231"/>
      <c r="UYV120" s="231"/>
      <c r="UYW120" s="231"/>
      <c r="UYX120" s="231"/>
      <c r="UYY120" s="231"/>
      <c r="UYZ120" s="231"/>
      <c r="UZA120" s="231"/>
      <c r="UZB120" s="231"/>
      <c r="UZC120" s="231"/>
      <c r="UZD120" s="231"/>
      <c r="UZE120" s="231"/>
      <c r="UZF120" s="231"/>
      <c r="UZG120" s="231"/>
      <c r="UZH120" s="231"/>
      <c r="UZI120" s="231"/>
      <c r="UZJ120" s="231"/>
      <c r="UZK120" s="231"/>
      <c r="UZL120" s="231"/>
      <c r="UZM120" s="231"/>
      <c r="UZN120" s="231"/>
      <c r="UZO120" s="231"/>
      <c r="UZP120" s="231"/>
      <c r="UZQ120" s="231"/>
      <c r="UZR120" s="231"/>
      <c r="UZS120" s="231"/>
      <c r="UZT120" s="231"/>
      <c r="UZU120" s="231"/>
      <c r="UZV120" s="231"/>
      <c r="UZW120" s="231"/>
      <c r="UZX120" s="231"/>
      <c r="UZY120" s="231"/>
      <c r="UZZ120" s="231"/>
      <c r="VAA120" s="231"/>
      <c r="VAB120" s="231"/>
      <c r="VAC120" s="231"/>
      <c r="VAD120" s="231"/>
      <c r="VAE120" s="231"/>
      <c r="VAF120" s="231"/>
      <c r="VAG120" s="231"/>
      <c r="VAH120" s="231"/>
      <c r="VAI120" s="231"/>
      <c r="VAJ120" s="231"/>
      <c r="VAK120" s="231"/>
      <c r="VAL120" s="231"/>
      <c r="VAM120" s="231"/>
      <c r="VAN120" s="231"/>
      <c r="VAO120" s="231"/>
      <c r="VAP120" s="231"/>
      <c r="VAQ120" s="231"/>
      <c r="VAR120" s="231"/>
      <c r="VAS120" s="231"/>
      <c r="VAT120" s="231"/>
      <c r="VAU120" s="231"/>
      <c r="VAV120" s="231"/>
      <c r="VAW120" s="231"/>
      <c r="VAX120" s="231"/>
      <c r="VAY120" s="231"/>
      <c r="VAZ120" s="231"/>
      <c r="VBA120" s="231"/>
      <c r="VBB120" s="231"/>
      <c r="VBC120" s="231"/>
      <c r="VBD120" s="231"/>
      <c r="VBE120" s="231"/>
      <c r="VBF120" s="231"/>
      <c r="VBG120" s="231"/>
      <c r="VBH120" s="231"/>
      <c r="VBI120" s="231"/>
      <c r="VBJ120" s="231"/>
      <c r="VBK120" s="231"/>
      <c r="VBL120" s="231"/>
      <c r="VBM120" s="231"/>
      <c r="VBN120" s="231"/>
      <c r="VBO120" s="231"/>
      <c r="VBP120" s="231"/>
      <c r="VBQ120" s="231"/>
      <c r="VBR120" s="231"/>
      <c r="VBS120" s="231"/>
      <c r="VBT120" s="231"/>
      <c r="VBU120" s="231"/>
      <c r="VBV120" s="231"/>
      <c r="VBW120" s="231"/>
      <c r="VBX120" s="231"/>
      <c r="VBY120" s="231"/>
      <c r="VBZ120" s="231"/>
      <c r="VCA120" s="231"/>
      <c r="VCB120" s="231"/>
      <c r="VCC120" s="231"/>
      <c r="VCD120" s="231"/>
      <c r="VCE120" s="231"/>
      <c r="VCF120" s="231"/>
      <c r="VCG120" s="231"/>
      <c r="VCH120" s="231"/>
      <c r="VCI120" s="231"/>
      <c r="VCJ120" s="231"/>
      <c r="VCK120" s="231"/>
      <c r="VCL120" s="231"/>
      <c r="VCM120" s="231"/>
      <c r="VCN120" s="231"/>
      <c r="VCO120" s="231"/>
      <c r="VCP120" s="231"/>
      <c r="VCQ120" s="231"/>
      <c r="VCR120" s="231"/>
      <c r="VCS120" s="231"/>
      <c r="VCT120" s="231"/>
      <c r="VCU120" s="231"/>
      <c r="VCV120" s="231"/>
      <c r="VCW120" s="231"/>
      <c r="VCX120" s="231"/>
      <c r="VCY120" s="231"/>
      <c r="VCZ120" s="231"/>
      <c r="VDA120" s="231"/>
      <c r="VDB120" s="231"/>
      <c r="VDC120" s="231"/>
      <c r="VDD120" s="231"/>
      <c r="VDE120" s="231"/>
      <c r="VDF120" s="231"/>
      <c r="VDG120" s="231"/>
      <c r="VDH120" s="231"/>
      <c r="VDI120" s="231"/>
      <c r="VDJ120" s="231"/>
      <c r="VDK120" s="231"/>
      <c r="VDL120" s="231"/>
      <c r="VDM120" s="231"/>
      <c r="VDN120" s="231"/>
      <c r="VDO120" s="231"/>
      <c r="VDP120" s="231"/>
      <c r="VDQ120" s="231"/>
      <c r="VDR120" s="231"/>
      <c r="VDS120" s="231"/>
      <c r="VDT120" s="231"/>
      <c r="VDU120" s="231"/>
      <c r="VDV120" s="231"/>
      <c r="VDW120" s="231"/>
      <c r="VDX120" s="231"/>
      <c r="VDY120" s="231"/>
      <c r="VDZ120" s="231"/>
      <c r="VEA120" s="231"/>
      <c r="VEB120" s="231"/>
      <c r="VEC120" s="231"/>
      <c r="VED120" s="231"/>
      <c r="VEE120" s="231"/>
      <c r="VEF120" s="231"/>
      <c r="VEG120" s="231"/>
      <c r="VEH120" s="231"/>
      <c r="VEI120" s="231"/>
      <c r="VEJ120" s="231"/>
      <c r="VEK120" s="231"/>
      <c r="VEL120" s="231"/>
      <c r="VEM120" s="231"/>
      <c r="VEN120" s="231"/>
      <c r="VEO120" s="231"/>
      <c r="VEP120" s="231"/>
      <c r="VEQ120" s="231"/>
      <c r="VER120" s="231"/>
      <c r="VES120" s="231"/>
      <c r="VET120" s="231"/>
      <c r="VEU120" s="231"/>
      <c r="VEV120" s="231"/>
      <c r="VEW120" s="231"/>
      <c r="VEX120" s="231"/>
      <c r="VEY120" s="231"/>
      <c r="VEZ120" s="231"/>
      <c r="VFA120" s="231"/>
      <c r="VFB120" s="231"/>
      <c r="VFC120" s="231"/>
      <c r="VFD120" s="231"/>
      <c r="VFE120" s="231"/>
      <c r="VFF120" s="231"/>
      <c r="VFG120" s="231"/>
      <c r="VFH120" s="231"/>
      <c r="VFI120" s="231"/>
      <c r="VFJ120" s="231"/>
      <c r="VFK120" s="231"/>
      <c r="VFL120" s="231"/>
      <c r="VFM120" s="231"/>
      <c r="VFN120" s="231"/>
      <c r="VFO120" s="231"/>
      <c r="VFP120" s="231"/>
      <c r="VFQ120" s="231"/>
      <c r="VFR120" s="231"/>
      <c r="VFS120" s="231"/>
      <c r="VFT120" s="231"/>
      <c r="VFU120" s="231"/>
      <c r="VFV120" s="231"/>
      <c r="VFW120" s="231"/>
      <c r="VFX120" s="231"/>
      <c r="VFY120" s="231"/>
      <c r="VFZ120" s="231"/>
      <c r="VGA120" s="231"/>
      <c r="VGB120" s="231"/>
      <c r="VGC120" s="231"/>
      <c r="VGD120" s="231"/>
      <c r="VGE120" s="231"/>
      <c r="VGF120" s="231"/>
      <c r="VGG120" s="231"/>
      <c r="VGH120" s="231"/>
      <c r="VGI120" s="231"/>
      <c r="VGJ120" s="231"/>
      <c r="VGK120" s="231"/>
      <c r="VGL120" s="231"/>
      <c r="VGM120" s="231"/>
      <c r="VGN120" s="231"/>
      <c r="VGO120" s="231"/>
      <c r="VGP120" s="231"/>
      <c r="VGQ120" s="231"/>
      <c r="VGR120" s="231"/>
      <c r="VGS120" s="231"/>
      <c r="VGT120" s="231"/>
      <c r="VGU120" s="231"/>
      <c r="VGV120" s="231"/>
      <c r="VGW120" s="231"/>
      <c r="VGX120" s="231"/>
      <c r="VGY120" s="231"/>
      <c r="VGZ120" s="231"/>
      <c r="VHA120" s="231"/>
      <c r="VHB120" s="231"/>
      <c r="VHC120" s="231"/>
      <c r="VHD120" s="231"/>
      <c r="VHE120" s="231"/>
      <c r="VHF120" s="231"/>
      <c r="VHG120" s="231"/>
      <c r="VHH120" s="231"/>
      <c r="VHI120" s="231"/>
      <c r="VHJ120" s="231"/>
      <c r="VHK120" s="231"/>
      <c r="VHL120" s="231"/>
      <c r="VHM120" s="231"/>
      <c r="VHN120" s="231"/>
      <c r="VHO120" s="231"/>
      <c r="VHP120" s="231"/>
      <c r="VHQ120" s="231"/>
      <c r="VHR120" s="231"/>
      <c r="VHS120" s="231"/>
      <c r="VHT120" s="231"/>
      <c r="VHU120" s="231"/>
      <c r="VHV120" s="231"/>
      <c r="VHW120" s="231"/>
      <c r="VHX120" s="231"/>
      <c r="VHY120" s="231"/>
      <c r="VHZ120" s="231"/>
      <c r="VIA120" s="231"/>
      <c r="VIB120" s="231"/>
      <c r="VIC120" s="231"/>
      <c r="VID120" s="231"/>
      <c r="VIE120" s="231"/>
      <c r="VIF120" s="231"/>
      <c r="VIG120" s="231"/>
      <c r="VIH120" s="231"/>
      <c r="VII120" s="231"/>
      <c r="VIJ120" s="231"/>
      <c r="VIK120" s="231"/>
      <c r="VIL120" s="231"/>
      <c r="VIM120" s="231"/>
      <c r="VIN120" s="231"/>
      <c r="VIO120" s="231"/>
      <c r="VIP120" s="231"/>
      <c r="VIQ120" s="231"/>
      <c r="VIR120" s="231"/>
      <c r="VIS120" s="231"/>
      <c r="VIT120" s="231"/>
      <c r="VIU120" s="231"/>
      <c r="VIV120" s="231"/>
      <c r="VIW120" s="231"/>
      <c r="VIX120" s="231"/>
      <c r="VIY120" s="231"/>
      <c r="VIZ120" s="231"/>
      <c r="VJA120" s="231"/>
      <c r="VJB120" s="231"/>
      <c r="VJC120" s="231"/>
      <c r="VJD120" s="231"/>
      <c r="VJE120" s="231"/>
      <c r="VJF120" s="231"/>
      <c r="VJG120" s="231"/>
      <c r="VJH120" s="231"/>
      <c r="VJI120" s="231"/>
      <c r="VJJ120" s="231"/>
      <c r="VJK120" s="231"/>
      <c r="VJL120" s="231"/>
      <c r="VJM120" s="231"/>
      <c r="VJN120" s="231"/>
      <c r="VJO120" s="231"/>
      <c r="VJP120" s="231"/>
      <c r="VJQ120" s="231"/>
      <c r="VJR120" s="231"/>
      <c r="VJS120" s="231"/>
      <c r="VJT120" s="231"/>
      <c r="VJU120" s="231"/>
      <c r="VJV120" s="231"/>
      <c r="VJW120" s="231"/>
      <c r="VJX120" s="231"/>
      <c r="VJY120" s="231"/>
      <c r="VJZ120" s="231"/>
      <c r="VKA120" s="231"/>
      <c r="VKB120" s="231"/>
      <c r="VKC120" s="231"/>
      <c r="VKD120" s="231"/>
      <c r="VKE120" s="231"/>
      <c r="VKF120" s="231"/>
      <c r="VKG120" s="231"/>
      <c r="VKH120" s="231"/>
      <c r="VKI120" s="231"/>
      <c r="VKJ120" s="231"/>
      <c r="VKK120" s="231"/>
      <c r="VKL120" s="231"/>
      <c r="VKM120" s="231"/>
      <c r="VKN120" s="231"/>
      <c r="VKO120" s="231"/>
      <c r="VKP120" s="231"/>
      <c r="VKQ120" s="231"/>
      <c r="VKR120" s="231"/>
      <c r="VKS120" s="231"/>
      <c r="VKT120" s="231"/>
      <c r="VKU120" s="231"/>
      <c r="VKV120" s="231"/>
      <c r="VKW120" s="231"/>
      <c r="VKX120" s="231"/>
      <c r="VKY120" s="231"/>
      <c r="VKZ120" s="231"/>
      <c r="VLA120" s="231"/>
      <c r="VLB120" s="231"/>
      <c r="VLC120" s="231"/>
      <c r="VLD120" s="231"/>
      <c r="VLE120" s="231"/>
      <c r="VLF120" s="231"/>
      <c r="VLG120" s="231"/>
      <c r="VLH120" s="231"/>
      <c r="VLI120" s="231"/>
      <c r="VLJ120" s="231"/>
      <c r="VLK120" s="231"/>
      <c r="VLL120" s="231"/>
      <c r="VLM120" s="231"/>
      <c r="VLN120" s="231"/>
      <c r="VLO120" s="231"/>
      <c r="VLP120" s="231"/>
      <c r="VLQ120" s="231"/>
      <c r="VLR120" s="231"/>
      <c r="VLS120" s="231"/>
      <c r="VLT120" s="231"/>
      <c r="VLU120" s="231"/>
      <c r="VLV120" s="231"/>
      <c r="VLW120" s="231"/>
      <c r="VLX120" s="231"/>
      <c r="VLY120" s="231"/>
      <c r="VLZ120" s="231"/>
      <c r="VMA120" s="231"/>
      <c r="VMB120" s="231"/>
      <c r="VMC120" s="231"/>
      <c r="VMD120" s="231"/>
      <c r="VME120" s="231"/>
      <c r="VMF120" s="231"/>
      <c r="VMG120" s="231"/>
      <c r="VMH120" s="231"/>
      <c r="VMI120" s="231"/>
      <c r="VMJ120" s="231"/>
      <c r="VMK120" s="231"/>
      <c r="VML120" s="231"/>
      <c r="VMM120" s="231"/>
      <c r="VMN120" s="231"/>
      <c r="VMO120" s="231"/>
      <c r="VMP120" s="231"/>
      <c r="VMQ120" s="231"/>
      <c r="VMR120" s="231"/>
      <c r="VMS120" s="231"/>
      <c r="VMT120" s="231"/>
      <c r="VMU120" s="231"/>
      <c r="VMV120" s="231"/>
      <c r="VMW120" s="231"/>
      <c r="VMX120" s="231"/>
      <c r="VMY120" s="231"/>
      <c r="VMZ120" s="231"/>
      <c r="VNA120" s="231"/>
      <c r="VNB120" s="231"/>
      <c r="VNC120" s="231"/>
      <c r="VND120" s="231"/>
      <c r="VNE120" s="231"/>
      <c r="VNF120" s="231"/>
      <c r="VNG120" s="231"/>
      <c r="VNH120" s="231"/>
      <c r="VNI120" s="231"/>
      <c r="VNJ120" s="231"/>
      <c r="VNK120" s="231"/>
      <c r="VNL120" s="231"/>
      <c r="VNM120" s="231"/>
      <c r="VNN120" s="231"/>
      <c r="VNO120" s="231"/>
      <c r="VNP120" s="231"/>
      <c r="VNQ120" s="231"/>
      <c r="VNR120" s="231"/>
      <c r="VNS120" s="231"/>
      <c r="VNT120" s="231"/>
      <c r="VNU120" s="231"/>
      <c r="VNV120" s="231"/>
      <c r="VNW120" s="231"/>
      <c r="VNX120" s="231"/>
      <c r="VNY120" s="231"/>
      <c r="VNZ120" s="231"/>
      <c r="VOA120" s="231"/>
      <c r="VOB120" s="231"/>
      <c r="VOC120" s="231"/>
      <c r="VOD120" s="231"/>
      <c r="VOE120" s="231"/>
      <c r="VOF120" s="231"/>
      <c r="VOG120" s="231"/>
      <c r="VOH120" s="231"/>
      <c r="VOI120" s="231"/>
      <c r="VOJ120" s="231"/>
      <c r="VOK120" s="231"/>
      <c r="VOL120" s="231"/>
      <c r="VOM120" s="231"/>
      <c r="VON120" s="231"/>
      <c r="VOO120" s="231"/>
      <c r="VOP120" s="231"/>
      <c r="VOQ120" s="231"/>
      <c r="VOR120" s="231"/>
      <c r="VOS120" s="231"/>
      <c r="VOT120" s="231"/>
      <c r="VOU120" s="231"/>
      <c r="VOV120" s="231"/>
      <c r="VOW120" s="231"/>
      <c r="VOX120" s="231"/>
      <c r="VOY120" s="231"/>
      <c r="VOZ120" s="231"/>
      <c r="VPA120" s="231"/>
      <c r="VPB120" s="231"/>
      <c r="VPC120" s="231"/>
      <c r="VPD120" s="231"/>
      <c r="VPE120" s="231"/>
      <c r="VPF120" s="231"/>
      <c r="VPG120" s="231"/>
      <c r="VPH120" s="231"/>
      <c r="VPI120" s="231"/>
      <c r="VPJ120" s="231"/>
      <c r="VPK120" s="231"/>
      <c r="VPL120" s="231"/>
      <c r="VPM120" s="231"/>
      <c r="VPN120" s="231"/>
      <c r="VPO120" s="231"/>
      <c r="VPP120" s="231"/>
      <c r="VPQ120" s="231"/>
      <c r="VPR120" s="231"/>
      <c r="VPS120" s="231"/>
      <c r="VPT120" s="231"/>
      <c r="VPU120" s="231"/>
      <c r="VPV120" s="231"/>
      <c r="VPW120" s="231"/>
      <c r="VPX120" s="231"/>
      <c r="VPY120" s="231"/>
      <c r="VPZ120" s="231"/>
      <c r="VQA120" s="231"/>
      <c r="VQB120" s="231"/>
      <c r="VQC120" s="231"/>
      <c r="VQD120" s="231"/>
      <c r="VQE120" s="231"/>
      <c r="VQF120" s="231"/>
      <c r="VQG120" s="231"/>
      <c r="VQH120" s="231"/>
      <c r="VQI120" s="231"/>
      <c r="VQJ120" s="231"/>
      <c r="VQK120" s="231"/>
      <c r="VQL120" s="231"/>
      <c r="VQM120" s="231"/>
      <c r="VQN120" s="231"/>
      <c r="VQO120" s="231"/>
      <c r="VQP120" s="231"/>
      <c r="VQQ120" s="231"/>
      <c r="VQR120" s="231"/>
      <c r="VQS120" s="231"/>
      <c r="VQT120" s="231"/>
      <c r="VQU120" s="231"/>
      <c r="VQV120" s="231"/>
      <c r="VQW120" s="231"/>
      <c r="VQX120" s="231"/>
      <c r="VQY120" s="231"/>
      <c r="VQZ120" s="231"/>
      <c r="VRA120" s="231"/>
      <c r="VRB120" s="231"/>
      <c r="VRC120" s="231"/>
      <c r="VRD120" s="231"/>
      <c r="VRE120" s="231"/>
      <c r="VRF120" s="231"/>
      <c r="VRG120" s="231"/>
      <c r="VRH120" s="231"/>
      <c r="VRI120" s="231"/>
      <c r="VRJ120" s="231"/>
      <c r="VRK120" s="231"/>
      <c r="VRL120" s="231"/>
      <c r="VRM120" s="231"/>
      <c r="VRN120" s="231"/>
      <c r="VRO120" s="231"/>
      <c r="VRP120" s="231"/>
      <c r="VRQ120" s="231"/>
      <c r="VRR120" s="231"/>
      <c r="VRS120" s="231"/>
      <c r="VRT120" s="231"/>
      <c r="VRU120" s="231"/>
      <c r="VRV120" s="231"/>
      <c r="VRW120" s="231"/>
      <c r="VRX120" s="231"/>
      <c r="VRY120" s="231"/>
      <c r="VRZ120" s="231"/>
      <c r="VSA120" s="231"/>
      <c r="VSB120" s="231"/>
      <c r="VSC120" s="231"/>
      <c r="VSD120" s="231"/>
      <c r="VSE120" s="231"/>
      <c r="VSF120" s="231"/>
      <c r="VSG120" s="231"/>
      <c r="VSH120" s="231"/>
      <c r="VSI120" s="231"/>
      <c r="VSJ120" s="231"/>
      <c r="VSK120" s="231"/>
      <c r="VSL120" s="231"/>
      <c r="VSM120" s="231"/>
      <c r="VSN120" s="231"/>
      <c r="VSO120" s="231"/>
      <c r="VSP120" s="231"/>
      <c r="VSQ120" s="231"/>
      <c r="VSR120" s="231"/>
      <c r="VSS120" s="231"/>
      <c r="VST120" s="231"/>
      <c r="VSU120" s="231"/>
      <c r="VSV120" s="231"/>
      <c r="VSW120" s="231"/>
      <c r="VSX120" s="231"/>
      <c r="VSY120" s="231"/>
      <c r="VSZ120" s="231"/>
      <c r="VTA120" s="231"/>
      <c r="VTB120" s="231"/>
      <c r="VTC120" s="231"/>
      <c r="VTD120" s="231"/>
      <c r="VTE120" s="231"/>
      <c r="VTF120" s="231"/>
      <c r="VTG120" s="231"/>
      <c r="VTH120" s="231"/>
      <c r="VTI120" s="231"/>
      <c r="VTJ120" s="231"/>
      <c r="VTK120" s="231"/>
      <c r="VTL120" s="231"/>
      <c r="VTM120" s="231"/>
      <c r="VTN120" s="231"/>
      <c r="VTO120" s="231"/>
      <c r="VTP120" s="231"/>
      <c r="VTQ120" s="231"/>
      <c r="VTR120" s="231"/>
      <c r="VTS120" s="231"/>
      <c r="VTT120" s="231"/>
      <c r="VTU120" s="231"/>
      <c r="VTV120" s="231"/>
      <c r="VTW120" s="231"/>
      <c r="VTX120" s="231"/>
      <c r="VTY120" s="231"/>
      <c r="VTZ120" s="231"/>
      <c r="VUA120" s="231"/>
      <c r="VUB120" s="231"/>
      <c r="VUC120" s="231"/>
      <c r="VUD120" s="231"/>
      <c r="VUE120" s="231"/>
      <c r="VUF120" s="231"/>
      <c r="VUG120" s="231"/>
      <c r="VUH120" s="231"/>
      <c r="VUI120" s="231"/>
      <c r="VUJ120" s="231"/>
      <c r="VUK120" s="231"/>
      <c r="VUL120" s="231"/>
      <c r="VUM120" s="231"/>
      <c r="VUN120" s="231"/>
      <c r="VUO120" s="231"/>
      <c r="VUP120" s="231"/>
      <c r="VUQ120" s="231"/>
      <c r="VUR120" s="231"/>
      <c r="VUS120" s="231"/>
      <c r="VUT120" s="231"/>
      <c r="VUU120" s="231"/>
      <c r="VUV120" s="231"/>
      <c r="VUW120" s="231"/>
      <c r="VUX120" s="231"/>
      <c r="VUY120" s="231"/>
      <c r="VUZ120" s="231"/>
      <c r="VVA120" s="231"/>
      <c r="VVB120" s="231"/>
      <c r="VVC120" s="231"/>
      <c r="VVD120" s="231"/>
      <c r="VVE120" s="231"/>
      <c r="VVF120" s="231"/>
      <c r="VVG120" s="231"/>
      <c r="VVH120" s="231"/>
      <c r="VVI120" s="231"/>
      <c r="VVJ120" s="231"/>
      <c r="VVK120" s="231"/>
      <c r="VVL120" s="231"/>
      <c r="VVM120" s="231"/>
      <c r="VVN120" s="231"/>
      <c r="VVO120" s="231"/>
      <c r="VVP120" s="231"/>
      <c r="VVQ120" s="231"/>
      <c r="VVR120" s="231"/>
      <c r="VVS120" s="231"/>
      <c r="VVT120" s="231"/>
      <c r="VVU120" s="231"/>
      <c r="VVV120" s="231"/>
      <c r="VVW120" s="231"/>
      <c r="VVX120" s="231"/>
      <c r="VVY120" s="231"/>
      <c r="VVZ120" s="231"/>
      <c r="VWA120" s="231"/>
      <c r="VWB120" s="231"/>
      <c r="VWC120" s="231"/>
      <c r="VWD120" s="231"/>
      <c r="VWE120" s="231"/>
      <c r="VWF120" s="231"/>
      <c r="VWG120" s="231"/>
      <c r="VWH120" s="231"/>
      <c r="VWI120" s="231"/>
      <c r="VWJ120" s="231"/>
      <c r="VWK120" s="231"/>
      <c r="VWL120" s="231"/>
      <c r="VWM120" s="231"/>
      <c r="VWN120" s="231"/>
      <c r="VWO120" s="231"/>
      <c r="VWP120" s="231"/>
      <c r="VWQ120" s="231"/>
      <c r="VWR120" s="231"/>
      <c r="VWS120" s="231"/>
      <c r="VWT120" s="231"/>
      <c r="VWU120" s="231"/>
      <c r="VWV120" s="231"/>
      <c r="VWW120" s="231"/>
      <c r="VWX120" s="231"/>
      <c r="VWY120" s="231"/>
      <c r="VWZ120" s="231"/>
      <c r="VXA120" s="231"/>
      <c r="VXB120" s="231"/>
      <c r="VXC120" s="231"/>
      <c r="VXD120" s="231"/>
      <c r="VXE120" s="231"/>
      <c r="VXF120" s="231"/>
      <c r="VXG120" s="231"/>
      <c r="VXH120" s="231"/>
      <c r="VXI120" s="231"/>
      <c r="VXJ120" s="231"/>
      <c r="VXK120" s="231"/>
      <c r="VXL120" s="231"/>
      <c r="VXM120" s="231"/>
      <c r="VXN120" s="231"/>
      <c r="VXO120" s="231"/>
      <c r="VXP120" s="231"/>
      <c r="VXQ120" s="231"/>
      <c r="VXR120" s="231"/>
      <c r="VXS120" s="231"/>
      <c r="VXT120" s="231"/>
      <c r="VXU120" s="231"/>
      <c r="VXV120" s="231"/>
      <c r="VXW120" s="231"/>
      <c r="VXX120" s="231"/>
      <c r="VXY120" s="231"/>
      <c r="VXZ120" s="231"/>
      <c r="VYA120" s="231"/>
      <c r="VYB120" s="231"/>
      <c r="VYC120" s="231"/>
      <c r="VYD120" s="231"/>
      <c r="VYE120" s="231"/>
      <c r="VYF120" s="231"/>
      <c r="VYG120" s="231"/>
      <c r="VYH120" s="231"/>
      <c r="VYI120" s="231"/>
      <c r="VYJ120" s="231"/>
      <c r="VYK120" s="231"/>
      <c r="VYL120" s="231"/>
      <c r="VYM120" s="231"/>
      <c r="VYN120" s="231"/>
      <c r="VYO120" s="231"/>
      <c r="VYP120" s="231"/>
      <c r="VYQ120" s="231"/>
      <c r="VYR120" s="231"/>
      <c r="VYS120" s="231"/>
      <c r="VYT120" s="231"/>
      <c r="VYU120" s="231"/>
      <c r="VYV120" s="231"/>
      <c r="VYW120" s="231"/>
      <c r="VYX120" s="231"/>
      <c r="VYY120" s="231"/>
      <c r="VYZ120" s="231"/>
      <c r="VZA120" s="231"/>
      <c r="VZB120" s="231"/>
      <c r="VZC120" s="231"/>
      <c r="VZD120" s="231"/>
      <c r="VZE120" s="231"/>
      <c r="VZF120" s="231"/>
      <c r="VZG120" s="231"/>
      <c r="VZH120" s="231"/>
      <c r="VZI120" s="231"/>
      <c r="VZJ120" s="231"/>
      <c r="VZK120" s="231"/>
      <c r="VZL120" s="231"/>
      <c r="VZM120" s="231"/>
      <c r="VZN120" s="231"/>
      <c r="VZO120" s="231"/>
      <c r="VZP120" s="231"/>
      <c r="VZQ120" s="231"/>
      <c r="VZR120" s="231"/>
      <c r="VZS120" s="231"/>
      <c r="VZT120" s="231"/>
      <c r="VZU120" s="231"/>
      <c r="VZV120" s="231"/>
      <c r="VZW120" s="231"/>
      <c r="VZX120" s="231"/>
      <c r="VZY120" s="231"/>
      <c r="VZZ120" s="231"/>
      <c r="WAA120" s="231"/>
      <c r="WAB120" s="231"/>
      <c r="WAC120" s="231"/>
      <c r="WAD120" s="231"/>
      <c r="WAE120" s="231"/>
      <c r="WAF120" s="231"/>
      <c r="WAG120" s="231"/>
      <c r="WAH120" s="231"/>
      <c r="WAI120" s="231"/>
      <c r="WAJ120" s="231"/>
      <c r="WAK120" s="231"/>
      <c r="WAL120" s="231"/>
      <c r="WAM120" s="231"/>
      <c r="WAN120" s="231"/>
      <c r="WAO120" s="231"/>
      <c r="WAP120" s="231"/>
      <c r="WAQ120" s="231"/>
      <c r="WAR120" s="231"/>
      <c r="WAS120" s="231"/>
      <c r="WAT120" s="231"/>
      <c r="WAU120" s="231"/>
      <c r="WAV120" s="231"/>
      <c r="WAW120" s="231"/>
      <c r="WAX120" s="231"/>
      <c r="WAY120" s="231"/>
      <c r="WAZ120" s="231"/>
      <c r="WBA120" s="231"/>
      <c r="WBB120" s="231"/>
      <c r="WBC120" s="231"/>
      <c r="WBD120" s="231"/>
      <c r="WBE120" s="231"/>
      <c r="WBF120" s="231"/>
      <c r="WBG120" s="231"/>
      <c r="WBH120" s="231"/>
      <c r="WBI120" s="231"/>
      <c r="WBJ120" s="231"/>
      <c r="WBK120" s="231"/>
      <c r="WBL120" s="231"/>
      <c r="WBM120" s="231"/>
      <c r="WBN120" s="231"/>
      <c r="WBO120" s="231"/>
      <c r="WBP120" s="231"/>
      <c r="WBQ120" s="231"/>
      <c r="WBR120" s="231"/>
      <c r="WBS120" s="231"/>
      <c r="WBT120" s="231"/>
      <c r="WBU120" s="231"/>
      <c r="WBV120" s="231"/>
      <c r="WBW120" s="231"/>
      <c r="WBX120" s="231"/>
      <c r="WBY120" s="231"/>
      <c r="WBZ120" s="231"/>
      <c r="WCA120" s="231"/>
      <c r="WCB120" s="231"/>
      <c r="WCC120" s="231"/>
      <c r="WCD120" s="231"/>
      <c r="WCE120" s="231"/>
      <c r="WCF120" s="231"/>
      <c r="WCG120" s="231"/>
      <c r="WCH120" s="231"/>
      <c r="WCI120" s="231"/>
      <c r="WCJ120" s="231"/>
      <c r="WCK120" s="231"/>
      <c r="WCL120" s="231"/>
      <c r="WCM120" s="231"/>
      <c r="WCN120" s="231"/>
      <c r="WCO120" s="231"/>
      <c r="WCP120" s="231"/>
      <c r="WCQ120" s="231"/>
      <c r="WCR120" s="231"/>
      <c r="WCS120" s="231"/>
      <c r="WCT120" s="231"/>
      <c r="WCU120" s="231"/>
      <c r="WCV120" s="231"/>
      <c r="WCW120" s="231"/>
      <c r="WCX120" s="231"/>
      <c r="WCY120" s="231"/>
      <c r="WCZ120" s="231"/>
      <c r="WDA120" s="231"/>
      <c r="WDB120" s="231"/>
      <c r="WDC120" s="231"/>
      <c r="WDD120" s="231"/>
      <c r="WDE120" s="231"/>
      <c r="WDF120" s="231"/>
      <c r="WDG120" s="231"/>
      <c r="WDH120" s="231"/>
      <c r="WDI120" s="231"/>
      <c r="WDJ120" s="231"/>
      <c r="WDK120" s="231"/>
      <c r="WDL120" s="231"/>
      <c r="WDM120" s="231"/>
      <c r="WDN120" s="231"/>
      <c r="WDO120" s="231"/>
      <c r="WDP120" s="231"/>
      <c r="WDQ120" s="231"/>
      <c r="WDR120" s="231"/>
      <c r="WDS120" s="231"/>
      <c r="WDT120" s="231"/>
      <c r="WDU120" s="231"/>
      <c r="WDV120" s="231"/>
      <c r="WDW120" s="231"/>
      <c r="WDX120" s="231"/>
      <c r="WDY120" s="231"/>
      <c r="WDZ120" s="231"/>
      <c r="WEA120" s="231"/>
      <c r="WEB120" s="231"/>
      <c r="WEC120" s="231"/>
      <c r="WED120" s="231"/>
      <c r="WEE120" s="231"/>
      <c r="WEF120" s="231"/>
      <c r="WEG120" s="231"/>
      <c r="WEH120" s="231"/>
      <c r="WEI120" s="231"/>
      <c r="WEJ120" s="231"/>
      <c r="WEK120" s="231"/>
      <c r="WEL120" s="231"/>
      <c r="WEM120" s="231"/>
      <c r="WEN120" s="231"/>
      <c r="WEO120" s="231"/>
      <c r="WEP120" s="231"/>
      <c r="WEQ120" s="231"/>
      <c r="WER120" s="231"/>
      <c r="WES120" s="231"/>
      <c r="WET120" s="231"/>
      <c r="WEU120" s="231"/>
      <c r="WEV120" s="231"/>
      <c r="WEW120" s="231"/>
      <c r="WEX120" s="231"/>
      <c r="WEY120" s="231"/>
      <c r="WEZ120" s="231"/>
      <c r="WFA120" s="231"/>
      <c r="WFB120" s="231"/>
      <c r="WFC120" s="231"/>
      <c r="WFD120" s="231"/>
      <c r="WFE120" s="231"/>
      <c r="WFF120" s="231"/>
      <c r="WFG120" s="231"/>
      <c r="WFH120" s="231"/>
      <c r="WFI120" s="231"/>
      <c r="WFJ120" s="231"/>
      <c r="WFK120" s="231"/>
      <c r="WFL120" s="231"/>
      <c r="WFM120" s="231"/>
      <c r="WFN120" s="231"/>
      <c r="WFO120" s="231"/>
      <c r="WFP120" s="231"/>
      <c r="WFQ120" s="231"/>
      <c r="WFR120" s="231"/>
      <c r="WFS120" s="231"/>
      <c r="WFT120" s="231"/>
      <c r="WFU120" s="231"/>
      <c r="WFV120" s="231"/>
      <c r="WFW120" s="231"/>
      <c r="WFX120" s="231"/>
      <c r="WFY120" s="231"/>
      <c r="WFZ120" s="231"/>
      <c r="WGA120" s="231"/>
      <c r="WGB120" s="231"/>
      <c r="WGC120" s="231"/>
      <c r="WGD120" s="231"/>
      <c r="WGE120" s="231"/>
      <c r="WGF120" s="231"/>
      <c r="WGG120" s="231"/>
      <c r="WGH120" s="231"/>
      <c r="WGI120" s="231"/>
      <c r="WGJ120" s="231"/>
      <c r="WGK120" s="231"/>
      <c r="WGL120" s="231"/>
      <c r="WGM120" s="231"/>
      <c r="WGN120" s="231"/>
      <c r="WGO120" s="231"/>
      <c r="WGP120" s="231"/>
      <c r="WGQ120" s="231"/>
      <c r="WGR120" s="231"/>
      <c r="WGS120" s="231"/>
      <c r="WGT120" s="231"/>
      <c r="WGU120" s="231"/>
      <c r="WGV120" s="231"/>
      <c r="WGW120" s="231"/>
      <c r="WGX120" s="231"/>
      <c r="WGY120" s="231"/>
      <c r="WGZ120" s="231"/>
      <c r="WHA120" s="231"/>
      <c r="WHB120" s="231"/>
      <c r="WHC120" s="231"/>
      <c r="WHD120" s="231"/>
      <c r="WHE120" s="231"/>
      <c r="WHF120" s="231"/>
      <c r="WHG120" s="231"/>
      <c r="WHH120" s="231"/>
      <c r="WHI120" s="231"/>
      <c r="WHJ120" s="231"/>
      <c r="WHK120" s="231"/>
      <c r="WHL120" s="231"/>
      <c r="WHM120" s="231"/>
      <c r="WHN120" s="231"/>
      <c r="WHO120" s="231"/>
      <c r="WHP120" s="231"/>
      <c r="WHQ120" s="231"/>
      <c r="WHR120" s="231"/>
      <c r="WHS120" s="231"/>
      <c r="WHT120" s="231"/>
      <c r="WHU120" s="231"/>
      <c r="WHV120" s="231"/>
      <c r="WHW120" s="231"/>
      <c r="WHX120" s="231"/>
      <c r="WHY120" s="231"/>
      <c r="WHZ120" s="231"/>
      <c r="WIA120" s="231"/>
      <c r="WIB120" s="231"/>
      <c r="WIC120" s="231"/>
      <c r="WID120" s="231"/>
      <c r="WIE120" s="231"/>
      <c r="WIF120" s="231"/>
      <c r="WIG120" s="231"/>
      <c r="WIH120" s="231"/>
      <c r="WII120" s="231"/>
      <c r="WIJ120" s="231"/>
      <c r="WIK120" s="231"/>
      <c r="WIL120" s="231"/>
      <c r="WIM120" s="231"/>
      <c r="WIN120" s="231"/>
      <c r="WIO120" s="231"/>
      <c r="WIP120" s="231"/>
      <c r="WIQ120" s="231"/>
      <c r="WIR120" s="231"/>
      <c r="WIS120" s="231"/>
      <c r="WIT120" s="231"/>
      <c r="WIU120" s="231"/>
      <c r="WIV120" s="231"/>
      <c r="WIW120" s="231"/>
      <c r="WIX120" s="231"/>
      <c r="WIY120" s="231"/>
      <c r="WIZ120" s="231"/>
      <c r="WJA120" s="231"/>
      <c r="WJB120" s="231"/>
      <c r="WJC120" s="231"/>
      <c r="WJD120" s="231"/>
      <c r="WJE120" s="231"/>
      <c r="WJF120" s="231"/>
      <c r="WJG120" s="231"/>
      <c r="WJH120" s="231"/>
      <c r="WJI120" s="231"/>
      <c r="WJJ120" s="231"/>
      <c r="WJK120" s="231"/>
      <c r="WJL120" s="231"/>
      <c r="WJM120" s="231"/>
      <c r="WJN120" s="231"/>
      <c r="WJO120" s="231"/>
      <c r="WJP120" s="231"/>
      <c r="WJQ120" s="231"/>
      <c r="WJR120" s="231"/>
      <c r="WJS120" s="231"/>
      <c r="WJT120" s="231"/>
      <c r="WJU120" s="231"/>
      <c r="WJV120" s="231"/>
      <c r="WJW120" s="231"/>
      <c r="WJX120" s="231"/>
      <c r="WJY120" s="231"/>
      <c r="WJZ120" s="231"/>
      <c r="WKA120" s="231"/>
      <c r="WKB120" s="231"/>
      <c r="WKC120" s="231"/>
      <c r="WKD120" s="231"/>
      <c r="WKE120" s="231"/>
      <c r="WKF120" s="231"/>
      <c r="WKG120" s="231"/>
      <c r="WKH120" s="231"/>
      <c r="WKI120" s="231"/>
      <c r="WKJ120" s="231"/>
      <c r="WKK120" s="231"/>
      <c r="WKL120" s="231"/>
      <c r="WKM120" s="231"/>
      <c r="WKN120" s="231"/>
      <c r="WKO120" s="231"/>
      <c r="WKP120" s="231"/>
      <c r="WKQ120" s="231"/>
      <c r="WKR120" s="231"/>
      <c r="WKS120" s="231"/>
      <c r="WKT120" s="231"/>
      <c r="WKU120" s="231"/>
      <c r="WKV120" s="231"/>
      <c r="WKW120" s="231"/>
      <c r="WKX120" s="231"/>
      <c r="WKY120" s="231"/>
      <c r="WKZ120" s="231"/>
      <c r="WLA120" s="231"/>
      <c r="WLB120" s="231"/>
      <c r="WLC120" s="231"/>
      <c r="WLD120" s="231"/>
      <c r="WLE120" s="231"/>
      <c r="WLF120" s="231"/>
      <c r="WLG120" s="231"/>
      <c r="WLH120" s="231"/>
      <c r="WLI120" s="231"/>
      <c r="WLJ120" s="231"/>
      <c r="WLK120" s="231"/>
      <c r="WLL120" s="231"/>
      <c r="WLM120" s="231"/>
      <c r="WLN120" s="231"/>
      <c r="WLO120" s="231"/>
      <c r="WLP120" s="231"/>
      <c r="WLQ120" s="231"/>
      <c r="WLR120" s="231"/>
      <c r="WLS120" s="231"/>
      <c r="WLT120" s="231"/>
      <c r="WLU120" s="231"/>
      <c r="WLV120" s="231"/>
      <c r="WLW120" s="231"/>
      <c r="WLX120" s="231"/>
      <c r="WLY120" s="231"/>
      <c r="WLZ120" s="231"/>
      <c r="WMA120" s="231"/>
      <c r="WMB120" s="231"/>
      <c r="WMC120" s="231"/>
      <c r="WMD120" s="231"/>
      <c r="WME120" s="231"/>
      <c r="WMF120" s="231"/>
      <c r="WMG120" s="231"/>
      <c r="WMH120" s="231"/>
      <c r="WMI120" s="231"/>
      <c r="WMJ120" s="231"/>
      <c r="WMK120" s="231"/>
      <c r="WML120" s="231"/>
      <c r="WMM120" s="231"/>
      <c r="WMN120" s="231"/>
      <c r="WMO120" s="231"/>
      <c r="WMP120" s="231"/>
      <c r="WMQ120" s="231"/>
      <c r="WMR120" s="231"/>
      <c r="WMS120" s="231"/>
      <c r="WMT120" s="231"/>
      <c r="WMU120" s="231"/>
      <c r="WMV120" s="231"/>
      <c r="WMW120" s="231"/>
      <c r="WMX120" s="231"/>
      <c r="WMY120" s="231"/>
      <c r="WMZ120" s="231"/>
      <c r="WNA120" s="231"/>
      <c r="WNB120" s="231"/>
      <c r="WNC120" s="231"/>
      <c r="WND120" s="231"/>
      <c r="WNE120" s="231"/>
      <c r="WNF120" s="231"/>
      <c r="WNG120" s="231"/>
      <c r="WNH120" s="231"/>
      <c r="WNI120" s="231"/>
      <c r="WNJ120" s="231"/>
      <c r="WNK120" s="231"/>
      <c r="WNL120" s="231"/>
      <c r="WNM120" s="231"/>
      <c r="WNN120" s="231"/>
      <c r="WNO120" s="231"/>
      <c r="WNP120" s="231"/>
      <c r="WNQ120" s="231"/>
      <c r="WNR120" s="231"/>
      <c r="WNS120" s="231"/>
      <c r="WNT120" s="231"/>
      <c r="WNU120" s="231"/>
      <c r="WNV120" s="231"/>
      <c r="WNW120" s="231"/>
      <c r="WNX120" s="231"/>
      <c r="WNY120" s="231"/>
      <c r="WNZ120" s="231"/>
      <c r="WOA120" s="231"/>
      <c r="WOB120" s="231"/>
      <c r="WOC120" s="231"/>
      <c r="WOD120" s="231"/>
      <c r="WOE120" s="231"/>
      <c r="WOF120" s="231"/>
      <c r="WOG120" s="231"/>
      <c r="WOH120" s="231"/>
      <c r="WOI120" s="231"/>
      <c r="WOJ120" s="231"/>
      <c r="WOK120" s="231"/>
      <c r="WOL120" s="231"/>
      <c r="WOM120" s="231"/>
      <c r="WON120" s="231"/>
      <c r="WOO120" s="231"/>
      <c r="WOP120" s="231"/>
      <c r="WOQ120" s="231"/>
      <c r="WOR120" s="231"/>
      <c r="WOS120" s="231"/>
      <c r="WOT120" s="231"/>
      <c r="WOU120" s="231"/>
      <c r="WOV120" s="231"/>
      <c r="WOW120" s="231"/>
      <c r="WOX120" s="231"/>
      <c r="WOY120" s="231"/>
      <c r="WOZ120" s="231"/>
      <c r="WPA120" s="231"/>
      <c r="WPB120" s="231"/>
      <c r="WPC120" s="231"/>
      <c r="WPD120" s="231"/>
      <c r="WPE120" s="231"/>
      <c r="WPF120" s="231"/>
      <c r="WPG120" s="231"/>
      <c r="WPH120" s="231"/>
      <c r="WPI120" s="231"/>
      <c r="WPJ120" s="231"/>
      <c r="WPK120" s="231"/>
      <c r="WPL120" s="231"/>
      <c r="WPM120" s="231"/>
      <c r="WPN120" s="231"/>
      <c r="WPO120" s="231"/>
      <c r="WPP120" s="231"/>
      <c r="WPQ120" s="231"/>
      <c r="WPR120" s="231"/>
      <c r="WPS120" s="231"/>
      <c r="WPT120" s="231"/>
      <c r="WPU120" s="231"/>
      <c r="WPV120" s="231"/>
      <c r="WPW120" s="231"/>
      <c r="WPX120" s="231"/>
      <c r="WPY120" s="231"/>
      <c r="WPZ120" s="231"/>
      <c r="WQA120" s="231"/>
      <c r="WQB120" s="231"/>
      <c r="WQC120" s="231"/>
      <c r="WQD120" s="231"/>
      <c r="WQE120" s="231"/>
      <c r="WQF120" s="231"/>
      <c r="WQG120" s="231"/>
      <c r="WQH120" s="231"/>
      <c r="WQI120" s="231"/>
      <c r="WQJ120" s="231"/>
      <c r="WQK120" s="231"/>
      <c r="WQL120" s="231"/>
      <c r="WQM120" s="231"/>
      <c r="WQN120" s="231"/>
      <c r="WQO120" s="231"/>
      <c r="WQP120" s="231"/>
      <c r="WQQ120" s="231"/>
      <c r="WQR120" s="231"/>
      <c r="WQS120" s="231"/>
      <c r="WQT120" s="231"/>
      <c r="WQU120" s="231"/>
      <c r="WQV120" s="231"/>
      <c r="WQW120" s="231"/>
      <c r="WQX120" s="231"/>
      <c r="WQY120" s="231"/>
      <c r="WQZ120" s="231"/>
      <c r="WRA120" s="231"/>
      <c r="WRB120" s="231"/>
      <c r="WRC120" s="231"/>
      <c r="WRD120" s="231"/>
      <c r="WRE120" s="231"/>
      <c r="WRF120" s="231"/>
      <c r="WRG120" s="231"/>
      <c r="WRH120" s="231"/>
      <c r="WRI120" s="231"/>
      <c r="WRJ120" s="231"/>
      <c r="WRK120" s="231"/>
      <c r="WRL120" s="231"/>
      <c r="WRM120" s="231"/>
      <c r="WRN120" s="231"/>
      <c r="WRO120" s="231"/>
      <c r="WRP120" s="231"/>
      <c r="WRQ120" s="231"/>
      <c r="WRR120" s="231"/>
      <c r="WRS120" s="231"/>
      <c r="WRT120" s="231"/>
      <c r="WRU120" s="231"/>
      <c r="WRV120" s="231"/>
      <c r="WRW120" s="231"/>
      <c r="WRX120" s="231"/>
      <c r="WRY120" s="231"/>
      <c r="WRZ120" s="231"/>
      <c r="WSA120" s="231"/>
      <c r="WSB120" s="231"/>
      <c r="WSC120" s="231"/>
      <c r="WSD120" s="231"/>
      <c r="WSE120" s="231"/>
      <c r="WSF120" s="231"/>
      <c r="WSG120" s="231"/>
      <c r="WSH120" s="231"/>
      <c r="WSI120" s="231"/>
      <c r="WSJ120" s="231"/>
      <c r="WSK120" s="231"/>
      <c r="WSL120" s="231"/>
      <c r="WSM120" s="231"/>
      <c r="WSN120" s="231"/>
      <c r="WSO120" s="231"/>
      <c r="WSP120" s="231"/>
      <c r="WSQ120" s="231"/>
      <c r="WSR120" s="231"/>
      <c r="WSS120" s="231"/>
      <c r="WST120" s="231"/>
      <c r="WSU120" s="231"/>
      <c r="WSV120" s="231"/>
      <c r="WSW120" s="231"/>
      <c r="WSX120" s="231"/>
      <c r="WSY120" s="231"/>
      <c r="WSZ120" s="231"/>
      <c r="WTA120" s="231"/>
      <c r="WTB120" s="231"/>
      <c r="WTC120" s="231"/>
      <c r="WTD120" s="231"/>
      <c r="WTE120" s="231"/>
      <c r="WTF120" s="231"/>
      <c r="WTG120" s="231"/>
      <c r="WTH120" s="231"/>
      <c r="WTI120" s="231"/>
      <c r="WTJ120" s="231"/>
      <c r="WTK120" s="231"/>
      <c r="WTL120" s="231"/>
      <c r="WTM120" s="231"/>
      <c r="WTN120" s="231"/>
      <c r="WTO120" s="231"/>
      <c r="WTP120" s="231"/>
      <c r="WTQ120" s="231"/>
      <c r="WTR120" s="231"/>
      <c r="WTS120" s="231"/>
      <c r="WTT120" s="231"/>
      <c r="WTU120" s="231"/>
      <c r="WTV120" s="231"/>
      <c r="WTW120" s="231"/>
      <c r="WTX120" s="231"/>
      <c r="WTY120" s="231"/>
      <c r="WTZ120" s="231"/>
      <c r="WUA120" s="231"/>
      <c r="WUB120" s="231"/>
      <c r="WUC120" s="231"/>
      <c r="WUD120" s="231"/>
      <c r="WUE120" s="231"/>
      <c r="WUF120" s="231"/>
      <c r="WUG120" s="231"/>
      <c r="WUH120" s="231"/>
      <c r="WUI120" s="231"/>
      <c r="WUJ120" s="231"/>
      <c r="WUK120" s="231"/>
      <c r="WUL120" s="231"/>
      <c r="WUM120" s="231"/>
      <c r="WUN120" s="231"/>
      <c r="WUO120" s="231"/>
      <c r="WUP120" s="231"/>
      <c r="WUQ120" s="231"/>
      <c r="WUR120" s="231"/>
      <c r="WUS120" s="231"/>
      <c r="WUT120" s="231"/>
      <c r="WUU120" s="231"/>
      <c r="WUV120" s="231"/>
      <c r="WUW120" s="231"/>
      <c r="WUX120" s="231"/>
      <c r="WUY120" s="231"/>
      <c r="WUZ120" s="231"/>
      <c r="WVA120" s="231"/>
      <c r="WVB120" s="231"/>
      <c r="WVC120" s="231"/>
      <c r="WVD120" s="231"/>
      <c r="WVE120" s="231"/>
      <c r="WVF120" s="231"/>
      <c r="WVG120" s="231"/>
      <c r="WVH120" s="231"/>
      <c r="WVI120" s="231"/>
      <c r="WVJ120" s="231"/>
      <c r="WVK120" s="231"/>
      <c r="WVL120" s="231"/>
      <c r="WVM120" s="231"/>
      <c r="WVN120" s="231"/>
      <c r="WVO120" s="231"/>
      <c r="WVP120" s="231"/>
      <c r="WVQ120" s="231"/>
      <c r="WVR120" s="231"/>
      <c r="WVS120" s="231"/>
      <c r="WVT120" s="231"/>
      <c r="WVU120" s="231"/>
      <c r="WVV120" s="231"/>
      <c r="WVW120" s="231"/>
      <c r="WVX120" s="231"/>
      <c r="WVY120" s="231"/>
      <c r="WVZ120" s="231"/>
      <c r="WWA120" s="231"/>
      <c r="WWB120" s="231"/>
      <c r="WWC120" s="231"/>
      <c r="WWD120" s="231"/>
      <c r="WWE120" s="231"/>
      <c r="WWF120" s="231"/>
      <c r="WWG120" s="231"/>
      <c r="WWH120" s="231"/>
      <c r="WWI120" s="231"/>
      <c r="WWJ120" s="231"/>
      <c r="WWK120" s="231"/>
      <c r="WWL120" s="231"/>
      <c r="WWM120" s="231"/>
      <c r="WWN120" s="231"/>
      <c r="WWO120" s="231"/>
      <c r="WWP120" s="231"/>
      <c r="WWQ120" s="231"/>
      <c r="WWR120" s="231"/>
      <c r="WWS120" s="231"/>
      <c r="WWT120" s="231"/>
      <c r="WWU120" s="231"/>
      <c r="WWV120" s="231"/>
      <c r="WWW120" s="231"/>
      <c r="WWX120" s="231"/>
      <c r="WWY120" s="231"/>
      <c r="WWZ120" s="231"/>
      <c r="WXA120" s="231"/>
      <c r="WXB120" s="231"/>
      <c r="WXC120" s="231"/>
      <c r="WXD120" s="231"/>
      <c r="WXE120" s="231"/>
      <c r="WXF120" s="231"/>
      <c r="WXG120" s="231"/>
      <c r="WXH120" s="231"/>
      <c r="WXI120" s="231"/>
      <c r="WXJ120" s="231"/>
      <c r="WXK120" s="231"/>
      <c r="WXL120" s="231"/>
      <c r="WXM120" s="231"/>
      <c r="WXN120" s="231"/>
      <c r="WXO120" s="231"/>
      <c r="WXP120" s="231"/>
      <c r="WXQ120" s="231"/>
      <c r="WXR120" s="231"/>
      <c r="WXS120" s="231"/>
      <c r="WXT120" s="231"/>
      <c r="WXU120" s="231"/>
      <c r="WXV120" s="231"/>
      <c r="WXW120" s="231"/>
      <c r="WXX120" s="231"/>
      <c r="WXY120" s="231"/>
      <c r="WXZ120" s="231"/>
      <c r="WYA120" s="231"/>
      <c r="WYB120" s="231"/>
      <c r="WYC120" s="231"/>
      <c r="WYD120" s="231"/>
      <c r="WYE120" s="231"/>
      <c r="WYF120" s="231"/>
      <c r="WYG120" s="231"/>
      <c r="WYH120" s="231"/>
      <c r="WYI120" s="231"/>
      <c r="WYJ120" s="231"/>
      <c r="WYK120" s="231"/>
      <c r="WYL120" s="231"/>
      <c r="WYM120" s="231"/>
      <c r="WYN120" s="231"/>
      <c r="WYO120" s="231"/>
      <c r="WYP120" s="231"/>
      <c r="WYQ120" s="231"/>
      <c r="WYR120" s="231"/>
      <c r="WYS120" s="231"/>
      <c r="WYT120" s="231"/>
      <c r="WYU120" s="231"/>
      <c r="WYV120" s="231"/>
      <c r="WYW120" s="231"/>
      <c r="WYX120" s="231"/>
      <c r="WYY120" s="231"/>
      <c r="WYZ120" s="231"/>
      <c r="WZA120" s="231"/>
      <c r="WZB120" s="231"/>
      <c r="WZC120" s="231"/>
      <c r="WZD120" s="231"/>
      <c r="WZE120" s="231"/>
      <c r="WZF120" s="231"/>
      <c r="WZG120" s="231"/>
      <c r="WZH120" s="231"/>
      <c r="WZI120" s="231"/>
      <c r="WZJ120" s="231"/>
      <c r="WZK120" s="231"/>
      <c r="WZL120" s="231"/>
      <c r="WZM120" s="231"/>
      <c r="WZN120" s="231"/>
      <c r="WZO120" s="231"/>
      <c r="WZP120" s="231"/>
      <c r="WZQ120" s="231"/>
      <c r="WZR120" s="231"/>
      <c r="WZS120" s="231"/>
      <c r="WZT120" s="231"/>
      <c r="WZU120" s="231"/>
      <c r="WZV120" s="231"/>
      <c r="WZW120" s="231"/>
      <c r="WZX120" s="231"/>
      <c r="WZY120" s="231"/>
      <c r="WZZ120" s="231"/>
      <c r="XAA120" s="231"/>
      <c r="XAB120" s="231"/>
      <c r="XAC120" s="231"/>
      <c r="XAD120" s="231"/>
      <c r="XAE120" s="231"/>
      <c r="XAF120" s="231"/>
      <c r="XAG120" s="231"/>
      <c r="XAH120" s="231"/>
      <c r="XAI120" s="231"/>
      <c r="XAJ120" s="231"/>
      <c r="XAK120" s="231"/>
      <c r="XAL120" s="231"/>
      <c r="XAM120" s="231"/>
      <c r="XAN120" s="231"/>
      <c r="XAO120" s="231"/>
      <c r="XAP120" s="231"/>
      <c r="XAQ120" s="231"/>
      <c r="XAR120" s="231"/>
      <c r="XAS120" s="231"/>
      <c r="XAT120" s="231"/>
      <c r="XAU120" s="231"/>
      <c r="XAV120" s="231"/>
      <c r="XAW120" s="231"/>
      <c r="XAX120" s="231"/>
      <c r="XAY120" s="231"/>
      <c r="XAZ120" s="231"/>
      <c r="XBA120" s="231"/>
      <c r="XBB120" s="231"/>
      <c r="XBC120" s="231"/>
      <c r="XBD120" s="231"/>
      <c r="XBE120" s="231"/>
      <c r="XBF120" s="231"/>
      <c r="XBG120" s="231"/>
      <c r="XBH120" s="231"/>
      <c r="XBI120" s="231"/>
      <c r="XBJ120" s="231"/>
      <c r="XBK120" s="231"/>
      <c r="XBL120" s="231"/>
      <c r="XBM120" s="231"/>
      <c r="XBN120" s="231"/>
      <c r="XBO120" s="231"/>
      <c r="XBP120" s="231"/>
      <c r="XBQ120" s="231"/>
      <c r="XBR120" s="231"/>
      <c r="XBS120" s="231"/>
      <c r="XBT120" s="231"/>
      <c r="XBU120" s="231"/>
      <c r="XBV120" s="231"/>
      <c r="XBW120" s="231"/>
      <c r="XBX120" s="231"/>
      <c r="XBY120" s="231"/>
      <c r="XBZ120" s="231"/>
      <c r="XCA120" s="231"/>
      <c r="XCB120" s="231"/>
      <c r="XCC120" s="231"/>
      <c r="XCD120" s="231"/>
      <c r="XCE120" s="231"/>
      <c r="XCF120" s="231"/>
      <c r="XCG120" s="231"/>
      <c r="XCH120" s="231"/>
      <c r="XCI120" s="231"/>
      <c r="XCJ120" s="231"/>
      <c r="XCK120" s="231"/>
      <c r="XCL120" s="231"/>
      <c r="XCM120" s="231"/>
      <c r="XCN120" s="231"/>
      <c r="XCO120" s="231"/>
      <c r="XCP120" s="231"/>
      <c r="XCQ120" s="231"/>
      <c r="XCR120" s="231"/>
      <c r="XCS120" s="231"/>
      <c r="XCT120" s="231"/>
      <c r="XCU120" s="231"/>
      <c r="XCV120" s="231"/>
      <c r="XCW120" s="231"/>
      <c r="XCX120" s="231"/>
      <c r="XCY120" s="231"/>
      <c r="XCZ120" s="231"/>
      <c r="XDA120" s="231"/>
      <c r="XDB120" s="231"/>
      <c r="XDC120" s="231"/>
      <c r="XDD120" s="231"/>
      <c r="XDE120" s="231"/>
      <c r="XDF120" s="231"/>
      <c r="XDG120" s="231"/>
      <c r="XDH120" s="231"/>
      <c r="XDI120" s="231"/>
      <c r="XDJ120" s="231"/>
      <c r="XDK120" s="231"/>
      <c r="XDL120" s="231"/>
      <c r="XDM120" s="231"/>
      <c r="XDN120" s="231"/>
      <c r="XDO120" s="231"/>
      <c r="XDP120" s="231"/>
      <c r="XDQ120" s="231"/>
      <c r="XDR120" s="231"/>
      <c r="XDS120" s="231"/>
      <c r="XDT120" s="231"/>
      <c r="XDU120" s="231"/>
      <c r="XDV120" s="231"/>
      <c r="XDW120" s="231"/>
      <c r="XDX120" s="231"/>
      <c r="XDY120" s="231"/>
      <c r="XDZ120" s="231"/>
      <c r="XEA120" s="231"/>
      <c r="XEB120" s="231"/>
      <c r="XEC120" s="231"/>
      <c r="XED120" s="231"/>
      <c r="XEE120" s="231"/>
      <c r="XEF120" s="231"/>
      <c r="XEG120" s="231"/>
      <c r="XEH120" s="231"/>
      <c r="XEI120" s="231"/>
      <c r="XEJ120" s="231"/>
      <c r="XEK120" s="231"/>
      <c r="XEL120" s="231"/>
      <c r="XEM120" s="231"/>
      <c r="XEN120" s="231"/>
      <c r="XEO120" s="231"/>
      <c r="XEP120" s="231"/>
      <c r="XEQ120" s="231"/>
      <c r="XER120" s="231"/>
      <c r="XES120" s="231"/>
      <c r="XET120" s="231"/>
      <c r="XEU120" s="231"/>
      <c r="XEV120" s="231"/>
      <c r="XEW120" s="231"/>
      <c r="XEX120" s="231"/>
      <c r="XEY120" s="231"/>
      <c r="XEZ120" s="231"/>
      <c r="XFA120" s="231"/>
      <c r="XFB120" s="231"/>
    </row>
    <row r="121" spans="1:16382" s="231" customFormat="1" ht="15.75" x14ac:dyDescent="0.45">
      <c r="A121" s="206">
        <v>6.2</v>
      </c>
      <c r="B121" s="118" t="s">
        <v>164</v>
      </c>
      <c r="C121" s="119" t="s">
        <v>158</v>
      </c>
      <c r="D121" s="210" t="str">
        <f>IF(OR(j_WEEKDAY(J_ADDDAY(VLOOKUP(I121,A:F,6,FALSE),H121,1),0)=6,SUMIFS(Holieday[ok],Holieday[date],J_ADDDAY(VLOOKUP(I121,A:F,6,FALSE),H121,1)))=FALSE(),J_ADDDAY(VLOOKUP(I121,A:F,6,FALSE),H121,1),IF(OR(j_WEEKDAY(J_ADDDAY(VLOOKUP(I121,A:F,6,FALSE),H121+1,1),0)=6,SUMIFS(Holieday[ok],Holieday[date],J_ADDDAY(VLOOKUP(I121,A:F,6,FALSE),H121+1,1)))=FALSE(),J_ADDDAY(VLOOKUP(I121,A:F,6,FALSE),H121+1,1),IF(OR(j_WEEKDAY(J_ADDDAY(VLOOKUP(I121,A:F,6,FALSE),H121+2,1),0)=6,SUMIFS(Holieday[ok],Holieday[date],J_ADDDAY(VLOOKUP(I121,A:F,6,FALSE),H121+2,1)))=FALSE(),J_ADDDAY(VLOOKUP(I121,A:F,6,FALSE),H121+2,1),IF(OR(j_WEEKDAY(J_ADDDAY(VLOOKUP(I121,A:F,6,FALSE),H121+3,1),0)=6,SUMIFS(Holieday[ok],Holieday[date],J_ADDDAY(VLOOKUP(I121,A:F,6,FALSE),H121+3,1)))=FALSE(),J_ADDDAY(VLOOKUP(I121,A:F,6,FALSE),H121+3,1),IF(OR(j_WEEKDAY(J_ADDDAY(VLOOKUP(I121,A:F,6,FALSE),H121+4,1),0)=6,SUMIFS(Holieday[ok],Holieday[date],J_ADDDAY(VLOOKUP(I121,A:F,6,FALSE),H121+4,1)))=FALSE(),J_ADDDAY(VLOOKUP(I121,A:F,6,FALSE),H121+4,1),J_ADDDAY(VLOOKUP(I121,A:F,6,FALSE),H121+5,1))))))</f>
        <v>1398/08/07</v>
      </c>
      <c r="E121" s="198">
        <f t="shared" si="35"/>
        <v>13980807</v>
      </c>
      <c r="F121" s="210" t="str">
        <f>IF(N121=0,J_SUBDAY(D121,1,1)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0,J_SUBDAY(J_ADDDAY(D121,N121,1)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1,J_SUBDAY(J_ADDDAY(D121,N121+1,1),1,1),IF((N121-NETWORKDAYS.INTL(J_GregorianDate(D121,1),J_GregorianDate(J_SUBDAY(J_ADDDAY(D121,N121,1),1,1),1),16,1)-SUMIFS(Holieday[ok],Holieday[date],CONCATENATE("&gt;","=",D121),Holieday[date],CONCATENATE("&lt;","=",J_SUBDAY(J_ADDDAY(D121,N121,1),1,1)))+SUMIFS(Holieday[Friday],Holieday[date],CONCATENATE("&gt;","=",D121),Holieday[date],CONCATENATE("&lt;","=",J_SUBDAY(J_ADDDAY(D121,N121,1),1,1))))=2,J_SUBDAY(J_ADDDAY(D121,N121+2,1),1,1),J_SUBDAY(J_ADDDAY(D121,N121+3,1),1,1)))))</f>
        <v>1398/08/14</v>
      </c>
      <c r="G121" s="201">
        <f t="shared" si="36"/>
        <v>13980814</v>
      </c>
      <c r="H121" s="121">
        <v>1</v>
      </c>
      <c r="I121" s="122">
        <v>6.1</v>
      </c>
      <c r="J121" s="209" t="str">
        <f>j_WEEKDAY(D121,1)</f>
        <v>سه‌شنبه</v>
      </c>
      <c r="K121" s="211">
        <f t="shared" si="39"/>
        <v>0.20833333333333334</v>
      </c>
      <c r="L121" s="212">
        <f t="shared" si="40"/>
        <v>8</v>
      </c>
      <c r="M121" s="123">
        <v>1</v>
      </c>
      <c r="N121" s="120">
        <v>7</v>
      </c>
      <c r="O121" s="213">
        <f t="shared" ref="O121:O140" si="41">ROUNDDOWN(M121*L121,0)</f>
        <v>8</v>
      </c>
      <c r="P121" s="213">
        <f>VALUE(J_normdate(J_ADDDAY($D121,$O121,1)))</f>
        <v>13980815</v>
      </c>
      <c r="Q121" s="209">
        <f t="shared" ref="Q121:Q140" si="42">L121-O121</f>
        <v>0</v>
      </c>
      <c r="R121" s="207"/>
      <c r="S121" s="207"/>
      <c r="T121" s="207"/>
      <c r="U121" s="207"/>
      <c r="V121" s="207"/>
      <c r="W121" s="207"/>
      <c r="X121" s="207"/>
      <c r="Y121" s="207"/>
      <c r="Z121" s="207"/>
      <c r="AA121" s="207"/>
      <c r="AB121" s="207"/>
      <c r="AC121" s="207"/>
      <c r="AD121" s="207"/>
      <c r="AE121" s="207"/>
      <c r="AF121" s="207"/>
      <c r="AG121" s="207"/>
      <c r="AH121" s="207"/>
      <c r="AI121" s="207"/>
      <c r="AJ121" s="207"/>
      <c r="AK121" s="207"/>
      <c r="AL121" s="207"/>
      <c r="AM121" s="207"/>
      <c r="AN121" s="207"/>
      <c r="AO121" s="207"/>
      <c r="AP121" s="207"/>
      <c r="AQ121" s="207"/>
      <c r="AR121" s="207"/>
      <c r="AS121" s="207"/>
      <c r="AT121" s="207"/>
      <c r="AU121" s="207"/>
      <c r="AV121" s="207"/>
      <c r="AW121" s="207"/>
      <c r="AX121" s="207"/>
      <c r="AY121" s="207"/>
      <c r="AZ121" s="207"/>
      <c r="BA121" s="207"/>
      <c r="BB121" s="207"/>
      <c r="BC121" s="207"/>
      <c r="BD121" s="207"/>
      <c r="BE121" s="207"/>
      <c r="BF121" s="207"/>
      <c r="BG121" s="207"/>
      <c r="BH121" s="207"/>
      <c r="BI121" s="207"/>
      <c r="BJ121" s="207"/>
      <c r="BK121" s="207"/>
      <c r="BL121" s="207"/>
      <c r="BM121" s="207"/>
      <c r="BN121" s="207"/>
      <c r="BO121" s="207"/>
      <c r="BP121" s="207"/>
      <c r="BQ121" s="207"/>
      <c r="BR121" s="207"/>
      <c r="BS121" s="207"/>
      <c r="BT121" s="207"/>
      <c r="BU121" s="207"/>
      <c r="BV121" s="207"/>
      <c r="BW121" s="207"/>
      <c r="BX121" s="207"/>
      <c r="BY121" s="207"/>
      <c r="BZ121" s="207"/>
      <c r="CA121" s="207"/>
      <c r="CB121" s="207"/>
      <c r="CC121" s="207"/>
      <c r="CD121" s="207"/>
      <c r="CE121" s="207"/>
      <c r="CF121" s="207"/>
      <c r="CG121" s="207"/>
      <c r="CH121" s="207"/>
      <c r="CI121" s="207"/>
      <c r="CJ121" s="207"/>
      <c r="CK121" s="207"/>
      <c r="CL121" s="207"/>
      <c r="CM121" s="207"/>
      <c r="CN121" s="207"/>
      <c r="CO121" s="207"/>
      <c r="CP121" s="207"/>
      <c r="CQ121" s="207"/>
      <c r="CR121" s="207"/>
      <c r="CS121" s="207"/>
      <c r="CT121" s="207"/>
      <c r="CU121" s="207"/>
      <c r="CV121" s="207"/>
      <c r="CW121" s="207"/>
      <c r="CX121" s="207"/>
      <c r="CY121" s="207"/>
      <c r="CZ121" s="207"/>
      <c r="DA121" s="207"/>
      <c r="DB121" s="207"/>
      <c r="DC121" s="207"/>
      <c r="DD121" s="207"/>
      <c r="DE121" s="207"/>
      <c r="DF121" s="207"/>
      <c r="DG121" s="207"/>
      <c r="DH121" s="207"/>
      <c r="DI121" s="207"/>
      <c r="DJ121" s="207"/>
      <c r="DK121" s="207"/>
      <c r="DL121" s="207"/>
      <c r="DM121" s="207"/>
      <c r="DN121" s="207"/>
      <c r="DO121" s="207"/>
      <c r="DP121" s="207"/>
      <c r="DQ121" s="207"/>
      <c r="DR121" s="207"/>
      <c r="DS121" s="207"/>
      <c r="DT121" s="207"/>
      <c r="DU121" s="207"/>
      <c r="DV121" s="207"/>
      <c r="DW121" s="207"/>
      <c r="DX121" s="207"/>
      <c r="DY121" s="207"/>
      <c r="DZ121" s="207"/>
      <c r="EA121" s="207"/>
      <c r="EB121" s="207"/>
      <c r="EC121" s="207"/>
      <c r="ED121" s="207"/>
      <c r="EE121" s="207"/>
      <c r="EF121" s="207"/>
      <c r="EG121" s="207"/>
      <c r="EH121" s="207"/>
      <c r="EI121" s="207"/>
      <c r="EJ121" s="207"/>
      <c r="EK121" s="207"/>
      <c r="EL121" s="207"/>
      <c r="EM121" s="207"/>
      <c r="EN121" s="207"/>
      <c r="EO121" s="207"/>
      <c r="EP121" s="207"/>
      <c r="EQ121" s="207"/>
      <c r="ER121" s="207"/>
      <c r="ES121" s="207"/>
      <c r="ET121" s="207"/>
      <c r="EU121" s="207"/>
      <c r="EV121" s="207"/>
      <c r="EW121" s="207"/>
      <c r="EX121" s="207"/>
      <c r="EY121" s="207"/>
      <c r="EZ121" s="207"/>
      <c r="FA121" s="207"/>
      <c r="FB121" s="207"/>
      <c r="FC121" s="207"/>
      <c r="FD121" s="207"/>
      <c r="FE121" s="207"/>
      <c r="FF121" s="207"/>
      <c r="FG121" s="207"/>
      <c r="FH121" s="207"/>
      <c r="FI121" s="207"/>
      <c r="FJ121" s="207"/>
      <c r="FK121" s="207"/>
      <c r="FL121" s="207"/>
      <c r="FM121" s="207"/>
      <c r="FN121" s="207"/>
      <c r="FO121" s="207"/>
      <c r="FP121" s="207"/>
      <c r="FQ121" s="207"/>
      <c r="FR121" s="207"/>
      <c r="FS121" s="207"/>
      <c r="FT121" s="207"/>
      <c r="FU121" s="207"/>
      <c r="FV121" s="207"/>
      <c r="FW121" s="207"/>
      <c r="FX121" s="207"/>
      <c r="FY121" s="207"/>
      <c r="FZ121" s="207"/>
      <c r="GA121" s="207"/>
      <c r="GB121" s="207"/>
      <c r="GC121" s="207"/>
      <c r="GD121" s="207"/>
      <c r="GE121" s="207"/>
      <c r="GF121" s="207"/>
      <c r="GG121" s="207"/>
      <c r="GH121" s="207"/>
      <c r="GI121" s="207"/>
      <c r="GJ121" s="207"/>
      <c r="GK121" s="207"/>
      <c r="GL121" s="207"/>
      <c r="GM121" s="207"/>
      <c r="GN121" s="207"/>
      <c r="GO121" s="207"/>
      <c r="GP121" s="207"/>
      <c r="GQ121" s="207"/>
      <c r="GR121" s="207"/>
      <c r="GS121" s="207"/>
      <c r="GT121" s="207"/>
      <c r="GU121" s="207"/>
      <c r="GV121" s="207"/>
      <c r="GW121" s="207"/>
      <c r="GX121" s="207"/>
      <c r="GY121" s="207"/>
      <c r="GZ121" s="207"/>
      <c r="HA121" s="207"/>
      <c r="HB121" s="207"/>
      <c r="HC121" s="207"/>
      <c r="HD121" s="207"/>
      <c r="HE121" s="207"/>
      <c r="HF121" s="207"/>
      <c r="HG121" s="207"/>
      <c r="HH121" s="207"/>
      <c r="HI121" s="207"/>
      <c r="HJ121" s="207"/>
      <c r="HK121" s="207"/>
      <c r="HL121" s="207"/>
      <c r="HM121" s="207"/>
      <c r="HN121" s="207"/>
      <c r="HO121" s="207"/>
      <c r="HP121" s="207"/>
      <c r="HQ121" s="207"/>
      <c r="HR121" s="207"/>
      <c r="HS121" s="207"/>
      <c r="HT121" s="207"/>
      <c r="HU121" s="207"/>
      <c r="HV121" s="207"/>
      <c r="HW121" s="207"/>
      <c r="HX121" s="207"/>
      <c r="HY121" s="207"/>
      <c r="HZ121" s="207"/>
      <c r="IA121" s="207"/>
      <c r="IB121" s="207"/>
      <c r="IC121" s="207"/>
      <c r="ID121" s="207"/>
      <c r="IE121" s="207"/>
      <c r="IF121" s="207"/>
      <c r="IG121" s="207"/>
      <c r="IH121" s="207"/>
      <c r="II121" s="207"/>
      <c r="IJ121" s="207"/>
      <c r="IK121" s="207"/>
      <c r="IL121" s="207"/>
      <c r="IM121" s="207"/>
      <c r="IN121" s="207"/>
      <c r="IO121" s="207"/>
      <c r="IP121" s="207"/>
      <c r="IQ121" s="207"/>
      <c r="IR121" s="207"/>
      <c r="IS121" s="207"/>
      <c r="IT121" s="207"/>
      <c r="IU121" s="207"/>
      <c r="IV121" s="207"/>
      <c r="IW121" s="207"/>
      <c r="IX121" s="207"/>
      <c r="IY121" s="12">
        <v>2</v>
      </c>
      <c r="IZ121" s="12">
        <f>(TEXT(K121,"[m]")/60)*VLOOKUP(IY121,'Income Person-hours'!A$2:C$5,3,FALSE)</f>
        <v>0</v>
      </c>
      <c r="JA121" s="125"/>
      <c r="JB121" s="132"/>
      <c r="JC121" s="131">
        <v>0.20833333333333334</v>
      </c>
      <c r="JD121" s="232">
        <f>SUM((TEXT(JA121,"[M]")/60)*'Income Person-hours'!$D$3,(TEXT(JB121,"[M]")/60)*'Income Person-hours'!$D$4,(TEXT(JC121,"[M]")/60)*'Income Person-hours'!$D$5)</f>
        <v>2775000</v>
      </c>
    </row>
    <row r="122" spans="1:16382" s="231" customFormat="1" ht="15.75" x14ac:dyDescent="0.45">
      <c r="A122" s="206">
        <v>6.3</v>
      </c>
      <c r="B122" s="118" t="s">
        <v>126</v>
      </c>
      <c r="C122" s="119" t="s">
        <v>157</v>
      </c>
      <c r="D122" s="210" t="str">
        <f>IF(OR(j_WEEKDAY(J_ADDDAY(VLOOKUP(I122,A:F,6,FALSE),H122,1),0)=6,SUMIFS(Holieday[ok],Holieday[date],J_ADDDAY(VLOOKUP(I122,A:F,6,FALSE),H122,1)))=FALSE(),J_ADDDAY(VLOOKUP(I122,A:F,6,FALSE),H122,1),IF(OR(j_WEEKDAY(J_ADDDAY(VLOOKUP(I122,A:F,6,FALSE),H122+1,1),0)=6,SUMIFS(Holieday[ok],Holieday[date],J_ADDDAY(VLOOKUP(I122,A:F,6,FALSE),H122+1,1)))=FALSE(),J_ADDDAY(VLOOKUP(I122,A:F,6,FALSE),H122+1,1),IF(OR(j_WEEKDAY(J_ADDDAY(VLOOKUP(I122,A:F,6,FALSE),H122+2,1),0)=6,SUMIFS(Holieday[ok],Holieday[date],J_ADDDAY(VLOOKUP(I122,A:F,6,FALSE),H122+2,1)))=FALSE(),J_ADDDAY(VLOOKUP(I122,A:F,6,FALSE),H122+2,1),IF(OR(j_WEEKDAY(J_ADDDAY(VLOOKUP(I122,A:F,6,FALSE),H122+3,1),0)=6,SUMIFS(Holieday[ok],Holieday[date],J_ADDDAY(VLOOKUP(I122,A:F,6,FALSE),H122+3,1)))=FALSE(),J_ADDDAY(VLOOKUP(I122,A:F,6,FALSE),H122+3,1),IF(OR(j_WEEKDAY(J_ADDDAY(VLOOKUP(I122,A:F,6,FALSE),H122+4,1),0)=6,SUMIFS(Holieday[ok],Holieday[date],J_ADDDAY(VLOOKUP(I122,A:F,6,FALSE),H122+4,1)))=FALSE(),J_ADDDAY(VLOOKUP(I122,A:F,6,FALSE),H122+4,1),J_ADDDAY(VLOOKUP(I122,A:F,6,FALSE),H122+5,1))))))</f>
        <v>1398/08/06</v>
      </c>
      <c r="E122" s="198">
        <f t="shared" si="35"/>
        <v>13980806</v>
      </c>
      <c r="F122" s="210" t="str">
        <f>IF(N122=0,J_SUBDAY(D122,1,1)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0,J_SUBDAY(J_ADDDAY(D122,N122,1)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1,J_SUBDAY(J_ADDDAY(D122,N122+1,1),1,1),IF((N122-NETWORKDAYS.INTL(J_GregorianDate(D122,1),J_GregorianDate(J_SUBDAY(J_ADDDAY(D122,N122,1),1,1),1),16,1)-SUMIFS(Holieday[ok],Holieday[date],CONCATENATE("&gt;","=",D122),Holieday[date],CONCATENATE("&lt;","=",J_SUBDAY(J_ADDDAY(D122,N122,1),1,1)))+SUMIFS(Holieday[Friday],Holieday[date],CONCATENATE("&gt;","=",D122),Holieday[date],CONCATENATE("&lt;","=",J_SUBDAY(J_ADDDAY(D122,N122,1),1,1))))=2,J_SUBDAY(J_ADDDAY(D122,N122+2,1),1,1),J_SUBDAY(J_ADDDAY(D122,N122+3,1),1,1)))))</f>
        <v>1398/08/22</v>
      </c>
      <c r="G122" s="201">
        <f t="shared" si="36"/>
        <v>13980822</v>
      </c>
      <c r="H122" s="121"/>
      <c r="I122" s="122">
        <v>6.1</v>
      </c>
      <c r="J122" s="209" t="str">
        <f>j_WEEKDAY(D122,1)</f>
        <v>دوشنبه</v>
      </c>
      <c r="K122" s="211">
        <f t="shared" si="39"/>
        <v>0</v>
      </c>
      <c r="L122" s="212">
        <f t="shared" si="40"/>
        <v>17</v>
      </c>
      <c r="M122" s="123">
        <v>0</v>
      </c>
      <c r="N122" s="120">
        <v>15</v>
      </c>
      <c r="O122" s="213">
        <f t="shared" si="41"/>
        <v>0</v>
      </c>
      <c r="P122" s="213">
        <f>VALUE(J_normdate(J_ADDDAY($D122,$O122,1)))</f>
        <v>13980806</v>
      </c>
      <c r="Q122" s="209">
        <f t="shared" si="42"/>
        <v>17</v>
      </c>
      <c r="R122" s="207"/>
      <c r="S122" s="207"/>
      <c r="T122" s="207"/>
      <c r="U122" s="207"/>
      <c r="V122" s="207"/>
      <c r="W122" s="207"/>
      <c r="X122" s="207"/>
      <c r="Y122" s="207"/>
      <c r="Z122" s="207"/>
      <c r="AA122" s="207"/>
      <c r="AB122" s="207"/>
      <c r="AC122" s="207"/>
      <c r="AD122" s="207"/>
      <c r="AE122" s="207"/>
      <c r="AF122" s="207"/>
      <c r="AG122" s="207"/>
      <c r="AH122" s="207"/>
      <c r="AI122" s="207"/>
      <c r="AJ122" s="207"/>
      <c r="AK122" s="207"/>
      <c r="AL122" s="207"/>
      <c r="AM122" s="207"/>
      <c r="AN122" s="207"/>
      <c r="AO122" s="207"/>
      <c r="AP122" s="207"/>
      <c r="AQ122" s="207"/>
      <c r="AR122" s="207"/>
      <c r="AS122" s="207"/>
      <c r="AT122" s="207"/>
      <c r="AU122" s="207"/>
      <c r="AV122" s="207"/>
      <c r="AW122" s="207"/>
      <c r="AX122" s="207"/>
      <c r="AY122" s="207"/>
      <c r="AZ122" s="207"/>
      <c r="BA122" s="207"/>
      <c r="BB122" s="207"/>
      <c r="BC122" s="207"/>
      <c r="BD122" s="207"/>
      <c r="BE122" s="207"/>
      <c r="BF122" s="207"/>
      <c r="BG122" s="207"/>
      <c r="BH122" s="207"/>
      <c r="BI122" s="207"/>
      <c r="BJ122" s="207"/>
      <c r="BK122" s="207"/>
      <c r="BL122" s="207"/>
      <c r="BM122" s="207"/>
      <c r="BN122" s="207"/>
      <c r="BO122" s="207"/>
      <c r="BP122" s="207"/>
      <c r="BQ122" s="207"/>
      <c r="BR122" s="207"/>
      <c r="BS122" s="207"/>
      <c r="BT122" s="207"/>
      <c r="BU122" s="207"/>
      <c r="BV122" s="207"/>
      <c r="BW122" s="207"/>
      <c r="BX122" s="207"/>
      <c r="BY122" s="207"/>
      <c r="BZ122" s="207"/>
      <c r="CA122" s="207"/>
      <c r="CB122" s="207"/>
      <c r="CC122" s="207"/>
      <c r="CD122" s="207"/>
      <c r="CE122" s="207"/>
      <c r="CF122" s="207"/>
      <c r="CG122" s="207"/>
      <c r="CH122" s="207"/>
      <c r="CI122" s="207"/>
      <c r="CJ122" s="207"/>
      <c r="CK122" s="207"/>
      <c r="CL122" s="207"/>
      <c r="CM122" s="207"/>
      <c r="CN122" s="207"/>
      <c r="CO122" s="207"/>
      <c r="CP122" s="207"/>
      <c r="CQ122" s="207"/>
      <c r="CR122" s="207"/>
      <c r="CS122" s="207"/>
      <c r="CT122" s="207"/>
      <c r="CU122" s="207"/>
      <c r="CV122" s="207"/>
      <c r="CW122" s="207"/>
      <c r="CX122" s="207"/>
      <c r="CY122" s="207"/>
      <c r="CZ122" s="207"/>
      <c r="DA122" s="207"/>
      <c r="DB122" s="207"/>
      <c r="DC122" s="207"/>
      <c r="DD122" s="207"/>
      <c r="DE122" s="207"/>
      <c r="DF122" s="207"/>
      <c r="DG122" s="207"/>
      <c r="DH122" s="207"/>
      <c r="DI122" s="207"/>
      <c r="DJ122" s="207"/>
      <c r="DK122" s="207"/>
      <c r="DL122" s="207"/>
      <c r="DM122" s="207"/>
      <c r="DN122" s="207"/>
      <c r="DO122" s="207"/>
      <c r="DP122" s="207"/>
      <c r="DQ122" s="207"/>
      <c r="DR122" s="207"/>
      <c r="DS122" s="207"/>
      <c r="DT122" s="207"/>
      <c r="DU122" s="207"/>
      <c r="DV122" s="207"/>
      <c r="DW122" s="207"/>
      <c r="DX122" s="207"/>
      <c r="DY122" s="207"/>
      <c r="DZ122" s="207"/>
      <c r="EA122" s="207"/>
      <c r="EB122" s="207"/>
      <c r="EC122" s="207"/>
      <c r="ED122" s="207"/>
      <c r="EE122" s="207"/>
      <c r="EF122" s="207"/>
      <c r="EG122" s="207"/>
      <c r="EH122" s="207"/>
      <c r="EI122" s="207"/>
      <c r="EJ122" s="207"/>
      <c r="EK122" s="207"/>
      <c r="EL122" s="207"/>
      <c r="EM122" s="207"/>
      <c r="EN122" s="207"/>
      <c r="EO122" s="207"/>
      <c r="EP122" s="207"/>
      <c r="EQ122" s="207"/>
      <c r="ER122" s="207"/>
      <c r="ES122" s="207"/>
      <c r="ET122" s="207"/>
      <c r="EU122" s="207"/>
      <c r="EV122" s="207"/>
      <c r="EW122" s="207"/>
      <c r="EX122" s="207"/>
      <c r="EY122" s="207"/>
      <c r="EZ122" s="207"/>
      <c r="FA122" s="207"/>
      <c r="FB122" s="207"/>
      <c r="FC122" s="207"/>
      <c r="FD122" s="207"/>
      <c r="FE122" s="207"/>
      <c r="FF122" s="207"/>
      <c r="FG122" s="207"/>
      <c r="FH122" s="207"/>
      <c r="FI122" s="207"/>
      <c r="FJ122" s="207"/>
      <c r="FK122" s="207"/>
      <c r="FL122" s="207"/>
      <c r="FM122" s="207"/>
      <c r="FN122" s="207"/>
      <c r="FO122" s="207"/>
      <c r="FP122" s="207"/>
      <c r="FQ122" s="207"/>
      <c r="FR122" s="207"/>
      <c r="FS122" s="207"/>
      <c r="FT122" s="207"/>
      <c r="FU122" s="207"/>
      <c r="FV122" s="207"/>
      <c r="FW122" s="207"/>
      <c r="FX122" s="207"/>
      <c r="FY122" s="207"/>
      <c r="FZ122" s="207"/>
      <c r="GA122" s="207"/>
      <c r="GB122" s="207"/>
      <c r="GC122" s="207"/>
      <c r="GD122" s="207"/>
      <c r="GE122" s="207"/>
      <c r="GF122" s="207"/>
      <c r="GG122" s="207"/>
      <c r="GH122" s="207"/>
      <c r="GI122" s="207"/>
      <c r="GJ122" s="207"/>
      <c r="GK122" s="207"/>
      <c r="GL122" s="207"/>
      <c r="GM122" s="207"/>
      <c r="GN122" s="207"/>
      <c r="GO122" s="207"/>
      <c r="GP122" s="207"/>
      <c r="GQ122" s="207"/>
      <c r="GR122" s="207"/>
      <c r="GS122" s="207"/>
      <c r="GT122" s="207"/>
      <c r="GU122" s="207"/>
      <c r="GV122" s="207"/>
      <c r="GW122" s="207"/>
      <c r="GX122" s="207"/>
      <c r="GY122" s="207"/>
      <c r="GZ122" s="207"/>
      <c r="HA122" s="207"/>
      <c r="HB122" s="207"/>
      <c r="HC122" s="207"/>
      <c r="HD122" s="207"/>
      <c r="HE122" s="207"/>
      <c r="HF122" s="207"/>
      <c r="HG122" s="207"/>
      <c r="HH122" s="207"/>
      <c r="HI122" s="207"/>
      <c r="HJ122" s="207"/>
      <c r="HK122" s="207"/>
      <c r="HL122" s="207"/>
      <c r="HM122" s="207"/>
      <c r="HN122" s="207"/>
      <c r="HO122" s="207"/>
      <c r="HP122" s="207"/>
      <c r="HQ122" s="207"/>
      <c r="HR122" s="207"/>
      <c r="HS122" s="207"/>
      <c r="HT122" s="207"/>
      <c r="HU122" s="207"/>
      <c r="HV122" s="207"/>
      <c r="HW122" s="207"/>
      <c r="HX122" s="207"/>
      <c r="HY122" s="207"/>
      <c r="HZ122" s="207"/>
      <c r="IA122" s="207"/>
      <c r="IB122" s="207"/>
      <c r="IC122" s="207"/>
      <c r="ID122" s="207"/>
      <c r="IE122" s="207"/>
      <c r="IF122" s="207"/>
      <c r="IG122" s="207"/>
      <c r="IH122" s="207"/>
      <c r="II122" s="207"/>
      <c r="IJ122" s="207"/>
      <c r="IK122" s="207"/>
      <c r="IL122" s="207"/>
      <c r="IM122" s="207"/>
      <c r="IN122" s="207"/>
      <c r="IO122" s="207"/>
      <c r="IP122" s="207"/>
      <c r="IQ122" s="207"/>
      <c r="IR122" s="207"/>
      <c r="IS122" s="207"/>
      <c r="IT122" s="207"/>
      <c r="IU122" s="207"/>
      <c r="IV122" s="207"/>
      <c r="IW122" s="207"/>
      <c r="IX122" s="207"/>
      <c r="IY122" s="12">
        <v>3</v>
      </c>
      <c r="IZ122" s="12">
        <f>(TEXT(K122,"[m]")/60)*VLOOKUP(IY122,'Income Person-hours'!A$2:C$5,3,FALSE)</f>
        <v>0</v>
      </c>
      <c r="JA122" s="125"/>
      <c r="JB122" s="132"/>
      <c r="JC122" s="125"/>
      <c r="JD122" s="232">
        <f>SUM((TEXT(JA122,"[M]")/60)*'Income Person-hours'!$D$3,(TEXT(JB122,"[M]")/60)*'Income Person-hours'!$D$4,(TEXT(JC122,"[M]")/60)*'Income Person-hours'!$D$5)</f>
        <v>0</v>
      </c>
    </row>
    <row r="123" spans="1:16382" s="231" customFormat="1" ht="15.75" x14ac:dyDescent="0.45">
      <c r="A123" s="206">
        <v>6.4</v>
      </c>
      <c r="B123" s="118" t="s">
        <v>162</v>
      </c>
      <c r="C123" s="119" t="s">
        <v>157</v>
      </c>
      <c r="D123" s="210" t="str">
        <f>IF(OR(j_WEEKDAY(J_ADDDAY(VLOOKUP(I123,A:F,6,FALSE),H123,1),0)=6,SUMIFS(Holieday[ok],Holieday[date],J_ADDDAY(VLOOKUP(I123,A:F,6,FALSE),H123,1)))=FALSE(),J_ADDDAY(VLOOKUP(I123,A:F,6,FALSE),H123,1),IF(OR(j_WEEKDAY(J_ADDDAY(VLOOKUP(I123,A:F,6,FALSE),H123+1,1),0)=6,SUMIFS(Holieday[ok],Holieday[date],J_ADDDAY(VLOOKUP(I123,A:F,6,FALSE),H123+1,1)))=FALSE(),J_ADDDAY(VLOOKUP(I123,A:F,6,FALSE),H123+1,1),IF(OR(j_WEEKDAY(J_ADDDAY(VLOOKUP(I123,A:F,6,FALSE),H123+2,1),0)=6,SUMIFS(Holieday[ok],Holieday[date],J_ADDDAY(VLOOKUP(I123,A:F,6,FALSE),H123+2,1)))=FALSE(),J_ADDDAY(VLOOKUP(I123,A:F,6,FALSE),H123+2,1),IF(OR(j_WEEKDAY(J_ADDDAY(VLOOKUP(I123,A:F,6,FALSE),H123+3,1),0)=6,SUMIFS(Holieday[ok],Holieday[date],J_ADDDAY(VLOOKUP(I123,A:F,6,FALSE),H123+3,1)))=FALSE(),J_ADDDAY(VLOOKUP(I123,A:F,6,FALSE),H123+3,1),IF(OR(j_WEEKDAY(J_ADDDAY(VLOOKUP(I123,A:F,6,FALSE),H123+4,1),0)=6,SUMIFS(Holieday[ok],Holieday[date],J_ADDDAY(VLOOKUP(I123,A:F,6,FALSE),H123+4,1)))=FALSE(),J_ADDDAY(VLOOKUP(I123,A:F,6,FALSE),H123+4,1),J_ADDDAY(VLOOKUP(I123,A:F,6,FALSE),H123+5,1))))))</f>
        <v>1398/08/06</v>
      </c>
      <c r="E123" s="198">
        <f t="shared" si="35"/>
        <v>13980806</v>
      </c>
      <c r="F123" s="210" t="str">
        <f>IF(N123=0,J_SUBDAY(D123,1,1)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0,J_SUBDAY(J_ADDDAY(D123,N123,1)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1,J_SUBDAY(J_ADDDAY(D123,N123+1,1),1,1),IF((N123-NETWORKDAYS.INTL(J_GregorianDate(D123,1),J_GregorianDate(J_SUBDAY(J_ADDDAY(D123,N123,1),1,1),1),16,1)-SUMIFS(Holieday[ok],Holieday[date],CONCATENATE("&gt;","=",D123),Holieday[date],CONCATENATE("&lt;","=",J_SUBDAY(J_ADDDAY(D123,N123,1),1,1)))+SUMIFS(Holieday[Friday],Holieday[date],CONCATENATE("&gt;","=",D123),Holieday[date],CONCATENATE("&lt;","=",J_SUBDAY(J_ADDDAY(D123,N123,1),1,1))))=2,J_SUBDAY(J_ADDDAY(D123,N123+2,1),1,1),J_SUBDAY(J_ADDDAY(D123,N123+3,1),1,1)))))</f>
        <v>1398/08/16</v>
      </c>
      <c r="G123" s="201">
        <f t="shared" si="36"/>
        <v>13980816</v>
      </c>
      <c r="H123" s="121"/>
      <c r="I123" s="122">
        <v>6.1</v>
      </c>
      <c r="J123" s="209" t="str">
        <f>j_WEEKDAY(D123,1)</f>
        <v>دوشنبه</v>
      </c>
      <c r="K123" s="211">
        <f t="shared" si="39"/>
        <v>0.83333333333333337</v>
      </c>
      <c r="L123" s="212">
        <f t="shared" si="40"/>
        <v>11</v>
      </c>
      <c r="M123" s="123">
        <v>0</v>
      </c>
      <c r="N123" s="120">
        <v>10</v>
      </c>
      <c r="O123" s="213">
        <f t="shared" si="41"/>
        <v>0</v>
      </c>
      <c r="P123" s="213">
        <f>VALUE(J_normdate(J_ADDDAY($D123,$O123,1)))</f>
        <v>13980806</v>
      </c>
      <c r="Q123" s="209">
        <f t="shared" si="42"/>
        <v>11</v>
      </c>
      <c r="R123" s="207"/>
      <c r="S123" s="207"/>
      <c r="T123" s="207"/>
      <c r="U123" s="207"/>
      <c r="V123" s="207"/>
      <c r="W123" s="207"/>
      <c r="X123" s="207"/>
      <c r="Y123" s="207"/>
      <c r="Z123" s="207"/>
      <c r="AA123" s="207"/>
      <c r="AB123" s="207"/>
      <c r="AC123" s="207"/>
      <c r="AD123" s="207"/>
      <c r="AE123" s="207"/>
      <c r="AF123" s="207"/>
      <c r="AG123" s="207"/>
      <c r="AH123" s="207"/>
      <c r="AI123" s="207"/>
      <c r="AJ123" s="207"/>
      <c r="AK123" s="207"/>
      <c r="AL123" s="207"/>
      <c r="AM123" s="207"/>
      <c r="AN123" s="207"/>
      <c r="AO123" s="207"/>
      <c r="AP123" s="207"/>
      <c r="AQ123" s="207"/>
      <c r="AR123" s="207"/>
      <c r="AS123" s="207"/>
      <c r="AT123" s="207"/>
      <c r="AU123" s="207"/>
      <c r="AV123" s="207"/>
      <c r="AW123" s="207"/>
      <c r="AX123" s="207"/>
      <c r="AY123" s="207"/>
      <c r="AZ123" s="207"/>
      <c r="BA123" s="207"/>
      <c r="BB123" s="207"/>
      <c r="BC123" s="207"/>
      <c r="BD123" s="207"/>
      <c r="BE123" s="207"/>
      <c r="BF123" s="207"/>
      <c r="BG123" s="207"/>
      <c r="BH123" s="207"/>
      <c r="BI123" s="207"/>
      <c r="BJ123" s="207"/>
      <c r="BK123" s="207"/>
      <c r="BL123" s="207"/>
      <c r="BM123" s="207"/>
      <c r="BN123" s="207"/>
      <c r="BO123" s="207"/>
      <c r="BP123" s="207"/>
      <c r="BQ123" s="207"/>
      <c r="BR123" s="207"/>
      <c r="BS123" s="207"/>
      <c r="BT123" s="207"/>
      <c r="BU123" s="207"/>
      <c r="BV123" s="207"/>
      <c r="BW123" s="207"/>
      <c r="BX123" s="207"/>
      <c r="BY123" s="207"/>
      <c r="BZ123" s="207"/>
      <c r="CA123" s="207"/>
      <c r="CB123" s="207"/>
      <c r="CC123" s="207"/>
      <c r="CD123" s="207"/>
      <c r="CE123" s="207"/>
      <c r="CF123" s="207"/>
      <c r="CG123" s="207"/>
      <c r="CH123" s="207"/>
      <c r="CI123" s="207"/>
      <c r="CJ123" s="207"/>
      <c r="CK123" s="207"/>
      <c r="CL123" s="207"/>
      <c r="CM123" s="207"/>
      <c r="CN123" s="207"/>
      <c r="CO123" s="207"/>
      <c r="CP123" s="207"/>
      <c r="CQ123" s="207"/>
      <c r="CR123" s="207"/>
      <c r="CS123" s="207"/>
      <c r="CT123" s="207"/>
      <c r="CU123" s="207"/>
      <c r="CV123" s="207"/>
      <c r="CW123" s="207"/>
      <c r="CX123" s="207"/>
      <c r="CY123" s="207"/>
      <c r="CZ123" s="207"/>
      <c r="DA123" s="207"/>
      <c r="DB123" s="207"/>
      <c r="DC123" s="207"/>
      <c r="DD123" s="207"/>
      <c r="DE123" s="207"/>
      <c r="DF123" s="207"/>
      <c r="DG123" s="207"/>
      <c r="DH123" s="207"/>
      <c r="DI123" s="207"/>
      <c r="DJ123" s="207"/>
      <c r="DK123" s="207"/>
      <c r="DL123" s="207"/>
      <c r="DM123" s="207"/>
      <c r="DN123" s="207"/>
      <c r="DO123" s="207"/>
      <c r="DP123" s="207"/>
      <c r="DQ123" s="207"/>
      <c r="DR123" s="207"/>
      <c r="DS123" s="207"/>
      <c r="DT123" s="207"/>
      <c r="DU123" s="207"/>
      <c r="DV123" s="207"/>
      <c r="DW123" s="207"/>
      <c r="DX123" s="207"/>
      <c r="DY123" s="207"/>
      <c r="DZ123" s="207"/>
      <c r="EA123" s="207"/>
      <c r="EB123" s="207"/>
      <c r="EC123" s="207"/>
      <c r="ED123" s="207"/>
      <c r="EE123" s="207"/>
      <c r="EF123" s="207"/>
      <c r="EG123" s="207"/>
      <c r="EH123" s="207"/>
      <c r="EI123" s="207"/>
      <c r="EJ123" s="207"/>
      <c r="EK123" s="207"/>
      <c r="EL123" s="207"/>
      <c r="EM123" s="207"/>
      <c r="EN123" s="207"/>
      <c r="EO123" s="207"/>
      <c r="EP123" s="207"/>
      <c r="EQ123" s="207"/>
      <c r="ER123" s="207"/>
      <c r="ES123" s="207"/>
      <c r="ET123" s="207"/>
      <c r="EU123" s="207"/>
      <c r="EV123" s="207"/>
      <c r="EW123" s="207"/>
      <c r="EX123" s="207"/>
      <c r="EY123" s="207"/>
      <c r="EZ123" s="207"/>
      <c r="FA123" s="207"/>
      <c r="FB123" s="207"/>
      <c r="FC123" s="207"/>
      <c r="FD123" s="207"/>
      <c r="FE123" s="207"/>
      <c r="FF123" s="207"/>
      <c r="FG123" s="207"/>
      <c r="FH123" s="207"/>
      <c r="FI123" s="207"/>
      <c r="FJ123" s="207"/>
      <c r="FK123" s="207"/>
      <c r="FL123" s="207"/>
      <c r="FM123" s="207"/>
      <c r="FN123" s="207"/>
      <c r="FO123" s="207"/>
      <c r="FP123" s="207"/>
      <c r="FQ123" s="207"/>
      <c r="FR123" s="207"/>
      <c r="FS123" s="207"/>
      <c r="FT123" s="207"/>
      <c r="FU123" s="207"/>
      <c r="FV123" s="207"/>
      <c r="FW123" s="207"/>
      <c r="FX123" s="207"/>
      <c r="FY123" s="207"/>
      <c r="FZ123" s="207"/>
      <c r="GA123" s="207"/>
      <c r="GB123" s="207"/>
      <c r="GC123" s="207"/>
      <c r="GD123" s="207"/>
      <c r="GE123" s="207"/>
      <c r="GF123" s="207"/>
      <c r="GG123" s="207"/>
      <c r="GH123" s="207"/>
      <c r="GI123" s="207"/>
      <c r="GJ123" s="207"/>
      <c r="GK123" s="207"/>
      <c r="GL123" s="207"/>
      <c r="GM123" s="207"/>
      <c r="GN123" s="207"/>
      <c r="GO123" s="207"/>
      <c r="GP123" s="207"/>
      <c r="GQ123" s="207"/>
      <c r="GR123" s="207"/>
      <c r="GS123" s="207"/>
      <c r="GT123" s="207"/>
      <c r="GU123" s="207"/>
      <c r="GV123" s="207"/>
      <c r="GW123" s="207"/>
      <c r="GX123" s="207"/>
      <c r="GY123" s="207"/>
      <c r="GZ123" s="207"/>
      <c r="HA123" s="207"/>
      <c r="HB123" s="207"/>
      <c r="HC123" s="207"/>
      <c r="HD123" s="207"/>
      <c r="HE123" s="207"/>
      <c r="HF123" s="207"/>
      <c r="HG123" s="207"/>
      <c r="HH123" s="207"/>
      <c r="HI123" s="207"/>
      <c r="HJ123" s="207"/>
      <c r="HK123" s="207"/>
      <c r="HL123" s="207"/>
      <c r="HM123" s="207"/>
      <c r="HN123" s="207"/>
      <c r="HO123" s="207"/>
      <c r="HP123" s="207"/>
      <c r="HQ123" s="207"/>
      <c r="HR123" s="207"/>
      <c r="HS123" s="207"/>
      <c r="HT123" s="207"/>
      <c r="HU123" s="207"/>
      <c r="HV123" s="207"/>
      <c r="HW123" s="207"/>
      <c r="HX123" s="207"/>
      <c r="HY123" s="207"/>
      <c r="HZ123" s="207"/>
      <c r="IA123" s="207"/>
      <c r="IB123" s="207"/>
      <c r="IC123" s="207"/>
      <c r="ID123" s="207"/>
      <c r="IE123" s="207"/>
      <c r="IF123" s="207"/>
      <c r="IG123" s="207"/>
      <c r="IH123" s="207"/>
      <c r="II123" s="207"/>
      <c r="IJ123" s="207"/>
      <c r="IK123" s="207"/>
      <c r="IL123" s="207"/>
      <c r="IM123" s="207"/>
      <c r="IN123" s="207"/>
      <c r="IO123" s="207"/>
      <c r="IP123" s="207"/>
      <c r="IQ123" s="207"/>
      <c r="IR123" s="207"/>
      <c r="IS123" s="207"/>
      <c r="IT123" s="207"/>
      <c r="IU123" s="207"/>
      <c r="IV123" s="207"/>
      <c r="IW123" s="207"/>
      <c r="IX123" s="207"/>
      <c r="IY123" s="12">
        <v>2</v>
      </c>
      <c r="IZ123" s="12">
        <f>(TEXT(K123,"[m]")/60)*VLOOKUP(IY123,'Income Person-hours'!A$2:C$5,3,FALSE)</f>
        <v>0</v>
      </c>
      <c r="JA123" s="125"/>
      <c r="JB123" s="132"/>
      <c r="JC123" s="131">
        <v>0.83333333333333337</v>
      </c>
      <c r="JD123" s="232">
        <f>SUM((TEXT(JA123,"[M]")/60)*'Income Person-hours'!$D$3,(TEXT(JB123,"[M]")/60)*'Income Person-hours'!$D$4,(TEXT(JC123,"[M]")/60)*'Income Person-hours'!$D$5)</f>
        <v>11100000</v>
      </c>
    </row>
    <row r="124" spans="1:16382" s="231" customFormat="1" ht="15.75" x14ac:dyDescent="0.45">
      <c r="A124" s="206">
        <v>6.5</v>
      </c>
      <c r="B124" s="118" t="s">
        <v>163</v>
      </c>
      <c r="C124" s="119" t="s">
        <v>157</v>
      </c>
      <c r="D124" s="210" t="str">
        <f>IF(OR(j_WEEKDAY(J_ADDDAY(VLOOKUP(I124,A:F,6,FALSE),H124,1),0)=6,SUMIFS(Holieday[ok],Holieday[date],J_ADDDAY(VLOOKUP(I124,A:F,6,FALSE),H124,1)))=FALSE(),J_ADDDAY(VLOOKUP(I124,A:F,6,FALSE),H124,1),IF(OR(j_WEEKDAY(J_ADDDAY(VLOOKUP(I124,A:F,6,FALSE),H124+1,1),0)=6,SUMIFS(Holieday[ok],Holieday[date],J_ADDDAY(VLOOKUP(I124,A:F,6,FALSE),H124+1,1)))=FALSE(),J_ADDDAY(VLOOKUP(I124,A:F,6,FALSE),H124+1,1),IF(OR(j_WEEKDAY(J_ADDDAY(VLOOKUP(I124,A:F,6,FALSE),H124+2,1),0)=6,SUMIFS(Holieday[ok],Holieday[date],J_ADDDAY(VLOOKUP(I124,A:F,6,FALSE),H124+2,1)))=FALSE(),J_ADDDAY(VLOOKUP(I124,A:F,6,FALSE),H124+2,1),IF(OR(j_WEEKDAY(J_ADDDAY(VLOOKUP(I124,A:F,6,FALSE),H124+3,1),0)=6,SUMIFS(Holieday[ok],Holieday[date],J_ADDDAY(VLOOKUP(I124,A:F,6,FALSE),H124+3,1)))=FALSE(),J_ADDDAY(VLOOKUP(I124,A:F,6,FALSE),H124+3,1),IF(OR(j_WEEKDAY(J_ADDDAY(VLOOKUP(I124,A:F,6,FALSE),H124+4,1),0)=6,SUMIFS(Holieday[ok],Holieday[date],J_ADDDAY(VLOOKUP(I124,A:F,6,FALSE),H124+4,1)))=FALSE(),J_ADDDAY(VLOOKUP(I124,A:F,6,FALSE),H124+4,1),J_ADDDAY(VLOOKUP(I124,A:F,6,FALSE),H124+5,1))))))</f>
        <v>1398/08/06</v>
      </c>
      <c r="E124" s="198">
        <f t="shared" si="35"/>
        <v>13980806</v>
      </c>
      <c r="F124" s="210" t="str">
        <f>IF(N124=0,J_SUBDAY(D124,1,1)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0,J_SUBDAY(J_ADDDAY(D124,N124,1)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1,J_SUBDAY(J_ADDDAY(D124,N124+1,1),1,1),IF((N124-NETWORKDAYS.INTL(J_GregorianDate(D124,1),J_GregorianDate(J_SUBDAY(J_ADDDAY(D124,N124,1),1,1),1),16,1)-SUMIFS(Holieday[ok],Holieday[date],CONCATENATE("&gt;","=",D124),Holieday[date],CONCATENATE("&lt;","=",J_SUBDAY(J_ADDDAY(D124,N124,1),1,1)))+SUMIFS(Holieday[Friday],Holieday[date],CONCATENATE("&gt;","=",D124),Holieday[date],CONCATENATE("&lt;","=",J_SUBDAY(J_ADDDAY(D124,N124,1),1,1))))=2,J_SUBDAY(J_ADDDAY(D124,N124+2,1),1,1),J_SUBDAY(J_ADDDAY(D124,N124+3,1),1,1)))))</f>
        <v>1398/08/08</v>
      </c>
      <c r="G124" s="201">
        <f t="shared" si="36"/>
        <v>13980808</v>
      </c>
      <c r="H124" s="121"/>
      <c r="I124" s="122">
        <v>6.1</v>
      </c>
      <c r="J124" s="209" t="str">
        <f>j_WEEKDAY(D124,1)</f>
        <v>دوشنبه</v>
      </c>
      <c r="K124" s="211">
        <f t="shared" si="39"/>
        <v>0.66666666666666663</v>
      </c>
      <c r="L124" s="212">
        <f t="shared" si="40"/>
        <v>3</v>
      </c>
      <c r="M124" s="123">
        <v>0</v>
      </c>
      <c r="N124" s="120">
        <v>3</v>
      </c>
      <c r="O124" s="213">
        <f t="shared" si="41"/>
        <v>0</v>
      </c>
      <c r="P124" s="213">
        <f>VALUE(J_normdate(J_ADDDAY($D124,$O124,1)))</f>
        <v>13980806</v>
      </c>
      <c r="Q124" s="209">
        <f t="shared" si="42"/>
        <v>3</v>
      </c>
      <c r="R124" s="207"/>
      <c r="S124" s="207"/>
      <c r="T124" s="207"/>
      <c r="U124" s="207"/>
      <c r="V124" s="207"/>
      <c r="W124" s="207"/>
      <c r="X124" s="207"/>
      <c r="Y124" s="207"/>
      <c r="Z124" s="207"/>
      <c r="AA124" s="207"/>
      <c r="AB124" s="207"/>
      <c r="AC124" s="207"/>
      <c r="AD124" s="207"/>
      <c r="AE124" s="207"/>
      <c r="AF124" s="207"/>
      <c r="AG124" s="207"/>
      <c r="AH124" s="207"/>
      <c r="AI124" s="207"/>
      <c r="AJ124" s="207"/>
      <c r="AK124" s="207"/>
      <c r="AL124" s="207"/>
      <c r="AM124" s="207"/>
      <c r="AN124" s="207"/>
      <c r="AO124" s="207"/>
      <c r="AP124" s="207"/>
      <c r="AQ124" s="207"/>
      <c r="AR124" s="207"/>
      <c r="AS124" s="207"/>
      <c r="AT124" s="207"/>
      <c r="AU124" s="207"/>
      <c r="AV124" s="207"/>
      <c r="AW124" s="207"/>
      <c r="AX124" s="207"/>
      <c r="AY124" s="207"/>
      <c r="AZ124" s="207"/>
      <c r="BA124" s="207"/>
      <c r="BB124" s="207"/>
      <c r="BC124" s="207"/>
      <c r="BD124" s="207"/>
      <c r="BE124" s="207"/>
      <c r="BF124" s="207"/>
      <c r="BG124" s="207"/>
      <c r="BH124" s="207"/>
      <c r="BI124" s="207"/>
      <c r="BJ124" s="207"/>
      <c r="BK124" s="207"/>
      <c r="BL124" s="207"/>
      <c r="BM124" s="207"/>
      <c r="BN124" s="207"/>
      <c r="BO124" s="207"/>
      <c r="BP124" s="207"/>
      <c r="BQ124" s="207"/>
      <c r="BR124" s="207"/>
      <c r="BS124" s="207"/>
      <c r="BT124" s="207"/>
      <c r="BU124" s="207"/>
      <c r="BV124" s="207"/>
      <c r="BW124" s="207"/>
      <c r="BX124" s="207"/>
      <c r="BY124" s="207"/>
      <c r="BZ124" s="207"/>
      <c r="CA124" s="207"/>
      <c r="CB124" s="207"/>
      <c r="CC124" s="207"/>
      <c r="CD124" s="207"/>
      <c r="CE124" s="207"/>
      <c r="CF124" s="207"/>
      <c r="CG124" s="207"/>
      <c r="CH124" s="207"/>
      <c r="CI124" s="207"/>
      <c r="CJ124" s="207"/>
      <c r="CK124" s="207"/>
      <c r="CL124" s="207"/>
      <c r="CM124" s="207"/>
      <c r="CN124" s="207"/>
      <c r="CO124" s="207"/>
      <c r="CP124" s="207"/>
      <c r="CQ124" s="207"/>
      <c r="CR124" s="207"/>
      <c r="CS124" s="207"/>
      <c r="CT124" s="207"/>
      <c r="CU124" s="207"/>
      <c r="CV124" s="207"/>
      <c r="CW124" s="207"/>
      <c r="CX124" s="207"/>
      <c r="CY124" s="207"/>
      <c r="CZ124" s="207"/>
      <c r="DA124" s="207"/>
      <c r="DB124" s="207"/>
      <c r="DC124" s="207"/>
      <c r="DD124" s="207"/>
      <c r="DE124" s="207"/>
      <c r="DF124" s="207"/>
      <c r="DG124" s="207"/>
      <c r="DH124" s="207"/>
      <c r="DI124" s="207"/>
      <c r="DJ124" s="207"/>
      <c r="DK124" s="207"/>
      <c r="DL124" s="207"/>
      <c r="DM124" s="207"/>
      <c r="DN124" s="207"/>
      <c r="DO124" s="207"/>
      <c r="DP124" s="207"/>
      <c r="DQ124" s="207"/>
      <c r="DR124" s="207"/>
      <c r="DS124" s="207"/>
      <c r="DT124" s="207"/>
      <c r="DU124" s="207"/>
      <c r="DV124" s="207"/>
      <c r="DW124" s="207"/>
      <c r="DX124" s="207"/>
      <c r="DY124" s="207"/>
      <c r="DZ124" s="207"/>
      <c r="EA124" s="207"/>
      <c r="EB124" s="207"/>
      <c r="EC124" s="207"/>
      <c r="ED124" s="207"/>
      <c r="EE124" s="207"/>
      <c r="EF124" s="207"/>
      <c r="EG124" s="207"/>
      <c r="EH124" s="207"/>
      <c r="EI124" s="207"/>
      <c r="EJ124" s="207"/>
      <c r="EK124" s="207"/>
      <c r="EL124" s="207"/>
      <c r="EM124" s="207"/>
      <c r="EN124" s="207"/>
      <c r="EO124" s="207"/>
      <c r="EP124" s="207"/>
      <c r="EQ124" s="207"/>
      <c r="ER124" s="207"/>
      <c r="ES124" s="207"/>
      <c r="ET124" s="207"/>
      <c r="EU124" s="207"/>
      <c r="EV124" s="207"/>
      <c r="EW124" s="207"/>
      <c r="EX124" s="207"/>
      <c r="EY124" s="207"/>
      <c r="EZ124" s="207"/>
      <c r="FA124" s="207"/>
      <c r="FB124" s="207"/>
      <c r="FC124" s="207"/>
      <c r="FD124" s="207"/>
      <c r="FE124" s="207"/>
      <c r="FF124" s="207"/>
      <c r="FG124" s="207"/>
      <c r="FH124" s="207"/>
      <c r="FI124" s="207"/>
      <c r="FJ124" s="207"/>
      <c r="FK124" s="207"/>
      <c r="FL124" s="207"/>
      <c r="FM124" s="207"/>
      <c r="FN124" s="207"/>
      <c r="FO124" s="207"/>
      <c r="FP124" s="207"/>
      <c r="FQ124" s="207"/>
      <c r="FR124" s="207"/>
      <c r="FS124" s="207"/>
      <c r="FT124" s="207"/>
      <c r="FU124" s="207"/>
      <c r="FV124" s="207"/>
      <c r="FW124" s="207"/>
      <c r="FX124" s="207"/>
      <c r="FY124" s="207"/>
      <c r="FZ124" s="207"/>
      <c r="GA124" s="207"/>
      <c r="GB124" s="207"/>
      <c r="GC124" s="207"/>
      <c r="GD124" s="207"/>
      <c r="GE124" s="207"/>
      <c r="GF124" s="207"/>
      <c r="GG124" s="207"/>
      <c r="GH124" s="207"/>
      <c r="GI124" s="207"/>
      <c r="GJ124" s="207"/>
      <c r="GK124" s="207"/>
      <c r="GL124" s="207"/>
      <c r="GM124" s="207"/>
      <c r="GN124" s="207"/>
      <c r="GO124" s="207"/>
      <c r="GP124" s="207"/>
      <c r="GQ124" s="207"/>
      <c r="GR124" s="207"/>
      <c r="GS124" s="207"/>
      <c r="GT124" s="207"/>
      <c r="GU124" s="207"/>
      <c r="GV124" s="207"/>
      <c r="GW124" s="207"/>
      <c r="GX124" s="207"/>
      <c r="GY124" s="207"/>
      <c r="GZ124" s="207"/>
      <c r="HA124" s="207"/>
      <c r="HB124" s="207"/>
      <c r="HC124" s="207"/>
      <c r="HD124" s="207"/>
      <c r="HE124" s="207"/>
      <c r="HF124" s="207"/>
      <c r="HG124" s="207"/>
      <c r="HH124" s="207"/>
      <c r="HI124" s="207"/>
      <c r="HJ124" s="207"/>
      <c r="HK124" s="207"/>
      <c r="HL124" s="207"/>
      <c r="HM124" s="207"/>
      <c r="HN124" s="207"/>
      <c r="HO124" s="207"/>
      <c r="HP124" s="207"/>
      <c r="HQ124" s="207"/>
      <c r="HR124" s="207"/>
      <c r="HS124" s="207"/>
      <c r="HT124" s="207"/>
      <c r="HU124" s="207"/>
      <c r="HV124" s="207"/>
      <c r="HW124" s="207"/>
      <c r="HX124" s="207"/>
      <c r="HY124" s="207"/>
      <c r="HZ124" s="207"/>
      <c r="IA124" s="207"/>
      <c r="IB124" s="207"/>
      <c r="IC124" s="207"/>
      <c r="ID124" s="207"/>
      <c r="IE124" s="207"/>
      <c r="IF124" s="207"/>
      <c r="IG124" s="207"/>
      <c r="IH124" s="207"/>
      <c r="II124" s="207"/>
      <c r="IJ124" s="207"/>
      <c r="IK124" s="207"/>
      <c r="IL124" s="207"/>
      <c r="IM124" s="207"/>
      <c r="IN124" s="207"/>
      <c r="IO124" s="207"/>
      <c r="IP124" s="207"/>
      <c r="IQ124" s="207"/>
      <c r="IR124" s="207"/>
      <c r="IS124" s="207"/>
      <c r="IT124" s="207"/>
      <c r="IU124" s="207"/>
      <c r="IV124" s="207"/>
      <c r="IW124" s="207"/>
      <c r="IX124" s="207"/>
      <c r="IY124" s="12">
        <v>1</v>
      </c>
      <c r="IZ124" s="12">
        <f>(TEXT(K124,"[m]")/60)*VLOOKUP(IY124,'Income Person-hours'!A$2:C$5,3,FALSE)</f>
        <v>0</v>
      </c>
      <c r="JA124" s="125"/>
      <c r="JB124" s="132"/>
      <c r="JC124" s="131">
        <v>0.66666666666666663</v>
      </c>
      <c r="JD124" s="232">
        <f>SUM((TEXT(JA124,"[M]")/60)*'Income Person-hours'!$D$3,(TEXT(JB124,"[M]")/60)*'Income Person-hours'!$D$4,(TEXT(JC124,"[M]")/60)*'Income Person-hours'!$D$5)</f>
        <v>8880000</v>
      </c>
    </row>
    <row r="125" spans="1:16382" s="12" customFormat="1" ht="15.75" hidden="1" x14ac:dyDescent="0.45">
      <c r="A125" s="206">
        <v>6.6</v>
      </c>
      <c r="B125" s="128"/>
      <c r="C125" s="119"/>
      <c r="D125" s="13" t="str">
        <f>IF(OR(j_WEEKDAY(J_ADDDAY(VLOOKUP(I125,A:F,6,FALSE),H125,1),0)=6,SUMIFS(Holieday[ok],Holieday[date],J_ADDDAY(VLOOKUP(I125,A:F,6,FALSE),H125,1)))=FALSE(),J_ADDDAY(VLOOKUP(I125,A:F,6,FALSE),H125,1),IF(OR(j_WEEKDAY(J_ADDDAY(VLOOKUP(I125,A:F,6,FALSE),H125+1,1),0)=6,SUMIFS(Holieday[ok],Holieday[date],J_ADDDAY(VLOOKUP(I125,A:F,6,FALSE),H125+1,1)))=FALSE(),J_ADDDAY(VLOOKUP(I125,A:F,6,FALSE),H125+1,1),IF(OR(j_WEEKDAY(J_ADDDAY(VLOOKUP(I125,A:F,6,FALSE),H125+2,1),0)=6,SUMIFS(Holieday[ok],Holieday[date],J_ADDDAY(VLOOKUP(I125,A:F,6,FALSE),H125+2,1)))=FALSE(),J_ADDDAY(VLOOKUP(I125,A:F,6,FALSE),H125+2,1),IF(OR(j_WEEKDAY(J_ADDDAY(VLOOKUP(I125,A:F,6,FALSE),H125+3,1),0)=6,SUMIFS(Holieday[ok],Holieday[date],J_ADDDAY(VLOOKUP(I125,A:F,6,FALSE),H125+3,1)))=FALSE(),J_ADDDAY(VLOOKUP(I125,A:F,6,FALSE),H125+3,1),IF(OR(j_WEEKDAY(J_ADDDAY(VLOOKUP(I125,A:F,6,FALSE),H125+4,1),0)=6,SUMIFS(Holieday[ok],Holieday[date],J_ADDDAY(VLOOKUP(I125,A:F,6,FALSE),H125+4,1)))=FALSE(),J_ADDDAY(VLOOKUP(I125,A:F,6,FALSE),H125+4,1),J_ADDDAY(VLOOKUP(I125,A:F,6,FALSE),H125+5,1))))))</f>
        <v>1398/08/08</v>
      </c>
      <c r="E125" s="2">
        <f t="shared" si="35"/>
        <v>13980808</v>
      </c>
      <c r="F125" s="13" t="str">
        <f>IF(N125=0,J_SUBDAY(D125,1,1)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0,J_SUBDAY(J_ADDDAY(D125,N125,1)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1,J_SUBDAY(J_ADDDAY(D125,N125+1,1),1,1),IF((N125-NETWORKDAYS.INTL(J_GregorianDate(D125,1),J_GregorianDate(J_SUBDAY(J_ADDDAY(D125,N125,1),1,1),1),16,1)-SUMIFS(Holieday[ok],Holieday[date],CONCATENATE("&gt;","=",D125),Holieday[date],CONCATENATE("&lt;","=",J_SUBDAY(J_ADDDAY(D125,N125,1),1,1)))+SUMIFS(Holieday[Friday],Holieday[date],CONCATENATE("&gt;","=",D125),Holieday[date],CONCATENATE("&lt;","=",J_SUBDAY(J_ADDDAY(D125,N125,1),1,1))))=2,J_SUBDAY(J_ADDDAY(D125,N125+2,1),1,1),J_SUBDAY(J_ADDDAY(D125,N125+3,1),1,1)))))</f>
        <v>1398/08/07</v>
      </c>
      <c r="G125" s="3">
        <f t="shared" si="36"/>
        <v>13980807</v>
      </c>
      <c r="H125" s="121"/>
      <c r="I125" s="122">
        <v>6.5</v>
      </c>
      <c r="J125" s="10" t="str">
        <f>j_WEEKDAY(D125,1)</f>
        <v>چهارشنبه</v>
      </c>
      <c r="K125" s="23">
        <f t="shared" si="39"/>
        <v>0</v>
      </c>
      <c r="L125" s="9">
        <f t="shared" si="40"/>
        <v>0</v>
      </c>
      <c r="M125" s="123">
        <v>0</v>
      </c>
      <c r="N125" s="120">
        <v>0</v>
      </c>
      <c r="O125" s="11">
        <f t="shared" si="41"/>
        <v>0</v>
      </c>
      <c r="P125" s="11">
        <f>VALUE(J_normdate(J_ADDDAY($D125,$O125,1)))</f>
        <v>13980808</v>
      </c>
      <c r="Q125" s="10">
        <f t="shared" si="42"/>
        <v>0</v>
      </c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  <c r="ES125" s="8"/>
      <c r="ET125" s="8"/>
      <c r="EU125" s="8"/>
      <c r="EV125" s="8"/>
      <c r="EW125" s="8"/>
      <c r="EX125" s="8"/>
      <c r="EY125" s="8"/>
      <c r="EZ125" s="8"/>
      <c r="FA125" s="8"/>
      <c r="FB125" s="8"/>
      <c r="FC125" s="8"/>
      <c r="FD125" s="8"/>
      <c r="FE125" s="8"/>
      <c r="FF125" s="8"/>
      <c r="FG125" s="8"/>
      <c r="FH125" s="8"/>
      <c r="FI125" s="8"/>
      <c r="FJ125" s="8"/>
      <c r="FK125" s="8"/>
      <c r="FL125" s="8"/>
      <c r="FM125" s="8"/>
      <c r="FN125" s="8"/>
      <c r="FO125" s="8"/>
      <c r="FP125" s="8"/>
      <c r="FQ125" s="8"/>
      <c r="FR125" s="8"/>
      <c r="FS125" s="8"/>
      <c r="FT125" s="8"/>
      <c r="FU125" s="8"/>
      <c r="FV125" s="8"/>
      <c r="FW125" s="8"/>
      <c r="FX125" s="8"/>
      <c r="FY125" s="8"/>
      <c r="FZ125" s="8"/>
      <c r="GA125" s="8"/>
      <c r="GB125" s="8"/>
      <c r="GC125" s="8"/>
      <c r="GD125" s="8"/>
      <c r="GE125" s="8"/>
      <c r="GF125" s="8"/>
      <c r="GG125" s="8"/>
      <c r="GH125" s="8"/>
      <c r="GI125" s="8"/>
      <c r="GJ125" s="8"/>
      <c r="GK125" s="8"/>
      <c r="GL125" s="8"/>
      <c r="GM125" s="8"/>
      <c r="GN125" s="8"/>
      <c r="GO125" s="8"/>
      <c r="GP125" s="8"/>
      <c r="GQ125" s="8"/>
      <c r="GR125" s="8"/>
      <c r="GS125" s="8"/>
      <c r="GT125" s="8"/>
      <c r="GU125" s="8"/>
      <c r="GV125" s="8"/>
      <c r="GW125" s="8"/>
      <c r="GX125" s="8"/>
      <c r="GY125" s="8"/>
      <c r="GZ125" s="8"/>
      <c r="HA125" s="8"/>
      <c r="HB125" s="8"/>
      <c r="HC125" s="8"/>
      <c r="HD125" s="8"/>
      <c r="HE125" s="8"/>
      <c r="HF125" s="8"/>
      <c r="HG125" s="8"/>
      <c r="HH125" s="8"/>
      <c r="HI125" s="8"/>
      <c r="HJ125" s="8"/>
      <c r="HK125" s="8"/>
      <c r="HL125" s="8"/>
      <c r="HM125" s="8"/>
      <c r="HN125" s="8"/>
      <c r="HO125" s="8"/>
      <c r="HP125" s="8"/>
      <c r="HQ125" s="8"/>
      <c r="HR125" s="8"/>
      <c r="HS125" s="8"/>
      <c r="HT125" s="8"/>
      <c r="HU125" s="8"/>
      <c r="HV125" s="8"/>
      <c r="HW125" s="8"/>
      <c r="HX125" s="8"/>
      <c r="HY125" s="8"/>
      <c r="HZ125" s="8"/>
      <c r="IA125" s="8"/>
      <c r="IB125" s="8"/>
      <c r="IC125" s="8"/>
      <c r="ID125" s="8"/>
      <c r="IE125" s="8"/>
      <c r="IF125" s="8"/>
      <c r="IG125" s="8"/>
      <c r="IH125" s="8"/>
      <c r="II125" s="8"/>
      <c r="IJ125" s="8"/>
      <c r="IK125" s="8"/>
      <c r="IL125" s="8"/>
      <c r="IM125" s="8"/>
      <c r="IN125" s="8"/>
      <c r="IO125" s="8"/>
      <c r="IP125" s="8"/>
      <c r="IQ125" s="8"/>
      <c r="IR125" s="8"/>
      <c r="IS125" s="8"/>
      <c r="IT125" s="8"/>
      <c r="IU125" s="8"/>
      <c r="IV125" s="8"/>
      <c r="IW125" s="8"/>
      <c r="IX125" s="8"/>
      <c r="IY125" s="12">
        <v>2</v>
      </c>
      <c r="IZ125" s="12">
        <f>(TEXT(K125,"[m]")/60)*VLOOKUP(IY125,'Income Person-hours'!A$2:C$5,3,FALSE)</f>
        <v>0</v>
      </c>
      <c r="JA125" s="125"/>
      <c r="JB125" s="125"/>
      <c r="JC125" s="125"/>
      <c r="JD125" s="72">
        <f>SUM((TEXT(JA125,"[M]")/60)*'Income Person-hours'!$D$3,(TEXT(JB125,"[M]")/60)*'Income Person-hours'!$D$4,(TEXT(JC125,"[M]")/60)*'Income Person-hours'!$D$5)</f>
        <v>0</v>
      </c>
    </row>
    <row r="126" spans="1:16382" s="12" customFormat="1" ht="15.75" hidden="1" x14ac:dyDescent="0.45">
      <c r="A126" s="206">
        <v>6.7</v>
      </c>
      <c r="B126" s="128"/>
      <c r="C126" s="119"/>
      <c r="D126" s="13" t="str">
        <f>IF(OR(j_WEEKDAY(J_ADDDAY(VLOOKUP(I126,A:F,6,FALSE),H126,1),0)=6,SUMIFS(Holieday[ok],Holieday[date],J_ADDDAY(VLOOKUP(I126,A:F,6,FALSE),H126,1)))=FALSE(),J_ADDDAY(VLOOKUP(I126,A:F,6,FALSE),H126,1),IF(OR(j_WEEKDAY(J_ADDDAY(VLOOKUP(I126,A:F,6,FALSE),H126+1,1),0)=6,SUMIFS(Holieday[ok],Holieday[date],J_ADDDAY(VLOOKUP(I126,A:F,6,FALSE),H126+1,1)))=FALSE(),J_ADDDAY(VLOOKUP(I126,A:F,6,FALSE),H126+1,1),IF(OR(j_WEEKDAY(J_ADDDAY(VLOOKUP(I126,A:F,6,FALSE),H126+2,1),0)=6,SUMIFS(Holieday[ok],Holieday[date],J_ADDDAY(VLOOKUP(I126,A:F,6,FALSE),H126+2,1)))=FALSE(),J_ADDDAY(VLOOKUP(I126,A:F,6,FALSE),H126+2,1),IF(OR(j_WEEKDAY(J_ADDDAY(VLOOKUP(I126,A:F,6,FALSE),H126+3,1),0)=6,SUMIFS(Holieday[ok],Holieday[date],J_ADDDAY(VLOOKUP(I126,A:F,6,FALSE),H126+3,1)))=FALSE(),J_ADDDAY(VLOOKUP(I126,A:F,6,FALSE),H126+3,1),IF(OR(j_WEEKDAY(J_ADDDAY(VLOOKUP(I126,A:F,6,FALSE),H126+4,1),0)=6,SUMIFS(Holieday[ok],Holieday[date],J_ADDDAY(VLOOKUP(I126,A:F,6,FALSE),H126+4,1)))=FALSE(),J_ADDDAY(VLOOKUP(I126,A:F,6,FALSE),H126+4,1),J_ADDDAY(VLOOKUP(I126,A:F,6,FALSE),H126+5,1))))))</f>
        <v>1398/08/08</v>
      </c>
      <c r="E126" s="2">
        <f t="shared" si="35"/>
        <v>13980808</v>
      </c>
      <c r="F126" s="13" t="str">
        <f>IF(N126=0,J_SUBDAY(D126,1,1)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0,J_SUBDAY(J_ADDDAY(D126,N126,1)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1,J_SUBDAY(J_ADDDAY(D126,N126+1,1),1,1),IF((N126-NETWORKDAYS.INTL(J_GregorianDate(D126,1),J_GregorianDate(J_SUBDAY(J_ADDDAY(D126,N126,1),1,1),1),16,1)-SUMIFS(Holieday[ok],Holieday[date],CONCATENATE("&gt;","=",D126),Holieday[date],CONCATENATE("&lt;","=",J_SUBDAY(J_ADDDAY(D126,N126,1),1,1)))+SUMIFS(Holieday[Friday],Holieday[date],CONCATENATE("&gt;","=",D126),Holieday[date],CONCATENATE("&lt;","=",J_SUBDAY(J_ADDDAY(D126,N126,1),1,1))))=2,J_SUBDAY(J_ADDDAY(D126,N126+2,1),1,1),J_SUBDAY(J_ADDDAY(D126,N126+3,1),1,1)))))</f>
        <v>1398/08/07</v>
      </c>
      <c r="G126" s="3">
        <f t="shared" si="36"/>
        <v>13980807</v>
      </c>
      <c r="H126" s="121"/>
      <c r="I126" s="122">
        <v>6.5</v>
      </c>
      <c r="J126" s="10" t="str">
        <f>j_WEEKDAY(D126,1)</f>
        <v>چهارشنبه</v>
      </c>
      <c r="K126" s="23">
        <f t="shared" si="39"/>
        <v>0</v>
      </c>
      <c r="L126" s="9">
        <f t="shared" si="40"/>
        <v>0</v>
      </c>
      <c r="M126" s="123">
        <v>0</v>
      </c>
      <c r="N126" s="120">
        <v>0</v>
      </c>
      <c r="O126" s="11">
        <f t="shared" si="41"/>
        <v>0</v>
      </c>
      <c r="P126" s="11">
        <f>VALUE(J_normdate(J_ADDDAY($D126,$O126,1)))</f>
        <v>13980808</v>
      </c>
      <c r="Q126" s="10">
        <f t="shared" si="42"/>
        <v>0</v>
      </c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  <c r="ES126" s="8"/>
      <c r="ET126" s="8"/>
      <c r="EU126" s="8"/>
      <c r="EV126" s="8"/>
      <c r="EW126" s="8"/>
      <c r="EX126" s="8"/>
      <c r="EY126" s="8"/>
      <c r="EZ126" s="8"/>
      <c r="FA126" s="8"/>
      <c r="FB126" s="8"/>
      <c r="FC126" s="8"/>
      <c r="FD126" s="8"/>
      <c r="FE126" s="8"/>
      <c r="FF126" s="8"/>
      <c r="FG126" s="8"/>
      <c r="FH126" s="8"/>
      <c r="FI126" s="8"/>
      <c r="FJ126" s="8"/>
      <c r="FK126" s="8"/>
      <c r="FL126" s="8"/>
      <c r="FM126" s="8"/>
      <c r="FN126" s="8"/>
      <c r="FO126" s="8"/>
      <c r="FP126" s="8"/>
      <c r="FQ126" s="8"/>
      <c r="FR126" s="8"/>
      <c r="FS126" s="8"/>
      <c r="FT126" s="8"/>
      <c r="FU126" s="8"/>
      <c r="FV126" s="8"/>
      <c r="FW126" s="8"/>
      <c r="FX126" s="8"/>
      <c r="FY126" s="8"/>
      <c r="FZ126" s="8"/>
      <c r="GA126" s="8"/>
      <c r="GB126" s="8"/>
      <c r="GC126" s="8"/>
      <c r="GD126" s="8"/>
      <c r="GE126" s="8"/>
      <c r="GF126" s="8"/>
      <c r="GG126" s="8"/>
      <c r="GH126" s="8"/>
      <c r="GI126" s="8"/>
      <c r="GJ126" s="8"/>
      <c r="GK126" s="8"/>
      <c r="GL126" s="8"/>
      <c r="GM126" s="8"/>
      <c r="GN126" s="8"/>
      <c r="GO126" s="8"/>
      <c r="GP126" s="8"/>
      <c r="GQ126" s="8"/>
      <c r="GR126" s="8"/>
      <c r="GS126" s="8"/>
      <c r="GT126" s="8"/>
      <c r="GU126" s="8"/>
      <c r="GV126" s="8"/>
      <c r="GW126" s="8"/>
      <c r="GX126" s="8"/>
      <c r="GY126" s="8"/>
      <c r="GZ126" s="8"/>
      <c r="HA126" s="8"/>
      <c r="HB126" s="8"/>
      <c r="HC126" s="8"/>
      <c r="HD126" s="8"/>
      <c r="HE126" s="8"/>
      <c r="HF126" s="8"/>
      <c r="HG126" s="8"/>
      <c r="HH126" s="8"/>
      <c r="HI126" s="8"/>
      <c r="HJ126" s="8"/>
      <c r="HK126" s="8"/>
      <c r="HL126" s="8"/>
      <c r="HM126" s="8"/>
      <c r="HN126" s="8"/>
      <c r="HO126" s="8"/>
      <c r="HP126" s="8"/>
      <c r="HQ126" s="8"/>
      <c r="HR126" s="8"/>
      <c r="HS126" s="8"/>
      <c r="HT126" s="8"/>
      <c r="HU126" s="8"/>
      <c r="HV126" s="8"/>
      <c r="HW126" s="8"/>
      <c r="HX126" s="8"/>
      <c r="HY126" s="8"/>
      <c r="HZ126" s="8"/>
      <c r="IA126" s="8"/>
      <c r="IB126" s="8"/>
      <c r="IC126" s="8"/>
      <c r="ID126" s="8"/>
      <c r="IE126" s="8"/>
      <c r="IF126" s="8"/>
      <c r="IG126" s="8"/>
      <c r="IH126" s="8"/>
      <c r="II126" s="8"/>
      <c r="IJ126" s="8"/>
      <c r="IK126" s="8"/>
      <c r="IL126" s="8"/>
      <c r="IM126" s="8"/>
      <c r="IN126" s="8"/>
      <c r="IO126" s="8"/>
      <c r="IP126" s="8"/>
      <c r="IQ126" s="8"/>
      <c r="IR126" s="8"/>
      <c r="IS126" s="8"/>
      <c r="IT126" s="8"/>
      <c r="IU126" s="8"/>
      <c r="IV126" s="8"/>
      <c r="IW126" s="8"/>
      <c r="IX126" s="8"/>
      <c r="IY126" s="12">
        <v>1</v>
      </c>
      <c r="IZ126" s="12">
        <f>(TEXT(K126,"[m]")/60)*VLOOKUP(IY126,'Income Person-hours'!A$2:C$5,3,FALSE)</f>
        <v>0</v>
      </c>
      <c r="JA126" s="125"/>
      <c r="JB126" s="125"/>
      <c r="JC126" s="125"/>
      <c r="JD126" s="72">
        <f>SUM((TEXT(JA126,"[M]")/60)*'Income Person-hours'!$D$3,(TEXT(JB126,"[M]")/60)*'Income Person-hours'!$D$4,(TEXT(JC126,"[M]")/60)*'Income Person-hours'!$D$5)</f>
        <v>0</v>
      </c>
    </row>
    <row r="127" spans="1:16382" s="12" customFormat="1" ht="15.75" hidden="1" x14ac:dyDescent="0.45">
      <c r="A127" s="206">
        <v>6.8</v>
      </c>
      <c r="B127" s="128"/>
      <c r="C127" s="119"/>
      <c r="D127" s="13" t="str">
        <f>IF(OR(j_WEEKDAY(J_ADDDAY(VLOOKUP(I127,A:F,6,FALSE),H127,1),0)=6,SUMIFS(Holieday[ok],Holieday[date],J_ADDDAY(VLOOKUP(I127,A:F,6,FALSE),H127,1)))=FALSE(),J_ADDDAY(VLOOKUP(I127,A:F,6,FALSE),H127,1),IF(OR(j_WEEKDAY(J_ADDDAY(VLOOKUP(I127,A:F,6,FALSE),H127+1,1),0)=6,SUMIFS(Holieday[ok],Holieday[date],J_ADDDAY(VLOOKUP(I127,A:F,6,FALSE),H127+1,1)))=FALSE(),J_ADDDAY(VLOOKUP(I127,A:F,6,FALSE),H127+1,1),IF(OR(j_WEEKDAY(J_ADDDAY(VLOOKUP(I127,A:F,6,FALSE),H127+2,1),0)=6,SUMIFS(Holieday[ok],Holieday[date],J_ADDDAY(VLOOKUP(I127,A:F,6,FALSE),H127+2,1)))=FALSE(),J_ADDDAY(VLOOKUP(I127,A:F,6,FALSE),H127+2,1),IF(OR(j_WEEKDAY(J_ADDDAY(VLOOKUP(I127,A:F,6,FALSE),H127+3,1),0)=6,SUMIFS(Holieday[ok],Holieday[date],J_ADDDAY(VLOOKUP(I127,A:F,6,FALSE),H127+3,1)))=FALSE(),J_ADDDAY(VLOOKUP(I127,A:F,6,FALSE),H127+3,1),IF(OR(j_WEEKDAY(J_ADDDAY(VLOOKUP(I127,A:F,6,FALSE),H127+4,1),0)=6,SUMIFS(Holieday[ok],Holieday[date],J_ADDDAY(VLOOKUP(I127,A:F,6,FALSE),H127+4,1)))=FALSE(),J_ADDDAY(VLOOKUP(I127,A:F,6,FALSE),H127+4,1),J_ADDDAY(VLOOKUP(I127,A:F,6,FALSE),H127+5,1))))))</f>
        <v>1398/08/08</v>
      </c>
      <c r="E127" s="2">
        <f t="shared" si="35"/>
        <v>13980808</v>
      </c>
      <c r="F127" s="13" t="str">
        <f>IF(N127=0,J_SUBDAY(D127,1,1)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0,J_SUBDAY(J_ADDDAY(D127,N127,1)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1,J_SUBDAY(J_ADDDAY(D127,N127+1,1),1,1),IF((N127-NETWORKDAYS.INTL(J_GregorianDate(D127,1),J_GregorianDate(J_SUBDAY(J_ADDDAY(D127,N127,1),1,1),1),16,1)-SUMIFS(Holieday[ok],Holieday[date],CONCATENATE("&gt;","=",D127),Holieday[date],CONCATENATE("&lt;","=",J_SUBDAY(J_ADDDAY(D127,N127,1),1,1)))+SUMIFS(Holieday[Friday],Holieday[date],CONCATENATE("&gt;","=",D127),Holieday[date],CONCATENATE("&lt;","=",J_SUBDAY(J_ADDDAY(D127,N127,1),1,1))))=2,J_SUBDAY(J_ADDDAY(D127,N127+2,1),1,1),J_SUBDAY(J_ADDDAY(D127,N127+3,1),1,1)))))</f>
        <v>1398/08/07</v>
      </c>
      <c r="G127" s="3">
        <f t="shared" si="36"/>
        <v>13980807</v>
      </c>
      <c r="H127" s="121"/>
      <c r="I127" s="122">
        <v>6.5</v>
      </c>
      <c r="J127" s="10" t="str">
        <f>j_WEEKDAY(D127,1)</f>
        <v>چهارشنبه</v>
      </c>
      <c r="K127" s="23">
        <f t="shared" si="39"/>
        <v>0</v>
      </c>
      <c r="L127" s="9">
        <f t="shared" si="40"/>
        <v>0</v>
      </c>
      <c r="M127" s="123">
        <v>0</v>
      </c>
      <c r="N127" s="120">
        <v>0</v>
      </c>
      <c r="O127" s="11">
        <f t="shared" si="41"/>
        <v>0</v>
      </c>
      <c r="P127" s="11">
        <f>VALUE(J_normdate(J_ADDDAY($D127,$O127,1)))</f>
        <v>13980808</v>
      </c>
      <c r="Q127" s="10">
        <f t="shared" si="42"/>
        <v>0</v>
      </c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  <c r="ES127" s="8"/>
      <c r="ET127" s="8"/>
      <c r="EU127" s="8"/>
      <c r="EV127" s="8"/>
      <c r="EW127" s="8"/>
      <c r="EX127" s="8"/>
      <c r="EY127" s="8"/>
      <c r="EZ127" s="8"/>
      <c r="FA127" s="8"/>
      <c r="FB127" s="8"/>
      <c r="FC127" s="8"/>
      <c r="FD127" s="8"/>
      <c r="FE127" s="8"/>
      <c r="FF127" s="8"/>
      <c r="FG127" s="8"/>
      <c r="FH127" s="8"/>
      <c r="FI127" s="8"/>
      <c r="FJ127" s="8"/>
      <c r="FK127" s="8"/>
      <c r="FL127" s="8"/>
      <c r="FM127" s="8"/>
      <c r="FN127" s="8"/>
      <c r="FO127" s="8"/>
      <c r="FP127" s="8"/>
      <c r="FQ127" s="8"/>
      <c r="FR127" s="8"/>
      <c r="FS127" s="8"/>
      <c r="FT127" s="8"/>
      <c r="FU127" s="8"/>
      <c r="FV127" s="8"/>
      <c r="FW127" s="8"/>
      <c r="FX127" s="8"/>
      <c r="FY127" s="8"/>
      <c r="FZ127" s="8"/>
      <c r="GA127" s="8"/>
      <c r="GB127" s="8"/>
      <c r="GC127" s="8"/>
      <c r="GD127" s="8"/>
      <c r="GE127" s="8"/>
      <c r="GF127" s="8"/>
      <c r="GG127" s="8"/>
      <c r="GH127" s="8"/>
      <c r="GI127" s="8"/>
      <c r="GJ127" s="8"/>
      <c r="GK127" s="8"/>
      <c r="GL127" s="8"/>
      <c r="GM127" s="8"/>
      <c r="GN127" s="8"/>
      <c r="GO127" s="8"/>
      <c r="GP127" s="8"/>
      <c r="GQ127" s="8"/>
      <c r="GR127" s="8"/>
      <c r="GS127" s="8"/>
      <c r="GT127" s="8"/>
      <c r="GU127" s="8"/>
      <c r="GV127" s="8"/>
      <c r="GW127" s="8"/>
      <c r="GX127" s="8"/>
      <c r="GY127" s="8"/>
      <c r="GZ127" s="8"/>
      <c r="HA127" s="8"/>
      <c r="HB127" s="8"/>
      <c r="HC127" s="8"/>
      <c r="HD127" s="8"/>
      <c r="HE127" s="8"/>
      <c r="HF127" s="8"/>
      <c r="HG127" s="8"/>
      <c r="HH127" s="8"/>
      <c r="HI127" s="8"/>
      <c r="HJ127" s="8"/>
      <c r="HK127" s="8"/>
      <c r="HL127" s="8"/>
      <c r="HM127" s="8"/>
      <c r="HN127" s="8"/>
      <c r="HO127" s="8"/>
      <c r="HP127" s="8"/>
      <c r="HQ127" s="8"/>
      <c r="HR127" s="8"/>
      <c r="HS127" s="8"/>
      <c r="HT127" s="8"/>
      <c r="HU127" s="8"/>
      <c r="HV127" s="8"/>
      <c r="HW127" s="8"/>
      <c r="HX127" s="8"/>
      <c r="HY127" s="8"/>
      <c r="HZ127" s="8"/>
      <c r="IA127" s="8"/>
      <c r="IB127" s="8"/>
      <c r="IC127" s="8"/>
      <c r="ID127" s="8"/>
      <c r="IE127" s="8"/>
      <c r="IF127" s="8"/>
      <c r="IG127" s="8"/>
      <c r="IH127" s="8"/>
      <c r="II127" s="8"/>
      <c r="IJ127" s="8"/>
      <c r="IK127" s="8"/>
      <c r="IL127" s="8"/>
      <c r="IM127" s="8"/>
      <c r="IN127" s="8"/>
      <c r="IO127" s="8"/>
      <c r="IP127" s="8"/>
      <c r="IQ127" s="8"/>
      <c r="IR127" s="8"/>
      <c r="IS127" s="8"/>
      <c r="IT127" s="8"/>
      <c r="IU127" s="8"/>
      <c r="IV127" s="8"/>
      <c r="IW127" s="8"/>
      <c r="IX127" s="8"/>
      <c r="IY127" s="12">
        <v>2</v>
      </c>
      <c r="IZ127" s="12">
        <f>(TEXT(K127,"[m]")/60)*VLOOKUP(IY127,'Income Person-hours'!A$2:C$5,3,FALSE)</f>
        <v>0</v>
      </c>
      <c r="JA127" s="125"/>
      <c r="JB127" s="125"/>
      <c r="JC127" s="125"/>
      <c r="JD127" s="72">
        <f>SUM((TEXT(JA127,"[M]")/60)*'Income Person-hours'!$D$3,(TEXT(JB127,"[M]")/60)*'Income Person-hours'!$D$4,(TEXT(JC127,"[M]")/60)*'Income Person-hours'!$D$5)</f>
        <v>0</v>
      </c>
    </row>
    <row r="128" spans="1:16382" s="12" customFormat="1" ht="15.75" hidden="1" x14ac:dyDescent="0.45">
      <c r="A128" s="206">
        <v>6.9</v>
      </c>
      <c r="B128" s="128"/>
      <c r="C128" s="119"/>
      <c r="D128" s="13" t="str">
        <f>IF(OR(j_WEEKDAY(J_ADDDAY(VLOOKUP(I128,A:F,6,FALSE),H128,1),0)=6,SUMIFS(Holieday[ok],Holieday[date],J_ADDDAY(VLOOKUP(I128,A:F,6,FALSE),H128,1)))=FALSE(),J_ADDDAY(VLOOKUP(I128,A:F,6,FALSE),H128,1),IF(OR(j_WEEKDAY(J_ADDDAY(VLOOKUP(I128,A:F,6,FALSE),H128+1,1),0)=6,SUMIFS(Holieday[ok],Holieday[date],J_ADDDAY(VLOOKUP(I128,A:F,6,FALSE),H128+1,1)))=FALSE(),J_ADDDAY(VLOOKUP(I128,A:F,6,FALSE),H128+1,1),IF(OR(j_WEEKDAY(J_ADDDAY(VLOOKUP(I128,A:F,6,FALSE),H128+2,1),0)=6,SUMIFS(Holieday[ok],Holieday[date],J_ADDDAY(VLOOKUP(I128,A:F,6,FALSE),H128+2,1)))=FALSE(),J_ADDDAY(VLOOKUP(I128,A:F,6,FALSE),H128+2,1),IF(OR(j_WEEKDAY(J_ADDDAY(VLOOKUP(I128,A:F,6,FALSE),H128+3,1),0)=6,SUMIFS(Holieday[ok],Holieday[date],J_ADDDAY(VLOOKUP(I128,A:F,6,FALSE),H128+3,1)))=FALSE(),J_ADDDAY(VLOOKUP(I128,A:F,6,FALSE),H128+3,1),IF(OR(j_WEEKDAY(J_ADDDAY(VLOOKUP(I128,A:F,6,FALSE),H128+4,1),0)=6,SUMIFS(Holieday[ok],Holieday[date],J_ADDDAY(VLOOKUP(I128,A:F,6,FALSE),H128+4,1)))=FALSE(),J_ADDDAY(VLOOKUP(I128,A:F,6,FALSE),H128+4,1),J_ADDDAY(VLOOKUP(I128,A:F,6,FALSE),H128+5,1))))))</f>
        <v>1398/08/08</v>
      </c>
      <c r="E128" s="2">
        <f t="shared" si="35"/>
        <v>13980808</v>
      </c>
      <c r="F128" s="13" t="str">
        <f>IF(N128=0,J_SUBDAY(D128,1,1)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0,J_SUBDAY(J_ADDDAY(D128,N128,1)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1,J_SUBDAY(J_ADDDAY(D128,N128+1,1),1,1),IF((N128-NETWORKDAYS.INTL(J_GregorianDate(D128,1),J_GregorianDate(J_SUBDAY(J_ADDDAY(D128,N128,1),1,1),1),16,1)-SUMIFS(Holieday[ok],Holieday[date],CONCATENATE("&gt;","=",D128),Holieday[date],CONCATENATE("&lt;","=",J_SUBDAY(J_ADDDAY(D128,N128,1),1,1)))+SUMIFS(Holieday[Friday],Holieday[date],CONCATENATE("&gt;","=",D128),Holieday[date],CONCATENATE("&lt;","=",J_SUBDAY(J_ADDDAY(D128,N128,1),1,1))))=2,J_SUBDAY(J_ADDDAY(D128,N128+2,1),1,1),J_SUBDAY(J_ADDDAY(D128,N128+3,1),1,1)))))</f>
        <v>1398/08/07</v>
      </c>
      <c r="G128" s="3">
        <f t="shared" si="36"/>
        <v>13980807</v>
      </c>
      <c r="H128" s="121"/>
      <c r="I128" s="122">
        <v>6.5</v>
      </c>
      <c r="J128" s="10" t="str">
        <f>j_WEEKDAY(D128,1)</f>
        <v>چهارشنبه</v>
      </c>
      <c r="K128" s="23">
        <f t="shared" si="39"/>
        <v>0</v>
      </c>
      <c r="L128" s="9">
        <f t="shared" si="40"/>
        <v>0</v>
      </c>
      <c r="M128" s="123">
        <v>0</v>
      </c>
      <c r="N128" s="120">
        <v>0</v>
      </c>
      <c r="O128" s="11">
        <f t="shared" si="41"/>
        <v>0</v>
      </c>
      <c r="P128" s="11">
        <f>VALUE(J_normdate(J_ADDDAY($D128,$O128,1)))</f>
        <v>13980808</v>
      </c>
      <c r="Q128" s="10">
        <f t="shared" si="42"/>
        <v>0</v>
      </c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  <c r="ES128" s="8"/>
      <c r="ET128" s="8"/>
      <c r="EU128" s="8"/>
      <c r="EV128" s="8"/>
      <c r="EW128" s="8"/>
      <c r="EX128" s="8"/>
      <c r="EY128" s="8"/>
      <c r="EZ128" s="8"/>
      <c r="FA128" s="8"/>
      <c r="FB128" s="8"/>
      <c r="FC128" s="8"/>
      <c r="FD128" s="8"/>
      <c r="FE128" s="8"/>
      <c r="FF128" s="8"/>
      <c r="FG128" s="8"/>
      <c r="FH128" s="8"/>
      <c r="FI128" s="8"/>
      <c r="FJ128" s="8"/>
      <c r="FK128" s="8"/>
      <c r="FL128" s="8"/>
      <c r="FM128" s="8"/>
      <c r="FN128" s="8"/>
      <c r="FO128" s="8"/>
      <c r="FP128" s="8"/>
      <c r="FQ128" s="8"/>
      <c r="FR128" s="8"/>
      <c r="FS128" s="8"/>
      <c r="FT128" s="8"/>
      <c r="FU128" s="8"/>
      <c r="FV128" s="8"/>
      <c r="FW128" s="8"/>
      <c r="FX128" s="8"/>
      <c r="FY128" s="8"/>
      <c r="FZ128" s="8"/>
      <c r="GA128" s="8"/>
      <c r="GB128" s="8"/>
      <c r="GC128" s="8"/>
      <c r="GD128" s="8"/>
      <c r="GE128" s="8"/>
      <c r="GF128" s="8"/>
      <c r="GG128" s="8"/>
      <c r="GH128" s="8"/>
      <c r="GI128" s="8"/>
      <c r="GJ128" s="8"/>
      <c r="GK128" s="8"/>
      <c r="GL128" s="8"/>
      <c r="GM128" s="8"/>
      <c r="GN128" s="8"/>
      <c r="GO128" s="8"/>
      <c r="GP128" s="8"/>
      <c r="GQ128" s="8"/>
      <c r="GR128" s="8"/>
      <c r="GS128" s="8"/>
      <c r="GT128" s="8"/>
      <c r="GU128" s="8"/>
      <c r="GV128" s="8"/>
      <c r="GW128" s="8"/>
      <c r="GX128" s="8"/>
      <c r="GY128" s="8"/>
      <c r="GZ128" s="8"/>
      <c r="HA128" s="8"/>
      <c r="HB128" s="8"/>
      <c r="HC128" s="8"/>
      <c r="HD128" s="8"/>
      <c r="HE128" s="8"/>
      <c r="HF128" s="8"/>
      <c r="HG128" s="8"/>
      <c r="HH128" s="8"/>
      <c r="HI128" s="8"/>
      <c r="HJ128" s="8"/>
      <c r="HK128" s="8"/>
      <c r="HL128" s="8"/>
      <c r="HM128" s="8"/>
      <c r="HN128" s="8"/>
      <c r="HO128" s="8"/>
      <c r="HP128" s="8"/>
      <c r="HQ128" s="8"/>
      <c r="HR128" s="8"/>
      <c r="HS128" s="8"/>
      <c r="HT128" s="8"/>
      <c r="HU128" s="8"/>
      <c r="HV128" s="8"/>
      <c r="HW128" s="8"/>
      <c r="HX128" s="8"/>
      <c r="HY128" s="8"/>
      <c r="HZ128" s="8"/>
      <c r="IA128" s="8"/>
      <c r="IB128" s="8"/>
      <c r="IC128" s="8"/>
      <c r="ID128" s="8"/>
      <c r="IE128" s="8"/>
      <c r="IF128" s="8"/>
      <c r="IG128" s="8"/>
      <c r="IH128" s="8"/>
      <c r="II128" s="8"/>
      <c r="IJ128" s="8"/>
      <c r="IK128" s="8"/>
      <c r="IL128" s="8"/>
      <c r="IM128" s="8"/>
      <c r="IN128" s="8"/>
      <c r="IO128" s="8"/>
      <c r="IP128" s="8"/>
      <c r="IQ128" s="8"/>
      <c r="IR128" s="8"/>
      <c r="IS128" s="8"/>
      <c r="IT128" s="8"/>
      <c r="IU128" s="8"/>
      <c r="IV128" s="8"/>
      <c r="IW128" s="8"/>
      <c r="IX128" s="8"/>
      <c r="JA128" s="125"/>
      <c r="JB128" s="125"/>
      <c r="JC128" s="125"/>
      <c r="JD128" s="72">
        <f>SUM((TEXT(JA128,"[M]")/60)*'Income Person-hours'!$D$3,(TEXT(JB128,"[M]")/60)*'Income Person-hours'!$D$4,(TEXT(JC128,"[M]")/60)*'Income Person-hours'!$D$5)</f>
        <v>0</v>
      </c>
    </row>
    <row r="129" spans="1:264 16383:16384" s="12" customFormat="1" ht="15.75" hidden="1" x14ac:dyDescent="0.45">
      <c r="A129" s="33">
        <v>6.11</v>
      </c>
      <c r="B129" s="128"/>
      <c r="C129" s="119"/>
      <c r="D129" s="13" t="str">
        <f>IF(OR(j_WEEKDAY(J_ADDDAY(VLOOKUP(I129,A:F,6,FALSE),H129,1),0)=6,SUMIFS(Holieday[ok],Holieday[date],J_ADDDAY(VLOOKUP(I129,A:F,6,FALSE),H129,1)))=FALSE(),J_ADDDAY(VLOOKUP(I129,A:F,6,FALSE),H129,1),IF(OR(j_WEEKDAY(J_ADDDAY(VLOOKUP(I129,A:F,6,FALSE),H129+1,1),0)=6,SUMIFS(Holieday[ok],Holieday[date],J_ADDDAY(VLOOKUP(I129,A:F,6,FALSE),H129+1,1)))=FALSE(),J_ADDDAY(VLOOKUP(I129,A:F,6,FALSE),H129+1,1),IF(OR(j_WEEKDAY(J_ADDDAY(VLOOKUP(I129,A:F,6,FALSE),H129+2,1),0)=6,SUMIFS(Holieday[ok],Holieday[date],J_ADDDAY(VLOOKUP(I129,A:F,6,FALSE),H129+2,1)))=FALSE(),J_ADDDAY(VLOOKUP(I129,A:F,6,FALSE),H129+2,1),IF(OR(j_WEEKDAY(J_ADDDAY(VLOOKUP(I129,A:F,6,FALSE),H129+3,1),0)=6,SUMIFS(Holieday[ok],Holieday[date],J_ADDDAY(VLOOKUP(I129,A:F,6,FALSE),H129+3,1)))=FALSE(),J_ADDDAY(VLOOKUP(I129,A:F,6,FALSE),H129+3,1),IF(OR(j_WEEKDAY(J_ADDDAY(VLOOKUP(I129,A:F,6,FALSE),H129+4,1),0)=6,SUMIFS(Holieday[ok],Holieday[date],J_ADDDAY(VLOOKUP(I129,A:F,6,FALSE),H129+4,1)))=FALSE(),J_ADDDAY(VLOOKUP(I129,A:F,6,FALSE),H129+4,1),J_ADDDAY(VLOOKUP(I129,A:F,6,FALSE),H129+5,1))))))</f>
        <v>1398/08/08</v>
      </c>
      <c r="E129" s="2">
        <f t="shared" si="35"/>
        <v>13980808</v>
      </c>
      <c r="F129" s="13" t="str">
        <f>IF(N129=0,J_SUBDAY(D129,1,1)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0,J_SUBDAY(J_ADDDAY(D129,N129,1)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1,J_SUBDAY(J_ADDDAY(D129,N129+1,1),1,1),IF((N129-NETWORKDAYS.INTL(J_GregorianDate(D129,1),J_GregorianDate(J_SUBDAY(J_ADDDAY(D129,N129,1),1,1),1),16,1)-SUMIFS(Holieday[ok],Holieday[date],CONCATENATE("&gt;","=",D129),Holieday[date],CONCATENATE("&lt;","=",J_SUBDAY(J_ADDDAY(D129,N129,1),1,1)))+SUMIFS(Holieday[Friday],Holieday[date],CONCATENATE("&gt;","=",D129),Holieday[date],CONCATENATE("&lt;","=",J_SUBDAY(J_ADDDAY(D129,N129,1),1,1))))=2,J_SUBDAY(J_ADDDAY(D129,N129+2,1),1,1),J_SUBDAY(J_ADDDAY(D129,N129+3,1),1,1)))))</f>
        <v>1398/08/07</v>
      </c>
      <c r="G129" s="3">
        <f t="shared" si="36"/>
        <v>13980807</v>
      </c>
      <c r="H129" s="121"/>
      <c r="I129" s="122">
        <v>6.5</v>
      </c>
      <c r="J129" s="10" t="str">
        <f>j_WEEKDAY(D129,1)</f>
        <v>چهارشنبه</v>
      </c>
      <c r="K129" s="23">
        <f t="shared" si="39"/>
        <v>0</v>
      </c>
      <c r="L129" s="9">
        <f t="shared" si="40"/>
        <v>0</v>
      </c>
      <c r="M129" s="123">
        <v>0</v>
      </c>
      <c r="N129" s="120">
        <v>0</v>
      </c>
      <c r="O129" s="11">
        <f t="shared" si="41"/>
        <v>0</v>
      </c>
      <c r="P129" s="11">
        <f>VALUE(J_normdate(J_ADDDAY($D129,$O129,1)))</f>
        <v>13980808</v>
      </c>
      <c r="Q129" s="10">
        <f t="shared" si="42"/>
        <v>0</v>
      </c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  <c r="ES129" s="8"/>
      <c r="ET129" s="8"/>
      <c r="EU129" s="8"/>
      <c r="EV129" s="8"/>
      <c r="EW129" s="8"/>
      <c r="EX129" s="8"/>
      <c r="EY129" s="8"/>
      <c r="EZ129" s="8"/>
      <c r="FA129" s="8"/>
      <c r="FB129" s="8"/>
      <c r="FC129" s="8"/>
      <c r="FD129" s="8"/>
      <c r="FE129" s="8"/>
      <c r="FF129" s="8"/>
      <c r="FG129" s="8"/>
      <c r="FH129" s="8"/>
      <c r="FI129" s="8"/>
      <c r="FJ129" s="8"/>
      <c r="FK129" s="8"/>
      <c r="FL129" s="8"/>
      <c r="FM129" s="8"/>
      <c r="FN129" s="8"/>
      <c r="FO129" s="8"/>
      <c r="FP129" s="8"/>
      <c r="FQ129" s="8"/>
      <c r="FR129" s="8"/>
      <c r="FS129" s="8"/>
      <c r="FT129" s="8"/>
      <c r="FU129" s="8"/>
      <c r="FV129" s="8"/>
      <c r="FW129" s="8"/>
      <c r="FX129" s="8"/>
      <c r="FY129" s="8"/>
      <c r="FZ129" s="8"/>
      <c r="GA129" s="8"/>
      <c r="GB129" s="8"/>
      <c r="GC129" s="8"/>
      <c r="GD129" s="8"/>
      <c r="GE129" s="8"/>
      <c r="GF129" s="8"/>
      <c r="GG129" s="8"/>
      <c r="GH129" s="8"/>
      <c r="GI129" s="8"/>
      <c r="GJ129" s="8"/>
      <c r="GK129" s="8"/>
      <c r="GL129" s="8"/>
      <c r="GM129" s="8"/>
      <c r="GN129" s="8"/>
      <c r="GO129" s="8"/>
      <c r="GP129" s="8"/>
      <c r="GQ129" s="8"/>
      <c r="GR129" s="8"/>
      <c r="GS129" s="8"/>
      <c r="GT129" s="8"/>
      <c r="GU129" s="8"/>
      <c r="GV129" s="8"/>
      <c r="GW129" s="8"/>
      <c r="GX129" s="8"/>
      <c r="GY129" s="8"/>
      <c r="GZ129" s="8"/>
      <c r="HA129" s="8"/>
      <c r="HB129" s="8"/>
      <c r="HC129" s="8"/>
      <c r="HD129" s="8"/>
      <c r="HE129" s="8"/>
      <c r="HF129" s="8"/>
      <c r="HG129" s="8"/>
      <c r="HH129" s="8"/>
      <c r="HI129" s="8"/>
      <c r="HJ129" s="8"/>
      <c r="HK129" s="8"/>
      <c r="HL129" s="8"/>
      <c r="HM129" s="8"/>
      <c r="HN129" s="8"/>
      <c r="HO129" s="8"/>
      <c r="HP129" s="8"/>
      <c r="HQ129" s="8"/>
      <c r="HR129" s="8"/>
      <c r="HS129" s="8"/>
      <c r="HT129" s="8"/>
      <c r="HU129" s="8"/>
      <c r="HV129" s="8"/>
      <c r="HW129" s="8"/>
      <c r="HX129" s="8"/>
      <c r="HY129" s="8"/>
      <c r="HZ129" s="8"/>
      <c r="IA129" s="8"/>
      <c r="IB129" s="8"/>
      <c r="IC129" s="8"/>
      <c r="ID129" s="8"/>
      <c r="IE129" s="8"/>
      <c r="IF129" s="8"/>
      <c r="IG129" s="8"/>
      <c r="IH129" s="8"/>
      <c r="II129" s="8"/>
      <c r="IJ129" s="8"/>
      <c r="IK129" s="8"/>
      <c r="IL129" s="8"/>
      <c r="IM129" s="8"/>
      <c r="IN129" s="8"/>
      <c r="IO129" s="8"/>
      <c r="IP129" s="8"/>
      <c r="IQ129" s="8"/>
      <c r="IR129" s="8"/>
      <c r="IS129" s="8"/>
      <c r="IT129" s="8"/>
      <c r="IU129" s="8"/>
      <c r="IV129" s="8"/>
      <c r="IW129" s="8"/>
      <c r="IX129" s="8"/>
      <c r="JA129" s="125"/>
      <c r="JB129" s="125"/>
      <c r="JC129" s="125"/>
      <c r="JD129" s="72">
        <f>SUM((TEXT(JA129,"[M]")/60)*'Income Person-hours'!$D$3,(TEXT(JB129,"[M]")/60)*'Income Person-hours'!$D$4,(TEXT(JC129,"[M]")/60)*'Income Person-hours'!$D$5)</f>
        <v>0</v>
      </c>
    </row>
    <row r="130" spans="1:264 16383:16384" s="12" customFormat="1" ht="15.75" hidden="1" x14ac:dyDescent="0.45">
      <c r="A130" s="33">
        <v>6.12</v>
      </c>
      <c r="B130" s="128"/>
      <c r="C130" s="119"/>
      <c r="D130" s="13" t="str">
        <f>IF(OR(j_WEEKDAY(J_ADDDAY(VLOOKUP(I130,A:F,6,FALSE),H130,1),0)=6,SUMIFS(Holieday[ok],Holieday[date],J_ADDDAY(VLOOKUP(I130,A:F,6,FALSE),H130,1)))=FALSE(),J_ADDDAY(VLOOKUP(I130,A:F,6,FALSE),H130,1),IF(OR(j_WEEKDAY(J_ADDDAY(VLOOKUP(I130,A:F,6,FALSE),H130+1,1),0)=6,SUMIFS(Holieday[ok],Holieday[date],J_ADDDAY(VLOOKUP(I130,A:F,6,FALSE),H130+1,1)))=FALSE(),J_ADDDAY(VLOOKUP(I130,A:F,6,FALSE),H130+1,1),IF(OR(j_WEEKDAY(J_ADDDAY(VLOOKUP(I130,A:F,6,FALSE),H130+2,1),0)=6,SUMIFS(Holieday[ok],Holieday[date],J_ADDDAY(VLOOKUP(I130,A:F,6,FALSE),H130+2,1)))=FALSE(),J_ADDDAY(VLOOKUP(I130,A:F,6,FALSE),H130+2,1),IF(OR(j_WEEKDAY(J_ADDDAY(VLOOKUP(I130,A:F,6,FALSE),H130+3,1),0)=6,SUMIFS(Holieday[ok],Holieday[date],J_ADDDAY(VLOOKUP(I130,A:F,6,FALSE),H130+3,1)))=FALSE(),J_ADDDAY(VLOOKUP(I130,A:F,6,FALSE),H130+3,1),IF(OR(j_WEEKDAY(J_ADDDAY(VLOOKUP(I130,A:F,6,FALSE),H130+4,1),0)=6,SUMIFS(Holieday[ok],Holieday[date],J_ADDDAY(VLOOKUP(I130,A:F,6,FALSE),H130+4,1)))=FALSE(),J_ADDDAY(VLOOKUP(I130,A:F,6,FALSE),H130+4,1),J_ADDDAY(VLOOKUP(I130,A:F,6,FALSE),H130+5,1))))))</f>
        <v>1398/08/08</v>
      </c>
      <c r="E130" s="2">
        <f t="shared" si="35"/>
        <v>13980808</v>
      </c>
      <c r="F130" s="13" t="str">
        <f>IF(N130=0,J_SUBDAY(D130,1,1)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0,J_SUBDAY(J_ADDDAY(D130,N130,1)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1,J_SUBDAY(J_ADDDAY(D130,N130+1,1),1,1),IF((N130-NETWORKDAYS.INTL(J_GregorianDate(D130,1),J_GregorianDate(J_SUBDAY(J_ADDDAY(D130,N130,1),1,1),1),16,1)-SUMIFS(Holieday[ok],Holieday[date],CONCATENATE("&gt;","=",D130),Holieday[date],CONCATENATE("&lt;","=",J_SUBDAY(J_ADDDAY(D130,N130,1),1,1)))+SUMIFS(Holieday[Friday],Holieday[date],CONCATENATE("&gt;","=",D130),Holieday[date],CONCATENATE("&lt;","=",J_SUBDAY(J_ADDDAY(D130,N130,1),1,1))))=2,J_SUBDAY(J_ADDDAY(D130,N130+2,1),1,1),J_SUBDAY(J_ADDDAY(D130,N130+3,1),1,1)))))</f>
        <v>1398/08/07</v>
      </c>
      <c r="G130" s="3">
        <f t="shared" si="36"/>
        <v>13980807</v>
      </c>
      <c r="H130" s="121"/>
      <c r="I130" s="122">
        <v>6.5</v>
      </c>
      <c r="J130" s="10" t="str">
        <f>j_WEEKDAY(D130,1)</f>
        <v>چهارشنبه</v>
      </c>
      <c r="K130" s="23">
        <f t="shared" si="39"/>
        <v>0</v>
      </c>
      <c r="L130" s="9">
        <f t="shared" si="40"/>
        <v>0</v>
      </c>
      <c r="M130" s="123">
        <v>0</v>
      </c>
      <c r="N130" s="120">
        <v>0</v>
      </c>
      <c r="O130" s="11">
        <f t="shared" si="41"/>
        <v>0</v>
      </c>
      <c r="P130" s="11">
        <f>VALUE(J_normdate(J_ADDDAY($D130,$O130,1)))</f>
        <v>13980808</v>
      </c>
      <c r="Q130" s="10">
        <f t="shared" si="42"/>
        <v>0</v>
      </c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  <c r="ES130" s="8"/>
      <c r="ET130" s="8"/>
      <c r="EU130" s="8"/>
      <c r="EV130" s="8"/>
      <c r="EW130" s="8"/>
      <c r="EX130" s="8"/>
      <c r="EY130" s="8"/>
      <c r="EZ130" s="8"/>
      <c r="FA130" s="8"/>
      <c r="FB130" s="8"/>
      <c r="FC130" s="8"/>
      <c r="FD130" s="8"/>
      <c r="FE130" s="8"/>
      <c r="FF130" s="8"/>
      <c r="FG130" s="8"/>
      <c r="FH130" s="8"/>
      <c r="FI130" s="8"/>
      <c r="FJ130" s="8"/>
      <c r="FK130" s="8"/>
      <c r="FL130" s="8"/>
      <c r="FM130" s="8"/>
      <c r="FN130" s="8"/>
      <c r="FO130" s="8"/>
      <c r="FP130" s="8"/>
      <c r="FQ130" s="8"/>
      <c r="FR130" s="8"/>
      <c r="FS130" s="8"/>
      <c r="FT130" s="8"/>
      <c r="FU130" s="8"/>
      <c r="FV130" s="8"/>
      <c r="FW130" s="8"/>
      <c r="FX130" s="8"/>
      <c r="FY130" s="8"/>
      <c r="FZ130" s="8"/>
      <c r="GA130" s="8"/>
      <c r="GB130" s="8"/>
      <c r="GC130" s="8"/>
      <c r="GD130" s="8"/>
      <c r="GE130" s="8"/>
      <c r="GF130" s="8"/>
      <c r="GG130" s="8"/>
      <c r="GH130" s="8"/>
      <c r="GI130" s="8"/>
      <c r="GJ130" s="8"/>
      <c r="GK130" s="8"/>
      <c r="GL130" s="8"/>
      <c r="GM130" s="8"/>
      <c r="GN130" s="8"/>
      <c r="GO130" s="8"/>
      <c r="GP130" s="8"/>
      <c r="GQ130" s="8"/>
      <c r="GR130" s="8"/>
      <c r="GS130" s="8"/>
      <c r="GT130" s="8"/>
      <c r="GU130" s="8"/>
      <c r="GV130" s="8"/>
      <c r="GW130" s="8"/>
      <c r="GX130" s="8"/>
      <c r="GY130" s="8"/>
      <c r="GZ130" s="8"/>
      <c r="HA130" s="8"/>
      <c r="HB130" s="8"/>
      <c r="HC130" s="8"/>
      <c r="HD130" s="8"/>
      <c r="HE130" s="8"/>
      <c r="HF130" s="8"/>
      <c r="HG130" s="8"/>
      <c r="HH130" s="8"/>
      <c r="HI130" s="8"/>
      <c r="HJ130" s="8"/>
      <c r="HK130" s="8"/>
      <c r="HL130" s="8"/>
      <c r="HM130" s="8"/>
      <c r="HN130" s="8"/>
      <c r="HO130" s="8"/>
      <c r="HP130" s="8"/>
      <c r="HQ130" s="8"/>
      <c r="HR130" s="8"/>
      <c r="HS130" s="8"/>
      <c r="HT130" s="8"/>
      <c r="HU130" s="8"/>
      <c r="HV130" s="8"/>
      <c r="HW130" s="8"/>
      <c r="HX130" s="8"/>
      <c r="HY130" s="8"/>
      <c r="HZ130" s="8"/>
      <c r="IA130" s="8"/>
      <c r="IB130" s="8"/>
      <c r="IC130" s="8"/>
      <c r="ID130" s="8"/>
      <c r="IE130" s="8"/>
      <c r="IF130" s="8"/>
      <c r="IG130" s="8"/>
      <c r="IH130" s="8"/>
      <c r="II130" s="8"/>
      <c r="IJ130" s="8"/>
      <c r="IK130" s="8"/>
      <c r="IL130" s="8"/>
      <c r="IM130" s="8"/>
      <c r="IN130" s="8"/>
      <c r="IO130" s="8"/>
      <c r="IP130" s="8"/>
      <c r="IQ130" s="8"/>
      <c r="IR130" s="8"/>
      <c r="IS130" s="8"/>
      <c r="IT130" s="8"/>
      <c r="IU130" s="8"/>
      <c r="IV130" s="8"/>
      <c r="IW130" s="8"/>
      <c r="IX130" s="8"/>
      <c r="JA130" s="125"/>
      <c r="JB130" s="125"/>
      <c r="JC130" s="125"/>
      <c r="JD130" s="72">
        <f>SUM((TEXT(JA130,"[M]")/60)*'Income Person-hours'!$D$3,(TEXT(JB130,"[M]")/60)*'Income Person-hours'!$D$4,(TEXT(JC130,"[M]")/60)*'Income Person-hours'!$D$5)</f>
        <v>0</v>
      </c>
    </row>
    <row r="131" spans="1:264 16383:16384" s="12" customFormat="1" ht="15.75" hidden="1" x14ac:dyDescent="0.45">
      <c r="A131" s="33">
        <v>6.13</v>
      </c>
      <c r="B131" s="128"/>
      <c r="C131" s="119"/>
      <c r="D131" s="13" t="str">
        <f>IF(OR(j_WEEKDAY(J_ADDDAY(VLOOKUP(I131,A:F,6,FALSE),H131,1),0)=6,SUMIFS(Holieday[ok],Holieday[date],J_ADDDAY(VLOOKUP(I131,A:F,6,FALSE),H131,1)))=FALSE(),J_ADDDAY(VLOOKUP(I131,A:F,6,FALSE),H131,1),IF(OR(j_WEEKDAY(J_ADDDAY(VLOOKUP(I131,A:F,6,FALSE),H131+1,1),0)=6,SUMIFS(Holieday[ok],Holieday[date],J_ADDDAY(VLOOKUP(I131,A:F,6,FALSE),H131+1,1)))=FALSE(),J_ADDDAY(VLOOKUP(I131,A:F,6,FALSE),H131+1,1),IF(OR(j_WEEKDAY(J_ADDDAY(VLOOKUP(I131,A:F,6,FALSE),H131+2,1),0)=6,SUMIFS(Holieday[ok],Holieday[date],J_ADDDAY(VLOOKUP(I131,A:F,6,FALSE),H131+2,1)))=FALSE(),J_ADDDAY(VLOOKUP(I131,A:F,6,FALSE),H131+2,1),IF(OR(j_WEEKDAY(J_ADDDAY(VLOOKUP(I131,A:F,6,FALSE),H131+3,1),0)=6,SUMIFS(Holieday[ok],Holieday[date],J_ADDDAY(VLOOKUP(I131,A:F,6,FALSE),H131+3,1)))=FALSE(),J_ADDDAY(VLOOKUP(I131,A:F,6,FALSE),H131+3,1),IF(OR(j_WEEKDAY(J_ADDDAY(VLOOKUP(I131,A:F,6,FALSE),H131+4,1),0)=6,SUMIFS(Holieday[ok],Holieday[date],J_ADDDAY(VLOOKUP(I131,A:F,6,FALSE),H131+4,1)))=FALSE(),J_ADDDAY(VLOOKUP(I131,A:F,6,FALSE),H131+4,1),J_ADDDAY(VLOOKUP(I131,A:F,6,FALSE),H131+5,1))))))</f>
        <v>1398/08/08</v>
      </c>
      <c r="E131" s="2">
        <f t="shared" si="35"/>
        <v>13980808</v>
      </c>
      <c r="F131" s="13" t="str">
        <f>IF(N131=0,J_SUBDAY(D131,1,1)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0,J_SUBDAY(J_ADDDAY(D131,N131,1)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1,J_SUBDAY(J_ADDDAY(D131,N131+1,1),1,1),IF((N131-NETWORKDAYS.INTL(J_GregorianDate(D131,1),J_GregorianDate(J_SUBDAY(J_ADDDAY(D131,N131,1),1,1),1),16,1)-SUMIFS(Holieday[ok],Holieday[date],CONCATENATE("&gt;","=",D131),Holieday[date],CONCATENATE("&lt;","=",J_SUBDAY(J_ADDDAY(D131,N131,1),1,1)))+SUMIFS(Holieday[Friday],Holieday[date],CONCATENATE("&gt;","=",D131),Holieday[date],CONCATENATE("&lt;","=",J_SUBDAY(J_ADDDAY(D131,N131,1),1,1))))=2,J_SUBDAY(J_ADDDAY(D131,N131+2,1),1,1),J_SUBDAY(J_ADDDAY(D131,N131+3,1),1,1)))))</f>
        <v>1398/08/07</v>
      </c>
      <c r="G131" s="3">
        <f t="shared" si="36"/>
        <v>13980807</v>
      </c>
      <c r="H131" s="121"/>
      <c r="I131" s="122">
        <v>6.5</v>
      </c>
      <c r="J131" s="10" t="str">
        <f>j_WEEKDAY(D131,1)</f>
        <v>چهارشنبه</v>
      </c>
      <c r="K131" s="23">
        <f t="shared" si="39"/>
        <v>0</v>
      </c>
      <c r="L131" s="9">
        <f t="shared" si="40"/>
        <v>0</v>
      </c>
      <c r="M131" s="123">
        <v>0</v>
      </c>
      <c r="N131" s="120">
        <v>0</v>
      </c>
      <c r="O131" s="11">
        <f t="shared" si="41"/>
        <v>0</v>
      </c>
      <c r="P131" s="11">
        <f>VALUE(J_normdate(J_ADDDAY($D131,$O131,1)))</f>
        <v>13980808</v>
      </c>
      <c r="Q131" s="10">
        <f t="shared" si="42"/>
        <v>0</v>
      </c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  <c r="ES131" s="8"/>
      <c r="ET131" s="8"/>
      <c r="EU131" s="8"/>
      <c r="EV131" s="8"/>
      <c r="EW131" s="8"/>
      <c r="EX131" s="8"/>
      <c r="EY131" s="8"/>
      <c r="EZ131" s="8"/>
      <c r="FA131" s="8"/>
      <c r="FB131" s="8"/>
      <c r="FC131" s="8"/>
      <c r="FD131" s="8"/>
      <c r="FE131" s="8"/>
      <c r="FF131" s="8"/>
      <c r="FG131" s="8"/>
      <c r="FH131" s="8"/>
      <c r="FI131" s="8"/>
      <c r="FJ131" s="8"/>
      <c r="FK131" s="8"/>
      <c r="FL131" s="8"/>
      <c r="FM131" s="8"/>
      <c r="FN131" s="8"/>
      <c r="FO131" s="8"/>
      <c r="FP131" s="8"/>
      <c r="FQ131" s="8"/>
      <c r="FR131" s="8"/>
      <c r="FS131" s="8"/>
      <c r="FT131" s="8"/>
      <c r="FU131" s="8"/>
      <c r="FV131" s="8"/>
      <c r="FW131" s="8"/>
      <c r="FX131" s="8"/>
      <c r="FY131" s="8"/>
      <c r="FZ131" s="8"/>
      <c r="GA131" s="8"/>
      <c r="GB131" s="8"/>
      <c r="GC131" s="8"/>
      <c r="GD131" s="8"/>
      <c r="GE131" s="8"/>
      <c r="GF131" s="8"/>
      <c r="GG131" s="8"/>
      <c r="GH131" s="8"/>
      <c r="GI131" s="8"/>
      <c r="GJ131" s="8"/>
      <c r="GK131" s="8"/>
      <c r="GL131" s="8"/>
      <c r="GM131" s="8"/>
      <c r="GN131" s="8"/>
      <c r="GO131" s="8"/>
      <c r="GP131" s="8"/>
      <c r="GQ131" s="8"/>
      <c r="GR131" s="8"/>
      <c r="GS131" s="8"/>
      <c r="GT131" s="8"/>
      <c r="GU131" s="8"/>
      <c r="GV131" s="8"/>
      <c r="GW131" s="8"/>
      <c r="GX131" s="8"/>
      <c r="GY131" s="8"/>
      <c r="GZ131" s="8"/>
      <c r="HA131" s="8"/>
      <c r="HB131" s="8"/>
      <c r="HC131" s="8"/>
      <c r="HD131" s="8"/>
      <c r="HE131" s="8"/>
      <c r="HF131" s="8"/>
      <c r="HG131" s="8"/>
      <c r="HH131" s="8"/>
      <c r="HI131" s="8"/>
      <c r="HJ131" s="8"/>
      <c r="HK131" s="8"/>
      <c r="HL131" s="8"/>
      <c r="HM131" s="8"/>
      <c r="HN131" s="8"/>
      <c r="HO131" s="8"/>
      <c r="HP131" s="8"/>
      <c r="HQ131" s="8"/>
      <c r="HR131" s="8"/>
      <c r="HS131" s="8"/>
      <c r="HT131" s="8"/>
      <c r="HU131" s="8"/>
      <c r="HV131" s="8"/>
      <c r="HW131" s="8"/>
      <c r="HX131" s="8"/>
      <c r="HY131" s="8"/>
      <c r="HZ131" s="8"/>
      <c r="IA131" s="8"/>
      <c r="IB131" s="8"/>
      <c r="IC131" s="8"/>
      <c r="ID131" s="8"/>
      <c r="IE131" s="8"/>
      <c r="IF131" s="8"/>
      <c r="IG131" s="8"/>
      <c r="IH131" s="8"/>
      <c r="II131" s="8"/>
      <c r="IJ131" s="8"/>
      <c r="IK131" s="8"/>
      <c r="IL131" s="8"/>
      <c r="IM131" s="8"/>
      <c r="IN131" s="8"/>
      <c r="IO131" s="8"/>
      <c r="IP131" s="8"/>
      <c r="IQ131" s="8"/>
      <c r="IR131" s="8"/>
      <c r="IS131" s="8"/>
      <c r="IT131" s="8"/>
      <c r="IU131" s="8"/>
      <c r="IV131" s="8"/>
      <c r="IW131" s="8"/>
      <c r="IX131" s="8"/>
      <c r="JA131" s="125"/>
      <c r="JB131" s="125"/>
      <c r="JC131" s="125"/>
      <c r="JD131" s="72">
        <f>SUM((TEXT(JA131,"[M]")/60)*'Income Person-hours'!$D$3,(TEXT(JB131,"[M]")/60)*'Income Person-hours'!$D$4,(TEXT(JC131,"[M]")/60)*'Income Person-hours'!$D$5)</f>
        <v>0</v>
      </c>
    </row>
    <row r="132" spans="1:264 16383:16384" s="12" customFormat="1" ht="15.75" hidden="1" x14ac:dyDescent="0.45">
      <c r="A132" s="33">
        <v>6.14</v>
      </c>
      <c r="B132" s="128"/>
      <c r="C132" s="119"/>
      <c r="D132" s="13" t="str">
        <f>IF(OR(j_WEEKDAY(J_ADDDAY(VLOOKUP(I132,A:F,6,FALSE),H132,1),0)=6,SUMIFS(Holieday[ok],Holieday[date],J_ADDDAY(VLOOKUP(I132,A:F,6,FALSE),H132,1)))=FALSE(),J_ADDDAY(VLOOKUP(I132,A:F,6,FALSE),H132,1),IF(OR(j_WEEKDAY(J_ADDDAY(VLOOKUP(I132,A:F,6,FALSE),H132+1,1),0)=6,SUMIFS(Holieday[ok],Holieday[date],J_ADDDAY(VLOOKUP(I132,A:F,6,FALSE),H132+1,1)))=FALSE(),J_ADDDAY(VLOOKUP(I132,A:F,6,FALSE),H132+1,1),IF(OR(j_WEEKDAY(J_ADDDAY(VLOOKUP(I132,A:F,6,FALSE),H132+2,1),0)=6,SUMIFS(Holieday[ok],Holieday[date],J_ADDDAY(VLOOKUP(I132,A:F,6,FALSE),H132+2,1)))=FALSE(),J_ADDDAY(VLOOKUP(I132,A:F,6,FALSE),H132+2,1),IF(OR(j_WEEKDAY(J_ADDDAY(VLOOKUP(I132,A:F,6,FALSE),H132+3,1),0)=6,SUMIFS(Holieday[ok],Holieday[date],J_ADDDAY(VLOOKUP(I132,A:F,6,FALSE),H132+3,1)))=FALSE(),J_ADDDAY(VLOOKUP(I132,A:F,6,FALSE),H132+3,1),IF(OR(j_WEEKDAY(J_ADDDAY(VLOOKUP(I132,A:F,6,FALSE),H132+4,1),0)=6,SUMIFS(Holieday[ok],Holieday[date],J_ADDDAY(VLOOKUP(I132,A:F,6,FALSE),H132+4,1)))=FALSE(),J_ADDDAY(VLOOKUP(I132,A:F,6,FALSE),H132+4,1),J_ADDDAY(VLOOKUP(I132,A:F,6,FALSE),H132+5,1))))))</f>
        <v>1398/08/08</v>
      </c>
      <c r="E132" s="2">
        <f t="shared" si="35"/>
        <v>13980808</v>
      </c>
      <c r="F132" s="13" t="str">
        <f>IF(N132=0,J_SUBDAY(D132,1,1)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0,J_SUBDAY(J_ADDDAY(D132,N132,1)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1,J_SUBDAY(J_ADDDAY(D132,N132+1,1),1,1),IF((N132-NETWORKDAYS.INTL(J_GregorianDate(D132,1),J_GregorianDate(J_SUBDAY(J_ADDDAY(D132,N132,1),1,1),1),16,1)-SUMIFS(Holieday[ok],Holieday[date],CONCATENATE("&gt;","=",D132),Holieday[date],CONCATENATE("&lt;","=",J_SUBDAY(J_ADDDAY(D132,N132,1),1,1)))+SUMIFS(Holieday[Friday],Holieday[date],CONCATENATE("&gt;","=",D132),Holieday[date],CONCATENATE("&lt;","=",J_SUBDAY(J_ADDDAY(D132,N132,1),1,1))))=2,J_SUBDAY(J_ADDDAY(D132,N132+2,1),1,1),J_SUBDAY(J_ADDDAY(D132,N132+3,1),1,1)))))</f>
        <v>1398/08/07</v>
      </c>
      <c r="G132" s="3">
        <f t="shared" si="36"/>
        <v>13980807</v>
      </c>
      <c r="H132" s="121"/>
      <c r="I132" s="122">
        <v>6.5</v>
      </c>
      <c r="J132" s="10" t="str">
        <f>j_WEEKDAY(D132,1)</f>
        <v>چهارشنبه</v>
      </c>
      <c r="K132" s="23">
        <f t="shared" si="39"/>
        <v>0</v>
      </c>
      <c r="L132" s="9">
        <f t="shared" si="40"/>
        <v>0</v>
      </c>
      <c r="M132" s="123">
        <v>0</v>
      </c>
      <c r="N132" s="120">
        <v>0</v>
      </c>
      <c r="O132" s="11">
        <f t="shared" si="41"/>
        <v>0</v>
      </c>
      <c r="P132" s="11">
        <f>VALUE(J_normdate(J_ADDDAY($D132,$O132,1)))</f>
        <v>13980808</v>
      </c>
      <c r="Q132" s="10">
        <f t="shared" si="42"/>
        <v>0</v>
      </c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  <c r="ES132" s="8"/>
      <c r="ET132" s="8"/>
      <c r="EU132" s="8"/>
      <c r="EV132" s="8"/>
      <c r="EW132" s="8"/>
      <c r="EX132" s="8"/>
      <c r="EY132" s="8"/>
      <c r="EZ132" s="8"/>
      <c r="FA132" s="8"/>
      <c r="FB132" s="8"/>
      <c r="FC132" s="8"/>
      <c r="FD132" s="8"/>
      <c r="FE132" s="8"/>
      <c r="FF132" s="8"/>
      <c r="FG132" s="8"/>
      <c r="FH132" s="8"/>
      <c r="FI132" s="8"/>
      <c r="FJ132" s="8"/>
      <c r="FK132" s="8"/>
      <c r="FL132" s="8"/>
      <c r="FM132" s="8"/>
      <c r="FN132" s="8"/>
      <c r="FO132" s="8"/>
      <c r="FP132" s="8"/>
      <c r="FQ132" s="8"/>
      <c r="FR132" s="8"/>
      <c r="FS132" s="8"/>
      <c r="FT132" s="8"/>
      <c r="FU132" s="8"/>
      <c r="FV132" s="8"/>
      <c r="FW132" s="8"/>
      <c r="FX132" s="8"/>
      <c r="FY132" s="8"/>
      <c r="FZ132" s="8"/>
      <c r="GA132" s="8"/>
      <c r="GB132" s="8"/>
      <c r="GC132" s="8"/>
      <c r="GD132" s="8"/>
      <c r="GE132" s="8"/>
      <c r="GF132" s="8"/>
      <c r="GG132" s="8"/>
      <c r="GH132" s="8"/>
      <c r="GI132" s="8"/>
      <c r="GJ132" s="8"/>
      <c r="GK132" s="8"/>
      <c r="GL132" s="8"/>
      <c r="GM132" s="8"/>
      <c r="GN132" s="8"/>
      <c r="GO132" s="8"/>
      <c r="GP132" s="8"/>
      <c r="GQ132" s="8"/>
      <c r="GR132" s="8"/>
      <c r="GS132" s="8"/>
      <c r="GT132" s="8"/>
      <c r="GU132" s="8"/>
      <c r="GV132" s="8"/>
      <c r="GW132" s="8"/>
      <c r="GX132" s="8"/>
      <c r="GY132" s="8"/>
      <c r="GZ132" s="8"/>
      <c r="HA132" s="8"/>
      <c r="HB132" s="8"/>
      <c r="HC132" s="8"/>
      <c r="HD132" s="8"/>
      <c r="HE132" s="8"/>
      <c r="HF132" s="8"/>
      <c r="HG132" s="8"/>
      <c r="HH132" s="8"/>
      <c r="HI132" s="8"/>
      <c r="HJ132" s="8"/>
      <c r="HK132" s="8"/>
      <c r="HL132" s="8"/>
      <c r="HM132" s="8"/>
      <c r="HN132" s="8"/>
      <c r="HO132" s="8"/>
      <c r="HP132" s="8"/>
      <c r="HQ132" s="8"/>
      <c r="HR132" s="8"/>
      <c r="HS132" s="8"/>
      <c r="HT132" s="8"/>
      <c r="HU132" s="8"/>
      <c r="HV132" s="8"/>
      <c r="HW132" s="8"/>
      <c r="HX132" s="8"/>
      <c r="HY132" s="8"/>
      <c r="HZ132" s="8"/>
      <c r="IA132" s="8"/>
      <c r="IB132" s="8"/>
      <c r="IC132" s="8"/>
      <c r="ID132" s="8"/>
      <c r="IE132" s="8"/>
      <c r="IF132" s="8"/>
      <c r="IG132" s="8"/>
      <c r="IH132" s="8"/>
      <c r="II132" s="8"/>
      <c r="IJ132" s="8"/>
      <c r="IK132" s="8"/>
      <c r="IL132" s="8"/>
      <c r="IM132" s="8"/>
      <c r="IN132" s="8"/>
      <c r="IO132" s="8"/>
      <c r="IP132" s="8"/>
      <c r="IQ132" s="8"/>
      <c r="IR132" s="8"/>
      <c r="IS132" s="8"/>
      <c r="IT132" s="8"/>
      <c r="IU132" s="8"/>
      <c r="IV132" s="8"/>
      <c r="IW132" s="8"/>
      <c r="IX132" s="8"/>
      <c r="JA132" s="125"/>
      <c r="JB132" s="125"/>
      <c r="JC132" s="125"/>
      <c r="JD132" s="72">
        <f>SUM((TEXT(JA132,"[M]")/60)*'Income Person-hours'!$D$3,(TEXT(JB132,"[M]")/60)*'Income Person-hours'!$D$4,(TEXT(JC132,"[M]")/60)*'Income Person-hours'!$D$5)</f>
        <v>0</v>
      </c>
    </row>
    <row r="133" spans="1:264 16383:16384" s="12" customFormat="1" ht="15.75" hidden="1" x14ac:dyDescent="0.45">
      <c r="A133" s="33">
        <v>6.15</v>
      </c>
      <c r="B133" s="128"/>
      <c r="C133" s="119"/>
      <c r="D133" s="13" t="str">
        <f>IF(OR(j_WEEKDAY(J_ADDDAY(VLOOKUP(I133,A:F,6,FALSE),H133,1),0)=6,SUMIFS(Holieday[ok],Holieday[date],J_ADDDAY(VLOOKUP(I133,A:F,6,FALSE),H133,1)))=FALSE(),J_ADDDAY(VLOOKUP(I133,A:F,6,FALSE),H133,1),IF(OR(j_WEEKDAY(J_ADDDAY(VLOOKUP(I133,A:F,6,FALSE),H133+1,1),0)=6,SUMIFS(Holieday[ok],Holieday[date],J_ADDDAY(VLOOKUP(I133,A:F,6,FALSE),H133+1,1)))=FALSE(),J_ADDDAY(VLOOKUP(I133,A:F,6,FALSE),H133+1,1),IF(OR(j_WEEKDAY(J_ADDDAY(VLOOKUP(I133,A:F,6,FALSE),H133+2,1),0)=6,SUMIFS(Holieday[ok],Holieday[date],J_ADDDAY(VLOOKUP(I133,A:F,6,FALSE),H133+2,1)))=FALSE(),J_ADDDAY(VLOOKUP(I133,A:F,6,FALSE),H133+2,1),IF(OR(j_WEEKDAY(J_ADDDAY(VLOOKUP(I133,A:F,6,FALSE),H133+3,1),0)=6,SUMIFS(Holieday[ok],Holieday[date],J_ADDDAY(VLOOKUP(I133,A:F,6,FALSE),H133+3,1)))=FALSE(),J_ADDDAY(VLOOKUP(I133,A:F,6,FALSE),H133+3,1),IF(OR(j_WEEKDAY(J_ADDDAY(VLOOKUP(I133,A:F,6,FALSE),H133+4,1),0)=6,SUMIFS(Holieday[ok],Holieday[date],J_ADDDAY(VLOOKUP(I133,A:F,6,FALSE),H133+4,1)))=FALSE(),J_ADDDAY(VLOOKUP(I133,A:F,6,FALSE),H133+4,1),J_ADDDAY(VLOOKUP(I133,A:F,6,FALSE),H133+5,1))))))</f>
        <v>1398/08/08</v>
      </c>
      <c r="E133" s="2">
        <f t="shared" si="35"/>
        <v>13980808</v>
      </c>
      <c r="F133" s="13" t="str">
        <f>IF(N133=0,J_SUBDAY(D133,1,1)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0,J_SUBDAY(J_ADDDAY(D133,N133,1)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1,J_SUBDAY(J_ADDDAY(D133,N133+1,1),1,1),IF((N133-NETWORKDAYS.INTL(J_GregorianDate(D133,1),J_GregorianDate(J_SUBDAY(J_ADDDAY(D133,N133,1),1,1),1),16,1)-SUMIFS(Holieday[ok],Holieday[date],CONCATENATE("&gt;","=",D133),Holieday[date],CONCATENATE("&lt;","=",J_SUBDAY(J_ADDDAY(D133,N133,1),1,1)))+SUMIFS(Holieday[Friday],Holieday[date],CONCATENATE("&gt;","=",D133),Holieday[date],CONCATENATE("&lt;","=",J_SUBDAY(J_ADDDAY(D133,N133,1),1,1))))=2,J_SUBDAY(J_ADDDAY(D133,N133+2,1),1,1),J_SUBDAY(J_ADDDAY(D133,N133+3,1),1,1)))))</f>
        <v>1398/08/07</v>
      </c>
      <c r="G133" s="3">
        <f t="shared" si="36"/>
        <v>13980807</v>
      </c>
      <c r="H133" s="121"/>
      <c r="I133" s="122">
        <v>6.5</v>
      </c>
      <c r="J133" s="10" t="str">
        <f>j_WEEKDAY(D133,1)</f>
        <v>چهارشنبه</v>
      </c>
      <c r="K133" s="23">
        <f t="shared" si="39"/>
        <v>0</v>
      </c>
      <c r="L133" s="9">
        <f t="shared" si="40"/>
        <v>0</v>
      </c>
      <c r="M133" s="123">
        <v>0</v>
      </c>
      <c r="N133" s="120">
        <v>0</v>
      </c>
      <c r="O133" s="11">
        <f t="shared" si="41"/>
        <v>0</v>
      </c>
      <c r="P133" s="11">
        <f>VALUE(J_normdate(J_ADDDAY($D133,$O133,1)))</f>
        <v>13980808</v>
      </c>
      <c r="Q133" s="10">
        <f t="shared" si="42"/>
        <v>0</v>
      </c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  <c r="ES133" s="8"/>
      <c r="ET133" s="8"/>
      <c r="EU133" s="8"/>
      <c r="EV133" s="8"/>
      <c r="EW133" s="8"/>
      <c r="EX133" s="8"/>
      <c r="EY133" s="8"/>
      <c r="EZ133" s="8"/>
      <c r="FA133" s="8"/>
      <c r="FB133" s="8"/>
      <c r="FC133" s="8"/>
      <c r="FD133" s="8"/>
      <c r="FE133" s="8"/>
      <c r="FF133" s="8"/>
      <c r="FG133" s="8"/>
      <c r="FH133" s="8"/>
      <c r="FI133" s="8"/>
      <c r="FJ133" s="8"/>
      <c r="FK133" s="8"/>
      <c r="FL133" s="8"/>
      <c r="FM133" s="8"/>
      <c r="FN133" s="8"/>
      <c r="FO133" s="8"/>
      <c r="FP133" s="8"/>
      <c r="FQ133" s="8"/>
      <c r="FR133" s="8"/>
      <c r="FS133" s="8"/>
      <c r="FT133" s="8"/>
      <c r="FU133" s="8"/>
      <c r="FV133" s="8"/>
      <c r="FW133" s="8"/>
      <c r="FX133" s="8"/>
      <c r="FY133" s="8"/>
      <c r="FZ133" s="8"/>
      <c r="GA133" s="8"/>
      <c r="GB133" s="8"/>
      <c r="GC133" s="8"/>
      <c r="GD133" s="8"/>
      <c r="GE133" s="8"/>
      <c r="GF133" s="8"/>
      <c r="GG133" s="8"/>
      <c r="GH133" s="8"/>
      <c r="GI133" s="8"/>
      <c r="GJ133" s="8"/>
      <c r="GK133" s="8"/>
      <c r="GL133" s="8"/>
      <c r="GM133" s="8"/>
      <c r="GN133" s="8"/>
      <c r="GO133" s="8"/>
      <c r="GP133" s="8"/>
      <c r="GQ133" s="8"/>
      <c r="GR133" s="8"/>
      <c r="GS133" s="8"/>
      <c r="GT133" s="8"/>
      <c r="GU133" s="8"/>
      <c r="GV133" s="8"/>
      <c r="GW133" s="8"/>
      <c r="GX133" s="8"/>
      <c r="GY133" s="8"/>
      <c r="GZ133" s="8"/>
      <c r="HA133" s="8"/>
      <c r="HB133" s="8"/>
      <c r="HC133" s="8"/>
      <c r="HD133" s="8"/>
      <c r="HE133" s="8"/>
      <c r="HF133" s="8"/>
      <c r="HG133" s="8"/>
      <c r="HH133" s="8"/>
      <c r="HI133" s="8"/>
      <c r="HJ133" s="8"/>
      <c r="HK133" s="8"/>
      <c r="HL133" s="8"/>
      <c r="HM133" s="8"/>
      <c r="HN133" s="8"/>
      <c r="HO133" s="8"/>
      <c r="HP133" s="8"/>
      <c r="HQ133" s="8"/>
      <c r="HR133" s="8"/>
      <c r="HS133" s="8"/>
      <c r="HT133" s="8"/>
      <c r="HU133" s="8"/>
      <c r="HV133" s="8"/>
      <c r="HW133" s="8"/>
      <c r="HX133" s="8"/>
      <c r="HY133" s="8"/>
      <c r="HZ133" s="8"/>
      <c r="IA133" s="8"/>
      <c r="IB133" s="8"/>
      <c r="IC133" s="8"/>
      <c r="ID133" s="8"/>
      <c r="IE133" s="8"/>
      <c r="IF133" s="8"/>
      <c r="IG133" s="8"/>
      <c r="IH133" s="8"/>
      <c r="II133" s="8"/>
      <c r="IJ133" s="8"/>
      <c r="IK133" s="8"/>
      <c r="IL133" s="8"/>
      <c r="IM133" s="8"/>
      <c r="IN133" s="8"/>
      <c r="IO133" s="8"/>
      <c r="IP133" s="8"/>
      <c r="IQ133" s="8"/>
      <c r="IR133" s="8"/>
      <c r="IS133" s="8"/>
      <c r="IT133" s="8"/>
      <c r="IU133" s="8"/>
      <c r="IV133" s="8"/>
      <c r="IW133" s="8"/>
      <c r="IX133" s="8"/>
      <c r="JA133" s="125"/>
      <c r="JB133" s="125"/>
      <c r="JC133" s="125"/>
      <c r="JD133" s="72">
        <f>SUM((TEXT(JA133,"[M]")/60)*'Income Person-hours'!$D$3,(TEXT(JB133,"[M]")/60)*'Income Person-hours'!$D$4,(TEXT(JC133,"[M]")/60)*'Income Person-hours'!$D$5)</f>
        <v>0</v>
      </c>
    </row>
    <row r="134" spans="1:264 16383:16384" s="12" customFormat="1" ht="15.75" hidden="1" x14ac:dyDescent="0.45">
      <c r="A134" s="33">
        <v>6.16</v>
      </c>
      <c r="B134" s="128"/>
      <c r="C134" s="119"/>
      <c r="D134" s="13" t="str">
        <f>IF(OR(j_WEEKDAY(J_ADDDAY(VLOOKUP(I134,A:F,6,FALSE),H134,1),0)=6,SUMIFS(Holieday[ok],Holieday[date],J_ADDDAY(VLOOKUP(I134,A:F,6,FALSE),H134,1)))=FALSE(),J_ADDDAY(VLOOKUP(I134,A:F,6,FALSE),H134,1),IF(OR(j_WEEKDAY(J_ADDDAY(VLOOKUP(I134,A:F,6,FALSE),H134+1,1),0)=6,SUMIFS(Holieday[ok],Holieday[date],J_ADDDAY(VLOOKUP(I134,A:F,6,FALSE),H134+1,1)))=FALSE(),J_ADDDAY(VLOOKUP(I134,A:F,6,FALSE),H134+1,1),IF(OR(j_WEEKDAY(J_ADDDAY(VLOOKUP(I134,A:F,6,FALSE),H134+2,1),0)=6,SUMIFS(Holieday[ok],Holieday[date],J_ADDDAY(VLOOKUP(I134,A:F,6,FALSE),H134+2,1)))=FALSE(),J_ADDDAY(VLOOKUP(I134,A:F,6,FALSE),H134+2,1),IF(OR(j_WEEKDAY(J_ADDDAY(VLOOKUP(I134,A:F,6,FALSE),H134+3,1),0)=6,SUMIFS(Holieday[ok],Holieday[date],J_ADDDAY(VLOOKUP(I134,A:F,6,FALSE),H134+3,1)))=FALSE(),J_ADDDAY(VLOOKUP(I134,A:F,6,FALSE),H134+3,1),IF(OR(j_WEEKDAY(J_ADDDAY(VLOOKUP(I134,A:F,6,FALSE),H134+4,1),0)=6,SUMIFS(Holieday[ok],Holieday[date],J_ADDDAY(VLOOKUP(I134,A:F,6,FALSE),H134+4,1)))=FALSE(),J_ADDDAY(VLOOKUP(I134,A:F,6,FALSE),H134+4,1),J_ADDDAY(VLOOKUP(I134,A:F,6,FALSE),H134+5,1))))))</f>
        <v>1398/08/08</v>
      </c>
      <c r="E134" s="2">
        <f t="shared" si="35"/>
        <v>13980808</v>
      </c>
      <c r="F134" s="13" t="str">
        <f>IF(N134=0,J_SUBDAY(D134,1,1)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0,J_SUBDAY(J_ADDDAY(D134,N134,1)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1,J_SUBDAY(J_ADDDAY(D134,N134+1,1),1,1),IF((N134-NETWORKDAYS.INTL(J_GregorianDate(D134,1),J_GregorianDate(J_SUBDAY(J_ADDDAY(D134,N134,1),1,1),1),16,1)-SUMIFS(Holieday[ok],Holieday[date],CONCATENATE("&gt;","=",D134),Holieday[date],CONCATENATE("&lt;","=",J_SUBDAY(J_ADDDAY(D134,N134,1),1,1)))+SUMIFS(Holieday[Friday],Holieday[date],CONCATENATE("&gt;","=",D134),Holieday[date],CONCATENATE("&lt;","=",J_SUBDAY(J_ADDDAY(D134,N134,1),1,1))))=2,J_SUBDAY(J_ADDDAY(D134,N134+2,1),1,1),J_SUBDAY(J_ADDDAY(D134,N134+3,1),1,1)))))</f>
        <v>1398/08/07</v>
      </c>
      <c r="G134" s="3">
        <f t="shared" si="36"/>
        <v>13980807</v>
      </c>
      <c r="H134" s="121"/>
      <c r="I134" s="122">
        <v>6.5</v>
      </c>
      <c r="J134" s="10" t="str">
        <f>j_WEEKDAY(D134,1)</f>
        <v>چهارشنبه</v>
      </c>
      <c r="K134" s="23">
        <f t="shared" si="39"/>
        <v>0</v>
      </c>
      <c r="L134" s="9">
        <f t="shared" si="40"/>
        <v>0</v>
      </c>
      <c r="M134" s="123">
        <v>0</v>
      </c>
      <c r="N134" s="120">
        <v>0</v>
      </c>
      <c r="O134" s="11">
        <f t="shared" si="41"/>
        <v>0</v>
      </c>
      <c r="P134" s="11">
        <f>VALUE(J_normdate(J_ADDDAY($D134,$O134,1)))</f>
        <v>13980808</v>
      </c>
      <c r="Q134" s="10">
        <f t="shared" si="42"/>
        <v>0</v>
      </c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  <c r="ES134" s="8"/>
      <c r="ET134" s="8"/>
      <c r="EU134" s="8"/>
      <c r="EV134" s="8"/>
      <c r="EW134" s="8"/>
      <c r="EX134" s="8"/>
      <c r="EY134" s="8"/>
      <c r="EZ134" s="8"/>
      <c r="FA134" s="8"/>
      <c r="FB134" s="8"/>
      <c r="FC134" s="8"/>
      <c r="FD134" s="8"/>
      <c r="FE134" s="8"/>
      <c r="FF134" s="8"/>
      <c r="FG134" s="8"/>
      <c r="FH134" s="8"/>
      <c r="FI134" s="8"/>
      <c r="FJ134" s="8"/>
      <c r="FK134" s="8"/>
      <c r="FL134" s="8"/>
      <c r="FM134" s="8"/>
      <c r="FN134" s="8"/>
      <c r="FO134" s="8"/>
      <c r="FP134" s="8"/>
      <c r="FQ134" s="8"/>
      <c r="FR134" s="8"/>
      <c r="FS134" s="8"/>
      <c r="FT134" s="8"/>
      <c r="FU134" s="8"/>
      <c r="FV134" s="8"/>
      <c r="FW134" s="8"/>
      <c r="FX134" s="8"/>
      <c r="FY134" s="8"/>
      <c r="FZ134" s="8"/>
      <c r="GA134" s="8"/>
      <c r="GB134" s="8"/>
      <c r="GC134" s="8"/>
      <c r="GD134" s="8"/>
      <c r="GE134" s="8"/>
      <c r="GF134" s="8"/>
      <c r="GG134" s="8"/>
      <c r="GH134" s="8"/>
      <c r="GI134" s="8"/>
      <c r="GJ134" s="8"/>
      <c r="GK134" s="8"/>
      <c r="GL134" s="8"/>
      <c r="GM134" s="8"/>
      <c r="GN134" s="8"/>
      <c r="GO134" s="8"/>
      <c r="GP134" s="8"/>
      <c r="GQ134" s="8"/>
      <c r="GR134" s="8"/>
      <c r="GS134" s="8"/>
      <c r="GT134" s="8"/>
      <c r="GU134" s="8"/>
      <c r="GV134" s="8"/>
      <c r="GW134" s="8"/>
      <c r="GX134" s="8"/>
      <c r="GY134" s="8"/>
      <c r="GZ134" s="8"/>
      <c r="HA134" s="8"/>
      <c r="HB134" s="8"/>
      <c r="HC134" s="8"/>
      <c r="HD134" s="8"/>
      <c r="HE134" s="8"/>
      <c r="HF134" s="8"/>
      <c r="HG134" s="8"/>
      <c r="HH134" s="8"/>
      <c r="HI134" s="8"/>
      <c r="HJ134" s="8"/>
      <c r="HK134" s="8"/>
      <c r="HL134" s="8"/>
      <c r="HM134" s="8"/>
      <c r="HN134" s="8"/>
      <c r="HO134" s="8"/>
      <c r="HP134" s="8"/>
      <c r="HQ134" s="8"/>
      <c r="HR134" s="8"/>
      <c r="HS134" s="8"/>
      <c r="HT134" s="8"/>
      <c r="HU134" s="8"/>
      <c r="HV134" s="8"/>
      <c r="HW134" s="8"/>
      <c r="HX134" s="8"/>
      <c r="HY134" s="8"/>
      <c r="HZ134" s="8"/>
      <c r="IA134" s="8"/>
      <c r="IB134" s="8"/>
      <c r="IC134" s="8"/>
      <c r="ID134" s="8"/>
      <c r="IE134" s="8"/>
      <c r="IF134" s="8"/>
      <c r="IG134" s="8"/>
      <c r="IH134" s="8"/>
      <c r="II134" s="8"/>
      <c r="IJ134" s="8"/>
      <c r="IK134" s="8"/>
      <c r="IL134" s="8"/>
      <c r="IM134" s="8"/>
      <c r="IN134" s="8"/>
      <c r="IO134" s="8"/>
      <c r="IP134" s="8"/>
      <c r="IQ134" s="8"/>
      <c r="IR134" s="8"/>
      <c r="IS134" s="8"/>
      <c r="IT134" s="8"/>
      <c r="IU134" s="8"/>
      <c r="IV134" s="8"/>
      <c r="IW134" s="8"/>
      <c r="IX134" s="8"/>
      <c r="JA134" s="125"/>
      <c r="JB134" s="125"/>
      <c r="JC134" s="125"/>
      <c r="JD134" s="72">
        <f>SUM((TEXT(JA134,"[M]")/60)*'Income Person-hours'!$D$3,(TEXT(JB134,"[M]")/60)*'Income Person-hours'!$D$4,(TEXT(JC134,"[M]")/60)*'Income Person-hours'!$D$5)</f>
        <v>0</v>
      </c>
    </row>
    <row r="135" spans="1:264 16383:16384" s="12" customFormat="1" ht="15.75" hidden="1" x14ac:dyDescent="0.45">
      <c r="A135" s="33">
        <v>6.17</v>
      </c>
      <c r="B135" s="128"/>
      <c r="C135" s="119"/>
      <c r="D135" s="13" t="str">
        <f>IF(OR(j_WEEKDAY(J_ADDDAY(VLOOKUP(I135,A:F,6,FALSE),H135,1),0)=6,SUMIFS(Holieday[ok],Holieday[date],J_ADDDAY(VLOOKUP(I135,A:F,6,FALSE),H135,1)))=FALSE(),J_ADDDAY(VLOOKUP(I135,A:F,6,FALSE),H135,1),IF(OR(j_WEEKDAY(J_ADDDAY(VLOOKUP(I135,A:F,6,FALSE),H135+1,1),0)=6,SUMIFS(Holieday[ok],Holieday[date],J_ADDDAY(VLOOKUP(I135,A:F,6,FALSE),H135+1,1)))=FALSE(),J_ADDDAY(VLOOKUP(I135,A:F,6,FALSE),H135+1,1),IF(OR(j_WEEKDAY(J_ADDDAY(VLOOKUP(I135,A:F,6,FALSE),H135+2,1),0)=6,SUMIFS(Holieday[ok],Holieday[date],J_ADDDAY(VLOOKUP(I135,A:F,6,FALSE),H135+2,1)))=FALSE(),J_ADDDAY(VLOOKUP(I135,A:F,6,FALSE),H135+2,1),IF(OR(j_WEEKDAY(J_ADDDAY(VLOOKUP(I135,A:F,6,FALSE),H135+3,1),0)=6,SUMIFS(Holieday[ok],Holieday[date],J_ADDDAY(VLOOKUP(I135,A:F,6,FALSE),H135+3,1)))=FALSE(),J_ADDDAY(VLOOKUP(I135,A:F,6,FALSE),H135+3,1),IF(OR(j_WEEKDAY(J_ADDDAY(VLOOKUP(I135,A:F,6,FALSE),H135+4,1),0)=6,SUMIFS(Holieday[ok],Holieday[date],J_ADDDAY(VLOOKUP(I135,A:F,6,FALSE),H135+4,1)))=FALSE(),J_ADDDAY(VLOOKUP(I135,A:F,6,FALSE),H135+4,1),J_ADDDAY(VLOOKUP(I135,A:F,6,FALSE),H135+5,1))))))</f>
        <v>1398/08/08</v>
      </c>
      <c r="E135" s="2">
        <f t="shared" si="35"/>
        <v>13980808</v>
      </c>
      <c r="F135" s="13" t="str">
        <f>IF(N135=0,J_SUBDAY(D135,1,1)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0,J_SUBDAY(J_ADDDAY(D135,N135,1)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1,J_SUBDAY(J_ADDDAY(D135,N135+1,1),1,1),IF((N135-NETWORKDAYS.INTL(J_GregorianDate(D135,1),J_GregorianDate(J_SUBDAY(J_ADDDAY(D135,N135,1),1,1),1),16,1)-SUMIFS(Holieday[ok],Holieday[date],CONCATENATE("&gt;","=",D135),Holieday[date],CONCATENATE("&lt;","=",J_SUBDAY(J_ADDDAY(D135,N135,1),1,1)))+SUMIFS(Holieday[Friday],Holieday[date],CONCATENATE("&gt;","=",D135),Holieday[date],CONCATENATE("&lt;","=",J_SUBDAY(J_ADDDAY(D135,N135,1),1,1))))=2,J_SUBDAY(J_ADDDAY(D135,N135+2,1),1,1),J_SUBDAY(J_ADDDAY(D135,N135+3,1),1,1)))))</f>
        <v>1398/08/07</v>
      </c>
      <c r="G135" s="3">
        <f t="shared" si="36"/>
        <v>13980807</v>
      </c>
      <c r="H135" s="121"/>
      <c r="I135" s="122">
        <v>6.5</v>
      </c>
      <c r="J135" s="10" t="str">
        <f>j_WEEKDAY(D135,1)</f>
        <v>چهارشنبه</v>
      </c>
      <c r="K135" s="23">
        <f t="shared" si="39"/>
        <v>0</v>
      </c>
      <c r="L135" s="9">
        <f t="shared" si="40"/>
        <v>0</v>
      </c>
      <c r="M135" s="123">
        <v>0</v>
      </c>
      <c r="N135" s="120">
        <v>0</v>
      </c>
      <c r="O135" s="11">
        <f t="shared" si="41"/>
        <v>0</v>
      </c>
      <c r="P135" s="11">
        <f>VALUE(J_normdate(J_ADDDAY($D135,$O135,1)))</f>
        <v>13980808</v>
      </c>
      <c r="Q135" s="10">
        <f t="shared" si="42"/>
        <v>0</v>
      </c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  <c r="ES135" s="8"/>
      <c r="ET135" s="8"/>
      <c r="EU135" s="8"/>
      <c r="EV135" s="8"/>
      <c r="EW135" s="8"/>
      <c r="EX135" s="8"/>
      <c r="EY135" s="8"/>
      <c r="EZ135" s="8"/>
      <c r="FA135" s="8"/>
      <c r="FB135" s="8"/>
      <c r="FC135" s="8"/>
      <c r="FD135" s="8"/>
      <c r="FE135" s="8"/>
      <c r="FF135" s="8"/>
      <c r="FG135" s="8"/>
      <c r="FH135" s="8"/>
      <c r="FI135" s="8"/>
      <c r="FJ135" s="8"/>
      <c r="FK135" s="8"/>
      <c r="FL135" s="8"/>
      <c r="FM135" s="8"/>
      <c r="FN135" s="8"/>
      <c r="FO135" s="8"/>
      <c r="FP135" s="8"/>
      <c r="FQ135" s="8"/>
      <c r="FR135" s="8"/>
      <c r="FS135" s="8"/>
      <c r="FT135" s="8"/>
      <c r="FU135" s="8"/>
      <c r="FV135" s="8"/>
      <c r="FW135" s="8"/>
      <c r="FX135" s="8"/>
      <c r="FY135" s="8"/>
      <c r="FZ135" s="8"/>
      <c r="GA135" s="8"/>
      <c r="GB135" s="8"/>
      <c r="GC135" s="8"/>
      <c r="GD135" s="8"/>
      <c r="GE135" s="8"/>
      <c r="GF135" s="8"/>
      <c r="GG135" s="8"/>
      <c r="GH135" s="8"/>
      <c r="GI135" s="8"/>
      <c r="GJ135" s="8"/>
      <c r="GK135" s="8"/>
      <c r="GL135" s="8"/>
      <c r="GM135" s="8"/>
      <c r="GN135" s="8"/>
      <c r="GO135" s="8"/>
      <c r="GP135" s="8"/>
      <c r="GQ135" s="8"/>
      <c r="GR135" s="8"/>
      <c r="GS135" s="8"/>
      <c r="GT135" s="8"/>
      <c r="GU135" s="8"/>
      <c r="GV135" s="8"/>
      <c r="GW135" s="8"/>
      <c r="GX135" s="8"/>
      <c r="GY135" s="8"/>
      <c r="GZ135" s="8"/>
      <c r="HA135" s="8"/>
      <c r="HB135" s="8"/>
      <c r="HC135" s="8"/>
      <c r="HD135" s="8"/>
      <c r="HE135" s="8"/>
      <c r="HF135" s="8"/>
      <c r="HG135" s="8"/>
      <c r="HH135" s="8"/>
      <c r="HI135" s="8"/>
      <c r="HJ135" s="8"/>
      <c r="HK135" s="8"/>
      <c r="HL135" s="8"/>
      <c r="HM135" s="8"/>
      <c r="HN135" s="8"/>
      <c r="HO135" s="8"/>
      <c r="HP135" s="8"/>
      <c r="HQ135" s="8"/>
      <c r="HR135" s="8"/>
      <c r="HS135" s="8"/>
      <c r="HT135" s="8"/>
      <c r="HU135" s="8"/>
      <c r="HV135" s="8"/>
      <c r="HW135" s="8"/>
      <c r="HX135" s="8"/>
      <c r="HY135" s="8"/>
      <c r="HZ135" s="8"/>
      <c r="IA135" s="8"/>
      <c r="IB135" s="8"/>
      <c r="IC135" s="8"/>
      <c r="ID135" s="8"/>
      <c r="IE135" s="8"/>
      <c r="IF135" s="8"/>
      <c r="IG135" s="8"/>
      <c r="IH135" s="8"/>
      <c r="II135" s="8"/>
      <c r="IJ135" s="8"/>
      <c r="IK135" s="8"/>
      <c r="IL135" s="8"/>
      <c r="IM135" s="8"/>
      <c r="IN135" s="8"/>
      <c r="IO135" s="8"/>
      <c r="IP135" s="8"/>
      <c r="IQ135" s="8"/>
      <c r="IR135" s="8"/>
      <c r="IS135" s="8"/>
      <c r="IT135" s="8"/>
      <c r="IU135" s="8"/>
      <c r="IV135" s="8"/>
      <c r="IW135" s="8"/>
      <c r="IX135" s="8"/>
      <c r="JA135" s="125"/>
      <c r="JB135" s="125"/>
      <c r="JC135" s="125"/>
      <c r="JD135" s="72">
        <f>SUM((TEXT(JA135,"[M]")/60)*'Income Person-hours'!$D$3,(TEXT(JB135,"[M]")/60)*'Income Person-hours'!$D$4,(TEXT(JC135,"[M]")/60)*'Income Person-hours'!$D$5)</f>
        <v>0</v>
      </c>
    </row>
    <row r="136" spans="1:264 16383:16384" s="12" customFormat="1" ht="15.75" hidden="1" x14ac:dyDescent="0.45">
      <c r="A136" s="33">
        <v>6.18</v>
      </c>
      <c r="B136" s="128"/>
      <c r="C136" s="119"/>
      <c r="D136" s="13" t="str">
        <f>IF(OR(j_WEEKDAY(J_ADDDAY(VLOOKUP(I136,A:F,6,FALSE),H136,1),0)=6,SUMIFS(Holieday[ok],Holieday[date],J_ADDDAY(VLOOKUP(I136,A:F,6,FALSE),H136,1)))=FALSE(),J_ADDDAY(VLOOKUP(I136,A:F,6,FALSE),H136,1),IF(OR(j_WEEKDAY(J_ADDDAY(VLOOKUP(I136,A:F,6,FALSE),H136+1,1),0)=6,SUMIFS(Holieday[ok],Holieday[date],J_ADDDAY(VLOOKUP(I136,A:F,6,FALSE),H136+1,1)))=FALSE(),J_ADDDAY(VLOOKUP(I136,A:F,6,FALSE),H136+1,1),IF(OR(j_WEEKDAY(J_ADDDAY(VLOOKUP(I136,A:F,6,FALSE),H136+2,1),0)=6,SUMIFS(Holieday[ok],Holieday[date],J_ADDDAY(VLOOKUP(I136,A:F,6,FALSE),H136+2,1)))=FALSE(),J_ADDDAY(VLOOKUP(I136,A:F,6,FALSE),H136+2,1),IF(OR(j_WEEKDAY(J_ADDDAY(VLOOKUP(I136,A:F,6,FALSE),H136+3,1),0)=6,SUMIFS(Holieday[ok],Holieday[date],J_ADDDAY(VLOOKUP(I136,A:F,6,FALSE),H136+3,1)))=FALSE(),J_ADDDAY(VLOOKUP(I136,A:F,6,FALSE),H136+3,1),IF(OR(j_WEEKDAY(J_ADDDAY(VLOOKUP(I136,A:F,6,FALSE),H136+4,1),0)=6,SUMIFS(Holieday[ok],Holieday[date],J_ADDDAY(VLOOKUP(I136,A:F,6,FALSE),H136+4,1)))=FALSE(),J_ADDDAY(VLOOKUP(I136,A:F,6,FALSE),H136+4,1),J_ADDDAY(VLOOKUP(I136,A:F,6,FALSE),H136+5,1))))))</f>
        <v>1398/08/08</v>
      </c>
      <c r="E136" s="2">
        <f t="shared" si="35"/>
        <v>13980808</v>
      </c>
      <c r="F136" s="13" t="str">
        <f>IF(N136=0,J_SUBDAY(D136,1,1)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0,J_SUBDAY(J_ADDDAY(D136,N136,1)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1,J_SUBDAY(J_ADDDAY(D136,N136+1,1),1,1),IF((N136-NETWORKDAYS.INTL(J_GregorianDate(D136,1),J_GregorianDate(J_SUBDAY(J_ADDDAY(D136,N136,1),1,1),1),16,1)-SUMIFS(Holieday[ok],Holieday[date],CONCATENATE("&gt;","=",D136),Holieday[date],CONCATENATE("&lt;","=",J_SUBDAY(J_ADDDAY(D136,N136,1),1,1)))+SUMIFS(Holieday[Friday],Holieday[date],CONCATENATE("&gt;","=",D136),Holieday[date],CONCATENATE("&lt;","=",J_SUBDAY(J_ADDDAY(D136,N136,1),1,1))))=2,J_SUBDAY(J_ADDDAY(D136,N136+2,1),1,1),J_SUBDAY(J_ADDDAY(D136,N136+3,1),1,1)))))</f>
        <v>1398/08/07</v>
      </c>
      <c r="G136" s="3">
        <f t="shared" si="36"/>
        <v>13980807</v>
      </c>
      <c r="H136" s="121"/>
      <c r="I136" s="122">
        <v>6.5</v>
      </c>
      <c r="J136" s="10" t="str">
        <f>j_WEEKDAY(D136,1)</f>
        <v>چهارشنبه</v>
      </c>
      <c r="K136" s="23">
        <f t="shared" si="39"/>
        <v>0</v>
      </c>
      <c r="L136" s="9">
        <f t="shared" si="40"/>
        <v>0</v>
      </c>
      <c r="M136" s="123">
        <v>0</v>
      </c>
      <c r="N136" s="120">
        <v>0</v>
      </c>
      <c r="O136" s="11">
        <f t="shared" si="41"/>
        <v>0</v>
      </c>
      <c r="P136" s="11">
        <f>VALUE(J_normdate(J_ADDDAY($D136,$O136,1)))</f>
        <v>13980808</v>
      </c>
      <c r="Q136" s="10">
        <f t="shared" si="42"/>
        <v>0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  <c r="ES136" s="8"/>
      <c r="ET136" s="8"/>
      <c r="EU136" s="8"/>
      <c r="EV136" s="8"/>
      <c r="EW136" s="8"/>
      <c r="EX136" s="8"/>
      <c r="EY136" s="8"/>
      <c r="EZ136" s="8"/>
      <c r="FA136" s="8"/>
      <c r="FB136" s="8"/>
      <c r="FC136" s="8"/>
      <c r="FD136" s="8"/>
      <c r="FE136" s="8"/>
      <c r="FF136" s="8"/>
      <c r="FG136" s="8"/>
      <c r="FH136" s="8"/>
      <c r="FI136" s="8"/>
      <c r="FJ136" s="8"/>
      <c r="FK136" s="8"/>
      <c r="FL136" s="8"/>
      <c r="FM136" s="8"/>
      <c r="FN136" s="8"/>
      <c r="FO136" s="8"/>
      <c r="FP136" s="8"/>
      <c r="FQ136" s="8"/>
      <c r="FR136" s="8"/>
      <c r="FS136" s="8"/>
      <c r="FT136" s="8"/>
      <c r="FU136" s="8"/>
      <c r="FV136" s="8"/>
      <c r="FW136" s="8"/>
      <c r="FX136" s="8"/>
      <c r="FY136" s="8"/>
      <c r="FZ136" s="8"/>
      <c r="GA136" s="8"/>
      <c r="GB136" s="8"/>
      <c r="GC136" s="8"/>
      <c r="GD136" s="8"/>
      <c r="GE136" s="8"/>
      <c r="GF136" s="8"/>
      <c r="GG136" s="8"/>
      <c r="GH136" s="8"/>
      <c r="GI136" s="8"/>
      <c r="GJ136" s="8"/>
      <c r="GK136" s="8"/>
      <c r="GL136" s="8"/>
      <c r="GM136" s="8"/>
      <c r="GN136" s="8"/>
      <c r="GO136" s="8"/>
      <c r="GP136" s="8"/>
      <c r="GQ136" s="8"/>
      <c r="GR136" s="8"/>
      <c r="GS136" s="8"/>
      <c r="GT136" s="8"/>
      <c r="GU136" s="8"/>
      <c r="GV136" s="8"/>
      <c r="GW136" s="8"/>
      <c r="GX136" s="8"/>
      <c r="GY136" s="8"/>
      <c r="GZ136" s="8"/>
      <c r="HA136" s="8"/>
      <c r="HB136" s="8"/>
      <c r="HC136" s="8"/>
      <c r="HD136" s="8"/>
      <c r="HE136" s="8"/>
      <c r="HF136" s="8"/>
      <c r="HG136" s="8"/>
      <c r="HH136" s="8"/>
      <c r="HI136" s="8"/>
      <c r="HJ136" s="8"/>
      <c r="HK136" s="8"/>
      <c r="HL136" s="8"/>
      <c r="HM136" s="8"/>
      <c r="HN136" s="8"/>
      <c r="HO136" s="8"/>
      <c r="HP136" s="8"/>
      <c r="HQ136" s="8"/>
      <c r="HR136" s="8"/>
      <c r="HS136" s="8"/>
      <c r="HT136" s="8"/>
      <c r="HU136" s="8"/>
      <c r="HV136" s="8"/>
      <c r="HW136" s="8"/>
      <c r="HX136" s="8"/>
      <c r="HY136" s="8"/>
      <c r="HZ136" s="8"/>
      <c r="IA136" s="8"/>
      <c r="IB136" s="8"/>
      <c r="IC136" s="8"/>
      <c r="ID136" s="8"/>
      <c r="IE136" s="8"/>
      <c r="IF136" s="8"/>
      <c r="IG136" s="8"/>
      <c r="IH136" s="8"/>
      <c r="II136" s="8"/>
      <c r="IJ136" s="8"/>
      <c r="IK136" s="8"/>
      <c r="IL136" s="8"/>
      <c r="IM136" s="8"/>
      <c r="IN136" s="8"/>
      <c r="IO136" s="8"/>
      <c r="IP136" s="8"/>
      <c r="IQ136" s="8"/>
      <c r="IR136" s="8"/>
      <c r="IS136" s="8"/>
      <c r="IT136" s="8"/>
      <c r="IU136" s="8"/>
      <c r="IV136" s="8"/>
      <c r="IW136" s="8"/>
      <c r="IX136" s="8"/>
      <c r="JA136" s="125"/>
      <c r="JB136" s="125"/>
      <c r="JC136" s="125"/>
      <c r="JD136" s="72">
        <f>SUM((TEXT(JA136,"[M]")/60)*'Income Person-hours'!$D$3,(TEXT(JB136,"[M]")/60)*'Income Person-hours'!$D$4,(TEXT(JC136,"[M]")/60)*'Income Person-hours'!$D$5)</f>
        <v>0</v>
      </c>
    </row>
    <row r="137" spans="1:264 16383:16384" s="12" customFormat="1" ht="15.75" hidden="1" x14ac:dyDescent="0.45">
      <c r="A137" s="33">
        <v>6.19</v>
      </c>
      <c r="B137" s="128"/>
      <c r="C137" s="119"/>
      <c r="D137" s="13" t="str">
        <f>IF(OR(j_WEEKDAY(J_ADDDAY(VLOOKUP(I137,A:F,6,FALSE),H137,1),0)=6,SUMIFS(Holieday[ok],Holieday[date],J_ADDDAY(VLOOKUP(I137,A:F,6,FALSE),H137,1)))=FALSE(),J_ADDDAY(VLOOKUP(I137,A:F,6,FALSE),H137,1),IF(OR(j_WEEKDAY(J_ADDDAY(VLOOKUP(I137,A:F,6,FALSE),H137+1,1),0)=6,SUMIFS(Holieday[ok],Holieday[date],J_ADDDAY(VLOOKUP(I137,A:F,6,FALSE),H137+1,1)))=FALSE(),J_ADDDAY(VLOOKUP(I137,A:F,6,FALSE),H137+1,1),IF(OR(j_WEEKDAY(J_ADDDAY(VLOOKUP(I137,A:F,6,FALSE),H137+2,1),0)=6,SUMIFS(Holieday[ok],Holieday[date],J_ADDDAY(VLOOKUP(I137,A:F,6,FALSE),H137+2,1)))=FALSE(),J_ADDDAY(VLOOKUP(I137,A:F,6,FALSE),H137+2,1),IF(OR(j_WEEKDAY(J_ADDDAY(VLOOKUP(I137,A:F,6,FALSE),H137+3,1),0)=6,SUMIFS(Holieday[ok],Holieday[date],J_ADDDAY(VLOOKUP(I137,A:F,6,FALSE),H137+3,1)))=FALSE(),J_ADDDAY(VLOOKUP(I137,A:F,6,FALSE),H137+3,1),IF(OR(j_WEEKDAY(J_ADDDAY(VLOOKUP(I137,A:F,6,FALSE),H137+4,1),0)=6,SUMIFS(Holieday[ok],Holieday[date],J_ADDDAY(VLOOKUP(I137,A:F,6,FALSE),H137+4,1)))=FALSE(),J_ADDDAY(VLOOKUP(I137,A:F,6,FALSE),H137+4,1),J_ADDDAY(VLOOKUP(I137,A:F,6,FALSE),H137+5,1))))))</f>
        <v>1398/08/08</v>
      </c>
      <c r="E137" s="2">
        <f t="shared" si="35"/>
        <v>13980808</v>
      </c>
      <c r="F137" s="13" t="str">
        <f>IF(N137=0,J_SUBDAY(D137,1,1)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0,J_SUBDAY(J_ADDDAY(D137,N137,1)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1,J_SUBDAY(J_ADDDAY(D137,N137+1,1),1,1),IF((N137-NETWORKDAYS.INTL(J_GregorianDate(D137,1),J_GregorianDate(J_SUBDAY(J_ADDDAY(D137,N137,1),1,1),1),16,1)-SUMIFS(Holieday[ok],Holieday[date],CONCATENATE("&gt;","=",D137),Holieday[date],CONCATENATE("&lt;","=",J_SUBDAY(J_ADDDAY(D137,N137,1),1,1)))+SUMIFS(Holieday[Friday],Holieday[date],CONCATENATE("&gt;","=",D137),Holieday[date],CONCATENATE("&lt;","=",J_SUBDAY(J_ADDDAY(D137,N137,1),1,1))))=2,J_SUBDAY(J_ADDDAY(D137,N137+2,1),1,1),J_SUBDAY(J_ADDDAY(D137,N137+3,1),1,1)))))</f>
        <v>1398/08/07</v>
      </c>
      <c r="G137" s="3">
        <f t="shared" si="36"/>
        <v>13980807</v>
      </c>
      <c r="H137" s="121"/>
      <c r="I137" s="122">
        <v>6.5</v>
      </c>
      <c r="J137" s="10" t="str">
        <f>j_WEEKDAY(D137,1)</f>
        <v>چهارشنبه</v>
      </c>
      <c r="K137" s="23">
        <f t="shared" si="39"/>
        <v>0</v>
      </c>
      <c r="L137" s="9">
        <f t="shared" si="40"/>
        <v>0</v>
      </c>
      <c r="M137" s="123">
        <v>0</v>
      </c>
      <c r="N137" s="120">
        <v>0</v>
      </c>
      <c r="O137" s="11">
        <f t="shared" si="41"/>
        <v>0</v>
      </c>
      <c r="P137" s="11">
        <f>VALUE(J_normdate(J_ADDDAY($D137,$O137,1)))</f>
        <v>13980808</v>
      </c>
      <c r="Q137" s="10">
        <f t="shared" si="42"/>
        <v>0</v>
      </c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  <c r="ES137" s="8"/>
      <c r="ET137" s="8"/>
      <c r="EU137" s="8"/>
      <c r="EV137" s="8"/>
      <c r="EW137" s="8"/>
      <c r="EX137" s="8"/>
      <c r="EY137" s="8"/>
      <c r="EZ137" s="8"/>
      <c r="FA137" s="8"/>
      <c r="FB137" s="8"/>
      <c r="FC137" s="8"/>
      <c r="FD137" s="8"/>
      <c r="FE137" s="8"/>
      <c r="FF137" s="8"/>
      <c r="FG137" s="8"/>
      <c r="FH137" s="8"/>
      <c r="FI137" s="8"/>
      <c r="FJ137" s="8"/>
      <c r="FK137" s="8"/>
      <c r="FL137" s="8"/>
      <c r="FM137" s="8"/>
      <c r="FN137" s="8"/>
      <c r="FO137" s="8"/>
      <c r="FP137" s="8"/>
      <c r="FQ137" s="8"/>
      <c r="FR137" s="8"/>
      <c r="FS137" s="8"/>
      <c r="FT137" s="8"/>
      <c r="FU137" s="8"/>
      <c r="FV137" s="8"/>
      <c r="FW137" s="8"/>
      <c r="FX137" s="8"/>
      <c r="FY137" s="8"/>
      <c r="FZ137" s="8"/>
      <c r="GA137" s="8"/>
      <c r="GB137" s="8"/>
      <c r="GC137" s="8"/>
      <c r="GD137" s="8"/>
      <c r="GE137" s="8"/>
      <c r="GF137" s="8"/>
      <c r="GG137" s="8"/>
      <c r="GH137" s="8"/>
      <c r="GI137" s="8"/>
      <c r="GJ137" s="8"/>
      <c r="GK137" s="8"/>
      <c r="GL137" s="8"/>
      <c r="GM137" s="8"/>
      <c r="GN137" s="8"/>
      <c r="GO137" s="8"/>
      <c r="GP137" s="8"/>
      <c r="GQ137" s="8"/>
      <c r="GR137" s="8"/>
      <c r="GS137" s="8"/>
      <c r="GT137" s="8"/>
      <c r="GU137" s="8"/>
      <c r="GV137" s="8"/>
      <c r="GW137" s="8"/>
      <c r="GX137" s="8"/>
      <c r="GY137" s="8"/>
      <c r="GZ137" s="8"/>
      <c r="HA137" s="8"/>
      <c r="HB137" s="8"/>
      <c r="HC137" s="8"/>
      <c r="HD137" s="8"/>
      <c r="HE137" s="8"/>
      <c r="HF137" s="8"/>
      <c r="HG137" s="8"/>
      <c r="HH137" s="8"/>
      <c r="HI137" s="8"/>
      <c r="HJ137" s="8"/>
      <c r="HK137" s="8"/>
      <c r="HL137" s="8"/>
      <c r="HM137" s="8"/>
      <c r="HN137" s="8"/>
      <c r="HO137" s="8"/>
      <c r="HP137" s="8"/>
      <c r="HQ137" s="8"/>
      <c r="HR137" s="8"/>
      <c r="HS137" s="8"/>
      <c r="HT137" s="8"/>
      <c r="HU137" s="8"/>
      <c r="HV137" s="8"/>
      <c r="HW137" s="8"/>
      <c r="HX137" s="8"/>
      <c r="HY137" s="8"/>
      <c r="HZ137" s="8"/>
      <c r="IA137" s="8"/>
      <c r="IB137" s="8"/>
      <c r="IC137" s="8"/>
      <c r="ID137" s="8"/>
      <c r="IE137" s="8"/>
      <c r="IF137" s="8"/>
      <c r="IG137" s="8"/>
      <c r="IH137" s="8"/>
      <c r="II137" s="8"/>
      <c r="IJ137" s="8"/>
      <c r="IK137" s="8"/>
      <c r="IL137" s="8"/>
      <c r="IM137" s="8"/>
      <c r="IN137" s="8"/>
      <c r="IO137" s="8"/>
      <c r="IP137" s="8"/>
      <c r="IQ137" s="8"/>
      <c r="IR137" s="8"/>
      <c r="IS137" s="8"/>
      <c r="IT137" s="8"/>
      <c r="IU137" s="8"/>
      <c r="IV137" s="8"/>
      <c r="IW137" s="8"/>
      <c r="IX137" s="8"/>
      <c r="JA137" s="125"/>
      <c r="JB137" s="125"/>
      <c r="JC137" s="125"/>
      <c r="JD137" s="72">
        <f>SUM((TEXT(JA137,"[M]")/60)*'Income Person-hours'!$D$3,(TEXT(JB137,"[M]")/60)*'Income Person-hours'!$D$4,(TEXT(JC137,"[M]")/60)*'Income Person-hours'!$D$5)</f>
        <v>0</v>
      </c>
    </row>
    <row r="138" spans="1:264 16383:16384" s="12" customFormat="1" ht="15.75" hidden="1" x14ac:dyDescent="0.45">
      <c r="A138" s="33">
        <v>6.21</v>
      </c>
      <c r="B138" s="128"/>
      <c r="C138" s="119"/>
      <c r="D138" s="13" t="str">
        <f>IF(OR(j_WEEKDAY(J_ADDDAY(VLOOKUP(I138,A:F,6,FALSE),H138,1),0)=6,SUMIFS(Holieday[ok],Holieday[date],J_ADDDAY(VLOOKUP(I138,A:F,6,FALSE),H138,1)))=FALSE(),J_ADDDAY(VLOOKUP(I138,A:F,6,FALSE),H138,1),IF(OR(j_WEEKDAY(J_ADDDAY(VLOOKUP(I138,A:F,6,FALSE),H138+1,1),0)=6,SUMIFS(Holieday[ok],Holieday[date],J_ADDDAY(VLOOKUP(I138,A:F,6,FALSE),H138+1,1)))=FALSE(),J_ADDDAY(VLOOKUP(I138,A:F,6,FALSE),H138+1,1),IF(OR(j_WEEKDAY(J_ADDDAY(VLOOKUP(I138,A:F,6,FALSE),H138+2,1),0)=6,SUMIFS(Holieday[ok],Holieday[date],J_ADDDAY(VLOOKUP(I138,A:F,6,FALSE),H138+2,1)))=FALSE(),J_ADDDAY(VLOOKUP(I138,A:F,6,FALSE),H138+2,1),IF(OR(j_WEEKDAY(J_ADDDAY(VLOOKUP(I138,A:F,6,FALSE),H138+3,1),0)=6,SUMIFS(Holieday[ok],Holieday[date],J_ADDDAY(VLOOKUP(I138,A:F,6,FALSE),H138+3,1)))=FALSE(),J_ADDDAY(VLOOKUP(I138,A:F,6,FALSE),H138+3,1),IF(OR(j_WEEKDAY(J_ADDDAY(VLOOKUP(I138,A:F,6,FALSE),H138+4,1),0)=6,SUMIFS(Holieday[ok],Holieday[date],J_ADDDAY(VLOOKUP(I138,A:F,6,FALSE),H138+4,1)))=FALSE(),J_ADDDAY(VLOOKUP(I138,A:F,6,FALSE),H138+4,1),J_ADDDAY(VLOOKUP(I138,A:F,6,FALSE),H138+5,1))))))</f>
        <v>1398/08/08</v>
      </c>
      <c r="E138" s="2">
        <f t="shared" si="35"/>
        <v>13980808</v>
      </c>
      <c r="F138" s="13" t="str">
        <f>IF(N138=0,J_SUBDAY(D138,1,1)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0,J_SUBDAY(J_ADDDAY(D138,N138,1)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1,J_SUBDAY(J_ADDDAY(D138,N138+1,1),1,1),IF((N138-NETWORKDAYS.INTL(J_GregorianDate(D138,1),J_GregorianDate(J_SUBDAY(J_ADDDAY(D138,N138,1),1,1),1),16,1)-SUMIFS(Holieday[ok],Holieday[date],CONCATENATE("&gt;","=",D138),Holieday[date],CONCATENATE("&lt;","=",J_SUBDAY(J_ADDDAY(D138,N138,1),1,1)))+SUMIFS(Holieday[Friday],Holieday[date],CONCATENATE("&gt;","=",D138),Holieday[date],CONCATENATE("&lt;","=",J_SUBDAY(J_ADDDAY(D138,N138,1),1,1))))=2,J_SUBDAY(J_ADDDAY(D138,N138+2,1),1,1),J_SUBDAY(J_ADDDAY(D138,N138+3,1),1,1)))))</f>
        <v>1398/08/07</v>
      </c>
      <c r="G138" s="3">
        <f t="shared" si="36"/>
        <v>13980807</v>
      </c>
      <c r="H138" s="121"/>
      <c r="I138" s="122">
        <v>6.5</v>
      </c>
      <c r="J138" s="10" t="str">
        <f>j_WEEKDAY(D138,1)</f>
        <v>چهارشنبه</v>
      </c>
      <c r="K138" s="23">
        <f t="shared" si="39"/>
        <v>0</v>
      </c>
      <c r="L138" s="9">
        <f t="shared" si="40"/>
        <v>0</v>
      </c>
      <c r="M138" s="123">
        <v>0</v>
      </c>
      <c r="N138" s="120">
        <v>0</v>
      </c>
      <c r="O138" s="11">
        <f t="shared" si="41"/>
        <v>0</v>
      </c>
      <c r="P138" s="11">
        <f>VALUE(J_normdate(J_ADDDAY($D138,$O138,1)))</f>
        <v>13980808</v>
      </c>
      <c r="Q138" s="10">
        <f t="shared" si="42"/>
        <v>0</v>
      </c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  <c r="ES138" s="8"/>
      <c r="ET138" s="8"/>
      <c r="EU138" s="8"/>
      <c r="EV138" s="8"/>
      <c r="EW138" s="8"/>
      <c r="EX138" s="8"/>
      <c r="EY138" s="8"/>
      <c r="EZ138" s="8"/>
      <c r="FA138" s="8"/>
      <c r="FB138" s="8"/>
      <c r="FC138" s="8"/>
      <c r="FD138" s="8"/>
      <c r="FE138" s="8"/>
      <c r="FF138" s="8"/>
      <c r="FG138" s="8"/>
      <c r="FH138" s="8"/>
      <c r="FI138" s="8"/>
      <c r="FJ138" s="8"/>
      <c r="FK138" s="8"/>
      <c r="FL138" s="8"/>
      <c r="FM138" s="8"/>
      <c r="FN138" s="8"/>
      <c r="FO138" s="8"/>
      <c r="FP138" s="8"/>
      <c r="FQ138" s="8"/>
      <c r="FR138" s="8"/>
      <c r="FS138" s="8"/>
      <c r="FT138" s="8"/>
      <c r="FU138" s="8"/>
      <c r="FV138" s="8"/>
      <c r="FW138" s="8"/>
      <c r="FX138" s="8"/>
      <c r="FY138" s="8"/>
      <c r="FZ138" s="8"/>
      <c r="GA138" s="8"/>
      <c r="GB138" s="8"/>
      <c r="GC138" s="8"/>
      <c r="GD138" s="8"/>
      <c r="GE138" s="8"/>
      <c r="GF138" s="8"/>
      <c r="GG138" s="8"/>
      <c r="GH138" s="8"/>
      <c r="GI138" s="8"/>
      <c r="GJ138" s="8"/>
      <c r="GK138" s="8"/>
      <c r="GL138" s="8"/>
      <c r="GM138" s="8"/>
      <c r="GN138" s="8"/>
      <c r="GO138" s="8"/>
      <c r="GP138" s="8"/>
      <c r="GQ138" s="8"/>
      <c r="GR138" s="8"/>
      <c r="GS138" s="8"/>
      <c r="GT138" s="8"/>
      <c r="GU138" s="8"/>
      <c r="GV138" s="8"/>
      <c r="GW138" s="8"/>
      <c r="GX138" s="8"/>
      <c r="GY138" s="8"/>
      <c r="GZ138" s="8"/>
      <c r="HA138" s="8"/>
      <c r="HB138" s="8"/>
      <c r="HC138" s="8"/>
      <c r="HD138" s="8"/>
      <c r="HE138" s="8"/>
      <c r="HF138" s="8"/>
      <c r="HG138" s="8"/>
      <c r="HH138" s="8"/>
      <c r="HI138" s="8"/>
      <c r="HJ138" s="8"/>
      <c r="HK138" s="8"/>
      <c r="HL138" s="8"/>
      <c r="HM138" s="8"/>
      <c r="HN138" s="8"/>
      <c r="HO138" s="8"/>
      <c r="HP138" s="8"/>
      <c r="HQ138" s="8"/>
      <c r="HR138" s="8"/>
      <c r="HS138" s="8"/>
      <c r="HT138" s="8"/>
      <c r="HU138" s="8"/>
      <c r="HV138" s="8"/>
      <c r="HW138" s="8"/>
      <c r="HX138" s="8"/>
      <c r="HY138" s="8"/>
      <c r="HZ138" s="8"/>
      <c r="IA138" s="8"/>
      <c r="IB138" s="8"/>
      <c r="IC138" s="8"/>
      <c r="ID138" s="8"/>
      <c r="IE138" s="8"/>
      <c r="IF138" s="8"/>
      <c r="IG138" s="8"/>
      <c r="IH138" s="8"/>
      <c r="II138" s="8"/>
      <c r="IJ138" s="8"/>
      <c r="IK138" s="8"/>
      <c r="IL138" s="8"/>
      <c r="IM138" s="8"/>
      <c r="IN138" s="8"/>
      <c r="IO138" s="8"/>
      <c r="IP138" s="8"/>
      <c r="IQ138" s="8"/>
      <c r="IR138" s="8"/>
      <c r="IS138" s="8"/>
      <c r="IT138" s="8"/>
      <c r="IU138" s="8"/>
      <c r="IV138" s="8"/>
      <c r="IW138" s="8"/>
      <c r="IX138" s="8"/>
      <c r="JA138" s="125"/>
      <c r="JB138" s="125"/>
      <c r="JC138" s="125"/>
      <c r="JD138" s="72">
        <f>SUM((TEXT(JA138,"[M]")/60)*'Income Person-hours'!$D$3,(TEXT(JB138,"[M]")/60)*'Income Person-hours'!$D$4,(TEXT(JC138,"[M]")/60)*'Income Person-hours'!$D$5)</f>
        <v>0</v>
      </c>
    </row>
    <row r="139" spans="1:264 16383:16384" s="12" customFormat="1" ht="15.75" hidden="1" x14ac:dyDescent="0.45">
      <c r="A139" s="33">
        <v>6.22</v>
      </c>
      <c r="B139" s="128"/>
      <c r="C139" s="119"/>
      <c r="D139" s="13" t="str">
        <f>IF(OR(j_WEEKDAY(J_ADDDAY(VLOOKUP(I139,A:F,6,FALSE),H139,1),0)=6,SUMIFS(Holieday[ok],Holieday[date],J_ADDDAY(VLOOKUP(I139,A:F,6,FALSE),H139,1)))=FALSE(),J_ADDDAY(VLOOKUP(I139,A:F,6,FALSE),H139,1),IF(OR(j_WEEKDAY(J_ADDDAY(VLOOKUP(I139,A:F,6,FALSE),H139+1,1),0)=6,SUMIFS(Holieday[ok],Holieday[date],J_ADDDAY(VLOOKUP(I139,A:F,6,FALSE),H139+1,1)))=FALSE(),J_ADDDAY(VLOOKUP(I139,A:F,6,FALSE),H139+1,1),IF(OR(j_WEEKDAY(J_ADDDAY(VLOOKUP(I139,A:F,6,FALSE),H139+2,1),0)=6,SUMIFS(Holieday[ok],Holieday[date],J_ADDDAY(VLOOKUP(I139,A:F,6,FALSE),H139+2,1)))=FALSE(),J_ADDDAY(VLOOKUP(I139,A:F,6,FALSE),H139+2,1),IF(OR(j_WEEKDAY(J_ADDDAY(VLOOKUP(I139,A:F,6,FALSE),H139+3,1),0)=6,SUMIFS(Holieday[ok],Holieday[date],J_ADDDAY(VLOOKUP(I139,A:F,6,FALSE),H139+3,1)))=FALSE(),J_ADDDAY(VLOOKUP(I139,A:F,6,FALSE),H139+3,1),IF(OR(j_WEEKDAY(J_ADDDAY(VLOOKUP(I139,A:F,6,FALSE),H139+4,1),0)=6,SUMIFS(Holieday[ok],Holieday[date],J_ADDDAY(VLOOKUP(I139,A:F,6,FALSE),H139+4,1)))=FALSE(),J_ADDDAY(VLOOKUP(I139,A:F,6,FALSE),H139+4,1),J_ADDDAY(VLOOKUP(I139,A:F,6,FALSE),H139+5,1))))))</f>
        <v>1398/08/08</v>
      </c>
      <c r="E139" s="2">
        <f t="shared" ref="E139:E170" si="43">VALUE(J_normdate(D139))</f>
        <v>13980808</v>
      </c>
      <c r="F139" s="13" t="str">
        <f>IF(N139=0,J_SUBDAY(D139,1,1)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0,J_SUBDAY(J_ADDDAY(D139,N139,1)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1,J_SUBDAY(J_ADDDAY(D139,N139+1,1),1,1),IF((N139-NETWORKDAYS.INTL(J_GregorianDate(D139,1),J_GregorianDate(J_SUBDAY(J_ADDDAY(D139,N139,1),1,1),1),16,1)-SUMIFS(Holieday[ok],Holieday[date],CONCATENATE("&gt;","=",D139),Holieday[date],CONCATENATE("&lt;","=",J_SUBDAY(J_ADDDAY(D139,N139,1),1,1)))+SUMIFS(Holieday[Friday],Holieday[date],CONCATENATE("&gt;","=",D139),Holieday[date],CONCATENATE("&lt;","=",J_SUBDAY(J_ADDDAY(D139,N139,1),1,1))))=2,J_SUBDAY(J_ADDDAY(D139,N139+2,1),1,1),J_SUBDAY(J_ADDDAY(D139,N139+3,1),1,1)))))</f>
        <v>1398/08/07</v>
      </c>
      <c r="G139" s="3">
        <f t="shared" ref="G139:G170" si="44">VALUE(J_normdate(F139))</f>
        <v>13980807</v>
      </c>
      <c r="H139" s="121"/>
      <c r="I139" s="122">
        <v>6.5</v>
      </c>
      <c r="J139" s="10" t="str">
        <f>j_WEEKDAY(D139,1)</f>
        <v>چهارشنبه</v>
      </c>
      <c r="K139" s="23">
        <f t="shared" si="39"/>
        <v>0</v>
      </c>
      <c r="L139" s="9">
        <f t="shared" si="40"/>
        <v>0</v>
      </c>
      <c r="M139" s="123">
        <v>0</v>
      </c>
      <c r="N139" s="120">
        <v>0</v>
      </c>
      <c r="O139" s="11">
        <f t="shared" si="41"/>
        <v>0</v>
      </c>
      <c r="P139" s="11">
        <f>VALUE(J_normdate(J_ADDDAY($D139,$O139,1)))</f>
        <v>13980808</v>
      </c>
      <c r="Q139" s="10">
        <f t="shared" si="42"/>
        <v>0</v>
      </c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  <c r="ES139" s="8"/>
      <c r="ET139" s="8"/>
      <c r="EU139" s="8"/>
      <c r="EV139" s="8"/>
      <c r="EW139" s="8"/>
      <c r="EX139" s="8"/>
      <c r="EY139" s="8"/>
      <c r="EZ139" s="8"/>
      <c r="FA139" s="8"/>
      <c r="FB139" s="8"/>
      <c r="FC139" s="8"/>
      <c r="FD139" s="8"/>
      <c r="FE139" s="8"/>
      <c r="FF139" s="8"/>
      <c r="FG139" s="8"/>
      <c r="FH139" s="8"/>
      <c r="FI139" s="8"/>
      <c r="FJ139" s="8"/>
      <c r="FK139" s="8"/>
      <c r="FL139" s="8"/>
      <c r="FM139" s="8"/>
      <c r="FN139" s="8"/>
      <c r="FO139" s="8"/>
      <c r="FP139" s="8"/>
      <c r="FQ139" s="8"/>
      <c r="FR139" s="8"/>
      <c r="FS139" s="8"/>
      <c r="FT139" s="8"/>
      <c r="FU139" s="8"/>
      <c r="FV139" s="8"/>
      <c r="FW139" s="8"/>
      <c r="FX139" s="8"/>
      <c r="FY139" s="8"/>
      <c r="FZ139" s="8"/>
      <c r="GA139" s="8"/>
      <c r="GB139" s="8"/>
      <c r="GC139" s="8"/>
      <c r="GD139" s="8"/>
      <c r="GE139" s="8"/>
      <c r="GF139" s="8"/>
      <c r="GG139" s="8"/>
      <c r="GH139" s="8"/>
      <c r="GI139" s="8"/>
      <c r="GJ139" s="8"/>
      <c r="GK139" s="8"/>
      <c r="GL139" s="8"/>
      <c r="GM139" s="8"/>
      <c r="GN139" s="8"/>
      <c r="GO139" s="8"/>
      <c r="GP139" s="8"/>
      <c r="GQ139" s="8"/>
      <c r="GR139" s="8"/>
      <c r="GS139" s="8"/>
      <c r="GT139" s="8"/>
      <c r="GU139" s="8"/>
      <c r="GV139" s="8"/>
      <c r="GW139" s="8"/>
      <c r="GX139" s="8"/>
      <c r="GY139" s="8"/>
      <c r="GZ139" s="8"/>
      <c r="HA139" s="8"/>
      <c r="HB139" s="8"/>
      <c r="HC139" s="8"/>
      <c r="HD139" s="8"/>
      <c r="HE139" s="8"/>
      <c r="HF139" s="8"/>
      <c r="HG139" s="8"/>
      <c r="HH139" s="8"/>
      <c r="HI139" s="8"/>
      <c r="HJ139" s="8"/>
      <c r="HK139" s="8"/>
      <c r="HL139" s="8"/>
      <c r="HM139" s="8"/>
      <c r="HN139" s="8"/>
      <c r="HO139" s="8"/>
      <c r="HP139" s="8"/>
      <c r="HQ139" s="8"/>
      <c r="HR139" s="8"/>
      <c r="HS139" s="8"/>
      <c r="HT139" s="8"/>
      <c r="HU139" s="8"/>
      <c r="HV139" s="8"/>
      <c r="HW139" s="8"/>
      <c r="HX139" s="8"/>
      <c r="HY139" s="8"/>
      <c r="HZ139" s="8"/>
      <c r="IA139" s="8"/>
      <c r="IB139" s="8"/>
      <c r="IC139" s="8"/>
      <c r="ID139" s="8"/>
      <c r="IE139" s="8"/>
      <c r="IF139" s="8"/>
      <c r="IG139" s="8"/>
      <c r="IH139" s="8"/>
      <c r="II139" s="8"/>
      <c r="IJ139" s="8"/>
      <c r="IK139" s="8"/>
      <c r="IL139" s="8"/>
      <c r="IM139" s="8"/>
      <c r="IN139" s="8"/>
      <c r="IO139" s="8"/>
      <c r="IP139" s="8"/>
      <c r="IQ139" s="8"/>
      <c r="IR139" s="8"/>
      <c r="IS139" s="8"/>
      <c r="IT139" s="8"/>
      <c r="IU139" s="8"/>
      <c r="IV139" s="8"/>
      <c r="IW139" s="8"/>
      <c r="IX139" s="8"/>
      <c r="JA139" s="125"/>
      <c r="JB139" s="125"/>
      <c r="JC139" s="125"/>
      <c r="JD139" s="72">
        <f>SUM((TEXT(JA139,"[M]")/60)*'Income Person-hours'!$D$3,(TEXT(JB139,"[M]")/60)*'Income Person-hours'!$D$4,(TEXT(JC139,"[M]")/60)*'Income Person-hours'!$D$5)</f>
        <v>0</v>
      </c>
    </row>
    <row r="140" spans="1:264 16383:16384" s="12" customFormat="1" ht="15.75" hidden="1" x14ac:dyDescent="0.45">
      <c r="A140" s="33">
        <v>6.23</v>
      </c>
      <c r="B140" s="128"/>
      <c r="C140" s="119"/>
      <c r="D140" s="13" t="str">
        <f>IF(OR(j_WEEKDAY(J_ADDDAY(VLOOKUP(I140,A:F,6,FALSE),H140,1),0)=6,SUMIFS(Holieday[ok],Holieday[date],J_ADDDAY(VLOOKUP(I140,A:F,6,FALSE),H140,1)))=FALSE(),J_ADDDAY(VLOOKUP(I140,A:F,6,FALSE),H140,1),IF(OR(j_WEEKDAY(J_ADDDAY(VLOOKUP(I140,A:F,6,FALSE),H140+1,1),0)=6,SUMIFS(Holieday[ok],Holieday[date],J_ADDDAY(VLOOKUP(I140,A:F,6,FALSE),H140+1,1)))=FALSE(),J_ADDDAY(VLOOKUP(I140,A:F,6,FALSE),H140+1,1),IF(OR(j_WEEKDAY(J_ADDDAY(VLOOKUP(I140,A:F,6,FALSE),H140+2,1),0)=6,SUMIFS(Holieday[ok],Holieday[date],J_ADDDAY(VLOOKUP(I140,A:F,6,FALSE),H140+2,1)))=FALSE(),J_ADDDAY(VLOOKUP(I140,A:F,6,FALSE),H140+2,1),IF(OR(j_WEEKDAY(J_ADDDAY(VLOOKUP(I140,A:F,6,FALSE),H140+3,1),0)=6,SUMIFS(Holieday[ok],Holieday[date],J_ADDDAY(VLOOKUP(I140,A:F,6,FALSE),H140+3,1)))=FALSE(),J_ADDDAY(VLOOKUP(I140,A:F,6,FALSE),H140+3,1),IF(OR(j_WEEKDAY(J_ADDDAY(VLOOKUP(I140,A:F,6,FALSE),H140+4,1),0)=6,SUMIFS(Holieday[ok],Holieday[date],J_ADDDAY(VLOOKUP(I140,A:F,6,FALSE),H140+4,1)))=FALSE(),J_ADDDAY(VLOOKUP(I140,A:F,6,FALSE),H140+4,1),J_ADDDAY(VLOOKUP(I140,A:F,6,FALSE),H140+5,1))))))</f>
        <v>1398/08/08</v>
      </c>
      <c r="E140" s="2">
        <f t="shared" si="43"/>
        <v>13980808</v>
      </c>
      <c r="F140" s="13" t="str">
        <f>IF(N140=0,J_SUBDAY(D140,1,1)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0,J_SUBDAY(J_ADDDAY(D140,N140,1)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1,J_SUBDAY(J_ADDDAY(D140,N140+1,1),1,1),IF((N140-NETWORKDAYS.INTL(J_GregorianDate(D140,1),J_GregorianDate(J_SUBDAY(J_ADDDAY(D140,N140,1),1,1),1),16,1)-SUMIFS(Holieday[ok],Holieday[date],CONCATENATE("&gt;","=",D140),Holieday[date],CONCATENATE("&lt;","=",J_SUBDAY(J_ADDDAY(D140,N140,1),1,1)))+SUMIFS(Holieday[Friday],Holieday[date],CONCATENATE("&gt;","=",D140),Holieday[date],CONCATENATE("&lt;","=",J_SUBDAY(J_ADDDAY(D140,N140,1),1,1))))=2,J_SUBDAY(J_ADDDAY(D140,N140+2,1),1,1),J_SUBDAY(J_ADDDAY(D140,N140+3,1),1,1)))))</f>
        <v>1398/08/07</v>
      </c>
      <c r="G140" s="3">
        <f t="shared" si="44"/>
        <v>13980807</v>
      </c>
      <c r="H140" s="121"/>
      <c r="I140" s="122">
        <v>6.5</v>
      </c>
      <c r="J140" s="10" t="str">
        <f>j_WEEKDAY(D140,1)</f>
        <v>چهارشنبه</v>
      </c>
      <c r="K140" s="23">
        <f t="shared" si="39"/>
        <v>0</v>
      </c>
      <c r="L140" s="9">
        <f t="shared" si="40"/>
        <v>0</v>
      </c>
      <c r="M140" s="123">
        <v>0</v>
      </c>
      <c r="N140" s="120">
        <v>0</v>
      </c>
      <c r="O140" s="11">
        <f t="shared" si="41"/>
        <v>0</v>
      </c>
      <c r="P140" s="11">
        <f>VALUE(J_normdate(J_ADDDAY($D140,$O140,1)))</f>
        <v>13980808</v>
      </c>
      <c r="Q140" s="10">
        <f t="shared" si="42"/>
        <v>0</v>
      </c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  <c r="ES140" s="8"/>
      <c r="ET140" s="8"/>
      <c r="EU140" s="8"/>
      <c r="EV140" s="8"/>
      <c r="EW140" s="8"/>
      <c r="EX140" s="8"/>
      <c r="EY140" s="8"/>
      <c r="EZ140" s="8"/>
      <c r="FA140" s="8"/>
      <c r="FB140" s="8"/>
      <c r="FC140" s="8"/>
      <c r="FD140" s="8"/>
      <c r="FE140" s="8"/>
      <c r="FF140" s="8"/>
      <c r="FG140" s="8"/>
      <c r="FH140" s="8"/>
      <c r="FI140" s="8"/>
      <c r="FJ140" s="8"/>
      <c r="FK140" s="8"/>
      <c r="FL140" s="8"/>
      <c r="FM140" s="8"/>
      <c r="FN140" s="8"/>
      <c r="FO140" s="8"/>
      <c r="FP140" s="8"/>
      <c r="FQ140" s="8"/>
      <c r="FR140" s="8"/>
      <c r="FS140" s="8"/>
      <c r="FT140" s="8"/>
      <c r="FU140" s="8"/>
      <c r="FV140" s="8"/>
      <c r="FW140" s="8"/>
      <c r="FX140" s="8"/>
      <c r="FY140" s="8"/>
      <c r="FZ140" s="8"/>
      <c r="GA140" s="8"/>
      <c r="GB140" s="8"/>
      <c r="GC140" s="8"/>
      <c r="GD140" s="8"/>
      <c r="GE140" s="8"/>
      <c r="GF140" s="8"/>
      <c r="GG140" s="8"/>
      <c r="GH140" s="8"/>
      <c r="GI140" s="8"/>
      <c r="GJ140" s="8"/>
      <c r="GK140" s="8"/>
      <c r="GL140" s="8"/>
      <c r="GM140" s="8"/>
      <c r="GN140" s="8"/>
      <c r="GO140" s="8"/>
      <c r="GP140" s="8"/>
      <c r="GQ140" s="8"/>
      <c r="GR140" s="8"/>
      <c r="GS140" s="8"/>
      <c r="GT140" s="8"/>
      <c r="GU140" s="8"/>
      <c r="GV140" s="8"/>
      <c r="GW140" s="8"/>
      <c r="GX140" s="8"/>
      <c r="GY140" s="8"/>
      <c r="GZ140" s="8"/>
      <c r="HA140" s="8"/>
      <c r="HB140" s="8"/>
      <c r="HC140" s="8"/>
      <c r="HD140" s="8"/>
      <c r="HE140" s="8"/>
      <c r="HF140" s="8"/>
      <c r="HG140" s="8"/>
      <c r="HH140" s="8"/>
      <c r="HI140" s="8"/>
      <c r="HJ140" s="8"/>
      <c r="HK140" s="8"/>
      <c r="HL140" s="8"/>
      <c r="HM140" s="8"/>
      <c r="HN140" s="8"/>
      <c r="HO140" s="8"/>
      <c r="HP140" s="8"/>
      <c r="HQ140" s="8"/>
      <c r="HR140" s="8"/>
      <c r="HS140" s="8"/>
      <c r="HT140" s="8"/>
      <c r="HU140" s="8"/>
      <c r="HV140" s="8"/>
      <c r="HW140" s="8"/>
      <c r="HX140" s="8"/>
      <c r="HY140" s="8"/>
      <c r="HZ140" s="8"/>
      <c r="IA140" s="8"/>
      <c r="IB140" s="8"/>
      <c r="IC140" s="8"/>
      <c r="ID140" s="8"/>
      <c r="IE140" s="8"/>
      <c r="IF140" s="8"/>
      <c r="IG140" s="8"/>
      <c r="IH140" s="8"/>
      <c r="II140" s="8"/>
      <c r="IJ140" s="8"/>
      <c r="IK140" s="8"/>
      <c r="IL140" s="8"/>
      <c r="IM140" s="8"/>
      <c r="IN140" s="8"/>
      <c r="IO140" s="8"/>
      <c r="IP140" s="8"/>
      <c r="IQ140" s="8"/>
      <c r="IR140" s="8"/>
      <c r="IS140" s="8"/>
      <c r="IT140" s="8"/>
      <c r="IU140" s="8"/>
      <c r="IV140" s="8"/>
      <c r="IW140" s="8"/>
      <c r="IX140" s="8"/>
      <c r="JA140" s="125"/>
      <c r="JB140" s="125"/>
      <c r="JC140" s="125"/>
      <c r="JD140" s="72">
        <f>SUM((TEXT(JA140,"[M]")/60)*'Income Person-hours'!$D$3,(TEXT(JB140,"[M]")/60)*'Income Person-hours'!$D$4,(TEXT(JC140,"[M]")/60)*'Income Person-hours'!$D$5)</f>
        <v>0</v>
      </c>
    </row>
    <row r="141" spans="1:264 16383:16384" s="198" customFormat="1" ht="15.75" x14ac:dyDescent="0.45">
      <c r="A141" s="233">
        <v>7</v>
      </c>
      <c r="B141" s="129" t="s">
        <v>169</v>
      </c>
      <c r="C141" s="115"/>
      <c r="D141" s="200" t="str">
        <f>FDate(MIN(E142:E162))</f>
        <v>1398/07/29</v>
      </c>
      <c r="E141" s="198">
        <f t="shared" si="43"/>
        <v>13980729</v>
      </c>
      <c r="F141" s="200" t="str">
        <f>J_SUBDAY(J_ADDDAY(D141,L141,1),1,1)</f>
        <v>1398/08/15</v>
      </c>
      <c r="G141" s="201">
        <f t="shared" si="44"/>
        <v>13980815</v>
      </c>
      <c r="H141" s="116"/>
      <c r="I141" s="117"/>
      <c r="J141" s="200" t="str">
        <f>j_WEEKDAY(D141,1)</f>
        <v>دوشنبه</v>
      </c>
      <c r="K141" s="202">
        <f>SUM(K142:K162)</f>
        <v>1.125</v>
      </c>
      <c r="L141" s="203">
        <f>J_DIFF(D141,FDate(MAX(G142:G162)))+1</f>
        <v>17</v>
      </c>
      <c r="M141" s="204">
        <f>IF(SUM(L142:L162)&lt;&gt;0,SUMPRODUCT(L142:L162,M142:M162)/SUM(L142:L162),0)</f>
        <v>0.16000000000000003</v>
      </c>
      <c r="N141" s="205">
        <f>IF(F141&gt;=D141,NETWORKDAYS.INTL(J_GregorianDate(D141,1),J_GregorianDate(F141,1),16,1)-SUMIFS(Holieday[ok],Holieday[date],CONCATENATE("&gt;","=",D141),Holieday[date],CONCATENATE("&lt;","=",F141))+SUMIFS(Holieday[Friday],Holieday[date],CONCATENATE("&gt;","=",D141),Holieday[date],CONCATENATE("&lt;","=",F141)),0)</f>
        <v>15</v>
      </c>
      <c r="O141" s="196">
        <f t="shared" ref="O141" si="45">ROUNDDOWN(M141*L141,0)</f>
        <v>2</v>
      </c>
      <c r="P141" s="196">
        <f>VALUE(J_normdate(J_ADDDAY($D141,$O141,1)))</f>
        <v>13980801</v>
      </c>
      <c r="Q141" s="200">
        <f t="shared" ref="Q141" si="46">L141-O141</f>
        <v>15</v>
      </c>
      <c r="IY141" s="64"/>
      <c r="IZ141" s="64"/>
      <c r="JA141" s="228"/>
      <c r="JB141" s="235"/>
      <c r="XFC141" s="200"/>
      <c r="XFD141" s="200"/>
    </row>
    <row r="142" spans="1:264 16383:16384" s="231" customFormat="1" ht="15.75" x14ac:dyDescent="0.45">
      <c r="A142" s="214">
        <v>7.1</v>
      </c>
      <c r="B142" s="118" t="s">
        <v>123</v>
      </c>
      <c r="C142" s="119" t="s">
        <v>154</v>
      </c>
      <c r="D142" s="210" t="str">
        <f>IF(OR(j_WEEKDAY(J_ADDDAY(VLOOKUP(I142,A:F,6,FALSE),H142,1),0)=6,SUMIFS(Holieday[ok],Holieday[date],J_ADDDAY(VLOOKUP(I142,A:F,6,FALSE),H142,1)))=FALSE(),J_ADDDAY(VLOOKUP(I142,A:F,6,FALSE),H142,1),IF(OR(j_WEEKDAY(J_ADDDAY(VLOOKUP(I142,A:F,6,FALSE),H142+1,1),0)=6,SUMIFS(Holieday[ok],Holieday[date],J_ADDDAY(VLOOKUP(I142,A:F,6,FALSE),H142+1,1)))=FALSE(),J_ADDDAY(VLOOKUP(I142,A:F,6,FALSE),H142+1,1),IF(OR(j_WEEKDAY(J_ADDDAY(VLOOKUP(I142,A:F,6,FALSE),H142+2,1),0)=6,SUMIFS(Holieday[ok],Holieday[date],J_ADDDAY(VLOOKUP(I142,A:F,6,FALSE),H142+2,1)))=FALSE(),J_ADDDAY(VLOOKUP(I142,A:F,6,FALSE),H142+2,1),IF(OR(j_WEEKDAY(J_ADDDAY(VLOOKUP(I142,A:F,6,FALSE),H142+3,1),0)=6,SUMIFS(Holieday[ok],Holieday[date],J_ADDDAY(VLOOKUP(I142,A:F,6,FALSE),H142+3,1)))=FALSE(),J_ADDDAY(VLOOKUP(I142,A:F,6,FALSE),H142+3,1),IF(OR(j_WEEKDAY(J_ADDDAY(VLOOKUP(I142,A:F,6,FALSE),H142+4,1),0)=6,SUMIFS(Holieday[ok],Holieday[date],J_ADDDAY(VLOOKUP(I142,A:F,6,FALSE),H142+4,1)))=FALSE(),J_ADDDAY(VLOOKUP(I142,A:F,6,FALSE),H142+4,1),J_ADDDAY(VLOOKUP(I142,A:F,6,FALSE),H142+5,1))))))</f>
        <v>1398/07/29</v>
      </c>
      <c r="E142" s="198">
        <f t="shared" si="43"/>
        <v>13980729</v>
      </c>
      <c r="F142" s="210" t="str">
        <f>IF(N142=0,J_SUBDAY(D142,1,1)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0,J_SUBDAY(J_ADDDAY(D142,N142,1)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1,J_SUBDAY(J_ADDDAY(D142,N142+1,1),1,1),IF((N142-NETWORKDAYS.INTL(J_GregorianDate(D142,1),J_GregorianDate(J_SUBDAY(J_ADDDAY(D142,N142,1),1,1),1),16,1)-SUMIFS(Holieday[ok],Holieday[date],CONCATENATE("&gt;","=",D142),Holieday[date],CONCATENATE("&lt;","=",J_SUBDAY(J_ADDDAY(D142,N142,1),1,1)))+SUMIFS(Holieday[Friday],Holieday[date],CONCATENATE("&gt;","=",D142),Holieday[date],CONCATENATE("&lt;","=",J_SUBDAY(J_ADDDAY(D142,N142,1),1,1))))=2,J_SUBDAY(J_ADDDAY(D142,N142+2,1),1,1),J_SUBDAY(J_ADDDAY(D142,N142+3,1),1,1)))))</f>
        <v>1398/07/29</v>
      </c>
      <c r="G142" s="201">
        <f t="shared" si="44"/>
        <v>13980729</v>
      </c>
      <c r="H142" s="121">
        <v>4</v>
      </c>
      <c r="I142" s="122">
        <v>3.3</v>
      </c>
      <c r="J142" s="209" t="str">
        <f>j_WEEKDAY(D142,1)</f>
        <v>دوشنبه</v>
      </c>
      <c r="K142" s="211">
        <f t="shared" ref="K142:K162" si="47">SUM(JA142:JC142)</f>
        <v>8.3333333333333329E-2</v>
      </c>
      <c r="L142" s="212">
        <f t="shared" ref="L142:L162" si="48">J_DIFF(D142,F142)+1</f>
        <v>1</v>
      </c>
      <c r="M142" s="123">
        <v>1</v>
      </c>
      <c r="N142" s="120">
        <v>1</v>
      </c>
      <c r="O142" s="213">
        <f t="shared" ref="O142" si="49">ROUNDDOWN(M142*L142,0)</f>
        <v>1</v>
      </c>
      <c r="P142" s="213">
        <f>VALUE(J_normdate(J_ADDDAY($D142,$O142,1)))</f>
        <v>13980730</v>
      </c>
      <c r="Q142" s="209">
        <f t="shared" ref="Q142" si="50">L142-O142</f>
        <v>0</v>
      </c>
      <c r="R142" s="207"/>
      <c r="S142" s="207"/>
      <c r="T142" s="207"/>
      <c r="U142" s="207"/>
      <c r="V142" s="207"/>
      <c r="W142" s="207"/>
      <c r="X142" s="207"/>
      <c r="Y142" s="207"/>
      <c r="Z142" s="207"/>
      <c r="AA142" s="207"/>
      <c r="AB142" s="207"/>
      <c r="AC142" s="207"/>
      <c r="AD142" s="207"/>
      <c r="AE142" s="207"/>
      <c r="AF142" s="207"/>
      <c r="AG142" s="207"/>
      <c r="AH142" s="207"/>
      <c r="AI142" s="207"/>
      <c r="AJ142" s="207"/>
      <c r="AK142" s="207"/>
      <c r="AL142" s="207"/>
      <c r="AM142" s="207"/>
      <c r="AN142" s="207"/>
      <c r="AO142" s="207"/>
      <c r="AP142" s="207"/>
      <c r="AQ142" s="207"/>
      <c r="AR142" s="207"/>
      <c r="AS142" s="207"/>
      <c r="AT142" s="207"/>
      <c r="AU142" s="207"/>
      <c r="AV142" s="207"/>
      <c r="AW142" s="207"/>
      <c r="AX142" s="207"/>
      <c r="AY142" s="207"/>
      <c r="AZ142" s="207"/>
      <c r="BA142" s="207"/>
      <c r="BB142" s="207"/>
      <c r="BC142" s="207"/>
      <c r="BD142" s="207"/>
      <c r="BE142" s="207"/>
      <c r="BF142" s="207"/>
      <c r="BG142" s="207"/>
      <c r="BH142" s="207"/>
      <c r="BI142" s="207"/>
      <c r="BJ142" s="207"/>
      <c r="BK142" s="207"/>
      <c r="BL142" s="207"/>
      <c r="BM142" s="207"/>
      <c r="BN142" s="207"/>
      <c r="BO142" s="207"/>
      <c r="BP142" s="207"/>
      <c r="BQ142" s="207"/>
      <c r="BR142" s="207"/>
      <c r="BS142" s="207"/>
      <c r="BT142" s="207"/>
      <c r="BU142" s="207"/>
      <c r="BV142" s="207"/>
      <c r="BW142" s="207"/>
      <c r="BX142" s="207"/>
      <c r="BY142" s="207"/>
      <c r="BZ142" s="207"/>
      <c r="CA142" s="207"/>
      <c r="CB142" s="207"/>
      <c r="CC142" s="207"/>
      <c r="CD142" s="207"/>
      <c r="CE142" s="207"/>
      <c r="CF142" s="207"/>
      <c r="CG142" s="207"/>
      <c r="CH142" s="207"/>
      <c r="CI142" s="207"/>
      <c r="CJ142" s="207"/>
      <c r="CK142" s="207"/>
      <c r="CL142" s="207"/>
      <c r="CM142" s="207"/>
      <c r="CN142" s="207"/>
      <c r="CO142" s="207"/>
      <c r="CP142" s="207"/>
      <c r="CQ142" s="207"/>
      <c r="CR142" s="207"/>
      <c r="CS142" s="207"/>
      <c r="CT142" s="207"/>
      <c r="CU142" s="207"/>
      <c r="CV142" s="207"/>
      <c r="CW142" s="207"/>
      <c r="CX142" s="207"/>
      <c r="CY142" s="207"/>
      <c r="CZ142" s="207"/>
      <c r="DA142" s="207"/>
      <c r="DB142" s="207"/>
      <c r="DC142" s="207"/>
      <c r="DD142" s="207"/>
      <c r="DE142" s="207"/>
      <c r="DF142" s="207"/>
      <c r="DG142" s="207"/>
      <c r="DH142" s="207"/>
      <c r="DI142" s="207"/>
      <c r="DJ142" s="207"/>
      <c r="DK142" s="207"/>
      <c r="DL142" s="207"/>
      <c r="DM142" s="207"/>
      <c r="DN142" s="207"/>
      <c r="DO142" s="207"/>
      <c r="DP142" s="207"/>
      <c r="DQ142" s="207"/>
      <c r="DR142" s="207"/>
      <c r="DS142" s="207"/>
      <c r="DT142" s="207"/>
      <c r="DU142" s="207"/>
      <c r="DV142" s="207"/>
      <c r="DW142" s="207"/>
      <c r="DX142" s="207"/>
      <c r="DY142" s="207"/>
      <c r="DZ142" s="207"/>
      <c r="EA142" s="207"/>
      <c r="EB142" s="207"/>
      <c r="EC142" s="207"/>
      <c r="ED142" s="207"/>
      <c r="EE142" s="207"/>
      <c r="EF142" s="207"/>
      <c r="EG142" s="207"/>
      <c r="EH142" s="207"/>
      <c r="EI142" s="207"/>
      <c r="EJ142" s="207"/>
      <c r="EK142" s="207"/>
      <c r="EL142" s="207"/>
      <c r="EM142" s="207"/>
      <c r="EN142" s="207"/>
      <c r="EO142" s="207"/>
      <c r="EP142" s="207"/>
      <c r="EQ142" s="207"/>
      <c r="ER142" s="207"/>
      <c r="ES142" s="207"/>
      <c r="ET142" s="207"/>
      <c r="EU142" s="207"/>
      <c r="EV142" s="207"/>
      <c r="EW142" s="207"/>
      <c r="EX142" s="207"/>
      <c r="EY142" s="207"/>
      <c r="EZ142" s="207"/>
      <c r="FA142" s="207"/>
      <c r="FB142" s="207"/>
      <c r="FC142" s="207"/>
      <c r="FD142" s="207"/>
      <c r="FE142" s="207"/>
      <c r="FF142" s="207"/>
      <c r="FG142" s="207"/>
      <c r="FH142" s="207"/>
      <c r="FI142" s="207"/>
      <c r="FJ142" s="207"/>
      <c r="FK142" s="207"/>
      <c r="FL142" s="207"/>
      <c r="FM142" s="207"/>
      <c r="FN142" s="207"/>
      <c r="FO142" s="207"/>
      <c r="FP142" s="207"/>
      <c r="FQ142" s="207"/>
      <c r="FR142" s="207"/>
      <c r="FS142" s="207"/>
      <c r="FT142" s="207"/>
      <c r="FU142" s="207"/>
      <c r="FV142" s="207"/>
      <c r="FW142" s="207"/>
      <c r="FX142" s="207"/>
      <c r="FY142" s="207"/>
      <c r="FZ142" s="207"/>
      <c r="GA142" s="207"/>
      <c r="GB142" s="207"/>
      <c r="GC142" s="207"/>
      <c r="GD142" s="207"/>
      <c r="GE142" s="207"/>
      <c r="GF142" s="207"/>
      <c r="GG142" s="207"/>
      <c r="GH142" s="207"/>
      <c r="GI142" s="207"/>
      <c r="GJ142" s="207"/>
      <c r="GK142" s="207"/>
      <c r="GL142" s="207"/>
      <c r="GM142" s="207"/>
      <c r="GN142" s="207"/>
      <c r="GO142" s="207"/>
      <c r="GP142" s="207"/>
      <c r="GQ142" s="207"/>
      <c r="GR142" s="207"/>
      <c r="GS142" s="207"/>
      <c r="GT142" s="207"/>
      <c r="GU142" s="207"/>
      <c r="GV142" s="207"/>
      <c r="GW142" s="207"/>
      <c r="GX142" s="207"/>
      <c r="GY142" s="207"/>
      <c r="GZ142" s="207"/>
      <c r="HA142" s="207"/>
      <c r="HB142" s="207"/>
      <c r="HC142" s="207"/>
      <c r="HD142" s="207"/>
      <c r="HE142" s="207"/>
      <c r="HF142" s="207"/>
      <c r="HG142" s="207"/>
      <c r="HH142" s="207"/>
      <c r="HI142" s="207"/>
      <c r="HJ142" s="207"/>
      <c r="HK142" s="207"/>
      <c r="HL142" s="207"/>
      <c r="HM142" s="207"/>
      <c r="HN142" s="207"/>
      <c r="HO142" s="207"/>
      <c r="HP142" s="207"/>
      <c r="HQ142" s="207"/>
      <c r="HR142" s="207"/>
      <c r="HS142" s="207"/>
      <c r="HT142" s="207"/>
      <c r="HU142" s="207"/>
      <c r="HV142" s="207"/>
      <c r="HW142" s="207"/>
      <c r="HX142" s="207"/>
      <c r="HY142" s="207"/>
      <c r="HZ142" s="207"/>
      <c r="IA142" s="207"/>
      <c r="IB142" s="207"/>
      <c r="IC142" s="207"/>
      <c r="ID142" s="207"/>
      <c r="IE142" s="207"/>
      <c r="IF142" s="207"/>
      <c r="IG142" s="207"/>
      <c r="IH142" s="207"/>
      <c r="II142" s="207"/>
      <c r="IJ142" s="207"/>
      <c r="IK142" s="207"/>
      <c r="IL142" s="207"/>
      <c r="IM142" s="207"/>
      <c r="IN142" s="207"/>
      <c r="IO142" s="207"/>
      <c r="IP142" s="207"/>
      <c r="IQ142" s="207"/>
      <c r="IR142" s="207"/>
      <c r="IS142" s="207"/>
      <c r="IT142" s="207"/>
      <c r="IU142" s="207"/>
      <c r="IV142" s="207"/>
      <c r="IW142" s="207"/>
      <c r="IX142" s="207"/>
      <c r="IY142" s="12"/>
      <c r="IZ142" s="12"/>
      <c r="JA142" s="125"/>
      <c r="JB142" s="132">
        <v>8.3333333333333329E-2</v>
      </c>
      <c r="JC142" s="125"/>
      <c r="JD142" s="232">
        <f>SUM((TEXT(JA142,"[M]")/60)*'Income Person-hours'!$D$3,(TEXT(JB142,"[M]")/60)*'Income Person-hours'!$D$4,(TEXT(JC142,"[M]")/60)*'Income Person-hours'!$D$5)</f>
        <v>1832000</v>
      </c>
    </row>
    <row r="143" spans="1:264 16383:16384" s="231" customFormat="1" ht="15.75" x14ac:dyDescent="0.45">
      <c r="A143" s="214">
        <v>7.2</v>
      </c>
      <c r="B143" s="118" t="s">
        <v>161</v>
      </c>
      <c r="C143" s="119" t="s">
        <v>154</v>
      </c>
      <c r="D143" s="210" t="str">
        <f>IF(OR(j_WEEKDAY(J_ADDDAY(VLOOKUP(I143,A:F,6,FALSE),H143,1),0)=6,SUMIFS(Holieday[ok],Holieday[date],J_ADDDAY(VLOOKUP(I143,A:F,6,FALSE),H143,1)))=FALSE(),J_ADDDAY(VLOOKUP(I143,A:F,6,FALSE),H143,1),IF(OR(j_WEEKDAY(J_ADDDAY(VLOOKUP(I143,A:F,6,FALSE),H143+1,1),0)=6,SUMIFS(Holieday[ok],Holieday[date],J_ADDDAY(VLOOKUP(I143,A:F,6,FALSE),H143+1,1)))=FALSE(),J_ADDDAY(VLOOKUP(I143,A:F,6,FALSE),H143+1,1),IF(OR(j_WEEKDAY(J_ADDDAY(VLOOKUP(I143,A:F,6,FALSE),H143+2,1),0)=6,SUMIFS(Holieday[ok],Holieday[date],J_ADDDAY(VLOOKUP(I143,A:F,6,FALSE),H143+2,1)))=FALSE(),J_ADDDAY(VLOOKUP(I143,A:F,6,FALSE),H143+2,1),IF(OR(j_WEEKDAY(J_ADDDAY(VLOOKUP(I143,A:F,6,FALSE),H143+3,1),0)=6,SUMIFS(Holieday[ok],Holieday[date],J_ADDDAY(VLOOKUP(I143,A:F,6,FALSE),H143+3,1)))=FALSE(),J_ADDDAY(VLOOKUP(I143,A:F,6,FALSE),H143+3,1),IF(OR(j_WEEKDAY(J_ADDDAY(VLOOKUP(I143,A:F,6,FALSE),H143+4,1),0)=6,SUMIFS(Holieday[ok],Holieday[date],J_ADDDAY(VLOOKUP(I143,A:F,6,FALSE),H143+4,1)))=FALSE(),J_ADDDAY(VLOOKUP(I143,A:F,6,FALSE),H143+4,1),J_ADDDAY(VLOOKUP(I143,A:F,6,FALSE),H143+5,1))))))</f>
        <v>1398/08/02</v>
      </c>
      <c r="E143" s="198">
        <f t="shared" si="43"/>
        <v>13980802</v>
      </c>
      <c r="F143" s="210" t="str">
        <f>IF(N143=0,J_SUBDAY(D143,1,1)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0,J_SUBDAY(J_ADDDAY(D143,N143,1)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1,J_SUBDAY(J_ADDDAY(D143,N143+1,1),1,1),IF((N143-NETWORKDAYS.INTL(J_GregorianDate(D143,1),J_GregorianDate(J_SUBDAY(J_ADDDAY(D143,N143,1),1,1),1),16,1)-SUMIFS(Holieday[ok],Holieday[date],CONCATENATE("&gt;","=",D143),Holieday[date],CONCATENATE("&lt;","=",J_SUBDAY(J_ADDDAY(D143,N143,1),1,1)))+SUMIFS(Holieday[Friday],Holieday[date],CONCATENATE("&gt;","=",D143),Holieday[date],CONCATENATE("&lt;","=",J_SUBDAY(J_ADDDAY(D143,N143,1),1,1))))=2,J_SUBDAY(J_ADDDAY(D143,N143+2,1),1,1),J_SUBDAY(J_ADDDAY(D143,N143+3,1),1,1)))))</f>
        <v>1398/08/15</v>
      </c>
      <c r="G143" s="201">
        <f t="shared" si="44"/>
        <v>13980815</v>
      </c>
      <c r="H143" s="121">
        <v>3</v>
      </c>
      <c r="I143" s="122">
        <v>7.1</v>
      </c>
      <c r="J143" s="209" t="str">
        <f>j_WEEKDAY(D143,1)</f>
        <v>پنجشنبه</v>
      </c>
      <c r="K143" s="211">
        <f t="shared" si="47"/>
        <v>1.0416666666666667</v>
      </c>
      <c r="L143" s="212">
        <f t="shared" si="48"/>
        <v>14</v>
      </c>
      <c r="M143" s="123">
        <v>0.1</v>
      </c>
      <c r="N143" s="120">
        <v>12</v>
      </c>
      <c r="O143" s="213">
        <f t="shared" ref="O143:O162" si="51">ROUNDDOWN(M143*L143,0)</f>
        <v>1</v>
      </c>
      <c r="P143" s="213">
        <f>VALUE(J_normdate(J_ADDDAY($D143,$O143,1)))</f>
        <v>13980803</v>
      </c>
      <c r="Q143" s="209">
        <f t="shared" ref="Q143:Q162" si="52">L143-O143</f>
        <v>13</v>
      </c>
      <c r="R143" s="207"/>
      <c r="S143" s="207"/>
      <c r="T143" s="207"/>
      <c r="U143" s="207"/>
      <c r="V143" s="207"/>
      <c r="W143" s="207"/>
      <c r="X143" s="207"/>
      <c r="Y143" s="207"/>
      <c r="Z143" s="207"/>
      <c r="AA143" s="207"/>
      <c r="AB143" s="207"/>
      <c r="AC143" s="207"/>
      <c r="AD143" s="207"/>
      <c r="AE143" s="207"/>
      <c r="AF143" s="207"/>
      <c r="AG143" s="207"/>
      <c r="AH143" s="207"/>
      <c r="AI143" s="207"/>
      <c r="AJ143" s="207"/>
      <c r="AK143" s="207"/>
      <c r="AL143" s="207"/>
      <c r="AM143" s="207"/>
      <c r="AN143" s="207"/>
      <c r="AO143" s="207"/>
      <c r="AP143" s="207"/>
      <c r="AQ143" s="207"/>
      <c r="AR143" s="207"/>
      <c r="AS143" s="207"/>
      <c r="AT143" s="207"/>
      <c r="AU143" s="207"/>
      <c r="AV143" s="207"/>
      <c r="AW143" s="207"/>
      <c r="AX143" s="207"/>
      <c r="AY143" s="207"/>
      <c r="AZ143" s="207"/>
      <c r="BA143" s="207"/>
      <c r="BB143" s="207"/>
      <c r="BC143" s="207"/>
      <c r="BD143" s="207"/>
      <c r="BE143" s="207"/>
      <c r="BF143" s="207"/>
      <c r="BG143" s="207"/>
      <c r="BH143" s="207"/>
      <c r="BI143" s="207"/>
      <c r="BJ143" s="207"/>
      <c r="BK143" s="207"/>
      <c r="BL143" s="207"/>
      <c r="BM143" s="207"/>
      <c r="BN143" s="207"/>
      <c r="BO143" s="207"/>
      <c r="BP143" s="207"/>
      <c r="BQ143" s="207"/>
      <c r="BR143" s="207"/>
      <c r="BS143" s="207"/>
      <c r="BT143" s="207"/>
      <c r="BU143" s="207"/>
      <c r="BV143" s="207"/>
      <c r="BW143" s="207"/>
      <c r="BX143" s="207"/>
      <c r="BY143" s="207"/>
      <c r="BZ143" s="207"/>
      <c r="CA143" s="207"/>
      <c r="CB143" s="207"/>
      <c r="CC143" s="207"/>
      <c r="CD143" s="207"/>
      <c r="CE143" s="207"/>
      <c r="CF143" s="207"/>
      <c r="CG143" s="207"/>
      <c r="CH143" s="207"/>
      <c r="CI143" s="207"/>
      <c r="CJ143" s="207"/>
      <c r="CK143" s="207"/>
      <c r="CL143" s="207"/>
      <c r="CM143" s="207"/>
      <c r="CN143" s="207"/>
      <c r="CO143" s="207"/>
      <c r="CP143" s="207"/>
      <c r="CQ143" s="207"/>
      <c r="CR143" s="207"/>
      <c r="CS143" s="207"/>
      <c r="CT143" s="207"/>
      <c r="CU143" s="207"/>
      <c r="CV143" s="207"/>
      <c r="CW143" s="207"/>
      <c r="CX143" s="207"/>
      <c r="CY143" s="207"/>
      <c r="CZ143" s="207"/>
      <c r="DA143" s="207"/>
      <c r="DB143" s="207"/>
      <c r="DC143" s="207"/>
      <c r="DD143" s="207"/>
      <c r="DE143" s="207"/>
      <c r="DF143" s="207"/>
      <c r="DG143" s="207"/>
      <c r="DH143" s="207"/>
      <c r="DI143" s="207"/>
      <c r="DJ143" s="207"/>
      <c r="DK143" s="207"/>
      <c r="DL143" s="207"/>
      <c r="DM143" s="207"/>
      <c r="DN143" s="207"/>
      <c r="DO143" s="207"/>
      <c r="DP143" s="207"/>
      <c r="DQ143" s="207"/>
      <c r="DR143" s="207"/>
      <c r="DS143" s="207"/>
      <c r="DT143" s="207"/>
      <c r="DU143" s="207"/>
      <c r="DV143" s="207"/>
      <c r="DW143" s="207"/>
      <c r="DX143" s="207"/>
      <c r="DY143" s="207"/>
      <c r="DZ143" s="207"/>
      <c r="EA143" s="207"/>
      <c r="EB143" s="207"/>
      <c r="EC143" s="207"/>
      <c r="ED143" s="207"/>
      <c r="EE143" s="207"/>
      <c r="EF143" s="207"/>
      <c r="EG143" s="207"/>
      <c r="EH143" s="207"/>
      <c r="EI143" s="207"/>
      <c r="EJ143" s="207"/>
      <c r="EK143" s="207"/>
      <c r="EL143" s="207"/>
      <c r="EM143" s="207"/>
      <c r="EN143" s="207"/>
      <c r="EO143" s="207"/>
      <c r="EP143" s="207"/>
      <c r="EQ143" s="207"/>
      <c r="ER143" s="207"/>
      <c r="ES143" s="207"/>
      <c r="ET143" s="207"/>
      <c r="EU143" s="207"/>
      <c r="EV143" s="207"/>
      <c r="EW143" s="207"/>
      <c r="EX143" s="207"/>
      <c r="EY143" s="207"/>
      <c r="EZ143" s="207"/>
      <c r="FA143" s="207"/>
      <c r="FB143" s="207"/>
      <c r="FC143" s="207"/>
      <c r="FD143" s="207"/>
      <c r="FE143" s="207"/>
      <c r="FF143" s="207"/>
      <c r="FG143" s="207"/>
      <c r="FH143" s="207"/>
      <c r="FI143" s="207"/>
      <c r="FJ143" s="207"/>
      <c r="FK143" s="207"/>
      <c r="FL143" s="207"/>
      <c r="FM143" s="207"/>
      <c r="FN143" s="207"/>
      <c r="FO143" s="207"/>
      <c r="FP143" s="207"/>
      <c r="FQ143" s="207"/>
      <c r="FR143" s="207"/>
      <c r="FS143" s="207"/>
      <c r="FT143" s="207"/>
      <c r="FU143" s="207"/>
      <c r="FV143" s="207"/>
      <c r="FW143" s="207"/>
      <c r="FX143" s="207"/>
      <c r="FY143" s="207"/>
      <c r="FZ143" s="207"/>
      <c r="GA143" s="207"/>
      <c r="GB143" s="207"/>
      <c r="GC143" s="207"/>
      <c r="GD143" s="207"/>
      <c r="GE143" s="207"/>
      <c r="GF143" s="207"/>
      <c r="GG143" s="207"/>
      <c r="GH143" s="207"/>
      <c r="GI143" s="207"/>
      <c r="GJ143" s="207"/>
      <c r="GK143" s="207"/>
      <c r="GL143" s="207"/>
      <c r="GM143" s="207"/>
      <c r="GN143" s="207"/>
      <c r="GO143" s="207"/>
      <c r="GP143" s="207"/>
      <c r="GQ143" s="207"/>
      <c r="GR143" s="207"/>
      <c r="GS143" s="207"/>
      <c r="GT143" s="207"/>
      <c r="GU143" s="207"/>
      <c r="GV143" s="207"/>
      <c r="GW143" s="207"/>
      <c r="GX143" s="207"/>
      <c r="GY143" s="207"/>
      <c r="GZ143" s="207"/>
      <c r="HA143" s="207"/>
      <c r="HB143" s="207"/>
      <c r="HC143" s="207"/>
      <c r="HD143" s="207"/>
      <c r="HE143" s="207"/>
      <c r="HF143" s="207"/>
      <c r="HG143" s="207"/>
      <c r="HH143" s="207"/>
      <c r="HI143" s="207"/>
      <c r="HJ143" s="207"/>
      <c r="HK143" s="207"/>
      <c r="HL143" s="207"/>
      <c r="HM143" s="207"/>
      <c r="HN143" s="207"/>
      <c r="HO143" s="207"/>
      <c r="HP143" s="207"/>
      <c r="HQ143" s="207"/>
      <c r="HR143" s="207"/>
      <c r="HS143" s="207"/>
      <c r="HT143" s="207"/>
      <c r="HU143" s="207"/>
      <c r="HV143" s="207"/>
      <c r="HW143" s="207"/>
      <c r="HX143" s="207"/>
      <c r="HY143" s="207"/>
      <c r="HZ143" s="207"/>
      <c r="IA143" s="207"/>
      <c r="IB143" s="207"/>
      <c r="IC143" s="207"/>
      <c r="ID143" s="207"/>
      <c r="IE143" s="207"/>
      <c r="IF143" s="207"/>
      <c r="IG143" s="207"/>
      <c r="IH143" s="207"/>
      <c r="II143" s="207"/>
      <c r="IJ143" s="207"/>
      <c r="IK143" s="207"/>
      <c r="IL143" s="207"/>
      <c r="IM143" s="207"/>
      <c r="IN143" s="207"/>
      <c r="IO143" s="207"/>
      <c r="IP143" s="207"/>
      <c r="IQ143" s="207"/>
      <c r="IR143" s="207"/>
      <c r="IS143" s="207"/>
      <c r="IT143" s="207"/>
      <c r="IU143" s="207"/>
      <c r="IV143" s="207"/>
      <c r="IW143" s="207"/>
      <c r="IX143" s="207"/>
      <c r="IY143" s="12"/>
      <c r="IZ143" s="12"/>
      <c r="JA143" s="125"/>
      <c r="JB143" s="132"/>
      <c r="JC143" s="131">
        <v>1.0416666666666667</v>
      </c>
      <c r="JD143" s="232">
        <f>SUM((TEXT(JA143,"[M]")/60)*'Income Person-hours'!$D$3,(TEXT(JB143,"[M]")/60)*'Income Person-hours'!$D$4,(TEXT(JC143,"[M]")/60)*'Income Person-hours'!$D$5)</f>
        <v>13875000</v>
      </c>
    </row>
    <row r="144" spans="1:264 16383:16384" s="231" customFormat="1" ht="15.75" hidden="1" x14ac:dyDescent="0.45">
      <c r="A144" s="214">
        <v>7.3</v>
      </c>
      <c r="B144" s="128"/>
      <c r="C144" s="119"/>
      <c r="D144" s="210" t="str">
        <f>IF(OR(j_WEEKDAY(J_ADDDAY(VLOOKUP(I144,A:F,6,FALSE),H144,1),0)=6,SUMIFS(Holieday[ok],Holieday[date],J_ADDDAY(VLOOKUP(I144,A:F,6,FALSE),H144,1)))=FALSE(),J_ADDDAY(VLOOKUP(I144,A:F,6,FALSE),H144,1),IF(OR(j_WEEKDAY(J_ADDDAY(VLOOKUP(I144,A:F,6,FALSE),H144+1,1),0)=6,SUMIFS(Holieday[ok],Holieday[date],J_ADDDAY(VLOOKUP(I144,A:F,6,FALSE),H144+1,1)))=FALSE(),J_ADDDAY(VLOOKUP(I144,A:F,6,FALSE),H144+1,1),IF(OR(j_WEEKDAY(J_ADDDAY(VLOOKUP(I144,A:F,6,FALSE),H144+2,1),0)=6,SUMIFS(Holieday[ok],Holieday[date],J_ADDDAY(VLOOKUP(I144,A:F,6,FALSE),H144+2,1)))=FALSE(),J_ADDDAY(VLOOKUP(I144,A:F,6,FALSE),H144+2,1),IF(OR(j_WEEKDAY(J_ADDDAY(VLOOKUP(I144,A:F,6,FALSE),H144+3,1),0)=6,SUMIFS(Holieday[ok],Holieday[date],J_ADDDAY(VLOOKUP(I144,A:F,6,FALSE),H144+3,1)))=FALSE(),J_ADDDAY(VLOOKUP(I144,A:F,6,FALSE),H144+3,1),IF(OR(j_WEEKDAY(J_ADDDAY(VLOOKUP(I144,A:F,6,FALSE),H144+4,1),0)=6,SUMIFS(Holieday[ok],Holieday[date],J_ADDDAY(VLOOKUP(I144,A:F,6,FALSE),H144+4,1)))=FALSE(),J_ADDDAY(VLOOKUP(I144,A:F,6,FALSE),H144+4,1),J_ADDDAY(VLOOKUP(I144,A:F,6,FALSE),H144+5,1))))))</f>
        <v>1398/08/15</v>
      </c>
      <c r="E144" s="198">
        <f t="shared" si="43"/>
        <v>13980815</v>
      </c>
      <c r="F144" s="210" t="str">
        <f>IF(N144=0,J_SUBDAY(D144,1,1)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0,J_SUBDAY(J_ADDDAY(D144,N144,1)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1,J_SUBDAY(J_ADDDAY(D144,N144+1,1),1,1),IF((N144-NETWORKDAYS.INTL(J_GregorianDate(D144,1),J_GregorianDate(J_SUBDAY(J_ADDDAY(D144,N144,1),1,1),1),16,1)-SUMIFS(Holieday[ok],Holieday[date],CONCATENATE("&gt;","=",D144),Holieday[date],CONCATENATE("&lt;","=",J_SUBDAY(J_ADDDAY(D144,N144,1),1,1)))+SUMIFS(Holieday[Friday],Holieday[date],CONCATENATE("&gt;","=",D144),Holieday[date],CONCATENATE("&lt;","=",J_SUBDAY(J_ADDDAY(D144,N144,1),1,1))))=2,J_SUBDAY(J_ADDDAY(D144,N144+2,1),1,1),J_SUBDAY(J_ADDDAY(D144,N144+3,1),1,1)))))</f>
        <v>1398/08/14</v>
      </c>
      <c r="G144" s="201">
        <f t="shared" si="44"/>
        <v>13980814</v>
      </c>
      <c r="H144" s="121"/>
      <c r="I144" s="122">
        <v>7.2</v>
      </c>
      <c r="J144" s="209" t="str">
        <f>j_WEEKDAY(D144,1)</f>
        <v>چهارشنبه</v>
      </c>
      <c r="K144" s="211">
        <f t="shared" si="47"/>
        <v>0</v>
      </c>
      <c r="L144" s="212">
        <f t="shared" si="48"/>
        <v>0</v>
      </c>
      <c r="M144" s="123">
        <v>0</v>
      </c>
      <c r="N144" s="120">
        <v>0</v>
      </c>
      <c r="O144" s="213">
        <f t="shared" si="51"/>
        <v>0</v>
      </c>
      <c r="P144" s="213">
        <f>VALUE(J_normdate(J_ADDDAY($D144,$O144,1)))</f>
        <v>13980815</v>
      </c>
      <c r="Q144" s="209">
        <f t="shared" si="52"/>
        <v>0</v>
      </c>
      <c r="R144" s="207"/>
      <c r="S144" s="207"/>
      <c r="T144" s="207"/>
      <c r="U144" s="207"/>
      <c r="V144" s="207"/>
      <c r="W144" s="207"/>
      <c r="X144" s="207"/>
      <c r="Y144" s="207"/>
      <c r="Z144" s="207"/>
      <c r="AA144" s="207"/>
      <c r="AB144" s="207"/>
      <c r="AC144" s="207"/>
      <c r="AD144" s="207"/>
      <c r="AE144" s="207"/>
      <c r="AF144" s="207"/>
      <c r="AG144" s="207"/>
      <c r="AH144" s="207"/>
      <c r="AI144" s="207"/>
      <c r="AJ144" s="207"/>
      <c r="AK144" s="207"/>
      <c r="AL144" s="207"/>
      <c r="AM144" s="207"/>
      <c r="AN144" s="207"/>
      <c r="AO144" s="207"/>
      <c r="AP144" s="207"/>
      <c r="AQ144" s="207"/>
      <c r="AR144" s="207"/>
      <c r="AS144" s="207"/>
      <c r="AT144" s="207"/>
      <c r="AU144" s="207"/>
      <c r="AV144" s="207"/>
      <c r="AW144" s="207"/>
      <c r="AX144" s="207"/>
      <c r="AY144" s="207"/>
      <c r="AZ144" s="207"/>
      <c r="BA144" s="207"/>
      <c r="BB144" s="207"/>
      <c r="BC144" s="207"/>
      <c r="BD144" s="207"/>
      <c r="BE144" s="207"/>
      <c r="BF144" s="207"/>
      <c r="BG144" s="207"/>
      <c r="BH144" s="207"/>
      <c r="BI144" s="207"/>
      <c r="BJ144" s="207"/>
      <c r="BK144" s="207"/>
      <c r="BL144" s="207"/>
      <c r="BM144" s="207"/>
      <c r="BN144" s="207"/>
      <c r="BO144" s="207"/>
      <c r="BP144" s="207"/>
      <c r="BQ144" s="207"/>
      <c r="BR144" s="207"/>
      <c r="BS144" s="207"/>
      <c r="BT144" s="207"/>
      <c r="BU144" s="207"/>
      <c r="BV144" s="207"/>
      <c r="BW144" s="207"/>
      <c r="BX144" s="207"/>
      <c r="BY144" s="207"/>
      <c r="BZ144" s="207"/>
      <c r="CA144" s="207"/>
      <c r="CB144" s="207"/>
      <c r="CC144" s="207"/>
      <c r="CD144" s="207"/>
      <c r="CE144" s="207"/>
      <c r="CF144" s="207"/>
      <c r="CG144" s="207"/>
      <c r="CH144" s="207"/>
      <c r="CI144" s="207"/>
      <c r="CJ144" s="207"/>
      <c r="CK144" s="207"/>
      <c r="CL144" s="207"/>
      <c r="CM144" s="207"/>
      <c r="CN144" s="207"/>
      <c r="CO144" s="207"/>
      <c r="CP144" s="207"/>
      <c r="CQ144" s="207"/>
      <c r="CR144" s="207"/>
      <c r="CS144" s="207"/>
      <c r="CT144" s="207"/>
      <c r="CU144" s="207"/>
      <c r="CV144" s="207"/>
      <c r="CW144" s="207"/>
      <c r="CX144" s="207"/>
      <c r="CY144" s="207"/>
      <c r="CZ144" s="207"/>
      <c r="DA144" s="207"/>
      <c r="DB144" s="207"/>
      <c r="DC144" s="207"/>
      <c r="DD144" s="207"/>
      <c r="DE144" s="207"/>
      <c r="DF144" s="207"/>
      <c r="DG144" s="207"/>
      <c r="DH144" s="207"/>
      <c r="DI144" s="207"/>
      <c r="DJ144" s="207"/>
      <c r="DK144" s="207"/>
      <c r="DL144" s="207"/>
      <c r="DM144" s="207"/>
      <c r="DN144" s="207"/>
      <c r="DO144" s="207"/>
      <c r="DP144" s="207"/>
      <c r="DQ144" s="207"/>
      <c r="DR144" s="207"/>
      <c r="DS144" s="207"/>
      <c r="DT144" s="207"/>
      <c r="DU144" s="207"/>
      <c r="DV144" s="207"/>
      <c r="DW144" s="207"/>
      <c r="DX144" s="207"/>
      <c r="DY144" s="207"/>
      <c r="DZ144" s="207"/>
      <c r="EA144" s="207"/>
      <c r="EB144" s="207"/>
      <c r="EC144" s="207"/>
      <c r="ED144" s="207"/>
      <c r="EE144" s="207"/>
      <c r="EF144" s="207"/>
      <c r="EG144" s="207"/>
      <c r="EH144" s="207"/>
      <c r="EI144" s="207"/>
      <c r="EJ144" s="207"/>
      <c r="EK144" s="207"/>
      <c r="EL144" s="207"/>
      <c r="EM144" s="207"/>
      <c r="EN144" s="207"/>
      <c r="EO144" s="207"/>
      <c r="EP144" s="207"/>
      <c r="EQ144" s="207"/>
      <c r="ER144" s="207"/>
      <c r="ES144" s="207"/>
      <c r="ET144" s="207"/>
      <c r="EU144" s="207"/>
      <c r="EV144" s="207"/>
      <c r="EW144" s="207"/>
      <c r="EX144" s="207"/>
      <c r="EY144" s="207"/>
      <c r="EZ144" s="207"/>
      <c r="FA144" s="207"/>
      <c r="FB144" s="207"/>
      <c r="FC144" s="207"/>
      <c r="FD144" s="207"/>
      <c r="FE144" s="207"/>
      <c r="FF144" s="207"/>
      <c r="FG144" s="207"/>
      <c r="FH144" s="207"/>
      <c r="FI144" s="207"/>
      <c r="FJ144" s="207"/>
      <c r="FK144" s="207"/>
      <c r="FL144" s="207"/>
      <c r="FM144" s="207"/>
      <c r="FN144" s="207"/>
      <c r="FO144" s="207"/>
      <c r="FP144" s="207"/>
      <c r="FQ144" s="207"/>
      <c r="FR144" s="207"/>
      <c r="FS144" s="207"/>
      <c r="FT144" s="207"/>
      <c r="FU144" s="207"/>
      <c r="FV144" s="207"/>
      <c r="FW144" s="207"/>
      <c r="FX144" s="207"/>
      <c r="FY144" s="207"/>
      <c r="FZ144" s="207"/>
      <c r="GA144" s="207"/>
      <c r="GB144" s="207"/>
      <c r="GC144" s="207"/>
      <c r="GD144" s="207"/>
      <c r="GE144" s="207"/>
      <c r="GF144" s="207"/>
      <c r="GG144" s="207"/>
      <c r="GH144" s="207"/>
      <c r="GI144" s="207"/>
      <c r="GJ144" s="207"/>
      <c r="GK144" s="207"/>
      <c r="GL144" s="207"/>
      <c r="GM144" s="207"/>
      <c r="GN144" s="207"/>
      <c r="GO144" s="207"/>
      <c r="GP144" s="207"/>
      <c r="GQ144" s="207"/>
      <c r="GR144" s="207"/>
      <c r="GS144" s="207"/>
      <c r="GT144" s="207"/>
      <c r="GU144" s="207"/>
      <c r="GV144" s="207"/>
      <c r="GW144" s="207"/>
      <c r="GX144" s="207"/>
      <c r="GY144" s="207"/>
      <c r="GZ144" s="207"/>
      <c r="HA144" s="207"/>
      <c r="HB144" s="207"/>
      <c r="HC144" s="207"/>
      <c r="HD144" s="207"/>
      <c r="HE144" s="207"/>
      <c r="HF144" s="207"/>
      <c r="HG144" s="207"/>
      <c r="HH144" s="207"/>
      <c r="HI144" s="207"/>
      <c r="HJ144" s="207"/>
      <c r="HK144" s="207"/>
      <c r="HL144" s="207"/>
      <c r="HM144" s="207"/>
      <c r="HN144" s="207"/>
      <c r="HO144" s="207"/>
      <c r="HP144" s="207"/>
      <c r="HQ144" s="207"/>
      <c r="HR144" s="207"/>
      <c r="HS144" s="207"/>
      <c r="HT144" s="207"/>
      <c r="HU144" s="207"/>
      <c r="HV144" s="207"/>
      <c r="HW144" s="207"/>
      <c r="HX144" s="207"/>
      <c r="HY144" s="207"/>
      <c r="HZ144" s="207"/>
      <c r="IA144" s="207"/>
      <c r="IB144" s="207"/>
      <c r="IC144" s="207"/>
      <c r="ID144" s="207"/>
      <c r="IE144" s="207"/>
      <c r="IF144" s="207"/>
      <c r="IG144" s="207"/>
      <c r="IH144" s="207"/>
      <c r="II144" s="207"/>
      <c r="IJ144" s="207"/>
      <c r="IK144" s="207"/>
      <c r="IL144" s="207"/>
      <c r="IM144" s="207"/>
      <c r="IN144" s="207"/>
      <c r="IO144" s="207"/>
      <c r="IP144" s="207"/>
      <c r="IQ144" s="207"/>
      <c r="IR144" s="207"/>
      <c r="IS144" s="207"/>
      <c r="IT144" s="207"/>
      <c r="IU144" s="207"/>
      <c r="IV144" s="207"/>
      <c r="IW144" s="207"/>
      <c r="IX144" s="207"/>
      <c r="IY144" s="12"/>
      <c r="IZ144" s="12"/>
      <c r="JA144" s="125"/>
      <c r="JB144" s="132"/>
      <c r="JC144" s="131"/>
      <c r="JD144" s="232">
        <f>SUM((TEXT(JA144,"[M]")/60)*'Income Person-hours'!$D$3,(TEXT(JB144,"[M]")/60)*'Income Person-hours'!$D$4,(TEXT(JC144,"[M]")/60)*'Income Person-hours'!$D$5)</f>
        <v>0</v>
      </c>
    </row>
    <row r="145" spans="1:264" s="12" customFormat="1" ht="15.75" hidden="1" x14ac:dyDescent="0.45">
      <c r="A145" s="214">
        <v>7.4</v>
      </c>
      <c r="B145" s="128"/>
      <c r="C145" s="119"/>
      <c r="D145" s="13" t="str">
        <f>IF(OR(j_WEEKDAY(J_ADDDAY(VLOOKUP(I145,A:F,6,FALSE),H145,1),0)=6,SUMIFS(Holieday[ok],Holieday[date],J_ADDDAY(VLOOKUP(I145,A:F,6,FALSE),H145,1)))=FALSE(),J_ADDDAY(VLOOKUP(I145,A:F,6,FALSE),H145,1),IF(OR(j_WEEKDAY(J_ADDDAY(VLOOKUP(I145,A:F,6,FALSE),H145+1,1),0)=6,SUMIFS(Holieday[ok],Holieday[date],J_ADDDAY(VLOOKUP(I145,A:F,6,FALSE),H145+1,1)))=FALSE(),J_ADDDAY(VLOOKUP(I145,A:F,6,FALSE),H145+1,1),IF(OR(j_WEEKDAY(J_ADDDAY(VLOOKUP(I145,A:F,6,FALSE),H145+2,1),0)=6,SUMIFS(Holieday[ok],Holieday[date],J_ADDDAY(VLOOKUP(I145,A:F,6,FALSE),H145+2,1)))=FALSE(),J_ADDDAY(VLOOKUP(I145,A:F,6,FALSE),H145+2,1),IF(OR(j_WEEKDAY(J_ADDDAY(VLOOKUP(I145,A:F,6,FALSE),H145+3,1),0)=6,SUMIFS(Holieday[ok],Holieday[date],J_ADDDAY(VLOOKUP(I145,A:F,6,FALSE),H145+3,1)))=FALSE(),J_ADDDAY(VLOOKUP(I145,A:F,6,FALSE),H145+3,1),IF(OR(j_WEEKDAY(J_ADDDAY(VLOOKUP(I145,A:F,6,FALSE),H145+4,1),0)=6,SUMIFS(Holieday[ok],Holieday[date],J_ADDDAY(VLOOKUP(I145,A:F,6,FALSE),H145+4,1)))=FALSE(),J_ADDDAY(VLOOKUP(I145,A:F,6,FALSE),H145+4,1),J_ADDDAY(VLOOKUP(I145,A:F,6,FALSE),H145+5,1))))))</f>
        <v>1398/08/14</v>
      </c>
      <c r="E145" s="2">
        <f t="shared" si="43"/>
        <v>13980814</v>
      </c>
      <c r="F145" s="13" t="str">
        <f>IF(N145=0,J_SUBDAY(D145,1,1)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0,J_SUBDAY(J_ADDDAY(D145,N145,1)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1,J_SUBDAY(J_ADDDAY(D145,N145+1,1),1,1),IF((N145-NETWORKDAYS.INTL(J_GregorianDate(D145,1),J_GregorianDate(J_SUBDAY(J_ADDDAY(D145,N145,1),1,1),1),16,1)-SUMIFS(Holieday[ok],Holieday[date],CONCATENATE("&gt;","=",D145),Holieday[date],CONCATENATE("&lt;","=",J_SUBDAY(J_ADDDAY(D145,N145,1),1,1)))+SUMIFS(Holieday[Friday],Holieday[date],CONCATENATE("&gt;","=",D145),Holieday[date],CONCATENATE("&lt;","=",J_SUBDAY(J_ADDDAY(D145,N145,1),1,1))))=2,J_SUBDAY(J_ADDDAY(D145,N145+2,1),1,1),J_SUBDAY(J_ADDDAY(D145,N145+3,1),1,1)))))</f>
        <v>1398/08/13</v>
      </c>
      <c r="G145" s="3">
        <f t="shared" si="44"/>
        <v>13980813</v>
      </c>
      <c r="H145" s="121"/>
      <c r="I145" s="122">
        <v>7.3</v>
      </c>
      <c r="J145" s="10" t="str">
        <f>j_WEEKDAY(D145,1)</f>
        <v>سه‌شنبه</v>
      </c>
      <c r="K145" s="23">
        <f t="shared" si="47"/>
        <v>0</v>
      </c>
      <c r="L145" s="9">
        <f t="shared" si="48"/>
        <v>0</v>
      </c>
      <c r="M145" s="123">
        <v>0</v>
      </c>
      <c r="N145" s="120">
        <v>0</v>
      </c>
      <c r="O145" s="11">
        <f t="shared" si="51"/>
        <v>0</v>
      </c>
      <c r="P145" s="11">
        <f>VALUE(J_normdate(J_ADDDAY($D145,$O145,1)))</f>
        <v>13980814</v>
      </c>
      <c r="Q145" s="10">
        <f t="shared" si="52"/>
        <v>0</v>
      </c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  <c r="ES145" s="8"/>
      <c r="ET145" s="8"/>
      <c r="EU145" s="8"/>
      <c r="EV145" s="8"/>
      <c r="EW145" s="8"/>
      <c r="EX145" s="8"/>
      <c r="EY145" s="8"/>
      <c r="EZ145" s="8"/>
      <c r="FA145" s="8"/>
      <c r="FB145" s="8"/>
      <c r="FC145" s="8"/>
      <c r="FD145" s="8"/>
      <c r="FE145" s="8"/>
      <c r="FF145" s="8"/>
      <c r="FG145" s="8"/>
      <c r="FH145" s="8"/>
      <c r="FI145" s="8"/>
      <c r="FJ145" s="8"/>
      <c r="FK145" s="8"/>
      <c r="FL145" s="8"/>
      <c r="FM145" s="8"/>
      <c r="FN145" s="8"/>
      <c r="FO145" s="8"/>
      <c r="FP145" s="8"/>
      <c r="FQ145" s="8"/>
      <c r="FR145" s="8"/>
      <c r="FS145" s="8"/>
      <c r="FT145" s="8"/>
      <c r="FU145" s="8"/>
      <c r="FV145" s="8"/>
      <c r="FW145" s="8"/>
      <c r="FX145" s="8"/>
      <c r="FY145" s="8"/>
      <c r="FZ145" s="8"/>
      <c r="GA145" s="8"/>
      <c r="GB145" s="8"/>
      <c r="GC145" s="8"/>
      <c r="GD145" s="8"/>
      <c r="GE145" s="8"/>
      <c r="GF145" s="8"/>
      <c r="GG145" s="8"/>
      <c r="GH145" s="8"/>
      <c r="GI145" s="8"/>
      <c r="GJ145" s="8"/>
      <c r="GK145" s="8"/>
      <c r="GL145" s="8"/>
      <c r="GM145" s="8"/>
      <c r="GN145" s="8"/>
      <c r="GO145" s="8"/>
      <c r="GP145" s="8"/>
      <c r="GQ145" s="8"/>
      <c r="GR145" s="8"/>
      <c r="GS145" s="8"/>
      <c r="GT145" s="8"/>
      <c r="GU145" s="8"/>
      <c r="GV145" s="8"/>
      <c r="GW145" s="8"/>
      <c r="GX145" s="8"/>
      <c r="GY145" s="8"/>
      <c r="GZ145" s="8"/>
      <c r="HA145" s="8"/>
      <c r="HB145" s="8"/>
      <c r="HC145" s="8"/>
      <c r="HD145" s="8"/>
      <c r="HE145" s="8"/>
      <c r="HF145" s="8"/>
      <c r="HG145" s="8"/>
      <c r="HH145" s="8"/>
      <c r="HI145" s="8"/>
      <c r="HJ145" s="8"/>
      <c r="HK145" s="8"/>
      <c r="HL145" s="8"/>
      <c r="HM145" s="8"/>
      <c r="HN145" s="8"/>
      <c r="HO145" s="8"/>
      <c r="HP145" s="8"/>
      <c r="HQ145" s="8"/>
      <c r="HR145" s="8"/>
      <c r="HS145" s="8"/>
      <c r="HT145" s="8"/>
      <c r="HU145" s="8"/>
      <c r="HV145" s="8"/>
      <c r="HW145" s="8"/>
      <c r="HX145" s="8"/>
      <c r="HY145" s="8"/>
      <c r="HZ145" s="8"/>
      <c r="IA145" s="8"/>
      <c r="IB145" s="8"/>
      <c r="IC145" s="8"/>
      <c r="ID145" s="8"/>
      <c r="IE145" s="8"/>
      <c r="IF145" s="8"/>
      <c r="IG145" s="8"/>
      <c r="IH145" s="8"/>
      <c r="II145" s="8"/>
      <c r="IJ145" s="8"/>
      <c r="IK145" s="8"/>
      <c r="IL145" s="8"/>
      <c r="IM145" s="8"/>
      <c r="IN145" s="8"/>
      <c r="IO145" s="8"/>
      <c r="IP145" s="8"/>
      <c r="IQ145" s="8"/>
      <c r="IR145" s="8"/>
      <c r="IS145" s="8"/>
      <c r="IT145" s="8"/>
      <c r="IU145" s="8"/>
      <c r="IV145" s="8"/>
      <c r="IW145" s="8"/>
      <c r="IX145" s="8"/>
      <c r="JA145" s="125"/>
      <c r="JB145" s="125"/>
      <c r="JC145" s="125"/>
      <c r="JD145" s="72">
        <f>SUM((TEXT(JA145,"[M]")/60)*'Income Person-hours'!$D$3,(TEXT(JB145,"[M]")/60)*'Income Person-hours'!$D$4,(TEXT(JC145,"[M]")/60)*'Income Person-hours'!$D$5)</f>
        <v>0</v>
      </c>
    </row>
    <row r="146" spans="1:264" s="12" customFormat="1" ht="15.75" hidden="1" x14ac:dyDescent="0.45">
      <c r="A146" s="214">
        <v>7.5</v>
      </c>
      <c r="B146" s="128"/>
      <c r="C146" s="119"/>
      <c r="D146" s="13" t="str">
        <f>IF(OR(j_WEEKDAY(J_ADDDAY(VLOOKUP(I146,A:F,6,FALSE),H146,1),0)=6,SUMIFS(Holieday[ok],Holieday[date],J_ADDDAY(VLOOKUP(I146,A:F,6,FALSE),H146,1)))=FALSE(),J_ADDDAY(VLOOKUP(I146,A:F,6,FALSE),H146,1),IF(OR(j_WEEKDAY(J_ADDDAY(VLOOKUP(I146,A:F,6,FALSE),H146+1,1),0)=6,SUMIFS(Holieday[ok],Holieday[date],J_ADDDAY(VLOOKUP(I146,A:F,6,FALSE),H146+1,1)))=FALSE(),J_ADDDAY(VLOOKUP(I146,A:F,6,FALSE),H146+1,1),IF(OR(j_WEEKDAY(J_ADDDAY(VLOOKUP(I146,A:F,6,FALSE),H146+2,1),0)=6,SUMIFS(Holieday[ok],Holieday[date],J_ADDDAY(VLOOKUP(I146,A:F,6,FALSE),H146+2,1)))=FALSE(),J_ADDDAY(VLOOKUP(I146,A:F,6,FALSE),H146+2,1),IF(OR(j_WEEKDAY(J_ADDDAY(VLOOKUP(I146,A:F,6,FALSE),H146+3,1),0)=6,SUMIFS(Holieday[ok],Holieday[date],J_ADDDAY(VLOOKUP(I146,A:F,6,FALSE),H146+3,1)))=FALSE(),J_ADDDAY(VLOOKUP(I146,A:F,6,FALSE),H146+3,1),IF(OR(j_WEEKDAY(J_ADDDAY(VLOOKUP(I146,A:F,6,FALSE),H146+4,1),0)=6,SUMIFS(Holieday[ok],Holieday[date],J_ADDDAY(VLOOKUP(I146,A:F,6,FALSE),H146+4,1)))=FALSE(),J_ADDDAY(VLOOKUP(I146,A:F,6,FALSE),H146+4,1),J_ADDDAY(VLOOKUP(I146,A:F,6,FALSE),H146+5,1))))))</f>
        <v>1398/08/14</v>
      </c>
      <c r="E146" s="2">
        <f t="shared" si="43"/>
        <v>13980814</v>
      </c>
      <c r="F146" s="13" t="str">
        <f>IF(N146=0,J_SUBDAY(D146,1,1)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0,J_SUBDAY(J_ADDDAY(D146,N146,1)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1,J_SUBDAY(J_ADDDAY(D146,N146+1,1),1,1),IF((N146-NETWORKDAYS.INTL(J_GregorianDate(D146,1),J_GregorianDate(J_SUBDAY(J_ADDDAY(D146,N146,1),1,1),1),16,1)-SUMIFS(Holieday[ok],Holieday[date],CONCATENATE("&gt;","=",D146),Holieday[date],CONCATENATE("&lt;","=",J_SUBDAY(J_ADDDAY(D146,N146,1),1,1)))+SUMIFS(Holieday[Friday],Holieday[date],CONCATENATE("&gt;","=",D146),Holieday[date],CONCATENATE("&lt;","=",J_SUBDAY(J_ADDDAY(D146,N146,1),1,1))))=2,J_SUBDAY(J_ADDDAY(D146,N146+2,1),1,1),J_SUBDAY(J_ADDDAY(D146,N146+3,1),1,1)))))</f>
        <v>1398/08/13</v>
      </c>
      <c r="G146" s="3">
        <f t="shared" si="44"/>
        <v>13980813</v>
      </c>
      <c r="H146" s="121"/>
      <c r="I146" s="122">
        <v>7.3</v>
      </c>
      <c r="J146" s="10" t="str">
        <f>j_WEEKDAY(D146,1)</f>
        <v>سه‌شنبه</v>
      </c>
      <c r="K146" s="23">
        <f t="shared" si="47"/>
        <v>0</v>
      </c>
      <c r="L146" s="9">
        <f t="shared" si="48"/>
        <v>0</v>
      </c>
      <c r="M146" s="123">
        <v>0</v>
      </c>
      <c r="N146" s="120">
        <v>0</v>
      </c>
      <c r="O146" s="11">
        <f t="shared" si="51"/>
        <v>0</v>
      </c>
      <c r="P146" s="11">
        <f>VALUE(J_normdate(J_ADDDAY($D146,$O146,1)))</f>
        <v>13980814</v>
      </c>
      <c r="Q146" s="10">
        <f t="shared" si="52"/>
        <v>0</v>
      </c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  <c r="ES146" s="8"/>
      <c r="ET146" s="8"/>
      <c r="EU146" s="8"/>
      <c r="EV146" s="8"/>
      <c r="EW146" s="8"/>
      <c r="EX146" s="8"/>
      <c r="EY146" s="8"/>
      <c r="EZ146" s="8"/>
      <c r="FA146" s="8"/>
      <c r="FB146" s="8"/>
      <c r="FC146" s="8"/>
      <c r="FD146" s="8"/>
      <c r="FE146" s="8"/>
      <c r="FF146" s="8"/>
      <c r="FG146" s="8"/>
      <c r="FH146" s="8"/>
      <c r="FI146" s="8"/>
      <c r="FJ146" s="8"/>
      <c r="FK146" s="8"/>
      <c r="FL146" s="8"/>
      <c r="FM146" s="8"/>
      <c r="FN146" s="8"/>
      <c r="FO146" s="8"/>
      <c r="FP146" s="8"/>
      <c r="FQ146" s="8"/>
      <c r="FR146" s="8"/>
      <c r="FS146" s="8"/>
      <c r="FT146" s="8"/>
      <c r="FU146" s="8"/>
      <c r="FV146" s="8"/>
      <c r="FW146" s="8"/>
      <c r="FX146" s="8"/>
      <c r="FY146" s="8"/>
      <c r="FZ146" s="8"/>
      <c r="GA146" s="8"/>
      <c r="GB146" s="8"/>
      <c r="GC146" s="8"/>
      <c r="GD146" s="8"/>
      <c r="GE146" s="8"/>
      <c r="GF146" s="8"/>
      <c r="GG146" s="8"/>
      <c r="GH146" s="8"/>
      <c r="GI146" s="8"/>
      <c r="GJ146" s="8"/>
      <c r="GK146" s="8"/>
      <c r="GL146" s="8"/>
      <c r="GM146" s="8"/>
      <c r="GN146" s="8"/>
      <c r="GO146" s="8"/>
      <c r="GP146" s="8"/>
      <c r="GQ146" s="8"/>
      <c r="GR146" s="8"/>
      <c r="GS146" s="8"/>
      <c r="GT146" s="8"/>
      <c r="GU146" s="8"/>
      <c r="GV146" s="8"/>
      <c r="GW146" s="8"/>
      <c r="GX146" s="8"/>
      <c r="GY146" s="8"/>
      <c r="GZ146" s="8"/>
      <c r="HA146" s="8"/>
      <c r="HB146" s="8"/>
      <c r="HC146" s="8"/>
      <c r="HD146" s="8"/>
      <c r="HE146" s="8"/>
      <c r="HF146" s="8"/>
      <c r="HG146" s="8"/>
      <c r="HH146" s="8"/>
      <c r="HI146" s="8"/>
      <c r="HJ146" s="8"/>
      <c r="HK146" s="8"/>
      <c r="HL146" s="8"/>
      <c r="HM146" s="8"/>
      <c r="HN146" s="8"/>
      <c r="HO146" s="8"/>
      <c r="HP146" s="8"/>
      <c r="HQ146" s="8"/>
      <c r="HR146" s="8"/>
      <c r="HS146" s="8"/>
      <c r="HT146" s="8"/>
      <c r="HU146" s="8"/>
      <c r="HV146" s="8"/>
      <c r="HW146" s="8"/>
      <c r="HX146" s="8"/>
      <c r="HY146" s="8"/>
      <c r="HZ146" s="8"/>
      <c r="IA146" s="8"/>
      <c r="IB146" s="8"/>
      <c r="IC146" s="8"/>
      <c r="ID146" s="8"/>
      <c r="IE146" s="8"/>
      <c r="IF146" s="8"/>
      <c r="IG146" s="8"/>
      <c r="IH146" s="8"/>
      <c r="II146" s="8"/>
      <c r="IJ146" s="8"/>
      <c r="IK146" s="8"/>
      <c r="IL146" s="8"/>
      <c r="IM146" s="8"/>
      <c r="IN146" s="8"/>
      <c r="IO146" s="8"/>
      <c r="IP146" s="8"/>
      <c r="IQ146" s="8"/>
      <c r="IR146" s="8"/>
      <c r="IS146" s="8"/>
      <c r="IT146" s="8"/>
      <c r="IU146" s="8"/>
      <c r="IV146" s="8"/>
      <c r="IW146" s="8"/>
      <c r="IX146" s="8"/>
      <c r="JA146" s="125"/>
      <c r="JB146" s="125"/>
      <c r="JC146" s="125"/>
      <c r="JD146" s="72">
        <f>SUM((TEXT(JA146,"[M]")/60)*'Income Person-hours'!$D$3,(TEXT(JB146,"[M]")/60)*'Income Person-hours'!$D$4,(TEXT(JC146,"[M]")/60)*'Income Person-hours'!$D$5)</f>
        <v>0</v>
      </c>
    </row>
    <row r="147" spans="1:264" s="12" customFormat="1" ht="15.75" hidden="1" x14ac:dyDescent="0.45">
      <c r="A147" s="214">
        <v>7.6</v>
      </c>
      <c r="B147" s="128"/>
      <c r="C147" s="119"/>
      <c r="D147" s="13" t="str">
        <f>IF(OR(j_WEEKDAY(J_ADDDAY(VLOOKUP(I147,A:F,6,FALSE),H147,1),0)=6,SUMIFS(Holieday[ok],Holieday[date],J_ADDDAY(VLOOKUP(I147,A:F,6,FALSE),H147,1)))=FALSE(),J_ADDDAY(VLOOKUP(I147,A:F,6,FALSE),H147,1),IF(OR(j_WEEKDAY(J_ADDDAY(VLOOKUP(I147,A:F,6,FALSE),H147+1,1),0)=6,SUMIFS(Holieday[ok],Holieday[date],J_ADDDAY(VLOOKUP(I147,A:F,6,FALSE),H147+1,1)))=FALSE(),J_ADDDAY(VLOOKUP(I147,A:F,6,FALSE),H147+1,1),IF(OR(j_WEEKDAY(J_ADDDAY(VLOOKUP(I147,A:F,6,FALSE),H147+2,1),0)=6,SUMIFS(Holieday[ok],Holieday[date],J_ADDDAY(VLOOKUP(I147,A:F,6,FALSE),H147+2,1)))=FALSE(),J_ADDDAY(VLOOKUP(I147,A:F,6,FALSE),H147+2,1),IF(OR(j_WEEKDAY(J_ADDDAY(VLOOKUP(I147,A:F,6,FALSE),H147+3,1),0)=6,SUMIFS(Holieday[ok],Holieday[date],J_ADDDAY(VLOOKUP(I147,A:F,6,FALSE),H147+3,1)))=FALSE(),J_ADDDAY(VLOOKUP(I147,A:F,6,FALSE),H147+3,1),IF(OR(j_WEEKDAY(J_ADDDAY(VLOOKUP(I147,A:F,6,FALSE),H147+4,1),0)=6,SUMIFS(Holieday[ok],Holieday[date],J_ADDDAY(VLOOKUP(I147,A:F,6,FALSE),H147+4,1)))=FALSE(),J_ADDDAY(VLOOKUP(I147,A:F,6,FALSE),H147+4,1),J_ADDDAY(VLOOKUP(I147,A:F,6,FALSE),H147+5,1))))))</f>
        <v>1398/08/14</v>
      </c>
      <c r="E147" s="2">
        <f t="shared" si="43"/>
        <v>13980814</v>
      </c>
      <c r="F147" s="13" t="str">
        <f>IF(N147=0,J_SUBDAY(D147,1,1)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0,J_SUBDAY(J_ADDDAY(D147,N147,1)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1,J_SUBDAY(J_ADDDAY(D147,N147+1,1),1,1),IF((N147-NETWORKDAYS.INTL(J_GregorianDate(D147,1),J_GregorianDate(J_SUBDAY(J_ADDDAY(D147,N147,1),1,1),1),16,1)-SUMIFS(Holieday[ok],Holieday[date],CONCATENATE("&gt;","=",D147),Holieday[date],CONCATENATE("&lt;","=",J_SUBDAY(J_ADDDAY(D147,N147,1),1,1)))+SUMIFS(Holieday[Friday],Holieday[date],CONCATENATE("&gt;","=",D147),Holieday[date],CONCATENATE("&lt;","=",J_SUBDAY(J_ADDDAY(D147,N147,1),1,1))))=2,J_SUBDAY(J_ADDDAY(D147,N147+2,1),1,1),J_SUBDAY(J_ADDDAY(D147,N147+3,1),1,1)))))</f>
        <v>1398/08/13</v>
      </c>
      <c r="G147" s="3">
        <f t="shared" si="44"/>
        <v>13980813</v>
      </c>
      <c r="H147" s="121"/>
      <c r="I147" s="122">
        <v>7.3</v>
      </c>
      <c r="J147" s="10" t="str">
        <f>j_WEEKDAY(D147,1)</f>
        <v>سه‌شنبه</v>
      </c>
      <c r="K147" s="23">
        <f t="shared" si="47"/>
        <v>0</v>
      </c>
      <c r="L147" s="9">
        <f t="shared" si="48"/>
        <v>0</v>
      </c>
      <c r="M147" s="123">
        <v>0</v>
      </c>
      <c r="N147" s="120">
        <v>0</v>
      </c>
      <c r="O147" s="11">
        <f t="shared" si="51"/>
        <v>0</v>
      </c>
      <c r="P147" s="11">
        <f>VALUE(J_normdate(J_ADDDAY($D147,$O147,1)))</f>
        <v>13980814</v>
      </c>
      <c r="Q147" s="10">
        <f t="shared" si="52"/>
        <v>0</v>
      </c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  <c r="ES147" s="8"/>
      <c r="ET147" s="8"/>
      <c r="EU147" s="8"/>
      <c r="EV147" s="8"/>
      <c r="EW147" s="8"/>
      <c r="EX147" s="8"/>
      <c r="EY147" s="8"/>
      <c r="EZ147" s="8"/>
      <c r="FA147" s="8"/>
      <c r="FB147" s="8"/>
      <c r="FC147" s="8"/>
      <c r="FD147" s="8"/>
      <c r="FE147" s="8"/>
      <c r="FF147" s="8"/>
      <c r="FG147" s="8"/>
      <c r="FH147" s="8"/>
      <c r="FI147" s="8"/>
      <c r="FJ147" s="8"/>
      <c r="FK147" s="8"/>
      <c r="FL147" s="8"/>
      <c r="FM147" s="8"/>
      <c r="FN147" s="8"/>
      <c r="FO147" s="8"/>
      <c r="FP147" s="8"/>
      <c r="FQ147" s="8"/>
      <c r="FR147" s="8"/>
      <c r="FS147" s="8"/>
      <c r="FT147" s="8"/>
      <c r="FU147" s="8"/>
      <c r="FV147" s="8"/>
      <c r="FW147" s="8"/>
      <c r="FX147" s="8"/>
      <c r="FY147" s="8"/>
      <c r="FZ147" s="8"/>
      <c r="GA147" s="8"/>
      <c r="GB147" s="8"/>
      <c r="GC147" s="8"/>
      <c r="GD147" s="8"/>
      <c r="GE147" s="8"/>
      <c r="GF147" s="8"/>
      <c r="GG147" s="8"/>
      <c r="GH147" s="8"/>
      <c r="GI147" s="8"/>
      <c r="GJ147" s="8"/>
      <c r="GK147" s="8"/>
      <c r="GL147" s="8"/>
      <c r="GM147" s="8"/>
      <c r="GN147" s="8"/>
      <c r="GO147" s="8"/>
      <c r="GP147" s="8"/>
      <c r="GQ147" s="8"/>
      <c r="GR147" s="8"/>
      <c r="GS147" s="8"/>
      <c r="GT147" s="8"/>
      <c r="GU147" s="8"/>
      <c r="GV147" s="8"/>
      <c r="GW147" s="8"/>
      <c r="GX147" s="8"/>
      <c r="GY147" s="8"/>
      <c r="GZ147" s="8"/>
      <c r="HA147" s="8"/>
      <c r="HB147" s="8"/>
      <c r="HC147" s="8"/>
      <c r="HD147" s="8"/>
      <c r="HE147" s="8"/>
      <c r="HF147" s="8"/>
      <c r="HG147" s="8"/>
      <c r="HH147" s="8"/>
      <c r="HI147" s="8"/>
      <c r="HJ147" s="8"/>
      <c r="HK147" s="8"/>
      <c r="HL147" s="8"/>
      <c r="HM147" s="8"/>
      <c r="HN147" s="8"/>
      <c r="HO147" s="8"/>
      <c r="HP147" s="8"/>
      <c r="HQ147" s="8"/>
      <c r="HR147" s="8"/>
      <c r="HS147" s="8"/>
      <c r="HT147" s="8"/>
      <c r="HU147" s="8"/>
      <c r="HV147" s="8"/>
      <c r="HW147" s="8"/>
      <c r="HX147" s="8"/>
      <c r="HY147" s="8"/>
      <c r="HZ147" s="8"/>
      <c r="IA147" s="8"/>
      <c r="IB147" s="8"/>
      <c r="IC147" s="8"/>
      <c r="ID147" s="8"/>
      <c r="IE147" s="8"/>
      <c r="IF147" s="8"/>
      <c r="IG147" s="8"/>
      <c r="IH147" s="8"/>
      <c r="II147" s="8"/>
      <c r="IJ147" s="8"/>
      <c r="IK147" s="8"/>
      <c r="IL147" s="8"/>
      <c r="IM147" s="8"/>
      <c r="IN147" s="8"/>
      <c r="IO147" s="8"/>
      <c r="IP147" s="8"/>
      <c r="IQ147" s="8"/>
      <c r="IR147" s="8"/>
      <c r="IS147" s="8"/>
      <c r="IT147" s="8"/>
      <c r="IU147" s="8"/>
      <c r="IV147" s="8"/>
      <c r="IW147" s="8"/>
      <c r="IX147" s="8"/>
      <c r="JA147" s="125"/>
      <c r="JB147" s="125"/>
      <c r="JC147" s="125"/>
      <c r="JD147" s="72">
        <f>SUM((TEXT(JA147,"[M]")/60)*'Income Person-hours'!$D$3,(TEXT(JB147,"[M]")/60)*'Income Person-hours'!$D$4,(TEXT(JC147,"[M]")/60)*'Income Person-hours'!$D$5)</f>
        <v>0</v>
      </c>
    </row>
    <row r="148" spans="1:264" s="12" customFormat="1" ht="15.75" hidden="1" x14ac:dyDescent="0.45">
      <c r="A148" s="214">
        <v>7.7</v>
      </c>
      <c r="B148" s="128"/>
      <c r="C148" s="119"/>
      <c r="D148" s="13" t="str">
        <f>IF(OR(j_WEEKDAY(J_ADDDAY(VLOOKUP(I148,A:F,6,FALSE),H148,1),0)=6,SUMIFS(Holieday[ok],Holieday[date],J_ADDDAY(VLOOKUP(I148,A:F,6,FALSE),H148,1)))=FALSE(),J_ADDDAY(VLOOKUP(I148,A:F,6,FALSE),H148,1),IF(OR(j_WEEKDAY(J_ADDDAY(VLOOKUP(I148,A:F,6,FALSE),H148+1,1),0)=6,SUMIFS(Holieday[ok],Holieday[date],J_ADDDAY(VLOOKUP(I148,A:F,6,FALSE),H148+1,1)))=FALSE(),J_ADDDAY(VLOOKUP(I148,A:F,6,FALSE),H148+1,1),IF(OR(j_WEEKDAY(J_ADDDAY(VLOOKUP(I148,A:F,6,FALSE),H148+2,1),0)=6,SUMIFS(Holieday[ok],Holieday[date],J_ADDDAY(VLOOKUP(I148,A:F,6,FALSE),H148+2,1)))=FALSE(),J_ADDDAY(VLOOKUP(I148,A:F,6,FALSE),H148+2,1),IF(OR(j_WEEKDAY(J_ADDDAY(VLOOKUP(I148,A:F,6,FALSE),H148+3,1),0)=6,SUMIFS(Holieday[ok],Holieday[date],J_ADDDAY(VLOOKUP(I148,A:F,6,FALSE),H148+3,1)))=FALSE(),J_ADDDAY(VLOOKUP(I148,A:F,6,FALSE),H148+3,1),IF(OR(j_WEEKDAY(J_ADDDAY(VLOOKUP(I148,A:F,6,FALSE),H148+4,1),0)=6,SUMIFS(Holieday[ok],Holieday[date],J_ADDDAY(VLOOKUP(I148,A:F,6,FALSE),H148+4,1)))=FALSE(),J_ADDDAY(VLOOKUP(I148,A:F,6,FALSE),H148+4,1),J_ADDDAY(VLOOKUP(I148,A:F,6,FALSE),H148+5,1))))))</f>
        <v>1398/08/14</v>
      </c>
      <c r="E148" s="2">
        <f t="shared" si="43"/>
        <v>13980814</v>
      </c>
      <c r="F148" s="13" t="str">
        <f>IF(N148=0,J_SUBDAY(D148,1,1)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0,J_SUBDAY(J_ADDDAY(D148,N148,1)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1,J_SUBDAY(J_ADDDAY(D148,N148+1,1),1,1),IF((N148-NETWORKDAYS.INTL(J_GregorianDate(D148,1),J_GregorianDate(J_SUBDAY(J_ADDDAY(D148,N148,1),1,1),1),16,1)-SUMIFS(Holieday[ok],Holieday[date],CONCATENATE("&gt;","=",D148),Holieday[date],CONCATENATE("&lt;","=",J_SUBDAY(J_ADDDAY(D148,N148,1),1,1)))+SUMIFS(Holieday[Friday],Holieday[date],CONCATENATE("&gt;","=",D148),Holieday[date],CONCATENATE("&lt;","=",J_SUBDAY(J_ADDDAY(D148,N148,1),1,1))))=2,J_SUBDAY(J_ADDDAY(D148,N148+2,1),1,1),J_SUBDAY(J_ADDDAY(D148,N148+3,1),1,1)))))</f>
        <v>1398/08/13</v>
      </c>
      <c r="G148" s="3">
        <f t="shared" si="44"/>
        <v>13980813</v>
      </c>
      <c r="H148" s="121"/>
      <c r="I148" s="122">
        <v>7.3</v>
      </c>
      <c r="J148" s="10" t="str">
        <f>j_WEEKDAY(D148,1)</f>
        <v>سه‌شنبه</v>
      </c>
      <c r="K148" s="23">
        <f t="shared" si="47"/>
        <v>0</v>
      </c>
      <c r="L148" s="9">
        <f t="shared" si="48"/>
        <v>0</v>
      </c>
      <c r="M148" s="123">
        <v>0</v>
      </c>
      <c r="N148" s="120">
        <v>0</v>
      </c>
      <c r="O148" s="11">
        <f t="shared" si="51"/>
        <v>0</v>
      </c>
      <c r="P148" s="11">
        <f>VALUE(J_normdate(J_ADDDAY($D148,$O148,1)))</f>
        <v>13980814</v>
      </c>
      <c r="Q148" s="10">
        <f t="shared" si="52"/>
        <v>0</v>
      </c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  <c r="ES148" s="8"/>
      <c r="ET148" s="8"/>
      <c r="EU148" s="8"/>
      <c r="EV148" s="8"/>
      <c r="EW148" s="8"/>
      <c r="EX148" s="8"/>
      <c r="EY148" s="8"/>
      <c r="EZ148" s="8"/>
      <c r="FA148" s="8"/>
      <c r="FB148" s="8"/>
      <c r="FC148" s="8"/>
      <c r="FD148" s="8"/>
      <c r="FE148" s="8"/>
      <c r="FF148" s="8"/>
      <c r="FG148" s="8"/>
      <c r="FH148" s="8"/>
      <c r="FI148" s="8"/>
      <c r="FJ148" s="8"/>
      <c r="FK148" s="8"/>
      <c r="FL148" s="8"/>
      <c r="FM148" s="8"/>
      <c r="FN148" s="8"/>
      <c r="FO148" s="8"/>
      <c r="FP148" s="8"/>
      <c r="FQ148" s="8"/>
      <c r="FR148" s="8"/>
      <c r="FS148" s="8"/>
      <c r="FT148" s="8"/>
      <c r="FU148" s="8"/>
      <c r="FV148" s="8"/>
      <c r="FW148" s="8"/>
      <c r="FX148" s="8"/>
      <c r="FY148" s="8"/>
      <c r="FZ148" s="8"/>
      <c r="GA148" s="8"/>
      <c r="GB148" s="8"/>
      <c r="GC148" s="8"/>
      <c r="GD148" s="8"/>
      <c r="GE148" s="8"/>
      <c r="GF148" s="8"/>
      <c r="GG148" s="8"/>
      <c r="GH148" s="8"/>
      <c r="GI148" s="8"/>
      <c r="GJ148" s="8"/>
      <c r="GK148" s="8"/>
      <c r="GL148" s="8"/>
      <c r="GM148" s="8"/>
      <c r="GN148" s="8"/>
      <c r="GO148" s="8"/>
      <c r="GP148" s="8"/>
      <c r="GQ148" s="8"/>
      <c r="GR148" s="8"/>
      <c r="GS148" s="8"/>
      <c r="GT148" s="8"/>
      <c r="GU148" s="8"/>
      <c r="GV148" s="8"/>
      <c r="GW148" s="8"/>
      <c r="GX148" s="8"/>
      <c r="GY148" s="8"/>
      <c r="GZ148" s="8"/>
      <c r="HA148" s="8"/>
      <c r="HB148" s="8"/>
      <c r="HC148" s="8"/>
      <c r="HD148" s="8"/>
      <c r="HE148" s="8"/>
      <c r="HF148" s="8"/>
      <c r="HG148" s="8"/>
      <c r="HH148" s="8"/>
      <c r="HI148" s="8"/>
      <c r="HJ148" s="8"/>
      <c r="HK148" s="8"/>
      <c r="HL148" s="8"/>
      <c r="HM148" s="8"/>
      <c r="HN148" s="8"/>
      <c r="HO148" s="8"/>
      <c r="HP148" s="8"/>
      <c r="HQ148" s="8"/>
      <c r="HR148" s="8"/>
      <c r="HS148" s="8"/>
      <c r="HT148" s="8"/>
      <c r="HU148" s="8"/>
      <c r="HV148" s="8"/>
      <c r="HW148" s="8"/>
      <c r="HX148" s="8"/>
      <c r="HY148" s="8"/>
      <c r="HZ148" s="8"/>
      <c r="IA148" s="8"/>
      <c r="IB148" s="8"/>
      <c r="IC148" s="8"/>
      <c r="ID148" s="8"/>
      <c r="IE148" s="8"/>
      <c r="IF148" s="8"/>
      <c r="IG148" s="8"/>
      <c r="IH148" s="8"/>
      <c r="II148" s="8"/>
      <c r="IJ148" s="8"/>
      <c r="IK148" s="8"/>
      <c r="IL148" s="8"/>
      <c r="IM148" s="8"/>
      <c r="IN148" s="8"/>
      <c r="IO148" s="8"/>
      <c r="IP148" s="8"/>
      <c r="IQ148" s="8"/>
      <c r="IR148" s="8"/>
      <c r="IS148" s="8"/>
      <c r="IT148" s="8"/>
      <c r="IU148" s="8"/>
      <c r="IV148" s="8"/>
      <c r="IW148" s="8"/>
      <c r="IX148" s="8"/>
      <c r="JA148" s="125"/>
      <c r="JB148" s="125"/>
      <c r="JC148" s="125"/>
      <c r="JD148" s="72">
        <f>SUM((TEXT(JA148,"[M]")/60)*'Income Person-hours'!$D$3,(TEXT(JB148,"[M]")/60)*'Income Person-hours'!$D$4,(TEXT(JC148,"[M]")/60)*'Income Person-hours'!$D$5)</f>
        <v>0</v>
      </c>
    </row>
    <row r="149" spans="1:264" s="12" customFormat="1" ht="15.75" hidden="1" x14ac:dyDescent="0.45">
      <c r="A149" s="214">
        <v>7.8</v>
      </c>
      <c r="B149" s="128"/>
      <c r="C149" s="119"/>
      <c r="D149" s="13" t="str">
        <f>IF(OR(j_WEEKDAY(J_ADDDAY(VLOOKUP(I149,A:F,6,FALSE),H149,1),0)=6,SUMIFS(Holieday[ok],Holieday[date],J_ADDDAY(VLOOKUP(I149,A:F,6,FALSE),H149,1)))=FALSE(),J_ADDDAY(VLOOKUP(I149,A:F,6,FALSE),H149,1),IF(OR(j_WEEKDAY(J_ADDDAY(VLOOKUP(I149,A:F,6,FALSE),H149+1,1),0)=6,SUMIFS(Holieday[ok],Holieday[date],J_ADDDAY(VLOOKUP(I149,A:F,6,FALSE),H149+1,1)))=FALSE(),J_ADDDAY(VLOOKUP(I149,A:F,6,FALSE),H149+1,1),IF(OR(j_WEEKDAY(J_ADDDAY(VLOOKUP(I149,A:F,6,FALSE),H149+2,1),0)=6,SUMIFS(Holieday[ok],Holieday[date],J_ADDDAY(VLOOKUP(I149,A:F,6,FALSE),H149+2,1)))=FALSE(),J_ADDDAY(VLOOKUP(I149,A:F,6,FALSE),H149+2,1),IF(OR(j_WEEKDAY(J_ADDDAY(VLOOKUP(I149,A:F,6,FALSE),H149+3,1),0)=6,SUMIFS(Holieday[ok],Holieday[date],J_ADDDAY(VLOOKUP(I149,A:F,6,FALSE),H149+3,1)))=FALSE(),J_ADDDAY(VLOOKUP(I149,A:F,6,FALSE),H149+3,1),IF(OR(j_WEEKDAY(J_ADDDAY(VLOOKUP(I149,A:F,6,FALSE),H149+4,1),0)=6,SUMIFS(Holieday[ok],Holieday[date],J_ADDDAY(VLOOKUP(I149,A:F,6,FALSE),H149+4,1)))=FALSE(),J_ADDDAY(VLOOKUP(I149,A:F,6,FALSE),H149+4,1),J_ADDDAY(VLOOKUP(I149,A:F,6,FALSE),H149+5,1))))))</f>
        <v>1398/08/14</v>
      </c>
      <c r="E149" s="2">
        <f t="shared" si="43"/>
        <v>13980814</v>
      </c>
      <c r="F149" s="13" t="str">
        <f>IF(N149=0,J_SUBDAY(D149,1,1)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0,J_SUBDAY(J_ADDDAY(D149,N149,1)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1,J_SUBDAY(J_ADDDAY(D149,N149+1,1),1,1),IF((N149-NETWORKDAYS.INTL(J_GregorianDate(D149,1),J_GregorianDate(J_SUBDAY(J_ADDDAY(D149,N149,1),1,1),1),16,1)-SUMIFS(Holieday[ok],Holieday[date],CONCATENATE("&gt;","=",D149),Holieday[date],CONCATENATE("&lt;","=",J_SUBDAY(J_ADDDAY(D149,N149,1),1,1)))+SUMIFS(Holieday[Friday],Holieday[date],CONCATENATE("&gt;","=",D149),Holieday[date],CONCATENATE("&lt;","=",J_SUBDAY(J_ADDDAY(D149,N149,1),1,1))))=2,J_SUBDAY(J_ADDDAY(D149,N149+2,1),1,1),J_SUBDAY(J_ADDDAY(D149,N149+3,1),1,1)))))</f>
        <v>1398/08/13</v>
      </c>
      <c r="G149" s="3">
        <f t="shared" si="44"/>
        <v>13980813</v>
      </c>
      <c r="H149" s="121"/>
      <c r="I149" s="122">
        <v>7.3</v>
      </c>
      <c r="J149" s="10" t="str">
        <f>j_WEEKDAY(D149,1)</f>
        <v>سه‌شنبه</v>
      </c>
      <c r="K149" s="23">
        <f t="shared" si="47"/>
        <v>0</v>
      </c>
      <c r="L149" s="9">
        <f t="shared" si="48"/>
        <v>0</v>
      </c>
      <c r="M149" s="123">
        <v>0</v>
      </c>
      <c r="N149" s="120">
        <v>0</v>
      </c>
      <c r="O149" s="11">
        <f t="shared" si="51"/>
        <v>0</v>
      </c>
      <c r="P149" s="11">
        <f>VALUE(J_normdate(J_ADDDAY($D149,$O149,1)))</f>
        <v>13980814</v>
      </c>
      <c r="Q149" s="10">
        <f t="shared" si="52"/>
        <v>0</v>
      </c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  <c r="ES149" s="8"/>
      <c r="ET149" s="8"/>
      <c r="EU149" s="8"/>
      <c r="EV149" s="8"/>
      <c r="EW149" s="8"/>
      <c r="EX149" s="8"/>
      <c r="EY149" s="8"/>
      <c r="EZ149" s="8"/>
      <c r="FA149" s="8"/>
      <c r="FB149" s="8"/>
      <c r="FC149" s="8"/>
      <c r="FD149" s="8"/>
      <c r="FE149" s="8"/>
      <c r="FF149" s="8"/>
      <c r="FG149" s="8"/>
      <c r="FH149" s="8"/>
      <c r="FI149" s="8"/>
      <c r="FJ149" s="8"/>
      <c r="FK149" s="8"/>
      <c r="FL149" s="8"/>
      <c r="FM149" s="8"/>
      <c r="FN149" s="8"/>
      <c r="FO149" s="8"/>
      <c r="FP149" s="8"/>
      <c r="FQ149" s="8"/>
      <c r="FR149" s="8"/>
      <c r="FS149" s="8"/>
      <c r="FT149" s="8"/>
      <c r="FU149" s="8"/>
      <c r="FV149" s="8"/>
      <c r="FW149" s="8"/>
      <c r="FX149" s="8"/>
      <c r="FY149" s="8"/>
      <c r="FZ149" s="8"/>
      <c r="GA149" s="8"/>
      <c r="GB149" s="8"/>
      <c r="GC149" s="8"/>
      <c r="GD149" s="8"/>
      <c r="GE149" s="8"/>
      <c r="GF149" s="8"/>
      <c r="GG149" s="8"/>
      <c r="GH149" s="8"/>
      <c r="GI149" s="8"/>
      <c r="GJ149" s="8"/>
      <c r="GK149" s="8"/>
      <c r="GL149" s="8"/>
      <c r="GM149" s="8"/>
      <c r="GN149" s="8"/>
      <c r="GO149" s="8"/>
      <c r="GP149" s="8"/>
      <c r="GQ149" s="8"/>
      <c r="GR149" s="8"/>
      <c r="GS149" s="8"/>
      <c r="GT149" s="8"/>
      <c r="GU149" s="8"/>
      <c r="GV149" s="8"/>
      <c r="GW149" s="8"/>
      <c r="GX149" s="8"/>
      <c r="GY149" s="8"/>
      <c r="GZ149" s="8"/>
      <c r="HA149" s="8"/>
      <c r="HB149" s="8"/>
      <c r="HC149" s="8"/>
      <c r="HD149" s="8"/>
      <c r="HE149" s="8"/>
      <c r="HF149" s="8"/>
      <c r="HG149" s="8"/>
      <c r="HH149" s="8"/>
      <c r="HI149" s="8"/>
      <c r="HJ149" s="8"/>
      <c r="HK149" s="8"/>
      <c r="HL149" s="8"/>
      <c r="HM149" s="8"/>
      <c r="HN149" s="8"/>
      <c r="HO149" s="8"/>
      <c r="HP149" s="8"/>
      <c r="HQ149" s="8"/>
      <c r="HR149" s="8"/>
      <c r="HS149" s="8"/>
      <c r="HT149" s="8"/>
      <c r="HU149" s="8"/>
      <c r="HV149" s="8"/>
      <c r="HW149" s="8"/>
      <c r="HX149" s="8"/>
      <c r="HY149" s="8"/>
      <c r="HZ149" s="8"/>
      <c r="IA149" s="8"/>
      <c r="IB149" s="8"/>
      <c r="IC149" s="8"/>
      <c r="ID149" s="8"/>
      <c r="IE149" s="8"/>
      <c r="IF149" s="8"/>
      <c r="IG149" s="8"/>
      <c r="IH149" s="8"/>
      <c r="II149" s="8"/>
      <c r="IJ149" s="8"/>
      <c r="IK149" s="8"/>
      <c r="IL149" s="8"/>
      <c r="IM149" s="8"/>
      <c r="IN149" s="8"/>
      <c r="IO149" s="8"/>
      <c r="IP149" s="8"/>
      <c r="IQ149" s="8"/>
      <c r="IR149" s="8"/>
      <c r="IS149" s="8"/>
      <c r="IT149" s="8"/>
      <c r="IU149" s="8"/>
      <c r="IV149" s="8"/>
      <c r="IW149" s="8"/>
      <c r="IX149" s="8"/>
      <c r="JA149" s="125"/>
      <c r="JB149" s="125"/>
      <c r="JC149" s="125"/>
      <c r="JD149" s="72">
        <f>SUM((TEXT(JA149,"[M]")/60)*'Income Person-hours'!$D$3,(TEXT(JB149,"[M]")/60)*'Income Person-hours'!$D$4,(TEXT(JC149,"[M]")/60)*'Income Person-hours'!$D$5)</f>
        <v>0</v>
      </c>
    </row>
    <row r="150" spans="1:264" s="12" customFormat="1" ht="15.75" hidden="1" x14ac:dyDescent="0.45">
      <c r="A150" s="214">
        <v>7.9</v>
      </c>
      <c r="B150" s="128"/>
      <c r="C150" s="119"/>
      <c r="D150" s="13" t="str">
        <f>IF(OR(j_WEEKDAY(J_ADDDAY(VLOOKUP(I150,A:F,6,FALSE),H150,1),0)=6,SUMIFS(Holieday[ok],Holieday[date],J_ADDDAY(VLOOKUP(I150,A:F,6,FALSE),H150,1)))=FALSE(),J_ADDDAY(VLOOKUP(I150,A:F,6,FALSE),H150,1),IF(OR(j_WEEKDAY(J_ADDDAY(VLOOKUP(I150,A:F,6,FALSE),H150+1,1),0)=6,SUMIFS(Holieday[ok],Holieday[date],J_ADDDAY(VLOOKUP(I150,A:F,6,FALSE),H150+1,1)))=FALSE(),J_ADDDAY(VLOOKUP(I150,A:F,6,FALSE),H150+1,1),IF(OR(j_WEEKDAY(J_ADDDAY(VLOOKUP(I150,A:F,6,FALSE),H150+2,1),0)=6,SUMIFS(Holieday[ok],Holieday[date],J_ADDDAY(VLOOKUP(I150,A:F,6,FALSE),H150+2,1)))=FALSE(),J_ADDDAY(VLOOKUP(I150,A:F,6,FALSE),H150+2,1),IF(OR(j_WEEKDAY(J_ADDDAY(VLOOKUP(I150,A:F,6,FALSE),H150+3,1),0)=6,SUMIFS(Holieday[ok],Holieday[date],J_ADDDAY(VLOOKUP(I150,A:F,6,FALSE),H150+3,1)))=FALSE(),J_ADDDAY(VLOOKUP(I150,A:F,6,FALSE),H150+3,1),IF(OR(j_WEEKDAY(J_ADDDAY(VLOOKUP(I150,A:F,6,FALSE),H150+4,1),0)=6,SUMIFS(Holieday[ok],Holieday[date],J_ADDDAY(VLOOKUP(I150,A:F,6,FALSE),H150+4,1)))=FALSE(),J_ADDDAY(VLOOKUP(I150,A:F,6,FALSE),H150+4,1),J_ADDDAY(VLOOKUP(I150,A:F,6,FALSE),H150+5,1))))))</f>
        <v>1398/08/14</v>
      </c>
      <c r="E150" s="2">
        <f t="shared" si="43"/>
        <v>13980814</v>
      </c>
      <c r="F150" s="13" t="str">
        <f>IF(N150=0,J_SUBDAY(D150,1,1)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0,J_SUBDAY(J_ADDDAY(D150,N150,1)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1,J_SUBDAY(J_ADDDAY(D150,N150+1,1),1,1),IF((N150-NETWORKDAYS.INTL(J_GregorianDate(D150,1),J_GregorianDate(J_SUBDAY(J_ADDDAY(D150,N150,1),1,1),1),16,1)-SUMIFS(Holieday[ok],Holieday[date],CONCATENATE("&gt;","=",D150),Holieday[date],CONCATENATE("&lt;","=",J_SUBDAY(J_ADDDAY(D150,N150,1),1,1)))+SUMIFS(Holieday[Friday],Holieday[date],CONCATENATE("&gt;","=",D150),Holieday[date],CONCATENATE("&lt;","=",J_SUBDAY(J_ADDDAY(D150,N150,1),1,1))))=2,J_SUBDAY(J_ADDDAY(D150,N150+2,1),1,1),J_SUBDAY(J_ADDDAY(D150,N150+3,1),1,1)))))</f>
        <v>1398/08/13</v>
      </c>
      <c r="G150" s="3">
        <f t="shared" si="44"/>
        <v>13980813</v>
      </c>
      <c r="H150" s="121"/>
      <c r="I150" s="122">
        <v>7.3</v>
      </c>
      <c r="J150" s="10" t="str">
        <f>j_WEEKDAY(D150,1)</f>
        <v>سه‌شنبه</v>
      </c>
      <c r="K150" s="23">
        <f t="shared" si="47"/>
        <v>0</v>
      </c>
      <c r="L150" s="9">
        <f t="shared" si="48"/>
        <v>0</v>
      </c>
      <c r="M150" s="123">
        <v>0</v>
      </c>
      <c r="N150" s="120">
        <v>0</v>
      </c>
      <c r="O150" s="11">
        <f t="shared" si="51"/>
        <v>0</v>
      </c>
      <c r="P150" s="11">
        <f>VALUE(J_normdate(J_ADDDAY($D150,$O150,1)))</f>
        <v>13980814</v>
      </c>
      <c r="Q150" s="10">
        <f t="shared" si="52"/>
        <v>0</v>
      </c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  <c r="ES150" s="8"/>
      <c r="ET150" s="8"/>
      <c r="EU150" s="8"/>
      <c r="EV150" s="8"/>
      <c r="EW150" s="8"/>
      <c r="EX150" s="8"/>
      <c r="EY150" s="8"/>
      <c r="EZ150" s="8"/>
      <c r="FA150" s="8"/>
      <c r="FB150" s="8"/>
      <c r="FC150" s="8"/>
      <c r="FD150" s="8"/>
      <c r="FE150" s="8"/>
      <c r="FF150" s="8"/>
      <c r="FG150" s="8"/>
      <c r="FH150" s="8"/>
      <c r="FI150" s="8"/>
      <c r="FJ150" s="8"/>
      <c r="FK150" s="8"/>
      <c r="FL150" s="8"/>
      <c r="FM150" s="8"/>
      <c r="FN150" s="8"/>
      <c r="FO150" s="8"/>
      <c r="FP150" s="8"/>
      <c r="FQ150" s="8"/>
      <c r="FR150" s="8"/>
      <c r="FS150" s="8"/>
      <c r="FT150" s="8"/>
      <c r="FU150" s="8"/>
      <c r="FV150" s="8"/>
      <c r="FW150" s="8"/>
      <c r="FX150" s="8"/>
      <c r="FY150" s="8"/>
      <c r="FZ150" s="8"/>
      <c r="GA150" s="8"/>
      <c r="GB150" s="8"/>
      <c r="GC150" s="8"/>
      <c r="GD150" s="8"/>
      <c r="GE150" s="8"/>
      <c r="GF150" s="8"/>
      <c r="GG150" s="8"/>
      <c r="GH150" s="8"/>
      <c r="GI150" s="8"/>
      <c r="GJ150" s="8"/>
      <c r="GK150" s="8"/>
      <c r="GL150" s="8"/>
      <c r="GM150" s="8"/>
      <c r="GN150" s="8"/>
      <c r="GO150" s="8"/>
      <c r="GP150" s="8"/>
      <c r="GQ150" s="8"/>
      <c r="GR150" s="8"/>
      <c r="GS150" s="8"/>
      <c r="GT150" s="8"/>
      <c r="GU150" s="8"/>
      <c r="GV150" s="8"/>
      <c r="GW150" s="8"/>
      <c r="GX150" s="8"/>
      <c r="GY150" s="8"/>
      <c r="GZ150" s="8"/>
      <c r="HA150" s="8"/>
      <c r="HB150" s="8"/>
      <c r="HC150" s="8"/>
      <c r="HD150" s="8"/>
      <c r="HE150" s="8"/>
      <c r="HF150" s="8"/>
      <c r="HG150" s="8"/>
      <c r="HH150" s="8"/>
      <c r="HI150" s="8"/>
      <c r="HJ150" s="8"/>
      <c r="HK150" s="8"/>
      <c r="HL150" s="8"/>
      <c r="HM150" s="8"/>
      <c r="HN150" s="8"/>
      <c r="HO150" s="8"/>
      <c r="HP150" s="8"/>
      <c r="HQ150" s="8"/>
      <c r="HR150" s="8"/>
      <c r="HS150" s="8"/>
      <c r="HT150" s="8"/>
      <c r="HU150" s="8"/>
      <c r="HV150" s="8"/>
      <c r="HW150" s="8"/>
      <c r="HX150" s="8"/>
      <c r="HY150" s="8"/>
      <c r="HZ150" s="8"/>
      <c r="IA150" s="8"/>
      <c r="IB150" s="8"/>
      <c r="IC150" s="8"/>
      <c r="ID150" s="8"/>
      <c r="IE150" s="8"/>
      <c r="IF150" s="8"/>
      <c r="IG150" s="8"/>
      <c r="IH150" s="8"/>
      <c r="II150" s="8"/>
      <c r="IJ150" s="8"/>
      <c r="IK150" s="8"/>
      <c r="IL150" s="8"/>
      <c r="IM150" s="8"/>
      <c r="IN150" s="8"/>
      <c r="IO150" s="8"/>
      <c r="IP150" s="8"/>
      <c r="IQ150" s="8"/>
      <c r="IR150" s="8"/>
      <c r="IS150" s="8"/>
      <c r="IT150" s="8"/>
      <c r="IU150" s="8"/>
      <c r="IV150" s="8"/>
      <c r="IW150" s="8"/>
      <c r="IX150" s="8"/>
      <c r="JA150" s="125"/>
      <c r="JB150" s="125"/>
      <c r="JC150" s="125"/>
      <c r="JD150" s="72">
        <f>SUM((TEXT(JA150,"[M]")/60)*'Income Person-hours'!$D$3,(TEXT(JB150,"[M]")/60)*'Income Person-hours'!$D$4,(TEXT(JC150,"[M]")/60)*'Income Person-hours'!$D$5)</f>
        <v>0</v>
      </c>
    </row>
    <row r="151" spans="1:264" s="12" customFormat="1" ht="15.75" hidden="1" x14ac:dyDescent="0.45">
      <c r="A151" s="33">
        <v>7.11</v>
      </c>
      <c r="B151" s="128"/>
      <c r="C151" s="119"/>
      <c r="D151" s="13" t="str">
        <f>IF(OR(j_WEEKDAY(J_ADDDAY(VLOOKUP(I151,A:F,6,FALSE),H151,1),0)=6,SUMIFS(Holieday[ok],Holieday[date],J_ADDDAY(VLOOKUP(I151,A:F,6,FALSE),H151,1)))=FALSE(),J_ADDDAY(VLOOKUP(I151,A:F,6,FALSE),H151,1),IF(OR(j_WEEKDAY(J_ADDDAY(VLOOKUP(I151,A:F,6,FALSE),H151+1,1),0)=6,SUMIFS(Holieday[ok],Holieday[date],J_ADDDAY(VLOOKUP(I151,A:F,6,FALSE),H151+1,1)))=FALSE(),J_ADDDAY(VLOOKUP(I151,A:F,6,FALSE),H151+1,1),IF(OR(j_WEEKDAY(J_ADDDAY(VLOOKUP(I151,A:F,6,FALSE),H151+2,1),0)=6,SUMIFS(Holieday[ok],Holieday[date],J_ADDDAY(VLOOKUP(I151,A:F,6,FALSE),H151+2,1)))=FALSE(),J_ADDDAY(VLOOKUP(I151,A:F,6,FALSE),H151+2,1),IF(OR(j_WEEKDAY(J_ADDDAY(VLOOKUP(I151,A:F,6,FALSE),H151+3,1),0)=6,SUMIFS(Holieday[ok],Holieday[date],J_ADDDAY(VLOOKUP(I151,A:F,6,FALSE),H151+3,1)))=FALSE(),J_ADDDAY(VLOOKUP(I151,A:F,6,FALSE),H151+3,1),IF(OR(j_WEEKDAY(J_ADDDAY(VLOOKUP(I151,A:F,6,FALSE),H151+4,1),0)=6,SUMIFS(Holieday[ok],Holieday[date],J_ADDDAY(VLOOKUP(I151,A:F,6,FALSE),H151+4,1)))=FALSE(),J_ADDDAY(VLOOKUP(I151,A:F,6,FALSE),H151+4,1),J_ADDDAY(VLOOKUP(I151,A:F,6,FALSE),H151+5,1))))))</f>
        <v>1398/08/14</v>
      </c>
      <c r="E151" s="2">
        <f t="shared" si="43"/>
        <v>13980814</v>
      </c>
      <c r="F151" s="13" t="str">
        <f>IF(N151=0,J_SUBDAY(D151,1,1)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0,J_SUBDAY(J_ADDDAY(D151,N151,1)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1,J_SUBDAY(J_ADDDAY(D151,N151+1,1),1,1),IF((N151-NETWORKDAYS.INTL(J_GregorianDate(D151,1),J_GregorianDate(J_SUBDAY(J_ADDDAY(D151,N151,1),1,1),1),16,1)-SUMIFS(Holieday[ok],Holieday[date],CONCATENATE("&gt;","=",D151),Holieday[date],CONCATENATE("&lt;","=",J_SUBDAY(J_ADDDAY(D151,N151,1),1,1)))+SUMIFS(Holieday[Friday],Holieday[date],CONCATENATE("&gt;","=",D151),Holieday[date],CONCATENATE("&lt;","=",J_SUBDAY(J_ADDDAY(D151,N151,1),1,1))))=2,J_SUBDAY(J_ADDDAY(D151,N151+2,1),1,1),J_SUBDAY(J_ADDDAY(D151,N151+3,1),1,1)))))</f>
        <v>1398/08/13</v>
      </c>
      <c r="G151" s="3">
        <f t="shared" si="44"/>
        <v>13980813</v>
      </c>
      <c r="H151" s="121"/>
      <c r="I151" s="122">
        <v>7.3</v>
      </c>
      <c r="J151" s="10" t="str">
        <f>j_WEEKDAY(D151,1)</f>
        <v>سه‌شنبه</v>
      </c>
      <c r="K151" s="23">
        <f t="shared" si="47"/>
        <v>0</v>
      </c>
      <c r="L151" s="9">
        <f t="shared" si="48"/>
        <v>0</v>
      </c>
      <c r="M151" s="123">
        <v>0</v>
      </c>
      <c r="N151" s="120">
        <v>0</v>
      </c>
      <c r="O151" s="11">
        <f t="shared" si="51"/>
        <v>0</v>
      </c>
      <c r="P151" s="11">
        <f>VALUE(J_normdate(J_ADDDAY($D151,$O151,1)))</f>
        <v>13980814</v>
      </c>
      <c r="Q151" s="10">
        <f t="shared" si="52"/>
        <v>0</v>
      </c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  <c r="ES151" s="8"/>
      <c r="ET151" s="8"/>
      <c r="EU151" s="8"/>
      <c r="EV151" s="8"/>
      <c r="EW151" s="8"/>
      <c r="EX151" s="8"/>
      <c r="EY151" s="8"/>
      <c r="EZ151" s="8"/>
      <c r="FA151" s="8"/>
      <c r="FB151" s="8"/>
      <c r="FC151" s="8"/>
      <c r="FD151" s="8"/>
      <c r="FE151" s="8"/>
      <c r="FF151" s="8"/>
      <c r="FG151" s="8"/>
      <c r="FH151" s="8"/>
      <c r="FI151" s="8"/>
      <c r="FJ151" s="8"/>
      <c r="FK151" s="8"/>
      <c r="FL151" s="8"/>
      <c r="FM151" s="8"/>
      <c r="FN151" s="8"/>
      <c r="FO151" s="8"/>
      <c r="FP151" s="8"/>
      <c r="FQ151" s="8"/>
      <c r="FR151" s="8"/>
      <c r="FS151" s="8"/>
      <c r="FT151" s="8"/>
      <c r="FU151" s="8"/>
      <c r="FV151" s="8"/>
      <c r="FW151" s="8"/>
      <c r="FX151" s="8"/>
      <c r="FY151" s="8"/>
      <c r="FZ151" s="8"/>
      <c r="GA151" s="8"/>
      <c r="GB151" s="8"/>
      <c r="GC151" s="8"/>
      <c r="GD151" s="8"/>
      <c r="GE151" s="8"/>
      <c r="GF151" s="8"/>
      <c r="GG151" s="8"/>
      <c r="GH151" s="8"/>
      <c r="GI151" s="8"/>
      <c r="GJ151" s="8"/>
      <c r="GK151" s="8"/>
      <c r="GL151" s="8"/>
      <c r="GM151" s="8"/>
      <c r="GN151" s="8"/>
      <c r="GO151" s="8"/>
      <c r="GP151" s="8"/>
      <c r="GQ151" s="8"/>
      <c r="GR151" s="8"/>
      <c r="GS151" s="8"/>
      <c r="GT151" s="8"/>
      <c r="GU151" s="8"/>
      <c r="GV151" s="8"/>
      <c r="GW151" s="8"/>
      <c r="GX151" s="8"/>
      <c r="GY151" s="8"/>
      <c r="GZ151" s="8"/>
      <c r="HA151" s="8"/>
      <c r="HB151" s="8"/>
      <c r="HC151" s="8"/>
      <c r="HD151" s="8"/>
      <c r="HE151" s="8"/>
      <c r="HF151" s="8"/>
      <c r="HG151" s="8"/>
      <c r="HH151" s="8"/>
      <c r="HI151" s="8"/>
      <c r="HJ151" s="8"/>
      <c r="HK151" s="8"/>
      <c r="HL151" s="8"/>
      <c r="HM151" s="8"/>
      <c r="HN151" s="8"/>
      <c r="HO151" s="8"/>
      <c r="HP151" s="8"/>
      <c r="HQ151" s="8"/>
      <c r="HR151" s="8"/>
      <c r="HS151" s="8"/>
      <c r="HT151" s="8"/>
      <c r="HU151" s="8"/>
      <c r="HV151" s="8"/>
      <c r="HW151" s="8"/>
      <c r="HX151" s="8"/>
      <c r="HY151" s="8"/>
      <c r="HZ151" s="8"/>
      <c r="IA151" s="8"/>
      <c r="IB151" s="8"/>
      <c r="IC151" s="8"/>
      <c r="ID151" s="8"/>
      <c r="IE151" s="8"/>
      <c r="IF151" s="8"/>
      <c r="IG151" s="8"/>
      <c r="IH151" s="8"/>
      <c r="II151" s="8"/>
      <c r="IJ151" s="8"/>
      <c r="IK151" s="8"/>
      <c r="IL151" s="8"/>
      <c r="IM151" s="8"/>
      <c r="IN151" s="8"/>
      <c r="IO151" s="8"/>
      <c r="IP151" s="8"/>
      <c r="IQ151" s="8"/>
      <c r="IR151" s="8"/>
      <c r="IS151" s="8"/>
      <c r="IT151" s="8"/>
      <c r="IU151" s="8"/>
      <c r="IV151" s="8"/>
      <c r="IW151" s="8"/>
      <c r="IX151" s="8"/>
      <c r="JA151" s="125"/>
      <c r="JB151" s="125"/>
      <c r="JC151" s="125"/>
      <c r="JD151" s="72">
        <f>SUM((TEXT(JA151,"[M]")/60)*'Income Person-hours'!$D$3,(TEXT(JB151,"[M]")/60)*'Income Person-hours'!$D$4,(TEXT(JC151,"[M]")/60)*'Income Person-hours'!$D$5)</f>
        <v>0</v>
      </c>
    </row>
    <row r="152" spans="1:264" s="12" customFormat="1" ht="15.75" hidden="1" x14ac:dyDescent="0.45">
      <c r="A152" s="33">
        <v>7.12</v>
      </c>
      <c r="B152" s="128"/>
      <c r="C152" s="119"/>
      <c r="D152" s="13" t="str">
        <f>IF(OR(j_WEEKDAY(J_ADDDAY(VLOOKUP(I152,A:F,6,FALSE),H152,1),0)=6,SUMIFS(Holieday[ok],Holieday[date],J_ADDDAY(VLOOKUP(I152,A:F,6,FALSE),H152,1)))=FALSE(),J_ADDDAY(VLOOKUP(I152,A:F,6,FALSE),H152,1),IF(OR(j_WEEKDAY(J_ADDDAY(VLOOKUP(I152,A:F,6,FALSE),H152+1,1),0)=6,SUMIFS(Holieday[ok],Holieday[date],J_ADDDAY(VLOOKUP(I152,A:F,6,FALSE),H152+1,1)))=FALSE(),J_ADDDAY(VLOOKUP(I152,A:F,6,FALSE),H152+1,1),IF(OR(j_WEEKDAY(J_ADDDAY(VLOOKUP(I152,A:F,6,FALSE),H152+2,1),0)=6,SUMIFS(Holieday[ok],Holieday[date],J_ADDDAY(VLOOKUP(I152,A:F,6,FALSE),H152+2,1)))=FALSE(),J_ADDDAY(VLOOKUP(I152,A:F,6,FALSE),H152+2,1),IF(OR(j_WEEKDAY(J_ADDDAY(VLOOKUP(I152,A:F,6,FALSE),H152+3,1),0)=6,SUMIFS(Holieday[ok],Holieday[date],J_ADDDAY(VLOOKUP(I152,A:F,6,FALSE),H152+3,1)))=FALSE(),J_ADDDAY(VLOOKUP(I152,A:F,6,FALSE),H152+3,1),IF(OR(j_WEEKDAY(J_ADDDAY(VLOOKUP(I152,A:F,6,FALSE),H152+4,1),0)=6,SUMIFS(Holieday[ok],Holieday[date],J_ADDDAY(VLOOKUP(I152,A:F,6,FALSE),H152+4,1)))=FALSE(),J_ADDDAY(VLOOKUP(I152,A:F,6,FALSE),H152+4,1),J_ADDDAY(VLOOKUP(I152,A:F,6,FALSE),H152+5,1))))))</f>
        <v>1398/08/14</v>
      </c>
      <c r="E152" s="2">
        <f t="shared" si="43"/>
        <v>13980814</v>
      </c>
      <c r="F152" s="13" t="str">
        <f>IF(N152=0,J_SUBDAY(D152,1,1)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0,J_SUBDAY(J_ADDDAY(D152,N152,1)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1,J_SUBDAY(J_ADDDAY(D152,N152+1,1),1,1),IF((N152-NETWORKDAYS.INTL(J_GregorianDate(D152,1),J_GregorianDate(J_SUBDAY(J_ADDDAY(D152,N152,1),1,1),1),16,1)-SUMIFS(Holieday[ok],Holieday[date],CONCATENATE("&gt;","=",D152),Holieday[date],CONCATENATE("&lt;","=",J_SUBDAY(J_ADDDAY(D152,N152,1),1,1)))+SUMIFS(Holieday[Friday],Holieday[date],CONCATENATE("&gt;","=",D152),Holieday[date],CONCATENATE("&lt;","=",J_SUBDAY(J_ADDDAY(D152,N152,1),1,1))))=2,J_SUBDAY(J_ADDDAY(D152,N152+2,1),1,1),J_SUBDAY(J_ADDDAY(D152,N152+3,1),1,1)))))</f>
        <v>1398/08/13</v>
      </c>
      <c r="G152" s="3">
        <f t="shared" si="44"/>
        <v>13980813</v>
      </c>
      <c r="H152" s="121"/>
      <c r="I152" s="122">
        <v>7.3</v>
      </c>
      <c r="J152" s="10" t="str">
        <f>j_WEEKDAY(D152,1)</f>
        <v>سه‌شنبه</v>
      </c>
      <c r="K152" s="23">
        <f t="shared" si="47"/>
        <v>0</v>
      </c>
      <c r="L152" s="9">
        <f t="shared" si="48"/>
        <v>0</v>
      </c>
      <c r="M152" s="123">
        <v>0</v>
      </c>
      <c r="N152" s="120">
        <v>0</v>
      </c>
      <c r="O152" s="11">
        <f t="shared" si="51"/>
        <v>0</v>
      </c>
      <c r="P152" s="11">
        <f>VALUE(J_normdate(J_ADDDAY($D152,$O152,1)))</f>
        <v>13980814</v>
      </c>
      <c r="Q152" s="10">
        <f t="shared" si="52"/>
        <v>0</v>
      </c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  <c r="ES152" s="8"/>
      <c r="ET152" s="8"/>
      <c r="EU152" s="8"/>
      <c r="EV152" s="8"/>
      <c r="EW152" s="8"/>
      <c r="EX152" s="8"/>
      <c r="EY152" s="8"/>
      <c r="EZ152" s="8"/>
      <c r="FA152" s="8"/>
      <c r="FB152" s="8"/>
      <c r="FC152" s="8"/>
      <c r="FD152" s="8"/>
      <c r="FE152" s="8"/>
      <c r="FF152" s="8"/>
      <c r="FG152" s="8"/>
      <c r="FH152" s="8"/>
      <c r="FI152" s="8"/>
      <c r="FJ152" s="8"/>
      <c r="FK152" s="8"/>
      <c r="FL152" s="8"/>
      <c r="FM152" s="8"/>
      <c r="FN152" s="8"/>
      <c r="FO152" s="8"/>
      <c r="FP152" s="8"/>
      <c r="FQ152" s="8"/>
      <c r="FR152" s="8"/>
      <c r="FS152" s="8"/>
      <c r="FT152" s="8"/>
      <c r="FU152" s="8"/>
      <c r="FV152" s="8"/>
      <c r="FW152" s="8"/>
      <c r="FX152" s="8"/>
      <c r="FY152" s="8"/>
      <c r="FZ152" s="8"/>
      <c r="GA152" s="8"/>
      <c r="GB152" s="8"/>
      <c r="GC152" s="8"/>
      <c r="GD152" s="8"/>
      <c r="GE152" s="8"/>
      <c r="GF152" s="8"/>
      <c r="GG152" s="8"/>
      <c r="GH152" s="8"/>
      <c r="GI152" s="8"/>
      <c r="GJ152" s="8"/>
      <c r="GK152" s="8"/>
      <c r="GL152" s="8"/>
      <c r="GM152" s="8"/>
      <c r="GN152" s="8"/>
      <c r="GO152" s="8"/>
      <c r="GP152" s="8"/>
      <c r="GQ152" s="8"/>
      <c r="GR152" s="8"/>
      <c r="GS152" s="8"/>
      <c r="GT152" s="8"/>
      <c r="GU152" s="8"/>
      <c r="GV152" s="8"/>
      <c r="GW152" s="8"/>
      <c r="GX152" s="8"/>
      <c r="GY152" s="8"/>
      <c r="GZ152" s="8"/>
      <c r="HA152" s="8"/>
      <c r="HB152" s="8"/>
      <c r="HC152" s="8"/>
      <c r="HD152" s="8"/>
      <c r="HE152" s="8"/>
      <c r="HF152" s="8"/>
      <c r="HG152" s="8"/>
      <c r="HH152" s="8"/>
      <c r="HI152" s="8"/>
      <c r="HJ152" s="8"/>
      <c r="HK152" s="8"/>
      <c r="HL152" s="8"/>
      <c r="HM152" s="8"/>
      <c r="HN152" s="8"/>
      <c r="HO152" s="8"/>
      <c r="HP152" s="8"/>
      <c r="HQ152" s="8"/>
      <c r="HR152" s="8"/>
      <c r="HS152" s="8"/>
      <c r="HT152" s="8"/>
      <c r="HU152" s="8"/>
      <c r="HV152" s="8"/>
      <c r="HW152" s="8"/>
      <c r="HX152" s="8"/>
      <c r="HY152" s="8"/>
      <c r="HZ152" s="8"/>
      <c r="IA152" s="8"/>
      <c r="IB152" s="8"/>
      <c r="IC152" s="8"/>
      <c r="ID152" s="8"/>
      <c r="IE152" s="8"/>
      <c r="IF152" s="8"/>
      <c r="IG152" s="8"/>
      <c r="IH152" s="8"/>
      <c r="II152" s="8"/>
      <c r="IJ152" s="8"/>
      <c r="IK152" s="8"/>
      <c r="IL152" s="8"/>
      <c r="IM152" s="8"/>
      <c r="IN152" s="8"/>
      <c r="IO152" s="8"/>
      <c r="IP152" s="8"/>
      <c r="IQ152" s="8"/>
      <c r="IR152" s="8"/>
      <c r="IS152" s="8"/>
      <c r="IT152" s="8"/>
      <c r="IU152" s="8"/>
      <c r="IV152" s="8"/>
      <c r="IW152" s="8"/>
      <c r="IX152" s="8"/>
      <c r="JA152" s="125"/>
      <c r="JB152" s="125"/>
      <c r="JC152" s="125"/>
      <c r="JD152" s="72">
        <f>SUM((TEXT(JA152,"[M]")/60)*'Income Person-hours'!$D$3,(TEXT(JB152,"[M]")/60)*'Income Person-hours'!$D$4,(TEXT(JC152,"[M]")/60)*'Income Person-hours'!$D$5)</f>
        <v>0</v>
      </c>
    </row>
    <row r="153" spans="1:264" s="12" customFormat="1" ht="15.75" hidden="1" x14ac:dyDescent="0.45">
      <c r="A153" s="33">
        <v>7.13</v>
      </c>
      <c r="B153" s="128"/>
      <c r="C153" s="119"/>
      <c r="D153" s="13" t="str">
        <f>IF(OR(j_WEEKDAY(J_ADDDAY(VLOOKUP(I153,A:F,6,FALSE),H153,1),0)=6,SUMIFS(Holieday[ok],Holieday[date],J_ADDDAY(VLOOKUP(I153,A:F,6,FALSE),H153,1)))=FALSE(),J_ADDDAY(VLOOKUP(I153,A:F,6,FALSE),H153,1),IF(OR(j_WEEKDAY(J_ADDDAY(VLOOKUP(I153,A:F,6,FALSE),H153+1,1),0)=6,SUMIFS(Holieday[ok],Holieday[date],J_ADDDAY(VLOOKUP(I153,A:F,6,FALSE),H153+1,1)))=FALSE(),J_ADDDAY(VLOOKUP(I153,A:F,6,FALSE),H153+1,1),IF(OR(j_WEEKDAY(J_ADDDAY(VLOOKUP(I153,A:F,6,FALSE),H153+2,1),0)=6,SUMIFS(Holieday[ok],Holieday[date],J_ADDDAY(VLOOKUP(I153,A:F,6,FALSE),H153+2,1)))=FALSE(),J_ADDDAY(VLOOKUP(I153,A:F,6,FALSE),H153+2,1),IF(OR(j_WEEKDAY(J_ADDDAY(VLOOKUP(I153,A:F,6,FALSE),H153+3,1),0)=6,SUMIFS(Holieday[ok],Holieday[date],J_ADDDAY(VLOOKUP(I153,A:F,6,FALSE),H153+3,1)))=FALSE(),J_ADDDAY(VLOOKUP(I153,A:F,6,FALSE),H153+3,1),IF(OR(j_WEEKDAY(J_ADDDAY(VLOOKUP(I153,A:F,6,FALSE),H153+4,1),0)=6,SUMIFS(Holieday[ok],Holieday[date],J_ADDDAY(VLOOKUP(I153,A:F,6,FALSE),H153+4,1)))=FALSE(),J_ADDDAY(VLOOKUP(I153,A:F,6,FALSE),H153+4,1),J_ADDDAY(VLOOKUP(I153,A:F,6,FALSE),H153+5,1))))))</f>
        <v>1398/08/14</v>
      </c>
      <c r="E153" s="2">
        <f t="shared" si="43"/>
        <v>13980814</v>
      </c>
      <c r="F153" s="13" t="str">
        <f>IF(N153=0,J_SUBDAY(D153,1,1)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0,J_SUBDAY(J_ADDDAY(D153,N153,1)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1,J_SUBDAY(J_ADDDAY(D153,N153+1,1),1,1),IF((N153-NETWORKDAYS.INTL(J_GregorianDate(D153,1),J_GregorianDate(J_SUBDAY(J_ADDDAY(D153,N153,1),1,1),1),16,1)-SUMIFS(Holieday[ok],Holieday[date],CONCATENATE("&gt;","=",D153),Holieday[date],CONCATENATE("&lt;","=",J_SUBDAY(J_ADDDAY(D153,N153,1),1,1)))+SUMIFS(Holieday[Friday],Holieday[date],CONCATENATE("&gt;","=",D153),Holieday[date],CONCATENATE("&lt;","=",J_SUBDAY(J_ADDDAY(D153,N153,1),1,1))))=2,J_SUBDAY(J_ADDDAY(D153,N153+2,1),1,1),J_SUBDAY(J_ADDDAY(D153,N153+3,1),1,1)))))</f>
        <v>1398/08/13</v>
      </c>
      <c r="G153" s="3">
        <f t="shared" si="44"/>
        <v>13980813</v>
      </c>
      <c r="H153" s="121"/>
      <c r="I153" s="122">
        <v>7.3</v>
      </c>
      <c r="J153" s="10" t="str">
        <f>j_WEEKDAY(D153,1)</f>
        <v>سه‌شنبه</v>
      </c>
      <c r="K153" s="23">
        <f t="shared" si="47"/>
        <v>0</v>
      </c>
      <c r="L153" s="9">
        <f t="shared" si="48"/>
        <v>0</v>
      </c>
      <c r="M153" s="123">
        <v>0</v>
      </c>
      <c r="N153" s="120">
        <v>0</v>
      </c>
      <c r="O153" s="11">
        <f t="shared" si="51"/>
        <v>0</v>
      </c>
      <c r="P153" s="11">
        <f>VALUE(J_normdate(J_ADDDAY($D153,$O153,1)))</f>
        <v>13980814</v>
      </c>
      <c r="Q153" s="10">
        <f t="shared" si="52"/>
        <v>0</v>
      </c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  <c r="ES153" s="8"/>
      <c r="ET153" s="8"/>
      <c r="EU153" s="8"/>
      <c r="EV153" s="8"/>
      <c r="EW153" s="8"/>
      <c r="EX153" s="8"/>
      <c r="EY153" s="8"/>
      <c r="EZ153" s="8"/>
      <c r="FA153" s="8"/>
      <c r="FB153" s="8"/>
      <c r="FC153" s="8"/>
      <c r="FD153" s="8"/>
      <c r="FE153" s="8"/>
      <c r="FF153" s="8"/>
      <c r="FG153" s="8"/>
      <c r="FH153" s="8"/>
      <c r="FI153" s="8"/>
      <c r="FJ153" s="8"/>
      <c r="FK153" s="8"/>
      <c r="FL153" s="8"/>
      <c r="FM153" s="8"/>
      <c r="FN153" s="8"/>
      <c r="FO153" s="8"/>
      <c r="FP153" s="8"/>
      <c r="FQ153" s="8"/>
      <c r="FR153" s="8"/>
      <c r="FS153" s="8"/>
      <c r="FT153" s="8"/>
      <c r="FU153" s="8"/>
      <c r="FV153" s="8"/>
      <c r="FW153" s="8"/>
      <c r="FX153" s="8"/>
      <c r="FY153" s="8"/>
      <c r="FZ153" s="8"/>
      <c r="GA153" s="8"/>
      <c r="GB153" s="8"/>
      <c r="GC153" s="8"/>
      <c r="GD153" s="8"/>
      <c r="GE153" s="8"/>
      <c r="GF153" s="8"/>
      <c r="GG153" s="8"/>
      <c r="GH153" s="8"/>
      <c r="GI153" s="8"/>
      <c r="GJ153" s="8"/>
      <c r="GK153" s="8"/>
      <c r="GL153" s="8"/>
      <c r="GM153" s="8"/>
      <c r="GN153" s="8"/>
      <c r="GO153" s="8"/>
      <c r="GP153" s="8"/>
      <c r="GQ153" s="8"/>
      <c r="GR153" s="8"/>
      <c r="GS153" s="8"/>
      <c r="GT153" s="8"/>
      <c r="GU153" s="8"/>
      <c r="GV153" s="8"/>
      <c r="GW153" s="8"/>
      <c r="GX153" s="8"/>
      <c r="GY153" s="8"/>
      <c r="GZ153" s="8"/>
      <c r="HA153" s="8"/>
      <c r="HB153" s="8"/>
      <c r="HC153" s="8"/>
      <c r="HD153" s="8"/>
      <c r="HE153" s="8"/>
      <c r="HF153" s="8"/>
      <c r="HG153" s="8"/>
      <c r="HH153" s="8"/>
      <c r="HI153" s="8"/>
      <c r="HJ153" s="8"/>
      <c r="HK153" s="8"/>
      <c r="HL153" s="8"/>
      <c r="HM153" s="8"/>
      <c r="HN153" s="8"/>
      <c r="HO153" s="8"/>
      <c r="HP153" s="8"/>
      <c r="HQ153" s="8"/>
      <c r="HR153" s="8"/>
      <c r="HS153" s="8"/>
      <c r="HT153" s="8"/>
      <c r="HU153" s="8"/>
      <c r="HV153" s="8"/>
      <c r="HW153" s="8"/>
      <c r="HX153" s="8"/>
      <c r="HY153" s="8"/>
      <c r="HZ153" s="8"/>
      <c r="IA153" s="8"/>
      <c r="IB153" s="8"/>
      <c r="IC153" s="8"/>
      <c r="ID153" s="8"/>
      <c r="IE153" s="8"/>
      <c r="IF153" s="8"/>
      <c r="IG153" s="8"/>
      <c r="IH153" s="8"/>
      <c r="II153" s="8"/>
      <c r="IJ153" s="8"/>
      <c r="IK153" s="8"/>
      <c r="IL153" s="8"/>
      <c r="IM153" s="8"/>
      <c r="IN153" s="8"/>
      <c r="IO153" s="8"/>
      <c r="IP153" s="8"/>
      <c r="IQ153" s="8"/>
      <c r="IR153" s="8"/>
      <c r="IS153" s="8"/>
      <c r="IT153" s="8"/>
      <c r="IU153" s="8"/>
      <c r="IV153" s="8"/>
      <c r="IW153" s="8"/>
      <c r="IX153" s="8"/>
      <c r="JA153" s="125"/>
      <c r="JB153" s="125"/>
      <c r="JC153" s="125"/>
      <c r="JD153" s="72">
        <f>SUM((TEXT(JA153,"[M]")/60)*'Income Person-hours'!$D$3,(TEXT(JB153,"[M]")/60)*'Income Person-hours'!$D$4,(TEXT(JC153,"[M]")/60)*'Income Person-hours'!$D$5)</f>
        <v>0</v>
      </c>
    </row>
    <row r="154" spans="1:264" s="12" customFormat="1" ht="15.75" hidden="1" x14ac:dyDescent="0.45">
      <c r="A154" s="33">
        <v>7.14</v>
      </c>
      <c r="B154" s="128"/>
      <c r="C154" s="119"/>
      <c r="D154" s="13" t="str">
        <f>IF(OR(j_WEEKDAY(J_ADDDAY(VLOOKUP(I154,A:F,6,FALSE),H154,1),0)=6,SUMIFS(Holieday[ok],Holieday[date],J_ADDDAY(VLOOKUP(I154,A:F,6,FALSE),H154,1)))=FALSE(),J_ADDDAY(VLOOKUP(I154,A:F,6,FALSE),H154,1),IF(OR(j_WEEKDAY(J_ADDDAY(VLOOKUP(I154,A:F,6,FALSE),H154+1,1),0)=6,SUMIFS(Holieday[ok],Holieday[date],J_ADDDAY(VLOOKUP(I154,A:F,6,FALSE),H154+1,1)))=FALSE(),J_ADDDAY(VLOOKUP(I154,A:F,6,FALSE),H154+1,1),IF(OR(j_WEEKDAY(J_ADDDAY(VLOOKUP(I154,A:F,6,FALSE),H154+2,1),0)=6,SUMIFS(Holieday[ok],Holieday[date],J_ADDDAY(VLOOKUP(I154,A:F,6,FALSE),H154+2,1)))=FALSE(),J_ADDDAY(VLOOKUP(I154,A:F,6,FALSE),H154+2,1),IF(OR(j_WEEKDAY(J_ADDDAY(VLOOKUP(I154,A:F,6,FALSE),H154+3,1),0)=6,SUMIFS(Holieday[ok],Holieday[date],J_ADDDAY(VLOOKUP(I154,A:F,6,FALSE),H154+3,1)))=FALSE(),J_ADDDAY(VLOOKUP(I154,A:F,6,FALSE),H154+3,1),IF(OR(j_WEEKDAY(J_ADDDAY(VLOOKUP(I154,A:F,6,FALSE),H154+4,1),0)=6,SUMIFS(Holieday[ok],Holieday[date],J_ADDDAY(VLOOKUP(I154,A:F,6,FALSE),H154+4,1)))=FALSE(),J_ADDDAY(VLOOKUP(I154,A:F,6,FALSE),H154+4,1),J_ADDDAY(VLOOKUP(I154,A:F,6,FALSE),H154+5,1))))))</f>
        <v>1398/08/14</v>
      </c>
      <c r="E154" s="2">
        <f t="shared" si="43"/>
        <v>13980814</v>
      </c>
      <c r="F154" s="13" t="str">
        <f>IF(N154=0,J_SUBDAY(D154,1,1)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0,J_SUBDAY(J_ADDDAY(D154,N154,1)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1,J_SUBDAY(J_ADDDAY(D154,N154+1,1),1,1),IF((N154-NETWORKDAYS.INTL(J_GregorianDate(D154,1),J_GregorianDate(J_SUBDAY(J_ADDDAY(D154,N154,1),1,1),1),16,1)-SUMIFS(Holieday[ok],Holieday[date],CONCATENATE("&gt;","=",D154),Holieday[date],CONCATENATE("&lt;","=",J_SUBDAY(J_ADDDAY(D154,N154,1),1,1)))+SUMIFS(Holieday[Friday],Holieday[date],CONCATENATE("&gt;","=",D154),Holieday[date],CONCATENATE("&lt;","=",J_SUBDAY(J_ADDDAY(D154,N154,1),1,1))))=2,J_SUBDAY(J_ADDDAY(D154,N154+2,1),1,1),J_SUBDAY(J_ADDDAY(D154,N154+3,1),1,1)))))</f>
        <v>1398/08/13</v>
      </c>
      <c r="G154" s="3">
        <f t="shared" si="44"/>
        <v>13980813</v>
      </c>
      <c r="H154" s="121"/>
      <c r="I154" s="122">
        <v>7.3</v>
      </c>
      <c r="J154" s="10" t="str">
        <f>j_WEEKDAY(D154,1)</f>
        <v>سه‌شنبه</v>
      </c>
      <c r="K154" s="23">
        <f t="shared" si="47"/>
        <v>0</v>
      </c>
      <c r="L154" s="9">
        <f t="shared" si="48"/>
        <v>0</v>
      </c>
      <c r="M154" s="123">
        <v>0</v>
      </c>
      <c r="N154" s="120">
        <v>0</v>
      </c>
      <c r="O154" s="11">
        <f t="shared" si="51"/>
        <v>0</v>
      </c>
      <c r="P154" s="11">
        <f>VALUE(J_normdate(J_ADDDAY($D154,$O154,1)))</f>
        <v>13980814</v>
      </c>
      <c r="Q154" s="10">
        <f t="shared" si="52"/>
        <v>0</v>
      </c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  <c r="ES154" s="8"/>
      <c r="ET154" s="8"/>
      <c r="EU154" s="8"/>
      <c r="EV154" s="8"/>
      <c r="EW154" s="8"/>
      <c r="EX154" s="8"/>
      <c r="EY154" s="8"/>
      <c r="EZ154" s="8"/>
      <c r="FA154" s="8"/>
      <c r="FB154" s="8"/>
      <c r="FC154" s="8"/>
      <c r="FD154" s="8"/>
      <c r="FE154" s="8"/>
      <c r="FF154" s="8"/>
      <c r="FG154" s="8"/>
      <c r="FH154" s="8"/>
      <c r="FI154" s="8"/>
      <c r="FJ154" s="8"/>
      <c r="FK154" s="8"/>
      <c r="FL154" s="8"/>
      <c r="FM154" s="8"/>
      <c r="FN154" s="8"/>
      <c r="FO154" s="8"/>
      <c r="FP154" s="8"/>
      <c r="FQ154" s="8"/>
      <c r="FR154" s="8"/>
      <c r="FS154" s="8"/>
      <c r="FT154" s="8"/>
      <c r="FU154" s="8"/>
      <c r="FV154" s="8"/>
      <c r="FW154" s="8"/>
      <c r="FX154" s="8"/>
      <c r="FY154" s="8"/>
      <c r="FZ154" s="8"/>
      <c r="GA154" s="8"/>
      <c r="GB154" s="8"/>
      <c r="GC154" s="8"/>
      <c r="GD154" s="8"/>
      <c r="GE154" s="8"/>
      <c r="GF154" s="8"/>
      <c r="GG154" s="8"/>
      <c r="GH154" s="8"/>
      <c r="GI154" s="8"/>
      <c r="GJ154" s="8"/>
      <c r="GK154" s="8"/>
      <c r="GL154" s="8"/>
      <c r="GM154" s="8"/>
      <c r="GN154" s="8"/>
      <c r="GO154" s="8"/>
      <c r="GP154" s="8"/>
      <c r="GQ154" s="8"/>
      <c r="GR154" s="8"/>
      <c r="GS154" s="8"/>
      <c r="GT154" s="8"/>
      <c r="GU154" s="8"/>
      <c r="GV154" s="8"/>
      <c r="GW154" s="8"/>
      <c r="GX154" s="8"/>
      <c r="GY154" s="8"/>
      <c r="GZ154" s="8"/>
      <c r="HA154" s="8"/>
      <c r="HB154" s="8"/>
      <c r="HC154" s="8"/>
      <c r="HD154" s="8"/>
      <c r="HE154" s="8"/>
      <c r="HF154" s="8"/>
      <c r="HG154" s="8"/>
      <c r="HH154" s="8"/>
      <c r="HI154" s="8"/>
      <c r="HJ154" s="8"/>
      <c r="HK154" s="8"/>
      <c r="HL154" s="8"/>
      <c r="HM154" s="8"/>
      <c r="HN154" s="8"/>
      <c r="HO154" s="8"/>
      <c r="HP154" s="8"/>
      <c r="HQ154" s="8"/>
      <c r="HR154" s="8"/>
      <c r="HS154" s="8"/>
      <c r="HT154" s="8"/>
      <c r="HU154" s="8"/>
      <c r="HV154" s="8"/>
      <c r="HW154" s="8"/>
      <c r="HX154" s="8"/>
      <c r="HY154" s="8"/>
      <c r="HZ154" s="8"/>
      <c r="IA154" s="8"/>
      <c r="IB154" s="8"/>
      <c r="IC154" s="8"/>
      <c r="ID154" s="8"/>
      <c r="IE154" s="8"/>
      <c r="IF154" s="8"/>
      <c r="IG154" s="8"/>
      <c r="IH154" s="8"/>
      <c r="II154" s="8"/>
      <c r="IJ154" s="8"/>
      <c r="IK154" s="8"/>
      <c r="IL154" s="8"/>
      <c r="IM154" s="8"/>
      <c r="IN154" s="8"/>
      <c r="IO154" s="8"/>
      <c r="IP154" s="8"/>
      <c r="IQ154" s="8"/>
      <c r="IR154" s="8"/>
      <c r="IS154" s="8"/>
      <c r="IT154" s="8"/>
      <c r="IU154" s="8"/>
      <c r="IV154" s="8"/>
      <c r="IW154" s="8"/>
      <c r="IX154" s="8"/>
      <c r="JA154" s="125"/>
      <c r="JB154" s="125"/>
      <c r="JC154" s="125"/>
      <c r="JD154" s="72">
        <f>SUM((TEXT(JA154,"[M]")/60)*'Income Person-hours'!$D$3,(TEXT(JB154,"[M]")/60)*'Income Person-hours'!$D$4,(TEXT(JC154,"[M]")/60)*'Income Person-hours'!$D$5)</f>
        <v>0</v>
      </c>
    </row>
    <row r="155" spans="1:264" s="12" customFormat="1" ht="15.75" hidden="1" x14ac:dyDescent="0.45">
      <c r="A155" s="33">
        <v>7.15</v>
      </c>
      <c r="B155" s="128"/>
      <c r="C155" s="119"/>
      <c r="D155" s="13" t="str">
        <f>IF(OR(j_WEEKDAY(J_ADDDAY(VLOOKUP(I155,A:F,6,FALSE),H155,1),0)=6,SUMIFS(Holieday[ok],Holieday[date],J_ADDDAY(VLOOKUP(I155,A:F,6,FALSE),H155,1)))=FALSE(),J_ADDDAY(VLOOKUP(I155,A:F,6,FALSE),H155,1),IF(OR(j_WEEKDAY(J_ADDDAY(VLOOKUP(I155,A:F,6,FALSE),H155+1,1),0)=6,SUMIFS(Holieday[ok],Holieday[date],J_ADDDAY(VLOOKUP(I155,A:F,6,FALSE),H155+1,1)))=FALSE(),J_ADDDAY(VLOOKUP(I155,A:F,6,FALSE),H155+1,1),IF(OR(j_WEEKDAY(J_ADDDAY(VLOOKUP(I155,A:F,6,FALSE),H155+2,1),0)=6,SUMIFS(Holieday[ok],Holieday[date],J_ADDDAY(VLOOKUP(I155,A:F,6,FALSE),H155+2,1)))=FALSE(),J_ADDDAY(VLOOKUP(I155,A:F,6,FALSE),H155+2,1),IF(OR(j_WEEKDAY(J_ADDDAY(VLOOKUP(I155,A:F,6,FALSE),H155+3,1),0)=6,SUMIFS(Holieday[ok],Holieday[date],J_ADDDAY(VLOOKUP(I155,A:F,6,FALSE),H155+3,1)))=FALSE(),J_ADDDAY(VLOOKUP(I155,A:F,6,FALSE),H155+3,1),IF(OR(j_WEEKDAY(J_ADDDAY(VLOOKUP(I155,A:F,6,FALSE),H155+4,1),0)=6,SUMIFS(Holieday[ok],Holieday[date],J_ADDDAY(VLOOKUP(I155,A:F,6,FALSE),H155+4,1)))=FALSE(),J_ADDDAY(VLOOKUP(I155,A:F,6,FALSE),H155+4,1),J_ADDDAY(VLOOKUP(I155,A:F,6,FALSE),H155+5,1))))))</f>
        <v>1398/08/14</v>
      </c>
      <c r="E155" s="2">
        <f t="shared" si="43"/>
        <v>13980814</v>
      </c>
      <c r="F155" s="13" t="str">
        <f>IF(N155=0,J_SUBDAY(D155,1,1)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0,J_SUBDAY(J_ADDDAY(D155,N155,1)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1,J_SUBDAY(J_ADDDAY(D155,N155+1,1),1,1),IF((N155-NETWORKDAYS.INTL(J_GregorianDate(D155,1),J_GregorianDate(J_SUBDAY(J_ADDDAY(D155,N155,1),1,1),1),16,1)-SUMIFS(Holieday[ok],Holieday[date],CONCATENATE("&gt;","=",D155),Holieday[date],CONCATENATE("&lt;","=",J_SUBDAY(J_ADDDAY(D155,N155,1),1,1)))+SUMIFS(Holieday[Friday],Holieday[date],CONCATENATE("&gt;","=",D155),Holieday[date],CONCATENATE("&lt;","=",J_SUBDAY(J_ADDDAY(D155,N155,1),1,1))))=2,J_SUBDAY(J_ADDDAY(D155,N155+2,1),1,1),J_SUBDAY(J_ADDDAY(D155,N155+3,1),1,1)))))</f>
        <v>1398/08/13</v>
      </c>
      <c r="G155" s="3">
        <f t="shared" si="44"/>
        <v>13980813</v>
      </c>
      <c r="H155" s="121"/>
      <c r="I155" s="122">
        <v>7.3</v>
      </c>
      <c r="J155" s="10" t="str">
        <f>j_WEEKDAY(D155,1)</f>
        <v>سه‌شنبه</v>
      </c>
      <c r="K155" s="23">
        <f t="shared" si="47"/>
        <v>0</v>
      </c>
      <c r="L155" s="9">
        <f t="shared" si="48"/>
        <v>0</v>
      </c>
      <c r="M155" s="123">
        <v>0</v>
      </c>
      <c r="N155" s="120">
        <v>0</v>
      </c>
      <c r="O155" s="11">
        <f t="shared" si="51"/>
        <v>0</v>
      </c>
      <c r="P155" s="11">
        <f>VALUE(J_normdate(J_ADDDAY($D155,$O155,1)))</f>
        <v>13980814</v>
      </c>
      <c r="Q155" s="10">
        <f t="shared" si="52"/>
        <v>0</v>
      </c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  <c r="ES155" s="8"/>
      <c r="ET155" s="8"/>
      <c r="EU155" s="8"/>
      <c r="EV155" s="8"/>
      <c r="EW155" s="8"/>
      <c r="EX155" s="8"/>
      <c r="EY155" s="8"/>
      <c r="EZ155" s="8"/>
      <c r="FA155" s="8"/>
      <c r="FB155" s="8"/>
      <c r="FC155" s="8"/>
      <c r="FD155" s="8"/>
      <c r="FE155" s="8"/>
      <c r="FF155" s="8"/>
      <c r="FG155" s="8"/>
      <c r="FH155" s="8"/>
      <c r="FI155" s="8"/>
      <c r="FJ155" s="8"/>
      <c r="FK155" s="8"/>
      <c r="FL155" s="8"/>
      <c r="FM155" s="8"/>
      <c r="FN155" s="8"/>
      <c r="FO155" s="8"/>
      <c r="FP155" s="8"/>
      <c r="FQ155" s="8"/>
      <c r="FR155" s="8"/>
      <c r="FS155" s="8"/>
      <c r="FT155" s="8"/>
      <c r="FU155" s="8"/>
      <c r="FV155" s="8"/>
      <c r="FW155" s="8"/>
      <c r="FX155" s="8"/>
      <c r="FY155" s="8"/>
      <c r="FZ155" s="8"/>
      <c r="GA155" s="8"/>
      <c r="GB155" s="8"/>
      <c r="GC155" s="8"/>
      <c r="GD155" s="8"/>
      <c r="GE155" s="8"/>
      <c r="GF155" s="8"/>
      <c r="GG155" s="8"/>
      <c r="GH155" s="8"/>
      <c r="GI155" s="8"/>
      <c r="GJ155" s="8"/>
      <c r="GK155" s="8"/>
      <c r="GL155" s="8"/>
      <c r="GM155" s="8"/>
      <c r="GN155" s="8"/>
      <c r="GO155" s="8"/>
      <c r="GP155" s="8"/>
      <c r="GQ155" s="8"/>
      <c r="GR155" s="8"/>
      <c r="GS155" s="8"/>
      <c r="GT155" s="8"/>
      <c r="GU155" s="8"/>
      <c r="GV155" s="8"/>
      <c r="GW155" s="8"/>
      <c r="GX155" s="8"/>
      <c r="GY155" s="8"/>
      <c r="GZ155" s="8"/>
      <c r="HA155" s="8"/>
      <c r="HB155" s="8"/>
      <c r="HC155" s="8"/>
      <c r="HD155" s="8"/>
      <c r="HE155" s="8"/>
      <c r="HF155" s="8"/>
      <c r="HG155" s="8"/>
      <c r="HH155" s="8"/>
      <c r="HI155" s="8"/>
      <c r="HJ155" s="8"/>
      <c r="HK155" s="8"/>
      <c r="HL155" s="8"/>
      <c r="HM155" s="8"/>
      <c r="HN155" s="8"/>
      <c r="HO155" s="8"/>
      <c r="HP155" s="8"/>
      <c r="HQ155" s="8"/>
      <c r="HR155" s="8"/>
      <c r="HS155" s="8"/>
      <c r="HT155" s="8"/>
      <c r="HU155" s="8"/>
      <c r="HV155" s="8"/>
      <c r="HW155" s="8"/>
      <c r="HX155" s="8"/>
      <c r="HY155" s="8"/>
      <c r="HZ155" s="8"/>
      <c r="IA155" s="8"/>
      <c r="IB155" s="8"/>
      <c r="IC155" s="8"/>
      <c r="ID155" s="8"/>
      <c r="IE155" s="8"/>
      <c r="IF155" s="8"/>
      <c r="IG155" s="8"/>
      <c r="IH155" s="8"/>
      <c r="II155" s="8"/>
      <c r="IJ155" s="8"/>
      <c r="IK155" s="8"/>
      <c r="IL155" s="8"/>
      <c r="IM155" s="8"/>
      <c r="IN155" s="8"/>
      <c r="IO155" s="8"/>
      <c r="IP155" s="8"/>
      <c r="IQ155" s="8"/>
      <c r="IR155" s="8"/>
      <c r="IS155" s="8"/>
      <c r="IT155" s="8"/>
      <c r="IU155" s="8"/>
      <c r="IV155" s="8"/>
      <c r="IW155" s="8"/>
      <c r="IX155" s="8"/>
      <c r="JA155" s="125"/>
      <c r="JB155" s="125"/>
      <c r="JC155" s="125"/>
      <c r="JD155" s="72">
        <f>SUM((TEXT(JA155,"[M]")/60)*'Income Person-hours'!$D$3,(TEXT(JB155,"[M]")/60)*'Income Person-hours'!$D$4,(TEXT(JC155,"[M]")/60)*'Income Person-hours'!$D$5)</f>
        <v>0</v>
      </c>
    </row>
    <row r="156" spans="1:264" s="12" customFormat="1" ht="15.75" hidden="1" x14ac:dyDescent="0.45">
      <c r="A156" s="33">
        <v>7.16</v>
      </c>
      <c r="B156" s="128"/>
      <c r="C156" s="119"/>
      <c r="D156" s="13" t="str">
        <f>IF(OR(j_WEEKDAY(J_ADDDAY(VLOOKUP(I156,A:F,6,FALSE),H156,1),0)=6,SUMIFS(Holieday[ok],Holieday[date],J_ADDDAY(VLOOKUP(I156,A:F,6,FALSE),H156,1)))=FALSE(),J_ADDDAY(VLOOKUP(I156,A:F,6,FALSE),H156,1),IF(OR(j_WEEKDAY(J_ADDDAY(VLOOKUP(I156,A:F,6,FALSE),H156+1,1),0)=6,SUMIFS(Holieday[ok],Holieday[date],J_ADDDAY(VLOOKUP(I156,A:F,6,FALSE),H156+1,1)))=FALSE(),J_ADDDAY(VLOOKUP(I156,A:F,6,FALSE),H156+1,1),IF(OR(j_WEEKDAY(J_ADDDAY(VLOOKUP(I156,A:F,6,FALSE),H156+2,1),0)=6,SUMIFS(Holieday[ok],Holieday[date],J_ADDDAY(VLOOKUP(I156,A:F,6,FALSE),H156+2,1)))=FALSE(),J_ADDDAY(VLOOKUP(I156,A:F,6,FALSE),H156+2,1),IF(OR(j_WEEKDAY(J_ADDDAY(VLOOKUP(I156,A:F,6,FALSE),H156+3,1),0)=6,SUMIFS(Holieday[ok],Holieday[date],J_ADDDAY(VLOOKUP(I156,A:F,6,FALSE),H156+3,1)))=FALSE(),J_ADDDAY(VLOOKUP(I156,A:F,6,FALSE),H156+3,1),IF(OR(j_WEEKDAY(J_ADDDAY(VLOOKUP(I156,A:F,6,FALSE),H156+4,1),0)=6,SUMIFS(Holieday[ok],Holieday[date],J_ADDDAY(VLOOKUP(I156,A:F,6,FALSE),H156+4,1)))=FALSE(),J_ADDDAY(VLOOKUP(I156,A:F,6,FALSE),H156+4,1),J_ADDDAY(VLOOKUP(I156,A:F,6,FALSE),H156+5,1))))))</f>
        <v>1398/08/14</v>
      </c>
      <c r="E156" s="2">
        <f t="shared" si="43"/>
        <v>13980814</v>
      </c>
      <c r="F156" s="13" t="str">
        <f>IF(N156=0,J_SUBDAY(D156,1,1)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0,J_SUBDAY(J_ADDDAY(D156,N156,1)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1,J_SUBDAY(J_ADDDAY(D156,N156+1,1),1,1),IF((N156-NETWORKDAYS.INTL(J_GregorianDate(D156,1),J_GregorianDate(J_SUBDAY(J_ADDDAY(D156,N156,1),1,1),1),16,1)-SUMIFS(Holieday[ok],Holieday[date],CONCATENATE("&gt;","=",D156),Holieday[date],CONCATENATE("&lt;","=",J_SUBDAY(J_ADDDAY(D156,N156,1),1,1)))+SUMIFS(Holieday[Friday],Holieday[date],CONCATENATE("&gt;","=",D156),Holieday[date],CONCATENATE("&lt;","=",J_SUBDAY(J_ADDDAY(D156,N156,1),1,1))))=2,J_SUBDAY(J_ADDDAY(D156,N156+2,1),1,1),J_SUBDAY(J_ADDDAY(D156,N156+3,1),1,1)))))</f>
        <v>1398/08/13</v>
      </c>
      <c r="G156" s="3">
        <f t="shared" si="44"/>
        <v>13980813</v>
      </c>
      <c r="H156" s="121"/>
      <c r="I156" s="122">
        <v>7.3</v>
      </c>
      <c r="J156" s="10" t="str">
        <f>j_WEEKDAY(D156,1)</f>
        <v>سه‌شنبه</v>
      </c>
      <c r="K156" s="23">
        <f t="shared" si="47"/>
        <v>0</v>
      </c>
      <c r="L156" s="9">
        <f t="shared" si="48"/>
        <v>0</v>
      </c>
      <c r="M156" s="123">
        <v>0</v>
      </c>
      <c r="N156" s="120">
        <v>0</v>
      </c>
      <c r="O156" s="11">
        <f t="shared" si="51"/>
        <v>0</v>
      </c>
      <c r="P156" s="11">
        <f>VALUE(J_normdate(J_ADDDAY($D156,$O156,1)))</f>
        <v>13980814</v>
      </c>
      <c r="Q156" s="10">
        <f t="shared" si="52"/>
        <v>0</v>
      </c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  <c r="ES156" s="8"/>
      <c r="ET156" s="8"/>
      <c r="EU156" s="8"/>
      <c r="EV156" s="8"/>
      <c r="EW156" s="8"/>
      <c r="EX156" s="8"/>
      <c r="EY156" s="8"/>
      <c r="EZ156" s="8"/>
      <c r="FA156" s="8"/>
      <c r="FB156" s="8"/>
      <c r="FC156" s="8"/>
      <c r="FD156" s="8"/>
      <c r="FE156" s="8"/>
      <c r="FF156" s="8"/>
      <c r="FG156" s="8"/>
      <c r="FH156" s="8"/>
      <c r="FI156" s="8"/>
      <c r="FJ156" s="8"/>
      <c r="FK156" s="8"/>
      <c r="FL156" s="8"/>
      <c r="FM156" s="8"/>
      <c r="FN156" s="8"/>
      <c r="FO156" s="8"/>
      <c r="FP156" s="8"/>
      <c r="FQ156" s="8"/>
      <c r="FR156" s="8"/>
      <c r="FS156" s="8"/>
      <c r="FT156" s="8"/>
      <c r="FU156" s="8"/>
      <c r="FV156" s="8"/>
      <c r="FW156" s="8"/>
      <c r="FX156" s="8"/>
      <c r="FY156" s="8"/>
      <c r="FZ156" s="8"/>
      <c r="GA156" s="8"/>
      <c r="GB156" s="8"/>
      <c r="GC156" s="8"/>
      <c r="GD156" s="8"/>
      <c r="GE156" s="8"/>
      <c r="GF156" s="8"/>
      <c r="GG156" s="8"/>
      <c r="GH156" s="8"/>
      <c r="GI156" s="8"/>
      <c r="GJ156" s="8"/>
      <c r="GK156" s="8"/>
      <c r="GL156" s="8"/>
      <c r="GM156" s="8"/>
      <c r="GN156" s="8"/>
      <c r="GO156" s="8"/>
      <c r="GP156" s="8"/>
      <c r="GQ156" s="8"/>
      <c r="GR156" s="8"/>
      <c r="GS156" s="8"/>
      <c r="GT156" s="8"/>
      <c r="GU156" s="8"/>
      <c r="GV156" s="8"/>
      <c r="GW156" s="8"/>
      <c r="GX156" s="8"/>
      <c r="GY156" s="8"/>
      <c r="GZ156" s="8"/>
      <c r="HA156" s="8"/>
      <c r="HB156" s="8"/>
      <c r="HC156" s="8"/>
      <c r="HD156" s="8"/>
      <c r="HE156" s="8"/>
      <c r="HF156" s="8"/>
      <c r="HG156" s="8"/>
      <c r="HH156" s="8"/>
      <c r="HI156" s="8"/>
      <c r="HJ156" s="8"/>
      <c r="HK156" s="8"/>
      <c r="HL156" s="8"/>
      <c r="HM156" s="8"/>
      <c r="HN156" s="8"/>
      <c r="HO156" s="8"/>
      <c r="HP156" s="8"/>
      <c r="HQ156" s="8"/>
      <c r="HR156" s="8"/>
      <c r="HS156" s="8"/>
      <c r="HT156" s="8"/>
      <c r="HU156" s="8"/>
      <c r="HV156" s="8"/>
      <c r="HW156" s="8"/>
      <c r="HX156" s="8"/>
      <c r="HY156" s="8"/>
      <c r="HZ156" s="8"/>
      <c r="IA156" s="8"/>
      <c r="IB156" s="8"/>
      <c r="IC156" s="8"/>
      <c r="ID156" s="8"/>
      <c r="IE156" s="8"/>
      <c r="IF156" s="8"/>
      <c r="IG156" s="8"/>
      <c r="IH156" s="8"/>
      <c r="II156" s="8"/>
      <c r="IJ156" s="8"/>
      <c r="IK156" s="8"/>
      <c r="IL156" s="8"/>
      <c r="IM156" s="8"/>
      <c r="IN156" s="8"/>
      <c r="IO156" s="8"/>
      <c r="IP156" s="8"/>
      <c r="IQ156" s="8"/>
      <c r="IR156" s="8"/>
      <c r="IS156" s="8"/>
      <c r="IT156" s="8"/>
      <c r="IU156" s="8"/>
      <c r="IV156" s="8"/>
      <c r="IW156" s="8"/>
      <c r="IX156" s="8"/>
      <c r="JA156" s="125"/>
      <c r="JB156" s="125"/>
      <c r="JC156" s="125"/>
      <c r="JD156" s="72">
        <f>SUM((TEXT(JA156,"[M]")/60)*'Income Person-hours'!$D$3,(TEXT(JB156,"[M]")/60)*'Income Person-hours'!$D$4,(TEXT(JC156,"[M]")/60)*'Income Person-hours'!$D$5)</f>
        <v>0</v>
      </c>
    </row>
    <row r="157" spans="1:264" s="12" customFormat="1" ht="15.75" hidden="1" x14ac:dyDescent="0.45">
      <c r="A157" s="33">
        <v>7.17</v>
      </c>
      <c r="B157" s="128"/>
      <c r="C157" s="119"/>
      <c r="D157" s="13" t="str">
        <f>IF(OR(j_WEEKDAY(J_ADDDAY(VLOOKUP(I157,A:F,6,FALSE),H157,1),0)=6,SUMIFS(Holieday[ok],Holieday[date],J_ADDDAY(VLOOKUP(I157,A:F,6,FALSE),H157,1)))=FALSE(),J_ADDDAY(VLOOKUP(I157,A:F,6,FALSE),H157,1),IF(OR(j_WEEKDAY(J_ADDDAY(VLOOKUP(I157,A:F,6,FALSE),H157+1,1),0)=6,SUMIFS(Holieday[ok],Holieday[date],J_ADDDAY(VLOOKUP(I157,A:F,6,FALSE),H157+1,1)))=FALSE(),J_ADDDAY(VLOOKUP(I157,A:F,6,FALSE),H157+1,1),IF(OR(j_WEEKDAY(J_ADDDAY(VLOOKUP(I157,A:F,6,FALSE),H157+2,1),0)=6,SUMIFS(Holieday[ok],Holieday[date],J_ADDDAY(VLOOKUP(I157,A:F,6,FALSE),H157+2,1)))=FALSE(),J_ADDDAY(VLOOKUP(I157,A:F,6,FALSE),H157+2,1),IF(OR(j_WEEKDAY(J_ADDDAY(VLOOKUP(I157,A:F,6,FALSE),H157+3,1),0)=6,SUMIFS(Holieday[ok],Holieday[date],J_ADDDAY(VLOOKUP(I157,A:F,6,FALSE),H157+3,1)))=FALSE(),J_ADDDAY(VLOOKUP(I157,A:F,6,FALSE),H157+3,1),IF(OR(j_WEEKDAY(J_ADDDAY(VLOOKUP(I157,A:F,6,FALSE),H157+4,1),0)=6,SUMIFS(Holieday[ok],Holieday[date],J_ADDDAY(VLOOKUP(I157,A:F,6,FALSE),H157+4,1)))=FALSE(),J_ADDDAY(VLOOKUP(I157,A:F,6,FALSE),H157+4,1),J_ADDDAY(VLOOKUP(I157,A:F,6,FALSE),H157+5,1))))))</f>
        <v>1398/08/14</v>
      </c>
      <c r="E157" s="2">
        <f t="shared" si="43"/>
        <v>13980814</v>
      </c>
      <c r="F157" s="13" t="str">
        <f>IF(N157=0,J_SUBDAY(D157,1,1)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0,J_SUBDAY(J_ADDDAY(D157,N157,1)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1,J_SUBDAY(J_ADDDAY(D157,N157+1,1),1,1),IF((N157-NETWORKDAYS.INTL(J_GregorianDate(D157,1),J_GregorianDate(J_SUBDAY(J_ADDDAY(D157,N157,1),1,1),1),16,1)-SUMIFS(Holieday[ok],Holieday[date],CONCATENATE("&gt;","=",D157),Holieday[date],CONCATENATE("&lt;","=",J_SUBDAY(J_ADDDAY(D157,N157,1),1,1)))+SUMIFS(Holieday[Friday],Holieday[date],CONCATENATE("&gt;","=",D157),Holieday[date],CONCATENATE("&lt;","=",J_SUBDAY(J_ADDDAY(D157,N157,1),1,1))))=2,J_SUBDAY(J_ADDDAY(D157,N157+2,1),1,1),J_SUBDAY(J_ADDDAY(D157,N157+3,1),1,1)))))</f>
        <v>1398/08/13</v>
      </c>
      <c r="G157" s="3">
        <f t="shared" si="44"/>
        <v>13980813</v>
      </c>
      <c r="H157" s="121"/>
      <c r="I157" s="122">
        <v>7.3</v>
      </c>
      <c r="J157" s="10" t="str">
        <f>j_WEEKDAY(D157,1)</f>
        <v>سه‌شنبه</v>
      </c>
      <c r="K157" s="23">
        <f t="shared" si="47"/>
        <v>0</v>
      </c>
      <c r="L157" s="9">
        <f t="shared" si="48"/>
        <v>0</v>
      </c>
      <c r="M157" s="123">
        <v>0</v>
      </c>
      <c r="N157" s="120">
        <v>0</v>
      </c>
      <c r="O157" s="11">
        <f t="shared" si="51"/>
        <v>0</v>
      </c>
      <c r="P157" s="11">
        <f>VALUE(J_normdate(J_ADDDAY($D157,$O157,1)))</f>
        <v>13980814</v>
      </c>
      <c r="Q157" s="10">
        <f t="shared" si="52"/>
        <v>0</v>
      </c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  <c r="ES157" s="8"/>
      <c r="ET157" s="8"/>
      <c r="EU157" s="8"/>
      <c r="EV157" s="8"/>
      <c r="EW157" s="8"/>
      <c r="EX157" s="8"/>
      <c r="EY157" s="8"/>
      <c r="EZ157" s="8"/>
      <c r="FA157" s="8"/>
      <c r="FB157" s="8"/>
      <c r="FC157" s="8"/>
      <c r="FD157" s="8"/>
      <c r="FE157" s="8"/>
      <c r="FF157" s="8"/>
      <c r="FG157" s="8"/>
      <c r="FH157" s="8"/>
      <c r="FI157" s="8"/>
      <c r="FJ157" s="8"/>
      <c r="FK157" s="8"/>
      <c r="FL157" s="8"/>
      <c r="FM157" s="8"/>
      <c r="FN157" s="8"/>
      <c r="FO157" s="8"/>
      <c r="FP157" s="8"/>
      <c r="FQ157" s="8"/>
      <c r="FR157" s="8"/>
      <c r="FS157" s="8"/>
      <c r="FT157" s="8"/>
      <c r="FU157" s="8"/>
      <c r="FV157" s="8"/>
      <c r="FW157" s="8"/>
      <c r="FX157" s="8"/>
      <c r="FY157" s="8"/>
      <c r="FZ157" s="8"/>
      <c r="GA157" s="8"/>
      <c r="GB157" s="8"/>
      <c r="GC157" s="8"/>
      <c r="GD157" s="8"/>
      <c r="GE157" s="8"/>
      <c r="GF157" s="8"/>
      <c r="GG157" s="8"/>
      <c r="GH157" s="8"/>
      <c r="GI157" s="8"/>
      <c r="GJ157" s="8"/>
      <c r="GK157" s="8"/>
      <c r="GL157" s="8"/>
      <c r="GM157" s="8"/>
      <c r="GN157" s="8"/>
      <c r="GO157" s="8"/>
      <c r="GP157" s="8"/>
      <c r="GQ157" s="8"/>
      <c r="GR157" s="8"/>
      <c r="GS157" s="8"/>
      <c r="GT157" s="8"/>
      <c r="GU157" s="8"/>
      <c r="GV157" s="8"/>
      <c r="GW157" s="8"/>
      <c r="GX157" s="8"/>
      <c r="GY157" s="8"/>
      <c r="GZ157" s="8"/>
      <c r="HA157" s="8"/>
      <c r="HB157" s="8"/>
      <c r="HC157" s="8"/>
      <c r="HD157" s="8"/>
      <c r="HE157" s="8"/>
      <c r="HF157" s="8"/>
      <c r="HG157" s="8"/>
      <c r="HH157" s="8"/>
      <c r="HI157" s="8"/>
      <c r="HJ157" s="8"/>
      <c r="HK157" s="8"/>
      <c r="HL157" s="8"/>
      <c r="HM157" s="8"/>
      <c r="HN157" s="8"/>
      <c r="HO157" s="8"/>
      <c r="HP157" s="8"/>
      <c r="HQ157" s="8"/>
      <c r="HR157" s="8"/>
      <c r="HS157" s="8"/>
      <c r="HT157" s="8"/>
      <c r="HU157" s="8"/>
      <c r="HV157" s="8"/>
      <c r="HW157" s="8"/>
      <c r="HX157" s="8"/>
      <c r="HY157" s="8"/>
      <c r="HZ157" s="8"/>
      <c r="IA157" s="8"/>
      <c r="IB157" s="8"/>
      <c r="IC157" s="8"/>
      <c r="ID157" s="8"/>
      <c r="IE157" s="8"/>
      <c r="IF157" s="8"/>
      <c r="IG157" s="8"/>
      <c r="IH157" s="8"/>
      <c r="II157" s="8"/>
      <c r="IJ157" s="8"/>
      <c r="IK157" s="8"/>
      <c r="IL157" s="8"/>
      <c r="IM157" s="8"/>
      <c r="IN157" s="8"/>
      <c r="IO157" s="8"/>
      <c r="IP157" s="8"/>
      <c r="IQ157" s="8"/>
      <c r="IR157" s="8"/>
      <c r="IS157" s="8"/>
      <c r="IT157" s="8"/>
      <c r="IU157" s="8"/>
      <c r="IV157" s="8"/>
      <c r="IW157" s="8"/>
      <c r="IX157" s="8"/>
      <c r="JA157" s="125"/>
      <c r="JB157" s="125"/>
      <c r="JC157" s="125"/>
      <c r="JD157" s="72">
        <f>SUM((TEXT(JA157,"[M]")/60)*'Income Person-hours'!$D$3,(TEXT(JB157,"[M]")/60)*'Income Person-hours'!$D$4,(TEXT(JC157,"[M]")/60)*'Income Person-hours'!$D$5)</f>
        <v>0</v>
      </c>
    </row>
    <row r="158" spans="1:264" s="12" customFormat="1" ht="15.75" hidden="1" x14ac:dyDescent="0.45">
      <c r="A158" s="33">
        <v>7.18</v>
      </c>
      <c r="B158" s="128"/>
      <c r="C158" s="119"/>
      <c r="D158" s="13" t="str">
        <f>IF(OR(j_WEEKDAY(J_ADDDAY(VLOOKUP(I158,A:F,6,FALSE),H158,1),0)=6,SUMIFS(Holieday[ok],Holieday[date],J_ADDDAY(VLOOKUP(I158,A:F,6,FALSE),H158,1)))=FALSE(),J_ADDDAY(VLOOKUP(I158,A:F,6,FALSE),H158,1),IF(OR(j_WEEKDAY(J_ADDDAY(VLOOKUP(I158,A:F,6,FALSE),H158+1,1),0)=6,SUMIFS(Holieday[ok],Holieday[date],J_ADDDAY(VLOOKUP(I158,A:F,6,FALSE),H158+1,1)))=FALSE(),J_ADDDAY(VLOOKUP(I158,A:F,6,FALSE),H158+1,1),IF(OR(j_WEEKDAY(J_ADDDAY(VLOOKUP(I158,A:F,6,FALSE),H158+2,1),0)=6,SUMIFS(Holieday[ok],Holieday[date],J_ADDDAY(VLOOKUP(I158,A:F,6,FALSE),H158+2,1)))=FALSE(),J_ADDDAY(VLOOKUP(I158,A:F,6,FALSE),H158+2,1),IF(OR(j_WEEKDAY(J_ADDDAY(VLOOKUP(I158,A:F,6,FALSE),H158+3,1),0)=6,SUMIFS(Holieday[ok],Holieday[date],J_ADDDAY(VLOOKUP(I158,A:F,6,FALSE),H158+3,1)))=FALSE(),J_ADDDAY(VLOOKUP(I158,A:F,6,FALSE),H158+3,1),IF(OR(j_WEEKDAY(J_ADDDAY(VLOOKUP(I158,A:F,6,FALSE),H158+4,1),0)=6,SUMIFS(Holieday[ok],Holieday[date],J_ADDDAY(VLOOKUP(I158,A:F,6,FALSE),H158+4,1)))=FALSE(),J_ADDDAY(VLOOKUP(I158,A:F,6,FALSE),H158+4,1),J_ADDDAY(VLOOKUP(I158,A:F,6,FALSE),H158+5,1))))))</f>
        <v>1398/08/14</v>
      </c>
      <c r="E158" s="2">
        <f t="shared" si="43"/>
        <v>13980814</v>
      </c>
      <c r="F158" s="13" t="str">
        <f>IF(N158=0,J_SUBDAY(D158,1,1)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0,J_SUBDAY(J_ADDDAY(D158,N158,1)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1,J_SUBDAY(J_ADDDAY(D158,N158+1,1),1,1),IF((N158-NETWORKDAYS.INTL(J_GregorianDate(D158,1),J_GregorianDate(J_SUBDAY(J_ADDDAY(D158,N158,1),1,1),1),16,1)-SUMIFS(Holieday[ok],Holieday[date],CONCATENATE("&gt;","=",D158),Holieday[date],CONCATENATE("&lt;","=",J_SUBDAY(J_ADDDAY(D158,N158,1),1,1)))+SUMIFS(Holieday[Friday],Holieday[date],CONCATENATE("&gt;","=",D158),Holieday[date],CONCATENATE("&lt;","=",J_SUBDAY(J_ADDDAY(D158,N158,1),1,1))))=2,J_SUBDAY(J_ADDDAY(D158,N158+2,1),1,1),J_SUBDAY(J_ADDDAY(D158,N158+3,1),1,1)))))</f>
        <v>1398/08/13</v>
      </c>
      <c r="G158" s="3">
        <f t="shared" si="44"/>
        <v>13980813</v>
      </c>
      <c r="H158" s="121"/>
      <c r="I158" s="122">
        <v>7.3</v>
      </c>
      <c r="J158" s="10" t="str">
        <f>j_WEEKDAY(D158,1)</f>
        <v>سه‌شنبه</v>
      </c>
      <c r="K158" s="23">
        <f t="shared" si="47"/>
        <v>0</v>
      </c>
      <c r="L158" s="9">
        <f t="shared" si="48"/>
        <v>0</v>
      </c>
      <c r="M158" s="123">
        <v>0</v>
      </c>
      <c r="N158" s="120">
        <v>0</v>
      </c>
      <c r="O158" s="11">
        <f t="shared" si="51"/>
        <v>0</v>
      </c>
      <c r="P158" s="11">
        <f>VALUE(J_normdate(J_ADDDAY($D158,$O158,1)))</f>
        <v>13980814</v>
      </c>
      <c r="Q158" s="10">
        <f t="shared" si="52"/>
        <v>0</v>
      </c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  <c r="ES158" s="8"/>
      <c r="ET158" s="8"/>
      <c r="EU158" s="8"/>
      <c r="EV158" s="8"/>
      <c r="EW158" s="8"/>
      <c r="EX158" s="8"/>
      <c r="EY158" s="8"/>
      <c r="EZ158" s="8"/>
      <c r="FA158" s="8"/>
      <c r="FB158" s="8"/>
      <c r="FC158" s="8"/>
      <c r="FD158" s="8"/>
      <c r="FE158" s="8"/>
      <c r="FF158" s="8"/>
      <c r="FG158" s="8"/>
      <c r="FH158" s="8"/>
      <c r="FI158" s="8"/>
      <c r="FJ158" s="8"/>
      <c r="FK158" s="8"/>
      <c r="FL158" s="8"/>
      <c r="FM158" s="8"/>
      <c r="FN158" s="8"/>
      <c r="FO158" s="8"/>
      <c r="FP158" s="8"/>
      <c r="FQ158" s="8"/>
      <c r="FR158" s="8"/>
      <c r="FS158" s="8"/>
      <c r="FT158" s="8"/>
      <c r="FU158" s="8"/>
      <c r="FV158" s="8"/>
      <c r="FW158" s="8"/>
      <c r="FX158" s="8"/>
      <c r="FY158" s="8"/>
      <c r="FZ158" s="8"/>
      <c r="GA158" s="8"/>
      <c r="GB158" s="8"/>
      <c r="GC158" s="8"/>
      <c r="GD158" s="8"/>
      <c r="GE158" s="8"/>
      <c r="GF158" s="8"/>
      <c r="GG158" s="8"/>
      <c r="GH158" s="8"/>
      <c r="GI158" s="8"/>
      <c r="GJ158" s="8"/>
      <c r="GK158" s="8"/>
      <c r="GL158" s="8"/>
      <c r="GM158" s="8"/>
      <c r="GN158" s="8"/>
      <c r="GO158" s="8"/>
      <c r="GP158" s="8"/>
      <c r="GQ158" s="8"/>
      <c r="GR158" s="8"/>
      <c r="GS158" s="8"/>
      <c r="GT158" s="8"/>
      <c r="GU158" s="8"/>
      <c r="GV158" s="8"/>
      <c r="GW158" s="8"/>
      <c r="GX158" s="8"/>
      <c r="GY158" s="8"/>
      <c r="GZ158" s="8"/>
      <c r="HA158" s="8"/>
      <c r="HB158" s="8"/>
      <c r="HC158" s="8"/>
      <c r="HD158" s="8"/>
      <c r="HE158" s="8"/>
      <c r="HF158" s="8"/>
      <c r="HG158" s="8"/>
      <c r="HH158" s="8"/>
      <c r="HI158" s="8"/>
      <c r="HJ158" s="8"/>
      <c r="HK158" s="8"/>
      <c r="HL158" s="8"/>
      <c r="HM158" s="8"/>
      <c r="HN158" s="8"/>
      <c r="HO158" s="8"/>
      <c r="HP158" s="8"/>
      <c r="HQ158" s="8"/>
      <c r="HR158" s="8"/>
      <c r="HS158" s="8"/>
      <c r="HT158" s="8"/>
      <c r="HU158" s="8"/>
      <c r="HV158" s="8"/>
      <c r="HW158" s="8"/>
      <c r="HX158" s="8"/>
      <c r="HY158" s="8"/>
      <c r="HZ158" s="8"/>
      <c r="IA158" s="8"/>
      <c r="IB158" s="8"/>
      <c r="IC158" s="8"/>
      <c r="ID158" s="8"/>
      <c r="IE158" s="8"/>
      <c r="IF158" s="8"/>
      <c r="IG158" s="8"/>
      <c r="IH158" s="8"/>
      <c r="II158" s="8"/>
      <c r="IJ158" s="8"/>
      <c r="IK158" s="8"/>
      <c r="IL158" s="8"/>
      <c r="IM158" s="8"/>
      <c r="IN158" s="8"/>
      <c r="IO158" s="8"/>
      <c r="IP158" s="8"/>
      <c r="IQ158" s="8"/>
      <c r="IR158" s="8"/>
      <c r="IS158" s="8"/>
      <c r="IT158" s="8"/>
      <c r="IU158" s="8"/>
      <c r="IV158" s="8"/>
      <c r="IW158" s="8"/>
      <c r="IX158" s="8"/>
      <c r="JA158" s="125"/>
      <c r="JB158" s="125"/>
      <c r="JC158" s="125"/>
      <c r="JD158" s="72">
        <f>SUM((TEXT(JA158,"[M]")/60)*'Income Person-hours'!$D$3,(TEXT(JB158,"[M]")/60)*'Income Person-hours'!$D$4,(TEXT(JC158,"[M]")/60)*'Income Person-hours'!$D$5)</f>
        <v>0</v>
      </c>
    </row>
    <row r="159" spans="1:264" s="12" customFormat="1" ht="15.75" hidden="1" x14ac:dyDescent="0.45">
      <c r="A159" s="33">
        <v>7.19</v>
      </c>
      <c r="B159" s="128"/>
      <c r="C159" s="119"/>
      <c r="D159" s="13" t="str">
        <f>IF(OR(j_WEEKDAY(J_ADDDAY(VLOOKUP(I159,A:F,6,FALSE),H159,1),0)=6,SUMIFS(Holieday[ok],Holieday[date],J_ADDDAY(VLOOKUP(I159,A:F,6,FALSE),H159,1)))=FALSE(),J_ADDDAY(VLOOKUP(I159,A:F,6,FALSE),H159,1),IF(OR(j_WEEKDAY(J_ADDDAY(VLOOKUP(I159,A:F,6,FALSE),H159+1,1),0)=6,SUMIFS(Holieday[ok],Holieday[date],J_ADDDAY(VLOOKUP(I159,A:F,6,FALSE),H159+1,1)))=FALSE(),J_ADDDAY(VLOOKUP(I159,A:F,6,FALSE),H159+1,1),IF(OR(j_WEEKDAY(J_ADDDAY(VLOOKUP(I159,A:F,6,FALSE),H159+2,1),0)=6,SUMIFS(Holieday[ok],Holieday[date],J_ADDDAY(VLOOKUP(I159,A:F,6,FALSE),H159+2,1)))=FALSE(),J_ADDDAY(VLOOKUP(I159,A:F,6,FALSE),H159+2,1),IF(OR(j_WEEKDAY(J_ADDDAY(VLOOKUP(I159,A:F,6,FALSE),H159+3,1),0)=6,SUMIFS(Holieday[ok],Holieday[date],J_ADDDAY(VLOOKUP(I159,A:F,6,FALSE),H159+3,1)))=FALSE(),J_ADDDAY(VLOOKUP(I159,A:F,6,FALSE),H159+3,1),IF(OR(j_WEEKDAY(J_ADDDAY(VLOOKUP(I159,A:F,6,FALSE),H159+4,1),0)=6,SUMIFS(Holieday[ok],Holieday[date],J_ADDDAY(VLOOKUP(I159,A:F,6,FALSE),H159+4,1)))=FALSE(),J_ADDDAY(VLOOKUP(I159,A:F,6,FALSE),H159+4,1),J_ADDDAY(VLOOKUP(I159,A:F,6,FALSE),H159+5,1))))))</f>
        <v>1398/08/14</v>
      </c>
      <c r="E159" s="2">
        <f t="shared" si="43"/>
        <v>13980814</v>
      </c>
      <c r="F159" s="13" t="str">
        <f>IF(N159=0,J_SUBDAY(D159,1,1)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0,J_SUBDAY(J_ADDDAY(D159,N159,1)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1,J_SUBDAY(J_ADDDAY(D159,N159+1,1),1,1),IF((N159-NETWORKDAYS.INTL(J_GregorianDate(D159,1),J_GregorianDate(J_SUBDAY(J_ADDDAY(D159,N159,1),1,1),1),16,1)-SUMIFS(Holieday[ok],Holieday[date],CONCATENATE("&gt;","=",D159),Holieday[date],CONCATENATE("&lt;","=",J_SUBDAY(J_ADDDAY(D159,N159,1),1,1)))+SUMIFS(Holieday[Friday],Holieday[date],CONCATENATE("&gt;","=",D159),Holieday[date],CONCATENATE("&lt;","=",J_SUBDAY(J_ADDDAY(D159,N159,1),1,1))))=2,J_SUBDAY(J_ADDDAY(D159,N159+2,1),1,1),J_SUBDAY(J_ADDDAY(D159,N159+3,1),1,1)))))</f>
        <v>1398/08/13</v>
      </c>
      <c r="G159" s="3">
        <f t="shared" si="44"/>
        <v>13980813</v>
      </c>
      <c r="H159" s="121"/>
      <c r="I159" s="122">
        <v>7.3</v>
      </c>
      <c r="J159" s="10" t="str">
        <f>j_WEEKDAY(D159,1)</f>
        <v>سه‌شنبه</v>
      </c>
      <c r="K159" s="23">
        <f t="shared" si="47"/>
        <v>0</v>
      </c>
      <c r="L159" s="9">
        <f t="shared" si="48"/>
        <v>0</v>
      </c>
      <c r="M159" s="123">
        <v>0</v>
      </c>
      <c r="N159" s="120">
        <v>0</v>
      </c>
      <c r="O159" s="11">
        <f t="shared" si="51"/>
        <v>0</v>
      </c>
      <c r="P159" s="11">
        <f>VALUE(J_normdate(J_ADDDAY($D159,$O159,1)))</f>
        <v>13980814</v>
      </c>
      <c r="Q159" s="10">
        <f t="shared" si="52"/>
        <v>0</v>
      </c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  <c r="ES159" s="8"/>
      <c r="ET159" s="8"/>
      <c r="EU159" s="8"/>
      <c r="EV159" s="8"/>
      <c r="EW159" s="8"/>
      <c r="EX159" s="8"/>
      <c r="EY159" s="8"/>
      <c r="EZ159" s="8"/>
      <c r="FA159" s="8"/>
      <c r="FB159" s="8"/>
      <c r="FC159" s="8"/>
      <c r="FD159" s="8"/>
      <c r="FE159" s="8"/>
      <c r="FF159" s="8"/>
      <c r="FG159" s="8"/>
      <c r="FH159" s="8"/>
      <c r="FI159" s="8"/>
      <c r="FJ159" s="8"/>
      <c r="FK159" s="8"/>
      <c r="FL159" s="8"/>
      <c r="FM159" s="8"/>
      <c r="FN159" s="8"/>
      <c r="FO159" s="8"/>
      <c r="FP159" s="8"/>
      <c r="FQ159" s="8"/>
      <c r="FR159" s="8"/>
      <c r="FS159" s="8"/>
      <c r="FT159" s="8"/>
      <c r="FU159" s="8"/>
      <c r="FV159" s="8"/>
      <c r="FW159" s="8"/>
      <c r="FX159" s="8"/>
      <c r="FY159" s="8"/>
      <c r="FZ159" s="8"/>
      <c r="GA159" s="8"/>
      <c r="GB159" s="8"/>
      <c r="GC159" s="8"/>
      <c r="GD159" s="8"/>
      <c r="GE159" s="8"/>
      <c r="GF159" s="8"/>
      <c r="GG159" s="8"/>
      <c r="GH159" s="8"/>
      <c r="GI159" s="8"/>
      <c r="GJ159" s="8"/>
      <c r="GK159" s="8"/>
      <c r="GL159" s="8"/>
      <c r="GM159" s="8"/>
      <c r="GN159" s="8"/>
      <c r="GO159" s="8"/>
      <c r="GP159" s="8"/>
      <c r="GQ159" s="8"/>
      <c r="GR159" s="8"/>
      <c r="GS159" s="8"/>
      <c r="GT159" s="8"/>
      <c r="GU159" s="8"/>
      <c r="GV159" s="8"/>
      <c r="GW159" s="8"/>
      <c r="GX159" s="8"/>
      <c r="GY159" s="8"/>
      <c r="GZ159" s="8"/>
      <c r="HA159" s="8"/>
      <c r="HB159" s="8"/>
      <c r="HC159" s="8"/>
      <c r="HD159" s="8"/>
      <c r="HE159" s="8"/>
      <c r="HF159" s="8"/>
      <c r="HG159" s="8"/>
      <c r="HH159" s="8"/>
      <c r="HI159" s="8"/>
      <c r="HJ159" s="8"/>
      <c r="HK159" s="8"/>
      <c r="HL159" s="8"/>
      <c r="HM159" s="8"/>
      <c r="HN159" s="8"/>
      <c r="HO159" s="8"/>
      <c r="HP159" s="8"/>
      <c r="HQ159" s="8"/>
      <c r="HR159" s="8"/>
      <c r="HS159" s="8"/>
      <c r="HT159" s="8"/>
      <c r="HU159" s="8"/>
      <c r="HV159" s="8"/>
      <c r="HW159" s="8"/>
      <c r="HX159" s="8"/>
      <c r="HY159" s="8"/>
      <c r="HZ159" s="8"/>
      <c r="IA159" s="8"/>
      <c r="IB159" s="8"/>
      <c r="IC159" s="8"/>
      <c r="ID159" s="8"/>
      <c r="IE159" s="8"/>
      <c r="IF159" s="8"/>
      <c r="IG159" s="8"/>
      <c r="IH159" s="8"/>
      <c r="II159" s="8"/>
      <c r="IJ159" s="8"/>
      <c r="IK159" s="8"/>
      <c r="IL159" s="8"/>
      <c r="IM159" s="8"/>
      <c r="IN159" s="8"/>
      <c r="IO159" s="8"/>
      <c r="IP159" s="8"/>
      <c r="IQ159" s="8"/>
      <c r="IR159" s="8"/>
      <c r="IS159" s="8"/>
      <c r="IT159" s="8"/>
      <c r="IU159" s="8"/>
      <c r="IV159" s="8"/>
      <c r="IW159" s="8"/>
      <c r="IX159" s="8"/>
      <c r="JA159" s="125"/>
      <c r="JB159" s="125"/>
      <c r="JC159" s="125"/>
      <c r="JD159" s="72">
        <f>SUM((TEXT(JA159,"[M]")/60)*'Income Person-hours'!$D$3,(TEXT(JB159,"[M]")/60)*'Income Person-hours'!$D$4,(TEXT(JC159,"[M]")/60)*'Income Person-hours'!$D$5)</f>
        <v>0</v>
      </c>
    </row>
    <row r="160" spans="1:264" s="12" customFormat="1" ht="15.75" hidden="1" x14ac:dyDescent="0.45">
      <c r="A160" s="33">
        <v>7.21</v>
      </c>
      <c r="B160" s="128"/>
      <c r="C160" s="119"/>
      <c r="D160" s="13" t="str">
        <f>IF(OR(j_WEEKDAY(J_ADDDAY(VLOOKUP(I160,A:F,6,FALSE),H160,1),0)=6,SUMIFS(Holieday[ok],Holieday[date],J_ADDDAY(VLOOKUP(I160,A:F,6,FALSE),H160,1)))=FALSE(),J_ADDDAY(VLOOKUP(I160,A:F,6,FALSE),H160,1),IF(OR(j_WEEKDAY(J_ADDDAY(VLOOKUP(I160,A:F,6,FALSE),H160+1,1),0)=6,SUMIFS(Holieday[ok],Holieday[date],J_ADDDAY(VLOOKUP(I160,A:F,6,FALSE),H160+1,1)))=FALSE(),J_ADDDAY(VLOOKUP(I160,A:F,6,FALSE),H160+1,1),IF(OR(j_WEEKDAY(J_ADDDAY(VLOOKUP(I160,A:F,6,FALSE),H160+2,1),0)=6,SUMIFS(Holieday[ok],Holieday[date],J_ADDDAY(VLOOKUP(I160,A:F,6,FALSE),H160+2,1)))=FALSE(),J_ADDDAY(VLOOKUP(I160,A:F,6,FALSE),H160+2,1),IF(OR(j_WEEKDAY(J_ADDDAY(VLOOKUP(I160,A:F,6,FALSE),H160+3,1),0)=6,SUMIFS(Holieday[ok],Holieday[date],J_ADDDAY(VLOOKUP(I160,A:F,6,FALSE),H160+3,1)))=FALSE(),J_ADDDAY(VLOOKUP(I160,A:F,6,FALSE),H160+3,1),IF(OR(j_WEEKDAY(J_ADDDAY(VLOOKUP(I160,A:F,6,FALSE),H160+4,1),0)=6,SUMIFS(Holieday[ok],Holieday[date],J_ADDDAY(VLOOKUP(I160,A:F,6,FALSE),H160+4,1)))=FALSE(),J_ADDDAY(VLOOKUP(I160,A:F,6,FALSE),H160+4,1),J_ADDDAY(VLOOKUP(I160,A:F,6,FALSE),H160+5,1))))))</f>
        <v>1398/08/14</v>
      </c>
      <c r="E160" s="2">
        <f t="shared" si="43"/>
        <v>13980814</v>
      </c>
      <c r="F160" s="13" t="str">
        <f>IF(N160=0,J_SUBDAY(D160,1,1)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0,J_SUBDAY(J_ADDDAY(D160,N160,1)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1,J_SUBDAY(J_ADDDAY(D160,N160+1,1),1,1),IF((N160-NETWORKDAYS.INTL(J_GregorianDate(D160,1),J_GregorianDate(J_SUBDAY(J_ADDDAY(D160,N160,1),1,1),1),16,1)-SUMIFS(Holieday[ok],Holieday[date],CONCATENATE("&gt;","=",D160),Holieday[date],CONCATENATE("&lt;","=",J_SUBDAY(J_ADDDAY(D160,N160,1),1,1)))+SUMIFS(Holieday[Friday],Holieday[date],CONCATENATE("&gt;","=",D160),Holieday[date],CONCATENATE("&lt;","=",J_SUBDAY(J_ADDDAY(D160,N160,1),1,1))))=2,J_SUBDAY(J_ADDDAY(D160,N160+2,1),1,1),J_SUBDAY(J_ADDDAY(D160,N160+3,1),1,1)))))</f>
        <v>1398/08/13</v>
      </c>
      <c r="G160" s="3">
        <f t="shared" si="44"/>
        <v>13980813</v>
      </c>
      <c r="H160" s="121"/>
      <c r="I160" s="122">
        <v>7.3</v>
      </c>
      <c r="J160" s="10" t="str">
        <f>j_WEEKDAY(D160,1)</f>
        <v>سه‌شنبه</v>
      </c>
      <c r="K160" s="23">
        <f t="shared" si="47"/>
        <v>0</v>
      </c>
      <c r="L160" s="9">
        <f t="shared" si="48"/>
        <v>0</v>
      </c>
      <c r="M160" s="123">
        <v>0</v>
      </c>
      <c r="N160" s="120">
        <v>0</v>
      </c>
      <c r="O160" s="11">
        <f t="shared" si="51"/>
        <v>0</v>
      </c>
      <c r="P160" s="11">
        <f>VALUE(J_normdate(J_ADDDAY($D160,$O160,1)))</f>
        <v>13980814</v>
      </c>
      <c r="Q160" s="10">
        <f t="shared" si="52"/>
        <v>0</v>
      </c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  <c r="ES160" s="8"/>
      <c r="ET160" s="8"/>
      <c r="EU160" s="8"/>
      <c r="EV160" s="8"/>
      <c r="EW160" s="8"/>
      <c r="EX160" s="8"/>
      <c r="EY160" s="8"/>
      <c r="EZ160" s="8"/>
      <c r="FA160" s="8"/>
      <c r="FB160" s="8"/>
      <c r="FC160" s="8"/>
      <c r="FD160" s="8"/>
      <c r="FE160" s="8"/>
      <c r="FF160" s="8"/>
      <c r="FG160" s="8"/>
      <c r="FH160" s="8"/>
      <c r="FI160" s="8"/>
      <c r="FJ160" s="8"/>
      <c r="FK160" s="8"/>
      <c r="FL160" s="8"/>
      <c r="FM160" s="8"/>
      <c r="FN160" s="8"/>
      <c r="FO160" s="8"/>
      <c r="FP160" s="8"/>
      <c r="FQ160" s="8"/>
      <c r="FR160" s="8"/>
      <c r="FS160" s="8"/>
      <c r="FT160" s="8"/>
      <c r="FU160" s="8"/>
      <c r="FV160" s="8"/>
      <c r="FW160" s="8"/>
      <c r="FX160" s="8"/>
      <c r="FY160" s="8"/>
      <c r="FZ160" s="8"/>
      <c r="GA160" s="8"/>
      <c r="GB160" s="8"/>
      <c r="GC160" s="8"/>
      <c r="GD160" s="8"/>
      <c r="GE160" s="8"/>
      <c r="GF160" s="8"/>
      <c r="GG160" s="8"/>
      <c r="GH160" s="8"/>
      <c r="GI160" s="8"/>
      <c r="GJ160" s="8"/>
      <c r="GK160" s="8"/>
      <c r="GL160" s="8"/>
      <c r="GM160" s="8"/>
      <c r="GN160" s="8"/>
      <c r="GO160" s="8"/>
      <c r="GP160" s="8"/>
      <c r="GQ160" s="8"/>
      <c r="GR160" s="8"/>
      <c r="GS160" s="8"/>
      <c r="GT160" s="8"/>
      <c r="GU160" s="8"/>
      <c r="GV160" s="8"/>
      <c r="GW160" s="8"/>
      <c r="GX160" s="8"/>
      <c r="GY160" s="8"/>
      <c r="GZ160" s="8"/>
      <c r="HA160" s="8"/>
      <c r="HB160" s="8"/>
      <c r="HC160" s="8"/>
      <c r="HD160" s="8"/>
      <c r="HE160" s="8"/>
      <c r="HF160" s="8"/>
      <c r="HG160" s="8"/>
      <c r="HH160" s="8"/>
      <c r="HI160" s="8"/>
      <c r="HJ160" s="8"/>
      <c r="HK160" s="8"/>
      <c r="HL160" s="8"/>
      <c r="HM160" s="8"/>
      <c r="HN160" s="8"/>
      <c r="HO160" s="8"/>
      <c r="HP160" s="8"/>
      <c r="HQ160" s="8"/>
      <c r="HR160" s="8"/>
      <c r="HS160" s="8"/>
      <c r="HT160" s="8"/>
      <c r="HU160" s="8"/>
      <c r="HV160" s="8"/>
      <c r="HW160" s="8"/>
      <c r="HX160" s="8"/>
      <c r="HY160" s="8"/>
      <c r="HZ160" s="8"/>
      <c r="IA160" s="8"/>
      <c r="IB160" s="8"/>
      <c r="IC160" s="8"/>
      <c r="ID160" s="8"/>
      <c r="IE160" s="8"/>
      <c r="IF160" s="8"/>
      <c r="IG160" s="8"/>
      <c r="IH160" s="8"/>
      <c r="II160" s="8"/>
      <c r="IJ160" s="8"/>
      <c r="IK160" s="8"/>
      <c r="IL160" s="8"/>
      <c r="IM160" s="8"/>
      <c r="IN160" s="8"/>
      <c r="IO160" s="8"/>
      <c r="IP160" s="8"/>
      <c r="IQ160" s="8"/>
      <c r="IR160" s="8"/>
      <c r="IS160" s="8"/>
      <c r="IT160" s="8"/>
      <c r="IU160" s="8"/>
      <c r="IV160" s="8"/>
      <c r="IW160" s="8"/>
      <c r="IX160" s="8"/>
      <c r="JA160" s="125"/>
      <c r="JB160" s="125"/>
      <c r="JC160" s="125"/>
      <c r="JD160" s="72">
        <f>SUM((TEXT(JA160,"[M]")/60)*'Income Person-hours'!$D$3,(TEXT(JB160,"[M]")/60)*'Income Person-hours'!$D$4,(TEXT(JC160,"[M]")/60)*'Income Person-hours'!$D$5)</f>
        <v>0</v>
      </c>
    </row>
    <row r="161" spans="1:264 16383:16384" s="12" customFormat="1" ht="15.75" hidden="1" x14ac:dyDescent="0.45">
      <c r="A161" s="33">
        <v>7.22</v>
      </c>
      <c r="B161" s="128"/>
      <c r="C161" s="119"/>
      <c r="D161" s="13" t="str">
        <f>IF(OR(j_WEEKDAY(J_ADDDAY(VLOOKUP(I161,A:F,6,FALSE),H161,1),0)=6,SUMIFS(Holieday[ok],Holieday[date],J_ADDDAY(VLOOKUP(I161,A:F,6,FALSE),H161,1)))=FALSE(),J_ADDDAY(VLOOKUP(I161,A:F,6,FALSE),H161,1),IF(OR(j_WEEKDAY(J_ADDDAY(VLOOKUP(I161,A:F,6,FALSE),H161+1,1),0)=6,SUMIFS(Holieday[ok],Holieday[date],J_ADDDAY(VLOOKUP(I161,A:F,6,FALSE),H161+1,1)))=FALSE(),J_ADDDAY(VLOOKUP(I161,A:F,6,FALSE),H161+1,1),IF(OR(j_WEEKDAY(J_ADDDAY(VLOOKUP(I161,A:F,6,FALSE),H161+2,1),0)=6,SUMIFS(Holieday[ok],Holieday[date],J_ADDDAY(VLOOKUP(I161,A:F,6,FALSE),H161+2,1)))=FALSE(),J_ADDDAY(VLOOKUP(I161,A:F,6,FALSE),H161+2,1),IF(OR(j_WEEKDAY(J_ADDDAY(VLOOKUP(I161,A:F,6,FALSE),H161+3,1),0)=6,SUMIFS(Holieday[ok],Holieday[date],J_ADDDAY(VLOOKUP(I161,A:F,6,FALSE),H161+3,1)))=FALSE(),J_ADDDAY(VLOOKUP(I161,A:F,6,FALSE),H161+3,1),IF(OR(j_WEEKDAY(J_ADDDAY(VLOOKUP(I161,A:F,6,FALSE),H161+4,1),0)=6,SUMIFS(Holieday[ok],Holieday[date],J_ADDDAY(VLOOKUP(I161,A:F,6,FALSE),H161+4,1)))=FALSE(),J_ADDDAY(VLOOKUP(I161,A:F,6,FALSE),H161+4,1),J_ADDDAY(VLOOKUP(I161,A:F,6,FALSE),H161+5,1))))))</f>
        <v>1398/08/14</v>
      </c>
      <c r="E161" s="2">
        <f t="shared" si="43"/>
        <v>13980814</v>
      </c>
      <c r="F161" s="13" t="str">
        <f>IF(N161=0,J_SUBDAY(D161,1,1)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0,J_SUBDAY(J_ADDDAY(D161,N161,1)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1,J_SUBDAY(J_ADDDAY(D161,N161+1,1),1,1),IF((N161-NETWORKDAYS.INTL(J_GregorianDate(D161,1),J_GregorianDate(J_SUBDAY(J_ADDDAY(D161,N161,1),1,1),1),16,1)-SUMIFS(Holieday[ok],Holieday[date],CONCATENATE("&gt;","=",D161),Holieday[date],CONCATENATE("&lt;","=",J_SUBDAY(J_ADDDAY(D161,N161,1),1,1)))+SUMIFS(Holieday[Friday],Holieday[date],CONCATENATE("&gt;","=",D161),Holieday[date],CONCATENATE("&lt;","=",J_SUBDAY(J_ADDDAY(D161,N161,1),1,1))))=2,J_SUBDAY(J_ADDDAY(D161,N161+2,1),1,1),J_SUBDAY(J_ADDDAY(D161,N161+3,1),1,1)))))</f>
        <v>1398/08/13</v>
      </c>
      <c r="G161" s="3">
        <f t="shared" si="44"/>
        <v>13980813</v>
      </c>
      <c r="H161" s="121"/>
      <c r="I161" s="122">
        <v>7.3</v>
      </c>
      <c r="J161" s="10" t="str">
        <f>j_WEEKDAY(D161,1)</f>
        <v>سه‌شنبه</v>
      </c>
      <c r="K161" s="23">
        <f t="shared" si="47"/>
        <v>0</v>
      </c>
      <c r="L161" s="9">
        <f t="shared" si="48"/>
        <v>0</v>
      </c>
      <c r="M161" s="123">
        <v>0</v>
      </c>
      <c r="N161" s="120">
        <v>0</v>
      </c>
      <c r="O161" s="11">
        <f t="shared" si="51"/>
        <v>0</v>
      </c>
      <c r="P161" s="11">
        <f>VALUE(J_normdate(J_ADDDAY($D161,$O161,1)))</f>
        <v>13980814</v>
      </c>
      <c r="Q161" s="10">
        <f t="shared" si="52"/>
        <v>0</v>
      </c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  <c r="ES161" s="8"/>
      <c r="ET161" s="8"/>
      <c r="EU161" s="8"/>
      <c r="EV161" s="8"/>
      <c r="EW161" s="8"/>
      <c r="EX161" s="8"/>
      <c r="EY161" s="8"/>
      <c r="EZ161" s="8"/>
      <c r="FA161" s="8"/>
      <c r="FB161" s="8"/>
      <c r="FC161" s="8"/>
      <c r="FD161" s="8"/>
      <c r="FE161" s="8"/>
      <c r="FF161" s="8"/>
      <c r="FG161" s="8"/>
      <c r="FH161" s="8"/>
      <c r="FI161" s="8"/>
      <c r="FJ161" s="8"/>
      <c r="FK161" s="8"/>
      <c r="FL161" s="8"/>
      <c r="FM161" s="8"/>
      <c r="FN161" s="8"/>
      <c r="FO161" s="8"/>
      <c r="FP161" s="8"/>
      <c r="FQ161" s="8"/>
      <c r="FR161" s="8"/>
      <c r="FS161" s="8"/>
      <c r="FT161" s="8"/>
      <c r="FU161" s="8"/>
      <c r="FV161" s="8"/>
      <c r="FW161" s="8"/>
      <c r="FX161" s="8"/>
      <c r="FY161" s="8"/>
      <c r="FZ161" s="8"/>
      <c r="GA161" s="8"/>
      <c r="GB161" s="8"/>
      <c r="GC161" s="8"/>
      <c r="GD161" s="8"/>
      <c r="GE161" s="8"/>
      <c r="GF161" s="8"/>
      <c r="GG161" s="8"/>
      <c r="GH161" s="8"/>
      <c r="GI161" s="8"/>
      <c r="GJ161" s="8"/>
      <c r="GK161" s="8"/>
      <c r="GL161" s="8"/>
      <c r="GM161" s="8"/>
      <c r="GN161" s="8"/>
      <c r="GO161" s="8"/>
      <c r="GP161" s="8"/>
      <c r="GQ161" s="8"/>
      <c r="GR161" s="8"/>
      <c r="GS161" s="8"/>
      <c r="GT161" s="8"/>
      <c r="GU161" s="8"/>
      <c r="GV161" s="8"/>
      <c r="GW161" s="8"/>
      <c r="GX161" s="8"/>
      <c r="GY161" s="8"/>
      <c r="GZ161" s="8"/>
      <c r="HA161" s="8"/>
      <c r="HB161" s="8"/>
      <c r="HC161" s="8"/>
      <c r="HD161" s="8"/>
      <c r="HE161" s="8"/>
      <c r="HF161" s="8"/>
      <c r="HG161" s="8"/>
      <c r="HH161" s="8"/>
      <c r="HI161" s="8"/>
      <c r="HJ161" s="8"/>
      <c r="HK161" s="8"/>
      <c r="HL161" s="8"/>
      <c r="HM161" s="8"/>
      <c r="HN161" s="8"/>
      <c r="HO161" s="8"/>
      <c r="HP161" s="8"/>
      <c r="HQ161" s="8"/>
      <c r="HR161" s="8"/>
      <c r="HS161" s="8"/>
      <c r="HT161" s="8"/>
      <c r="HU161" s="8"/>
      <c r="HV161" s="8"/>
      <c r="HW161" s="8"/>
      <c r="HX161" s="8"/>
      <c r="HY161" s="8"/>
      <c r="HZ161" s="8"/>
      <c r="IA161" s="8"/>
      <c r="IB161" s="8"/>
      <c r="IC161" s="8"/>
      <c r="ID161" s="8"/>
      <c r="IE161" s="8"/>
      <c r="IF161" s="8"/>
      <c r="IG161" s="8"/>
      <c r="IH161" s="8"/>
      <c r="II161" s="8"/>
      <c r="IJ161" s="8"/>
      <c r="IK161" s="8"/>
      <c r="IL161" s="8"/>
      <c r="IM161" s="8"/>
      <c r="IN161" s="8"/>
      <c r="IO161" s="8"/>
      <c r="IP161" s="8"/>
      <c r="IQ161" s="8"/>
      <c r="IR161" s="8"/>
      <c r="IS161" s="8"/>
      <c r="IT161" s="8"/>
      <c r="IU161" s="8"/>
      <c r="IV161" s="8"/>
      <c r="IW161" s="8"/>
      <c r="IX161" s="8"/>
      <c r="JA161" s="125"/>
      <c r="JB161" s="125"/>
      <c r="JC161" s="125"/>
      <c r="JD161" s="72">
        <f>SUM((TEXT(JA161,"[M]")/60)*'Income Person-hours'!$D$3,(TEXT(JB161,"[M]")/60)*'Income Person-hours'!$D$4,(TEXT(JC161,"[M]")/60)*'Income Person-hours'!$D$5)</f>
        <v>0</v>
      </c>
    </row>
    <row r="162" spans="1:264 16383:16384" s="12" customFormat="1" ht="15.75" hidden="1" x14ac:dyDescent="0.45">
      <c r="A162" s="33">
        <v>7.23</v>
      </c>
      <c r="B162" s="128"/>
      <c r="C162" s="119"/>
      <c r="D162" s="13" t="str">
        <f>IF(OR(j_WEEKDAY(J_ADDDAY(VLOOKUP(I162,A:F,6,FALSE),H162,1),0)=6,SUMIFS(Holieday[ok],Holieday[date],J_ADDDAY(VLOOKUP(I162,A:F,6,FALSE),H162,1)))=FALSE(),J_ADDDAY(VLOOKUP(I162,A:F,6,FALSE),H162,1),IF(OR(j_WEEKDAY(J_ADDDAY(VLOOKUP(I162,A:F,6,FALSE),H162+1,1),0)=6,SUMIFS(Holieday[ok],Holieday[date],J_ADDDAY(VLOOKUP(I162,A:F,6,FALSE),H162+1,1)))=FALSE(),J_ADDDAY(VLOOKUP(I162,A:F,6,FALSE),H162+1,1),IF(OR(j_WEEKDAY(J_ADDDAY(VLOOKUP(I162,A:F,6,FALSE),H162+2,1),0)=6,SUMIFS(Holieday[ok],Holieday[date],J_ADDDAY(VLOOKUP(I162,A:F,6,FALSE),H162+2,1)))=FALSE(),J_ADDDAY(VLOOKUP(I162,A:F,6,FALSE),H162+2,1),IF(OR(j_WEEKDAY(J_ADDDAY(VLOOKUP(I162,A:F,6,FALSE),H162+3,1),0)=6,SUMIFS(Holieday[ok],Holieday[date],J_ADDDAY(VLOOKUP(I162,A:F,6,FALSE),H162+3,1)))=FALSE(),J_ADDDAY(VLOOKUP(I162,A:F,6,FALSE),H162+3,1),IF(OR(j_WEEKDAY(J_ADDDAY(VLOOKUP(I162,A:F,6,FALSE),H162+4,1),0)=6,SUMIFS(Holieday[ok],Holieday[date],J_ADDDAY(VLOOKUP(I162,A:F,6,FALSE),H162+4,1)))=FALSE(),J_ADDDAY(VLOOKUP(I162,A:F,6,FALSE),H162+4,1),J_ADDDAY(VLOOKUP(I162,A:F,6,FALSE),H162+5,1))))))</f>
        <v>1398/08/14</v>
      </c>
      <c r="E162" s="2">
        <f t="shared" si="43"/>
        <v>13980814</v>
      </c>
      <c r="F162" s="13" t="str">
        <f>IF(N162=0,J_SUBDAY(D162,1,1)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0,J_SUBDAY(J_ADDDAY(D162,N162,1)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1,J_SUBDAY(J_ADDDAY(D162,N162+1,1),1,1),IF((N162-NETWORKDAYS.INTL(J_GregorianDate(D162,1),J_GregorianDate(J_SUBDAY(J_ADDDAY(D162,N162,1),1,1),1),16,1)-SUMIFS(Holieday[ok],Holieday[date],CONCATENATE("&gt;","=",D162),Holieday[date],CONCATENATE("&lt;","=",J_SUBDAY(J_ADDDAY(D162,N162,1),1,1)))+SUMIFS(Holieday[Friday],Holieday[date],CONCATENATE("&gt;","=",D162),Holieday[date],CONCATENATE("&lt;","=",J_SUBDAY(J_ADDDAY(D162,N162,1),1,1))))=2,J_SUBDAY(J_ADDDAY(D162,N162+2,1),1,1),J_SUBDAY(J_ADDDAY(D162,N162+3,1),1,1)))))</f>
        <v>1398/08/13</v>
      </c>
      <c r="G162" s="3">
        <f t="shared" si="44"/>
        <v>13980813</v>
      </c>
      <c r="H162" s="121"/>
      <c r="I162" s="122">
        <v>7.3</v>
      </c>
      <c r="J162" s="10" t="str">
        <f>j_WEEKDAY(D162,1)</f>
        <v>سه‌شنبه</v>
      </c>
      <c r="K162" s="23">
        <f t="shared" si="47"/>
        <v>0</v>
      </c>
      <c r="L162" s="9">
        <f t="shared" si="48"/>
        <v>0</v>
      </c>
      <c r="M162" s="123">
        <v>0</v>
      </c>
      <c r="N162" s="120">
        <v>0</v>
      </c>
      <c r="O162" s="11">
        <f t="shared" si="51"/>
        <v>0</v>
      </c>
      <c r="P162" s="11">
        <f>VALUE(J_normdate(J_ADDDAY($D162,$O162,1)))</f>
        <v>13980814</v>
      </c>
      <c r="Q162" s="10">
        <f t="shared" si="52"/>
        <v>0</v>
      </c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  <c r="ES162" s="8"/>
      <c r="ET162" s="8"/>
      <c r="EU162" s="8"/>
      <c r="EV162" s="8"/>
      <c r="EW162" s="8"/>
      <c r="EX162" s="8"/>
      <c r="EY162" s="8"/>
      <c r="EZ162" s="8"/>
      <c r="FA162" s="8"/>
      <c r="FB162" s="8"/>
      <c r="FC162" s="8"/>
      <c r="FD162" s="8"/>
      <c r="FE162" s="8"/>
      <c r="FF162" s="8"/>
      <c r="FG162" s="8"/>
      <c r="FH162" s="8"/>
      <c r="FI162" s="8"/>
      <c r="FJ162" s="8"/>
      <c r="FK162" s="8"/>
      <c r="FL162" s="8"/>
      <c r="FM162" s="8"/>
      <c r="FN162" s="8"/>
      <c r="FO162" s="8"/>
      <c r="FP162" s="8"/>
      <c r="FQ162" s="8"/>
      <c r="FR162" s="8"/>
      <c r="FS162" s="8"/>
      <c r="FT162" s="8"/>
      <c r="FU162" s="8"/>
      <c r="FV162" s="8"/>
      <c r="FW162" s="8"/>
      <c r="FX162" s="8"/>
      <c r="FY162" s="8"/>
      <c r="FZ162" s="8"/>
      <c r="GA162" s="8"/>
      <c r="GB162" s="8"/>
      <c r="GC162" s="8"/>
      <c r="GD162" s="8"/>
      <c r="GE162" s="8"/>
      <c r="GF162" s="8"/>
      <c r="GG162" s="8"/>
      <c r="GH162" s="8"/>
      <c r="GI162" s="8"/>
      <c r="GJ162" s="8"/>
      <c r="GK162" s="8"/>
      <c r="GL162" s="8"/>
      <c r="GM162" s="8"/>
      <c r="GN162" s="8"/>
      <c r="GO162" s="8"/>
      <c r="GP162" s="8"/>
      <c r="GQ162" s="8"/>
      <c r="GR162" s="8"/>
      <c r="GS162" s="8"/>
      <c r="GT162" s="8"/>
      <c r="GU162" s="8"/>
      <c r="GV162" s="8"/>
      <c r="GW162" s="8"/>
      <c r="GX162" s="8"/>
      <c r="GY162" s="8"/>
      <c r="GZ162" s="8"/>
      <c r="HA162" s="8"/>
      <c r="HB162" s="8"/>
      <c r="HC162" s="8"/>
      <c r="HD162" s="8"/>
      <c r="HE162" s="8"/>
      <c r="HF162" s="8"/>
      <c r="HG162" s="8"/>
      <c r="HH162" s="8"/>
      <c r="HI162" s="8"/>
      <c r="HJ162" s="8"/>
      <c r="HK162" s="8"/>
      <c r="HL162" s="8"/>
      <c r="HM162" s="8"/>
      <c r="HN162" s="8"/>
      <c r="HO162" s="8"/>
      <c r="HP162" s="8"/>
      <c r="HQ162" s="8"/>
      <c r="HR162" s="8"/>
      <c r="HS162" s="8"/>
      <c r="HT162" s="8"/>
      <c r="HU162" s="8"/>
      <c r="HV162" s="8"/>
      <c r="HW162" s="8"/>
      <c r="HX162" s="8"/>
      <c r="HY162" s="8"/>
      <c r="HZ162" s="8"/>
      <c r="IA162" s="8"/>
      <c r="IB162" s="8"/>
      <c r="IC162" s="8"/>
      <c r="ID162" s="8"/>
      <c r="IE162" s="8"/>
      <c r="IF162" s="8"/>
      <c r="IG162" s="8"/>
      <c r="IH162" s="8"/>
      <c r="II162" s="8"/>
      <c r="IJ162" s="8"/>
      <c r="IK162" s="8"/>
      <c r="IL162" s="8"/>
      <c r="IM162" s="8"/>
      <c r="IN162" s="8"/>
      <c r="IO162" s="8"/>
      <c r="IP162" s="8"/>
      <c r="IQ162" s="8"/>
      <c r="IR162" s="8"/>
      <c r="IS162" s="8"/>
      <c r="IT162" s="8"/>
      <c r="IU162" s="8"/>
      <c r="IV162" s="8"/>
      <c r="IW162" s="8"/>
      <c r="IX162" s="8"/>
      <c r="JA162" s="125"/>
      <c r="JB162" s="125"/>
      <c r="JC162" s="125"/>
      <c r="JD162" s="72">
        <f>SUM((TEXT(JA162,"[M]")/60)*'Income Person-hours'!$D$3,(TEXT(JB162,"[M]")/60)*'Income Person-hours'!$D$4,(TEXT(JC162,"[M]")/60)*'Income Person-hours'!$D$5)</f>
        <v>0</v>
      </c>
    </row>
    <row r="163" spans="1:264 16383:16384" s="198" customFormat="1" ht="15.75" x14ac:dyDescent="0.45">
      <c r="A163" s="233">
        <v>8</v>
      </c>
      <c r="B163" s="114" t="s">
        <v>124</v>
      </c>
      <c r="C163" s="115"/>
      <c r="D163" s="200" t="str">
        <f>FDate(MIN(E164:E184))</f>
        <v>1398/08/18</v>
      </c>
      <c r="E163" s="198">
        <f t="shared" si="43"/>
        <v>13980818</v>
      </c>
      <c r="F163" s="200" t="str">
        <f>J_SUBDAY(J_ADDDAY(D163,L163,1),1,1)</f>
        <v>1398/08/28</v>
      </c>
      <c r="G163" s="201">
        <f t="shared" si="44"/>
        <v>13980828</v>
      </c>
      <c r="H163" s="116"/>
      <c r="I163" s="117"/>
      <c r="J163" s="200" t="str">
        <f>j_WEEKDAY(D163,1)</f>
        <v>شنبه</v>
      </c>
      <c r="K163" s="202">
        <f>SUM(K164:K184)</f>
        <v>0.33333333333333331</v>
      </c>
      <c r="L163" s="203">
        <f>J_DIFF(D163,FDate(MAX(G164:G184)))+1</f>
        <v>11</v>
      </c>
      <c r="M163" s="204">
        <f>IF(SUM(L164:L184)&lt;&gt;0,SUMPRODUCT(L164:L184,M164:M184)/SUM(L164:L184),0)</f>
        <v>0</v>
      </c>
      <c r="N163" s="205">
        <f>IF(F163&gt;=D163,NETWORKDAYS.INTL(J_GregorianDate(D163,1),J_GregorianDate(F163,1),16,1)-SUMIFS(Holieday[ok],Holieday[date],CONCATENATE("&gt;","=",D163),Holieday[date],CONCATENATE("&lt;","=",F163))+SUMIFS(Holieday[Friday],Holieday[date],CONCATENATE("&gt;","=",D163),Holieday[date],CONCATENATE("&lt;","=",F163)),0)</f>
        <v>10</v>
      </c>
      <c r="O163" s="196">
        <f t="shared" ref="O163:O184" si="53">ROUNDDOWN(M163*L163,0)</f>
        <v>0</v>
      </c>
      <c r="P163" s="196">
        <f>VALUE(J_normdate(J_ADDDAY($D163,$O163,1)))</f>
        <v>13980818</v>
      </c>
      <c r="Q163" s="200">
        <f t="shared" ref="Q163:Q184" si="54">L163-O163</f>
        <v>11</v>
      </c>
      <c r="IY163" s="64"/>
      <c r="IZ163" s="64"/>
      <c r="JA163" s="228"/>
      <c r="JB163" s="235"/>
      <c r="XFC163" s="200"/>
      <c r="XFD163" s="200"/>
    </row>
    <row r="164" spans="1:264 16383:16384" s="231" customFormat="1" ht="15.75" x14ac:dyDescent="0.45">
      <c r="A164" s="214">
        <v>8.1</v>
      </c>
      <c r="B164" s="118" t="s">
        <v>191</v>
      </c>
      <c r="C164" s="119" t="s">
        <v>155</v>
      </c>
      <c r="D164" s="210" t="str">
        <f>IF(OR(j_WEEKDAY(J_ADDDAY(VLOOKUP(I164,A:F,6,FALSE),H164,1),0)=6,SUMIFS(Holieday[ok],Holieday[date],J_ADDDAY(VLOOKUP(I164,A:F,6,FALSE),H164,1)))=FALSE(),J_ADDDAY(VLOOKUP(I164,A:F,6,FALSE),H164,1),IF(OR(j_WEEKDAY(J_ADDDAY(VLOOKUP(I164,A:F,6,FALSE),H164+1,1),0)=6,SUMIFS(Holieday[ok],Holieday[date],J_ADDDAY(VLOOKUP(I164,A:F,6,FALSE),H164+1,1)))=FALSE(),J_ADDDAY(VLOOKUP(I164,A:F,6,FALSE),H164+1,1),IF(OR(j_WEEKDAY(J_ADDDAY(VLOOKUP(I164,A:F,6,FALSE),H164+2,1),0)=6,SUMIFS(Holieday[ok],Holieday[date],J_ADDDAY(VLOOKUP(I164,A:F,6,FALSE),H164+2,1)))=FALSE(),J_ADDDAY(VLOOKUP(I164,A:F,6,FALSE),H164+2,1),IF(OR(j_WEEKDAY(J_ADDDAY(VLOOKUP(I164,A:F,6,FALSE),H164+3,1),0)=6,SUMIFS(Holieday[ok],Holieday[date],J_ADDDAY(VLOOKUP(I164,A:F,6,FALSE),H164+3,1)))=FALSE(),J_ADDDAY(VLOOKUP(I164,A:F,6,FALSE),H164+3,1),IF(OR(j_WEEKDAY(J_ADDDAY(VLOOKUP(I164,A:F,6,FALSE),H164+4,1),0)=6,SUMIFS(Holieday[ok],Holieday[date],J_ADDDAY(VLOOKUP(I164,A:F,6,FALSE),H164+4,1)))=FALSE(),J_ADDDAY(VLOOKUP(I164,A:F,6,FALSE),H164+4,1),J_ADDDAY(VLOOKUP(I164,A:F,6,FALSE),H164+5,1))))))</f>
        <v>1398/08/18</v>
      </c>
      <c r="E164" s="198">
        <f t="shared" si="43"/>
        <v>13980818</v>
      </c>
      <c r="F164" s="210" t="str">
        <f>IF(N164=0,J_SUBDAY(D164,1,1)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0,J_SUBDAY(J_ADDDAY(D164,N164,1)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1,J_SUBDAY(J_ADDDAY(D164,N164+1,1),1,1),IF((N164-NETWORKDAYS.INTL(J_GregorianDate(D164,1),J_GregorianDate(J_SUBDAY(J_ADDDAY(D164,N164,1),1,1),1),16,1)-SUMIFS(Holieday[ok],Holieday[date],CONCATENATE("&gt;","=",D164),Holieday[date],CONCATENATE("&lt;","=",J_SUBDAY(J_ADDDAY(D164,N164,1),1,1)))+SUMIFS(Holieday[Friday],Holieday[date],CONCATENATE("&gt;","=",D164),Holieday[date],CONCATENATE("&lt;","=",J_SUBDAY(J_ADDDAY(D164,N164,1),1,1))))=2,J_SUBDAY(J_ADDDAY(D164,N164+2,1),1,1),J_SUBDAY(J_ADDDAY(D164,N164+3,1),1,1)))))</f>
        <v>1398/08/25</v>
      </c>
      <c r="G164" s="201">
        <f t="shared" si="44"/>
        <v>13980825</v>
      </c>
      <c r="H164" s="121">
        <v>1</v>
      </c>
      <c r="I164" s="122">
        <v>6.4</v>
      </c>
      <c r="J164" s="209" t="str">
        <f>j_WEEKDAY(D164,1)</f>
        <v>شنبه</v>
      </c>
      <c r="K164" s="211">
        <f t="shared" ref="K164:K184" si="55">SUM(JA164:JC164)</f>
        <v>0.16666666666666666</v>
      </c>
      <c r="L164" s="212">
        <f t="shared" ref="L164:L184" si="56">J_DIFF(D164,F164)+1</f>
        <v>8</v>
      </c>
      <c r="M164" s="123">
        <v>0</v>
      </c>
      <c r="N164" s="120">
        <v>7</v>
      </c>
      <c r="O164" s="213">
        <f t="shared" si="53"/>
        <v>0</v>
      </c>
      <c r="P164" s="213">
        <f>VALUE(J_normdate(J_ADDDAY($D164,$O164,1)))</f>
        <v>13980818</v>
      </c>
      <c r="Q164" s="209">
        <f t="shared" si="54"/>
        <v>8</v>
      </c>
      <c r="R164" s="207"/>
      <c r="S164" s="207"/>
      <c r="T164" s="207"/>
      <c r="U164" s="207"/>
      <c r="V164" s="207"/>
      <c r="W164" s="207"/>
      <c r="X164" s="207"/>
      <c r="Y164" s="207"/>
      <c r="Z164" s="207"/>
      <c r="AA164" s="207"/>
      <c r="AB164" s="207"/>
      <c r="AC164" s="207"/>
      <c r="AD164" s="207"/>
      <c r="AE164" s="207"/>
      <c r="AF164" s="207"/>
      <c r="AG164" s="207"/>
      <c r="AH164" s="207"/>
      <c r="AI164" s="207"/>
      <c r="AJ164" s="207"/>
      <c r="AK164" s="207"/>
      <c r="AL164" s="207"/>
      <c r="AM164" s="207"/>
      <c r="AN164" s="207"/>
      <c r="AO164" s="207"/>
      <c r="AP164" s="207"/>
      <c r="AQ164" s="207"/>
      <c r="AR164" s="207"/>
      <c r="AS164" s="207"/>
      <c r="AT164" s="207"/>
      <c r="AU164" s="207"/>
      <c r="AV164" s="207"/>
      <c r="AW164" s="207"/>
      <c r="AX164" s="207"/>
      <c r="AY164" s="207"/>
      <c r="AZ164" s="207"/>
      <c r="BA164" s="207"/>
      <c r="BB164" s="207"/>
      <c r="BC164" s="207"/>
      <c r="BD164" s="207"/>
      <c r="BE164" s="207"/>
      <c r="BF164" s="207"/>
      <c r="BG164" s="207"/>
      <c r="BH164" s="207"/>
      <c r="BI164" s="207"/>
      <c r="BJ164" s="207"/>
      <c r="BK164" s="207"/>
      <c r="BL164" s="207"/>
      <c r="BM164" s="207"/>
      <c r="BN164" s="207"/>
      <c r="BO164" s="207"/>
      <c r="BP164" s="207"/>
      <c r="BQ164" s="207"/>
      <c r="BR164" s="207"/>
      <c r="BS164" s="207"/>
      <c r="BT164" s="207"/>
      <c r="BU164" s="207"/>
      <c r="BV164" s="207"/>
      <c r="BW164" s="207"/>
      <c r="BX164" s="207"/>
      <c r="BY164" s="207"/>
      <c r="BZ164" s="207"/>
      <c r="CA164" s="207"/>
      <c r="CB164" s="207"/>
      <c r="CC164" s="207"/>
      <c r="CD164" s="207"/>
      <c r="CE164" s="207"/>
      <c r="CF164" s="207"/>
      <c r="CG164" s="207"/>
      <c r="CH164" s="207"/>
      <c r="CI164" s="207"/>
      <c r="CJ164" s="207"/>
      <c r="CK164" s="207"/>
      <c r="CL164" s="207"/>
      <c r="CM164" s="207"/>
      <c r="CN164" s="207"/>
      <c r="CO164" s="207"/>
      <c r="CP164" s="207"/>
      <c r="CQ164" s="207"/>
      <c r="CR164" s="207"/>
      <c r="CS164" s="207"/>
      <c r="CT164" s="207"/>
      <c r="CU164" s="207"/>
      <c r="CV164" s="207"/>
      <c r="CW164" s="207"/>
      <c r="CX164" s="207"/>
      <c r="CY164" s="207"/>
      <c r="CZ164" s="207"/>
      <c r="DA164" s="207"/>
      <c r="DB164" s="207"/>
      <c r="DC164" s="207"/>
      <c r="DD164" s="207"/>
      <c r="DE164" s="207"/>
      <c r="DF164" s="207"/>
      <c r="DG164" s="207"/>
      <c r="DH164" s="207"/>
      <c r="DI164" s="207"/>
      <c r="DJ164" s="207"/>
      <c r="DK164" s="207"/>
      <c r="DL164" s="207"/>
      <c r="DM164" s="207"/>
      <c r="DN164" s="207"/>
      <c r="DO164" s="207"/>
      <c r="DP164" s="207"/>
      <c r="DQ164" s="207"/>
      <c r="DR164" s="207"/>
      <c r="DS164" s="207"/>
      <c r="DT164" s="207"/>
      <c r="DU164" s="207"/>
      <c r="DV164" s="207"/>
      <c r="DW164" s="207"/>
      <c r="DX164" s="207"/>
      <c r="DY164" s="207"/>
      <c r="DZ164" s="207"/>
      <c r="EA164" s="207"/>
      <c r="EB164" s="207"/>
      <c r="EC164" s="207"/>
      <c r="ED164" s="207"/>
      <c r="EE164" s="207"/>
      <c r="EF164" s="207"/>
      <c r="EG164" s="207"/>
      <c r="EH164" s="207"/>
      <c r="EI164" s="207"/>
      <c r="EJ164" s="207"/>
      <c r="EK164" s="207"/>
      <c r="EL164" s="207"/>
      <c r="EM164" s="207"/>
      <c r="EN164" s="207"/>
      <c r="EO164" s="207"/>
      <c r="EP164" s="207"/>
      <c r="EQ164" s="207"/>
      <c r="ER164" s="207"/>
      <c r="ES164" s="207"/>
      <c r="ET164" s="207"/>
      <c r="EU164" s="207"/>
      <c r="EV164" s="207"/>
      <c r="EW164" s="207"/>
      <c r="EX164" s="207"/>
      <c r="EY164" s="207"/>
      <c r="EZ164" s="207"/>
      <c r="FA164" s="207"/>
      <c r="FB164" s="207"/>
      <c r="FC164" s="207"/>
      <c r="FD164" s="207"/>
      <c r="FE164" s="207"/>
      <c r="FF164" s="207"/>
      <c r="FG164" s="207"/>
      <c r="FH164" s="207"/>
      <c r="FI164" s="207"/>
      <c r="FJ164" s="207"/>
      <c r="FK164" s="207"/>
      <c r="FL164" s="207"/>
      <c r="FM164" s="207"/>
      <c r="FN164" s="207"/>
      <c r="FO164" s="207"/>
      <c r="FP164" s="207"/>
      <c r="FQ164" s="207"/>
      <c r="FR164" s="207"/>
      <c r="FS164" s="207"/>
      <c r="FT164" s="207"/>
      <c r="FU164" s="207"/>
      <c r="FV164" s="207"/>
      <c r="FW164" s="207"/>
      <c r="FX164" s="207"/>
      <c r="FY164" s="207"/>
      <c r="FZ164" s="207"/>
      <c r="GA164" s="207"/>
      <c r="GB164" s="207"/>
      <c r="GC164" s="207"/>
      <c r="GD164" s="207"/>
      <c r="GE164" s="207"/>
      <c r="GF164" s="207"/>
      <c r="GG164" s="207"/>
      <c r="GH164" s="207"/>
      <c r="GI164" s="207"/>
      <c r="GJ164" s="207"/>
      <c r="GK164" s="207"/>
      <c r="GL164" s="207"/>
      <c r="GM164" s="207"/>
      <c r="GN164" s="207"/>
      <c r="GO164" s="207"/>
      <c r="GP164" s="207"/>
      <c r="GQ164" s="207"/>
      <c r="GR164" s="207"/>
      <c r="GS164" s="207"/>
      <c r="GT164" s="207"/>
      <c r="GU164" s="207"/>
      <c r="GV164" s="207"/>
      <c r="GW164" s="207"/>
      <c r="GX164" s="207"/>
      <c r="GY164" s="207"/>
      <c r="GZ164" s="207"/>
      <c r="HA164" s="207"/>
      <c r="HB164" s="207"/>
      <c r="HC164" s="207"/>
      <c r="HD164" s="207"/>
      <c r="HE164" s="207"/>
      <c r="HF164" s="207"/>
      <c r="HG164" s="207"/>
      <c r="HH164" s="207"/>
      <c r="HI164" s="207"/>
      <c r="HJ164" s="207"/>
      <c r="HK164" s="207"/>
      <c r="HL164" s="207"/>
      <c r="HM164" s="207"/>
      <c r="HN164" s="207"/>
      <c r="HO164" s="207"/>
      <c r="HP164" s="207"/>
      <c r="HQ164" s="207"/>
      <c r="HR164" s="207"/>
      <c r="HS164" s="207"/>
      <c r="HT164" s="207"/>
      <c r="HU164" s="207"/>
      <c r="HV164" s="207"/>
      <c r="HW164" s="207"/>
      <c r="HX164" s="207"/>
      <c r="HY164" s="207"/>
      <c r="HZ164" s="207"/>
      <c r="IA164" s="207"/>
      <c r="IB164" s="207"/>
      <c r="IC164" s="207"/>
      <c r="ID164" s="207"/>
      <c r="IE164" s="207"/>
      <c r="IF164" s="207"/>
      <c r="IG164" s="207"/>
      <c r="IH164" s="207"/>
      <c r="II164" s="207"/>
      <c r="IJ164" s="207"/>
      <c r="IK164" s="207"/>
      <c r="IL164" s="207"/>
      <c r="IM164" s="207"/>
      <c r="IN164" s="207"/>
      <c r="IO164" s="207"/>
      <c r="IP164" s="207"/>
      <c r="IQ164" s="207"/>
      <c r="IR164" s="207"/>
      <c r="IS164" s="207"/>
      <c r="IT164" s="207"/>
      <c r="IU164" s="207"/>
      <c r="IV164" s="207"/>
      <c r="IW164" s="207"/>
      <c r="IX164" s="207"/>
      <c r="IY164" s="12"/>
      <c r="IZ164" s="12"/>
      <c r="JA164" s="125"/>
      <c r="JB164" s="132">
        <v>0.16666666666666666</v>
      </c>
      <c r="JC164" s="125"/>
      <c r="JD164" s="232">
        <f>SUM((TEXT(JA164,"[M]")/60)*'Income Person-hours'!$D$3,(TEXT(JB164,"[M]")/60)*'Income Person-hours'!$D$4,(TEXT(JC164,"[M]")/60)*'Income Person-hours'!$D$5)</f>
        <v>3664000</v>
      </c>
    </row>
    <row r="165" spans="1:264 16383:16384" s="12" customFormat="1" ht="15.75" x14ac:dyDescent="0.45">
      <c r="A165" s="33">
        <v>8.1999999999999993</v>
      </c>
      <c r="B165" s="118" t="s">
        <v>171</v>
      </c>
      <c r="C165" s="119" t="s">
        <v>154</v>
      </c>
      <c r="D165" s="13" t="str">
        <f>IF(OR(j_WEEKDAY(J_ADDDAY(VLOOKUP(I165,A:F,6,FALSE),H165,1),0)=6,SUMIFS(Holieday[ok],Holieday[date],J_ADDDAY(VLOOKUP(I165,A:F,6,FALSE),H165,1)))=FALSE(),J_ADDDAY(VLOOKUP(I165,A:F,6,FALSE),H165,1),IF(OR(j_WEEKDAY(J_ADDDAY(VLOOKUP(I165,A:F,6,FALSE),H165+1,1),0)=6,SUMIFS(Holieday[ok],Holieday[date],J_ADDDAY(VLOOKUP(I165,A:F,6,FALSE),H165+1,1)))=FALSE(),J_ADDDAY(VLOOKUP(I165,A:F,6,FALSE),H165+1,1),IF(OR(j_WEEKDAY(J_ADDDAY(VLOOKUP(I165,A:F,6,FALSE),H165+2,1),0)=6,SUMIFS(Holieday[ok],Holieday[date],J_ADDDAY(VLOOKUP(I165,A:F,6,FALSE),H165+2,1)))=FALSE(),J_ADDDAY(VLOOKUP(I165,A:F,6,FALSE),H165+2,1),IF(OR(j_WEEKDAY(J_ADDDAY(VLOOKUP(I165,A:F,6,FALSE),H165+3,1),0)=6,SUMIFS(Holieday[ok],Holieday[date],J_ADDDAY(VLOOKUP(I165,A:F,6,FALSE),H165+3,1)))=FALSE(),J_ADDDAY(VLOOKUP(I165,A:F,6,FALSE),H165+3,1),IF(OR(j_WEEKDAY(J_ADDDAY(VLOOKUP(I165,A:F,6,FALSE),H165+4,1),0)=6,SUMIFS(Holieday[ok],Holieday[date],J_ADDDAY(VLOOKUP(I165,A:F,6,FALSE),H165+4,1)))=FALSE(),J_ADDDAY(VLOOKUP(I165,A:F,6,FALSE),H165+4,1),J_ADDDAY(VLOOKUP(I165,A:F,6,FALSE),H165+5,1))))))</f>
        <v>1398/08/27</v>
      </c>
      <c r="E165" s="2">
        <f t="shared" si="43"/>
        <v>13980827</v>
      </c>
      <c r="F165" s="13" t="str">
        <f>IF(N165=0,J_SUBDAY(D165,1,1)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0,J_SUBDAY(J_ADDDAY(D165,N165,1)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1,J_SUBDAY(J_ADDDAY(D165,N165+1,1),1,1),IF((N165-NETWORKDAYS.INTL(J_GregorianDate(D165,1),J_GregorianDate(J_SUBDAY(J_ADDDAY(D165,N165,1),1,1),1),16,1)-SUMIFS(Holieday[ok],Holieday[date],CONCATENATE("&gt;","=",D165),Holieday[date],CONCATENATE("&lt;","=",J_SUBDAY(J_ADDDAY(D165,N165,1),1,1)))+SUMIFS(Holieday[Friday],Holieday[date],CONCATENATE("&gt;","=",D165),Holieday[date],CONCATENATE("&lt;","=",J_SUBDAY(J_ADDDAY(D165,N165,1),1,1))))=2,J_SUBDAY(J_ADDDAY(D165,N165+2,1),1,1),J_SUBDAY(J_ADDDAY(D165,N165+3,1),1,1)))))</f>
        <v>1398/08/28</v>
      </c>
      <c r="G165" s="3">
        <f t="shared" si="44"/>
        <v>13980828</v>
      </c>
      <c r="H165" s="121">
        <v>2</v>
      </c>
      <c r="I165" s="122">
        <v>8.1</v>
      </c>
      <c r="J165" s="10" t="str">
        <f>j_WEEKDAY(D165,1)</f>
        <v>دوشنبه</v>
      </c>
      <c r="K165" s="23">
        <f>SUM(JA165:JC165)</f>
        <v>0.16666666666666666</v>
      </c>
      <c r="L165" s="9">
        <f t="shared" si="56"/>
        <v>2</v>
      </c>
      <c r="M165" s="123">
        <v>0</v>
      </c>
      <c r="N165" s="120">
        <v>2</v>
      </c>
      <c r="O165" s="11">
        <f t="shared" si="53"/>
        <v>0</v>
      </c>
      <c r="P165" s="11">
        <f>VALUE(J_normdate(J_ADDDAY($D165,$O165,1)))</f>
        <v>13980827</v>
      </c>
      <c r="Q165" s="10">
        <f t="shared" si="54"/>
        <v>2</v>
      </c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  <c r="ES165" s="8"/>
      <c r="ET165" s="8"/>
      <c r="EU165" s="8"/>
      <c r="EV165" s="8"/>
      <c r="EW165" s="8"/>
      <c r="EX165" s="8"/>
      <c r="EY165" s="8"/>
      <c r="EZ165" s="8"/>
      <c r="FA165" s="8"/>
      <c r="FB165" s="8"/>
      <c r="FC165" s="8"/>
      <c r="FD165" s="8"/>
      <c r="FE165" s="8"/>
      <c r="FF165" s="8"/>
      <c r="FG165" s="8"/>
      <c r="FH165" s="8"/>
      <c r="FI165" s="8"/>
      <c r="FJ165" s="8"/>
      <c r="FK165" s="8"/>
      <c r="FL165" s="8"/>
      <c r="FM165" s="8"/>
      <c r="FN165" s="8"/>
      <c r="FO165" s="8"/>
      <c r="FP165" s="8"/>
      <c r="FQ165" s="8"/>
      <c r="FR165" s="8"/>
      <c r="FS165" s="8"/>
      <c r="FT165" s="8"/>
      <c r="FU165" s="8"/>
      <c r="FV165" s="8"/>
      <c r="FW165" s="8"/>
      <c r="FX165" s="8"/>
      <c r="FY165" s="8"/>
      <c r="FZ165" s="8"/>
      <c r="GA165" s="8"/>
      <c r="GB165" s="8"/>
      <c r="GC165" s="8"/>
      <c r="GD165" s="8"/>
      <c r="GE165" s="8"/>
      <c r="GF165" s="8"/>
      <c r="GG165" s="8"/>
      <c r="GH165" s="8"/>
      <c r="GI165" s="8"/>
      <c r="GJ165" s="8"/>
      <c r="GK165" s="8"/>
      <c r="GL165" s="8"/>
      <c r="GM165" s="8"/>
      <c r="GN165" s="8"/>
      <c r="GO165" s="8"/>
      <c r="GP165" s="8"/>
      <c r="GQ165" s="8"/>
      <c r="GR165" s="8"/>
      <c r="GS165" s="8"/>
      <c r="GT165" s="8"/>
      <c r="GU165" s="8"/>
      <c r="GV165" s="8"/>
      <c r="GW165" s="8"/>
      <c r="GX165" s="8"/>
      <c r="GY165" s="8"/>
      <c r="GZ165" s="8"/>
      <c r="HA165" s="8"/>
      <c r="HB165" s="8"/>
      <c r="HC165" s="8"/>
      <c r="HD165" s="8"/>
      <c r="HE165" s="8"/>
      <c r="HF165" s="8"/>
      <c r="HG165" s="8"/>
      <c r="HH165" s="8"/>
      <c r="HI165" s="8"/>
      <c r="HJ165" s="8"/>
      <c r="HK165" s="8"/>
      <c r="HL165" s="8"/>
      <c r="HM165" s="8"/>
      <c r="HN165" s="8"/>
      <c r="HO165" s="8"/>
      <c r="HP165" s="8"/>
      <c r="HQ165" s="8"/>
      <c r="HR165" s="8"/>
      <c r="HS165" s="8"/>
      <c r="HT165" s="8"/>
      <c r="HU165" s="8"/>
      <c r="HV165" s="8"/>
      <c r="HW165" s="8"/>
      <c r="HX165" s="8"/>
      <c r="HY165" s="8"/>
      <c r="HZ165" s="8"/>
      <c r="IA165" s="8"/>
      <c r="IB165" s="8"/>
      <c r="IC165" s="8"/>
      <c r="ID165" s="8"/>
      <c r="IE165" s="8"/>
      <c r="IF165" s="8"/>
      <c r="IG165" s="8"/>
      <c r="IH165" s="8"/>
      <c r="II165" s="8"/>
      <c r="IJ165" s="8"/>
      <c r="IK165" s="8"/>
      <c r="IL165" s="8"/>
      <c r="IM165" s="8"/>
      <c r="IN165" s="8"/>
      <c r="IO165" s="8"/>
      <c r="IP165" s="8"/>
      <c r="IQ165" s="8"/>
      <c r="IR165" s="8"/>
      <c r="IS165" s="8"/>
      <c r="IT165" s="8"/>
      <c r="IU165" s="8"/>
      <c r="IV165" s="8"/>
      <c r="IW165" s="8"/>
      <c r="IX165" s="8"/>
      <c r="JA165" s="125"/>
      <c r="JB165" s="132">
        <v>8.3333333333333329E-2</v>
      </c>
      <c r="JC165" s="131">
        <v>8.3333333333333329E-2</v>
      </c>
      <c r="JD165" s="232">
        <f>SUM((TEXT(JA165,"[M]")/60)*'Income Person-hours'!$D$3,(TEXT(JB165,"[M]")/60)*'Income Person-hours'!$D$4,(TEXT(JC165,"[M]")/60)*'Income Person-hours'!$D$5)</f>
        <v>2942000</v>
      </c>
    </row>
    <row r="166" spans="1:264 16383:16384" s="12" customFormat="1" ht="15.75" hidden="1" x14ac:dyDescent="0.45">
      <c r="A166" s="33">
        <v>8.3000000000000007</v>
      </c>
      <c r="B166" s="128"/>
      <c r="C166" s="119"/>
      <c r="D166" s="13" t="str">
        <f>IF(OR(j_WEEKDAY(J_ADDDAY(VLOOKUP(I166,A:F,6,FALSE),H166,1),0)=6,SUMIFS(Holieday[ok],Holieday[date],J_ADDDAY(VLOOKUP(I166,A:F,6,FALSE),H166,1)))=FALSE(),J_ADDDAY(VLOOKUP(I166,A:F,6,FALSE),H166,1),IF(OR(j_WEEKDAY(J_ADDDAY(VLOOKUP(I166,A:F,6,FALSE),H166+1,1),0)=6,SUMIFS(Holieday[ok],Holieday[date],J_ADDDAY(VLOOKUP(I166,A:F,6,FALSE),H166+1,1)))=FALSE(),J_ADDDAY(VLOOKUP(I166,A:F,6,FALSE),H166+1,1),IF(OR(j_WEEKDAY(J_ADDDAY(VLOOKUP(I166,A:F,6,FALSE),H166+2,1),0)=6,SUMIFS(Holieday[ok],Holieday[date],J_ADDDAY(VLOOKUP(I166,A:F,6,FALSE),H166+2,1)))=FALSE(),J_ADDDAY(VLOOKUP(I166,A:F,6,FALSE),H166+2,1),IF(OR(j_WEEKDAY(J_ADDDAY(VLOOKUP(I166,A:F,6,FALSE),H166+3,1),0)=6,SUMIFS(Holieday[ok],Holieday[date],J_ADDDAY(VLOOKUP(I166,A:F,6,FALSE),H166+3,1)))=FALSE(),J_ADDDAY(VLOOKUP(I166,A:F,6,FALSE),H166+3,1),IF(OR(j_WEEKDAY(J_ADDDAY(VLOOKUP(I166,A:F,6,FALSE),H166+4,1),0)=6,SUMIFS(Holieday[ok],Holieday[date],J_ADDDAY(VLOOKUP(I166,A:F,6,FALSE),H166+4,1)))=FALSE(),J_ADDDAY(VLOOKUP(I166,A:F,6,FALSE),H166+4,1),J_ADDDAY(VLOOKUP(I166,A:F,6,FALSE),H166+5,1))))))</f>
        <v>1398/08/25</v>
      </c>
      <c r="E166" s="2">
        <f t="shared" si="43"/>
        <v>13980825</v>
      </c>
      <c r="F166" s="13" t="str">
        <f>IF(N166=0,J_SUBDAY(D166,1,1)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0,J_SUBDAY(J_ADDDAY(D166,N166,1)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1,J_SUBDAY(J_ADDDAY(D166,N166+1,1),1,1),IF((N166-NETWORKDAYS.INTL(J_GregorianDate(D166,1),J_GregorianDate(J_SUBDAY(J_ADDDAY(D166,N166,1),1,1),1),16,1)-SUMIFS(Holieday[ok],Holieday[date],CONCATENATE("&gt;","=",D166),Holieday[date],CONCATENATE("&lt;","=",J_SUBDAY(J_ADDDAY(D166,N166,1),1,1)))+SUMIFS(Holieday[Friday],Holieday[date],CONCATENATE("&gt;","=",D166),Holieday[date],CONCATENATE("&lt;","=",J_SUBDAY(J_ADDDAY(D166,N166,1),1,1))))=2,J_SUBDAY(J_ADDDAY(D166,N166+2,1),1,1),J_SUBDAY(J_ADDDAY(D166,N166+3,1),1,1)))))</f>
        <v>1398/08/24</v>
      </c>
      <c r="G166" s="3">
        <f t="shared" si="44"/>
        <v>13980824</v>
      </c>
      <c r="H166" s="121"/>
      <c r="I166" s="122">
        <v>8.1</v>
      </c>
      <c r="J166" s="10" t="str">
        <f>j_WEEKDAY(D166,1)</f>
        <v>شنبه</v>
      </c>
      <c r="K166" s="23">
        <f t="shared" si="55"/>
        <v>0</v>
      </c>
      <c r="L166" s="9">
        <f t="shared" si="56"/>
        <v>0</v>
      </c>
      <c r="M166" s="123">
        <v>0</v>
      </c>
      <c r="N166" s="120">
        <v>0</v>
      </c>
      <c r="O166" s="11">
        <f t="shared" si="53"/>
        <v>0</v>
      </c>
      <c r="P166" s="11">
        <f>VALUE(J_normdate(J_ADDDAY($D166,$O166,1)))</f>
        <v>13980825</v>
      </c>
      <c r="Q166" s="10">
        <f t="shared" si="54"/>
        <v>0</v>
      </c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  <c r="ES166" s="8"/>
      <c r="ET166" s="8"/>
      <c r="EU166" s="8"/>
      <c r="EV166" s="8"/>
      <c r="EW166" s="8"/>
      <c r="EX166" s="8"/>
      <c r="EY166" s="8"/>
      <c r="EZ166" s="8"/>
      <c r="FA166" s="8"/>
      <c r="FB166" s="8"/>
      <c r="FC166" s="8"/>
      <c r="FD166" s="8"/>
      <c r="FE166" s="8"/>
      <c r="FF166" s="8"/>
      <c r="FG166" s="8"/>
      <c r="FH166" s="8"/>
      <c r="FI166" s="8"/>
      <c r="FJ166" s="8"/>
      <c r="FK166" s="8"/>
      <c r="FL166" s="8"/>
      <c r="FM166" s="8"/>
      <c r="FN166" s="8"/>
      <c r="FO166" s="8"/>
      <c r="FP166" s="8"/>
      <c r="FQ166" s="8"/>
      <c r="FR166" s="8"/>
      <c r="FS166" s="8"/>
      <c r="FT166" s="8"/>
      <c r="FU166" s="8"/>
      <c r="FV166" s="8"/>
      <c r="FW166" s="8"/>
      <c r="FX166" s="8"/>
      <c r="FY166" s="8"/>
      <c r="FZ166" s="8"/>
      <c r="GA166" s="8"/>
      <c r="GB166" s="8"/>
      <c r="GC166" s="8"/>
      <c r="GD166" s="8"/>
      <c r="GE166" s="8"/>
      <c r="GF166" s="8"/>
      <c r="GG166" s="8"/>
      <c r="GH166" s="8"/>
      <c r="GI166" s="8"/>
      <c r="GJ166" s="8"/>
      <c r="GK166" s="8"/>
      <c r="GL166" s="8"/>
      <c r="GM166" s="8"/>
      <c r="GN166" s="8"/>
      <c r="GO166" s="8"/>
      <c r="GP166" s="8"/>
      <c r="GQ166" s="8"/>
      <c r="GR166" s="8"/>
      <c r="GS166" s="8"/>
      <c r="GT166" s="8"/>
      <c r="GU166" s="8"/>
      <c r="GV166" s="8"/>
      <c r="GW166" s="8"/>
      <c r="GX166" s="8"/>
      <c r="GY166" s="8"/>
      <c r="GZ166" s="8"/>
      <c r="HA166" s="8"/>
      <c r="HB166" s="8"/>
      <c r="HC166" s="8"/>
      <c r="HD166" s="8"/>
      <c r="HE166" s="8"/>
      <c r="HF166" s="8"/>
      <c r="HG166" s="8"/>
      <c r="HH166" s="8"/>
      <c r="HI166" s="8"/>
      <c r="HJ166" s="8"/>
      <c r="HK166" s="8"/>
      <c r="HL166" s="8"/>
      <c r="HM166" s="8"/>
      <c r="HN166" s="8"/>
      <c r="HO166" s="8"/>
      <c r="HP166" s="8"/>
      <c r="HQ166" s="8"/>
      <c r="HR166" s="8"/>
      <c r="HS166" s="8"/>
      <c r="HT166" s="8"/>
      <c r="HU166" s="8"/>
      <c r="HV166" s="8"/>
      <c r="HW166" s="8"/>
      <c r="HX166" s="8"/>
      <c r="HY166" s="8"/>
      <c r="HZ166" s="8"/>
      <c r="IA166" s="8"/>
      <c r="IB166" s="8"/>
      <c r="IC166" s="8"/>
      <c r="ID166" s="8"/>
      <c r="IE166" s="8"/>
      <c r="IF166" s="8"/>
      <c r="IG166" s="8"/>
      <c r="IH166" s="8"/>
      <c r="II166" s="8"/>
      <c r="IJ166" s="8"/>
      <c r="IK166" s="8"/>
      <c r="IL166" s="8"/>
      <c r="IM166" s="8"/>
      <c r="IN166" s="8"/>
      <c r="IO166" s="8"/>
      <c r="IP166" s="8"/>
      <c r="IQ166" s="8"/>
      <c r="IR166" s="8"/>
      <c r="IS166" s="8"/>
      <c r="IT166" s="8"/>
      <c r="IU166" s="8"/>
      <c r="IV166" s="8"/>
      <c r="IW166" s="8"/>
      <c r="IX166" s="8"/>
      <c r="JA166" s="125"/>
      <c r="JB166" s="125"/>
      <c r="JC166" s="131"/>
      <c r="JD166" s="232">
        <f>SUM((TEXT(JA166,"[M]")/60)*'Income Person-hours'!$D$3,(TEXT(JB166,"[M]")/60)*'Income Person-hours'!$D$4,(TEXT(JC166,"[M]")/60)*'Income Person-hours'!$D$5)</f>
        <v>0</v>
      </c>
    </row>
    <row r="167" spans="1:264 16383:16384" s="231" customFormat="1" ht="15.75" hidden="1" x14ac:dyDescent="0.45">
      <c r="A167" s="214">
        <v>8.4</v>
      </c>
      <c r="C167" s="119"/>
      <c r="D167" s="210" t="str">
        <f>IF(OR(j_WEEKDAY(J_ADDDAY(VLOOKUP(I167,A:F,6,FALSE),H167,1),0)=6,SUMIFS(Holieday[ok],Holieday[date],J_ADDDAY(VLOOKUP(I167,A:F,6,FALSE),H167,1)))=FALSE(),J_ADDDAY(VLOOKUP(I167,A:F,6,FALSE),H167,1),IF(OR(j_WEEKDAY(J_ADDDAY(VLOOKUP(I167,A:F,6,FALSE),H167+1,1),0)=6,SUMIFS(Holieday[ok],Holieday[date],J_ADDDAY(VLOOKUP(I167,A:F,6,FALSE),H167+1,1)))=FALSE(),J_ADDDAY(VLOOKUP(I167,A:F,6,FALSE),H167+1,1),IF(OR(j_WEEKDAY(J_ADDDAY(VLOOKUP(I167,A:F,6,FALSE),H167+2,1),0)=6,SUMIFS(Holieday[ok],Holieday[date],J_ADDDAY(VLOOKUP(I167,A:F,6,FALSE),H167+2,1)))=FALSE(),J_ADDDAY(VLOOKUP(I167,A:F,6,FALSE),H167+2,1),IF(OR(j_WEEKDAY(J_ADDDAY(VLOOKUP(I167,A:F,6,FALSE),H167+3,1),0)=6,SUMIFS(Holieday[ok],Holieday[date],J_ADDDAY(VLOOKUP(I167,A:F,6,FALSE),H167+3,1)))=FALSE(),J_ADDDAY(VLOOKUP(I167,A:F,6,FALSE),H167+3,1),IF(OR(j_WEEKDAY(J_ADDDAY(VLOOKUP(I167,A:F,6,FALSE),H167+4,1),0)=6,SUMIFS(Holieday[ok],Holieday[date],J_ADDDAY(VLOOKUP(I167,A:F,6,FALSE),H167+4,1)))=FALSE(),J_ADDDAY(VLOOKUP(I167,A:F,6,FALSE),H167+4,1),J_ADDDAY(VLOOKUP(I167,A:F,6,FALSE),H167+5,1))))))</f>
        <v>1398/08/25</v>
      </c>
      <c r="E167" s="198">
        <f t="shared" si="43"/>
        <v>13980825</v>
      </c>
      <c r="F167" s="210" t="str">
        <f>IF(N167=0,J_SUBDAY(D167,1,1)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0,J_SUBDAY(J_ADDDAY(D167,N167,1)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1,J_SUBDAY(J_ADDDAY(D167,N167+1,1),1,1),IF((N167-NETWORKDAYS.INTL(J_GregorianDate(D167,1),J_GregorianDate(J_SUBDAY(J_ADDDAY(D167,N167,1),1,1),1),16,1)-SUMIFS(Holieday[ok],Holieday[date],CONCATENATE("&gt;","=",D167),Holieday[date],CONCATENATE("&lt;","=",J_SUBDAY(J_ADDDAY(D167,N167,1),1,1)))+SUMIFS(Holieday[Friday],Holieday[date],CONCATENATE("&gt;","=",D167),Holieday[date],CONCATENATE("&lt;","=",J_SUBDAY(J_ADDDAY(D167,N167,1),1,1))))=2,J_SUBDAY(J_ADDDAY(D167,N167+2,1),1,1),J_SUBDAY(J_ADDDAY(D167,N167+3,1),1,1)))))</f>
        <v>1398/08/24</v>
      </c>
      <c r="G167" s="201">
        <f t="shared" si="44"/>
        <v>13980824</v>
      </c>
      <c r="H167" s="121"/>
      <c r="I167" s="122">
        <v>8.1</v>
      </c>
      <c r="J167" s="209" t="str">
        <f>j_WEEKDAY(D167,1)</f>
        <v>شنبه</v>
      </c>
      <c r="K167" s="211">
        <f t="shared" si="55"/>
        <v>0</v>
      </c>
      <c r="L167" s="212">
        <f t="shared" si="56"/>
        <v>0</v>
      </c>
      <c r="M167" s="123">
        <v>0</v>
      </c>
      <c r="N167" s="120">
        <v>0</v>
      </c>
      <c r="O167" s="213">
        <f t="shared" si="53"/>
        <v>0</v>
      </c>
      <c r="P167" s="213">
        <f>VALUE(J_normdate(J_ADDDAY($D167,$O167,1)))</f>
        <v>13980825</v>
      </c>
      <c r="Q167" s="209">
        <f t="shared" si="54"/>
        <v>0</v>
      </c>
      <c r="R167" s="207"/>
      <c r="S167" s="207"/>
      <c r="T167" s="207"/>
      <c r="U167" s="207"/>
      <c r="V167" s="207"/>
      <c r="W167" s="207"/>
      <c r="X167" s="207"/>
      <c r="Y167" s="207"/>
      <c r="Z167" s="207"/>
      <c r="AA167" s="207"/>
      <c r="AB167" s="207"/>
      <c r="AC167" s="207"/>
      <c r="AD167" s="207"/>
      <c r="AE167" s="207"/>
      <c r="AF167" s="207"/>
      <c r="AG167" s="207"/>
      <c r="AH167" s="207"/>
      <c r="AI167" s="207"/>
      <c r="AJ167" s="207"/>
      <c r="AK167" s="207"/>
      <c r="AL167" s="207"/>
      <c r="AM167" s="207"/>
      <c r="AN167" s="207"/>
      <c r="AO167" s="207"/>
      <c r="AP167" s="207"/>
      <c r="AQ167" s="207"/>
      <c r="AR167" s="207"/>
      <c r="AS167" s="207"/>
      <c r="AT167" s="207"/>
      <c r="AU167" s="207"/>
      <c r="AV167" s="207"/>
      <c r="AW167" s="207"/>
      <c r="AX167" s="207"/>
      <c r="AY167" s="207"/>
      <c r="AZ167" s="207"/>
      <c r="BA167" s="207"/>
      <c r="BB167" s="207"/>
      <c r="BC167" s="207"/>
      <c r="BD167" s="207"/>
      <c r="BE167" s="207"/>
      <c r="BF167" s="207"/>
      <c r="BG167" s="207"/>
      <c r="BH167" s="207"/>
      <c r="BI167" s="207"/>
      <c r="BJ167" s="207"/>
      <c r="BK167" s="207"/>
      <c r="BL167" s="207"/>
      <c r="BM167" s="207"/>
      <c r="BN167" s="207"/>
      <c r="BO167" s="207"/>
      <c r="BP167" s="207"/>
      <c r="BQ167" s="207"/>
      <c r="BR167" s="207"/>
      <c r="BS167" s="207"/>
      <c r="BT167" s="207"/>
      <c r="BU167" s="207"/>
      <c r="BV167" s="207"/>
      <c r="BW167" s="207"/>
      <c r="BX167" s="207"/>
      <c r="BY167" s="207"/>
      <c r="BZ167" s="207"/>
      <c r="CA167" s="207"/>
      <c r="CB167" s="207"/>
      <c r="CC167" s="207"/>
      <c r="CD167" s="207"/>
      <c r="CE167" s="207"/>
      <c r="CF167" s="207"/>
      <c r="CG167" s="207"/>
      <c r="CH167" s="207"/>
      <c r="CI167" s="207"/>
      <c r="CJ167" s="207"/>
      <c r="CK167" s="207"/>
      <c r="CL167" s="207"/>
      <c r="CM167" s="207"/>
      <c r="CN167" s="207"/>
      <c r="CO167" s="207"/>
      <c r="CP167" s="207"/>
      <c r="CQ167" s="207"/>
      <c r="CR167" s="207"/>
      <c r="CS167" s="207"/>
      <c r="CT167" s="207"/>
      <c r="CU167" s="207"/>
      <c r="CV167" s="207"/>
      <c r="CW167" s="207"/>
      <c r="CX167" s="207"/>
      <c r="CY167" s="207"/>
      <c r="CZ167" s="207"/>
      <c r="DA167" s="207"/>
      <c r="DB167" s="207"/>
      <c r="DC167" s="207"/>
      <c r="DD167" s="207"/>
      <c r="DE167" s="207"/>
      <c r="DF167" s="207"/>
      <c r="DG167" s="207"/>
      <c r="DH167" s="207"/>
      <c r="DI167" s="207"/>
      <c r="DJ167" s="207"/>
      <c r="DK167" s="207"/>
      <c r="DL167" s="207"/>
      <c r="DM167" s="207"/>
      <c r="DN167" s="207"/>
      <c r="DO167" s="207"/>
      <c r="DP167" s="207"/>
      <c r="DQ167" s="207"/>
      <c r="DR167" s="207"/>
      <c r="DS167" s="207"/>
      <c r="DT167" s="207"/>
      <c r="DU167" s="207"/>
      <c r="DV167" s="207"/>
      <c r="DW167" s="207"/>
      <c r="DX167" s="207"/>
      <c r="DY167" s="207"/>
      <c r="DZ167" s="207"/>
      <c r="EA167" s="207"/>
      <c r="EB167" s="207"/>
      <c r="EC167" s="207"/>
      <c r="ED167" s="207"/>
      <c r="EE167" s="207"/>
      <c r="EF167" s="207"/>
      <c r="EG167" s="207"/>
      <c r="EH167" s="207"/>
      <c r="EI167" s="207"/>
      <c r="EJ167" s="207"/>
      <c r="EK167" s="207"/>
      <c r="EL167" s="207"/>
      <c r="EM167" s="207"/>
      <c r="EN167" s="207"/>
      <c r="EO167" s="207"/>
      <c r="EP167" s="207"/>
      <c r="EQ167" s="207"/>
      <c r="ER167" s="207"/>
      <c r="ES167" s="207"/>
      <c r="ET167" s="207"/>
      <c r="EU167" s="207"/>
      <c r="EV167" s="207"/>
      <c r="EW167" s="207"/>
      <c r="EX167" s="207"/>
      <c r="EY167" s="207"/>
      <c r="EZ167" s="207"/>
      <c r="FA167" s="207"/>
      <c r="FB167" s="207"/>
      <c r="FC167" s="207"/>
      <c r="FD167" s="207"/>
      <c r="FE167" s="207"/>
      <c r="FF167" s="207"/>
      <c r="FG167" s="207"/>
      <c r="FH167" s="207"/>
      <c r="FI167" s="207"/>
      <c r="FJ167" s="207"/>
      <c r="FK167" s="207"/>
      <c r="FL167" s="207"/>
      <c r="FM167" s="207"/>
      <c r="FN167" s="207"/>
      <c r="FO167" s="207"/>
      <c r="FP167" s="207"/>
      <c r="FQ167" s="207"/>
      <c r="FR167" s="207"/>
      <c r="FS167" s="207"/>
      <c r="FT167" s="207"/>
      <c r="FU167" s="207"/>
      <c r="FV167" s="207"/>
      <c r="FW167" s="207"/>
      <c r="FX167" s="207"/>
      <c r="FY167" s="207"/>
      <c r="FZ167" s="207"/>
      <c r="GA167" s="207"/>
      <c r="GB167" s="207"/>
      <c r="GC167" s="207"/>
      <c r="GD167" s="207"/>
      <c r="GE167" s="207"/>
      <c r="GF167" s="207"/>
      <c r="GG167" s="207"/>
      <c r="GH167" s="207"/>
      <c r="GI167" s="207"/>
      <c r="GJ167" s="207"/>
      <c r="GK167" s="207"/>
      <c r="GL167" s="207"/>
      <c r="GM167" s="207"/>
      <c r="GN167" s="207"/>
      <c r="GO167" s="207"/>
      <c r="GP167" s="207"/>
      <c r="GQ167" s="207"/>
      <c r="GR167" s="207"/>
      <c r="GS167" s="207"/>
      <c r="GT167" s="207"/>
      <c r="GU167" s="207"/>
      <c r="GV167" s="207"/>
      <c r="GW167" s="207"/>
      <c r="GX167" s="207"/>
      <c r="GY167" s="207"/>
      <c r="GZ167" s="207"/>
      <c r="HA167" s="207"/>
      <c r="HB167" s="207"/>
      <c r="HC167" s="207"/>
      <c r="HD167" s="207"/>
      <c r="HE167" s="207"/>
      <c r="HF167" s="207"/>
      <c r="HG167" s="207"/>
      <c r="HH167" s="207"/>
      <c r="HI167" s="207"/>
      <c r="HJ167" s="207"/>
      <c r="HK167" s="207"/>
      <c r="HL167" s="207"/>
      <c r="HM167" s="207"/>
      <c r="HN167" s="207"/>
      <c r="HO167" s="207"/>
      <c r="HP167" s="207"/>
      <c r="HQ167" s="207"/>
      <c r="HR167" s="207"/>
      <c r="HS167" s="207"/>
      <c r="HT167" s="207"/>
      <c r="HU167" s="207"/>
      <c r="HV167" s="207"/>
      <c r="HW167" s="207"/>
      <c r="HX167" s="207"/>
      <c r="HY167" s="207"/>
      <c r="HZ167" s="207"/>
      <c r="IA167" s="207"/>
      <c r="IB167" s="207"/>
      <c r="IC167" s="207"/>
      <c r="ID167" s="207"/>
      <c r="IE167" s="207"/>
      <c r="IF167" s="207"/>
      <c r="IG167" s="207"/>
      <c r="IH167" s="207"/>
      <c r="II167" s="207"/>
      <c r="IJ167" s="207"/>
      <c r="IK167" s="207"/>
      <c r="IL167" s="207"/>
      <c r="IM167" s="207"/>
      <c r="IN167" s="207"/>
      <c r="IO167" s="207"/>
      <c r="IP167" s="207"/>
      <c r="IQ167" s="207"/>
      <c r="IR167" s="207"/>
      <c r="IS167" s="207"/>
      <c r="IT167" s="207"/>
      <c r="IU167" s="207"/>
      <c r="IV167" s="207"/>
      <c r="IW167" s="207"/>
      <c r="IX167" s="207"/>
      <c r="IY167" s="12"/>
      <c r="IZ167" s="12"/>
      <c r="JA167" s="125"/>
      <c r="JC167" s="247"/>
      <c r="JD167" s="232">
        <f>SUM((TEXT(JA167,"[M]")/60)*'Income Person-hours'!$D$3,(TEXT(JB167,"[M]")/60)*'Income Person-hours'!$D$4,(TEXT(JC167,"[M]")/60)*'Income Person-hours'!$D$5)</f>
        <v>0</v>
      </c>
    </row>
    <row r="168" spans="1:264 16383:16384" s="12" customFormat="1" ht="15.75" hidden="1" x14ac:dyDescent="0.45">
      <c r="A168" s="214">
        <v>8.5</v>
      </c>
      <c r="B168" s="128"/>
      <c r="C168" s="119"/>
      <c r="D168" s="13" t="str">
        <f>IF(OR(j_WEEKDAY(J_ADDDAY(VLOOKUP(I168,A:F,6,FALSE),H168,1),0)=6,SUMIFS(Holieday[ok],Holieday[date],J_ADDDAY(VLOOKUP(I168,A:F,6,FALSE),H168,1)))=FALSE(),J_ADDDAY(VLOOKUP(I168,A:F,6,FALSE),H168,1),IF(OR(j_WEEKDAY(J_ADDDAY(VLOOKUP(I168,A:F,6,FALSE),H168+1,1),0)=6,SUMIFS(Holieday[ok],Holieday[date],J_ADDDAY(VLOOKUP(I168,A:F,6,FALSE),H168+1,1)))=FALSE(),J_ADDDAY(VLOOKUP(I168,A:F,6,FALSE),H168+1,1),IF(OR(j_WEEKDAY(J_ADDDAY(VLOOKUP(I168,A:F,6,FALSE),H168+2,1),0)=6,SUMIFS(Holieday[ok],Holieday[date],J_ADDDAY(VLOOKUP(I168,A:F,6,FALSE),H168+2,1)))=FALSE(),J_ADDDAY(VLOOKUP(I168,A:F,6,FALSE),H168+2,1),IF(OR(j_WEEKDAY(J_ADDDAY(VLOOKUP(I168,A:F,6,FALSE),H168+3,1),0)=6,SUMIFS(Holieday[ok],Holieday[date],J_ADDDAY(VLOOKUP(I168,A:F,6,FALSE),H168+3,1)))=FALSE(),J_ADDDAY(VLOOKUP(I168,A:F,6,FALSE),H168+3,1),IF(OR(j_WEEKDAY(J_ADDDAY(VLOOKUP(I168,A:F,6,FALSE),H168+4,1),0)=6,SUMIFS(Holieday[ok],Holieday[date],J_ADDDAY(VLOOKUP(I168,A:F,6,FALSE),H168+4,1)))=FALSE(),J_ADDDAY(VLOOKUP(I168,A:F,6,FALSE),H168+4,1),J_ADDDAY(VLOOKUP(I168,A:F,6,FALSE),H168+5,1))))))</f>
        <v>1398/08/25</v>
      </c>
      <c r="E168" s="2">
        <f t="shared" si="43"/>
        <v>13980825</v>
      </c>
      <c r="F168" s="13" t="str">
        <f>IF(N168=0,J_SUBDAY(D168,1,1)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0,J_SUBDAY(J_ADDDAY(D168,N168,1)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1,J_SUBDAY(J_ADDDAY(D168,N168+1,1),1,1),IF((N168-NETWORKDAYS.INTL(J_GregorianDate(D168,1),J_GregorianDate(J_SUBDAY(J_ADDDAY(D168,N168,1),1,1),1),16,1)-SUMIFS(Holieday[ok],Holieday[date],CONCATENATE("&gt;","=",D168),Holieday[date],CONCATENATE("&lt;","=",J_SUBDAY(J_ADDDAY(D168,N168,1),1,1)))+SUMIFS(Holieday[Friday],Holieday[date],CONCATENATE("&gt;","=",D168),Holieday[date],CONCATENATE("&lt;","=",J_SUBDAY(J_ADDDAY(D168,N168,1),1,1))))=2,J_SUBDAY(J_ADDDAY(D168,N168+2,1),1,1),J_SUBDAY(J_ADDDAY(D168,N168+3,1),1,1)))))</f>
        <v>1398/08/24</v>
      </c>
      <c r="G168" s="3">
        <f t="shared" si="44"/>
        <v>13980824</v>
      </c>
      <c r="H168" s="121"/>
      <c r="I168" s="122">
        <v>8.1</v>
      </c>
      <c r="J168" s="10" t="str">
        <f>j_WEEKDAY(D168,1)</f>
        <v>شنبه</v>
      </c>
      <c r="K168" s="23">
        <f t="shared" si="55"/>
        <v>0</v>
      </c>
      <c r="L168" s="9">
        <f t="shared" si="56"/>
        <v>0</v>
      </c>
      <c r="M168" s="123">
        <v>0</v>
      </c>
      <c r="N168" s="120">
        <v>0</v>
      </c>
      <c r="O168" s="11">
        <f t="shared" si="53"/>
        <v>0</v>
      </c>
      <c r="P168" s="11">
        <f>VALUE(J_normdate(J_ADDDAY($D168,$O168,1)))</f>
        <v>13980825</v>
      </c>
      <c r="Q168" s="10">
        <f t="shared" si="54"/>
        <v>0</v>
      </c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  <c r="ES168" s="8"/>
      <c r="ET168" s="8"/>
      <c r="EU168" s="8"/>
      <c r="EV168" s="8"/>
      <c r="EW168" s="8"/>
      <c r="EX168" s="8"/>
      <c r="EY168" s="8"/>
      <c r="EZ168" s="8"/>
      <c r="FA168" s="8"/>
      <c r="FB168" s="8"/>
      <c r="FC168" s="8"/>
      <c r="FD168" s="8"/>
      <c r="FE168" s="8"/>
      <c r="FF168" s="8"/>
      <c r="FG168" s="8"/>
      <c r="FH168" s="8"/>
      <c r="FI168" s="8"/>
      <c r="FJ168" s="8"/>
      <c r="FK168" s="8"/>
      <c r="FL168" s="8"/>
      <c r="FM168" s="8"/>
      <c r="FN168" s="8"/>
      <c r="FO168" s="8"/>
      <c r="FP168" s="8"/>
      <c r="FQ168" s="8"/>
      <c r="FR168" s="8"/>
      <c r="FS168" s="8"/>
      <c r="FT168" s="8"/>
      <c r="FU168" s="8"/>
      <c r="FV168" s="8"/>
      <c r="FW168" s="8"/>
      <c r="FX168" s="8"/>
      <c r="FY168" s="8"/>
      <c r="FZ168" s="8"/>
      <c r="GA168" s="8"/>
      <c r="GB168" s="8"/>
      <c r="GC168" s="8"/>
      <c r="GD168" s="8"/>
      <c r="GE168" s="8"/>
      <c r="GF168" s="8"/>
      <c r="GG168" s="8"/>
      <c r="GH168" s="8"/>
      <c r="GI168" s="8"/>
      <c r="GJ168" s="8"/>
      <c r="GK168" s="8"/>
      <c r="GL168" s="8"/>
      <c r="GM168" s="8"/>
      <c r="GN168" s="8"/>
      <c r="GO168" s="8"/>
      <c r="GP168" s="8"/>
      <c r="GQ168" s="8"/>
      <c r="GR168" s="8"/>
      <c r="GS168" s="8"/>
      <c r="GT168" s="8"/>
      <c r="GU168" s="8"/>
      <c r="GV168" s="8"/>
      <c r="GW168" s="8"/>
      <c r="GX168" s="8"/>
      <c r="GY168" s="8"/>
      <c r="GZ168" s="8"/>
      <c r="HA168" s="8"/>
      <c r="HB168" s="8"/>
      <c r="HC168" s="8"/>
      <c r="HD168" s="8"/>
      <c r="HE168" s="8"/>
      <c r="HF168" s="8"/>
      <c r="HG168" s="8"/>
      <c r="HH168" s="8"/>
      <c r="HI168" s="8"/>
      <c r="HJ168" s="8"/>
      <c r="HK168" s="8"/>
      <c r="HL168" s="8"/>
      <c r="HM168" s="8"/>
      <c r="HN168" s="8"/>
      <c r="HO168" s="8"/>
      <c r="HP168" s="8"/>
      <c r="HQ168" s="8"/>
      <c r="HR168" s="8"/>
      <c r="HS168" s="8"/>
      <c r="HT168" s="8"/>
      <c r="HU168" s="8"/>
      <c r="HV168" s="8"/>
      <c r="HW168" s="8"/>
      <c r="HX168" s="8"/>
      <c r="HY168" s="8"/>
      <c r="HZ168" s="8"/>
      <c r="IA168" s="8"/>
      <c r="IB168" s="8"/>
      <c r="IC168" s="8"/>
      <c r="ID168" s="8"/>
      <c r="IE168" s="8"/>
      <c r="IF168" s="8"/>
      <c r="IG168" s="8"/>
      <c r="IH168" s="8"/>
      <c r="II168" s="8"/>
      <c r="IJ168" s="8"/>
      <c r="IK168" s="8"/>
      <c r="IL168" s="8"/>
      <c r="IM168" s="8"/>
      <c r="IN168" s="8"/>
      <c r="IO168" s="8"/>
      <c r="IP168" s="8"/>
      <c r="IQ168" s="8"/>
      <c r="IR168" s="8"/>
      <c r="IS168" s="8"/>
      <c r="IT168" s="8"/>
      <c r="IU168" s="8"/>
      <c r="IV168" s="8"/>
      <c r="IW168" s="8"/>
      <c r="IX168" s="8"/>
      <c r="JA168" s="125"/>
      <c r="JB168" s="125"/>
      <c r="JC168" s="125"/>
      <c r="JD168" s="232">
        <f>SUM((TEXT(JA168,"[M]")/60)*'Income Person-hours'!$D$3,(TEXT(JB168,"[M]")/60)*'Income Person-hours'!$D$4,(TEXT(JC168,"[M]")/60)*'Income Person-hours'!$D$5)</f>
        <v>0</v>
      </c>
    </row>
    <row r="169" spans="1:264 16383:16384" s="12" customFormat="1" ht="15.75" hidden="1" x14ac:dyDescent="0.45">
      <c r="A169" s="33">
        <v>8.6</v>
      </c>
      <c r="B169" s="128"/>
      <c r="C169" s="119"/>
      <c r="D169" s="13" t="str">
        <f>IF(OR(j_WEEKDAY(J_ADDDAY(VLOOKUP(I169,A:F,6,FALSE),H169,1),0)=6,SUMIFS(Holieday[ok],Holieday[date],J_ADDDAY(VLOOKUP(I169,A:F,6,FALSE),H169,1)))=FALSE(),J_ADDDAY(VLOOKUP(I169,A:F,6,FALSE),H169,1),IF(OR(j_WEEKDAY(J_ADDDAY(VLOOKUP(I169,A:F,6,FALSE),H169+1,1),0)=6,SUMIFS(Holieday[ok],Holieday[date],J_ADDDAY(VLOOKUP(I169,A:F,6,FALSE),H169+1,1)))=FALSE(),J_ADDDAY(VLOOKUP(I169,A:F,6,FALSE),H169+1,1),IF(OR(j_WEEKDAY(J_ADDDAY(VLOOKUP(I169,A:F,6,FALSE),H169+2,1),0)=6,SUMIFS(Holieday[ok],Holieday[date],J_ADDDAY(VLOOKUP(I169,A:F,6,FALSE),H169+2,1)))=FALSE(),J_ADDDAY(VLOOKUP(I169,A:F,6,FALSE),H169+2,1),IF(OR(j_WEEKDAY(J_ADDDAY(VLOOKUP(I169,A:F,6,FALSE),H169+3,1),0)=6,SUMIFS(Holieday[ok],Holieday[date],J_ADDDAY(VLOOKUP(I169,A:F,6,FALSE),H169+3,1)))=FALSE(),J_ADDDAY(VLOOKUP(I169,A:F,6,FALSE),H169+3,1),IF(OR(j_WEEKDAY(J_ADDDAY(VLOOKUP(I169,A:F,6,FALSE),H169+4,1),0)=6,SUMIFS(Holieday[ok],Holieday[date],J_ADDDAY(VLOOKUP(I169,A:F,6,FALSE),H169+4,1)))=FALSE(),J_ADDDAY(VLOOKUP(I169,A:F,6,FALSE),H169+4,1),J_ADDDAY(VLOOKUP(I169,A:F,6,FALSE),H169+5,1))))))</f>
        <v>1398/08/25</v>
      </c>
      <c r="E169" s="2">
        <f t="shared" si="43"/>
        <v>13980825</v>
      </c>
      <c r="F169" s="13" t="str">
        <f>IF(N169=0,J_SUBDAY(D169,1,1)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0,J_SUBDAY(J_ADDDAY(D169,N169,1)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1,J_SUBDAY(J_ADDDAY(D169,N169+1,1),1,1),IF((N169-NETWORKDAYS.INTL(J_GregorianDate(D169,1),J_GregorianDate(J_SUBDAY(J_ADDDAY(D169,N169,1),1,1),1),16,1)-SUMIFS(Holieday[ok],Holieday[date],CONCATENATE("&gt;","=",D169),Holieday[date],CONCATENATE("&lt;","=",J_SUBDAY(J_ADDDAY(D169,N169,1),1,1)))+SUMIFS(Holieday[Friday],Holieday[date],CONCATENATE("&gt;","=",D169),Holieday[date],CONCATENATE("&lt;","=",J_SUBDAY(J_ADDDAY(D169,N169,1),1,1))))=2,J_SUBDAY(J_ADDDAY(D169,N169+2,1),1,1),J_SUBDAY(J_ADDDAY(D169,N169+3,1),1,1)))))</f>
        <v>1398/08/24</v>
      </c>
      <c r="G169" s="3">
        <f t="shared" si="44"/>
        <v>13980824</v>
      </c>
      <c r="H169" s="121"/>
      <c r="I169" s="122">
        <v>8.1</v>
      </c>
      <c r="J169" s="10" t="str">
        <f>j_WEEKDAY(D169,1)</f>
        <v>شنبه</v>
      </c>
      <c r="K169" s="23">
        <f t="shared" si="55"/>
        <v>0</v>
      </c>
      <c r="L169" s="9">
        <f t="shared" si="56"/>
        <v>0</v>
      </c>
      <c r="M169" s="123">
        <v>0</v>
      </c>
      <c r="N169" s="120">
        <v>0</v>
      </c>
      <c r="O169" s="11">
        <f t="shared" si="53"/>
        <v>0</v>
      </c>
      <c r="P169" s="11">
        <f>VALUE(J_normdate(J_ADDDAY($D169,$O169,1)))</f>
        <v>13980825</v>
      </c>
      <c r="Q169" s="10">
        <f t="shared" si="54"/>
        <v>0</v>
      </c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  <c r="ES169" s="8"/>
      <c r="ET169" s="8"/>
      <c r="EU169" s="8"/>
      <c r="EV169" s="8"/>
      <c r="EW169" s="8"/>
      <c r="EX169" s="8"/>
      <c r="EY169" s="8"/>
      <c r="EZ169" s="8"/>
      <c r="FA169" s="8"/>
      <c r="FB169" s="8"/>
      <c r="FC169" s="8"/>
      <c r="FD169" s="8"/>
      <c r="FE169" s="8"/>
      <c r="FF169" s="8"/>
      <c r="FG169" s="8"/>
      <c r="FH169" s="8"/>
      <c r="FI169" s="8"/>
      <c r="FJ169" s="8"/>
      <c r="FK169" s="8"/>
      <c r="FL169" s="8"/>
      <c r="FM169" s="8"/>
      <c r="FN169" s="8"/>
      <c r="FO169" s="8"/>
      <c r="FP169" s="8"/>
      <c r="FQ169" s="8"/>
      <c r="FR169" s="8"/>
      <c r="FS169" s="8"/>
      <c r="FT169" s="8"/>
      <c r="FU169" s="8"/>
      <c r="FV169" s="8"/>
      <c r="FW169" s="8"/>
      <c r="FX169" s="8"/>
      <c r="FY169" s="8"/>
      <c r="FZ169" s="8"/>
      <c r="GA169" s="8"/>
      <c r="GB169" s="8"/>
      <c r="GC169" s="8"/>
      <c r="GD169" s="8"/>
      <c r="GE169" s="8"/>
      <c r="GF169" s="8"/>
      <c r="GG169" s="8"/>
      <c r="GH169" s="8"/>
      <c r="GI169" s="8"/>
      <c r="GJ169" s="8"/>
      <c r="GK169" s="8"/>
      <c r="GL169" s="8"/>
      <c r="GM169" s="8"/>
      <c r="GN169" s="8"/>
      <c r="GO169" s="8"/>
      <c r="GP169" s="8"/>
      <c r="GQ169" s="8"/>
      <c r="GR169" s="8"/>
      <c r="GS169" s="8"/>
      <c r="GT169" s="8"/>
      <c r="GU169" s="8"/>
      <c r="GV169" s="8"/>
      <c r="GW169" s="8"/>
      <c r="GX169" s="8"/>
      <c r="GY169" s="8"/>
      <c r="GZ169" s="8"/>
      <c r="HA169" s="8"/>
      <c r="HB169" s="8"/>
      <c r="HC169" s="8"/>
      <c r="HD169" s="8"/>
      <c r="HE169" s="8"/>
      <c r="HF169" s="8"/>
      <c r="HG169" s="8"/>
      <c r="HH169" s="8"/>
      <c r="HI169" s="8"/>
      <c r="HJ169" s="8"/>
      <c r="HK169" s="8"/>
      <c r="HL169" s="8"/>
      <c r="HM169" s="8"/>
      <c r="HN169" s="8"/>
      <c r="HO169" s="8"/>
      <c r="HP169" s="8"/>
      <c r="HQ169" s="8"/>
      <c r="HR169" s="8"/>
      <c r="HS169" s="8"/>
      <c r="HT169" s="8"/>
      <c r="HU169" s="8"/>
      <c r="HV169" s="8"/>
      <c r="HW169" s="8"/>
      <c r="HX169" s="8"/>
      <c r="HY169" s="8"/>
      <c r="HZ169" s="8"/>
      <c r="IA169" s="8"/>
      <c r="IB169" s="8"/>
      <c r="IC169" s="8"/>
      <c r="ID169" s="8"/>
      <c r="IE169" s="8"/>
      <c r="IF169" s="8"/>
      <c r="IG169" s="8"/>
      <c r="IH169" s="8"/>
      <c r="II169" s="8"/>
      <c r="IJ169" s="8"/>
      <c r="IK169" s="8"/>
      <c r="IL169" s="8"/>
      <c r="IM169" s="8"/>
      <c r="IN169" s="8"/>
      <c r="IO169" s="8"/>
      <c r="IP169" s="8"/>
      <c r="IQ169" s="8"/>
      <c r="IR169" s="8"/>
      <c r="IS169" s="8"/>
      <c r="IT169" s="8"/>
      <c r="IU169" s="8"/>
      <c r="IV169" s="8"/>
      <c r="IW169" s="8"/>
      <c r="IX169" s="8"/>
      <c r="JA169" s="125"/>
      <c r="JB169" s="125"/>
      <c r="JC169" s="125"/>
      <c r="JD169" s="72">
        <f>SUM((TEXT(JA169,"[M]")/60)*'Income Person-hours'!$D$3,(TEXT(JB169,"[M]")/60)*'Income Person-hours'!$D$4,(TEXT(JC169,"[M]")/60)*'Income Person-hours'!$D$5)</f>
        <v>0</v>
      </c>
    </row>
    <row r="170" spans="1:264 16383:16384" s="12" customFormat="1" ht="15.75" hidden="1" x14ac:dyDescent="0.45">
      <c r="A170" s="33">
        <v>8.6999999999999993</v>
      </c>
      <c r="B170" s="128"/>
      <c r="C170" s="119"/>
      <c r="D170" s="13" t="str">
        <f>IF(OR(j_WEEKDAY(J_ADDDAY(VLOOKUP(I170,A:F,6,FALSE),H170,1),0)=6,SUMIFS(Holieday[ok],Holieday[date],J_ADDDAY(VLOOKUP(I170,A:F,6,FALSE),H170,1)))=FALSE(),J_ADDDAY(VLOOKUP(I170,A:F,6,FALSE),H170,1),IF(OR(j_WEEKDAY(J_ADDDAY(VLOOKUP(I170,A:F,6,FALSE),H170+1,1),0)=6,SUMIFS(Holieday[ok],Holieday[date],J_ADDDAY(VLOOKUP(I170,A:F,6,FALSE),H170+1,1)))=FALSE(),J_ADDDAY(VLOOKUP(I170,A:F,6,FALSE),H170+1,1),IF(OR(j_WEEKDAY(J_ADDDAY(VLOOKUP(I170,A:F,6,FALSE),H170+2,1),0)=6,SUMIFS(Holieday[ok],Holieday[date],J_ADDDAY(VLOOKUP(I170,A:F,6,FALSE),H170+2,1)))=FALSE(),J_ADDDAY(VLOOKUP(I170,A:F,6,FALSE),H170+2,1),IF(OR(j_WEEKDAY(J_ADDDAY(VLOOKUP(I170,A:F,6,FALSE),H170+3,1),0)=6,SUMIFS(Holieday[ok],Holieday[date],J_ADDDAY(VLOOKUP(I170,A:F,6,FALSE),H170+3,1)))=FALSE(),J_ADDDAY(VLOOKUP(I170,A:F,6,FALSE),H170+3,1),IF(OR(j_WEEKDAY(J_ADDDAY(VLOOKUP(I170,A:F,6,FALSE),H170+4,1),0)=6,SUMIFS(Holieday[ok],Holieday[date],J_ADDDAY(VLOOKUP(I170,A:F,6,FALSE),H170+4,1)))=FALSE(),J_ADDDAY(VLOOKUP(I170,A:F,6,FALSE),H170+4,1),J_ADDDAY(VLOOKUP(I170,A:F,6,FALSE),H170+5,1))))))</f>
        <v>1398/08/25</v>
      </c>
      <c r="E170" s="2">
        <f t="shared" si="43"/>
        <v>13980825</v>
      </c>
      <c r="F170" s="13" t="str">
        <f>IF(N170=0,J_SUBDAY(D170,1,1)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0,J_SUBDAY(J_ADDDAY(D170,N170,1)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1,J_SUBDAY(J_ADDDAY(D170,N170+1,1),1,1),IF((N170-NETWORKDAYS.INTL(J_GregorianDate(D170,1),J_GregorianDate(J_SUBDAY(J_ADDDAY(D170,N170,1),1,1),1),16,1)-SUMIFS(Holieday[ok],Holieday[date],CONCATENATE("&gt;","=",D170),Holieday[date],CONCATENATE("&lt;","=",J_SUBDAY(J_ADDDAY(D170,N170,1),1,1)))+SUMIFS(Holieday[Friday],Holieday[date],CONCATENATE("&gt;","=",D170),Holieday[date],CONCATENATE("&lt;","=",J_SUBDAY(J_ADDDAY(D170,N170,1),1,1))))=2,J_SUBDAY(J_ADDDAY(D170,N170+2,1),1,1),J_SUBDAY(J_ADDDAY(D170,N170+3,1),1,1)))))</f>
        <v>1398/08/24</v>
      </c>
      <c r="G170" s="3">
        <f t="shared" si="44"/>
        <v>13980824</v>
      </c>
      <c r="H170" s="121"/>
      <c r="I170" s="122">
        <v>8.1</v>
      </c>
      <c r="J170" s="10" t="str">
        <f>j_WEEKDAY(D170,1)</f>
        <v>شنبه</v>
      </c>
      <c r="K170" s="23">
        <f t="shared" si="55"/>
        <v>0</v>
      </c>
      <c r="L170" s="9">
        <f t="shared" si="56"/>
        <v>0</v>
      </c>
      <c r="M170" s="123">
        <v>0</v>
      </c>
      <c r="N170" s="120">
        <v>0</v>
      </c>
      <c r="O170" s="11">
        <f t="shared" si="53"/>
        <v>0</v>
      </c>
      <c r="P170" s="11">
        <f>VALUE(J_normdate(J_ADDDAY($D170,$O170,1)))</f>
        <v>13980825</v>
      </c>
      <c r="Q170" s="10">
        <f t="shared" si="54"/>
        <v>0</v>
      </c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  <c r="ES170" s="8"/>
      <c r="ET170" s="8"/>
      <c r="EU170" s="8"/>
      <c r="EV170" s="8"/>
      <c r="EW170" s="8"/>
      <c r="EX170" s="8"/>
      <c r="EY170" s="8"/>
      <c r="EZ170" s="8"/>
      <c r="FA170" s="8"/>
      <c r="FB170" s="8"/>
      <c r="FC170" s="8"/>
      <c r="FD170" s="8"/>
      <c r="FE170" s="8"/>
      <c r="FF170" s="8"/>
      <c r="FG170" s="8"/>
      <c r="FH170" s="8"/>
      <c r="FI170" s="8"/>
      <c r="FJ170" s="8"/>
      <c r="FK170" s="8"/>
      <c r="FL170" s="8"/>
      <c r="FM170" s="8"/>
      <c r="FN170" s="8"/>
      <c r="FO170" s="8"/>
      <c r="FP170" s="8"/>
      <c r="FQ170" s="8"/>
      <c r="FR170" s="8"/>
      <c r="FS170" s="8"/>
      <c r="FT170" s="8"/>
      <c r="FU170" s="8"/>
      <c r="FV170" s="8"/>
      <c r="FW170" s="8"/>
      <c r="FX170" s="8"/>
      <c r="FY170" s="8"/>
      <c r="FZ170" s="8"/>
      <c r="GA170" s="8"/>
      <c r="GB170" s="8"/>
      <c r="GC170" s="8"/>
      <c r="GD170" s="8"/>
      <c r="GE170" s="8"/>
      <c r="GF170" s="8"/>
      <c r="GG170" s="8"/>
      <c r="GH170" s="8"/>
      <c r="GI170" s="8"/>
      <c r="GJ170" s="8"/>
      <c r="GK170" s="8"/>
      <c r="GL170" s="8"/>
      <c r="GM170" s="8"/>
      <c r="GN170" s="8"/>
      <c r="GO170" s="8"/>
      <c r="GP170" s="8"/>
      <c r="GQ170" s="8"/>
      <c r="GR170" s="8"/>
      <c r="GS170" s="8"/>
      <c r="GT170" s="8"/>
      <c r="GU170" s="8"/>
      <c r="GV170" s="8"/>
      <c r="GW170" s="8"/>
      <c r="GX170" s="8"/>
      <c r="GY170" s="8"/>
      <c r="GZ170" s="8"/>
      <c r="HA170" s="8"/>
      <c r="HB170" s="8"/>
      <c r="HC170" s="8"/>
      <c r="HD170" s="8"/>
      <c r="HE170" s="8"/>
      <c r="HF170" s="8"/>
      <c r="HG170" s="8"/>
      <c r="HH170" s="8"/>
      <c r="HI170" s="8"/>
      <c r="HJ170" s="8"/>
      <c r="HK170" s="8"/>
      <c r="HL170" s="8"/>
      <c r="HM170" s="8"/>
      <c r="HN170" s="8"/>
      <c r="HO170" s="8"/>
      <c r="HP170" s="8"/>
      <c r="HQ170" s="8"/>
      <c r="HR170" s="8"/>
      <c r="HS170" s="8"/>
      <c r="HT170" s="8"/>
      <c r="HU170" s="8"/>
      <c r="HV170" s="8"/>
      <c r="HW170" s="8"/>
      <c r="HX170" s="8"/>
      <c r="HY170" s="8"/>
      <c r="HZ170" s="8"/>
      <c r="IA170" s="8"/>
      <c r="IB170" s="8"/>
      <c r="IC170" s="8"/>
      <c r="ID170" s="8"/>
      <c r="IE170" s="8"/>
      <c r="IF170" s="8"/>
      <c r="IG170" s="8"/>
      <c r="IH170" s="8"/>
      <c r="II170" s="8"/>
      <c r="IJ170" s="8"/>
      <c r="IK170" s="8"/>
      <c r="IL170" s="8"/>
      <c r="IM170" s="8"/>
      <c r="IN170" s="8"/>
      <c r="IO170" s="8"/>
      <c r="IP170" s="8"/>
      <c r="IQ170" s="8"/>
      <c r="IR170" s="8"/>
      <c r="IS170" s="8"/>
      <c r="IT170" s="8"/>
      <c r="IU170" s="8"/>
      <c r="IV170" s="8"/>
      <c r="IW170" s="8"/>
      <c r="IX170" s="8"/>
      <c r="JA170" s="125"/>
      <c r="JB170" s="125"/>
      <c r="JC170" s="125"/>
      <c r="JD170" s="72">
        <f>SUM((TEXT(JA170,"[M]")/60)*'Income Person-hours'!$D$3,(TEXT(JB170,"[M]")/60)*'Income Person-hours'!$D$4,(TEXT(JC170,"[M]")/60)*'Income Person-hours'!$D$5)</f>
        <v>0</v>
      </c>
    </row>
    <row r="171" spans="1:264 16383:16384" s="12" customFormat="1" ht="15.75" hidden="1" x14ac:dyDescent="0.45">
      <c r="A171" s="214">
        <v>8.8000000000000007</v>
      </c>
      <c r="B171" s="128"/>
      <c r="C171" s="119"/>
      <c r="D171" s="13" t="str">
        <f>IF(OR(j_WEEKDAY(J_ADDDAY(VLOOKUP(I171,A:F,6,FALSE),H171,1),0)=6,SUMIFS(Holieday[ok],Holieday[date],J_ADDDAY(VLOOKUP(I171,A:F,6,FALSE),H171,1)))=FALSE(),J_ADDDAY(VLOOKUP(I171,A:F,6,FALSE),H171,1),IF(OR(j_WEEKDAY(J_ADDDAY(VLOOKUP(I171,A:F,6,FALSE),H171+1,1),0)=6,SUMIFS(Holieday[ok],Holieday[date],J_ADDDAY(VLOOKUP(I171,A:F,6,FALSE),H171+1,1)))=FALSE(),J_ADDDAY(VLOOKUP(I171,A:F,6,FALSE),H171+1,1),IF(OR(j_WEEKDAY(J_ADDDAY(VLOOKUP(I171,A:F,6,FALSE),H171+2,1),0)=6,SUMIFS(Holieday[ok],Holieday[date],J_ADDDAY(VLOOKUP(I171,A:F,6,FALSE),H171+2,1)))=FALSE(),J_ADDDAY(VLOOKUP(I171,A:F,6,FALSE),H171+2,1),IF(OR(j_WEEKDAY(J_ADDDAY(VLOOKUP(I171,A:F,6,FALSE),H171+3,1),0)=6,SUMIFS(Holieday[ok],Holieday[date],J_ADDDAY(VLOOKUP(I171,A:F,6,FALSE),H171+3,1)))=FALSE(),J_ADDDAY(VLOOKUP(I171,A:F,6,FALSE),H171+3,1),IF(OR(j_WEEKDAY(J_ADDDAY(VLOOKUP(I171,A:F,6,FALSE),H171+4,1),0)=6,SUMIFS(Holieday[ok],Holieday[date],J_ADDDAY(VLOOKUP(I171,A:F,6,FALSE),H171+4,1)))=FALSE(),J_ADDDAY(VLOOKUP(I171,A:F,6,FALSE),H171+4,1),J_ADDDAY(VLOOKUP(I171,A:F,6,FALSE),H171+5,1))))))</f>
        <v>1398/08/25</v>
      </c>
      <c r="E171" s="2">
        <f t="shared" ref="E171:E202" si="57">VALUE(J_normdate(D171))</f>
        <v>13980825</v>
      </c>
      <c r="F171" s="13" t="str">
        <f>IF(N171=0,J_SUBDAY(D171,1,1)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0,J_SUBDAY(J_ADDDAY(D171,N171,1)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1,J_SUBDAY(J_ADDDAY(D171,N171+1,1),1,1),IF((N171-NETWORKDAYS.INTL(J_GregorianDate(D171,1),J_GregorianDate(J_SUBDAY(J_ADDDAY(D171,N171,1),1,1),1),16,1)-SUMIFS(Holieday[ok],Holieday[date],CONCATENATE("&gt;","=",D171),Holieday[date],CONCATENATE("&lt;","=",J_SUBDAY(J_ADDDAY(D171,N171,1),1,1)))+SUMIFS(Holieday[Friday],Holieday[date],CONCATENATE("&gt;","=",D171),Holieday[date],CONCATENATE("&lt;","=",J_SUBDAY(J_ADDDAY(D171,N171,1),1,1))))=2,J_SUBDAY(J_ADDDAY(D171,N171+2,1),1,1),J_SUBDAY(J_ADDDAY(D171,N171+3,1),1,1)))))</f>
        <v>1398/08/24</v>
      </c>
      <c r="G171" s="3">
        <f t="shared" ref="G171:G202" si="58">VALUE(J_normdate(F171))</f>
        <v>13980824</v>
      </c>
      <c r="H171" s="121"/>
      <c r="I171" s="122">
        <v>8.1</v>
      </c>
      <c r="J171" s="10" t="str">
        <f>j_WEEKDAY(D171,1)</f>
        <v>شنبه</v>
      </c>
      <c r="K171" s="23">
        <f t="shared" si="55"/>
        <v>0</v>
      </c>
      <c r="L171" s="9">
        <f t="shared" si="56"/>
        <v>0</v>
      </c>
      <c r="M171" s="123">
        <v>0</v>
      </c>
      <c r="N171" s="120">
        <v>0</v>
      </c>
      <c r="O171" s="11">
        <f t="shared" si="53"/>
        <v>0</v>
      </c>
      <c r="P171" s="11">
        <f>VALUE(J_normdate(J_ADDDAY($D171,$O171,1)))</f>
        <v>13980825</v>
      </c>
      <c r="Q171" s="10">
        <f t="shared" si="54"/>
        <v>0</v>
      </c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  <c r="ES171" s="8"/>
      <c r="ET171" s="8"/>
      <c r="EU171" s="8"/>
      <c r="EV171" s="8"/>
      <c r="EW171" s="8"/>
      <c r="EX171" s="8"/>
      <c r="EY171" s="8"/>
      <c r="EZ171" s="8"/>
      <c r="FA171" s="8"/>
      <c r="FB171" s="8"/>
      <c r="FC171" s="8"/>
      <c r="FD171" s="8"/>
      <c r="FE171" s="8"/>
      <c r="FF171" s="8"/>
      <c r="FG171" s="8"/>
      <c r="FH171" s="8"/>
      <c r="FI171" s="8"/>
      <c r="FJ171" s="8"/>
      <c r="FK171" s="8"/>
      <c r="FL171" s="8"/>
      <c r="FM171" s="8"/>
      <c r="FN171" s="8"/>
      <c r="FO171" s="8"/>
      <c r="FP171" s="8"/>
      <c r="FQ171" s="8"/>
      <c r="FR171" s="8"/>
      <c r="FS171" s="8"/>
      <c r="FT171" s="8"/>
      <c r="FU171" s="8"/>
      <c r="FV171" s="8"/>
      <c r="FW171" s="8"/>
      <c r="FX171" s="8"/>
      <c r="FY171" s="8"/>
      <c r="FZ171" s="8"/>
      <c r="GA171" s="8"/>
      <c r="GB171" s="8"/>
      <c r="GC171" s="8"/>
      <c r="GD171" s="8"/>
      <c r="GE171" s="8"/>
      <c r="GF171" s="8"/>
      <c r="GG171" s="8"/>
      <c r="GH171" s="8"/>
      <c r="GI171" s="8"/>
      <c r="GJ171" s="8"/>
      <c r="GK171" s="8"/>
      <c r="GL171" s="8"/>
      <c r="GM171" s="8"/>
      <c r="GN171" s="8"/>
      <c r="GO171" s="8"/>
      <c r="GP171" s="8"/>
      <c r="GQ171" s="8"/>
      <c r="GR171" s="8"/>
      <c r="GS171" s="8"/>
      <c r="GT171" s="8"/>
      <c r="GU171" s="8"/>
      <c r="GV171" s="8"/>
      <c r="GW171" s="8"/>
      <c r="GX171" s="8"/>
      <c r="GY171" s="8"/>
      <c r="GZ171" s="8"/>
      <c r="HA171" s="8"/>
      <c r="HB171" s="8"/>
      <c r="HC171" s="8"/>
      <c r="HD171" s="8"/>
      <c r="HE171" s="8"/>
      <c r="HF171" s="8"/>
      <c r="HG171" s="8"/>
      <c r="HH171" s="8"/>
      <c r="HI171" s="8"/>
      <c r="HJ171" s="8"/>
      <c r="HK171" s="8"/>
      <c r="HL171" s="8"/>
      <c r="HM171" s="8"/>
      <c r="HN171" s="8"/>
      <c r="HO171" s="8"/>
      <c r="HP171" s="8"/>
      <c r="HQ171" s="8"/>
      <c r="HR171" s="8"/>
      <c r="HS171" s="8"/>
      <c r="HT171" s="8"/>
      <c r="HU171" s="8"/>
      <c r="HV171" s="8"/>
      <c r="HW171" s="8"/>
      <c r="HX171" s="8"/>
      <c r="HY171" s="8"/>
      <c r="HZ171" s="8"/>
      <c r="IA171" s="8"/>
      <c r="IB171" s="8"/>
      <c r="IC171" s="8"/>
      <c r="ID171" s="8"/>
      <c r="IE171" s="8"/>
      <c r="IF171" s="8"/>
      <c r="IG171" s="8"/>
      <c r="IH171" s="8"/>
      <c r="II171" s="8"/>
      <c r="IJ171" s="8"/>
      <c r="IK171" s="8"/>
      <c r="IL171" s="8"/>
      <c r="IM171" s="8"/>
      <c r="IN171" s="8"/>
      <c r="IO171" s="8"/>
      <c r="IP171" s="8"/>
      <c r="IQ171" s="8"/>
      <c r="IR171" s="8"/>
      <c r="IS171" s="8"/>
      <c r="IT171" s="8"/>
      <c r="IU171" s="8"/>
      <c r="IV171" s="8"/>
      <c r="IW171" s="8"/>
      <c r="IX171" s="8"/>
      <c r="JA171" s="125"/>
      <c r="JB171" s="125"/>
      <c r="JC171" s="125"/>
      <c r="JD171" s="72">
        <f>SUM((TEXT(JA171,"[M]")/60)*'Income Person-hours'!$D$3,(TEXT(JB171,"[M]")/60)*'Income Person-hours'!$D$4,(TEXT(JC171,"[M]")/60)*'Income Person-hours'!$D$5)</f>
        <v>0</v>
      </c>
    </row>
    <row r="172" spans="1:264 16383:16384" s="12" customFormat="1" ht="15.75" hidden="1" x14ac:dyDescent="0.45">
      <c r="A172" s="214">
        <v>8.9</v>
      </c>
      <c r="B172" s="128"/>
      <c r="C172" s="119"/>
      <c r="D172" s="13" t="str">
        <f>IF(OR(j_WEEKDAY(J_ADDDAY(VLOOKUP(I172,A:F,6,FALSE),H172,1),0)=6,SUMIFS(Holieday[ok],Holieday[date],J_ADDDAY(VLOOKUP(I172,A:F,6,FALSE),H172,1)))=FALSE(),J_ADDDAY(VLOOKUP(I172,A:F,6,FALSE),H172,1),IF(OR(j_WEEKDAY(J_ADDDAY(VLOOKUP(I172,A:F,6,FALSE),H172+1,1),0)=6,SUMIFS(Holieday[ok],Holieday[date],J_ADDDAY(VLOOKUP(I172,A:F,6,FALSE),H172+1,1)))=FALSE(),J_ADDDAY(VLOOKUP(I172,A:F,6,FALSE),H172+1,1),IF(OR(j_WEEKDAY(J_ADDDAY(VLOOKUP(I172,A:F,6,FALSE),H172+2,1),0)=6,SUMIFS(Holieday[ok],Holieday[date],J_ADDDAY(VLOOKUP(I172,A:F,6,FALSE),H172+2,1)))=FALSE(),J_ADDDAY(VLOOKUP(I172,A:F,6,FALSE),H172+2,1),IF(OR(j_WEEKDAY(J_ADDDAY(VLOOKUP(I172,A:F,6,FALSE),H172+3,1),0)=6,SUMIFS(Holieday[ok],Holieday[date],J_ADDDAY(VLOOKUP(I172,A:F,6,FALSE),H172+3,1)))=FALSE(),J_ADDDAY(VLOOKUP(I172,A:F,6,FALSE),H172+3,1),IF(OR(j_WEEKDAY(J_ADDDAY(VLOOKUP(I172,A:F,6,FALSE),H172+4,1),0)=6,SUMIFS(Holieday[ok],Holieday[date],J_ADDDAY(VLOOKUP(I172,A:F,6,FALSE),H172+4,1)))=FALSE(),J_ADDDAY(VLOOKUP(I172,A:F,6,FALSE),H172+4,1),J_ADDDAY(VLOOKUP(I172,A:F,6,FALSE),H172+5,1))))))</f>
        <v>1398/08/25</v>
      </c>
      <c r="E172" s="2">
        <f t="shared" si="57"/>
        <v>13980825</v>
      </c>
      <c r="F172" s="13" t="str">
        <f>IF(N172=0,J_SUBDAY(D172,1,1)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0,J_SUBDAY(J_ADDDAY(D172,N172,1)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1,J_SUBDAY(J_ADDDAY(D172,N172+1,1),1,1),IF((N172-NETWORKDAYS.INTL(J_GregorianDate(D172,1),J_GregorianDate(J_SUBDAY(J_ADDDAY(D172,N172,1),1,1),1),16,1)-SUMIFS(Holieday[ok],Holieday[date],CONCATENATE("&gt;","=",D172),Holieday[date],CONCATENATE("&lt;","=",J_SUBDAY(J_ADDDAY(D172,N172,1),1,1)))+SUMIFS(Holieday[Friday],Holieday[date],CONCATENATE("&gt;","=",D172),Holieday[date],CONCATENATE("&lt;","=",J_SUBDAY(J_ADDDAY(D172,N172,1),1,1))))=2,J_SUBDAY(J_ADDDAY(D172,N172+2,1),1,1),J_SUBDAY(J_ADDDAY(D172,N172+3,1),1,1)))))</f>
        <v>1398/08/24</v>
      </c>
      <c r="G172" s="3">
        <f t="shared" si="58"/>
        <v>13980824</v>
      </c>
      <c r="H172" s="121"/>
      <c r="I172" s="122">
        <v>8.1</v>
      </c>
      <c r="J172" s="10" t="str">
        <f>j_WEEKDAY(D172,1)</f>
        <v>شنبه</v>
      </c>
      <c r="K172" s="23">
        <f t="shared" si="55"/>
        <v>0</v>
      </c>
      <c r="L172" s="9">
        <f t="shared" si="56"/>
        <v>0</v>
      </c>
      <c r="M172" s="123">
        <v>0</v>
      </c>
      <c r="N172" s="120">
        <v>0</v>
      </c>
      <c r="O172" s="11">
        <f t="shared" si="53"/>
        <v>0</v>
      </c>
      <c r="P172" s="11">
        <f>VALUE(J_normdate(J_ADDDAY($D172,$O172,1)))</f>
        <v>13980825</v>
      </c>
      <c r="Q172" s="10">
        <f t="shared" si="54"/>
        <v>0</v>
      </c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  <c r="ES172" s="8"/>
      <c r="ET172" s="8"/>
      <c r="EU172" s="8"/>
      <c r="EV172" s="8"/>
      <c r="EW172" s="8"/>
      <c r="EX172" s="8"/>
      <c r="EY172" s="8"/>
      <c r="EZ172" s="8"/>
      <c r="FA172" s="8"/>
      <c r="FB172" s="8"/>
      <c r="FC172" s="8"/>
      <c r="FD172" s="8"/>
      <c r="FE172" s="8"/>
      <c r="FF172" s="8"/>
      <c r="FG172" s="8"/>
      <c r="FH172" s="8"/>
      <c r="FI172" s="8"/>
      <c r="FJ172" s="8"/>
      <c r="FK172" s="8"/>
      <c r="FL172" s="8"/>
      <c r="FM172" s="8"/>
      <c r="FN172" s="8"/>
      <c r="FO172" s="8"/>
      <c r="FP172" s="8"/>
      <c r="FQ172" s="8"/>
      <c r="FR172" s="8"/>
      <c r="FS172" s="8"/>
      <c r="FT172" s="8"/>
      <c r="FU172" s="8"/>
      <c r="FV172" s="8"/>
      <c r="FW172" s="8"/>
      <c r="FX172" s="8"/>
      <c r="FY172" s="8"/>
      <c r="FZ172" s="8"/>
      <c r="GA172" s="8"/>
      <c r="GB172" s="8"/>
      <c r="GC172" s="8"/>
      <c r="GD172" s="8"/>
      <c r="GE172" s="8"/>
      <c r="GF172" s="8"/>
      <c r="GG172" s="8"/>
      <c r="GH172" s="8"/>
      <c r="GI172" s="8"/>
      <c r="GJ172" s="8"/>
      <c r="GK172" s="8"/>
      <c r="GL172" s="8"/>
      <c r="GM172" s="8"/>
      <c r="GN172" s="8"/>
      <c r="GO172" s="8"/>
      <c r="GP172" s="8"/>
      <c r="GQ172" s="8"/>
      <c r="GR172" s="8"/>
      <c r="GS172" s="8"/>
      <c r="GT172" s="8"/>
      <c r="GU172" s="8"/>
      <c r="GV172" s="8"/>
      <c r="GW172" s="8"/>
      <c r="GX172" s="8"/>
      <c r="GY172" s="8"/>
      <c r="GZ172" s="8"/>
      <c r="HA172" s="8"/>
      <c r="HB172" s="8"/>
      <c r="HC172" s="8"/>
      <c r="HD172" s="8"/>
      <c r="HE172" s="8"/>
      <c r="HF172" s="8"/>
      <c r="HG172" s="8"/>
      <c r="HH172" s="8"/>
      <c r="HI172" s="8"/>
      <c r="HJ172" s="8"/>
      <c r="HK172" s="8"/>
      <c r="HL172" s="8"/>
      <c r="HM172" s="8"/>
      <c r="HN172" s="8"/>
      <c r="HO172" s="8"/>
      <c r="HP172" s="8"/>
      <c r="HQ172" s="8"/>
      <c r="HR172" s="8"/>
      <c r="HS172" s="8"/>
      <c r="HT172" s="8"/>
      <c r="HU172" s="8"/>
      <c r="HV172" s="8"/>
      <c r="HW172" s="8"/>
      <c r="HX172" s="8"/>
      <c r="HY172" s="8"/>
      <c r="HZ172" s="8"/>
      <c r="IA172" s="8"/>
      <c r="IB172" s="8"/>
      <c r="IC172" s="8"/>
      <c r="ID172" s="8"/>
      <c r="IE172" s="8"/>
      <c r="IF172" s="8"/>
      <c r="IG172" s="8"/>
      <c r="IH172" s="8"/>
      <c r="II172" s="8"/>
      <c r="IJ172" s="8"/>
      <c r="IK172" s="8"/>
      <c r="IL172" s="8"/>
      <c r="IM172" s="8"/>
      <c r="IN172" s="8"/>
      <c r="IO172" s="8"/>
      <c r="IP172" s="8"/>
      <c r="IQ172" s="8"/>
      <c r="IR172" s="8"/>
      <c r="IS172" s="8"/>
      <c r="IT172" s="8"/>
      <c r="IU172" s="8"/>
      <c r="IV172" s="8"/>
      <c r="IW172" s="8"/>
      <c r="IX172" s="8"/>
      <c r="JA172" s="125"/>
      <c r="JB172" s="125"/>
      <c r="JC172" s="125"/>
      <c r="JD172" s="72">
        <f>SUM((TEXT(JA172,"[M]")/60)*'Income Person-hours'!$D$3,(TEXT(JB172,"[M]")/60)*'Income Person-hours'!$D$4,(TEXT(JC172,"[M]")/60)*'Income Person-hours'!$D$5)</f>
        <v>0</v>
      </c>
    </row>
    <row r="173" spans="1:264 16383:16384" s="12" customFormat="1" ht="15.75" hidden="1" x14ac:dyDescent="0.45">
      <c r="A173" s="33">
        <v>8.11</v>
      </c>
      <c r="B173" s="128"/>
      <c r="C173" s="119"/>
      <c r="D173" s="13" t="str">
        <f>IF(OR(j_WEEKDAY(J_ADDDAY(VLOOKUP(I173,A:F,6,FALSE),H173,1),0)=6,SUMIFS(Holieday[ok],Holieday[date],J_ADDDAY(VLOOKUP(I173,A:F,6,FALSE),H173,1)))=FALSE(),J_ADDDAY(VLOOKUP(I173,A:F,6,FALSE),H173,1),IF(OR(j_WEEKDAY(J_ADDDAY(VLOOKUP(I173,A:F,6,FALSE),H173+1,1),0)=6,SUMIFS(Holieday[ok],Holieday[date],J_ADDDAY(VLOOKUP(I173,A:F,6,FALSE),H173+1,1)))=FALSE(),J_ADDDAY(VLOOKUP(I173,A:F,6,FALSE),H173+1,1),IF(OR(j_WEEKDAY(J_ADDDAY(VLOOKUP(I173,A:F,6,FALSE),H173+2,1),0)=6,SUMIFS(Holieday[ok],Holieday[date],J_ADDDAY(VLOOKUP(I173,A:F,6,FALSE),H173+2,1)))=FALSE(),J_ADDDAY(VLOOKUP(I173,A:F,6,FALSE),H173+2,1),IF(OR(j_WEEKDAY(J_ADDDAY(VLOOKUP(I173,A:F,6,FALSE),H173+3,1),0)=6,SUMIFS(Holieday[ok],Holieday[date],J_ADDDAY(VLOOKUP(I173,A:F,6,FALSE),H173+3,1)))=FALSE(),J_ADDDAY(VLOOKUP(I173,A:F,6,FALSE),H173+3,1),IF(OR(j_WEEKDAY(J_ADDDAY(VLOOKUP(I173,A:F,6,FALSE),H173+4,1),0)=6,SUMIFS(Holieday[ok],Holieday[date],J_ADDDAY(VLOOKUP(I173,A:F,6,FALSE),H173+4,1)))=FALSE(),J_ADDDAY(VLOOKUP(I173,A:F,6,FALSE),H173+4,1),J_ADDDAY(VLOOKUP(I173,A:F,6,FALSE),H173+5,1))))))</f>
        <v>1398/08/25</v>
      </c>
      <c r="E173" s="2">
        <f t="shared" si="57"/>
        <v>13980825</v>
      </c>
      <c r="F173" s="13" t="str">
        <f>IF(N173=0,J_SUBDAY(D173,1,1)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0,J_SUBDAY(J_ADDDAY(D173,N173,1)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1,J_SUBDAY(J_ADDDAY(D173,N173+1,1),1,1),IF((N173-NETWORKDAYS.INTL(J_GregorianDate(D173,1),J_GregorianDate(J_SUBDAY(J_ADDDAY(D173,N173,1),1,1),1),16,1)-SUMIFS(Holieday[ok],Holieday[date],CONCATENATE("&gt;","=",D173),Holieday[date],CONCATENATE("&lt;","=",J_SUBDAY(J_ADDDAY(D173,N173,1),1,1)))+SUMIFS(Holieday[Friday],Holieday[date],CONCATENATE("&gt;","=",D173),Holieday[date],CONCATENATE("&lt;","=",J_SUBDAY(J_ADDDAY(D173,N173,1),1,1))))=2,J_SUBDAY(J_ADDDAY(D173,N173+2,1),1,1),J_SUBDAY(J_ADDDAY(D173,N173+3,1),1,1)))))</f>
        <v>1398/08/24</v>
      </c>
      <c r="G173" s="3">
        <f t="shared" si="58"/>
        <v>13980824</v>
      </c>
      <c r="H173" s="121"/>
      <c r="I173" s="122">
        <v>8.1</v>
      </c>
      <c r="J173" s="10" t="str">
        <f>j_WEEKDAY(D173,1)</f>
        <v>شنبه</v>
      </c>
      <c r="K173" s="23">
        <f t="shared" si="55"/>
        <v>0</v>
      </c>
      <c r="L173" s="9">
        <f t="shared" si="56"/>
        <v>0</v>
      </c>
      <c r="M173" s="123">
        <v>0</v>
      </c>
      <c r="N173" s="120">
        <v>0</v>
      </c>
      <c r="O173" s="11">
        <f t="shared" si="53"/>
        <v>0</v>
      </c>
      <c r="P173" s="11">
        <f>VALUE(J_normdate(J_ADDDAY($D173,$O173,1)))</f>
        <v>13980825</v>
      </c>
      <c r="Q173" s="10">
        <f t="shared" si="54"/>
        <v>0</v>
      </c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  <c r="ES173" s="8"/>
      <c r="ET173" s="8"/>
      <c r="EU173" s="8"/>
      <c r="EV173" s="8"/>
      <c r="EW173" s="8"/>
      <c r="EX173" s="8"/>
      <c r="EY173" s="8"/>
      <c r="EZ173" s="8"/>
      <c r="FA173" s="8"/>
      <c r="FB173" s="8"/>
      <c r="FC173" s="8"/>
      <c r="FD173" s="8"/>
      <c r="FE173" s="8"/>
      <c r="FF173" s="8"/>
      <c r="FG173" s="8"/>
      <c r="FH173" s="8"/>
      <c r="FI173" s="8"/>
      <c r="FJ173" s="8"/>
      <c r="FK173" s="8"/>
      <c r="FL173" s="8"/>
      <c r="FM173" s="8"/>
      <c r="FN173" s="8"/>
      <c r="FO173" s="8"/>
      <c r="FP173" s="8"/>
      <c r="FQ173" s="8"/>
      <c r="FR173" s="8"/>
      <c r="FS173" s="8"/>
      <c r="FT173" s="8"/>
      <c r="FU173" s="8"/>
      <c r="FV173" s="8"/>
      <c r="FW173" s="8"/>
      <c r="FX173" s="8"/>
      <c r="FY173" s="8"/>
      <c r="FZ173" s="8"/>
      <c r="GA173" s="8"/>
      <c r="GB173" s="8"/>
      <c r="GC173" s="8"/>
      <c r="GD173" s="8"/>
      <c r="GE173" s="8"/>
      <c r="GF173" s="8"/>
      <c r="GG173" s="8"/>
      <c r="GH173" s="8"/>
      <c r="GI173" s="8"/>
      <c r="GJ173" s="8"/>
      <c r="GK173" s="8"/>
      <c r="GL173" s="8"/>
      <c r="GM173" s="8"/>
      <c r="GN173" s="8"/>
      <c r="GO173" s="8"/>
      <c r="GP173" s="8"/>
      <c r="GQ173" s="8"/>
      <c r="GR173" s="8"/>
      <c r="GS173" s="8"/>
      <c r="GT173" s="8"/>
      <c r="GU173" s="8"/>
      <c r="GV173" s="8"/>
      <c r="GW173" s="8"/>
      <c r="GX173" s="8"/>
      <c r="GY173" s="8"/>
      <c r="GZ173" s="8"/>
      <c r="HA173" s="8"/>
      <c r="HB173" s="8"/>
      <c r="HC173" s="8"/>
      <c r="HD173" s="8"/>
      <c r="HE173" s="8"/>
      <c r="HF173" s="8"/>
      <c r="HG173" s="8"/>
      <c r="HH173" s="8"/>
      <c r="HI173" s="8"/>
      <c r="HJ173" s="8"/>
      <c r="HK173" s="8"/>
      <c r="HL173" s="8"/>
      <c r="HM173" s="8"/>
      <c r="HN173" s="8"/>
      <c r="HO173" s="8"/>
      <c r="HP173" s="8"/>
      <c r="HQ173" s="8"/>
      <c r="HR173" s="8"/>
      <c r="HS173" s="8"/>
      <c r="HT173" s="8"/>
      <c r="HU173" s="8"/>
      <c r="HV173" s="8"/>
      <c r="HW173" s="8"/>
      <c r="HX173" s="8"/>
      <c r="HY173" s="8"/>
      <c r="HZ173" s="8"/>
      <c r="IA173" s="8"/>
      <c r="IB173" s="8"/>
      <c r="IC173" s="8"/>
      <c r="ID173" s="8"/>
      <c r="IE173" s="8"/>
      <c r="IF173" s="8"/>
      <c r="IG173" s="8"/>
      <c r="IH173" s="8"/>
      <c r="II173" s="8"/>
      <c r="IJ173" s="8"/>
      <c r="IK173" s="8"/>
      <c r="IL173" s="8"/>
      <c r="IM173" s="8"/>
      <c r="IN173" s="8"/>
      <c r="IO173" s="8"/>
      <c r="IP173" s="8"/>
      <c r="IQ173" s="8"/>
      <c r="IR173" s="8"/>
      <c r="IS173" s="8"/>
      <c r="IT173" s="8"/>
      <c r="IU173" s="8"/>
      <c r="IV173" s="8"/>
      <c r="IW173" s="8"/>
      <c r="IX173" s="8"/>
      <c r="JA173" s="125"/>
      <c r="JB173" s="125"/>
      <c r="JC173" s="125"/>
      <c r="JD173" s="72">
        <f>SUM((TEXT(JA173,"[M]")/60)*'Income Person-hours'!$D$3,(TEXT(JB173,"[M]")/60)*'Income Person-hours'!$D$4,(TEXT(JC173,"[M]")/60)*'Income Person-hours'!$D$5)</f>
        <v>0</v>
      </c>
    </row>
    <row r="174" spans="1:264 16383:16384" s="12" customFormat="1" ht="15.75" hidden="1" x14ac:dyDescent="0.45">
      <c r="A174" s="33">
        <v>8.1199999999999992</v>
      </c>
      <c r="B174" s="128"/>
      <c r="C174" s="119"/>
      <c r="D174" s="13" t="str">
        <f>IF(OR(j_WEEKDAY(J_ADDDAY(VLOOKUP(I174,A:F,6,FALSE),H174,1),0)=6,SUMIFS(Holieday[ok],Holieday[date],J_ADDDAY(VLOOKUP(I174,A:F,6,FALSE),H174,1)))=FALSE(),J_ADDDAY(VLOOKUP(I174,A:F,6,FALSE),H174,1),IF(OR(j_WEEKDAY(J_ADDDAY(VLOOKUP(I174,A:F,6,FALSE),H174+1,1),0)=6,SUMIFS(Holieday[ok],Holieday[date],J_ADDDAY(VLOOKUP(I174,A:F,6,FALSE),H174+1,1)))=FALSE(),J_ADDDAY(VLOOKUP(I174,A:F,6,FALSE),H174+1,1),IF(OR(j_WEEKDAY(J_ADDDAY(VLOOKUP(I174,A:F,6,FALSE),H174+2,1),0)=6,SUMIFS(Holieday[ok],Holieday[date],J_ADDDAY(VLOOKUP(I174,A:F,6,FALSE),H174+2,1)))=FALSE(),J_ADDDAY(VLOOKUP(I174,A:F,6,FALSE),H174+2,1),IF(OR(j_WEEKDAY(J_ADDDAY(VLOOKUP(I174,A:F,6,FALSE),H174+3,1),0)=6,SUMIFS(Holieday[ok],Holieday[date],J_ADDDAY(VLOOKUP(I174,A:F,6,FALSE),H174+3,1)))=FALSE(),J_ADDDAY(VLOOKUP(I174,A:F,6,FALSE),H174+3,1),IF(OR(j_WEEKDAY(J_ADDDAY(VLOOKUP(I174,A:F,6,FALSE),H174+4,1),0)=6,SUMIFS(Holieday[ok],Holieday[date],J_ADDDAY(VLOOKUP(I174,A:F,6,FALSE),H174+4,1)))=FALSE(),J_ADDDAY(VLOOKUP(I174,A:F,6,FALSE),H174+4,1),J_ADDDAY(VLOOKUP(I174,A:F,6,FALSE),H174+5,1))))))</f>
        <v>1398/08/25</v>
      </c>
      <c r="E174" s="2">
        <f t="shared" si="57"/>
        <v>13980825</v>
      </c>
      <c r="F174" s="13" t="str">
        <f>IF(N174=0,J_SUBDAY(D174,1,1)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0,J_SUBDAY(J_ADDDAY(D174,N174,1)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1,J_SUBDAY(J_ADDDAY(D174,N174+1,1),1,1),IF((N174-NETWORKDAYS.INTL(J_GregorianDate(D174,1),J_GregorianDate(J_SUBDAY(J_ADDDAY(D174,N174,1),1,1),1),16,1)-SUMIFS(Holieday[ok],Holieday[date],CONCATENATE("&gt;","=",D174),Holieday[date],CONCATENATE("&lt;","=",J_SUBDAY(J_ADDDAY(D174,N174,1),1,1)))+SUMIFS(Holieday[Friday],Holieday[date],CONCATENATE("&gt;","=",D174),Holieday[date],CONCATENATE("&lt;","=",J_SUBDAY(J_ADDDAY(D174,N174,1),1,1))))=2,J_SUBDAY(J_ADDDAY(D174,N174+2,1),1,1),J_SUBDAY(J_ADDDAY(D174,N174+3,1),1,1)))))</f>
        <v>1398/08/24</v>
      </c>
      <c r="G174" s="3">
        <f t="shared" si="58"/>
        <v>13980824</v>
      </c>
      <c r="H174" s="121"/>
      <c r="I174" s="122">
        <v>8.1</v>
      </c>
      <c r="J174" s="10" t="str">
        <f>j_WEEKDAY(D174,1)</f>
        <v>شنبه</v>
      </c>
      <c r="K174" s="23">
        <f t="shared" si="55"/>
        <v>0</v>
      </c>
      <c r="L174" s="9">
        <f t="shared" si="56"/>
        <v>0</v>
      </c>
      <c r="M174" s="123">
        <v>0</v>
      </c>
      <c r="N174" s="120">
        <v>0</v>
      </c>
      <c r="O174" s="11">
        <f t="shared" si="53"/>
        <v>0</v>
      </c>
      <c r="P174" s="11">
        <f>VALUE(J_normdate(J_ADDDAY($D174,$O174,1)))</f>
        <v>13980825</v>
      </c>
      <c r="Q174" s="10">
        <f t="shared" si="54"/>
        <v>0</v>
      </c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  <c r="ES174" s="8"/>
      <c r="ET174" s="8"/>
      <c r="EU174" s="8"/>
      <c r="EV174" s="8"/>
      <c r="EW174" s="8"/>
      <c r="EX174" s="8"/>
      <c r="EY174" s="8"/>
      <c r="EZ174" s="8"/>
      <c r="FA174" s="8"/>
      <c r="FB174" s="8"/>
      <c r="FC174" s="8"/>
      <c r="FD174" s="8"/>
      <c r="FE174" s="8"/>
      <c r="FF174" s="8"/>
      <c r="FG174" s="8"/>
      <c r="FH174" s="8"/>
      <c r="FI174" s="8"/>
      <c r="FJ174" s="8"/>
      <c r="FK174" s="8"/>
      <c r="FL174" s="8"/>
      <c r="FM174" s="8"/>
      <c r="FN174" s="8"/>
      <c r="FO174" s="8"/>
      <c r="FP174" s="8"/>
      <c r="FQ174" s="8"/>
      <c r="FR174" s="8"/>
      <c r="FS174" s="8"/>
      <c r="FT174" s="8"/>
      <c r="FU174" s="8"/>
      <c r="FV174" s="8"/>
      <c r="FW174" s="8"/>
      <c r="FX174" s="8"/>
      <c r="FY174" s="8"/>
      <c r="FZ174" s="8"/>
      <c r="GA174" s="8"/>
      <c r="GB174" s="8"/>
      <c r="GC174" s="8"/>
      <c r="GD174" s="8"/>
      <c r="GE174" s="8"/>
      <c r="GF174" s="8"/>
      <c r="GG174" s="8"/>
      <c r="GH174" s="8"/>
      <c r="GI174" s="8"/>
      <c r="GJ174" s="8"/>
      <c r="GK174" s="8"/>
      <c r="GL174" s="8"/>
      <c r="GM174" s="8"/>
      <c r="GN174" s="8"/>
      <c r="GO174" s="8"/>
      <c r="GP174" s="8"/>
      <c r="GQ174" s="8"/>
      <c r="GR174" s="8"/>
      <c r="GS174" s="8"/>
      <c r="GT174" s="8"/>
      <c r="GU174" s="8"/>
      <c r="GV174" s="8"/>
      <c r="GW174" s="8"/>
      <c r="GX174" s="8"/>
      <c r="GY174" s="8"/>
      <c r="GZ174" s="8"/>
      <c r="HA174" s="8"/>
      <c r="HB174" s="8"/>
      <c r="HC174" s="8"/>
      <c r="HD174" s="8"/>
      <c r="HE174" s="8"/>
      <c r="HF174" s="8"/>
      <c r="HG174" s="8"/>
      <c r="HH174" s="8"/>
      <c r="HI174" s="8"/>
      <c r="HJ174" s="8"/>
      <c r="HK174" s="8"/>
      <c r="HL174" s="8"/>
      <c r="HM174" s="8"/>
      <c r="HN174" s="8"/>
      <c r="HO174" s="8"/>
      <c r="HP174" s="8"/>
      <c r="HQ174" s="8"/>
      <c r="HR174" s="8"/>
      <c r="HS174" s="8"/>
      <c r="HT174" s="8"/>
      <c r="HU174" s="8"/>
      <c r="HV174" s="8"/>
      <c r="HW174" s="8"/>
      <c r="HX174" s="8"/>
      <c r="HY174" s="8"/>
      <c r="HZ174" s="8"/>
      <c r="IA174" s="8"/>
      <c r="IB174" s="8"/>
      <c r="IC174" s="8"/>
      <c r="ID174" s="8"/>
      <c r="IE174" s="8"/>
      <c r="IF174" s="8"/>
      <c r="IG174" s="8"/>
      <c r="IH174" s="8"/>
      <c r="II174" s="8"/>
      <c r="IJ174" s="8"/>
      <c r="IK174" s="8"/>
      <c r="IL174" s="8"/>
      <c r="IM174" s="8"/>
      <c r="IN174" s="8"/>
      <c r="IO174" s="8"/>
      <c r="IP174" s="8"/>
      <c r="IQ174" s="8"/>
      <c r="IR174" s="8"/>
      <c r="IS174" s="8"/>
      <c r="IT174" s="8"/>
      <c r="IU174" s="8"/>
      <c r="IV174" s="8"/>
      <c r="IW174" s="8"/>
      <c r="IX174" s="8"/>
      <c r="JA174" s="125"/>
      <c r="JB174" s="125"/>
      <c r="JC174" s="125"/>
      <c r="JD174" s="72">
        <f>SUM((TEXT(JA174,"[M]")/60)*'Income Person-hours'!$D$3,(TEXT(JB174,"[M]")/60)*'Income Person-hours'!$D$4,(TEXT(JC174,"[M]")/60)*'Income Person-hours'!$D$5)</f>
        <v>0</v>
      </c>
    </row>
    <row r="175" spans="1:264 16383:16384" s="12" customFormat="1" ht="15.75" hidden="1" x14ac:dyDescent="0.45">
      <c r="A175" s="33">
        <v>8.1300000000000008</v>
      </c>
      <c r="B175" s="128"/>
      <c r="C175" s="119"/>
      <c r="D175" s="13" t="str">
        <f>IF(OR(j_WEEKDAY(J_ADDDAY(VLOOKUP(I175,A:F,6,FALSE),H175,1),0)=6,SUMIFS(Holieday[ok],Holieday[date],J_ADDDAY(VLOOKUP(I175,A:F,6,FALSE),H175,1)))=FALSE(),J_ADDDAY(VLOOKUP(I175,A:F,6,FALSE),H175,1),IF(OR(j_WEEKDAY(J_ADDDAY(VLOOKUP(I175,A:F,6,FALSE),H175+1,1),0)=6,SUMIFS(Holieday[ok],Holieday[date],J_ADDDAY(VLOOKUP(I175,A:F,6,FALSE),H175+1,1)))=FALSE(),J_ADDDAY(VLOOKUP(I175,A:F,6,FALSE),H175+1,1),IF(OR(j_WEEKDAY(J_ADDDAY(VLOOKUP(I175,A:F,6,FALSE),H175+2,1),0)=6,SUMIFS(Holieday[ok],Holieday[date],J_ADDDAY(VLOOKUP(I175,A:F,6,FALSE),H175+2,1)))=FALSE(),J_ADDDAY(VLOOKUP(I175,A:F,6,FALSE),H175+2,1),IF(OR(j_WEEKDAY(J_ADDDAY(VLOOKUP(I175,A:F,6,FALSE),H175+3,1),0)=6,SUMIFS(Holieday[ok],Holieday[date],J_ADDDAY(VLOOKUP(I175,A:F,6,FALSE),H175+3,1)))=FALSE(),J_ADDDAY(VLOOKUP(I175,A:F,6,FALSE),H175+3,1),IF(OR(j_WEEKDAY(J_ADDDAY(VLOOKUP(I175,A:F,6,FALSE),H175+4,1),0)=6,SUMIFS(Holieday[ok],Holieday[date],J_ADDDAY(VLOOKUP(I175,A:F,6,FALSE),H175+4,1)))=FALSE(),J_ADDDAY(VLOOKUP(I175,A:F,6,FALSE),H175+4,1),J_ADDDAY(VLOOKUP(I175,A:F,6,FALSE),H175+5,1))))))</f>
        <v>1398/08/25</v>
      </c>
      <c r="E175" s="2">
        <f t="shared" si="57"/>
        <v>13980825</v>
      </c>
      <c r="F175" s="13" t="str">
        <f>IF(N175=0,J_SUBDAY(D175,1,1)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0,J_SUBDAY(J_ADDDAY(D175,N175,1)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1,J_SUBDAY(J_ADDDAY(D175,N175+1,1),1,1),IF((N175-NETWORKDAYS.INTL(J_GregorianDate(D175,1),J_GregorianDate(J_SUBDAY(J_ADDDAY(D175,N175,1),1,1),1),16,1)-SUMIFS(Holieday[ok],Holieday[date],CONCATENATE("&gt;","=",D175),Holieday[date],CONCATENATE("&lt;","=",J_SUBDAY(J_ADDDAY(D175,N175,1),1,1)))+SUMIFS(Holieday[Friday],Holieday[date],CONCATENATE("&gt;","=",D175),Holieday[date],CONCATENATE("&lt;","=",J_SUBDAY(J_ADDDAY(D175,N175,1),1,1))))=2,J_SUBDAY(J_ADDDAY(D175,N175+2,1),1,1),J_SUBDAY(J_ADDDAY(D175,N175+3,1),1,1)))))</f>
        <v>1398/08/24</v>
      </c>
      <c r="G175" s="3">
        <f t="shared" si="58"/>
        <v>13980824</v>
      </c>
      <c r="H175" s="121"/>
      <c r="I175" s="122">
        <v>8.1</v>
      </c>
      <c r="J175" s="10" t="str">
        <f>j_WEEKDAY(D175,1)</f>
        <v>شنبه</v>
      </c>
      <c r="K175" s="23">
        <f t="shared" si="55"/>
        <v>0</v>
      </c>
      <c r="L175" s="9">
        <f t="shared" si="56"/>
        <v>0</v>
      </c>
      <c r="M175" s="123">
        <v>0</v>
      </c>
      <c r="N175" s="120">
        <v>0</v>
      </c>
      <c r="O175" s="11">
        <f t="shared" si="53"/>
        <v>0</v>
      </c>
      <c r="P175" s="11">
        <f>VALUE(J_normdate(J_ADDDAY($D175,$O175,1)))</f>
        <v>13980825</v>
      </c>
      <c r="Q175" s="10">
        <f t="shared" si="54"/>
        <v>0</v>
      </c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  <c r="ES175" s="8"/>
      <c r="ET175" s="8"/>
      <c r="EU175" s="8"/>
      <c r="EV175" s="8"/>
      <c r="EW175" s="8"/>
      <c r="EX175" s="8"/>
      <c r="EY175" s="8"/>
      <c r="EZ175" s="8"/>
      <c r="FA175" s="8"/>
      <c r="FB175" s="8"/>
      <c r="FC175" s="8"/>
      <c r="FD175" s="8"/>
      <c r="FE175" s="8"/>
      <c r="FF175" s="8"/>
      <c r="FG175" s="8"/>
      <c r="FH175" s="8"/>
      <c r="FI175" s="8"/>
      <c r="FJ175" s="8"/>
      <c r="FK175" s="8"/>
      <c r="FL175" s="8"/>
      <c r="FM175" s="8"/>
      <c r="FN175" s="8"/>
      <c r="FO175" s="8"/>
      <c r="FP175" s="8"/>
      <c r="FQ175" s="8"/>
      <c r="FR175" s="8"/>
      <c r="FS175" s="8"/>
      <c r="FT175" s="8"/>
      <c r="FU175" s="8"/>
      <c r="FV175" s="8"/>
      <c r="FW175" s="8"/>
      <c r="FX175" s="8"/>
      <c r="FY175" s="8"/>
      <c r="FZ175" s="8"/>
      <c r="GA175" s="8"/>
      <c r="GB175" s="8"/>
      <c r="GC175" s="8"/>
      <c r="GD175" s="8"/>
      <c r="GE175" s="8"/>
      <c r="GF175" s="8"/>
      <c r="GG175" s="8"/>
      <c r="GH175" s="8"/>
      <c r="GI175" s="8"/>
      <c r="GJ175" s="8"/>
      <c r="GK175" s="8"/>
      <c r="GL175" s="8"/>
      <c r="GM175" s="8"/>
      <c r="GN175" s="8"/>
      <c r="GO175" s="8"/>
      <c r="GP175" s="8"/>
      <c r="GQ175" s="8"/>
      <c r="GR175" s="8"/>
      <c r="GS175" s="8"/>
      <c r="GT175" s="8"/>
      <c r="GU175" s="8"/>
      <c r="GV175" s="8"/>
      <c r="GW175" s="8"/>
      <c r="GX175" s="8"/>
      <c r="GY175" s="8"/>
      <c r="GZ175" s="8"/>
      <c r="HA175" s="8"/>
      <c r="HB175" s="8"/>
      <c r="HC175" s="8"/>
      <c r="HD175" s="8"/>
      <c r="HE175" s="8"/>
      <c r="HF175" s="8"/>
      <c r="HG175" s="8"/>
      <c r="HH175" s="8"/>
      <c r="HI175" s="8"/>
      <c r="HJ175" s="8"/>
      <c r="HK175" s="8"/>
      <c r="HL175" s="8"/>
      <c r="HM175" s="8"/>
      <c r="HN175" s="8"/>
      <c r="HO175" s="8"/>
      <c r="HP175" s="8"/>
      <c r="HQ175" s="8"/>
      <c r="HR175" s="8"/>
      <c r="HS175" s="8"/>
      <c r="HT175" s="8"/>
      <c r="HU175" s="8"/>
      <c r="HV175" s="8"/>
      <c r="HW175" s="8"/>
      <c r="HX175" s="8"/>
      <c r="HY175" s="8"/>
      <c r="HZ175" s="8"/>
      <c r="IA175" s="8"/>
      <c r="IB175" s="8"/>
      <c r="IC175" s="8"/>
      <c r="ID175" s="8"/>
      <c r="IE175" s="8"/>
      <c r="IF175" s="8"/>
      <c r="IG175" s="8"/>
      <c r="IH175" s="8"/>
      <c r="II175" s="8"/>
      <c r="IJ175" s="8"/>
      <c r="IK175" s="8"/>
      <c r="IL175" s="8"/>
      <c r="IM175" s="8"/>
      <c r="IN175" s="8"/>
      <c r="IO175" s="8"/>
      <c r="IP175" s="8"/>
      <c r="IQ175" s="8"/>
      <c r="IR175" s="8"/>
      <c r="IS175" s="8"/>
      <c r="IT175" s="8"/>
      <c r="IU175" s="8"/>
      <c r="IV175" s="8"/>
      <c r="IW175" s="8"/>
      <c r="IX175" s="8"/>
      <c r="JA175" s="125"/>
      <c r="JB175" s="125"/>
      <c r="JC175" s="125"/>
      <c r="JD175" s="72">
        <f>SUM((TEXT(JA175,"[M]")/60)*'Income Person-hours'!$D$3,(TEXT(JB175,"[M]")/60)*'Income Person-hours'!$D$4,(TEXT(JC175,"[M]")/60)*'Income Person-hours'!$D$5)</f>
        <v>0</v>
      </c>
    </row>
    <row r="176" spans="1:264 16383:16384" s="12" customFormat="1" ht="15.75" hidden="1" x14ac:dyDescent="0.45">
      <c r="A176" s="33">
        <v>8.14</v>
      </c>
      <c r="B176" s="128"/>
      <c r="C176" s="119"/>
      <c r="D176" s="13" t="str">
        <f>IF(OR(j_WEEKDAY(J_ADDDAY(VLOOKUP(I176,A:F,6,FALSE),H176,1),0)=6,SUMIFS(Holieday[ok],Holieday[date],J_ADDDAY(VLOOKUP(I176,A:F,6,FALSE),H176,1)))=FALSE(),J_ADDDAY(VLOOKUP(I176,A:F,6,FALSE),H176,1),IF(OR(j_WEEKDAY(J_ADDDAY(VLOOKUP(I176,A:F,6,FALSE),H176+1,1),0)=6,SUMIFS(Holieday[ok],Holieday[date],J_ADDDAY(VLOOKUP(I176,A:F,6,FALSE),H176+1,1)))=FALSE(),J_ADDDAY(VLOOKUP(I176,A:F,6,FALSE),H176+1,1),IF(OR(j_WEEKDAY(J_ADDDAY(VLOOKUP(I176,A:F,6,FALSE),H176+2,1),0)=6,SUMIFS(Holieday[ok],Holieday[date],J_ADDDAY(VLOOKUP(I176,A:F,6,FALSE),H176+2,1)))=FALSE(),J_ADDDAY(VLOOKUP(I176,A:F,6,FALSE),H176+2,1),IF(OR(j_WEEKDAY(J_ADDDAY(VLOOKUP(I176,A:F,6,FALSE),H176+3,1),0)=6,SUMIFS(Holieday[ok],Holieday[date],J_ADDDAY(VLOOKUP(I176,A:F,6,FALSE),H176+3,1)))=FALSE(),J_ADDDAY(VLOOKUP(I176,A:F,6,FALSE),H176+3,1),IF(OR(j_WEEKDAY(J_ADDDAY(VLOOKUP(I176,A:F,6,FALSE),H176+4,1),0)=6,SUMIFS(Holieday[ok],Holieday[date],J_ADDDAY(VLOOKUP(I176,A:F,6,FALSE),H176+4,1)))=FALSE(),J_ADDDAY(VLOOKUP(I176,A:F,6,FALSE),H176+4,1),J_ADDDAY(VLOOKUP(I176,A:F,6,FALSE),H176+5,1))))))</f>
        <v>1398/08/25</v>
      </c>
      <c r="E176" s="2">
        <f t="shared" si="57"/>
        <v>13980825</v>
      </c>
      <c r="F176" s="13" t="str">
        <f>IF(N176=0,J_SUBDAY(D176,1,1)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0,J_SUBDAY(J_ADDDAY(D176,N176,1)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1,J_SUBDAY(J_ADDDAY(D176,N176+1,1),1,1),IF((N176-NETWORKDAYS.INTL(J_GregorianDate(D176,1),J_GregorianDate(J_SUBDAY(J_ADDDAY(D176,N176,1),1,1),1),16,1)-SUMIFS(Holieday[ok],Holieday[date],CONCATENATE("&gt;","=",D176),Holieday[date],CONCATENATE("&lt;","=",J_SUBDAY(J_ADDDAY(D176,N176,1),1,1)))+SUMIFS(Holieday[Friday],Holieday[date],CONCATENATE("&gt;","=",D176),Holieday[date],CONCATENATE("&lt;","=",J_SUBDAY(J_ADDDAY(D176,N176,1),1,1))))=2,J_SUBDAY(J_ADDDAY(D176,N176+2,1),1,1),J_SUBDAY(J_ADDDAY(D176,N176+3,1),1,1)))))</f>
        <v>1398/08/24</v>
      </c>
      <c r="G176" s="3">
        <f t="shared" si="58"/>
        <v>13980824</v>
      </c>
      <c r="H176" s="121"/>
      <c r="I176" s="122">
        <v>8.1</v>
      </c>
      <c r="J176" s="10" t="str">
        <f>j_WEEKDAY(D176,1)</f>
        <v>شنبه</v>
      </c>
      <c r="K176" s="23">
        <f t="shared" si="55"/>
        <v>0</v>
      </c>
      <c r="L176" s="9">
        <f t="shared" si="56"/>
        <v>0</v>
      </c>
      <c r="M176" s="123">
        <v>0</v>
      </c>
      <c r="N176" s="120">
        <v>0</v>
      </c>
      <c r="O176" s="11">
        <f t="shared" si="53"/>
        <v>0</v>
      </c>
      <c r="P176" s="11">
        <f>VALUE(J_normdate(J_ADDDAY($D176,$O176,1)))</f>
        <v>13980825</v>
      </c>
      <c r="Q176" s="10">
        <f t="shared" si="54"/>
        <v>0</v>
      </c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  <c r="ES176" s="8"/>
      <c r="ET176" s="8"/>
      <c r="EU176" s="8"/>
      <c r="EV176" s="8"/>
      <c r="EW176" s="8"/>
      <c r="EX176" s="8"/>
      <c r="EY176" s="8"/>
      <c r="EZ176" s="8"/>
      <c r="FA176" s="8"/>
      <c r="FB176" s="8"/>
      <c r="FC176" s="8"/>
      <c r="FD176" s="8"/>
      <c r="FE176" s="8"/>
      <c r="FF176" s="8"/>
      <c r="FG176" s="8"/>
      <c r="FH176" s="8"/>
      <c r="FI176" s="8"/>
      <c r="FJ176" s="8"/>
      <c r="FK176" s="8"/>
      <c r="FL176" s="8"/>
      <c r="FM176" s="8"/>
      <c r="FN176" s="8"/>
      <c r="FO176" s="8"/>
      <c r="FP176" s="8"/>
      <c r="FQ176" s="8"/>
      <c r="FR176" s="8"/>
      <c r="FS176" s="8"/>
      <c r="FT176" s="8"/>
      <c r="FU176" s="8"/>
      <c r="FV176" s="8"/>
      <c r="FW176" s="8"/>
      <c r="FX176" s="8"/>
      <c r="FY176" s="8"/>
      <c r="FZ176" s="8"/>
      <c r="GA176" s="8"/>
      <c r="GB176" s="8"/>
      <c r="GC176" s="8"/>
      <c r="GD176" s="8"/>
      <c r="GE176" s="8"/>
      <c r="GF176" s="8"/>
      <c r="GG176" s="8"/>
      <c r="GH176" s="8"/>
      <c r="GI176" s="8"/>
      <c r="GJ176" s="8"/>
      <c r="GK176" s="8"/>
      <c r="GL176" s="8"/>
      <c r="GM176" s="8"/>
      <c r="GN176" s="8"/>
      <c r="GO176" s="8"/>
      <c r="GP176" s="8"/>
      <c r="GQ176" s="8"/>
      <c r="GR176" s="8"/>
      <c r="GS176" s="8"/>
      <c r="GT176" s="8"/>
      <c r="GU176" s="8"/>
      <c r="GV176" s="8"/>
      <c r="GW176" s="8"/>
      <c r="GX176" s="8"/>
      <c r="GY176" s="8"/>
      <c r="GZ176" s="8"/>
      <c r="HA176" s="8"/>
      <c r="HB176" s="8"/>
      <c r="HC176" s="8"/>
      <c r="HD176" s="8"/>
      <c r="HE176" s="8"/>
      <c r="HF176" s="8"/>
      <c r="HG176" s="8"/>
      <c r="HH176" s="8"/>
      <c r="HI176" s="8"/>
      <c r="HJ176" s="8"/>
      <c r="HK176" s="8"/>
      <c r="HL176" s="8"/>
      <c r="HM176" s="8"/>
      <c r="HN176" s="8"/>
      <c r="HO176" s="8"/>
      <c r="HP176" s="8"/>
      <c r="HQ176" s="8"/>
      <c r="HR176" s="8"/>
      <c r="HS176" s="8"/>
      <c r="HT176" s="8"/>
      <c r="HU176" s="8"/>
      <c r="HV176" s="8"/>
      <c r="HW176" s="8"/>
      <c r="HX176" s="8"/>
      <c r="HY176" s="8"/>
      <c r="HZ176" s="8"/>
      <c r="IA176" s="8"/>
      <c r="IB176" s="8"/>
      <c r="IC176" s="8"/>
      <c r="ID176" s="8"/>
      <c r="IE176" s="8"/>
      <c r="IF176" s="8"/>
      <c r="IG176" s="8"/>
      <c r="IH176" s="8"/>
      <c r="II176" s="8"/>
      <c r="IJ176" s="8"/>
      <c r="IK176" s="8"/>
      <c r="IL176" s="8"/>
      <c r="IM176" s="8"/>
      <c r="IN176" s="8"/>
      <c r="IO176" s="8"/>
      <c r="IP176" s="8"/>
      <c r="IQ176" s="8"/>
      <c r="IR176" s="8"/>
      <c r="IS176" s="8"/>
      <c r="IT176" s="8"/>
      <c r="IU176" s="8"/>
      <c r="IV176" s="8"/>
      <c r="IW176" s="8"/>
      <c r="IX176" s="8"/>
      <c r="JA176" s="125"/>
      <c r="JB176" s="125"/>
      <c r="JC176" s="125"/>
      <c r="JD176" s="72">
        <f>SUM((TEXT(JA176,"[M]")/60)*'Income Person-hours'!$D$3,(TEXT(JB176,"[M]")/60)*'Income Person-hours'!$D$4,(TEXT(JC176,"[M]")/60)*'Income Person-hours'!$D$5)</f>
        <v>0</v>
      </c>
    </row>
    <row r="177" spans="1:264 16383:16384" s="12" customFormat="1" ht="15.75" hidden="1" x14ac:dyDescent="0.45">
      <c r="A177" s="33">
        <v>8.15</v>
      </c>
      <c r="B177" s="128"/>
      <c r="C177" s="119"/>
      <c r="D177" s="13" t="str">
        <f>IF(OR(j_WEEKDAY(J_ADDDAY(VLOOKUP(I177,A:F,6,FALSE),H177,1),0)=6,SUMIFS(Holieday[ok],Holieday[date],J_ADDDAY(VLOOKUP(I177,A:F,6,FALSE),H177,1)))=FALSE(),J_ADDDAY(VLOOKUP(I177,A:F,6,FALSE),H177,1),IF(OR(j_WEEKDAY(J_ADDDAY(VLOOKUP(I177,A:F,6,FALSE),H177+1,1),0)=6,SUMIFS(Holieday[ok],Holieday[date],J_ADDDAY(VLOOKUP(I177,A:F,6,FALSE),H177+1,1)))=FALSE(),J_ADDDAY(VLOOKUP(I177,A:F,6,FALSE),H177+1,1),IF(OR(j_WEEKDAY(J_ADDDAY(VLOOKUP(I177,A:F,6,FALSE),H177+2,1),0)=6,SUMIFS(Holieday[ok],Holieday[date],J_ADDDAY(VLOOKUP(I177,A:F,6,FALSE),H177+2,1)))=FALSE(),J_ADDDAY(VLOOKUP(I177,A:F,6,FALSE),H177+2,1),IF(OR(j_WEEKDAY(J_ADDDAY(VLOOKUP(I177,A:F,6,FALSE),H177+3,1),0)=6,SUMIFS(Holieday[ok],Holieday[date],J_ADDDAY(VLOOKUP(I177,A:F,6,FALSE),H177+3,1)))=FALSE(),J_ADDDAY(VLOOKUP(I177,A:F,6,FALSE),H177+3,1),IF(OR(j_WEEKDAY(J_ADDDAY(VLOOKUP(I177,A:F,6,FALSE),H177+4,1),0)=6,SUMIFS(Holieday[ok],Holieday[date],J_ADDDAY(VLOOKUP(I177,A:F,6,FALSE),H177+4,1)))=FALSE(),J_ADDDAY(VLOOKUP(I177,A:F,6,FALSE),H177+4,1),J_ADDDAY(VLOOKUP(I177,A:F,6,FALSE),H177+5,1))))))</f>
        <v>1398/08/25</v>
      </c>
      <c r="E177" s="2">
        <f t="shared" si="57"/>
        <v>13980825</v>
      </c>
      <c r="F177" s="13" t="str">
        <f>IF(N177=0,J_SUBDAY(D177,1,1)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0,J_SUBDAY(J_ADDDAY(D177,N177,1)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1,J_SUBDAY(J_ADDDAY(D177,N177+1,1),1,1),IF((N177-NETWORKDAYS.INTL(J_GregorianDate(D177,1),J_GregorianDate(J_SUBDAY(J_ADDDAY(D177,N177,1),1,1),1),16,1)-SUMIFS(Holieday[ok],Holieday[date],CONCATENATE("&gt;","=",D177),Holieday[date],CONCATENATE("&lt;","=",J_SUBDAY(J_ADDDAY(D177,N177,1),1,1)))+SUMIFS(Holieday[Friday],Holieday[date],CONCATENATE("&gt;","=",D177),Holieday[date],CONCATENATE("&lt;","=",J_SUBDAY(J_ADDDAY(D177,N177,1),1,1))))=2,J_SUBDAY(J_ADDDAY(D177,N177+2,1),1,1),J_SUBDAY(J_ADDDAY(D177,N177+3,1),1,1)))))</f>
        <v>1398/08/24</v>
      </c>
      <c r="G177" s="3">
        <f t="shared" si="58"/>
        <v>13980824</v>
      </c>
      <c r="H177" s="121"/>
      <c r="I177" s="122">
        <v>8.1</v>
      </c>
      <c r="J177" s="10" t="str">
        <f>j_WEEKDAY(D177,1)</f>
        <v>شنبه</v>
      </c>
      <c r="K177" s="23">
        <f t="shared" si="55"/>
        <v>0</v>
      </c>
      <c r="L177" s="9">
        <f t="shared" si="56"/>
        <v>0</v>
      </c>
      <c r="M177" s="123">
        <v>0</v>
      </c>
      <c r="N177" s="120">
        <v>0</v>
      </c>
      <c r="O177" s="11">
        <f t="shared" si="53"/>
        <v>0</v>
      </c>
      <c r="P177" s="11">
        <f>VALUE(J_normdate(J_ADDDAY($D177,$O177,1)))</f>
        <v>13980825</v>
      </c>
      <c r="Q177" s="10">
        <f t="shared" si="54"/>
        <v>0</v>
      </c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  <c r="ES177" s="8"/>
      <c r="ET177" s="8"/>
      <c r="EU177" s="8"/>
      <c r="EV177" s="8"/>
      <c r="EW177" s="8"/>
      <c r="EX177" s="8"/>
      <c r="EY177" s="8"/>
      <c r="EZ177" s="8"/>
      <c r="FA177" s="8"/>
      <c r="FB177" s="8"/>
      <c r="FC177" s="8"/>
      <c r="FD177" s="8"/>
      <c r="FE177" s="8"/>
      <c r="FF177" s="8"/>
      <c r="FG177" s="8"/>
      <c r="FH177" s="8"/>
      <c r="FI177" s="8"/>
      <c r="FJ177" s="8"/>
      <c r="FK177" s="8"/>
      <c r="FL177" s="8"/>
      <c r="FM177" s="8"/>
      <c r="FN177" s="8"/>
      <c r="FO177" s="8"/>
      <c r="FP177" s="8"/>
      <c r="FQ177" s="8"/>
      <c r="FR177" s="8"/>
      <c r="FS177" s="8"/>
      <c r="FT177" s="8"/>
      <c r="FU177" s="8"/>
      <c r="FV177" s="8"/>
      <c r="FW177" s="8"/>
      <c r="FX177" s="8"/>
      <c r="FY177" s="8"/>
      <c r="FZ177" s="8"/>
      <c r="GA177" s="8"/>
      <c r="GB177" s="8"/>
      <c r="GC177" s="8"/>
      <c r="GD177" s="8"/>
      <c r="GE177" s="8"/>
      <c r="GF177" s="8"/>
      <c r="GG177" s="8"/>
      <c r="GH177" s="8"/>
      <c r="GI177" s="8"/>
      <c r="GJ177" s="8"/>
      <c r="GK177" s="8"/>
      <c r="GL177" s="8"/>
      <c r="GM177" s="8"/>
      <c r="GN177" s="8"/>
      <c r="GO177" s="8"/>
      <c r="GP177" s="8"/>
      <c r="GQ177" s="8"/>
      <c r="GR177" s="8"/>
      <c r="GS177" s="8"/>
      <c r="GT177" s="8"/>
      <c r="GU177" s="8"/>
      <c r="GV177" s="8"/>
      <c r="GW177" s="8"/>
      <c r="GX177" s="8"/>
      <c r="GY177" s="8"/>
      <c r="GZ177" s="8"/>
      <c r="HA177" s="8"/>
      <c r="HB177" s="8"/>
      <c r="HC177" s="8"/>
      <c r="HD177" s="8"/>
      <c r="HE177" s="8"/>
      <c r="HF177" s="8"/>
      <c r="HG177" s="8"/>
      <c r="HH177" s="8"/>
      <c r="HI177" s="8"/>
      <c r="HJ177" s="8"/>
      <c r="HK177" s="8"/>
      <c r="HL177" s="8"/>
      <c r="HM177" s="8"/>
      <c r="HN177" s="8"/>
      <c r="HO177" s="8"/>
      <c r="HP177" s="8"/>
      <c r="HQ177" s="8"/>
      <c r="HR177" s="8"/>
      <c r="HS177" s="8"/>
      <c r="HT177" s="8"/>
      <c r="HU177" s="8"/>
      <c r="HV177" s="8"/>
      <c r="HW177" s="8"/>
      <c r="HX177" s="8"/>
      <c r="HY177" s="8"/>
      <c r="HZ177" s="8"/>
      <c r="IA177" s="8"/>
      <c r="IB177" s="8"/>
      <c r="IC177" s="8"/>
      <c r="ID177" s="8"/>
      <c r="IE177" s="8"/>
      <c r="IF177" s="8"/>
      <c r="IG177" s="8"/>
      <c r="IH177" s="8"/>
      <c r="II177" s="8"/>
      <c r="IJ177" s="8"/>
      <c r="IK177" s="8"/>
      <c r="IL177" s="8"/>
      <c r="IM177" s="8"/>
      <c r="IN177" s="8"/>
      <c r="IO177" s="8"/>
      <c r="IP177" s="8"/>
      <c r="IQ177" s="8"/>
      <c r="IR177" s="8"/>
      <c r="IS177" s="8"/>
      <c r="IT177" s="8"/>
      <c r="IU177" s="8"/>
      <c r="IV177" s="8"/>
      <c r="IW177" s="8"/>
      <c r="IX177" s="8"/>
      <c r="JA177" s="125"/>
      <c r="JB177" s="125"/>
      <c r="JC177" s="125"/>
      <c r="JD177" s="72">
        <f>SUM((TEXT(JA177,"[M]")/60)*'Income Person-hours'!$D$3,(TEXT(JB177,"[M]")/60)*'Income Person-hours'!$D$4,(TEXT(JC177,"[M]")/60)*'Income Person-hours'!$D$5)</f>
        <v>0</v>
      </c>
    </row>
    <row r="178" spans="1:264 16383:16384" s="12" customFormat="1" ht="15.75" hidden="1" x14ac:dyDescent="0.45">
      <c r="A178" s="33">
        <v>8.16</v>
      </c>
      <c r="B178" s="128"/>
      <c r="C178" s="119"/>
      <c r="D178" s="13" t="str">
        <f>IF(OR(j_WEEKDAY(J_ADDDAY(VLOOKUP(I178,A:F,6,FALSE),H178,1),0)=6,SUMIFS(Holieday[ok],Holieday[date],J_ADDDAY(VLOOKUP(I178,A:F,6,FALSE),H178,1)))=FALSE(),J_ADDDAY(VLOOKUP(I178,A:F,6,FALSE),H178,1),IF(OR(j_WEEKDAY(J_ADDDAY(VLOOKUP(I178,A:F,6,FALSE),H178+1,1),0)=6,SUMIFS(Holieday[ok],Holieday[date],J_ADDDAY(VLOOKUP(I178,A:F,6,FALSE),H178+1,1)))=FALSE(),J_ADDDAY(VLOOKUP(I178,A:F,6,FALSE),H178+1,1),IF(OR(j_WEEKDAY(J_ADDDAY(VLOOKUP(I178,A:F,6,FALSE),H178+2,1),0)=6,SUMIFS(Holieday[ok],Holieday[date],J_ADDDAY(VLOOKUP(I178,A:F,6,FALSE),H178+2,1)))=FALSE(),J_ADDDAY(VLOOKUP(I178,A:F,6,FALSE),H178+2,1),IF(OR(j_WEEKDAY(J_ADDDAY(VLOOKUP(I178,A:F,6,FALSE),H178+3,1),0)=6,SUMIFS(Holieday[ok],Holieday[date],J_ADDDAY(VLOOKUP(I178,A:F,6,FALSE),H178+3,1)))=FALSE(),J_ADDDAY(VLOOKUP(I178,A:F,6,FALSE),H178+3,1),IF(OR(j_WEEKDAY(J_ADDDAY(VLOOKUP(I178,A:F,6,FALSE),H178+4,1),0)=6,SUMIFS(Holieday[ok],Holieday[date],J_ADDDAY(VLOOKUP(I178,A:F,6,FALSE),H178+4,1)))=FALSE(),J_ADDDAY(VLOOKUP(I178,A:F,6,FALSE),H178+4,1),J_ADDDAY(VLOOKUP(I178,A:F,6,FALSE),H178+5,1))))))</f>
        <v>1398/08/25</v>
      </c>
      <c r="E178" s="2">
        <f t="shared" si="57"/>
        <v>13980825</v>
      </c>
      <c r="F178" s="13" t="str">
        <f>IF(N178=0,J_SUBDAY(D178,1,1)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0,J_SUBDAY(J_ADDDAY(D178,N178,1)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1,J_SUBDAY(J_ADDDAY(D178,N178+1,1),1,1),IF((N178-NETWORKDAYS.INTL(J_GregorianDate(D178,1),J_GregorianDate(J_SUBDAY(J_ADDDAY(D178,N178,1),1,1),1),16,1)-SUMIFS(Holieday[ok],Holieday[date],CONCATENATE("&gt;","=",D178),Holieday[date],CONCATENATE("&lt;","=",J_SUBDAY(J_ADDDAY(D178,N178,1),1,1)))+SUMIFS(Holieday[Friday],Holieday[date],CONCATENATE("&gt;","=",D178),Holieday[date],CONCATENATE("&lt;","=",J_SUBDAY(J_ADDDAY(D178,N178,1),1,1))))=2,J_SUBDAY(J_ADDDAY(D178,N178+2,1),1,1),J_SUBDAY(J_ADDDAY(D178,N178+3,1),1,1)))))</f>
        <v>1398/08/24</v>
      </c>
      <c r="G178" s="3">
        <f t="shared" si="58"/>
        <v>13980824</v>
      </c>
      <c r="H178" s="121"/>
      <c r="I178" s="122">
        <v>8.1</v>
      </c>
      <c r="J178" s="10" t="str">
        <f>j_WEEKDAY(D178,1)</f>
        <v>شنبه</v>
      </c>
      <c r="K178" s="23">
        <f t="shared" si="55"/>
        <v>0</v>
      </c>
      <c r="L178" s="9">
        <f t="shared" si="56"/>
        <v>0</v>
      </c>
      <c r="M178" s="123">
        <v>0</v>
      </c>
      <c r="N178" s="120">
        <v>0</v>
      </c>
      <c r="O178" s="11">
        <f t="shared" si="53"/>
        <v>0</v>
      </c>
      <c r="P178" s="11">
        <f>VALUE(J_normdate(J_ADDDAY($D178,$O178,1)))</f>
        <v>13980825</v>
      </c>
      <c r="Q178" s="10">
        <f t="shared" si="54"/>
        <v>0</v>
      </c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  <c r="ES178" s="8"/>
      <c r="ET178" s="8"/>
      <c r="EU178" s="8"/>
      <c r="EV178" s="8"/>
      <c r="EW178" s="8"/>
      <c r="EX178" s="8"/>
      <c r="EY178" s="8"/>
      <c r="EZ178" s="8"/>
      <c r="FA178" s="8"/>
      <c r="FB178" s="8"/>
      <c r="FC178" s="8"/>
      <c r="FD178" s="8"/>
      <c r="FE178" s="8"/>
      <c r="FF178" s="8"/>
      <c r="FG178" s="8"/>
      <c r="FH178" s="8"/>
      <c r="FI178" s="8"/>
      <c r="FJ178" s="8"/>
      <c r="FK178" s="8"/>
      <c r="FL178" s="8"/>
      <c r="FM178" s="8"/>
      <c r="FN178" s="8"/>
      <c r="FO178" s="8"/>
      <c r="FP178" s="8"/>
      <c r="FQ178" s="8"/>
      <c r="FR178" s="8"/>
      <c r="FS178" s="8"/>
      <c r="FT178" s="8"/>
      <c r="FU178" s="8"/>
      <c r="FV178" s="8"/>
      <c r="FW178" s="8"/>
      <c r="FX178" s="8"/>
      <c r="FY178" s="8"/>
      <c r="FZ178" s="8"/>
      <c r="GA178" s="8"/>
      <c r="GB178" s="8"/>
      <c r="GC178" s="8"/>
      <c r="GD178" s="8"/>
      <c r="GE178" s="8"/>
      <c r="GF178" s="8"/>
      <c r="GG178" s="8"/>
      <c r="GH178" s="8"/>
      <c r="GI178" s="8"/>
      <c r="GJ178" s="8"/>
      <c r="GK178" s="8"/>
      <c r="GL178" s="8"/>
      <c r="GM178" s="8"/>
      <c r="GN178" s="8"/>
      <c r="GO178" s="8"/>
      <c r="GP178" s="8"/>
      <c r="GQ178" s="8"/>
      <c r="GR178" s="8"/>
      <c r="GS178" s="8"/>
      <c r="GT178" s="8"/>
      <c r="GU178" s="8"/>
      <c r="GV178" s="8"/>
      <c r="GW178" s="8"/>
      <c r="GX178" s="8"/>
      <c r="GY178" s="8"/>
      <c r="GZ178" s="8"/>
      <c r="HA178" s="8"/>
      <c r="HB178" s="8"/>
      <c r="HC178" s="8"/>
      <c r="HD178" s="8"/>
      <c r="HE178" s="8"/>
      <c r="HF178" s="8"/>
      <c r="HG178" s="8"/>
      <c r="HH178" s="8"/>
      <c r="HI178" s="8"/>
      <c r="HJ178" s="8"/>
      <c r="HK178" s="8"/>
      <c r="HL178" s="8"/>
      <c r="HM178" s="8"/>
      <c r="HN178" s="8"/>
      <c r="HO178" s="8"/>
      <c r="HP178" s="8"/>
      <c r="HQ178" s="8"/>
      <c r="HR178" s="8"/>
      <c r="HS178" s="8"/>
      <c r="HT178" s="8"/>
      <c r="HU178" s="8"/>
      <c r="HV178" s="8"/>
      <c r="HW178" s="8"/>
      <c r="HX178" s="8"/>
      <c r="HY178" s="8"/>
      <c r="HZ178" s="8"/>
      <c r="IA178" s="8"/>
      <c r="IB178" s="8"/>
      <c r="IC178" s="8"/>
      <c r="ID178" s="8"/>
      <c r="IE178" s="8"/>
      <c r="IF178" s="8"/>
      <c r="IG178" s="8"/>
      <c r="IH178" s="8"/>
      <c r="II178" s="8"/>
      <c r="IJ178" s="8"/>
      <c r="IK178" s="8"/>
      <c r="IL178" s="8"/>
      <c r="IM178" s="8"/>
      <c r="IN178" s="8"/>
      <c r="IO178" s="8"/>
      <c r="IP178" s="8"/>
      <c r="IQ178" s="8"/>
      <c r="IR178" s="8"/>
      <c r="IS178" s="8"/>
      <c r="IT178" s="8"/>
      <c r="IU178" s="8"/>
      <c r="IV178" s="8"/>
      <c r="IW178" s="8"/>
      <c r="IX178" s="8"/>
      <c r="JA178" s="125"/>
      <c r="JB178" s="125"/>
      <c r="JC178" s="125"/>
      <c r="JD178" s="72">
        <f>SUM((TEXT(JA178,"[M]")/60)*'Income Person-hours'!$D$3,(TEXT(JB178,"[M]")/60)*'Income Person-hours'!$D$4,(TEXT(JC178,"[M]")/60)*'Income Person-hours'!$D$5)</f>
        <v>0</v>
      </c>
    </row>
    <row r="179" spans="1:264 16383:16384" s="12" customFormat="1" ht="15.75" hidden="1" x14ac:dyDescent="0.45">
      <c r="A179" s="33">
        <v>8.17</v>
      </c>
      <c r="B179" s="128"/>
      <c r="C179" s="119"/>
      <c r="D179" s="13" t="str">
        <f>IF(OR(j_WEEKDAY(J_ADDDAY(VLOOKUP(I179,A:F,6,FALSE),H179,1),0)=6,SUMIFS(Holieday[ok],Holieday[date],J_ADDDAY(VLOOKUP(I179,A:F,6,FALSE),H179,1)))=FALSE(),J_ADDDAY(VLOOKUP(I179,A:F,6,FALSE),H179,1),IF(OR(j_WEEKDAY(J_ADDDAY(VLOOKUP(I179,A:F,6,FALSE),H179+1,1),0)=6,SUMIFS(Holieday[ok],Holieday[date],J_ADDDAY(VLOOKUP(I179,A:F,6,FALSE),H179+1,1)))=FALSE(),J_ADDDAY(VLOOKUP(I179,A:F,6,FALSE),H179+1,1),IF(OR(j_WEEKDAY(J_ADDDAY(VLOOKUP(I179,A:F,6,FALSE),H179+2,1),0)=6,SUMIFS(Holieday[ok],Holieday[date],J_ADDDAY(VLOOKUP(I179,A:F,6,FALSE),H179+2,1)))=FALSE(),J_ADDDAY(VLOOKUP(I179,A:F,6,FALSE),H179+2,1),IF(OR(j_WEEKDAY(J_ADDDAY(VLOOKUP(I179,A:F,6,FALSE),H179+3,1),0)=6,SUMIFS(Holieday[ok],Holieday[date],J_ADDDAY(VLOOKUP(I179,A:F,6,FALSE),H179+3,1)))=FALSE(),J_ADDDAY(VLOOKUP(I179,A:F,6,FALSE),H179+3,1),IF(OR(j_WEEKDAY(J_ADDDAY(VLOOKUP(I179,A:F,6,FALSE),H179+4,1),0)=6,SUMIFS(Holieday[ok],Holieday[date],J_ADDDAY(VLOOKUP(I179,A:F,6,FALSE),H179+4,1)))=FALSE(),J_ADDDAY(VLOOKUP(I179,A:F,6,FALSE),H179+4,1),J_ADDDAY(VLOOKUP(I179,A:F,6,FALSE),H179+5,1))))))</f>
        <v>1398/08/25</v>
      </c>
      <c r="E179" s="2">
        <f t="shared" si="57"/>
        <v>13980825</v>
      </c>
      <c r="F179" s="13" t="str">
        <f>IF(N179=0,J_SUBDAY(D179,1,1)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0,J_SUBDAY(J_ADDDAY(D179,N179,1)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1,J_SUBDAY(J_ADDDAY(D179,N179+1,1),1,1),IF((N179-NETWORKDAYS.INTL(J_GregorianDate(D179,1),J_GregorianDate(J_SUBDAY(J_ADDDAY(D179,N179,1),1,1),1),16,1)-SUMIFS(Holieday[ok],Holieday[date],CONCATENATE("&gt;","=",D179),Holieday[date],CONCATENATE("&lt;","=",J_SUBDAY(J_ADDDAY(D179,N179,1),1,1)))+SUMIFS(Holieday[Friday],Holieday[date],CONCATENATE("&gt;","=",D179),Holieday[date],CONCATENATE("&lt;","=",J_SUBDAY(J_ADDDAY(D179,N179,1),1,1))))=2,J_SUBDAY(J_ADDDAY(D179,N179+2,1),1,1),J_SUBDAY(J_ADDDAY(D179,N179+3,1),1,1)))))</f>
        <v>1398/08/24</v>
      </c>
      <c r="G179" s="3">
        <f t="shared" si="58"/>
        <v>13980824</v>
      </c>
      <c r="H179" s="121"/>
      <c r="I179" s="122">
        <v>8.1</v>
      </c>
      <c r="J179" s="10" t="str">
        <f>j_WEEKDAY(D179,1)</f>
        <v>شنبه</v>
      </c>
      <c r="K179" s="23">
        <f t="shared" si="55"/>
        <v>0</v>
      </c>
      <c r="L179" s="9">
        <f t="shared" si="56"/>
        <v>0</v>
      </c>
      <c r="M179" s="123">
        <v>0</v>
      </c>
      <c r="N179" s="120">
        <v>0</v>
      </c>
      <c r="O179" s="11">
        <f t="shared" si="53"/>
        <v>0</v>
      </c>
      <c r="P179" s="11">
        <f>VALUE(J_normdate(J_ADDDAY($D179,$O179,1)))</f>
        <v>13980825</v>
      </c>
      <c r="Q179" s="10">
        <f t="shared" si="54"/>
        <v>0</v>
      </c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  <c r="ES179" s="8"/>
      <c r="ET179" s="8"/>
      <c r="EU179" s="8"/>
      <c r="EV179" s="8"/>
      <c r="EW179" s="8"/>
      <c r="EX179" s="8"/>
      <c r="EY179" s="8"/>
      <c r="EZ179" s="8"/>
      <c r="FA179" s="8"/>
      <c r="FB179" s="8"/>
      <c r="FC179" s="8"/>
      <c r="FD179" s="8"/>
      <c r="FE179" s="8"/>
      <c r="FF179" s="8"/>
      <c r="FG179" s="8"/>
      <c r="FH179" s="8"/>
      <c r="FI179" s="8"/>
      <c r="FJ179" s="8"/>
      <c r="FK179" s="8"/>
      <c r="FL179" s="8"/>
      <c r="FM179" s="8"/>
      <c r="FN179" s="8"/>
      <c r="FO179" s="8"/>
      <c r="FP179" s="8"/>
      <c r="FQ179" s="8"/>
      <c r="FR179" s="8"/>
      <c r="FS179" s="8"/>
      <c r="FT179" s="8"/>
      <c r="FU179" s="8"/>
      <c r="FV179" s="8"/>
      <c r="FW179" s="8"/>
      <c r="FX179" s="8"/>
      <c r="FY179" s="8"/>
      <c r="FZ179" s="8"/>
      <c r="GA179" s="8"/>
      <c r="GB179" s="8"/>
      <c r="GC179" s="8"/>
      <c r="GD179" s="8"/>
      <c r="GE179" s="8"/>
      <c r="GF179" s="8"/>
      <c r="GG179" s="8"/>
      <c r="GH179" s="8"/>
      <c r="GI179" s="8"/>
      <c r="GJ179" s="8"/>
      <c r="GK179" s="8"/>
      <c r="GL179" s="8"/>
      <c r="GM179" s="8"/>
      <c r="GN179" s="8"/>
      <c r="GO179" s="8"/>
      <c r="GP179" s="8"/>
      <c r="GQ179" s="8"/>
      <c r="GR179" s="8"/>
      <c r="GS179" s="8"/>
      <c r="GT179" s="8"/>
      <c r="GU179" s="8"/>
      <c r="GV179" s="8"/>
      <c r="GW179" s="8"/>
      <c r="GX179" s="8"/>
      <c r="GY179" s="8"/>
      <c r="GZ179" s="8"/>
      <c r="HA179" s="8"/>
      <c r="HB179" s="8"/>
      <c r="HC179" s="8"/>
      <c r="HD179" s="8"/>
      <c r="HE179" s="8"/>
      <c r="HF179" s="8"/>
      <c r="HG179" s="8"/>
      <c r="HH179" s="8"/>
      <c r="HI179" s="8"/>
      <c r="HJ179" s="8"/>
      <c r="HK179" s="8"/>
      <c r="HL179" s="8"/>
      <c r="HM179" s="8"/>
      <c r="HN179" s="8"/>
      <c r="HO179" s="8"/>
      <c r="HP179" s="8"/>
      <c r="HQ179" s="8"/>
      <c r="HR179" s="8"/>
      <c r="HS179" s="8"/>
      <c r="HT179" s="8"/>
      <c r="HU179" s="8"/>
      <c r="HV179" s="8"/>
      <c r="HW179" s="8"/>
      <c r="HX179" s="8"/>
      <c r="HY179" s="8"/>
      <c r="HZ179" s="8"/>
      <c r="IA179" s="8"/>
      <c r="IB179" s="8"/>
      <c r="IC179" s="8"/>
      <c r="ID179" s="8"/>
      <c r="IE179" s="8"/>
      <c r="IF179" s="8"/>
      <c r="IG179" s="8"/>
      <c r="IH179" s="8"/>
      <c r="II179" s="8"/>
      <c r="IJ179" s="8"/>
      <c r="IK179" s="8"/>
      <c r="IL179" s="8"/>
      <c r="IM179" s="8"/>
      <c r="IN179" s="8"/>
      <c r="IO179" s="8"/>
      <c r="IP179" s="8"/>
      <c r="IQ179" s="8"/>
      <c r="IR179" s="8"/>
      <c r="IS179" s="8"/>
      <c r="IT179" s="8"/>
      <c r="IU179" s="8"/>
      <c r="IV179" s="8"/>
      <c r="IW179" s="8"/>
      <c r="IX179" s="8"/>
      <c r="JA179" s="125"/>
      <c r="JB179" s="125"/>
      <c r="JC179" s="125"/>
      <c r="JD179" s="72">
        <f>SUM((TEXT(JA179,"[M]")/60)*'Income Person-hours'!$D$3,(TEXT(JB179,"[M]")/60)*'Income Person-hours'!$D$4,(TEXT(JC179,"[M]")/60)*'Income Person-hours'!$D$5)</f>
        <v>0</v>
      </c>
    </row>
    <row r="180" spans="1:264 16383:16384" s="12" customFormat="1" ht="15.75" hidden="1" x14ac:dyDescent="0.45">
      <c r="A180" s="33">
        <v>8.18</v>
      </c>
      <c r="B180" s="128"/>
      <c r="C180" s="119"/>
      <c r="D180" s="13" t="str">
        <f>IF(OR(j_WEEKDAY(J_ADDDAY(VLOOKUP(I180,A:F,6,FALSE),H180,1),0)=6,SUMIFS(Holieday[ok],Holieday[date],J_ADDDAY(VLOOKUP(I180,A:F,6,FALSE),H180,1)))=FALSE(),J_ADDDAY(VLOOKUP(I180,A:F,6,FALSE),H180,1),IF(OR(j_WEEKDAY(J_ADDDAY(VLOOKUP(I180,A:F,6,FALSE),H180+1,1),0)=6,SUMIFS(Holieday[ok],Holieday[date],J_ADDDAY(VLOOKUP(I180,A:F,6,FALSE),H180+1,1)))=FALSE(),J_ADDDAY(VLOOKUP(I180,A:F,6,FALSE),H180+1,1),IF(OR(j_WEEKDAY(J_ADDDAY(VLOOKUP(I180,A:F,6,FALSE),H180+2,1),0)=6,SUMIFS(Holieday[ok],Holieday[date],J_ADDDAY(VLOOKUP(I180,A:F,6,FALSE),H180+2,1)))=FALSE(),J_ADDDAY(VLOOKUP(I180,A:F,6,FALSE),H180+2,1),IF(OR(j_WEEKDAY(J_ADDDAY(VLOOKUP(I180,A:F,6,FALSE),H180+3,1),0)=6,SUMIFS(Holieday[ok],Holieday[date],J_ADDDAY(VLOOKUP(I180,A:F,6,FALSE),H180+3,1)))=FALSE(),J_ADDDAY(VLOOKUP(I180,A:F,6,FALSE),H180+3,1),IF(OR(j_WEEKDAY(J_ADDDAY(VLOOKUP(I180,A:F,6,FALSE),H180+4,1),0)=6,SUMIFS(Holieday[ok],Holieday[date],J_ADDDAY(VLOOKUP(I180,A:F,6,FALSE),H180+4,1)))=FALSE(),J_ADDDAY(VLOOKUP(I180,A:F,6,FALSE),H180+4,1),J_ADDDAY(VLOOKUP(I180,A:F,6,FALSE),H180+5,1))))))</f>
        <v>1398/08/25</v>
      </c>
      <c r="E180" s="2">
        <f t="shared" si="57"/>
        <v>13980825</v>
      </c>
      <c r="F180" s="13" t="str">
        <f>IF(N180=0,J_SUBDAY(D180,1,1)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0,J_SUBDAY(J_ADDDAY(D180,N180,1)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1,J_SUBDAY(J_ADDDAY(D180,N180+1,1),1,1),IF((N180-NETWORKDAYS.INTL(J_GregorianDate(D180,1),J_GregorianDate(J_SUBDAY(J_ADDDAY(D180,N180,1),1,1),1),16,1)-SUMIFS(Holieday[ok],Holieday[date],CONCATENATE("&gt;","=",D180),Holieday[date],CONCATENATE("&lt;","=",J_SUBDAY(J_ADDDAY(D180,N180,1),1,1)))+SUMIFS(Holieday[Friday],Holieday[date],CONCATENATE("&gt;","=",D180),Holieday[date],CONCATENATE("&lt;","=",J_SUBDAY(J_ADDDAY(D180,N180,1),1,1))))=2,J_SUBDAY(J_ADDDAY(D180,N180+2,1),1,1),J_SUBDAY(J_ADDDAY(D180,N180+3,1),1,1)))))</f>
        <v>1398/08/24</v>
      </c>
      <c r="G180" s="3">
        <f t="shared" si="58"/>
        <v>13980824</v>
      </c>
      <c r="H180" s="121"/>
      <c r="I180" s="122">
        <v>8.1</v>
      </c>
      <c r="J180" s="10" t="str">
        <f>j_WEEKDAY(D180,1)</f>
        <v>شنبه</v>
      </c>
      <c r="K180" s="23">
        <f t="shared" si="55"/>
        <v>0</v>
      </c>
      <c r="L180" s="9">
        <f t="shared" si="56"/>
        <v>0</v>
      </c>
      <c r="M180" s="123">
        <v>0</v>
      </c>
      <c r="N180" s="120">
        <v>0</v>
      </c>
      <c r="O180" s="11">
        <f t="shared" si="53"/>
        <v>0</v>
      </c>
      <c r="P180" s="11">
        <f>VALUE(J_normdate(J_ADDDAY($D180,$O180,1)))</f>
        <v>13980825</v>
      </c>
      <c r="Q180" s="10">
        <f t="shared" si="54"/>
        <v>0</v>
      </c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  <c r="ES180" s="8"/>
      <c r="ET180" s="8"/>
      <c r="EU180" s="8"/>
      <c r="EV180" s="8"/>
      <c r="EW180" s="8"/>
      <c r="EX180" s="8"/>
      <c r="EY180" s="8"/>
      <c r="EZ180" s="8"/>
      <c r="FA180" s="8"/>
      <c r="FB180" s="8"/>
      <c r="FC180" s="8"/>
      <c r="FD180" s="8"/>
      <c r="FE180" s="8"/>
      <c r="FF180" s="8"/>
      <c r="FG180" s="8"/>
      <c r="FH180" s="8"/>
      <c r="FI180" s="8"/>
      <c r="FJ180" s="8"/>
      <c r="FK180" s="8"/>
      <c r="FL180" s="8"/>
      <c r="FM180" s="8"/>
      <c r="FN180" s="8"/>
      <c r="FO180" s="8"/>
      <c r="FP180" s="8"/>
      <c r="FQ180" s="8"/>
      <c r="FR180" s="8"/>
      <c r="FS180" s="8"/>
      <c r="FT180" s="8"/>
      <c r="FU180" s="8"/>
      <c r="FV180" s="8"/>
      <c r="FW180" s="8"/>
      <c r="FX180" s="8"/>
      <c r="FY180" s="8"/>
      <c r="FZ180" s="8"/>
      <c r="GA180" s="8"/>
      <c r="GB180" s="8"/>
      <c r="GC180" s="8"/>
      <c r="GD180" s="8"/>
      <c r="GE180" s="8"/>
      <c r="GF180" s="8"/>
      <c r="GG180" s="8"/>
      <c r="GH180" s="8"/>
      <c r="GI180" s="8"/>
      <c r="GJ180" s="8"/>
      <c r="GK180" s="8"/>
      <c r="GL180" s="8"/>
      <c r="GM180" s="8"/>
      <c r="GN180" s="8"/>
      <c r="GO180" s="8"/>
      <c r="GP180" s="8"/>
      <c r="GQ180" s="8"/>
      <c r="GR180" s="8"/>
      <c r="GS180" s="8"/>
      <c r="GT180" s="8"/>
      <c r="GU180" s="8"/>
      <c r="GV180" s="8"/>
      <c r="GW180" s="8"/>
      <c r="GX180" s="8"/>
      <c r="GY180" s="8"/>
      <c r="GZ180" s="8"/>
      <c r="HA180" s="8"/>
      <c r="HB180" s="8"/>
      <c r="HC180" s="8"/>
      <c r="HD180" s="8"/>
      <c r="HE180" s="8"/>
      <c r="HF180" s="8"/>
      <c r="HG180" s="8"/>
      <c r="HH180" s="8"/>
      <c r="HI180" s="8"/>
      <c r="HJ180" s="8"/>
      <c r="HK180" s="8"/>
      <c r="HL180" s="8"/>
      <c r="HM180" s="8"/>
      <c r="HN180" s="8"/>
      <c r="HO180" s="8"/>
      <c r="HP180" s="8"/>
      <c r="HQ180" s="8"/>
      <c r="HR180" s="8"/>
      <c r="HS180" s="8"/>
      <c r="HT180" s="8"/>
      <c r="HU180" s="8"/>
      <c r="HV180" s="8"/>
      <c r="HW180" s="8"/>
      <c r="HX180" s="8"/>
      <c r="HY180" s="8"/>
      <c r="HZ180" s="8"/>
      <c r="IA180" s="8"/>
      <c r="IB180" s="8"/>
      <c r="IC180" s="8"/>
      <c r="ID180" s="8"/>
      <c r="IE180" s="8"/>
      <c r="IF180" s="8"/>
      <c r="IG180" s="8"/>
      <c r="IH180" s="8"/>
      <c r="II180" s="8"/>
      <c r="IJ180" s="8"/>
      <c r="IK180" s="8"/>
      <c r="IL180" s="8"/>
      <c r="IM180" s="8"/>
      <c r="IN180" s="8"/>
      <c r="IO180" s="8"/>
      <c r="IP180" s="8"/>
      <c r="IQ180" s="8"/>
      <c r="IR180" s="8"/>
      <c r="IS180" s="8"/>
      <c r="IT180" s="8"/>
      <c r="IU180" s="8"/>
      <c r="IV180" s="8"/>
      <c r="IW180" s="8"/>
      <c r="IX180" s="8"/>
      <c r="JA180" s="125"/>
      <c r="JB180" s="125"/>
      <c r="JC180" s="125"/>
      <c r="JD180" s="72">
        <f>SUM((TEXT(JA180,"[M]")/60)*'Income Person-hours'!$D$3,(TEXT(JB180,"[M]")/60)*'Income Person-hours'!$D$4,(TEXT(JC180,"[M]")/60)*'Income Person-hours'!$D$5)</f>
        <v>0</v>
      </c>
    </row>
    <row r="181" spans="1:264 16383:16384" s="12" customFormat="1" ht="15.75" hidden="1" x14ac:dyDescent="0.45">
      <c r="A181" s="33">
        <v>8.19</v>
      </c>
      <c r="B181" s="128"/>
      <c r="C181" s="119"/>
      <c r="D181" s="13" t="str">
        <f>IF(OR(j_WEEKDAY(J_ADDDAY(VLOOKUP(I181,A:F,6,FALSE),H181,1),0)=6,SUMIFS(Holieday[ok],Holieday[date],J_ADDDAY(VLOOKUP(I181,A:F,6,FALSE),H181,1)))=FALSE(),J_ADDDAY(VLOOKUP(I181,A:F,6,FALSE),H181,1),IF(OR(j_WEEKDAY(J_ADDDAY(VLOOKUP(I181,A:F,6,FALSE),H181+1,1),0)=6,SUMIFS(Holieday[ok],Holieday[date],J_ADDDAY(VLOOKUP(I181,A:F,6,FALSE),H181+1,1)))=FALSE(),J_ADDDAY(VLOOKUP(I181,A:F,6,FALSE),H181+1,1),IF(OR(j_WEEKDAY(J_ADDDAY(VLOOKUP(I181,A:F,6,FALSE),H181+2,1),0)=6,SUMIFS(Holieday[ok],Holieday[date],J_ADDDAY(VLOOKUP(I181,A:F,6,FALSE),H181+2,1)))=FALSE(),J_ADDDAY(VLOOKUP(I181,A:F,6,FALSE),H181+2,1),IF(OR(j_WEEKDAY(J_ADDDAY(VLOOKUP(I181,A:F,6,FALSE),H181+3,1),0)=6,SUMIFS(Holieday[ok],Holieday[date],J_ADDDAY(VLOOKUP(I181,A:F,6,FALSE),H181+3,1)))=FALSE(),J_ADDDAY(VLOOKUP(I181,A:F,6,FALSE),H181+3,1),IF(OR(j_WEEKDAY(J_ADDDAY(VLOOKUP(I181,A:F,6,FALSE),H181+4,1),0)=6,SUMIFS(Holieday[ok],Holieday[date],J_ADDDAY(VLOOKUP(I181,A:F,6,FALSE),H181+4,1)))=FALSE(),J_ADDDAY(VLOOKUP(I181,A:F,6,FALSE),H181+4,1),J_ADDDAY(VLOOKUP(I181,A:F,6,FALSE),H181+5,1))))))</f>
        <v>1398/08/25</v>
      </c>
      <c r="E181" s="2">
        <f t="shared" si="57"/>
        <v>13980825</v>
      </c>
      <c r="F181" s="13" t="str">
        <f>IF(N181=0,J_SUBDAY(D181,1,1)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0,J_SUBDAY(J_ADDDAY(D181,N181,1)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1,J_SUBDAY(J_ADDDAY(D181,N181+1,1),1,1),IF((N181-NETWORKDAYS.INTL(J_GregorianDate(D181,1),J_GregorianDate(J_SUBDAY(J_ADDDAY(D181,N181,1),1,1),1),16,1)-SUMIFS(Holieday[ok],Holieday[date],CONCATENATE("&gt;","=",D181),Holieday[date],CONCATENATE("&lt;","=",J_SUBDAY(J_ADDDAY(D181,N181,1),1,1)))+SUMIFS(Holieday[Friday],Holieday[date],CONCATENATE("&gt;","=",D181),Holieday[date],CONCATENATE("&lt;","=",J_SUBDAY(J_ADDDAY(D181,N181,1),1,1))))=2,J_SUBDAY(J_ADDDAY(D181,N181+2,1),1,1),J_SUBDAY(J_ADDDAY(D181,N181+3,1),1,1)))))</f>
        <v>1398/08/24</v>
      </c>
      <c r="G181" s="3">
        <f t="shared" si="58"/>
        <v>13980824</v>
      </c>
      <c r="H181" s="121"/>
      <c r="I181" s="122">
        <v>8.1</v>
      </c>
      <c r="J181" s="10" t="str">
        <f>j_WEEKDAY(D181,1)</f>
        <v>شنبه</v>
      </c>
      <c r="K181" s="23">
        <f t="shared" si="55"/>
        <v>0</v>
      </c>
      <c r="L181" s="9">
        <f t="shared" si="56"/>
        <v>0</v>
      </c>
      <c r="M181" s="123">
        <v>0</v>
      </c>
      <c r="N181" s="120">
        <v>0</v>
      </c>
      <c r="O181" s="11">
        <f t="shared" si="53"/>
        <v>0</v>
      </c>
      <c r="P181" s="11">
        <f>VALUE(J_normdate(J_ADDDAY($D181,$O181,1)))</f>
        <v>13980825</v>
      </c>
      <c r="Q181" s="10">
        <f t="shared" si="54"/>
        <v>0</v>
      </c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  <c r="ES181" s="8"/>
      <c r="ET181" s="8"/>
      <c r="EU181" s="8"/>
      <c r="EV181" s="8"/>
      <c r="EW181" s="8"/>
      <c r="EX181" s="8"/>
      <c r="EY181" s="8"/>
      <c r="EZ181" s="8"/>
      <c r="FA181" s="8"/>
      <c r="FB181" s="8"/>
      <c r="FC181" s="8"/>
      <c r="FD181" s="8"/>
      <c r="FE181" s="8"/>
      <c r="FF181" s="8"/>
      <c r="FG181" s="8"/>
      <c r="FH181" s="8"/>
      <c r="FI181" s="8"/>
      <c r="FJ181" s="8"/>
      <c r="FK181" s="8"/>
      <c r="FL181" s="8"/>
      <c r="FM181" s="8"/>
      <c r="FN181" s="8"/>
      <c r="FO181" s="8"/>
      <c r="FP181" s="8"/>
      <c r="FQ181" s="8"/>
      <c r="FR181" s="8"/>
      <c r="FS181" s="8"/>
      <c r="FT181" s="8"/>
      <c r="FU181" s="8"/>
      <c r="FV181" s="8"/>
      <c r="FW181" s="8"/>
      <c r="FX181" s="8"/>
      <c r="FY181" s="8"/>
      <c r="FZ181" s="8"/>
      <c r="GA181" s="8"/>
      <c r="GB181" s="8"/>
      <c r="GC181" s="8"/>
      <c r="GD181" s="8"/>
      <c r="GE181" s="8"/>
      <c r="GF181" s="8"/>
      <c r="GG181" s="8"/>
      <c r="GH181" s="8"/>
      <c r="GI181" s="8"/>
      <c r="GJ181" s="8"/>
      <c r="GK181" s="8"/>
      <c r="GL181" s="8"/>
      <c r="GM181" s="8"/>
      <c r="GN181" s="8"/>
      <c r="GO181" s="8"/>
      <c r="GP181" s="8"/>
      <c r="GQ181" s="8"/>
      <c r="GR181" s="8"/>
      <c r="GS181" s="8"/>
      <c r="GT181" s="8"/>
      <c r="GU181" s="8"/>
      <c r="GV181" s="8"/>
      <c r="GW181" s="8"/>
      <c r="GX181" s="8"/>
      <c r="GY181" s="8"/>
      <c r="GZ181" s="8"/>
      <c r="HA181" s="8"/>
      <c r="HB181" s="8"/>
      <c r="HC181" s="8"/>
      <c r="HD181" s="8"/>
      <c r="HE181" s="8"/>
      <c r="HF181" s="8"/>
      <c r="HG181" s="8"/>
      <c r="HH181" s="8"/>
      <c r="HI181" s="8"/>
      <c r="HJ181" s="8"/>
      <c r="HK181" s="8"/>
      <c r="HL181" s="8"/>
      <c r="HM181" s="8"/>
      <c r="HN181" s="8"/>
      <c r="HO181" s="8"/>
      <c r="HP181" s="8"/>
      <c r="HQ181" s="8"/>
      <c r="HR181" s="8"/>
      <c r="HS181" s="8"/>
      <c r="HT181" s="8"/>
      <c r="HU181" s="8"/>
      <c r="HV181" s="8"/>
      <c r="HW181" s="8"/>
      <c r="HX181" s="8"/>
      <c r="HY181" s="8"/>
      <c r="HZ181" s="8"/>
      <c r="IA181" s="8"/>
      <c r="IB181" s="8"/>
      <c r="IC181" s="8"/>
      <c r="ID181" s="8"/>
      <c r="IE181" s="8"/>
      <c r="IF181" s="8"/>
      <c r="IG181" s="8"/>
      <c r="IH181" s="8"/>
      <c r="II181" s="8"/>
      <c r="IJ181" s="8"/>
      <c r="IK181" s="8"/>
      <c r="IL181" s="8"/>
      <c r="IM181" s="8"/>
      <c r="IN181" s="8"/>
      <c r="IO181" s="8"/>
      <c r="IP181" s="8"/>
      <c r="IQ181" s="8"/>
      <c r="IR181" s="8"/>
      <c r="IS181" s="8"/>
      <c r="IT181" s="8"/>
      <c r="IU181" s="8"/>
      <c r="IV181" s="8"/>
      <c r="IW181" s="8"/>
      <c r="IX181" s="8"/>
      <c r="JA181" s="125"/>
      <c r="JB181" s="125"/>
      <c r="JC181" s="125"/>
      <c r="JD181" s="72">
        <f>SUM((TEXT(JA181,"[M]")/60)*'Income Person-hours'!$D$3,(TEXT(JB181,"[M]")/60)*'Income Person-hours'!$D$4,(TEXT(JC181,"[M]")/60)*'Income Person-hours'!$D$5)</f>
        <v>0</v>
      </c>
    </row>
    <row r="182" spans="1:264 16383:16384" s="12" customFormat="1" ht="15.75" hidden="1" x14ac:dyDescent="0.45">
      <c r="A182" s="33">
        <v>8.2100000000000009</v>
      </c>
      <c r="B182" s="128"/>
      <c r="C182" s="119"/>
      <c r="D182" s="13" t="str">
        <f>IF(OR(j_WEEKDAY(J_ADDDAY(VLOOKUP(I182,A:F,6,FALSE),H182,1),0)=6,SUMIFS(Holieday[ok],Holieday[date],J_ADDDAY(VLOOKUP(I182,A:F,6,FALSE),H182,1)))=FALSE(),J_ADDDAY(VLOOKUP(I182,A:F,6,FALSE),H182,1),IF(OR(j_WEEKDAY(J_ADDDAY(VLOOKUP(I182,A:F,6,FALSE),H182+1,1),0)=6,SUMIFS(Holieday[ok],Holieday[date],J_ADDDAY(VLOOKUP(I182,A:F,6,FALSE),H182+1,1)))=FALSE(),J_ADDDAY(VLOOKUP(I182,A:F,6,FALSE),H182+1,1),IF(OR(j_WEEKDAY(J_ADDDAY(VLOOKUP(I182,A:F,6,FALSE),H182+2,1),0)=6,SUMIFS(Holieday[ok],Holieday[date],J_ADDDAY(VLOOKUP(I182,A:F,6,FALSE),H182+2,1)))=FALSE(),J_ADDDAY(VLOOKUP(I182,A:F,6,FALSE),H182+2,1),IF(OR(j_WEEKDAY(J_ADDDAY(VLOOKUP(I182,A:F,6,FALSE),H182+3,1),0)=6,SUMIFS(Holieday[ok],Holieday[date],J_ADDDAY(VLOOKUP(I182,A:F,6,FALSE),H182+3,1)))=FALSE(),J_ADDDAY(VLOOKUP(I182,A:F,6,FALSE),H182+3,1),IF(OR(j_WEEKDAY(J_ADDDAY(VLOOKUP(I182,A:F,6,FALSE),H182+4,1),0)=6,SUMIFS(Holieday[ok],Holieday[date],J_ADDDAY(VLOOKUP(I182,A:F,6,FALSE),H182+4,1)))=FALSE(),J_ADDDAY(VLOOKUP(I182,A:F,6,FALSE),H182+4,1),J_ADDDAY(VLOOKUP(I182,A:F,6,FALSE),H182+5,1))))))</f>
        <v>1398/08/25</v>
      </c>
      <c r="E182" s="2">
        <f t="shared" si="57"/>
        <v>13980825</v>
      </c>
      <c r="F182" s="13" t="str">
        <f>IF(N182=0,J_SUBDAY(D182,1,1)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0,J_SUBDAY(J_ADDDAY(D182,N182,1)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1,J_SUBDAY(J_ADDDAY(D182,N182+1,1),1,1),IF((N182-NETWORKDAYS.INTL(J_GregorianDate(D182,1),J_GregorianDate(J_SUBDAY(J_ADDDAY(D182,N182,1),1,1),1),16,1)-SUMIFS(Holieday[ok],Holieday[date],CONCATENATE("&gt;","=",D182),Holieday[date],CONCATENATE("&lt;","=",J_SUBDAY(J_ADDDAY(D182,N182,1),1,1)))+SUMIFS(Holieday[Friday],Holieday[date],CONCATENATE("&gt;","=",D182),Holieday[date],CONCATENATE("&lt;","=",J_SUBDAY(J_ADDDAY(D182,N182,1),1,1))))=2,J_SUBDAY(J_ADDDAY(D182,N182+2,1),1,1),J_SUBDAY(J_ADDDAY(D182,N182+3,1),1,1)))))</f>
        <v>1398/08/24</v>
      </c>
      <c r="G182" s="3">
        <f t="shared" si="58"/>
        <v>13980824</v>
      </c>
      <c r="H182" s="121"/>
      <c r="I182" s="122">
        <v>8.1</v>
      </c>
      <c r="J182" s="10" t="str">
        <f>j_WEEKDAY(D182,1)</f>
        <v>شنبه</v>
      </c>
      <c r="K182" s="23">
        <f t="shared" si="55"/>
        <v>0</v>
      </c>
      <c r="L182" s="9">
        <f t="shared" si="56"/>
        <v>0</v>
      </c>
      <c r="M182" s="123">
        <v>0</v>
      </c>
      <c r="N182" s="120">
        <v>0</v>
      </c>
      <c r="O182" s="11">
        <f t="shared" si="53"/>
        <v>0</v>
      </c>
      <c r="P182" s="11">
        <f>VALUE(J_normdate(J_ADDDAY($D182,$O182,1)))</f>
        <v>13980825</v>
      </c>
      <c r="Q182" s="10">
        <f t="shared" si="54"/>
        <v>0</v>
      </c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  <c r="ES182" s="8"/>
      <c r="ET182" s="8"/>
      <c r="EU182" s="8"/>
      <c r="EV182" s="8"/>
      <c r="EW182" s="8"/>
      <c r="EX182" s="8"/>
      <c r="EY182" s="8"/>
      <c r="EZ182" s="8"/>
      <c r="FA182" s="8"/>
      <c r="FB182" s="8"/>
      <c r="FC182" s="8"/>
      <c r="FD182" s="8"/>
      <c r="FE182" s="8"/>
      <c r="FF182" s="8"/>
      <c r="FG182" s="8"/>
      <c r="FH182" s="8"/>
      <c r="FI182" s="8"/>
      <c r="FJ182" s="8"/>
      <c r="FK182" s="8"/>
      <c r="FL182" s="8"/>
      <c r="FM182" s="8"/>
      <c r="FN182" s="8"/>
      <c r="FO182" s="8"/>
      <c r="FP182" s="8"/>
      <c r="FQ182" s="8"/>
      <c r="FR182" s="8"/>
      <c r="FS182" s="8"/>
      <c r="FT182" s="8"/>
      <c r="FU182" s="8"/>
      <c r="FV182" s="8"/>
      <c r="FW182" s="8"/>
      <c r="FX182" s="8"/>
      <c r="FY182" s="8"/>
      <c r="FZ182" s="8"/>
      <c r="GA182" s="8"/>
      <c r="GB182" s="8"/>
      <c r="GC182" s="8"/>
      <c r="GD182" s="8"/>
      <c r="GE182" s="8"/>
      <c r="GF182" s="8"/>
      <c r="GG182" s="8"/>
      <c r="GH182" s="8"/>
      <c r="GI182" s="8"/>
      <c r="GJ182" s="8"/>
      <c r="GK182" s="8"/>
      <c r="GL182" s="8"/>
      <c r="GM182" s="8"/>
      <c r="GN182" s="8"/>
      <c r="GO182" s="8"/>
      <c r="GP182" s="8"/>
      <c r="GQ182" s="8"/>
      <c r="GR182" s="8"/>
      <c r="GS182" s="8"/>
      <c r="GT182" s="8"/>
      <c r="GU182" s="8"/>
      <c r="GV182" s="8"/>
      <c r="GW182" s="8"/>
      <c r="GX182" s="8"/>
      <c r="GY182" s="8"/>
      <c r="GZ182" s="8"/>
      <c r="HA182" s="8"/>
      <c r="HB182" s="8"/>
      <c r="HC182" s="8"/>
      <c r="HD182" s="8"/>
      <c r="HE182" s="8"/>
      <c r="HF182" s="8"/>
      <c r="HG182" s="8"/>
      <c r="HH182" s="8"/>
      <c r="HI182" s="8"/>
      <c r="HJ182" s="8"/>
      <c r="HK182" s="8"/>
      <c r="HL182" s="8"/>
      <c r="HM182" s="8"/>
      <c r="HN182" s="8"/>
      <c r="HO182" s="8"/>
      <c r="HP182" s="8"/>
      <c r="HQ182" s="8"/>
      <c r="HR182" s="8"/>
      <c r="HS182" s="8"/>
      <c r="HT182" s="8"/>
      <c r="HU182" s="8"/>
      <c r="HV182" s="8"/>
      <c r="HW182" s="8"/>
      <c r="HX182" s="8"/>
      <c r="HY182" s="8"/>
      <c r="HZ182" s="8"/>
      <c r="IA182" s="8"/>
      <c r="IB182" s="8"/>
      <c r="IC182" s="8"/>
      <c r="ID182" s="8"/>
      <c r="IE182" s="8"/>
      <c r="IF182" s="8"/>
      <c r="IG182" s="8"/>
      <c r="IH182" s="8"/>
      <c r="II182" s="8"/>
      <c r="IJ182" s="8"/>
      <c r="IK182" s="8"/>
      <c r="IL182" s="8"/>
      <c r="IM182" s="8"/>
      <c r="IN182" s="8"/>
      <c r="IO182" s="8"/>
      <c r="IP182" s="8"/>
      <c r="IQ182" s="8"/>
      <c r="IR182" s="8"/>
      <c r="IS182" s="8"/>
      <c r="IT182" s="8"/>
      <c r="IU182" s="8"/>
      <c r="IV182" s="8"/>
      <c r="IW182" s="8"/>
      <c r="IX182" s="8"/>
      <c r="JA182" s="125"/>
      <c r="JB182" s="125"/>
      <c r="JC182" s="125"/>
      <c r="JD182" s="72">
        <f>SUM((TEXT(JA182,"[M]")/60)*'Income Person-hours'!$D$3,(TEXT(JB182,"[M]")/60)*'Income Person-hours'!$D$4,(TEXT(JC182,"[M]")/60)*'Income Person-hours'!$D$5)</f>
        <v>0</v>
      </c>
    </row>
    <row r="183" spans="1:264 16383:16384" s="12" customFormat="1" ht="15.75" hidden="1" x14ac:dyDescent="0.45">
      <c r="A183" s="33">
        <v>8.2200000000000006</v>
      </c>
      <c r="B183" s="128"/>
      <c r="C183" s="119"/>
      <c r="D183" s="13" t="str">
        <f>IF(OR(j_WEEKDAY(J_ADDDAY(VLOOKUP(I183,A:F,6,FALSE),H183,1),0)=6,SUMIFS(Holieday[ok],Holieday[date],J_ADDDAY(VLOOKUP(I183,A:F,6,FALSE),H183,1)))=FALSE(),J_ADDDAY(VLOOKUP(I183,A:F,6,FALSE),H183,1),IF(OR(j_WEEKDAY(J_ADDDAY(VLOOKUP(I183,A:F,6,FALSE),H183+1,1),0)=6,SUMIFS(Holieday[ok],Holieday[date],J_ADDDAY(VLOOKUP(I183,A:F,6,FALSE),H183+1,1)))=FALSE(),J_ADDDAY(VLOOKUP(I183,A:F,6,FALSE),H183+1,1),IF(OR(j_WEEKDAY(J_ADDDAY(VLOOKUP(I183,A:F,6,FALSE),H183+2,1),0)=6,SUMIFS(Holieday[ok],Holieday[date],J_ADDDAY(VLOOKUP(I183,A:F,6,FALSE),H183+2,1)))=FALSE(),J_ADDDAY(VLOOKUP(I183,A:F,6,FALSE),H183+2,1),IF(OR(j_WEEKDAY(J_ADDDAY(VLOOKUP(I183,A:F,6,FALSE),H183+3,1),0)=6,SUMIFS(Holieday[ok],Holieday[date],J_ADDDAY(VLOOKUP(I183,A:F,6,FALSE),H183+3,1)))=FALSE(),J_ADDDAY(VLOOKUP(I183,A:F,6,FALSE),H183+3,1),IF(OR(j_WEEKDAY(J_ADDDAY(VLOOKUP(I183,A:F,6,FALSE),H183+4,1),0)=6,SUMIFS(Holieday[ok],Holieday[date],J_ADDDAY(VLOOKUP(I183,A:F,6,FALSE),H183+4,1)))=FALSE(),J_ADDDAY(VLOOKUP(I183,A:F,6,FALSE),H183+4,1),J_ADDDAY(VLOOKUP(I183,A:F,6,FALSE),H183+5,1))))))</f>
        <v>1398/08/25</v>
      </c>
      <c r="E183" s="2">
        <f t="shared" si="57"/>
        <v>13980825</v>
      </c>
      <c r="F183" s="13" t="str">
        <f>IF(N183=0,J_SUBDAY(D183,1,1)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0,J_SUBDAY(J_ADDDAY(D183,N183,1)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1,J_SUBDAY(J_ADDDAY(D183,N183+1,1),1,1),IF((N183-NETWORKDAYS.INTL(J_GregorianDate(D183,1),J_GregorianDate(J_SUBDAY(J_ADDDAY(D183,N183,1),1,1),1),16,1)-SUMIFS(Holieday[ok],Holieday[date],CONCATENATE("&gt;","=",D183),Holieday[date],CONCATENATE("&lt;","=",J_SUBDAY(J_ADDDAY(D183,N183,1),1,1)))+SUMIFS(Holieday[Friday],Holieday[date],CONCATENATE("&gt;","=",D183),Holieday[date],CONCATENATE("&lt;","=",J_SUBDAY(J_ADDDAY(D183,N183,1),1,1))))=2,J_SUBDAY(J_ADDDAY(D183,N183+2,1),1,1),J_SUBDAY(J_ADDDAY(D183,N183+3,1),1,1)))))</f>
        <v>1398/08/24</v>
      </c>
      <c r="G183" s="3">
        <f t="shared" si="58"/>
        <v>13980824</v>
      </c>
      <c r="H183" s="121"/>
      <c r="I183" s="122">
        <v>8.1</v>
      </c>
      <c r="J183" s="10" t="str">
        <f>j_WEEKDAY(D183,1)</f>
        <v>شنبه</v>
      </c>
      <c r="K183" s="23">
        <f t="shared" si="55"/>
        <v>0</v>
      </c>
      <c r="L183" s="9">
        <f t="shared" si="56"/>
        <v>0</v>
      </c>
      <c r="M183" s="123">
        <v>0</v>
      </c>
      <c r="N183" s="120">
        <v>0</v>
      </c>
      <c r="O183" s="11">
        <f t="shared" si="53"/>
        <v>0</v>
      </c>
      <c r="P183" s="11">
        <f>VALUE(J_normdate(J_ADDDAY($D183,$O183,1)))</f>
        <v>13980825</v>
      </c>
      <c r="Q183" s="10">
        <f t="shared" si="54"/>
        <v>0</v>
      </c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  <c r="ES183" s="8"/>
      <c r="ET183" s="8"/>
      <c r="EU183" s="8"/>
      <c r="EV183" s="8"/>
      <c r="EW183" s="8"/>
      <c r="EX183" s="8"/>
      <c r="EY183" s="8"/>
      <c r="EZ183" s="8"/>
      <c r="FA183" s="8"/>
      <c r="FB183" s="8"/>
      <c r="FC183" s="8"/>
      <c r="FD183" s="8"/>
      <c r="FE183" s="8"/>
      <c r="FF183" s="8"/>
      <c r="FG183" s="8"/>
      <c r="FH183" s="8"/>
      <c r="FI183" s="8"/>
      <c r="FJ183" s="8"/>
      <c r="FK183" s="8"/>
      <c r="FL183" s="8"/>
      <c r="FM183" s="8"/>
      <c r="FN183" s="8"/>
      <c r="FO183" s="8"/>
      <c r="FP183" s="8"/>
      <c r="FQ183" s="8"/>
      <c r="FR183" s="8"/>
      <c r="FS183" s="8"/>
      <c r="FT183" s="8"/>
      <c r="FU183" s="8"/>
      <c r="FV183" s="8"/>
      <c r="FW183" s="8"/>
      <c r="FX183" s="8"/>
      <c r="FY183" s="8"/>
      <c r="FZ183" s="8"/>
      <c r="GA183" s="8"/>
      <c r="GB183" s="8"/>
      <c r="GC183" s="8"/>
      <c r="GD183" s="8"/>
      <c r="GE183" s="8"/>
      <c r="GF183" s="8"/>
      <c r="GG183" s="8"/>
      <c r="GH183" s="8"/>
      <c r="GI183" s="8"/>
      <c r="GJ183" s="8"/>
      <c r="GK183" s="8"/>
      <c r="GL183" s="8"/>
      <c r="GM183" s="8"/>
      <c r="GN183" s="8"/>
      <c r="GO183" s="8"/>
      <c r="GP183" s="8"/>
      <c r="GQ183" s="8"/>
      <c r="GR183" s="8"/>
      <c r="GS183" s="8"/>
      <c r="GT183" s="8"/>
      <c r="GU183" s="8"/>
      <c r="GV183" s="8"/>
      <c r="GW183" s="8"/>
      <c r="GX183" s="8"/>
      <c r="GY183" s="8"/>
      <c r="GZ183" s="8"/>
      <c r="HA183" s="8"/>
      <c r="HB183" s="8"/>
      <c r="HC183" s="8"/>
      <c r="HD183" s="8"/>
      <c r="HE183" s="8"/>
      <c r="HF183" s="8"/>
      <c r="HG183" s="8"/>
      <c r="HH183" s="8"/>
      <c r="HI183" s="8"/>
      <c r="HJ183" s="8"/>
      <c r="HK183" s="8"/>
      <c r="HL183" s="8"/>
      <c r="HM183" s="8"/>
      <c r="HN183" s="8"/>
      <c r="HO183" s="8"/>
      <c r="HP183" s="8"/>
      <c r="HQ183" s="8"/>
      <c r="HR183" s="8"/>
      <c r="HS183" s="8"/>
      <c r="HT183" s="8"/>
      <c r="HU183" s="8"/>
      <c r="HV183" s="8"/>
      <c r="HW183" s="8"/>
      <c r="HX183" s="8"/>
      <c r="HY183" s="8"/>
      <c r="HZ183" s="8"/>
      <c r="IA183" s="8"/>
      <c r="IB183" s="8"/>
      <c r="IC183" s="8"/>
      <c r="ID183" s="8"/>
      <c r="IE183" s="8"/>
      <c r="IF183" s="8"/>
      <c r="IG183" s="8"/>
      <c r="IH183" s="8"/>
      <c r="II183" s="8"/>
      <c r="IJ183" s="8"/>
      <c r="IK183" s="8"/>
      <c r="IL183" s="8"/>
      <c r="IM183" s="8"/>
      <c r="IN183" s="8"/>
      <c r="IO183" s="8"/>
      <c r="IP183" s="8"/>
      <c r="IQ183" s="8"/>
      <c r="IR183" s="8"/>
      <c r="IS183" s="8"/>
      <c r="IT183" s="8"/>
      <c r="IU183" s="8"/>
      <c r="IV183" s="8"/>
      <c r="IW183" s="8"/>
      <c r="IX183" s="8"/>
      <c r="JA183" s="125"/>
      <c r="JB183" s="125"/>
      <c r="JC183" s="125"/>
      <c r="JD183" s="72">
        <f>SUM((TEXT(JA183,"[M]")/60)*'Income Person-hours'!$D$3,(TEXT(JB183,"[M]")/60)*'Income Person-hours'!$D$4,(TEXT(JC183,"[M]")/60)*'Income Person-hours'!$D$5)</f>
        <v>0</v>
      </c>
    </row>
    <row r="184" spans="1:264 16383:16384" s="12" customFormat="1" ht="15.75" hidden="1" x14ac:dyDescent="0.45">
      <c r="A184" s="33">
        <v>8.23</v>
      </c>
      <c r="B184" s="128"/>
      <c r="C184" s="119"/>
      <c r="D184" s="13" t="str">
        <f>IF(OR(j_WEEKDAY(J_ADDDAY(VLOOKUP(I184,A:F,6,FALSE),H184,1),0)=6,SUMIFS(Holieday[ok],Holieday[date],J_ADDDAY(VLOOKUP(I184,A:F,6,FALSE),H184,1)))=FALSE(),J_ADDDAY(VLOOKUP(I184,A:F,6,FALSE),H184,1),IF(OR(j_WEEKDAY(J_ADDDAY(VLOOKUP(I184,A:F,6,FALSE),H184+1,1),0)=6,SUMIFS(Holieday[ok],Holieday[date],J_ADDDAY(VLOOKUP(I184,A:F,6,FALSE),H184+1,1)))=FALSE(),J_ADDDAY(VLOOKUP(I184,A:F,6,FALSE),H184+1,1),IF(OR(j_WEEKDAY(J_ADDDAY(VLOOKUP(I184,A:F,6,FALSE),H184+2,1),0)=6,SUMIFS(Holieday[ok],Holieday[date],J_ADDDAY(VLOOKUP(I184,A:F,6,FALSE),H184+2,1)))=FALSE(),J_ADDDAY(VLOOKUP(I184,A:F,6,FALSE),H184+2,1),IF(OR(j_WEEKDAY(J_ADDDAY(VLOOKUP(I184,A:F,6,FALSE),H184+3,1),0)=6,SUMIFS(Holieday[ok],Holieday[date],J_ADDDAY(VLOOKUP(I184,A:F,6,FALSE),H184+3,1)))=FALSE(),J_ADDDAY(VLOOKUP(I184,A:F,6,FALSE),H184+3,1),IF(OR(j_WEEKDAY(J_ADDDAY(VLOOKUP(I184,A:F,6,FALSE),H184+4,1),0)=6,SUMIFS(Holieday[ok],Holieday[date],J_ADDDAY(VLOOKUP(I184,A:F,6,FALSE),H184+4,1)))=FALSE(),J_ADDDAY(VLOOKUP(I184,A:F,6,FALSE),H184+4,1),J_ADDDAY(VLOOKUP(I184,A:F,6,FALSE),H184+5,1))))))</f>
        <v>1398/08/25</v>
      </c>
      <c r="E184" s="2">
        <f t="shared" si="57"/>
        <v>13980825</v>
      </c>
      <c r="F184" s="13" t="str">
        <f>IF(N184=0,J_SUBDAY(D184,1,1)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0,J_SUBDAY(J_ADDDAY(D184,N184,1)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1,J_SUBDAY(J_ADDDAY(D184,N184+1,1),1,1),IF((N184-NETWORKDAYS.INTL(J_GregorianDate(D184,1),J_GregorianDate(J_SUBDAY(J_ADDDAY(D184,N184,1),1,1),1),16,1)-SUMIFS(Holieday[ok],Holieday[date],CONCATENATE("&gt;","=",D184),Holieday[date],CONCATENATE("&lt;","=",J_SUBDAY(J_ADDDAY(D184,N184,1),1,1)))+SUMIFS(Holieday[Friday],Holieday[date],CONCATENATE("&gt;","=",D184),Holieday[date],CONCATENATE("&lt;","=",J_SUBDAY(J_ADDDAY(D184,N184,1),1,1))))=2,J_SUBDAY(J_ADDDAY(D184,N184+2,1),1,1),J_SUBDAY(J_ADDDAY(D184,N184+3,1),1,1)))))</f>
        <v>1398/08/24</v>
      </c>
      <c r="G184" s="3">
        <f t="shared" si="58"/>
        <v>13980824</v>
      </c>
      <c r="H184" s="121"/>
      <c r="I184" s="122">
        <v>8.1</v>
      </c>
      <c r="J184" s="10" t="str">
        <f>j_WEEKDAY(D184,1)</f>
        <v>شنبه</v>
      </c>
      <c r="K184" s="23">
        <f t="shared" si="55"/>
        <v>0</v>
      </c>
      <c r="L184" s="9">
        <f t="shared" si="56"/>
        <v>0</v>
      </c>
      <c r="M184" s="123">
        <v>0</v>
      </c>
      <c r="N184" s="120">
        <v>0</v>
      </c>
      <c r="O184" s="11">
        <f t="shared" si="53"/>
        <v>0</v>
      </c>
      <c r="P184" s="11">
        <f>VALUE(J_normdate(J_ADDDAY($D184,$O184,1)))</f>
        <v>13980825</v>
      </c>
      <c r="Q184" s="10">
        <f t="shared" si="54"/>
        <v>0</v>
      </c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  <c r="ES184" s="8"/>
      <c r="ET184" s="8"/>
      <c r="EU184" s="8"/>
      <c r="EV184" s="8"/>
      <c r="EW184" s="8"/>
      <c r="EX184" s="8"/>
      <c r="EY184" s="8"/>
      <c r="EZ184" s="8"/>
      <c r="FA184" s="8"/>
      <c r="FB184" s="8"/>
      <c r="FC184" s="8"/>
      <c r="FD184" s="8"/>
      <c r="FE184" s="8"/>
      <c r="FF184" s="8"/>
      <c r="FG184" s="8"/>
      <c r="FH184" s="8"/>
      <c r="FI184" s="8"/>
      <c r="FJ184" s="8"/>
      <c r="FK184" s="8"/>
      <c r="FL184" s="8"/>
      <c r="FM184" s="8"/>
      <c r="FN184" s="8"/>
      <c r="FO184" s="8"/>
      <c r="FP184" s="8"/>
      <c r="FQ184" s="8"/>
      <c r="FR184" s="8"/>
      <c r="FS184" s="8"/>
      <c r="FT184" s="8"/>
      <c r="FU184" s="8"/>
      <c r="FV184" s="8"/>
      <c r="FW184" s="8"/>
      <c r="FX184" s="8"/>
      <c r="FY184" s="8"/>
      <c r="FZ184" s="8"/>
      <c r="GA184" s="8"/>
      <c r="GB184" s="8"/>
      <c r="GC184" s="8"/>
      <c r="GD184" s="8"/>
      <c r="GE184" s="8"/>
      <c r="GF184" s="8"/>
      <c r="GG184" s="8"/>
      <c r="GH184" s="8"/>
      <c r="GI184" s="8"/>
      <c r="GJ184" s="8"/>
      <c r="GK184" s="8"/>
      <c r="GL184" s="8"/>
      <c r="GM184" s="8"/>
      <c r="GN184" s="8"/>
      <c r="GO184" s="8"/>
      <c r="GP184" s="8"/>
      <c r="GQ184" s="8"/>
      <c r="GR184" s="8"/>
      <c r="GS184" s="8"/>
      <c r="GT184" s="8"/>
      <c r="GU184" s="8"/>
      <c r="GV184" s="8"/>
      <c r="GW184" s="8"/>
      <c r="GX184" s="8"/>
      <c r="GY184" s="8"/>
      <c r="GZ184" s="8"/>
      <c r="HA184" s="8"/>
      <c r="HB184" s="8"/>
      <c r="HC184" s="8"/>
      <c r="HD184" s="8"/>
      <c r="HE184" s="8"/>
      <c r="HF184" s="8"/>
      <c r="HG184" s="8"/>
      <c r="HH184" s="8"/>
      <c r="HI184" s="8"/>
      <c r="HJ184" s="8"/>
      <c r="HK184" s="8"/>
      <c r="HL184" s="8"/>
      <c r="HM184" s="8"/>
      <c r="HN184" s="8"/>
      <c r="HO184" s="8"/>
      <c r="HP184" s="8"/>
      <c r="HQ184" s="8"/>
      <c r="HR184" s="8"/>
      <c r="HS184" s="8"/>
      <c r="HT184" s="8"/>
      <c r="HU184" s="8"/>
      <c r="HV184" s="8"/>
      <c r="HW184" s="8"/>
      <c r="HX184" s="8"/>
      <c r="HY184" s="8"/>
      <c r="HZ184" s="8"/>
      <c r="IA184" s="8"/>
      <c r="IB184" s="8"/>
      <c r="IC184" s="8"/>
      <c r="ID184" s="8"/>
      <c r="IE184" s="8"/>
      <c r="IF184" s="8"/>
      <c r="IG184" s="8"/>
      <c r="IH184" s="8"/>
      <c r="II184" s="8"/>
      <c r="IJ184" s="8"/>
      <c r="IK184" s="8"/>
      <c r="IL184" s="8"/>
      <c r="IM184" s="8"/>
      <c r="IN184" s="8"/>
      <c r="IO184" s="8"/>
      <c r="IP184" s="8"/>
      <c r="IQ184" s="8"/>
      <c r="IR184" s="8"/>
      <c r="IS184" s="8"/>
      <c r="IT184" s="8"/>
      <c r="IU184" s="8"/>
      <c r="IV184" s="8"/>
      <c r="IW184" s="8"/>
      <c r="IX184" s="8"/>
      <c r="JA184" s="125"/>
      <c r="JB184" s="125"/>
      <c r="JC184" s="125"/>
      <c r="JD184" s="72">
        <f>SUM((TEXT(JA184,"[M]")/60)*'Income Person-hours'!$D$3,(TEXT(JB184,"[M]")/60)*'Income Person-hours'!$D$4,(TEXT(JC184,"[M]")/60)*'Income Person-hours'!$D$5)</f>
        <v>0</v>
      </c>
    </row>
    <row r="185" spans="1:264 16383:16384" s="2" customFormat="1" ht="15.75" hidden="1" x14ac:dyDescent="0.45">
      <c r="A185" s="63">
        <v>9</v>
      </c>
      <c r="B185" s="114" t="s">
        <v>125</v>
      </c>
      <c r="C185" s="115"/>
      <c r="D185" s="5" t="str">
        <f>FDate(MIN(E186:E206))</f>
        <v>1398/08/25</v>
      </c>
      <c r="E185" s="2">
        <f t="shared" si="57"/>
        <v>13980825</v>
      </c>
      <c r="F185" s="5" t="str">
        <f>J_SUBDAY(J_ADDDAY(D185,L185,1),1,1)</f>
        <v>1398/08/24</v>
      </c>
      <c r="G185" s="3">
        <f t="shared" si="58"/>
        <v>13980824</v>
      </c>
      <c r="H185" s="116"/>
      <c r="I185" s="117"/>
      <c r="J185" s="5" t="str">
        <f>j_WEEKDAY(D185,1)</f>
        <v>شنبه</v>
      </c>
      <c r="K185" s="22">
        <f>SUM(K186:K206)</f>
        <v>0</v>
      </c>
      <c r="L185" s="4">
        <f>J_DIFF(D185,FDate(MAX(G186:G206)))+1</f>
        <v>0</v>
      </c>
      <c r="M185" s="204">
        <f>IF(SUM(L186:L206)&lt;&gt;0,SUMPRODUCT(L186:L206,M186:M206)/SUM(L186:L206),0)</f>
        <v>0</v>
      </c>
      <c r="N185" s="205">
        <f>IF(F185&gt;=D185,NETWORKDAYS.INTL(J_GregorianDate(D185,1),J_GregorianDate(F185,1),16,1)-SUMIFS(Holieday[ok],Holieday[date],CONCATENATE("&gt;","=",D185),Holieday[date],CONCATENATE("&lt;","=",F185))+SUMIFS(Holieday[Friday],Holieday[date],CONCATENATE("&gt;","=",D185),Holieday[date],CONCATENATE("&lt;","=",F185)),0)</f>
        <v>0</v>
      </c>
      <c r="O185" s="15">
        <f t="shared" ref="O185:O206" si="59">ROUNDDOWN(M185*L185,0)</f>
        <v>0</v>
      </c>
      <c r="P185" s="15">
        <f>VALUE(J_normdate(J_ADDDAY($D185,$O185,1)))</f>
        <v>13980825</v>
      </c>
      <c r="Q185" s="5">
        <f t="shared" ref="Q185:Q206" si="60">L185-O185</f>
        <v>0</v>
      </c>
      <c r="IY185" s="64"/>
      <c r="IZ185" s="64"/>
      <c r="JA185" s="228"/>
      <c r="JB185" s="229"/>
      <c r="JC185" s="198"/>
      <c r="XFC185" s="5"/>
      <c r="XFD185" s="5"/>
    </row>
    <row r="186" spans="1:264 16383:16384" s="12" customFormat="1" ht="15.75" hidden="1" x14ac:dyDescent="0.45">
      <c r="A186" s="33">
        <v>9.1</v>
      </c>
      <c r="B186" s="128"/>
      <c r="C186" s="119"/>
      <c r="D186" s="13" t="str">
        <f>IF(OR(j_WEEKDAY(J_ADDDAY(VLOOKUP(I186,A:F,6,FALSE),H186,1),0)=6,SUMIFS(Holieday[ok],Holieday[date],J_ADDDAY(VLOOKUP(I186,A:F,6,FALSE),H186,1)))=FALSE(),J_ADDDAY(VLOOKUP(I186,A:F,6,FALSE),H186,1),IF(OR(j_WEEKDAY(J_ADDDAY(VLOOKUP(I186,A:F,6,FALSE),H186+1,1),0)=6,SUMIFS(Holieday[ok],Holieday[date],J_ADDDAY(VLOOKUP(I186,A:F,6,FALSE),H186+1,1)))=FALSE(),J_ADDDAY(VLOOKUP(I186,A:F,6,FALSE),H186+1,1),IF(OR(j_WEEKDAY(J_ADDDAY(VLOOKUP(I186,A:F,6,FALSE),H186+2,1),0)=6,SUMIFS(Holieday[ok],Holieday[date],J_ADDDAY(VLOOKUP(I186,A:F,6,FALSE),H186+2,1)))=FALSE(),J_ADDDAY(VLOOKUP(I186,A:F,6,FALSE),H186+2,1),IF(OR(j_WEEKDAY(J_ADDDAY(VLOOKUP(I186,A:F,6,FALSE),H186+3,1),0)=6,SUMIFS(Holieday[ok],Holieday[date],J_ADDDAY(VLOOKUP(I186,A:F,6,FALSE),H186+3,1)))=FALSE(),J_ADDDAY(VLOOKUP(I186,A:F,6,FALSE),H186+3,1),IF(OR(j_WEEKDAY(J_ADDDAY(VLOOKUP(I186,A:F,6,FALSE),H186+4,1),0)=6,SUMIFS(Holieday[ok],Holieday[date],J_ADDDAY(VLOOKUP(I186,A:F,6,FALSE),H186+4,1)))=FALSE(),J_ADDDAY(VLOOKUP(I186,A:F,6,FALSE),H186+4,1),J_ADDDAY(VLOOKUP(I186,A:F,6,FALSE),H186+5,1))))))</f>
        <v>1398/08/25</v>
      </c>
      <c r="E186" s="2">
        <f t="shared" si="57"/>
        <v>13980825</v>
      </c>
      <c r="F186" s="13" t="str">
        <f>IF(N186=0,J_SUBDAY(D186,1,1)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0,J_SUBDAY(J_ADDDAY(D186,N186,1)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1,J_SUBDAY(J_ADDDAY(D186,N186+1,1),1,1),IF((N186-NETWORKDAYS.INTL(J_GregorianDate(D186,1),J_GregorianDate(J_SUBDAY(J_ADDDAY(D186,N186,1),1,1),1),16,1)-SUMIFS(Holieday[ok],Holieday[date],CONCATENATE("&gt;","=",D186),Holieday[date],CONCATENATE("&lt;","=",J_SUBDAY(J_ADDDAY(D186,N186,1),1,1)))+SUMIFS(Holieday[Friday],Holieday[date],CONCATENATE("&gt;","=",D186),Holieday[date],CONCATENATE("&lt;","=",J_SUBDAY(J_ADDDAY(D186,N186,1),1,1))))=2,J_SUBDAY(J_ADDDAY(D186,N186+2,1),1,1),J_SUBDAY(J_ADDDAY(D186,N186+3,1),1,1)))))</f>
        <v>1398/08/24</v>
      </c>
      <c r="G186" s="3">
        <f t="shared" si="58"/>
        <v>13980824</v>
      </c>
      <c r="H186" s="121"/>
      <c r="I186" s="122">
        <v>8.4</v>
      </c>
      <c r="J186" s="10" t="str">
        <f>j_WEEKDAY(D186,1)</f>
        <v>شنبه</v>
      </c>
      <c r="K186" s="23">
        <f>SUM(JA186:JC186)</f>
        <v>0</v>
      </c>
      <c r="L186" s="9">
        <f t="shared" ref="L186:L206" si="61">J_DIFF(D186,F186)+1</f>
        <v>0</v>
      </c>
      <c r="M186" s="123">
        <v>0</v>
      </c>
      <c r="N186" s="120">
        <v>0</v>
      </c>
      <c r="O186" s="11">
        <f t="shared" si="59"/>
        <v>0</v>
      </c>
      <c r="P186" s="11">
        <f>VALUE(J_normdate(J_ADDDAY($D186,$O186,1)))</f>
        <v>13980825</v>
      </c>
      <c r="Q186" s="10">
        <f t="shared" si="60"/>
        <v>0</v>
      </c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  <c r="ES186" s="8"/>
      <c r="ET186" s="8"/>
      <c r="EU186" s="8"/>
      <c r="EV186" s="8"/>
      <c r="EW186" s="8"/>
      <c r="EX186" s="8"/>
      <c r="EY186" s="8"/>
      <c r="EZ186" s="8"/>
      <c r="FA186" s="8"/>
      <c r="FB186" s="8"/>
      <c r="FC186" s="8"/>
      <c r="FD186" s="8"/>
      <c r="FE186" s="8"/>
      <c r="FF186" s="8"/>
      <c r="FG186" s="8"/>
      <c r="FH186" s="8"/>
      <c r="FI186" s="8"/>
      <c r="FJ186" s="8"/>
      <c r="FK186" s="8"/>
      <c r="FL186" s="8"/>
      <c r="FM186" s="8"/>
      <c r="FN186" s="8"/>
      <c r="FO186" s="8"/>
      <c r="FP186" s="8"/>
      <c r="FQ186" s="8"/>
      <c r="FR186" s="8"/>
      <c r="FS186" s="8"/>
      <c r="FT186" s="8"/>
      <c r="FU186" s="8"/>
      <c r="FV186" s="8"/>
      <c r="FW186" s="8"/>
      <c r="FX186" s="8"/>
      <c r="FY186" s="8"/>
      <c r="FZ186" s="8"/>
      <c r="GA186" s="8"/>
      <c r="GB186" s="8"/>
      <c r="GC186" s="8"/>
      <c r="GD186" s="8"/>
      <c r="GE186" s="8"/>
      <c r="GF186" s="8"/>
      <c r="GG186" s="8"/>
      <c r="GH186" s="8"/>
      <c r="GI186" s="8"/>
      <c r="GJ186" s="8"/>
      <c r="GK186" s="8"/>
      <c r="GL186" s="8"/>
      <c r="GM186" s="8"/>
      <c r="GN186" s="8"/>
      <c r="GO186" s="8"/>
      <c r="GP186" s="8"/>
      <c r="GQ186" s="8"/>
      <c r="GR186" s="8"/>
      <c r="GS186" s="8"/>
      <c r="GT186" s="8"/>
      <c r="GU186" s="8"/>
      <c r="GV186" s="8"/>
      <c r="GW186" s="8"/>
      <c r="GX186" s="8"/>
      <c r="GY186" s="8"/>
      <c r="GZ186" s="8"/>
      <c r="HA186" s="8"/>
      <c r="HB186" s="8"/>
      <c r="HC186" s="8"/>
      <c r="HD186" s="8"/>
      <c r="HE186" s="8"/>
      <c r="HF186" s="8"/>
      <c r="HG186" s="8"/>
      <c r="HH186" s="8"/>
      <c r="HI186" s="8"/>
      <c r="HJ186" s="8"/>
      <c r="HK186" s="8"/>
      <c r="HL186" s="8"/>
      <c r="HM186" s="8"/>
      <c r="HN186" s="8"/>
      <c r="HO186" s="8"/>
      <c r="HP186" s="8"/>
      <c r="HQ186" s="8"/>
      <c r="HR186" s="8"/>
      <c r="HS186" s="8"/>
      <c r="HT186" s="8"/>
      <c r="HU186" s="8"/>
      <c r="HV186" s="8"/>
      <c r="HW186" s="8"/>
      <c r="HX186" s="8"/>
      <c r="HY186" s="8"/>
      <c r="HZ186" s="8"/>
      <c r="IA186" s="8"/>
      <c r="IB186" s="8"/>
      <c r="IC186" s="8"/>
      <c r="ID186" s="8"/>
      <c r="IE186" s="8"/>
      <c r="IF186" s="8"/>
      <c r="IG186" s="8"/>
      <c r="IH186" s="8"/>
      <c r="II186" s="8"/>
      <c r="IJ186" s="8"/>
      <c r="IK186" s="8"/>
      <c r="IL186" s="8"/>
      <c r="IM186" s="8"/>
      <c r="IN186" s="8"/>
      <c r="IO186" s="8"/>
      <c r="IP186" s="8"/>
      <c r="IQ186" s="8"/>
      <c r="IR186" s="8"/>
      <c r="IS186" s="8"/>
      <c r="IT186" s="8"/>
      <c r="IU186" s="8"/>
      <c r="IV186" s="8"/>
      <c r="IW186" s="8"/>
      <c r="IX186" s="8"/>
      <c r="JA186" s="125"/>
      <c r="JB186" s="125"/>
      <c r="JC186" s="125"/>
      <c r="JD186" s="72">
        <f>SUM((TEXT(JA186,"[M]")/60)*'Income Person-hours'!$D$3,(TEXT(JB186,"[M]")/60)*'Income Person-hours'!$D$4,(TEXT(JC186,"[M]")/60)*'Income Person-hours'!$D$5)</f>
        <v>0</v>
      </c>
    </row>
    <row r="187" spans="1:264 16383:16384" s="12" customFormat="1" ht="15.75" hidden="1" x14ac:dyDescent="0.45">
      <c r="A187" s="33">
        <v>9.1999999999999993</v>
      </c>
      <c r="B187" s="128"/>
      <c r="C187" s="119"/>
      <c r="D187" s="13" t="str">
        <f>IF(OR(j_WEEKDAY(J_ADDDAY(VLOOKUP(I187,A:F,6,FALSE),H187,1),0)=6,SUMIFS(Holieday[ok],Holieday[date],J_ADDDAY(VLOOKUP(I187,A:F,6,FALSE),H187,1)))=FALSE(),J_ADDDAY(VLOOKUP(I187,A:F,6,FALSE),H187,1),IF(OR(j_WEEKDAY(J_ADDDAY(VLOOKUP(I187,A:F,6,FALSE),H187+1,1),0)=6,SUMIFS(Holieday[ok],Holieday[date],J_ADDDAY(VLOOKUP(I187,A:F,6,FALSE),H187+1,1)))=FALSE(),J_ADDDAY(VLOOKUP(I187,A:F,6,FALSE),H187+1,1),IF(OR(j_WEEKDAY(J_ADDDAY(VLOOKUP(I187,A:F,6,FALSE),H187+2,1),0)=6,SUMIFS(Holieday[ok],Holieday[date],J_ADDDAY(VLOOKUP(I187,A:F,6,FALSE),H187+2,1)))=FALSE(),J_ADDDAY(VLOOKUP(I187,A:F,6,FALSE),H187+2,1),IF(OR(j_WEEKDAY(J_ADDDAY(VLOOKUP(I187,A:F,6,FALSE),H187+3,1),0)=6,SUMIFS(Holieday[ok],Holieday[date],J_ADDDAY(VLOOKUP(I187,A:F,6,FALSE),H187+3,1)))=FALSE(),J_ADDDAY(VLOOKUP(I187,A:F,6,FALSE),H187+3,1),IF(OR(j_WEEKDAY(J_ADDDAY(VLOOKUP(I187,A:F,6,FALSE),H187+4,1),0)=6,SUMIFS(Holieday[ok],Holieday[date],J_ADDDAY(VLOOKUP(I187,A:F,6,FALSE),H187+4,1)))=FALSE(),J_ADDDAY(VLOOKUP(I187,A:F,6,FALSE),H187+4,1),J_ADDDAY(VLOOKUP(I187,A:F,6,FALSE),H187+5,1))))))</f>
        <v>1398/08/25</v>
      </c>
      <c r="E187" s="2">
        <f t="shared" si="57"/>
        <v>13980825</v>
      </c>
      <c r="F187" s="13" t="str">
        <f>IF(N187=0,J_SUBDAY(D187,1,1)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0,J_SUBDAY(J_ADDDAY(D187,N187,1)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1,J_SUBDAY(J_ADDDAY(D187,N187+1,1),1,1),IF((N187-NETWORKDAYS.INTL(J_GregorianDate(D187,1),J_GregorianDate(J_SUBDAY(J_ADDDAY(D187,N187,1),1,1),1),16,1)-SUMIFS(Holieday[ok],Holieday[date],CONCATENATE("&gt;","=",D187),Holieday[date],CONCATENATE("&lt;","=",J_SUBDAY(J_ADDDAY(D187,N187,1),1,1)))+SUMIFS(Holieday[Friday],Holieday[date],CONCATENATE("&gt;","=",D187),Holieday[date],CONCATENATE("&lt;","=",J_SUBDAY(J_ADDDAY(D187,N187,1),1,1))))=2,J_SUBDAY(J_ADDDAY(D187,N187+2,1),1,1),J_SUBDAY(J_ADDDAY(D187,N187+3,1),1,1)))))</f>
        <v>1398/08/24</v>
      </c>
      <c r="G187" s="3">
        <f t="shared" si="58"/>
        <v>13980824</v>
      </c>
      <c r="H187" s="121"/>
      <c r="I187" s="122">
        <v>8.4</v>
      </c>
      <c r="J187" s="10" t="str">
        <f>j_WEEKDAY(D187,1)</f>
        <v>شنبه</v>
      </c>
      <c r="K187" s="23">
        <f t="shared" ref="K187:K228" si="62">SUM(JA187:JC187)</f>
        <v>0</v>
      </c>
      <c r="L187" s="9">
        <f t="shared" si="61"/>
        <v>0</v>
      </c>
      <c r="M187" s="123">
        <v>0</v>
      </c>
      <c r="N187" s="120">
        <v>0</v>
      </c>
      <c r="O187" s="11">
        <f t="shared" si="59"/>
        <v>0</v>
      </c>
      <c r="P187" s="11">
        <f>VALUE(J_normdate(J_ADDDAY($D187,$O187,1)))</f>
        <v>13980825</v>
      </c>
      <c r="Q187" s="10">
        <f t="shared" si="60"/>
        <v>0</v>
      </c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  <c r="ES187" s="8"/>
      <c r="ET187" s="8"/>
      <c r="EU187" s="8"/>
      <c r="EV187" s="8"/>
      <c r="EW187" s="8"/>
      <c r="EX187" s="8"/>
      <c r="EY187" s="8"/>
      <c r="EZ187" s="8"/>
      <c r="FA187" s="8"/>
      <c r="FB187" s="8"/>
      <c r="FC187" s="8"/>
      <c r="FD187" s="8"/>
      <c r="FE187" s="8"/>
      <c r="FF187" s="8"/>
      <c r="FG187" s="8"/>
      <c r="FH187" s="8"/>
      <c r="FI187" s="8"/>
      <c r="FJ187" s="8"/>
      <c r="FK187" s="8"/>
      <c r="FL187" s="8"/>
      <c r="FM187" s="8"/>
      <c r="FN187" s="8"/>
      <c r="FO187" s="8"/>
      <c r="FP187" s="8"/>
      <c r="FQ187" s="8"/>
      <c r="FR187" s="8"/>
      <c r="FS187" s="8"/>
      <c r="FT187" s="8"/>
      <c r="FU187" s="8"/>
      <c r="FV187" s="8"/>
      <c r="FW187" s="8"/>
      <c r="FX187" s="8"/>
      <c r="FY187" s="8"/>
      <c r="FZ187" s="8"/>
      <c r="GA187" s="8"/>
      <c r="GB187" s="8"/>
      <c r="GC187" s="8"/>
      <c r="GD187" s="8"/>
      <c r="GE187" s="8"/>
      <c r="GF187" s="8"/>
      <c r="GG187" s="8"/>
      <c r="GH187" s="8"/>
      <c r="GI187" s="8"/>
      <c r="GJ187" s="8"/>
      <c r="GK187" s="8"/>
      <c r="GL187" s="8"/>
      <c r="GM187" s="8"/>
      <c r="GN187" s="8"/>
      <c r="GO187" s="8"/>
      <c r="GP187" s="8"/>
      <c r="GQ187" s="8"/>
      <c r="GR187" s="8"/>
      <c r="GS187" s="8"/>
      <c r="GT187" s="8"/>
      <c r="GU187" s="8"/>
      <c r="GV187" s="8"/>
      <c r="GW187" s="8"/>
      <c r="GX187" s="8"/>
      <c r="GY187" s="8"/>
      <c r="GZ187" s="8"/>
      <c r="HA187" s="8"/>
      <c r="HB187" s="8"/>
      <c r="HC187" s="8"/>
      <c r="HD187" s="8"/>
      <c r="HE187" s="8"/>
      <c r="HF187" s="8"/>
      <c r="HG187" s="8"/>
      <c r="HH187" s="8"/>
      <c r="HI187" s="8"/>
      <c r="HJ187" s="8"/>
      <c r="HK187" s="8"/>
      <c r="HL187" s="8"/>
      <c r="HM187" s="8"/>
      <c r="HN187" s="8"/>
      <c r="HO187" s="8"/>
      <c r="HP187" s="8"/>
      <c r="HQ187" s="8"/>
      <c r="HR187" s="8"/>
      <c r="HS187" s="8"/>
      <c r="HT187" s="8"/>
      <c r="HU187" s="8"/>
      <c r="HV187" s="8"/>
      <c r="HW187" s="8"/>
      <c r="HX187" s="8"/>
      <c r="HY187" s="8"/>
      <c r="HZ187" s="8"/>
      <c r="IA187" s="8"/>
      <c r="IB187" s="8"/>
      <c r="IC187" s="8"/>
      <c r="ID187" s="8"/>
      <c r="IE187" s="8"/>
      <c r="IF187" s="8"/>
      <c r="IG187" s="8"/>
      <c r="IH187" s="8"/>
      <c r="II187" s="8"/>
      <c r="IJ187" s="8"/>
      <c r="IK187" s="8"/>
      <c r="IL187" s="8"/>
      <c r="IM187" s="8"/>
      <c r="IN187" s="8"/>
      <c r="IO187" s="8"/>
      <c r="IP187" s="8"/>
      <c r="IQ187" s="8"/>
      <c r="IR187" s="8"/>
      <c r="IS187" s="8"/>
      <c r="IT187" s="8"/>
      <c r="IU187" s="8"/>
      <c r="IV187" s="8"/>
      <c r="IW187" s="8"/>
      <c r="IX187" s="8"/>
      <c r="JA187" s="125"/>
      <c r="JB187" s="125"/>
      <c r="JC187" s="125"/>
      <c r="JD187" s="72">
        <f>SUM((TEXT(JA187,"[M]")/60)*'Income Person-hours'!$D$3,(TEXT(JB187,"[M]")/60)*'Income Person-hours'!$D$4,(TEXT(JC187,"[M]")/60)*'Income Person-hours'!$D$5)</f>
        <v>0</v>
      </c>
    </row>
    <row r="188" spans="1:264 16383:16384" s="12" customFormat="1" ht="15.75" hidden="1" x14ac:dyDescent="0.45">
      <c r="A188" s="33">
        <v>9.3000000000000007</v>
      </c>
      <c r="B188" s="128"/>
      <c r="C188" s="119"/>
      <c r="D188" s="13" t="str">
        <f>IF(OR(j_WEEKDAY(J_ADDDAY(VLOOKUP(I188,A:F,6,FALSE),H188,1),0)=6,SUMIFS(Holieday[ok],Holieday[date],J_ADDDAY(VLOOKUP(I188,A:F,6,FALSE),H188,1)))=FALSE(),J_ADDDAY(VLOOKUP(I188,A:F,6,FALSE),H188,1),IF(OR(j_WEEKDAY(J_ADDDAY(VLOOKUP(I188,A:F,6,FALSE),H188+1,1),0)=6,SUMIFS(Holieday[ok],Holieday[date],J_ADDDAY(VLOOKUP(I188,A:F,6,FALSE),H188+1,1)))=FALSE(),J_ADDDAY(VLOOKUP(I188,A:F,6,FALSE),H188+1,1),IF(OR(j_WEEKDAY(J_ADDDAY(VLOOKUP(I188,A:F,6,FALSE),H188+2,1),0)=6,SUMIFS(Holieday[ok],Holieday[date],J_ADDDAY(VLOOKUP(I188,A:F,6,FALSE),H188+2,1)))=FALSE(),J_ADDDAY(VLOOKUP(I188,A:F,6,FALSE),H188+2,1),IF(OR(j_WEEKDAY(J_ADDDAY(VLOOKUP(I188,A:F,6,FALSE),H188+3,1),0)=6,SUMIFS(Holieday[ok],Holieday[date],J_ADDDAY(VLOOKUP(I188,A:F,6,FALSE),H188+3,1)))=FALSE(),J_ADDDAY(VLOOKUP(I188,A:F,6,FALSE),H188+3,1),IF(OR(j_WEEKDAY(J_ADDDAY(VLOOKUP(I188,A:F,6,FALSE),H188+4,1),0)=6,SUMIFS(Holieday[ok],Holieday[date],J_ADDDAY(VLOOKUP(I188,A:F,6,FALSE),H188+4,1)))=FALSE(),J_ADDDAY(VLOOKUP(I188,A:F,6,FALSE),H188+4,1),J_ADDDAY(VLOOKUP(I188,A:F,6,FALSE),H188+5,1))))))</f>
        <v>1398/08/25</v>
      </c>
      <c r="E188" s="2">
        <f t="shared" si="57"/>
        <v>13980825</v>
      </c>
      <c r="F188" s="13" t="str">
        <f>IF(N188=0,J_SUBDAY(D188,1,1)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0,J_SUBDAY(J_ADDDAY(D188,N188,1)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1,J_SUBDAY(J_ADDDAY(D188,N188+1,1),1,1),IF((N188-NETWORKDAYS.INTL(J_GregorianDate(D188,1),J_GregorianDate(J_SUBDAY(J_ADDDAY(D188,N188,1),1,1),1),16,1)-SUMIFS(Holieday[ok],Holieday[date],CONCATENATE("&gt;","=",D188),Holieday[date],CONCATENATE("&lt;","=",J_SUBDAY(J_ADDDAY(D188,N188,1),1,1)))+SUMIFS(Holieday[Friday],Holieday[date],CONCATENATE("&gt;","=",D188),Holieday[date],CONCATENATE("&lt;","=",J_SUBDAY(J_ADDDAY(D188,N188,1),1,1))))=2,J_SUBDAY(J_ADDDAY(D188,N188+2,1),1,1),J_SUBDAY(J_ADDDAY(D188,N188+3,1),1,1)))))</f>
        <v>1398/08/24</v>
      </c>
      <c r="G188" s="3">
        <f t="shared" si="58"/>
        <v>13980824</v>
      </c>
      <c r="H188" s="121"/>
      <c r="I188" s="122">
        <v>8.4</v>
      </c>
      <c r="J188" s="10" t="str">
        <f>j_WEEKDAY(D188,1)</f>
        <v>شنبه</v>
      </c>
      <c r="K188" s="23">
        <f t="shared" si="62"/>
        <v>0</v>
      </c>
      <c r="L188" s="9">
        <f t="shared" si="61"/>
        <v>0</v>
      </c>
      <c r="M188" s="123">
        <v>0</v>
      </c>
      <c r="N188" s="120">
        <v>0</v>
      </c>
      <c r="O188" s="11">
        <f t="shared" si="59"/>
        <v>0</v>
      </c>
      <c r="P188" s="11">
        <f>VALUE(J_normdate(J_ADDDAY($D188,$O188,1)))</f>
        <v>13980825</v>
      </c>
      <c r="Q188" s="10">
        <f t="shared" si="60"/>
        <v>0</v>
      </c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  <c r="ES188" s="8"/>
      <c r="ET188" s="8"/>
      <c r="EU188" s="8"/>
      <c r="EV188" s="8"/>
      <c r="EW188" s="8"/>
      <c r="EX188" s="8"/>
      <c r="EY188" s="8"/>
      <c r="EZ188" s="8"/>
      <c r="FA188" s="8"/>
      <c r="FB188" s="8"/>
      <c r="FC188" s="8"/>
      <c r="FD188" s="8"/>
      <c r="FE188" s="8"/>
      <c r="FF188" s="8"/>
      <c r="FG188" s="8"/>
      <c r="FH188" s="8"/>
      <c r="FI188" s="8"/>
      <c r="FJ188" s="8"/>
      <c r="FK188" s="8"/>
      <c r="FL188" s="8"/>
      <c r="FM188" s="8"/>
      <c r="FN188" s="8"/>
      <c r="FO188" s="8"/>
      <c r="FP188" s="8"/>
      <c r="FQ188" s="8"/>
      <c r="FR188" s="8"/>
      <c r="FS188" s="8"/>
      <c r="FT188" s="8"/>
      <c r="FU188" s="8"/>
      <c r="FV188" s="8"/>
      <c r="FW188" s="8"/>
      <c r="FX188" s="8"/>
      <c r="FY188" s="8"/>
      <c r="FZ188" s="8"/>
      <c r="GA188" s="8"/>
      <c r="GB188" s="8"/>
      <c r="GC188" s="8"/>
      <c r="GD188" s="8"/>
      <c r="GE188" s="8"/>
      <c r="GF188" s="8"/>
      <c r="GG188" s="8"/>
      <c r="GH188" s="8"/>
      <c r="GI188" s="8"/>
      <c r="GJ188" s="8"/>
      <c r="GK188" s="8"/>
      <c r="GL188" s="8"/>
      <c r="GM188" s="8"/>
      <c r="GN188" s="8"/>
      <c r="GO188" s="8"/>
      <c r="GP188" s="8"/>
      <c r="GQ188" s="8"/>
      <c r="GR188" s="8"/>
      <c r="GS188" s="8"/>
      <c r="GT188" s="8"/>
      <c r="GU188" s="8"/>
      <c r="GV188" s="8"/>
      <c r="GW188" s="8"/>
      <c r="GX188" s="8"/>
      <c r="GY188" s="8"/>
      <c r="GZ188" s="8"/>
      <c r="HA188" s="8"/>
      <c r="HB188" s="8"/>
      <c r="HC188" s="8"/>
      <c r="HD188" s="8"/>
      <c r="HE188" s="8"/>
      <c r="HF188" s="8"/>
      <c r="HG188" s="8"/>
      <c r="HH188" s="8"/>
      <c r="HI188" s="8"/>
      <c r="HJ188" s="8"/>
      <c r="HK188" s="8"/>
      <c r="HL188" s="8"/>
      <c r="HM188" s="8"/>
      <c r="HN188" s="8"/>
      <c r="HO188" s="8"/>
      <c r="HP188" s="8"/>
      <c r="HQ188" s="8"/>
      <c r="HR188" s="8"/>
      <c r="HS188" s="8"/>
      <c r="HT188" s="8"/>
      <c r="HU188" s="8"/>
      <c r="HV188" s="8"/>
      <c r="HW188" s="8"/>
      <c r="HX188" s="8"/>
      <c r="HY188" s="8"/>
      <c r="HZ188" s="8"/>
      <c r="IA188" s="8"/>
      <c r="IB188" s="8"/>
      <c r="IC188" s="8"/>
      <c r="ID188" s="8"/>
      <c r="IE188" s="8"/>
      <c r="IF188" s="8"/>
      <c r="IG188" s="8"/>
      <c r="IH188" s="8"/>
      <c r="II188" s="8"/>
      <c r="IJ188" s="8"/>
      <c r="IK188" s="8"/>
      <c r="IL188" s="8"/>
      <c r="IM188" s="8"/>
      <c r="IN188" s="8"/>
      <c r="IO188" s="8"/>
      <c r="IP188" s="8"/>
      <c r="IQ188" s="8"/>
      <c r="IR188" s="8"/>
      <c r="IS188" s="8"/>
      <c r="IT188" s="8"/>
      <c r="IU188" s="8"/>
      <c r="IV188" s="8"/>
      <c r="IW188" s="8"/>
      <c r="IX188" s="8"/>
      <c r="JA188" s="125"/>
      <c r="JB188" s="125"/>
      <c r="JC188" s="125"/>
      <c r="JD188" s="72">
        <f>SUM((TEXT(JA188,"[M]")/60)*'Income Person-hours'!$D$3,(TEXT(JB188,"[M]")/60)*'Income Person-hours'!$D$4,(TEXT(JC188,"[M]")/60)*'Income Person-hours'!$D$5)</f>
        <v>0</v>
      </c>
    </row>
    <row r="189" spans="1:264 16383:16384" s="12" customFormat="1" ht="15.75" hidden="1" x14ac:dyDescent="0.45">
      <c r="A189" s="33">
        <v>9.4</v>
      </c>
      <c r="B189" s="128"/>
      <c r="C189" s="119"/>
      <c r="D189" s="13" t="str">
        <f>IF(OR(j_WEEKDAY(J_ADDDAY(VLOOKUP(I189,A:F,6,FALSE),H189,1),0)=6,SUMIFS(Holieday[ok],Holieday[date],J_ADDDAY(VLOOKUP(I189,A:F,6,FALSE),H189,1)))=FALSE(),J_ADDDAY(VLOOKUP(I189,A:F,6,FALSE),H189,1),IF(OR(j_WEEKDAY(J_ADDDAY(VLOOKUP(I189,A:F,6,FALSE),H189+1,1),0)=6,SUMIFS(Holieday[ok],Holieday[date],J_ADDDAY(VLOOKUP(I189,A:F,6,FALSE),H189+1,1)))=FALSE(),J_ADDDAY(VLOOKUP(I189,A:F,6,FALSE),H189+1,1),IF(OR(j_WEEKDAY(J_ADDDAY(VLOOKUP(I189,A:F,6,FALSE),H189+2,1),0)=6,SUMIFS(Holieday[ok],Holieday[date],J_ADDDAY(VLOOKUP(I189,A:F,6,FALSE),H189+2,1)))=FALSE(),J_ADDDAY(VLOOKUP(I189,A:F,6,FALSE),H189+2,1),IF(OR(j_WEEKDAY(J_ADDDAY(VLOOKUP(I189,A:F,6,FALSE),H189+3,1),0)=6,SUMIFS(Holieday[ok],Holieday[date],J_ADDDAY(VLOOKUP(I189,A:F,6,FALSE),H189+3,1)))=FALSE(),J_ADDDAY(VLOOKUP(I189,A:F,6,FALSE),H189+3,1),IF(OR(j_WEEKDAY(J_ADDDAY(VLOOKUP(I189,A:F,6,FALSE),H189+4,1),0)=6,SUMIFS(Holieday[ok],Holieday[date],J_ADDDAY(VLOOKUP(I189,A:F,6,FALSE),H189+4,1)))=FALSE(),J_ADDDAY(VLOOKUP(I189,A:F,6,FALSE),H189+4,1),J_ADDDAY(VLOOKUP(I189,A:F,6,FALSE),H189+5,1))))))</f>
        <v>1398/08/25</v>
      </c>
      <c r="E189" s="2">
        <f t="shared" si="57"/>
        <v>13980825</v>
      </c>
      <c r="F189" s="13" t="str">
        <f>IF(N189=0,J_SUBDAY(D189,1,1)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0,J_SUBDAY(J_ADDDAY(D189,N189,1)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1,J_SUBDAY(J_ADDDAY(D189,N189+1,1),1,1),IF((N189-NETWORKDAYS.INTL(J_GregorianDate(D189,1),J_GregorianDate(J_SUBDAY(J_ADDDAY(D189,N189,1),1,1),1),16,1)-SUMIFS(Holieday[ok],Holieday[date],CONCATENATE("&gt;","=",D189),Holieday[date],CONCATENATE("&lt;","=",J_SUBDAY(J_ADDDAY(D189,N189,1),1,1)))+SUMIFS(Holieday[Friday],Holieday[date],CONCATENATE("&gt;","=",D189),Holieday[date],CONCATENATE("&lt;","=",J_SUBDAY(J_ADDDAY(D189,N189,1),1,1))))=2,J_SUBDAY(J_ADDDAY(D189,N189+2,1),1,1),J_SUBDAY(J_ADDDAY(D189,N189+3,1),1,1)))))</f>
        <v>1398/08/24</v>
      </c>
      <c r="G189" s="3">
        <f t="shared" si="58"/>
        <v>13980824</v>
      </c>
      <c r="H189" s="121"/>
      <c r="I189" s="122">
        <v>8.4</v>
      </c>
      <c r="J189" s="10" t="str">
        <f>j_WEEKDAY(D189,1)</f>
        <v>شنبه</v>
      </c>
      <c r="K189" s="23">
        <f t="shared" si="62"/>
        <v>0</v>
      </c>
      <c r="L189" s="9">
        <f t="shared" si="61"/>
        <v>0</v>
      </c>
      <c r="M189" s="123">
        <v>0</v>
      </c>
      <c r="N189" s="120">
        <v>0</v>
      </c>
      <c r="O189" s="11">
        <f t="shared" si="59"/>
        <v>0</v>
      </c>
      <c r="P189" s="11">
        <f>VALUE(J_normdate(J_ADDDAY($D189,$O189,1)))</f>
        <v>13980825</v>
      </c>
      <c r="Q189" s="10">
        <f t="shared" si="60"/>
        <v>0</v>
      </c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  <c r="ES189" s="8"/>
      <c r="ET189" s="8"/>
      <c r="EU189" s="8"/>
      <c r="EV189" s="8"/>
      <c r="EW189" s="8"/>
      <c r="EX189" s="8"/>
      <c r="EY189" s="8"/>
      <c r="EZ189" s="8"/>
      <c r="FA189" s="8"/>
      <c r="FB189" s="8"/>
      <c r="FC189" s="8"/>
      <c r="FD189" s="8"/>
      <c r="FE189" s="8"/>
      <c r="FF189" s="8"/>
      <c r="FG189" s="8"/>
      <c r="FH189" s="8"/>
      <c r="FI189" s="8"/>
      <c r="FJ189" s="8"/>
      <c r="FK189" s="8"/>
      <c r="FL189" s="8"/>
      <c r="FM189" s="8"/>
      <c r="FN189" s="8"/>
      <c r="FO189" s="8"/>
      <c r="FP189" s="8"/>
      <c r="FQ189" s="8"/>
      <c r="FR189" s="8"/>
      <c r="FS189" s="8"/>
      <c r="FT189" s="8"/>
      <c r="FU189" s="8"/>
      <c r="FV189" s="8"/>
      <c r="FW189" s="8"/>
      <c r="FX189" s="8"/>
      <c r="FY189" s="8"/>
      <c r="FZ189" s="8"/>
      <c r="GA189" s="8"/>
      <c r="GB189" s="8"/>
      <c r="GC189" s="8"/>
      <c r="GD189" s="8"/>
      <c r="GE189" s="8"/>
      <c r="GF189" s="8"/>
      <c r="GG189" s="8"/>
      <c r="GH189" s="8"/>
      <c r="GI189" s="8"/>
      <c r="GJ189" s="8"/>
      <c r="GK189" s="8"/>
      <c r="GL189" s="8"/>
      <c r="GM189" s="8"/>
      <c r="GN189" s="8"/>
      <c r="GO189" s="8"/>
      <c r="GP189" s="8"/>
      <c r="GQ189" s="8"/>
      <c r="GR189" s="8"/>
      <c r="GS189" s="8"/>
      <c r="GT189" s="8"/>
      <c r="GU189" s="8"/>
      <c r="GV189" s="8"/>
      <c r="GW189" s="8"/>
      <c r="GX189" s="8"/>
      <c r="GY189" s="8"/>
      <c r="GZ189" s="8"/>
      <c r="HA189" s="8"/>
      <c r="HB189" s="8"/>
      <c r="HC189" s="8"/>
      <c r="HD189" s="8"/>
      <c r="HE189" s="8"/>
      <c r="HF189" s="8"/>
      <c r="HG189" s="8"/>
      <c r="HH189" s="8"/>
      <c r="HI189" s="8"/>
      <c r="HJ189" s="8"/>
      <c r="HK189" s="8"/>
      <c r="HL189" s="8"/>
      <c r="HM189" s="8"/>
      <c r="HN189" s="8"/>
      <c r="HO189" s="8"/>
      <c r="HP189" s="8"/>
      <c r="HQ189" s="8"/>
      <c r="HR189" s="8"/>
      <c r="HS189" s="8"/>
      <c r="HT189" s="8"/>
      <c r="HU189" s="8"/>
      <c r="HV189" s="8"/>
      <c r="HW189" s="8"/>
      <c r="HX189" s="8"/>
      <c r="HY189" s="8"/>
      <c r="HZ189" s="8"/>
      <c r="IA189" s="8"/>
      <c r="IB189" s="8"/>
      <c r="IC189" s="8"/>
      <c r="ID189" s="8"/>
      <c r="IE189" s="8"/>
      <c r="IF189" s="8"/>
      <c r="IG189" s="8"/>
      <c r="IH189" s="8"/>
      <c r="II189" s="8"/>
      <c r="IJ189" s="8"/>
      <c r="IK189" s="8"/>
      <c r="IL189" s="8"/>
      <c r="IM189" s="8"/>
      <c r="IN189" s="8"/>
      <c r="IO189" s="8"/>
      <c r="IP189" s="8"/>
      <c r="IQ189" s="8"/>
      <c r="IR189" s="8"/>
      <c r="IS189" s="8"/>
      <c r="IT189" s="8"/>
      <c r="IU189" s="8"/>
      <c r="IV189" s="8"/>
      <c r="IW189" s="8"/>
      <c r="IX189" s="8"/>
      <c r="JA189" s="125"/>
      <c r="JB189" s="125"/>
      <c r="JC189" s="125"/>
      <c r="JD189" s="72">
        <f>SUM((TEXT(JA189,"[M]")/60)*'Income Person-hours'!$D$3,(TEXT(JB189,"[M]")/60)*'Income Person-hours'!$D$4,(TEXT(JC189,"[M]")/60)*'Income Person-hours'!$D$5)</f>
        <v>0</v>
      </c>
    </row>
    <row r="190" spans="1:264 16383:16384" s="12" customFormat="1" ht="15.75" hidden="1" x14ac:dyDescent="0.45">
      <c r="A190" s="33">
        <v>9.5</v>
      </c>
      <c r="B190" s="128"/>
      <c r="C190" s="119"/>
      <c r="D190" s="13" t="str">
        <f>IF(OR(j_WEEKDAY(J_ADDDAY(VLOOKUP(I190,A:F,6,FALSE),H190,1),0)=6,SUMIFS(Holieday[ok],Holieday[date],J_ADDDAY(VLOOKUP(I190,A:F,6,FALSE),H190,1)))=FALSE(),J_ADDDAY(VLOOKUP(I190,A:F,6,FALSE),H190,1),IF(OR(j_WEEKDAY(J_ADDDAY(VLOOKUP(I190,A:F,6,FALSE),H190+1,1),0)=6,SUMIFS(Holieday[ok],Holieday[date],J_ADDDAY(VLOOKUP(I190,A:F,6,FALSE),H190+1,1)))=FALSE(),J_ADDDAY(VLOOKUP(I190,A:F,6,FALSE),H190+1,1),IF(OR(j_WEEKDAY(J_ADDDAY(VLOOKUP(I190,A:F,6,FALSE),H190+2,1),0)=6,SUMIFS(Holieday[ok],Holieday[date],J_ADDDAY(VLOOKUP(I190,A:F,6,FALSE),H190+2,1)))=FALSE(),J_ADDDAY(VLOOKUP(I190,A:F,6,FALSE),H190+2,1),IF(OR(j_WEEKDAY(J_ADDDAY(VLOOKUP(I190,A:F,6,FALSE),H190+3,1),0)=6,SUMIFS(Holieday[ok],Holieday[date],J_ADDDAY(VLOOKUP(I190,A:F,6,FALSE),H190+3,1)))=FALSE(),J_ADDDAY(VLOOKUP(I190,A:F,6,FALSE),H190+3,1),IF(OR(j_WEEKDAY(J_ADDDAY(VLOOKUP(I190,A:F,6,FALSE),H190+4,1),0)=6,SUMIFS(Holieday[ok],Holieday[date],J_ADDDAY(VLOOKUP(I190,A:F,6,FALSE),H190+4,1)))=FALSE(),J_ADDDAY(VLOOKUP(I190,A:F,6,FALSE),H190+4,1),J_ADDDAY(VLOOKUP(I190,A:F,6,FALSE),H190+5,1))))))</f>
        <v>1398/08/25</v>
      </c>
      <c r="E190" s="2">
        <f t="shared" si="57"/>
        <v>13980825</v>
      </c>
      <c r="F190" s="13" t="str">
        <f>IF(N190=0,J_SUBDAY(D190,1,1)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0,J_SUBDAY(J_ADDDAY(D190,N190,1)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1,J_SUBDAY(J_ADDDAY(D190,N190+1,1),1,1),IF((N190-NETWORKDAYS.INTL(J_GregorianDate(D190,1),J_GregorianDate(J_SUBDAY(J_ADDDAY(D190,N190,1),1,1),1),16,1)-SUMIFS(Holieday[ok],Holieday[date],CONCATENATE("&gt;","=",D190),Holieday[date],CONCATENATE("&lt;","=",J_SUBDAY(J_ADDDAY(D190,N190,1),1,1)))+SUMIFS(Holieday[Friday],Holieday[date],CONCATENATE("&gt;","=",D190),Holieday[date],CONCATENATE("&lt;","=",J_SUBDAY(J_ADDDAY(D190,N190,1),1,1))))=2,J_SUBDAY(J_ADDDAY(D190,N190+2,1),1,1),J_SUBDAY(J_ADDDAY(D190,N190+3,1),1,1)))))</f>
        <v>1398/08/24</v>
      </c>
      <c r="G190" s="3">
        <f t="shared" si="58"/>
        <v>13980824</v>
      </c>
      <c r="H190" s="121"/>
      <c r="I190" s="122">
        <v>8.4</v>
      </c>
      <c r="J190" s="10" t="str">
        <f>j_WEEKDAY(D190,1)</f>
        <v>شنبه</v>
      </c>
      <c r="K190" s="23">
        <f t="shared" si="62"/>
        <v>0</v>
      </c>
      <c r="L190" s="9">
        <f t="shared" si="61"/>
        <v>0</v>
      </c>
      <c r="M190" s="123">
        <v>0</v>
      </c>
      <c r="N190" s="120">
        <v>0</v>
      </c>
      <c r="O190" s="11">
        <f t="shared" si="59"/>
        <v>0</v>
      </c>
      <c r="P190" s="11">
        <f>VALUE(J_normdate(J_ADDDAY($D190,$O190,1)))</f>
        <v>13980825</v>
      </c>
      <c r="Q190" s="10">
        <f t="shared" si="60"/>
        <v>0</v>
      </c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  <c r="ES190" s="8"/>
      <c r="ET190" s="8"/>
      <c r="EU190" s="8"/>
      <c r="EV190" s="8"/>
      <c r="EW190" s="8"/>
      <c r="EX190" s="8"/>
      <c r="EY190" s="8"/>
      <c r="EZ190" s="8"/>
      <c r="FA190" s="8"/>
      <c r="FB190" s="8"/>
      <c r="FC190" s="8"/>
      <c r="FD190" s="8"/>
      <c r="FE190" s="8"/>
      <c r="FF190" s="8"/>
      <c r="FG190" s="8"/>
      <c r="FH190" s="8"/>
      <c r="FI190" s="8"/>
      <c r="FJ190" s="8"/>
      <c r="FK190" s="8"/>
      <c r="FL190" s="8"/>
      <c r="FM190" s="8"/>
      <c r="FN190" s="8"/>
      <c r="FO190" s="8"/>
      <c r="FP190" s="8"/>
      <c r="FQ190" s="8"/>
      <c r="FR190" s="8"/>
      <c r="FS190" s="8"/>
      <c r="FT190" s="8"/>
      <c r="FU190" s="8"/>
      <c r="FV190" s="8"/>
      <c r="FW190" s="8"/>
      <c r="FX190" s="8"/>
      <c r="FY190" s="8"/>
      <c r="FZ190" s="8"/>
      <c r="GA190" s="8"/>
      <c r="GB190" s="8"/>
      <c r="GC190" s="8"/>
      <c r="GD190" s="8"/>
      <c r="GE190" s="8"/>
      <c r="GF190" s="8"/>
      <c r="GG190" s="8"/>
      <c r="GH190" s="8"/>
      <c r="GI190" s="8"/>
      <c r="GJ190" s="8"/>
      <c r="GK190" s="8"/>
      <c r="GL190" s="8"/>
      <c r="GM190" s="8"/>
      <c r="GN190" s="8"/>
      <c r="GO190" s="8"/>
      <c r="GP190" s="8"/>
      <c r="GQ190" s="8"/>
      <c r="GR190" s="8"/>
      <c r="GS190" s="8"/>
      <c r="GT190" s="8"/>
      <c r="GU190" s="8"/>
      <c r="GV190" s="8"/>
      <c r="GW190" s="8"/>
      <c r="GX190" s="8"/>
      <c r="GY190" s="8"/>
      <c r="GZ190" s="8"/>
      <c r="HA190" s="8"/>
      <c r="HB190" s="8"/>
      <c r="HC190" s="8"/>
      <c r="HD190" s="8"/>
      <c r="HE190" s="8"/>
      <c r="HF190" s="8"/>
      <c r="HG190" s="8"/>
      <c r="HH190" s="8"/>
      <c r="HI190" s="8"/>
      <c r="HJ190" s="8"/>
      <c r="HK190" s="8"/>
      <c r="HL190" s="8"/>
      <c r="HM190" s="8"/>
      <c r="HN190" s="8"/>
      <c r="HO190" s="8"/>
      <c r="HP190" s="8"/>
      <c r="HQ190" s="8"/>
      <c r="HR190" s="8"/>
      <c r="HS190" s="8"/>
      <c r="HT190" s="8"/>
      <c r="HU190" s="8"/>
      <c r="HV190" s="8"/>
      <c r="HW190" s="8"/>
      <c r="HX190" s="8"/>
      <c r="HY190" s="8"/>
      <c r="HZ190" s="8"/>
      <c r="IA190" s="8"/>
      <c r="IB190" s="8"/>
      <c r="IC190" s="8"/>
      <c r="ID190" s="8"/>
      <c r="IE190" s="8"/>
      <c r="IF190" s="8"/>
      <c r="IG190" s="8"/>
      <c r="IH190" s="8"/>
      <c r="II190" s="8"/>
      <c r="IJ190" s="8"/>
      <c r="IK190" s="8"/>
      <c r="IL190" s="8"/>
      <c r="IM190" s="8"/>
      <c r="IN190" s="8"/>
      <c r="IO190" s="8"/>
      <c r="IP190" s="8"/>
      <c r="IQ190" s="8"/>
      <c r="IR190" s="8"/>
      <c r="IS190" s="8"/>
      <c r="IT190" s="8"/>
      <c r="IU190" s="8"/>
      <c r="IV190" s="8"/>
      <c r="IW190" s="8"/>
      <c r="IX190" s="8"/>
      <c r="JA190" s="125"/>
      <c r="JB190" s="125"/>
      <c r="JC190" s="125"/>
      <c r="JD190" s="72">
        <f>SUM((TEXT(JA190,"[M]")/60)*'Income Person-hours'!$D$3,(TEXT(JB190,"[M]")/60)*'Income Person-hours'!$D$4,(TEXT(JC190,"[M]")/60)*'Income Person-hours'!$D$5)</f>
        <v>0</v>
      </c>
    </row>
    <row r="191" spans="1:264 16383:16384" s="12" customFormat="1" ht="15.75" hidden="1" x14ac:dyDescent="0.45">
      <c r="A191" s="33">
        <v>9.6</v>
      </c>
      <c r="B191" s="128"/>
      <c r="C191" s="119"/>
      <c r="D191" s="13" t="str">
        <f>IF(OR(j_WEEKDAY(J_ADDDAY(VLOOKUP(I191,A:F,6,FALSE),H191,1),0)=6,SUMIFS(Holieday[ok],Holieday[date],J_ADDDAY(VLOOKUP(I191,A:F,6,FALSE),H191,1)))=FALSE(),J_ADDDAY(VLOOKUP(I191,A:F,6,FALSE),H191,1),IF(OR(j_WEEKDAY(J_ADDDAY(VLOOKUP(I191,A:F,6,FALSE),H191+1,1),0)=6,SUMIFS(Holieday[ok],Holieday[date],J_ADDDAY(VLOOKUP(I191,A:F,6,FALSE),H191+1,1)))=FALSE(),J_ADDDAY(VLOOKUP(I191,A:F,6,FALSE),H191+1,1),IF(OR(j_WEEKDAY(J_ADDDAY(VLOOKUP(I191,A:F,6,FALSE),H191+2,1),0)=6,SUMIFS(Holieday[ok],Holieday[date],J_ADDDAY(VLOOKUP(I191,A:F,6,FALSE),H191+2,1)))=FALSE(),J_ADDDAY(VLOOKUP(I191,A:F,6,FALSE),H191+2,1),IF(OR(j_WEEKDAY(J_ADDDAY(VLOOKUP(I191,A:F,6,FALSE),H191+3,1),0)=6,SUMIFS(Holieday[ok],Holieday[date],J_ADDDAY(VLOOKUP(I191,A:F,6,FALSE),H191+3,1)))=FALSE(),J_ADDDAY(VLOOKUP(I191,A:F,6,FALSE),H191+3,1),IF(OR(j_WEEKDAY(J_ADDDAY(VLOOKUP(I191,A:F,6,FALSE),H191+4,1),0)=6,SUMIFS(Holieday[ok],Holieday[date],J_ADDDAY(VLOOKUP(I191,A:F,6,FALSE),H191+4,1)))=FALSE(),J_ADDDAY(VLOOKUP(I191,A:F,6,FALSE),H191+4,1),J_ADDDAY(VLOOKUP(I191,A:F,6,FALSE),H191+5,1))))))</f>
        <v>1398/08/25</v>
      </c>
      <c r="E191" s="2">
        <f t="shared" si="57"/>
        <v>13980825</v>
      </c>
      <c r="F191" s="13" t="str">
        <f>IF(N191=0,J_SUBDAY(D191,1,1)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0,J_SUBDAY(J_ADDDAY(D191,N191,1)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1,J_SUBDAY(J_ADDDAY(D191,N191+1,1),1,1),IF((N191-NETWORKDAYS.INTL(J_GregorianDate(D191,1),J_GregorianDate(J_SUBDAY(J_ADDDAY(D191,N191,1),1,1),1),16,1)-SUMIFS(Holieday[ok],Holieday[date],CONCATENATE("&gt;","=",D191),Holieday[date],CONCATENATE("&lt;","=",J_SUBDAY(J_ADDDAY(D191,N191,1),1,1)))+SUMIFS(Holieday[Friday],Holieday[date],CONCATENATE("&gt;","=",D191),Holieday[date],CONCATENATE("&lt;","=",J_SUBDAY(J_ADDDAY(D191,N191,1),1,1))))=2,J_SUBDAY(J_ADDDAY(D191,N191+2,1),1,1),J_SUBDAY(J_ADDDAY(D191,N191+3,1),1,1)))))</f>
        <v>1398/08/24</v>
      </c>
      <c r="G191" s="3">
        <f t="shared" si="58"/>
        <v>13980824</v>
      </c>
      <c r="H191" s="121"/>
      <c r="I191" s="122">
        <v>8.4</v>
      </c>
      <c r="J191" s="10" t="str">
        <f>j_WEEKDAY(D191,1)</f>
        <v>شنبه</v>
      </c>
      <c r="K191" s="23">
        <f t="shared" si="62"/>
        <v>0</v>
      </c>
      <c r="L191" s="9">
        <f t="shared" si="61"/>
        <v>0</v>
      </c>
      <c r="M191" s="123">
        <v>0</v>
      </c>
      <c r="N191" s="120">
        <v>0</v>
      </c>
      <c r="O191" s="11">
        <f t="shared" si="59"/>
        <v>0</v>
      </c>
      <c r="P191" s="11">
        <f>VALUE(J_normdate(J_ADDDAY($D191,$O191,1)))</f>
        <v>13980825</v>
      </c>
      <c r="Q191" s="10">
        <f t="shared" si="60"/>
        <v>0</v>
      </c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  <c r="ES191" s="8"/>
      <c r="ET191" s="8"/>
      <c r="EU191" s="8"/>
      <c r="EV191" s="8"/>
      <c r="EW191" s="8"/>
      <c r="EX191" s="8"/>
      <c r="EY191" s="8"/>
      <c r="EZ191" s="8"/>
      <c r="FA191" s="8"/>
      <c r="FB191" s="8"/>
      <c r="FC191" s="8"/>
      <c r="FD191" s="8"/>
      <c r="FE191" s="8"/>
      <c r="FF191" s="8"/>
      <c r="FG191" s="8"/>
      <c r="FH191" s="8"/>
      <c r="FI191" s="8"/>
      <c r="FJ191" s="8"/>
      <c r="FK191" s="8"/>
      <c r="FL191" s="8"/>
      <c r="FM191" s="8"/>
      <c r="FN191" s="8"/>
      <c r="FO191" s="8"/>
      <c r="FP191" s="8"/>
      <c r="FQ191" s="8"/>
      <c r="FR191" s="8"/>
      <c r="FS191" s="8"/>
      <c r="FT191" s="8"/>
      <c r="FU191" s="8"/>
      <c r="FV191" s="8"/>
      <c r="FW191" s="8"/>
      <c r="FX191" s="8"/>
      <c r="FY191" s="8"/>
      <c r="FZ191" s="8"/>
      <c r="GA191" s="8"/>
      <c r="GB191" s="8"/>
      <c r="GC191" s="8"/>
      <c r="GD191" s="8"/>
      <c r="GE191" s="8"/>
      <c r="GF191" s="8"/>
      <c r="GG191" s="8"/>
      <c r="GH191" s="8"/>
      <c r="GI191" s="8"/>
      <c r="GJ191" s="8"/>
      <c r="GK191" s="8"/>
      <c r="GL191" s="8"/>
      <c r="GM191" s="8"/>
      <c r="GN191" s="8"/>
      <c r="GO191" s="8"/>
      <c r="GP191" s="8"/>
      <c r="GQ191" s="8"/>
      <c r="GR191" s="8"/>
      <c r="GS191" s="8"/>
      <c r="GT191" s="8"/>
      <c r="GU191" s="8"/>
      <c r="GV191" s="8"/>
      <c r="GW191" s="8"/>
      <c r="GX191" s="8"/>
      <c r="GY191" s="8"/>
      <c r="GZ191" s="8"/>
      <c r="HA191" s="8"/>
      <c r="HB191" s="8"/>
      <c r="HC191" s="8"/>
      <c r="HD191" s="8"/>
      <c r="HE191" s="8"/>
      <c r="HF191" s="8"/>
      <c r="HG191" s="8"/>
      <c r="HH191" s="8"/>
      <c r="HI191" s="8"/>
      <c r="HJ191" s="8"/>
      <c r="HK191" s="8"/>
      <c r="HL191" s="8"/>
      <c r="HM191" s="8"/>
      <c r="HN191" s="8"/>
      <c r="HO191" s="8"/>
      <c r="HP191" s="8"/>
      <c r="HQ191" s="8"/>
      <c r="HR191" s="8"/>
      <c r="HS191" s="8"/>
      <c r="HT191" s="8"/>
      <c r="HU191" s="8"/>
      <c r="HV191" s="8"/>
      <c r="HW191" s="8"/>
      <c r="HX191" s="8"/>
      <c r="HY191" s="8"/>
      <c r="HZ191" s="8"/>
      <c r="IA191" s="8"/>
      <c r="IB191" s="8"/>
      <c r="IC191" s="8"/>
      <c r="ID191" s="8"/>
      <c r="IE191" s="8"/>
      <c r="IF191" s="8"/>
      <c r="IG191" s="8"/>
      <c r="IH191" s="8"/>
      <c r="II191" s="8"/>
      <c r="IJ191" s="8"/>
      <c r="IK191" s="8"/>
      <c r="IL191" s="8"/>
      <c r="IM191" s="8"/>
      <c r="IN191" s="8"/>
      <c r="IO191" s="8"/>
      <c r="IP191" s="8"/>
      <c r="IQ191" s="8"/>
      <c r="IR191" s="8"/>
      <c r="IS191" s="8"/>
      <c r="IT191" s="8"/>
      <c r="IU191" s="8"/>
      <c r="IV191" s="8"/>
      <c r="IW191" s="8"/>
      <c r="IX191" s="8"/>
      <c r="JA191" s="125"/>
      <c r="JB191" s="125"/>
      <c r="JC191" s="125"/>
      <c r="JD191" s="72">
        <f>SUM((TEXT(JA191,"[M]")/60)*'Income Person-hours'!$D$3,(TEXT(JB191,"[M]")/60)*'Income Person-hours'!$D$4,(TEXT(JC191,"[M]")/60)*'Income Person-hours'!$D$5)</f>
        <v>0</v>
      </c>
    </row>
    <row r="192" spans="1:264 16383:16384" s="12" customFormat="1" ht="15.75" hidden="1" x14ac:dyDescent="0.45">
      <c r="A192" s="33">
        <v>9.6999999999999993</v>
      </c>
      <c r="B192" s="128"/>
      <c r="C192" s="119"/>
      <c r="D192" s="13" t="str">
        <f>IF(OR(j_WEEKDAY(J_ADDDAY(VLOOKUP(I192,A:F,6,FALSE),H192,1),0)=6,SUMIFS(Holieday[ok],Holieday[date],J_ADDDAY(VLOOKUP(I192,A:F,6,FALSE),H192,1)))=FALSE(),J_ADDDAY(VLOOKUP(I192,A:F,6,FALSE),H192,1),IF(OR(j_WEEKDAY(J_ADDDAY(VLOOKUP(I192,A:F,6,FALSE),H192+1,1),0)=6,SUMIFS(Holieday[ok],Holieday[date],J_ADDDAY(VLOOKUP(I192,A:F,6,FALSE),H192+1,1)))=FALSE(),J_ADDDAY(VLOOKUP(I192,A:F,6,FALSE),H192+1,1),IF(OR(j_WEEKDAY(J_ADDDAY(VLOOKUP(I192,A:F,6,FALSE),H192+2,1),0)=6,SUMIFS(Holieday[ok],Holieday[date],J_ADDDAY(VLOOKUP(I192,A:F,6,FALSE),H192+2,1)))=FALSE(),J_ADDDAY(VLOOKUP(I192,A:F,6,FALSE),H192+2,1),IF(OR(j_WEEKDAY(J_ADDDAY(VLOOKUP(I192,A:F,6,FALSE),H192+3,1),0)=6,SUMIFS(Holieday[ok],Holieday[date],J_ADDDAY(VLOOKUP(I192,A:F,6,FALSE),H192+3,1)))=FALSE(),J_ADDDAY(VLOOKUP(I192,A:F,6,FALSE),H192+3,1),IF(OR(j_WEEKDAY(J_ADDDAY(VLOOKUP(I192,A:F,6,FALSE),H192+4,1),0)=6,SUMIFS(Holieday[ok],Holieday[date],J_ADDDAY(VLOOKUP(I192,A:F,6,FALSE),H192+4,1)))=FALSE(),J_ADDDAY(VLOOKUP(I192,A:F,6,FALSE),H192+4,1),J_ADDDAY(VLOOKUP(I192,A:F,6,FALSE),H192+5,1))))))</f>
        <v>1398/08/25</v>
      </c>
      <c r="E192" s="2">
        <f t="shared" si="57"/>
        <v>13980825</v>
      </c>
      <c r="F192" s="13" t="str">
        <f>IF(N192=0,J_SUBDAY(D192,1,1)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0,J_SUBDAY(J_ADDDAY(D192,N192,1)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1,J_SUBDAY(J_ADDDAY(D192,N192+1,1),1,1),IF((N192-NETWORKDAYS.INTL(J_GregorianDate(D192,1),J_GregorianDate(J_SUBDAY(J_ADDDAY(D192,N192,1),1,1),1),16,1)-SUMIFS(Holieday[ok],Holieday[date],CONCATENATE("&gt;","=",D192),Holieday[date],CONCATENATE("&lt;","=",J_SUBDAY(J_ADDDAY(D192,N192,1),1,1)))+SUMIFS(Holieday[Friday],Holieday[date],CONCATENATE("&gt;","=",D192),Holieday[date],CONCATENATE("&lt;","=",J_SUBDAY(J_ADDDAY(D192,N192,1),1,1))))=2,J_SUBDAY(J_ADDDAY(D192,N192+2,1),1,1),J_SUBDAY(J_ADDDAY(D192,N192+3,1),1,1)))))</f>
        <v>1398/08/24</v>
      </c>
      <c r="G192" s="3">
        <f t="shared" si="58"/>
        <v>13980824</v>
      </c>
      <c r="H192" s="121"/>
      <c r="I192" s="122">
        <v>8.4</v>
      </c>
      <c r="J192" s="10" t="str">
        <f>j_WEEKDAY(D192,1)</f>
        <v>شنبه</v>
      </c>
      <c r="K192" s="23">
        <f t="shared" si="62"/>
        <v>0</v>
      </c>
      <c r="L192" s="9">
        <f t="shared" si="61"/>
        <v>0</v>
      </c>
      <c r="M192" s="123">
        <v>0</v>
      </c>
      <c r="N192" s="120">
        <v>0</v>
      </c>
      <c r="O192" s="11">
        <f t="shared" si="59"/>
        <v>0</v>
      </c>
      <c r="P192" s="11">
        <f>VALUE(J_normdate(J_ADDDAY($D192,$O192,1)))</f>
        <v>13980825</v>
      </c>
      <c r="Q192" s="10">
        <f t="shared" si="60"/>
        <v>0</v>
      </c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  <c r="ES192" s="8"/>
      <c r="ET192" s="8"/>
      <c r="EU192" s="8"/>
      <c r="EV192" s="8"/>
      <c r="EW192" s="8"/>
      <c r="EX192" s="8"/>
      <c r="EY192" s="8"/>
      <c r="EZ192" s="8"/>
      <c r="FA192" s="8"/>
      <c r="FB192" s="8"/>
      <c r="FC192" s="8"/>
      <c r="FD192" s="8"/>
      <c r="FE192" s="8"/>
      <c r="FF192" s="8"/>
      <c r="FG192" s="8"/>
      <c r="FH192" s="8"/>
      <c r="FI192" s="8"/>
      <c r="FJ192" s="8"/>
      <c r="FK192" s="8"/>
      <c r="FL192" s="8"/>
      <c r="FM192" s="8"/>
      <c r="FN192" s="8"/>
      <c r="FO192" s="8"/>
      <c r="FP192" s="8"/>
      <c r="FQ192" s="8"/>
      <c r="FR192" s="8"/>
      <c r="FS192" s="8"/>
      <c r="FT192" s="8"/>
      <c r="FU192" s="8"/>
      <c r="FV192" s="8"/>
      <c r="FW192" s="8"/>
      <c r="FX192" s="8"/>
      <c r="FY192" s="8"/>
      <c r="FZ192" s="8"/>
      <c r="GA192" s="8"/>
      <c r="GB192" s="8"/>
      <c r="GC192" s="8"/>
      <c r="GD192" s="8"/>
      <c r="GE192" s="8"/>
      <c r="GF192" s="8"/>
      <c r="GG192" s="8"/>
      <c r="GH192" s="8"/>
      <c r="GI192" s="8"/>
      <c r="GJ192" s="8"/>
      <c r="GK192" s="8"/>
      <c r="GL192" s="8"/>
      <c r="GM192" s="8"/>
      <c r="GN192" s="8"/>
      <c r="GO192" s="8"/>
      <c r="GP192" s="8"/>
      <c r="GQ192" s="8"/>
      <c r="GR192" s="8"/>
      <c r="GS192" s="8"/>
      <c r="GT192" s="8"/>
      <c r="GU192" s="8"/>
      <c r="GV192" s="8"/>
      <c r="GW192" s="8"/>
      <c r="GX192" s="8"/>
      <c r="GY192" s="8"/>
      <c r="GZ192" s="8"/>
      <c r="HA192" s="8"/>
      <c r="HB192" s="8"/>
      <c r="HC192" s="8"/>
      <c r="HD192" s="8"/>
      <c r="HE192" s="8"/>
      <c r="HF192" s="8"/>
      <c r="HG192" s="8"/>
      <c r="HH192" s="8"/>
      <c r="HI192" s="8"/>
      <c r="HJ192" s="8"/>
      <c r="HK192" s="8"/>
      <c r="HL192" s="8"/>
      <c r="HM192" s="8"/>
      <c r="HN192" s="8"/>
      <c r="HO192" s="8"/>
      <c r="HP192" s="8"/>
      <c r="HQ192" s="8"/>
      <c r="HR192" s="8"/>
      <c r="HS192" s="8"/>
      <c r="HT192" s="8"/>
      <c r="HU192" s="8"/>
      <c r="HV192" s="8"/>
      <c r="HW192" s="8"/>
      <c r="HX192" s="8"/>
      <c r="HY192" s="8"/>
      <c r="HZ192" s="8"/>
      <c r="IA192" s="8"/>
      <c r="IB192" s="8"/>
      <c r="IC192" s="8"/>
      <c r="ID192" s="8"/>
      <c r="IE192" s="8"/>
      <c r="IF192" s="8"/>
      <c r="IG192" s="8"/>
      <c r="IH192" s="8"/>
      <c r="II192" s="8"/>
      <c r="IJ192" s="8"/>
      <c r="IK192" s="8"/>
      <c r="IL192" s="8"/>
      <c r="IM192" s="8"/>
      <c r="IN192" s="8"/>
      <c r="IO192" s="8"/>
      <c r="IP192" s="8"/>
      <c r="IQ192" s="8"/>
      <c r="IR192" s="8"/>
      <c r="IS192" s="8"/>
      <c r="IT192" s="8"/>
      <c r="IU192" s="8"/>
      <c r="IV192" s="8"/>
      <c r="IW192" s="8"/>
      <c r="IX192" s="8"/>
      <c r="JA192" s="125"/>
      <c r="JB192" s="125"/>
      <c r="JC192" s="125"/>
      <c r="JD192" s="72">
        <f>SUM((TEXT(JA192,"[M]")/60)*'Income Person-hours'!$D$3,(TEXT(JB192,"[M]")/60)*'Income Person-hours'!$D$4,(TEXT(JC192,"[M]")/60)*'Income Person-hours'!$D$5)</f>
        <v>0</v>
      </c>
    </row>
    <row r="193" spans="1:264 16383:16384" s="12" customFormat="1" ht="15.75" hidden="1" x14ac:dyDescent="0.45">
      <c r="A193" s="33">
        <v>9.8000000000000007</v>
      </c>
      <c r="B193" s="128"/>
      <c r="C193" s="119"/>
      <c r="D193" s="13" t="str">
        <f>IF(OR(j_WEEKDAY(J_ADDDAY(VLOOKUP(I193,A:F,6,FALSE),H193,1),0)=6,SUMIFS(Holieday[ok],Holieday[date],J_ADDDAY(VLOOKUP(I193,A:F,6,FALSE),H193,1)))=FALSE(),J_ADDDAY(VLOOKUP(I193,A:F,6,FALSE),H193,1),IF(OR(j_WEEKDAY(J_ADDDAY(VLOOKUP(I193,A:F,6,FALSE),H193+1,1),0)=6,SUMIFS(Holieday[ok],Holieday[date],J_ADDDAY(VLOOKUP(I193,A:F,6,FALSE),H193+1,1)))=FALSE(),J_ADDDAY(VLOOKUP(I193,A:F,6,FALSE),H193+1,1),IF(OR(j_WEEKDAY(J_ADDDAY(VLOOKUP(I193,A:F,6,FALSE),H193+2,1),0)=6,SUMIFS(Holieday[ok],Holieday[date],J_ADDDAY(VLOOKUP(I193,A:F,6,FALSE),H193+2,1)))=FALSE(),J_ADDDAY(VLOOKUP(I193,A:F,6,FALSE),H193+2,1),IF(OR(j_WEEKDAY(J_ADDDAY(VLOOKUP(I193,A:F,6,FALSE),H193+3,1),0)=6,SUMIFS(Holieday[ok],Holieday[date],J_ADDDAY(VLOOKUP(I193,A:F,6,FALSE),H193+3,1)))=FALSE(),J_ADDDAY(VLOOKUP(I193,A:F,6,FALSE),H193+3,1),IF(OR(j_WEEKDAY(J_ADDDAY(VLOOKUP(I193,A:F,6,FALSE),H193+4,1),0)=6,SUMIFS(Holieday[ok],Holieday[date],J_ADDDAY(VLOOKUP(I193,A:F,6,FALSE),H193+4,1)))=FALSE(),J_ADDDAY(VLOOKUP(I193,A:F,6,FALSE),H193+4,1),J_ADDDAY(VLOOKUP(I193,A:F,6,FALSE),H193+5,1))))))</f>
        <v>1398/08/25</v>
      </c>
      <c r="E193" s="2">
        <f t="shared" si="57"/>
        <v>13980825</v>
      </c>
      <c r="F193" s="13" t="str">
        <f>IF(N193=0,J_SUBDAY(D193,1,1)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0,J_SUBDAY(J_ADDDAY(D193,N193,1)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1,J_SUBDAY(J_ADDDAY(D193,N193+1,1),1,1),IF((N193-NETWORKDAYS.INTL(J_GregorianDate(D193,1),J_GregorianDate(J_SUBDAY(J_ADDDAY(D193,N193,1),1,1),1),16,1)-SUMIFS(Holieday[ok],Holieday[date],CONCATENATE("&gt;","=",D193),Holieday[date],CONCATENATE("&lt;","=",J_SUBDAY(J_ADDDAY(D193,N193,1),1,1)))+SUMIFS(Holieday[Friday],Holieday[date],CONCATENATE("&gt;","=",D193),Holieday[date],CONCATENATE("&lt;","=",J_SUBDAY(J_ADDDAY(D193,N193,1),1,1))))=2,J_SUBDAY(J_ADDDAY(D193,N193+2,1),1,1),J_SUBDAY(J_ADDDAY(D193,N193+3,1),1,1)))))</f>
        <v>1398/08/24</v>
      </c>
      <c r="G193" s="3">
        <f t="shared" si="58"/>
        <v>13980824</v>
      </c>
      <c r="H193" s="121"/>
      <c r="I193" s="122">
        <v>8.4</v>
      </c>
      <c r="J193" s="10" t="str">
        <f>j_WEEKDAY(D193,1)</f>
        <v>شنبه</v>
      </c>
      <c r="K193" s="23">
        <f t="shared" si="62"/>
        <v>0</v>
      </c>
      <c r="L193" s="9">
        <f t="shared" si="61"/>
        <v>0</v>
      </c>
      <c r="M193" s="123">
        <v>0</v>
      </c>
      <c r="N193" s="120">
        <v>0</v>
      </c>
      <c r="O193" s="11">
        <f t="shared" si="59"/>
        <v>0</v>
      </c>
      <c r="P193" s="11">
        <f>VALUE(J_normdate(J_ADDDAY($D193,$O193,1)))</f>
        <v>13980825</v>
      </c>
      <c r="Q193" s="10">
        <f t="shared" si="60"/>
        <v>0</v>
      </c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  <c r="ES193" s="8"/>
      <c r="ET193" s="8"/>
      <c r="EU193" s="8"/>
      <c r="EV193" s="8"/>
      <c r="EW193" s="8"/>
      <c r="EX193" s="8"/>
      <c r="EY193" s="8"/>
      <c r="EZ193" s="8"/>
      <c r="FA193" s="8"/>
      <c r="FB193" s="8"/>
      <c r="FC193" s="8"/>
      <c r="FD193" s="8"/>
      <c r="FE193" s="8"/>
      <c r="FF193" s="8"/>
      <c r="FG193" s="8"/>
      <c r="FH193" s="8"/>
      <c r="FI193" s="8"/>
      <c r="FJ193" s="8"/>
      <c r="FK193" s="8"/>
      <c r="FL193" s="8"/>
      <c r="FM193" s="8"/>
      <c r="FN193" s="8"/>
      <c r="FO193" s="8"/>
      <c r="FP193" s="8"/>
      <c r="FQ193" s="8"/>
      <c r="FR193" s="8"/>
      <c r="FS193" s="8"/>
      <c r="FT193" s="8"/>
      <c r="FU193" s="8"/>
      <c r="FV193" s="8"/>
      <c r="FW193" s="8"/>
      <c r="FX193" s="8"/>
      <c r="FY193" s="8"/>
      <c r="FZ193" s="8"/>
      <c r="GA193" s="8"/>
      <c r="GB193" s="8"/>
      <c r="GC193" s="8"/>
      <c r="GD193" s="8"/>
      <c r="GE193" s="8"/>
      <c r="GF193" s="8"/>
      <c r="GG193" s="8"/>
      <c r="GH193" s="8"/>
      <c r="GI193" s="8"/>
      <c r="GJ193" s="8"/>
      <c r="GK193" s="8"/>
      <c r="GL193" s="8"/>
      <c r="GM193" s="8"/>
      <c r="GN193" s="8"/>
      <c r="GO193" s="8"/>
      <c r="GP193" s="8"/>
      <c r="GQ193" s="8"/>
      <c r="GR193" s="8"/>
      <c r="GS193" s="8"/>
      <c r="GT193" s="8"/>
      <c r="GU193" s="8"/>
      <c r="GV193" s="8"/>
      <c r="GW193" s="8"/>
      <c r="GX193" s="8"/>
      <c r="GY193" s="8"/>
      <c r="GZ193" s="8"/>
      <c r="HA193" s="8"/>
      <c r="HB193" s="8"/>
      <c r="HC193" s="8"/>
      <c r="HD193" s="8"/>
      <c r="HE193" s="8"/>
      <c r="HF193" s="8"/>
      <c r="HG193" s="8"/>
      <c r="HH193" s="8"/>
      <c r="HI193" s="8"/>
      <c r="HJ193" s="8"/>
      <c r="HK193" s="8"/>
      <c r="HL193" s="8"/>
      <c r="HM193" s="8"/>
      <c r="HN193" s="8"/>
      <c r="HO193" s="8"/>
      <c r="HP193" s="8"/>
      <c r="HQ193" s="8"/>
      <c r="HR193" s="8"/>
      <c r="HS193" s="8"/>
      <c r="HT193" s="8"/>
      <c r="HU193" s="8"/>
      <c r="HV193" s="8"/>
      <c r="HW193" s="8"/>
      <c r="HX193" s="8"/>
      <c r="HY193" s="8"/>
      <c r="HZ193" s="8"/>
      <c r="IA193" s="8"/>
      <c r="IB193" s="8"/>
      <c r="IC193" s="8"/>
      <c r="ID193" s="8"/>
      <c r="IE193" s="8"/>
      <c r="IF193" s="8"/>
      <c r="IG193" s="8"/>
      <c r="IH193" s="8"/>
      <c r="II193" s="8"/>
      <c r="IJ193" s="8"/>
      <c r="IK193" s="8"/>
      <c r="IL193" s="8"/>
      <c r="IM193" s="8"/>
      <c r="IN193" s="8"/>
      <c r="IO193" s="8"/>
      <c r="IP193" s="8"/>
      <c r="IQ193" s="8"/>
      <c r="IR193" s="8"/>
      <c r="IS193" s="8"/>
      <c r="IT193" s="8"/>
      <c r="IU193" s="8"/>
      <c r="IV193" s="8"/>
      <c r="IW193" s="8"/>
      <c r="IX193" s="8"/>
      <c r="JA193" s="125"/>
      <c r="JB193" s="125"/>
      <c r="JC193" s="125"/>
      <c r="JD193" s="72">
        <f>SUM((TEXT(JA193,"[M]")/60)*'Income Person-hours'!$D$3,(TEXT(JB193,"[M]")/60)*'Income Person-hours'!$D$4,(TEXT(JC193,"[M]")/60)*'Income Person-hours'!$D$5)</f>
        <v>0</v>
      </c>
    </row>
    <row r="194" spans="1:264 16383:16384" s="12" customFormat="1" ht="15.75" hidden="1" x14ac:dyDescent="0.45">
      <c r="A194" s="33">
        <v>9.9</v>
      </c>
      <c r="B194" s="128"/>
      <c r="C194" s="119"/>
      <c r="D194" s="13" t="str">
        <f>IF(OR(j_WEEKDAY(J_ADDDAY(VLOOKUP(I194,A:F,6,FALSE),H194,1),0)=6,SUMIFS(Holieday[ok],Holieday[date],J_ADDDAY(VLOOKUP(I194,A:F,6,FALSE),H194,1)))=FALSE(),J_ADDDAY(VLOOKUP(I194,A:F,6,FALSE),H194,1),IF(OR(j_WEEKDAY(J_ADDDAY(VLOOKUP(I194,A:F,6,FALSE),H194+1,1),0)=6,SUMIFS(Holieday[ok],Holieday[date],J_ADDDAY(VLOOKUP(I194,A:F,6,FALSE),H194+1,1)))=FALSE(),J_ADDDAY(VLOOKUP(I194,A:F,6,FALSE),H194+1,1),IF(OR(j_WEEKDAY(J_ADDDAY(VLOOKUP(I194,A:F,6,FALSE),H194+2,1),0)=6,SUMIFS(Holieday[ok],Holieday[date],J_ADDDAY(VLOOKUP(I194,A:F,6,FALSE),H194+2,1)))=FALSE(),J_ADDDAY(VLOOKUP(I194,A:F,6,FALSE),H194+2,1),IF(OR(j_WEEKDAY(J_ADDDAY(VLOOKUP(I194,A:F,6,FALSE),H194+3,1),0)=6,SUMIFS(Holieday[ok],Holieday[date],J_ADDDAY(VLOOKUP(I194,A:F,6,FALSE),H194+3,1)))=FALSE(),J_ADDDAY(VLOOKUP(I194,A:F,6,FALSE),H194+3,1),IF(OR(j_WEEKDAY(J_ADDDAY(VLOOKUP(I194,A:F,6,FALSE),H194+4,1),0)=6,SUMIFS(Holieday[ok],Holieday[date],J_ADDDAY(VLOOKUP(I194,A:F,6,FALSE),H194+4,1)))=FALSE(),J_ADDDAY(VLOOKUP(I194,A:F,6,FALSE),H194+4,1),J_ADDDAY(VLOOKUP(I194,A:F,6,FALSE),H194+5,1))))))</f>
        <v>1398/08/25</v>
      </c>
      <c r="E194" s="2">
        <f t="shared" si="57"/>
        <v>13980825</v>
      </c>
      <c r="F194" s="13" t="str">
        <f>IF(N194=0,J_SUBDAY(D194,1,1)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0,J_SUBDAY(J_ADDDAY(D194,N194,1)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1,J_SUBDAY(J_ADDDAY(D194,N194+1,1),1,1),IF((N194-NETWORKDAYS.INTL(J_GregorianDate(D194,1),J_GregorianDate(J_SUBDAY(J_ADDDAY(D194,N194,1),1,1),1),16,1)-SUMIFS(Holieday[ok],Holieday[date],CONCATENATE("&gt;","=",D194),Holieday[date],CONCATENATE("&lt;","=",J_SUBDAY(J_ADDDAY(D194,N194,1),1,1)))+SUMIFS(Holieday[Friday],Holieday[date],CONCATENATE("&gt;","=",D194),Holieday[date],CONCATENATE("&lt;","=",J_SUBDAY(J_ADDDAY(D194,N194,1),1,1))))=2,J_SUBDAY(J_ADDDAY(D194,N194+2,1),1,1),J_SUBDAY(J_ADDDAY(D194,N194+3,1),1,1)))))</f>
        <v>1398/08/24</v>
      </c>
      <c r="G194" s="3">
        <f t="shared" si="58"/>
        <v>13980824</v>
      </c>
      <c r="H194" s="121"/>
      <c r="I194" s="122">
        <v>8.4</v>
      </c>
      <c r="J194" s="10" t="str">
        <f>j_WEEKDAY(D194,1)</f>
        <v>شنبه</v>
      </c>
      <c r="K194" s="23">
        <f t="shared" si="62"/>
        <v>0</v>
      </c>
      <c r="L194" s="9">
        <f t="shared" si="61"/>
        <v>0</v>
      </c>
      <c r="M194" s="123">
        <v>0</v>
      </c>
      <c r="N194" s="120">
        <v>0</v>
      </c>
      <c r="O194" s="11">
        <f t="shared" si="59"/>
        <v>0</v>
      </c>
      <c r="P194" s="11">
        <f>VALUE(J_normdate(J_ADDDAY($D194,$O194,1)))</f>
        <v>13980825</v>
      </c>
      <c r="Q194" s="10">
        <f t="shared" si="60"/>
        <v>0</v>
      </c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  <c r="ES194" s="8"/>
      <c r="ET194" s="8"/>
      <c r="EU194" s="8"/>
      <c r="EV194" s="8"/>
      <c r="EW194" s="8"/>
      <c r="EX194" s="8"/>
      <c r="EY194" s="8"/>
      <c r="EZ194" s="8"/>
      <c r="FA194" s="8"/>
      <c r="FB194" s="8"/>
      <c r="FC194" s="8"/>
      <c r="FD194" s="8"/>
      <c r="FE194" s="8"/>
      <c r="FF194" s="8"/>
      <c r="FG194" s="8"/>
      <c r="FH194" s="8"/>
      <c r="FI194" s="8"/>
      <c r="FJ194" s="8"/>
      <c r="FK194" s="8"/>
      <c r="FL194" s="8"/>
      <c r="FM194" s="8"/>
      <c r="FN194" s="8"/>
      <c r="FO194" s="8"/>
      <c r="FP194" s="8"/>
      <c r="FQ194" s="8"/>
      <c r="FR194" s="8"/>
      <c r="FS194" s="8"/>
      <c r="FT194" s="8"/>
      <c r="FU194" s="8"/>
      <c r="FV194" s="8"/>
      <c r="FW194" s="8"/>
      <c r="FX194" s="8"/>
      <c r="FY194" s="8"/>
      <c r="FZ194" s="8"/>
      <c r="GA194" s="8"/>
      <c r="GB194" s="8"/>
      <c r="GC194" s="8"/>
      <c r="GD194" s="8"/>
      <c r="GE194" s="8"/>
      <c r="GF194" s="8"/>
      <c r="GG194" s="8"/>
      <c r="GH194" s="8"/>
      <c r="GI194" s="8"/>
      <c r="GJ194" s="8"/>
      <c r="GK194" s="8"/>
      <c r="GL194" s="8"/>
      <c r="GM194" s="8"/>
      <c r="GN194" s="8"/>
      <c r="GO194" s="8"/>
      <c r="GP194" s="8"/>
      <c r="GQ194" s="8"/>
      <c r="GR194" s="8"/>
      <c r="GS194" s="8"/>
      <c r="GT194" s="8"/>
      <c r="GU194" s="8"/>
      <c r="GV194" s="8"/>
      <c r="GW194" s="8"/>
      <c r="GX194" s="8"/>
      <c r="GY194" s="8"/>
      <c r="GZ194" s="8"/>
      <c r="HA194" s="8"/>
      <c r="HB194" s="8"/>
      <c r="HC194" s="8"/>
      <c r="HD194" s="8"/>
      <c r="HE194" s="8"/>
      <c r="HF194" s="8"/>
      <c r="HG194" s="8"/>
      <c r="HH194" s="8"/>
      <c r="HI194" s="8"/>
      <c r="HJ194" s="8"/>
      <c r="HK194" s="8"/>
      <c r="HL194" s="8"/>
      <c r="HM194" s="8"/>
      <c r="HN194" s="8"/>
      <c r="HO194" s="8"/>
      <c r="HP194" s="8"/>
      <c r="HQ194" s="8"/>
      <c r="HR194" s="8"/>
      <c r="HS194" s="8"/>
      <c r="HT194" s="8"/>
      <c r="HU194" s="8"/>
      <c r="HV194" s="8"/>
      <c r="HW194" s="8"/>
      <c r="HX194" s="8"/>
      <c r="HY194" s="8"/>
      <c r="HZ194" s="8"/>
      <c r="IA194" s="8"/>
      <c r="IB194" s="8"/>
      <c r="IC194" s="8"/>
      <c r="ID194" s="8"/>
      <c r="IE194" s="8"/>
      <c r="IF194" s="8"/>
      <c r="IG194" s="8"/>
      <c r="IH194" s="8"/>
      <c r="II194" s="8"/>
      <c r="IJ194" s="8"/>
      <c r="IK194" s="8"/>
      <c r="IL194" s="8"/>
      <c r="IM194" s="8"/>
      <c r="IN194" s="8"/>
      <c r="IO194" s="8"/>
      <c r="IP194" s="8"/>
      <c r="IQ194" s="8"/>
      <c r="IR194" s="8"/>
      <c r="IS194" s="8"/>
      <c r="IT194" s="8"/>
      <c r="IU194" s="8"/>
      <c r="IV194" s="8"/>
      <c r="IW194" s="8"/>
      <c r="IX194" s="8"/>
      <c r="JA194" s="125"/>
      <c r="JB194" s="125"/>
      <c r="JC194" s="125"/>
      <c r="JD194" s="72">
        <f>SUM((TEXT(JA194,"[M]")/60)*'Income Person-hours'!$D$3,(TEXT(JB194,"[M]")/60)*'Income Person-hours'!$D$4,(TEXT(JC194,"[M]")/60)*'Income Person-hours'!$D$5)</f>
        <v>0</v>
      </c>
    </row>
    <row r="195" spans="1:264 16383:16384" s="12" customFormat="1" ht="15.75" hidden="1" x14ac:dyDescent="0.45">
      <c r="A195" s="33">
        <v>9.11</v>
      </c>
      <c r="B195" s="128"/>
      <c r="C195" s="119"/>
      <c r="D195" s="13" t="str">
        <f>IF(OR(j_WEEKDAY(J_ADDDAY(VLOOKUP(I195,A:F,6,FALSE),H195,1),0)=6,SUMIFS(Holieday[ok],Holieday[date],J_ADDDAY(VLOOKUP(I195,A:F,6,FALSE),H195,1)))=FALSE(),J_ADDDAY(VLOOKUP(I195,A:F,6,FALSE),H195,1),IF(OR(j_WEEKDAY(J_ADDDAY(VLOOKUP(I195,A:F,6,FALSE),H195+1,1),0)=6,SUMIFS(Holieday[ok],Holieday[date],J_ADDDAY(VLOOKUP(I195,A:F,6,FALSE),H195+1,1)))=FALSE(),J_ADDDAY(VLOOKUP(I195,A:F,6,FALSE),H195+1,1),IF(OR(j_WEEKDAY(J_ADDDAY(VLOOKUP(I195,A:F,6,FALSE),H195+2,1),0)=6,SUMIFS(Holieday[ok],Holieday[date],J_ADDDAY(VLOOKUP(I195,A:F,6,FALSE),H195+2,1)))=FALSE(),J_ADDDAY(VLOOKUP(I195,A:F,6,FALSE),H195+2,1),IF(OR(j_WEEKDAY(J_ADDDAY(VLOOKUP(I195,A:F,6,FALSE),H195+3,1),0)=6,SUMIFS(Holieday[ok],Holieday[date],J_ADDDAY(VLOOKUP(I195,A:F,6,FALSE),H195+3,1)))=FALSE(),J_ADDDAY(VLOOKUP(I195,A:F,6,FALSE),H195+3,1),IF(OR(j_WEEKDAY(J_ADDDAY(VLOOKUP(I195,A:F,6,FALSE),H195+4,1),0)=6,SUMIFS(Holieday[ok],Holieday[date],J_ADDDAY(VLOOKUP(I195,A:F,6,FALSE),H195+4,1)))=FALSE(),J_ADDDAY(VLOOKUP(I195,A:F,6,FALSE),H195+4,1),J_ADDDAY(VLOOKUP(I195,A:F,6,FALSE),H195+5,1))))))</f>
        <v>1398/08/25</v>
      </c>
      <c r="E195" s="2">
        <f t="shared" si="57"/>
        <v>13980825</v>
      </c>
      <c r="F195" s="13" t="str">
        <f>IF(N195=0,J_SUBDAY(D195,1,1)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0,J_SUBDAY(J_ADDDAY(D195,N195,1)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1,J_SUBDAY(J_ADDDAY(D195,N195+1,1),1,1),IF((N195-NETWORKDAYS.INTL(J_GregorianDate(D195,1),J_GregorianDate(J_SUBDAY(J_ADDDAY(D195,N195,1),1,1),1),16,1)-SUMIFS(Holieday[ok],Holieday[date],CONCATENATE("&gt;","=",D195),Holieday[date],CONCATENATE("&lt;","=",J_SUBDAY(J_ADDDAY(D195,N195,1),1,1)))+SUMIFS(Holieday[Friday],Holieday[date],CONCATENATE("&gt;","=",D195),Holieday[date],CONCATENATE("&lt;","=",J_SUBDAY(J_ADDDAY(D195,N195,1),1,1))))=2,J_SUBDAY(J_ADDDAY(D195,N195+2,1),1,1),J_SUBDAY(J_ADDDAY(D195,N195+3,1),1,1)))))</f>
        <v>1398/08/24</v>
      </c>
      <c r="G195" s="3">
        <f t="shared" si="58"/>
        <v>13980824</v>
      </c>
      <c r="H195" s="121"/>
      <c r="I195" s="122">
        <v>8.4</v>
      </c>
      <c r="J195" s="10" t="str">
        <f>j_WEEKDAY(D195,1)</f>
        <v>شنبه</v>
      </c>
      <c r="K195" s="23">
        <f t="shared" si="62"/>
        <v>0</v>
      </c>
      <c r="L195" s="9">
        <f t="shared" si="61"/>
        <v>0</v>
      </c>
      <c r="M195" s="123">
        <v>0</v>
      </c>
      <c r="N195" s="120">
        <v>0</v>
      </c>
      <c r="O195" s="11">
        <f t="shared" si="59"/>
        <v>0</v>
      </c>
      <c r="P195" s="11">
        <f>VALUE(J_normdate(J_ADDDAY($D195,$O195,1)))</f>
        <v>13980825</v>
      </c>
      <c r="Q195" s="10">
        <f t="shared" si="60"/>
        <v>0</v>
      </c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  <c r="ES195" s="8"/>
      <c r="ET195" s="8"/>
      <c r="EU195" s="8"/>
      <c r="EV195" s="8"/>
      <c r="EW195" s="8"/>
      <c r="EX195" s="8"/>
      <c r="EY195" s="8"/>
      <c r="EZ195" s="8"/>
      <c r="FA195" s="8"/>
      <c r="FB195" s="8"/>
      <c r="FC195" s="8"/>
      <c r="FD195" s="8"/>
      <c r="FE195" s="8"/>
      <c r="FF195" s="8"/>
      <c r="FG195" s="8"/>
      <c r="FH195" s="8"/>
      <c r="FI195" s="8"/>
      <c r="FJ195" s="8"/>
      <c r="FK195" s="8"/>
      <c r="FL195" s="8"/>
      <c r="FM195" s="8"/>
      <c r="FN195" s="8"/>
      <c r="FO195" s="8"/>
      <c r="FP195" s="8"/>
      <c r="FQ195" s="8"/>
      <c r="FR195" s="8"/>
      <c r="FS195" s="8"/>
      <c r="FT195" s="8"/>
      <c r="FU195" s="8"/>
      <c r="FV195" s="8"/>
      <c r="FW195" s="8"/>
      <c r="FX195" s="8"/>
      <c r="FY195" s="8"/>
      <c r="FZ195" s="8"/>
      <c r="GA195" s="8"/>
      <c r="GB195" s="8"/>
      <c r="GC195" s="8"/>
      <c r="GD195" s="8"/>
      <c r="GE195" s="8"/>
      <c r="GF195" s="8"/>
      <c r="GG195" s="8"/>
      <c r="GH195" s="8"/>
      <c r="GI195" s="8"/>
      <c r="GJ195" s="8"/>
      <c r="GK195" s="8"/>
      <c r="GL195" s="8"/>
      <c r="GM195" s="8"/>
      <c r="GN195" s="8"/>
      <c r="GO195" s="8"/>
      <c r="GP195" s="8"/>
      <c r="GQ195" s="8"/>
      <c r="GR195" s="8"/>
      <c r="GS195" s="8"/>
      <c r="GT195" s="8"/>
      <c r="GU195" s="8"/>
      <c r="GV195" s="8"/>
      <c r="GW195" s="8"/>
      <c r="GX195" s="8"/>
      <c r="GY195" s="8"/>
      <c r="GZ195" s="8"/>
      <c r="HA195" s="8"/>
      <c r="HB195" s="8"/>
      <c r="HC195" s="8"/>
      <c r="HD195" s="8"/>
      <c r="HE195" s="8"/>
      <c r="HF195" s="8"/>
      <c r="HG195" s="8"/>
      <c r="HH195" s="8"/>
      <c r="HI195" s="8"/>
      <c r="HJ195" s="8"/>
      <c r="HK195" s="8"/>
      <c r="HL195" s="8"/>
      <c r="HM195" s="8"/>
      <c r="HN195" s="8"/>
      <c r="HO195" s="8"/>
      <c r="HP195" s="8"/>
      <c r="HQ195" s="8"/>
      <c r="HR195" s="8"/>
      <c r="HS195" s="8"/>
      <c r="HT195" s="8"/>
      <c r="HU195" s="8"/>
      <c r="HV195" s="8"/>
      <c r="HW195" s="8"/>
      <c r="HX195" s="8"/>
      <c r="HY195" s="8"/>
      <c r="HZ195" s="8"/>
      <c r="IA195" s="8"/>
      <c r="IB195" s="8"/>
      <c r="IC195" s="8"/>
      <c r="ID195" s="8"/>
      <c r="IE195" s="8"/>
      <c r="IF195" s="8"/>
      <c r="IG195" s="8"/>
      <c r="IH195" s="8"/>
      <c r="II195" s="8"/>
      <c r="IJ195" s="8"/>
      <c r="IK195" s="8"/>
      <c r="IL195" s="8"/>
      <c r="IM195" s="8"/>
      <c r="IN195" s="8"/>
      <c r="IO195" s="8"/>
      <c r="IP195" s="8"/>
      <c r="IQ195" s="8"/>
      <c r="IR195" s="8"/>
      <c r="IS195" s="8"/>
      <c r="IT195" s="8"/>
      <c r="IU195" s="8"/>
      <c r="IV195" s="8"/>
      <c r="IW195" s="8"/>
      <c r="IX195" s="8"/>
      <c r="JA195" s="125"/>
      <c r="JB195" s="125"/>
      <c r="JC195" s="125"/>
      <c r="JD195" s="72">
        <f>SUM((TEXT(JA195,"[M]")/60)*'Income Person-hours'!$D$3,(TEXT(JB195,"[M]")/60)*'Income Person-hours'!$D$4,(TEXT(JC195,"[M]")/60)*'Income Person-hours'!$D$5)</f>
        <v>0</v>
      </c>
    </row>
    <row r="196" spans="1:264 16383:16384" s="12" customFormat="1" ht="15.75" hidden="1" x14ac:dyDescent="0.45">
      <c r="A196" s="33">
        <v>9.1199999999999992</v>
      </c>
      <c r="B196" s="128"/>
      <c r="C196" s="119"/>
      <c r="D196" s="13" t="str">
        <f>IF(OR(j_WEEKDAY(J_ADDDAY(VLOOKUP(I196,A:F,6,FALSE),H196,1),0)=6,SUMIFS(Holieday[ok],Holieday[date],J_ADDDAY(VLOOKUP(I196,A:F,6,FALSE),H196,1)))=FALSE(),J_ADDDAY(VLOOKUP(I196,A:F,6,FALSE),H196,1),IF(OR(j_WEEKDAY(J_ADDDAY(VLOOKUP(I196,A:F,6,FALSE),H196+1,1),0)=6,SUMIFS(Holieday[ok],Holieday[date],J_ADDDAY(VLOOKUP(I196,A:F,6,FALSE),H196+1,1)))=FALSE(),J_ADDDAY(VLOOKUP(I196,A:F,6,FALSE),H196+1,1),IF(OR(j_WEEKDAY(J_ADDDAY(VLOOKUP(I196,A:F,6,FALSE),H196+2,1),0)=6,SUMIFS(Holieday[ok],Holieday[date],J_ADDDAY(VLOOKUP(I196,A:F,6,FALSE),H196+2,1)))=FALSE(),J_ADDDAY(VLOOKUP(I196,A:F,6,FALSE),H196+2,1),IF(OR(j_WEEKDAY(J_ADDDAY(VLOOKUP(I196,A:F,6,FALSE),H196+3,1),0)=6,SUMIFS(Holieday[ok],Holieday[date],J_ADDDAY(VLOOKUP(I196,A:F,6,FALSE),H196+3,1)))=FALSE(),J_ADDDAY(VLOOKUP(I196,A:F,6,FALSE),H196+3,1),IF(OR(j_WEEKDAY(J_ADDDAY(VLOOKUP(I196,A:F,6,FALSE),H196+4,1),0)=6,SUMIFS(Holieday[ok],Holieday[date],J_ADDDAY(VLOOKUP(I196,A:F,6,FALSE),H196+4,1)))=FALSE(),J_ADDDAY(VLOOKUP(I196,A:F,6,FALSE),H196+4,1),J_ADDDAY(VLOOKUP(I196,A:F,6,FALSE),H196+5,1))))))</f>
        <v>1398/08/25</v>
      </c>
      <c r="E196" s="2">
        <f t="shared" si="57"/>
        <v>13980825</v>
      </c>
      <c r="F196" s="13" t="str">
        <f>IF(N196=0,J_SUBDAY(D196,1,1)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0,J_SUBDAY(J_ADDDAY(D196,N196,1)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1,J_SUBDAY(J_ADDDAY(D196,N196+1,1),1,1),IF((N196-NETWORKDAYS.INTL(J_GregorianDate(D196,1),J_GregorianDate(J_SUBDAY(J_ADDDAY(D196,N196,1),1,1),1),16,1)-SUMIFS(Holieday[ok],Holieday[date],CONCATENATE("&gt;","=",D196),Holieday[date],CONCATENATE("&lt;","=",J_SUBDAY(J_ADDDAY(D196,N196,1),1,1)))+SUMIFS(Holieday[Friday],Holieday[date],CONCATENATE("&gt;","=",D196),Holieday[date],CONCATENATE("&lt;","=",J_SUBDAY(J_ADDDAY(D196,N196,1),1,1))))=2,J_SUBDAY(J_ADDDAY(D196,N196+2,1),1,1),J_SUBDAY(J_ADDDAY(D196,N196+3,1),1,1)))))</f>
        <v>1398/08/24</v>
      </c>
      <c r="G196" s="3">
        <f t="shared" si="58"/>
        <v>13980824</v>
      </c>
      <c r="H196" s="121"/>
      <c r="I196" s="122">
        <v>8.4</v>
      </c>
      <c r="J196" s="10" t="str">
        <f>j_WEEKDAY(D196,1)</f>
        <v>شنبه</v>
      </c>
      <c r="K196" s="23">
        <f t="shared" si="62"/>
        <v>0</v>
      </c>
      <c r="L196" s="9">
        <f t="shared" si="61"/>
        <v>0</v>
      </c>
      <c r="M196" s="123">
        <v>0</v>
      </c>
      <c r="N196" s="120">
        <v>0</v>
      </c>
      <c r="O196" s="11">
        <f t="shared" si="59"/>
        <v>0</v>
      </c>
      <c r="P196" s="11">
        <f>VALUE(J_normdate(J_ADDDAY($D196,$O196,1)))</f>
        <v>13980825</v>
      </c>
      <c r="Q196" s="10">
        <f t="shared" si="60"/>
        <v>0</v>
      </c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  <c r="ES196" s="8"/>
      <c r="ET196" s="8"/>
      <c r="EU196" s="8"/>
      <c r="EV196" s="8"/>
      <c r="EW196" s="8"/>
      <c r="EX196" s="8"/>
      <c r="EY196" s="8"/>
      <c r="EZ196" s="8"/>
      <c r="FA196" s="8"/>
      <c r="FB196" s="8"/>
      <c r="FC196" s="8"/>
      <c r="FD196" s="8"/>
      <c r="FE196" s="8"/>
      <c r="FF196" s="8"/>
      <c r="FG196" s="8"/>
      <c r="FH196" s="8"/>
      <c r="FI196" s="8"/>
      <c r="FJ196" s="8"/>
      <c r="FK196" s="8"/>
      <c r="FL196" s="8"/>
      <c r="FM196" s="8"/>
      <c r="FN196" s="8"/>
      <c r="FO196" s="8"/>
      <c r="FP196" s="8"/>
      <c r="FQ196" s="8"/>
      <c r="FR196" s="8"/>
      <c r="FS196" s="8"/>
      <c r="FT196" s="8"/>
      <c r="FU196" s="8"/>
      <c r="FV196" s="8"/>
      <c r="FW196" s="8"/>
      <c r="FX196" s="8"/>
      <c r="FY196" s="8"/>
      <c r="FZ196" s="8"/>
      <c r="GA196" s="8"/>
      <c r="GB196" s="8"/>
      <c r="GC196" s="8"/>
      <c r="GD196" s="8"/>
      <c r="GE196" s="8"/>
      <c r="GF196" s="8"/>
      <c r="GG196" s="8"/>
      <c r="GH196" s="8"/>
      <c r="GI196" s="8"/>
      <c r="GJ196" s="8"/>
      <c r="GK196" s="8"/>
      <c r="GL196" s="8"/>
      <c r="GM196" s="8"/>
      <c r="GN196" s="8"/>
      <c r="GO196" s="8"/>
      <c r="GP196" s="8"/>
      <c r="GQ196" s="8"/>
      <c r="GR196" s="8"/>
      <c r="GS196" s="8"/>
      <c r="GT196" s="8"/>
      <c r="GU196" s="8"/>
      <c r="GV196" s="8"/>
      <c r="GW196" s="8"/>
      <c r="GX196" s="8"/>
      <c r="GY196" s="8"/>
      <c r="GZ196" s="8"/>
      <c r="HA196" s="8"/>
      <c r="HB196" s="8"/>
      <c r="HC196" s="8"/>
      <c r="HD196" s="8"/>
      <c r="HE196" s="8"/>
      <c r="HF196" s="8"/>
      <c r="HG196" s="8"/>
      <c r="HH196" s="8"/>
      <c r="HI196" s="8"/>
      <c r="HJ196" s="8"/>
      <c r="HK196" s="8"/>
      <c r="HL196" s="8"/>
      <c r="HM196" s="8"/>
      <c r="HN196" s="8"/>
      <c r="HO196" s="8"/>
      <c r="HP196" s="8"/>
      <c r="HQ196" s="8"/>
      <c r="HR196" s="8"/>
      <c r="HS196" s="8"/>
      <c r="HT196" s="8"/>
      <c r="HU196" s="8"/>
      <c r="HV196" s="8"/>
      <c r="HW196" s="8"/>
      <c r="HX196" s="8"/>
      <c r="HY196" s="8"/>
      <c r="HZ196" s="8"/>
      <c r="IA196" s="8"/>
      <c r="IB196" s="8"/>
      <c r="IC196" s="8"/>
      <c r="ID196" s="8"/>
      <c r="IE196" s="8"/>
      <c r="IF196" s="8"/>
      <c r="IG196" s="8"/>
      <c r="IH196" s="8"/>
      <c r="II196" s="8"/>
      <c r="IJ196" s="8"/>
      <c r="IK196" s="8"/>
      <c r="IL196" s="8"/>
      <c r="IM196" s="8"/>
      <c r="IN196" s="8"/>
      <c r="IO196" s="8"/>
      <c r="IP196" s="8"/>
      <c r="IQ196" s="8"/>
      <c r="IR196" s="8"/>
      <c r="IS196" s="8"/>
      <c r="IT196" s="8"/>
      <c r="IU196" s="8"/>
      <c r="IV196" s="8"/>
      <c r="IW196" s="8"/>
      <c r="IX196" s="8"/>
      <c r="JA196" s="125"/>
      <c r="JB196" s="125"/>
      <c r="JC196" s="125"/>
      <c r="JD196" s="72">
        <f>SUM((TEXT(JA196,"[M]")/60)*'Income Person-hours'!$D$3,(TEXT(JB196,"[M]")/60)*'Income Person-hours'!$D$4,(TEXT(JC196,"[M]")/60)*'Income Person-hours'!$D$5)</f>
        <v>0</v>
      </c>
    </row>
    <row r="197" spans="1:264 16383:16384" s="12" customFormat="1" ht="15.75" hidden="1" x14ac:dyDescent="0.45">
      <c r="A197" s="33">
        <v>9.1300000000000008</v>
      </c>
      <c r="B197" s="128"/>
      <c r="C197" s="119"/>
      <c r="D197" s="13" t="str">
        <f>IF(OR(j_WEEKDAY(J_ADDDAY(VLOOKUP(I197,A:F,6,FALSE),H197,1),0)=6,SUMIFS(Holieday[ok],Holieday[date],J_ADDDAY(VLOOKUP(I197,A:F,6,FALSE),H197,1)))=FALSE(),J_ADDDAY(VLOOKUP(I197,A:F,6,FALSE),H197,1),IF(OR(j_WEEKDAY(J_ADDDAY(VLOOKUP(I197,A:F,6,FALSE),H197+1,1),0)=6,SUMIFS(Holieday[ok],Holieday[date],J_ADDDAY(VLOOKUP(I197,A:F,6,FALSE),H197+1,1)))=FALSE(),J_ADDDAY(VLOOKUP(I197,A:F,6,FALSE),H197+1,1),IF(OR(j_WEEKDAY(J_ADDDAY(VLOOKUP(I197,A:F,6,FALSE),H197+2,1),0)=6,SUMIFS(Holieday[ok],Holieday[date],J_ADDDAY(VLOOKUP(I197,A:F,6,FALSE),H197+2,1)))=FALSE(),J_ADDDAY(VLOOKUP(I197,A:F,6,FALSE),H197+2,1),IF(OR(j_WEEKDAY(J_ADDDAY(VLOOKUP(I197,A:F,6,FALSE),H197+3,1),0)=6,SUMIFS(Holieday[ok],Holieday[date],J_ADDDAY(VLOOKUP(I197,A:F,6,FALSE),H197+3,1)))=FALSE(),J_ADDDAY(VLOOKUP(I197,A:F,6,FALSE),H197+3,1),IF(OR(j_WEEKDAY(J_ADDDAY(VLOOKUP(I197,A:F,6,FALSE),H197+4,1),0)=6,SUMIFS(Holieday[ok],Holieday[date],J_ADDDAY(VLOOKUP(I197,A:F,6,FALSE),H197+4,1)))=FALSE(),J_ADDDAY(VLOOKUP(I197,A:F,6,FALSE),H197+4,1),J_ADDDAY(VLOOKUP(I197,A:F,6,FALSE),H197+5,1))))))</f>
        <v>1398/08/25</v>
      </c>
      <c r="E197" s="2">
        <f t="shared" si="57"/>
        <v>13980825</v>
      </c>
      <c r="F197" s="13" t="str">
        <f>IF(N197=0,J_SUBDAY(D197,1,1)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0,J_SUBDAY(J_ADDDAY(D197,N197,1)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1,J_SUBDAY(J_ADDDAY(D197,N197+1,1),1,1),IF((N197-NETWORKDAYS.INTL(J_GregorianDate(D197,1),J_GregorianDate(J_SUBDAY(J_ADDDAY(D197,N197,1),1,1),1),16,1)-SUMIFS(Holieday[ok],Holieday[date],CONCATENATE("&gt;","=",D197),Holieday[date],CONCATENATE("&lt;","=",J_SUBDAY(J_ADDDAY(D197,N197,1),1,1)))+SUMIFS(Holieday[Friday],Holieday[date],CONCATENATE("&gt;","=",D197),Holieday[date],CONCATENATE("&lt;","=",J_SUBDAY(J_ADDDAY(D197,N197,1),1,1))))=2,J_SUBDAY(J_ADDDAY(D197,N197+2,1),1,1),J_SUBDAY(J_ADDDAY(D197,N197+3,1),1,1)))))</f>
        <v>1398/08/24</v>
      </c>
      <c r="G197" s="3">
        <f t="shared" si="58"/>
        <v>13980824</v>
      </c>
      <c r="H197" s="121"/>
      <c r="I197" s="122">
        <v>8.4</v>
      </c>
      <c r="J197" s="10" t="str">
        <f>j_WEEKDAY(D197,1)</f>
        <v>شنبه</v>
      </c>
      <c r="K197" s="23">
        <f t="shared" si="62"/>
        <v>0</v>
      </c>
      <c r="L197" s="9">
        <f t="shared" si="61"/>
        <v>0</v>
      </c>
      <c r="M197" s="123">
        <v>0</v>
      </c>
      <c r="N197" s="120">
        <v>0</v>
      </c>
      <c r="O197" s="11">
        <f t="shared" si="59"/>
        <v>0</v>
      </c>
      <c r="P197" s="11">
        <f>VALUE(J_normdate(J_ADDDAY($D197,$O197,1)))</f>
        <v>13980825</v>
      </c>
      <c r="Q197" s="10">
        <f t="shared" si="60"/>
        <v>0</v>
      </c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  <c r="ES197" s="8"/>
      <c r="ET197" s="8"/>
      <c r="EU197" s="8"/>
      <c r="EV197" s="8"/>
      <c r="EW197" s="8"/>
      <c r="EX197" s="8"/>
      <c r="EY197" s="8"/>
      <c r="EZ197" s="8"/>
      <c r="FA197" s="8"/>
      <c r="FB197" s="8"/>
      <c r="FC197" s="8"/>
      <c r="FD197" s="8"/>
      <c r="FE197" s="8"/>
      <c r="FF197" s="8"/>
      <c r="FG197" s="8"/>
      <c r="FH197" s="8"/>
      <c r="FI197" s="8"/>
      <c r="FJ197" s="8"/>
      <c r="FK197" s="8"/>
      <c r="FL197" s="8"/>
      <c r="FM197" s="8"/>
      <c r="FN197" s="8"/>
      <c r="FO197" s="8"/>
      <c r="FP197" s="8"/>
      <c r="FQ197" s="8"/>
      <c r="FR197" s="8"/>
      <c r="FS197" s="8"/>
      <c r="FT197" s="8"/>
      <c r="FU197" s="8"/>
      <c r="FV197" s="8"/>
      <c r="FW197" s="8"/>
      <c r="FX197" s="8"/>
      <c r="FY197" s="8"/>
      <c r="FZ197" s="8"/>
      <c r="GA197" s="8"/>
      <c r="GB197" s="8"/>
      <c r="GC197" s="8"/>
      <c r="GD197" s="8"/>
      <c r="GE197" s="8"/>
      <c r="GF197" s="8"/>
      <c r="GG197" s="8"/>
      <c r="GH197" s="8"/>
      <c r="GI197" s="8"/>
      <c r="GJ197" s="8"/>
      <c r="GK197" s="8"/>
      <c r="GL197" s="8"/>
      <c r="GM197" s="8"/>
      <c r="GN197" s="8"/>
      <c r="GO197" s="8"/>
      <c r="GP197" s="8"/>
      <c r="GQ197" s="8"/>
      <c r="GR197" s="8"/>
      <c r="GS197" s="8"/>
      <c r="GT197" s="8"/>
      <c r="GU197" s="8"/>
      <c r="GV197" s="8"/>
      <c r="GW197" s="8"/>
      <c r="GX197" s="8"/>
      <c r="GY197" s="8"/>
      <c r="GZ197" s="8"/>
      <c r="HA197" s="8"/>
      <c r="HB197" s="8"/>
      <c r="HC197" s="8"/>
      <c r="HD197" s="8"/>
      <c r="HE197" s="8"/>
      <c r="HF197" s="8"/>
      <c r="HG197" s="8"/>
      <c r="HH197" s="8"/>
      <c r="HI197" s="8"/>
      <c r="HJ197" s="8"/>
      <c r="HK197" s="8"/>
      <c r="HL197" s="8"/>
      <c r="HM197" s="8"/>
      <c r="HN197" s="8"/>
      <c r="HO197" s="8"/>
      <c r="HP197" s="8"/>
      <c r="HQ197" s="8"/>
      <c r="HR197" s="8"/>
      <c r="HS197" s="8"/>
      <c r="HT197" s="8"/>
      <c r="HU197" s="8"/>
      <c r="HV197" s="8"/>
      <c r="HW197" s="8"/>
      <c r="HX197" s="8"/>
      <c r="HY197" s="8"/>
      <c r="HZ197" s="8"/>
      <c r="IA197" s="8"/>
      <c r="IB197" s="8"/>
      <c r="IC197" s="8"/>
      <c r="ID197" s="8"/>
      <c r="IE197" s="8"/>
      <c r="IF197" s="8"/>
      <c r="IG197" s="8"/>
      <c r="IH197" s="8"/>
      <c r="II197" s="8"/>
      <c r="IJ197" s="8"/>
      <c r="IK197" s="8"/>
      <c r="IL197" s="8"/>
      <c r="IM197" s="8"/>
      <c r="IN197" s="8"/>
      <c r="IO197" s="8"/>
      <c r="IP197" s="8"/>
      <c r="IQ197" s="8"/>
      <c r="IR197" s="8"/>
      <c r="IS197" s="8"/>
      <c r="IT197" s="8"/>
      <c r="IU197" s="8"/>
      <c r="IV197" s="8"/>
      <c r="IW197" s="8"/>
      <c r="IX197" s="8"/>
      <c r="JA197" s="125"/>
      <c r="JB197" s="125"/>
      <c r="JC197" s="125"/>
      <c r="JD197" s="72">
        <f>SUM((TEXT(JA197,"[M]")/60)*'Income Person-hours'!$D$3,(TEXT(JB197,"[M]")/60)*'Income Person-hours'!$D$4,(TEXT(JC197,"[M]")/60)*'Income Person-hours'!$D$5)</f>
        <v>0</v>
      </c>
    </row>
    <row r="198" spans="1:264 16383:16384" s="12" customFormat="1" ht="15.75" hidden="1" x14ac:dyDescent="0.45">
      <c r="A198" s="33">
        <v>9.14</v>
      </c>
      <c r="B198" s="128"/>
      <c r="C198" s="119"/>
      <c r="D198" s="13" t="str">
        <f>IF(OR(j_WEEKDAY(J_ADDDAY(VLOOKUP(I198,A:F,6,FALSE),H198,1),0)=6,SUMIFS(Holieday[ok],Holieday[date],J_ADDDAY(VLOOKUP(I198,A:F,6,FALSE),H198,1)))=FALSE(),J_ADDDAY(VLOOKUP(I198,A:F,6,FALSE),H198,1),IF(OR(j_WEEKDAY(J_ADDDAY(VLOOKUP(I198,A:F,6,FALSE),H198+1,1),0)=6,SUMIFS(Holieday[ok],Holieday[date],J_ADDDAY(VLOOKUP(I198,A:F,6,FALSE),H198+1,1)))=FALSE(),J_ADDDAY(VLOOKUP(I198,A:F,6,FALSE),H198+1,1),IF(OR(j_WEEKDAY(J_ADDDAY(VLOOKUP(I198,A:F,6,FALSE),H198+2,1),0)=6,SUMIFS(Holieday[ok],Holieday[date],J_ADDDAY(VLOOKUP(I198,A:F,6,FALSE),H198+2,1)))=FALSE(),J_ADDDAY(VLOOKUP(I198,A:F,6,FALSE),H198+2,1),IF(OR(j_WEEKDAY(J_ADDDAY(VLOOKUP(I198,A:F,6,FALSE),H198+3,1),0)=6,SUMIFS(Holieday[ok],Holieday[date],J_ADDDAY(VLOOKUP(I198,A:F,6,FALSE),H198+3,1)))=FALSE(),J_ADDDAY(VLOOKUP(I198,A:F,6,FALSE),H198+3,1),IF(OR(j_WEEKDAY(J_ADDDAY(VLOOKUP(I198,A:F,6,FALSE),H198+4,1),0)=6,SUMIFS(Holieday[ok],Holieday[date],J_ADDDAY(VLOOKUP(I198,A:F,6,FALSE),H198+4,1)))=FALSE(),J_ADDDAY(VLOOKUP(I198,A:F,6,FALSE),H198+4,1),J_ADDDAY(VLOOKUP(I198,A:F,6,FALSE),H198+5,1))))))</f>
        <v>1398/08/25</v>
      </c>
      <c r="E198" s="2">
        <f t="shared" si="57"/>
        <v>13980825</v>
      </c>
      <c r="F198" s="13" t="str">
        <f>IF(N198=0,J_SUBDAY(D198,1,1)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0,J_SUBDAY(J_ADDDAY(D198,N198,1)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1,J_SUBDAY(J_ADDDAY(D198,N198+1,1),1,1),IF((N198-NETWORKDAYS.INTL(J_GregorianDate(D198,1),J_GregorianDate(J_SUBDAY(J_ADDDAY(D198,N198,1),1,1),1),16,1)-SUMIFS(Holieday[ok],Holieday[date],CONCATENATE("&gt;","=",D198),Holieday[date],CONCATENATE("&lt;","=",J_SUBDAY(J_ADDDAY(D198,N198,1),1,1)))+SUMIFS(Holieday[Friday],Holieday[date],CONCATENATE("&gt;","=",D198),Holieday[date],CONCATENATE("&lt;","=",J_SUBDAY(J_ADDDAY(D198,N198,1),1,1))))=2,J_SUBDAY(J_ADDDAY(D198,N198+2,1),1,1),J_SUBDAY(J_ADDDAY(D198,N198+3,1),1,1)))))</f>
        <v>1398/08/24</v>
      </c>
      <c r="G198" s="3">
        <f t="shared" si="58"/>
        <v>13980824</v>
      </c>
      <c r="H198" s="121"/>
      <c r="I198" s="122">
        <v>8.4</v>
      </c>
      <c r="J198" s="10" t="str">
        <f>j_WEEKDAY(D198,1)</f>
        <v>شنبه</v>
      </c>
      <c r="K198" s="23">
        <f t="shared" si="62"/>
        <v>0</v>
      </c>
      <c r="L198" s="9">
        <f t="shared" si="61"/>
        <v>0</v>
      </c>
      <c r="M198" s="123">
        <v>0</v>
      </c>
      <c r="N198" s="120">
        <v>0</v>
      </c>
      <c r="O198" s="11">
        <f t="shared" si="59"/>
        <v>0</v>
      </c>
      <c r="P198" s="11">
        <f>VALUE(J_normdate(J_ADDDAY($D198,$O198,1)))</f>
        <v>13980825</v>
      </c>
      <c r="Q198" s="10">
        <f t="shared" si="60"/>
        <v>0</v>
      </c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  <c r="ES198" s="8"/>
      <c r="ET198" s="8"/>
      <c r="EU198" s="8"/>
      <c r="EV198" s="8"/>
      <c r="EW198" s="8"/>
      <c r="EX198" s="8"/>
      <c r="EY198" s="8"/>
      <c r="EZ198" s="8"/>
      <c r="FA198" s="8"/>
      <c r="FB198" s="8"/>
      <c r="FC198" s="8"/>
      <c r="FD198" s="8"/>
      <c r="FE198" s="8"/>
      <c r="FF198" s="8"/>
      <c r="FG198" s="8"/>
      <c r="FH198" s="8"/>
      <c r="FI198" s="8"/>
      <c r="FJ198" s="8"/>
      <c r="FK198" s="8"/>
      <c r="FL198" s="8"/>
      <c r="FM198" s="8"/>
      <c r="FN198" s="8"/>
      <c r="FO198" s="8"/>
      <c r="FP198" s="8"/>
      <c r="FQ198" s="8"/>
      <c r="FR198" s="8"/>
      <c r="FS198" s="8"/>
      <c r="FT198" s="8"/>
      <c r="FU198" s="8"/>
      <c r="FV198" s="8"/>
      <c r="FW198" s="8"/>
      <c r="FX198" s="8"/>
      <c r="FY198" s="8"/>
      <c r="FZ198" s="8"/>
      <c r="GA198" s="8"/>
      <c r="GB198" s="8"/>
      <c r="GC198" s="8"/>
      <c r="GD198" s="8"/>
      <c r="GE198" s="8"/>
      <c r="GF198" s="8"/>
      <c r="GG198" s="8"/>
      <c r="GH198" s="8"/>
      <c r="GI198" s="8"/>
      <c r="GJ198" s="8"/>
      <c r="GK198" s="8"/>
      <c r="GL198" s="8"/>
      <c r="GM198" s="8"/>
      <c r="GN198" s="8"/>
      <c r="GO198" s="8"/>
      <c r="GP198" s="8"/>
      <c r="GQ198" s="8"/>
      <c r="GR198" s="8"/>
      <c r="GS198" s="8"/>
      <c r="GT198" s="8"/>
      <c r="GU198" s="8"/>
      <c r="GV198" s="8"/>
      <c r="GW198" s="8"/>
      <c r="GX198" s="8"/>
      <c r="GY198" s="8"/>
      <c r="GZ198" s="8"/>
      <c r="HA198" s="8"/>
      <c r="HB198" s="8"/>
      <c r="HC198" s="8"/>
      <c r="HD198" s="8"/>
      <c r="HE198" s="8"/>
      <c r="HF198" s="8"/>
      <c r="HG198" s="8"/>
      <c r="HH198" s="8"/>
      <c r="HI198" s="8"/>
      <c r="HJ198" s="8"/>
      <c r="HK198" s="8"/>
      <c r="HL198" s="8"/>
      <c r="HM198" s="8"/>
      <c r="HN198" s="8"/>
      <c r="HO198" s="8"/>
      <c r="HP198" s="8"/>
      <c r="HQ198" s="8"/>
      <c r="HR198" s="8"/>
      <c r="HS198" s="8"/>
      <c r="HT198" s="8"/>
      <c r="HU198" s="8"/>
      <c r="HV198" s="8"/>
      <c r="HW198" s="8"/>
      <c r="HX198" s="8"/>
      <c r="HY198" s="8"/>
      <c r="HZ198" s="8"/>
      <c r="IA198" s="8"/>
      <c r="IB198" s="8"/>
      <c r="IC198" s="8"/>
      <c r="ID198" s="8"/>
      <c r="IE198" s="8"/>
      <c r="IF198" s="8"/>
      <c r="IG198" s="8"/>
      <c r="IH198" s="8"/>
      <c r="II198" s="8"/>
      <c r="IJ198" s="8"/>
      <c r="IK198" s="8"/>
      <c r="IL198" s="8"/>
      <c r="IM198" s="8"/>
      <c r="IN198" s="8"/>
      <c r="IO198" s="8"/>
      <c r="IP198" s="8"/>
      <c r="IQ198" s="8"/>
      <c r="IR198" s="8"/>
      <c r="IS198" s="8"/>
      <c r="IT198" s="8"/>
      <c r="IU198" s="8"/>
      <c r="IV198" s="8"/>
      <c r="IW198" s="8"/>
      <c r="IX198" s="8"/>
      <c r="JA198" s="125"/>
      <c r="JB198" s="125"/>
      <c r="JC198" s="125"/>
      <c r="JD198" s="72">
        <f>SUM((TEXT(JA198,"[M]")/60)*'Income Person-hours'!$D$3,(TEXT(JB198,"[M]")/60)*'Income Person-hours'!$D$4,(TEXT(JC198,"[M]")/60)*'Income Person-hours'!$D$5)</f>
        <v>0</v>
      </c>
    </row>
    <row r="199" spans="1:264 16383:16384" s="12" customFormat="1" ht="15.75" hidden="1" x14ac:dyDescent="0.45">
      <c r="A199" s="33">
        <v>9.15</v>
      </c>
      <c r="B199" s="128"/>
      <c r="C199" s="119"/>
      <c r="D199" s="13" t="str">
        <f>IF(OR(j_WEEKDAY(J_ADDDAY(VLOOKUP(I199,A:F,6,FALSE),H199,1),0)=6,SUMIFS(Holieday[ok],Holieday[date],J_ADDDAY(VLOOKUP(I199,A:F,6,FALSE),H199,1)))=FALSE(),J_ADDDAY(VLOOKUP(I199,A:F,6,FALSE),H199,1),IF(OR(j_WEEKDAY(J_ADDDAY(VLOOKUP(I199,A:F,6,FALSE),H199+1,1),0)=6,SUMIFS(Holieday[ok],Holieday[date],J_ADDDAY(VLOOKUP(I199,A:F,6,FALSE),H199+1,1)))=FALSE(),J_ADDDAY(VLOOKUP(I199,A:F,6,FALSE),H199+1,1),IF(OR(j_WEEKDAY(J_ADDDAY(VLOOKUP(I199,A:F,6,FALSE),H199+2,1),0)=6,SUMIFS(Holieday[ok],Holieday[date],J_ADDDAY(VLOOKUP(I199,A:F,6,FALSE),H199+2,1)))=FALSE(),J_ADDDAY(VLOOKUP(I199,A:F,6,FALSE),H199+2,1),IF(OR(j_WEEKDAY(J_ADDDAY(VLOOKUP(I199,A:F,6,FALSE),H199+3,1),0)=6,SUMIFS(Holieday[ok],Holieday[date],J_ADDDAY(VLOOKUP(I199,A:F,6,FALSE),H199+3,1)))=FALSE(),J_ADDDAY(VLOOKUP(I199,A:F,6,FALSE),H199+3,1),IF(OR(j_WEEKDAY(J_ADDDAY(VLOOKUP(I199,A:F,6,FALSE),H199+4,1),0)=6,SUMIFS(Holieday[ok],Holieday[date],J_ADDDAY(VLOOKUP(I199,A:F,6,FALSE),H199+4,1)))=FALSE(),J_ADDDAY(VLOOKUP(I199,A:F,6,FALSE),H199+4,1),J_ADDDAY(VLOOKUP(I199,A:F,6,FALSE),H199+5,1))))))</f>
        <v>1398/08/25</v>
      </c>
      <c r="E199" s="2">
        <f t="shared" si="57"/>
        <v>13980825</v>
      </c>
      <c r="F199" s="13" t="str">
        <f>IF(N199=0,J_SUBDAY(D199,1,1)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0,J_SUBDAY(J_ADDDAY(D199,N199,1)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1,J_SUBDAY(J_ADDDAY(D199,N199+1,1),1,1),IF((N199-NETWORKDAYS.INTL(J_GregorianDate(D199,1),J_GregorianDate(J_SUBDAY(J_ADDDAY(D199,N199,1),1,1),1),16,1)-SUMIFS(Holieday[ok],Holieday[date],CONCATENATE("&gt;","=",D199),Holieday[date],CONCATENATE("&lt;","=",J_SUBDAY(J_ADDDAY(D199,N199,1),1,1)))+SUMIFS(Holieday[Friday],Holieday[date],CONCATENATE("&gt;","=",D199),Holieday[date],CONCATENATE("&lt;","=",J_SUBDAY(J_ADDDAY(D199,N199,1),1,1))))=2,J_SUBDAY(J_ADDDAY(D199,N199+2,1),1,1),J_SUBDAY(J_ADDDAY(D199,N199+3,1),1,1)))))</f>
        <v>1398/08/24</v>
      </c>
      <c r="G199" s="3">
        <f t="shared" si="58"/>
        <v>13980824</v>
      </c>
      <c r="H199" s="121"/>
      <c r="I199" s="122">
        <v>8.4</v>
      </c>
      <c r="J199" s="10" t="str">
        <f>j_WEEKDAY(D199,1)</f>
        <v>شنبه</v>
      </c>
      <c r="K199" s="23">
        <f t="shared" si="62"/>
        <v>0</v>
      </c>
      <c r="L199" s="9">
        <f t="shared" si="61"/>
        <v>0</v>
      </c>
      <c r="M199" s="123">
        <v>0</v>
      </c>
      <c r="N199" s="120">
        <v>0</v>
      </c>
      <c r="O199" s="11">
        <f t="shared" si="59"/>
        <v>0</v>
      </c>
      <c r="P199" s="11">
        <f>VALUE(J_normdate(J_ADDDAY($D199,$O199,1)))</f>
        <v>13980825</v>
      </c>
      <c r="Q199" s="10">
        <f t="shared" si="60"/>
        <v>0</v>
      </c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  <c r="ES199" s="8"/>
      <c r="ET199" s="8"/>
      <c r="EU199" s="8"/>
      <c r="EV199" s="8"/>
      <c r="EW199" s="8"/>
      <c r="EX199" s="8"/>
      <c r="EY199" s="8"/>
      <c r="EZ199" s="8"/>
      <c r="FA199" s="8"/>
      <c r="FB199" s="8"/>
      <c r="FC199" s="8"/>
      <c r="FD199" s="8"/>
      <c r="FE199" s="8"/>
      <c r="FF199" s="8"/>
      <c r="FG199" s="8"/>
      <c r="FH199" s="8"/>
      <c r="FI199" s="8"/>
      <c r="FJ199" s="8"/>
      <c r="FK199" s="8"/>
      <c r="FL199" s="8"/>
      <c r="FM199" s="8"/>
      <c r="FN199" s="8"/>
      <c r="FO199" s="8"/>
      <c r="FP199" s="8"/>
      <c r="FQ199" s="8"/>
      <c r="FR199" s="8"/>
      <c r="FS199" s="8"/>
      <c r="FT199" s="8"/>
      <c r="FU199" s="8"/>
      <c r="FV199" s="8"/>
      <c r="FW199" s="8"/>
      <c r="FX199" s="8"/>
      <c r="FY199" s="8"/>
      <c r="FZ199" s="8"/>
      <c r="GA199" s="8"/>
      <c r="GB199" s="8"/>
      <c r="GC199" s="8"/>
      <c r="GD199" s="8"/>
      <c r="GE199" s="8"/>
      <c r="GF199" s="8"/>
      <c r="GG199" s="8"/>
      <c r="GH199" s="8"/>
      <c r="GI199" s="8"/>
      <c r="GJ199" s="8"/>
      <c r="GK199" s="8"/>
      <c r="GL199" s="8"/>
      <c r="GM199" s="8"/>
      <c r="GN199" s="8"/>
      <c r="GO199" s="8"/>
      <c r="GP199" s="8"/>
      <c r="GQ199" s="8"/>
      <c r="GR199" s="8"/>
      <c r="GS199" s="8"/>
      <c r="GT199" s="8"/>
      <c r="GU199" s="8"/>
      <c r="GV199" s="8"/>
      <c r="GW199" s="8"/>
      <c r="GX199" s="8"/>
      <c r="GY199" s="8"/>
      <c r="GZ199" s="8"/>
      <c r="HA199" s="8"/>
      <c r="HB199" s="8"/>
      <c r="HC199" s="8"/>
      <c r="HD199" s="8"/>
      <c r="HE199" s="8"/>
      <c r="HF199" s="8"/>
      <c r="HG199" s="8"/>
      <c r="HH199" s="8"/>
      <c r="HI199" s="8"/>
      <c r="HJ199" s="8"/>
      <c r="HK199" s="8"/>
      <c r="HL199" s="8"/>
      <c r="HM199" s="8"/>
      <c r="HN199" s="8"/>
      <c r="HO199" s="8"/>
      <c r="HP199" s="8"/>
      <c r="HQ199" s="8"/>
      <c r="HR199" s="8"/>
      <c r="HS199" s="8"/>
      <c r="HT199" s="8"/>
      <c r="HU199" s="8"/>
      <c r="HV199" s="8"/>
      <c r="HW199" s="8"/>
      <c r="HX199" s="8"/>
      <c r="HY199" s="8"/>
      <c r="HZ199" s="8"/>
      <c r="IA199" s="8"/>
      <c r="IB199" s="8"/>
      <c r="IC199" s="8"/>
      <c r="ID199" s="8"/>
      <c r="IE199" s="8"/>
      <c r="IF199" s="8"/>
      <c r="IG199" s="8"/>
      <c r="IH199" s="8"/>
      <c r="II199" s="8"/>
      <c r="IJ199" s="8"/>
      <c r="IK199" s="8"/>
      <c r="IL199" s="8"/>
      <c r="IM199" s="8"/>
      <c r="IN199" s="8"/>
      <c r="IO199" s="8"/>
      <c r="IP199" s="8"/>
      <c r="IQ199" s="8"/>
      <c r="IR199" s="8"/>
      <c r="IS199" s="8"/>
      <c r="IT199" s="8"/>
      <c r="IU199" s="8"/>
      <c r="IV199" s="8"/>
      <c r="IW199" s="8"/>
      <c r="IX199" s="8"/>
      <c r="JA199" s="125"/>
      <c r="JB199" s="125"/>
      <c r="JC199" s="125"/>
      <c r="JD199" s="72">
        <f>SUM((TEXT(JA199,"[M]")/60)*'Income Person-hours'!$D$3,(TEXT(JB199,"[M]")/60)*'Income Person-hours'!$D$4,(TEXT(JC199,"[M]")/60)*'Income Person-hours'!$D$5)</f>
        <v>0</v>
      </c>
    </row>
    <row r="200" spans="1:264 16383:16384" s="12" customFormat="1" ht="15.75" hidden="1" x14ac:dyDescent="0.45">
      <c r="A200" s="33">
        <v>9.16</v>
      </c>
      <c r="B200" s="128"/>
      <c r="C200" s="119"/>
      <c r="D200" s="13" t="str">
        <f>IF(OR(j_WEEKDAY(J_ADDDAY(VLOOKUP(I200,A:F,6,FALSE),H200,1),0)=6,SUMIFS(Holieday[ok],Holieday[date],J_ADDDAY(VLOOKUP(I200,A:F,6,FALSE),H200,1)))=FALSE(),J_ADDDAY(VLOOKUP(I200,A:F,6,FALSE),H200,1),IF(OR(j_WEEKDAY(J_ADDDAY(VLOOKUP(I200,A:F,6,FALSE),H200+1,1),0)=6,SUMIFS(Holieday[ok],Holieday[date],J_ADDDAY(VLOOKUP(I200,A:F,6,FALSE),H200+1,1)))=FALSE(),J_ADDDAY(VLOOKUP(I200,A:F,6,FALSE),H200+1,1),IF(OR(j_WEEKDAY(J_ADDDAY(VLOOKUP(I200,A:F,6,FALSE),H200+2,1),0)=6,SUMIFS(Holieday[ok],Holieday[date],J_ADDDAY(VLOOKUP(I200,A:F,6,FALSE),H200+2,1)))=FALSE(),J_ADDDAY(VLOOKUP(I200,A:F,6,FALSE),H200+2,1),IF(OR(j_WEEKDAY(J_ADDDAY(VLOOKUP(I200,A:F,6,FALSE),H200+3,1),0)=6,SUMIFS(Holieday[ok],Holieday[date],J_ADDDAY(VLOOKUP(I200,A:F,6,FALSE),H200+3,1)))=FALSE(),J_ADDDAY(VLOOKUP(I200,A:F,6,FALSE),H200+3,1),IF(OR(j_WEEKDAY(J_ADDDAY(VLOOKUP(I200,A:F,6,FALSE),H200+4,1),0)=6,SUMIFS(Holieday[ok],Holieday[date],J_ADDDAY(VLOOKUP(I200,A:F,6,FALSE),H200+4,1)))=FALSE(),J_ADDDAY(VLOOKUP(I200,A:F,6,FALSE),H200+4,1),J_ADDDAY(VLOOKUP(I200,A:F,6,FALSE),H200+5,1))))))</f>
        <v>1398/08/25</v>
      </c>
      <c r="E200" s="2">
        <f t="shared" si="57"/>
        <v>13980825</v>
      </c>
      <c r="F200" s="13" t="str">
        <f>IF(N200=0,J_SUBDAY(D200,1,1)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0,J_SUBDAY(J_ADDDAY(D200,N200,1)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1,J_SUBDAY(J_ADDDAY(D200,N200+1,1),1,1),IF((N200-NETWORKDAYS.INTL(J_GregorianDate(D200,1),J_GregorianDate(J_SUBDAY(J_ADDDAY(D200,N200,1),1,1),1),16,1)-SUMIFS(Holieday[ok],Holieday[date],CONCATENATE("&gt;","=",D200),Holieday[date],CONCATENATE("&lt;","=",J_SUBDAY(J_ADDDAY(D200,N200,1),1,1)))+SUMIFS(Holieday[Friday],Holieday[date],CONCATENATE("&gt;","=",D200),Holieday[date],CONCATENATE("&lt;","=",J_SUBDAY(J_ADDDAY(D200,N200,1),1,1))))=2,J_SUBDAY(J_ADDDAY(D200,N200+2,1),1,1),J_SUBDAY(J_ADDDAY(D200,N200+3,1),1,1)))))</f>
        <v>1398/08/24</v>
      </c>
      <c r="G200" s="3">
        <f t="shared" si="58"/>
        <v>13980824</v>
      </c>
      <c r="H200" s="121"/>
      <c r="I200" s="122">
        <v>8.4</v>
      </c>
      <c r="J200" s="10" t="str">
        <f>j_WEEKDAY(D200,1)</f>
        <v>شنبه</v>
      </c>
      <c r="K200" s="23">
        <f t="shared" si="62"/>
        <v>0</v>
      </c>
      <c r="L200" s="9">
        <f t="shared" si="61"/>
        <v>0</v>
      </c>
      <c r="M200" s="123">
        <v>0</v>
      </c>
      <c r="N200" s="120">
        <v>0</v>
      </c>
      <c r="O200" s="11">
        <f t="shared" si="59"/>
        <v>0</v>
      </c>
      <c r="P200" s="11">
        <f>VALUE(J_normdate(J_ADDDAY($D200,$O200,1)))</f>
        <v>13980825</v>
      </c>
      <c r="Q200" s="10">
        <f t="shared" si="60"/>
        <v>0</v>
      </c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  <c r="ES200" s="8"/>
      <c r="ET200" s="8"/>
      <c r="EU200" s="8"/>
      <c r="EV200" s="8"/>
      <c r="EW200" s="8"/>
      <c r="EX200" s="8"/>
      <c r="EY200" s="8"/>
      <c r="EZ200" s="8"/>
      <c r="FA200" s="8"/>
      <c r="FB200" s="8"/>
      <c r="FC200" s="8"/>
      <c r="FD200" s="8"/>
      <c r="FE200" s="8"/>
      <c r="FF200" s="8"/>
      <c r="FG200" s="8"/>
      <c r="FH200" s="8"/>
      <c r="FI200" s="8"/>
      <c r="FJ200" s="8"/>
      <c r="FK200" s="8"/>
      <c r="FL200" s="8"/>
      <c r="FM200" s="8"/>
      <c r="FN200" s="8"/>
      <c r="FO200" s="8"/>
      <c r="FP200" s="8"/>
      <c r="FQ200" s="8"/>
      <c r="FR200" s="8"/>
      <c r="FS200" s="8"/>
      <c r="FT200" s="8"/>
      <c r="FU200" s="8"/>
      <c r="FV200" s="8"/>
      <c r="FW200" s="8"/>
      <c r="FX200" s="8"/>
      <c r="FY200" s="8"/>
      <c r="FZ200" s="8"/>
      <c r="GA200" s="8"/>
      <c r="GB200" s="8"/>
      <c r="GC200" s="8"/>
      <c r="GD200" s="8"/>
      <c r="GE200" s="8"/>
      <c r="GF200" s="8"/>
      <c r="GG200" s="8"/>
      <c r="GH200" s="8"/>
      <c r="GI200" s="8"/>
      <c r="GJ200" s="8"/>
      <c r="GK200" s="8"/>
      <c r="GL200" s="8"/>
      <c r="GM200" s="8"/>
      <c r="GN200" s="8"/>
      <c r="GO200" s="8"/>
      <c r="GP200" s="8"/>
      <c r="GQ200" s="8"/>
      <c r="GR200" s="8"/>
      <c r="GS200" s="8"/>
      <c r="GT200" s="8"/>
      <c r="GU200" s="8"/>
      <c r="GV200" s="8"/>
      <c r="GW200" s="8"/>
      <c r="GX200" s="8"/>
      <c r="GY200" s="8"/>
      <c r="GZ200" s="8"/>
      <c r="HA200" s="8"/>
      <c r="HB200" s="8"/>
      <c r="HC200" s="8"/>
      <c r="HD200" s="8"/>
      <c r="HE200" s="8"/>
      <c r="HF200" s="8"/>
      <c r="HG200" s="8"/>
      <c r="HH200" s="8"/>
      <c r="HI200" s="8"/>
      <c r="HJ200" s="8"/>
      <c r="HK200" s="8"/>
      <c r="HL200" s="8"/>
      <c r="HM200" s="8"/>
      <c r="HN200" s="8"/>
      <c r="HO200" s="8"/>
      <c r="HP200" s="8"/>
      <c r="HQ200" s="8"/>
      <c r="HR200" s="8"/>
      <c r="HS200" s="8"/>
      <c r="HT200" s="8"/>
      <c r="HU200" s="8"/>
      <c r="HV200" s="8"/>
      <c r="HW200" s="8"/>
      <c r="HX200" s="8"/>
      <c r="HY200" s="8"/>
      <c r="HZ200" s="8"/>
      <c r="IA200" s="8"/>
      <c r="IB200" s="8"/>
      <c r="IC200" s="8"/>
      <c r="ID200" s="8"/>
      <c r="IE200" s="8"/>
      <c r="IF200" s="8"/>
      <c r="IG200" s="8"/>
      <c r="IH200" s="8"/>
      <c r="II200" s="8"/>
      <c r="IJ200" s="8"/>
      <c r="IK200" s="8"/>
      <c r="IL200" s="8"/>
      <c r="IM200" s="8"/>
      <c r="IN200" s="8"/>
      <c r="IO200" s="8"/>
      <c r="IP200" s="8"/>
      <c r="IQ200" s="8"/>
      <c r="IR200" s="8"/>
      <c r="IS200" s="8"/>
      <c r="IT200" s="8"/>
      <c r="IU200" s="8"/>
      <c r="IV200" s="8"/>
      <c r="IW200" s="8"/>
      <c r="IX200" s="8"/>
      <c r="JA200" s="125"/>
      <c r="JB200" s="125"/>
      <c r="JC200" s="125"/>
      <c r="JD200" s="72">
        <f>SUM((TEXT(JA200,"[M]")/60)*'Income Person-hours'!$D$3,(TEXT(JB200,"[M]")/60)*'Income Person-hours'!$D$4,(TEXT(JC200,"[M]")/60)*'Income Person-hours'!$D$5)</f>
        <v>0</v>
      </c>
    </row>
    <row r="201" spans="1:264 16383:16384" s="12" customFormat="1" ht="15.75" hidden="1" x14ac:dyDescent="0.45">
      <c r="A201" s="33">
        <v>9.17</v>
      </c>
      <c r="B201" s="128"/>
      <c r="C201" s="119"/>
      <c r="D201" s="13" t="str">
        <f>IF(OR(j_WEEKDAY(J_ADDDAY(VLOOKUP(I201,A:F,6,FALSE),H201,1),0)=6,SUMIFS(Holieday[ok],Holieday[date],J_ADDDAY(VLOOKUP(I201,A:F,6,FALSE),H201,1)))=FALSE(),J_ADDDAY(VLOOKUP(I201,A:F,6,FALSE),H201,1),IF(OR(j_WEEKDAY(J_ADDDAY(VLOOKUP(I201,A:F,6,FALSE),H201+1,1),0)=6,SUMIFS(Holieday[ok],Holieday[date],J_ADDDAY(VLOOKUP(I201,A:F,6,FALSE),H201+1,1)))=FALSE(),J_ADDDAY(VLOOKUP(I201,A:F,6,FALSE),H201+1,1),IF(OR(j_WEEKDAY(J_ADDDAY(VLOOKUP(I201,A:F,6,FALSE),H201+2,1),0)=6,SUMIFS(Holieday[ok],Holieday[date],J_ADDDAY(VLOOKUP(I201,A:F,6,FALSE),H201+2,1)))=FALSE(),J_ADDDAY(VLOOKUP(I201,A:F,6,FALSE),H201+2,1),IF(OR(j_WEEKDAY(J_ADDDAY(VLOOKUP(I201,A:F,6,FALSE),H201+3,1),0)=6,SUMIFS(Holieday[ok],Holieday[date],J_ADDDAY(VLOOKUP(I201,A:F,6,FALSE),H201+3,1)))=FALSE(),J_ADDDAY(VLOOKUP(I201,A:F,6,FALSE),H201+3,1),IF(OR(j_WEEKDAY(J_ADDDAY(VLOOKUP(I201,A:F,6,FALSE),H201+4,1),0)=6,SUMIFS(Holieday[ok],Holieday[date],J_ADDDAY(VLOOKUP(I201,A:F,6,FALSE),H201+4,1)))=FALSE(),J_ADDDAY(VLOOKUP(I201,A:F,6,FALSE),H201+4,1),J_ADDDAY(VLOOKUP(I201,A:F,6,FALSE),H201+5,1))))))</f>
        <v>1398/08/25</v>
      </c>
      <c r="E201" s="2">
        <f t="shared" si="57"/>
        <v>13980825</v>
      </c>
      <c r="F201" s="13" t="str">
        <f>IF(N201=0,J_SUBDAY(D201,1,1)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0,J_SUBDAY(J_ADDDAY(D201,N201,1)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1,J_SUBDAY(J_ADDDAY(D201,N201+1,1),1,1),IF((N201-NETWORKDAYS.INTL(J_GregorianDate(D201,1),J_GregorianDate(J_SUBDAY(J_ADDDAY(D201,N201,1),1,1),1),16,1)-SUMIFS(Holieday[ok],Holieday[date],CONCATENATE("&gt;","=",D201),Holieday[date],CONCATENATE("&lt;","=",J_SUBDAY(J_ADDDAY(D201,N201,1),1,1)))+SUMIFS(Holieday[Friday],Holieday[date],CONCATENATE("&gt;","=",D201),Holieday[date],CONCATENATE("&lt;","=",J_SUBDAY(J_ADDDAY(D201,N201,1),1,1))))=2,J_SUBDAY(J_ADDDAY(D201,N201+2,1),1,1),J_SUBDAY(J_ADDDAY(D201,N201+3,1),1,1)))))</f>
        <v>1398/08/24</v>
      </c>
      <c r="G201" s="3">
        <f t="shared" si="58"/>
        <v>13980824</v>
      </c>
      <c r="H201" s="121"/>
      <c r="I201" s="122">
        <v>8.4</v>
      </c>
      <c r="J201" s="10" t="str">
        <f>j_WEEKDAY(D201,1)</f>
        <v>شنبه</v>
      </c>
      <c r="K201" s="23">
        <f t="shared" si="62"/>
        <v>0</v>
      </c>
      <c r="L201" s="9">
        <f t="shared" si="61"/>
        <v>0</v>
      </c>
      <c r="M201" s="123">
        <v>0</v>
      </c>
      <c r="N201" s="120">
        <v>0</v>
      </c>
      <c r="O201" s="11">
        <f t="shared" si="59"/>
        <v>0</v>
      </c>
      <c r="P201" s="11">
        <f>VALUE(J_normdate(J_ADDDAY($D201,$O201,1)))</f>
        <v>13980825</v>
      </c>
      <c r="Q201" s="10">
        <f t="shared" si="60"/>
        <v>0</v>
      </c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  <c r="ES201" s="8"/>
      <c r="ET201" s="8"/>
      <c r="EU201" s="8"/>
      <c r="EV201" s="8"/>
      <c r="EW201" s="8"/>
      <c r="EX201" s="8"/>
      <c r="EY201" s="8"/>
      <c r="EZ201" s="8"/>
      <c r="FA201" s="8"/>
      <c r="FB201" s="8"/>
      <c r="FC201" s="8"/>
      <c r="FD201" s="8"/>
      <c r="FE201" s="8"/>
      <c r="FF201" s="8"/>
      <c r="FG201" s="8"/>
      <c r="FH201" s="8"/>
      <c r="FI201" s="8"/>
      <c r="FJ201" s="8"/>
      <c r="FK201" s="8"/>
      <c r="FL201" s="8"/>
      <c r="FM201" s="8"/>
      <c r="FN201" s="8"/>
      <c r="FO201" s="8"/>
      <c r="FP201" s="8"/>
      <c r="FQ201" s="8"/>
      <c r="FR201" s="8"/>
      <c r="FS201" s="8"/>
      <c r="FT201" s="8"/>
      <c r="FU201" s="8"/>
      <c r="FV201" s="8"/>
      <c r="FW201" s="8"/>
      <c r="FX201" s="8"/>
      <c r="FY201" s="8"/>
      <c r="FZ201" s="8"/>
      <c r="GA201" s="8"/>
      <c r="GB201" s="8"/>
      <c r="GC201" s="8"/>
      <c r="GD201" s="8"/>
      <c r="GE201" s="8"/>
      <c r="GF201" s="8"/>
      <c r="GG201" s="8"/>
      <c r="GH201" s="8"/>
      <c r="GI201" s="8"/>
      <c r="GJ201" s="8"/>
      <c r="GK201" s="8"/>
      <c r="GL201" s="8"/>
      <c r="GM201" s="8"/>
      <c r="GN201" s="8"/>
      <c r="GO201" s="8"/>
      <c r="GP201" s="8"/>
      <c r="GQ201" s="8"/>
      <c r="GR201" s="8"/>
      <c r="GS201" s="8"/>
      <c r="GT201" s="8"/>
      <c r="GU201" s="8"/>
      <c r="GV201" s="8"/>
      <c r="GW201" s="8"/>
      <c r="GX201" s="8"/>
      <c r="GY201" s="8"/>
      <c r="GZ201" s="8"/>
      <c r="HA201" s="8"/>
      <c r="HB201" s="8"/>
      <c r="HC201" s="8"/>
      <c r="HD201" s="8"/>
      <c r="HE201" s="8"/>
      <c r="HF201" s="8"/>
      <c r="HG201" s="8"/>
      <c r="HH201" s="8"/>
      <c r="HI201" s="8"/>
      <c r="HJ201" s="8"/>
      <c r="HK201" s="8"/>
      <c r="HL201" s="8"/>
      <c r="HM201" s="8"/>
      <c r="HN201" s="8"/>
      <c r="HO201" s="8"/>
      <c r="HP201" s="8"/>
      <c r="HQ201" s="8"/>
      <c r="HR201" s="8"/>
      <c r="HS201" s="8"/>
      <c r="HT201" s="8"/>
      <c r="HU201" s="8"/>
      <c r="HV201" s="8"/>
      <c r="HW201" s="8"/>
      <c r="HX201" s="8"/>
      <c r="HY201" s="8"/>
      <c r="HZ201" s="8"/>
      <c r="IA201" s="8"/>
      <c r="IB201" s="8"/>
      <c r="IC201" s="8"/>
      <c r="ID201" s="8"/>
      <c r="IE201" s="8"/>
      <c r="IF201" s="8"/>
      <c r="IG201" s="8"/>
      <c r="IH201" s="8"/>
      <c r="II201" s="8"/>
      <c r="IJ201" s="8"/>
      <c r="IK201" s="8"/>
      <c r="IL201" s="8"/>
      <c r="IM201" s="8"/>
      <c r="IN201" s="8"/>
      <c r="IO201" s="8"/>
      <c r="IP201" s="8"/>
      <c r="IQ201" s="8"/>
      <c r="IR201" s="8"/>
      <c r="IS201" s="8"/>
      <c r="IT201" s="8"/>
      <c r="IU201" s="8"/>
      <c r="IV201" s="8"/>
      <c r="IW201" s="8"/>
      <c r="IX201" s="8"/>
      <c r="JA201" s="125"/>
      <c r="JB201" s="125"/>
      <c r="JC201" s="125"/>
      <c r="JD201" s="72">
        <f>SUM((TEXT(JA201,"[M]")/60)*'Income Person-hours'!$D$3,(TEXT(JB201,"[M]")/60)*'Income Person-hours'!$D$4,(TEXT(JC201,"[M]")/60)*'Income Person-hours'!$D$5)</f>
        <v>0</v>
      </c>
    </row>
    <row r="202" spans="1:264 16383:16384" s="12" customFormat="1" ht="15.75" hidden="1" x14ac:dyDescent="0.45">
      <c r="A202" s="33">
        <v>9.18</v>
      </c>
      <c r="B202" s="128"/>
      <c r="C202" s="119"/>
      <c r="D202" s="13" t="str">
        <f>IF(OR(j_WEEKDAY(J_ADDDAY(VLOOKUP(I202,A:F,6,FALSE),H202,1),0)=6,SUMIFS(Holieday[ok],Holieday[date],J_ADDDAY(VLOOKUP(I202,A:F,6,FALSE),H202,1)))=FALSE(),J_ADDDAY(VLOOKUP(I202,A:F,6,FALSE),H202,1),IF(OR(j_WEEKDAY(J_ADDDAY(VLOOKUP(I202,A:F,6,FALSE),H202+1,1),0)=6,SUMIFS(Holieday[ok],Holieday[date],J_ADDDAY(VLOOKUP(I202,A:F,6,FALSE),H202+1,1)))=FALSE(),J_ADDDAY(VLOOKUP(I202,A:F,6,FALSE),H202+1,1),IF(OR(j_WEEKDAY(J_ADDDAY(VLOOKUP(I202,A:F,6,FALSE),H202+2,1),0)=6,SUMIFS(Holieday[ok],Holieday[date],J_ADDDAY(VLOOKUP(I202,A:F,6,FALSE),H202+2,1)))=FALSE(),J_ADDDAY(VLOOKUP(I202,A:F,6,FALSE),H202+2,1),IF(OR(j_WEEKDAY(J_ADDDAY(VLOOKUP(I202,A:F,6,FALSE),H202+3,1),0)=6,SUMIFS(Holieday[ok],Holieday[date],J_ADDDAY(VLOOKUP(I202,A:F,6,FALSE),H202+3,1)))=FALSE(),J_ADDDAY(VLOOKUP(I202,A:F,6,FALSE),H202+3,1),IF(OR(j_WEEKDAY(J_ADDDAY(VLOOKUP(I202,A:F,6,FALSE),H202+4,1),0)=6,SUMIFS(Holieday[ok],Holieday[date],J_ADDDAY(VLOOKUP(I202,A:F,6,FALSE),H202+4,1)))=FALSE(),J_ADDDAY(VLOOKUP(I202,A:F,6,FALSE),H202+4,1),J_ADDDAY(VLOOKUP(I202,A:F,6,FALSE),H202+5,1))))))</f>
        <v>1398/08/25</v>
      </c>
      <c r="E202" s="2">
        <f t="shared" si="57"/>
        <v>13980825</v>
      </c>
      <c r="F202" s="13" t="str">
        <f>IF(N202=0,J_SUBDAY(D202,1,1)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0,J_SUBDAY(J_ADDDAY(D202,N202,1)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1,J_SUBDAY(J_ADDDAY(D202,N202+1,1),1,1),IF((N202-NETWORKDAYS.INTL(J_GregorianDate(D202,1),J_GregorianDate(J_SUBDAY(J_ADDDAY(D202,N202,1),1,1),1),16,1)-SUMIFS(Holieday[ok],Holieday[date],CONCATENATE("&gt;","=",D202),Holieday[date],CONCATENATE("&lt;","=",J_SUBDAY(J_ADDDAY(D202,N202,1),1,1)))+SUMIFS(Holieday[Friday],Holieday[date],CONCATENATE("&gt;","=",D202),Holieday[date],CONCATENATE("&lt;","=",J_SUBDAY(J_ADDDAY(D202,N202,1),1,1))))=2,J_SUBDAY(J_ADDDAY(D202,N202+2,1),1,1),J_SUBDAY(J_ADDDAY(D202,N202+3,1),1,1)))))</f>
        <v>1398/08/24</v>
      </c>
      <c r="G202" s="3">
        <f t="shared" si="58"/>
        <v>13980824</v>
      </c>
      <c r="H202" s="121"/>
      <c r="I202" s="122">
        <v>8.4</v>
      </c>
      <c r="J202" s="10" t="str">
        <f>j_WEEKDAY(D202,1)</f>
        <v>شنبه</v>
      </c>
      <c r="K202" s="23">
        <f t="shared" si="62"/>
        <v>0</v>
      </c>
      <c r="L202" s="9">
        <f t="shared" si="61"/>
        <v>0</v>
      </c>
      <c r="M202" s="123">
        <v>0</v>
      </c>
      <c r="N202" s="120">
        <v>0</v>
      </c>
      <c r="O202" s="11">
        <f t="shared" si="59"/>
        <v>0</v>
      </c>
      <c r="P202" s="11">
        <f>VALUE(J_normdate(J_ADDDAY($D202,$O202,1)))</f>
        <v>13980825</v>
      </c>
      <c r="Q202" s="10">
        <f t="shared" si="60"/>
        <v>0</v>
      </c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  <c r="ES202" s="8"/>
      <c r="ET202" s="8"/>
      <c r="EU202" s="8"/>
      <c r="EV202" s="8"/>
      <c r="EW202" s="8"/>
      <c r="EX202" s="8"/>
      <c r="EY202" s="8"/>
      <c r="EZ202" s="8"/>
      <c r="FA202" s="8"/>
      <c r="FB202" s="8"/>
      <c r="FC202" s="8"/>
      <c r="FD202" s="8"/>
      <c r="FE202" s="8"/>
      <c r="FF202" s="8"/>
      <c r="FG202" s="8"/>
      <c r="FH202" s="8"/>
      <c r="FI202" s="8"/>
      <c r="FJ202" s="8"/>
      <c r="FK202" s="8"/>
      <c r="FL202" s="8"/>
      <c r="FM202" s="8"/>
      <c r="FN202" s="8"/>
      <c r="FO202" s="8"/>
      <c r="FP202" s="8"/>
      <c r="FQ202" s="8"/>
      <c r="FR202" s="8"/>
      <c r="FS202" s="8"/>
      <c r="FT202" s="8"/>
      <c r="FU202" s="8"/>
      <c r="FV202" s="8"/>
      <c r="FW202" s="8"/>
      <c r="FX202" s="8"/>
      <c r="FY202" s="8"/>
      <c r="FZ202" s="8"/>
      <c r="GA202" s="8"/>
      <c r="GB202" s="8"/>
      <c r="GC202" s="8"/>
      <c r="GD202" s="8"/>
      <c r="GE202" s="8"/>
      <c r="GF202" s="8"/>
      <c r="GG202" s="8"/>
      <c r="GH202" s="8"/>
      <c r="GI202" s="8"/>
      <c r="GJ202" s="8"/>
      <c r="GK202" s="8"/>
      <c r="GL202" s="8"/>
      <c r="GM202" s="8"/>
      <c r="GN202" s="8"/>
      <c r="GO202" s="8"/>
      <c r="GP202" s="8"/>
      <c r="GQ202" s="8"/>
      <c r="GR202" s="8"/>
      <c r="GS202" s="8"/>
      <c r="GT202" s="8"/>
      <c r="GU202" s="8"/>
      <c r="GV202" s="8"/>
      <c r="GW202" s="8"/>
      <c r="GX202" s="8"/>
      <c r="GY202" s="8"/>
      <c r="GZ202" s="8"/>
      <c r="HA202" s="8"/>
      <c r="HB202" s="8"/>
      <c r="HC202" s="8"/>
      <c r="HD202" s="8"/>
      <c r="HE202" s="8"/>
      <c r="HF202" s="8"/>
      <c r="HG202" s="8"/>
      <c r="HH202" s="8"/>
      <c r="HI202" s="8"/>
      <c r="HJ202" s="8"/>
      <c r="HK202" s="8"/>
      <c r="HL202" s="8"/>
      <c r="HM202" s="8"/>
      <c r="HN202" s="8"/>
      <c r="HO202" s="8"/>
      <c r="HP202" s="8"/>
      <c r="HQ202" s="8"/>
      <c r="HR202" s="8"/>
      <c r="HS202" s="8"/>
      <c r="HT202" s="8"/>
      <c r="HU202" s="8"/>
      <c r="HV202" s="8"/>
      <c r="HW202" s="8"/>
      <c r="HX202" s="8"/>
      <c r="HY202" s="8"/>
      <c r="HZ202" s="8"/>
      <c r="IA202" s="8"/>
      <c r="IB202" s="8"/>
      <c r="IC202" s="8"/>
      <c r="ID202" s="8"/>
      <c r="IE202" s="8"/>
      <c r="IF202" s="8"/>
      <c r="IG202" s="8"/>
      <c r="IH202" s="8"/>
      <c r="II202" s="8"/>
      <c r="IJ202" s="8"/>
      <c r="IK202" s="8"/>
      <c r="IL202" s="8"/>
      <c r="IM202" s="8"/>
      <c r="IN202" s="8"/>
      <c r="IO202" s="8"/>
      <c r="IP202" s="8"/>
      <c r="IQ202" s="8"/>
      <c r="IR202" s="8"/>
      <c r="IS202" s="8"/>
      <c r="IT202" s="8"/>
      <c r="IU202" s="8"/>
      <c r="IV202" s="8"/>
      <c r="IW202" s="8"/>
      <c r="IX202" s="8"/>
      <c r="JA202" s="125"/>
      <c r="JB202" s="125"/>
      <c r="JC202" s="125"/>
      <c r="JD202" s="72">
        <f>SUM((TEXT(JA202,"[M]")/60)*'Income Person-hours'!$D$3,(TEXT(JB202,"[M]")/60)*'Income Person-hours'!$D$4,(TEXT(JC202,"[M]")/60)*'Income Person-hours'!$D$5)</f>
        <v>0</v>
      </c>
    </row>
    <row r="203" spans="1:264 16383:16384" s="12" customFormat="1" ht="15.75" hidden="1" x14ac:dyDescent="0.45">
      <c r="A203" s="33">
        <v>9.19</v>
      </c>
      <c r="B203" s="128"/>
      <c r="C203" s="119"/>
      <c r="D203" s="13" t="str">
        <f>IF(OR(j_WEEKDAY(J_ADDDAY(VLOOKUP(I203,A:F,6,FALSE),H203,1),0)=6,SUMIFS(Holieday[ok],Holieday[date],J_ADDDAY(VLOOKUP(I203,A:F,6,FALSE),H203,1)))=FALSE(),J_ADDDAY(VLOOKUP(I203,A:F,6,FALSE),H203,1),IF(OR(j_WEEKDAY(J_ADDDAY(VLOOKUP(I203,A:F,6,FALSE),H203+1,1),0)=6,SUMIFS(Holieday[ok],Holieday[date],J_ADDDAY(VLOOKUP(I203,A:F,6,FALSE),H203+1,1)))=FALSE(),J_ADDDAY(VLOOKUP(I203,A:F,6,FALSE),H203+1,1),IF(OR(j_WEEKDAY(J_ADDDAY(VLOOKUP(I203,A:F,6,FALSE),H203+2,1),0)=6,SUMIFS(Holieday[ok],Holieday[date],J_ADDDAY(VLOOKUP(I203,A:F,6,FALSE),H203+2,1)))=FALSE(),J_ADDDAY(VLOOKUP(I203,A:F,6,FALSE),H203+2,1),IF(OR(j_WEEKDAY(J_ADDDAY(VLOOKUP(I203,A:F,6,FALSE),H203+3,1),0)=6,SUMIFS(Holieday[ok],Holieday[date],J_ADDDAY(VLOOKUP(I203,A:F,6,FALSE),H203+3,1)))=FALSE(),J_ADDDAY(VLOOKUP(I203,A:F,6,FALSE),H203+3,1),IF(OR(j_WEEKDAY(J_ADDDAY(VLOOKUP(I203,A:F,6,FALSE),H203+4,1),0)=6,SUMIFS(Holieday[ok],Holieday[date],J_ADDDAY(VLOOKUP(I203,A:F,6,FALSE),H203+4,1)))=FALSE(),J_ADDDAY(VLOOKUP(I203,A:F,6,FALSE),H203+4,1),J_ADDDAY(VLOOKUP(I203,A:F,6,FALSE),H203+5,1))))))</f>
        <v>1398/08/25</v>
      </c>
      <c r="E203" s="2">
        <f t="shared" ref="E203:E228" si="63">VALUE(J_normdate(D203))</f>
        <v>13980825</v>
      </c>
      <c r="F203" s="13" t="str">
        <f>IF(N203=0,J_SUBDAY(D203,1,1)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0,J_SUBDAY(J_ADDDAY(D203,N203,1)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1,J_SUBDAY(J_ADDDAY(D203,N203+1,1),1,1),IF((N203-NETWORKDAYS.INTL(J_GregorianDate(D203,1),J_GregorianDate(J_SUBDAY(J_ADDDAY(D203,N203,1),1,1),1),16,1)-SUMIFS(Holieday[ok],Holieday[date],CONCATENATE("&gt;","=",D203),Holieday[date],CONCATENATE("&lt;","=",J_SUBDAY(J_ADDDAY(D203,N203,1),1,1)))+SUMIFS(Holieday[Friday],Holieday[date],CONCATENATE("&gt;","=",D203),Holieday[date],CONCATENATE("&lt;","=",J_SUBDAY(J_ADDDAY(D203,N203,1),1,1))))=2,J_SUBDAY(J_ADDDAY(D203,N203+2,1),1,1),J_SUBDAY(J_ADDDAY(D203,N203+3,1),1,1)))))</f>
        <v>1398/08/24</v>
      </c>
      <c r="G203" s="3">
        <f t="shared" ref="G203:G228" si="64">VALUE(J_normdate(F203))</f>
        <v>13980824</v>
      </c>
      <c r="H203" s="121"/>
      <c r="I203" s="122">
        <v>8.4</v>
      </c>
      <c r="J203" s="10" t="str">
        <f>j_WEEKDAY(D203,1)</f>
        <v>شنبه</v>
      </c>
      <c r="K203" s="23">
        <f t="shared" si="62"/>
        <v>0</v>
      </c>
      <c r="L203" s="9">
        <f t="shared" si="61"/>
        <v>0</v>
      </c>
      <c r="M203" s="123">
        <v>0</v>
      </c>
      <c r="N203" s="120">
        <v>0</v>
      </c>
      <c r="O203" s="11">
        <f t="shared" si="59"/>
        <v>0</v>
      </c>
      <c r="P203" s="11">
        <f>VALUE(J_normdate(J_ADDDAY($D203,$O203,1)))</f>
        <v>13980825</v>
      </c>
      <c r="Q203" s="10">
        <f t="shared" si="60"/>
        <v>0</v>
      </c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  <c r="ES203" s="8"/>
      <c r="ET203" s="8"/>
      <c r="EU203" s="8"/>
      <c r="EV203" s="8"/>
      <c r="EW203" s="8"/>
      <c r="EX203" s="8"/>
      <c r="EY203" s="8"/>
      <c r="EZ203" s="8"/>
      <c r="FA203" s="8"/>
      <c r="FB203" s="8"/>
      <c r="FC203" s="8"/>
      <c r="FD203" s="8"/>
      <c r="FE203" s="8"/>
      <c r="FF203" s="8"/>
      <c r="FG203" s="8"/>
      <c r="FH203" s="8"/>
      <c r="FI203" s="8"/>
      <c r="FJ203" s="8"/>
      <c r="FK203" s="8"/>
      <c r="FL203" s="8"/>
      <c r="FM203" s="8"/>
      <c r="FN203" s="8"/>
      <c r="FO203" s="8"/>
      <c r="FP203" s="8"/>
      <c r="FQ203" s="8"/>
      <c r="FR203" s="8"/>
      <c r="FS203" s="8"/>
      <c r="FT203" s="8"/>
      <c r="FU203" s="8"/>
      <c r="FV203" s="8"/>
      <c r="FW203" s="8"/>
      <c r="FX203" s="8"/>
      <c r="FY203" s="8"/>
      <c r="FZ203" s="8"/>
      <c r="GA203" s="8"/>
      <c r="GB203" s="8"/>
      <c r="GC203" s="8"/>
      <c r="GD203" s="8"/>
      <c r="GE203" s="8"/>
      <c r="GF203" s="8"/>
      <c r="GG203" s="8"/>
      <c r="GH203" s="8"/>
      <c r="GI203" s="8"/>
      <c r="GJ203" s="8"/>
      <c r="GK203" s="8"/>
      <c r="GL203" s="8"/>
      <c r="GM203" s="8"/>
      <c r="GN203" s="8"/>
      <c r="GO203" s="8"/>
      <c r="GP203" s="8"/>
      <c r="GQ203" s="8"/>
      <c r="GR203" s="8"/>
      <c r="GS203" s="8"/>
      <c r="GT203" s="8"/>
      <c r="GU203" s="8"/>
      <c r="GV203" s="8"/>
      <c r="GW203" s="8"/>
      <c r="GX203" s="8"/>
      <c r="GY203" s="8"/>
      <c r="GZ203" s="8"/>
      <c r="HA203" s="8"/>
      <c r="HB203" s="8"/>
      <c r="HC203" s="8"/>
      <c r="HD203" s="8"/>
      <c r="HE203" s="8"/>
      <c r="HF203" s="8"/>
      <c r="HG203" s="8"/>
      <c r="HH203" s="8"/>
      <c r="HI203" s="8"/>
      <c r="HJ203" s="8"/>
      <c r="HK203" s="8"/>
      <c r="HL203" s="8"/>
      <c r="HM203" s="8"/>
      <c r="HN203" s="8"/>
      <c r="HO203" s="8"/>
      <c r="HP203" s="8"/>
      <c r="HQ203" s="8"/>
      <c r="HR203" s="8"/>
      <c r="HS203" s="8"/>
      <c r="HT203" s="8"/>
      <c r="HU203" s="8"/>
      <c r="HV203" s="8"/>
      <c r="HW203" s="8"/>
      <c r="HX203" s="8"/>
      <c r="HY203" s="8"/>
      <c r="HZ203" s="8"/>
      <c r="IA203" s="8"/>
      <c r="IB203" s="8"/>
      <c r="IC203" s="8"/>
      <c r="ID203" s="8"/>
      <c r="IE203" s="8"/>
      <c r="IF203" s="8"/>
      <c r="IG203" s="8"/>
      <c r="IH203" s="8"/>
      <c r="II203" s="8"/>
      <c r="IJ203" s="8"/>
      <c r="IK203" s="8"/>
      <c r="IL203" s="8"/>
      <c r="IM203" s="8"/>
      <c r="IN203" s="8"/>
      <c r="IO203" s="8"/>
      <c r="IP203" s="8"/>
      <c r="IQ203" s="8"/>
      <c r="IR203" s="8"/>
      <c r="IS203" s="8"/>
      <c r="IT203" s="8"/>
      <c r="IU203" s="8"/>
      <c r="IV203" s="8"/>
      <c r="IW203" s="8"/>
      <c r="IX203" s="8"/>
      <c r="JA203" s="125"/>
      <c r="JB203" s="125"/>
      <c r="JC203" s="125"/>
      <c r="JD203" s="72">
        <f>SUM((TEXT(JA203,"[M]")/60)*'Income Person-hours'!$D$3,(TEXT(JB203,"[M]")/60)*'Income Person-hours'!$D$4,(TEXT(JC203,"[M]")/60)*'Income Person-hours'!$D$5)</f>
        <v>0</v>
      </c>
    </row>
    <row r="204" spans="1:264 16383:16384" s="12" customFormat="1" ht="15.75" hidden="1" x14ac:dyDescent="0.45">
      <c r="A204" s="6" t="s">
        <v>150</v>
      </c>
      <c r="B204" s="128"/>
      <c r="C204" s="119"/>
      <c r="D204" s="13" t="str">
        <f>IF(OR(j_WEEKDAY(J_ADDDAY(VLOOKUP(I204,A:F,6,FALSE),H204,1),0)=6,SUMIFS(Holieday[ok],Holieday[date],J_ADDDAY(VLOOKUP(I204,A:F,6,FALSE),H204,1)))=FALSE(),J_ADDDAY(VLOOKUP(I204,A:F,6,FALSE),H204,1),IF(OR(j_WEEKDAY(J_ADDDAY(VLOOKUP(I204,A:F,6,FALSE),H204+1,1),0)=6,SUMIFS(Holieday[ok],Holieday[date],J_ADDDAY(VLOOKUP(I204,A:F,6,FALSE),H204+1,1)))=FALSE(),J_ADDDAY(VLOOKUP(I204,A:F,6,FALSE),H204+1,1),IF(OR(j_WEEKDAY(J_ADDDAY(VLOOKUP(I204,A:F,6,FALSE),H204+2,1),0)=6,SUMIFS(Holieday[ok],Holieday[date],J_ADDDAY(VLOOKUP(I204,A:F,6,FALSE),H204+2,1)))=FALSE(),J_ADDDAY(VLOOKUP(I204,A:F,6,FALSE),H204+2,1),IF(OR(j_WEEKDAY(J_ADDDAY(VLOOKUP(I204,A:F,6,FALSE),H204+3,1),0)=6,SUMIFS(Holieday[ok],Holieday[date],J_ADDDAY(VLOOKUP(I204,A:F,6,FALSE),H204+3,1)))=FALSE(),J_ADDDAY(VLOOKUP(I204,A:F,6,FALSE),H204+3,1),IF(OR(j_WEEKDAY(J_ADDDAY(VLOOKUP(I204,A:F,6,FALSE),H204+4,1),0)=6,SUMIFS(Holieday[ok],Holieday[date],J_ADDDAY(VLOOKUP(I204,A:F,6,FALSE),H204+4,1)))=FALSE(),J_ADDDAY(VLOOKUP(I204,A:F,6,FALSE),H204+4,1),J_ADDDAY(VLOOKUP(I204,A:F,6,FALSE),H204+5,1))))))</f>
        <v>1398/08/25</v>
      </c>
      <c r="E204" s="2">
        <f t="shared" si="63"/>
        <v>13980825</v>
      </c>
      <c r="F204" s="13" t="str">
        <f>IF(N204=0,J_SUBDAY(D204,1,1)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0,J_SUBDAY(J_ADDDAY(D204,N204,1)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1,J_SUBDAY(J_ADDDAY(D204,N204+1,1),1,1),IF((N204-NETWORKDAYS.INTL(J_GregorianDate(D204,1),J_GregorianDate(J_SUBDAY(J_ADDDAY(D204,N204,1),1,1),1),16,1)-SUMIFS(Holieday[ok],Holieday[date],CONCATENATE("&gt;","=",D204),Holieday[date],CONCATENATE("&lt;","=",J_SUBDAY(J_ADDDAY(D204,N204,1),1,1)))+SUMIFS(Holieday[Friday],Holieday[date],CONCATENATE("&gt;","=",D204),Holieday[date],CONCATENATE("&lt;","=",J_SUBDAY(J_ADDDAY(D204,N204,1),1,1))))=2,J_SUBDAY(J_ADDDAY(D204,N204+2,1),1,1),J_SUBDAY(J_ADDDAY(D204,N204+3,1),1,1)))))</f>
        <v>1398/08/24</v>
      </c>
      <c r="G204" s="3">
        <f t="shared" si="64"/>
        <v>13980824</v>
      </c>
      <c r="H204" s="121"/>
      <c r="I204" s="122">
        <v>8.4</v>
      </c>
      <c r="J204" s="10" t="str">
        <f>j_WEEKDAY(D204,1)</f>
        <v>شنبه</v>
      </c>
      <c r="K204" s="23">
        <f t="shared" si="62"/>
        <v>0</v>
      </c>
      <c r="L204" s="9">
        <f t="shared" si="61"/>
        <v>0</v>
      </c>
      <c r="M204" s="123">
        <v>0</v>
      </c>
      <c r="N204" s="120">
        <v>0</v>
      </c>
      <c r="O204" s="11">
        <f t="shared" si="59"/>
        <v>0</v>
      </c>
      <c r="P204" s="11">
        <f>VALUE(J_normdate(J_ADDDAY($D204,$O204,1)))</f>
        <v>13980825</v>
      </c>
      <c r="Q204" s="10">
        <f t="shared" si="60"/>
        <v>0</v>
      </c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  <c r="ES204" s="8"/>
      <c r="ET204" s="8"/>
      <c r="EU204" s="8"/>
      <c r="EV204" s="8"/>
      <c r="EW204" s="8"/>
      <c r="EX204" s="8"/>
      <c r="EY204" s="8"/>
      <c r="EZ204" s="8"/>
      <c r="FA204" s="8"/>
      <c r="FB204" s="8"/>
      <c r="FC204" s="8"/>
      <c r="FD204" s="8"/>
      <c r="FE204" s="8"/>
      <c r="FF204" s="8"/>
      <c r="FG204" s="8"/>
      <c r="FH204" s="8"/>
      <c r="FI204" s="8"/>
      <c r="FJ204" s="8"/>
      <c r="FK204" s="8"/>
      <c r="FL204" s="8"/>
      <c r="FM204" s="8"/>
      <c r="FN204" s="8"/>
      <c r="FO204" s="8"/>
      <c r="FP204" s="8"/>
      <c r="FQ204" s="8"/>
      <c r="FR204" s="8"/>
      <c r="FS204" s="8"/>
      <c r="FT204" s="8"/>
      <c r="FU204" s="8"/>
      <c r="FV204" s="8"/>
      <c r="FW204" s="8"/>
      <c r="FX204" s="8"/>
      <c r="FY204" s="8"/>
      <c r="FZ204" s="8"/>
      <c r="GA204" s="8"/>
      <c r="GB204" s="8"/>
      <c r="GC204" s="8"/>
      <c r="GD204" s="8"/>
      <c r="GE204" s="8"/>
      <c r="GF204" s="8"/>
      <c r="GG204" s="8"/>
      <c r="GH204" s="8"/>
      <c r="GI204" s="8"/>
      <c r="GJ204" s="8"/>
      <c r="GK204" s="8"/>
      <c r="GL204" s="8"/>
      <c r="GM204" s="8"/>
      <c r="GN204" s="8"/>
      <c r="GO204" s="8"/>
      <c r="GP204" s="8"/>
      <c r="GQ204" s="8"/>
      <c r="GR204" s="8"/>
      <c r="GS204" s="8"/>
      <c r="GT204" s="8"/>
      <c r="GU204" s="8"/>
      <c r="GV204" s="8"/>
      <c r="GW204" s="8"/>
      <c r="GX204" s="8"/>
      <c r="GY204" s="8"/>
      <c r="GZ204" s="8"/>
      <c r="HA204" s="8"/>
      <c r="HB204" s="8"/>
      <c r="HC204" s="8"/>
      <c r="HD204" s="8"/>
      <c r="HE204" s="8"/>
      <c r="HF204" s="8"/>
      <c r="HG204" s="8"/>
      <c r="HH204" s="8"/>
      <c r="HI204" s="8"/>
      <c r="HJ204" s="8"/>
      <c r="HK204" s="8"/>
      <c r="HL204" s="8"/>
      <c r="HM204" s="8"/>
      <c r="HN204" s="8"/>
      <c r="HO204" s="8"/>
      <c r="HP204" s="8"/>
      <c r="HQ204" s="8"/>
      <c r="HR204" s="8"/>
      <c r="HS204" s="8"/>
      <c r="HT204" s="8"/>
      <c r="HU204" s="8"/>
      <c r="HV204" s="8"/>
      <c r="HW204" s="8"/>
      <c r="HX204" s="8"/>
      <c r="HY204" s="8"/>
      <c r="HZ204" s="8"/>
      <c r="IA204" s="8"/>
      <c r="IB204" s="8"/>
      <c r="IC204" s="8"/>
      <c r="ID204" s="8"/>
      <c r="IE204" s="8"/>
      <c r="IF204" s="8"/>
      <c r="IG204" s="8"/>
      <c r="IH204" s="8"/>
      <c r="II204" s="8"/>
      <c r="IJ204" s="8"/>
      <c r="IK204" s="8"/>
      <c r="IL204" s="8"/>
      <c r="IM204" s="8"/>
      <c r="IN204" s="8"/>
      <c r="IO204" s="8"/>
      <c r="IP204" s="8"/>
      <c r="IQ204" s="8"/>
      <c r="IR204" s="8"/>
      <c r="IS204" s="8"/>
      <c r="IT204" s="8"/>
      <c r="IU204" s="8"/>
      <c r="IV204" s="8"/>
      <c r="IW204" s="8"/>
      <c r="IX204" s="8"/>
      <c r="JA204" s="125"/>
      <c r="JB204" s="125"/>
      <c r="JC204" s="125"/>
      <c r="JD204" s="72">
        <f>SUM((TEXT(JA204,"[M]")/60)*'Income Person-hours'!$D$3,(TEXT(JB204,"[M]")/60)*'Income Person-hours'!$D$4,(TEXT(JC204,"[M]")/60)*'Income Person-hours'!$D$5)</f>
        <v>0</v>
      </c>
    </row>
    <row r="205" spans="1:264 16383:16384" s="12" customFormat="1" ht="15.75" hidden="1" x14ac:dyDescent="0.45">
      <c r="A205" s="6" t="s">
        <v>151</v>
      </c>
      <c r="B205" s="128"/>
      <c r="C205" s="119"/>
      <c r="D205" s="13" t="str">
        <f>IF(OR(j_WEEKDAY(J_ADDDAY(VLOOKUP(I205,A:F,6,FALSE),H205,1),0)=6,SUMIFS(Holieday[ok],Holieday[date],J_ADDDAY(VLOOKUP(I205,A:F,6,FALSE),H205,1)))=FALSE(),J_ADDDAY(VLOOKUP(I205,A:F,6,FALSE),H205,1),IF(OR(j_WEEKDAY(J_ADDDAY(VLOOKUP(I205,A:F,6,FALSE),H205+1,1),0)=6,SUMIFS(Holieday[ok],Holieday[date],J_ADDDAY(VLOOKUP(I205,A:F,6,FALSE),H205+1,1)))=FALSE(),J_ADDDAY(VLOOKUP(I205,A:F,6,FALSE),H205+1,1),IF(OR(j_WEEKDAY(J_ADDDAY(VLOOKUP(I205,A:F,6,FALSE),H205+2,1),0)=6,SUMIFS(Holieday[ok],Holieday[date],J_ADDDAY(VLOOKUP(I205,A:F,6,FALSE),H205+2,1)))=FALSE(),J_ADDDAY(VLOOKUP(I205,A:F,6,FALSE),H205+2,1),IF(OR(j_WEEKDAY(J_ADDDAY(VLOOKUP(I205,A:F,6,FALSE),H205+3,1),0)=6,SUMIFS(Holieday[ok],Holieday[date],J_ADDDAY(VLOOKUP(I205,A:F,6,FALSE),H205+3,1)))=FALSE(),J_ADDDAY(VLOOKUP(I205,A:F,6,FALSE),H205+3,1),IF(OR(j_WEEKDAY(J_ADDDAY(VLOOKUP(I205,A:F,6,FALSE),H205+4,1),0)=6,SUMIFS(Holieday[ok],Holieday[date],J_ADDDAY(VLOOKUP(I205,A:F,6,FALSE),H205+4,1)))=FALSE(),J_ADDDAY(VLOOKUP(I205,A:F,6,FALSE),H205+4,1),J_ADDDAY(VLOOKUP(I205,A:F,6,FALSE),H205+5,1))))))</f>
        <v>1398/08/25</v>
      </c>
      <c r="E205" s="2">
        <f t="shared" si="63"/>
        <v>13980825</v>
      </c>
      <c r="F205" s="13" t="str">
        <f>IF(N205=0,J_SUBDAY(D205,1,1)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0,J_SUBDAY(J_ADDDAY(D205,N205,1)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1,J_SUBDAY(J_ADDDAY(D205,N205+1,1),1,1),IF((N205-NETWORKDAYS.INTL(J_GregorianDate(D205,1),J_GregorianDate(J_SUBDAY(J_ADDDAY(D205,N205,1),1,1),1),16,1)-SUMIFS(Holieday[ok],Holieday[date],CONCATENATE("&gt;","=",D205),Holieday[date],CONCATENATE("&lt;","=",J_SUBDAY(J_ADDDAY(D205,N205,1),1,1)))+SUMIFS(Holieday[Friday],Holieday[date],CONCATENATE("&gt;","=",D205),Holieday[date],CONCATENATE("&lt;","=",J_SUBDAY(J_ADDDAY(D205,N205,1),1,1))))=2,J_SUBDAY(J_ADDDAY(D205,N205+2,1),1,1),J_SUBDAY(J_ADDDAY(D205,N205+3,1),1,1)))))</f>
        <v>1398/08/24</v>
      </c>
      <c r="G205" s="3">
        <f t="shared" si="64"/>
        <v>13980824</v>
      </c>
      <c r="H205" s="121"/>
      <c r="I205" s="122">
        <v>8.4</v>
      </c>
      <c r="J205" s="10" t="str">
        <f>j_WEEKDAY(D205,1)</f>
        <v>شنبه</v>
      </c>
      <c r="K205" s="23">
        <f t="shared" si="62"/>
        <v>0</v>
      </c>
      <c r="L205" s="9">
        <f t="shared" si="61"/>
        <v>0</v>
      </c>
      <c r="M205" s="123">
        <v>0</v>
      </c>
      <c r="N205" s="120">
        <v>0</v>
      </c>
      <c r="O205" s="11">
        <f t="shared" si="59"/>
        <v>0</v>
      </c>
      <c r="P205" s="11">
        <f>VALUE(J_normdate(J_ADDDAY($D205,$O205,1)))</f>
        <v>13980825</v>
      </c>
      <c r="Q205" s="10">
        <f t="shared" si="60"/>
        <v>0</v>
      </c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  <c r="ES205" s="8"/>
      <c r="ET205" s="8"/>
      <c r="EU205" s="8"/>
      <c r="EV205" s="8"/>
      <c r="EW205" s="8"/>
      <c r="EX205" s="8"/>
      <c r="EY205" s="8"/>
      <c r="EZ205" s="8"/>
      <c r="FA205" s="8"/>
      <c r="FB205" s="8"/>
      <c r="FC205" s="8"/>
      <c r="FD205" s="8"/>
      <c r="FE205" s="8"/>
      <c r="FF205" s="8"/>
      <c r="FG205" s="8"/>
      <c r="FH205" s="8"/>
      <c r="FI205" s="8"/>
      <c r="FJ205" s="8"/>
      <c r="FK205" s="8"/>
      <c r="FL205" s="8"/>
      <c r="FM205" s="8"/>
      <c r="FN205" s="8"/>
      <c r="FO205" s="8"/>
      <c r="FP205" s="8"/>
      <c r="FQ205" s="8"/>
      <c r="FR205" s="8"/>
      <c r="FS205" s="8"/>
      <c r="FT205" s="8"/>
      <c r="FU205" s="8"/>
      <c r="FV205" s="8"/>
      <c r="FW205" s="8"/>
      <c r="FX205" s="8"/>
      <c r="FY205" s="8"/>
      <c r="FZ205" s="8"/>
      <c r="GA205" s="8"/>
      <c r="GB205" s="8"/>
      <c r="GC205" s="8"/>
      <c r="GD205" s="8"/>
      <c r="GE205" s="8"/>
      <c r="GF205" s="8"/>
      <c r="GG205" s="8"/>
      <c r="GH205" s="8"/>
      <c r="GI205" s="8"/>
      <c r="GJ205" s="8"/>
      <c r="GK205" s="8"/>
      <c r="GL205" s="8"/>
      <c r="GM205" s="8"/>
      <c r="GN205" s="8"/>
      <c r="GO205" s="8"/>
      <c r="GP205" s="8"/>
      <c r="GQ205" s="8"/>
      <c r="GR205" s="8"/>
      <c r="GS205" s="8"/>
      <c r="GT205" s="8"/>
      <c r="GU205" s="8"/>
      <c r="GV205" s="8"/>
      <c r="GW205" s="8"/>
      <c r="GX205" s="8"/>
      <c r="GY205" s="8"/>
      <c r="GZ205" s="8"/>
      <c r="HA205" s="8"/>
      <c r="HB205" s="8"/>
      <c r="HC205" s="8"/>
      <c r="HD205" s="8"/>
      <c r="HE205" s="8"/>
      <c r="HF205" s="8"/>
      <c r="HG205" s="8"/>
      <c r="HH205" s="8"/>
      <c r="HI205" s="8"/>
      <c r="HJ205" s="8"/>
      <c r="HK205" s="8"/>
      <c r="HL205" s="8"/>
      <c r="HM205" s="8"/>
      <c r="HN205" s="8"/>
      <c r="HO205" s="8"/>
      <c r="HP205" s="8"/>
      <c r="HQ205" s="8"/>
      <c r="HR205" s="8"/>
      <c r="HS205" s="8"/>
      <c r="HT205" s="8"/>
      <c r="HU205" s="8"/>
      <c r="HV205" s="8"/>
      <c r="HW205" s="8"/>
      <c r="HX205" s="8"/>
      <c r="HY205" s="8"/>
      <c r="HZ205" s="8"/>
      <c r="IA205" s="8"/>
      <c r="IB205" s="8"/>
      <c r="IC205" s="8"/>
      <c r="ID205" s="8"/>
      <c r="IE205" s="8"/>
      <c r="IF205" s="8"/>
      <c r="IG205" s="8"/>
      <c r="IH205" s="8"/>
      <c r="II205" s="8"/>
      <c r="IJ205" s="8"/>
      <c r="IK205" s="8"/>
      <c r="IL205" s="8"/>
      <c r="IM205" s="8"/>
      <c r="IN205" s="8"/>
      <c r="IO205" s="8"/>
      <c r="IP205" s="8"/>
      <c r="IQ205" s="8"/>
      <c r="IR205" s="8"/>
      <c r="IS205" s="8"/>
      <c r="IT205" s="8"/>
      <c r="IU205" s="8"/>
      <c r="IV205" s="8"/>
      <c r="IW205" s="8"/>
      <c r="IX205" s="8"/>
      <c r="JA205" s="125"/>
      <c r="JB205" s="125"/>
      <c r="JC205" s="125"/>
      <c r="JD205" s="72">
        <f>SUM((TEXT(JA205,"[M]")/60)*'Income Person-hours'!$D$3,(TEXT(JB205,"[M]")/60)*'Income Person-hours'!$D$4,(TEXT(JC205,"[M]")/60)*'Income Person-hours'!$D$5)</f>
        <v>0</v>
      </c>
    </row>
    <row r="206" spans="1:264 16383:16384" s="12" customFormat="1" ht="15.75" hidden="1" x14ac:dyDescent="0.45">
      <c r="A206" s="6" t="s">
        <v>152</v>
      </c>
      <c r="B206" s="128"/>
      <c r="C206" s="119"/>
      <c r="D206" s="13" t="str">
        <f>IF(OR(j_WEEKDAY(J_ADDDAY(VLOOKUP(I206,A:F,6,FALSE),H206,1),0)=6,SUMIFS(Holieday[ok],Holieday[date],J_ADDDAY(VLOOKUP(I206,A:F,6,FALSE),H206,1)))=FALSE(),J_ADDDAY(VLOOKUP(I206,A:F,6,FALSE),H206,1),IF(OR(j_WEEKDAY(J_ADDDAY(VLOOKUP(I206,A:F,6,FALSE),H206+1,1),0)=6,SUMIFS(Holieday[ok],Holieday[date],J_ADDDAY(VLOOKUP(I206,A:F,6,FALSE),H206+1,1)))=FALSE(),J_ADDDAY(VLOOKUP(I206,A:F,6,FALSE),H206+1,1),IF(OR(j_WEEKDAY(J_ADDDAY(VLOOKUP(I206,A:F,6,FALSE),H206+2,1),0)=6,SUMIFS(Holieday[ok],Holieday[date],J_ADDDAY(VLOOKUP(I206,A:F,6,FALSE),H206+2,1)))=FALSE(),J_ADDDAY(VLOOKUP(I206,A:F,6,FALSE),H206+2,1),IF(OR(j_WEEKDAY(J_ADDDAY(VLOOKUP(I206,A:F,6,FALSE),H206+3,1),0)=6,SUMIFS(Holieday[ok],Holieday[date],J_ADDDAY(VLOOKUP(I206,A:F,6,FALSE),H206+3,1)))=FALSE(),J_ADDDAY(VLOOKUP(I206,A:F,6,FALSE),H206+3,1),IF(OR(j_WEEKDAY(J_ADDDAY(VLOOKUP(I206,A:F,6,FALSE),H206+4,1),0)=6,SUMIFS(Holieday[ok],Holieday[date],J_ADDDAY(VLOOKUP(I206,A:F,6,FALSE),H206+4,1)))=FALSE(),J_ADDDAY(VLOOKUP(I206,A:F,6,FALSE),H206+4,1),J_ADDDAY(VLOOKUP(I206,A:F,6,FALSE),H206+5,1))))))</f>
        <v>1398/08/25</v>
      </c>
      <c r="E206" s="2">
        <f t="shared" si="63"/>
        <v>13980825</v>
      </c>
      <c r="F206" s="13" t="str">
        <f>IF(N206=0,J_SUBDAY(D206,1,1)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0,J_SUBDAY(J_ADDDAY(D206,N206,1)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1,J_SUBDAY(J_ADDDAY(D206,N206+1,1),1,1),IF((N206-NETWORKDAYS.INTL(J_GregorianDate(D206,1),J_GregorianDate(J_SUBDAY(J_ADDDAY(D206,N206,1),1,1),1),16,1)-SUMIFS(Holieday[ok],Holieday[date],CONCATENATE("&gt;","=",D206),Holieday[date],CONCATENATE("&lt;","=",J_SUBDAY(J_ADDDAY(D206,N206,1),1,1)))+SUMIFS(Holieday[Friday],Holieday[date],CONCATENATE("&gt;","=",D206),Holieday[date],CONCATENATE("&lt;","=",J_SUBDAY(J_ADDDAY(D206,N206,1),1,1))))=2,J_SUBDAY(J_ADDDAY(D206,N206+2,1),1,1),J_SUBDAY(J_ADDDAY(D206,N206+3,1),1,1)))))</f>
        <v>1398/08/24</v>
      </c>
      <c r="G206" s="3">
        <f t="shared" si="64"/>
        <v>13980824</v>
      </c>
      <c r="H206" s="121"/>
      <c r="I206" s="122">
        <v>8.4</v>
      </c>
      <c r="J206" s="10" t="str">
        <f>j_WEEKDAY(D206,1)</f>
        <v>شنبه</v>
      </c>
      <c r="K206" s="23">
        <f t="shared" si="62"/>
        <v>0</v>
      </c>
      <c r="L206" s="9">
        <f t="shared" si="61"/>
        <v>0</v>
      </c>
      <c r="M206" s="123">
        <v>0</v>
      </c>
      <c r="N206" s="120">
        <v>0</v>
      </c>
      <c r="O206" s="11">
        <f t="shared" si="59"/>
        <v>0</v>
      </c>
      <c r="P206" s="11">
        <f>VALUE(J_normdate(J_ADDDAY($D206,$O206,1)))</f>
        <v>13980825</v>
      </c>
      <c r="Q206" s="10">
        <f t="shared" si="60"/>
        <v>0</v>
      </c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  <c r="ES206" s="8"/>
      <c r="ET206" s="8"/>
      <c r="EU206" s="8"/>
      <c r="EV206" s="8"/>
      <c r="EW206" s="8"/>
      <c r="EX206" s="8"/>
      <c r="EY206" s="8"/>
      <c r="EZ206" s="8"/>
      <c r="FA206" s="8"/>
      <c r="FB206" s="8"/>
      <c r="FC206" s="8"/>
      <c r="FD206" s="8"/>
      <c r="FE206" s="8"/>
      <c r="FF206" s="8"/>
      <c r="FG206" s="8"/>
      <c r="FH206" s="8"/>
      <c r="FI206" s="8"/>
      <c r="FJ206" s="8"/>
      <c r="FK206" s="8"/>
      <c r="FL206" s="8"/>
      <c r="FM206" s="8"/>
      <c r="FN206" s="8"/>
      <c r="FO206" s="8"/>
      <c r="FP206" s="8"/>
      <c r="FQ206" s="8"/>
      <c r="FR206" s="8"/>
      <c r="FS206" s="8"/>
      <c r="FT206" s="8"/>
      <c r="FU206" s="8"/>
      <c r="FV206" s="8"/>
      <c r="FW206" s="8"/>
      <c r="FX206" s="8"/>
      <c r="FY206" s="8"/>
      <c r="FZ206" s="8"/>
      <c r="GA206" s="8"/>
      <c r="GB206" s="8"/>
      <c r="GC206" s="8"/>
      <c r="GD206" s="8"/>
      <c r="GE206" s="8"/>
      <c r="GF206" s="8"/>
      <c r="GG206" s="8"/>
      <c r="GH206" s="8"/>
      <c r="GI206" s="8"/>
      <c r="GJ206" s="8"/>
      <c r="GK206" s="8"/>
      <c r="GL206" s="8"/>
      <c r="GM206" s="8"/>
      <c r="GN206" s="8"/>
      <c r="GO206" s="8"/>
      <c r="GP206" s="8"/>
      <c r="GQ206" s="8"/>
      <c r="GR206" s="8"/>
      <c r="GS206" s="8"/>
      <c r="GT206" s="8"/>
      <c r="GU206" s="8"/>
      <c r="GV206" s="8"/>
      <c r="GW206" s="8"/>
      <c r="GX206" s="8"/>
      <c r="GY206" s="8"/>
      <c r="GZ206" s="8"/>
      <c r="HA206" s="8"/>
      <c r="HB206" s="8"/>
      <c r="HC206" s="8"/>
      <c r="HD206" s="8"/>
      <c r="HE206" s="8"/>
      <c r="HF206" s="8"/>
      <c r="HG206" s="8"/>
      <c r="HH206" s="8"/>
      <c r="HI206" s="8"/>
      <c r="HJ206" s="8"/>
      <c r="HK206" s="8"/>
      <c r="HL206" s="8"/>
      <c r="HM206" s="8"/>
      <c r="HN206" s="8"/>
      <c r="HO206" s="8"/>
      <c r="HP206" s="8"/>
      <c r="HQ206" s="8"/>
      <c r="HR206" s="8"/>
      <c r="HS206" s="8"/>
      <c r="HT206" s="8"/>
      <c r="HU206" s="8"/>
      <c r="HV206" s="8"/>
      <c r="HW206" s="8"/>
      <c r="HX206" s="8"/>
      <c r="HY206" s="8"/>
      <c r="HZ206" s="8"/>
      <c r="IA206" s="8"/>
      <c r="IB206" s="8"/>
      <c r="IC206" s="8"/>
      <c r="ID206" s="8"/>
      <c r="IE206" s="8"/>
      <c r="IF206" s="8"/>
      <c r="IG206" s="8"/>
      <c r="IH206" s="8"/>
      <c r="II206" s="8"/>
      <c r="IJ206" s="8"/>
      <c r="IK206" s="8"/>
      <c r="IL206" s="8"/>
      <c r="IM206" s="8"/>
      <c r="IN206" s="8"/>
      <c r="IO206" s="8"/>
      <c r="IP206" s="8"/>
      <c r="IQ206" s="8"/>
      <c r="IR206" s="8"/>
      <c r="IS206" s="8"/>
      <c r="IT206" s="8"/>
      <c r="IU206" s="8"/>
      <c r="IV206" s="8"/>
      <c r="IW206" s="8"/>
      <c r="IX206" s="8"/>
      <c r="JA206" s="125"/>
      <c r="JB206" s="125"/>
      <c r="JC206" s="125"/>
      <c r="JD206" s="72">
        <f>SUM((TEXT(JA206,"[M]")/60)*'Income Person-hours'!$D$3,(TEXT(JB206,"[M]")/60)*'Income Person-hours'!$D$4,(TEXT(JC206,"[M]")/60)*'Income Person-hours'!$D$5)</f>
        <v>0</v>
      </c>
    </row>
    <row r="207" spans="1:264 16383:16384" s="2" customFormat="1" ht="15.75" hidden="1" x14ac:dyDescent="0.45">
      <c r="A207" s="63">
        <v>10</v>
      </c>
      <c r="B207" s="114" t="s">
        <v>122</v>
      </c>
      <c r="C207" s="115"/>
      <c r="D207" s="5" t="str">
        <f>FDate(MIN(E208:E228))</f>
        <v>1398/08/25</v>
      </c>
      <c r="E207" s="2">
        <f t="shared" si="63"/>
        <v>13980825</v>
      </c>
      <c r="F207" s="5" t="str">
        <f>J_SUBDAY(J_ADDDAY(D207,L207,1),1,1)</f>
        <v>1398/08/24</v>
      </c>
      <c r="G207" s="3">
        <f t="shared" si="64"/>
        <v>13980824</v>
      </c>
      <c r="H207" s="116"/>
      <c r="I207" s="117"/>
      <c r="J207" s="5" t="str">
        <f>j_WEEKDAY(D207,1)</f>
        <v>شنبه</v>
      </c>
      <c r="K207" s="22">
        <f>SUM(K208:K228)</f>
        <v>0</v>
      </c>
      <c r="L207" s="4">
        <f>J_DIFF(D207,FDate(MAX(G208:G228)))+1</f>
        <v>0</v>
      </c>
      <c r="M207" s="204">
        <f>IF(SUM(L208:L228)&lt;&gt;0,SUMPRODUCT(L208:L228,M208:M228)/SUM(L208:L228),0)</f>
        <v>0</v>
      </c>
      <c r="N207" s="205">
        <f>IF(F207&gt;=D207,NETWORKDAYS.INTL(J_GregorianDate(D207,1),J_GregorianDate(F207,1),16,1)-SUMIFS(Holieday[ok],Holieday[date],CONCATENATE("&gt;","=",D207),Holieday[date],CONCATENATE("&lt;","=",F207))+SUMIFS(Holieday[Friday],Holieday[date],CONCATENATE("&gt;","=",D207),Holieday[date],CONCATENATE("&lt;","=",F207)),0)</f>
        <v>0</v>
      </c>
      <c r="O207" s="15">
        <f t="shared" ref="O207" si="65">ROUNDDOWN(M207*L207,0)</f>
        <v>0</v>
      </c>
      <c r="P207" s="15">
        <f>VALUE(J_normdate(J_ADDDAY($D207,$O207,1)))</f>
        <v>13980825</v>
      </c>
      <c r="Q207" s="5">
        <f t="shared" ref="Q207" si="66">L207-O207</f>
        <v>0</v>
      </c>
      <c r="IV207" s="198"/>
      <c r="IW207" s="198"/>
      <c r="IX207" s="198"/>
      <c r="IY207" s="228"/>
      <c r="IZ207" s="228"/>
      <c r="JA207" s="228"/>
      <c r="JB207" s="229"/>
      <c r="JC207" s="198"/>
      <c r="XFC207" s="5"/>
      <c r="XFD207" s="5"/>
    </row>
    <row r="208" spans="1:264 16383:16384" s="12" customFormat="1" ht="15.75" hidden="1" x14ac:dyDescent="0.45">
      <c r="A208" s="33">
        <v>10.1</v>
      </c>
      <c r="B208" s="128"/>
      <c r="C208" s="119"/>
      <c r="D208" s="13" t="str">
        <f>IF(OR(j_WEEKDAY(J_ADDDAY(VLOOKUP(I208,A:F,6,FALSE),H208,1),0)=6,SUMIFS(Holieday[ok],Holieday[date],J_ADDDAY(VLOOKUP(I208,A:F,6,FALSE),H208,1)))=FALSE(),J_ADDDAY(VLOOKUP(I208,A:F,6,FALSE),H208,1),IF(OR(j_WEEKDAY(J_ADDDAY(VLOOKUP(I208,A:F,6,FALSE),H208+1,1),0)=6,SUMIFS(Holieday[ok],Holieday[date],J_ADDDAY(VLOOKUP(I208,A:F,6,FALSE),H208+1,1)))=FALSE(),J_ADDDAY(VLOOKUP(I208,A:F,6,FALSE),H208+1,1),IF(OR(j_WEEKDAY(J_ADDDAY(VLOOKUP(I208,A:F,6,FALSE),H208+2,1),0)=6,SUMIFS(Holieday[ok],Holieday[date],J_ADDDAY(VLOOKUP(I208,A:F,6,FALSE),H208+2,1)))=FALSE(),J_ADDDAY(VLOOKUP(I208,A:F,6,FALSE),H208+2,1),IF(OR(j_WEEKDAY(J_ADDDAY(VLOOKUP(I208,A:F,6,FALSE),H208+3,1),0)=6,SUMIFS(Holieday[ok],Holieday[date],J_ADDDAY(VLOOKUP(I208,A:F,6,FALSE),H208+3,1)))=FALSE(),J_ADDDAY(VLOOKUP(I208,A:F,6,FALSE),H208+3,1),IF(OR(j_WEEKDAY(J_ADDDAY(VLOOKUP(I208,A:F,6,FALSE),H208+4,1),0)=6,SUMIFS(Holieday[ok],Holieday[date],J_ADDDAY(VLOOKUP(I208,A:F,6,FALSE),H208+4,1)))=FALSE(),J_ADDDAY(VLOOKUP(I208,A:F,6,FALSE),H208+4,1),J_ADDDAY(VLOOKUP(I208,A:F,6,FALSE),H208+5,1))))))</f>
        <v>1398/08/25</v>
      </c>
      <c r="E208" s="2">
        <f t="shared" si="63"/>
        <v>13980825</v>
      </c>
      <c r="F208" s="13" t="str">
        <f>IF(N208=0,J_SUBDAY(D208,1,1)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0,J_SUBDAY(J_ADDDAY(D208,N208,1)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1,J_SUBDAY(J_ADDDAY(D208,N208+1,1),1,1),IF((N208-NETWORKDAYS.INTL(J_GregorianDate(D208,1),J_GregorianDate(J_SUBDAY(J_ADDDAY(D208,N208,1),1,1),1),16,1)-SUMIFS(Holieday[ok],Holieday[date],CONCATENATE("&gt;","=",D208),Holieday[date],CONCATENATE("&lt;","=",J_SUBDAY(J_ADDDAY(D208,N208,1),1,1)))+SUMIFS(Holieday[Friday],Holieday[date],CONCATENATE("&gt;","=",D208),Holieday[date],CONCATENATE("&lt;","=",J_SUBDAY(J_ADDDAY(D208,N208,1),1,1))))=2,J_SUBDAY(J_ADDDAY(D208,N208+2,1),1,1),J_SUBDAY(J_ADDDAY(D208,N208+3,1),1,1)))))</f>
        <v>1398/08/24</v>
      </c>
      <c r="G208" s="3">
        <f t="shared" si="64"/>
        <v>13980824</v>
      </c>
      <c r="H208" s="121"/>
      <c r="I208" s="122">
        <v>8.4</v>
      </c>
      <c r="J208" s="10" t="str">
        <f>j_WEEKDAY(D208,1)</f>
        <v>شنبه</v>
      </c>
      <c r="K208" s="23">
        <f t="shared" si="62"/>
        <v>0</v>
      </c>
      <c r="L208" s="9">
        <f t="shared" ref="L208:L228" si="67">J_DIFF(D208,F208)+1</f>
        <v>0</v>
      </c>
      <c r="M208" s="123">
        <v>0</v>
      </c>
      <c r="N208" s="120">
        <v>0</v>
      </c>
      <c r="O208" s="11">
        <f t="shared" ref="O208:O228" si="68">ROUNDDOWN(M208*L208,0)</f>
        <v>0</v>
      </c>
      <c r="P208" s="11">
        <f>VALUE(J_normdate(J_ADDDAY($D208,$O208,1)))</f>
        <v>13980825</v>
      </c>
      <c r="Q208" s="10">
        <f t="shared" ref="Q208:Q228" si="69">L208-O208</f>
        <v>0</v>
      </c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  <c r="ES208" s="8"/>
      <c r="ET208" s="8"/>
      <c r="EU208" s="8"/>
      <c r="EV208" s="8"/>
      <c r="EW208" s="8"/>
      <c r="EX208" s="8"/>
      <c r="EY208" s="8"/>
      <c r="EZ208" s="8"/>
      <c r="FA208" s="8"/>
      <c r="FB208" s="8"/>
      <c r="FC208" s="8"/>
      <c r="FD208" s="8"/>
      <c r="FE208" s="8"/>
      <c r="FF208" s="8"/>
      <c r="FG208" s="8"/>
      <c r="FH208" s="8"/>
      <c r="FI208" s="8"/>
      <c r="FJ208" s="8"/>
      <c r="FK208" s="8"/>
      <c r="FL208" s="8"/>
      <c r="FM208" s="8"/>
      <c r="FN208" s="8"/>
      <c r="FO208" s="8"/>
      <c r="FP208" s="8"/>
      <c r="FQ208" s="8"/>
      <c r="FR208" s="8"/>
      <c r="FS208" s="8"/>
      <c r="FT208" s="8"/>
      <c r="FU208" s="8"/>
      <c r="FV208" s="8"/>
      <c r="FW208" s="8"/>
      <c r="FX208" s="8"/>
      <c r="FY208" s="8"/>
      <c r="FZ208" s="8"/>
      <c r="GA208" s="8"/>
      <c r="GB208" s="8"/>
      <c r="GC208" s="8"/>
      <c r="GD208" s="8"/>
      <c r="GE208" s="8"/>
      <c r="GF208" s="8"/>
      <c r="GG208" s="8"/>
      <c r="GH208" s="8"/>
      <c r="GI208" s="8"/>
      <c r="GJ208" s="8"/>
      <c r="GK208" s="8"/>
      <c r="GL208" s="8"/>
      <c r="GM208" s="8"/>
      <c r="GN208" s="8"/>
      <c r="GO208" s="8"/>
      <c r="GP208" s="8"/>
      <c r="GQ208" s="8"/>
      <c r="GR208" s="8"/>
      <c r="GS208" s="8"/>
      <c r="GT208" s="8"/>
      <c r="GU208" s="8"/>
      <c r="GV208" s="8"/>
      <c r="GW208" s="8"/>
      <c r="GX208" s="8"/>
      <c r="GY208" s="8"/>
      <c r="GZ208" s="8"/>
      <c r="HA208" s="8"/>
      <c r="HB208" s="8"/>
      <c r="HC208" s="8"/>
      <c r="HD208" s="8"/>
      <c r="HE208" s="8"/>
      <c r="HF208" s="8"/>
      <c r="HG208" s="8"/>
      <c r="HH208" s="8"/>
      <c r="HI208" s="8"/>
      <c r="HJ208" s="8"/>
      <c r="HK208" s="8"/>
      <c r="HL208" s="8"/>
      <c r="HM208" s="8"/>
      <c r="HN208" s="8"/>
      <c r="HO208" s="8"/>
      <c r="HP208" s="8"/>
      <c r="HQ208" s="8"/>
      <c r="HR208" s="8"/>
      <c r="HS208" s="8"/>
      <c r="HT208" s="8"/>
      <c r="HU208" s="8"/>
      <c r="HV208" s="8"/>
      <c r="HW208" s="8"/>
      <c r="HX208" s="8"/>
      <c r="HY208" s="8"/>
      <c r="HZ208" s="8"/>
      <c r="IA208" s="8"/>
      <c r="IB208" s="8"/>
      <c r="IC208" s="8"/>
      <c r="ID208" s="8"/>
      <c r="IE208" s="8"/>
      <c r="IF208" s="8"/>
      <c r="IG208" s="8"/>
      <c r="IH208" s="8"/>
      <c r="II208" s="8"/>
      <c r="IJ208" s="8"/>
      <c r="IK208" s="8"/>
      <c r="IL208" s="8"/>
      <c r="IM208" s="8"/>
      <c r="IN208" s="8"/>
      <c r="IO208" s="8"/>
      <c r="IP208" s="8"/>
      <c r="IQ208" s="8"/>
      <c r="IR208" s="8"/>
      <c r="IS208" s="8"/>
      <c r="IT208" s="8"/>
      <c r="IU208" s="8"/>
      <c r="IV208" s="8"/>
      <c r="IW208" s="8"/>
      <c r="IX208" s="8"/>
      <c r="JA208" s="125"/>
      <c r="JB208" s="125"/>
      <c r="JC208" s="125"/>
      <c r="JD208" s="72">
        <f>SUM((TEXT(JA208,"[M]")/60)*'Income Person-hours'!$D$3,(TEXT(JB208,"[M]")/60)*'Income Person-hours'!$D$4,(TEXT(JC208,"[M]")/60)*'Income Person-hours'!$D$5)</f>
        <v>0</v>
      </c>
    </row>
    <row r="209" spans="1:264" s="12" customFormat="1" ht="15.75" hidden="1" x14ac:dyDescent="0.45">
      <c r="A209" s="33">
        <v>10.199999999999999</v>
      </c>
      <c r="B209" s="128"/>
      <c r="C209" s="119"/>
      <c r="D209" s="13" t="str">
        <f>IF(OR(j_WEEKDAY(J_ADDDAY(VLOOKUP(I209,A:F,6,FALSE),H209,1),0)=6,SUMIFS(Holieday[ok],Holieday[date],J_ADDDAY(VLOOKUP(I209,A:F,6,FALSE),H209,1)))=FALSE(),J_ADDDAY(VLOOKUP(I209,A:F,6,FALSE),H209,1),IF(OR(j_WEEKDAY(J_ADDDAY(VLOOKUP(I209,A:F,6,FALSE),H209+1,1),0)=6,SUMIFS(Holieday[ok],Holieday[date],J_ADDDAY(VLOOKUP(I209,A:F,6,FALSE),H209+1,1)))=FALSE(),J_ADDDAY(VLOOKUP(I209,A:F,6,FALSE),H209+1,1),IF(OR(j_WEEKDAY(J_ADDDAY(VLOOKUP(I209,A:F,6,FALSE),H209+2,1),0)=6,SUMIFS(Holieday[ok],Holieday[date],J_ADDDAY(VLOOKUP(I209,A:F,6,FALSE),H209+2,1)))=FALSE(),J_ADDDAY(VLOOKUP(I209,A:F,6,FALSE),H209+2,1),IF(OR(j_WEEKDAY(J_ADDDAY(VLOOKUP(I209,A:F,6,FALSE),H209+3,1),0)=6,SUMIFS(Holieday[ok],Holieday[date],J_ADDDAY(VLOOKUP(I209,A:F,6,FALSE),H209+3,1)))=FALSE(),J_ADDDAY(VLOOKUP(I209,A:F,6,FALSE),H209+3,1),IF(OR(j_WEEKDAY(J_ADDDAY(VLOOKUP(I209,A:F,6,FALSE),H209+4,1),0)=6,SUMIFS(Holieday[ok],Holieday[date],J_ADDDAY(VLOOKUP(I209,A:F,6,FALSE),H209+4,1)))=FALSE(),J_ADDDAY(VLOOKUP(I209,A:F,6,FALSE),H209+4,1),J_ADDDAY(VLOOKUP(I209,A:F,6,FALSE),H209+5,1))))))</f>
        <v>1398/08/25</v>
      </c>
      <c r="E209" s="2">
        <f t="shared" si="63"/>
        <v>13980825</v>
      </c>
      <c r="F209" s="13" t="str">
        <f>IF(N209=0,J_SUBDAY(D209,1,1)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0,J_SUBDAY(J_ADDDAY(D209,N209,1)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1,J_SUBDAY(J_ADDDAY(D209,N209+1,1),1,1),IF((N209-NETWORKDAYS.INTL(J_GregorianDate(D209,1),J_GregorianDate(J_SUBDAY(J_ADDDAY(D209,N209,1),1,1),1),16,1)-SUMIFS(Holieday[ok],Holieday[date],CONCATENATE("&gt;","=",D209),Holieday[date],CONCATENATE("&lt;","=",J_SUBDAY(J_ADDDAY(D209,N209,1),1,1)))+SUMIFS(Holieday[Friday],Holieday[date],CONCATENATE("&gt;","=",D209),Holieday[date],CONCATENATE("&lt;","=",J_SUBDAY(J_ADDDAY(D209,N209,1),1,1))))=2,J_SUBDAY(J_ADDDAY(D209,N209+2,1),1,1),J_SUBDAY(J_ADDDAY(D209,N209+3,1),1,1)))))</f>
        <v>1398/08/24</v>
      </c>
      <c r="G209" s="3">
        <f t="shared" si="64"/>
        <v>13980824</v>
      </c>
      <c r="H209" s="121"/>
      <c r="I209" s="122">
        <v>8.4</v>
      </c>
      <c r="J209" s="10" t="str">
        <f>j_WEEKDAY(D209,1)</f>
        <v>شنبه</v>
      </c>
      <c r="K209" s="23">
        <f t="shared" si="62"/>
        <v>0</v>
      </c>
      <c r="L209" s="9">
        <f t="shared" si="67"/>
        <v>0</v>
      </c>
      <c r="M209" s="123">
        <v>0</v>
      </c>
      <c r="N209" s="120">
        <v>0</v>
      </c>
      <c r="O209" s="11">
        <f t="shared" si="68"/>
        <v>0</v>
      </c>
      <c r="P209" s="11">
        <f>VALUE(J_normdate(J_ADDDAY($D209,$O209,1)))</f>
        <v>13980825</v>
      </c>
      <c r="Q209" s="10">
        <f t="shared" si="69"/>
        <v>0</v>
      </c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  <c r="ES209" s="8"/>
      <c r="ET209" s="8"/>
      <c r="EU209" s="8"/>
      <c r="EV209" s="8"/>
      <c r="EW209" s="8"/>
      <c r="EX209" s="8"/>
      <c r="EY209" s="8"/>
      <c r="EZ209" s="8"/>
      <c r="FA209" s="8"/>
      <c r="FB209" s="8"/>
      <c r="FC209" s="8"/>
      <c r="FD209" s="8"/>
      <c r="FE209" s="8"/>
      <c r="FF209" s="8"/>
      <c r="FG209" s="8"/>
      <c r="FH209" s="8"/>
      <c r="FI209" s="8"/>
      <c r="FJ209" s="8"/>
      <c r="FK209" s="8"/>
      <c r="FL209" s="8"/>
      <c r="FM209" s="8"/>
      <c r="FN209" s="8"/>
      <c r="FO209" s="8"/>
      <c r="FP209" s="8"/>
      <c r="FQ209" s="8"/>
      <c r="FR209" s="8"/>
      <c r="FS209" s="8"/>
      <c r="FT209" s="8"/>
      <c r="FU209" s="8"/>
      <c r="FV209" s="8"/>
      <c r="FW209" s="8"/>
      <c r="FX209" s="8"/>
      <c r="FY209" s="8"/>
      <c r="FZ209" s="8"/>
      <c r="GA209" s="8"/>
      <c r="GB209" s="8"/>
      <c r="GC209" s="8"/>
      <c r="GD209" s="8"/>
      <c r="GE209" s="8"/>
      <c r="GF209" s="8"/>
      <c r="GG209" s="8"/>
      <c r="GH209" s="8"/>
      <c r="GI209" s="8"/>
      <c r="GJ209" s="8"/>
      <c r="GK209" s="8"/>
      <c r="GL209" s="8"/>
      <c r="GM209" s="8"/>
      <c r="GN209" s="8"/>
      <c r="GO209" s="8"/>
      <c r="GP209" s="8"/>
      <c r="GQ209" s="8"/>
      <c r="GR209" s="8"/>
      <c r="GS209" s="8"/>
      <c r="GT209" s="8"/>
      <c r="GU209" s="8"/>
      <c r="GV209" s="8"/>
      <c r="GW209" s="8"/>
      <c r="GX209" s="8"/>
      <c r="GY209" s="8"/>
      <c r="GZ209" s="8"/>
      <c r="HA209" s="8"/>
      <c r="HB209" s="8"/>
      <c r="HC209" s="8"/>
      <c r="HD209" s="8"/>
      <c r="HE209" s="8"/>
      <c r="HF209" s="8"/>
      <c r="HG209" s="8"/>
      <c r="HH209" s="8"/>
      <c r="HI209" s="8"/>
      <c r="HJ209" s="8"/>
      <c r="HK209" s="8"/>
      <c r="HL209" s="8"/>
      <c r="HM209" s="8"/>
      <c r="HN209" s="8"/>
      <c r="HO209" s="8"/>
      <c r="HP209" s="8"/>
      <c r="HQ209" s="8"/>
      <c r="HR209" s="8"/>
      <c r="HS209" s="8"/>
      <c r="HT209" s="8"/>
      <c r="HU209" s="8"/>
      <c r="HV209" s="8"/>
      <c r="HW209" s="8"/>
      <c r="HX209" s="8"/>
      <c r="HY209" s="8"/>
      <c r="HZ209" s="8"/>
      <c r="IA209" s="8"/>
      <c r="IB209" s="8"/>
      <c r="IC209" s="8"/>
      <c r="ID209" s="8"/>
      <c r="IE209" s="8"/>
      <c r="IF209" s="8"/>
      <c r="IG209" s="8"/>
      <c r="IH209" s="8"/>
      <c r="II209" s="8"/>
      <c r="IJ209" s="8"/>
      <c r="IK209" s="8"/>
      <c r="IL209" s="8"/>
      <c r="IM209" s="8"/>
      <c r="IN209" s="8"/>
      <c r="IO209" s="8"/>
      <c r="IP209" s="8"/>
      <c r="IQ209" s="8"/>
      <c r="IR209" s="8"/>
      <c r="IS209" s="8"/>
      <c r="IT209" s="8"/>
      <c r="IU209" s="8"/>
      <c r="IV209" s="8"/>
      <c r="IW209" s="8"/>
      <c r="IX209" s="8"/>
      <c r="JA209" s="125"/>
      <c r="JB209" s="125"/>
      <c r="JC209" s="125"/>
      <c r="JD209" s="72">
        <f>SUM((TEXT(JA209,"[M]")/60)*'Income Person-hours'!$D$3,(TEXT(JB209,"[M]")/60)*'Income Person-hours'!$D$4,(TEXT(JC209,"[M]")/60)*'Income Person-hours'!$D$5)</f>
        <v>0</v>
      </c>
    </row>
    <row r="210" spans="1:264" s="12" customFormat="1" ht="15.75" hidden="1" x14ac:dyDescent="0.45">
      <c r="A210" s="33">
        <v>10.3</v>
      </c>
      <c r="B210" s="128"/>
      <c r="C210" s="119"/>
      <c r="D210" s="13" t="str">
        <f>IF(OR(j_WEEKDAY(J_ADDDAY(VLOOKUP(I210,A:F,6,FALSE),H210,1),0)=6,SUMIFS(Holieday[ok],Holieday[date],J_ADDDAY(VLOOKUP(I210,A:F,6,FALSE),H210,1)))=FALSE(),J_ADDDAY(VLOOKUP(I210,A:F,6,FALSE),H210,1),IF(OR(j_WEEKDAY(J_ADDDAY(VLOOKUP(I210,A:F,6,FALSE),H210+1,1),0)=6,SUMIFS(Holieday[ok],Holieday[date],J_ADDDAY(VLOOKUP(I210,A:F,6,FALSE),H210+1,1)))=FALSE(),J_ADDDAY(VLOOKUP(I210,A:F,6,FALSE),H210+1,1),IF(OR(j_WEEKDAY(J_ADDDAY(VLOOKUP(I210,A:F,6,FALSE),H210+2,1),0)=6,SUMIFS(Holieday[ok],Holieday[date],J_ADDDAY(VLOOKUP(I210,A:F,6,FALSE),H210+2,1)))=FALSE(),J_ADDDAY(VLOOKUP(I210,A:F,6,FALSE),H210+2,1),IF(OR(j_WEEKDAY(J_ADDDAY(VLOOKUP(I210,A:F,6,FALSE),H210+3,1),0)=6,SUMIFS(Holieday[ok],Holieday[date],J_ADDDAY(VLOOKUP(I210,A:F,6,FALSE),H210+3,1)))=FALSE(),J_ADDDAY(VLOOKUP(I210,A:F,6,FALSE),H210+3,1),IF(OR(j_WEEKDAY(J_ADDDAY(VLOOKUP(I210,A:F,6,FALSE),H210+4,1),0)=6,SUMIFS(Holieday[ok],Holieday[date],J_ADDDAY(VLOOKUP(I210,A:F,6,FALSE),H210+4,1)))=FALSE(),J_ADDDAY(VLOOKUP(I210,A:F,6,FALSE),H210+4,1),J_ADDDAY(VLOOKUP(I210,A:F,6,FALSE),H210+5,1))))))</f>
        <v>1398/08/25</v>
      </c>
      <c r="E210" s="2">
        <f t="shared" si="63"/>
        <v>13980825</v>
      </c>
      <c r="F210" s="13" t="str">
        <f>IF(N210=0,J_SUBDAY(D210,1,1)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0,J_SUBDAY(J_ADDDAY(D210,N210,1)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1,J_SUBDAY(J_ADDDAY(D210,N210+1,1),1,1),IF((N210-NETWORKDAYS.INTL(J_GregorianDate(D210,1),J_GregorianDate(J_SUBDAY(J_ADDDAY(D210,N210,1),1,1),1),16,1)-SUMIFS(Holieday[ok],Holieday[date],CONCATENATE("&gt;","=",D210),Holieday[date],CONCATENATE("&lt;","=",J_SUBDAY(J_ADDDAY(D210,N210,1),1,1)))+SUMIFS(Holieday[Friday],Holieday[date],CONCATENATE("&gt;","=",D210),Holieday[date],CONCATENATE("&lt;","=",J_SUBDAY(J_ADDDAY(D210,N210,1),1,1))))=2,J_SUBDAY(J_ADDDAY(D210,N210+2,1),1,1),J_SUBDAY(J_ADDDAY(D210,N210+3,1),1,1)))))</f>
        <v>1398/08/24</v>
      </c>
      <c r="G210" s="3">
        <f t="shared" si="64"/>
        <v>13980824</v>
      </c>
      <c r="H210" s="121"/>
      <c r="I210" s="122">
        <v>8.4</v>
      </c>
      <c r="J210" s="10" t="str">
        <f>j_WEEKDAY(D210,1)</f>
        <v>شنبه</v>
      </c>
      <c r="K210" s="23">
        <f t="shared" si="62"/>
        <v>0</v>
      </c>
      <c r="L210" s="9">
        <f t="shared" si="67"/>
        <v>0</v>
      </c>
      <c r="M210" s="123">
        <v>0</v>
      </c>
      <c r="N210" s="120">
        <v>0</v>
      </c>
      <c r="O210" s="11">
        <f t="shared" si="68"/>
        <v>0</v>
      </c>
      <c r="P210" s="11">
        <f>VALUE(J_normdate(J_ADDDAY($D210,$O210,1)))</f>
        <v>13980825</v>
      </c>
      <c r="Q210" s="10">
        <f t="shared" si="69"/>
        <v>0</v>
      </c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  <c r="ES210" s="8"/>
      <c r="ET210" s="8"/>
      <c r="EU210" s="8"/>
      <c r="EV210" s="8"/>
      <c r="EW210" s="8"/>
      <c r="EX210" s="8"/>
      <c r="EY210" s="8"/>
      <c r="EZ210" s="8"/>
      <c r="FA210" s="8"/>
      <c r="FB210" s="8"/>
      <c r="FC210" s="8"/>
      <c r="FD210" s="8"/>
      <c r="FE210" s="8"/>
      <c r="FF210" s="8"/>
      <c r="FG210" s="8"/>
      <c r="FH210" s="8"/>
      <c r="FI210" s="8"/>
      <c r="FJ210" s="8"/>
      <c r="FK210" s="8"/>
      <c r="FL210" s="8"/>
      <c r="FM210" s="8"/>
      <c r="FN210" s="8"/>
      <c r="FO210" s="8"/>
      <c r="FP210" s="8"/>
      <c r="FQ210" s="8"/>
      <c r="FR210" s="8"/>
      <c r="FS210" s="8"/>
      <c r="FT210" s="8"/>
      <c r="FU210" s="8"/>
      <c r="FV210" s="8"/>
      <c r="FW210" s="8"/>
      <c r="FX210" s="8"/>
      <c r="FY210" s="8"/>
      <c r="FZ210" s="8"/>
      <c r="GA210" s="8"/>
      <c r="GB210" s="8"/>
      <c r="GC210" s="8"/>
      <c r="GD210" s="8"/>
      <c r="GE210" s="8"/>
      <c r="GF210" s="8"/>
      <c r="GG210" s="8"/>
      <c r="GH210" s="8"/>
      <c r="GI210" s="8"/>
      <c r="GJ210" s="8"/>
      <c r="GK210" s="8"/>
      <c r="GL210" s="8"/>
      <c r="GM210" s="8"/>
      <c r="GN210" s="8"/>
      <c r="GO210" s="8"/>
      <c r="GP210" s="8"/>
      <c r="GQ210" s="8"/>
      <c r="GR210" s="8"/>
      <c r="GS210" s="8"/>
      <c r="GT210" s="8"/>
      <c r="GU210" s="8"/>
      <c r="GV210" s="8"/>
      <c r="GW210" s="8"/>
      <c r="GX210" s="8"/>
      <c r="GY210" s="8"/>
      <c r="GZ210" s="8"/>
      <c r="HA210" s="8"/>
      <c r="HB210" s="8"/>
      <c r="HC210" s="8"/>
      <c r="HD210" s="8"/>
      <c r="HE210" s="8"/>
      <c r="HF210" s="8"/>
      <c r="HG210" s="8"/>
      <c r="HH210" s="8"/>
      <c r="HI210" s="8"/>
      <c r="HJ210" s="8"/>
      <c r="HK210" s="8"/>
      <c r="HL210" s="8"/>
      <c r="HM210" s="8"/>
      <c r="HN210" s="8"/>
      <c r="HO210" s="8"/>
      <c r="HP210" s="8"/>
      <c r="HQ210" s="8"/>
      <c r="HR210" s="8"/>
      <c r="HS210" s="8"/>
      <c r="HT210" s="8"/>
      <c r="HU210" s="8"/>
      <c r="HV210" s="8"/>
      <c r="HW210" s="8"/>
      <c r="HX210" s="8"/>
      <c r="HY210" s="8"/>
      <c r="HZ210" s="8"/>
      <c r="IA210" s="8"/>
      <c r="IB210" s="8"/>
      <c r="IC210" s="8"/>
      <c r="ID210" s="8"/>
      <c r="IE210" s="8"/>
      <c r="IF210" s="8"/>
      <c r="IG210" s="8"/>
      <c r="IH210" s="8"/>
      <c r="II210" s="8"/>
      <c r="IJ210" s="8"/>
      <c r="IK210" s="8"/>
      <c r="IL210" s="8"/>
      <c r="IM210" s="8"/>
      <c r="IN210" s="8"/>
      <c r="IO210" s="8"/>
      <c r="IP210" s="8"/>
      <c r="IQ210" s="8"/>
      <c r="IR210" s="8"/>
      <c r="IS210" s="8"/>
      <c r="IT210" s="8"/>
      <c r="IU210" s="8"/>
      <c r="IV210" s="8"/>
      <c r="IW210" s="8"/>
      <c r="IX210" s="8"/>
      <c r="JA210" s="125"/>
      <c r="JB210" s="125"/>
      <c r="JC210" s="125"/>
      <c r="JD210" s="72">
        <f>SUM((TEXT(JA210,"[M]")/60)*'Income Person-hours'!$D$3,(TEXT(JB210,"[M]")/60)*'Income Person-hours'!$D$4,(TEXT(JC210,"[M]")/60)*'Income Person-hours'!$D$5)</f>
        <v>0</v>
      </c>
    </row>
    <row r="211" spans="1:264" s="12" customFormat="1" ht="15.75" hidden="1" x14ac:dyDescent="0.45">
      <c r="A211" s="33">
        <v>10.4</v>
      </c>
      <c r="B211" s="128"/>
      <c r="C211" s="119"/>
      <c r="D211" s="13" t="str">
        <f>IF(OR(j_WEEKDAY(J_ADDDAY(VLOOKUP(I211,A:F,6,FALSE),H211,1),0)=6,SUMIFS(Holieday[ok],Holieday[date],J_ADDDAY(VLOOKUP(I211,A:F,6,FALSE),H211,1)))=FALSE(),J_ADDDAY(VLOOKUP(I211,A:F,6,FALSE),H211,1),IF(OR(j_WEEKDAY(J_ADDDAY(VLOOKUP(I211,A:F,6,FALSE),H211+1,1),0)=6,SUMIFS(Holieday[ok],Holieday[date],J_ADDDAY(VLOOKUP(I211,A:F,6,FALSE),H211+1,1)))=FALSE(),J_ADDDAY(VLOOKUP(I211,A:F,6,FALSE),H211+1,1),IF(OR(j_WEEKDAY(J_ADDDAY(VLOOKUP(I211,A:F,6,FALSE),H211+2,1),0)=6,SUMIFS(Holieday[ok],Holieday[date],J_ADDDAY(VLOOKUP(I211,A:F,6,FALSE),H211+2,1)))=FALSE(),J_ADDDAY(VLOOKUP(I211,A:F,6,FALSE),H211+2,1),IF(OR(j_WEEKDAY(J_ADDDAY(VLOOKUP(I211,A:F,6,FALSE),H211+3,1),0)=6,SUMIFS(Holieday[ok],Holieday[date],J_ADDDAY(VLOOKUP(I211,A:F,6,FALSE),H211+3,1)))=FALSE(),J_ADDDAY(VLOOKUP(I211,A:F,6,FALSE),H211+3,1),IF(OR(j_WEEKDAY(J_ADDDAY(VLOOKUP(I211,A:F,6,FALSE),H211+4,1),0)=6,SUMIFS(Holieday[ok],Holieday[date],J_ADDDAY(VLOOKUP(I211,A:F,6,FALSE),H211+4,1)))=FALSE(),J_ADDDAY(VLOOKUP(I211,A:F,6,FALSE),H211+4,1),J_ADDDAY(VLOOKUP(I211,A:F,6,FALSE),H211+5,1))))))</f>
        <v>1398/08/25</v>
      </c>
      <c r="E211" s="2">
        <f t="shared" si="63"/>
        <v>13980825</v>
      </c>
      <c r="F211" s="13" t="str">
        <f>IF(N211=0,J_SUBDAY(D211,1,1)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0,J_SUBDAY(J_ADDDAY(D211,N211,1)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1,J_SUBDAY(J_ADDDAY(D211,N211+1,1),1,1),IF((N211-NETWORKDAYS.INTL(J_GregorianDate(D211,1),J_GregorianDate(J_SUBDAY(J_ADDDAY(D211,N211,1),1,1),1),16,1)-SUMIFS(Holieday[ok],Holieday[date],CONCATENATE("&gt;","=",D211),Holieday[date],CONCATENATE("&lt;","=",J_SUBDAY(J_ADDDAY(D211,N211,1),1,1)))+SUMIFS(Holieday[Friday],Holieday[date],CONCATENATE("&gt;","=",D211),Holieday[date],CONCATENATE("&lt;","=",J_SUBDAY(J_ADDDAY(D211,N211,1),1,1))))=2,J_SUBDAY(J_ADDDAY(D211,N211+2,1),1,1),J_SUBDAY(J_ADDDAY(D211,N211+3,1),1,1)))))</f>
        <v>1398/08/24</v>
      </c>
      <c r="G211" s="3">
        <f t="shared" si="64"/>
        <v>13980824</v>
      </c>
      <c r="H211" s="121"/>
      <c r="I211" s="122">
        <v>8.4</v>
      </c>
      <c r="J211" s="10" t="str">
        <f>j_WEEKDAY(D211,1)</f>
        <v>شنبه</v>
      </c>
      <c r="K211" s="23">
        <f t="shared" si="62"/>
        <v>0</v>
      </c>
      <c r="L211" s="9">
        <f t="shared" si="67"/>
        <v>0</v>
      </c>
      <c r="M211" s="123">
        <v>0</v>
      </c>
      <c r="N211" s="120">
        <v>0</v>
      </c>
      <c r="O211" s="11">
        <f t="shared" si="68"/>
        <v>0</v>
      </c>
      <c r="P211" s="11">
        <f>VALUE(J_normdate(J_ADDDAY($D211,$O211,1)))</f>
        <v>13980825</v>
      </c>
      <c r="Q211" s="10">
        <f t="shared" si="69"/>
        <v>0</v>
      </c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  <c r="ES211" s="8"/>
      <c r="ET211" s="8"/>
      <c r="EU211" s="8"/>
      <c r="EV211" s="8"/>
      <c r="EW211" s="8"/>
      <c r="EX211" s="8"/>
      <c r="EY211" s="8"/>
      <c r="EZ211" s="8"/>
      <c r="FA211" s="8"/>
      <c r="FB211" s="8"/>
      <c r="FC211" s="8"/>
      <c r="FD211" s="8"/>
      <c r="FE211" s="8"/>
      <c r="FF211" s="8"/>
      <c r="FG211" s="8"/>
      <c r="FH211" s="8"/>
      <c r="FI211" s="8"/>
      <c r="FJ211" s="8"/>
      <c r="FK211" s="8"/>
      <c r="FL211" s="8"/>
      <c r="FM211" s="8"/>
      <c r="FN211" s="8"/>
      <c r="FO211" s="8"/>
      <c r="FP211" s="8"/>
      <c r="FQ211" s="8"/>
      <c r="FR211" s="8"/>
      <c r="FS211" s="8"/>
      <c r="FT211" s="8"/>
      <c r="FU211" s="8"/>
      <c r="FV211" s="8"/>
      <c r="FW211" s="8"/>
      <c r="FX211" s="8"/>
      <c r="FY211" s="8"/>
      <c r="FZ211" s="8"/>
      <c r="GA211" s="8"/>
      <c r="GB211" s="8"/>
      <c r="GC211" s="8"/>
      <c r="GD211" s="8"/>
      <c r="GE211" s="8"/>
      <c r="GF211" s="8"/>
      <c r="GG211" s="8"/>
      <c r="GH211" s="8"/>
      <c r="GI211" s="8"/>
      <c r="GJ211" s="8"/>
      <c r="GK211" s="8"/>
      <c r="GL211" s="8"/>
      <c r="GM211" s="8"/>
      <c r="GN211" s="8"/>
      <c r="GO211" s="8"/>
      <c r="GP211" s="8"/>
      <c r="GQ211" s="8"/>
      <c r="GR211" s="8"/>
      <c r="GS211" s="8"/>
      <c r="GT211" s="8"/>
      <c r="GU211" s="8"/>
      <c r="GV211" s="8"/>
      <c r="GW211" s="8"/>
      <c r="GX211" s="8"/>
      <c r="GY211" s="8"/>
      <c r="GZ211" s="8"/>
      <c r="HA211" s="8"/>
      <c r="HB211" s="8"/>
      <c r="HC211" s="8"/>
      <c r="HD211" s="8"/>
      <c r="HE211" s="8"/>
      <c r="HF211" s="8"/>
      <c r="HG211" s="8"/>
      <c r="HH211" s="8"/>
      <c r="HI211" s="8"/>
      <c r="HJ211" s="8"/>
      <c r="HK211" s="8"/>
      <c r="HL211" s="8"/>
      <c r="HM211" s="8"/>
      <c r="HN211" s="8"/>
      <c r="HO211" s="8"/>
      <c r="HP211" s="8"/>
      <c r="HQ211" s="8"/>
      <c r="HR211" s="8"/>
      <c r="HS211" s="8"/>
      <c r="HT211" s="8"/>
      <c r="HU211" s="8"/>
      <c r="HV211" s="8"/>
      <c r="HW211" s="8"/>
      <c r="HX211" s="8"/>
      <c r="HY211" s="8"/>
      <c r="HZ211" s="8"/>
      <c r="IA211" s="8"/>
      <c r="IB211" s="8"/>
      <c r="IC211" s="8"/>
      <c r="ID211" s="8"/>
      <c r="IE211" s="8"/>
      <c r="IF211" s="8"/>
      <c r="IG211" s="8"/>
      <c r="IH211" s="8"/>
      <c r="II211" s="8"/>
      <c r="IJ211" s="8"/>
      <c r="IK211" s="8"/>
      <c r="IL211" s="8"/>
      <c r="IM211" s="8"/>
      <c r="IN211" s="8"/>
      <c r="IO211" s="8"/>
      <c r="IP211" s="8"/>
      <c r="IQ211" s="8"/>
      <c r="IR211" s="8"/>
      <c r="IS211" s="8"/>
      <c r="IT211" s="8"/>
      <c r="IU211" s="8"/>
      <c r="IV211" s="8"/>
      <c r="IW211" s="8"/>
      <c r="IX211" s="8"/>
      <c r="JA211" s="125"/>
      <c r="JB211" s="125"/>
      <c r="JC211" s="125"/>
      <c r="JD211" s="72">
        <f>SUM((TEXT(JA211,"[M]")/60)*'Income Person-hours'!$D$3,(TEXT(JB211,"[M]")/60)*'Income Person-hours'!$D$4,(TEXT(JC211,"[M]")/60)*'Income Person-hours'!$D$5)</f>
        <v>0</v>
      </c>
    </row>
    <row r="212" spans="1:264" s="12" customFormat="1" ht="15.75" hidden="1" x14ac:dyDescent="0.45">
      <c r="A212" s="33">
        <v>10.5</v>
      </c>
      <c r="B212" s="128"/>
      <c r="C212" s="119"/>
      <c r="D212" s="13" t="str">
        <f>IF(OR(j_WEEKDAY(J_ADDDAY(VLOOKUP(I212,A:F,6,FALSE),H212,1),0)=6,SUMIFS(Holieday[ok],Holieday[date],J_ADDDAY(VLOOKUP(I212,A:F,6,FALSE),H212,1)))=FALSE(),J_ADDDAY(VLOOKUP(I212,A:F,6,FALSE),H212,1),IF(OR(j_WEEKDAY(J_ADDDAY(VLOOKUP(I212,A:F,6,FALSE),H212+1,1),0)=6,SUMIFS(Holieday[ok],Holieday[date],J_ADDDAY(VLOOKUP(I212,A:F,6,FALSE),H212+1,1)))=FALSE(),J_ADDDAY(VLOOKUP(I212,A:F,6,FALSE),H212+1,1),IF(OR(j_WEEKDAY(J_ADDDAY(VLOOKUP(I212,A:F,6,FALSE),H212+2,1),0)=6,SUMIFS(Holieday[ok],Holieday[date],J_ADDDAY(VLOOKUP(I212,A:F,6,FALSE),H212+2,1)))=FALSE(),J_ADDDAY(VLOOKUP(I212,A:F,6,FALSE),H212+2,1),IF(OR(j_WEEKDAY(J_ADDDAY(VLOOKUP(I212,A:F,6,FALSE),H212+3,1),0)=6,SUMIFS(Holieday[ok],Holieday[date],J_ADDDAY(VLOOKUP(I212,A:F,6,FALSE),H212+3,1)))=FALSE(),J_ADDDAY(VLOOKUP(I212,A:F,6,FALSE),H212+3,1),IF(OR(j_WEEKDAY(J_ADDDAY(VLOOKUP(I212,A:F,6,FALSE),H212+4,1),0)=6,SUMIFS(Holieday[ok],Holieday[date],J_ADDDAY(VLOOKUP(I212,A:F,6,FALSE),H212+4,1)))=FALSE(),J_ADDDAY(VLOOKUP(I212,A:F,6,FALSE),H212+4,1),J_ADDDAY(VLOOKUP(I212,A:F,6,FALSE),H212+5,1))))))</f>
        <v>1398/08/25</v>
      </c>
      <c r="E212" s="2">
        <f t="shared" si="63"/>
        <v>13980825</v>
      </c>
      <c r="F212" s="13" t="str">
        <f>IF(N212=0,J_SUBDAY(D212,1,1)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0,J_SUBDAY(J_ADDDAY(D212,N212,1)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1,J_SUBDAY(J_ADDDAY(D212,N212+1,1),1,1),IF((N212-NETWORKDAYS.INTL(J_GregorianDate(D212,1),J_GregorianDate(J_SUBDAY(J_ADDDAY(D212,N212,1),1,1),1),16,1)-SUMIFS(Holieday[ok],Holieday[date],CONCATENATE("&gt;","=",D212),Holieday[date],CONCATENATE("&lt;","=",J_SUBDAY(J_ADDDAY(D212,N212,1),1,1)))+SUMIFS(Holieday[Friday],Holieday[date],CONCATENATE("&gt;","=",D212),Holieday[date],CONCATENATE("&lt;","=",J_SUBDAY(J_ADDDAY(D212,N212,1),1,1))))=2,J_SUBDAY(J_ADDDAY(D212,N212+2,1),1,1),J_SUBDAY(J_ADDDAY(D212,N212+3,1),1,1)))))</f>
        <v>1398/08/24</v>
      </c>
      <c r="G212" s="3">
        <f t="shared" si="64"/>
        <v>13980824</v>
      </c>
      <c r="H212" s="121"/>
      <c r="I212" s="122">
        <v>8.4</v>
      </c>
      <c r="J212" s="10" t="str">
        <f>j_WEEKDAY(D212,1)</f>
        <v>شنبه</v>
      </c>
      <c r="K212" s="23">
        <f t="shared" si="62"/>
        <v>0</v>
      </c>
      <c r="L212" s="9">
        <f t="shared" si="67"/>
        <v>0</v>
      </c>
      <c r="M212" s="123">
        <v>0</v>
      </c>
      <c r="N212" s="120">
        <v>0</v>
      </c>
      <c r="O212" s="11">
        <f t="shared" si="68"/>
        <v>0</v>
      </c>
      <c r="P212" s="11">
        <f>VALUE(J_normdate(J_ADDDAY($D212,$O212,1)))</f>
        <v>13980825</v>
      </c>
      <c r="Q212" s="10">
        <f t="shared" si="69"/>
        <v>0</v>
      </c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  <c r="ES212" s="8"/>
      <c r="ET212" s="8"/>
      <c r="EU212" s="8"/>
      <c r="EV212" s="8"/>
      <c r="EW212" s="8"/>
      <c r="EX212" s="8"/>
      <c r="EY212" s="8"/>
      <c r="EZ212" s="8"/>
      <c r="FA212" s="8"/>
      <c r="FB212" s="8"/>
      <c r="FC212" s="8"/>
      <c r="FD212" s="8"/>
      <c r="FE212" s="8"/>
      <c r="FF212" s="8"/>
      <c r="FG212" s="8"/>
      <c r="FH212" s="8"/>
      <c r="FI212" s="8"/>
      <c r="FJ212" s="8"/>
      <c r="FK212" s="8"/>
      <c r="FL212" s="8"/>
      <c r="FM212" s="8"/>
      <c r="FN212" s="8"/>
      <c r="FO212" s="8"/>
      <c r="FP212" s="8"/>
      <c r="FQ212" s="8"/>
      <c r="FR212" s="8"/>
      <c r="FS212" s="8"/>
      <c r="FT212" s="8"/>
      <c r="FU212" s="8"/>
      <c r="FV212" s="8"/>
      <c r="FW212" s="8"/>
      <c r="FX212" s="8"/>
      <c r="FY212" s="8"/>
      <c r="FZ212" s="8"/>
      <c r="GA212" s="8"/>
      <c r="GB212" s="8"/>
      <c r="GC212" s="8"/>
      <c r="GD212" s="8"/>
      <c r="GE212" s="8"/>
      <c r="GF212" s="8"/>
      <c r="GG212" s="8"/>
      <c r="GH212" s="8"/>
      <c r="GI212" s="8"/>
      <c r="GJ212" s="8"/>
      <c r="GK212" s="8"/>
      <c r="GL212" s="8"/>
      <c r="GM212" s="8"/>
      <c r="GN212" s="8"/>
      <c r="GO212" s="8"/>
      <c r="GP212" s="8"/>
      <c r="GQ212" s="8"/>
      <c r="GR212" s="8"/>
      <c r="GS212" s="8"/>
      <c r="GT212" s="8"/>
      <c r="GU212" s="8"/>
      <c r="GV212" s="8"/>
      <c r="GW212" s="8"/>
      <c r="GX212" s="8"/>
      <c r="GY212" s="8"/>
      <c r="GZ212" s="8"/>
      <c r="HA212" s="8"/>
      <c r="HB212" s="8"/>
      <c r="HC212" s="8"/>
      <c r="HD212" s="8"/>
      <c r="HE212" s="8"/>
      <c r="HF212" s="8"/>
      <c r="HG212" s="8"/>
      <c r="HH212" s="8"/>
      <c r="HI212" s="8"/>
      <c r="HJ212" s="8"/>
      <c r="HK212" s="8"/>
      <c r="HL212" s="8"/>
      <c r="HM212" s="8"/>
      <c r="HN212" s="8"/>
      <c r="HO212" s="8"/>
      <c r="HP212" s="8"/>
      <c r="HQ212" s="8"/>
      <c r="HR212" s="8"/>
      <c r="HS212" s="8"/>
      <c r="HT212" s="8"/>
      <c r="HU212" s="8"/>
      <c r="HV212" s="8"/>
      <c r="HW212" s="8"/>
      <c r="HX212" s="8"/>
      <c r="HY212" s="8"/>
      <c r="HZ212" s="8"/>
      <c r="IA212" s="8"/>
      <c r="IB212" s="8"/>
      <c r="IC212" s="8"/>
      <c r="ID212" s="8"/>
      <c r="IE212" s="8"/>
      <c r="IF212" s="8"/>
      <c r="IG212" s="8"/>
      <c r="IH212" s="8"/>
      <c r="II212" s="8"/>
      <c r="IJ212" s="8"/>
      <c r="IK212" s="8"/>
      <c r="IL212" s="8"/>
      <c r="IM212" s="8"/>
      <c r="IN212" s="8"/>
      <c r="IO212" s="8"/>
      <c r="IP212" s="8"/>
      <c r="IQ212" s="8"/>
      <c r="IR212" s="8"/>
      <c r="IS212" s="8"/>
      <c r="IT212" s="8"/>
      <c r="IU212" s="8"/>
      <c r="IV212" s="8"/>
      <c r="IW212" s="8"/>
      <c r="IX212" s="8"/>
      <c r="JA212" s="125"/>
      <c r="JB212" s="125"/>
      <c r="JC212" s="125"/>
      <c r="JD212" s="72">
        <f>SUM((TEXT(JA212,"[M]")/60)*'Income Person-hours'!$D$3,(TEXT(JB212,"[M]")/60)*'Income Person-hours'!$D$4,(TEXT(JC212,"[M]")/60)*'Income Person-hours'!$D$5)</f>
        <v>0</v>
      </c>
    </row>
    <row r="213" spans="1:264" s="12" customFormat="1" ht="15.75" hidden="1" x14ac:dyDescent="0.45">
      <c r="A213" s="33">
        <v>10.6</v>
      </c>
      <c r="B213" s="128"/>
      <c r="C213" s="119"/>
      <c r="D213" s="13" t="str">
        <f>IF(OR(j_WEEKDAY(J_ADDDAY(VLOOKUP(I213,A:F,6,FALSE),H213,1),0)=6,SUMIFS(Holieday[ok],Holieday[date],J_ADDDAY(VLOOKUP(I213,A:F,6,FALSE),H213,1)))=FALSE(),J_ADDDAY(VLOOKUP(I213,A:F,6,FALSE),H213,1),IF(OR(j_WEEKDAY(J_ADDDAY(VLOOKUP(I213,A:F,6,FALSE),H213+1,1),0)=6,SUMIFS(Holieday[ok],Holieday[date],J_ADDDAY(VLOOKUP(I213,A:F,6,FALSE),H213+1,1)))=FALSE(),J_ADDDAY(VLOOKUP(I213,A:F,6,FALSE),H213+1,1),IF(OR(j_WEEKDAY(J_ADDDAY(VLOOKUP(I213,A:F,6,FALSE),H213+2,1),0)=6,SUMIFS(Holieday[ok],Holieday[date],J_ADDDAY(VLOOKUP(I213,A:F,6,FALSE),H213+2,1)))=FALSE(),J_ADDDAY(VLOOKUP(I213,A:F,6,FALSE),H213+2,1),IF(OR(j_WEEKDAY(J_ADDDAY(VLOOKUP(I213,A:F,6,FALSE),H213+3,1),0)=6,SUMIFS(Holieday[ok],Holieday[date],J_ADDDAY(VLOOKUP(I213,A:F,6,FALSE),H213+3,1)))=FALSE(),J_ADDDAY(VLOOKUP(I213,A:F,6,FALSE),H213+3,1),IF(OR(j_WEEKDAY(J_ADDDAY(VLOOKUP(I213,A:F,6,FALSE),H213+4,1),0)=6,SUMIFS(Holieday[ok],Holieday[date],J_ADDDAY(VLOOKUP(I213,A:F,6,FALSE),H213+4,1)))=FALSE(),J_ADDDAY(VLOOKUP(I213,A:F,6,FALSE),H213+4,1),J_ADDDAY(VLOOKUP(I213,A:F,6,FALSE),H213+5,1))))))</f>
        <v>1398/08/25</v>
      </c>
      <c r="E213" s="2">
        <f t="shared" si="63"/>
        <v>13980825</v>
      </c>
      <c r="F213" s="13" t="str">
        <f>IF(N213=0,J_SUBDAY(D213,1,1)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0,J_SUBDAY(J_ADDDAY(D213,N213,1)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1,J_SUBDAY(J_ADDDAY(D213,N213+1,1),1,1),IF((N213-NETWORKDAYS.INTL(J_GregorianDate(D213,1),J_GregorianDate(J_SUBDAY(J_ADDDAY(D213,N213,1),1,1),1),16,1)-SUMIFS(Holieday[ok],Holieday[date],CONCATENATE("&gt;","=",D213),Holieday[date],CONCATENATE("&lt;","=",J_SUBDAY(J_ADDDAY(D213,N213,1),1,1)))+SUMIFS(Holieday[Friday],Holieday[date],CONCATENATE("&gt;","=",D213),Holieday[date],CONCATENATE("&lt;","=",J_SUBDAY(J_ADDDAY(D213,N213,1),1,1))))=2,J_SUBDAY(J_ADDDAY(D213,N213+2,1),1,1),J_SUBDAY(J_ADDDAY(D213,N213+3,1),1,1)))))</f>
        <v>1398/08/24</v>
      </c>
      <c r="G213" s="3">
        <f t="shared" si="64"/>
        <v>13980824</v>
      </c>
      <c r="H213" s="121"/>
      <c r="I213" s="122">
        <v>8.4</v>
      </c>
      <c r="J213" s="10" t="str">
        <f>j_WEEKDAY(D213,1)</f>
        <v>شنبه</v>
      </c>
      <c r="K213" s="23">
        <f t="shared" si="62"/>
        <v>0</v>
      </c>
      <c r="L213" s="9">
        <f t="shared" si="67"/>
        <v>0</v>
      </c>
      <c r="M213" s="123">
        <v>0</v>
      </c>
      <c r="N213" s="120">
        <v>0</v>
      </c>
      <c r="O213" s="11">
        <f t="shared" si="68"/>
        <v>0</v>
      </c>
      <c r="P213" s="11">
        <f>VALUE(J_normdate(J_ADDDAY($D213,$O213,1)))</f>
        <v>13980825</v>
      </c>
      <c r="Q213" s="10">
        <f t="shared" si="69"/>
        <v>0</v>
      </c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  <c r="ES213" s="8"/>
      <c r="ET213" s="8"/>
      <c r="EU213" s="8"/>
      <c r="EV213" s="8"/>
      <c r="EW213" s="8"/>
      <c r="EX213" s="8"/>
      <c r="EY213" s="8"/>
      <c r="EZ213" s="8"/>
      <c r="FA213" s="8"/>
      <c r="FB213" s="8"/>
      <c r="FC213" s="8"/>
      <c r="FD213" s="8"/>
      <c r="FE213" s="8"/>
      <c r="FF213" s="8"/>
      <c r="FG213" s="8"/>
      <c r="FH213" s="8"/>
      <c r="FI213" s="8"/>
      <c r="FJ213" s="8"/>
      <c r="FK213" s="8"/>
      <c r="FL213" s="8"/>
      <c r="FM213" s="8"/>
      <c r="FN213" s="8"/>
      <c r="FO213" s="8"/>
      <c r="FP213" s="8"/>
      <c r="FQ213" s="8"/>
      <c r="FR213" s="8"/>
      <c r="FS213" s="8"/>
      <c r="FT213" s="8"/>
      <c r="FU213" s="8"/>
      <c r="FV213" s="8"/>
      <c r="FW213" s="8"/>
      <c r="FX213" s="8"/>
      <c r="FY213" s="8"/>
      <c r="FZ213" s="8"/>
      <c r="GA213" s="8"/>
      <c r="GB213" s="8"/>
      <c r="GC213" s="8"/>
      <c r="GD213" s="8"/>
      <c r="GE213" s="8"/>
      <c r="GF213" s="8"/>
      <c r="GG213" s="8"/>
      <c r="GH213" s="8"/>
      <c r="GI213" s="8"/>
      <c r="GJ213" s="8"/>
      <c r="GK213" s="8"/>
      <c r="GL213" s="8"/>
      <c r="GM213" s="8"/>
      <c r="GN213" s="8"/>
      <c r="GO213" s="8"/>
      <c r="GP213" s="8"/>
      <c r="GQ213" s="8"/>
      <c r="GR213" s="8"/>
      <c r="GS213" s="8"/>
      <c r="GT213" s="8"/>
      <c r="GU213" s="8"/>
      <c r="GV213" s="8"/>
      <c r="GW213" s="8"/>
      <c r="GX213" s="8"/>
      <c r="GY213" s="8"/>
      <c r="GZ213" s="8"/>
      <c r="HA213" s="8"/>
      <c r="HB213" s="8"/>
      <c r="HC213" s="8"/>
      <c r="HD213" s="8"/>
      <c r="HE213" s="8"/>
      <c r="HF213" s="8"/>
      <c r="HG213" s="8"/>
      <c r="HH213" s="8"/>
      <c r="HI213" s="8"/>
      <c r="HJ213" s="8"/>
      <c r="HK213" s="8"/>
      <c r="HL213" s="8"/>
      <c r="HM213" s="8"/>
      <c r="HN213" s="8"/>
      <c r="HO213" s="8"/>
      <c r="HP213" s="8"/>
      <c r="HQ213" s="8"/>
      <c r="HR213" s="8"/>
      <c r="HS213" s="8"/>
      <c r="HT213" s="8"/>
      <c r="HU213" s="8"/>
      <c r="HV213" s="8"/>
      <c r="HW213" s="8"/>
      <c r="HX213" s="8"/>
      <c r="HY213" s="8"/>
      <c r="HZ213" s="8"/>
      <c r="IA213" s="8"/>
      <c r="IB213" s="8"/>
      <c r="IC213" s="8"/>
      <c r="ID213" s="8"/>
      <c r="IE213" s="8"/>
      <c r="IF213" s="8"/>
      <c r="IG213" s="8"/>
      <c r="IH213" s="8"/>
      <c r="II213" s="8"/>
      <c r="IJ213" s="8"/>
      <c r="IK213" s="8"/>
      <c r="IL213" s="8"/>
      <c r="IM213" s="8"/>
      <c r="IN213" s="8"/>
      <c r="IO213" s="8"/>
      <c r="IP213" s="8"/>
      <c r="IQ213" s="8"/>
      <c r="IR213" s="8"/>
      <c r="IS213" s="8"/>
      <c r="IT213" s="8"/>
      <c r="IU213" s="8"/>
      <c r="IV213" s="8"/>
      <c r="IW213" s="8"/>
      <c r="IX213" s="8"/>
      <c r="JA213" s="125"/>
      <c r="JB213" s="125"/>
      <c r="JC213" s="125"/>
      <c r="JD213" s="72">
        <f>SUM((TEXT(JA213,"[M]")/60)*'Income Person-hours'!$D$3,(TEXT(JB213,"[M]")/60)*'Income Person-hours'!$D$4,(TEXT(JC213,"[M]")/60)*'Income Person-hours'!$D$5)</f>
        <v>0</v>
      </c>
    </row>
    <row r="214" spans="1:264" s="12" customFormat="1" ht="15.75" hidden="1" x14ac:dyDescent="0.45">
      <c r="A214" s="33">
        <v>10.7</v>
      </c>
      <c r="B214" s="128"/>
      <c r="C214" s="119"/>
      <c r="D214" s="13" t="str">
        <f>IF(OR(j_WEEKDAY(J_ADDDAY(VLOOKUP(I214,A:F,6,FALSE),H214,1),0)=6,SUMIFS(Holieday[ok],Holieday[date],J_ADDDAY(VLOOKUP(I214,A:F,6,FALSE),H214,1)))=FALSE(),J_ADDDAY(VLOOKUP(I214,A:F,6,FALSE),H214,1),IF(OR(j_WEEKDAY(J_ADDDAY(VLOOKUP(I214,A:F,6,FALSE),H214+1,1),0)=6,SUMIFS(Holieday[ok],Holieday[date],J_ADDDAY(VLOOKUP(I214,A:F,6,FALSE),H214+1,1)))=FALSE(),J_ADDDAY(VLOOKUP(I214,A:F,6,FALSE),H214+1,1),IF(OR(j_WEEKDAY(J_ADDDAY(VLOOKUP(I214,A:F,6,FALSE),H214+2,1),0)=6,SUMIFS(Holieday[ok],Holieday[date],J_ADDDAY(VLOOKUP(I214,A:F,6,FALSE),H214+2,1)))=FALSE(),J_ADDDAY(VLOOKUP(I214,A:F,6,FALSE),H214+2,1),IF(OR(j_WEEKDAY(J_ADDDAY(VLOOKUP(I214,A:F,6,FALSE),H214+3,1),0)=6,SUMIFS(Holieday[ok],Holieday[date],J_ADDDAY(VLOOKUP(I214,A:F,6,FALSE),H214+3,1)))=FALSE(),J_ADDDAY(VLOOKUP(I214,A:F,6,FALSE),H214+3,1),IF(OR(j_WEEKDAY(J_ADDDAY(VLOOKUP(I214,A:F,6,FALSE),H214+4,1),0)=6,SUMIFS(Holieday[ok],Holieday[date],J_ADDDAY(VLOOKUP(I214,A:F,6,FALSE),H214+4,1)))=FALSE(),J_ADDDAY(VLOOKUP(I214,A:F,6,FALSE),H214+4,1),J_ADDDAY(VLOOKUP(I214,A:F,6,FALSE),H214+5,1))))))</f>
        <v>1398/08/25</v>
      </c>
      <c r="E214" s="2">
        <f t="shared" si="63"/>
        <v>13980825</v>
      </c>
      <c r="F214" s="13" t="str">
        <f>IF(N214=0,J_SUBDAY(D214,1,1)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0,J_SUBDAY(J_ADDDAY(D214,N214,1)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1,J_SUBDAY(J_ADDDAY(D214,N214+1,1),1,1),IF((N214-NETWORKDAYS.INTL(J_GregorianDate(D214,1),J_GregorianDate(J_SUBDAY(J_ADDDAY(D214,N214,1),1,1),1),16,1)-SUMIFS(Holieday[ok],Holieday[date],CONCATENATE("&gt;","=",D214),Holieday[date],CONCATENATE("&lt;","=",J_SUBDAY(J_ADDDAY(D214,N214,1),1,1)))+SUMIFS(Holieday[Friday],Holieday[date],CONCATENATE("&gt;","=",D214),Holieday[date],CONCATENATE("&lt;","=",J_SUBDAY(J_ADDDAY(D214,N214,1),1,1))))=2,J_SUBDAY(J_ADDDAY(D214,N214+2,1),1,1),J_SUBDAY(J_ADDDAY(D214,N214+3,1),1,1)))))</f>
        <v>1398/08/24</v>
      </c>
      <c r="G214" s="3">
        <f t="shared" si="64"/>
        <v>13980824</v>
      </c>
      <c r="H214" s="121"/>
      <c r="I214" s="122">
        <v>8.4</v>
      </c>
      <c r="J214" s="10" t="str">
        <f>j_WEEKDAY(D214,1)</f>
        <v>شنبه</v>
      </c>
      <c r="K214" s="23">
        <f t="shared" si="62"/>
        <v>0</v>
      </c>
      <c r="L214" s="9">
        <f t="shared" si="67"/>
        <v>0</v>
      </c>
      <c r="M214" s="123">
        <v>0</v>
      </c>
      <c r="N214" s="120">
        <v>0</v>
      </c>
      <c r="O214" s="11">
        <f t="shared" si="68"/>
        <v>0</v>
      </c>
      <c r="P214" s="11">
        <f>VALUE(J_normdate(J_ADDDAY($D214,$O214,1)))</f>
        <v>13980825</v>
      </c>
      <c r="Q214" s="10">
        <f t="shared" si="69"/>
        <v>0</v>
      </c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  <c r="ES214" s="8"/>
      <c r="ET214" s="8"/>
      <c r="EU214" s="8"/>
      <c r="EV214" s="8"/>
      <c r="EW214" s="8"/>
      <c r="EX214" s="8"/>
      <c r="EY214" s="8"/>
      <c r="EZ214" s="8"/>
      <c r="FA214" s="8"/>
      <c r="FB214" s="8"/>
      <c r="FC214" s="8"/>
      <c r="FD214" s="8"/>
      <c r="FE214" s="8"/>
      <c r="FF214" s="8"/>
      <c r="FG214" s="8"/>
      <c r="FH214" s="8"/>
      <c r="FI214" s="8"/>
      <c r="FJ214" s="8"/>
      <c r="FK214" s="8"/>
      <c r="FL214" s="8"/>
      <c r="FM214" s="8"/>
      <c r="FN214" s="8"/>
      <c r="FO214" s="8"/>
      <c r="FP214" s="8"/>
      <c r="FQ214" s="8"/>
      <c r="FR214" s="8"/>
      <c r="FS214" s="8"/>
      <c r="FT214" s="8"/>
      <c r="FU214" s="8"/>
      <c r="FV214" s="8"/>
      <c r="FW214" s="8"/>
      <c r="FX214" s="8"/>
      <c r="FY214" s="8"/>
      <c r="FZ214" s="8"/>
      <c r="GA214" s="8"/>
      <c r="GB214" s="8"/>
      <c r="GC214" s="8"/>
      <c r="GD214" s="8"/>
      <c r="GE214" s="8"/>
      <c r="GF214" s="8"/>
      <c r="GG214" s="8"/>
      <c r="GH214" s="8"/>
      <c r="GI214" s="8"/>
      <c r="GJ214" s="8"/>
      <c r="GK214" s="8"/>
      <c r="GL214" s="8"/>
      <c r="GM214" s="8"/>
      <c r="GN214" s="8"/>
      <c r="GO214" s="8"/>
      <c r="GP214" s="8"/>
      <c r="GQ214" s="8"/>
      <c r="GR214" s="8"/>
      <c r="GS214" s="8"/>
      <c r="GT214" s="8"/>
      <c r="GU214" s="8"/>
      <c r="GV214" s="8"/>
      <c r="GW214" s="8"/>
      <c r="GX214" s="8"/>
      <c r="GY214" s="8"/>
      <c r="GZ214" s="8"/>
      <c r="HA214" s="8"/>
      <c r="HB214" s="8"/>
      <c r="HC214" s="8"/>
      <c r="HD214" s="8"/>
      <c r="HE214" s="8"/>
      <c r="HF214" s="8"/>
      <c r="HG214" s="8"/>
      <c r="HH214" s="8"/>
      <c r="HI214" s="8"/>
      <c r="HJ214" s="8"/>
      <c r="HK214" s="8"/>
      <c r="HL214" s="8"/>
      <c r="HM214" s="8"/>
      <c r="HN214" s="8"/>
      <c r="HO214" s="8"/>
      <c r="HP214" s="8"/>
      <c r="HQ214" s="8"/>
      <c r="HR214" s="8"/>
      <c r="HS214" s="8"/>
      <c r="HT214" s="8"/>
      <c r="HU214" s="8"/>
      <c r="HV214" s="8"/>
      <c r="HW214" s="8"/>
      <c r="HX214" s="8"/>
      <c r="HY214" s="8"/>
      <c r="HZ214" s="8"/>
      <c r="IA214" s="8"/>
      <c r="IB214" s="8"/>
      <c r="IC214" s="8"/>
      <c r="ID214" s="8"/>
      <c r="IE214" s="8"/>
      <c r="IF214" s="8"/>
      <c r="IG214" s="8"/>
      <c r="IH214" s="8"/>
      <c r="II214" s="8"/>
      <c r="IJ214" s="8"/>
      <c r="IK214" s="8"/>
      <c r="IL214" s="8"/>
      <c r="IM214" s="8"/>
      <c r="IN214" s="8"/>
      <c r="IO214" s="8"/>
      <c r="IP214" s="8"/>
      <c r="IQ214" s="8"/>
      <c r="IR214" s="8"/>
      <c r="IS214" s="8"/>
      <c r="IT214" s="8"/>
      <c r="IU214" s="8"/>
      <c r="IV214" s="8"/>
      <c r="IW214" s="8"/>
      <c r="IX214" s="8"/>
      <c r="JA214" s="125"/>
      <c r="JB214" s="125"/>
      <c r="JC214" s="125"/>
      <c r="JD214" s="72">
        <f>SUM((TEXT(JA214,"[M]")/60)*'Income Person-hours'!$D$3,(TEXT(JB214,"[M]")/60)*'Income Person-hours'!$D$4,(TEXT(JC214,"[M]")/60)*'Income Person-hours'!$D$5)</f>
        <v>0</v>
      </c>
    </row>
    <row r="215" spans="1:264" s="12" customFormat="1" ht="15.75" hidden="1" x14ac:dyDescent="0.45">
      <c r="A215" s="33">
        <v>10.8</v>
      </c>
      <c r="B215" s="128"/>
      <c r="C215" s="119"/>
      <c r="D215" s="13" t="str">
        <f>IF(OR(j_WEEKDAY(J_ADDDAY(VLOOKUP(I215,A:F,6,FALSE),H215,1),0)=6,SUMIFS(Holieday[ok],Holieday[date],J_ADDDAY(VLOOKUP(I215,A:F,6,FALSE),H215,1)))=FALSE(),J_ADDDAY(VLOOKUP(I215,A:F,6,FALSE),H215,1),IF(OR(j_WEEKDAY(J_ADDDAY(VLOOKUP(I215,A:F,6,FALSE),H215+1,1),0)=6,SUMIFS(Holieday[ok],Holieday[date],J_ADDDAY(VLOOKUP(I215,A:F,6,FALSE),H215+1,1)))=FALSE(),J_ADDDAY(VLOOKUP(I215,A:F,6,FALSE),H215+1,1),IF(OR(j_WEEKDAY(J_ADDDAY(VLOOKUP(I215,A:F,6,FALSE),H215+2,1),0)=6,SUMIFS(Holieday[ok],Holieday[date],J_ADDDAY(VLOOKUP(I215,A:F,6,FALSE),H215+2,1)))=FALSE(),J_ADDDAY(VLOOKUP(I215,A:F,6,FALSE),H215+2,1),IF(OR(j_WEEKDAY(J_ADDDAY(VLOOKUP(I215,A:F,6,FALSE),H215+3,1),0)=6,SUMIFS(Holieday[ok],Holieday[date],J_ADDDAY(VLOOKUP(I215,A:F,6,FALSE),H215+3,1)))=FALSE(),J_ADDDAY(VLOOKUP(I215,A:F,6,FALSE),H215+3,1),IF(OR(j_WEEKDAY(J_ADDDAY(VLOOKUP(I215,A:F,6,FALSE),H215+4,1),0)=6,SUMIFS(Holieday[ok],Holieday[date],J_ADDDAY(VLOOKUP(I215,A:F,6,FALSE),H215+4,1)))=FALSE(),J_ADDDAY(VLOOKUP(I215,A:F,6,FALSE),H215+4,1),J_ADDDAY(VLOOKUP(I215,A:F,6,FALSE),H215+5,1))))))</f>
        <v>1398/08/25</v>
      </c>
      <c r="E215" s="2">
        <f t="shared" si="63"/>
        <v>13980825</v>
      </c>
      <c r="F215" s="13" t="str">
        <f>IF(N215=0,J_SUBDAY(D215,1,1)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0,J_SUBDAY(J_ADDDAY(D215,N215,1)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1,J_SUBDAY(J_ADDDAY(D215,N215+1,1),1,1),IF((N215-NETWORKDAYS.INTL(J_GregorianDate(D215,1),J_GregorianDate(J_SUBDAY(J_ADDDAY(D215,N215,1),1,1),1),16,1)-SUMIFS(Holieday[ok],Holieday[date],CONCATENATE("&gt;","=",D215),Holieday[date],CONCATENATE("&lt;","=",J_SUBDAY(J_ADDDAY(D215,N215,1),1,1)))+SUMIFS(Holieday[Friday],Holieday[date],CONCATENATE("&gt;","=",D215),Holieday[date],CONCATENATE("&lt;","=",J_SUBDAY(J_ADDDAY(D215,N215,1),1,1))))=2,J_SUBDAY(J_ADDDAY(D215,N215+2,1),1,1),J_SUBDAY(J_ADDDAY(D215,N215+3,1),1,1)))))</f>
        <v>1398/08/24</v>
      </c>
      <c r="G215" s="3">
        <f t="shared" si="64"/>
        <v>13980824</v>
      </c>
      <c r="H215" s="121"/>
      <c r="I215" s="122">
        <v>8.4</v>
      </c>
      <c r="J215" s="10" t="str">
        <f>j_WEEKDAY(D215,1)</f>
        <v>شنبه</v>
      </c>
      <c r="K215" s="23">
        <f t="shared" si="62"/>
        <v>0</v>
      </c>
      <c r="L215" s="9">
        <f t="shared" si="67"/>
        <v>0</v>
      </c>
      <c r="M215" s="123">
        <v>0</v>
      </c>
      <c r="N215" s="120">
        <v>0</v>
      </c>
      <c r="O215" s="11">
        <f t="shared" si="68"/>
        <v>0</v>
      </c>
      <c r="P215" s="11">
        <f>VALUE(J_normdate(J_ADDDAY($D215,$O215,1)))</f>
        <v>13980825</v>
      </c>
      <c r="Q215" s="10">
        <f t="shared" si="69"/>
        <v>0</v>
      </c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  <c r="ES215" s="8"/>
      <c r="ET215" s="8"/>
      <c r="EU215" s="8"/>
      <c r="EV215" s="8"/>
      <c r="EW215" s="8"/>
      <c r="EX215" s="8"/>
      <c r="EY215" s="8"/>
      <c r="EZ215" s="8"/>
      <c r="FA215" s="8"/>
      <c r="FB215" s="8"/>
      <c r="FC215" s="8"/>
      <c r="FD215" s="8"/>
      <c r="FE215" s="8"/>
      <c r="FF215" s="8"/>
      <c r="FG215" s="8"/>
      <c r="FH215" s="8"/>
      <c r="FI215" s="8"/>
      <c r="FJ215" s="8"/>
      <c r="FK215" s="8"/>
      <c r="FL215" s="8"/>
      <c r="FM215" s="8"/>
      <c r="FN215" s="8"/>
      <c r="FO215" s="8"/>
      <c r="FP215" s="8"/>
      <c r="FQ215" s="8"/>
      <c r="FR215" s="8"/>
      <c r="FS215" s="8"/>
      <c r="FT215" s="8"/>
      <c r="FU215" s="8"/>
      <c r="FV215" s="8"/>
      <c r="FW215" s="8"/>
      <c r="FX215" s="8"/>
      <c r="FY215" s="8"/>
      <c r="FZ215" s="8"/>
      <c r="GA215" s="8"/>
      <c r="GB215" s="8"/>
      <c r="GC215" s="8"/>
      <c r="GD215" s="8"/>
      <c r="GE215" s="8"/>
      <c r="GF215" s="8"/>
      <c r="GG215" s="8"/>
      <c r="GH215" s="8"/>
      <c r="GI215" s="8"/>
      <c r="GJ215" s="8"/>
      <c r="GK215" s="8"/>
      <c r="GL215" s="8"/>
      <c r="GM215" s="8"/>
      <c r="GN215" s="8"/>
      <c r="GO215" s="8"/>
      <c r="GP215" s="8"/>
      <c r="GQ215" s="8"/>
      <c r="GR215" s="8"/>
      <c r="GS215" s="8"/>
      <c r="GT215" s="8"/>
      <c r="GU215" s="8"/>
      <c r="GV215" s="8"/>
      <c r="GW215" s="8"/>
      <c r="GX215" s="8"/>
      <c r="GY215" s="8"/>
      <c r="GZ215" s="8"/>
      <c r="HA215" s="8"/>
      <c r="HB215" s="8"/>
      <c r="HC215" s="8"/>
      <c r="HD215" s="8"/>
      <c r="HE215" s="8"/>
      <c r="HF215" s="8"/>
      <c r="HG215" s="8"/>
      <c r="HH215" s="8"/>
      <c r="HI215" s="8"/>
      <c r="HJ215" s="8"/>
      <c r="HK215" s="8"/>
      <c r="HL215" s="8"/>
      <c r="HM215" s="8"/>
      <c r="HN215" s="8"/>
      <c r="HO215" s="8"/>
      <c r="HP215" s="8"/>
      <c r="HQ215" s="8"/>
      <c r="HR215" s="8"/>
      <c r="HS215" s="8"/>
      <c r="HT215" s="8"/>
      <c r="HU215" s="8"/>
      <c r="HV215" s="8"/>
      <c r="HW215" s="8"/>
      <c r="HX215" s="8"/>
      <c r="HY215" s="8"/>
      <c r="HZ215" s="8"/>
      <c r="IA215" s="8"/>
      <c r="IB215" s="8"/>
      <c r="IC215" s="8"/>
      <c r="ID215" s="8"/>
      <c r="IE215" s="8"/>
      <c r="IF215" s="8"/>
      <c r="IG215" s="8"/>
      <c r="IH215" s="8"/>
      <c r="II215" s="8"/>
      <c r="IJ215" s="8"/>
      <c r="IK215" s="8"/>
      <c r="IL215" s="8"/>
      <c r="IM215" s="8"/>
      <c r="IN215" s="8"/>
      <c r="IO215" s="8"/>
      <c r="IP215" s="8"/>
      <c r="IQ215" s="8"/>
      <c r="IR215" s="8"/>
      <c r="IS215" s="8"/>
      <c r="IT215" s="8"/>
      <c r="IU215" s="8"/>
      <c r="IV215" s="8"/>
      <c r="IW215" s="8"/>
      <c r="IX215" s="8"/>
      <c r="JA215" s="125"/>
      <c r="JB215" s="125"/>
      <c r="JC215" s="125"/>
      <c r="JD215" s="72">
        <f>SUM((TEXT(JA215,"[M]")/60)*'Income Person-hours'!$D$3,(TEXT(JB215,"[M]")/60)*'Income Person-hours'!$D$4,(TEXT(JC215,"[M]")/60)*'Income Person-hours'!$D$5)</f>
        <v>0</v>
      </c>
    </row>
    <row r="216" spans="1:264" s="12" customFormat="1" ht="15.75" hidden="1" x14ac:dyDescent="0.45">
      <c r="A216" s="33">
        <v>10.9</v>
      </c>
      <c r="B216" s="128"/>
      <c r="C216" s="119"/>
      <c r="D216" s="13" t="str">
        <f>IF(OR(j_WEEKDAY(J_ADDDAY(VLOOKUP(I216,A:F,6,FALSE),H216,1),0)=6,SUMIFS(Holieday[ok],Holieday[date],J_ADDDAY(VLOOKUP(I216,A:F,6,FALSE),H216,1)))=FALSE(),J_ADDDAY(VLOOKUP(I216,A:F,6,FALSE),H216,1),IF(OR(j_WEEKDAY(J_ADDDAY(VLOOKUP(I216,A:F,6,FALSE),H216+1,1),0)=6,SUMIFS(Holieday[ok],Holieday[date],J_ADDDAY(VLOOKUP(I216,A:F,6,FALSE),H216+1,1)))=FALSE(),J_ADDDAY(VLOOKUP(I216,A:F,6,FALSE),H216+1,1),IF(OR(j_WEEKDAY(J_ADDDAY(VLOOKUP(I216,A:F,6,FALSE),H216+2,1),0)=6,SUMIFS(Holieday[ok],Holieday[date],J_ADDDAY(VLOOKUP(I216,A:F,6,FALSE),H216+2,1)))=FALSE(),J_ADDDAY(VLOOKUP(I216,A:F,6,FALSE),H216+2,1),IF(OR(j_WEEKDAY(J_ADDDAY(VLOOKUP(I216,A:F,6,FALSE),H216+3,1),0)=6,SUMIFS(Holieday[ok],Holieday[date],J_ADDDAY(VLOOKUP(I216,A:F,6,FALSE),H216+3,1)))=FALSE(),J_ADDDAY(VLOOKUP(I216,A:F,6,FALSE),H216+3,1),IF(OR(j_WEEKDAY(J_ADDDAY(VLOOKUP(I216,A:F,6,FALSE),H216+4,1),0)=6,SUMIFS(Holieday[ok],Holieday[date],J_ADDDAY(VLOOKUP(I216,A:F,6,FALSE),H216+4,1)))=FALSE(),J_ADDDAY(VLOOKUP(I216,A:F,6,FALSE),H216+4,1),J_ADDDAY(VLOOKUP(I216,A:F,6,FALSE),H216+5,1))))))</f>
        <v>1398/08/25</v>
      </c>
      <c r="E216" s="2">
        <f t="shared" si="63"/>
        <v>13980825</v>
      </c>
      <c r="F216" s="13" t="str">
        <f>IF(N216=0,J_SUBDAY(D216,1,1)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0,J_SUBDAY(J_ADDDAY(D216,N216,1)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1,J_SUBDAY(J_ADDDAY(D216,N216+1,1),1,1),IF((N216-NETWORKDAYS.INTL(J_GregorianDate(D216,1),J_GregorianDate(J_SUBDAY(J_ADDDAY(D216,N216,1),1,1),1),16,1)-SUMIFS(Holieday[ok],Holieday[date],CONCATENATE("&gt;","=",D216),Holieday[date],CONCATENATE("&lt;","=",J_SUBDAY(J_ADDDAY(D216,N216,1),1,1)))+SUMIFS(Holieday[Friday],Holieday[date],CONCATENATE("&gt;","=",D216),Holieday[date],CONCATENATE("&lt;","=",J_SUBDAY(J_ADDDAY(D216,N216,1),1,1))))=2,J_SUBDAY(J_ADDDAY(D216,N216+2,1),1,1),J_SUBDAY(J_ADDDAY(D216,N216+3,1),1,1)))))</f>
        <v>1398/08/24</v>
      </c>
      <c r="G216" s="3">
        <f t="shared" si="64"/>
        <v>13980824</v>
      </c>
      <c r="H216" s="121"/>
      <c r="I216" s="122">
        <v>8.4</v>
      </c>
      <c r="J216" s="10" t="str">
        <f>j_WEEKDAY(D216,1)</f>
        <v>شنبه</v>
      </c>
      <c r="K216" s="23">
        <f t="shared" si="62"/>
        <v>0</v>
      </c>
      <c r="L216" s="9">
        <f t="shared" si="67"/>
        <v>0</v>
      </c>
      <c r="M216" s="123">
        <v>0</v>
      </c>
      <c r="N216" s="120">
        <v>0</v>
      </c>
      <c r="O216" s="11">
        <f t="shared" si="68"/>
        <v>0</v>
      </c>
      <c r="P216" s="11">
        <f>VALUE(J_normdate(J_ADDDAY($D216,$O216,1)))</f>
        <v>13980825</v>
      </c>
      <c r="Q216" s="10">
        <f t="shared" si="69"/>
        <v>0</v>
      </c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  <c r="ES216" s="8"/>
      <c r="ET216" s="8"/>
      <c r="EU216" s="8"/>
      <c r="EV216" s="8"/>
      <c r="EW216" s="8"/>
      <c r="EX216" s="8"/>
      <c r="EY216" s="8"/>
      <c r="EZ216" s="8"/>
      <c r="FA216" s="8"/>
      <c r="FB216" s="8"/>
      <c r="FC216" s="8"/>
      <c r="FD216" s="8"/>
      <c r="FE216" s="8"/>
      <c r="FF216" s="8"/>
      <c r="FG216" s="8"/>
      <c r="FH216" s="8"/>
      <c r="FI216" s="8"/>
      <c r="FJ216" s="8"/>
      <c r="FK216" s="8"/>
      <c r="FL216" s="8"/>
      <c r="FM216" s="8"/>
      <c r="FN216" s="8"/>
      <c r="FO216" s="8"/>
      <c r="FP216" s="8"/>
      <c r="FQ216" s="8"/>
      <c r="FR216" s="8"/>
      <c r="FS216" s="8"/>
      <c r="FT216" s="8"/>
      <c r="FU216" s="8"/>
      <c r="FV216" s="8"/>
      <c r="FW216" s="8"/>
      <c r="FX216" s="8"/>
      <c r="FY216" s="8"/>
      <c r="FZ216" s="8"/>
      <c r="GA216" s="8"/>
      <c r="GB216" s="8"/>
      <c r="GC216" s="8"/>
      <c r="GD216" s="8"/>
      <c r="GE216" s="8"/>
      <c r="GF216" s="8"/>
      <c r="GG216" s="8"/>
      <c r="GH216" s="8"/>
      <c r="GI216" s="8"/>
      <c r="GJ216" s="8"/>
      <c r="GK216" s="8"/>
      <c r="GL216" s="8"/>
      <c r="GM216" s="8"/>
      <c r="GN216" s="8"/>
      <c r="GO216" s="8"/>
      <c r="GP216" s="8"/>
      <c r="GQ216" s="8"/>
      <c r="GR216" s="8"/>
      <c r="GS216" s="8"/>
      <c r="GT216" s="8"/>
      <c r="GU216" s="8"/>
      <c r="GV216" s="8"/>
      <c r="GW216" s="8"/>
      <c r="GX216" s="8"/>
      <c r="GY216" s="8"/>
      <c r="GZ216" s="8"/>
      <c r="HA216" s="8"/>
      <c r="HB216" s="8"/>
      <c r="HC216" s="8"/>
      <c r="HD216" s="8"/>
      <c r="HE216" s="8"/>
      <c r="HF216" s="8"/>
      <c r="HG216" s="8"/>
      <c r="HH216" s="8"/>
      <c r="HI216" s="8"/>
      <c r="HJ216" s="8"/>
      <c r="HK216" s="8"/>
      <c r="HL216" s="8"/>
      <c r="HM216" s="8"/>
      <c r="HN216" s="8"/>
      <c r="HO216" s="8"/>
      <c r="HP216" s="8"/>
      <c r="HQ216" s="8"/>
      <c r="HR216" s="8"/>
      <c r="HS216" s="8"/>
      <c r="HT216" s="8"/>
      <c r="HU216" s="8"/>
      <c r="HV216" s="8"/>
      <c r="HW216" s="8"/>
      <c r="HX216" s="8"/>
      <c r="HY216" s="8"/>
      <c r="HZ216" s="8"/>
      <c r="IA216" s="8"/>
      <c r="IB216" s="8"/>
      <c r="IC216" s="8"/>
      <c r="ID216" s="8"/>
      <c r="IE216" s="8"/>
      <c r="IF216" s="8"/>
      <c r="IG216" s="8"/>
      <c r="IH216" s="8"/>
      <c r="II216" s="8"/>
      <c r="IJ216" s="8"/>
      <c r="IK216" s="8"/>
      <c r="IL216" s="8"/>
      <c r="IM216" s="8"/>
      <c r="IN216" s="8"/>
      <c r="IO216" s="8"/>
      <c r="IP216" s="8"/>
      <c r="IQ216" s="8"/>
      <c r="IR216" s="8"/>
      <c r="IS216" s="8"/>
      <c r="IT216" s="8"/>
      <c r="IU216" s="8"/>
      <c r="IV216" s="8"/>
      <c r="IW216" s="8"/>
      <c r="IX216" s="8"/>
      <c r="JA216" s="125"/>
      <c r="JB216" s="125"/>
      <c r="JC216" s="125"/>
      <c r="JD216" s="72">
        <f>SUM((TEXT(JA216,"[M]")/60)*'Income Person-hours'!$D$3,(TEXT(JB216,"[M]")/60)*'Income Person-hours'!$D$4,(TEXT(JC216,"[M]")/60)*'Income Person-hours'!$D$5)</f>
        <v>0</v>
      </c>
    </row>
    <row r="217" spans="1:264" s="12" customFormat="1" ht="15.75" hidden="1" x14ac:dyDescent="0.45">
      <c r="A217" s="33">
        <v>10.11</v>
      </c>
      <c r="B217" s="128"/>
      <c r="C217" s="119"/>
      <c r="D217" s="13" t="str">
        <f>IF(OR(j_WEEKDAY(J_ADDDAY(VLOOKUP(I217,A:F,6,FALSE),H217,1),0)=6,SUMIFS(Holieday[ok],Holieday[date],J_ADDDAY(VLOOKUP(I217,A:F,6,FALSE),H217,1)))=FALSE(),J_ADDDAY(VLOOKUP(I217,A:F,6,FALSE),H217,1),IF(OR(j_WEEKDAY(J_ADDDAY(VLOOKUP(I217,A:F,6,FALSE),H217+1,1),0)=6,SUMIFS(Holieday[ok],Holieday[date],J_ADDDAY(VLOOKUP(I217,A:F,6,FALSE),H217+1,1)))=FALSE(),J_ADDDAY(VLOOKUP(I217,A:F,6,FALSE),H217+1,1),IF(OR(j_WEEKDAY(J_ADDDAY(VLOOKUP(I217,A:F,6,FALSE),H217+2,1),0)=6,SUMIFS(Holieday[ok],Holieday[date],J_ADDDAY(VLOOKUP(I217,A:F,6,FALSE),H217+2,1)))=FALSE(),J_ADDDAY(VLOOKUP(I217,A:F,6,FALSE),H217+2,1),IF(OR(j_WEEKDAY(J_ADDDAY(VLOOKUP(I217,A:F,6,FALSE),H217+3,1),0)=6,SUMIFS(Holieday[ok],Holieday[date],J_ADDDAY(VLOOKUP(I217,A:F,6,FALSE),H217+3,1)))=FALSE(),J_ADDDAY(VLOOKUP(I217,A:F,6,FALSE),H217+3,1),IF(OR(j_WEEKDAY(J_ADDDAY(VLOOKUP(I217,A:F,6,FALSE),H217+4,1),0)=6,SUMIFS(Holieday[ok],Holieday[date],J_ADDDAY(VLOOKUP(I217,A:F,6,FALSE),H217+4,1)))=FALSE(),J_ADDDAY(VLOOKUP(I217,A:F,6,FALSE),H217+4,1),J_ADDDAY(VLOOKUP(I217,A:F,6,FALSE),H217+5,1))))))</f>
        <v>1398/08/25</v>
      </c>
      <c r="E217" s="2">
        <f t="shared" si="63"/>
        <v>13980825</v>
      </c>
      <c r="F217" s="13" t="str">
        <f>IF(N217=0,J_SUBDAY(D217,1,1)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0,J_SUBDAY(J_ADDDAY(D217,N217,1)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1,J_SUBDAY(J_ADDDAY(D217,N217+1,1),1,1),IF((N217-NETWORKDAYS.INTL(J_GregorianDate(D217,1),J_GregorianDate(J_SUBDAY(J_ADDDAY(D217,N217,1),1,1),1),16,1)-SUMIFS(Holieday[ok],Holieday[date],CONCATENATE("&gt;","=",D217),Holieday[date],CONCATENATE("&lt;","=",J_SUBDAY(J_ADDDAY(D217,N217,1),1,1)))+SUMIFS(Holieday[Friday],Holieday[date],CONCATENATE("&gt;","=",D217),Holieday[date],CONCATENATE("&lt;","=",J_SUBDAY(J_ADDDAY(D217,N217,1),1,1))))=2,J_SUBDAY(J_ADDDAY(D217,N217+2,1),1,1),J_SUBDAY(J_ADDDAY(D217,N217+3,1),1,1)))))</f>
        <v>1398/08/24</v>
      </c>
      <c r="G217" s="3">
        <f t="shared" si="64"/>
        <v>13980824</v>
      </c>
      <c r="H217" s="121"/>
      <c r="I217" s="122">
        <v>8.4</v>
      </c>
      <c r="J217" s="10" t="str">
        <f>j_WEEKDAY(D217,1)</f>
        <v>شنبه</v>
      </c>
      <c r="K217" s="23">
        <f t="shared" si="62"/>
        <v>0</v>
      </c>
      <c r="L217" s="9">
        <f t="shared" si="67"/>
        <v>0</v>
      </c>
      <c r="M217" s="123">
        <v>0</v>
      </c>
      <c r="N217" s="120">
        <v>0</v>
      </c>
      <c r="O217" s="11">
        <f t="shared" si="68"/>
        <v>0</v>
      </c>
      <c r="P217" s="11">
        <f>VALUE(J_normdate(J_ADDDAY($D217,$O217,1)))</f>
        <v>13980825</v>
      </c>
      <c r="Q217" s="10">
        <f t="shared" si="69"/>
        <v>0</v>
      </c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  <c r="ES217" s="8"/>
      <c r="ET217" s="8"/>
      <c r="EU217" s="8"/>
      <c r="EV217" s="8"/>
      <c r="EW217" s="8"/>
      <c r="EX217" s="8"/>
      <c r="EY217" s="8"/>
      <c r="EZ217" s="8"/>
      <c r="FA217" s="8"/>
      <c r="FB217" s="8"/>
      <c r="FC217" s="8"/>
      <c r="FD217" s="8"/>
      <c r="FE217" s="8"/>
      <c r="FF217" s="8"/>
      <c r="FG217" s="8"/>
      <c r="FH217" s="8"/>
      <c r="FI217" s="8"/>
      <c r="FJ217" s="8"/>
      <c r="FK217" s="8"/>
      <c r="FL217" s="8"/>
      <c r="FM217" s="8"/>
      <c r="FN217" s="8"/>
      <c r="FO217" s="8"/>
      <c r="FP217" s="8"/>
      <c r="FQ217" s="8"/>
      <c r="FR217" s="8"/>
      <c r="FS217" s="8"/>
      <c r="FT217" s="8"/>
      <c r="FU217" s="8"/>
      <c r="FV217" s="8"/>
      <c r="FW217" s="8"/>
      <c r="FX217" s="8"/>
      <c r="FY217" s="8"/>
      <c r="FZ217" s="8"/>
      <c r="GA217" s="8"/>
      <c r="GB217" s="8"/>
      <c r="GC217" s="8"/>
      <c r="GD217" s="8"/>
      <c r="GE217" s="8"/>
      <c r="GF217" s="8"/>
      <c r="GG217" s="8"/>
      <c r="GH217" s="8"/>
      <c r="GI217" s="8"/>
      <c r="GJ217" s="8"/>
      <c r="GK217" s="8"/>
      <c r="GL217" s="8"/>
      <c r="GM217" s="8"/>
      <c r="GN217" s="8"/>
      <c r="GO217" s="8"/>
      <c r="GP217" s="8"/>
      <c r="GQ217" s="8"/>
      <c r="GR217" s="8"/>
      <c r="GS217" s="8"/>
      <c r="GT217" s="8"/>
      <c r="GU217" s="8"/>
      <c r="GV217" s="8"/>
      <c r="GW217" s="8"/>
      <c r="GX217" s="8"/>
      <c r="GY217" s="8"/>
      <c r="GZ217" s="8"/>
      <c r="HA217" s="8"/>
      <c r="HB217" s="8"/>
      <c r="HC217" s="8"/>
      <c r="HD217" s="8"/>
      <c r="HE217" s="8"/>
      <c r="HF217" s="8"/>
      <c r="HG217" s="8"/>
      <c r="HH217" s="8"/>
      <c r="HI217" s="8"/>
      <c r="HJ217" s="8"/>
      <c r="HK217" s="8"/>
      <c r="HL217" s="8"/>
      <c r="HM217" s="8"/>
      <c r="HN217" s="8"/>
      <c r="HO217" s="8"/>
      <c r="HP217" s="8"/>
      <c r="HQ217" s="8"/>
      <c r="HR217" s="8"/>
      <c r="HS217" s="8"/>
      <c r="HT217" s="8"/>
      <c r="HU217" s="8"/>
      <c r="HV217" s="8"/>
      <c r="HW217" s="8"/>
      <c r="HX217" s="8"/>
      <c r="HY217" s="8"/>
      <c r="HZ217" s="8"/>
      <c r="IA217" s="8"/>
      <c r="IB217" s="8"/>
      <c r="IC217" s="8"/>
      <c r="ID217" s="8"/>
      <c r="IE217" s="8"/>
      <c r="IF217" s="8"/>
      <c r="IG217" s="8"/>
      <c r="IH217" s="8"/>
      <c r="II217" s="8"/>
      <c r="IJ217" s="8"/>
      <c r="IK217" s="8"/>
      <c r="IL217" s="8"/>
      <c r="IM217" s="8"/>
      <c r="IN217" s="8"/>
      <c r="IO217" s="8"/>
      <c r="IP217" s="8"/>
      <c r="IQ217" s="8"/>
      <c r="IR217" s="8"/>
      <c r="IS217" s="8"/>
      <c r="IT217" s="8"/>
      <c r="IU217" s="8"/>
      <c r="IV217" s="8"/>
      <c r="IW217" s="8"/>
      <c r="IX217" s="8"/>
      <c r="JA217" s="125"/>
      <c r="JB217" s="125"/>
      <c r="JC217" s="125"/>
      <c r="JD217" s="72">
        <f>SUM((TEXT(JA217,"[M]")/60)*'Income Person-hours'!$D$3,(TEXT(JB217,"[M]")/60)*'Income Person-hours'!$D$4,(TEXT(JC217,"[M]")/60)*'Income Person-hours'!$D$5)</f>
        <v>0</v>
      </c>
    </row>
    <row r="218" spans="1:264" s="12" customFormat="1" ht="15.75" hidden="1" x14ac:dyDescent="0.45">
      <c r="A218" s="33">
        <v>10.119999999999999</v>
      </c>
      <c r="B218" s="128"/>
      <c r="C218" s="119"/>
      <c r="D218" s="13" t="str">
        <f>IF(OR(j_WEEKDAY(J_ADDDAY(VLOOKUP(I218,A:F,6,FALSE),H218,1),0)=6,SUMIFS(Holieday[ok],Holieday[date],J_ADDDAY(VLOOKUP(I218,A:F,6,FALSE),H218,1)))=FALSE(),J_ADDDAY(VLOOKUP(I218,A:F,6,FALSE),H218,1),IF(OR(j_WEEKDAY(J_ADDDAY(VLOOKUP(I218,A:F,6,FALSE),H218+1,1),0)=6,SUMIFS(Holieday[ok],Holieday[date],J_ADDDAY(VLOOKUP(I218,A:F,6,FALSE),H218+1,1)))=FALSE(),J_ADDDAY(VLOOKUP(I218,A:F,6,FALSE),H218+1,1),IF(OR(j_WEEKDAY(J_ADDDAY(VLOOKUP(I218,A:F,6,FALSE),H218+2,1),0)=6,SUMIFS(Holieday[ok],Holieday[date],J_ADDDAY(VLOOKUP(I218,A:F,6,FALSE),H218+2,1)))=FALSE(),J_ADDDAY(VLOOKUP(I218,A:F,6,FALSE),H218+2,1),IF(OR(j_WEEKDAY(J_ADDDAY(VLOOKUP(I218,A:F,6,FALSE),H218+3,1),0)=6,SUMIFS(Holieday[ok],Holieday[date],J_ADDDAY(VLOOKUP(I218,A:F,6,FALSE),H218+3,1)))=FALSE(),J_ADDDAY(VLOOKUP(I218,A:F,6,FALSE),H218+3,1),IF(OR(j_WEEKDAY(J_ADDDAY(VLOOKUP(I218,A:F,6,FALSE),H218+4,1),0)=6,SUMIFS(Holieday[ok],Holieday[date],J_ADDDAY(VLOOKUP(I218,A:F,6,FALSE),H218+4,1)))=FALSE(),J_ADDDAY(VLOOKUP(I218,A:F,6,FALSE),H218+4,1),J_ADDDAY(VLOOKUP(I218,A:F,6,FALSE),H218+5,1))))))</f>
        <v>1398/08/25</v>
      </c>
      <c r="E218" s="2">
        <f t="shared" si="63"/>
        <v>13980825</v>
      </c>
      <c r="F218" s="13" t="str">
        <f>IF(N218=0,J_SUBDAY(D218,1,1)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0,J_SUBDAY(J_ADDDAY(D218,N218,1)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1,J_SUBDAY(J_ADDDAY(D218,N218+1,1),1,1),IF((N218-NETWORKDAYS.INTL(J_GregorianDate(D218,1),J_GregorianDate(J_SUBDAY(J_ADDDAY(D218,N218,1),1,1),1),16,1)-SUMIFS(Holieday[ok],Holieday[date],CONCATENATE("&gt;","=",D218),Holieday[date],CONCATENATE("&lt;","=",J_SUBDAY(J_ADDDAY(D218,N218,1),1,1)))+SUMIFS(Holieday[Friday],Holieday[date],CONCATENATE("&gt;","=",D218),Holieday[date],CONCATENATE("&lt;","=",J_SUBDAY(J_ADDDAY(D218,N218,1),1,1))))=2,J_SUBDAY(J_ADDDAY(D218,N218+2,1),1,1),J_SUBDAY(J_ADDDAY(D218,N218+3,1),1,1)))))</f>
        <v>1398/08/24</v>
      </c>
      <c r="G218" s="3">
        <f t="shared" si="64"/>
        <v>13980824</v>
      </c>
      <c r="H218" s="121"/>
      <c r="I218" s="122">
        <v>8.4</v>
      </c>
      <c r="J218" s="10" t="str">
        <f>j_WEEKDAY(D218,1)</f>
        <v>شنبه</v>
      </c>
      <c r="K218" s="23">
        <f t="shared" si="62"/>
        <v>0</v>
      </c>
      <c r="L218" s="9">
        <f t="shared" si="67"/>
        <v>0</v>
      </c>
      <c r="M218" s="123">
        <v>0</v>
      </c>
      <c r="N218" s="120">
        <v>0</v>
      </c>
      <c r="O218" s="11">
        <f t="shared" si="68"/>
        <v>0</v>
      </c>
      <c r="P218" s="11">
        <f>VALUE(J_normdate(J_ADDDAY($D218,$O218,1)))</f>
        <v>13980825</v>
      </c>
      <c r="Q218" s="10">
        <f t="shared" si="69"/>
        <v>0</v>
      </c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  <c r="ES218" s="8"/>
      <c r="ET218" s="8"/>
      <c r="EU218" s="8"/>
      <c r="EV218" s="8"/>
      <c r="EW218" s="8"/>
      <c r="EX218" s="8"/>
      <c r="EY218" s="8"/>
      <c r="EZ218" s="8"/>
      <c r="FA218" s="8"/>
      <c r="FB218" s="8"/>
      <c r="FC218" s="8"/>
      <c r="FD218" s="8"/>
      <c r="FE218" s="8"/>
      <c r="FF218" s="8"/>
      <c r="FG218" s="8"/>
      <c r="FH218" s="8"/>
      <c r="FI218" s="8"/>
      <c r="FJ218" s="8"/>
      <c r="FK218" s="8"/>
      <c r="FL218" s="8"/>
      <c r="FM218" s="8"/>
      <c r="FN218" s="8"/>
      <c r="FO218" s="8"/>
      <c r="FP218" s="8"/>
      <c r="FQ218" s="8"/>
      <c r="FR218" s="8"/>
      <c r="FS218" s="8"/>
      <c r="FT218" s="8"/>
      <c r="FU218" s="8"/>
      <c r="FV218" s="8"/>
      <c r="FW218" s="8"/>
      <c r="FX218" s="8"/>
      <c r="FY218" s="8"/>
      <c r="FZ218" s="8"/>
      <c r="GA218" s="8"/>
      <c r="GB218" s="8"/>
      <c r="GC218" s="8"/>
      <c r="GD218" s="8"/>
      <c r="GE218" s="8"/>
      <c r="GF218" s="8"/>
      <c r="GG218" s="8"/>
      <c r="GH218" s="8"/>
      <c r="GI218" s="8"/>
      <c r="GJ218" s="8"/>
      <c r="GK218" s="8"/>
      <c r="GL218" s="8"/>
      <c r="GM218" s="8"/>
      <c r="GN218" s="8"/>
      <c r="GO218" s="8"/>
      <c r="GP218" s="8"/>
      <c r="GQ218" s="8"/>
      <c r="GR218" s="8"/>
      <c r="GS218" s="8"/>
      <c r="GT218" s="8"/>
      <c r="GU218" s="8"/>
      <c r="GV218" s="8"/>
      <c r="GW218" s="8"/>
      <c r="GX218" s="8"/>
      <c r="GY218" s="8"/>
      <c r="GZ218" s="8"/>
      <c r="HA218" s="8"/>
      <c r="HB218" s="8"/>
      <c r="HC218" s="8"/>
      <c r="HD218" s="8"/>
      <c r="HE218" s="8"/>
      <c r="HF218" s="8"/>
      <c r="HG218" s="8"/>
      <c r="HH218" s="8"/>
      <c r="HI218" s="8"/>
      <c r="HJ218" s="8"/>
      <c r="HK218" s="8"/>
      <c r="HL218" s="8"/>
      <c r="HM218" s="8"/>
      <c r="HN218" s="8"/>
      <c r="HO218" s="8"/>
      <c r="HP218" s="8"/>
      <c r="HQ218" s="8"/>
      <c r="HR218" s="8"/>
      <c r="HS218" s="8"/>
      <c r="HT218" s="8"/>
      <c r="HU218" s="8"/>
      <c r="HV218" s="8"/>
      <c r="HW218" s="8"/>
      <c r="HX218" s="8"/>
      <c r="HY218" s="8"/>
      <c r="HZ218" s="8"/>
      <c r="IA218" s="8"/>
      <c r="IB218" s="8"/>
      <c r="IC218" s="8"/>
      <c r="ID218" s="8"/>
      <c r="IE218" s="8"/>
      <c r="IF218" s="8"/>
      <c r="IG218" s="8"/>
      <c r="IH218" s="8"/>
      <c r="II218" s="8"/>
      <c r="IJ218" s="8"/>
      <c r="IK218" s="8"/>
      <c r="IL218" s="8"/>
      <c r="IM218" s="8"/>
      <c r="IN218" s="8"/>
      <c r="IO218" s="8"/>
      <c r="IP218" s="8"/>
      <c r="IQ218" s="8"/>
      <c r="IR218" s="8"/>
      <c r="IS218" s="8"/>
      <c r="IT218" s="8"/>
      <c r="IU218" s="8"/>
      <c r="IV218" s="8"/>
      <c r="IW218" s="8"/>
      <c r="IX218" s="8"/>
      <c r="JA218" s="125"/>
      <c r="JB218" s="125"/>
      <c r="JC218" s="125"/>
      <c r="JD218" s="72">
        <f>SUM((TEXT(JA218,"[M]")/60)*'Income Person-hours'!$D$3,(TEXT(JB218,"[M]")/60)*'Income Person-hours'!$D$4,(TEXT(JC218,"[M]")/60)*'Income Person-hours'!$D$5)</f>
        <v>0</v>
      </c>
    </row>
    <row r="219" spans="1:264" s="12" customFormat="1" ht="15.75" hidden="1" x14ac:dyDescent="0.45">
      <c r="A219" s="33">
        <v>10.130000000000001</v>
      </c>
      <c r="B219" s="128"/>
      <c r="C219" s="119"/>
      <c r="D219" s="13" t="str">
        <f>IF(OR(j_WEEKDAY(J_ADDDAY(VLOOKUP(I219,A:F,6,FALSE),H219,1),0)=6,SUMIFS(Holieday[ok],Holieday[date],J_ADDDAY(VLOOKUP(I219,A:F,6,FALSE),H219,1)))=FALSE(),J_ADDDAY(VLOOKUP(I219,A:F,6,FALSE),H219,1),IF(OR(j_WEEKDAY(J_ADDDAY(VLOOKUP(I219,A:F,6,FALSE),H219+1,1),0)=6,SUMIFS(Holieday[ok],Holieday[date],J_ADDDAY(VLOOKUP(I219,A:F,6,FALSE),H219+1,1)))=FALSE(),J_ADDDAY(VLOOKUP(I219,A:F,6,FALSE),H219+1,1),IF(OR(j_WEEKDAY(J_ADDDAY(VLOOKUP(I219,A:F,6,FALSE),H219+2,1),0)=6,SUMIFS(Holieday[ok],Holieday[date],J_ADDDAY(VLOOKUP(I219,A:F,6,FALSE),H219+2,1)))=FALSE(),J_ADDDAY(VLOOKUP(I219,A:F,6,FALSE),H219+2,1),IF(OR(j_WEEKDAY(J_ADDDAY(VLOOKUP(I219,A:F,6,FALSE),H219+3,1),0)=6,SUMIFS(Holieday[ok],Holieday[date],J_ADDDAY(VLOOKUP(I219,A:F,6,FALSE),H219+3,1)))=FALSE(),J_ADDDAY(VLOOKUP(I219,A:F,6,FALSE),H219+3,1),IF(OR(j_WEEKDAY(J_ADDDAY(VLOOKUP(I219,A:F,6,FALSE),H219+4,1),0)=6,SUMIFS(Holieday[ok],Holieday[date],J_ADDDAY(VLOOKUP(I219,A:F,6,FALSE),H219+4,1)))=FALSE(),J_ADDDAY(VLOOKUP(I219,A:F,6,FALSE),H219+4,1),J_ADDDAY(VLOOKUP(I219,A:F,6,FALSE),H219+5,1))))))</f>
        <v>1398/08/25</v>
      </c>
      <c r="E219" s="2">
        <f t="shared" si="63"/>
        <v>13980825</v>
      </c>
      <c r="F219" s="13" t="str">
        <f>IF(N219=0,J_SUBDAY(D219,1,1)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0,J_SUBDAY(J_ADDDAY(D219,N219,1)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1,J_SUBDAY(J_ADDDAY(D219,N219+1,1),1,1),IF((N219-NETWORKDAYS.INTL(J_GregorianDate(D219,1),J_GregorianDate(J_SUBDAY(J_ADDDAY(D219,N219,1),1,1),1),16,1)-SUMIFS(Holieday[ok],Holieday[date],CONCATENATE("&gt;","=",D219),Holieday[date],CONCATENATE("&lt;","=",J_SUBDAY(J_ADDDAY(D219,N219,1),1,1)))+SUMIFS(Holieday[Friday],Holieday[date],CONCATENATE("&gt;","=",D219),Holieday[date],CONCATENATE("&lt;","=",J_SUBDAY(J_ADDDAY(D219,N219,1),1,1))))=2,J_SUBDAY(J_ADDDAY(D219,N219+2,1),1,1),J_SUBDAY(J_ADDDAY(D219,N219+3,1),1,1)))))</f>
        <v>1398/08/24</v>
      </c>
      <c r="G219" s="3">
        <f t="shared" si="64"/>
        <v>13980824</v>
      </c>
      <c r="H219" s="121"/>
      <c r="I219" s="122">
        <v>8.4</v>
      </c>
      <c r="J219" s="10" t="str">
        <f>j_WEEKDAY(D219,1)</f>
        <v>شنبه</v>
      </c>
      <c r="K219" s="23">
        <f t="shared" si="62"/>
        <v>0</v>
      </c>
      <c r="L219" s="9">
        <f t="shared" si="67"/>
        <v>0</v>
      </c>
      <c r="M219" s="123">
        <v>0</v>
      </c>
      <c r="N219" s="120">
        <v>0</v>
      </c>
      <c r="O219" s="11">
        <f t="shared" si="68"/>
        <v>0</v>
      </c>
      <c r="P219" s="11">
        <f>VALUE(J_normdate(J_ADDDAY($D219,$O219,1)))</f>
        <v>13980825</v>
      </c>
      <c r="Q219" s="10">
        <f t="shared" si="69"/>
        <v>0</v>
      </c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  <c r="ES219" s="8"/>
      <c r="ET219" s="8"/>
      <c r="EU219" s="8"/>
      <c r="EV219" s="8"/>
      <c r="EW219" s="8"/>
      <c r="EX219" s="8"/>
      <c r="EY219" s="8"/>
      <c r="EZ219" s="8"/>
      <c r="FA219" s="8"/>
      <c r="FB219" s="8"/>
      <c r="FC219" s="8"/>
      <c r="FD219" s="8"/>
      <c r="FE219" s="8"/>
      <c r="FF219" s="8"/>
      <c r="FG219" s="8"/>
      <c r="FH219" s="8"/>
      <c r="FI219" s="8"/>
      <c r="FJ219" s="8"/>
      <c r="FK219" s="8"/>
      <c r="FL219" s="8"/>
      <c r="FM219" s="8"/>
      <c r="FN219" s="8"/>
      <c r="FO219" s="8"/>
      <c r="FP219" s="8"/>
      <c r="FQ219" s="8"/>
      <c r="FR219" s="8"/>
      <c r="FS219" s="8"/>
      <c r="FT219" s="8"/>
      <c r="FU219" s="8"/>
      <c r="FV219" s="8"/>
      <c r="FW219" s="8"/>
      <c r="FX219" s="8"/>
      <c r="FY219" s="8"/>
      <c r="FZ219" s="8"/>
      <c r="GA219" s="8"/>
      <c r="GB219" s="8"/>
      <c r="GC219" s="8"/>
      <c r="GD219" s="8"/>
      <c r="GE219" s="8"/>
      <c r="GF219" s="8"/>
      <c r="GG219" s="8"/>
      <c r="GH219" s="8"/>
      <c r="GI219" s="8"/>
      <c r="GJ219" s="8"/>
      <c r="GK219" s="8"/>
      <c r="GL219" s="8"/>
      <c r="GM219" s="8"/>
      <c r="GN219" s="8"/>
      <c r="GO219" s="8"/>
      <c r="GP219" s="8"/>
      <c r="GQ219" s="8"/>
      <c r="GR219" s="8"/>
      <c r="GS219" s="8"/>
      <c r="GT219" s="8"/>
      <c r="GU219" s="8"/>
      <c r="GV219" s="8"/>
      <c r="GW219" s="8"/>
      <c r="GX219" s="8"/>
      <c r="GY219" s="8"/>
      <c r="GZ219" s="8"/>
      <c r="HA219" s="8"/>
      <c r="HB219" s="8"/>
      <c r="HC219" s="8"/>
      <c r="HD219" s="8"/>
      <c r="HE219" s="8"/>
      <c r="HF219" s="8"/>
      <c r="HG219" s="8"/>
      <c r="HH219" s="8"/>
      <c r="HI219" s="8"/>
      <c r="HJ219" s="8"/>
      <c r="HK219" s="8"/>
      <c r="HL219" s="8"/>
      <c r="HM219" s="8"/>
      <c r="HN219" s="8"/>
      <c r="HO219" s="8"/>
      <c r="HP219" s="8"/>
      <c r="HQ219" s="8"/>
      <c r="HR219" s="8"/>
      <c r="HS219" s="8"/>
      <c r="HT219" s="8"/>
      <c r="HU219" s="8"/>
      <c r="HV219" s="8"/>
      <c r="HW219" s="8"/>
      <c r="HX219" s="8"/>
      <c r="HY219" s="8"/>
      <c r="HZ219" s="8"/>
      <c r="IA219" s="8"/>
      <c r="IB219" s="8"/>
      <c r="IC219" s="8"/>
      <c r="ID219" s="8"/>
      <c r="IE219" s="8"/>
      <c r="IF219" s="8"/>
      <c r="IG219" s="8"/>
      <c r="IH219" s="8"/>
      <c r="II219" s="8"/>
      <c r="IJ219" s="8"/>
      <c r="IK219" s="8"/>
      <c r="IL219" s="8"/>
      <c r="IM219" s="8"/>
      <c r="IN219" s="8"/>
      <c r="IO219" s="8"/>
      <c r="IP219" s="8"/>
      <c r="IQ219" s="8"/>
      <c r="IR219" s="8"/>
      <c r="IS219" s="8"/>
      <c r="IT219" s="8"/>
      <c r="IU219" s="8"/>
      <c r="IV219" s="8"/>
      <c r="IW219" s="8"/>
      <c r="IX219" s="8"/>
      <c r="JA219" s="125"/>
      <c r="JB219" s="125"/>
      <c r="JC219" s="125"/>
      <c r="JD219" s="72">
        <f>SUM((TEXT(JA219,"[M]")/60)*'Income Person-hours'!$D$3,(TEXT(JB219,"[M]")/60)*'Income Person-hours'!$D$4,(TEXT(JC219,"[M]")/60)*'Income Person-hours'!$D$5)</f>
        <v>0</v>
      </c>
    </row>
    <row r="220" spans="1:264" s="12" customFormat="1" ht="15.75" hidden="1" x14ac:dyDescent="0.45">
      <c r="A220" s="33">
        <v>10.14</v>
      </c>
      <c r="B220" s="128"/>
      <c r="C220" s="119"/>
      <c r="D220" s="13" t="str">
        <f>IF(OR(j_WEEKDAY(J_ADDDAY(VLOOKUP(I220,A:F,6,FALSE),H220,1),0)=6,SUMIFS(Holieday[ok],Holieday[date],J_ADDDAY(VLOOKUP(I220,A:F,6,FALSE),H220,1)))=FALSE(),J_ADDDAY(VLOOKUP(I220,A:F,6,FALSE),H220,1),IF(OR(j_WEEKDAY(J_ADDDAY(VLOOKUP(I220,A:F,6,FALSE),H220+1,1),0)=6,SUMIFS(Holieday[ok],Holieday[date],J_ADDDAY(VLOOKUP(I220,A:F,6,FALSE),H220+1,1)))=FALSE(),J_ADDDAY(VLOOKUP(I220,A:F,6,FALSE),H220+1,1),IF(OR(j_WEEKDAY(J_ADDDAY(VLOOKUP(I220,A:F,6,FALSE),H220+2,1),0)=6,SUMIFS(Holieday[ok],Holieday[date],J_ADDDAY(VLOOKUP(I220,A:F,6,FALSE),H220+2,1)))=FALSE(),J_ADDDAY(VLOOKUP(I220,A:F,6,FALSE),H220+2,1),IF(OR(j_WEEKDAY(J_ADDDAY(VLOOKUP(I220,A:F,6,FALSE),H220+3,1),0)=6,SUMIFS(Holieday[ok],Holieday[date],J_ADDDAY(VLOOKUP(I220,A:F,6,FALSE),H220+3,1)))=FALSE(),J_ADDDAY(VLOOKUP(I220,A:F,6,FALSE),H220+3,1),IF(OR(j_WEEKDAY(J_ADDDAY(VLOOKUP(I220,A:F,6,FALSE),H220+4,1),0)=6,SUMIFS(Holieday[ok],Holieday[date],J_ADDDAY(VLOOKUP(I220,A:F,6,FALSE),H220+4,1)))=FALSE(),J_ADDDAY(VLOOKUP(I220,A:F,6,FALSE),H220+4,1),J_ADDDAY(VLOOKUP(I220,A:F,6,FALSE),H220+5,1))))))</f>
        <v>1398/08/25</v>
      </c>
      <c r="E220" s="2">
        <f t="shared" si="63"/>
        <v>13980825</v>
      </c>
      <c r="F220" s="13" t="str">
        <f>IF(N220=0,J_SUBDAY(D220,1,1)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0,J_SUBDAY(J_ADDDAY(D220,N220,1)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1,J_SUBDAY(J_ADDDAY(D220,N220+1,1),1,1),IF((N220-NETWORKDAYS.INTL(J_GregorianDate(D220,1),J_GregorianDate(J_SUBDAY(J_ADDDAY(D220,N220,1),1,1),1),16,1)-SUMIFS(Holieday[ok],Holieday[date],CONCATENATE("&gt;","=",D220),Holieday[date],CONCATENATE("&lt;","=",J_SUBDAY(J_ADDDAY(D220,N220,1),1,1)))+SUMIFS(Holieday[Friday],Holieday[date],CONCATENATE("&gt;","=",D220),Holieday[date],CONCATENATE("&lt;","=",J_SUBDAY(J_ADDDAY(D220,N220,1),1,1))))=2,J_SUBDAY(J_ADDDAY(D220,N220+2,1),1,1),J_SUBDAY(J_ADDDAY(D220,N220+3,1),1,1)))))</f>
        <v>1398/08/24</v>
      </c>
      <c r="G220" s="3">
        <f t="shared" si="64"/>
        <v>13980824</v>
      </c>
      <c r="H220" s="121"/>
      <c r="I220" s="122">
        <v>8.4</v>
      </c>
      <c r="J220" s="10" t="str">
        <f>j_WEEKDAY(D220,1)</f>
        <v>شنبه</v>
      </c>
      <c r="K220" s="23">
        <f t="shared" si="62"/>
        <v>0</v>
      </c>
      <c r="L220" s="9">
        <f t="shared" si="67"/>
        <v>0</v>
      </c>
      <c r="M220" s="123">
        <v>0</v>
      </c>
      <c r="N220" s="120">
        <v>0</v>
      </c>
      <c r="O220" s="11">
        <f t="shared" si="68"/>
        <v>0</v>
      </c>
      <c r="P220" s="11">
        <f>VALUE(J_normdate(J_ADDDAY($D220,$O220,1)))</f>
        <v>13980825</v>
      </c>
      <c r="Q220" s="10">
        <f t="shared" si="69"/>
        <v>0</v>
      </c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  <c r="ES220" s="8"/>
      <c r="ET220" s="8"/>
      <c r="EU220" s="8"/>
      <c r="EV220" s="8"/>
      <c r="EW220" s="8"/>
      <c r="EX220" s="8"/>
      <c r="EY220" s="8"/>
      <c r="EZ220" s="8"/>
      <c r="FA220" s="8"/>
      <c r="FB220" s="8"/>
      <c r="FC220" s="8"/>
      <c r="FD220" s="8"/>
      <c r="FE220" s="8"/>
      <c r="FF220" s="8"/>
      <c r="FG220" s="8"/>
      <c r="FH220" s="8"/>
      <c r="FI220" s="8"/>
      <c r="FJ220" s="8"/>
      <c r="FK220" s="8"/>
      <c r="FL220" s="8"/>
      <c r="FM220" s="8"/>
      <c r="FN220" s="8"/>
      <c r="FO220" s="8"/>
      <c r="FP220" s="8"/>
      <c r="FQ220" s="8"/>
      <c r="FR220" s="8"/>
      <c r="FS220" s="8"/>
      <c r="FT220" s="8"/>
      <c r="FU220" s="8"/>
      <c r="FV220" s="8"/>
      <c r="FW220" s="8"/>
      <c r="FX220" s="8"/>
      <c r="FY220" s="8"/>
      <c r="FZ220" s="8"/>
      <c r="GA220" s="8"/>
      <c r="GB220" s="8"/>
      <c r="GC220" s="8"/>
      <c r="GD220" s="8"/>
      <c r="GE220" s="8"/>
      <c r="GF220" s="8"/>
      <c r="GG220" s="8"/>
      <c r="GH220" s="8"/>
      <c r="GI220" s="8"/>
      <c r="GJ220" s="8"/>
      <c r="GK220" s="8"/>
      <c r="GL220" s="8"/>
      <c r="GM220" s="8"/>
      <c r="GN220" s="8"/>
      <c r="GO220" s="8"/>
      <c r="GP220" s="8"/>
      <c r="GQ220" s="8"/>
      <c r="GR220" s="8"/>
      <c r="GS220" s="8"/>
      <c r="GT220" s="8"/>
      <c r="GU220" s="8"/>
      <c r="GV220" s="8"/>
      <c r="GW220" s="8"/>
      <c r="GX220" s="8"/>
      <c r="GY220" s="8"/>
      <c r="GZ220" s="8"/>
      <c r="HA220" s="8"/>
      <c r="HB220" s="8"/>
      <c r="HC220" s="8"/>
      <c r="HD220" s="8"/>
      <c r="HE220" s="8"/>
      <c r="HF220" s="8"/>
      <c r="HG220" s="8"/>
      <c r="HH220" s="8"/>
      <c r="HI220" s="8"/>
      <c r="HJ220" s="8"/>
      <c r="HK220" s="8"/>
      <c r="HL220" s="8"/>
      <c r="HM220" s="8"/>
      <c r="HN220" s="8"/>
      <c r="HO220" s="8"/>
      <c r="HP220" s="8"/>
      <c r="HQ220" s="8"/>
      <c r="HR220" s="8"/>
      <c r="HS220" s="8"/>
      <c r="HT220" s="8"/>
      <c r="HU220" s="8"/>
      <c r="HV220" s="8"/>
      <c r="HW220" s="8"/>
      <c r="HX220" s="8"/>
      <c r="HY220" s="8"/>
      <c r="HZ220" s="8"/>
      <c r="IA220" s="8"/>
      <c r="IB220" s="8"/>
      <c r="IC220" s="8"/>
      <c r="ID220" s="8"/>
      <c r="IE220" s="8"/>
      <c r="IF220" s="8"/>
      <c r="IG220" s="8"/>
      <c r="IH220" s="8"/>
      <c r="II220" s="8"/>
      <c r="IJ220" s="8"/>
      <c r="IK220" s="8"/>
      <c r="IL220" s="8"/>
      <c r="IM220" s="8"/>
      <c r="IN220" s="8"/>
      <c r="IO220" s="8"/>
      <c r="IP220" s="8"/>
      <c r="IQ220" s="8"/>
      <c r="IR220" s="8"/>
      <c r="IS220" s="8"/>
      <c r="IT220" s="8"/>
      <c r="IU220" s="8"/>
      <c r="IV220" s="8"/>
      <c r="IW220" s="8"/>
      <c r="IX220" s="8"/>
      <c r="JA220" s="125"/>
      <c r="JB220" s="125"/>
      <c r="JC220" s="125"/>
      <c r="JD220" s="72">
        <f>SUM((TEXT(JA220,"[M]")/60)*'Income Person-hours'!$D$3,(TEXT(JB220,"[M]")/60)*'Income Person-hours'!$D$4,(TEXT(JC220,"[M]")/60)*'Income Person-hours'!$D$5)</f>
        <v>0</v>
      </c>
    </row>
    <row r="221" spans="1:264" s="12" customFormat="1" ht="15.75" hidden="1" x14ac:dyDescent="0.45">
      <c r="A221" s="33">
        <v>10.15</v>
      </c>
      <c r="B221" s="128"/>
      <c r="C221" s="119"/>
      <c r="D221" s="13" t="str">
        <f>IF(OR(j_WEEKDAY(J_ADDDAY(VLOOKUP(I221,A:F,6,FALSE),H221,1),0)=6,SUMIFS(Holieday[ok],Holieday[date],J_ADDDAY(VLOOKUP(I221,A:F,6,FALSE),H221,1)))=FALSE(),J_ADDDAY(VLOOKUP(I221,A:F,6,FALSE),H221,1),IF(OR(j_WEEKDAY(J_ADDDAY(VLOOKUP(I221,A:F,6,FALSE),H221+1,1),0)=6,SUMIFS(Holieday[ok],Holieday[date],J_ADDDAY(VLOOKUP(I221,A:F,6,FALSE),H221+1,1)))=FALSE(),J_ADDDAY(VLOOKUP(I221,A:F,6,FALSE),H221+1,1),IF(OR(j_WEEKDAY(J_ADDDAY(VLOOKUP(I221,A:F,6,FALSE),H221+2,1),0)=6,SUMIFS(Holieday[ok],Holieday[date],J_ADDDAY(VLOOKUP(I221,A:F,6,FALSE),H221+2,1)))=FALSE(),J_ADDDAY(VLOOKUP(I221,A:F,6,FALSE),H221+2,1),IF(OR(j_WEEKDAY(J_ADDDAY(VLOOKUP(I221,A:F,6,FALSE),H221+3,1),0)=6,SUMIFS(Holieday[ok],Holieday[date],J_ADDDAY(VLOOKUP(I221,A:F,6,FALSE),H221+3,1)))=FALSE(),J_ADDDAY(VLOOKUP(I221,A:F,6,FALSE),H221+3,1),IF(OR(j_WEEKDAY(J_ADDDAY(VLOOKUP(I221,A:F,6,FALSE),H221+4,1),0)=6,SUMIFS(Holieday[ok],Holieday[date],J_ADDDAY(VLOOKUP(I221,A:F,6,FALSE),H221+4,1)))=FALSE(),J_ADDDAY(VLOOKUP(I221,A:F,6,FALSE),H221+4,1),J_ADDDAY(VLOOKUP(I221,A:F,6,FALSE),H221+5,1))))))</f>
        <v>1398/08/25</v>
      </c>
      <c r="E221" s="2">
        <f t="shared" si="63"/>
        <v>13980825</v>
      </c>
      <c r="F221" s="13" t="str">
        <f>IF(N221=0,J_SUBDAY(D221,1,1)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0,J_SUBDAY(J_ADDDAY(D221,N221,1)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1,J_SUBDAY(J_ADDDAY(D221,N221+1,1),1,1),IF((N221-NETWORKDAYS.INTL(J_GregorianDate(D221,1),J_GregorianDate(J_SUBDAY(J_ADDDAY(D221,N221,1),1,1),1),16,1)-SUMIFS(Holieday[ok],Holieday[date],CONCATENATE("&gt;","=",D221),Holieday[date],CONCATENATE("&lt;","=",J_SUBDAY(J_ADDDAY(D221,N221,1),1,1)))+SUMIFS(Holieday[Friday],Holieday[date],CONCATENATE("&gt;","=",D221),Holieday[date],CONCATENATE("&lt;","=",J_SUBDAY(J_ADDDAY(D221,N221,1),1,1))))=2,J_SUBDAY(J_ADDDAY(D221,N221+2,1),1,1),J_SUBDAY(J_ADDDAY(D221,N221+3,1),1,1)))))</f>
        <v>1398/08/24</v>
      </c>
      <c r="G221" s="3">
        <f t="shared" si="64"/>
        <v>13980824</v>
      </c>
      <c r="H221" s="121"/>
      <c r="I221" s="122">
        <v>8.4</v>
      </c>
      <c r="J221" s="10" t="str">
        <f>j_WEEKDAY(D221,1)</f>
        <v>شنبه</v>
      </c>
      <c r="K221" s="23">
        <f t="shared" si="62"/>
        <v>0</v>
      </c>
      <c r="L221" s="9">
        <f t="shared" si="67"/>
        <v>0</v>
      </c>
      <c r="M221" s="123">
        <v>0</v>
      </c>
      <c r="N221" s="120">
        <v>0</v>
      </c>
      <c r="O221" s="11">
        <f t="shared" si="68"/>
        <v>0</v>
      </c>
      <c r="P221" s="11">
        <f>VALUE(J_normdate(J_ADDDAY($D221,$O221,1)))</f>
        <v>13980825</v>
      </c>
      <c r="Q221" s="10">
        <f t="shared" si="69"/>
        <v>0</v>
      </c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  <c r="ES221" s="8"/>
      <c r="ET221" s="8"/>
      <c r="EU221" s="8"/>
      <c r="EV221" s="8"/>
      <c r="EW221" s="8"/>
      <c r="EX221" s="8"/>
      <c r="EY221" s="8"/>
      <c r="EZ221" s="8"/>
      <c r="FA221" s="8"/>
      <c r="FB221" s="8"/>
      <c r="FC221" s="8"/>
      <c r="FD221" s="8"/>
      <c r="FE221" s="8"/>
      <c r="FF221" s="8"/>
      <c r="FG221" s="8"/>
      <c r="FH221" s="8"/>
      <c r="FI221" s="8"/>
      <c r="FJ221" s="8"/>
      <c r="FK221" s="8"/>
      <c r="FL221" s="8"/>
      <c r="FM221" s="8"/>
      <c r="FN221" s="8"/>
      <c r="FO221" s="8"/>
      <c r="FP221" s="8"/>
      <c r="FQ221" s="8"/>
      <c r="FR221" s="8"/>
      <c r="FS221" s="8"/>
      <c r="FT221" s="8"/>
      <c r="FU221" s="8"/>
      <c r="FV221" s="8"/>
      <c r="FW221" s="8"/>
      <c r="FX221" s="8"/>
      <c r="FY221" s="8"/>
      <c r="FZ221" s="8"/>
      <c r="GA221" s="8"/>
      <c r="GB221" s="8"/>
      <c r="GC221" s="8"/>
      <c r="GD221" s="8"/>
      <c r="GE221" s="8"/>
      <c r="GF221" s="8"/>
      <c r="GG221" s="8"/>
      <c r="GH221" s="8"/>
      <c r="GI221" s="8"/>
      <c r="GJ221" s="8"/>
      <c r="GK221" s="8"/>
      <c r="GL221" s="8"/>
      <c r="GM221" s="8"/>
      <c r="GN221" s="8"/>
      <c r="GO221" s="8"/>
      <c r="GP221" s="8"/>
      <c r="GQ221" s="8"/>
      <c r="GR221" s="8"/>
      <c r="GS221" s="8"/>
      <c r="GT221" s="8"/>
      <c r="GU221" s="8"/>
      <c r="GV221" s="8"/>
      <c r="GW221" s="8"/>
      <c r="GX221" s="8"/>
      <c r="GY221" s="8"/>
      <c r="GZ221" s="8"/>
      <c r="HA221" s="8"/>
      <c r="HB221" s="8"/>
      <c r="HC221" s="8"/>
      <c r="HD221" s="8"/>
      <c r="HE221" s="8"/>
      <c r="HF221" s="8"/>
      <c r="HG221" s="8"/>
      <c r="HH221" s="8"/>
      <c r="HI221" s="8"/>
      <c r="HJ221" s="8"/>
      <c r="HK221" s="8"/>
      <c r="HL221" s="8"/>
      <c r="HM221" s="8"/>
      <c r="HN221" s="8"/>
      <c r="HO221" s="8"/>
      <c r="HP221" s="8"/>
      <c r="HQ221" s="8"/>
      <c r="HR221" s="8"/>
      <c r="HS221" s="8"/>
      <c r="HT221" s="8"/>
      <c r="HU221" s="8"/>
      <c r="HV221" s="8"/>
      <c r="HW221" s="8"/>
      <c r="HX221" s="8"/>
      <c r="HY221" s="8"/>
      <c r="HZ221" s="8"/>
      <c r="IA221" s="8"/>
      <c r="IB221" s="8"/>
      <c r="IC221" s="8"/>
      <c r="ID221" s="8"/>
      <c r="IE221" s="8"/>
      <c r="IF221" s="8"/>
      <c r="IG221" s="8"/>
      <c r="IH221" s="8"/>
      <c r="II221" s="8"/>
      <c r="IJ221" s="8"/>
      <c r="IK221" s="8"/>
      <c r="IL221" s="8"/>
      <c r="IM221" s="8"/>
      <c r="IN221" s="8"/>
      <c r="IO221" s="8"/>
      <c r="IP221" s="8"/>
      <c r="IQ221" s="8"/>
      <c r="IR221" s="8"/>
      <c r="IS221" s="8"/>
      <c r="IT221" s="8"/>
      <c r="IU221" s="8"/>
      <c r="IV221" s="8"/>
      <c r="IW221" s="8"/>
      <c r="IX221" s="8"/>
      <c r="JA221" s="125"/>
      <c r="JB221" s="125"/>
      <c r="JC221" s="125"/>
      <c r="JD221" s="72">
        <f>SUM((TEXT(JA221,"[M]")/60)*'Income Person-hours'!$D$3,(TEXT(JB221,"[M]")/60)*'Income Person-hours'!$D$4,(TEXT(JC221,"[M]")/60)*'Income Person-hours'!$D$5)</f>
        <v>0</v>
      </c>
    </row>
    <row r="222" spans="1:264" s="12" customFormat="1" ht="15.75" hidden="1" x14ac:dyDescent="0.45">
      <c r="A222" s="33">
        <v>10.16</v>
      </c>
      <c r="B222" s="128"/>
      <c r="C222" s="119"/>
      <c r="D222" s="13" t="str">
        <f>IF(OR(j_WEEKDAY(J_ADDDAY(VLOOKUP(I222,A:F,6,FALSE),H222,1),0)=6,SUMIFS(Holieday[ok],Holieday[date],J_ADDDAY(VLOOKUP(I222,A:F,6,FALSE),H222,1)))=FALSE(),J_ADDDAY(VLOOKUP(I222,A:F,6,FALSE),H222,1),IF(OR(j_WEEKDAY(J_ADDDAY(VLOOKUP(I222,A:F,6,FALSE),H222+1,1),0)=6,SUMIFS(Holieday[ok],Holieday[date],J_ADDDAY(VLOOKUP(I222,A:F,6,FALSE),H222+1,1)))=FALSE(),J_ADDDAY(VLOOKUP(I222,A:F,6,FALSE),H222+1,1),IF(OR(j_WEEKDAY(J_ADDDAY(VLOOKUP(I222,A:F,6,FALSE),H222+2,1),0)=6,SUMIFS(Holieday[ok],Holieday[date],J_ADDDAY(VLOOKUP(I222,A:F,6,FALSE),H222+2,1)))=FALSE(),J_ADDDAY(VLOOKUP(I222,A:F,6,FALSE),H222+2,1),IF(OR(j_WEEKDAY(J_ADDDAY(VLOOKUP(I222,A:F,6,FALSE),H222+3,1),0)=6,SUMIFS(Holieday[ok],Holieday[date],J_ADDDAY(VLOOKUP(I222,A:F,6,FALSE),H222+3,1)))=FALSE(),J_ADDDAY(VLOOKUP(I222,A:F,6,FALSE),H222+3,1),IF(OR(j_WEEKDAY(J_ADDDAY(VLOOKUP(I222,A:F,6,FALSE),H222+4,1),0)=6,SUMIFS(Holieday[ok],Holieday[date],J_ADDDAY(VLOOKUP(I222,A:F,6,FALSE),H222+4,1)))=FALSE(),J_ADDDAY(VLOOKUP(I222,A:F,6,FALSE),H222+4,1),J_ADDDAY(VLOOKUP(I222,A:F,6,FALSE),H222+5,1))))))</f>
        <v>1398/08/25</v>
      </c>
      <c r="E222" s="2">
        <f t="shared" si="63"/>
        <v>13980825</v>
      </c>
      <c r="F222" s="13" t="str">
        <f>IF(N222=0,J_SUBDAY(D222,1,1)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0,J_SUBDAY(J_ADDDAY(D222,N222,1)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1,J_SUBDAY(J_ADDDAY(D222,N222+1,1),1,1),IF((N222-NETWORKDAYS.INTL(J_GregorianDate(D222,1),J_GregorianDate(J_SUBDAY(J_ADDDAY(D222,N222,1),1,1),1),16,1)-SUMIFS(Holieday[ok],Holieday[date],CONCATENATE("&gt;","=",D222),Holieday[date],CONCATENATE("&lt;","=",J_SUBDAY(J_ADDDAY(D222,N222,1),1,1)))+SUMIFS(Holieday[Friday],Holieday[date],CONCATENATE("&gt;","=",D222),Holieday[date],CONCATENATE("&lt;","=",J_SUBDAY(J_ADDDAY(D222,N222,1),1,1))))=2,J_SUBDAY(J_ADDDAY(D222,N222+2,1),1,1),J_SUBDAY(J_ADDDAY(D222,N222+3,1),1,1)))))</f>
        <v>1398/08/24</v>
      </c>
      <c r="G222" s="3">
        <f t="shared" si="64"/>
        <v>13980824</v>
      </c>
      <c r="H222" s="121"/>
      <c r="I222" s="122">
        <v>8.4</v>
      </c>
      <c r="J222" s="10" t="str">
        <f>j_WEEKDAY(D222,1)</f>
        <v>شنبه</v>
      </c>
      <c r="K222" s="23">
        <f t="shared" si="62"/>
        <v>0</v>
      </c>
      <c r="L222" s="9">
        <f t="shared" si="67"/>
        <v>0</v>
      </c>
      <c r="M222" s="123">
        <v>0</v>
      </c>
      <c r="N222" s="120">
        <v>0</v>
      </c>
      <c r="O222" s="11">
        <f t="shared" si="68"/>
        <v>0</v>
      </c>
      <c r="P222" s="11">
        <f>VALUE(J_normdate(J_ADDDAY($D222,$O222,1)))</f>
        <v>13980825</v>
      </c>
      <c r="Q222" s="10">
        <f t="shared" si="69"/>
        <v>0</v>
      </c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  <c r="ES222" s="8"/>
      <c r="ET222" s="8"/>
      <c r="EU222" s="8"/>
      <c r="EV222" s="8"/>
      <c r="EW222" s="8"/>
      <c r="EX222" s="8"/>
      <c r="EY222" s="8"/>
      <c r="EZ222" s="8"/>
      <c r="FA222" s="8"/>
      <c r="FB222" s="8"/>
      <c r="FC222" s="8"/>
      <c r="FD222" s="8"/>
      <c r="FE222" s="8"/>
      <c r="FF222" s="8"/>
      <c r="FG222" s="8"/>
      <c r="FH222" s="8"/>
      <c r="FI222" s="8"/>
      <c r="FJ222" s="8"/>
      <c r="FK222" s="8"/>
      <c r="FL222" s="8"/>
      <c r="FM222" s="8"/>
      <c r="FN222" s="8"/>
      <c r="FO222" s="8"/>
      <c r="FP222" s="8"/>
      <c r="FQ222" s="8"/>
      <c r="FR222" s="8"/>
      <c r="FS222" s="8"/>
      <c r="FT222" s="8"/>
      <c r="FU222" s="8"/>
      <c r="FV222" s="8"/>
      <c r="FW222" s="8"/>
      <c r="FX222" s="8"/>
      <c r="FY222" s="8"/>
      <c r="FZ222" s="8"/>
      <c r="GA222" s="8"/>
      <c r="GB222" s="8"/>
      <c r="GC222" s="8"/>
      <c r="GD222" s="8"/>
      <c r="GE222" s="8"/>
      <c r="GF222" s="8"/>
      <c r="GG222" s="8"/>
      <c r="GH222" s="8"/>
      <c r="GI222" s="8"/>
      <c r="GJ222" s="8"/>
      <c r="GK222" s="8"/>
      <c r="GL222" s="8"/>
      <c r="GM222" s="8"/>
      <c r="GN222" s="8"/>
      <c r="GO222" s="8"/>
      <c r="GP222" s="8"/>
      <c r="GQ222" s="8"/>
      <c r="GR222" s="8"/>
      <c r="GS222" s="8"/>
      <c r="GT222" s="8"/>
      <c r="GU222" s="8"/>
      <c r="GV222" s="8"/>
      <c r="GW222" s="8"/>
      <c r="GX222" s="8"/>
      <c r="GY222" s="8"/>
      <c r="GZ222" s="8"/>
      <c r="HA222" s="8"/>
      <c r="HB222" s="8"/>
      <c r="HC222" s="8"/>
      <c r="HD222" s="8"/>
      <c r="HE222" s="8"/>
      <c r="HF222" s="8"/>
      <c r="HG222" s="8"/>
      <c r="HH222" s="8"/>
      <c r="HI222" s="8"/>
      <c r="HJ222" s="8"/>
      <c r="HK222" s="8"/>
      <c r="HL222" s="8"/>
      <c r="HM222" s="8"/>
      <c r="HN222" s="8"/>
      <c r="HO222" s="8"/>
      <c r="HP222" s="8"/>
      <c r="HQ222" s="8"/>
      <c r="HR222" s="8"/>
      <c r="HS222" s="8"/>
      <c r="HT222" s="8"/>
      <c r="HU222" s="8"/>
      <c r="HV222" s="8"/>
      <c r="HW222" s="8"/>
      <c r="HX222" s="8"/>
      <c r="HY222" s="8"/>
      <c r="HZ222" s="8"/>
      <c r="IA222" s="8"/>
      <c r="IB222" s="8"/>
      <c r="IC222" s="8"/>
      <c r="ID222" s="8"/>
      <c r="IE222" s="8"/>
      <c r="IF222" s="8"/>
      <c r="IG222" s="8"/>
      <c r="IH222" s="8"/>
      <c r="II222" s="8"/>
      <c r="IJ222" s="8"/>
      <c r="IK222" s="8"/>
      <c r="IL222" s="8"/>
      <c r="IM222" s="8"/>
      <c r="IN222" s="8"/>
      <c r="IO222" s="8"/>
      <c r="IP222" s="8"/>
      <c r="IQ222" s="8"/>
      <c r="IR222" s="8"/>
      <c r="IS222" s="8"/>
      <c r="IT222" s="8"/>
      <c r="IU222" s="8"/>
      <c r="IV222" s="8"/>
      <c r="IW222" s="8"/>
      <c r="IX222" s="8"/>
      <c r="JA222" s="125"/>
      <c r="JB222" s="125"/>
      <c r="JC222" s="125"/>
      <c r="JD222" s="72">
        <f>SUM((TEXT(JA222,"[M]")/60)*'Income Person-hours'!$D$3,(TEXT(JB222,"[M]")/60)*'Income Person-hours'!$D$4,(TEXT(JC222,"[M]")/60)*'Income Person-hours'!$D$5)</f>
        <v>0</v>
      </c>
    </row>
    <row r="223" spans="1:264" s="12" customFormat="1" ht="15.75" hidden="1" x14ac:dyDescent="0.45">
      <c r="A223" s="33">
        <v>10.17</v>
      </c>
      <c r="B223" s="128"/>
      <c r="C223" s="119"/>
      <c r="D223" s="13" t="str">
        <f>IF(OR(j_WEEKDAY(J_ADDDAY(VLOOKUP(I223,A:F,6,FALSE),H223,1),0)=6,SUMIFS(Holieday[ok],Holieday[date],J_ADDDAY(VLOOKUP(I223,A:F,6,FALSE),H223,1)))=FALSE(),J_ADDDAY(VLOOKUP(I223,A:F,6,FALSE),H223,1),IF(OR(j_WEEKDAY(J_ADDDAY(VLOOKUP(I223,A:F,6,FALSE),H223+1,1),0)=6,SUMIFS(Holieday[ok],Holieday[date],J_ADDDAY(VLOOKUP(I223,A:F,6,FALSE),H223+1,1)))=FALSE(),J_ADDDAY(VLOOKUP(I223,A:F,6,FALSE),H223+1,1),IF(OR(j_WEEKDAY(J_ADDDAY(VLOOKUP(I223,A:F,6,FALSE),H223+2,1),0)=6,SUMIFS(Holieday[ok],Holieday[date],J_ADDDAY(VLOOKUP(I223,A:F,6,FALSE),H223+2,1)))=FALSE(),J_ADDDAY(VLOOKUP(I223,A:F,6,FALSE),H223+2,1),IF(OR(j_WEEKDAY(J_ADDDAY(VLOOKUP(I223,A:F,6,FALSE),H223+3,1),0)=6,SUMIFS(Holieday[ok],Holieday[date],J_ADDDAY(VLOOKUP(I223,A:F,6,FALSE),H223+3,1)))=FALSE(),J_ADDDAY(VLOOKUP(I223,A:F,6,FALSE),H223+3,1),IF(OR(j_WEEKDAY(J_ADDDAY(VLOOKUP(I223,A:F,6,FALSE),H223+4,1),0)=6,SUMIFS(Holieday[ok],Holieday[date],J_ADDDAY(VLOOKUP(I223,A:F,6,FALSE),H223+4,1)))=FALSE(),J_ADDDAY(VLOOKUP(I223,A:F,6,FALSE),H223+4,1),J_ADDDAY(VLOOKUP(I223,A:F,6,FALSE),H223+5,1))))))</f>
        <v>1398/08/25</v>
      </c>
      <c r="E223" s="2">
        <f t="shared" si="63"/>
        <v>13980825</v>
      </c>
      <c r="F223" s="13" t="str">
        <f>IF(N223=0,J_SUBDAY(D223,1,1)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0,J_SUBDAY(J_ADDDAY(D223,N223,1)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1,J_SUBDAY(J_ADDDAY(D223,N223+1,1),1,1),IF((N223-NETWORKDAYS.INTL(J_GregorianDate(D223,1),J_GregorianDate(J_SUBDAY(J_ADDDAY(D223,N223,1),1,1),1),16,1)-SUMIFS(Holieday[ok],Holieday[date],CONCATENATE("&gt;","=",D223),Holieday[date],CONCATENATE("&lt;","=",J_SUBDAY(J_ADDDAY(D223,N223,1),1,1)))+SUMIFS(Holieday[Friday],Holieday[date],CONCATENATE("&gt;","=",D223),Holieday[date],CONCATENATE("&lt;","=",J_SUBDAY(J_ADDDAY(D223,N223,1),1,1))))=2,J_SUBDAY(J_ADDDAY(D223,N223+2,1),1,1),J_SUBDAY(J_ADDDAY(D223,N223+3,1),1,1)))))</f>
        <v>1398/08/24</v>
      </c>
      <c r="G223" s="3">
        <f t="shared" si="64"/>
        <v>13980824</v>
      </c>
      <c r="H223" s="121"/>
      <c r="I223" s="122">
        <v>8.4</v>
      </c>
      <c r="J223" s="10" t="str">
        <f>j_WEEKDAY(D223,1)</f>
        <v>شنبه</v>
      </c>
      <c r="K223" s="23">
        <f t="shared" si="62"/>
        <v>0</v>
      </c>
      <c r="L223" s="9">
        <f t="shared" si="67"/>
        <v>0</v>
      </c>
      <c r="M223" s="123">
        <v>0</v>
      </c>
      <c r="N223" s="120">
        <v>0</v>
      </c>
      <c r="O223" s="11">
        <f t="shared" si="68"/>
        <v>0</v>
      </c>
      <c r="P223" s="11">
        <f>VALUE(J_normdate(J_ADDDAY($D223,$O223,1)))</f>
        <v>13980825</v>
      </c>
      <c r="Q223" s="10">
        <f t="shared" si="69"/>
        <v>0</v>
      </c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  <c r="ES223" s="8"/>
      <c r="ET223" s="8"/>
      <c r="EU223" s="8"/>
      <c r="EV223" s="8"/>
      <c r="EW223" s="8"/>
      <c r="EX223" s="8"/>
      <c r="EY223" s="8"/>
      <c r="EZ223" s="8"/>
      <c r="FA223" s="8"/>
      <c r="FB223" s="8"/>
      <c r="FC223" s="8"/>
      <c r="FD223" s="8"/>
      <c r="FE223" s="8"/>
      <c r="FF223" s="8"/>
      <c r="FG223" s="8"/>
      <c r="FH223" s="8"/>
      <c r="FI223" s="8"/>
      <c r="FJ223" s="8"/>
      <c r="FK223" s="8"/>
      <c r="FL223" s="8"/>
      <c r="FM223" s="8"/>
      <c r="FN223" s="8"/>
      <c r="FO223" s="8"/>
      <c r="FP223" s="8"/>
      <c r="FQ223" s="8"/>
      <c r="FR223" s="8"/>
      <c r="FS223" s="8"/>
      <c r="FT223" s="8"/>
      <c r="FU223" s="8"/>
      <c r="FV223" s="8"/>
      <c r="FW223" s="8"/>
      <c r="FX223" s="8"/>
      <c r="FY223" s="8"/>
      <c r="FZ223" s="8"/>
      <c r="GA223" s="8"/>
      <c r="GB223" s="8"/>
      <c r="GC223" s="8"/>
      <c r="GD223" s="8"/>
      <c r="GE223" s="8"/>
      <c r="GF223" s="8"/>
      <c r="GG223" s="8"/>
      <c r="GH223" s="8"/>
      <c r="GI223" s="8"/>
      <c r="GJ223" s="8"/>
      <c r="GK223" s="8"/>
      <c r="GL223" s="8"/>
      <c r="GM223" s="8"/>
      <c r="GN223" s="8"/>
      <c r="GO223" s="8"/>
      <c r="GP223" s="8"/>
      <c r="GQ223" s="8"/>
      <c r="GR223" s="8"/>
      <c r="GS223" s="8"/>
      <c r="GT223" s="8"/>
      <c r="GU223" s="8"/>
      <c r="GV223" s="8"/>
      <c r="GW223" s="8"/>
      <c r="GX223" s="8"/>
      <c r="GY223" s="8"/>
      <c r="GZ223" s="8"/>
      <c r="HA223" s="8"/>
      <c r="HB223" s="8"/>
      <c r="HC223" s="8"/>
      <c r="HD223" s="8"/>
      <c r="HE223" s="8"/>
      <c r="HF223" s="8"/>
      <c r="HG223" s="8"/>
      <c r="HH223" s="8"/>
      <c r="HI223" s="8"/>
      <c r="HJ223" s="8"/>
      <c r="HK223" s="8"/>
      <c r="HL223" s="8"/>
      <c r="HM223" s="8"/>
      <c r="HN223" s="8"/>
      <c r="HO223" s="8"/>
      <c r="HP223" s="8"/>
      <c r="HQ223" s="8"/>
      <c r="HR223" s="8"/>
      <c r="HS223" s="8"/>
      <c r="HT223" s="8"/>
      <c r="HU223" s="8"/>
      <c r="HV223" s="8"/>
      <c r="HW223" s="8"/>
      <c r="HX223" s="8"/>
      <c r="HY223" s="8"/>
      <c r="HZ223" s="8"/>
      <c r="IA223" s="8"/>
      <c r="IB223" s="8"/>
      <c r="IC223" s="8"/>
      <c r="ID223" s="8"/>
      <c r="IE223" s="8"/>
      <c r="IF223" s="8"/>
      <c r="IG223" s="8"/>
      <c r="IH223" s="8"/>
      <c r="II223" s="8"/>
      <c r="IJ223" s="8"/>
      <c r="IK223" s="8"/>
      <c r="IL223" s="8"/>
      <c r="IM223" s="8"/>
      <c r="IN223" s="8"/>
      <c r="IO223" s="8"/>
      <c r="IP223" s="8"/>
      <c r="IQ223" s="8"/>
      <c r="IR223" s="8"/>
      <c r="IS223" s="8"/>
      <c r="IT223" s="8"/>
      <c r="IU223" s="8"/>
      <c r="IV223" s="8"/>
      <c r="IW223" s="8"/>
      <c r="IX223" s="8"/>
      <c r="JA223" s="125"/>
      <c r="JB223" s="125"/>
      <c r="JC223" s="125"/>
      <c r="JD223" s="72">
        <f>SUM((TEXT(JA223,"[M]")/60)*'Income Person-hours'!$D$3,(TEXT(JB223,"[M]")/60)*'Income Person-hours'!$D$4,(TEXT(JC223,"[M]")/60)*'Income Person-hours'!$D$5)</f>
        <v>0</v>
      </c>
    </row>
    <row r="224" spans="1:264" s="12" customFormat="1" ht="15.75" hidden="1" x14ac:dyDescent="0.45">
      <c r="A224" s="33">
        <v>10.18</v>
      </c>
      <c r="B224" s="128"/>
      <c r="C224" s="119"/>
      <c r="D224" s="13" t="str">
        <f>IF(OR(j_WEEKDAY(J_ADDDAY(VLOOKUP(I224,A:F,6,FALSE),H224,1),0)=6,SUMIFS(Holieday[ok],Holieday[date],J_ADDDAY(VLOOKUP(I224,A:F,6,FALSE),H224,1)))=FALSE(),J_ADDDAY(VLOOKUP(I224,A:F,6,FALSE),H224,1),IF(OR(j_WEEKDAY(J_ADDDAY(VLOOKUP(I224,A:F,6,FALSE),H224+1,1),0)=6,SUMIFS(Holieday[ok],Holieday[date],J_ADDDAY(VLOOKUP(I224,A:F,6,FALSE),H224+1,1)))=FALSE(),J_ADDDAY(VLOOKUP(I224,A:F,6,FALSE),H224+1,1),IF(OR(j_WEEKDAY(J_ADDDAY(VLOOKUP(I224,A:F,6,FALSE),H224+2,1),0)=6,SUMIFS(Holieday[ok],Holieday[date],J_ADDDAY(VLOOKUP(I224,A:F,6,FALSE),H224+2,1)))=FALSE(),J_ADDDAY(VLOOKUP(I224,A:F,6,FALSE),H224+2,1),IF(OR(j_WEEKDAY(J_ADDDAY(VLOOKUP(I224,A:F,6,FALSE),H224+3,1),0)=6,SUMIFS(Holieday[ok],Holieday[date],J_ADDDAY(VLOOKUP(I224,A:F,6,FALSE),H224+3,1)))=FALSE(),J_ADDDAY(VLOOKUP(I224,A:F,6,FALSE),H224+3,1),IF(OR(j_WEEKDAY(J_ADDDAY(VLOOKUP(I224,A:F,6,FALSE),H224+4,1),0)=6,SUMIFS(Holieday[ok],Holieday[date],J_ADDDAY(VLOOKUP(I224,A:F,6,FALSE),H224+4,1)))=FALSE(),J_ADDDAY(VLOOKUP(I224,A:F,6,FALSE),H224+4,1),J_ADDDAY(VLOOKUP(I224,A:F,6,FALSE),H224+5,1))))))</f>
        <v>1398/08/25</v>
      </c>
      <c r="E224" s="2">
        <f t="shared" si="63"/>
        <v>13980825</v>
      </c>
      <c r="F224" s="13" t="str">
        <f>IF(N224=0,J_SUBDAY(D224,1,1)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0,J_SUBDAY(J_ADDDAY(D224,N224,1)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1,J_SUBDAY(J_ADDDAY(D224,N224+1,1),1,1),IF((N224-NETWORKDAYS.INTL(J_GregorianDate(D224,1),J_GregorianDate(J_SUBDAY(J_ADDDAY(D224,N224,1),1,1),1),16,1)-SUMIFS(Holieday[ok],Holieday[date],CONCATENATE("&gt;","=",D224),Holieday[date],CONCATENATE("&lt;","=",J_SUBDAY(J_ADDDAY(D224,N224,1),1,1)))+SUMIFS(Holieday[Friday],Holieday[date],CONCATENATE("&gt;","=",D224),Holieday[date],CONCATENATE("&lt;","=",J_SUBDAY(J_ADDDAY(D224,N224,1),1,1))))=2,J_SUBDAY(J_ADDDAY(D224,N224+2,1),1,1),J_SUBDAY(J_ADDDAY(D224,N224+3,1),1,1)))))</f>
        <v>1398/08/24</v>
      </c>
      <c r="G224" s="3">
        <f t="shared" si="64"/>
        <v>13980824</v>
      </c>
      <c r="H224" s="121"/>
      <c r="I224" s="122">
        <v>8.4</v>
      </c>
      <c r="J224" s="10" t="str">
        <f>j_WEEKDAY(D224,1)</f>
        <v>شنبه</v>
      </c>
      <c r="K224" s="23">
        <f t="shared" si="62"/>
        <v>0</v>
      </c>
      <c r="L224" s="9">
        <f t="shared" si="67"/>
        <v>0</v>
      </c>
      <c r="M224" s="123">
        <v>0</v>
      </c>
      <c r="N224" s="120">
        <v>0</v>
      </c>
      <c r="O224" s="11">
        <f t="shared" si="68"/>
        <v>0</v>
      </c>
      <c r="P224" s="11">
        <f>VALUE(J_normdate(J_ADDDAY($D224,$O224,1)))</f>
        <v>13980825</v>
      </c>
      <c r="Q224" s="10">
        <f t="shared" si="69"/>
        <v>0</v>
      </c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  <c r="ES224" s="8"/>
      <c r="ET224" s="8"/>
      <c r="EU224" s="8"/>
      <c r="EV224" s="8"/>
      <c r="EW224" s="8"/>
      <c r="EX224" s="8"/>
      <c r="EY224" s="8"/>
      <c r="EZ224" s="8"/>
      <c r="FA224" s="8"/>
      <c r="FB224" s="8"/>
      <c r="FC224" s="8"/>
      <c r="FD224" s="8"/>
      <c r="FE224" s="8"/>
      <c r="FF224" s="8"/>
      <c r="FG224" s="8"/>
      <c r="FH224" s="8"/>
      <c r="FI224" s="8"/>
      <c r="FJ224" s="8"/>
      <c r="FK224" s="8"/>
      <c r="FL224" s="8"/>
      <c r="FM224" s="8"/>
      <c r="FN224" s="8"/>
      <c r="FO224" s="8"/>
      <c r="FP224" s="8"/>
      <c r="FQ224" s="8"/>
      <c r="FR224" s="8"/>
      <c r="FS224" s="8"/>
      <c r="FT224" s="8"/>
      <c r="FU224" s="8"/>
      <c r="FV224" s="8"/>
      <c r="FW224" s="8"/>
      <c r="FX224" s="8"/>
      <c r="FY224" s="8"/>
      <c r="FZ224" s="8"/>
      <c r="GA224" s="8"/>
      <c r="GB224" s="8"/>
      <c r="GC224" s="8"/>
      <c r="GD224" s="8"/>
      <c r="GE224" s="8"/>
      <c r="GF224" s="8"/>
      <c r="GG224" s="8"/>
      <c r="GH224" s="8"/>
      <c r="GI224" s="8"/>
      <c r="GJ224" s="8"/>
      <c r="GK224" s="8"/>
      <c r="GL224" s="8"/>
      <c r="GM224" s="8"/>
      <c r="GN224" s="8"/>
      <c r="GO224" s="8"/>
      <c r="GP224" s="8"/>
      <c r="GQ224" s="8"/>
      <c r="GR224" s="8"/>
      <c r="GS224" s="8"/>
      <c r="GT224" s="8"/>
      <c r="GU224" s="8"/>
      <c r="GV224" s="8"/>
      <c r="GW224" s="8"/>
      <c r="GX224" s="8"/>
      <c r="GY224" s="8"/>
      <c r="GZ224" s="8"/>
      <c r="HA224" s="8"/>
      <c r="HB224" s="8"/>
      <c r="HC224" s="8"/>
      <c r="HD224" s="8"/>
      <c r="HE224" s="8"/>
      <c r="HF224" s="8"/>
      <c r="HG224" s="8"/>
      <c r="HH224" s="8"/>
      <c r="HI224" s="8"/>
      <c r="HJ224" s="8"/>
      <c r="HK224" s="8"/>
      <c r="HL224" s="8"/>
      <c r="HM224" s="8"/>
      <c r="HN224" s="8"/>
      <c r="HO224" s="8"/>
      <c r="HP224" s="8"/>
      <c r="HQ224" s="8"/>
      <c r="HR224" s="8"/>
      <c r="HS224" s="8"/>
      <c r="HT224" s="8"/>
      <c r="HU224" s="8"/>
      <c r="HV224" s="8"/>
      <c r="HW224" s="8"/>
      <c r="HX224" s="8"/>
      <c r="HY224" s="8"/>
      <c r="HZ224" s="8"/>
      <c r="IA224" s="8"/>
      <c r="IB224" s="8"/>
      <c r="IC224" s="8"/>
      <c r="ID224" s="8"/>
      <c r="IE224" s="8"/>
      <c r="IF224" s="8"/>
      <c r="IG224" s="8"/>
      <c r="IH224" s="8"/>
      <c r="II224" s="8"/>
      <c r="IJ224" s="8"/>
      <c r="IK224" s="8"/>
      <c r="IL224" s="8"/>
      <c r="IM224" s="8"/>
      <c r="IN224" s="8"/>
      <c r="IO224" s="8"/>
      <c r="IP224" s="8"/>
      <c r="IQ224" s="8"/>
      <c r="IR224" s="8"/>
      <c r="IS224" s="8"/>
      <c r="IT224" s="8"/>
      <c r="IU224" s="8"/>
      <c r="IV224" s="8"/>
      <c r="IW224" s="8"/>
      <c r="IX224" s="8"/>
      <c r="JA224" s="125"/>
      <c r="JB224" s="125"/>
      <c r="JC224" s="125"/>
      <c r="JD224" s="72">
        <f>SUM((TEXT(JA224,"[M]")/60)*'Income Person-hours'!$D$3,(TEXT(JB224,"[M]")/60)*'Income Person-hours'!$D$4,(TEXT(JC224,"[M]")/60)*'Income Person-hours'!$D$5)</f>
        <v>0</v>
      </c>
    </row>
    <row r="225" spans="1:264" s="12" customFormat="1" ht="15.75" hidden="1" x14ac:dyDescent="0.45">
      <c r="A225" s="33">
        <v>10.19</v>
      </c>
      <c r="B225" s="128"/>
      <c r="C225" s="119"/>
      <c r="D225" s="13" t="str">
        <f>IF(OR(j_WEEKDAY(J_ADDDAY(VLOOKUP(I225,A:F,6,FALSE),H225,1),0)=6,SUMIFS(Holieday[ok],Holieday[date],J_ADDDAY(VLOOKUP(I225,A:F,6,FALSE),H225,1)))=FALSE(),J_ADDDAY(VLOOKUP(I225,A:F,6,FALSE),H225,1),IF(OR(j_WEEKDAY(J_ADDDAY(VLOOKUP(I225,A:F,6,FALSE),H225+1,1),0)=6,SUMIFS(Holieday[ok],Holieday[date],J_ADDDAY(VLOOKUP(I225,A:F,6,FALSE),H225+1,1)))=FALSE(),J_ADDDAY(VLOOKUP(I225,A:F,6,FALSE),H225+1,1),IF(OR(j_WEEKDAY(J_ADDDAY(VLOOKUP(I225,A:F,6,FALSE),H225+2,1),0)=6,SUMIFS(Holieday[ok],Holieday[date],J_ADDDAY(VLOOKUP(I225,A:F,6,FALSE),H225+2,1)))=FALSE(),J_ADDDAY(VLOOKUP(I225,A:F,6,FALSE),H225+2,1),IF(OR(j_WEEKDAY(J_ADDDAY(VLOOKUP(I225,A:F,6,FALSE),H225+3,1),0)=6,SUMIFS(Holieday[ok],Holieday[date],J_ADDDAY(VLOOKUP(I225,A:F,6,FALSE),H225+3,1)))=FALSE(),J_ADDDAY(VLOOKUP(I225,A:F,6,FALSE),H225+3,1),IF(OR(j_WEEKDAY(J_ADDDAY(VLOOKUP(I225,A:F,6,FALSE),H225+4,1),0)=6,SUMIFS(Holieday[ok],Holieday[date],J_ADDDAY(VLOOKUP(I225,A:F,6,FALSE),H225+4,1)))=FALSE(),J_ADDDAY(VLOOKUP(I225,A:F,6,FALSE),H225+4,1),J_ADDDAY(VLOOKUP(I225,A:F,6,FALSE),H225+5,1))))))</f>
        <v>1398/08/25</v>
      </c>
      <c r="E225" s="2">
        <f t="shared" si="63"/>
        <v>13980825</v>
      </c>
      <c r="F225" s="13" t="str">
        <f>IF(N225=0,J_SUBDAY(D225,1,1)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0,J_SUBDAY(J_ADDDAY(D225,N225,1)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1,J_SUBDAY(J_ADDDAY(D225,N225+1,1),1,1),IF((N225-NETWORKDAYS.INTL(J_GregorianDate(D225,1),J_GregorianDate(J_SUBDAY(J_ADDDAY(D225,N225,1),1,1),1),16,1)-SUMIFS(Holieday[ok],Holieday[date],CONCATENATE("&gt;","=",D225),Holieday[date],CONCATENATE("&lt;","=",J_SUBDAY(J_ADDDAY(D225,N225,1),1,1)))+SUMIFS(Holieday[Friday],Holieday[date],CONCATENATE("&gt;","=",D225),Holieday[date],CONCATENATE("&lt;","=",J_SUBDAY(J_ADDDAY(D225,N225,1),1,1))))=2,J_SUBDAY(J_ADDDAY(D225,N225+2,1),1,1),J_SUBDAY(J_ADDDAY(D225,N225+3,1),1,1)))))</f>
        <v>1398/08/24</v>
      </c>
      <c r="G225" s="3">
        <f t="shared" si="64"/>
        <v>13980824</v>
      </c>
      <c r="H225" s="121"/>
      <c r="I225" s="122">
        <v>8.4</v>
      </c>
      <c r="J225" s="10" t="str">
        <f>j_WEEKDAY(D225,1)</f>
        <v>شنبه</v>
      </c>
      <c r="K225" s="23">
        <f t="shared" si="62"/>
        <v>0</v>
      </c>
      <c r="L225" s="9">
        <f t="shared" si="67"/>
        <v>0</v>
      </c>
      <c r="M225" s="123">
        <v>0</v>
      </c>
      <c r="N225" s="120">
        <v>0</v>
      </c>
      <c r="O225" s="11">
        <f t="shared" si="68"/>
        <v>0</v>
      </c>
      <c r="P225" s="11">
        <f>VALUE(J_normdate(J_ADDDAY($D225,$O225,1)))</f>
        <v>13980825</v>
      </c>
      <c r="Q225" s="10">
        <f t="shared" si="69"/>
        <v>0</v>
      </c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  <c r="ES225" s="8"/>
      <c r="ET225" s="8"/>
      <c r="EU225" s="8"/>
      <c r="EV225" s="8"/>
      <c r="EW225" s="8"/>
      <c r="EX225" s="8"/>
      <c r="EY225" s="8"/>
      <c r="EZ225" s="8"/>
      <c r="FA225" s="8"/>
      <c r="FB225" s="8"/>
      <c r="FC225" s="8"/>
      <c r="FD225" s="8"/>
      <c r="FE225" s="8"/>
      <c r="FF225" s="8"/>
      <c r="FG225" s="8"/>
      <c r="FH225" s="8"/>
      <c r="FI225" s="8"/>
      <c r="FJ225" s="8"/>
      <c r="FK225" s="8"/>
      <c r="FL225" s="8"/>
      <c r="FM225" s="8"/>
      <c r="FN225" s="8"/>
      <c r="FO225" s="8"/>
      <c r="FP225" s="8"/>
      <c r="FQ225" s="8"/>
      <c r="FR225" s="8"/>
      <c r="FS225" s="8"/>
      <c r="FT225" s="8"/>
      <c r="FU225" s="8"/>
      <c r="FV225" s="8"/>
      <c r="FW225" s="8"/>
      <c r="FX225" s="8"/>
      <c r="FY225" s="8"/>
      <c r="FZ225" s="8"/>
      <c r="GA225" s="8"/>
      <c r="GB225" s="8"/>
      <c r="GC225" s="8"/>
      <c r="GD225" s="8"/>
      <c r="GE225" s="8"/>
      <c r="GF225" s="8"/>
      <c r="GG225" s="8"/>
      <c r="GH225" s="8"/>
      <c r="GI225" s="8"/>
      <c r="GJ225" s="8"/>
      <c r="GK225" s="8"/>
      <c r="GL225" s="8"/>
      <c r="GM225" s="8"/>
      <c r="GN225" s="8"/>
      <c r="GO225" s="8"/>
      <c r="GP225" s="8"/>
      <c r="GQ225" s="8"/>
      <c r="GR225" s="8"/>
      <c r="GS225" s="8"/>
      <c r="GT225" s="8"/>
      <c r="GU225" s="8"/>
      <c r="GV225" s="8"/>
      <c r="GW225" s="8"/>
      <c r="GX225" s="8"/>
      <c r="GY225" s="8"/>
      <c r="GZ225" s="8"/>
      <c r="HA225" s="8"/>
      <c r="HB225" s="8"/>
      <c r="HC225" s="8"/>
      <c r="HD225" s="8"/>
      <c r="HE225" s="8"/>
      <c r="HF225" s="8"/>
      <c r="HG225" s="8"/>
      <c r="HH225" s="8"/>
      <c r="HI225" s="8"/>
      <c r="HJ225" s="8"/>
      <c r="HK225" s="8"/>
      <c r="HL225" s="8"/>
      <c r="HM225" s="8"/>
      <c r="HN225" s="8"/>
      <c r="HO225" s="8"/>
      <c r="HP225" s="8"/>
      <c r="HQ225" s="8"/>
      <c r="HR225" s="8"/>
      <c r="HS225" s="8"/>
      <c r="HT225" s="8"/>
      <c r="HU225" s="8"/>
      <c r="HV225" s="8"/>
      <c r="HW225" s="8"/>
      <c r="HX225" s="8"/>
      <c r="HY225" s="8"/>
      <c r="HZ225" s="8"/>
      <c r="IA225" s="8"/>
      <c r="IB225" s="8"/>
      <c r="IC225" s="8"/>
      <c r="ID225" s="8"/>
      <c r="IE225" s="8"/>
      <c r="IF225" s="8"/>
      <c r="IG225" s="8"/>
      <c r="IH225" s="8"/>
      <c r="II225" s="8"/>
      <c r="IJ225" s="8"/>
      <c r="IK225" s="8"/>
      <c r="IL225" s="8"/>
      <c r="IM225" s="8"/>
      <c r="IN225" s="8"/>
      <c r="IO225" s="8"/>
      <c r="IP225" s="8"/>
      <c r="IQ225" s="8"/>
      <c r="IR225" s="8"/>
      <c r="IS225" s="8"/>
      <c r="IT225" s="8"/>
      <c r="IU225" s="8"/>
      <c r="IV225" s="8"/>
      <c r="IW225" s="8"/>
      <c r="IX225" s="8"/>
      <c r="JA225" s="125"/>
      <c r="JB225" s="125"/>
      <c r="JC225" s="125"/>
      <c r="JD225" s="72">
        <f>SUM((TEXT(JA225,"[M]")/60)*'Income Person-hours'!$D$3,(TEXT(JB225,"[M]")/60)*'Income Person-hours'!$D$4,(TEXT(JC225,"[M]")/60)*'Income Person-hours'!$D$5)</f>
        <v>0</v>
      </c>
    </row>
    <row r="226" spans="1:264" s="12" customFormat="1" ht="15.75" hidden="1" x14ac:dyDescent="0.45">
      <c r="A226" s="33">
        <v>1.0209999999999999</v>
      </c>
      <c r="B226" s="128"/>
      <c r="C226" s="119"/>
      <c r="D226" s="13" t="str">
        <f>IF(OR(j_WEEKDAY(J_ADDDAY(VLOOKUP(I226,A:F,6,FALSE),H226,1),0)=6,SUMIFS(Holieday[ok],Holieday[date],J_ADDDAY(VLOOKUP(I226,A:F,6,FALSE),H226,1)))=FALSE(),J_ADDDAY(VLOOKUP(I226,A:F,6,FALSE),H226,1),IF(OR(j_WEEKDAY(J_ADDDAY(VLOOKUP(I226,A:F,6,FALSE),H226+1,1),0)=6,SUMIFS(Holieday[ok],Holieday[date],J_ADDDAY(VLOOKUP(I226,A:F,6,FALSE),H226+1,1)))=FALSE(),J_ADDDAY(VLOOKUP(I226,A:F,6,FALSE),H226+1,1),IF(OR(j_WEEKDAY(J_ADDDAY(VLOOKUP(I226,A:F,6,FALSE),H226+2,1),0)=6,SUMIFS(Holieday[ok],Holieday[date],J_ADDDAY(VLOOKUP(I226,A:F,6,FALSE),H226+2,1)))=FALSE(),J_ADDDAY(VLOOKUP(I226,A:F,6,FALSE),H226+2,1),IF(OR(j_WEEKDAY(J_ADDDAY(VLOOKUP(I226,A:F,6,FALSE),H226+3,1),0)=6,SUMIFS(Holieday[ok],Holieday[date],J_ADDDAY(VLOOKUP(I226,A:F,6,FALSE),H226+3,1)))=FALSE(),J_ADDDAY(VLOOKUP(I226,A:F,6,FALSE),H226+3,1),IF(OR(j_WEEKDAY(J_ADDDAY(VLOOKUP(I226,A:F,6,FALSE),H226+4,1),0)=6,SUMIFS(Holieday[ok],Holieday[date],J_ADDDAY(VLOOKUP(I226,A:F,6,FALSE),H226+4,1)))=FALSE(),J_ADDDAY(VLOOKUP(I226,A:F,6,FALSE),H226+4,1),J_ADDDAY(VLOOKUP(I226,A:F,6,FALSE),H226+5,1))))))</f>
        <v>1398/08/25</v>
      </c>
      <c r="E226" s="2">
        <f t="shared" si="63"/>
        <v>13980825</v>
      </c>
      <c r="F226" s="13" t="str">
        <f>IF(N226=0,J_SUBDAY(D226,1,1)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0,J_SUBDAY(J_ADDDAY(D226,N226,1)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1,J_SUBDAY(J_ADDDAY(D226,N226+1,1),1,1),IF((N226-NETWORKDAYS.INTL(J_GregorianDate(D226,1),J_GregorianDate(J_SUBDAY(J_ADDDAY(D226,N226,1),1,1),1),16,1)-SUMIFS(Holieday[ok],Holieday[date],CONCATENATE("&gt;","=",D226),Holieday[date],CONCATENATE("&lt;","=",J_SUBDAY(J_ADDDAY(D226,N226,1),1,1)))+SUMIFS(Holieday[Friday],Holieday[date],CONCATENATE("&gt;","=",D226),Holieday[date],CONCATENATE("&lt;","=",J_SUBDAY(J_ADDDAY(D226,N226,1),1,1))))=2,J_SUBDAY(J_ADDDAY(D226,N226+2,1),1,1),J_SUBDAY(J_ADDDAY(D226,N226+3,1),1,1)))))</f>
        <v>1398/08/24</v>
      </c>
      <c r="G226" s="3">
        <f t="shared" si="64"/>
        <v>13980824</v>
      </c>
      <c r="H226" s="121"/>
      <c r="I226" s="122">
        <v>8.4</v>
      </c>
      <c r="J226" s="10" t="str">
        <f>j_WEEKDAY(D226,1)</f>
        <v>شنبه</v>
      </c>
      <c r="K226" s="23">
        <f t="shared" si="62"/>
        <v>0</v>
      </c>
      <c r="L226" s="9">
        <f t="shared" si="67"/>
        <v>0</v>
      </c>
      <c r="M226" s="123">
        <v>0</v>
      </c>
      <c r="N226" s="120">
        <v>0</v>
      </c>
      <c r="O226" s="11">
        <f t="shared" si="68"/>
        <v>0</v>
      </c>
      <c r="P226" s="11">
        <f>VALUE(J_normdate(J_ADDDAY($D226,$O226,1)))</f>
        <v>13980825</v>
      </c>
      <c r="Q226" s="10">
        <f t="shared" si="69"/>
        <v>0</v>
      </c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  <c r="ES226" s="8"/>
      <c r="ET226" s="8"/>
      <c r="EU226" s="8"/>
      <c r="EV226" s="8"/>
      <c r="EW226" s="8"/>
      <c r="EX226" s="8"/>
      <c r="EY226" s="8"/>
      <c r="EZ226" s="8"/>
      <c r="FA226" s="8"/>
      <c r="FB226" s="8"/>
      <c r="FC226" s="8"/>
      <c r="FD226" s="8"/>
      <c r="FE226" s="8"/>
      <c r="FF226" s="8"/>
      <c r="FG226" s="8"/>
      <c r="FH226" s="8"/>
      <c r="FI226" s="8"/>
      <c r="FJ226" s="8"/>
      <c r="FK226" s="8"/>
      <c r="FL226" s="8"/>
      <c r="FM226" s="8"/>
      <c r="FN226" s="8"/>
      <c r="FO226" s="8"/>
      <c r="FP226" s="8"/>
      <c r="FQ226" s="8"/>
      <c r="FR226" s="8"/>
      <c r="FS226" s="8"/>
      <c r="FT226" s="8"/>
      <c r="FU226" s="8"/>
      <c r="FV226" s="8"/>
      <c r="FW226" s="8"/>
      <c r="FX226" s="8"/>
      <c r="FY226" s="8"/>
      <c r="FZ226" s="8"/>
      <c r="GA226" s="8"/>
      <c r="GB226" s="8"/>
      <c r="GC226" s="8"/>
      <c r="GD226" s="8"/>
      <c r="GE226" s="8"/>
      <c r="GF226" s="8"/>
      <c r="GG226" s="8"/>
      <c r="GH226" s="8"/>
      <c r="GI226" s="8"/>
      <c r="GJ226" s="8"/>
      <c r="GK226" s="8"/>
      <c r="GL226" s="8"/>
      <c r="GM226" s="8"/>
      <c r="GN226" s="8"/>
      <c r="GO226" s="8"/>
      <c r="GP226" s="8"/>
      <c r="GQ226" s="8"/>
      <c r="GR226" s="8"/>
      <c r="GS226" s="8"/>
      <c r="GT226" s="8"/>
      <c r="GU226" s="8"/>
      <c r="GV226" s="8"/>
      <c r="GW226" s="8"/>
      <c r="GX226" s="8"/>
      <c r="GY226" s="8"/>
      <c r="GZ226" s="8"/>
      <c r="HA226" s="8"/>
      <c r="HB226" s="8"/>
      <c r="HC226" s="8"/>
      <c r="HD226" s="8"/>
      <c r="HE226" s="8"/>
      <c r="HF226" s="8"/>
      <c r="HG226" s="8"/>
      <c r="HH226" s="8"/>
      <c r="HI226" s="8"/>
      <c r="HJ226" s="8"/>
      <c r="HK226" s="8"/>
      <c r="HL226" s="8"/>
      <c r="HM226" s="8"/>
      <c r="HN226" s="8"/>
      <c r="HO226" s="8"/>
      <c r="HP226" s="8"/>
      <c r="HQ226" s="8"/>
      <c r="HR226" s="8"/>
      <c r="HS226" s="8"/>
      <c r="HT226" s="8"/>
      <c r="HU226" s="8"/>
      <c r="HV226" s="8"/>
      <c r="HW226" s="8"/>
      <c r="HX226" s="8"/>
      <c r="HY226" s="8"/>
      <c r="HZ226" s="8"/>
      <c r="IA226" s="8"/>
      <c r="IB226" s="8"/>
      <c r="IC226" s="8"/>
      <c r="ID226" s="8"/>
      <c r="IE226" s="8"/>
      <c r="IF226" s="8"/>
      <c r="IG226" s="8"/>
      <c r="IH226" s="8"/>
      <c r="II226" s="8"/>
      <c r="IJ226" s="8"/>
      <c r="IK226" s="8"/>
      <c r="IL226" s="8"/>
      <c r="IM226" s="8"/>
      <c r="IN226" s="8"/>
      <c r="IO226" s="8"/>
      <c r="IP226" s="8"/>
      <c r="IQ226" s="8"/>
      <c r="IR226" s="8"/>
      <c r="IS226" s="8"/>
      <c r="IT226" s="8"/>
      <c r="IU226" s="8"/>
      <c r="IV226" s="8"/>
      <c r="IW226" s="8"/>
      <c r="IX226" s="8"/>
      <c r="JA226" s="125"/>
      <c r="JB226" s="125"/>
      <c r="JC226" s="125"/>
      <c r="JD226" s="72">
        <f>SUM((TEXT(JA226,"[M]")/60)*'Income Person-hours'!$D$3,(TEXT(JB226,"[M]")/60)*'Income Person-hours'!$D$4,(TEXT(JC226,"[M]")/60)*'Income Person-hours'!$D$5)</f>
        <v>0</v>
      </c>
    </row>
    <row r="227" spans="1:264" s="12" customFormat="1" ht="15.75" hidden="1" x14ac:dyDescent="0.45">
      <c r="A227" s="33">
        <v>10.220000000000001</v>
      </c>
      <c r="B227" s="128"/>
      <c r="C227" s="119"/>
      <c r="D227" s="13" t="str">
        <f>IF(OR(j_WEEKDAY(J_ADDDAY(VLOOKUP(I227,A:F,6,FALSE),H227,1),0)=6,SUMIFS(Holieday[ok],Holieday[date],J_ADDDAY(VLOOKUP(I227,A:F,6,FALSE),H227,1)))=FALSE(),J_ADDDAY(VLOOKUP(I227,A:F,6,FALSE),H227,1),IF(OR(j_WEEKDAY(J_ADDDAY(VLOOKUP(I227,A:F,6,FALSE),H227+1,1),0)=6,SUMIFS(Holieday[ok],Holieday[date],J_ADDDAY(VLOOKUP(I227,A:F,6,FALSE),H227+1,1)))=FALSE(),J_ADDDAY(VLOOKUP(I227,A:F,6,FALSE),H227+1,1),IF(OR(j_WEEKDAY(J_ADDDAY(VLOOKUP(I227,A:F,6,FALSE),H227+2,1),0)=6,SUMIFS(Holieday[ok],Holieday[date],J_ADDDAY(VLOOKUP(I227,A:F,6,FALSE),H227+2,1)))=FALSE(),J_ADDDAY(VLOOKUP(I227,A:F,6,FALSE),H227+2,1),IF(OR(j_WEEKDAY(J_ADDDAY(VLOOKUP(I227,A:F,6,FALSE),H227+3,1),0)=6,SUMIFS(Holieday[ok],Holieday[date],J_ADDDAY(VLOOKUP(I227,A:F,6,FALSE),H227+3,1)))=FALSE(),J_ADDDAY(VLOOKUP(I227,A:F,6,FALSE),H227+3,1),IF(OR(j_WEEKDAY(J_ADDDAY(VLOOKUP(I227,A:F,6,FALSE),H227+4,1),0)=6,SUMIFS(Holieday[ok],Holieday[date],J_ADDDAY(VLOOKUP(I227,A:F,6,FALSE),H227+4,1)))=FALSE(),J_ADDDAY(VLOOKUP(I227,A:F,6,FALSE),H227+4,1),J_ADDDAY(VLOOKUP(I227,A:F,6,FALSE),H227+5,1))))))</f>
        <v>1398/08/25</v>
      </c>
      <c r="E227" s="2">
        <f t="shared" si="63"/>
        <v>13980825</v>
      </c>
      <c r="F227" s="13" t="str">
        <f>IF(N227=0,J_SUBDAY(D227,1,1)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0,J_SUBDAY(J_ADDDAY(D227,N227,1)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1,J_SUBDAY(J_ADDDAY(D227,N227+1,1),1,1),IF((N227-NETWORKDAYS.INTL(J_GregorianDate(D227,1),J_GregorianDate(J_SUBDAY(J_ADDDAY(D227,N227,1),1,1),1),16,1)-SUMIFS(Holieday[ok],Holieday[date],CONCATENATE("&gt;","=",D227),Holieday[date],CONCATENATE("&lt;","=",J_SUBDAY(J_ADDDAY(D227,N227,1),1,1)))+SUMIFS(Holieday[Friday],Holieday[date],CONCATENATE("&gt;","=",D227),Holieday[date],CONCATENATE("&lt;","=",J_SUBDAY(J_ADDDAY(D227,N227,1),1,1))))=2,J_SUBDAY(J_ADDDAY(D227,N227+2,1),1,1),J_SUBDAY(J_ADDDAY(D227,N227+3,1),1,1)))))</f>
        <v>1398/08/24</v>
      </c>
      <c r="G227" s="3">
        <f t="shared" si="64"/>
        <v>13980824</v>
      </c>
      <c r="H227" s="121"/>
      <c r="I227" s="122">
        <v>8.4</v>
      </c>
      <c r="J227" s="10" t="str">
        <f>j_WEEKDAY(D227,1)</f>
        <v>شنبه</v>
      </c>
      <c r="K227" s="23">
        <f t="shared" si="62"/>
        <v>0</v>
      </c>
      <c r="L227" s="9">
        <f t="shared" si="67"/>
        <v>0</v>
      </c>
      <c r="M227" s="123">
        <v>0</v>
      </c>
      <c r="N227" s="120">
        <v>0</v>
      </c>
      <c r="O227" s="11">
        <f t="shared" si="68"/>
        <v>0</v>
      </c>
      <c r="P227" s="11">
        <f>VALUE(J_normdate(J_ADDDAY($D227,$O227,1)))</f>
        <v>13980825</v>
      </c>
      <c r="Q227" s="10">
        <f t="shared" si="69"/>
        <v>0</v>
      </c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  <c r="ES227" s="8"/>
      <c r="ET227" s="8"/>
      <c r="EU227" s="8"/>
      <c r="EV227" s="8"/>
      <c r="EW227" s="8"/>
      <c r="EX227" s="8"/>
      <c r="EY227" s="8"/>
      <c r="EZ227" s="8"/>
      <c r="FA227" s="8"/>
      <c r="FB227" s="8"/>
      <c r="FC227" s="8"/>
      <c r="FD227" s="8"/>
      <c r="FE227" s="8"/>
      <c r="FF227" s="8"/>
      <c r="FG227" s="8"/>
      <c r="FH227" s="8"/>
      <c r="FI227" s="8"/>
      <c r="FJ227" s="8"/>
      <c r="FK227" s="8"/>
      <c r="FL227" s="8"/>
      <c r="FM227" s="8"/>
      <c r="FN227" s="8"/>
      <c r="FO227" s="8"/>
      <c r="FP227" s="8"/>
      <c r="FQ227" s="8"/>
      <c r="FR227" s="8"/>
      <c r="FS227" s="8"/>
      <c r="FT227" s="8"/>
      <c r="FU227" s="8"/>
      <c r="FV227" s="8"/>
      <c r="FW227" s="8"/>
      <c r="FX227" s="8"/>
      <c r="FY227" s="8"/>
      <c r="FZ227" s="8"/>
      <c r="GA227" s="8"/>
      <c r="GB227" s="8"/>
      <c r="GC227" s="8"/>
      <c r="GD227" s="8"/>
      <c r="GE227" s="8"/>
      <c r="GF227" s="8"/>
      <c r="GG227" s="8"/>
      <c r="GH227" s="8"/>
      <c r="GI227" s="8"/>
      <c r="GJ227" s="8"/>
      <c r="GK227" s="8"/>
      <c r="GL227" s="8"/>
      <c r="GM227" s="8"/>
      <c r="GN227" s="8"/>
      <c r="GO227" s="8"/>
      <c r="GP227" s="8"/>
      <c r="GQ227" s="8"/>
      <c r="GR227" s="8"/>
      <c r="GS227" s="8"/>
      <c r="GT227" s="8"/>
      <c r="GU227" s="8"/>
      <c r="GV227" s="8"/>
      <c r="GW227" s="8"/>
      <c r="GX227" s="8"/>
      <c r="GY227" s="8"/>
      <c r="GZ227" s="8"/>
      <c r="HA227" s="8"/>
      <c r="HB227" s="8"/>
      <c r="HC227" s="8"/>
      <c r="HD227" s="8"/>
      <c r="HE227" s="8"/>
      <c r="HF227" s="8"/>
      <c r="HG227" s="8"/>
      <c r="HH227" s="8"/>
      <c r="HI227" s="8"/>
      <c r="HJ227" s="8"/>
      <c r="HK227" s="8"/>
      <c r="HL227" s="8"/>
      <c r="HM227" s="8"/>
      <c r="HN227" s="8"/>
      <c r="HO227" s="8"/>
      <c r="HP227" s="8"/>
      <c r="HQ227" s="8"/>
      <c r="HR227" s="8"/>
      <c r="HS227" s="8"/>
      <c r="HT227" s="8"/>
      <c r="HU227" s="8"/>
      <c r="HV227" s="8"/>
      <c r="HW227" s="8"/>
      <c r="HX227" s="8"/>
      <c r="HY227" s="8"/>
      <c r="HZ227" s="8"/>
      <c r="IA227" s="8"/>
      <c r="IB227" s="8"/>
      <c r="IC227" s="8"/>
      <c r="ID227" s="8"/>
      <c r="IE227" s="8"/>
      <c r="IF227" s="8"/>
      <c r="IG227" s="8"/>
      <c r="IH227" s="8"/>
      <c r="II227" s="8"/>
      <c r="IJ227" s="8"/>
      <c r="IK227" s="8"/>
      <c r="IL227" s="8"/>
      <c r="IM227" s="8"/>
      <c r="IN227" s="8"/>
      <c r="IO227" s="8"/>
      <c r="IP227" s="8"/>
      <c r="IQ227" s="8"/>
      <c r="IR227" s="8"/>
      <c r="IS227" s="8"/>
      <c r="IT227" s="8"/>
      <c r="IU227" s="8"/>
      <c r="IV227" s="8"/>
      <c r="IW227" s="8"/>
      <c r="IX227" s="8"/>
      <c r="JA227" s="125"/>
      <c r="JB227" s="125"/>
      <c r="JC227" s="125"/>
      <c r="JD227" s="72">
        <f>SUM((TEXT(JA227,"[M]")/60)*'Income Person-hours'!$D$3,(TEXT(JB227,"[M]")/60)*'Income Person-hours'!$D$4,(TEXT(JC227,"[M]")/60)*'Income Person-hours'!$D$5)</f>
        <v>0</v>
      </c>
    </row>
    <row r="228" spans="1:264" s="12" customFormat="1" ht="15.75" hidden="1" x14ac:dyDescent="0.45">
      <c r="A228" s="33">
        <v>10.23</v>
      </c>
      <c r="B228" s="128"/>
      <c r="C228" s="119"/>
      <c r="D228" s="13" t="str">
        <f>IF(OR(j_WEEKDAY(J_ADDDAY(VLOOKUP(I228,A:F,6,FALSE),H228,1),0)=6,SUMIFS(Holieday[ok],Holieday[date],J_ADDDAY(VLOOKUP(I228,A:F,6,FALSE),H228,1)))=FALSE(),J_ADDDAY(VLOOKUP(I228,A:F,6,FALSE),H228,1),IF(OR(j_WEEKDAY(J_ADDDAY(VLOOKUP(I228,A:F,6,FALSE),H228+1,1),0)=6,SUMIFS(Holieday[ok],Holieday[date],J_ADDDAY(VLOOKUP(I228,A:F,6,FALSE),H228+1,1)))=FALSE(),J_ADDDAY(VLOOKUP(I228,A:F,6,FALSE),H228+1,1),IF(OR(j_WEEKDAY(J_ADDDAY(VLOOKUP(I228,A:F,6,FALSE),H228+2,1),0)=6,SUMIFS(Holieday[ok],Holieday[date],J_ADDDAY(VLOOKUP(I228,A:F,6,FALSE),H228+2,1)))=FALSE(),J_ADDDAY(VLOOKUP(I228,A:F,6,FALSE),H228+2,1),IF(OR(j_WEEKDAY(J_ADDDAY(VLOOKUP(I228,A:F,6,FALSE),H228+3,1),0)=6,SUMIFS(Holieday[ok],Holieday[date],J_ADDDAY(VLOOKUP(I228,A:F,6,FALSE),H228+3,1)))=FALSE(),J_ADDDAY(VLOOKUP(I228,A:F,6,FALSE),H228+3,1),IF(OR(j_WEEKDAY(J_ADDDAY(VLOOKUP(I228,A:F,6,FALSE),H228+4,1),0)=6,SUMIFS(Holieday[ok],Holieday[date],J_ADDDAY(VLOOKUP(I228,A:F,6,FALSE),H228+4,1)))=FALSE(),J_ADDDAY(VLOOKUP(I228,A:F,6,FALSE),H228+4,1),J_ADDDAY(VLOOKUP(I228,A:F,6,FALSE),H228+5,1))))))</f>
        <v>1398/08/25</v>
      </c>
      <c r="E228" s="2">
        <f t="shared" si="63"/>
        <v>13980825</v>
      </c>
      <c r="F228" s="13" t="str">
        <f>IF(N228=0,J_SUBDAY(D228,1,1)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0,J_SUBDAY(J_ADDDAY(D228,N228,1)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1,J_SUBDAY(J_ADDDAY(D228,N228+1,1),1,1),IF((N228-NETWORKDAYS.INTL(J_GregorianDate(D228,1),J_GregorianDate(J_SUBDAY(J_ADDDAY(D228,N228,1),1,1),1),16,1)-SUMIFS(Holieday[ok],Holieday[date],CONCATENATE("&gt;","=",D228),Holieday[date],CONCATENATE("&lt;","=",J_SUBDAY(J_ADDDAY(D228,N228,1),1,1)))+SUMIFS(Holieday[Friday],Holieday[date],CONCATENATE("&gt;","=",D228),Holieday[date],CONCATENATE("&lt;","=",J_SUBDAY(J_ADDDAY(D228,N228,1),1,1))))=2,J_SUBDAY(J_ADDDAY(D228,N228+2,1),1,1),J_SUBDAY(J_ADDDAY(D228,N228+3,1),1,1)))))</f>
        <v>1398/08/24</v>
      </c>
      <c r="G228" s="3">
        <f t="shared" si="64"/>
        <v>13980824</v>
      </c>
      <c r="H228" s="121"/>
      <c r="I228" s="122">
        <v>8.4</v>
      </c>
      <c r="J228" s="10" t="str">
        <f>j_WEEKDAY(D228,1)</f>
        <v>شنبه</v>
      </c>
      <c r="K228" s="23">
        <f t="shared" si="62"/>
        <v>0</v>
      </c>
      <c r="L228" s="9">
        <f t="shared" si="67"/>
        <v>0</v>
      </c>
      <c r="M228" s="123">
        <v>0</v>
      </c>
      <c r="N228" s="120">
        <v>0</v>
      </c>
      <c r="O228" s="11">
        <f t="shared" si="68"/>
        <v>0</v>
      </c>
      <c r="P228" s="11">
        <f>VALUE(J_normdate(J_ADDDAY($D228,$O228,1)))</f>
        <v>13980825</v>
      </c>
      <c r="Q228" s="10">
        <f t="shared" si="69"/>
        <v>0</v>
      </c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  <c r="ES228" s="8"/>
      <c r="ET228" s="8"/>
      <c r="EU228" s="8"/>
      <c r="EV228" s="8"/>
      <c r="EW228" s="8"/>
      <c r="EX228" s="8"/>
      <c r="EY228" s="8"/>
      <c r="EZ228" s="8"/>
      <c r="FA228" s="8"/>
      <c r="FB228" s="8"/>
      <c r="FC228" s="8"/>
      <c r="FD228" s="8"/>
      <c r="FE228" s="8"/>
      <c r="FF228" s="8"/>
      <c r="FG228" s="8"/>
      <c r="FH228" s="8"/>
      <c r="FI228" s="8"/>
      <c r="FJ228" s="8"/>
      <c r="FK228" s="8"/>
      <c r="FL228" s="8"/>
      <c r="FM228" s="8"/>
      <c r="FN228" s="8"/>
      <c r="FO228" s="8"/>
      <c r="FP228" s="8"/>
      <c r="FQ228" s="8"/>
      <c r="FR228" s="8"/>
      <c r="FS228" s="8"/>
      <c r="FT228" s="8"/>
      <c r="FU228" s="8"/>
      <c r="FV228" s="8"/>
      <c r="FW228" s="8"/>
      <c r="FX228" s="8"/>
      <c r="FY228" s="8"/>
      <c r="FZ228" s="8"/>
      <c r="GA228" s="8"/>
      <c r="GB228" s="8"/>
      <c r="GC228" s="8"/>
      <c r="GD228" s="8"/>
      <c r="GE228" s="8"/>
      <c r="GF228" s="8"/>
      <c r="GG228" s="8"/>
      <c r="GH228" s="8"/>
      <c r="GI228" s="8"/>
      <c r="GJ228" s="8"/>
      <c r="GK228" s="8"/>
      <c r="GL228" s="8"/>
      <c r="GM228" s="8"/>
      <c r="GN228" s="8"/>
      <c r="GO228" s="8"/>
      <c r="GP228" s="8"/>
      <c r="GQ228" s="8"/>
      <c r="GR228" s="8"/>
      <c r="GS228" s="8"/>
      <c r="GT228" s="8"/>
      <c r="GU228" s="8"/>
      <c r="GV228" s="8"/>
      <c r="GW228" s="8"/>
      <c r="GX228" s="8"/>
      <c r="GY228" s="8"/>
      <c r="GZ228" s="8"/>
      <c r="HA228" s="8"/>
      <c r="HB228" s="8"/>
      <c r="HC228" s="8"/>
      <c r="HD228" s="8"/>
      <c r="HE228" s="8"/>
      <c r="HF228" s="8"/>
      <c r="HG228" s="8"/>
      <c r="HH228" s="8"/>
      <c r="HI228" s="8"/>
      <c r="HJ228" s="8"/>
      <c r="HK228" s="8"/>
      <c r="HL228" s="8"/>
      <c r="HM228" s="8"/>
      <c r="HN228" s="8"/>
      <c r="HO228" s="8"/>
      <c r="HP228" s="8"/>
      <c r="HQ228" s="8"/>
      <c r="HR228" s="8"/>
      <c r="HS228" s="8"/>
      <c r="HT228" s="8"/>
      <c r="HU228" s="8"/>
      <c r="HV228" s="8"/>
      <c r="HW228" s="8"/>
      <c r="HX228" s="8"/>
      <c r="HY228" s="8"/>
      <c r="HZ228" s="8"/>
      <c r="IA228" s="8"/>
      <c r="IB228" s="8"/>
      <c r="IC228" s="8"/>
      <c r="ID228" s="8"/>
      <c r="IE228" s="8"/>
      <c r="IF228" s="8"/>
      <c r="IG228" s="8"/>
      <c r="IH228" s="8"/>
      <c r="II228" s="8"/>
      <c r="IJ228" s="8"/>
      <c r="IK228" s="8"/>
      <c r="IL228" s="8"/>
      <c r="IM228" s="8"/>
      <c r="IN228" s="8"/>
      <c r="IO228" s="8"/>
      <c r="IP228" s="8"/>
      <c r="IQ228" s="8"/>
      <c r="IR228" s="8"/>
      <c r="IS228" s="8"/>
      <c r="IT228" s="8"/>
      <c r="IU228" s="8"/>
      <c r="IV228" s="8"/>
      <c r="IW228" s="8"/>
      <c r="IX228" s="8"/>
      <c r="JA228" s="125"/>
      <c r="JB228" s="125"/>
      <c r="JC228" s="125"/>
      <c r="JD228" s="72">
        <f>SUM((TEXT(JA228,"[M]")/60)*'Income Person-hours'!$D$3,(TEXT(JB228,"[M]")/60)*'Income Person-hours'!$D$4,(TEXT(JC228,"[M]")/60)*'Income Person-hours'!$D$5)</f>
        <v>0</v>
      </c>
    </row>
  </sheetData>
  <sheetProtection selectLockedCells="1"/>
  <autoFilter ref="A8:Q228">
    <filterColumn colId="13">
      <filters>
        <filter val="1"/>
        <filter val="10"/>
        <filter val="114"/>
        <filter val="12"/>
        <filter val="126"/>
        <filter val="13"/>
        <filter val="15"/>
        <filter val="18"/>
        <filter val="2"/>
        <filter val="20"/>
        <filter val="4"/>
        <filter val="5"/>
        <filter val="64"/>
        <filter val="7"/>
        <filter val="8"/>
        <filter val="89"/>
        <filter val="94"/>
      </filters>
    </filterColumn>
  </autoFilter>
  <mergeCells count="50">
    <mergeCell ref="HZ6:ID6"/>
    <mergeCell ref="GQ6:GU6"/>
    <mergeCell ref="GV6:GZ6"/>
    <mergeCell ref="HA6:HE6"/>
    <mergeCell ref="HF6:HJ6"/>
    <mergeCell ref="HK6:HO6"/>
    <mergeCell ref="HP6:HT6"/>
    <mergeCell ref="EN6:ER6"/>
    <mergeCell ref="ES6:EW6"/>
    <mergeCell ref="EX6:FB6"/>
    <mergeCell ref="FC6:FG6"/>
    <mergeCell ref="HU6:HY6"/>
    <mergeCell ref="FM6:FQ6"/>
    <mergeCell ref="FR6:FV6"/>
    <mergeCell ref="FW6:GA6"/>
    <mergeCell ref="GB6:GF6"/>
    <mergeCell ref="GG6:GK6"/>
    <mergeCell ref="GL6:GP6"/>
    <mergeCell ref="IT6:IX6"/>
    <mergeCell ref="S6:W6"/>
    <mergeCell ref="X6:AB6"/>
    <mergeCell ref="AC6:AG6"/>
    <mergeCell ref="AH6:AL6"/>
    <mergeCell ref="AM6:AQ6"/>
    <mergeCell ref="AR6:AV6"/>
    <mergeCell ref="CZ6:DD6"/>
    <mergeCell ref="AW6:BA6"/>
    <mergeCell ref="BB6:BF6"/>
    <mergeCell ref="BG6:BK6"/>
    <mergeCell ref="BL6:BP6"/>
    <mergeCell ref="BQ6:BU6"/>
    <mergeCell ref="BV6:BZ6"/>
    <mergeCell ref="CA6:CE6"/>
    <mergeCell ref="CF6:CJ6"/>
    <mergeCell ref="C5:H5"/>
    <mergeCell ref="C2:F2"/>
    <mergeCell ref="IE6:II6"/>
    <mergeCell ref="IJ6:IN6"/>
    <mergeCell ref="IO6:IS6"/>
    <mergeCell ref="CK6:CO6"/>
    <mergeCell ref="CP6:CT6"/>
    <mergeCell ref="CU6:CY6"/>
    <mergeCell ref="FH6:FL6"/>
    <mergeCell ref="DE6:DI6"/>
    <mergeCell ref="DJ6:DN6"/>
    <mergeCell ref="DO6:DS6"/>
    <mergeCell ref="DT6:DX6"/>
    <mergeCell ref="DY6:EC6"/>
    <mergeCell ref="ED6:EH6"/>
    <mergeCell ref="EI6:EM6"/>
  </mergeCells>
  <phoneticPr fontId="2" type="noConversion"/>
  <conditionalFormatting sqref="S10:IX30 S32:IX74 P119:IX119 P141:IX141 S76:IX140 S142:IX162 P163:IX163 S164:IX184 P185:IX185 S186:IX206 P207:IX207 S208:IX228">
    <cfRule type="expression" dxfId="22" priority="184" stopIfTrue="1">
      <formula>P$4=$D$3</formula>
    </cfRule>
    <cfRule type="expression" dxfId="21" priority="185" stopIfTrue="1">
      <formula>AND(P$4&gt;=$E10,P$4&lt;$P10)</formula>
    </cfRule>
    <cfRule type="expression" dxfId="20" priority="186" stopIfTrue="1">
      <formula>AND(P$4&gt;=$E10,P$4&lt;=$G10)</formula>
    </cfRule>
  </conditionalFormatting>
  <conditionalFormatting sqref="S9:IX9 S31:IX31 R53:IW53 S75:IX75 S97:IX97 P119:IX119 P141:IX141 P163:IX163 P185:IX185 P207:IX207">
    <cfRule type="expression" dxfId="19" priority="202" stopIfTrue="1">
      <formula>P$4=$D$3</formula>
    </cfRule>
    <cfRule type="expression" dxfId="18" priority="203" stopIfTrue="1">
      <formula>AND(P$4&gt;=$E9,P$4&lt;$P9)</formula>
    </cfRule>
    <cfRule type="expression" dxfId="17" priority="204" stopIfTrue="1">
      <formula>AND(P$4&gt;=$E9,P$4&lt;=$G9)</formula>
    </cfRule>
  </conditionalFormatting>
  <conditionalFormatting sqref="S8:IX8">
    <cfRule type="expression" dxfId="16" priority="247">
      <formula>S$4=$D$3</formula>
    </cfRule>
    <cfRule type="expression" dxfId="15" priority="248">
      <formula>AND(S$4&gt;=$E8,S$4&lt;$P8)</formula>
    </cfRule>
    <cfRule type="expression" dxfId="14" priority="249">
      <formula>AND(S$4&gt;=$E8,S$4&lt;=$G8)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Scroll Bar 1">
              <controlPr defaultSize="0" print="0" autoPict="0">
                <anchor moveWithCells="1">
                  <from>
                    <xdr:col>17</xdr:col>
                    <xdr:colOff>171450</xdr:colOff>
                    <xdr:row>3</xdr:row>
                    <xdr:rowOff>209550</xdr:rowOff>
                  </from>
                  <to>
                    <xdr:col>132</xdr:col>
                    <xdr:colOff>9525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2"/>
  <dimension ref="A1:N17"/>
  <sheetViews>
    <sheetView rightToLeft="1" workbookViewId="0">
      <selection activeCell="F5" sqref="F5"/>
    </sheetView>
  </sheetViews>
  <sheetFormatPr defaultRowHeight="17.25" x14ac:dyDescent="0.4"/>
  <cols>
    <col min="1" max="1" width="8" style="34" bestFit="1" customWidth="1"/>
    <col min="2" max="2" width="18.5703125" style="34" bestFit="1" customWidth="1"/>
    <col min="3" max="3" width="12.140625" style="35" bestFit="1" customWidth="1"/>
    <col min="4" max="4" width="17.5703125" style="47" bestFit="1" customWidth="1"/>
    <col min="5" max="5" width="5.42578125" style="34" bestFit="1" customWidth="1"/>
    <col min="6" max="6" width="17.5703125" style="34" bestFit="1" customWidth="1"/>
    <col min="7" max="7" width="21.140625" style="74" bestFit="1" customWidth="1"/>
    <col min="8" max="8" width="9.140625" style="61"/>
    <col min="9" max="9" width="14.85546875" style="61" bestFit="1" customWidth="1"/>
    <col min="10" max="16384" width="9.140625" style="34"/>
  </cols>
  <sheetData>
    <row r="1" spans="1:14" x14ac:dyDescent="0.4">
      <c r="A1" s="253" t="str">
        <f>CONCATENATE("جدول تعرفه هزینه های کارشناسی مطابق قرارداد ",GanttChart!B8)</f>
        <v>جدول تعرفه هزینه های کارشناسی مطابق قرارداد طراحی و پیاده سازی پورتال اینترنتی شرکت بیمه سامان</v>
      </c>
      <c r="B1" s="253"/>
      <c r="C1" s="253"/>
      <c r="D1" s="253"/>
      <c r="E1" s="253"/>
      <c r="F1" s="253"/>
      <c r="G1" s="253"/>
    </row>
    <row r="2" spans="1:14" x14ac:dyDescent="0.4">
      <c r="A2" s="57" t="s">
        <v>95</v>
      </c>
      <c r="B2" s="261" t="s">
        <v>94</v>
      </c>
      <c r="C2" s="262"/>
      <c r="D2" s="263" t="s">
        <v>96</v>
      </c>
      <c r="E2" s="264"/>
      <c r="F2" s="59" t="s">
        <v>145</v>
      </c>
      <c r="G2" s="57" t="s">
        <v>111</v>
      </c>
    </row>
    <row r="3" spans="1:14" x14ac:dyDescent="0.4">
      <c r="A3" s="57">
        <v>1</v>
      </c>
      <c r="B3" s="261" t="s">
        <v>97</v>
      </c>
      <c r="C3" s="262"/>
      <c r="D3" s="265">
        <v>1200000</v>
      </c>
      <c r="E3" s="266"/>
      <c r="F3" s="243">
        <v>137600000</v>
      </c>
      <c r="G3" s="78">
        <f>D3*128</f>
        <v>153600000</v>
      </c>
    </row>
    <row r="4" spans="1:14" x14ac:dyDescent="0.4">
      <c r="A4" s="57">
        <v>2</v>
      </c>
      <c r="B4" s="261" t="s">
        <v>98</v>
      </c>
      <c r="C4" s="262"/>
      <c r="D4" s="265">
        <v>916000</v>
      </c>
      <c r="E4" s="266"/>
      <c r="F4" s="243">
        <v>115200000</v>
      </c>
      <c r="G4" s="78">
        <f>D4*128</f>
        <v>117248000</v>
      </c>
    </row>
    <row r="5" spans="1:14" x14ac:dyDescent="0.4">
      <c r="A5" s="57">
        <v>3</v>
      </c>
      <c r="B5" s="261" t="s">
        <v>99</v>
      </c>
      <c r="C5" s="262"/>
      <c r="D5" s="265">
        <v>555000</v>
      </c>
      <c r="E5" s="266"/>
      <c r="F5" s="243">
        <v>87900000</v>
      </c>
      <c r="G5" s="78">
        <f>D5*128</f>
        <v>71040000</v>
      </c>
    </row>
    <row r="7" spans="1:14" x14ac:dyDescent="0.4">
      <c r="A7" s="254" t="str">
        <f>CONCATENATE("گزارش مدیریتی ",GanttChart!B8)</f>
        <v>گزارش مدیریتی طراحی و پیاده سازی پورتال اینترنتی شرکت بیمه سامان</v>
      </c>
      <c r="B7" s="254"/>
      <c r="C7" s="254"/>
      <c r="D7" s="254"/>
      <c r="E7" s="254"/>
      <c r="F7" s="254"/>
      <c r="G7" s="254"/>
    </row>
    <row r="8" spans="1:14" ht="21" x14ac:dyDescent="0.6">
      <c r="A8" s="255" t="s">
        <v>101</v>
      </c>
      <c r="B8" s="256"/>
      <c r="C8" s="54" t="s">
        <v>102</v>
      </c>
      <c r="D8" s="101" t="str">
        <f>D2</f>
        <v>هزینه نفر ساعت</v>
      </c>
      <c r="E8" s="50" t="s">
        <v>103</v>
      </c>
      <c r="F8" s="102" t="str">
        <f>F2</f>
        <v>هزینه نفر ماه (قرارداد)</v>
      </c>
      <c r="G8" s="79" t="str">
        <f>G2</f>
        <v>هزینه نفر ماه (ماه * 128)</v>
      </c>
      <c r="H8" s="60"/>
      <c r="I8" s="60"/>
      <c r="J8" s="24"/>
      <c r="M8" s="48"/>
      <c r="N8" s="14"/>
    </row>
    <row r="9" spans="1:14" ht="21" x14ac:dyDescent="0.6">
      <c r="A9" s="53">
        <v>1</v>
      </c>
      <c r="B9" s="54" t="str">
        <f>VLOOKUP(A9,A2:D5,2,FALSE)</f>
        <v>مدیریت پروژه</v>
      </c>
      <c r="C9" s="51">
        <f>SUM(GanttChart!JA:JA)</f>
        <v>1.1666666666666665</v>
      </c>
      <c r="D9" s="55">
        <f>(TEXT(C9,"[M]")/60)*VLOOKUP(A9,'Income Person-hours'!$A$2:$G$5,4,FALSE)</f>
        <v>33600000</v>
      </c>
      <c r="E9" s="52">
        <f>ROUNDUP((TEXT(C9,"[m]")/60)/160,1)</f>
        <v>0.2</v>
      </c>
      <c r="F9" s="56">
        <f>VLOOKUP(A9,'Income Person-hours'!$A$2:$G$5,6,FALSE)*E9</f>
        <v>27520000</v>
      </c>
      <c r="G9" s="76">
        <f>VLOOKUP(A9,'Income Person-hours'!$A$2:$G$5,7,FALSE)*E9</f>
        <v>30720000</v>
      </c>
      <c r="H9" s="60"/>
      <c r="I9" s="60"/>
      <c r="J9" s="24"/>
      <c r="M9" s="49"/>
      <c r="N9" s="49"/>
    </row>
    <row r="10" spans="1:14" ht="21" x14ac:dyDescent="0.6">
      <c r="A10" s="53">
        <v>2</v>
      </c>
      <c r="B10" s="54" t="str">
        <f>VLOOKUP(A10,A3:D6,2,FALSE)</f>
        <v>کارشناس ارشد تحلیل</v>
      </c>
      <c r="C10" s="51">
        <f>SUM(GanttChart!JB:JB)</f>
        <v>2.1666666666666665</v>
      </c>
      <c r="D10" s="55">
        <f>(TEXT(C10,"[M]")/60)*VLOOKUP(A10,'Income Person-hours'!$A$2:$G$5,4,FALSE)</f>
        <v>47632000</v>
      </c>
      <c r="E10" s="52">
        <f>ROUNDUP((TEXT(C10,"[m]")/60)/160,1)</f>
        <v>0.4</v>
      </c>
      <c r="F10" s="56">
        <f>VLOOKUP(A10,'Income Person-hours'!$A$2:$G$5,6,FALSE)*E10</f>
        <v>46080000</v>
      </c>
      <c r="G10" s="76">
        <f>VLOOKUP(A10,'Income Person-hours'!$A$2:$G$5,7,FALSE)*E10</f>
        <v>46899200</v>
      </c>
      <c r="H10" s="60"/>
      <c r="I10" s="103"/>
      <c r="J10" s="24"/>
      <c r="M10" s="49"/>
      <c r="N10" s="49"/>
    </row>
    <row r="11" spans="1:14" ht="21" x14ac:dyDescent="0.6">
      <c r="A11" s="53">
        <v>3</v>
      </c>
      <c r="B11" s="54" t="str">
        <f>VLOOKUP(A11,A4:D8,2,FALSE)</f>
        <v>کارشناس توسعه و پیاده سازی</v>
      </c>
      <c r="C11" s="51">
        <f>SUM(GanttChart!JC:JC)</f>
        <v>6.333333333333333</v>
      </c>
      <c r="D11" s="55">
        <f>(TEXT(C11,"[M]")/60)*VLOOKUP(A11,'Income Person-hours'!$A$2:$G$5,4,FALSE)</f>
        <v>84360000</v>
      </c>
      <c r="E11" s="52">
        <f>ROUNDUP((TEXT(C11,"[m]")/60)/160,1)</f>
        <v>1</v>
      </c>
      <c r="F11" s="56">
        <f>VLOOKUP(A11,'Income Person-hours'!$A$2:$G$5,6,FALSE)*E11</f>
        <v>87900000</v>
      </c>
      <c r="G11" s="76">
        <f>VLOOKUP(A11,'Income Person-hours'!$A$2:$G$5,7,FALSE)*E11</f>
        <v>71040000</v>
      </c>
      <c r="H11" s="62"/>
      <c r="I11" s="60"/>
      <c r="J11" s="24"/>
      <c r="M11" s="49"/>
      <c r="N11" s="49"/>
    </row>
    <row r="12" spans="1:14" ht="21" x14ac:dyDescent="0.6">
      <c r="A12" s="257" t="s">
        <v>100</v>
      </c>
      <c r="B12" s="258"/>
      <c r="C12" s="66">
        <f>SUM(C9:C11)</f>
        <v>9.6666666666666661</v>
      </c>
      <c r="D12" s="67">
        <f>SUM(D9:D11)</f>
        <v>165592000</v>
      </c>
      <c r="E12" s="68">
        <f>SUM(E9:E11)</f>
        <v>1.6</v>
      </c>
      <c r="F12" s="67">
        <f>SUM(F9:F11)</f>
        <v>161500000</v>
      </c>
      <c r="G12" s="77">
        <f>SUM(G9:G11)</f>
        <v>148659200</v>
      </c>
      <c r="H12" s="60"/>
      <c r="I12" s="60"/>
      <c r="J12" s="24"/>
      <c r="M12" s="48"/>
      <c r="N12" s="48"/>
    </row>
    <row r="13" spans="1:14" ht="18" x14ac:dyDescent="0.4">
      <c r="A13" s="259" t="s">
        <v>106</v>
      </c>
      <c r="B13" s="259"/>
      <c r="C13" s="69" t="str">
        <f>GanttChart!D8</f>
        <v>1398/06/01</v>
      </c>
      <c r="D13" s="260" t="s">
        <v>107</v>
      </c>
      <c r="E13" s="260"/>
      <c r="F13" s="70" t="str">
        <f>GanttChart!F8</f>
        <v>1398/08/28</v>
      </c>
      <c r="G13" s="75" t="s">
        <v>112</v>
      </c>
    </row>
    <row r="14" spans="1:14" ht="18" x14ac:dyDescent="0.45">
      <c r="A14" s="57" t="s">
        <v>108</v>
      </c>
      <c r="B14" s="71" t="str">
        <f>CONCATENATE(GanttChart!L8," روز ")</f>
        <v xml:space="preserve">89 روز </v>
      </c>
      <c r="C14" s="58" t="s">
        <v>109</v>
      </c>
      <c r="D14" s="71" t="str">
        <f>CONCATENATE(GanttChart!N8," روز کاری")</f>
        <v>76 روز کاری</v>
      </c>
      <c r="E14" s="57" t="s">
        <v>110</v>
      </c>
      <c r="F14" s="71" t="str">
        <f>CONCATENATE(ROUND(GanttChart!L8/7,0)," هفته")</f>
        <v>13 هفته</v>
      </c>
      <c r="G14" s="71" t="str">
        <f>CONCATENATE(ROUNDUP((TEXT(C12,"[M]")/60)/6,0)," نفر روز")</f>
        <v>39 نفر روز</v>
      </c>
    </row>
    <row r="15" spans="1:14" x14ac:dyDescent="0.4">
      <c r="C15" s="104"/>
    </row>
    <row r="17" spans="2:2" ht="18" x14ac:dyDescent="0.45">
      <c r="B17" s="73"/>
    </row>
  </sheetData>
  <sheetProtection algorithmName="SHA-512" hashValue="xC+XAc0KzQX2S6qxX0/uFizPeqlilPsr/7UJy/IsLlouBKUJxU+7ZdKksEJeQObbS0B9joNmXzNKWhdF9gDx+Q==" saltValue="j1ElNeDbcqLU4scxnpKBiA==" spinCount="100000" sheet="1" objects="1" scenarios="1" selectLockedCells="1"/>
  <mergeCells count="14">
    <mergeCell ref="A1:G1"/>
    <mergeCell ref="A7:G7"/>
    <mergeCell ref="A8:B8"/>
    <mergeCell ref="A12:B12"/>
    <mergeCell ref="A13:B13"/>
    <mergeCell ref="D13:E13"/>
    <mergeCell ref="B2:C2"/>
    <mergeCell ref="B3:C3"/>
    <mergeCell ref="B4:C4"/>
    <mergeCell ref="B5:C5"/>
    <mergeCell ref="D2:E2"/>
    <mergeCell ref="D3:E3"/>
    <mergeCell ref="D4:E4"/>
    <mergeCell ref="D5:E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3" filterMode="1"/>
  <dimension ref="A1:O180"/>
  <sheetViews>
    <sheetView rightToLeft="1" zoomScaleNormal="100" workbookViewId="0">
      <selection activeCell="H6" sqref="H6"/>
    </sheetView>
  </sheetViews>
  <sheetFormatPr defaultRowHeight="12.75" x14ac:dyDescent="0.2"/>
  <cols>
    <col min="2" max="2" width="1.42578125" customWidth="1"/>
    <col min="3" max="3" width="41.7109375" style="81" customWidth="1"/>
    <col min="4" max="4" width="6.42578125" style="82" customWidth="1"/>
    <col min="5" max="5" width="7" style="82" customWidth="1"/>
    <col min="6" max="6" width="6.85546875" style="82" customWidth="1"/>
    <col min="7" max="7" width="19.28515625" style="83" customWidth="1"/>
    <col min="8" max="8" width="6" style="84" customWidth="1"/>
    <col min="9" max="9" width="19.28515625" customWidth="1"/>
    <col min="12" max="12" width="15.140625" bestFit="1" customWidth="1"/>
  </cols>
  <sheetData>
    <row r="1" spans="1:15" ht="18" x14ac:dyDescent="0.2">
      <c r="B1" s="267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شرکت بیمه سامان</v>
      </c>
      <c r="C1" s="267"/>
      <c r="D1" s="268"/>
      <c r="E1" s="268"/>
      <c r="F1" s="268"/>
      <c r="G1" s="267"/>
      <c r="H1" s="267"/>
      <c r="I1" s="267"/>
    </row>
    <row r="2" spans="1:15" ht="16.5" x14ac:dyDescent="0.45">
      <c r="A2" s="269" t="s">
        <v>0</v>
      </c>
      <c r="B2" s="270"/>
      <c r="C2" s="272" t="s">
        <v>113</v>
      </c>
      <c r="D2" s="274" t="s">
        <v>114</v>
      </c>
      <c r="E2" s="274"/>
      <c r="F2" s="274"/>
      <c r="G2" s="275" t="s">
        <v>115</v>
      </c>
      <c r="H2" s="277" t="s">
        <v>144</v>
      </c>
      <c r="I2" s="279" t="s">
        <v>116</v>
      </c>
      <c r="J2" s="7"/>
      <c r="K2" s="7"/>
      <c r="L2" s="7"/>
      <c r="M2" s="7"/>
      <c r="N2" s="7"/>
      <c r="O2" s="7"/>
    </row>
    <row r="3" spans="1:15" ht="90" x14ac:dyDescent="0.45">
      <c r="A3" s="269"/>
      <c r="B3" s="271"/>
      <c r="C3" s="273"/>
      <c r="D3" s="89" t="s">
        <v>9</v>
      </c>
      <c r="E3" s="89" t="s">
        <v>104</v>
      </c>
      <c r="F3" s="89" t="s">
        <v>105</v>
      </c>
      <c r="G3" s="276"/>
      <c r="H3" s="278"/>
      <c r="I3" s="280"/>
      <c r="J3" s="7"/>
      <c r="K3" s="7"/>
      <c r="L3" s="7"/>
      <c r="M3" s="7"/>
      <c r="N3" s="7"/>
      <c r="O3" s="7"/>
    </row>
    <row r="4" spans="1:15" ht="18.75" hidden="1" x14ac:dyDescent="0.45">
      <c r="A4" s="80">
        <v>1</v>
      </c>
      <c r="B4" s="80"/>
      <c r="C4" s="85" t="str">
        <f>IFERROR(VLOOKUP($A4,GanttChart!$A:$JD,2,FALSE),"خطا")</f>
        <v>مدیریت، برنامه ریزی و کنترل پیشرفت پروژه</v>
      </c>
      <c r="D4" s="86">
        <f>IFERROR(VLOOKUP($A4,GanttChart!$A:$JD,261,FALSE),0)</f>
        <v>0</v>
      </c>
      <c r="E4" s="86">
        <f>IFERROR(VLOOKUP($A4,GanttChart!$A:$JD,262,FALSE),0)</f>
        <v>0</v>
      </c>
      <c r="F4" s="86">
        <f>IFERROR(VLOOKUP($A4,GanttChart!$A:$JD,263,FALSE),0)</f>
        <v>0</v>
      </c>
      <c r="G4" s="87">
        <f>IFERROR(VLOOKUP($A4,GanttChart!$A:$JD,264,FALSE),0)</f>
        <v>0</v>
      </c>
      <c r="H4" s="244"/>
      <c r="I4" s="87">
        <f>G4-(H4*G4)</f>
        <v>0</v>
      </c>
      <c r="J4" s="7"/>
      <c r="K4" s="7"/>
      <c r="L4" s="7"/>
      <c r="M4" s="7"/>
      <c r="N4" s="7"/>
      <c r="O4" s="7"/>
    </row>
    <row r="5" spans="1:15" ht="18.75" x14ac:dyDescent="0.45">
      <c r="A5" s="80">
        <v>1.1000000000000001</v>
      </c>
      <c r="B5" s="80"/>
      <c r="C5" s="85" t="str">
        <f>IFERROR(VLOOKUP($A5,GanttChart!$A:$JD,2,FALSE),"خطا")</f>
        <v>تهيه برنامه زمانبندي msp  و گانت چارت اجرايي پروژه</v>
      </c>
      <c r="D5" s="86">
        <f>IFERROR(VLOOKUP($A5,GanttChart!$A:$JD,261,FALSE),0)</f>
        <v>0.16666666666666666</v>
      </c>
      <c r="E5" s="86">
        <f>IFERROR(VLOOKUP($A5,GanttChart!$A:$JD,262,FALSE),0)</f>
        <v>0</v>
      </c>
      <c r="F5" s="86">
        <f>IFERROR(VLOOKUP($A5,GanttChart!$A:$JD,263,FALSE),0)</f>
        <v>0</v>
      </c>
      <c r="G5" s="87">
        <f>IFERROR(VLOOKUP($A5,GanttChart!$A:$JD,264,FALSE),0)</f>
        <v>4800000</v>
      </c>
      <c r="H5" s="244"/>
      <c r="I5" s="87">
        <f t="shared" ref="I5:I160" si="0">G5-(H5*G5)</f>
        <v>4800000</v>
      </c>
      <c r="J5" s="7"/>
      <c r="K5" s="7"/>
      <c r="L5" s="7"/>
      <c r="M5" s="7"/>
      <c r="N5" s="7"/>
      <c r="O5" s="7"/>
    </row>
    <row r="6" spans="1:15" ht="31.5" x14ac:dyDescent="0.45">
      <c r="A6" s="80">
        <v>1.2</v>
      </c>
      <c r="B6" s="80"/>
      <c r="C6" s="85" t="str">
        <f>IFERROR(VLOOKUP($A6,GanttChart!$A:$JD,2,FALSE),"خطا")</f>
        <v>جلسه اول کنترل پیشرفت پروژه ( معرفی نماینده پیمانکار - هماهنگی  تامین زیر ساخت های سخت افزاری)</v>
      </c>
      <c r="D6" s="86">
        <f>IFERROR(VLOOKUP($A6,GanttChart!$A:$JD,261,FALSE),0)</f>
        <v>0.16666666666666666</v>
      </c>
      <c r="E6" s="86">
        <f>IFERROR(VLOOKUP($A6,GanttChart!$A:$JD,262,FALSE),0)</f>
        <v>0</v>
      </c>
      <c r="F6" s="86">
        <f>IFERROR(VLOOKUP($A6,GanttChart!$A:$JD,263,FALSE),0)</f>
        <v>0</v>
      </c>
      <c r="G6" s="87">
        <f>IFERROR(VLOOKUP($A6,GanttChart!$A:$JD,264,FALSE),0)</f>
        <v>4800000</v>
      </c>
      <c r="H6" s="244"/>
      <c r="I6" s="87">
        <f t="shared" si="0"/>
        <v>4800000</v>
      </c>
      <c r="J6" s="7"/>
      <c r="K6" s="7"/>
      <c r="L6" s="7"/>
      <c r="M6" s="7"/>
      <c r="N6" s="7"/>
      <c r="O6" s="7"/>
    </row>
    <row r="7" spans="1:15" ht="18.75" x14ac:dyDescent="0.45">
      <c r="A7" s="80">
        <v>1.3</v>
      </c>
      <c r="B7" s="80"/>
      <c r="C7" s="85" t="str">
        <f>IFERROR(VLOOKUP($A7,GanttChart!$A:$JD,2,FALSE),"خطا")</f>
        <v>جلسه دوم (تایید نصب نرم افزار پورتال بر روی سرور کارفرما)</v>
      </c>
      <c r="D7" s="86">
        <f>IFERROR(VLOOKUP($A7,GanttChart!$A:$JD,261,FALSE),0)</f>
        <v>0.16666666666666666</v>
      </c>
      <c r="E7" s="86">
        <f>IFERROR(VLOOKUP($A7,GanttChart!$A:$JD,262,FALSE),0)</f>
        <v>0</v>
      </c>
      <c r="F7" s="86">
        <f>IFERROR(VLOOKUP($A7,GanttChart!$A:$JD,263,FALSE),0)</f>
        <v>0</v>
      </c>
      <c r="G7" s="87">
        <f>IFERROR(VLOOKUP($A7,GanttChart!$A:$JD,264,FALSE),0)</f>
        <v>4800000</v>
      </c>
      <c r="H7" s="244"/>
      <c r="I7" s="87">
        <f t="shared" si="0"/>
        <v>4800000</v>
      </c>
      <c r="J7" s="7"/>
      <c r="K7" s="7"/>
      <c r="L7" s="7"/>
      <c r="M7" s="7"/>
      <c r="N7" s="7"/>
      <c r="O7" s="7"/>
    </row>
    <row r="8" spans="1:15" ht="18.75" x14ac:dyDescent="0.45">
      <c r="A8" s="80">
        <v>1.4</v>
      </c>
      <c r="B8" s="80"/>
      <c r="C8" s="85" t="str">
        <f>IFERROR(VLOOKUP($A8,GanttChart!$A:$JD,2,FALSE),"خطا")</f>
        <v>جلسه سوم (نهایی سازی و تایید سند معماری محتوا )</v>
      </c>
      <c r="D8" s="86">
        <f>IFERROR(VLOOKUP($A8,GanttChart!$A:$JD,261,FALSE),0)</f>
        <v>0</v>
      </c>
      <c r="E8" s="86">
        <f>IFERROR(VLOOKUP($A8,GanttChart!$A:$JD,262,FALSE),0)</f>
        <v>0.16666666666666666</v>
      </c>
      <c r="F8" s="86">
        <f>IFERROR(VLOOKUP($A8,GanttChart!$A:$JD,263,FALSE),0)</f>
        <v>0</v>
      </c>
      <c r="G8" s="87">
        <f>IFERROR(VLOOKUP($A8,GanttChart!$A:$JD,264,FALSE),0)</f>
        <v>3664000</v>
      </c>
      <c r="H8" s="244"/>
      <c r="I8" s="87">
        <f t="shared" si="0"/>
        <v>3664000</v>
      </c>
      <c r="J8" s="7"/>
      <c r="K8" s="7"/>
      <c r="L8" s="7"/>
      <c r="M8" s="7"/>
      <c r="N8" s="7"/>
      <c r="O8" s="7"/>
    </row>
    <row r="9" spans="1:15" ht="18.75" x14ac:dyDescent="0.45">
      <c r="A9" s="80">
        <v>1.5</v>
      </c>
      <c r="B9" s="80"/>
      <c r="C9" s="85" t="str">
        <f>IFERROR(VLOOKUP($A9,GanttChart!$A:$JD,2,FALSE),"خطا")</f>
        <v>جلسه چهارم (نهایی سازی و تایید خدمات پیاده سازی پورتال اصلی)</v>
      </c>
      <c r="D9" s="86">
        <f>IFERROR(VLOOKUP($A9,GanttChart!$A:$JD,261,FALSE),0)</f>
        <v>0.25</v>
      </c>
      <c r="E9" s="86">
        <f>IFERROR(VLOOKUP($A9,GanttChart!$A:$JD,262,FALSE),0)</f>
        <v>0.16666666666666666</v>
      </c>
      <c r="F9" s="86">
        <f>IFERROR(VLOOKUP($A9,GanttChart!$A:$JD,263,FALSE),0)</f>
        <v>0</v>
      </c>
      <c r="G9" s="87">
        <f>IFERROR(VLOOKUP($A9,GanttChart!$A:$JD,264,FALSE),0)</f>
        <v>10864000</v>
      </c>
      <c r="H9" s="244"/>
      <c r="I9" s="87">
        <f t="shared" si="0"/>
        <v>10864000</v>
      </c>
      <c r="J9" s="7"/>
      <c r="K9" s="7"/>
      <c r="L9" s="7"/>
      <c r="M9" s="7"/>
      <c r="N9" s="7"/>
      <c r="O9" s="7"/>
    </row>
    <row r="10" spans="1:15" ht="31.5" x14ac:dyDescent="0.45">
      <c r="A10" s="80">
        <v>1.6</v>
      </c>
      <c r="B10" s="80"/>
      <c r="C10" s="85" t="str">
        <f>IFERROR(VLOOKUP($A10,GanttChart!$A:$JD,2,FALSE),"خطا")</f>
        <v>جلسه پنجم (بررسی مراحل طراحی نمای گرافیکی(4/6) و پیاده سازی ساختار طبقه بندی اطلاعات پورتال(3/3))</v>
      </c>
      <c r="D10" s="86">
        <f>IFERROR(VLOOKUP($A10,GanttChart!$A:$JD,261,FALSE),0)</f>
        <v>0.16666666666666666</v>
      </c>
      <c r="E10" s="86">
        <f>IFERROR(VLOOKUP($A10,GanttChart!$A:$JD,262,FALSE),0)</f>
        <v>0</v>
      </c>
      <c r="F10" s="86">
        <f>IFERROR(VLOOKUP($A10,GanttChart!$A:$JD,263,FALSE),0)</f>
        <v>0</v>
      </c>
      <c r="G10" s="87">
        <f>IFERROR(VLOOKUP($A10,GanttChart!$A:$JD,264,FALSE),0)</f>
        <v>4800000</v>
      </c>
      <c r="H10" s="244"/>
      <c r="I10" s="87">
        <f t="shared" si="0"/>
        <v>4800000</v>
      </c>
      <c r="J10" s="7"/>
      <c r="K10" s="7"/>
      <c r="L10" s="7"/>
      <c r="M10" s="7"/>
      <c r="N10" s="7"/>
      <c r="O10" s="7"/>
    </row>
    <row r="11" spans="1:15" ht="18.75" x14ac:dyDescent="0.45">
      <c r="A11" s="80">
        <v>1.7</v>
      </c>
      <c r="B11" s="80"/>
      <c r="C11" s="85" t="str">
        <f>IFERROR(VLOOKUP($A11,GanttChart!$A:$JD,2,FALSE),"خطا")</f>
        <v>جلسه پنجم ( تایید نهایی پیاده سازی قالب گرافیکی)</v>
      </c>
      <c r="D11" s="86">
        <f>IFERROR(VLOOKUP($A11,GanttChart!$A:$JD,261,FALSE),0)</f>
        <v>0</v>
      </c>
      <c r="E11" s="86">
        <f>IFERROR(VLOOKUP($A11,GanttChart!$A:$JD,262,FALSE),0)</f>
        <v>8.3333333333333329E-2</v>
      </c>
      <c r="F11" s="86">
        <f>IFERROR(VLOOKUP($A11,GanttChart!$A:$JD,263,FALSE),0)</f>
        <v>0</v>
      </c>
      <c r="G11" s="87">
        <f>IFERROR(VLOOKUP($A11,GanttChart!$A:$JD,264,FALSE),0)</f>
        <v>1832000</v>
      </c>
      <c r="H11" s="244"/>
      <c r="I11" s="87">
        <f t="shared" si="0"/>
        <v>1832000</v>
      </c>
      <c r="J11" s="7"/>
      <c r="K11" s="7"/>
      <c r="L11" s="7"/>
      <c r="M11" s="7"/>
      <c r="N11" s="7"/>
      <c r="O11" s="7"/>
    </row>
    <row r="12" spans="1:15" ht="18.75" x14ac:dyDescent="0.45">
      <c r="A12" s="80">
        <v>1.8</v>
      </c>
      <c r="B12" s="80"/>
      <c r="C12" s="85" t="str">
        <f>IFERROR(VLOOKUP($A12,GanttChart!$A:$JD,2,FALSE),"خطا")</f>
        <v>جلسه ششم (تحویل نهایی پورتال و صدور تاییدیه امنيتی و انجام پروژه)</v>
      </c>
      <c r="D12" s="86">
        <f>IFERROR(VLOOKUP($A12,GanttChart!$A:$JD,261,FALSE),0)</f>
        <v>0</v>
      </c>
      <c r="E12" s="86">
        <f>IFERROR(VLOOKUP($A12,GanttChart!$A:$JD,262,FALSE),0)</f>
        <v>0</v>
      </c>
      <c r="F12" s="86">
        <f>IFERROR(VLOOKUP($A12,GanttChart!$A:$JD,263,FALSE),0)</f>
        <v>0</v>
      </c>
      <c r="G12" s="87">
        <f>IFERROR(VLOOKUP($A12,GanttChart!$A:$JD,264,FALSE),0)</f>
        <v>0</v>
      </c>
      <c r="H12" s="244"/>
      <c r="I12" s="87">
        <f t="shared" si="0"/>
        <v>0</v>
      </c>
      <c r="J12" s="7"/>
      <c r="K12" s="7"/>
      <c r="L12" s="7"/>
      <c r="M12" s="7"/>
      <c r="N12" s="7"/>
      <c r="O12" s="7"/>
    </row>
    <row r="13" spans="1:15" ht="18.75" hidden="1" x14ac:dyDescent="0.45">
      <c r="A13" s="80">
        <v>1.9</v>
      </c>
      <c r="B13" s="80"/>
      <c r="C13" s="85">
        <f>IFERROR(VLOOKUP($A13,GanttChart!$A:$JD,2,FALSE),"خطا")</f>
        <v>0</v>
      </c>
      <c r="D13" s="86">
        <f>IFERROR(VLOOKUP($A13,GanttChart!$A:$JD,261,FALSE),0)</f>
        <v>0</v>
      </c>
      <c r="E13" s="86">
        <f>IFERROR(VLOOKUP($A13,GanttChart!$A:$JD,262,FALSE),0)</f>
        <v>0</v>
      </c>
      <c r="F13" s="86">
        <f>IFERROR(VLOOKUP($A13,GanttChart!$A:$JD,263,FALSE),0)</f>
        <v>0</v>
      </c>
      <c r="G13" s="87">
        <f>IFERROR(VLOOKUP($A13,GanttChart!$A:$JD,264,FALSE),0)</f>
        <v>0</v>
      </c>
      <c r="H13" s="244"/>
      <c r="I13" s="87">
        <f t="shared" si="0"/>
        <v>0</v>
      </c>
      <c r="J13" s="7"/>
      <c r="K13" s="7"/>
      <c r="L13" s="7"/>
      <c r="M13" s="7"/>
      <c r="N13" s="7"/>
      <c r="O13" s="7"/>
    </row>
    <row r="14" spans="1:15" ht="18.75" hidden="1" x14ac:dyDescent="0.45">
      <c r="A14" s="80">
        <v>1.1100000000000001</v>
      </c>
      <c r="B14" s="80"/>
      <c r="C14" s="85">
        <f>IFERROR(VLOOKUP($A14,GanttChart!$A:$JD,2,FALSE),"خطا")</f>
        <v>0</v>
      </c>
      <c r="D14" s="86">
        <f>IFERROR(VLOOKUP($A14,GanttChart!$A:$JD,261,FALSE),0)</f>
        <v>0</v>
      </c>
      <c r="E14" s="86">
        <f>IFERROR(VLOOKUP($A14,GanttChart!$A:$JD,262,FALSE),0)</f>
        <v>0</v>
      </c>
      <c r="F14" s="86">
        <f>IFERROR(VLOOKUP($A14,GanttChart!$A:$JD,263,FALSE),0)</f>
        <v>0</v>
      </c>
      <c r="G14" s="87">
        <f>IFERROR(VLOOKUP($A14,GanttChart!$A:$JD,264,FALSE),0)</f>
        <v>0</v>
      </c>
      <c r="H14" s="244"/>
      <c r="I14" s="87">
        <f t="shared" si="0"/>
        <v>0</v>
      </c>
      <c r="J14" s="7"/>
      <c r="K14" s="7"/>
      <c r="L14" s="7"/>
      <c r="M14" s="7"/>
      <c r="N14" s="7"/>
      <c r="O14" s="7"/>
    </row>
    <row r="15" spans="1:15" ht="18.75" hidden="1" x14ac:dyDescent="0.45">
      <c r="A15" s="80">
        <v>1.1200000000000001</v>
      </c>
      <c r="B15" s="80"/>
      <c r="C15" s="85">
        <f>IFERROR(VLOOKUP($A15,GanttChart!$A:$JD,2,FALSE),"خطا")</f>
        <v>0</v>
      </c>
      <c r="D15" s="86">
        <f>IFERROR(VLOOKUP($A15,GanttChart!$A:$JD,261,FALSE),0)</f>
        <v>0</v>
      </c>
      <c r="E15" s="86">
        <f>IFERROR(VLOOKUP($A15,GanttChart!$A:$JD,262,FALSE),0)</f>
        <v>0</v>
      </c>
      <c r="F15" s="86">
        <f>IFERROR(VLOOKUP($A15,GanttChart!$A:$JD,263,FALSE),0)</f>
        <v>0</v>
      </c>
      <c r="G15" s="87">
        <f>IFERROR(VLOOKUP($A15,GanttChart!$A:$JD,264,FALSE),0)</f>
        <v>0</v>
      </c>
      <c r="H15" s="244"/>
      <c r="I15" s="87">
        <f t="shared" si="0"/>
        <v>0</v>
      </c>
      <c r="J15" s="7"/>
      <c r="K15" s="7"/>
      <c r="L15" s="7"/>
      <c r="M15" s="7"/>
      <c r="N15" s="7"/>
      <c r="O15" s="7"/>
    </row>
    <row r="16" spans="1:15" ht="18.75" hidden="1" x14ac:dyDescent="0.45">
      <c r="A16" s="80">
        <v>1.1299999999999999</v>
      </c>
      <c r="B16" s="80"/>
      <c r="C16" s="85">
        <f>IFERROR(VLOOKUP($A16,GanttChart!$A:$JD,2,FALSE),"خطا")</f>
        <v>0</v>
      </c>
      <c r="D16" s="86">
        <f>IFERROR(VLOOKUP($A16,GanttChart!$A:$JD,261,FALSE),0)</f>
        <v>0</v>
      </c>
      <c r="E16" s="86">
        <f>IFERROR(VLOOKUP($A16,GanttChart!$A:$JD,262,FALSE),0)</f>
        <v>0</v>
      </c>
      <c r="F16" s="86">
        <f>IFERROR(VLOOKUP($A16,GanttChart!$A:$JD,263,FALSE),0)</f>
        <v>0</v>
      </c>
      <c r="G16" s="87">
        <f>IFERROR(VLOOKUP($A16,GanttChart!$A:$JD,264,FALSE),0)</f>
        <v>0</v>
      </c>
      <c r="H16" s="244"/>
      <c r="I16" s="87">
        <f t="shared" si="0"/>
        <v>0</v>
      </c>
      <c r="J16" s="7"/>
      <c r="K16" s="7"/>
      <c r="L16" s="7"/>
      <c r="M16" s="7"/>
      <c r="N16" s="7"/>
      <c r="O16" s="7"/>
    </row>
    <row r="17" spans="1:15" ht="18.75" hidden="1" x14ac:dyDescent="0.45">
      <c r="A17" s="80">
        <v>1.1399999999999999</v>
      </c>
      <c r="B17" s="80"/>
      <c r="C17" s="85">
        <f>IFERROR(VLOOKUP($A17,GanttChart!$A:$JD,2,FALSE),"خطا")</f>
        <v>0</v>
      </c>
      <c r="D17" s="86">
        <f>IFERROR(VLOOKUP($A17,GanttChart!$A:$JD,261,FALSE),0)</f>
        <v>0</v>
      </c>
      <c r="E17" s="86">
        <f>IFERROR(VLOOKUP($A17,GanttChart!$A:$JD,262,FALSE),0)</f>
        <v>0</v>
      </c>
      <c r="F17" s="86">
        <f>IFERROR(VLOOKUP($A17,GanttChart!$A:$JD,263,FALSE),0)</f>
        <v>0</v>
      </c>
      <c r="G17" s="87">
        <f>IFERROR(VLOOKUP($A17,GanttChart!$A:$JD,264,FALSE),0)</f>
        <v>0</v>
      </c>
      <c r="H17" s="244"/>
      <c r="I17" s="87">
        <f t="shared" si="0"/>
        <v>0</v>
      </c>
      <c r="J17" s="7"/>
      <c r="K17" s="7"/>
      <c r="L17" s="7"/>
      <c r="M17" s="7"/>
      <c r="N17" s="7"/>
      <c r="O17" s="7"/>
    </row>
    <row r="18" spans="1:15" ht="18.75" hidden="1" x14ac:dyDescent="0.45">
      <c r="A18" s="80">
        <v>1.1499999999999999</v>
      </c>
      <c r="B18" s="80"/>
      <c r="C18" s="85">
        <f>IFERROR(VLOOKUP($A18,GanttChart!$A:$JD,2,FALSE),"خطا")</f>
        <v>0</v>
      </c>
      <c r="D18" s="86">
        <f>IFERROR(VLOOKUP($A18,GanttChart!$A:$JD,261,FALSE),0)</f>
        <v>0</v>
      </c>
      <c r="E18" s="86">
        <f>IFERROR(VLOOKUP($A18,GanttChart!$A:$JD,262,FALSE),0)</f>
        <v>0</v>
      </c>
      <c r="F18" s="86">
        <f>IFERROR(VLOOKUP($A18,GanttChart!$A:$JD,263,FALSE),0)</f>
        <v>0</v>
      </c>
      <c r="G18" s="87">
        <f>IFERROR(VLOOKUP($A18,GanttChart!$A:$JD,264,FALSE),0)</f>
        <v>0</v>
      </c>
      <c r="H18" s="244"/>
      <c r="I18" s="87">
        <f t="shared" si="0"/>
        <v>0</v>
      </c>
      <c r="J18" s="7"/>
      <c r="K18" s="7"/>
      <c r="L18" s="7"/>
      <c r="M18" s="7"/>
      <c r="N18" s="7"/>
      <c r="O18" s="7"/>
    </row>
    <row r="19" spans="1:15" ht="18.75" hidden="1" x14ac:dyDescent="0.45">
      <c r="A19" s="80">
        <v>1.1599999999999999</v>
      </c>
      <c r="B19" s="80"/>
      <c r="C19" s="85">
        <f>IFERROR(VLOOKUP($A19,GanttChart!$A:$JD,2,FALSE),"خطا")</f>
        <v>0</v>
      </c>
      <c r="D19" s="86">
        <f>IFERROR(VLOOKUP($A19,GanttChart!$A:$JD,261,FALSE),0)</f>
        <v>0</v>
      </c>
      <c r="E19" s="86">
        <f>IFERROR(VLOOKUP($A19,GanttChart!$A:$JD,262,FALSE),0)</f>
        <v>0</v>
      </c>
      <c r="F19" s="86">
        <f>IFERROR(VLOOKUP($A19,GanttChart!$A:$JD,263,FALSE),0)</f>
        <v>0</v>
      </c>
      <c r="G19" s="87">
        <f>IFERROR(VLOOKUP($A19,GanttChart!$A:$JD,264,FALSE),0)</f>
        <v>0</v>
      </c>
      <c r="H19" s="244"/>
      <c r="I19" s="87">
        <f t="shared" si="0"/>
        <v>0</v>
      </c>
      <c r="J19" s="7"/>
      <c r="K19" s="7"/>
      <c r="L19" s="7"/>
      <c r="M19" s="7"/>
      <c r="N19" s="7"/>
      <c r="O19" s="7"/>
    </row>
    <row r="20" spans="1:15" ht="18.75" hidden="1" x14ac:dyDescent="0.45">
      <c r="A20" s="80">
        <v>1.17</v>
      </c>
      <c r="B20" s="80"/>
      <c r="C20" s="85">
        <f>IFERROR(VLOOKUP($A20,GanttChart!$A:$JD,2,FALSE),"خطا")</f>
        <v>0</v>
      </c>
      <c r="D20" s="86">
        <f>IFERROR(VLOOKUP($A20,GanttChart!$A:$JD,261,FALSE),0)</f>
        <v>0</v>
      </c>
      <c r="E20" s="86">
        <f>IFERROR(VLOOKUP($A20,GanttChart!$A:$JD,262,FALSE),0)</f>
        <v>0</v>
      </c>
      <c r="F20" s="86">
        <f>IFERROR(VLOOKUP($A20,GanttChart!$A:$JD,263,FALSE),0)</f>
        <v>0</v>
      </c>
      <c r="G20" s="87">
        <f>IFERROR(VLOOKUP($A20,GanttChart!$A:$JD,264,FALSE),0)</f>
        <v>0</v>
      </c>
      <c r="H20" s="244"/>
      <c r="I20" s="87">
        <f t="shared" si="0"/>
        <v>0</v>
      </c>
      <c r="J20" s="7"/>
      <c r="K20" s="7"/>
      <c r="L20" s="7"/>
      <c r="M20" s="7"/>
      <c r="N20" s="7"/>
      <c r="O20" s="7"/>
    </row>
    <row r="21" spans="1:15" ht="18.75" hidden="1" x14ac:dyDescent="0.45">
      <c r="A21" s="80">
        <v>1.18</v>
      </c>
      <c r="B21" s="80"/>
      <c r="C21" s="85">
        <f>IFERROR(VLOOKUP($A21,GanttChart!$A:$JD,2,FALSE),"خطا")</f>
        <v>0</v>
      </c>
      <c r="D21" s="86">
        <f>IFERROR(VLOOKUP($A21,GanttChart!$A:$JD,261,FALSE),0)</f>
        <v>0</v>
      </c>
      <c r="E21" s="86">
        <f>IFERROR(VLOOKUP($A21,GanttChart!$A:$JD,262,FALSE),0)</f>
        <v>0</v>
      </c>
      <c r="F21" s="86">
        <f>IFERROR(VLOOKUP($A21,GanttChart!$A:$JD,263,FALSE),0)</f>
        <v>0</v>
      </c>
      <c r="G21" s="87">
        <f>IFERROR(VLOOKUP($A21,GanttChart!$A:$JD,264,FALSE),0)</f>
        <v>0</v>
      </c>
      <c r="H21" s="244"/>
      <c r="I21" s="87">
        <f t="shared" si="0"/>
        <v>0</v>
      </c>
      <c r="J21" s="7"/>
      <c r="K21" s="7"/>
      <c r="L21" s="7"/>
      <c r="M21" s="7"/>
      <c r="N21" s="7"/>
      <c r="O21" s="7"/>
    </row>
    <row r="22" spans="1:15" ht="18.75" hidden="1" x14ac:dyDescent="0.45">
      <c r="A22" s="80">
        <v>1.19</v>
      </c>
      <c r="B22" s="80"/>
      <c r="C22" s="85">
        <f>IFERROR(VLOOKUP($A22,GanttChart!$A:$JD,2,FALSE),"خطا")</f>
        <v>0</v>
      </c>
      <c r="D22" s="86">
        <f>IFERROR(VLOOKUP($A22,GanttChart!$A:$JD,261,FALSE),0)</f>
        <v>0</v>
      </c>
      <c r="E22" s="86">
        <f>IFERROR(VLOOKUP($A22,GanttChart!$A:$JD,262,FALSE),0)</f>
        <v>0</v>
      </c>
      <c r="F22" s="86">
        <f>IFERROR(VLOOKUP($A22,GanttChart!$A:$JD,263,FALSE),0)</f>
        <v>0</v>
      </c>
      <c r="G22" s="87">
        <f>IFERROR(VLOOKUP($A22,GanttChart!$A:$JD,264,FALSE),0)</f>
        <v>0</v>
      </c>
      <c r="H22" s="244"/>
      <c r="I22" s="87">
        <f t="shared" si="0"/>
        <v>0</v>
      </c>
      <c r="J22" s="7"/>
      <c r="K22" s="7"/>
      <c r="L22" s="7"/>
      <c r="M22" s="7"/>
      <c r="N22" s="7"/>
      <c r="O22" s="7"/>
    </row>
    <row r="23" spans="1:15" ht="18.75" hidden="1" x14ac:dyDescent="0.45">
      <c r="A23" s="80">
        <v>1.21</v>
      </c>
      <c r="B23" s="80"/>
      <c r="C23" s="85">
        <f>IFERROR(VLOOKUP($A23,GanttChart!$A:$JD,2,FALSE),"خطا")</f>
        <v>0</v>
      </c>
      <c r="D23" s="86">
        <f>IFERROR(VLOOKUP($A23,GanttChart!$A:$JD,261,FALSE),0)</f>
        <v>0</v>
      </c>
      <c r="E23" s="86">
        <f>IFERROR(VLOOKUP($A23,GanttChart!$A:$JD,262,FALSE),0)</f>
        <v>0</v>
      </c>
      <c r="F23" s="86">
        <f>IFERROR(VLOOKUP($A23,GanttChart!$A:$JD,263,FALSE),0)</f>
        <v>0</v>
      </c>
      <c r="G23" s="87">
        <f>IFERROR(VLOOKUP($A23,GanttChart!$A:$JD,264,FALSE),0)</f>
        <v>0</v>
      </c>
      <c r="H23" s="244"/>
      <c r="I23" s="87">
        <f t="shared" si="0"/>
        <v>0</v>
      </c>
      <c r="J23" s="7"/>
      <c r="K23" s="7"/>
      <c r="L23" s="7"/>
      <c r="M23" s="7"/>
      <c r="N23" s="7"/>
      <c r="O23" s="7"/>
    </row>
    <row r="24" spans="1:15" ht="18.75" hidden="1" x14ac:dyDescent="0.45">
      <c r="A24" s="80">
        <v>1.22</v>
      </c>
      <c r="B24" s="80"/>
      <c r="C24" s="85">
        <f>IFERROR(VLOOKUP($A24,GanttChart!$A:$JD,2,FALSE),"خطا")</f>
        <v>0</v>
      </c>
      <c r="D24" s="86">
        <f>IFERROR(VLOOKUP($A24,GanttChart!$A:$JD,261,FALSE),0)</f>
        <v>0</v>
      </c>
      <c r="E24" s="86">
        <f>IFERROR(VLOOKUP($A24,GanttChart!$A:$JD,262,FALSE),0)</f>
        <v>0</v>
      </c>
      <c r="F24" s="86">
        <f>IFERROR(VLOOKUP($A24,GanttChart!$A:$JD,263,FALSE),0)</f>
        <v>0</v>
      </c>
      <c r="G24" s="87">
        <f>IFERROR(VLOOKUP($A24,GanttChart!$A:$JD,264,FALSE),0)</f>
        <v>0</v>
      </c>
      <c r="H24" s="244"/>
      <c r="I24" s="87">
        <f t="shared" si="0"/>
        <v>0</v>
      </c>
      <c r="J24" s="7"/>
      <c r="K24" s="7"/>
      <c r="L24" s="7"/>
      <c r="M24" s="7"/>
      <c r="N24" s="7"/>
      <c r="O24" s="7"/>
    </row>
    <row r="25" spans="1:15" ht="18.75" hidden="1" x14ac:dyDescent="0.45">
      <c r="A25" s="80">
        <v>1.23</v>
      </c>
      <c r="B25" s="80"/>
      <c r="C25" s="85">
        <f>IFERROR(VLOOKUP($A25,GanttChart!$A:$JD,2,FALSE),"خطا")</f>
        <v>0</v>
      </c>
      <c r="D25" s="86">
        <f>IFERROR(VLOOKUP($A25,GanttChart!$A:$JD,261,FALSE),0)</f>
        <v>0</v>
      </c>
      <c r="E25" s="86">
        <f>IFERROR(VLOOKUP($A25,GanttChart!$A:$JD,262,FALSE),0)</f>
        <v>0</v>
      </c>
      <c r="F25" s="86">
        <f>IFERROR(VLOOKUP($A25,GanttChart!$A:$JD,263,FALSE),0)</f>
        <v>0</v>
      </c>
      <c r="G25" s="87">
        <f>IFERROR(VLOOKUP($A25,GanttChart!$A:$JD,264,FALSE),0)</f>
        <v>0</v>
      </c>
      <c r="H25" s="244"/>
      <c r="I25" s="87">
        <f t="shared" si="0"/>
        <v>0</v>
      </c>
      <c r="J25" s="7"/>
      <c r="K25" s="7"/>
      <c r="L25" s="7"/>
      <c r="M25" s="7"/>
      <c r="N25" s="7"/>
      <c r="O25" s="7"/>
    </row>
    <row r="26" spans="1:15" ht="18.75" hidden="1" x14ac:dyDescent="0.45">
      <c r="A26" s="80">
        <v>2</v>
      </c>
      <c r="B26" s="80"/>
      <c r="C26" s="85" t="str">
        <f>IFERROR(VLOOKUP($A26,GanttChart!$A:$JD,2,FALSE),"خطا")</f>
        <v>استقرار زيرساخت  وآماده سازی سکوی نرم افزاری پورتال</v>
      </c>
      <c r="D26" s="86">
        <f>IFERROR(VLOOKUP($A26,GanttChart!$A:$JD,261,FALSE),0)</f>
        <v>0</v>
      </c>
      <c r="E26" s="86">
        <f>IFERROR(VLOOKUP($A26,GanttChart!$A:$JD,262,FALSE),0)</f>
        <v>0</v>
      </c>
      <c r="F26" s="86">
        <f>IFERROR(VLOOKUP($A26,GanttChart!$A:$JD,263,FALSE),0)</f>
        <v>0</v>
      </c>
      <c r="G26" s="87">
        <f>IFERROR(VLOOKUP($A26,GanttChart!$A:$JD,264,FALSE),0)</f>
        <v>0</v>
      </c>
      <c r="H26" s="244"/>
      <c r="I26" s="87">
        <f t="shared" si="0"/>
        <v>0</v>
      </c>
      <c r="J26" s="7"/>
      <c r="K26" s="7"/>
      <c r="L26" s="7"/>
      <c r="M26" s="7"/>
      <c r="N26" s="7"/>
      <c r="O26" s="7"/>
    </row>
    <row r="27" spans="1:15" ht="31.5" x14ac:dyDescent="0.45">
      <c r="A27" s="80">
        <v>2.1</v>
      </c>
      <c r="B27" s="80"/>
      <c r="C27" s="85" t="str">
        <f>IFERROR(VLOOKUP($A27,GanttChart!$A:$JD,2,FALSE),"خطا")</f>
        <v xml:space="preserve">آماده سازی زير ساخت سرور موقت و نصب سيستم عامل و مولفه های نرم افزاری پایه </v>
      </c>
      <c r="D27" s="86">
        <f>IFERROR(VLOOKUP($A27,GanttChart!$A:$JD,261,FALSE),0)</f>
        <v>0</v>
      </c>
      <c r="E27" s="86">
        <f>IFERROR(VLOOKUP($A27,GanttChart!$A:$JD,262,FALSE),0)</f>
        <v>0.33333333333333331</v>
      </c>
      <c r="F27" s="86">
        <f>IFERROR(VLOOKUP($A27,GanttChart!$A:$JD,263,FALSE),0)</f>
        <v>0</v>
      </c>
      <c r="G27" s="87">
        <f>IFERROR(VLOOKUP($A27,GanttChart!$A:$JD,264,FALSE),0)</f>
        <v>7328000</v>
      </c>
      <c r="H27" s="244"/>
      <c r="I27" s="87">
        <f t="shared" si="0"/>
        <v>7328000</v>
      </c>
      <c r="J27" s="7"/>
      <c r="K27" s="7"/>
      <c r="L27" s="7"/>
      <c r="M27" s="7"/>
      <c r="N27" s="7"/>
      <c r="O27" s="7"/>
    </row>
    <row r="28" spans="1:15" ht="31.5" x14ac:dyDescent="0.45">
      <c r="A28" s="80">
        <v>2.2000000000000002</v>
      </c>
      <c r="B28" s="80"/>
      <c r="C28" s="85" t="str">
        <f>IFERROR(VLOOKUP($A28,GanttChart!$A:$JD,2,FALSE),"خطا")</f>
        <v>نصب زیرساخت سامان سوئت و اقلام نرم افزاری مطابق جدول الف قرارداد بر روی سرور موقت</v>
      </c>
      <c r="D28" s="86">
        <f>IFERROR(VLOOKUP($A28,GanttChart!$A:$JD,261,FALSE),0)</f>
        <v>0</v>
      </c>
      <c r="E28" s="86">
        <f>IFERROR(VLOOKUP($A28,GanttChart!$A:$JD,262,FALSE),0)</f>
        <v>0</v>
      </c>
      <c r="F28" s="86">
        <f>IFERROR(VLOOKUP($A28,GanttChart!$A:$JD,263,FALSE),0)</f>
        <v>0.33333333333333331</v>
      </c>
      <c r="G28" s="87">
        <f>IFERROR(VLOOKUP($A28,GanttChart!$A:$JD,264,FALSE),0)</f>
        <v>4440000</v>
      </c>
      <c r="H28" s="244"/>
      <c r="I28" s="87">
        <f t="shared" si="0"/>
        <v>4440000</v>
      </c>
      <c r="J28" s="7"/>
      <c r="K28" s="7"/>
      <c r="L28" s="7"/>
      <c r="M28" s="7"/>
      <c r="N28" s="7"/>
      <c r="O28" s="7"/>
    </row>
    <row r="29" spans="1:15" ht="31.5" x14ac:dyDescent="0.45">
      <c r="A29" s="80">
        <v>2.2999999999999998</v>
      </c>
      <c r="B29" s="80"/>
      <c r="C29" s="85" t="str">
        <f>IFERROR(VLOOKUP($A29,GanttChart!$A:$JD,2,FALSE),"خطا")</f>
        <v xml:space="preserve">ارائه سند نيازمنديهاي شبکه و سخت افزار سرور و نرم افزار های مورد نیاز به کارفرما </v>
      </c>
      <c r="D29" s="86">
        <f>IFERROR(VLOOKUP($A29,GanttChart!$A:$JD,261,FALSE),0)</f>
        <v>0</v>
      </c>
      <c r="E29" s="86">
        <f>IFERROR(VLOOKUP($A29,GanttChart!$A:$JD,262,FALSE),0)</f>
        <v>0</v>
      </c>
      <c r="F29" s="86">
        <f>IFERROR(VLOOKUP($A29,GanttChart!$A:$JD,263,FALSE),0)</f>
        <v>4.1666666666666664E-2</v>
      </c>
      <c r="G29" s="87">
        <f>IFERROR(VLOOKUP($A29,GanttChart!$A:$JD,264,FALSE),0)</f>
        <v>555000</v>
      </c>
      <c r="H29" s="244"/>
      <c r="I29" s="87">
        <f t="shared" si="0"/>
        <v>555000</v>
      </c>
      <c r="J29" s="7"/>
      <c r="K29" s="7"/>
      <c r="L29" s="7"/>
      <c r="M29" s="7"/>
      <c r="N29" s="7"/>
      <c r="O29" s="7"/>
    </row>
    <row r="30" spans="1:15" ht="31.5" x14ac:dyDescent="0.45">
      <c r="A30" s="80">
        <v>2.4</v>
      </c>
      <c r="B30" s="80"/>
      <c r="C30" s="85" t="str">
        <f>IFERROR(VLOOKUP($A30,GanttChart!$A:$JD,2,FALSE),"خطا")</f>
        <v xml:space="preserve">تامين و آماده سازي شبکه و زيرساخت سخت افزاری و نرم افزاری مورد نياز (سرور  اصلی) توسط کارفرما </v>
      </c>
      <c r="D30" s="86">
        <f>IFERROR(VLOOKUP($A30,GanttChart!$A:$JD,261,FALSE),0)</f>
        <v>0</v>
      </c>
      <c r="E30" s="86">
        <f>IFERROR(VLOOKUP($A30,GanttChart!$A:$JD,262,FALSE),0)</f>
        <v>0</v>
      </c>
      <c r="F30" s="86">
        <f>IFERROR(VLOOKUP($A30,GanttChart!$A:$JD,263,FALSE),0)</f>
        <v>0</v>
      </c>
      <c r="G30" s="87">
        <f>IFERROR(VLOOKUP($A30,GanttChart!$A:$JD,264,FALSE),0)</f>
        <v>0</v>
      </c>
      <c r="H30" s="244"/>
      <c r="I30" s="87">
        <f t="shared" si="0"/>
        <v>0</v>
      </c>
      <c r="J30" s="7"/>
      <c r="K30" s="7"/>
      <c r="L30" s="7"/>
      <c r="M30" s="7"/>
      <c r="N30" s="7"/>
      <c r="O30" s="7"/>
    </row>
    <row r="31" spans="1:15" ht="31.5" hidden="1" x14ac:dyDescent="0.45">
      <c r="A31" s="80">
        <v>2.5</v>
      </c>
      <c r="B31" s="80"/>
      <c r="C31" s="85" t="str">
        <f>IFERROR(VLOOKUP($A31,GanttChart!$A:$JD,2,FALSE),"خطا")</f>
        <v>نصب نرم افزار سامان سوئیت و پورتال سازمانی به انضمام اقلام نرم افزاری مطابق جدول الف</v>
      </c>
      <c r="D31" s="86">
        <f>IFERROR(VLOOKUP($A31,GanttChart!$A:$JD,261,FALSE),0)</f>
        <v>0</v>
      </c>
      <c r="E31" s="86">
        <f>IFERROR(VLOOKUP($A31,GanttChart!$A:$JD,262,FALSE),0)</f>
        <v>0.16666666666666666</v>
      </c>
      <c r="F31" s="86">
        <f>IFERROR(VLOOKUP($A31,GanttChart!$A:$JD,263,FALSE),0)</f>
        <v>0</v>
      </c>
      <c r="G31" s="87">
        <f>IFERROR(VLOOKUP($A31,GanttChart!$A:$JD,264,FALSE),0)</f>
        <v>3664000</v>
      </c>
      <c r="H31" s="244"/>
      <c r="I31" s="87">
        <f t="shared" si="0"/>
        <v>3664000</v>
      </c>
      <c r="J31" s="7"/>
      <c r="K31" s="7"/>
      <c r="L31" s="7"/>
      <c r="M31" s="7"/>
      <c r="N31" s="7"/>
      <c r="O31" s="7"/>
    </row>
    <row r="32" spans="1:15" ht="18.75" x14ac:dyDescent="0.45">
      <c r="A32" s="80">
        <v>2.6</v>
      </c>
      <c r="B32" s="80"/>
      <c r="C32" s="85">
        <f>IFERROR(VLOOKUP($A32,GanttChart!$A:$JD,2,FALSE),"خطا")</f>
        <v>0</v>
      </c>
      <c r="D32" s="86">
        <f>IFERROR(VLOOKUP($A32,GanttChart!$A:$JD,261,FALSE),0)</f>
        <v>0</v>
      </c>
      <c r="E32" s="86">
        <f>IFERROR(VLOOKUP($A32,GanttChart!$A:$JD,262,FALSE),0)</f>
        <v>0</v>
      </c>
      <c r="F32" s="86">
        <f>IFERROR(VLOOKUP($A32,GanttChart!$A:$JD,263,FALSE),0)</f>
        <v>0</v>
      </c>
      <c r="G32" s="87">
        <f>IFERROR(VLOOKUP($A32,GanttChart!$A:$JD,264,FALSE),0)</f>
        <v>0</v>
      </c>
      <c r="H32" s="244"/>
      <c r="I32" s="87">
        <f t="shared" si="0"/>
        <v>0</v>
      </c>
      <c r="J32" s="7"/>
      <c r="K32" s="7"/>
      <c r="L32" s="7"/>
      <c r="M32" s="7"/>
      <c r="N32" s="7"/>
      <c r="O32" s="7"/>
    </row>
    <row r="33" spans="1:15" ht="18.75" hidden="1" x14ac:dyDescent="0.45">
      <c r="A33" s="80">
        <v>2.7</v>
      </c>
      <c r="B33" s="80"/>
      <c r="C33" s="85">
        <f>IFERROR(VLOOKUP($A33,GanttChart!$A:$JD,2,FALSE),"خطا")</f>
        <v>0</v>
      </c>
      <c r="D33" s="86">
        <f>IFERROR(VLOOKUP($A33,GanttChart!$A:$JD,261,FALSE),0)</f>
        <v>0</v>
      </c>
      <c r="E33" s="86">
        <f>IFERROR(VLOOKUP($A33,GanttChart!$A:$JD,262,FALSE),0)</f>
        <v>0</v>
      </c>
      <c r="F33" s="86">
        <f>IFERROR(VLOOKUP($A33,GanttChart!$A:$JD,263,FALSE),0)</f>
        <v>0</v>
      </c>
      <c r="G33" s="87">
        <f>IFERROR(VLOOKUP($A33,GanttChart!$A:$JD,264,FALSE),0)</f>
        <v>0</v>
      </c>
      <c r="H33" s="244"/>
      <c r="I33" s="87">
        <f t="shared" si="0"/>
        <v>0</v>
      </c>
      <c r="J33" s="7"/>
      <c r="K33" s="7"/>
      <c r="L33" s="7"/>
      <c r="M33" s="7"/>
      <c r="N33" s="7"/>
      <c r="O33" s="7"/>
    </row>
    <row r="34" spans="1:15" ht="18.75" hidden="1" x14ac:dyDescent="0.45">
      <c r="A34" s="80">
        <v>2.8</v>
      </c>
      <c r="B34" s="80"/>
      <c r="C34" s="85">
        <f>IFERROR(VLOOKUP($A34,GanttChart!$A:$JD,2,FALSE),"خطا")</f>
        <v>0</v>
      </c>
      <c r="D34" s="86">
        <f>IFERROR(VLOOKUP($A34,GanttChart!$A:$JD,261,FALSE),0)</f>
        <v>0</v>
      </c>
      <c r="E34" s="86">
        <f>IFERROR(VLOOKUP($A34,GanttChart!$A:$JD,262,FALSE),0)</f>
        <v>0</v>
      </c>
      <c r="F34" s="86">
        <f>IFERROR(VLOOKUP($A34,GanttChart!$A:$JD,263,FALSE),0)</f>
        <v>0</v>
      </c>
      <c r="G34" s="87">
        <f>IFERROR(VLOOKUP($A34,GanttChart!$A:$JD,264,FALSE),0)</f>
        <v>0</v>
      </c>
      <c r="H34" s="244"/>
      <c r="I34" s="87">
        <f t="shared" si="0"/>
        <v>0</v>
      </c>
      <c r="J34" s="7"/>
      <c r="K34" s="7"/>
      <c r="L34" s="7"/>
      <c r="M34" s="7"/>
      <c r="N34" s="7"/>
      <c r="O34" s="7"/>
    </row>
    <row r="35" spans="1:15" ht="18.75" hidden="1" x14ac:dyDescent="0.45">
      <c r="A35" s="80">
        <v>2.9</v>
      </c>
      <c r="B35" s="80"/>
      <c r="C35" s="85">
        <f>IFERROR(VLOOKUP($A35,GanttChart!$A:$JD,2,FALSE),"خطا")</f>
        <v>0</v>
      </c>
      <c r="D35" s="86">
        <f>IFERROR(VLOOKUP($A35,GanttChart!$A:$JD,261,FALSE),0)</f>
        <v>0</v>
      </c>
      <c r="E35" s="86">
        <f>IFERROR(VLOOKUP($A35,GanttChart!$A:$JD,262,FALSE),0)</f>
        <v>0</v>
      </c>
      <c r="F35" s="86">
        <f>IFERROR(VLOOKUP($A35,GanttChart!$A:$JD,263,FALSE),0)</f>
        <v>0</v>
      </c>
      <c r="G35" s="87">
        <f>IFERROR(VLOOKUP($A35,GanttChart!$A:$JD,264,FALSE),0)</f>
        <v>0</v>
      </c>
      <c r="H35" s="244"/>
      <c r="I35" s="87">
        <f t="shared" si="0"/>
        <v>0</v>
      </c>
      <c r="J35" s="7"/>
      <c r="K35" s="7"/>
      <c r="L35" s="7"/>
      <c r="M35" s="7"/>
      <c r="N35" s="7"/>
      <c r="O35" s="7"/>
    </row>
    <row r="36" spans="1:15" ht="18.75" hidden="1" x14ac:dyDescent="0.45">
      <c r="A36" s="80">
        <v>2.11</v>
      </c>
      <c r="B36" s="80"/>
      <c r="C36" s="85">
        <f>IFERROR(VLOOKUP($A36,GanttChart!$A:$JD,2,FALSE),"خطا")</f>
        <v>0</v>
      </c>
      <c r="D36" s="86">
        <f>IFERROR(VLOOKUP($A36,GanttChart!$A:$JD,261,FALSE),0)</f>
        <v>0</v>
      </c>
      <c r="E36" s="86">
        <f>IFERROR(VLOOKUP($A36,GanttChart!$A:$JD,262,FALSE),0)</f>
        <v>0</v>
      </c>
      <c r="F36" s="86">
        <f>IFERROR(VLOOKUP($A36,GanttChart!$A:$JD,263,FALSE),0)</f>
        <v>0</v>
      </c>
      <c r="G36" s="87">
        <f>IFERROR(VLOOKUP($A36,GanttChart!$A:$JD,264,FALSE),0)</f>
        <v>0</v>
      </c>
      <c r="H36" s="244"/>
      <c r="I36" s="87">
        <f t="shared" si="0"/>
        <v>0</v>
      </c>
      <c r="J36" s="7"/>
      <c r="K36" s="7"/>
      <c r="L36" s="7"/>
      <c r="M36" s="7"/>
      <c r="N36" s="7"/>
      <c r="O36" s="7"/>
    </row>
    <row r="37" spans="1:15" ht="18.75" hidden="1" x14ac:dyDescent="0.45">
      <c r="A37" s="80">
        <v>2.12</v>
      </c>
      <c r="B37" s="80"/>
      <c r="C37" s="85">
        <f>IFERROR(VLOOKUP($A37,GanttChart!$A:$JD,2,FALSE),"خطا")</f>
        <v>0</v>
      </c>
      <c r="D37" s="86">
        <f>IFERROR(VLOOKUP($A37,GanttChart!$A:$JD,261,FALSE),0)</f>
        <v>0</v>
      </c>
      <c r="E37" s="86">
        <f>IFERROR(VLOOKUP($A37,GanttChart!$A:$JD,262,FALSE),0)</f>
        <v>0</v>
      </c>
      <c r="F37" s="86">
        <f>IFERROR(VLOOKUP($A37,GanttChart!$A:$JD,263,FALSE),0)</f>
        <v>0</v>
      </c>
      <c r="G37" s="87">
        <f>IFERROR(VLOOKUP($A37,GanttChart!$A:$JD,264,FALSE),0)</f>
        <v>0</v>
      </c>
      <c r="H37" s="244"/>
      <c r="I37" s="87">
        <f t="shared" si="0"/>
        <v>0</v>
      </c>
      <c r="J37" s="7"/>
      <c r="K37" s="7"/>
      <c r="L37" s="7"/>
      <c r="M37" s="7"/>
      <c r="N37" s="7"/>
      <c r="O37" s="7"/>
    </row>
    <row r="38" spans="1:15" ht="18.75" hidden="1" x14ac:dyDescent="0.45">
      <c r="A38" s="80">
        <v>2.13</v>
      </c>
      <c r="B38" s="80"/>
      <c r="C38" s="85">
        <f>IFERROR(VLOOKUP($A38,GanttChart!$A:$JD,2,FALSE),"خطا")</f>
        <v>0</v>
      </c>
      <c r="D38" s="86">
        <f>IFERROR(VLOOKUP($A38,GanttChart!$A:$JD,261,FALSE),0)</f>
        <v>0</v>
      </c>
      <c r="E38" s="86">
        <f>IFERROR(VLOOKUP($A38,GanttChart!$A:$JD,262,FALSE),0)</f>
        <v>0</v>
      </c>
      <c r="F38" s="86">
        <f>IFERROR(VLOOKUP($A38,GanttChart!$A:$JD,263,FALSE),0)</f>
        <v>0</v>
      </c>
      <c r="G38" s="87">
        <f>IFERROR(VLOOKUP($A38,GanttChart!$A:$JD,264,FALSE),0)</f>
        <v>0</v>
      </c>
      <c r="H38" s="244"/>
      <c r="I38" s="87">
        <f t="shared" si="0"/>
        <v>0</v>
      </c>
      <c r="J38" s="7"/>
      <c r="K38" s="7"/>
      <c r="L38" s="7"/>
      <c r="M38" s="7"/>
      <c r="N38" s="7"/>
      <c r="O38" s="7"/>
    </row>
    <row r="39" spans="1:15" ht="18.75" hidden="1" x14ac:dyDescent="0.45">
      <c r="A39" s="80">
        <v>2.14</v>
      </c>
      <c r="B39" s="80"/>
      <c r="C39" s="85">
        <f>IFERROR(VLOOKUP($A39,GanttChart!$A:$JD,2,FALSE),"خطا")</f>
        <v>0</v>
      </c>
      <c r="D39" s="86">
        <f>IFERROR(VLOOKUP($A39,GanttChart!$A:$JD,261,FALSE),0)</f>
        <v>0</v>
      </c>
      <c r="E39" s="86">
        <f>IFERROR(VLOOKUP($A39,GanttChart!$A:$JD,262,FALSE),0)</f>
        <v>0</v>
      </c>
      <c r="F39" s="86">
        <f>IFERROR(VLOOKUP($A39,GanttChart!$A:$JD,263,FALSE),0)</f>
        <v>0</v>
      </c>
      <c r="G39" s="87">
        <f>IFERROR(VLOOKUP($A39,GanttChart!$A:$JD,264,FALSE),0)</f>
        <v>0</v>
      </c>
      <c r="H39" s="244"/>
      <c r="I39" s="87">
        <f t="shared" si="0"/>
        <v>0</v>
      </c>
      <c r="J39" s="7"/>
      <c r="K39" s="7"/>
      <c r="L39" s="7"/>
      <c r="M39" s="7"/>
      <c r="N39" s="7"/>
      <c r="O39" s="7"/>
    </row>
    <row r="40" spans="1:15" ht="18.75" hidden="1" x14ac:dyDescent="0.45">
      <c r="A40" s="80">
        <v>2.15</v>
      </c>
      <c r="B40" s="80"/>
      <c r="C40" s="85">
        <f>IFERROR(VLOOKUP($A40,GanttChart!$A:$JD,2,FALSE),"خطا")</f>
        <v>0</v>
      </c>
      <c r="D40" s="86">
        <f>IFERROR(VLOOKUP($A40,GanttChart!$A:$JD,261,FALSE),0)</f>
        <v>0</v>
      </c>
      <c r="E40" s="86">
        <f>IFERROR(VLOOKUP($A40,GanttChart!$A:$JD,262,FALSE),0)</f>
        <v>0</v>
      </c>
      <c r="F40" s="86">
        <f>IFERROR(VLOOKUP($A40,GanttChart!$A:$JD,263,FALSE),0)</f>
        <v>0</v>
      </c>
      <c r="G40" s="87">
        <f>IFERROR(VLOOKUP($A40,GanttChart!$A:$JD,264,FALSE),0)</f>
        <v>0</v>
      </c>
      <c r="H40" s="244"/>
      <c r="I40" s="87">
        <f t="shared" si="0"/>
        <v>0</v>
      </c>
      <c r="J40" s="7"/>
      <c r="K40" s="7"/>
      <c r="L40" s="7"/>
      <c r="M40" s="7"/>
      <c r="N40" s="7"/>
      <c r="O40" s="7"/>
    </row>
    <row r="41" spans="1:15" ht="18.75" hidden="1" x14ac:dyDescent="0.45">
      <c r="A41" s="80">
        <v>2.16</v>
      </c>
      <c r="B41" s="80"/>
      <c r="C41" s="85">
        <f>IFERROR(VLOOKUP($A41,GanttChart!$A:$JD,2,FALSE),"خطا")</f>
        <v>0</v>
      </c>
      <c r="D41" s="86">
        <f>IFERROR(VLOOKUP($A41,GanttChart!$A:$JD,261,FALSE),0)</f>
        <v>0</v>
      </c>
      <c r="E41" s="86">
        <f>IFERROR(VLOOKUP($A41,GanttChart!$A:$JD,262,FALSE),0)</f>
        <v>0</v>
      </c>
      <c r="F41" s="86">
        <f>IFERROR(VLOOKUP($A41,GanttChart!$A:$JD,263,FALSE),0)</f>
        <v>0</v>
      </c>
      <c r="G41" s="87">
        <f>IFERROR(VLOOKUP($A41,GanttChart!$A:$JD,264,FALSE),0)</f>
        <v>0</v>
      </c>
      <c r="H41" s="244"/>
      <c r="I41" s="87">
        <f t="shared" si="0"/>
        <v>0</v>
      </c>
      <c r="J41" s="7"/>
      <c r="K41" s="7"/>
      <c r="L41" s="7"/>
      <c r="M41" s="7"/>
      <c r="N41" s="7"/>
      <c r="O41" s="7"/>
    </row>
    <row r="42" spans="1:15" ht="18.75" hidden="1" x14ac:dyDescent="0.45">
      <c r="A42" s="80">
        <v>2.17</v>
      </c>
      <c r="B42" s="80"/>
      <c r="C42" s="85">
        <f>IFERROR(VLOOKUP($A42,GanttChart!$A:$JD,2,FALSE),"خطا")</f>
        <v>0</v>
      </c>
      <c r="D42" s="86">
        <f>IFERROR(VLOOKUP($A42,GanttChart!$A:$JD,261,FALSE),0)</f>
        <v>0</v>
      </c>
      <c r="E42" s="86">
        <f>IFERROR(VLOOKUP($A42,GanttChart!$A:$JD,262,FALSE),0)</f>
        <v>0</v>
      </c>
      <c r="F42" s="86">
        <f>IFERROR(VLOOKUP($A42,GanttChart!$A:$JD,263,FALSE),0)</f>
        <v>0</v>
      </c>
      <c r="G42" s="87">
        <f>IFERROR(VLOOKUP($A42,GanttChart!$A:$JD,264,FALSE),0)</f>
        <v>0</v>
      </c>
      <c r="H42" s="244"/>
      <c r="I42" s="87">
        <f t="shared" si="0"/>
        <v>0</v>
      </c>
      <c r="J42" s="7"/>
      <c r="K42" s="7"/>
      <c r="L42" s="7"/>
      <c r="M42" s="7"/>
      <c r="N42" s="7"/>
      <c r="O42" s="7"/>
    </row>
    <row r="43" spans="1:15" ht="18.75" hidden="1" x14ac:dyDescent="0.45">
      <c r="A43" s="80">
        <v>2.1800000000000002</v>
      </c>
      <c r="B43" s="80"/>
      <c r="C43" s="85">
        <f>IFERROR(VLOOKUP($A43,GanttChart!$A:$JD,2,FALSE),"خطا")</f>
        <v>0</v>
      </c>
      <c r="D43" s="86">
        <f>IFERROR(VLOOKUP($A43,GanttChart!$A:$JD,261,FALSE),0)</f>
        <v>0</v>
      </c>
      <c r="E43" s="86">
        <f>IFERROR(VLOOKUP($A43,GanttChart!$A:$JD,262,FALSE),0)</f>
        <v>0</v>
      </c>
      <c r="F43" s="86">
        <f>IFERROR(VLOOKUP($A43,GanttChart!$A:$JD,263,FALSE),0)</f>
        <v>0</v>
      </c>
      <c r="G43" s="87">
        <f>IFERROR(VLOOKUP($A43,GanttChart!$A:$JD,264,FALSE),0)</f>
        <v>0</v>
      </c>
      <c r="H43" s="244"/>
      <c r="I43" s="87">
        <f t="shared" si="0"/>
        <v>0</v>
      </c>
      <c r="J43" s="7"/>
      <c r="K43" s="7"/>
      <c r="L43" s="7"/>
      <c r="M43" s="7"/>
      <c r="N43" s="7"/>
      <c r="O43" s="7"/>
    </row>
    <row r="44" spans="1:15" ht="18.75" hidden="1" x14ac:dyDescent="0.45">
      <c r="A44" s="80">
        <v>2.19</v>
      </c>
      <c r="B44" s="80"/>
      <c r="C44" s="85">
        <f>IFERROR(VLOOKUP($A44,GanttChart!$A:$JD,2,FALSE),"خطا")</f>
        <v>0</v>
      </c>
      <c r="D44" s="86">
        <f>IFERROR(VLOOKUP($A44,GanttChart!$A:$JD,261,FALSE),0)</f>
        <v>0</v>
      </c>
      <c r="E44" s="86">
        <f>IFERROR(VLOOKUP($A44,GanttChart!$A:$JD,262,FALSE),0)</f>
        <v>0</v>
      </c>
      <c r="F44" s="86">
        <f>IFERROR(VLOOKUP($A44,GanttChart!$A:$JD,263,FALSE),0)</f>
        <v>0</v>
      </c>
      <c r="G44" s="87">
        <f>IFERROR(VLOOKUP($A44,GanttChart!$A:$JD,264,FALSE),0)</f>
        <v>0</v>
      </c>
      <c r="H44" s="244"/>
      <c r="I44" s="87">
        <f t="shared" si="0"/>
        <v>0</v>
      </c>
      <c r="J44" s="7"/>
      <c r="K44" s="7"/>
      <c r="L44" s="7"/>
      <c r="M44" s="7"/>
      <c r="N44" s="7"/>
      <c r="O44" s="7"/>
    </row>
    <row r="45" spans="1:15" ht="18.75" hidden="1" x14ac:dyDescent="0.45">
      <c r="A45" s="80">
        <v>2.21</v>
      </c>
      <c r="B45" s="80"/>
      <c r="C45" s="85" t="str">
        <f>IFERROR(VLOOKUP($A45,GanttChart!$A:$JD,2,FALSE),"خطا")</f>
        <v>خطا</v>
      </c>
      <c r="D45" s="86">
        <f>IFERROR(VLOOKUP($A45,GanttChart!$A:$JD,261,FALSE),0)</f>
        <v>0</v>
      </c>
      <c r="E45" s="86">
        <f>IFERROR(VLOOKUP($A45,GanttChart!$A:$JD,262,FALSE),0)</f>
        <v>0</v>
      </c>
      <c r="F45" s="86">
        <f>IFERROR(VLOOKUP($A45,GanttChart!$A:$JD,263,FALSE),0)</f>
        <v>0</v>
      </c>
      <c r="G45" s="87">
        <f>IFERROR(VLOOKUP($A45,GanttChart!$A:$JD,264,FALSE),0)</f>
        <v>0</v>
      </c>
      <c r="H45" s="244"/>
      <c r="I45" s="87">
        <f t="shared" si="0"/>
        <v>0</v>
      </c>
      <c r="J45" s="7"/>
      <c r="K45" s="7"/>
      <c r="L45" s="7"/>
      <c r="M45" s="7"/>
      <c r="N45" s="7"/>
      <c r="O45" s="7"/>
    </row>
    <row r="46" spans="1:15" ht="18.75" hidden="1" x14ac:dyDescent="0.45">
      <c r="A46" s="80">
        <v>2.2200000000000002</v>
      </c>
      <c r="B46" s="80"/>
      <c r="C46" s="85" t="str">
        <f>IFERROR(VLOOKUP($A46,GanttChart!$A:$JD,2,FALSE),"خطا")</f>
        <v>خطا</v>
      </c>
      <c r="D46" s="86">
        <f>IFERROR(VLOOKUP($A46,GanttChart!$A:$JD,261,FALSE),0)</f>
        <v>0</v>
      </c>
      <c r="E46" s="86">
        <f>IFERROR(VLOOKUP($A46,GanttChart!$A:$JD,262,FALSE),0)</f>
        <v>0</v>
      </c>
      <c r="F46" s="86">
        <f>IFERROR(VLOOKUP($A46,GanttChart!$A:$JD,263,FALSE),0)</f>
        <v>0</v>
      </c>
      <c r="G46" s="87">
        <f>IFERROR(VLOOKUP($A46,GanttChart!$A:$JD,264,FALSE),0)</f>
        <v>0</v>
      </c>
      <c r="H46" s="244"/>
      <c r="I46" s="87">
        <f t="shared" si="0"/>
        <v>0</v>
      </c>
      <c r="J46" s="7"/>
      <c r="K46" s="7"/>
      <c r="L46" s="7"/>
      <c r="M46" s="7"/>
      <c r="N46" s="7"/>
      <c r="O46" s="7"/>
    </row>
    <row r="47" spans="1:15" ht="18.75" hidden="1" x14ac:dyDescent="0.45">
      <c r="A47" s="80">
        <v>2.23</v>
      </c>
      <c r="B47" s="80"/>
      <c r="C47" s="85" t="str">
        <f>IFERROR(VLOOKUP($A47,GanttChart!$A:$JD,2,FALSE),"خطا")</f>
        <v>خطا</v>
      </c>
      <c r="D47" s="86">
        <f>IFERROR(VLOOKUP($A47,GanttChart!$A:$JD,261,FALSE),0)</f>
        <v>0</v>
      </c>
      <c r="E47" s="86">
        <f>IFERROR(VLOOKUP($A47,GanttChart!$A:$JD,262,FALSE),0)</f>
        <v>0</v>
      </c>
      <c r="F47" s="86">
        <f>IFERROR(VLOOKUP($A47,GanttChart!$A:$JD,263,FALSE),0)</f>
        <v>0</v>
      </c>
      <c r="G47" s="87">
        <f>IFERROR(VLOOKUP($A47,GanttChart!$A:$JD,264,FALSE),0)</f>
        <v>0</v>
      </c>
      <c r="H47" s="244"/>
      <c r="I47" s="87">
        <f t="shared" si="0"/>
        <v>0</v>
      </c>
      <c r="J47" s="7"/>
      <c r="K47" s="7"/>
      <c r="L47" s="7"/>
      <c r="M47" s="7"/>
      <c r="N47" s="7"/>
      <c r="O47" s="7"/>
    </row>
    <row r="48" spans="1:15" ht="18.75" hidden="1" x14ac:dyDescent="0.45">
      <c r="A48" s="80">
        <v>3</v>
      </c>
      <c r="B48" s="80"/>
      <c r="C48" s="85" t="str">
        <f>IFERROR(VLOOKUP($A48,GanttChart!$A:$JD,2,FALSE),"خطا")</f>
        <v xml:space="preserve">ارائه خدمات اجرایی موضوع ردیف های 1 جدول ب </v>
      </c>
      <c r="D48" s="86">
        <f>IFERROR(VLOOKUP($A48,GanttChart!$A:$JD,261,FALSE),0)</f>
        <v>0</v>
      </c>
      <c r="E48" s="86">
        <f>IFERROR(VLOOKUP($A48,GanttChart!$A:$JD,262,FALSE),0)</f>
        <v>0</v>
      </c>
      <c r="F48" s="86">
        <f>IFERROR(VLOOKUP($A48,GanttChart!$A:$JD,263,FALSE),0)</f>
        <v>0</v>
      </c>
      <c r="G48" s="87">
        <f>IFERROR(VLOOKUP($A48,GanttChart!$A:$JD,264,FALSE),0)</f>
        <v>0</v>
      </c>
      <c r="H48" s="244"/>
      <c r="I48" s="87">
        <f t="shared" si="0"/>
        <v>0</v>
      </c>
      <c r="J48" s="7"/>
      <c r="K48" s="7"/>
      <c r="L48" s="7"/>
      <c r="M48" s="7"/>
      <c r="N48" s="7"/>
      <c r="O48" s="7"/>
    </row>
    <row r="49" spans="1:15" ht="18.75" x14ac:dyDescent="0.45">
      <c r="A49" s="80">
        <v>3.1</v>
      </c>
      <c r="B49" s="80"/>
      <c r="C49" s="85" t="str">
        <f>IFERROR(VLOOKUP($A49,GanttChart!$A:$JD,2,FALSE),"خطا")</f>
        <v xml:space="preserve">جمع بندی نيازمنديهای فرايند شناخت و تدوین سند معماری محتوا </v>
      </c>
      <c r="D49" s="86">
        <f>IFERROR(VLOOKUP($A49,GanttChart!$A:$JD,261,FALSE),0)</f>
        <v>0</v>
      </c>
      <c r="E49" s="86">
        <f>IFERROR(VLOOKUP($A49,GanttChart!$A:$JD,262,FALSE),0)</f>
        <v>0</v>
      </c>
      <c r="F49" s="86">
        <f>IFERROR(VLOOKUP($A49,GanttChart!$A:$JD,263,FALSE),0)</f>
        <v>4.1666666666666664E-2</v>
      </c>
      <c r="G49" s="87">
        <f>IFERROR(VLOOKUP($A49,GanttChart!$A:$JD,264,FALSE),0)</f>
        <v>555000</v>
      </c>
      <c r="H49" s="244"/>
      <c r="I49" s="87">
        <f t="shared" si="0"/>
        <v>555000</v>
      </c>
      <c r="J49" s="7"/>
      <c r="K49" s="7"/>
      <c r="L49" s="7"/>
      <c r="M49" s="7"/>
      <c r="N49" s="7"/>
      <c r="O49" s="7"/>
    </row>
    <row r="50" spans="1:15" ht="18.75" hidden="1" x14ac:dyDescent="0.45">
      <c r="A50" s="80">
        <v>3.2</v>
      </c>
      <c r="B50" s="80"/>
      <c r="C50" s="85" t="str">
        <f>IFERROR(VLOOKUP($A50,GanttChart!$A:$JD,2,FALSE),"خطا")</f>
        <v xml:space="preserve">بررسی و تایید مستند معماری محتوا توسط کارفرما </v>
      </c>
      <c r="D50" s="86">
        <f>IFERROR(VLOOKUP($A50,GanttChart!$A:$JD,261,FALSE),0)</f>
        <v>0</v>
      </c>
      <c r="E50" s="86">
        <f>IFERROR(VLOOKUP($A50,GanttChart!$A:$JD,262,FALSE),0)</f>
        <v>0</v>
      </c>
      <c r="F50" s="86">
        <f>IFERROR(VLOOKUP($A50,GanttChart!$A:$JD,263,FALSE),0)</f>
        <v>0</v>
      </c>
      <c r="G50" s="87">
        <f>IFERROR(VLOOKUP($A50,GanttChart!$A:$JD,264,FALSE),0)</f>
        <v>0</v>
      </c>
      <c r="H50" s="244"/>
      <c r="I50" s="87">
        <f t="shared" si="0"/>
        <v>0</v>
      </c>
    </row>
    <row r="51" spans="1:15" ht="31.5" x14ac:dyDescent="0.45">
      <c r="A51" s="80">
        <v>3.3</v>
      </c>
      <c r="B51" s="80"/>
      <c r="C51" s="85" t="str">
        <f>IFERROR(VLOOKUP($A51,GanttChart!$A:$JD,2,FALSE),"خطا")</f>
        <v>پیاده سازی ساختار طبقه بندی  منطبق بر سند معماری محتوا پورتال اصلی و زیرپورتال ها</v>
      </c>
      <c r="D51" s="86">
        <f>IFERROR(VLOOKUP($A51,GanttChart!$A:$JD,261,FALSE),0)</f>
        <v>0</v>
      </c>
      <c r="E51" s="86">
        <f>IFERROR(VLOOKUP($A51,GanttChart!$A:$JD,262,FALSE),0)</f>
        <v>0</v>
      </c>
      <c r="F51" s="86">
        <f>IFERROR(VLOOKUP($A51,GanttChart!$A:$JD,263,FALSE),0)</f>
        <v>0</v>
      </c>
      <c r="G51" s="87">
        <f>IFERROR(VLOOKUP($A51,GanttChart!$A:$JD,264,FALSE),0)</f>
        <v>0</v>
      </c>
      <c r="H51" s="244"/>
      <c r="I51" s="87">
        <f t="shared" si="0"/>
        <v>0</v>
      </c>
    </row>
    <row r="52" spans="1:15" ht="18.75" hidden="1" x14ac:dyDescent="0.45">
      <c r="A52" s="80">
        <v>3.4</v>
      </c>
      <c r="B52" s="80"/>
      <c r="C52" s="85" t="str">
        <f>IFERROR(VLOOKUP($A52,GanttChart!$A:$JD,2,FALSE),"خطا")</f>
        <v>انجام فرآیند کنترل کیفی ساختار محتوا</v>
      </c>
      <c r="D52" s="86">
        <f>IFERROR(VLOOKUP($A52,GanttChart!$A:$JD,261,FALSE),0)</f>
        <v>8.3333333333333329E-2</v>
      </c>
      <c r="E52" s="86">
        <f>IFERROR(VLOOKUP($A52,GanttChart!$A:$JD,262,FALSE),0)</f>
        <v>0.16666666666666666</v>
      </c>
      <c r="F52" s="86">
        <f>IFERROR(VLOOKUP($A52,GanttChart!$A:$JD,263,FALSE),0)</f>
        <v>0.58333333333333337</v>
      </c>
      <c r="G52" s="87">
        <f>IFERROR(VLOOKUP($A52,GanttChart!$A:$JD,264,FALSE),0)</f>
        <v>13834000</v>
      </c>
      <c r="H52" s="244"/>
      <c r="I52" s="87">
        <f t="shared" si="0"/>
        <v>13834000</v>
      </c>
    </row>
    <row r="53" spans="1:15" ht="18.75" x14ac:dyDescent="0.45">
      <c r="A53" s="80">
        <v>3.5</v>
      </c>
      <c r="B53" s="80"/>
      <c r="C53" s="85">
        <f>IFERROR(VLOOKUP($A53,GanttChart!$A:$JD,2,FALSE),"خطا")</f>
        <v>0</v>
      </c>
      <c r="D53" s="86">
        <f>IFERROR(VLOOKUP($A53,GanttChart!$A:$JD,261,FALSE),0)</f>
        <v>0</v>
      </c>
      <c r="E53" s="86">
        <f>IFERROR(VLOOKUP($A53,GanttChart!$A:$JD,262,FALSE),0)</f>
        <v>0</v>
      </c>
      <c r="F53" s="86">
        <f>IFERROR(VLOOKUP($A53,GanttChart!$A:$JD,263,FALSE),0)</f>
        <v>0</v>
      </c>
      <c r="G53" s="87">
        <f>IFERROR(VLOOKUP($A53,GanttChart!$A:$JD,264,FALSE),0)</f>
        <v>0</v>
      </c>
      <c r="H53" s="244"/>
      <c r="I53" s="87">
        <f t="shared" si="0"/>
        <v>0</v>
      </c>
    </row>
    <row r="54" spans="1:15" ht="18.75" x14ac:dyDescent="0.45">
      <c r="A54" s="80">
        <v>3.6</v>
      </c>
      <c r="B54" s="80"/>
      <c r="C54" s="85">
        <f>IFERROR(VLOOKUP($A54,GanttChart!$A:$JD,2,FALSE),"خطا")</f>
        <v>0</v>
      </c>
      <c r="D54" s="86">
        <f>IFERROR(VLOOKUP($A54,GanttChart!$A:$JD,261,FALSE),0)</f>
        <v>0</v>
      </c>
      <c r="E54" s="86">
        <f>IFERROR(VLOOKUP($A54,GanttChart!$A:$JD,262,FALSE),0)</f>
        <v>0</v>
      </c>
      <c r="F54" s="86">
        <f>IFERROR(VLOOKUP($A54,GanttChart!$A:$JD,263,FALSE),0)</f>
        <v>0</v>
      </c>
      <c r="G54" s="87">
        <f>IFERROR(VLOOKUP($A54,GanttChart!$A:$JD,264,FALSE),0)</f>
        <v>0</v>
      </c>
      <c r="H54" s="244"/>
      <c r="I54" s="87">
        <f t="shared" si="0"/>
        <v>0</v>
      </c>
    </row>
    <row r="55" spans="1:15" ht="18.75" hidden="1" x14ac:dyDescent="0.45">
      <c r="A55" s="80">
        <v>3.7</v>
      </c>
      <c r="B55" s="80"/>
      <c r="C55" s="85">
        <f>IFERROR(VLOOKUP($A55,GanttChart!$A:$JD,2,FALSE),"خطا")</f>
        <v>0</v>
      </c>
      <c r="D55" s="86">
        <f>IFERROR(VLOOKUP($A55,GanttChart!$A:$JD,261,FALSE),0)</f>
        <v>8.3333333333333329E-2</v>
      </c>
      <c r="E55" s="86">
        <f>IFERROR(VLOOKUP($A55,GanttChart!$A:$JD,262,FALSE),0)</f>
        <v>0.16666666666666666</v>
      </c>
      <c r="F55" s="86">
        <f>IFERROR(VLOOKUP($A55,GanttChart!$A:$JD,263,FALSE),0)</f>
        <v>0.66666666666666663</v>
      </c>
      <c r="G55" s="87">
        <f>IFERROR(VLOOKUP($A55,GanttChart!$A:$JD,264,FALSE),0)</f>
        <v>14944000</v>
      </c>
      <c r="H55" s="244"/>
      <c r="I55" s="87">
        <f t="shared" si="0"/>
        <v>14944000</v>
      </c>
    </row>
    <row r="56" spans="1:15" ht="18.75" hidden="1" x14ac:dyDescent="0.45">
      <c r="A56" s="80">
        <v>3.8</v>
      </c>
      <c r="B56" s="80"/>
      <c r="C56" s="85">
        <f>IFERROR(VLOOKUP($A56,GanttChart!$A:$JD,2,FALSE),"خطا")</f>
        <v>0</v>
      </c>
      <c r="D56" s="86">
        <f>IFERROR(VLOOKUP($A56,GanttChart!$A:$JD,261,FALSE),0)</f>
        <v>0</v>
      </c>
      <c r="E56" s="86">
        <f>IFERROR(VLOOKUP($A56,GanttChart!$A:$JD,262,FALSE),0)</f>
        <v>8.3333333333333329E-2</v>
      </c>
      <c r="F56" s="86">
        <f>IFERROR(VLOOKUP($A56,GanttChart!$A:$JD,263,FALSE),0)</f>
        <v>0.33333333333333331</v>
      </c>
      <c r="G56" s="87">
        <f>IFERROR(VLOOKUP($A56,GanttChart!$A:$JD,264,FALSE),0)</f>
        <v>6272000</v>
      </c>
      <c r="H56" s="244"/>
      <c r="I56" s="87">
        <f t="shared" si="0"/>
        <v>6272000</v>
      </c>
    </row>
    <row r="57" spans="1:15" ht="18.75" hidden="1" x14ac:dyDescent="0.45">
      <c r="A57" s="80">
        <v>3.9</v>
      </c>
      <c r="B57" s="80"/>
      <c r="C57" s="85">
        <f>IFERROR(VLOOKUP($A57,GanttChart!$A:$JD,2,FALSE),"خطا")</f>
        <v>0</v>
      </c>
      <c r="D57" s="86">
        <f>IFERROR(VLOOKUP($A57,GanttChart!$A:$JD,261,FALSE),0)</f>
        <v>0</v>
      </c>
      <c r="E57" s="86">
        <f>IFERROR(VLOOKUP($A57,GanttChart!$A:$JD,262,FALSE),0)</f>
        <v>0</v>
      </c>
      <c r="F57" s="86">
        <f>IFERROR(VLOOKUP($A57,GanttChart!$A:$JD,263,FALSE),0)</f>
        <v>0</v>
      </c>
      <c r="G57" s="87">
        <f>IFERROR(VLOOKUP($A57,GanttChart!$A:$JD,264,FALSE),0)</f>
        <v>0</v>
      </c>
      <c r="H57" s="244"/>
      <c r="I57" s="87">
        <f t="shared" si="0"/>
        <v>0</v>
      </c>
    </row>
    <row r="58" spans="1:15" ht="18.75" hidden="1" x14ac:dyDescent="0.45">
      <c r="A58" s="80">
        <v>3.11</v>
      </c>
      <c r="B58" s="80"/>
      <c r="C58" s="85">
        <f>IFERROR(VLOOKUP($A58,GanttChart!$A:$JD,2,FALSE),"خطا")</f>
        <v>0</v>
      </c>
      <c r="D58" s="86">
        <f>IFERROR(VLOOKUP($A58,GanttChart!$A:$JD,261,FALSE),0)</f>
        <v>0</v>
      </c>
      <c r="E58" s="86">
        <f>IFERROR(VLOOKUP($A58,GanttChart!$A:$JD,262,FALSE),0)</f>
        <v>0</v>
      </c>
      <c r="F58" s="86">
        <f>IFERROR(VLOOKUP($A58,GanttChart!$A:$JD,263,FALSE),0)</f>
        <v>0</v>
      </c>
      <c r="G58" s="87">
        <f>IFERROR(VLOOKUP($A58,GanttChart!$A:$JD,264,FALSE),0)</f>
        <v>0</v>
      </c>
      <c r="H58" s="244"/>
      <c r="I58" s="87">
        <f t="shared" si="0"/>
        <v>0</v>
      </c>
    </row>
    <row r="59" spans="1:15" ht="18.75" hidden="1" x14ac:dyDescent="0.45">
      <c r="A59" s="80">
        <v>3.12</v>
      </c>
      <c r="B59" s="80"/>
      <c r="C59" s="85">
        <f>IFERROR(VLOOKUP($A59,GanttChart!$A:$JD,2,FALSE),"خطا")</f>
        <v>0</v>
      </c>
      <c r="D59" s="86">
        <f>IFERROR(VLOOKUP($A59,GanttChart!$A:$JD,261,FALSE),0)</f>
        <v>0</v>
      </c>
      <c r="E59" s="86">
        <f>IFERROR(VLOOKUP($A59,GanttChart!$A:$JD,262,FALSE),0)</f>
        <v>0</v>
      </c>
      <c r="F59" s="86">
        <f>IFERROR(VLOOKUP($A59,GanttChart!$A:$JD,263,FALSE),0)</f>
        <v>0</v>
      </c>
      <c r="G59" s="87">
        <f>IFERROR(VLOOKUP($A59,GanttChart!$A:$JD,264,FALSE),0)</f>
        <v>0</v>
      </c>
      <c r="H59" s="244"/>
      <c r="I59" s="87">
        <f t="shared" si="0"/>
        <v>0</v>
      </c>
    </row>
    <row r="60" spans="1:15" ht="18.75" hidden="1" x14ac:dyDescent="0.45">
      <c r="A60" s="80">
        <v>3.13</v>
      </c>
      <c r="B60" s="80"/>
      <c r="C60" s="85">
        <f>IFERROR(VLOOKUP($A60,GanttChart!$A:$JD,2,FALSE),"خطا")</f>
        <v>0</v>
      </c>
      <c r="D60" s="86">
        <f>IFERROR(VLOOKUP($A60,GanttChart!$A:$JD,261,FALSE),0)</f>
        <v>0</v>
      </c>
      <c r="E60" s="86">
        <f>IFERROR(VLOOKUP($A60,GanttChart!$A:$JD,262,FALSE),0)</f>
        <v>0</v>
      </c>
      <c r="F60" s="86">
        <f>IFERROR(VLOOKUP($A60,GanttChart!$A:$JD,263,FALSE),0)</f>
        <v>0</v>
      </c>
      <c r="G60" s="87">
        <f>IFERROR(VLOOKUP($A60,GanttChart!$A:$JD,264,FALSE),0)</f>
        <v>0</v>
      </c>
      <c r="H60" s="244"/>
      <c r="I60" s="87">
        <f t="shared" si="0"/>
        <v>0</v>
      </c>
    </row>
    <row r="61" spans="1:15" ht="18.75" hidden="1" x14ac:dyDescent="0.45">
      <c r="A61" s="80">
        <v>3.14</v>
      </c>
      <c r="B61" s="80"/>
      <c r="C61" s="85">
        <f>IFERROR(VLOOKUP($A61,GanttChart!$A:$JD,2,FALSE),"خطا")</f>
        <v>0</v>
      </c>
      <c r="D61" s="86">
        <f>IFERROR(VLOOKUP($A61,GanttChart!$A:$JD,261,FALSE),0)</f>
        <v>0</v>
      </c>
      <c r="E61" s="86">
        <f>IFERROR(VLOOKUP($A61,GanttChart!$A:$JD,262,FALSE),0)</f>
        <v>0</v>
      </c>
      <c r="F61" s="86">
        <f>IFERROR(VLOOKUP($A61,GanttChart!$A:$JD,263,FALSE),0)</f>
        <v>0</v>
      </c>
      <c r="G61" s="87">
        <f>IFERROR(VLOOKUP($A61,GanttChart!$A:$JD,264,FALSE),0)</f>
        <v>0</v>
      </c>
      <c r="H61" s="244"/>
      <c r="I61" s="87">
        <f t="shared" si="0"/>
        <v>0</v>
      </c>
    </row>
    <row r="62" spans="1:15" ht="18.75" hidden="1" x14ac:dyDescent="0.45">
      <c r="A62" s="80">
        <v>3.15</v>
      </c>
      <c r="B62" s="80"/>
      <c r="C62" s="85">
        <f>IFERROR(VLOOKUP($A62,GanttChart!$A:$JD,2,FALSE),"خطا")</f>
        <v>0</v>
      </c>
      <c r="D62" s="86">
        <f>IFERROR(VLOOKUP($A62,GanttChart!$A:$JD,261,FALSE),0)</f>
        <v>0</v>
      </c>
      <c r="E62" s="86">
        <f>IFERROR(VLOOKUP($A62,GanttChart!$A:$JD,262,FALSE),0)</f>
        <v>0</v>
      </c>
      <c r="F62" s="86">
        <f>IFERROR(VLOOKUP($A62,GanttChart!$A:$JD,263,FALSE),0)</f>
        <v>0</v>
      </c>
      <c r="G62" s="87">
        <f>IFERROR(VLOOKUP($A62,GanttChart!$A:$JD,264,FALSE),0)</f>
        <v>0</v>
      </c>
      <c r="H62" s="244"/>
      <c r="I62" s="87">
        <f t="shared" si="0"/>
        <v>0</v>
      </c>
    </row>
    <row r="63" spans="1:15" ht="18.75" hidden="1" x14ac:dyDescent="0.45">
      <c r="A63" s="80">
        <v>3.16</v>
      </c>
      <c r="B63" s="80"/>
      <c r="C63" s="85">
        <f>IFERROR(VLOOKUP($A63,GanttChart!$A:$JD,2,FALSE),"خطا")</f>
        <v>0</v>
      </c>
      <c r="D63" s="86">
        <f>IFERROR(VLOOKUP($A63,GanttChart!$A:$JD,261,FALSE),0)</f>
        <v>0</v>
      </c>
      <c r="E63" s="86">
        <f>IFERROR(VLOOKUP($A63,GanttChart!$A:$JD,262,FALSE),0)</f>
        <v>0</v>
      </c>
      <c r="F63" s="86">
        <f>IFERROR(VLOOKUP($A63,GanttChart!$A:$JD,263,FALSE),0)</f>
        <v>0</v>
      </c>
      <c r="G63" s="87">
        <f>IFERROR(VLOOKUP($A63,GanttChart!$A:$JD,264,FALSE),0)</f>
        <v>0</v>
      </c>
      <c r="H63" s="244"/>
      <c r="I63" s="87">
        <f t="shared" si="0"/>
        <v>0</v>
      </c>
    </row>
    <row r="64" spans="1:15" ht="18.75" hidden="1" x14ac:dyDescent="0.45">
      <c r="A64" s="80">
        <v>3.17</v>
      </c>
      <c r="B64" s="80"/>
      <c r="C64" s="85">
        <f>IFERROR(VLOOKUP($A64,GanttChart!$A:$JD,2,FALSE),"خطا")</f>
        <v>0</v>
      </c>
      <c r="D64" s="86">
        <f>IFERROR(VLOOKUP($A64,GanttChart!$A:$JD,261,FALSE),0)</f>
        <v>0</v>
      </c>
      <c r="E64" s="86">
        <f>IFERROR(VLOOKUP($A64,GanttChart!$A:$JD,262,FALSE),0)</f>
        <v>0</v>
      </c>
      <c r="F64" s="86">
        <f>IFERROR(VLOOKUP($A64,GanttChart!$A:$JD,263,FALSE),0)</f>
        <v>0</v>
      </c>
      <c r="G64" s="87">
        <f>IFERROR(VLOOKUP($A64,GanttChart!$A:$JD,264,FALSE),0)</f>
        <v>0</v>
      </c>
      <c r="H64" s="244"/>
      <c r="I64" s="87">
        <f t="shared" si="0"/>
        <v>0</v>
      </c>
    </row>
    <row r="65" spans="1:9" ht="18.75" hidden="1" x14ac:dyDescent="0.45">
      <c r="A65" s="80">
        <v>3.18</v>
      </c>
      <c r="B65" s="80"/>
      <c r="C65" s="85">
        <f>IFERROR(VLOOKUP($A65,GanttChart!$A:$JD,2,FALSE),"خطا")</f>
        <v>0</v>
      </c>
      <c r="D65" s="86">
        <f>IFERROR(VLOOKUP($A65,GanttChart!$A:$JD,261,FALSE),0)</f>
        <v>0</v>
      </c>
      <c r="E65" s="86">
        <f>IFERROR(VLOOKUP($A65,GanttChart!$A:$JD,262,FALSE),0)</f>
        <v>0</v>
      </c>
      <c r="F65" s="86">
        <f>IFERROR(VLOOKUP($A65,GanttChart!$A:$JD,263,FALSE),0)</f>
        <v>0</v>
      </c>
      <c r="G65" s="87">
        <f>IFERROR(VLOOKUP($A65,GanttChart!$A:$JD,264,FALSE),0)</f>
        <v>0</v>
      </c>
      <c r="H65" s="244"/>
      <c r="I65" s="87">
        <f t="shared" si="0"/>
        <v>0</v>
      </c>
    </row>
    <row r="66" spans="1:9" ht="18.75" hidden="1" x14ac:dyDescent="0.45">
      <c r="A66" s="80">
        <v>3.19</v>
      </c>
      <c r="B66" s="80"/>
      <c r="C66" s="85">
        <f>IFERROR(VLOOKUP($A66,GanttChart!$A:$JD,2,FALSE),"خطا")</f>
        <v>0</v>
      </c>
      <c r="D66" s="86">
        <f>IFERROR(VLOOKUP($A66,GanttChart!$A:$JD,261,FALSE),0)</f>
        <v>0</v>
      </c>
      <c r="E66" s="86">
        <f>IFERROR(VLOOKUP($A66,GanttChart!$A:$JD,262,FALSE),0)</f>
        <v>0</v>
      </c>
      <c r="F66" s="86">
        <f>IFERROR(VLOOKUP($A66,GanttChart!$A:$JD,263,FALSE),0)</f>
        <v>0</v>
      </c>
      <c r="G66" s="87">
        <f>IFERROR(VLOOKUP($A66,GanttChart!$A:$JD,264,FALSE),0)</f>
        <v>0</v>
      </c>
      <c r="H66" s="244"/>
      <c r="I66" s="87">
        <f t="shared" si="0"/>
        <v>0</v>
      </c>
    </row>
    <row r="67" spans="1:9" ht="18.75" hidden="1" x14ac:dyDescent="0.45">
      <c r="A67" s="80">
        <v>3.21</v>
      </c>
      <c r="B67" s="80"/>
      <c r="C67" s="85">
        <f>IFERROR(VLOOKUP($A67,GanttChart!$A:$JD,2,FALSE),"خطا")</f>
        <v>0</v>
      </c>
      <c r="D67" s="86">
        <f>IFERROR(VLOOKUP($A67,GanttChart!$A:$JD,261,FALSE),0)</f>
        <v>0</v>
      </c>
      <c r="E67" s="86">
        <f>IFERROR(VLOOKUP($A67,GanttChart!$A:$JD,262,FALSE),0)</f>
        <v>0</v>
      </c>
      <c r="F67" s="86">
        <f>IFERROR(VLOOKUP($A67,GanttChart!$A:$JD,263,FALSE),0)</f>
        <v>0</v>
      </c>
      <c r="G67" s="87">
        <f>IFERROR(VLOOKUP($A67,GanttChart!$A:$JD,264,FALSE),0)</f>
        <v>0</v>
      </c>
      <c r="H67" s="244"/>
      <c r="I67" s="87">
        <f t="shared" si="0"/>
        <v>0</v>
      </c>
    </row>
    <row r="68" spans="1:9" ht="18.75" hidden="1" x14ac:dyDescent="0.45">
      <c r="A68" s="80">
        <v>3.22</v>
      </c>
      <c r="B68" s="80"/>
      <c r="C68" s="85">
        <f>IFERROR(VLOOKUP($A68,GanttChart!$A:$JD,2,FALSE),"خطا")</f>
        <v>0</v>
      </c>
      <c r="D68" s="86">
        <f>IFERROR(VLOOKUP($A68,GanttChart!$A:$JD,261,FALSE),0)</f>
        <v>0</v>
      </c>
      <c r="E68" s="86">
        <f>IFERROR(VLOOKUP($A68,GanttChart!$A:$JD,262,FALSE),0)</f>
        <v>0</v>
      </c>
      <c r="F68" s="86">
        <f>IFERROR(VLOOKUP($A68,GanttChart!$A:$JD,263,FALSE),0)</f>
        <v>0</v>
      </c>
      <c r="G68" s="87">
        <f>IFERROR(VLOOKUP($A68,GanttChart!$A:$JD,264,FALSE),0)</f>
        <v>0</v>
      </c>
      <c r="H68" s="244"/>
      <c r="I68" s="87">
        <f t="shared" si="0"/>
        <v>0</v>
      </c>
    </row>
    <row r="69" spans="1:9" ht="18.75" hidden="1" x14ac:dyDescent="0.45">
      <c r="A69" s="80">
        <v>3.23</v>
      </c>
      <c r="B69" s="80"/>
      <c r="C69" s="85">
        <f>IFERROR(VLOOKUP($A69,GanttChart!$A:$JD,2,FALSE),"خطا")</f>
        <v>0</v>
      </c>
      <c r="D69" s="86">
        <f>IFERROR(VLOOKUP($A69,GanttChart!$A:$JD,261,FALSE),0)</f>
        <v>0</v>
      </c>
      <c r="E69" s="86">
        <f>IFERROR(VLOOKUP($A69,GanttChart!$A:$JD,262,FALSE),0)</f>
        <v>0</v>
      </c>
      <c r="F69" s="86">
        <f>IFERROR(VLOOKUP($A69,GanttChart!$A:$JD,263,FALSE),0)</f>
        <v>0</v>
      </c>
      <c r="G69" s="87">
        <f>IFERROR(VLOOKUP($A69,GanttChart!$A:$JD,264,FALSE),0)</f>
        <v>0</v>
      </c>
      <c r="H69" s="244"/>
      <c r="I69" s="87">
        <f t="shared" si="0"/>
        <v>0</v>
      </c>
    </row>
    <row r="70" spans="1:9" ht="31.5" hidden="1" x14ac:dyDescent="0.45">
      <c r="A70" s="80">
        <v>4</v>
      </c>
      <c r="B70" s="80"/>
      <c r="C70" s="85" t="str">
        <f>IFERROR(VLOOKUP($A70,GanttChart!$A:$JD,2,FALSE),"خطا")</f>
        <v>ارائه خدمات اجرایی موضوع ردیف 2 جدول ب قرارداد (طراحی گرافیکی ویژه)</v>
      </c>
      <c r="D70" s="86">
        <f>IFERROR(VLOOKUP($A70,GanttChart!$A:$JD,261,FALSE),0)</f>
        <v>0</v>
      </c>
      <c r="E70" s="86">
        <f>IFERROR(VLOOKUP($A70,GanttChart!$A:$JD,262,FALSE),0)</f>
        <v>0</v>
      </c>
      <c r="F70" s="86">
        <f>IFERROR(VLOOKUP($A70,GanttChart!$A:$JD,263,FALSE),0)</f>
        <v>0</v>
      </c>
      <c r="G70" s="87">
        <f>IFERROR(VLOOKUP($A70,GanttChart!$A:$JD,264,FALSE),0)</f>
        <v>0</v>
      </c>
      <c r="H70" s="244"/>
      <c r="I70" s="87">
        <f t="shared" si="0"/>
        <v>0</v>
      </c>
    </row>
    <row r="71" spans="1:9" ht="18.75" x14ac:dyDescent="0.45">
      <c r="A71" s="80">
        <v>4.0999999999999996</v>
      </c>
      <c r="B71" s="80"/>
      <c r="C71" s="85" t="str">
        <f>IFERROR(VLOOKUP($A71,GanttChart!$A:$JD,2,FALSE),"خطا")</f>
        <v xml:space="preserve">ارائه پرسش نامه نیاز سنجی محتوایی و  طراحی گرافیکی پورتال اصلی  </v>
      </c>
      <c r="D71" s="86">
        <f>IFERROR(VLOOKUP($A71,GanttChart!$A:$JD,261,FALSE),0)</f>
        <v>8.3333333333333329E-2</v>
      </c>
      <c r="E71" s="86">
        <f>IFERROR(VLOOKUP($A71,GanttChart!$A:$JD,262,FALSE),0)</f>
        <v>0.16666666666666666</v>
      </c>
      <c r="F71" s="86">
        <f>IFERROR(VLOOKUP($A71,GanttChart!$A:$JD,263,FALSE),0)</f>
        <v>0.33333333333333331</v>
      </c>
      <c r="G71" s="87">
        <f>IFERROR(VLOOKUP($A71,GanttChart!$A:$JD,264,FALSE),0)</f>
        <v>10504000</v>
      </c>
      <c r="H71" s="244"/>
      <c r="I71" s="87">
        <f t="shared" si="0"/>
        <v>10504000</v>
      </c>
    </row>
    <row r="72" spans="1:9" ht="31.5" hidden="1" x14ac:dyDescent="0.45">
      <c r="A72" s="80">
        <v>4.2</v>
      </c>
      <c r="B72" s="80"/>
      <c r="C72" s="85" t="str">
        <f>IFERROR(VLOOKUP($A72,GanttChart!$A:$JD,2,FALSE),"خطا")</f>
        <v>تکميل و ارائه پرسش نامه نیاز سنجی محتوایی و طراحی گرافیکی توسط کارفرما</v>
      </c>
      <c r="D72" s="86">
        <f>IFERROR(VLOOKUP($A72,GanttChart!$A:$JD,261,FALSE),0)</f>
        <v>0</v>
      </c>
      <c r="E72" s="86">
        <f>IFERROR(VLOOKUP($A72,GanttChart!$A:$JD,262,FALSE),0)</f>
        <v>0</v>
      </c>
      <c r="F72" s="86">
        <f>IFERROR(VLOOKUP($A72,GanttChart!$A:$JD,263,FALSE),0)</f>
        <v>0</v>
      </c>
      <c r="G72" s="87">
        <f>IFERROR(VLOOKUP($A72,GanttChart!$A:$JD,264,FALSE),0)</f>
        <v>0</v>
      </c>
      <c r="H72" s="244"/>
      <c r="I72" s="87">
        <f t="shared" si="0"/>
        <v>0</v>
      </c>
    </row>
    <row r="73" spans="1:9" ht="18.75" x14ac:dyDescent="0.45">
      <c r="A73" s="80">
        <v>4.3</v>
      </c>
      <c r="B73" s="80"/>
      <c r="C73" s="85" t="str">
        <f>IFERROR(VLOOKUP($A73,GanttChart!$A:$JD,2,FALSE),"خطا")</f>
        <v>جمع بندی نيازمنديهای گرافیکی و تهیه طرح چیدمان و اخذ تایید از کارفرما</v>
      </c>
      <c r="D73" s="86">
        <f>IFERROR(VLOOKUP($A73,GanttChart!$A:$JD,261,FALSE),0)</f>
        <v>0</v>
      </c>
      <c r="E73" s="86">
        <f>IFERROR(VLOOKUP($A73,GanttChart!$A:$JD,262,FALSE),0)</f>
        <v>0.16666666666666666</v>
      </c>
      <c r="F73" s="86">
        <f>IFERROR(VLOOKUP($A73,GanttChart!$A:$JD,263,FALSE),0)</f>
        <v>0.66666666666666663</v>
      </c>
      <c r="G73" s="87">
        <f>IFERROR(VLOOKUP($A73,GanttChart!$A:$JD,264,FALSE),0)</f>
        <v>12544000</v>
      </c>
      <c r="H73" s="244"/>
      <c r="I73" s="87">
        <f t="shared" si="0"/>
        <v>12544000</v>
      </c>
    </row>
    <row r="74" spans="1:9" ht="18.75" x14ac:dyDescent="0.45">
      <c r="A74" s="80">
        <v>4.4000000000000004</v>
      </c>
      <c r="B74" s="80"/>
      <c r="C74" s="85" t="str">
        <f>IFERROR(VLOOKUP($A74,GanttChart!$A:$JD,2,FALSE),"خطا")</f>
        <v xml:space="preserve">طراحي قالب گرافيکي پورتال اصلی </v>
      </c>
      <c r="D74" s="86">
        <f>IFERROR(VLOOKUP($A74,GanttChart!$A:$JD,261,FALSE),0)</f>
        <v>0</v>
      </c>
      <c r="E74" s="86">
        <f>IFERROR(VLOOKUP($A74,GanttChart!$A:$JD,262,FALSE),0)</f>
        <v>8.3333333333333329E-2</v>
      </c>
      <c r="F74" s="86">
        <f>IFERROR(VLOOKUP($A74,GanttChart!$A:$JD,263,FALSE),0)</f>
        <v>0.33333333333333331</v>
      </c>
      <c r="G74" s="87">
        <f>IFERROR(VLOOKUP($A74,GanttChart!$A:$JD,264,FALSE),0)</f>
        <v>6272000</v>
      </c>
      <c r="H74" s="244"/>
      <c r="I74" s="87">
        <f t="shared" si="0"/>
        <v>6272000</v>
      </c>
    </row>
    <row r="75" spans="1:9" ht="31.5" hidden="1" x14ac:dyDescent="0.45">
      <c r="A75" s="80">
        <v>4.5</v>
      </c>
      <c r="B75" s="80"/>
      <c r="C75" s="85" t="str">
        <f>IFERROR(VLOOKUP($A75,GanttChart!$A:$JD,2,FALSE),"خطا")</f>
        <v xml:space="preserve">بررسی، ارائه نظرات اصلاحی(حداکثر طی دو نوبت) و تایید طرح گرافیکی توسط کارفرما </v>
      </c>
      <c r="D75" s="86">
        <f>IFERROR(VLOOKUP($A75,GanttChart!$A:$JD,261,FALSE),0)</f>
        <v>0</v>
      </c>
      <c r="E75" s="86">
        <f>IFERROR(VLOOKUP($A75,GanttChart!$A:$JD,262,FALSE),0)</f>
        <v>0</v>
      </c>
      <c r="F75" s="86">
        <f>IFERROR(VLOOKUP($A75,GanttChart!$A:$JD,263,FALSE),0)</f>
        <v>0</v>
      </c>
      <c r="G75" s="87">
        <f>IFERROR(VLOOKUP($A75,GanttChart!$A:$JD,264,FALSE),0)</f>
        <v>0</v>
      </c>
      <c r="H75" s="244"/>
      <c r="I75" s="87">
        <f t="shared" si="0"/>
        <v>0</v>
      </c>
    </row>
    <row r="76" spans="1:9" ht="18.75" hidden="1" x14ac:dyDescent="0.45">
      <c r="A76" s="80">
        <v>4.5999999999999996</v>
      </c>
      <c r="B76" s="80"/>
      <c r="C76" s="85" t="str">
        <f>IFERROR(VLOOKUP($A76,GanttChart!$A:$JD,2,FALSE),"خطا")</f>
        <v>اصلاح طرح گرافیکی براساس نظرات کارفرما</v>
      </c>
      <c r="D76" s="86">
        <f>IFERROR(VLOOKUP($A76,GanttChart!$A:$JD,261,FALSE),0)</f>
        <v>0</v>
      </c>
      <c r="E76" s="86">
        <f>IFERROR(VLOOKUP($A76,GanttChart!$A:$JD,262,FALSE),0)</f>
        <v>0</v>
      </c>
      <c r="F76" s="86">
        <f>IFERROR(VLOOKUP($A76,GanttChart!$A:$JD,263,FALSE),0)</f>
        <v>0</v>
      </c>
      <c r="G76" s="87">
        <f>IFERROR(VLOOKUP($A76,GanttChart!$A:$JD,264,FALSE),0)</f>
        <v>0</v>
      </c>
      <c r="H76" s="244"/>
      <c r="I76" s="87">
        <f t="shared" si="0"/>
        <v>0</v>
      </c>
    </row>
    <row r="77" spans="1:9" ht="18.75" hidden="1" x14ac:dyDescent="0.45">
      <c r="A77" s="80">
        <v>4.7</v>
      </c>
      <c r="B77" s="80"/>
      <c r="C77" s="85" t="str">
        <f>IFERROR(VLOOKUP($A77,GanttChart!$A:$JD,2,FALSE),"خطا")</f>
        <v>پياده سازي نمای گرافیکی پورتال اصلی و صفحات  اصلی زیر پورتال ها</v>
      </c>
      <c r="D77" s="86">
        <f>IFERROR(VLOOKUP($A77,GanttChart!$A:$JD,261,FALSE),0)</f>
        <v>0</v>
      </c>
      <c r="E77" s="86">
        <f>IFERROR(VLOOKUP($A77,GanttChart!$A:$JD,262,FALSE),0)</f>
        <v>0</v>
      </c>
      <c r="F77" s="86">
        <f>IFERROR(VLOOKUP($A77,GanttChart!$A:$JD,263,FALSE),0)</f>
        <v>0</v>
      </c>
      <c r="G77" s="87">
        <f>IFERROR(VLOOKUP($A77,GanttChart!$A:$JD,264,FALSE),0)</f>
        <v>0</v>
      </c>
      <c r="H77" s="244"/>
      <c r="I77" s="87">
        <f t="shared" si="0"/>
        <v>0</v>
      </c>
    </row>
    <row r="78" spans="1:9" ht="18.75" hidden="1" x14ac:dyDescent="0.45">
      <c r="A78" s="80">
        <v>4.8</v>
      </c>
      <c r="B78" s="80"/>
      <c r="C78" s="85" t="str">
        <f>IFERROR(VLOOKUP($A78,GanttChart!$A:$JD,2,FALSE),"خطا")</f>
        <v>انجام فرآیند کنترل کیفی نمای گرافیکی پورتال اصلی و زیر پورتال ها</v>
      </c>
      <c r="D78" s="86">
        <f>IFERROR(VLOOKUP($A78,GanttChart!$A:$JD,261,FALSE),0)</f>
        <v>0</v>
      </c>
      <c r="E78" s="86">
        <f>IFERROR(VLOOKUP($A78,GanttChart!$A:$JD,262,FALSE),0)</f>
        <v>0</v>
      </c>
      <c r="F78" s="86">
        <f>IFERROR(VLOOKUP($A78,GanttChart!$A:$JD,263,FALSE),0)</f>
        <v>0</v>
      </c>
      <c r="G78" s="87">
        <f>IFERROR(VLOOKUP($A78,GanttChart!$A:$JD,264,FALSE),0)</f>
        <v>0</v>
      </c>
      <c r="H78" s="244"/>
      <c r="I78" s="87">
        <f t="shared" si="0"/>
        <v>0</v>
      </c>
    </row>
    <row r="79" spans="1:9" ht="18.75" hidden="1" x14ac:dyDescent="0.45">
      <c r="A79" s="80">
        <v>4.9000000000000004</v>
      </c>
      <c r="B79" s="80"/>
      <c r="C79" s="85">
        <f>IFERROR(VLOOKUP($A79,GanttChart!$A:$JD,2,FALSE),"خطا")</f>
        <v>0</v>
      </c>
      <c r="D79" s="86">
        <f>IFERROR(VLOOKUP($A79,GanttChart!$A:$JD,261,FALSE),0)</f>
        <v>0</v>
      </c>
      <c r="E79" s="86">
        <f>IFERROR(VLOOKUP($A79,GanttChart!$A:$JD,262,FALSE),0)</f>
        <v>0</v>
      </c>
      <c r="F79" s="86">
        <f>IFERROR(VLOOKUP($A79,GanttChart!$A:$JD,263,FALSE),0)</f>
        <v>0</v>
      </c>
      <c r="G79" s="87">
        <f>IFERROR(VLOOKUP($A79,GanttChart!$A:$JD,264,FALSE),0)</f>
        <v>0</v>
      </c>
      <c r="H79" s="244"/>
      <c r="I79" s="87">
        <f t="shared" si="0"/>
        <v>0</v>
      </c>
    </row>
    <row r="80" spans="1:9" ht="18.75" hidden="1" x14ac:dyDescent="0.45">
      <c r="A80" s="80">
        <v>4.1100000000000003</v>
      </c>
      <c r="B80" s="80"/>
      <c r="C80" s="85">
        <f>IFERROR(VLOOKUP($A80,GanttChart!$A:$JD,2,FALSE),"خطا")</f>
        <v>0</v>
      </c>
      <c r="D80" s="86">
        <f>IFERROR(VLOOKUP($A80,GanttChart!$A:$JD,261,FALSE),0)</f>
        <v>0</v>
      </c>
      <c r="E80" s="86">
        <f>IFERROR(VLOOKUP($A80,GanttChart!$A:$JD,262,FALSE),0)</f>
        <v>0</v>
      </c>
      <c r="F80" s="86">
        <f>IFERROR(VLOOKUP($A80,GanttChart!$A:$JD,263,FALSE),0)</f>
        <v>0</v>
      </c>
      <c r="G80" s="87">
        <f>IFERROR(VLOOKUP($A80,GanttChart!$A:$JD,264,FALSE),0)</f>
        <v>0</v>
      </c>
      <c r="H80" s="244"/>
      <c r="I80" s="87">
        <f t="shared" si="0"/>
        <v>0</v>
      </c>
    </row>
    <row r="81" spans="1:12" ht="18.75" hidden="1" x14ac:dyDescent="0.45">
      <c r="A81" s="80">
        <v>4.12</v>
      </c>
      <c r="B81" s="80"/>
      <c r="C81" s="85">
        <f>IFERROR(VLOOKUP($A81,GanttChart!$A:$JD,2,FALSE),"خطا")</f>
        <v>0</v>
      </c>
      <c r="D81" s="86">
        <f>IFERROR(VLOOKUP($A81,GanttChart!$A:$JD,261,FALSE),0)</f>
        <v>0</v>
      </c>
      <c r="E81" s="86">
        <f>IFERROR(VLOOKUP($A81,GanttChart!$A:$JD,262,FALSE),0)</f>
        <v>0</v>
      </c>
      <c r="F81" s="86">
        <f>IFERROR(VLOOKUP($A81,GanttChart!$A:$JD,263,FALSE),0)</f>
        <v>0</v>
      </c>
      <c r="G81" s="87">
        <f>IFERROR(VLOOKUP($A81,GanttChart!$A:$JD,264,FALSE),0)</f>
        <v>0</v>
      </c>
      <c r="H81" s="244"/>
      <c r="I81" s="87">
        <f t="shared" si="0"/>
        <v>0</v>
      </c>
    </row>
    <row r="82" spans="1:12" ht="18.75" hidden="1" x14ac:dyDescent="0.45">
      <c r="A82" s="80">
        <v>4.13</v>
      </c>
      <c r="B82" s="80"/>
      <c r="C82" s="85">
        <f>IFERROR(VLOOKUP($A82,GanttChart!$A:$JD,2,FALSE),"خطا")</f>
        <v>0</v>
      </c>
      <c r="D82" s="86">
        <f>IFERROR(VLOOKUP($A82,GanttChart!$A:$JD,261,FALSE),0)</f>
        <v>0</v>
      </c>
      <c r="E82" s="86">
        <f>IFERROR(VLOOKUP($A82,GanttChart!$A:$JD,262,FALSE),0)</f>
        <v>0</v>
      </c>
      <c r="F82" s="86">
        <f>IFERROR(VLOOKUP($A82,GanttChart!$A:$JD,263,FALSE),0)</f>
        <v>0</v>
      </c>
      <c r="G82" s="87">
        <f>IFERROR(VLOOKUP($A82,GanttChart!$A:$JD,264,FALSE),0)</f>
        <v>0</v>
      </c>
      <c r="H82" s="244"/>
      <c r="I82" s="87">
        <f t="shared" si="0"/>
        <v>0</v>
      </c>
    </row>
    <row r="83" spans="1:12" ht="18.75" hidden="1" x14ac:dyDescent="0.45">
      <c r="A83" s="80">
        <v>4.1399999999999997</v>
      </c>
      <c r="B83" s="80"/>
      <c r="C83" s="85">
        <f>IFERROR(VLOOKUP($A83,GanttChart!$A:$JD,2,FALSE),"خطا")</f>
        <v>0</v>
      </c>
      <c r="D83" s="86">
        <f>IFERROR(VLOOKUP($A83,GanttChart!$A:$JD,261,FALSE),0)</f>
        <v>0</v>
      </c>
      <c r="E83" s="86">
        <f>IFERROR(VLOOKUP($A83,GanttChart!$A:$JD,262,FALSE),0)</f>
        <v>0</v>
      </c>
      <c r="F83" s="86">
        <f>IFERROR(VLOOKUP($A83,GanttChart!$A:$JD,263,FALSE),0)</f>
        <v>0</v>
      </c>
      <c r="G83" s="87">
        <f>IFERROR(VLOOKUP($A83,GanttChart!$A:$JD,264,FALSE),0)</f>
        <v>0</v>
      </c>
      <c r="H83" s="244"/>
      <c r="I83" s="87">
        <f t="shared" si="0"/>
        <v>0</v>
      </c>
    </row>
    <row r="84" spans="1:12" ht="18.75" hidden="1" x14ac:dyDescent="0.45">
      <c r="A84" s="80">
        <v>4.1500000000000004</v>
      </c>
      <c r="B84" s="80"/>
      <c r="C84" s="85">
        <f>IFERROR(VLOOKUP($A84,GanttChart!$A:$JD,2,FALSE),"خطا")</f>
        <v>0</v>
      </c>
      <c r="D84" s="86">
        <f>IFERROR(VLOOKUP($A84,GanttChart!$A:$JD,261,FALSE),0)</f>
        <v>0</v>
      </c>
      <c r="E84" s="86">
        <f>IFERROR(VLOOKUP($A84,GanttChart!$A:$JD,262,FALSE),0)</f>
        <v>0</v>
      </c>
      <c r="F84" s="86">
        <f>IFERROR(VLOOKUP($A84,GanttChart!$A:$JD,263,FALSE),0)</f>
        <v>0</v>
      </c>
      <c r="G84" s="87">
        <f>IFERROR(VLOOKUP($A84,GanttChart!$A:$JD,264,FALSE),0)</f>
        <v>0</v>
      </c>
      <c r="H84" s="244"/>
      <c r="I84" s="87">
        <f t="shared" si="0"/>
        <v>0</v>
      </c>
    </row>
    <row r="85" spans="1:12" ht="18.75" hidden="1" x14ac:dyDescent="0.45">
      <c r="A85" s="80">
        <v>4.16</v>
      </c>
      <c r="B85" s="80"/>
      <c r="C85" s="85">
        <f>IFERROR(VLOOKUP($A85,GanttChart!$A:$JD,2,FALSE),"خطا")</f>
        <v>0</v>
      </c>
      <c r="D85" s="86">
        <f>IFERROR(VLOOKUP($A85,GanttChart!$A:$JD,261,FALSE),0)</f>
        <v>0</v>
      </c>
      <c r="E85" s="86">
        <f>IFERROR(VLOOKUP($A85,GanttChart!$A:$JD,262,FALSE),0)</f>
        <v>0</v>
      </c>
      <c r="F85" s="86">
        <f>IFERROR(VLOOKUP($A85,GanttChart!$A:$JD,263,FALSE),0)</f>
        <v>0</v>
      </c>
      <c r="G85" s="87">
        <f>IFERROR(VLOOKUP($A85,GanttChart!$A:$JD,264,FALSE),0)</f>
        <v>0</v>
      </c>
      <c r="H85" s="244"/>
      <c r="I85" s="87">
        <f t="shared" si="0"/>
        <v>0</v>
      </c>
    </row>
    <row r="86" spans="1:12" ht="18.75" hidden="1" x14ac:dyDescent="0.45">
      <c r="A86" s="80">
        <v>4.17</v>
      </c>
      <c r="B86" s="80"/>
      <c r="C86" s="85">
        <f>IFERROR(VLOOKUP($A86,GanttChart!$A:$JD,2,FALSE),"خطا")</f>
        <v>0</v>
      </c>
      <c r="D86" s="86">
        <f>IFERROR(VLOOKUP($A86,GanttChart!$A:$JD,261,FALSE),0)</f>
        <v>0</v>
      </c>
      <c r="E86" s="86">
        <f>IFERROR(VLOOKUP($A86,GanttChart!$A:$JD,262,FALSE),0)</f>
        <v>0</v>
      </c>
      <c r="F86" s="86">
        <f>IFERROR(VLOOKUP($A86,GanttChart!$A:$JD,263,FALSE),0)</f>
        <v>0</v>
      </c>
      <c r="G86" s="87">
        <f>IFERROR(VLOOKUP($A86,GanttChart!$A:$JD,264,FALSE),0)</f>
        <v>0</v>
      </c>
      <c r="H86" s="244"/>
      <c r="I86" s="87">
        <f t="shared" si="0"/>
        <v>0</v>
      </c>
    </row>
    <row r="87" spans="1:12" ht="18.75" hidden="1" x14ac:dyDescent="0.45">
      <c r="A87" s="80">
        <v>4.18</v>
      </c>
      <c r="B87" s="80"/>
      <c r="C87" s="85">
        <f>IFERROR(VLOOKUP($A87,GanttChart!$A:$JD,2,FALSE),"خطا")</f>
        <v>0</v>
      </c>
      <c r="D87" s="86">
        <f>IFERROR(VLOOKUP($A87,GanttChart!$A:$JD,261,FALSE),0)</f>
        <v>0</v>
      </c>
      <c r="E87" s="86">
        <f>IFERROR(VLOOKUP($A87,GanttChart!$A:$JD,262,FALSE),0)</f>
        <v>0</v>
      </c>
      <c r="F87" s="86">
        <f>IFERROR(VLOOKUP($A87,GanttChart!$A:$JD,263,FALSE),0)</f>
        <v>0</v>
      </c>
      <c r="G87" s="87">
        <f>IFERROR(VLOOKUP($A87,GanttChart!$A:$JD,264,FALSE),0)</f>
        <v>0</v>
      </c>
      <c r="H87" s="244"/>
      <c r="I87" s="87">
        <f t="shared" si="0"/>
        <v>0</v>
      </c>
    </row>
    <row r="88" spans="1:12" ht="18.75" hidden="1" x14ac:dyDescent="0.45">
      <c r="A88" s="80">
        <v>4.1900000000000004</v>
      </c>
      <c r="B88" s="80"/>
      <c r="C88" s="85">
        <f>IFERROR(VLOOKUP($A88,GanttChart!$A:$JD,2,FALSE),"خطا")</f>
        <v>0</v>
      </c>
      <c r="D88" s="86">
        <f>IFERROR(VLOOKUP($A88,GanttChart!$A:$JD,261,FALSE),0)</f>
        <v>0</v>
      </c>
      <c r="E88" s="86">
        <f>IFERROR(VLOOKUP($A88,GanttChart!$A:$JD,262,FALSE),0)</f>
        <v>0</v>
      </c>
      <c r="F88" s="86">
        <f>IFERROR(VLOOKUP($A88,GanttChart!$A:$JD,263,FALSE),0)</f>
        <v>0</v>
      </c>
      <c r="G88" s="87">
        <f>IFERROR(VLOOKUP($A88,GanttChart!$A:$JD,264,FALSE),0)</f>
        <v>0</v>
      </c>
      <c r="H88" s="244"/>
      <c r="I88" s="87">
        <f t="shared" si="0"/>
        <v>0</v>
      </c>
    </row>
    <row r="89" spans="1:12" ht="18.75" hidden="1" x14ac:dyDescent="0.45">
      <c r="A89" s="80">
        <v>4.21</v>
      </c>
      <c r="B89" s="80"/>
      <c r="C89" s="85">
        <f>IFERROR(VLOOKUP($A89,GanttChart!$A:$JD,2,FALSE),"خطا")</f>
        <v>0</v>
      </c>
      <c r="D89" s="86">
        <f>IFERROR(VLOOKUP($A89,GanttChart!$A:$JD,261,FALSE),0)</f>
        <v>0</v>
      </c>
      <c r="E89" s="86">
        <f>IFERROR(VLOOKUP($A89,GanttChart!$A:$JD,262,FALSE),0)</f>
        <v>0</v>
      </c>
      <c r="F89" s="86">
        <f>IFERROR(VLOOKUP($A89,GanttChart!$A:$JD,263,FALSE),0)</f>
        <v>0</v>
      </c>
      <c r="G89" s="87">
        <f>IFERROR(VLOOKUP($A89,GanttChart!$A:$JD,264,FALSE),0)</f>
        <v>0</v>
      </c>
      <c r="H89" s="244"/>
      <c r="I89" s="87">
        <f t="shared" si="0"/>
        <v>0</v>
      </c>
    </row>
    <row r="90" spans="1:12" ht="18.75" hidden="1" x14ac:dyDescent="0.45">
      <c r="A90" s="80">
        <v>4.22</v>
      </c>
      <c r="B90" s="80"/>
      <c r="C90" s="85">
        <f>IFERROR(VLOOKUP($A90,GanttChart!$A:$JD,2,FALSE),"خطا")</f>
        <v>0</v>
      </c>
      <c r="D90" s="86">
        <f>IFERROR(VLOOKUP($A90,GanttChart!$A:$JD,261,FALSE),0)</f>
        <v>0</v>
      </c>
      <c r="E90" s="86">
        <f>IFERROR(VLOOKUP($A90,GanttChart!$A:$JD,262,FALSE),0)</f>
        <v>0</v>
      </c>
      <c r="F90" s="86">
        <f>IFERROR(VLOOKUP($A90,GanttChart!$A:$JD,263,FALSE),0)</f>
        <v>0</v>
      </c>
      <c r="G90" s="87">
        <f>IFERROR(VLOOKUP($A90,GanttChart!$A:$JD,264,FALSE),0)</f>
        <v>0</v>
      </c>
      <c r="H90" s="244"/>
      <c r="I90" s="87">
        <f t="shared" si="0"/>
        <v>0</v>
      </c>
    </row>
    <row r="91" spans="1:12" ht="18.75" hidden="1" x14ac:dyDescent="0.45">
      <c r="A91" s="80">
        <v>4.2300000000000004</v>
      </c>
      <c r="B91" s="80"/>
      <c r="C91" s="85">
        <f>IFERROR(VLOOKUP($A91,GanttChart!$A:$JD,2,FALSE),"خطا")</f>
        <v>0</v>
      </c>
      <c r="D91" s="86">
        <f>IFERROR(VLOOKUP($A91,GanttChart!$A:$JD,261,FALSE),0)</f>
        <v>0</v>
      </c>
      <c r="E91" s="86">
        <f>IFERROR(VLOOKUP($A91,GanttChart!$A:$JD,262,FALSE),0)</f>
        <v>0</v>
      </c>
      <c r="F91" s="86">
        <f>IFERROR(VLOOKUP($A91,GanttChart!$A:$JD,263,FALSE),0)</f>
        <v>0</v>
      </c>
      <c r="G91" s="87">
        <f>IFERROR(VLOOKUP($A91,GanttChart!$A:$JD,264,FALSE),0)</f>
        <v>0</v>
      </c>
      <c r="H91" s="244"/>
      <c r="I91" s="87">
        <f t="shared" si="0"/>
        <v>0</v>
      </c>
    </row>
    <row r="92" spans="1:12" ht="18.75" hidden="1" x14ac:dyDescent="0.45">
      <c r="A92" s="80">
        <v>5</v>
      </c>
      <c r="B92" s="80"/>
      <c r="C92" s="85" t="str">
        <f>IFERROR(VLOOKUP($A92,GanttChart!$A:$JD,2,FALSE),"خطا")</f>
        <v>سفارشی سازی محصول</v>
      </c>
      <c r="D92" s="86">
        <f>IFERROR(VLOOKUP($A92,GanttChart!$A:$JD,261,FALSE),0)</f>
        <v>0</v>
      </c>
      <c r="E92" s="86">
        <f>IFERROR(VLOOKUP($A92,GanttChart!$A:$JD,262,FALSE),0)</f>
        <v>0</v>
      </c>
      <c r="F92" s="86">
        <f>IFERROR(VLOOKUP($A92,GanttChart!$A:$JD,263,FALSE),0)</f>
        <v>0</v>
      </c>
      <c r="G92" s="87">
        <f>IFERROR(VLOOKUP($A92,GanttChart!$A:$JD,264,FALSE),0)</f>
        <v>0</v>
      </c>
      <c r="H92" s="244"/>
      <c r="I92" s="87">
        <f t="shared" si="0"/>
        <v>0</v>
      </c>
    </row>
    <row r="93" spans="1:12" ht="18.75" x14ac:dyDescent="0.45">
      <c r="A93" s="80">
        <v>5.0999999999999996</v>
      </c>
      <c r="C93" s="85">
        <f>IFERROR(VLOOKUP($A93,GanttChart!$A:$JD,2,FALSE),"خطا")</f>
        <v>0</v>
      </c>
      <c r="D93" s="86">
        <f>IFERROR(VLOOKUP($A93,GanttChart!$A:$JD,261,FALSE),0)</f>
        <v>0</v>
      </c>
      <c r="E93" s="86">
        <f>IFERROR(VLOOKUP($A93,GanttChart!$A:$JD,262,FALSE),0)</f>
        <v>0</v>
      </c>
      <c r="F93" s="86">
        <f>IFERROR(VLOOKUP($A93,GanttChart!$A:$JD,263,FALSE),0)</f>
        <v>0</v>
      </c>
      <c r="G93" s="87">
        <f>IFERROR(VLOOKUP($A93,GanttChart!$A:$JD,264,FALSE),0)</f>
        <v>0</v>
      </c>
      <c r="H93" s="244"/>
      <c r="I93" s="87">
        <f t="shared" si="0"/>
        <v>0</v>
      </c>
      <c r="K93" s="84"/>
      <c r="L93" s="90"/>
    </row>
    <row r="94" spans="1:12" ht="18.75" x14ac:dyDescent="0.45">
      <c r="A94" s="80">
        <v>5.2</v>
      </c>
      <c r="C94" s="85">
        <f>IFERROR(VLOOKUP($A94,GanttChart!$A:$JD,2,FALSE),"خطا")</f>
        <v>0</v>
      </c>
      <c r="D94" s="86">
        <f>IFERROR(VLOOKUP($A94,GanttChart!$A:$JD,261,FALSE),0)</f>
        <v>0</v>
      </c>
      <c r="E94" s="86">
        <f>IFERROR(VLOOKUP($A94,GanttChart!$A:$JD,262,FALSE),0)</f>
        <v>0</v>
      </c>
      <c r="F94" s="86">
        <f>IFERROR(VLOOKUP($A94,GanttChart!$A:$JD,263,FALSE),0)</f>
        <v>0</v>
      </c>
      <c r="G94" s="87">
        <f>IFERROR(VLOOKUP($A94,GanttChart!$A:$JD,264,FALSE),0)</f>
        <v>0</v>
      </c>
      <c r="H94" s="244"/>
      <c r="I94" s="87">
        <f t="shared" si="0"/>
        <v>0</v>
      </c>
    </row>
    <row r="95" spans="1:12" ht="18.75" x14ac:dyDescent="0.45">
      <c r="A95" s="80">
        <v>5.3</v>
      </c>
      <c r="C95" s="85">
        <f>IFERROR(VLOOKUP($A95,GanttChart!$A:$JD,2,FALSE),"خطا")</f>
        <v>0</v>
      </c>
      <c r="D95" s="86">
        <f>IFERROR(VLOOKUP($A95,GanttChart!$A:$JD,261,FALSE),0)</f>
        <v>0</v>
      </c>
      <c r="E95" s="86">
        <f>IFERROR(VLOOKUP($A95,GanttChart!$A:$JD,262,FALSE),0)</f>
        <v>0</v>
      </c>
      <c r="F95" s="86">
        <f>IFERROR(VLOOKUP($A95,GanttChart!$A:$JD,263,FALSE),0)</f>
        <v>0</v>
      </c>
      <c r="G95" s="87">
        <f>IFERROR(VLOOKUP($A95,GanttChart!$A:$JD,264,FALSE),0)</f>
        <v>0</v>
      </c>
      <c r="H95" s="244"/>
      <c r="I95" s="87">
        <f t="shared" si="0"/>
        <v>0</v>
      </c>
    </row>
    <row r="96" spans="1:12" ht="18.75" hidden="1" x14ac:dyDescent="0.45">
      <c r="A96" s="80">
        <v>5.4</v>
      </c>
      <c r="C96" s="85">
        <f>IFERROR(VLOOKUP($A96,GanttChart!$A:$JD,2,FALSE),"خطا")</f>
        <v>0</v>
      </c>
      <c r="D96" s="86">
        <f>IFERROR(VLOOKUP($A96,GanttChart!$A:$JD,261,FALSE),0)</f>
        <v>0</v>
      </c>
      <c r="E96" s="86">
        <f>IFERROR(VLOOKUP($A96,GanttChart!$A:$JD,262,FALSE),0)</f>
        <v>0</v>
      </c>
      <c r="F96" s="86">
        <f>IFERROR(VLOOKUP($A96,GanttChart!$A:$JD,263,FALSE),0)</f>
        <v>0</v>
      </c>
      <c r="G96" s="87">
        <f>IFERROR(VLOOKUP($A96,GanttChart!$A:$JD,264,FALSE),0)</f>
        <v>0</v>
      </c>
      <c r="H96" s="244"/>
      <c r="I96" s="87">
        <f t="shared" si="0"/>
        <v>0</v>
      </c>
    </row>
    <row r="97" spans="1:9" ht="18.75" hidden="1" x14ac:dyDescent="0.45">
      <c r="A97" s="80">
        <v>5.5</v>
      </c>
      <c r="C97" s="85">
        <f>IFERROR(VLOOKUP($A97,GanttChart!$A:$JD,2,FALSE),"خطا")</f>
        <v>0</v>
      </c>
      <c r="D97" s="86">
        <f>IFERROR(VLOOKUP($A97,GanttChart!$A:$JD,261,FALSE),0)</f>
        <v>0</v>
      </c>
      <c r="E97" s="86">
        <f>IFERROR(VLOOKUP($A97,GanttChart!$A:$JD,262,FALSE),0)</f>
        <v>0</v>
      </c>
      <c r="F97" s="86">
        <f>IFERROR(VLOOKUP($A97,GanttChart!$A:$JD,263,FALSE),0)</f>
        <v>0</v>
      </c>
      <c r="G97" s="87">
        <f>IFERROR(VLOOKUP($A97,GanttChart!$A:$JD,264,FALSE),0)</f>
        <v>0</v>
      </c>
      <c r="H97" s="244"/>
      <c r="I97" s="87">
        <f t="shared" si="0"/>
        <v>0</v>
      </c>
    </row>
    <row r="98" spans="1:9" ht="18.75" hidden="1" x14ac:dyDescent="0.45">
      <c r="A98" s="80">
        <v>5.6</v>
      </c>
      <c r="C98" s="85">
        <f>IFERROR(VLOOKUP($A98,GanttChart!$A:$JD,2,FALSE),"خطا")</f>
        <v>0</v>
      </c>
      <c r="D98" s="86">
        <f>IFERROR(VLOOKUP($A98,GanttChart!$A:$JD,261,FALSE),0)</f>
        <v>0</v>
      </c>
      <c r="E98" s="86">
        <f>IFERROR(VLOOKUP($A98,GanttChart!$A:$JD,262,FALSE),0)</f>
        <v>0</v>
      </c>
      <c r="F98" s="86">
        <f>IFERROR(VLOOKUP($A98,GanttChart!$A:$JD,263,FALSE),0)</f>
        <v>0</v>
      </c>
      <c r="G98" s="87">
        <f>IFERROR(VLOOKUP($A98,GanttChart!$A:$JD,264,FALSE),0)</f>
        <v>0</v>
      </c>
      <c r="H98" s="244"/>
      <c r="I98" s="87">
        <f t="shared" si="0"/>
        <v>0</v>
      </c>
    </row>
    <row r="99" spans="1:9" ht="18.75" hidden="1" x14ac:dyDescent="0.45">
      <c r="A99" s="80">
        <v>5.7</v>
      </c>
      <c r="C99" s="85">
        <f>IFERROR(VLOOKUP($A99,GanttChart!$A:$JD,2,FALSE),"خطا")</f>
        <v>0</v>
      </c>
      <c r="D99" s="86">
        <f>IFERROR(VLOOKUP($A99,GanttChart!$A:$JD,261,FALSE),0)</f>
        <v>0</v>
      </c>
      <c r="E99" s="86">
        <f>IFERROR(VLOOKUP($A99,GanttChart!$A:$JD,262,FALSE),0)</f>
        <v>0</v>
      </c>
      <c r="F99" s="86">
        <f>IFERROR(VLOOKUP($A99,GanttChart!$A:$JD,263,FALSE),0)</f>
        <v>0</v>
      </c>
      <c r="G99" s="87">
        <f>IFERROR(VLOOKUP($A99,GanttChart!$A:$JD,264,FALSE),0)</f>
        <v>0</v>
      </c>
      <c r="H99" s="244"/>
      <c r="I99" s="87">
        <f t="shared" si="0"/>
        <v>0</v>
      </c>
    </row>
    <row r="100" spans="1:9" ht="18.75" hidden="1" x14ac:dyDescent="0.45">
      <c r="A100" s="80">
        <v>5.8</v>
      </c>
      <c r="C100" s="85">
        <f>IFERROR(VLOOKUP($A100,GanttChart!$A:$JD,2,FALSE),"خطا")</f>
        <v>0</v>
      </c>
      <c r="D100" s="86">
        <f>IFERROR(VLOOKUP($A100,GanttChart!$A:$JD,261,FALSE),0)</f>
        <v>0</v>
      </c>
      <c r="E100" s="86">
        <f>IFERROR(VLOOKUP($A100,GanttChart!$A:$JD,262,FALSE),0)</f>
        <v>0</v>
      </c>
      <c r="F100" s="86">
        <f>IFERROR(VLOOKUP($A100,GanttChart!$A:$JD,263,FALSE),0)</f>
        <v>0</v>
      </c>
      <c r="G100" s="87">
        <f>IFERROR(VLOOKUP($A100,GanttChart!$A:$JD,264,FALSE),0)</f>
        <v>0</v>
      </c>
      <c r="H100" s="244"/>
      <c r="I100" s="87">
        <f t="shared" si="0"/>
        <v>0</v>
      </c>
    </row>
    <row r="101" spans="1:9" ht="18.75" hidden="1" x14ac:dyDescent="0.45">
      <c r="A101" s="80">
        <v>5.9</v>
      </c>
      <c r="C101" s="85">
        <f>IFERROR(VLOOKUP($A101,GanttChart!$A:$JD,2,FALSE),"خطا")</f>
        <v>0</v>
      </c>
      <c r="D101" s="86">
        <f>IFERROR(VLOOKUP($A101,GanttChart!$A:$JD,261,FALSE),0)</f>
        <v>0</v>
      </c>
      <c r="E101" s="86">
        <f>IFERROR(VLOOKUP($A101,GanttChart!$A:$JD,262,FALSE),0)</f>
        <v>0</v>
      </c>
      <c r="F101" s="86">
        <f>IFERROR(VLOOKUP($A101,GanttChart!$A:$JD,263,FALSE),0)</f>
        <v>0</v>
      </c>
      <c r="G101" s="87">
        <f>IFERROR(VLOOKUP($A101,GanttChart!$A:$JD,264,FALSE),0)</f>
        <v>0</v>
      </c>
      <c r="H101" s="244"/>
      <c r="I101" s="87">
        <f t="shared" si="0"/>
        <v>0</v>
      </c>
    </row>
    <row r="102" spans="1:9" ht="18.75" hidden="1" x14ac:dyDescent="0.45">
      <c r="A102" s="80">
        <v>5.1100000000000003</v>
      </c>
      <c r="C102" s="85">
        <f>IFERROR(VLOOKUP($A102,GanttChart!$A:$JD,2,FALSE),"خطا")</f>
        <v>0</v>
      </c>
      <c r="D102" s="86">
        <f>IFERROR(VLOOKUP($A102,GanttChart!$A:$JD,261,FALSE),0)</f>
        <v>0</v>
      </c>
      <c r="E102" s="86">
        <f>IFERROR(VLOOKUP($A102,GanttChart!$A:$JD,262,FALSE),0)</f>
        <v>0</v>
      </c>
      <c r="F102" s="86">
        <f>IFERROR(VLOOKUP($A102,GanttChart!$A:$JD,263,FALSE),0)</f>
        <v>0</v>
      </c>
      <c r="G102" s="87">
        <f>IFERROR(VLOOKUP($A102,GanttChart!$A:$JD,264,FALSE),0)</f>
        <v>0</v>
      </c>
      <c r="H102" s="244"/>
      <c r="I102" s="87">
        <f t="shared" si="0"/>
        <v>0</v>
      </c>
    </row>
    <row r="103" spans="1:9" ht="18.75" hidden="1" x14ac:dyDescent="0.45">
      <c r="A103" s="80">
        <v>5.12</v>
      </c>
      <c r="C103" s="85">
        <f>IFERROR(VLOOKUP($A103,GanttChart!$A:$JD,2,FALSE),"خطا")</f>
        <v>0</v>
      </c>
      <c r="D103" s="86">
        <f>IFERROR(VLOOKUP($A103,GanttChart!$A:$JD,261,FALSE),0)</f>
        <v>0</v>
      </c>
      <c r="E103" s="86">
        <f>IFERROR(VLOOKUP($A103,GanttChart!$A:$JD,262,FALSE),0)</f>
        <v>0</v>
      </c>
      <c r="F103" s="86">
        <f>IFERROR(VLOOKUP($A103,GanttChart!$A:$JD,263,FALSE),0)</f>
        <v>0</v>
      </c>
      <c r="G103" s="87">
        <f>IFERROR(VLOOKUP($A103,GanttChart!$A:$JD,264,FALSE),0)</f>
        <v>0</v>
      </c>
      <c r="H103" s="244"/>
      <c r="I103" s="87">
        <f t="shared" si="0"/>
        <v>0</v>
      </c>
    </row>
    <row r="104" spans="1:9" ht="18.75" hidden="1" x14ac:dyDescent="0.45">
      <c r="A104" s="80">
        <v>5.13</v>
      </c>
      <c r="C104" s="85">
        <f>IFERROR(VLOOKUP($A104,GanttChart!$A:$JD,2,FALSE),"خطا")</f>
        <v>0</v>
      </c>
      <c r="D104" s="86">
        <f>IFERROR(VLOOKUP($A104,GanttChart!$A:$JD,261,FALSE),0)</f>
        <v>0</v>
      </c>
      <c r="E104" s="86">
        <f>IFERROR(VLOOKUP($A104,GanttChart!$A:$JD,262,FALSE),0)</f>
        <v>0</v>
      </c>
      <c r="F104" s="86">
        <f>IFERROR(VLOOKUP($A104,GanttChart!$A:$JD,263,FALSE),0)</f>
        <v>0</v>
      </c>
      <c r="G104" s="87">
        <f>IFERROR(VLOOKUP($A104,GanttChart!$A:$JD,264,FALSE),0)</f>
        <v>0</v>
      </c>
      <c r="H104" s="244"/>
      <c r="I104" s="87">
        <f t="shared" si="0"/>
        <v>0</v>
      </c>
    </row>
    <row r="105" spans="1:9" ht="18.75" hidden="1" x14ac:dyDescent="0.45">
      <c r="A105" s="80">
        <v>5.14</v>
      </c>
      <c r="C105" s="85">
        <f>IFERROR(VLOOKUP($A105,GanttChart!$A:$JD,2,FALSE),"خطا")</f>
        <v>0</v>
      </c>
      <c r="D105" s="86">
        <f>IFERROR(VLOOKUP($A105,GanttChart!$A:$JD,261,FALSE),0)</f>
        <v>0</v>
      </c>
      <c r="E105" s="86">
        <f>IFERROR(VLOOKUP($A105,GanttChart!$A:$JD,262,FALSE),0)</f>
        <v>0</v>
      </c>
      <c r="F105" s="86">
        <f>IFERROR(VLOOKUP($A105,GanttChart!$A:$JD,263,FALSE),0)</f>
        <v>0</v>
      </c>
      <c r="G105" s="87">
        <f>IFERROR(VLOOKUP($A105,GanttChart!$A:$JD,264,FALSE),0)</f>
        <v>0</v>
      </c>
      <c r="H105" s="244"/>
      <c r="I105" s="87">
        <f t="shared" si="0"/>
        <v>0</v>
      </c>
    </row>
    <row r="106" spans="1:9" ht="18.75" hidden="1" x14ac:dyDescent="0.45">
      <c r="A106" s="80">
        <v>5.15</v>
      </c>
      <c r="C106" s="85">
        <f>IFERROR(VLOOKUP($A106,GanttChart!$A:$JD,2,FALSE),"خطا")</f>
        <v>0</v>
      </c>
      <c r="D106" s="86">
        <f>IFERROR(VLOOKUP($A106,GanttChart!$A:$JD,261,FALSE),0)</f>
        <v>0</v>
      </c>
      <c r="E106" s="86">
        <f>IFERROR(VLOOKUP($A106,GanttChart!$A:$JD,262,FALSE),0)</f>
        <v>0</v>
      </c>
      <c r="F106" s="86">
        <f>IFERROR(VLOOKUP($A106,GanttChart!$A:$JD,263,FALSE),0)</f>
        <v>0</v>
      </c>
      <c r="G106" s="87">
        <f>IFERROR(VLOOKUP($A106,GanttChart!$A:$JD,264,FALSE),0)</f>
        <v>0</v>
      </c>
      <c r="H106" s="244"/>
      <c r="I106" s="87">
        <f t="shared" si="0"/>
        <v>0</v>
      </c>
    </row>
    <row r="107" spans="1:9" ht="18.75" hidden="1" x14ac:dyDescent="0.45">
      <c r="A107" s="80">
        <v>5.16</v>
      </c>
      <c r="C107" s="85">
        <f>IFERROR(VLOOKUP($A107,GanttChart!$A:$JD,2,FALSE),"خطا")</f>
        <v>0</v>
      </c>
      <c r="D107" s="86">
        <f>IFERROR(VLOOKUP($A107,GanttChart!$A:$JD,261,FALSE),0)</f>
        <v>0</v>
      </c>
      <c r="E107" s="86">
        <f>IFERROR(VLOOKUP($A107,GanttChart!$A:$JD,262,FALSE),0)</f>
        <v>0</v>
      </c>
      <c r="F107" s="86">
        <f>IFERROR(VLOOKUP($A107,GanttChart!$A:$JD,263,FALSE),0)</f>
        <v>0</v>
      </c>
      <c r="G107" s="87">
        <f>IFERROR(VLOOKUP($A107,GanttChart!$A:$JD,264,FALSE),0)</f>
        <v>0</v>
      </c>
      <c r="H107" s="244"/>
      <c r="I107" s="87">
        <f t="shared" si="0"/>
        <v>0</v>
      </c>
    </row>
    <row r="108" spans="1:9" ht="18.75" hidden="1" x14ac:dyDescent="0.45">
      <c r="A108" s="80">
        <v>5.17</v>
      </c>
      <c r="C108" s="85">
        <f>IFERROR(VLOOKUP($A108,GanttChart!$A:$JD,2,FALSE),"خطا")</f>
        <v>0</v>
      </c>
      <c r="D108" s="86">
        <f>IFERROR(VLOOKUP($A108,GanttChart!$A:$JD,261,FALSE),0)</f>
        <v>0</v>
      </c>
      <c r="E108" s="86">
        <f>IFERROR(VLOOKUP($A108,GanttChart!$A:$JD,262,FALSE),0)</f>
        <v>0</v>
      </c>
      <c r="F108" s="86">
        <f>IFERROR(VLOOKUP($A108,GanttChart!$A:$JD,263,FALSE),0)</f>
        <v>0</v>
      </c>
      <c r="G108" s="87">
        <f>IFERROR(VLOOKUP($A108,GanttChart!$A:$JD,264,FALSE),0)</f>
        <v>0</v>
      </c>
      <c r="H108" s="244"/>
      <c r="I108" s="87">
        <f t="shared" si="0"/>
        <v>0</v>
      </c>
    </row>
    <row r="109" spans="1:9" ht="18.75" hidden="1" x14ac:dyDescent="0.45">
      <c r="A109" s="80">
        <v>5.18</v>
      </c>
      <c r="C109" s="85">
        <f>IFERROR(VLOOKUP($A109,GanttChart!$A:$JD,2,FALSE),"خطا")</f>
        <v>0</v>
      </c>
      <c r="D109" s="86">
        <f>IFERROR(VLOOKUP($A109,GanttChart!$A:$JD,261,FALSE),0)</f>
        <v>0</v>
      </c>
      <c r="E109" s="86">
        <f>IFERROR(VLOOKUP($A109,GanttChart!$A:$JD,262,FALSE),0)</f>
        <v>0</v>
      </c>
      <c r="F109" s="86">
        <f>IFERROR(VLOOKUP($A109,GanttChart!$A:$JD,263,FALSE),0)</f>
        <v>0</v>
      </c>
      <c r="G109" s="87">
        <f>IFERROR(VLOOKUP($A109,GanttChart!$A:$JD,264,FALSE),0)</f>
        <v>0</v>
      </c>
      <c r="H109" s="244"/>
      <c r="I109" s="87">
        <f t="shared" si="0"/>
        <v>0</v>
      </c>
    </row>
    <row r="110" spans="1:9" ht="18.75" hidden="1" x14ac:dyDescent="0.45">
      <c r="A110" s="80">
        <v>5.19</v>
      </c>
      <c r="C110" s="85">
        <f>IFERROR(VLOOKUP($A110,GanttChart!$A:$JD,2,FALSE),"خطا")</f>
        <v>0</v>
      </c>
      <c r="D110" s="86">
        <f>IFERROR(VLOOKUP($A110,GanttChart!$A:$JD,261,FALSE),0)</f>
        <v>0</v>
      </c>
      <c r="E110" s="86">
        <f>IFERROR(VLOOKUP($A110,GanttChart!$A:$JD,262,FALSE),0)</f>
        <v>0</v>
      </c>
      <c r="F110" s="86">
        <f>IFERROR(VLOOKUP($A110,GanttChart!$A:$JD,263,FALSE),0)</f>
        <v>0</v>
      </c>
      <c r="G110" s="87">
        <f>IFERROR(VLOOKUP($A110,GanttChart!$A:$JD,264,FALSE),0)</f>
        <v>0</v>
      </c>
      <c r="H110" s="244"/>
      <c r="I110" s="87">
        <f t="shared" si="0"/>
        <v>0</v>
      </c>
    </row>
    <row r="111" spans="1:9" ht="18.75" hidden="1" x14ac:dyDescent="0.45">
      <c r="A111" s="80">
        <v>5.21</v>
      </c>
      <c r="C111" s="85">
        <f>IFERROR(VLOOKUP($A111,GanttChart!$A:$JD,2,FALSE),"خطا")</f>
        <v>0</v>
      </c>
      <c r="D111" s="86">
        <f>IFERROR(VLOOKUP($A111,GanttChart!$A:$JD,261,FALSE),0)</f>
        <v>0</v>
      </c>
      <c r="E111" s="86">
        <f>IFERROR(VLOOKUP($A111,GanttChart!$A:$JD,262,FALSE),0)</f>
        <v>0</v>
      </c>
      <c r="F111" s="86">
        <f>IFERROR(VLOOKUP($A111,GanttChart!$A:$JD,263,FALSE),0)</f>
        <v>0</v>
      </c>
      <c r="G111" s="87">
        <f>IFERROR(VLOOKUP($A111,GanttChart!$A:$JD,264,FALSE),0)</f>
        <v>0</v>
      </c>
      <c r="H111" s="244"/>
      <c r="I111" s="87">
        <f t="shared" si="0"/>
        <v>0</v>
      </c>
    </row>
    <row r="112" spans="1:9" ht="18.75" hidden="1" x14ac:dyDescent="0.45">
      <c r="A112" s="80">
        <v>5.22</v>
      </c>
      <c r="C112" s="85">
        <f>IFERROR(VLOOKUP($A112,GanttChart!$A:$JD,2,FALSE),"خطا")</f>
        <v>0</v>
      </c>
      <c r="D112" s="86">
        <f>IFERROR(VLOOKUP($A112,GanttChart!$A:$JD,261,FALSE),0)</f>
        <v>0</v>
      </c>
      <c r="E112" s="86">
        <f>IFERROR(VLOOKUP($A112,GanttChart!$A:$JD,262,FALSE),0)</f>
        <v>0</v>
      </c>
      <c r="F112" s="86">
        <f>IFERROR(VLOOKUP($A112,GanttChart!$A:$JD,263,FALSE),0)</f>
        <v>0</v>
      </c>
      <c r="G112" s="87">
        <f>IFERROR(VLOOKUP($A112,GanttChart!$A:$JD,264,FALSE),0)</f>
        <v>0</v>
      </c>
      <c r="H112" s="244"/>
      <c r="I112" s="87">
        <f t="shared" si="0"/>
        <v>0</v>
      </c>
    </row>
    <row r="113" spans="1:9" ht="18.75" hidden="1" x14ac:dyDescent="0.45">
      <c r="A113" s="80">
        <v>5.23</v>
      </c>
      <c r="C113" s="85">
        <f>IFERROR(VLOOKUP($A113,GanttChart!$A:$JD,2,FALSE),"خطا")</f>
        <v>0</v>
      </c>
      <c r="D113" s="86">
        <f>IFERROR(VLOOKUP($A113,GanttChart!$A:$JD,261,FALSE),0)</f>
        <v>0</v>
      </c>
      <c r="E113" s="86">
        <f>IFERROR(VLOOKUP($A113,GanttChart!$A:$JD,262,FALSE),0)</f>
        <v>0</v>
      </c>
      <c r="F113" s="86">
        <f>IFERROR(VLOOKUP($A113,GanttChart!$A:$JD,263,FALSE),0)</f>
        <v>0</v>
      </c>
      <c r="G113" s="87">
        <f>IFERROR(VLOOKUP($A113,GanttChart!$A:$JD,264,FALSE),0)</f>
        <v>0</v>
      </c>
      <c r="H113" s="244"/>
      <c r="I113" s="87">
        <f t="shared" si="0"/>
        <v>0</v>
      </c>
    </row>
    <row r="114" spans="1:9" ht="18.75" hidden="1" x14ac:dyDescent="0.45">
      <c r="A114" s="80">
        <v>6</v>
      </c>
      <c r="C114" s="85" t="str">
        <f>IFERROR(VLOOKUP($A114,GanttChart!$A:$JD,2,FALSE),"خطا")</f>
        <v>کانوت مکانیزه  محتوا  و ، تامین  و تکمیل فرایند  ورود داده به روش دستی</v>
      </c>
      <c r="D114" s="86">
        <f>IFERROR(VLOOKUP($A114,GanttChart!$A:$JD,261,FALSE),0)</f>
        <v>0</v>
      </c>
      <c r="E114" s="86">
        <f>IFERROR(VLOOKUP($A114,GanttChart!$A:$JD,262,FALSE),0)</f>
        <v>0</v>
      </c>
      <c r="F114" s="86">
        <f>IFERROR(VLOOKUP($A114,GanttChart!$A:$JD,263,FALSE),0)</f>
        <v>0</v>
      </c>
      <c r="G114" s="87">
        <f>IFERROR(VLOOKUP($A114,GanttChart!$A:$JD,264,FALSE),0)</f>
        <v>0</v>
      </c>
      <c r="H114" s="244"/>
      <c r="I114" s="87">
        <f t="shared" si="0"/>
        <v>0</v>
      </c>
    </row>
    <row r="115" spans="1:9" ht="18.75" x14ac:dyDescent="0.45">
      <c r="A115" s="80">
        <v>6.1</v>
      </c>
      <c r="C115" s="85" t="str">
        <f>IFERROR(VLOOKUP($A115,GanttChart!$A:$JD,2,FALSE),"خطا")</f>
        <v>کانورت محتوای متنی، فایل و تصاویر موجود</v>
      </c>
      <c r="D115" s="86">
        <f>IFERROR(VLOOKUP($A115,GanttChart!$A:$JD,261,FALSE),0)</f>
        <v>0</v>
      </c>
      <c r="E115" s="86">
        <f>IFERROR(VLOOKUP($A115,GanttChart!$A:$JD,262,FALSE),0)</f>
        <v>8.3333333333333329E-2</v>
      </c>
      <c r="F115" s="86">
        <f>IFERROR(VLOOKUP($A115,GanttChart!$A:$JD,263,FALSE),0)</f>
        <v>0.16666666666666666</v>
      </c>
      <c r="G115" s="87">
        <f>IFERROR(VLOOKUP($A115,GanttChart!$A:$JD,264,FALSE),0)</f>
        <v>4052000</v>
      </c>
      <c r="H115" s="244"/>
      <c r="I115" s="87">
        <f t="shared" si="0"/>
        <v>4052000</v>
      </c>
    </row>
    <row r="116" spans="1:9" ht="18.75" x14ac:dyDescent="0.45">
      <c r="A116" s="80">
        <v>6.2</v>
      </c>
      <c r="C116" s="85" t="str">
        <f>IFERROR(VLOOKUP($A116,GanttChart!$A:$JD,2,FALSE),"خطا")</f>
        <v>بررسی و بارگذاری محتوای گرافیکی موجود</v>
      </c>
      <c r="D116" s="86">
        <f>IFERROR(VLOOKUP($A116,GanttChart!$A:$JD,261,FALSE),0)</f>
        <v>0</v>
      </c>
      <c r="E116" s="86">
        <f>IFERROR(VLOOKUP($A116,GanttChart!$A:$JD,262,FALSE),0)</f>
        <v>0</v>
      </c>
      <c r="F116" s="86">
        <f>IFERROR(VLOOKUP($A116,GanttChart!$A:$JD,263,FALSE),0)</f>
        <v>0.20833333333333334</v>
      </c>
      <c r="G116" s="87">
        <f>IFERROR(VLOOKUP($A116,GanttChart!$A:$JD,264,FALSE),0)</f>
        <v>2775000</v>
      </c>
      <c r="H116" s="244"/>
      <c r="I116" s="87">
        <f t="shared" si="0"/>
        <v>2775000</v>
      </c>
    </row>
    <row r="117" spans="1:9" ht="18.75" hidden="1" x14ac:dyDescent="0.45">
      <c r="A117" s="80">
        <v>6.3</v>
      </c>
      <c r="C117" s="85" t="str">
        <f>IFERROR(VLOOKUP($A117,GanttChart!$A:$JD,2,FALSE),"خطا")</f>
        <v>تامین محتوای متنی جدید مورد نیاز (توسط کارفرما)</v>
      </c>
      <c r="D117" s="86">
        <f>IFERROR(VLOOKUP($A117,GanttChart!$A:$JD,261,FALSE),0)</f>
        <v>0</v>
      </c>
      <c r="E117" s="86">
        <f>IFERROR(VLOOKUP($A117,GanttChart!$A:$JD,262,FALSE),0)</f>
        <v>0</v>
      </c>
      <c r="F117" s="86">
        <f>IFERROR(VLOOKUP($A117,GanttChart!$A:$JD,263,FALSE),0)</f>
        <v>0</v>
      </c>
      <c r="G117" s="87">
        <f>IFERROR(VLOOKUP($A117,GanttChart!$A:$JD,264,FALSE),0)</f>
        <v>0</v>
      </c>
      <c r="H117" s="244"/>
      <c r="I117" s="87">
        <f t="shared" si="0"/>
        <v>0</v>
      </c>
    </row>
    <row r="118" spans="1:9" ht="18.75" x14ac:dyDescent="0.45">
      <c r="A118" s="80">
        <v>6.4</v>
      </c>
      <c r="C118" s="85" t="str">
        <f>IFERROR(VLOOKUP($A118,GanttChart!$A:$JD,2,FALSE),"خطا")</f>
        <v>تامین محتوای گرافیکی جدید  مورد نیاز (توسط کارفرما)</v>
      </c>
      <c r="D118" s="86">
        <f>IFERROR(VLOOKUP($A118,GanttChart!$A:$JD,261,FALSE),0)</f>
        <v>0</v>
      </c>
      <c r="E118" s="86">
        <f>IFERROR(VLOOKUP($A118,GanttChart!$A:$JD,262,FALSE),0)</f>
        <v>0</v>
      </c>
      <c r="F118" s="86">
        <f>IFERROR(VLOOKUP($A118,GanttChart!$A:$JD,263,FALSE),0)</f>
        <v>0.83333333333333337</v>
      </c>
      <c r="G118" s="87">
        <f>IFERROR(VLOOKUP($A118,GanttChart!$A:$JD,264,FALSE),0)</f>
        <v>11100000</v>
      </c>
      <c r="H118" s="244"/>
      <c r="I118" s="87">
        <f t="shared" si="0"/>
        <v>11100000</v>
      </c>
    </row>
    <row r="119" spans="1:9" ht="18.75" x14ac:dyDescent="0.45">
      <c r="A119" s="80">
        <v>6.5</v>
      </c>
      <c r="C119" s="85" t="str">
        <f>IFERROR(VLOOKUP($A119,GanttChart!$A:$JD,2,FALSE),"خطا")</f>
        <v>ارائه مشاوره بارگزاری محتوای متنی و گرافیکی در پورتال توسط کارفرما</v>
      </c>
      <c r="D119" s="86">
        <f>IFERROR(VLOOKUP($A119,GanttChart!$A:$JD,261,FALSE),0)</f>
        <v>0</v>
      </c>
      <c r="E119" s="86">
        <f>IFERROR(VLOOKUP($A119,GanttChart!$A:$JD,262,FALSE),0)</f>
        <v>0</v>
      </c>
      <c r="F119" s="86">
        <f>IFERROR(VLOOKUP($A119,GanttChart!$A:$JD,263,FALSE),0)</f>
        <v>0.66666666666666663</v>
      </c>
      <c r="G119" s="87">
        <f>IFERROR(VLOOKUP($A119,GanttChart!$A:$JD,264,FALSE),0)</f>
        <v>8880000</v>
      </c>
      <c r="H119" s="244"/>
      <c r="I119" s="87">
        <f t="shared" si="0"/>
        <v>8880000</v>
      </c>
    </row>
    <row r="120" spans="1:9" ht="18.75" hidden="1" x14ac:dyDescent="0.45">
      <c r="A120" s="80">
        <v>6.6</v>
      </c>
      <c r="C120" s="85">
        <f>IFERROR(VLOOKUP($A120,GanttChart!$A:$JD,2,FALSE),"خطا")</f>
        <v>0</v>
      </c>
      <c r="D120" s="86">
        <f>IFERROR(VLOOKUP($A120,GanttChart!$A:$JD,261,FALSE),0)</f>
        <v>0</v>
      </c>
      <c r="E120" s="86">
        <f>IFERROR(VLOOKUP($A120,GanttChart!$A:$JD,262,FALSE),0)</f>
        <v>0</v>
      </c>
      <c r="F120" s="86">
        <f>IFERROR(VLOOKUP($A120,GanttChart!$A:$JD,263,FALSE),0)</f>
        <v>0</v>
      </c>
      <c r="G120" s="87">
        <f>IFERROR(VLOOKUP($A120,GanttChart!$A:$JD,264,FALSE),0)</f>
        <v>0</v>
      </c>
      <c r="H120" s="244"/>
      <c r="I120" s="87">
        <f t="shared" si="0"/>
        <v>0</v>
      </c>
    </row>
    <row r="121" spans="1:9" ht="18.75" hidden="1" x14ac:dyDescent="0.45">
      <c r="A121" s="80">
        <v>6.7</v>
      </c>
      <c r="C121" s="85">
        <f>IFERROR(VLOOKUP($A121,GanttChart!$A:$JD,2,FALSE),"خطا")</f>
        <v>0</v>
      </c>
      <c r="D121" s="86">
        <f>IFERROR(VLOOKUP($A121,GanttChart!$A:$JD,261,FALSE),0)</f>
        <v>0</v>
      </c>
      <c r="E121" s="86">
        <f>IFERROR(VLOOKUP($A121,GanttChart!$A:$JD,262,FALSE),0)</f>
        <v>0</v>
      </c>
      <c r="F121" s="86">
        <f>IFERROR(VLOOKUP($A121,GanttChart!$A:$JD,263,FALSE),0)</f>
        <v>0</v>
      </c>
      <c r="G121" s="87">
        <f>IFERROR(VLOOKUP($A121,GanttChart!$A:$JD,264,FALSE),0)</f>
        <v>0</v>
      </c>
      <c r="H121" s="244"/>
      <c r="I121" s="87">
        <f t="shared" si="0"/>
        <v>0</v>
      </c>
    </row>
    <row r="122" spans="1:9" ht="18.75" hidden="1" x14ac:dyDescent="0.45">
      <c r="A122" s="80">
        <v>6.8</v>
      </c>
      <c r="C122" s="85">
        <f>IFERROR(VLOOKUP($A122,GanttChart!$A:$JD,2,FALSE),"خطا")</f>
        <v>0</v>
      </c>
      <c r="D122" s="86">
        <f>IFERROR(VLOOKUP($A122,GanttChart!$A:$JD,261,FALSE),0)</f>
        <v>0</v>
      </c>
      <c r="E122" s="86">
        <f>IFERROR(VLOOKUP($A122,GanttChart!$A:$JD,262,FALSE),0)</f>
        <v>0</v>
      </c>
      <c r="F122" s="86">
        <f>IFERROR(VLOOKUP($A122,GanttChart!$A:$JD,263,FALSE),0)</f>
        <v>0</v>
      </c>
      <c r="G122" s="87">
        <f>IFERROR(VLOOKUP($A122,GanttChart!$A:$JD,264,FALSE),0)</f>
        <v>0</v>
      </c>
      <c r="H122" s="244"/>
      <c r="I122" s="87">
        <f t="shared" si="0"/>
        <v>0</v>
      </c>
    </row>
    <row r="123" spans="1:9" ht="18.75" hidden="1" x14ac:dyDescent="0.45">
      <c r="A123" s="80">
        <v>6.9</v>
      </c>
      <c r="C123" s="85">
        <f>IFERROR(VLOOKUP($A123,GanttChart!$A:$JD,2,FALSE),"خطا")</f>
        <v>0</v>
      </c>
      <c r="D123" s="86">
        <f>IFERROR(VLOOKUP($A123,GanttChart!$A:$JD,261,FALSE),0)</f>
        <v>0</v>
      </c>
      <c r="E123" s="86">
        <f>IFERROR(VLOOKUP($A123,GanttChart!$A:$JD,262,FALSE),0)</f>
        <v>0</v>
      </c>
      <c r="F123" s="86">
        <f>IFERROR(VLOOKUP($A123,GanttChart!$A:$JD,263,FALSE),0)</f>
        <v>0</v>
      </c>
      <c r="G123" s="87">
        <f>IFERROR(VLOOKUP($A123,GanttChart!$A:$JD,264,FALSE),0)</f>
        <v>0</v>
      </c>
      <c r="H123" s="244"/>
      <c r="I123" s="87">
        <f t="shared" si="0"/>
        <v>0</v>
      </c>
    </row>
    <row r="124" spans="1:9" ht="18.75" hidden="1" x14ac:dyDescent="0.45">
      <c r="A124" s="80">
        <v>6.11</v>
      </c>
      <c r="C124" s="85">
        <f>IFERROR(VLOOKUP($A124,GanttChart!$A:$JD,2,FALSE),"خطا")</f>
        <v>0</v>
      </c>
      <c r="D124" s="86">
        <f>IFERROR(VLOOKUP($A124,GanttChart!$A:$JD,261,FALSE),0)</f>
        <v>0</v>
      </c>
      <c r="E124" s="86">
        <f>IFERROR(VLOOKUP($A124,GanttChart!$A:$JD,262,FALSE),0)</f>
        <v>0</v>
      </c>
      <c r="F124" s="86">
        <f>IFERROR(VLOOKUP($A124,GanttChart!$A:$JD,263,FALSE),0)</f>
        <v>0</v>
      </c>
      <c r="G124" s="87">
        <f>IFERROR(VLOOKUP($A124,GanttChart!$A:$JD,264,FALSE),0)</f>
        <v>0</v>
      </c>
      <c r="H124" s="244"/>
      <c r="I124" s="87">
        <f t="shared" si="0"/>
        <v>0</v>
      </c>
    </row>
    <row r="125" spans="1:9" ht="18.75" hidden="1" x14ac:dyDescent="0.45">
      <c r="A125" s="80">
        <v>6.12</v>
      </c>
      <c r="C125" s="85">
        <f>IFERROR(VLOOKUP($A125,GanttChart!$A:$JD,2,FALSE),"خطا")</f>
        <v>0</v>
      </c>
      <c r="D125" s="86">
        <f>IFERROR(VLOOKUP($A125,GanttChart!$A:$JD,261,FALSE),0)</f>
        <v>0</v>
      </c>
      <c r="E125" s="86">
        <f>IFERROR(VLOOKUP($A125,GanttChart!$A:$JD,262,FALSE),0)</f>
        <v>0</v>
      </c>
      <c r="F125" s="86">
        <f>IFERROR(VLOOKUP($A125,GanttChart!$A:$JD,263,FALSE),0)</f>
        <v>0</v>
      </c>
      <c r="G125" s="87">
        <f>IFERROR(VLOOKUP($A125,GanttChart!$A:$JD,264,FALSE),0)</f>
        <v>0</v>
      </c>
      <c r="H125" s="244"/>
      <c r="I125" s="87">
        <f t="shared" si="0"/>
        <v>0</v>
      </c>
    </row>
    <row r="126" spans="1:9" ht="18.75" hidden="1" x14ac:dyDescent="0.45">
      <c r="A126" s="80">
        <v>6.13</v>
      </c>
      <c r="C126" s="85">
        <f>IFERROR(VLOOKUP($A126,GanttChart!$A:$JD,2,FALSE),"خطا")</f>
        <v>0</v>
      </c>
      <c r="D126" s="86">
        <f>IFERROR(VLOOKUP($A126,GanttChart!$A:$JD,261,FALSE),0)</f>
        <v>0</v>
      </c>
      <c r="E126" s="86">
        <f>IFERROR(VLOOKUP($A126,GanttChart!$A:$JD,262,FALSE),0)</f>
        <v>0</v>
      </c>
      <c r="F126" s="86">
        <f>IFERROR(VLOOKUP($A126,GanttChart!$A:$JD,263,FALSE),0)</f>
        <v>0</v>
      </c>
      <c r="G126" s="87">
        <f>IFERROR(VLOOKUP($A126,GanttChart!$A:$JD,264,FALSE),0)</f>
        <v>0</v>
      </c>
      <c r="H126" s="244"/>
      <c r="I126" s="87">
        <f t="shared" si="0"/>
        <v>0</v>
      </c>
    </row>
    <row r="127" spans="1:9" ht="18.75" hidden="1" x14ac:dyDescent="0.45">
      <c r="A127" s="80">
        <v>6.14</v>
      </c>
      <c r="C127" s="85">
        <f>IFERROR(VLOOKUP($A127,GanttChart!$A:$JD,2,FALSE),"خطا")</f>
        <v>0</v>
      </c>
      <c r="D127" s="86">
        <f>IFERROR(VLOOKUP($A127,GanttChart!$A:$JD,261,FALSE),0)</f>
        <v>0</v>
      </c>
      <c r="E127" s="86">
        <f>IFERROR(VLOOKUP($A127,GanttChart!$A:$JD,262,FALSE),0)</f>
        <v>0</v>
      </c>
      <c r="F127" s="86">
        <f>IFERROR(VLOOKUP($A127,GanttChart!$A:$JD,263,FALSE),0)</f>
        <v>0</v>
      </c>
      <c r="G127" s="87">
        <f>IFERROR(VLOOKUP($A127,GanttChart!$A:$JD,264,FALSE),0)</f>
        <v>0</v>
      </c>
      <c r="H127" s="244"/>
      <c r="I127" s="87">
        <f t="shared" si="0"/>
        <v>0</v>
      </c>
    </row>
    <row r="128" spans="1:9" ht="18.75" hidden="1" x14ac:dyDescent="0.45">
      <c r="A128" s="80">
        <v>6.15</v>
      </c>
      <c r="C128" s="85">
        <f>IFERROR(VLOOKUP($A128,GanttChart!$A:$JD,2,FALSE),"خطا")</f>
        <v>0</v>
      </c>
      <c r="D128" s="86">
        <f>IFERROR(VLOOKUP($A128,GanttChart!$A:$JD,261,FALSE),0)</f>
        <v>0</v>
      </c>
      <c r="E128" s="86">
        <f>IFERROR(VLOOKUP($A128,GanttChart!$A:$JD,262,FALSE),0)</f>
        <v>0</v>
      </c>
      <c r="F128" s="86">
        <f>IFERROR(VLOOKUP($A128,GanttChart!$A:$JD,263,FALSE),0)</f>
        <v>0</v>
      </c>
      <c r="G128" s="87">
        <f>IFERROR(VLOOKUP($A128,GanttChart!$A:$JD,264,FALSE),0)</f>
        <v>0</v>
      </c>
      <c r="H128" s="244"/>
      <c r="I128" s="87">
        <f t="shared" si="0"/>
        <v>0</v>
      </c>
    </row>
    <row r="129" spans="1:9" ht="18.75" hidden="1" x14ac:dyDescent="0.45">
      <c r="A129" s="80">
        <v>6.16</v>
      </c>
      <c r="C129" s="85">
        <f>IFERROR(VLOOKUP($A129,GanttChart!$A:$JD,2,FALSE),"خطا")</f>
        <v>0</v>
      </c>
      <c r="D129" s="86">
        <f>IFERROR(VLOOKUP($A129,GanttChart!$A:$JD,261,FALSE),0)</f>
        <v>0</v>
      </c>
      <c r="E129" s="86">
        <f>IFERROR(VLOOKUP($A129,GanttChart!$A:$JD,262,FALSE),0)</f>
        <v>0</v>
      </c>
      <c r="F129" s="86">
        <f>IFERROR(VLOOKUP($A129,GanttChart!$A:$JD,263,FALSE),0)</f>
        <v>0</v>
      </c>
      <c r="G129" s="87">
        <f>IFERROR(VLOOKUP($A129,GanttChart!$A:$JD,264,FALSE),0)</f>
        <v>0</v>
      </c>
      <c r="H129" s="244"/>
      <c r="I129" s="87">
        <f t="shared" si="0"/>
        <v>0</v>
      </c>
    </row>
    <row r="130" spans="1:9" ht="18.75" hidden="1" x14ac:dyDescent="0.45">
      <c r="A130" s="80">
        <v>6.17</v>
      </c>
      <c r="C130" s="85">
        <f>IFERROR(VLOOKUP($A130,GanttChart!$A:$JD,2,FALSE),"خطا")</f>
        <v>0</v>
      </c>
      <c r="D130" s="86">
        <f>IFERROR(VLOOKUP($A130,GanttChart!$A:$JD,261,FALSE),0)</f>
        <v>0</v>
      </c>
      <c r="E130" s="86">
        <f>IFERROR(VLOOKUP($A130,GanttChart!$A:$JD,262,FALSE),0)</f>
        <v>0</v>
      </c>
      <c r="F130" s="86">
        <f>IFERROR(VLOOKUP($A130,GanttChart!$A:$JD,263,FALSE),0)</f>
        <v>0</v>
      </c>
      <c r="G130" s="87">
        <f>IFERROR(VLOOKUP($A130,GanttChart!$A:$JD,264,FALSE),0)</f>
        <v>0</v>
      </c>
      <c r="H130" s="244"/>
      <c r="I130" s="87">
        <f t="shared" si="0"/>
        <v>0</v>
      </c>
    </row>
    <row r="131" spans="1:9" ht="18.75" hidden="1" x14ac:dyDescent="0.45">
      <c r="A131" s="80">
        <v>6.18</v>
      </c>
      <c r="C131" s="85">
        <f>IFERROR(VLOOKUP($A131,GanttChart!$A:$JD,2,FALSE),"خطا")</f>
        <v>0</v>
      </c>
      <c r="D131" s="86">
        <f>IFERROR(VLOOKUP($A131,GanttChart!$A:$JD,261,FALSE),0)</f>
        <v>0</v>
      </c>
      <c r="E131" s="86">
        <f>IFERROR(VLOOKUP($A131,GanttChart!$A:$JD,262,FALSE),0)</f>
        <v>0</v>
      </c>
      <c r="F131" s="86">
        <f>IFERROR(VLOOKUP($A131,GanttChart!$A:$JD,263,FALSE),0)</f>
        <v>0</v>
      </c>
      <c r="G131" s="87">
        <f>IFERROR(VLOOKUP($A131,GanttChart!$A:$JD,264,FALSE),0)</f>
        <v>0</v>
      </c>
      <c r="H131" s="244"/>
      <c r="I131" s="87">
        <f t="shared" si="0"/>
        <v>0</v>
      </c>
    </row>
    <row r="132" spans="1:9" ht="18.75" hidden="1" x14ac:dyDescent="0.45">
      <c r="A132" s="80">
        <v>6.19</v>
      </c>
      <c r="C132" s="85">
        <f>IFERROR(VLOOKUP($A132,GanttChart!$A:$JD,2,FALSE),"خطا")</f>
        <v>0</v>
      </c>
      <c r="D132" s="86">
        <f>IFERROR(VLOOKUP($A132,GanttChart!$A:$JD,261,FALSE),0)</f>
        <v>0</v>
      </c>
      <c r="E132" s="86">
        <f>IFERROR(VLOOKUP($A132,GanttChart!$A:$JD,262,FALSE),0)</f>
        <v>0</v>
      </c>
      <c r="F132" s="86">
        <f>IFERROR(VLOOKUP($A132,GanttChart!$A:$JD,263,FALSE),0)</f>
        <v>0</v>
      </c>
      <c r="G132" s="87">
        <f>IFERROR(VLOOKUP($A132,GanttChart!$A:$JD,264,FALSE),0)</f>
        <v>0</v>
      </c>
      <c r="H132" s="244"/>
      <c r="I132" s="87">
        <f t="shared" si="0"/>
        <v>0</v>
      </c>
    </row>
    <row r="133" spans="1:9" ht="18.75" hidden="1" x14ac:dyDescent="0.45">
      <c r="A133" s="80">
        <v>6.21</v>
      </c>
      <c r="C133" s="85">
        <f>IFERROR(VLOOKUP($A133,GanttChart!$A:$JD,2,FALSE),"خطا")</f>
        <v>0</v>
      </c>
      <c r="D133" s="86">
        <f>IFERROR(VLOOKUP($A133,GanttChart!$A:$JD,261,FALSE),0)</f>
        <v>0</v>
      </c>
      <c r="E133" s="86">
        <f>IFERROR(VLOOKUP($A133,GanttChart!$A:$JD,262,FALSE),0)</f>
        <v>0</v>
      </c>
      <c r="F133" s="86">
        <f>IFERROR(VLOOKUP($A133,GanttChart!$A:$JD,263,FALSE),0)</f>
        <v>0</v>
      </c>
      <c r="G133" s="87">
        <f>IFERROR(VLOOKUP($A133,GanttChart!$A:$JD,264,FALSE),0)</f>
        <v>0</v>
      </c>
      <c r="H133" s="244"/>
      <c r="I133" s="87">
        <f t="shared" si="0"/>
        <v>0</v>
      </c>
    </row>
    <row r="134" spans="1:9" ht="18.75" hidden="1" x14ac:dyDescent="0.45">
      <c r="A134" s="80">
        <v>6.22</v>
      </c>
      <c r="C134" s="85">
        <f>IFERROR(VLOOKUP($A134,GanttChart!$A:$JD,2,FALSE),"خطا")</f>
        <v>0</v>
      </c>
      <c r="D134" s="86">
        <f>IFERROR(VLOOKUP($A134,GanttChart!$A:$JD,261,FALSE),0)</f>
        <v>0</v>
      </c>
      <c r="E134" s="86">
        <f>IFERROR(VLOOKUP($A134,GanttChart!$A:$JD,262,FALSE),0)</f>
        <v>0</v>
      </c>
      <c r="F134" s="86">
        <f>IFERROR(VLOOKUP($A134,GanttChart!$A:$JD,263,FALSE),0)</f>
        <v>0</v>
      </c>
      <c r="G134" s="87">
        <f>IFERROR(VLOOKUP($A134,GanttChart!$A:$JD,264,FALSE),0)</f>
        <v>0</v>
      </c>
      <c r="H134" s="244"/>
      <c r="I134" s="87">
        <f t="shared" si="0"/>
        <v>0</v>
      </c>
    </row>
    <row r="135" spans="1:9" ht="18.75" hidden="1" x14ac:dyDescent="0.45">
      <c r="A135" s="80">
        <v>6.23</v>
      </c>
      <c r="C135" s="85">
        <f>IFERROR(VLOOKUP($A135,GanttChart!$A:$JD,2,FALSE),"خطا")</f>
        <v>0</v>
      </c>
      <c r="D135" s="86">
        <f>IFERROR(VLOOKUP($A135,GanttChart!$A:$JD,261,FALSE),0)</f>
        <v>0</v>
      </c>
      <c r="E135" s="86">
        <f>IFERROR(VLOOKUP($A135,GanttChart!$A:$JD,262,FALSE),0)</f>
        <v>0</v>
      </c>
      <c r="F135" s="86">
        <f>IFERROR(VLOOKUP($A135,GanttChart!$A:$JD,263,FALSE),0)</f>
        <v>0</v>
      </c>
      <c r="G135" s="87">
        <f>IFERROR(VLOOKUP($A135,GanttChart!$A:$JD,264,FALSE),0)</f>
        <v>0</v>
      </c>
      <c r="H135" s="244"/>
      <c r="I135" s="87">
        <f t="shared" si="0"/>
        <v>0</v>
      </c>
    </row>
    <row r="136" spans="1:9" ht="31.5" hidden="1" x14ac:dyDescent="0.45">
      <c r="A136" s="80">
        <v>7</v>
      </c>
      <c r="C136" s="85" t="str">
        <f>IFERROR(VLOOKUP($A136,GanttChart!$A:$JD,2,FALSE),"خطا")</f>
        <v>ارائه خدمات اجرایی موضوع ردیف 5 جدول ب قرارداد پیاده سازی (آموزش حضوری)</v>
      </c>
      <c r="D136" s="86">
        <f>IFERROR(VLOOKUP($A136,GanttChart!$A:$JD,261,FALSE),0)</f>
        <v>0</v>
      </c>
      <c r="E136" s="86">
        <f>IFERROR(VLOOKUP($A136,GanttChart!$A:$JD,262,FALSE),0)</f>
        <v>0</v>
      </c>
      <c r="F136" s="86">
        <f>IFERROR(VLOOKUP($A136,GanttChart!$A:$JD,263,FALSE),0)</f>
        <v>0</v>
      </c>
      <c r="G136" s="87">
        <f>IFERROR(VLOOKUP($A136,GanttChart!$A:$JD,264,FALSE),0)</f>
        <v>0</v>
      </c>
      <c r="H136" s="244"/>
      <c r="I136" s="87">
        <f t="shared" si="0"/>
        <v>0</v>
      </c>
    </row>
    <row r="137" spans="1:9" ht="18.75" x14ac:dyDescent="0.45">
      <c r="A137" s="80">
        <v>7.1</v>
      </c>
      <c r="C137" s="85" t="str">
        <f>IFERROR(VLOOKUP($A137,GanttChart!$A:$JD,2,FALSE),"خطا")</f>
        <v>ارائه طرح آموزش و برنامه زمانبندی برگزاری جلسات آموزشی</v>
      </c>
      <c r="D137" s="86">
        <f>IFERROR(VLOOKUP($A137,GanttChart!$A:$JD,261,FALSE),0)</f>
        <v>0</v>
      </c>
      <c r="E137" s="86">
        <f>IFERROR(VLOOKUP($A137,GanttChart!$A:$JD,262,FALSE),0)</f>
        <v>8.3333333333333329E-2</v>
      </c>
      <c r="F137" s="86">
        <f>IFERROR(VLOOKUP($A137,GanttChart!$A:$JD,263,FALSE),0)</f>
        <v>0</v>
      </c>
      <c r="G137" s="87">
        <f>IFERROR(VLOOKUP($A137,GanttChart!$A:$JD,264,FALSE),0)</f>
        <v>1832000</v>
      </c>
      <c r="H137" s="244"/>
      <c r="I137" s="87">
        <f t="shared" si="0"/>
        <v>1832000</v>
      </c>
    </row>
    <row r="138" spans="1:9" ht="31.5" x14ac:dyDescent="0.45">
      <c r="A138" s="80">
        <v>7.2</v>
      </c>
      <c r="C138" s="85" t="str">
        <f>IFERROR(VLOOKUP($A138,GanttChart!$A:$JD,2,FALSE),"خطا")</f>
        <v>برگزاری جلسات آموزش راهبری و به روزرسانی محتوا و مدیریت پورتال مطابق پیوست شماره 5 و ردیف 5 جدول ب قرارداد</v>
      </c>
      <c r="D138" s="86">
        <f>IFERROR(VLOOKUP($A138,GanttChart!$A:$JD,261,FALSE),0)</f>
        <v>0</v>
      </c>
      <c r="E138" s="86">
        <f>IFERROR(VLOOKUP($A138,GanttChart!$A:$JD,262,FALSE),0)</f>
        <v>0</v>
      </c>
      <c r="F138" s="86">
        <f>IFERROR(VLOOKUP($A138,GanttChart!$A:$JD,263,FALSE),0)</f>
        <v>1.0416666666666667</v>
      </c>
      <c r="G138" s="87">
        <f>IFERROR(VLOOKUP($A138,GanttChart!$A:$JD,264,FALSE),0)</f>
        <v>13875000</v>
      </c>
      <c r="H138" s="244"/>
      <c r="I138" s="87">
        <f t="shared" si="0"/>
        <v>13875000</v>
      </c>
    </row>
    <row r="139" spans="1:9" ht="18.75" x14ac:dyDescent="0.45">
      <c r="A139" s="80">
        <v>7.3</v>
      </c>
      <c r="C139" s="85">
        <f>IFERROR(VLOOKUP($A139,GanttChart!$A:$JD,2,FALSE),"خطا")</f>
        <v>0</v>
      </c>
      <c r="D139" s="86">
        <f>IFERROR(VLOOKUP($A139,GanttChart!$A:$JD,261,FALSE),0)</f>
        <v>0</v>
      </c>
      <c r="E139" s="86">
        <f>IFERROR(VLOOKUP($A139,GanttChart!$A:$JD,262,FALSE),0)</f>
        <v>0</v>
      </c>
      <c r="F139" s="86">
        <f>IFERROR(VLOOKUP($A139,GanttChart!$A:$JD,263,FALSE),0)</f>
        <v>0</v>
      </c>
      <c r="G139" s="87">
        <f>IFERROR(VLOOKUP($A139,GanttChart!$A:$JD,264,FALSE),0)</f>
        <v>0</v>
      </c>
      <c r="H139" s="244"/>
      <c r="I139" s="87">
        <f t="shared" si="0"/>
        <v>0</v>
      </c>
    </row>
    <row r="140" spans="1:9" ht="18.75" hidden="1" x14ac:dyDescent="0.45">
      <c r="A140" s="80">
        <v>7.4</v>
      </c>
      <c r="C140" s="85">
        <f>IFERROR(VLOOKUP($A140,GanttChart!$A:$JD,2,FALSE),"خطا")</f>
        <v>0</v>
      </c>
      <c r="D140" s="86">
        <f>IFERROR(VLOOKUP($A140,GanttChart!$A:$JD,261,FALSE),0)</f>
        <v>0</v>
      </c>
      <c r="E140" s="86">
        <f>IFERROR(VLOOKUP($A140,GanttChart!$A:$JD,262,FALSE),0)</f>
        <v>0</v>
      </c>
      <c r="F140" s="86">
        <f>IFERROR(VLOOKUP($A140,GanttChart!$A:$JD,263,FALSE),0)</f>
        <v>0</v>
      </c>
      <c r="G140" s="87">
        <f>IFERROR(VLOOKUP($A140,GanttChart!$A:$JD,264,FALSE),0)</f>
        <v>0</v>
      </c>
      <c r="H140" s="244"/>
      <c r="I140" s="87">
        <f t="shared" si="0"/>
        <v>0</v>
      </c>
    </row>
    <row r="141" spans="1:9" ht="18.75" hidden="1" x14ac:dyDescent="0.45">
      <c r="A141" s="80">
        <v>7.5</v>
      </c>
      <c r="C141" s="85">
        <f>IFERROR(VLOOKUP($A141,GanttChart!$A:$JD,2,FALSE),"خطا")</f>
        <v>0</v>
      </c>
      <c r="D141" s="86">
        <f>IFERROR(VLOOKUP($A141,GanttChart!$A:$JD,261,FALSE),0)</f>
        <v>0</v>
      </c>
      <c r="E141" s="86">
        <f>IFERROR(VLOOKUP($A141,GanttChart!$A:$JD,262,FALSE),0)</f>
        <v>0</v>
      </c>
      <c r="F141" s="86">
        <f>IFERROR(VLOOKUP($A141,GanttChart!$A:$JD,263,FALSE),0)</f>
        <v>0</v>
      </c>
      <c r="G141" s="87">
        <f>IFERROR(VLOOKUP($A141,GanttChart!$A:$JD,264,FALSE),0)</f>
        <v>0</v>
      </c>
      <c r="H141" s="244"/>
      <c r="I141" s="87">
        <f t="shared" si="0"/>
        <v>0</v>
      </c>
    </row>
    <row r="142" spans="1:9" ht="18.75" hidden="1" x14ac:dyDescent="0.45">
      <c r="A142" s="80">
        <v>7.6</v>
      </c>
      <c r="C142" s="85">
        <f>IFERROR(VLOOKUP($A142,GanttChart!$A:$JD,2,FALSE),"خطا")</f>
        <v>0</v>
      </c>
      <c r="D142" s="86">
        <f>IFERROR(VLOOKUP($A142,GanttChart!$A:$JD,261,FALSE),0)</f>
        <v>0</v>
      </c>
      <c r="E142" s="86">
        <f>IFERROR(VLOOKUP($A142,GanttChart!$A:$JD,262,FALSE),0)</f>
        <v>0</v>
      </c>
      <c r="F142" s="86">
        <f>IFERROR(VLOOKUP($A142,GanttChart!$A:$JD,263,FALSE),0)</f>
        <v>0</v>
      </c>
      <c r="G142" s="87">
        <f>IFERROR(VLOOKUP($A142,GanttChart!$A:$JD,264,FALSE),0)</f>
        <v>0</v>
      </c>
      <c r="H142" s="244"/>
      <c r="I142" s="87">
        <f t="shared" si="0"/>
        <v>0</v>
      </c>
    </row>
    <row r="143" spans="1:9" ht="18.75" hidden="1" x14ac:dyDescent="0.45">
      <c r="A143" s="80">
        <v>7.7</v>
      </c>
      <c r="C143" s="85">
        <f>IFERROR(VLOOKUP($A143,GanttChart!$A:$JD,2,FALSE),"خطا")</f>
        <v>0</v>
      </c>
      <c r="D143" s="86">
        <f>IFERROR(VLOOKUP($A143,GanttChart!$A:$JD,261,FALSE),0)</f>
        <v>0</v>
      </c>
      <c r="E143" s="86">
        <f>IFERROR(VLOOKUP($A143,GanttChart!$A:$JD,262,FALSE),0)</f>
        <v>0</v>
      </c>
      <c r="F143" s="86">
        <f>IFERROR(VLOOKUP($A143,GanttChart!$A:$JD,263,FALSE),0)</f>
        <v>0</v>
      </c>
      <c r="G143" s="87">
        <f>IFERROR(VLOOKUP($A143,GanttChart!$A:$JD,264,FALSE),0)</f>
        <v>0</v>
      </c>
      <c r="H143" s="244"/>
      <c r="I143" s="87">
        <f t="shared" si="0"/>
        <v>0</v>
      </c>
    </row>
    <row r="144" spans="1:9" ht="18.75" hidden="1" x14ac:dyDescent="0.45">
      <c r="A144" s="80">
        <v>7.8</v>
      </c>
      <c r="C144" s="85">
        <f>IFERROR(VLOOKUP($A144,GanttChart!$A:$JD,2,FALSE),"خطا")</f>
        <v>0</v>
      </c>
      <c r="D144" s="86">
        <f>IFERROR(VLOOKUP($A144,GanttChart!$A:$JD,261,FALSE),0)</f>
        <v>0</v>
      </c>
      <c r="E144" s="86">
        <f>IFERROR(VLOOKUP($A144,GanttChart!$A:$JD,262,FALSE),0)</f>
        <v>0</v>
      </c>
      <c r="F144" s="86">
        <f>IFERROR(VLOOKUP($A144,GanttChart!$A:$JD,263,FALSE),0)</f>
        <v>0</v>
      </c>
      <c r="G144" s="87">
        <f>IFERROR(VLOOKUP($A144,GanttChart!$A:$JD,264,FALSE),0)</f>
        <v>0</v>
      </c>
      <c r="H144" s="244"/>
      <c r="I144" s="87">
        <f t="shared" si="0"/>
        <v>0</v>
      </c>
    </row>
    <row r="145" spans="1:9" ht="18.75" hidden="1" x14ac:dyDescent="0.45">
      <c r="A145" s="80">
        <v>7.9</v>
      </c>
      <c r="C145" s="85">
        <f>IFERROR(VLOOKUP($A145,GanttChart!$A:$JD,2,FALSE),"خطا")</f>
        <v>0</v>
      </c>
      <c r="D145" s="86">
        <f>IFERROR(VLOOKUP($A145,GanttChart!$A:$JD,261,FALSE),0)</f>
        <v>0</v>
      </c>
      <c r="E145" s="86">
        <f>IFERROR(VLOOKUP($A145,GanttChart!$A:$JD,262,FALSE),0)</f>
        <v>0</v>
      </c>
      <c r="F145" s="86">
        <f>IFERROR(VLOOKUP($A145,GanttChart!$A:$JD,263,FALSE),0)</f>
        <v>0</v>
      </c>
      <c r="G145" s="87">
        <f>IFERROR(VLOOKUP($A145,GanttChart!$A:$JD,264,FALSE),0)</f>
        <v>0</v>
      </c>
      <c r="H145" s="244"/>
      <c r="I145" s="87">
        <f t="shared" si="0"/>
        <v>0</v>
      </c>
    </row>
    <row r="146" spans="1:9" ht="18.75" hidden="1" x14ac:dyDescent="0.45">
      <c r="A146" s="80">
        <v>7.11</v>
      </c>
      <c r="C146" s="85">
        <f>IFERROR(VLOOKUP($A146,GanttChart!$A:$JD,2,FALSE),"خطا")</f>
        <v>0</v>
      </c>
      <c r="D146" s="86">
        <f>IFERROR(VLOOKUP($A146,GanttChart!$A:$JD,261,FALSE),0)</f>
        <v>0</v>
      </c>
      <c r="E146" s="86">
        <f>IFERROR(VLOOKUP($A146,GanttChart!$A:$JD,262,FALSE),0)</f>
        <v>0</v>
      </c>
      <c r="F146" s="86">
        <f>IFERROR(VLOOKUP($A146,GanttChart!$A:$JD,263,FALSE),0)</f>
        <v>0</v>
      </c>
      <c r="G146" s="87">
        <f>IFERROR(VLOOKUP($A146,GanttChart!$A:$JD,264,FALSE),0)</f>
        <v>0</v>
      </c>
      <c r="H146" s="244"/>
      <c r="I146" s="87">
        <f t="shared" si="0"/>
        <v>0</v>
      </c>
    </row>
    <row r="147" spans="1:9" ht="18.75" hidden="1" x14ac:dyDescent="0.45">
      <c r="A147" s="80">
        <v>7.12</v>
      </c>
      <c r="C147" s="85">
        <f>IFERROR(VLOOKUP($A147,GanttChart!$A:$JD,2,FALSE),"خطا")</f>
        <v>0</v>
      </c>
      <c r="D147" s="86">
        <f>IFERROR(VLOOKUP($A147,GanttChart!$A:$JD,261,FALSE),0)</f>
        <v>0</v>
      </c>
      <c r="E147" s="86">
        <f>IFERROR(VLOOKUP($A147,GanttChart!$A:$JD,262,FALSE),0)</f>
        <v>0</v>
      </c>
      <c r="F147" s="86">
        <f>IFERROR(VLOOKUP($A147,GanttChart!$A:$JD,263,FALSE),0)</f>
        <v>0</v>
      </c>
      <c r="G147" s="87">
        <f>IFERROR(VLOOKUP($A147,GanttChart!$A:$JD,264,FALSE),0)</f>
        <v>0</v>
      </c>
      <c r="H147" s="244"/>
      <c r="I147" s="87">
        <f t="shared" si="0"/>
        <v>0</v>
      </c>
    </row>
    <row r="148" spans="1:9" ht="18.75" hidden="1" x14ac:dyDescent="0.45">
      <c r="A148" s="80">
        <v>7.13</v>
      </c>
      <c r="C148" s="85">
        <f>IFERROR(VLOOKUP($A148,GanttChart!$A:$JD,2,FALSE),"خطا")</f>
        <v>0</v>
      </c>
      <c r="D148" s="86">
        <f>IFERROR(VLOOKUP($A148,GanttChart!$A:$JD,261,FALSE),0)</f>
        <v>0</v>
      </c>
      <c r="E148" s="86">
        <f>IFERROR(VLOOKUP($A148,GanttChart!$A:$JD,262,FALSE),0)</f>
        <v>0</v>
      </c>
      <c r="F148" s="86">
        <f>IFERROR(VLOOKUP($A148,GanttChart!$A:$JD,263,FALSE),0)</f>
        <v>0</v>
      </c>
      <c r="G148" s="87">
        <f>IFERROR(VLOOKUP($A148,GanttChart!$A:$JD,264,FALSE),0)</f>
        <v>0</v>
      </c>
      <c r="H148" s="244"/>
      <c r="I148" s="87">
        <f t="shared" si="0"/>
        <v>0</v>
      </c>
    </row>
    <row r="149" spans="1:9" ht="18.75" hidden="1" x14ac:dyDescent="0.45">
      <c r="A149" s="80">
        <v>7.14</v>
      </c>
      <c r="C149" s="85">
        <f>IFERROR(VLOOKUP($A149,GanttChart!$A:$JD,2,FALSE),"خطا")</f>
        <v>0</v>
      </c>
      <c r="D149" s="86">
        <f>IFERROR(VLOOKUP($A149,GanttChart!$A:$JD,261,FALSE),0)</f>
        <v>0</v>
      </c>
      <c r="E149" s="86">
        <f>IFERROR(VLOOKUP($A149,GanttChart!$A:$JD,262,FALSE),0)</f>
        <v>0</v>
      </c>
      <c r="F149" s="86">
        <f>IFERROR(VLOOKUP($A149,GanttChart!$A:$JD,263,FALSE),0)</f>
        <v>0</v>
      </c>
      <c r="G149" s="87">
        <f>IFERROR(VLOOKUP($A149,GanttChart!$A:$JD,264,FALSE),0)</f>
        <v>0</v>
      </c>
      <c r="H149" s="244"/>
      <c r="I149" s="87">
        <f t="shared" si="0"/>
        <v>0</v>
      </c>
    </row>
    <row r="150" spans="1:9" ht="18.75" hidden="1" x14ac:dyDescent="0.45">
      <c r="A150" s="80">
        <v>7.15</v>
      </c>
      <c r="C150" s="85">
        <f>IFERROR(VLOOKUP($A150,GanttChart!$A:$JD,2,FALSE),"خطا")</f>
        <v>0</v>
      </c>
      <c r="D150" s="86">
        <f>IFERROR(VLOOKUP($A150,GanttChart!$A:$JD,261,FALSE),0)</f>
        <v>0</v>
      </c>
      <c r="E150" s="86">
        <f>IFERROR(VLOOKUP($A150,GanttChart!$A:$JD,262,FALSE),0)</f>
        <v>0</v>
      </c>
      <c r="F150" s="86">
        <f>IFERROR(VLOOKUP($A150,GanttChart!$A:$JD,263,FALSE),0)</f>
        <v>0</v>
      </c>
      <c r="G150" s="87">
        <f>IFERROR(VLOOKUP($A150,GanttChart!$A:$JD,264,FALSE),0)</f>
        <v>0</v>
      </c>
      <c r="H150" s="244"/>
      <c r="I150" s="87">
        <f t="shared" si="0"/>
        <v>0</v>
      </c>
    </row>
    <row r="151" spans="1:9" ht="18.75" hidden="1" x14ac:dyDescent="0.45">
      <c r="A151" s="80">
        <v>7.16</v>
      </c>
      <c r="C151" s="85">
        <f>IFERROR(VLOOKUP($A151,GanttChart!$A:$JD,2,FALSE),"خطا")</f>
        <v>0</v>
      </c>
      <c r="D151" s="86">
        <f>IFERROR(VLOOKUP($A151,GanttChart!$A:$JD,261,FALSE),0)</f>
        <v>0</v>
      </c>
      <c r="E151" s="86">
        <f>IFERROR(VLOOKUP($A151,GanttChart!$A:$JD,262,FALSE),0)</f>
        <v>0</v>
      </c>
      <c r="F151" s="86">
        <f>IFERROR(VLOOKUP($A151,GanttChart!$A:$JD,263,FALSE),0)</f>
        <v>0</v>
      </c>
      <c r="G151" s="87">
        <f>IFERROR(VLOOKUP($A151,GanttChart!$A:$JD,264,FALSE),0)</f>
        <v>0</v>
      </c>
      <c r="H151" s="244"/>
      <c r="I151" s="87">
        <f t="shared" si="0"/>
        <v>0</v>
      </c>
    </row>
    <row r="152" spans="1:9" ht="18.75" hidden="1" x14ac:dyDescent="0.45">
      <c r="A152" s="80">
        <v>7.17</v>
      </c>
      <c r="C152" s="85">
        <f>IFERROR(VLOOKUP($A152,GanttChart!$A:$JD,2,FALSE),"خطا")</f>
        <v>0</v>
      </c>
      <c r="D152" s="86">
        <f>IFERROR(VLOOKUP($A152,GanttChart!$A:$JD,261,FALSE),0)</f>
        <v>0</v>
      </c>
      <c r="E152" s="86">
        <f>IFERROR(VLOOKUP($A152,GanttChart!$A:$JD,262,FALSE),0)</f>
        <v>0</v>
      </c>
      <c r="F152" s="86">
        <f>IFERROR(VLOOKUP($A152,GanttChart!$A:$JD,263,FALSE),0)</f>
        <v>0</v>
      </c>
      <c r="G152" s="87">
        <f>IFERROR(VLOOKUP($A152,GanttChart!$A:$JD,264,FALSE),0)</f>
        <v>0</v>
      </c>
      <c r="H152" s="244"/>
      <c r="I152" s="87">
        <f t="shared" si="0"/>
        <v>0</v>
      </c>
    </row>
    <row r="153" spans="1:9" ht="18.75" hidden="1" x14ac:dyDescent="0.45">
      <c r="A153" s="80">
        <v>7.18</v>
      </c>
      <c r="C153" s="85">
        <f>IFERROR(VLOOKUP($A153,GanttChart!$A:$JD,2,FALSE),"خطا")</f>
        <v>0</v>
      </c>
      <c r="D153" s="86">
        <f>IFERROR(VLOOKUP($A153,GanttChart!$A:$JD,261,FALSE),0)</f>
        <v>0</v>
      </c>
      <c r="E153" s="86">
        <f>IFERROR(VLOOKUP($A153,GanttChart!$A:$JD,262,FALSE),0)</f>
        <v>0</v>
      </c>
      <c r="F153" s="86">
        <f>IFERROR(VLOOKUP($A153,GanttChart!$A:$JD,263,FALSE),0)</f>
        <v>0</v>
      </c>
      <c r="G153" s="87">
        <f>IFERROR(VLOOKUP($A153,GanttChart!$A:$JD,264,FALSE),0)</f>
        <v>0</v>
      </c>
      <c r="H153" s="244"/>
      <c r="I153" s="87">
        <f t="shared" si="0"/>
        <v>0</v>
      </c>
    </row>
    <row r="154" spans="1:9" ht="18.75" hidden="1" x14ac:dyDescent="0.45">
      <c r="A154" s="80">
        <v>7.19</v>
      </c>
      <c r="C154" s="85">
        <f>IFERROR(VLOOKUP($A154,GanttChart!$A:$JD,2,FALSE),"خطا")</f>
        <v>0</v>
      </c>
      <c r="D154" s="86">
        <f>IFERROR(VLOOKUP($A154,GanttChart!$A:$JD,261,FALSE),0)</f>
        <v>0</v>
      </c>
      <c r="E154" s="86">
        <f>IFERROR(VLOOKUP($A154,GanttChart!$A:$JD,262,FALSE),0)</f>
        <v>0</v>
      </c>
      <c r="F154" s="86">
        <f>IFERROR(VLOOKUP($A154,GanttChart!$A:$JD,263,FALSE),0)</f>
        <v>0</v>
      </c>
      <c r="G154" s="87">
        <f>IFERROR(VLOOKUP($A154,GanttChart!$A:$JD,264,FALSE),0)</f>
        <v>0</v>
      </c>
      <c r="H154" s="244"/>
      <c r="I154" s="87">
        <f t="shared" si="0"/>
        <v>0</v>
      </c>
    </row>
    <row r="155" spans="1:9" ht="18.75" hidden="1" x14ac:dyDescent="0.45">
      <c r="A155" s="80">
        <v>7.21</v>
      </c>
      <c r="C155" s="85">
        <f>IFERROR(VLOOKUP($A155,GanttChart!$A:$JD,2,FALSE),"خطا")</f>
        <v>0</v>
      </c>
      <c r="D155" s="86">
        <f>IFERROR(VLOOKUP($A155,GanttChart!$A:$JD,261,FALSE),0)</f>
        <v>0</v>
      </c>
      <c r="E155" s="86">
        <f>IFERROR(VLOOKUP($A155,GanttChart!$A:$JD,262,FALSE),0)</f>
        <v>0</v>
      </c>
      <c r="F155" s="86">
        <f>IFERROR(VLOOKUP($A155,GanttChart!$A:$JD,263,FALSE),0)</f>
        <v>0</v>
      </c>
      <c r="G155" s="87">
        <f>IFERROR(VLOOKUP($A155,GanttChart!$A:$JD,264,FALSE),0)</f>
        <v>0</v>
      </c>
      <c r="H155" s="244"/>
      <c r="I155" s="87">
        <f t="shared" si="0"/>
        <v>0</v>
      </c>
    </row>
    <row r="156" spans="1:9" ht="18.75" hidden="1" x14ac:dyDescent="0.45">
      <c r="A156" s="80">
        <v>7.22</v>
      </c>
      <c r="C156" s="85">
        <f>IFERROR(VLOOKUP($A156,GanttChart!$A:$JD,2,FALSE),"خطا")</f>
        <v>0</v>
      </c>
      <c r="D156" s="86">
        <f>IFERROR(VLOOKUP($A156,GanttChart!$A:$JD,261,FALSE),0)</f>
        <v>0</v>
      </c>
      <c r="E156" s="86">
        <f>IFERROR(VLOOKUP($A156,GanttChart!$A:$JD,262,FALSE),0)</f>
        <v>0</v>
      </c>
      <c r="F156" s="86">
        <f>IFERROR(VLOOKUP($A156,GanttChart!$A:$JD,263,FALSE),0)</f>
        <v>0</v>
      </c>
      <c r="G156" s="87">
        <f>IFERROR(VLOOKUP($A156,GanttChart!$A:$JD,264,FALSE),0)</f>
        <v>0</v>
      </c>
      <c r="H156" s="244"/>
      <c r="I156" s="87">
        <f t="shared" si="0"/>
        <v>0</v>
      </c>
    </row>
    <row r="157" spans="1:9" ht="18.75" hidden="1" x14ac:dyDescent="0.45">
      <c r="A157" s="80">
        <v>7.23</v>
      </c>
      <c r="C157" s="85">
        <f>IFERROR(VLOOKUP($A157,GanttChart!$A:$JD,2,FALSE),"خطا")</f>
        <v>0</v>
      </c>
      <c r="D157" s="86">
        <f>IFERROR(VLOOKUP($A157,GanttChart!$A:$JD,261,FALSE),0)</f>
        <v>0</v>
      </c>
      <c r="E157" s="86">
        <f>IFERROR(VLOOKUP($A157,GanttChart!$A:$JD,262,FALSE),0)</f>
        <v>0</v>
      </c>
      <c r="F157" s="86">
        <f>IFERROR(VLOOKUP($A157,GanttChart!$A:$JD,263,FALSE),0)</f>
        <v>0</v>
      </c>
      <c r="G157" s="87">
        <f>IFERROR(VLOOKUP($A157,GanttChart!$A:$JD,264,FALSE),0)</f>
        <v>0</v>
      </c>
      <c r="H157" s="244"/>
      <c r="I157" s="87">
        <f t="shared" si="0"/>
        <v>0</v>
      </c>
    </row>
    <row r="158" spans="1:9" ht="18.75" hidden="1" x14ac:dyDescent="0.45">
      <c r="A158" s="80">
        <v>8</v>
      </c>
      <c r="C158" s="85" t="str">
        <f>IFERROR(VLOOKUP($A158,GanttChart!$A:$JD,2,FALSE),"خطا")</f>
        <v>تحویل نهايي دستاوردهای پروژه</v>
      </c>
      <c r="D158" s="86">
        <f>IFERROR(VLOOKUP($A158,GanttChart!$A:$JD,261,FALSE),0)</f>
        <v>0</v>
      </c>
      <c r="E158" s="86">
        <f>IFERROR(VLOOKUP($A158,GanttChart!$A:$JD,262,FALSE),0)</f>
        <v>0</v>
      </c>
      <c r="F158" s="86">
        <f>IFERROR(VLOOKUP($A158,GanttChart!$A:$JD,263,FALSE),0)</f>
        <v>0</v>
      </c>
      <c r="G158" s="87">
        <f>IFERROR(VLOOKUP($A158,GanttChart!$A:$JD,264,FALSE),0)</f>
        <v>0</v>
      </c>
      <c r="H158" s="244"/>
      <c r="I158" s="87">
        <f t="shared" si="0"/>
        <v>0</v>
      </c>
    </row>
    <row r="159" spans="1:9" ht="31.5" x14ac:dyDescent="0.45">
      <c r="A159" s="80">
        <v>8.1</v>
      </c>
      <c r="C159" s="85" t="str">
        <f>IFERROR(VLOOKUP($A159,GanttChart!$A:$JD,2,FALSE),"خطا")</f>
        <v>راه اندازی سرور میرور و پیکربندی امنیتی و اطمینان از صحت عملکرد رویه های پشتیبان گیری</v>
      </c>
      <c r="D159" s="86">
        <f>IFERROR(VLOOKUP($A159,GanttChart!$A:$JD,261,FALSE),0)</f>
        <v>0</v>
      </c>
      <c r="E159" s="86">
        <f>IFERROR(VLOOKUP($A159,GanttChart!$A:$JD,262,FALSE),0)</f>
        <v>0.16666666666666666</v>
      </c>
      <c r="F159" s="86">
        <f>IFERROR(VLOOKUP($A159,GanttChart!$A:$JD,263,FALSE),0)</f>
        <v>0</v>
      </c>
      <c r="G159" s="87">
        <f>IFERROR(VLOOKUP($A159,GanttChart!$A:$JD,264,FALSE),0)</f>
        <v>3664000</v>
      </c>
      <c r="H159" s="244"/>
      <c r="I159" s="87">
        <f t="shared" si="0"/>
        <v>3664000</v>
      </c>
    </row>
    <row r="160" spans="1:9" ht="18.75" hidden="1" x14ac:dyDescent="0.45">
      <c r="A160" s="80">
        <v>8.1999999999999993</v>
      </c>
      <c r="C160" s="85" t="str">
        <f>IFERROR(VLOOKUP($A160,GanttChart!$A:$JD,2,FALSE),"خطا")</f>
        <v>انتقال پورتال به دامنه اصلی کارفرما</v>
      </c>
      <c r="D160" s="86">
        <f>IFERROR(VLOOKUP($A160,GanttChart!$A:$JD,261,FALSE),0)</f>
        <v>0</v>
      </c>
      <c r="E160" s="86">
        <f>IFERROR(VLOOKUP($A160,GanttChart!$A:$JD,262,FALSE),0)</f>
        <v>8.3333333333333329E-2</v>
      </c>
      <c r="F160" s="86">
        <f>IFERROR(VLOOKUP($A160,GanttChart!$A:$JD,263,FALSE),0)</f>
        <v>8.3333333333333329E-2</v>
      </c>
      <c r="G160" s="87">
        <f>IFERROR(VLOOKUP($A160,GanttChart!$A:$JD,264,FALSE),0)</f>
        <v>2942000</v>
      </c>
      <c r="H160" s="244"/>
      <c r="I160" s="87">
        <f t="shared" si="0"/>
        <v>2942000</v>
      </c>
    </row>
    <row r="161" spans="1:9" ht="18.75" hidden="1" x14ac:dyDescent="0.45">
      <c r="A161" s="91">
        <v>8.3000000000000007</v>
      </c>
      <c r="C161" s="85">
        <f>IFERROR(VLOOKUP($A161,GanttChart!$A:$JD,2,FALSE),"خطا")</f>
        <v>0</v>
      </c>
      <c r="D161" s="86">
        <f>IFERROR(VLOOKUP($A161,GanttChart!$A:$JD,261,FALSE),0)</f>
        <v>0</v>
      </c>
      <c r="E161" s="86">
        <f>IFERROR(VLOOKUP($A161,GanttChart!$A:$JD,262,FALSE),0)</f>
        <v>0</v>
      </c>
      <c r="F161" s="86">
        <f>IFERROR(VLOOKUP($A161,GanttChart!$A:$JD,263,FALSE),0)</f>
        <v>0</v>
      </c>
      <c r="G161" s="87">
        <f>IFERROR(VLOOKUP($A161,GanttChart!$A:$JD,264,FALSE),0)</f>
        <v>0</v>
      </c>
      <c r="H161" s="244"/>
      <c r="I161" s="87">
        <f t="shared" ref="I161:I179" si="1">G161-(H161*G161)</f>
        <v>0</v>
      </c>
    </row>
    <row r="162" spans="1:9" ht="18.75" x14ac:dyDescent="0.45">
      <c r="A162" s="91">
        <v>8.4</v>
      </c>
      <c r="C162" s="85">
        <f>IFERROR(VLOOKUP($A162,GanttChart!$A:$JD,2,FALSE),"خطا")</f>
        <v>0</v>
      </c>
      <c r="D162" s="86">
        <f>IFERROR(VLOOKUP($A162,GanttChart!$A:$JD,261,FALSE),0)</f>
        <v>0</v>
      </c>
      <c r="E162" s="86">
        <f>IFERROR(VLOOKUP($A162,GanttChart!$A:$JD,262,FALSE),0)</f>
        <v>0</v>
      </c>
      <c r="F162" s="86">
        <f>IFERROR(VLOOKUP($A162,GanttChart!$A:$JD,263,FALSE),0)</f>
        <v>0</v>
      </c>
      <c r="G162" s="87">
        <f>IFERROR(VLOOKUP($A162,GanttChart!$A:$JD,264,FALSE),0)</f>
        <v>0</v>
      </c>
      <c r="H162" s="244"/>
      <c r="I162" s="87">
        <f t="shared" si="1"/>
        <v>0</v>
      </c>
    </row>
    <row r="163" spans="1:9" ht="18.75" hidden="1" x14ac:dyDescent="0.45">
      <c r="A163" s="80">
        <v>8.5</v>
      </c>
      <c r="C163" s="85">
        <f>IFERROR(VLOOKUP($A163,GanttChart!$A:$JD,2,FALSE),"خطا")</f>
        <v>0</v>
      </c>
      <c r="D163" s="86">
        <f>IFERROR(VLOOKUP($A163,GanttChart!$A:$JD,261,FALSE),0)</f>
        <v>0</v>
      </c>
      <c r="E163" s="86">
        <f>IFERROR(VLOOKUP($A163,GanttChart!$A:$JD,262,FALSE),0)</f>
        <v>0</v>
      </c>
      <c r="F163" s="86">
        <f>IFERROR(VLOOKUP($A163,GanttChart!$A:$JD,263,FALSE),0)</f>
        <v>0</v>
      </c>
      <c r="G163" s="87">
        <f>IFERROR(VLOOKUP($A163,GanttChart!$A:$JD,264,FALSE),0)</f>
        <v>0</v>
      </c>
      <c r="H163" s="244"/>
      <c r="I163" s="87">
        <f t="shared" si="1"/>
        <v>0</v>
      </c>
    </row>
    <row r="164" spans="1:9" ht="18.75" hidden="1" x14ac:dyDescent="0.45">
      <c r="A164" s="91">
        <v>8.6</v>
      </c>
      <c r="C164" s="85">
        <f>IFERROR(VLOOKUP($A164,GanttChart!$A:$JD,2,FALSE),"خطا")</f>
        <v>0</v>
      </c>
      <c r="D164" s="86">
        <f>IFERROR(VLOOKUP($A164,GanttChart!$A:$JD,261,FALSE),0)</f>
        <v>0</v>
      </c>
      <c r="E164" s="86">
        <f>IFERROR(VLOOKUP($A164,GanttChart!$A:$JD,262,FALSE),0)</f>
        <v>0</v>
      </c>
      <c r="F164" s="86">
        <f>IFERROR(VLOOKUP($A164,GanttChart!$A:$JD,263,FALSE),0)</f>
        <v>0</v>
      </c>
      <c r="G164" s="87">
        <f>IFERROR(VLOOKUP($A164,GanttChart!$A:$JD,264,FALSE),0)</f>
        <v>0</v>
      </c>
      <c r="H164" s="244"/>
      <c r="I164" s="87">
        <f t="shared" si="1"/>
        <v>0</v>
      </c>
    </row>
    <row r="165" spans="1:9" ht="18.75" hidden="1" x14ac:dyDescent="0.45">
      <c r="A165" s="91">
        <v>8.7000000000000099</v>
      </c>
      <c r="C165" s="85" t="str">
        <f>IFERROR(VLOOKUP($A165,GanttChart!$A:$JD,2,FALSE),"خطا")</f>
        <v>خطا</v>
      </c>
      <c r="D165" s="86">
        <f>IFERROR(VLOOKUP($A165,GanttChart!$A:$JD,261,FALSE),0)</f>
        <v>0</v>
      </c>
      <c r="E165" s="86">
        <f>IFERROR(VLOOKUP($A165,GanttChart!$A:$JD,262,FALSE),0)</f>
        <v>0</v>
      </c>
      <c r="F165" s="86">
        <f>IFERROR(VLOOKUP($A165,GanttChart!$A:$JD,263,FALSE),0)</f>
        <v>0</v>
      </c>
      <c r="G165" s="87">
        <f>IFERROR(VLOOKUP($A165,GanttChart!$A:$JD,264,FALSE),0)</f>
        <v>0</v>
      </c>
      <c r="H165" s="244"/>
      <c r="I165" s="87">
        <f t="shared" si="1"/>
        <v>0</v>
      </c>
    </row>
    <row r="166" spans="1:9" ht="18.75" hidden="1" x14ac:dyDescent="0.45">
      <c r="A166" s="80">
        <v>8.8000000000000096</v>
      </c>
      <c r="C166" s="85" t="str">
        <f>IFERROR(VLOOKUP($A166,GanttChart!$A:$JD,2,FALSE),"خطا")</f>
        <v>خطا</v>
      </c>
      <c r="D166" s="86">
        <f>IFERROR(VLOOKUP($A166,GanttChart!$A:$JD,261,FALSE),0)</f>
        <v>0</v>
      </c>
      <c r="E166" s="86">
        <f>IFERROR(VLOOKUP($A166,GanttChart!$A:$JD,262,FALSE),0)</f>
        <v>0</v>
      </c>
      <c r="F166" s="86">
        <f>IFERROR(VLOOKUP($A166,GanttChart!$A:$JD,263,FALSE),0)</f>
        <v>0</v>
      </c>
      <c r="G166" s="87">
        <f>IFERROR(VLOOKUP($A166,GanttChart!$A:$JD,264,FALSE),0)</f>
        <v>0</v>
      </c>
      <c r="H166" s="244"/>
      <c r="I166" s="87">
        <f t="shared" si="1"/>
        <v>0</v>
      </c>
    </row>
    <row r="167" spans="1:9" ht="18.75" hidden="1" x14ac:dyDescent="0.45">
      <c r="A167" s="91">
        <v>8.9000000000000092</v>
      </c>
      <c r="C167" s="85" t="str">
        <f>IFERROR(VLOOKUP($A167,GanttChart!$A:$JD,2,FALSE),"خطا")</f>
        <v>خطا</v>
      </c>
      <c r="D167" s="86">
        <f>IFERROR(VLOOKUP($A167,GanttChart!$A:$JD,261,FALSE),0)</f>
        <v>0</v>
      </c>
      <c r="E167" s="86">
        <f>IFERROR(VLOOKUP($A167,GanttChart!$A:$JD,262,FALSE),0)</f>
        <v>0</v>
      </c>
      <c r="F167" s="86">
        <f>IFERROR(VLOOKUP($A167,GanttChart!$A:$JD,263,FALSE),0)</f>
        <v>0</v>
      </c>
      <c r="G167" s="87">
        <f>IFERROR(VLOOKUP($A167,GanttChart!$A:$JD,264,FALSE),0)</f>
        <v>0</v>
      </c>
      <c r="H167" s="244"/>
      <c r="I167" s="87">
        <f t="shared" si="1"/>
        <v>0</v>
      </c>
    </row>
    <row r="168" spans="1:9" ht="18.75" hidden="1" x14ac:dyDescent="0.45">
      <c r="A168" s="91">
        <v>8.11</v>
      </c>
      <c r="C168" s="85">
        <f>IFERROR(VLOOKUP($A168,GanttChart!$A:$JD,2,FALSE),"خطا")</f>
        <v>0</v>
      </c>
      <c r="D168" s="86">
        <f>IFERROR(VLOOKUP($A168,GanttChart!$A:$JD,261,FALSE),0)</f>
        <v>0</v>
      </c>
      <c r="E168" s="86">
        <f>IFERROR(VLOOKUP($A168,GanttChart!$A:$JD,262,FALSE),0)</f>
        <v>0</v>
      </c>
      <c r="F168" s="86">
        <f>IFERROR(VLOOKUP($A168,GanttChart!$A:$JD,263,FALSE),0)</f>
        <v>0</v>
      </c>
      <c r="G168" s="87">
        <f>IFERROR(VLOOKUP($A168,GanttChart!$A:$JD,264,FALSE),0)</f>
        <v>0</v>
      </c>
      <c r="H168" s="244"/>
      <c r="I168" s="87">
        <f t="shared" si="1"/>
        <v>0</v>
      </c>
    </row>
    <row r="169" spans="1:9" ht="18.75" hidden="1" x14ac:dyDescent="0.45">
      <c r="A169" s="91">
        <v>8.1199999999999992</v>
      </c>
      <c r="C169" s="85">
        <f>IFERROR(VLOOKUP($A169,GanttChart!$A:$JD,2,FALSE),"خطا")</f>
        <v>0</v>
      </c>
      <c r="D169" s="86">
        <f>IFERROR(VLOOKUP($A169,GanttChart!$A:$JD,261,FALSE),0)</f>
        <v>0</v>
      </c>
      <c r="E169" s="86">
        <f>IFERROR(VLOOKUP($A169,GanttChart!$A:$JD,262,FALSE),0)</f>
        <v>0</v>
      </c>
      <c r="F169" s="86">
        <f>IFERROR(VLOOKUP($A169,GanttChart!$A:$JD,263,FALSE),0)</f>
        <v>0</v>
      </c>
      <c r="G169" s="87">
        <f>IFERROR(VLOOKUP($A169,GanttChart!$A:$JD,264,FALSE),0)</f>
        <v>0</v>
      </c>
      <c r="H169" s="244"/>
      <c r="I169" s="87">
        <f t="shared" si="1"/>
        <v>0</v>
      </c>
    </row>
    <row r="170" spans="1:9" ht="18.75" hidden="1" x14ac:dyDescent="0.45">
      <c r="A170" s="91">
        <v>8.1300000000000008</v>
      </c>
      <c r="C170" s="85">
        <f>IFERROR(VLOOKUP($A170,GanttChart!$A:$JD,2,FALSE),"خطا")</f>
        <v>0</v>
      </c>
      <c r="D170" s="86">
        <f>IFERROR(VLOOKUP($A170,GanttChart!$A:$JD,261,FALSE),0)</f>
        <v>0</v>
      </c>
      <c r="E170" s="86">
        <f>IFERROR(VLOOKUP($A170,GanttChart!$A:$JD,262,FALSE),0)</f>
        <v>0</v>
      </c>
      <c r="F170" s="86">
        <f>IFERROR(VLOOKUP($A170,GanttChart!$A:$JD,263,FALSE),0)</f>
        <v>0</v>
      </c>
      <c r="G170" s="87">
        <f>IFERROR(VLOOKUP($A170,GanttChart!$A:$JD,264,FALSE),0)</f>
        <v>0</v>
      </c>
      <c r="H170" s="244"/>
      <c r="I170" s="87">
        <f t="shared" si="1"/>
        <v>0</v>
      </c>
    </row>
    <row r="171" spans="1:9" ht="18.75" hidden="1" x14ac:dyDescent="0.45">
      <c r="A171" s="91">
        <v>8.14</v>
      </c>
      <c r="C171" s="85">
        <f>IFERROR(VLOOKUP($A171,GanttChart!$A:$JD,2,FALSE),"خطا")</f>
        <v>0</v>
      </c>
      <c r="D171" s="86">
        <f>IFERROR(VLOOKUP($A171,GanttChart!$A:$JD,261,FALSE),0)</f>
        <v>0</v>
      </c>
      <c r="E171" s="86">
        <f>IFERROR(VLOOKUP($A171,GanttChart!$A:$JD,262,FALSE),0)</f>
        <v>0</v>
      </c>
      <c r="F171" s="86">
        <f>IFERROR(VLOOKUP($A171,GanttChart!$A:$JD,263,FALSE),0)</f>
        <v>0</v>
      </c>
      <c r="G171" s="87">
        <f>IFERROR(VLOOKUP($A171,GanttChart!$A:$JD,264,FALSE),0)</f>
        <v>0</v>
      </c>
      <c r="H171" s="244"/>
      <c r="I171" s="87">
        <f t="shared" si="1"/>
        <v>0</v>
      </c>
    </row>
    <row r="172" spans="1:9" ht="18.75" hidden="1" x14ac:dyDescent="0.45">
      <c r="A172" s="91">
        <v>8.15</v>
      </c>
      <c r="C172" s="85">
        <f>IFERROR(VLOOKUP($A172,GanttChart!$A:$JD,2,FALSE),"خطا")</f>
        <v>0</v>
      </c>
      <c r="D172" s="86">
        <f>IFERROR(VLOOKUP($A172,GanttChart!$A:$JD,261,FALSE),0)</f>
        <v>0</v>
      </c>
      <c r="E172" s="86">
        <f>IFERROR(VLOOKUP($A172,GanttChart!$A:$JD,262,FALSE),0)</f>
        <v>0</v>
      </c>
      <c r="F172" s="86">
        <f>IFERROR(VLOOKUP($A172,GanttChart!$A:$JD,263,FALSE),0)</f>
        <v>0</v>
      </c>
      <c r="G172" s="87">
        <f>IFERROR(VLOOKUP($A172,GanttChart!$A:$JD,264,FALSE),0)</f>
        <v>0</v>
      </c>
      <c r="H172" s="244"/>
      <c r="I172" s="87">
        <f t="shared" si="1"/>
        <v>0</v>
      </c>
    </row>
    <row r="173" spans="1:9" ht="18.75" hidden="1" x14ac:dyDescent="0.45">
      <c r="A173" s="91">
        <v>8.16</v>
      </c>
      <c r="C173" s="85">
        <f>IFERROR(VLOOKUP($A173,GanttChart!$A:$JD,2,FALSE),"خطا")</f>
        <v>0</v>
      </c>
      <c r="D173" s="86">
        <f>IFERROR(VLOOKUP($A173,GanttChart!$A:$JD,261,FALSE),0)</f>
        <v>0</v>
      </c>
      <c r="E173" s="86">
        <f>IFERROR(VLOOKUP($A173,GanttChart!$A:$JD,262,FALSE),0)</f>
        <v>0</v>
      </c>
      <c r="F173" s="86">
        <f>IFERROR(VLOOKUP($A173,GanttChart!$A:$JD,263,FALSE),0)</f>
        <v>0</v>
      </c>
      <c r="G173" s="87">
        <f>IFERROR(VLOOKUP($A173,GanttChart!$A:$JD,264,FALSE),0)</f>
        <v>0</v>
      </c>
      <c r="H173" s="244"/>
      <c r="I173" s="87">
        <f t="shared" si="1"/>
        <v>0</v>
      </c>
    </row>
    <row r="174" spans="1:9" ht="18.75" hidden="1" x14ac:dyDescent="0.45">
      <c r="A174" s="91">
        <v>8.17</v>
      </c>
      <c r="C174" s="85">
        <f>IFERROR(VLOOKUP($A174,GanttChart!$A:$JD,2,FALSE),"خطا")</f>
        <v>0</v>
      </c>
      <c r="D174" s="86">
        <f>IFERROR(VLOOKUP($A174,GanttChart!$A:$JD,261,FALSE),0)</f>
        <v>0</v>
      </c>
      <c r="E174" s="86">
        <f>IFERROR(VLOOKUP($A174,GanttChart!$A:$JD,262,FALSE),0)</f>
        <v>0</v>
      </c>
      <c r="F174" s="86">
        <f>IFERROR(VLOOKUP($A174,GanttChart!$A:$JD,263,FALSE),0)</f>
        <v>0</v>
      </c>
      <c r="G174" s="87">
        <f>IFERROR(VLOOKUP($A174,GanttChart!$A:$JD,264,FALSE),0)</f>
        <v>0</v>
      </c>
      <c r="H174" s="244"/>
      <c r="I174" s="87">
        <f t="shared" si="1"/>
        <v>0</v>
      </c>
    </row>
    <row r="175" spans="1:9" ht="18.75" hidden="1" x14ac:dyDescent="0.45">
      <c r="A175" s="91">
        <v>8.18</v>
      </c>
      <c r="C175" s="85">
        <f>IFERROR(VLOOKUP($A175,GanttChart!$A:$JD,2,FALSE),"خطا")</f>
        <v>0</v>
      </c>
      <c r="D175" s="86">
        <f>IFERROR(VLOOKUP($A175,GanttChart!$A:$JD,261,FALSE),0)</f>
        <v>0</v>
      </c>
      <c r="E175" s="86">
        <f>IFERROR(VLOOKUP($A175,GanttChart!$A:$JD,262,FALSE),0)</f>
        <v>0</v>
      </c>
      <c r="F175" s="86">
        <f>IFERROR(VLOOKUP($A175,GanttChart!$A:$JD,263,FALSE),0)</f>
        <v>0</v>
      </c>
      <c r="G175" s="87">
        <f>IFERROR(VLOOKUP($A175,GanttChart!$A:$JD,264,FALSE),0)</f>
        <v>0</v>
      </c>
      <c r="H175" s="244"/>
      <c r="I175" s="87">
        <f t="shared" si="1"/>
        <v>0</v>
      </c>
    </row>
    <row r="176" spans="1:9" ht="18.75" hidden="1" x14ac:dyDescent="0.45">
      <c r="A176" s="91">
        <v>8.19</v>
      </c>
      <c r="C176" s="85">
        <f>IFERROR(VLOOKUP($A176,GanttChart!$A:$JD,2,FALSE),"خطا")</f>
        <v>0</v>
      </c>
      <c r="D176" s="86">
        <f>IFERROR(VLOOKUP($A176,GanttChart!$A:$JD,261,FALSE),0)</f>
        <v>0</v>
      </c>
      <c r="E176" s="86">
        <f>IFERROR(VLOOKUP($A176,GanttChart!$A:$JD,262,FALSE),0)</f>
        <v>0</v>
      </c>
      <c r="F176" s="86">
        <f>IFERROR(VLOOKUP($A176,GanttChart!$A:$JD,263,FALSE),0)</f>
        <v>0</v>
      </c>
      <c r="G176" s="87">
        <f>IFERROR(VLOOKUP($A176,GanttChart!$A:$JD,264,FALSE),0)</f>
        <v>0</v>
      </c>
      <c r="H176" s="244"/>
      <c r="I176" s="87">
        <f t="shared" si="1"/>
        <v>0</v>
      </c>
    </row>
    <row r="177" spans="1:9" ht="18.75" hidden="1" x14ac:dyDescent="0.45">
      <c r="A177" s="91">
        <v>8.2100000000000009</v>
      </c>
      <c r="C177" s="85">
        <f>IFERROR(VLOOKUP($A177,GanttChart!$A:$JD,2,FALSE),"خطا")</f>
        <v>0</v>
      </c>
      <c r="D177" s="86">
        <f>IFERROR(VLOOKUP($A177,GanttChart!$A:$JD,261,FALSE),0)</f>
        <v>0</v>
      </c>
      <c r="E177" s="86">
        <f>IFERROR(VLOOKUP($A177,GanttChart!$A:$JD,262,FALSE),0)</f>
        <v>0</v>
      </c>
      <c r="F177" s="86">
        <f>IFERROR(VLOOKUP($A177,GanttChart!$A:$JD,263,FALSE),0)</f>
        <v>0</v>
      </c>
      <c r="G177" s="87">
        <f>IFERROR(VLOOKUP($A177,GanttChart!$A:$JD,264,FALSE),0)</f>
        <v>0</v>
      </c>
      <c r="H177" s="244"/>
      <c r="I177" s="87">
        <f t="shared" si="1"/>
        <v>0</v>
      </c>
    </row>
    <row r="178" spans="1:9" ht="18.75" hidden="1" x14ac:dyDescent="0.45">
      <c r="A178" s="91">
        <v>8.2200000000000006</v>
      </c>
      <c r="C178" s="85">
        <f>IFERROR(VLOOKUP($A178,GanttChart!$A:$JD,2,FALSE),"خطا")</f>
        <v>0</v>
      </c>
      <c r="D178" s="86">
        <f>IFERROR(VLOOKUP($A178,GanttChart!$A:$JD,261,FALSE),0)</f>
        <v>0</v>
      </c>
      <c r="E178" s="86">
        <f>IFERROR(VLOOKUP($A178,GanttChart!$A:$JD,262,FALSE),0)</f>
        <v>0</v>
      </c>
      <c r="F178" s="86">
        <f>IFERROR(VLOOKUP($A178,GanttChart!$A:$JD,263,FALSE),0)</f>
        <v>0</v>
      </c>
      <c r="G178" s="87">
        <f>IFERROR(VLOOKUP($A178,GanttChart!$A:$JD,264,FALSE),0)</f>
        <v>0</v>
      </c>
      <c r="H178" s="244"/>
      <c r="I178" s="87">
        <f t="shared" si="1"/>
        <v>0</v>
      </c>
    </row>
    <row r="179" spans="1:9" ht="18.75" hidden="1" x14ac:dyDescent="0.45">
      <c r="A179" s="91">
        <v>8.23</v>
      </c>
      <c r="C179" s="85">
        <f>IFERROR(VLOOKUP($A179,GanttChart!$A:$JD,2,FALSE),"خطا")</f>
        <v>0</v>
      </c>
      <c r="D179" s="86">
        <f>IFERROR(VLOOKUP($A179,GanttChart!$A:$JD,261,FALSE),0)</f>
        <v>0</v>
      </c>
      <c r="E179" s="86">
        <f>IFERROR(VLOOKUP($A179,GanttChart!$A:$JD,262,FALSE),0)</f>
        <v>0</v>
      </c>
      <c r="F179" s="86">
        <f>IFERROR(VLOOKUP($A179,GanttChart!$A:$JD,263,FALSE),0)</f>
        <v>0</v>
      </c>
      <c r="G179" s="87">
        <f>IFERROR(VLOOKUP($A179,GanttChart!$A:$JD,264,FALSE),0)</f>
        <v>0</v>
      </c>
      <c r="H179" s="244"/>
      <c r="I179" s="93">
        <f t="shared" si="1"/>
        <v>0</v>
      </c>
    </row>
    <row r="180" spans="1:9" ht="21" x14ac:dyDescent="0.6">
      <c r="A180" s="100">
        <v>10</v>
      </c>
      <c r="C180" s="97" t="s">
        <v>100</v>
      </c>
      <c r="D180" s="98">
        <f>SUM(D4:D179)</f>
        <v>1.1666666666666665</v>
      </c>
      <c r="E180" s="98">
        <f t="shared" ref="E180:I180" si="2">SUM(E4:E179)</f>
        <v>2.1666666666666665</v>
      </c>
      <c r="F180" s="98">
        <f t="shared" si="2"/>
        <v>6.333333333333333</v>
      </c>
      <c r="G180" s="94">
        <f t="shared" si="2"/>
        <v>165592000</v>
      </c>
      <c r="H180" s="99"/>
      <c r="I180" s="94">
        <f t="shared" si="2"/>
        <v>165592000</v>
      </c>
    </row>
  </sheetData>
  <sheetProtection algorithmName="SHA-512" hashValue="UfI5pE8Tb814Dmk7lTvcdUC3Lpdjp8VsOI4shtFRRbx4iXEqFf+OCqem3tuXIlbN2O7MK2myf78pxzUeTgUcBw==" saltValue="WtI7XEzCkNNrWq2t5bNQgQ==" spinCount="100000" sheet="1" objects="1" scenarios="1" selectLockedCells="1"/>
  <autoFilter ref="A2:I180">
    <filterColumn colId="3" showButton="0"/>
    <filterColumn colId="4" showButton="0"/>
    <filterColumn colId="6">
      <filters blank="1">
        <filter val="ريال1,832,000"/>
        <filter val="ريال10,712,000"/>
        <filter val="ريال10,864,000"/>
        <filter val="ريال11,100,000"/>
        <filter val="ريال12,544,000"/>
        <filter val="ريال12,724,000"/>
        <filter val="ريال14,944,000"/>
        <filter val="ريال188,224,000"/>
        <filter val="ريال2,220,000"/>
        <filter val="ريال2,775,000"/>
        <filter val="ريال2,942,000"/>
        <filter val="ريال3,664,000"/>
        <filter val="ريال4,052,000"/>
        <filter val="ريال4,800,000"/>
        <filter val="ريال5,550,000"/>
        <filter val="ريال5,884,000"/>
        <filter val="ريال555,000"/>
        <filter val="ريال6,272,000"/>
        <filter val="ريال7,328,000"/>
        <filter val="ريال8,284,000"/>
        <filter val="ريال8,880,000"/>
        <filter val="ريال9,600,000"/>
      </filters>
    </filterColumn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horizontalDpi="0" verticalDpi="0" r:id="rId1"/>
  <headerFooter>
    <oddHeader>&amp;C&amp;"B Mitra,پررنگ"&amp;12پیوست شماره 1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4" filterMode="1"/>
  <dimension ref="A1:O180"/>
  <sheetViews>
    <sheetView rightToLeft="1" topLeftCell="A26" zoomScaleNormal="100" workbookViewId="0">
      <selection activeCell="H158" activeCellId="7" sqref="H4 H26 H48 H70 H92 H114 H136 H158"/>
    </sheetView>
  </sheetViews>
  <sheetFormatPr defaultRowHeight="12.75" x14ac:dyDescent="0.2"/>
  <cols>
    <col min="2" max="2" width="1.42578125" customWidth="1"/>
    <col min="3" max="3" width="41.7109375" style="81" customWidth="1"/>
    <col min="4" max="4" width="6.42578125" style="82" customWidth="1"/>
    <col min="5" max="5" width="7" style="82" customWidth="1"/>
    <col min="6" max="6" width="6.85546875" style="82" customWidth="1"/>
    <col min="7" max="7" width="19.28515625" style="83" customWidth="1"/>
    <col min="8" max="8" width="6" style="84" customWidth="1"/>
    <col min="9" max="9" width="19.28515625" customWidth="1"/>
    <col min="12" max="12" width="15.140625" bestFit="1" customWidth="1"/>
  </cols>
  <sheetData>
    <row r="1" spans="1:15" ht="18" x14ac:dyDescent="0.2">
      <c r="B1" s="267" t="str">
        <f>CONCATENATE("آنالیز و برآورد زمان نفر / ساعت خدمات کارشناسی توسعه و سفارشی سازی ",GanttChart!B8)</f>
        <v>آنالیز و برآورد زمان نفر / ساعت خدمات کارشناسی توسعه و سفارشی سازی طراحی و پیاده سازی پورتال اینترنتی شرکت بیمه سامان</v>
      </c>
      <c r="C1" s="267"/>
      <c r="D1" s="268"/>
      <c r="E1" s="268"/>
      <c r="F1" s="268"/>
      <c r="G1" s="267"/>
      <c r="H1" s="267"/>
      <c r="I1" s="267"/>
    </row>
    <row r="2" spans="1:15" ht="16.5" x14ac:dyDescent="0.45">
      <c r="A2" s="269" t="s">
        <v>0</v>
      </c>
      <c r="B2" s="270"/>
      <c r="C2" s="272" t="s">
        <v>113</v>
      </c>
      <c r="D2" s="274" t="s">
        <v>114</v>
      </c>
      <c r="E2" s="274"/>
      <c r="F2" s="274"/>
      <c r="G2" s="281" t="s">
        <v>115</v>
      </c>
      <c r="H2" s="277" t="s">
        <v>144</v>
      </c>
      <c r="I2" s="279" t="s">
        <v>116</v>
      </c>
      <c r="J2" s="7"/>
      <c r="K2" s="7"/>
      <c r="L2" s="7"/>
      <c r="M2" s="7"/>
      <c r="N2" s="7"/>
      <c r="O2" s="7"/>
    </row>
    <row r="3" spans="1:15" ht="90" x14ac:dyDescent="0.45">
      <c r="A3" s="269"/>
      <c r="B3" s="271"/>
      <c r="C3" s="273"/>
      <c r="D3" s="89" t="s">
        <v>9</v>
      </c>
      <c r="E3" s="89" t="s">
        <v>104</v>
      </c>
      <c r="F3" s="89" t="s">
        <v>105</v>
      </c>
      <c r="G3" s="282"/>
      <c r="H3" s="278"/>
      <c r="I3" s="280"/>
      <c r="J3" s="7"/>
      <c r="K3" s="7"/>
      <c r="L3" s="7"/>
      <c r="M3" s="7"/>
      <c r="N3" s="7"/>
      <c r="O3" s="7"/>
    </row>
    <row r="4" spans="1:15" ht="18.75" x14ac:dyDescent="0.45">
      <c r="A4" s="80">
        <v>1</v>
      </c>
      <c r="B4" s="80"/>
      <c r="C4" s="85" t="str">
        <f>IFERROR(VLOOKUP($A4,GanttChart!$A:$JD,2,FALSE),"خطا")</f>
        <v>مدیریت، برنامه ریزی و کنترل پیشرفت پروژه</v>
      </c>
      <c r="D4" s="86">
        <f>SUM(D5:D25)</f>
        <v>0.91666666666666663</v>
      </c>
      <c r="E4" s="86">
        <f>SUM(E5:E25)</f>
        <v>0.41666666666666663</v>
      </c>
      <c r="F4" s="86">
        <f>SUM(F5:F25)</f>
        <v>0</v>
      </c>
      <c r="G4" s="87">
        <f>SUM(G5:G25)</f>
        <v>35560000</v>
      </c>
      <c r="H4" s="244">
        <v>1</v>
      </c>
      <c r="I4" s="87">
        <f>G4-(H4*G4)</f>
        <v>0</v>
      </c>
      <c r="J4" s="7"/>
      <c r="K4" s="7"/>
      <c r="L4" s="7"/>
      <c r="M4" s="7"/>
      <c r="N4" s="7"/>
      <c r="O4" s="7"/>
    </row>
    <row r="5" spans="1:15" ht="18.75" hidden="1" x14ac:dyDescent="0.45">
      <c r="A5" s="80">
        <v>1.1000000000000001</v>
      </c>
      <c r="B5" s="80"/>
      <c r="C5" s="85" t="str">
        <f>IFERROR(VLOOKUP($A5,GanttChart!$A:$JD,2,FALSE),"خطا")</f>
        <v>تهيه برنامه زمانبندي msp  و گانت چارت اجرايي پروژه</v>
      </c>
      <c r="D5" s="86">
        <f>IFERROR(VLOOKUP($A5,GanttChart!$A:$JD,261,FALSE),0)</f>
        <v>0.16666666666666666</v>
      </c>
      <c r="E5" s="86">
        <f>IFERROR(VLOOKUP($A5,GanttChart!$A:$JD,262,FALSE),0)</f>
        <v>0</v>
      </c>
      <c r="F5" s="86">
        <f>IFERROR(VLOOKUP($A5,GanttChart!$A:$JD,263,FALSE),0)</f>
        <v>0</v>
      </c>
      <c r="G5" s="87">
        <f>IFERROR(VLOOKUP($A5,GanttChart!$A:$JD,264,FALSE),0)</f>
        <v>4800000</v>
      </c>
      <c r="H5" s="88"/>
      <c r="I5" s="87">
        <f t="shared" ref="I5:I160" si="0">G5-(H5*G5)</f>
        <v>4800000</v>
      </c>
      <c r="J5" s="7"/>
      <c r="K5" s="7"/>
      <c r="L5" s="7"/>
      <c r="M5" s="7"/>
      <c r="N5" s="7"/>
      <c r="O5" s="7"/>
    </row>
    <row r="6" spans="1:15" ht="31.5" hidden="1" x14ac:dyDescent="0.45">
      <c r="A6" s="80">
        <v>1.2</v>
      </c>
      <c r="B6" s="80"/>
      <c r="C6" s="85" t="str">
        <f>IFERROR(VLOOKUP($A6,GanttChart!$A:$JD,2,FALSE),"خطا")</f>
        <v>جلسه اول کنترل پیشرفت پروژه ( معرفی نماینده پیمانکار - هماهنگی  تامین زیر ساخت های سخت افزاری)</v>
      </c>
      <c r="D6" s="86">
        <f>IFERROR(VLOOKUP($A6,GanttChart!$A:$JD,261,FALSE),0)</f>
        <v>0.16666666666666666</v>
      </c>
      <c r="E6" s="86">
        <f>IFERROR(VLOOKUP($A6,GanttChart!$A:$JD,262,FALSE),0)</f>
        <v>0</v>
      </c>
      <c r="F6" s="86">
        <f>IFERROR(VLOOKUP($A6,GanttChart!$A:$JD,263,FALSE),0)</f>
        <v>0</v>
      </c>
      <c r="G6" s="87">
        <f>IFERROR(VLOOKUP($A6,GanttChart!$A:$JD,264,FALSE),0)</f>
        <v>4800000</v>
      </c>
      <c r="H6" s="88"/>
      <c r="I6" s="87">
        <f t="shared" si="0"/>
        <v>4800000</v>
      </c>
      <c r="J6" s="7"/>
      <c r="K6" s="7"/>
      <c r="L6" s="7"/>
      <c r="M6" s="7"/>
      <c r="N6" s="7"/>
      <c r="O6" s="7"/>
    </row>
    <row r="7" spans="1:15" ht="18.75" hidden="1" x14ac:dyDescent="0.45">
      <c r="A7" s="80">
        <v>1.3</v>
      </c>
      <c r="B7" s="80"/>
      <c r="C7" s="85" t="str">
        <f>IFERROR(VLOOKUP($A7,GanttChart!$A:$JD,2,FALSE),"خطا")</f>
        <v>جلسه دوم (تایید نصب نرم افزار پورتال بر روی سرور کارفرما)</v>
      </c>
      <c r="D7" s="86">
        <f>IFERROR(VLOOKUP($A7,GanttChart!$A:$JD,261,FALSE),0)</f>
        <v>0.16666666666666666</v>
      </c>
      <c r="E7" s="86">
        <f>IFERROR(VLOOKUP($A7,GanttChart!$A:$JD,262,FALSE),0)</f>
        <v>0</v>
      </c>
      <c r="F7" s="86">
        <f>IFERROR(VLOOKUP($A7,GanttChart!$A:$JD,263,FALSE),0)</f>
        <v>0</v>
      </c>
      <c r="G7" s="87">
        <f>IFERROR(VLOOKUP($A7,GanttChart!$A:$JD,264,FALSE),0)</f>
        <v>4800000</v>
      </c>
      <c r="H7" s="88"/>
      <c r="I7" s="87">
        <f t="shared" si="0"/>
        <v>4800000</v>
      </c>
      <c r="J7" s="7"/>
      <c r="K7" s="7"/>
      <c r="L7" s="7"/>
      <c r="M7" s="7"/>
      <c r="N7" s="7"/>
      <c r="O7" s="7"/>
    </row>
    <row r="8" spans="1:15" ht="18.75" hidden="1" x14ac:dyDescent="0.45">
      <c r="A8" s="80">
        <v>1.4</v>
      </c>
      <c r="B8" s="80"/>
      <c r="C8" s="85" t="str">
        <f>IFERROR(VLOOKUP($A8,GanttChart!$A:$JD,2,FALSE),"خطا")</f>
        <v>جلسه سوم (نهایی سازی و تایید سند معماری محتوا )</v>
      </c>
      <c r="D8" s="86">
        <f>IFERROR(VLOOKUP($A8,GanttChart!$A:$JD,261,FALSE),0)</f>
        <v>0</v>
      </c>
      <c r="E8" s="86">
        <f>IFERROR(VLOOKUP($A8,GanttChart!$A:$JD,262,FALSE),0)</f>
        <v>0.16666666666666666</v>
      </c>
      <c r="F8" s="86">
        <f>IFERROR(VLOOKUP($A8,GanttChart!$A:$JD,263,FALSE),0)</f>
        <v>0</v>
      </c>
      <c r="G8" s="87">
        <f>IFERROR(VLOOKUP($A8,GanttChart!$A:$JD,264,FALSE),0)</f>
        <v>3664000</v>
      </c>
      <c r="H8" s="88"/>
      <c r="I8" s="87">
        <f t="shared" si="0"/>
        <v>3664000</v>
      </c>
      <c r="J8" s="7"/>
      <c r="K8" s="7"/>
      <c r="L8" s="7"/>
      <c r="M8" s="7"/>
      <c r="N8" s="7"/>
      <c r="O8" s="7"/>
    </row>
    <row r="9" spans="1:15" ht="18.75" hidden="1" x14ac:dyDescent="0.45">
      <c r="A9" s="80">
        <v>1.5</v>
      </c>
      <c r="B9" s="80"/>
      <c r="C9" s="85" t="str">
        <f>IFERROR(VLOOKUP($A9,GanttChart!$A:$JD,2,FALSE),"خطا")</f>
        <v>جلسه چهارم (نهایی سازی و تایید خدمات پیاده سازی پورتال اصلی)</v>
      </c>
      <c r="D9" s="86">
        <f>IFERROR(VLOOKUP($A9,GanttChart!$A:$JD,261,FALSE),0)</f>
        <v>0.25</v>
      </c>
      <c r="E9" s="86">
        <f>IFERROR(VLOOKUP($A9,GanttChart!$A:$JD,262,FALSE),0)</f>
        <v>0.16666666666666666</v>
      </c>
      <c r="F9" s="86">
        <f>IFERROR(VLOOKUP($A9,GanttChart!$A:$JD,263,FALSE),0)</f>
        <v>0</v>
      </c>
      <c r="G9" s="87">
        <f>IFERROR(VLOOKUP($A9,GanttChart!$A:$JD,264,FALSE),0)</f>
        <v>10864000</v>
      </c>
      <c r="H9" s="88"/>
      <c r="I9" s="87">
        <f t="shared" si="0"/>
        <v>10864000</v>
      </c>
      <c r="J9" s="7"/>
      <c r="K9" s="7"/>
      <c r="L9" s="7"/>
      <c r="M9" s="7"/>
      <c r="N9" s="7"/>
      <c r="O9" s="7"/>
    </row>
    <row r="10" spans="1:15" ht="31.5" hidden="1" x14ac:dyDescent="0.45">
      <c r="A10" s="80">
        <v>1.6</v>
      </c>
      <c r="B10" s="80"/>
      <c r="C10" s="85" t="str">
        <f>IFERROR(VLOOKUP($A10,GanttChart!$A:$JD,2,FALSE),"خطا")</f>
        <v>جلسه پنجم (بررسی مراحل طراحی نمای گرافیکی(4/6) و پیاده سازی ساختار طبقه بندی اطلاعات پورتال(3/3))</v>
      </c>
      <c r="D10" s="86">
        <f>IFERROR(VLOOKUP($A10,GanttChart!$A:$JD,261,FALSE),0)</f>
        <v>0.16666666666666666</v>
      </c>
      <c r="E10" s="86">
        <f>IFERROR(VLOOKUP($A10,GanttChart!$A:$JD,262,FALSE),0)</f>
        <v>0</v>
      </c>
      <c r="F10" s="86">
        <f>IFERROR(VLOOKUP($A10,GanttChart!$A:$JD,263,FALSE),0)</f>
        <v>0</v>
      </c>
      <c r="G10" s="87">
        <f>IFERROR(VLOOKUP($A10,GanttChart!$A:$JD,264,FALSE),0)</f>
        <v>4800000</v>
      </c>
      <c r="H10" s="88"/>
      <c r="I10" s="87">
        <f t="shared" si="0"/>
        <v>4800000</v>
      </c>
      <c r="J10" s="7"/>
      <c r="K10" s="7"/>
      <c r="L10" s="7"/>
      <c r="M10" s="7"/>
      <c r="N10" s="7"/>
      <c r="O10" s="7"/>
    </row>
    <row r="11" spans="1:15" ht="18.75" hidden="1" x14ac:dyDescent="0.45">
      <c r="A11" s="80">
        <v>1.7</v>
      </c>
      <c r="B11" s="80"/>
      <c r="C11" s="85" t="str">
        <f>IFERROR(VLOOKUP($A11,GanttChart!$A:$JD,2,FALSE),"خطا")</f>
        <v>جلسه پنجم ( تایید نهایی پیاده سازی قالب گرافیکی)</v>
      </c>
      <c r="D11" s="86">
        <f>IFERROR(VLOOKUP($A11,GanttChart!$A:$JD,261,FALSE),0)</f>
        <v>0</v>
      </c>
      <c r="E11" s="86">
        <f>IFERROR(VLOOKUP($A11,GanttChart!$A:$JD,262,FALSE),0)</f>
        <v>8.3333333333333329E-2</v>
      </c>
      <c r="F11" s="86">
        <f>IFERROR(VLOOKUP($A11,GanttChart!$A:$JD,263,FALSE),0)</f>
        <v>0</v>
      </c>
      <c r="G11" s="87">
        <f>IFERROR(VLOOKUP($A11,GanttChart!$A:$JD,264,FALSE),0)</f>
        <v>1832000</v>
      </c>
      <c r="H11" s="88"/>
      <c r="I11" s="87">
        <f t="shared" si="0"/>
        <v>1832000</v>
      </c>
      <c r="J11" s="7"/>
      <c r="K11" s="7"/>
      <c r="L11" s="7"/>
      <c r="M11" s="7"/>
      <c r="N11" s="7"/>
      <c r="O11" s="7"/>
    </row>
    <row r="12" spans="1:15" ht="18.75" hidden="1" x14ac:dyDescent="0.45">
      <c r="A12" s="80">
        <v>1.8</v>
      </c>
      <c r="B12" s="80"/>
      <c r="C12" s="85" t="str">
        <f>IFERROR(VLOOKUP($A12,GanttChart!$A:$JD,2,FALSE),"خطا")</f>
        <v>جلسه ششم (تحویل نهایی پورتال و صدور تاییدیه امنيتی و انجام پروژه)</v>
      </c>
      <c r="D12" s="86">
        <f>IFERROR(VLOOKUP($A12,GanttChart!$A:$JD,261,FALSE),0)</f>
        <v>0</v>
      </c>
      <c r="E12" s="86">
        <f>IFERROR(VLOOKUP($A12,GanttChart!$A:$JD,262,FALSE),0)</f>
        <v>0</v>
      </c>
      <c r="F12" s="86">
        <f>IFERROR(VLOOKUP($A12,GanttChart!$A:$JD,263,FALSE),0)</f>
        <v>0</v>
      </c>
      <c r="G12" s="87">
        <f>IFERROR(VLOOKUP($A12,GanttChart!$A:$JD,264,FALSE),0)</f>
        <v>0</v>
      </c>
      <c r="H12" s="88"/>
      <c r="I12" s="87">
        <f t="shared" si="0"/>
        <v>0</v>
      </c>
      <c r="J12" s="7"/>
      <c r="K12" s="7"/>
      <c r="L12" s="7"/>
      <c r="M12" s="7"/>
      <c r="N12" s="7"/>
      <c r="O12" s="7"/>
    </row>
    <row r="13" spans="1:15" ht="18.75" hidden="1" x14ac:dyDescent="0.45">
      <c r="A13" s="80">
        <v>1.9</v>
      </c>
      <c r="B13" s="80"/>
      <c r="C13" s="85">
        <f>IFERROR(VLOOKUP($A13,GanttChart!$A:$JD,2,FALSE),"خطا")</f>
        <v>0</v>
      </c>
      <c r="D13" s="86">
        <f>IFERROR(VLOOKUP($A13,GanttChart!$A:$JD,261,FALSE),0)</f>
        <v>0</v>
      </c>
      <c r="E13" s="86">
        <f>IFERROR(VLOOKUP($A13,GanttChart!$A:$JD,262,FALSE),0)</f>
        <v>0</v>
      </c>
      <c r="F13" s="86">
        <f>IFERROR(VLOOKUP($A13,GanttChart!$A:$JD,263,FALSE),0)</f>
        <v>0</v>
      </c>
      <c r="G13" s="87">
        <f>IFERROR(VLOOKUP($A13,GanttChart!$A:$JD,264,FALSE),0)</f>
        <v>0</v>
      </c>
      <c r="H13" s="88"/>
      <c r="I13" s="87">
        <f t="shared" si="0"/>
        <v>0</v>
      </c>
      <c r="J13" s="7"/>
      <c r="K13" s="7"/>
      <c r="L13" s="7"/>
      <c r="M13" s="7"/>
      <c r="N13" s="7"/>
      <c r="O13" s="7"/>
    </row>
    <row r="14" spans="1:15" ht="18.75" hidden="1" x14ac:dyDescent="0.45">
      <c r="A14" s="80">
        <v>1.1100000000000001</v>
      </c>
      <c r="B14" s="80"/>
      <c r="C14" s="85">
        <f>IFERROR(VLOOKUP($A14,GanttChart!$A:$JD,2,FALSE),"خطا")</f>
        <v>0</v>
      </c>
      <c r="D14" s="86">
        <f>IFERROR(VLOOKUP($A14,GanttChart!$A:$JD,261,FALSE),0)</f>
        <v>0</v>
      </c>
      <c r="E14" s="86">
        <f>IFERROR(VLOOKUP($A14,GanttChart!$A:$JD,262,FALSE),0)</f>
        <v>0</v>
      </c>
      <c r="F14" s="86">
        <f>IFERROR(VLOOKUP($A14,GanttChart!$A:$JD,263,FALSE),0)</f>
        <v>0</v>
      </c>
      <c r="G14" s="87">
        <f>IFERROR(VLOOKUP($A14,GanttChart!$A:$JD,264,FALSE),0)</f>
        <v>0</v>
      </c>
      <c r="H14" s="88"/>
      <c r="I14" s="87">
        <f t="shared" si="0"/>
        <v>0</v>
      </c>
      <c r="J14" s="7"/>
      <c r="K14" s="7"/>
      <c r="L14" s="7"/>
      <c r="M14" s="7"/>
      <c r="N14" s="7"/>
      <c r="O14" s="7"/>
    </row>
    <row r="15" spans="1:15" ht="18.75" hidden="1" x14ac:dyDescent="0.45">
      <c r="A15" s="80">
        <v>1.1200000000000001</v>
      </c>
      <c r="B15" s="80"/>
      <c r="C15" s="85">
        <f>IFERROR(VLOOKUP($A15,GanttChart!$A:$JD,2,FALSE),"خطا")</f>
        <v>0</v>
      </c>
      <c r="D15" s="86">
        <f>IFERROR(VLOOKUP($A15,GanttChart!$A:$JD,261,FALSE),0)</f>
        <v>0</v>
      </c>
      <c r="E15" s="86">
        <f>IFERROR(VLOOKUP($A15,GanttChart!$A:$JD,262,FALSE),0)</f>
        <v>0</v>
      </c>
      <c r="F15" s="86">
        <f>IFERROR(VLOOKUP($A15,GanttChart!$A:$JD,263,FALSE),0)</f>
        <v>0</v>
      </c>
      <c r="G15" s="87">
        <f>IFERROR(VLOOKUP($A15,GanttChart!$A:$JD,264,FALSE),0)</f>
        <v>0</v>
      </c>
      <c r="H15" s="88"/>
      <c r="I15" s="87">
        <f t="shared" si="0"/>
        <v>0</v>
      </c>
      <c r="J15" s="7"/>
      <c r="K15" s="7"/>
      <c r="L15" s="7"/>
      <c r="M15" s="7"/>
      <c r="N15" s="7"/>
      <c r="O15" s="7"/>
    </row>
    <row r="16" spans="1:15" ht="18.75" hidden="1" x14ac:dyDescent="0.45">
      <c r="A16" s="80">
        <v>1.1299999999999999</v>
      </c>
      <c r="B16" s="80"/>
      <c r="C16" s="85">
        <f>IFERROR(VLOOKUP($A16,GanttChart!$A:$JD,2,FALSE),"خطا")</f>
        <v>0</v>
      </c>
      <c r="D16" s="86">
        <f>IFERROR(VLOOKUP($A16,GanttChart!$A:$JD,261,FALSE),0)</f>
        <v>0</v>
      </c>
      <c r="E16" s="86">
        <f>IFERROR(VLOOKUP($A16,GanttChart!$A:$JD,262,FALSE),0)</f>
        <v>0</v>
      </c>
      <c r="F16" s="86">
        <f>IFERROR(VLOOKUP($A16,GanttChart!$A:$JD,263,FALSE),0)</f>
        <v>0</v>
      </c>
      <c r="G16" s="87">
        <f>IFERROR(VLOOKUP($A16,GanttChart!$A:$JD,264,FALSE),0)</f>
        <v>0</v>
      </c>
      <c r="H16" s="88"/>
      <c r="I16" s="87">
        <f t="shared" si="0"/>
        <v>0</v>
      </c>
      <c r="J16" s="7"/>
      <c r="K16" s="7"/>
      <c r="L16" s="7"/>
      <c r="M16" s="7"/>
      <c r="N16" s="7"/>
      <c r="O16" s="7"/>
    </row>
    <row r="17" spans="1:15" ht="18.75" hidden="1" x14ac:dyDescent="0.45">
      <c r="A17" s="80">
        <v>1.1399999999999999</v>
      </c>
      <c r="B17" s="80"/>
      <c r="C17" s="85">
        <f>IFERROR(VLOOKUP($A17,GanttChart!$A:$JD,2,FALSE),"خطا")</f>
        <v>0</v>
      </c>
      <c r="D17" s="86">
        <f>IFERROR(VLOOKUP($A17,GanttChart!$A:$JD,261,FALSE),0)</f>
        <v>0</v>
      </c>
      <c r="E17" s="86">
        <f>IFERROR(VLOOKUP($A17,GanttChart!$A:$JD,262,FALSE),0)</f>
        <v>0</v>
      </c>
      <c r="F17" s="86">
        <f>IFERROR(VLOOKUP($A17,GanttChart!$A:$JD,263,FALSE),0)</f>
        <v>0</v>
      </c>
      <c r="G17" s="87">
        <f>IFERROR(VLOOKUP($A17,GanttChart!$A:$JD,264,FALSE),0)</f>
        <v>0</v>
      </c>
      <c r="H17" s="88"/>
      <c r="I17" s="87">
        <f t="shared" si="0"/>
        <v>0</v>
      </c>
      <c r="J17" s="7"/>
      <c r="K17" s="7"/>
      <c r="L17" s="7"/>
      <c r="M17" s="7"/>
      <c r="N17" s="7"/>
      <c r="O17" s="7"/>
    </row>
    <row r="18" spans="1:15" ht="18.75" hidden="1" x14ac:dyDescent="0.45">
      <c r="A18" s="80">
        <v>1.1499999999999999</v>
      </c>
      <c r="B18" s="80"/>
      <c r="C18" s="85">
        <f>IFERROR(VLOOKUP($A18,GanttChart!$A:$JD,2,FALSE),"خطا")</f>
        <v>0</v>
      </c>
      <c r="D18" s="86">
        <f>IFERROR(VLOOKUP($A18,GanttChart!$A:$JD,261,FALSE),0)</f>
        <v>0</v>
      </c>
      <c r="E18" s="86">
        <f>IFERROR(VLOOKUP($A18,GanttChart!$A:$JD,262,FALSE),0)</f>
        <v>0</v>
      </c>
      <c r="F18" s="86">
        <f>IFERROR(VLOOKUP($A18,GanttChart!$A:$JD,263,FALSE),0)</f>
        <v>0</v>
      </c>
      <c r="G18" s="87">
        <f>IFERROR(VLOOKUP($A18,GanttChart!$A:$JD,264,FALSE),0)</f>
        <v>0</v>
      </c>
      <c r="H18" s="88"/>
      <c r="I18" s="87">
        <f t="shared" si="0"/>
        <v>0</v>
      </c>
      <c r="J18" s="7"/>
      <c r="K18" s="7"/>
      <c r="L18" s="7"/>
      <c r="M18" s="7"/>
      <c r="N18" s="7"/>
      <c r="O18" s="7"/>
    </row>
    <row r="19" spans="1:15" ht="18.75" hidden="1" x14ac:dyDescent="0.45">
      <c r="A19" s="80">
        <v>1.1599999999999999</v>
      </c>
      <c r="B19" s="80"/>
      <c r="C19" s="85">
        <f>IFERROR(VLOOKUP($A19,GanttChart!$A:$JD,2,FALSE),"خطا")</f>
        <v>0</v>
      </c>
      <c r="D19" s="86">
        <f>IFERROR(VLOOKUP($A19,GanttChart!$A:$JD,261,FALSE),0)</f>
        <v>0</v>
      </c>
      <c r="E19" s="86">
        <f>IFERROR(VLOOKUP($A19,GanttChart!$A:$JD,262,FALSE),0)</f>
        <v>0</v>
      </c>
      <c r="F19" s="86">
        <f>IFERROR(VLOOKUP($A19,GanttChart!$A:$JD,263,FALSE),0)</f>
        <v>0</v>
      </c>
      <c r="G19" s="87">
        <f>IFERROR(VLOOKUP($A19,GanttChart!$A:$JD,264,FALSE),0)</f>
        <v>0</v>
      </c>
      <c r="H19" s="88"/>
      <c r="I19" s="87">
        <f t="shared" si="0"/>
        <v>0</v>
      </c>
      <c r="J19" s="7"/>
      <c r="K19" s="7"/>
      <c r="L19" s="7"/>
      <c r="M19" s="7"/>
      <c r="N19" s="7"/>
      <c r="O19" s="7"/>
    </row>
    <row r="20" spans="1:15" ht="18.75" hidden="1" x14ac:dyDescent="0.45">
      <c r="A20" s="80">
        <v>1.17</v>
      </c>
      <c r="B20" s="80"/>
      <c r="C20" s="85">
        <f>IFERROR(VLOOKUP($A20,GanttChart!$A:$JD,2,FALSE),"خطا")</f>
        <v>0</v>
      </c>
      <c r="D20" s="86">
        <f>IFERROR(VLOOKUP($A20,GanttChart!$A:$JD,261,FALSE),0)</f>
        <v>0</v>
      </c>
      <c r="E20" s="86">
        <f>IFERROR(VLOOKUP($A20,GanttChart!$A:$JD,262,FALSE),0)</f>
        <v>0</v>
      </c>
      <c r="F20" s="86">
        <f>IFERROR(VLOOKUP($A20,GanttChart!$A:$JD,263,FALSE),0)</f>
        <v>0</v>
      </c>
      <c r="G20" s="87">
        <f>IFERROR(VLOOKUP($A20,GanttChart!$A:$JD,264,FALSE),0)</f>
        <v>0</v>
      </c>
      <c r="H20" s="88"/>
      <c r="I20" s="87">
        <f t="shared" si="0"/>
        <v>0</v>
      </c>
      <c r="J20" s="7"/>
      <c r="K20" s="7"/>
      <c r="L20" s="7"/>
      <c r="M20" s="7"/>
      <c r="N20" s="7"/>
      <c r="O20" s="7"/>
    </row>
    <row r="21" spans="1:15" ht="18.75" hidden="1" x14ac:dyDescent="0.45">
      <c r="A21" s="80">
        <v>1.18</v>
      </c>
      <c r="B21" s="80"/>
      <c r="C21" s="85">
        <f>IFERROR(VLOOKUP($A21,GanttChart!$A:$JD,2,FALSE),"خطا")</f>
        <v>0</v>
      </c>
      <c r="D21" s="86">
        <f>IFERROR(VLOOKUP($A21,GanttChart!$A:$JD,261,FALSE),0)</f>
        <v>0</v>
      </c>
      <c r="E21" s="86">
        <f>IFERROR(VLOOKUP($A21,GanttChart!$A:$JD,262,FALSE),0)</f>
        <v>0</v>
      </c>
      <c r="F21" s="86">
        <f>IFERROR(VLOOKUP($A21,GanttChart!$A:$JD,263,FALSE),0)</f>
        <v>0</v>
      </c>
      <c r="G21" s="87">
        <f>IFERROR(VLOOKUP($A21,GanttChart!$A:$JD,264,FALSE),0)</f>
        <v>0</v>
      </c>
      <c r="H21" s="88"/>
      <c r="I21" s="87">
        <f t="shared" si="0"/>
        <v>0</v>
      </c>
      <c r="J21" s="7"/>
      <c r="K21" s="7"/>
      <c r="L21" s="7"/>
      <c r="M21" s="7"/>
      <c r="N21" s="7"/>
      <c r="O21" s="7"/>
    </row>
    <row r="22" spans="1:15" ht="18.75" hidden="1" x14ac:dyDescent="0.45">
      <c r="A22" s="80">
        <v>1.19</v>
      </c>
      <c r="B22" s="80"/>
      <c r="C22" s="85">
        <f>IFERROR(VLOOKUP($A22,GanttChart!$A:$JD,2,FALSE),"خطا")</f>
        <v>0</v>
      </c>
      <c r="D22" s="86">
        <f>IFERROR(VLOOKUP($A22,GanttChart!$A:$JD,261,FALSE),0)</f>
        <v>0</v>
      </c>
      <c r="E22" s="86">
        <f>IFERROR(VLOOKUP($A22,GanttChart!$A:$JD,262,FALSE),0)</f>
        <v>0</v>
      </c>
      <c r="F22" s="86">
        <f>IFERROR(VLOOKUP($A22,GanttChart!$A:$JD,263,FALSE),0)</f>
        <v>0</v>
      </c>
      <c r="G22" s="87">
        <f>IFERROR(VLOOKUP($A22,GanttChart!$A:$JD,264,FALSE),0)</f>
        <v>0</v>
      </c>
      <c r="H22" s="88"/>
      <c r="I22" s="87">
        <f t="shared" si="0"/>
        <v>0</v>
      </c>
      <c r="J22" s="7"/>
      <c r="K22" s="7"/>
      <c r="L22" s="7"/>
      <c r="M22" s="7"/>
      <c r="N22" s="7"/>
      <c r="O22" s="7"/>
    </row>
    <row r="23" spans="1:15" ht="18.75" hidden="1" x14ac:dyDescent="0.45">
      <c r="A23" s="80">
        <v>1.21</v>
      </c>
      <c r="B23" s="80"/>
      <c r="C23" s="85">
        <f>IFERROR(VLOOKUP($A23,GanttChart!$A:$JD,2,FALSE),"خطا")</f>
        <v>0</v>
      </c>
      <c r="D23" s="86">
        <f>IFERROR(VLOOKUP($A23,GanttChart!$A:$JD,261,FALSE),0)</f>
        <v>0</v>
      </c>
      <c r="E23" s="86">
        <f>IFERROR(VLOOKUP($A23,GanttChart!$A:$JD,262,FALSE),0)</f>
        <v>0</v>
      </c>
      <c r="F23" s="86">
        <f>IFERROR(VLOOKUP($A23,GanttChart!$A:$JD,263,FALSE),0)</f>
        <v>0</v>
      </c>
      <c r="G23" s="87">
        <f>IFERROR(VLOOKUP($A23,GanttChart!$A:$JD,264,FALSE),0)</f>
        <v>0</v>
      </c>
      <c r="H23" s="88"/>
      <c r="I23" s="87">
        <f t="shared" si="0"/>
        <v>0</v>
      </c>
      <c r="J23" s="7"/>
      <c r="K23" s="7"/>
      <c r="L23" s="7"/>
      <c r="M23" s="7"/>
      <c r="N23" s="7"/>
      <c r="O23" s="7"/>
    </row>
    <row r="24" spans="1:15" ht="18.75" hidden="1" x14ac:dyDescent="0.45">
      <c r="A24" s="80">
        <v>1.22</v>
      </c>
      <c r="B24" s="80"/>
      <c r="C24" s="85">
        <f>IFERROR(VLOOKUP($A24,GanttChart!$A:$JD,2,FALSE),"خطا")</f>
        <v>0</v>
      </c>
      <c r="D24" s="86">
        <f>IFERROR(VLOOKUP($A24,GanttChart!$A:$JD,261,FALSE),0)</f>
        <v>0</v>
      </c>
      <c r="E24" s="86">
        <f>IFERROR(VLOOKUP($A24,GanttChart!$A:$JD,262,FALSE),0)</f>
        <v>0</v>
      </c>
      <c r="F24" s="86">
        <f>IFERROR(VLOOKUP($A24,GanttChart!$A:$JD,263,FALSE),0)</f>
        <v>0</v>
      </c>
      <c r="G24" s="87">
        <f>IFERROR(VLOOKUP($A24,GanttChart!$A:$JD,264,FALSE),0)</f>
        <v>0</v>
      </c>
      <c r="H24" s="88"/>
      <c r="I24" s="87">
        <f t="shared" si="0"/>
        <v>0</v>
      </c>
      <c r="J24" s="7"/>
      <c r="K24" s="7"/>
      <c r="L24" s="7"/>
      <c r="M24" s="7"/>
      <c r="N24" s="7"/>
      <c r="O24" s="7"/>
    </row>
    <row r="25" spans="1:15" ht="18.75" hidden="1" x14ac:dyDescent="0.45">
      <c r="A25" s="80">
        <v>1.23</v>
      </c>
      <c r="B25" s="80"/>
      <c r="C25" s="85">
        <f>IFERROR(VLOOKUP($A25,GanttChart!$A:$JD,2,FALSE),"خطا")</f>
        <v>0</v>
      </c>
      <c r="D25" s="86">
        <f>IFERROR(VLOOKUP($A25,GanttChart!$A:$JD,261,FALSE),0)</f>
        <v>0</v>
      </c>
      <c r="E25" s="86">
        <f>IFERROR(VLOOKUP($A25,GanttChart!$A:$JD,262,FALSE),0)</f>
        <v>0</v>
      </c>
      <c r="F25" s="86">
        <f>IFERROR(VLOOKUP($A25,GanttChart!$A:$JD,263,FALSE),0)</f>
        <v>0</v>
      </c>
      <c r="G25" s="87">
        <f>IFERROR(VLOOKUP($A25,GanttChart!$A:$JD,264,FALSE),0)</f>
        <v>0</v>
      </c>
      <c r="H25" s="88"/>
      <c r="I25" s="87">
        <f t="shared" si="0"/>
        <v>0</v>
      </c>
      <c r="J25" s="7"/>
      <c r="K25" s="7"/>
      <c r="L25" s="7"/>
      <c r="M25" s="7"/>
      <c r="N25" s="7"/>
      <c r="O25" s="7"/>
    </row>
    <row r="26" spans="1:15" ht="18.75" x14ac:dyDescent="0.45">
      <c r="A26" s="80">
        <v>2</v>
      </c>
      <c r="B26" s="80"/>
      <c r="C26" s="85" t="str">
        <f>IFERROR(VLOOKUP($A26,GanttChart!$A:$JD,2,FALSE),"خطا")</f>
        <v>استقرار زيرساخت  وآماده سازی سکوی نرم افزاری پورتال</v>
      </c>
      <c r="D26" s="86">
        <f>SUM(D27:D47)</f>
        <v>0</v>
      </c>
      <c r="E26" s="86">
        <f>SUM(E27:E47)</f>
        <v>0.5</v>
      </c>
      <c r="F26" s="86">
        <f>SUM(F27:F47)</f>
        <v>0.375</v>
      </c>
      <c r="G26" s="87">
        <f>SUM(G27:G47)</f>
        <v>15987000</v>
      </c>
      <c r="H26" s="244">
        <f>1-J26/G26</f>
        <v>0.24939012948020267</v>
      </c>
      <c r="I26" s="87">
        <f t="shared" si="0"/>
        <v>12000000</v>
      </c>
      <c r="J26" s="107">
        <v>12000000</v>
      </c>
      <c r="K26" s="105"/>
      <c r="L26" s="106"/>
      <c r="M26" s="7"/>
      <c r="N26" s="7"/>
      <c r="O26" s="7"/>
    </row>
    <row r="27" spans="1:15" ht="31.5" hidden="1" x14ac:dyDescent="0.45">
      <c r="A27" s="80">
        <v>2.1</v>
      </c>
      <c r="B27" s="80"/>
      <c r="C27" s="85" t="str">
        <f>IFERROR(VLOOKUP($A27,GanttChart!$A:$JD,2,FALSE),"خطا")</f>
        <v xml:space="preserve">آماده سازی زير ساخت سرور موقت و نصب سيستم عامل و مولفه های نرم افزاری پایه </v>
      </c>
      <c r="D27" s="86">
        <f>IFERROR(VLOOKUP($A27,GanttChart!$A:$JD,261,FALSE),0)</f>
        <v>0</v>
      </c>
      <c r="E27" s="86">
        <f>IFERROR(VLOOKUP($A27,GanttChart!$A:$JD,262,FALSE),0)</f>
        <v>0.33333333333333331</v>
      </c>
      <c r="F27" s="86">
        <f>IFERROR(VLOOKUP($A27,GanttChart!$A:$JD,263,FALSE),0)</f>
        <v>0</v>
      </c>
      <c r="G27" s="87">
        <f>IFERROR(VLOOKUP($A27,GanttChart!$A:$JD,264,FALSE),0)</f>
        <v>7328000</v>
      </c>
      <c r="H27" s="88"/>
      <c r="I27" s="87">
        <f t="shared" si="0"/>
        <v>7328000</v>
      </c>
      <c r="J27" s="7"/>
      <c r="K27" s="7"/>
      <c r="L27" s="7"/>
      <c r="M27" s="7"/>
      <c r="N27" s="7"/>
      <c r="O27" s="7"/>
    </row>
    <row r="28" spans="1:15" ht="31.5" hidden="1" x14ac:dyDescent="0.45">
      <c r="A28" s="80">
        <v>2.2000000000000002</v>
      </c>
      <c r="B28" s="80"/>
      <c r="C28" s="85" t="str">
        <f>IFERROR(VLOOKUP($A28,GanttChart!$A:$JD,2,FALSE),"خطا")</f>
        <v>نصب زیرساخت سامان سوئت و اقلام نرم افزاری مطابق جدول الف قرارداد بر روی سرور موقت</v>
      </c>
      <c r="D28" s="86">
        <f>IFERROR(VLOOKUP($A28,GanttChart!$A:$JD,261,FALSE),0)</f>
        <v>0</v>
      </c>
      <c r="E28" s="86">
        <f>IFERROR(VLOOKUP($A28,GanttChart!$A:$JD,262,FALSE),0)</f>
        <v>0</v>
      </c>
      <c r="F28" s="86">
        <f>IFERROR(VLOOKUP($A28,GanttChart!$A:$JD,263,FALSE),0)</f>
        <v>0.33333333333333331</v>
      </c>
      <c r="G28" s="87">
        <f>IFERROR(VLOOKUP($A28,GanttChart!$A:$JD,264,FALSE),0)</f>
        <v>4440000</v>
      </c>
      <c r="H28" s="88"/>
      <c r="I28" s="87">
        <f t="shared" si="0"/>
        <v>4440000</v>
      </c>
      <c r="J28" s="7"/>
      <c r="K28" s="7"/>
      <c r="L28" s="7"/>
      <c r="M28" s="7"/>
      <c r="N28" s="7"/>
      <c r="O28" s="7"/>
    </row>
    <row r="29" spans="1:15" ht="31.5" hidden="1" x14ac:dyDescent="0.45">
      <c r="A29" s="80">
        <v>2.2999999999999998</v>
      </c>
      <c r="B29" s="80"/>
      <c r="C29" s="85" t="str">
        <f>IFERROR(VLOOKUP($A29,GanttChart!$A:$JD,2,FALSE),"خطا")</f>
        <v xml:space="preserve">ارائه سند نيازمنديهاي شبکه و سخت افزار سرور و نرم افزار های مورد نیاز به کارفرما </v>
      </c>
      <c r="D29" s="86">
        <f>IFERROR(VLOOKUP($A29,GanttChart!$A:$JD,261,FALSE),0)</f>
        <v>0</v>
      </c>
      <c r="E29" s="86">
        <f>IFERROR(VLOOKUP($A29,GanttChart!$A:$JD,262,FALSE),0)</f>
        <v>0</v>
      </c>
      <c r="F29" s="86">
        <f>IFERROR(VLOOKUP($A29,GanttChart!$A:$JD,263,FALSE),0)</f>
        <v>4.1666666666666664E-2</v>
      </c>
      <c r="G29" s="87">
        <f>IFERROR(VLOOKUP($A29,GanttChart!$A:$JD,264,FALSE),0)</f>
        <v>555000</v>
      </c>
      <c r="H29" s="88"/>
      <c r="I29" s="87">
        <f t="shared" si="0"/>
        <v>555000</v>
      </c>
      <c r="J29" s="7"/>
      <c r="K29" s="7"/>
      <c r="L29" s="7"/>
      <c r="M29" s="7"/>
      <c r="N29" s="7"/>
      <c r="O29" s="7"/>
    </row>
    <row r="30" spans="1:15" ht="31.5" hidden="1" x14ac:dyDescent="0.45">
      <c r="A30" s="80">
        <v>2.4</v>
      </c>
      <c r="B30" s="80"/>
      <c r="C30" s="85" t="str">
        <f>IFERROR(VLOOKUP($A30,GanttChart!$A:$JD,2,FALSE),"خطا")</f>
        <v xml:space="preserve">تامين و آماده سازي شبکه و زيرساخت سخت افزاری و نرم افزاری مورد نياز (سرور  اصلی) توسط کارفرما </v>
      </c>
      <c r="D30" s="86">
        <f>IFERROR(VLOOKUP($A30,GanttChart!$A:$JD,261,FALSE),0)</f>
        <v>0</v>
      </c>
      <c r="E30" s="86">
        <f>IFERROR(VLOOKUP($A30,GanttChart!$A:$JD,262,FALSE),0)</f>
        <v>0</v>
      </c>
      <c r="F30" s="86">
        <f>IFERROR(VLOOKUP($A30,GanttChart!$A:$JD,263,FALSE),0)</f>
        <v>0</v>
      </c>
      <c r="G30" s="87">
        <f>IFERROR(VLOOKUP($A30,GanttChart!$A:$JD,264,FALSE),0)</f>
        <v>0</v>
      </c>
      <c r="H30" s="88"/>
      <c r="I30" s="87">
        <f t="shared" si="0"/>
        <v>0</v>
      </c>
      <c r="J30" s="7"/>
      <c r="K30" s="7"/>
      <c r="L30" s="7"/>
      <c r="M30" s="7"/>
      <c r="N30" s="7"/>
      <c r="O30" s="7"/>
    </row>
    <row r="31" spans="1:15" ht="31.5" hidden="1" x14ac:dyDescent="0.45">
      <c r="A31" s="80">
        <v>2.5</v>
      </c>
      <c r="B31" s="80"/>
      <c r="C31" s="85" t="str">
        <f>IFERROR(VLOOKUP($A31,GanttChart!$A:$JD,2,FALSE),"خطا")</f>
        <v>نصب نرم افزار سامان سوئیت و پورتال سازمانی به انضمام اقلام نرم افزاری مطابق جدول الف</v>
      </c>
      <c r="D31" s="86">
        <f>IFERROR(VLOOKUP($A31,GanttChart!$A:$JD,261,FALSE),0)</f>
        <v>0</v>
      </c>
      <c r="E31" s="86">
        <f>IFERROR(VLOOKUP($A31,GanttChart!$A:$JD,262,FALSE),0)</f>
        <v>0.16666666666666666</v>
      </c>
      <c r="F31" s="86">
        <f>IFERROR(VLOOKUP($A31,GanttChart!$A:$JD,263,FALSE),0)</f>
        <v>0</v>
      </c>
      <c r="G31" s="87">
        <f>IFERROR(VLOOKUP($A31,GanttChart!$A:$JD,264,FALSE),0)</f>
        <v>3664000</v>
      </c>
      <c r="H31" s="88"/>
      <c r="I31" s="87">
        <f t="shared" si="0"/>
        <v>3664000</v>
      </c>
      <c r="J31" s="7"/>
      <c r="K31" s="7"/>
      <c r="L31" s="7"/>
      <c r="M31" s="7"/>
      <c r="N31" s="7"/>
      <c r="O31" s="7"/>
    </row>
    <row r="32" spans="1:15" ht="18.75" hidden="1" x14ac:dyDescent="0.45">
      <c r="A32" s="80">
        <v>2.6</v>
      </c>
      <c r="B32" s="80"/>
      <c r="C32" s="85">
        <f>IFERROR(VLOOKUP($A32,GanttChart!$A:$JD,2,FALSE),"خطا")</f>
        <v>0</v>
      </c>
      <c r="D32" s="86">
        <f>IFERROR(VLOOKUP($A32,GanttChart!$A:$JD,261,FALSE),0)</f>
        <v>0</v>
      </c>
      <c r="E32" s="86">
        <f>IFERROR(VLOOKUP($A32,GanttChart!$A:$JD,262,FALSE),0)</f>
        <v>0</v>
      </c>
      <c r="F32" s="86">
        <f>IFERROR(VLOOKUP($A32,GanttChart!$A:$JD,263,FALSE),0)</f>
        <v>0</v>
      </c>
      <c r="G32" s="87">
        <f>IFERROR(VLOOKUP($A32,GanttChart!$A:$JD,264,FALSE),0)</f>
        <v>0</v>
      </c>
      <c r="H32" s="88"/>
      <c r="I32" s="87">
        <f t="shared" si="0"/>
        <v>0</v>
      </c>
      <c r="J32" s="7"/>
      <c r="K32" s="7"/>
      <c r="L32" s="7"/>
      <c r="M32" s="7"/>
      <c r="N32" s="7"/>
      <c r="O32" s="7"/>
    </row>
    <row r="33" spans="1:15" ht="18.75" hidden="1" x14ac:dyDescent="0.45">
      <c r="A33" s="80">
        <v>2.7</v>
      </c>
      <c r="B33" s="80"/>
      <c r="C33" s="85">
        <f>IFERROR(VLOOKUP($A33,GanttChart!$A:$JD,2,FALSE),"خطا")</f>
        <v>0</v>
      </c>
      <c r="D33" s="86">
        <f>IFERROR(VLOOKUP($A33,GanttChart!$A:$JD,261,FALSE),0)</f>
        <v>0</v>
      </c>
      <c r="E33" s="86">
        <f>IFERROR(VLOOKUP($A33,GanttChart!$A:$JD,262,FALSE),0)</f>
        <v>0</v>
      </c>
      <c r="F33" s="86">
        <f>IFERROR(VLOOKUP($A33,GanttChart!$A:$JD,263,FALSE),0)</f>
        <v>0</v>
      </c>
      <c r="G33" s="87">
        <f>IFERROR(VLOOKUP($A33,GanttChart!$A:$JD,264,FALSE),0)</f>
        <v>0</v>
      </c>
      <c r="H33" s="88"/>
      <c r="I33" s="87">
        <f t="shared" si="0"/>
        <v>0</v>
      </c>
      <c r="J33" s="7"/>
      <c r="K33" s="7"/>
      <c r="L33" s="7"/>
      <c r="M33" s="7"/>
      <c r="N33" s="7"/>
      <c r="O33" s="7"/>
    </row>
    <row r="34" spans="1:15" ht="18.75" hidden="1" x14ac:dyDescent="0.45">
      <c r="A34" s="80">
        <v>2.8</v>
      </c>
      <c r="B34" s="80"/>
      <c r="C34" s="85">
        <f>IFERROR(VLOOKUP($A34,GanttChart!$A:$JD,2,FALSE),"خطا")</f>
        <v>0</v>
      </c>
      <c r="D34" s="86">
        <f>IFERROR(VLOOKUP($A34,GanttChart!$A:$JD,261,FALSE),0)</f>
        <v>0</v>
      </c>
      <c r="E34" s="86">
        <f>IFERROR(VLOOKUP($A34,GanttChart!$A:$JD,262,FALSE),0)</f>
        <v>0</v>
      </c>
      <c r="F34" s="86">
        <f>IFERROR(VLOOKUP($A34,GanttChart!$A:$JD,263,FALSE),0)</f>
        <v>0</v>
      </c>
      <c r="G34" s="87">
        <f>IFERROR(VLOOKUP($A34,GanttChart!$A:$JD,264,FALSE),0)</f>
        <v>0</v>
      </c>
      <c r="H34" s="88"/>
      <c r="I34" s="87">
        <f t="shared" si="0"/>
        <v>0</v>
      </c>
      <c r="J34" s="7"/>
      <c r="K34" s="7"/>
      <c r="L34" s="7"/>
      <c r="M34" s="7"/>
      <c r="N34" s="7"/>
      <c r="O34" s="7"/>
    </row>
    <row r="35" spans="1:15" ht="18.75" hidden="1" x14ac:dyDescent="0.45">
      <c r="A35" s="80">
        <v>2.9</v>
      </c>
      <c r="B35" s="80"/>
      <c r="C35" s="85">
        <f>IFERROR(VLOOKUP($A35,GanttChart!$A:$JD,2,FALSE),"خطا")</f>
        <v>0</v>
      </c>
      <c r="D35" s="86">
        <f>IFERROR(VLOOKUP($A35,GanttChart!$A:$JD,261,FALSE),0)</f>
        <v>0</v>
      </c>
      <c r="E35" s="86">
        <f>IFERROR(VLOOKUP($A35,GanttChart!$A:$JD,262,FALSE),0)</f>
        <v>0</v>
      </c>
      <c r="F35" s="86">
        <f>IFERROR(VLOOKUP($A35,GanttChart!$A:$JD,263,FALSE),0)</f>
        <v>0</v>
      </c>
      <c r="G35" s="87">
        <f>IFERROR(VLOOKUP($A35,GanttChart!$A:$JD,264,FALSE),0)</f>
        <v>0</v>
      </c>
      <c r="H35" s="88"/>
      <c r="I35" s="87">
        <f t="shared" si="0"/>
        <v>0</v>
      </c>
      <c r="J35" s="7"/>
      <c r="K35" s="7"/>
      <c r="L35" s="7"/>
      <c r="M35" s="7"/>
      <c r="N35" s="7"/>
      <c r="O35" s="7"/>
    </row>
    <row r="36" spans="1:15" ht="18.75" hidden="1" x14ac:dyDescent="0.45">
      <c r="A36" s="80">
        <v>2.11</v>
      </c>
      <c r="B36" s="80"/>
      <c r="C36" s="85">
        <f>IFERROR(VLOOKUP($A36,GanttChart!$A:$JD,2,FALSE),"خطا")</f>
        <v>0</v>
      </c>
      <c r="D36" s="86">
        <f>IFERROR(VLOOKUP($A36,GanttChart!$A:$JD,261,FALSE),0)</f>
        <v>0</v>
      </c>
      <c r="E36" s="86">
        <f>IFERROR(VLOOKUP($A36,GanttChart!$A:$JD,262,FALSE),0)</f>
        <v>0</v>
      </c>
      <c r="F36" s="86">
        <f>IFERROR(VLOOKUP($A36,GanttChart!$A:$JD,263,FALSE),0)</f>
        <v>0</v>
      </c>
      <c r="G36" s="87">
        <f>IFERROR(VLOOKUP($A36,GanttChart!$A:$JD,264,FALSE),0)</f>
        <v>0</v>
      </c>
      <c r="H36" s="88"/>
      <c r="I36" s="87">
        <f t="shared" si="0"/>
        <v>0</v>
      </c>
      <c r="J36" s="7"/>
      <c r="K36" s="7"/>
      <c r="L36" s="7"/>
      <c r="M36" s="7"/>
      <c r="N36" s="7"/>
      <c r="O36" s="7"/>
    </row>
    <row r="37" spans="1:15" ht="18.75" hidden="1" x14ac:dyDescent="0.45">
      <c r="A37" s="80">
        <v>2.12</v>
      </c>
      <c r="B37" s="80"/>
      <c r="C37" s="85">
        <f>IFERROR(VLOOKUP($A37,GanttChart!$A:$JD,2,FALSE),"خطا")</f>
        <v>0</v>
      </c>
      <c r="D37" s="86">
        <f>IFERROR(VLOOKUP($A37,GanttChart!$A:$JD,261,FALSE),0)</f>
        <v>0</v>
      </c>
      <c r="E37" s="86">
        <f>IFERROR(VLOOKUP($A37,GanttChart!$A:$JD,262,FALSE),0)</f>
        <v>0</v>
      </c>
      <c r="F37" s="86">
        <f>IFERROR(VLOOKUP($A37,GanttChart!$A:$JD,263,FALSE),0)</f>
        <v>0</v>
      </c>
      <c r="G37" s="87">
        <f>IFERROR(VLOOKUP($A37,GanttChart!$A:$JD,264,FALSE),0)</f>
        <v>0</v>
      </c>
      <c r="H37" s="88"/>
      <c r="I37" s="87">
        <f t="shared" si="0"/>
        <v>0</v>
      </c>
      <c r="J37" s="7"/>
      <c r="K37" s="7"/>
      <c r="L37" s="7"/>
      <c r="M37" s="7"/>
      <c r="N37" s="7"/>
      <c r="O37" s="7"/>
    </row>
    <row r="38" spans="1:15" ht="18.75" hidden="1" x14ac:dyDescent="0.45">
      <c r="A38" s="80">
        <v>2.13</v>
      </c>
      <c r="B38" s="80"/>
      <c r="C38" s="85">
        <f>IFERROR(VLOOKUP($A38,GanttChart!$A:$JD,2,FALSE),"خطا")</f>
        <v>0</v>
      </c>
      <c r="D38" s="86">
        <f>IFERROR(VLOOKUP($A38,GanttChart!$A:$JD,261,FALSE),0)</f>
        <v>0</v>
      </c>
      <c r="E38" s="86">
        <f>IFERROR(VLOOKUP($A38,GanttChart!$A:$JD,262,FALSE),0)</f>
        <v>0</v>
      </c>
      <c r="F38" s="86">
        <f>IFERROR(VLOOKUP($A38,GanttChart!$A:$JD,263,FALSE),0)</f>
        <v>0</v>
      </c>
      <c r="G38" s="87">
        <f>IFERROR(VLOOKUP($A38,GanttChart!$A:$JD,264,FALSE),0)</f>
        <v>0</v>
      </c>
      <c r="H38" s="88"/>
      <c r="I38" s="87">
        <f t="shared" si="0"/>
        <v>0</v>
      </c>
      <c r="J38" s="7"/>
      <c r="K38" s="7"/>
      <c r="L38" s="7"/>
      <c r="M38" s="7"/>
      <c r="N38" s="7"/>
      <c r="O38" s="7"/>
    </row>
    <row r="39" spans="1:15" ht="18.75" hidden="1" x14ac:dyDescent="0.45">
      <c r="A39" s="80">
        <v>2.14</v>
      </c>
      <c r="B39" s="80"/>
      <c r="C39" s="85">
        <f>IFERROR(VLOOKUP($A39,GanttChart!$A:$JD,2,FALSE),"خطا")</f>
        <v>0</v>
      </c>
      <c r="D39" s="86">
        <f>IFERROR(VLOOKUP($A39,GanttChart!$A:$JD,261,FALSE),0)</f>
        <v>0</v>
      </c>
      <c r="E39" s="86">
        <f>IFERROR(VLOOKUP($A39,GanttChart!$A:$JD,262,FALSE),0)</f>
        <v>0</v>
      </c>
      <c r="F39" s="86">
        <f>IFERROR(VLOOKUP($A39,GanttChart!$A:$JD,263,FALSE),0)</f>
        <v>0</v>
      </c>
      <c r="G39" s="87">
        <f>IFERROR(VLOOKUP($A39,GanttChart!$A:$JD,264,FALSE),0)</f>
        <v>0</v>
      </c>
      <c r="H39" s="88"/>
      <c r="I39" s="87">
        <f t="shared" si="0"/>
        <v>0</v>
      </c>
      <c r="J39" s="7"/>
      <c r="K39" s="7"/>
      <c r="L39" s="7"/>
      <c r="M39" s="7"/>
      <c r="N39" s="7"/>
      <c r="O39" s="7"/>
    </row>
    <row r="40" spans="1:15" ht="18.75" hidden="1" x14ac:dyDescent="0.45">
      <c r="A40" s="80">
        <v>2.15</v>
      </c>
      <c r="B40" s="80"/>
      <c r="C40" s="85">
        <f>IFERROR(VLOOKUP($A40,GanttChart!$A:$JD,2,FALSE),"خطا")</f>
        <v>0</v>
      </c>
      <c r="D40" s="86">
        <f>IFERROR(VLOOKUP($A40,GanttChart!$A:$JD,261,FALSE),0)</f>
        <v>0</v>
      </c>
      <c r="E40" s="86">
        <f>IFERROR(VLOOKUP($A40,GanttChart!$A:$JD,262,FALSE),0)</f>
        <v>0</v>
      </c>
      <c r="F40" s="86">
        <f>IFERROR(VLOOKUP($A40,GanttChart!$A:$JD,263,FALSE),0)</f>
        <v>0</v>
      </c>
      <c r="G40" s="87">
        <f>IFERROR(VLOOKUP($A40,GanttChart!$A:$JD,264,FALSE),0)</f>
        <v>0</v>
      </c>
      <c r="H40" s="88"/>
      <c r="I40" s="87">
        <f t="shared" si="0"/>
        <v>0</v>
      </c>
      <c r="J40" s="7"/>
      <c r="K40" s="7"/>
      <c r="L40" s="7"/>
      <c r="M40" s="7"/>
      <c r="N40" s="7"/>
      <c r="O40" s="7"/>
    </row>
    <row r="41" spans="1:15" ht="18.75" hidden="1" x14ac:dyDescent="0.45">
      <c r="A41" s="80">
        <v>2.16</v>
      </c>
      <c r="B41" s="80"/>
      <c r="C41" s="85">
        <f>IFERROR(VLOOKUP($A41,GanttChart!$A:$JD,2,FALSE),"خطا")</f>
        <v>0</v>
      </c>
      <c r="D41" s="86">
        <f>IFERROR(VLOOKUP($A41,GanttChart!$A:$JD,261,FALSE),0)</f>
        <v>0</v>
      </c>
      <c r="E41" s="86">
        <f>IFERROR(VLOOKUP($A41,GanttChart!$A:$JD,262,FALSE),0)</f>
        <v>0</v>
      </c>
      <c r="F41" s="86">
        <f>IFERROR(VLOOKUP($A41,GanttChart!$A:$JD,263,FALSE),0)</f>
        <v>0</v>
      </c>
      <c r="G41" s="87">
        <f>IFERROR(VLOOKUP($A41,GanttChart!$A:$JD,264,FALSE),0)</f>
        <v>0</v>
      </c>
      <c r="H41" s="88"/>
      <c r="I41" s="87">
        <f t="shared" si="0"/>
        <v>0</v>
      </c>
      <c r="J41" s="7"/>
      <c r="K41" s="7"/>
      <c r="L41" s="7"/>
      <c r="M41" s="7"/>
      <c r="N41" s="7"/>
      <c r="O41" s="7"/>
    </row>
    <row r="42" spans="1:15" ht="18.75" hidden="1" x14ac:dyDescent="0.45">
      <c r="A42" s="80">
        <v>2.17</v>
      </c>
      <c r="B42" s="80"/>
      <c r="C42" s="85">
        <f>IFERROR(VLOOKUP($A42,GanttChart!$A:$JD,2,FALSE),"خطا")</f>
        <v>0</v>
      </c>
      <c r="D42" s="86">
        <f>IFERROR(VLOOKUP($A42,GanttChart!$A:$JD,261,FALSE),0)</f>
        <v>0</v>
      </c>
      <c r="E42" s="86">
        <f>IFERROR(VLOOKUP($A42,GanttChart!$A:$JD,262,FALSE),0)</f>
        <v>0</v>
      </c>
      <c r="F42" s="86">
        <f>IFERROR(VLOOKUP($A42,GanttChart!$A:$JD,263,FALSE),0)</f>
        <v>0</v>
      </c>
      <c r="G42" s="87">
        <f>IFERROR(VLOOKUP($A42,GanttChart!$A:$JD,264,FALSE),0)</f>
        <v>0</v>
      </c>
      <c r="H42" s="88"/>
      <c r="I42" s="87">
        <f t="shared" si="0"/>
        <v>0</v>
      </c>
      <c r="J42" s="7"/>
      <c r="K42" s="7"/>
      <c r="L42" s="7"/>
      <c r="M42" s="7"/>
      <c r="N42" s="7"/>
      <c r="O42" s="7"/>
    </row>
    <row r="43" spans="1:15" ht="18.75" hidden="1" x14ac:dyDescent="0.45">
      <c r="A43" s="80">
        <v>2.1800000000000002</v>
      </c>
      <c r="B43" s="80"/>
      <c r="C43" s="85">
        <f>IFERROR(VLOOKUP($A43,GanttChart!$A:$JD,2,FALSE),"خطا")</f>
        <v>0</v>
      </c>
      <c r="D43" s="86">
        <f>IFERROR(VLOOKUP($A43,GanttChart!$A:$JD,261,FALSE),0)</f>
        <v>0</v>
      </c>
      <c r="E43" s="86">
        <f>IFERROR(VLOOKUP($A43,GanttChart!$A:$JD,262,FALSE),0)</f>
        <v>0</v>
      </c>
      <c r="F43" s="86">
        <f>IFERROR(VLOOKUP($A43,GanttChart!$A:$JD,263,FALSE),0)</f>
        <v>0</v>
      </c>
      <c r="G43" s="87">
        <f>IFERROR(VLOOKUP($A43,GanttChart!$A:$JD,264,FALSE),0)</f>
        <v>0</v>
      </c>
      <c r="H43" s="88"/>
      <c r="I43" s="87">
        <f t="shared" si="0"/>
        <v>0</v>
      </c>
      <c r="J43" s="7"/>
      <c r="K43" s="7"/>
      <c r="L43" s="7"/>
      <c r="M43" s="7"/>
      <c r="N43" s="7"/>
      <c r="O43" s="7"/>
    </row>
    <row r="44" spans="1:15" ht="18.75" hidden="1" x14ac:dyDescent="0.45">
      <c r="A44" s="80">
        <v>2.19</v>
      </c>
      <c r="B44" s="80"/>
      <c r="C44" s="85">
        <f>IFERROR(VLOOKUP($A44,GanttChart!$A:$JD,2,FALSE),"خطا")</f>
        <v>0</v>
      </c>
      <c r="D44" s="86">
        <f>IFERROR(VLOOKUP($A44,GanttChart!$A:$JD,261,FALSE),0)</f>
        <v>0</v>
      </c>
      <c r="E44" s="86">
        <f>IFERROR(VLOOKUP($A44,GanttChart!$A:$JD,262,FALSE),0)</f>
        <v>0</v>
      </c>
      <c r="F44" s="86">
        <f>IFERROR(VLOOKUP($A44,GanttChart!$A:$JD,263,FALSE),0)</f>
        <v>0</v>
      </c>
      <c r="G44" s="87">
        <f>IFERROR(VLOOKUP($A44,GanttChart!$A:$JD,264,FALSE),0)</f>
        <v>0</v>
      </c>
      <c r="H44" s="88"/>
      <c r="I44" s="87">
        <f t="shared" si="0"/>
        <v>0</v>
      </c>
      <c r="J44" s="7"/>
      <c r="K44" s="7"/>
      <c r="L44" s="7"/>
      <c r="M44" s="7"/>
      <c r="N44" s="7"/>
      <c r="O44" s="7"/>
    </row>
    <row r="45" spans="1:15" ht="18.75" hidden="1" x14ac:dyDescent="0.45">
      <c r="A45" s="80">
        <v>2.21</v>
      </c>
      <c r="B45" s="80"/>
      <c r="C45" s="85" t="str">
        <f>IFERROR(VLOOKUP($A45,GanttChart!$A:$JD,2,FALSE),"خطا")</f>
        <v>خطا</v>
      </c>
      <c r="D45" s="86">
        <f>IFERROR(VLOOKUP($A45,GanttChart!$A:$JD,261,FALSE),0)</f>
        <v>0</v>
      </c>
      <c r="E45" s="86">
        <f>IFERROR(VLOOKUP($A45,GanttChart!$A:$JD,262,FALSE),0)</f>
        <v>0</v>
      </c>
      <c r="F45" s="86">
        <f>IFERROR(VLOOKUP($A45,GanttChart!$A:$JD,263,FALSE),0)</f>
        <v>0</v>
      </c>
      <c r="G45" s="87">
        <f>IFERROR(VLOOKUP($A45,GanttChart!$A:$JD,264,FALSE),0)</f>
        <v>0</v>
      </c>
      <c r="H45" s="88"/>
      <c r="I45" s="87">
        <f t="shared" si="0"/>
        <v>0</v>
      </c>
      <c r="J45" s="7"/>
      <c r="K45" s="7"/>
      <c r="L45" s="7"/>
      <c r="M45" s="7"/>
      <c r="N45" s="7"/>
      <c r="O45" s="7"/>
    </row>
    <row r="46" spans="1:15" ht="18.75" hidden="1" x14ac:dyDescent="0.45">
      <c r="A46" s="80">
        <v>2.2200000000000002</v>
      </c>
      <c r="B46" s="80"/>
      <c r="C46" s="85" t="str">
        <f>IFERROR(VLOOKUP($A46,GanttChart!$A:$JD,2,FALSE),"خطا")</f>
        <v>خطا</v>
      </c>
      <c r="D46" s="86">
        <f>IFERROR(VLOOKUP($A46,GanttChart!$A:$JD,261,FALSE),0)</f>
        <v>0</v>
      </c>
      <c r="E46" s="86">
        <f>IFERROR(VLOOKUP($A46,GanttChart!$A:$JD,262,FALSE),0)</f>
        <v>0</v>
      </c>
      <c r="F46" s="86">
        <f>IFERROR(VLOOKUP($A46,GanttChart!$A:$JD,263,FALSE),0)</f>
        <v>0</v>
      </c>
      <c r="G46" s="87">
        <f>IFERROR(VLOOKUP($A46,GanttChart!$A:$JD,264,FALSE),0)</f>
        <v>0</v>
      </c>
      <c r="H46" s="88"/>
      <c r="I46" s="87">
        <f t="shared" si="0"/>
        <v>0</v>
      </c>
      <c r="J46" s="7"/>
      <c r="K46" s="7"/>
      <c r="L46" s="7"/>
      <c r="M46" s="7"/>
      <c r="N46" s="7"/>
      <c r="O46" s="7"/>
    </row>
    <row r="47" spans="1:15" ht="18.75" hidden="1" x14ac:dyDescent="0.45">
      <c r="A47" s="80">
        <v>2.23</v>
      </c>
      <c r="B47" s="80"/>
      <c r="C47" s="85" t="str">
        <f>IFERROR(VLOOKUP($A47,GanttChart!$A:$JD,2,FALSE),"خطا")</f>
        <v>خطا</v>
      </c>
      <c r="D47" s="86">
        <f>IFERROR(VLOOKUP($A47,GanttChart!$A:$JD,261,FALSE),0)</f>
        <v>0</v>
      </c>
      <c r="E47" s="86">
        <f>IFERROR(VLOOKUP($A47,GanttChart!$A:$JD,262,FALSE),0)</f>
        <v>0</v>
      </c>
      <c r="F47" s="86">
        <f>IFERROR(VLOOKUP($A47,GanttChart!$A:$JD,263,FALSE),0)</f>
        <v>0</v>
      </c>
      <c r="G47" s="87">
        <f>IFERROR(VLOOKUP($A47,GanttChart!$A:$JD,264,FALSE),0)</f>
        <v>0</v>
      </c>
      <c r="H47" s="88"/>
      <c r="I47" s="87">
        <f t="shared" si="0"/>
        <v>0</v>
      </c>
      <c r="J47" s="7"/>
      <c r="K47" s="7"/>
      <c r="L47" s="7"/>
      <c r="M47" s="7"/>
      <c r="N47" s="7"/>
      <c r="O47" s="7"/>
    </row>
    <row r="48" spans="1:15" ht="18.75" x14ac:dyDescent="0.45">
      <c r="A48" s="80">
        <v>3</v>
      </c>
      <c r="B48" s="80"/>
      <c r="C48" s="85" t="str">
        <f>IFERROR(VLOOKUP($A48,GanttChart!$A:$JD,2,FALSE),"خطا")</f>
        <v xml:space="preserve">ارائه خدمات اجرایی موضوع ردیف های 1 جدول ب </v>
      </c>
      <c r="D48" s="86">
        <f>SUM(D49:D69)</f>
        <v>0.16666666666666666</v>
      </c>
      <c r="E48" s="86">
        <f>SUM(E49:E69)</f>
        <v>0.41666666666666663</v>
      </c>
      <c r="F48" s="86">
        <f>SUM(F49:F69)</f>
        <v>1.6249999999999998</v>
      </c>
      <c r="G48" s="87">
        <f>SUM(G49:G69)</f>
        <v>35605000</v>
      </c>
      <c r="H48" s="244">
        <f>1-J48/G48</f>
        <v>0.55062491223142818</v>
      </c>
      <c r="I48" s="87">
        <f t="shared" si="0"/>
        <v>16000000</v>
      </c>
      <c r="J48" s="107">
        <v>16000000</v>
      </c>
      <c r="K48" s="7"/>
      <c r="L48" s="7"/>
      <c r="M48" s="7"/>
      <c r="N48" s="7"/>
      <c r="O48" s="7"/>
    </row>
    <row r="49" spans="1:15" ht="18.75" hidden="1" x14ac:dyDescent="0.45">
      <c r="A49" s="80">
        <v>3.1</v>
      </c>
      <c r="B49" s="80"/>
      <c r="C49" s="85" t="str">
        <f>IFERROR(VLOOKUP($A49,GanttChart!$A:$JD,2,FALSE),"خطا")</f>
        <v xml:space="preserve">جمع بندی نيازمنديهای فرايند شناخت و تدوین سند معماری محتوا </v>
      </c>
      <c r="D49" s="86">
        <f>IFERROR(VLOOKUP($A49,GanttChart!$A:$JD,261,FALSE),0)</f>
        <v>0</v>
      </c>
      <c r="E49" s="86">
        <f>IFERROR(VLOOKUP($A49,GanttChart!$A:$JD,262,FALSE),0)</f>
        <v>0</v>
      </c>
      <c r="F49" s="86">
        <f>IFERROR(VLOOKUP($A49,GanttChart!$A:$JD,263,FALSE),0)</f>
        <v>4.1666666666666664E-2</v>
      </c>
      <c r="G49" s="87">
        <f>IFERROR(VLOOKUP($A49,GanttChart!$A:$JD,264,FALSE),0)</f>
        <v>555000</v>
      </c>
      <c r="H49" s="88"/>
      <c r="I49" s="87">
        <f t="shared" si="0"/>
        <v>555000</v>
      </c>
      <c r="J49" s="7"/>
      <c r="K49" s="7"/>
      <c r="L49" s="7"/>
      <c r="M49" s="7"/>
      <c r="N49" s="7"/>
      <c r="O49" s="7"/>
    </row>
    <row r="50" spans="1:15" ht="18.75" hidden="1" x14ac:dyDescent="0.45">
      <c r="A50" s="80">
        <v>3.2</v>
      </c>
      <c r="B50" s="80"/>
      <c r="C50" s="85" t="str">
        <f>IFERROR(VLOOKUP($A50,GanttChart!$A:$JD,2,FALSE),"خطا")</f>
        <v xml:space="preserve">بررسی و تایید مستند معماری محتوا توسط کارفرما </v>
      </c>
      <c r="D50" s="86">
        <f>IFERROR(VLOOKUP($A50,GanttChart!$A:$JD,261,FALSE),0)</f>
        <v>0</v>
      </c>
      <c r="E50" s="86">
        <f>IFERROR(VLOOKUP($A50,GanttChart!$A:$JD,262,FALSE),0)</f>
        <v>0</v>
      </c>
      <c r="F50" s="86">
        <f>IFERROR(VLOOKUP($A50,GanttChart!$A:$JD,263,FALSE),0)</f>
        <v>0</v>
      </c>
      <c r="G50" s="87">
        <f>IFERROR(VLOOKUP($A50,GanttChart!$A:$JD,264,FALSE),0)</f>
        <v>0</v>
      </c>
      <c r="H50" s="88"/>
      <c r="I50" s="87">
        <f t="shared" si="0"/>
        <v>0</v>
      </c>
    </row>
    <row r="51" spans="1:15" ht="31.5" hidden="1" x14ac:dyDescent="0.45">
      <c r="A51" s="80">
        <v>3.3</v>
      </c>
      <c r="B51" s="80"/>
      <c r="C51" s="85" t="str">
        <f>IFERROR(VLOOKUP($A51,GanttChart!$A:$JD,2,FALSE),"خطا")</f>
        <v>پیاده سازی ساختار طبقه بندی  منطبق بر سند معماری محتوا پورتال اصلی و زیرپورتال ها</v>
      </c>
      <c r="D51" s="86">
        <f>IFERROR(VLOOKUP($A51,GanttChart!$A:$JD,261,FALSE),0)</f>
        <v>0</v>
      </c>
      <c r="E51" s="86">
        <f>IFERROR(VLOOKUP($A51,GanttChart!$A:$JD,262,FALSE),0)</f>
        <v>0</v>
      </c>
      <c r="F51" s="86">
        <f>IFERROR(VLOOKUP($A51,GanttChart!$A:$JD,263,FALSE),0)</f>
        <v>0</v>
      </c>
      <c r="G51" s="87">
        <f>IFERROR(VLOOKUP($A51,GanttChart!$A:$JD,264,FALSE),0)</f>
        <v>0</v>
      </c>
      <c r="H51" s="88"/>
      <c r="I51" s="87">
        <f t="shared" si="0"/>
        <v>0</v>
      </c>
    </row>
    <row r="52" spans="1:15" ht="18.75" hidden="1" x14ac:dyDescent="0.45">
      <c r="A52" s="80">
        <v>3.4</v>
      </c>
      <c r="B52" s="80"/>
      <c r="C52" s="85" t="str">
        <f>IFERROR(VLOOKUP($A52,GanttChart!$A:$JD,2,FALSE),"خطا")</f>
        <v>انجام فرآیند کنترل کیفی ساختار محتوا</v>
      </c>
      <c r="D52" s="86">
        <f>IFERROR(VLOOKUP($A52,GanttChart!$A:$JD,261,FALSE),0)</f>
        <v>8.3333333333333329E-2</v>
      </c>
      <c r="E52" s="86">
        <f>IFERROR(VLOOKUP($A52,GanttChart!$A:$JD,262,FALSE),0)</f>
        <v>0.16666666666666666</v>
      </c>
      <c r="F52" s="86">
        <f>IFERROR(VLOOKUP($A52,GanttChart!$A:$JD,263,FALSE),0)</f>
        <v>0.58333333333333337</v>
      </c>
      <c r="G52" s="87">
        <f>IFERROR(VLOOKUP($A52,GanttChart!$A:$JD,264,FALSE),0)</f>
        <v>13834000</v>
      </c>
      <c r="H52" s="88"/>
      <c r="I52" s="87">
        <f t="shared" si="0"/>
        <v>13834000</v>
      </c>
    </row>
    <row r="53" spans="1:15" ht="18.75" hidden="1" x14ac:dyDescent="0.45">
      <c r="A53" s="80">
        <v>3.5</v>
      </c>
      <c r="B53" s="80"/>
      <c r="C53" s="85">
        <f>IFERROR(VLOOKUP($A53,GanttChart!$A:$JD,2,FALSE),"خطا")</f>
        <v>0</v>
      </c>
      <c r="D53" s="86">
        <f>IFERROR(VLOOKUP($A53,GanttChart!$A:$JD,261,FALSE),0)</f>
        <v>0</v>
      </c>
      <c r="E53" s="86">
        <f>IFERROR(VLOOKUP($A53,GanttChart!$A:$JD,262,FALSE),0)</f>
        <v>0</v>
      </c>
      <c r="F53" s="86">
        <f>IFERROR(VLOOKUP($A53,GanttChart!$A:$JD,263,FALSE),0)</f>
        <v>0</v>
      </c>
      <c r="G53" s="87">
        <f>IFERROR(VLOOKUP($A53,GanttChart!$A:$JD,264,FALSE),0)</f>
        <v>0</v>
      </c>
      <c r="H53" s="88"/>
      <c r="I53" s="87">
        <f t="shared" si="0"/>
        <v>0</v>
      </c>
    </row>
    <row r="54" spans="1:15" ht="18.75" hidden="1" x14ac:dyDescent="0.45">
      <c r="A54" s="80">
        <v>3.6</v>
      </c>
      <c r="B54" s="80"/>
      <c r="C54" s="85">
        <f>IFERROR(VLOOKUP($A54,GanttChart!$A:$JD,2,FALSE),"خطا")</f>
        <v>0</v>
      </c>
      <c r="D54" s="86">
        <f>IFERROR(VLOOKUP($A54,GanttChart!$A:$JD,261,FALSE),0)</f>
        <v>0</v>
      </c>
      <c r="E54" s="86">
        <f>IFERROR(VLOOKUP($A54,GanttChart!$A:$JD,262,FALSE),0)</f>
        <v>0</v>
      </c>
      <c r="F54" s="86">
        <f>IFERROR(VLOOKUP($A54,GanttChart!$A:$JD,263,FALSE),0)</f>
        <v>0</v>
      </c>
      <c r="G54" s="87">
        <f>IFERROR(VLOOKUP($A54,GanttChart!$A:$JD,264,FALSE),0)</f>
        <v>0</v>
      </c>
      <c r="H54" s="88"/>
      <c r="I54" s="87">
        <f t="shared" si="0"/>
        <v>0</v>
      </c>
    </row>
    <row r="55" spans="1:15" ht="18.75" hidden="1" x14ac:dyDescent="0.45">
      <c r="A55" s="80">
        <v>3.7</v>
      </c>
      <c r="B55" s="80"/>
      <c r="C55" s="85">
        <f>IFERROR(VLOOKUP($A55,GanttChart!$A:$JD,2,FALSE),"خطا")</f>
        <v>0</v>
      </c>
      <c r="D55" s="86">
        <f>IFERROR(VLOOKUP($A55,GanttChart!$A:$JD,261,FALSE),0)</f>
        <v>8.3333333333333329E-2</v>
      </c>
      <c r="E55" s="86">
        <f>IFERROR(VLOOKUP($A55,GanttChart!$A:$JD,262,FALSE),0)</f>
        <v>0.16666666666666666</v>
      </c>
      <c r="F55" s="86">
        <f>IFERROR(VLOOKUP($A55,GanttChart!$A:$JD,263,FALSE),0)</f>
        <v>0.66666666666666663</v>
      </c>
      <c r="G55" s="87">
        <f>IFERROR(VLOOKUP($A55,GanttChart!$A:$JD,264,FALSE),0)</f>
        <v>14944000</v>
      </c>
      <c r="H55" s="88"/>
      <c r="I55" s="87">
        <f t="shared" si="0"/>
        <v>14944000</v>
      </c>
    </row>
    <row r="56" spans="1:15" ht="18.75" hidden="1" x14ac:dyDescent="0.45">
      <c r="A56" s="80">
        <v>3.8</v>
      </c>
      <c r="B56" s="80"/>
      <c r="C56" s="85">
        <f>IFERROR(VLOOKUP($A56,GanttChart!$A:$JD,2,FALSE),"خطا")</f>
        <v>0</v>
      </c>
      <c r="D56" s="86">
        <f>IFERROR(VLOOKUP($A56,GanttChart!$A:$JD,261,FALSE),0)</f>
        <v>0</v>
      </c>
      <c r="E56" s="86">
        <f>IFERROR(VLOOKUP($A56,GanttChart!$A:$JD,262,FALSE),0)</f>
        <v>8.3333333333333329E-2</v>
      </c>
      <c r="F56" s="86">
        <f>IFERROR(VLOOKUP($A56,GanttChart!$A:$JD,263,FALSE),0)</f>
        <v>0.33333333333333331</v>
      </c>
      <c r="G56" s="87">
        <f>IFERROR(VLOOKUP($A56,GanttChart!$A:$JD,264,FALSE),0)</f>
        <v>6272000</v>
      </c>
      <c r="H56" s="88"/>
      <c r="I56" s="87">
        <f t="shared" si="0"/>
        <v>6272000</v>
      </c>
    </row>
    <row r="57" spans="1:15" ht="18.75" hidden="1" x14ac:dyDescent="0.45">
      <c r="A57" s="80">
        <v>3.9</v>
      </c>
      <c r="B57" s="80"/>
      <c r="C57" s="85">
        <f>IFERROR(VLOOKUP($A57,GanttChart!$A:$JD,2,FALSE),"خطا")</f>
        <v>0</v>
      </c>
      <c r="D57" s="86">
        <f>IFERROR(VLOOKUP($A57,GanttChart!$A:$JD,261,FALSE),0)</f>
        <v>0</v>
      </c>
      <c r="E57" s="86">
        <f>IFERROR(VLOOKUP($A57,GanttChart!$A:$JD,262,FALSE),0)</f>
        <v>0</v>
      </c>
      <c r="F57" s="86">
        <f>IFERROR(VLOOKUP($A57,GanttChart!$A:$JD,263,FALSE),0)</f>
        <v>0</v>
      </c>
      <c r="G57" s="87">
        <f>IFERROR(VLOOKUP($A57,GanttChart!$A:$JD,264,FALSE),0)</f>
        <v>0</v>
      </c>
      <c r="H57" s="88"/>
      <c r="I57" s="87">
        <f t="shared" si="0"/>
        <v>0</v>
      </c>
    </row>
    <row r="58" spans="1:15" ht="18.75" hidden="1" x14ac:dyDescent="0.45">
      <c r="A58" s="80">
        <v>3.11</v>
      </c>
      <c r="B58" s="80"/>
      <c r="C58" s="85">
        <f>IFERROR(VLOOKUP($A58,GanttChart!$A:$JD,2,FALSE),"خطا")</f>
        <v>0</v>
      </c>
      <c r="D58" s="86">
        <f>IFERROR(VLOOKUP($A58,GanttChart!$A:$JD,261,FALSE),0)</f>
        <v>0</v>
      </c>
      <c r="E58" s="86">
        <f>IFERROR(VLOOKUP($A58,GanttChart!$A:$JD,262,FALSE),0)</f>
        <v>0</v>
      </c>
      <c r="F58" s="86">
        <f>IFERROR(VLOOKUP($A58,GanttChart!$A:$JD,263,FALSE),0)</f>
        <v>0</v>
      </c>
      <c r="G58" s="87">
        <f>IFERROR(VLOOKUP($A58,GanttChart!$A:$JD,264,FALSE),0)</f>
        <v>0</v>
      </c>
      <c r="H58" s="88"/>
      <c r="I58" s="87">
        <f t="shared" si="0"/>
        <v>0</v>
      </c>
    </row>
    <row r="59" spans="1:15" ht="18.75" hidden="1" x14ac:dyDescent="0.45">
      <c r="A59" s="80">
        <v>3.12</v>
      </c>
      <c r="B59" s="80"/>
      <c r="C59" s="85">
        <f>IFERROR(VLOOKUP($A59,GanttChart!$A:$JD,2,FALSE),"خطا")</f>
        <v>0</v>
      </c>
      <c r="D59" s="86">
        <f>IFERROR(VLOOKUP($A59,GanttChart!$A:$JD,261,FALSE),0)</f>
        <v>0</v>
      </c>
      <c r="E59" s="86">
        <f>IFERROR(VLOOKUP($A59,GanttChart!$A:$JD,262,FALSE),0)</f>
        <v>0</v>
      </c>
      <c r="F59" s="86">
        <f>IFERROR(VLOOKUP($A59,GanttChart!$A:$JD,263,FALSE),0)</f>
        <v>0</v>
      </c>
      <c r="G59" s="87">
        <f>IFERROR(VLOOKUP($A59,GanttChart!$A:$JD,264,FALSE),0)</f>
        <v>0</v>
      </c>
      <c r="H59" s="88"/>
      <c r="I59" s="87">
        <f t="shared" si="0"/>
        <v>0</v>
      </c>
    </row>
    <row r="60" spans="1:15" ht="18.75" hidden="1" x14ac:dyDescent="0.45">
      <c r="A60" s="80">
        <v>3.13</v>
      </c>
      <c r="B60" s="80"/>
      <c r="C60" s="85">
        <f>IFERROR(VLOOKUP($A60,GanttChart!$A:$JD,2,FALSE),"خطا")</f>
        <v>0</v>
      </c>
      <c r="D60" s="86">
        <f>IFERROR(VLOOKUP($A60,GanttChart!$A:$JD,261,FALSE),0)</f>
        <v>0</v>
      </c>
      <c r="E60" s="86">
        <f>IFERROR(VLOOKUP($A60,GanttChart!$A:$JD,262,FALSE),0)</f>
        <v>0</v>
      </c>
      <c r="F60" s="86">
        <f>IFERROR(VLOOKUP($A60,GanttChart!$A:$JD,263,FALSE),0)</f>
        <v>0</v>
      </c>
      <c r="G60" s="87">
        <f>IFERROR(VLOOKUP($A60,GanttChart!$A:$JD,264,FALSE),0)</f>
        <v>0</v>
      </c>
      <c r="H60" s="88"/>
      <c r="I60" s="87">
        <f t="shared" si="0"/>
        <v>0</v>
      </c>
    </row>
    <row r="61" spans="1:15" ht="18.75" hidden="1" x14ac:dyDescent="0.45">
      <c r="A61" s="80">
        <v>3.14</v>
      </c>
      <c r="B61" s="80"/>
      <c r="C61" s="85">
        <f>IFERROR(VLOOKUP($A61,GanttChart!$A:$JD,2,FALSE),"خطا")</f>
        <v>0</v>
      </c>
      <c r="D61" s="86">
        <f>IFERROR(VLOOKUP($A61,GanttChart!$A:$JD,261,FALSE),0)</f>
        <v>0</v>
      </c>
      <c r="E61" s="86">
        <f>IFERROR(VLOOKUP($A61,GanttChart!$A:$JD,262,FALSE),0)</f>
        <v>0</v>
      </c>
      <c r="F61" s="86">
        <f>IFERROR(VLOOKUP($A61,GanttChart!$A:$JD,263,FALSE),0)</f>
        <v>0</v>
      </c>
      <c r="G61" s="87">
        <f>IFERROR(VLOOKUP($A61,GanttChart!$A:$JD,264,FALSE),0)</f>
        <v>0</v>
      </c>
      <c r="H61" s="88"/>
      <c r="I61" s="87">
        <f t="shared" si="0"/>
        <v>0</v>
      </c>
    </row>
    <row r="62" spans="1:15" ht="18.75" hidden="1" x14ac:dyDescent="0.45">
      <c r="A62" s="80">
        <v>3.15</v>
      </c>
      <c r="B62" s="80"/>
      <c r="C62" s="85">
        <f>IFERROR(VLOOKUP($A62,GanttChart!$A:$JD,2,FALSE),"خطا")</f>
        <v>0</v>
      </c>
      <c r="D62" s="86">
        <f>IFERROR(VLOOKUP($A62,GanttChart!$A:$JD,261,FALSE),0)</f>
        <v>0</v>
      </c>
      <c r="E62" s="86">
        <f>IFERROR(VLOOKUP($A62,GanttChart!$A:$JD,262,FALSE),0)</f>
        <v>0</v>
      </c>
      <c r="F62" s="86">
        <f>IFERROR(VLOOKUP($A62,GanttChart!$A:$JD,263,FALSE),0)</f>
        <v>0</v>
      </c>
      <c r="G62" s="87">
        <f>IFERROR(VLOOKUP($A62,GanttChart!$A:$JD,264,FALSE),0)</f>
        <v>0</v>
      </c>
      <c r="H62" s="88"/>
      <c r="I62" s="87">
        <f t="shared" si="0"/>
        <v>0</v>
      </c>
    </row>
    <row r="63" spans="1:15" ht="18.75" hidden="1" x14ac:dyDescent="0.45">
      <c r="A63" s="80">
        <v>3.16</v>
      </c>
      <c r="B63" s="80"/>
      <c r="C63" s="85">
        <f>IFERROR(VLOOKUP($A63,GanttChart!$A:$JD,2,FALSE),"خطا")</f>
        <v>0</v>
      </c>
      <c r="D63" s="86">
        <f>IFERROR(VLOOKUP($A63,GanttChart!$A:$JD,261,FALSE),0)</f>
        <v>0</v>
      </c>
      <c r="E63" s="86">
        <f>IFERROR(VLOOKUP($A63,GanttChart!$A:$JD,262,FALSE),0)</f>
        <v>0</v>
      </c>
      <c r="F63" s="86">
        <f>IFERROR(VLOOKUP($A63,GanttChart!$A:$JD,263,FALSE),0)</f>
        <v>0</v>
      </c>
      <c r="G63" s="87">
        <f>IFERROR(VLOOKUP($A63,GanttChart!$A:$JD,264,FALSE),0)</f>
        <v>0</v>
      </c>
      <c r="H63" s="88"/>
      <c r="I63" s="87">
        <f t="shared" si="0"/>
        <v>0</v>
      </c>
    </row>
    <row r="64" spans="1:15" ht="18.75" hidden="1" x14ac:dyDescent="0.45">
      <c r="A64" s="80">
        <v>3.17</v>
      </c>
      <c r="B64" s="80"/>
      <c r="C64" s="85">
        <f>IFERROR(VLOOKUP($A64,GanttChart!$A:$JD,2,FALSE),"خطا")</f>
        <v>0</v>
      </c>
      <c r="D64" s="86">
        <f>IFERROR(VLOOKUP($A64,GanttChart!$A:$JD,261,FALSE),0)</f>
        <v>0</v>
      </c>
      <c r="E64" s="86">
        <f>IFERROR(VLOOKUP($A64,GanttChart!$A:$JD,262,FALSE),0)</f>
        <v>0</v>
      </c>
      <c r="F64" s="86">
        <f>IFERROR(VLOOKUP($A64,GanttChart!$A:$JD,263,FALSE),0)</f>
        <v>0</v>
      </c>
      <c r="G64" s="87">
        <f>IFERROR(VLOOKUP($A64,GanttChart!$A:$JD,264,FALSE),0)</f>
        <v>0</v>
      </c>
      <c r="H64" s="88"/>
      <c r="I64" s="87">
        <f t="shared" si="0"/>
        <v>0</v>
      </c>
    </row>
    <row r="65" spans="1:9" ht="18.75" hidden="1" x14ac:dyDescent="0.45">
      <c r="A65" s="80">
        <v>3.18</v>
      </c>
      <c r="B65" s="80"/>
      <c r="C65" s="85">
        <f>IFERROR(VLOOKUP($A65,GanttChart!$A:$JD,2,FALSE),"خطا")</f>
        <v>0</v>
      </c>
      <c r="D65" s="86">
        <f>IFERROR(VLOOKUP($A65,GanttChart!$A:$JD,261,FALSE),0)</f>
        <v>0</v>
      </c>
      <c r="E65" s="86">
        <f>IFERROR(VLOOKUP($A65,GanttChart!$A:$JD,262,FALSE),0)</f>
        <v>0</v>
      </c>
      <c r="F65" s="86">
        <f>IFERROR(VLOOKUP($A65,GanttChart!$A:$JD,263,FALSE),0)</f>
        <v>0</v>
      </c>
      <c r="G65" s="87">
        <f>IFERROR(VLOOKUP($A65,GanttChart!$A:$JD,264,FALSE),0)</f>
        <v>0</v>
      </c>
      <c r="H65" s="88"/>
      <c r="I65" s="87">
        <f t="shared" si="0"/>
        <v>0</v>
      </c>
    </row>
    <row r="66" spans="1:9" ht="18.75" hidden="1" x14ac:dyDescent="0.45">
      <c r="A66" s="80">
        <v>3.19</v>
      </c>
      <c r="B66" s="80"/>
      <c r="C66" s="85">
        <f>IFERROR(VLOOKUP($A66,GanttChart!$A:$JD,2,FALSE),"خطا")</f>
        <v>0</v>
      </c>
      <c r="D66" s="86">
        <f>IFERROR(VLOOKUP($A66,GanttChart!$A:$JD,261,FALSE),0)</f>
        <v>0</v>
      </c>
      <c r="E66" s="86">
        <f>IFERROR(VLOOKUP($A66,GanttChart!$A:$JD,262,FALSE),0)</f>
        <v>0</v>
      </c>
      <c r="F66" s="86">
        <f>IFERROR(VLOOKUP($A66,GanttChart!$A:$JD,263,FALSE),0)</f>
        <v>0</v>
      </c>
      <c r="G66" s="87">
        <f>IFERROR(VLOOKUP($A66,GanttChart!$A:$JD,264,FALSE),0)</f>
        <v>0</v>
      </c>
      <c r="H66" s="88"/>
      <c r="I66" s="87">
        <f t="shared" si="0"/>
        <v>0</v>
      </c>
    </row>
    <row r="67" spans="1:9" ht="18.75" hidden="1" x14ac:dyDescent="0.45">
      <c r="A67" s="80">
        <v>3.21</v>
      </c>
      <c r="B67" s="80"/>
      <c r="C67" s="85">
        <f>IFERROR(VLOOKUP($A67,GanttChart!$A:$JD,2,FALSE),"خطا")</f>
        <v>0</v>
      </c>
      <c r="D67" s="86">
        <f>IFERROR(VLOOKUP($A67,GanttChart!$A:$JD,261,FALSE),0)</f>
        <v>0</v>
      </c>
      <c r="E67" s="86">
        <f>IFERROR(VLOOKUP($A67,GanttChart!$A:$JD,262,FALSE),0)</f>
        <v>0</v>
      </c>
      <c r="F67" s="86">
        <f>IFERROR(VLOOKUP($A67,GanttChart!$A:$JD,263,FALSE),0)</f>
        <v>0</v>
      </c>
      <c r="G67" s="87">
        <f>IFERROR(VLOOKUP($A67,GanttChart!$A:$JD,264,FALSE),0)</f>
        <v>0</v>
      </c>
      <c r="H67" s="88"/>
      <c r="I67" s="87">
        <f t="shared" si="0"/>
        <v>0</v>
      </c>
    </row>
    <row r="68" spans="1:9" ht="18.75" hidden="1" x14ac:dyDescent="0.45">
      <c r="A68" s="80">
        <v>3.22</v>
      </c>
      <c r="B68" s="80"/>
      <c r="C68" s="85">
        <f>IFERROR(VLOOKUP($A68,GanttChart!$A:$JD,2,FALSE),"خطا")</f>
        <v>0</v>
      </c>
      <c r="D68" s="86">
        <f>IFERROR(VLOOKUP($A68,GanttChart!$A:$JD,261,FALSE),0)</f>
        <v>0</v>
      </c>
      <c r="E68" s="86">
        <f>IFERROR(VLOOKUP($A68,GanttChart!$A:$JD,262,FALSE),0)</f>
        <v>0</v>
      </c>
      <c r="F68" s="86">
        <f>IFERROR(VLOOKUP($A68,GanttChart!$A:$JD,263,FALSE),0)</f>
        <v>0</v>
      </c>
      <c r="G68" s="87">
        <f>IFERROR(VLOOKUP($A68,GanttChart!$A:$JD,264,FALSE),0)</f>
        <v>0</v>
      </c>
      <c r="H68" s="88"/>
      <c r="I68" s="87">
        <f t="shared" si="0"/>
        <v>0</v>
      </c>
    </row>
    <row r="69" spans="1:9" ht="18.75" hidden="1" x14ac:dyDescent="0.45">
      <c r="A69" s="80">
        <v>3.23</v>
      </c>
      <c r="B69" s="80"/>
      <c r="C69" s="85">
        <f>IFERROR(VLOOKUP($A69,GanttChart!$A:$JD,2,FALSE),"خطا")</f>
        <v>0</v>
      </c>
      <c r="D69" s="86">
        <f>IFERROR(VLOOKUP($A69,GanttChart!$A:$JD,261,FALSE),0)</f>
        <v>0</v>
      </c>
      <c r="E69" s="86">
        <f>IFERROR(VLOOKUP($A69,GanttChart!$A:$JD,262,FALSE),0)</f>
        <v>0</v>
      </c>
      <c r="F69" s="86">
        <f>IFERROR(VLOOKUP($A69,GanttChart!$A:$JD,263,FALSE),0)</f>
        <v>0</v>
      </c>
      <c r="G69" s="87">
        <f>IFERROR(VLOOKUP($A69,GanttChart!$A:$JD,264,FALSE),0)</f>
        <v>0</v>
      </c>
      <c r="H69" s="88"/>
      <c r="I69" s="87">
        <f t="shared" si="0"/>
        <v>0</v>
      </c>
    </row>
    <row r="70" spans="1:9" ht="31.5" x14ac:dyDescent="0.45">
      <c r="A70" s="80">
        <v>4</v>
      </c>
      <c r="B70" s="80"/>
      <c r="C70" s="85" t="str">
        <f>IFERROR(VLOOKUP($A70,GanttChart!$A:$JD,2,FALSE),"خطا")</f>
        <v>ارائه خدمات اجرایی موضوع ردیف 2 جدول ب قرارداد (طراحی گرافیکی ویژه)</v>
      </c>
      <c r="D70" s="86">
        <f>SUM(D71:D91)</f>
        <v>8.3333333333333329E-2</v>
      </c>
      <c r="E70" s="86">
        <f>SUM(E71:E91)</f>
        <v>0.41666666666666663</v>
      </c>
      <c r="F70" s="86">
        <f>SUM(F71:F91)</f>
        <v>1.3333333333333333</v>
      </c>
      <c r="G70" s="87">
        <f>SUM(G71:G91)</f>
        <v>29320000</v>
      </c>
      <c r="H70" s="244"/>
      <c r="I70" s="87">
        <f t="shared" si="0"/>
        <v>29320000</v>
      </c>
    </row>
    <row r="71" spans="1:9" ht="18.75" hidden="1" x14ac:dyDescent="0.45">
      <c r="A71" s="80">
        <v>4.0999999999999996</v>
      </c>
      <c r="B71" s="80"/>
      <c r="C71" s="85" t="str">
        <f>IFERROR(VLOOKUP($A71,GanttChart!$A:$JD,2,FALSE),"خطا")</f>
        <v xml:space="preserve">ارائه پرسش نامه نیاز سنجی محتوایی و  طراحی گرافیکی پورتال اصلی  </v>
      </c>
      <c r="D71" s="86">
        <f>IFERROR(VLOOKUP($A71,GanttChart!$A:$JD,261,FALSE),0)</f>
        <v>8.3333333333333329E-2</v>
      </c>
      <c r="E71" s="86">
        <f>IFERROR(VLOOKUP($A71,GanttChart!$A:$JD,262,FALSE),0)</f>
        <v>0.16666666666666666</v>
      </c>
      <c r="F71" s="86">
        <f>IFERROR(VLOOKUP($A71,GanttChart!$A:$JD,263,FALSE),0)</f>
        <v>0.33333333333333331</v>
      </c>
      <c r="G71" s="87">
        <f>IFERROR(VLOOKUP($A71,GanttChart!$A:$JD,264,FALSE),0)</f>
        <v>10504000</v>
      </c>
      <c r="H71" s="88"/>
      <c r="I71" s="87">
        <f t="shared" si="0"/>
        <v>10504000</v>
      </c>
    </row>
    <row r="72" spans="1:9" ht="31.5" hidden="1" x14ac:dyDescent="0.45">
      <c r="A72" s="80">
        <v>4.2</v>
      </c>
      <c r="B72" s="80"/>
      <c r="C72" s="85" t="str">
        <f>IFERROR(VLOOKUP($A72,GanttChart!$A:$JD,2,FALSE),"خطا")</f>
        <v>تکميل و ارائه پرسش نامه نیاز سنجی محتوایی و طراحی گرافیکی توسط کارفرما</v>
      </c>
      <c r="D72" s="86">
        <f>IFERROR(VLOOKUP($A72,GanttChart!$A:$JD,261,FALSE),0)</f>
        <v>0</v>
      </c>
      <c r="E72" s="86">
        <f>IFERROR(VLOOKUP($A72,GanttChart!$A:$JD,262,FALSE),0)</f>
        <v>0</v>
      </c>
      <c r="F72" s="86">
        <f>IFERROR(VLOOKUP($A72,GanttChart!$A:$JD,263,FALSE),0)</f>
        <v>0</v>
      </c>
      <c r="G72" s="87">
        <f>IFERROR(VLOOKUP($A72,GanttChart!$A:$JD,264,FALSE),0)</f>
        <v>0</v>
      </c>
      <c r="H72" s="88"/>
      <c r="I72" s="87">
        <f t="shared" si="0"/>
        <v>0</v>
      </c>
    </row>
    <row r="73" spans="1:9" ht="18.75" hidden="1" x14ac:dyDescent="0.45">
      <c r="A73" s="80">
        <v>4.3</v>
      </c>
      <c r="B73" s="80"/>
      <c r="C73" s="85" t="str">
        <f>IFERROR(VLOOKUP($A73,GanttChart!$A:$JD,2,FALSE),"خطا")</f>
        <v>جمع بندی نيازمنديهای گرافیکی و تهیه طرح چیدمان و اخذ تایید از کارفرما</v>
      </c>
      <c r="D73" s="86">
        <f>IFERROR(VLOOKUP($A73,GanttChart!$A:$JD,261,FALSE),0)</f>
        <v>0</v>
      </c>
      <c r="E73" s="86">
        <f>IFERROR(VLOOKUP($A73,GanttChart!$A:$JD,262,FALSE),0)</f>
        <v>0.16666666666666666</v>
      </c>
      <c r="F73" s="86">
        <f>IFERROR(VLOOKUP($A73,GanttChart!$A:$JD,263,FALSE),0)</f>
        <v>0.66666666666666663</v>
      </c>
      <c r="G73" s="87">
        <f>IFERROR(VLOOKUP($A73,GanttChart!$A:$JD,264,FALSE),0)</f>
        <v>12544000</v>
      </c>
      <c r="H73" s="88"/>
      <c r="I73" s="87">
        <f t="shared" si="0"/>
        <v>12544000</v>
      </c>
    </row>
    <row r="74" spans="1:9" ht="18.75" hidden="1" x14ac:dyDescent="0.45">
      <c r="A74" s="80">
        <v>4.4000000000000004</v>
      </c>
      <c r="B74" s="80"/>
      <c r="C74" s="85" t="str">
        <f>IFERROR(VLOOKUP($A74,GanttChart!$A:$JD,2,FALSE),"خطا")</f>
        <v xml:space="preserve">طراحي قالب گرافيکي پورتال اصلی </v>
      </c>
      <c r="D74" s="86">
        <f>IFERROR(VLOOKUP($A74,GanttChart!$A:$JD,261,FALSE),0)</f>
        <v>0</v>
      </c>
      <c r="E74" s="86">
        <f>IFERROR(VLOOKUP($A74,GanttChart!$A:$JD,262,FALSE),0)</f>
        <v>8.3333333333333329E-2</v>
      </c>
      <c r="F74" s="86">
        <f>IFERROR(VLOOKUP($A74,GanttChart!$A:$JD,263,FALSE),0)</f>
        <v>0.33333333333333331</v>
      </c>
      <c r="G74" s="87">
        <f>IFERROR(VLOOKUP($A74,GanttChart!$A:$JD,264,FALSE),0)</f>
        <v>6272000</v>
      </c>
      <c r="H74" s="88"/>
      <c r="I74" s="87">
        <f t="shared" si="0"/>
        <v>6272000</v>
      </c>
    </row>
    <row r="75" spans="1:9" ht="31.5" hidden="1" x14ac:dyDescent="0.45">
      <c r="A75" s="80">
        <v>4.5</v>
      </c>
      <c r="B75" s="80"/>
      <c r="C75" s="85" t="str">
        <f>IFERROR(VLOOKUP($A75,GanttChart!$A:$JD,2,FALSE),"خطا")</f>
        <v xml:space="preserve">بررسی، ارائه نظرات اصلاحی(حداکثر طی دو نوبت) و تایید طرح گرافیکی توسط کارفرما </v>
      </c>
      <c r="D75" s="86">
        <f>IFERROR(VLOOKUP($A75,GanttChart!$A:$JD,261,FALSE),0)</f>
        <v>0</v>
      </c>
      <c r="E75" s="86">
        <f>IFERROR(VLOOKUP($A75,GanttChart!$A:$JD,262,FALSE),0)</f>
        <v>0</v>
      </c>
      <c r="F75" s="86">
        <f>IFERROR(VLOOKUP($A75,GanttChart!$A:$JD,263,FALSE),0)</f>
        <v>0</v>
      </c>
      <c r="G75" s="87">
        <f>IFERROR(VLOOKUP($A75,GanttChart!$A:$JD,264,FALSE),0)</f>
        <v>0</v>
      </c>
      <c r="H75" s="88"/>
      <c r="I75" s="87">
        <f t="shared" si="0"/>
        <v>0</v>
      </c>
    </row>
    <row r="76" spans="1:9" ht="18.75" hidden="1" x14ac:dyDescent="0.45">
      <c r="A76" s="80">
        <v>4.5999999999999996</v>
      </c>
      <c r="B76" s="80"/>
      <c r="C76" s="85" t="str">
        <f>IFERROR(VLOOKUP($A76,GanttChart!$A:$JD,2,FALSE),"خطا")</f>
        <v>اصلاح طرح گرافیکی براساس نظرات کارفرما</v>
      </c>
      <c r="D76" s="86">
        <f>IFERROR(VLOOKUP($A76,GanttChart!$A:$JD,261,FALSE),0)</f>
        <v>0</v>
      </c>
      <c r="E76" s="86">
        <f>IFERROR(VLOOKUP($A76,GanttChart!$A:$JD,262,FALSE),0)</f>
        <v>0</v>
      </c>
      <c r="F76" s="86">
        <f>IFERROR(VLOOKUP($A76,GanttChart!$A:$JD,263,FALSE),0)</f>
        <v>0</v>
      </c>
      <c r="G76" s="87">
        <f>IFERROR(VLOOKUP($A76,GanttChart!$A:$JD,264,FALSE),0)</f>
        <v>0</v>
      </c>
      <c r="H76" s="88"/>
      <c r="I76" s="87">
        <f t="shared" si="0"/>
        <v>0</v>
      </c>
    </row>
    <row r="77" spans="1:9" ht="18.75" hidden="1" x14ac:dyDescent="0.45">
      <c r="A77" s="80">
        <v>4.7</v>
      </c>
      <c r="B77" s="80"/>
      <c r="C77" s="85" t="str">
        <f>IFERROR(VLOOKUP($A77,GanttChart!$A:$JD,2,FALSE),"خطا")</f>
        <v>پياده سازي نمای گرافیکی پورتال اصلی و صفحات  اصلی زیر پورتال ها</v>
      </c>
      <c r="D77" s="86">
        <f>IFERROR(VLOOKUP($A77,GanttChart!$A:$JD,261,FALSE),0)</f>
        <v>0</v>
      </c>
      <c r="E77" s="86">
        <f>IFERROR(VLOOKUP($A77,GanttChart!$A:$JD,262,FALSE),0)</f>
        <v>0</v>
      </c>
      <c r="F77" s="86">
        <f>IFERROR(VLOOKUP($A77,GanttChart!$A:$JD,263,FALSE),0)</f>
        <v>0</v>
      </c>
      <c r="G77" s="87">
        <f>IFERROR(VLOOKUP($A77,GanttChart!$A:$JD,264,FALSE),0)</f>
        <v>0</v>
      </c>
      <c r="H77" s="88"/>
      <c r="I77" s="87">
        <f t="shared" si="0"/>
        <v>0</v>
      </c>
    </row>
    <row r="78" spans="1:9" ht="18.75" hidden="1" x14ac:dyDescent="0.45">
      <c r="A78" s="80">
        <v>4.8</v>
      </c>
      <c r="B78" s="80"/>
      <c r="C78" s="85" t="str">
        <f>IFERROR(VLOOKUP($A78,GanttChart!$A:$JD,2,FALSE),"خطا")</f>
        <v>انجام فرآیند کنترل کیفی نمای گرافیکی پورتال اصلی و زیر پورتال ها</v>
      </c>
      <c r="D78" s="86">
        <f>IFERROR(VLOOKUP($A78,GanttChart!$A:$JD,261,FALSE),0)</f>
        <v>0</v>
      </c>
      <c r="E78" s="86">
        <f>IFERROR(VLOOKUP($A78,GanttChart!$A:$JD,262,FALSE),0)</f>
        <v>0</v>
      </c>
      <c r="F78" s="86">
        <f>IFERROR(VLOOKUP($A78,GanttChart!$A:$JD,263,FALSE),0)</f>
        <v>0</v>
      </c>
      <c r="G78" s="87">
        <f>IFERROR(VLOOKUP($A78,GanttChart!$A:$JD,264,FALSE),0)</f>
        <v>0</v>
      </c>
      <c r="H78" s="88"/>
      <c r="I78" s="87">
        <f t="shared" si="0"/>
        <v>0</v>
      </c>
    </row>
    <row r="79" spans="1:9" ht="18.75" hidden="1" x14ac:dyDescent="0.45">
      <c r="A79" s="80">
        <v>4.9000000000000004</v>
      </c>
      <c r="B79" s="80"/>
      <c r="C79" s="85">
        <f>IFERROR(VLOOKUP($A79,GanttChart!$A:$JD,2,FALSE),"خطا")</f>
        <v>0</v>
      </c>
      <c r="D79" s="86">
        <f>IFERROR(VLOOKUP($A79,GanttChart!$A:$JD,261,FALSE),0)</f>
        <v>0</v>
      </c>
      <c r="E79" s="86">
        <f>IFERROR(VLOOKUP($A79,GanttChart!$A:$JD,262,FALSE),0)</f>
        <v>0</v>
      </c>
      <c r="F79" s="86">
        <f>IFERROR(VLOOKUP($A79,GanttChart!$A:$JD,263,FALSE),0)</f>
        <v>0</v>
      </c>
      <c r="G79" s="87">
        <f>IFERROR(VLOOKUP($A79,GanttChart!$A:$JD,264,FALSE),0)</f>
        <v>0</v>
      </c>
      <c r="H79" s="88"/>
      <c r="I79" s="87">
        <f t="shared" si="0"/>
        <v>0</v>
      </c>
    </row>
    <row r="80" spans="1:9" ht="18.75" hidden="1" x14ac:dyDescent="0.45">
      <c r="A80" s="80">
        <v>4.1100000000000003</v>
      </c>
      <c r="B80" s="80"/>
      <c r="C80" s="85">
        <f>IFERROR(VLOOKUP($A80,GanttChart!$A:$JD,2,FALSE),"خطا")</f>
        <v>0</v>
      </c>
      <c r="D80" s="86">
        <f>IFERROR(VLOOKUP($A80,GanttChart!$A:$JD,261,FALSE),0)</f>
        <v>0</v>
      </c>
      <c r="E80" s="86">
        <f>IFERROR(VLOOKUP($A80,GanttChart!$A:$JD,262,FALSE),0)</f>
        <v>0</v>
      </c>
      <c r="F80" s="86">
        <f>IFERROR(VLOOKUP($A80,GanttChart!$A:$JD,263,FALSE),0)</f>
        <v>0</v>
      </c>
      <c r="G80" s="87">
        <f>IFERROR(VLOOKUP($A80,GanttChart!$A:$JD,264,FALSE),0)</f>
        <v>0</v>
      </c>
      <c r="H80" s="88"/>
      <c r="I80" s="87">
        <f t="shared" si="0"/>
        <v>0</v>
      </c>
    </row>
    <row r="81" spans="1:12" ht="18.75" hidden="1" x14ac:dyDescent="0.45">
      <c r="A81" s="80">
        <v>4.12</v>
      </c>
      <c r="B81" s="80"/>
      <c r="C81" s="85">
        <f>IFERROR(VLOOKUP($A81,GanttChart!$A:$JD,2,FALSE),"خطا")</f>
        <v>0</v>
      </c>
      <c r="D81" s="86">
        <f>IFERROR(VLOOKUP($A81,GanttChart!$A:$JD,261,FALSE),0)</f>
        <v>0</v>
      </c>
      <c r="E81" s="86">
        <f>IFERROR(VLOOKUP($A81,GanttChart!$A:$JD,262,FALSE),0)</f>
        <v>0</v>
      </c>
      <c r="F81" s="86">
        <f>IFERROR(VLOOKUP($A81,GanttChart!$A:$JD,263,FALSE),0)</f>
        <v>0</v>
      </c>
      <c r="G81" s="87">
        <f>IFERROR(VLOOKUP($A81,GanttChart!$A:$JD,264,FALSE),0)</f>
        <v>0</v>
      </c>
      <c r="H81" s="88"/>
      <c r="I81" s="87">
        <f t="shared" si="0"/>
        <v>0</v>
      </c>
    </row>
    <row r="82" spans="1:12" ht="18.75" hidden="1" x14ac:dyDescent="0.45">
      <c r="A82" s="80">
        <v>4.13</v>
      </c>
      <c r="B82" s="80"/>
      <c r="C82" s="85">
        <f>IFERROR(VLOOKUP($A82,GanttChart!$A:$JD,2,FALSE),"خطا")</f>
        <v>0</v>
      </c>
      <c r="D82" s="86">
        <f>IFERROR(VLOOKUP($A82,GanttChart!$A:$JD,261,FALSE),0)</f>
        <v>0</v>
      </c>
      <c r="E82" s="86">
        <f>IFERROR(VLOOKUP($A82,GanttChart!$A:$JD,262,FALSE),0)</f>
        <v>0</v>
      </c>
      <c r="F82" s="86">
        <f>IFERROR(VLOOKUP($A82,GanttChart!$A:$JD,263,FALSE),0)</f>
        <v>0</v>
      </c>
      <c r="G82" s="87">
        <f>IFERROR(VLOOKUP($A82,GanttChart!$A:$JD,264,FALSE),0)</f>
        <v>0</v>
      </c>
      <c r="H82" s="88"/>
      <c r="I82" s="87">
        <f t="shared" si="0"/>
        <v>0</v>
      </c>
    </row>
    <row r="83" spans="1:12" ht="18.75" hidden="1" x14ac:dyDescent="0.45">
      <c r="A83" s="80">
        <v>4.1399999999999997</v>
      </c>
      <c r="B83" s="80"/>
      <c r="C83" s="85">
        <f>IFERROR(VLOOKUP($A83,GanttChart!$A:$JD,2,FALSE),"خطا")</f>
        <v>0</v>
      </c>
      <c r="D83" s="86">
        <f>IFERROR(VLOOKUP($A83,GanttChart!$A:$JD,261,FALSE),0)</f>
        <v>0</v>
      </c>
      <c r="E83" s="86">
        <f>IFERROR(VLOOKUP($A83,GanttChart!$A:$JD,262,FALSE),0)</f>
        <v>0</v>
      </c>
      <c r="F83" s="86">
        <f>IFERROR(VLOOKUP($A83,GanttChart!$A:$JD,263,FALSE),0)</f>
        <v>0</v>
      </c>
      <c r="G83" s="87">
        <f>IFERROR(VLOOKUP($A83,GanttChart!$A:$JD,264,FALSE),0)</f>
        <v>0</v>
      </c>
      <c r="H83" s="88"/>
      <c r="I83" s="87">
        <f t="shared" si="0"/>
        <v>0</v>
      </c>
    </row>
    <row r="84" spans="1:12" ht="18.75" hidden="1" x14ac:dyDescent="0.45">
      <c r="A84" s="80">
        <v>4.1500000000000004</v>
      </c>
      <c r="B84" s="80"/>
      <c r="C84" s="85">
        <f>IFERROR(VLOOKUP($A84,GanttChart!$A:$JD,2,FALSE),"خطا")</f>
        <v>0</v>
      </c>
      <c r="D84" s="86">
        <f>IFERROR(VLOOKUP($A84,GanttChart!$A:$JD,261,FALSE),0)</f>
        <v>0</v>
      </c>
      <c r="E84" s="86">
        <f>IFERROR(VLOOKUP($A84,GanttChart!$A:$JD,262,FALSE),0)</f>
        <v>0</v>
      </c>
      <c r="F84" s="86">
        <f>IFERROR(VLOOKUP($A84,GanttChart!$A:$JD,263,FALSE),0)</f>
        <v>0</v>
      </c>
      <c r="G84" s="87">
        <f>IFERROR(VLOOKUP($A84,GanttChart!$A:$JD,264,FALSE),0)</f>
        <v>0</v>
      </c>
      <c r="H84" s="88"/>
      <c r="I84" s="87">
        <f t="shared" si="0"/>
        <v>0</v>
      </c>
    </row>
    <row r="85" spans="1:12" ht="18.75" hidden="1" x14ac:dyDescent="0.45">
      <c r="A85" s="80">
        <v>4.16</v>
      </c>
      <c r="B85" s="80"/>
      <c r="C85" s="85">
        <f>IFERROR(VLOOKUP($A85,GanttChart!$A:$JD,2,FALSE),"خطا")</f>
        <v>0</v>
      </c>
      <c r="D85" s="86">
        <f>IFERROR(VLOOKUP($A85,GanttChart!$A:$JD,261,FALSE),0)</f>
        <v>0</v>
      </c>
      <c r="E85" s="86">
        <f>IFERROR(VLOOKUP($A85,GanttChart!$A:$JD,262,FALSE),0)</f>
        <v>0</v>
      </c>
      <c r="F85" s="86">
        <f>IFERROR(VLOOKUP($A85,GanttChart!$A:$JD,263,FALSE),0)</f>
        <v>0</v>
      </c>
      <c r="G85" s="87">
        <f>IFERROR(VLOOKUP($A85,GanttChart!$A:$JD,264,FALSE),0)</f>
        <v>0</v>
      </c>
      <c r="H85" s="88"/>
      <c r="I85" s="87">
        <f t="shared" si="0"/>
        <v>0</v>
      </c>
    </row>
    <row r="86" spans="1:12" ht="18.75" hidden="1" x14ac:dyDescent="0.45">
      <c r="A86" s="80">
        <v>4.17</v>
      </c>
      <c r="B86" s="80"/>
      <c r="C86" s="85">
        <f>IFERROR(VLOOKUP($A86,GanttChart!$A:$JD,2,FALSE),"خطا")</f>
        <v>0</v>
      </c>
      <c r="D86" s="86">
        <f>IFERROR(VLOOKUP($A86,GanttChart!$A:$JD,261,FALSE),0)</f>
        <v>0</v>
      </c>
      <c r="E86" s="86">
        <f>IFERROR(VLOOKUP($A86,GanttChart!$A:$JD,262,FALSE),0)</f>
        <v>0</v>
      </c>
      <c r="F86" s="86">
        <f>IFERROR(VLOOKUP($A86,GanttChart!$A:$JD,263,FALSE),0)</f>
        <v>0</v>
      </c>
      <c r="G86" s="87">
        <f>IFERROR(VLOOKUP($A86,GanttChart!$A:$JD,264,FALSE),0)</f>
        <v>0</v>
      </c>
      <c r="H86" s="88"/>
      <c r="I86" s="87">
        <f t="shared" si="0"/>
        <v>0</v>
      </c>
    </row>
    <row r="87" spans="1:12" ht="18.75" hidden="1" x14ac:dyDescent="0.45">
      <c r="A87" s="80">
        <v>4.18</v>
      </c>
      <c r="B87" s="80"/>
      <c r="C87" s="85">
        <f>IFERROR(VLOOKUP($A87,GanttChart!$A:$JD,2,FALSE),"خطا")</f>
        <v>0</v>
      </c>
      <c r="D87" s="86">
        <f>IFERROR(VLOOKUP($A87,GanttChart!$A:$JD,261,FALSE),0)</f>
        <v>0</v>
      </c>
      <c r="E87" s="86">
        <f>IFERROR(VLOOKUP($A87,GanttChart!$A:$JD,262,FALSE),0)</f>
        <v>0</v>
      </c>
      <c r="F87" s="86">
        <f>IFERROR(VLOOKUP($A87,GanttChart!$A:$JD,263,FALSE),0)</f>
        <v>0</v>
      </c>
      <c r="G87" s="87">
        <f>IFERROR(VLOOKUP($A87,GanttChart!$A:$JD,264,FALSE),0)</f>
        <v>0</v>
      </c>
      <c r="H87" s="88"/>
      <c r="I87" s="87">
        <f t="shared" si="0"/>
        <v>0</v>
      </c>
    </row>
    <row r="88" spans="1:12" ht="18.75" hidden="1" x14ac:dyDescent="0.45">
      <c r="A88" s="80">
        <v>4.1900000000000004</v>
      </c>
      <c r="B88" s="80"/>
      <c r="C88" s="85">
        <f>IFERROR(VLOOKUP($A88,GanttChart!$A:$JD,2,FALSE),"خطا")</f>
        <v>0</v>
      </c>
      <c r="D88" s="86">
        <f>IFERROR(VLOOKUP($A88,GanttChart!$A:$JD,261,FALSE),0)</f>
        <v>0</v>
      </c>
      <c r="E88" s="86">
        <f>IFERROR(VLOOKUP($A88,GanttChart!$A:$JD,262,FALSE),0)</f>
        <v>0</v>
      </c>
      <c r="F88" s="86">
        <f>IFERROR(VLOOKUP($A88,GanttChart!$A:$JD,263,FALSE),0)</f>
        <v>0</v>
      </c>
      <c r="G88" s="87">
        <f>IFERROR(VLOOKUP($A88,GanttChart!$A:$JD,264,FALSE),0)</f>
        <v>0</v>
      </c>
      <c r="H88" s="88"/>
      <c r="I88" s="87">
        <f t="shared" si="0"/>
        <v>0</v>
      </c>
    </row>
    <row r="89" spans="1:12" ht="18.75" hidden="1" x14ac:dyDescent="0.45">
      <c r="A89" s="80">
        <v>4.21</v>
      </c>
      <c r="B89" s="80"/>
      <c r="C89" s="85">
        <f>IFERROR(VLOOKUP($A89,GanttChart!$A:$JD,2,FALSE),"خطا")</f>
        <v>0</v>
      </c>
      <c r="D89" s="86">
        <f>IFERROR(VLOOKUP($A89,GanttChart!$A:$JD,261,FALSE),0)</f>
        <v>0</v>
      </c>
      <c r="E89" s="86">
        <f>IFERROR(VLOOKUP($A89,GanttChart!$A:$JD,262,FALSE),0)</f>
        <v>0</v>
      </c>
      <c r="F89" s="86">
        <f>IFERROR(VLOOKUP($A89,GanttChart!$A:$JD,263,FALSE),0)</f>
        <v>0</v>
      </c>
      <c r="G89" s="87">
        <f>IFERROR(VLOOKUP($A89,GanttChart!$A:$JD,264,FALSE),0)</f>
        <v>0</v>
      </c>
      <c r="H89" s="88"/>
      <c r="I89" s="87">
        <f t="shared" si="0"/>
        <v>0</v>
      </c>
    </row>
    <row r="90" spans="1:12" ht="18.75" hidden="1" x14ac:dyDescent="0.45">
      <c r="A90" s="80">
        <v>4.22</v>
      </c>
      <c r="B90" s="80"/>
      <c r="C90" s="85">
        <f>IFERROR(VLOOKUP($A90,GanttChart!$A:$JD,2,FALSE),"خطا")</f>
        <v>0</v>
      </c>
      <c r="D90" s="86">
        <f>IFERROR(VLOOKUP($A90,GanttChart!$A:$JD,261,FALSE),0)</f>
        <v>0</v>
      </c>
      <c r="E90" s="86">
        <f>IFERROR(VLOOKUP($A90,GanttChart!$A:$JD,262,FALSE),0)</f>
        <v>0</v>
      </c>
      <c r="F90" s="86">
        <f>IFERROR(VLOOKUP($A90,GanttChart!$A:$JD,263,FALSE),0)</f>
        <v>0</v>
      </c>
      <c r="G90" s="87">
        <f>IFERROR(VLOOKUP($A90,GanttChart!$A:$JD,264,FALSE),0)</f>
        <v>0</v>
      </c>
      <c r="H90" s="88"/>
      <c r="I90" s="87">
        <f t="shared" si="0"/>
        <v>0</v>
      </c>
    </row>
    <row r="91" spans="1:12" ht="18.75" hidden="1" x14ac:dyDescent="0.45">
      <c r="A91" s="80">
        <v>4.2300000000000004</v>
      </c>
      <c r="B91" s="80"/>
      <c r="C91" s="85">
        <f>IFERROR(VLOOKUP($A91,GanttChart!$A:$JD,2,FALSE),"خطا")</f>
        <v>0</v>
      </c>
      <c r="D91" s="86">
        <f>IFERROR(VLOOKUP($A91,GanttChart!$A:$JD,261,FALSE),0)</f>
        <v>0</v>
      </c>
      <c r="E91" s="86">
        <f>IFERROR(VLOOKUP($A91,GanttChart!$A:$JD,262,FALSE),0)</f>
        <v>0</v>
      </c>
      <c r="F91" s="86">
        <f>IFERROR(VLOOKUP($A91,GanttChart!$A:$JD,263,FALSE),0)</f>
        <v>0</v>
      </c>
      <c r="G91" s="87">
        <f>IFERROR(VLOOKUP($A91,GanttChart!$A:$JD,264,FALSE),0)</f>
        <v>0</v>
      </c>
      <c r="H91" s="88"/>
      <c r="I91" s="87">
        <f t="shared" si="0"/>
        <v>0</v>
      </c>
    </row>
    <row r="92" spans="1:12" ht="18.75" x14ac:dyDescent="0.45">
      <c r="A92" s="80">
        <v>5</v>
      </c>
      <c r="B92" s="80"/>
      <c r="C92" s="85" t="str">
        <f>IFERROR(VLOOKUP($A92,GanttChart!$A:$JD,2,FALSE),"خطا")</f>
        <v>سفارشی سازی محصول</v>
      </c>
      <c r="D92" s="86">
        <f>SUM(D93:D113)</f>
        <v>0</v>
      </c>
      <c r="E92" s="86">
        <f>SUM(E93:E113)</f>
        <v>0</v>
      </c>
      <c r="F92" s="86">
        <f>SUM(F93:F113)</f>
        <v>0</v>
      </c>
      <c r="G92" s="87">
        <f>SUM(G93:G113)</f>
        <v>0</v>
      </c>
      <c r="H92" s="244"/>
      <c r="I92" s="87">
        <f t="shared" si="0"/>
        <v>0</v>
      </c>
    </row>
    <row r="93" spans="1:12" ht="18.75" hidden="1" x14ac:dyDescent="0.45">
      <c r="A93" s="80">
        <v>5.0999999999999996</v>
      </c>
      <c r="C93" s="85">
        <f>IFERROR(VLOOKUP($A93,GanttChart!$A:$JD,2,FALSE),"خطا")</f>
        <v>0</v>
      </c>
      <c r="D93" s="86">
        <f>IFERROR(VLOOKUP($A93,GanttChart!$A:$JD,261,FALSE),0)</f>
        <v>0</v>
      </c>
      <c r="E93" s="86">
        <f>IFERROR(VLOOKUP($A93,GanttChart!$A:$JD,262,FALSE),0)</f>
        <v>0</v>
      </c>
      <c r="F93" s="86">
        <f>IFERROR(VLOOKUP($A93,GanttChart!$A:$JD,263,FALSE),0)</f>
        <v>0</v>
      </c>
      <c r="G93" s="87">
        <f>IFERROR(VLOOKUP($A93,GanttChart!$A:$JD,264,FALSE),0)</f>
        <v>0</v>
      </c>
      <c r="H93" s="88"/>
      <c r="I93" s="87">
        <f t="shared" si="0"/>
        <v>0</v>
      </c>
      <c r="K93" s="84"/>
      <c r="L93" s="90"/>
    </row>
    <row r="94" spans="1:12" ht="18.75" hidden="1" x14ac:dyDescent="0.45">
      <c r="A94" s="80">
        <v>5.2</v>
      </c>
      <c r="C94" s="85">
        <f>IFERROR(VLOOKUP($A94,GanttChart!$A:$JD,2,FALSE),"خطا")</f>
        <v>0</v>
      </c>
      <c r="D94" s="86">
        <f>IFERROR(VLOOKUP($A94,GanttChart!$A:$JD,261,FALSE),0)</f>
        <v>0</v>
      </c>
      <c r="E94" s="86">
        <f>IFERROR(VLOOKUP($A94,GanttChart!$A:$JD,262,FALSE),0)</f>
        <v>0</v>
      </c>
      <c r="F94" s="86">
        <f>IFERROR(VLOOKUP($A94,GanttChart!$A:$JD,263,FALSE),0)</f>
        <v>0</v>
      </c>
      <c r="G94" s="87">
        <f>IFERROR(VLOOKUP($A94,GanttChart!$A:$JD,264,FALSE),0)</f>
        <v>0</v>
      </c>
      <c r="H94" s="88"/>
      <c r="I94" s="87">
        <f t="shared" si="0"/>
        <v>0</v>
      </c>
    </row>
    <row r="95" spans="1:12" ht="18.75" hidden="1" x14ac:dyDescent="0.45">
      <c r="A95" s="80">
        <v>5.3</v>
      </c>
      <c r="C95" s="85">
        <f>IFERROR(VLOOKUP($A95,GanttChart!$A:$JD,2,FALSE),"خطا")</f>
        <v>0</v>
      </c>
      <c r="D95" s="86">
        <f>IFERROR(VLOOKUP($A95,GanttChart!$A:$JD,261,FALSE),0)</f>
        <v>0</v>
      </c>
      <c r="E95" s="86">
        <f>IFERROR(VLOOKUP($A95,GanttChart!$A:$JD,262,FALSE),0)</f>
        <v>0</v>
      </c>
      <c r="F95" s="86">
        <f>IFERROR(VLOOKUP($A95,GanttChart!$A:$JD,263,FALSE),0)</f>
        <v>0</v>
      </c>
      <c r="G95" s="87">
        <f>IFERROR(VLOOKUP($A95,GanttChart!$A:$JD,264,FALSE),0)</f>
        <v>0</v>
      </c>
      <c r="H95" s="88"/>
      <c r="I95" s="87">
        <f t="shared" si="0"/>
        <v>0</v>
      </c>
    </row>
    <row r="96" spans="1:12" ht="18.75" hidden="1" x14ac:dyDescent="0.45">
      <c r="A96" s="80">
        <v>5.4</v>
      </c>
      <c r="C96" s="85">
        <f>IFERROR(VLOOKUP($A96,GanttChart!$A:$JD,2,FALSE),"خطا")</f>
        <v>0</v>
      </c>
      <c r="D96" s="86">
        <f>IFERROR(VLOOKUP($A96,GanttChart!$A:$JD,261,FALSE),0)</f>
        <v>0</v>
      </c>
      <c r="E96" s="86">
        <f>IFERROR(VLOOKUP($A96,GanttChart!$A:$JD,262,FALSE),0)</f>
        <v>0</v>
      </c>
      <c r="F96" s="86">
        <f>IFERROR(VLOOKUP($A96,GanttChart!$A:$JD,263,FALSE),0)</f>
        <v>0</v>
      </c>
      <c r="G96" s="87">
        <f>IFERROR(VLOOKUP($A96,GanttChart!$A:$JD,264,FALSE),0)</f>
        <v>0</v>
      </c>
      <c r="H96" s="88"/>
      <c r="I96" s="87">
        <f t="shared" si="0"/>
        <v>0</v>
      </c>
    </row>
    <row r="97" spans="1:9" ht="18.75" hidden="1" x14ac:dyDescent="0.45">
      <c r="A97" s="80">
        <v>5.5</v>
      </c>
      <c r="C97" s="85">
        <f>IFERROR(VLOOKUP($A97,GanttChart!$A:$JD,2,FALSE),"خطا")</f>
        <v>0</v>
      </c>
      <c r="D97" s="86">
        <f>IFERROR(VLOOKUP($A97,GanttChart!$A:$JD,261,FALSE),0)</f>
        <v>0</v>
      </c>
      <c r="E97" s="86">
        <f>IFERROR(VLOOKUP($A97,GanttChart!$A:$JD,262,FALSE),0)</f>
        <v>0</v>
      </c>
      <c r="F97" s="86">
        <f>IFERROR(VLOOKUP($A97,GanttChart!$A:$JD,263,FALSE),0)</f>
        <v>0</v>
      </c>
      <c r="G97" s="87">
        <f>IFERROR(VLOOKUP($A97,GanttChart!$A:$JD,264,FALSE),0)</f>
        <v>0</v>
      </c>
      <c r="H97" s="88"/>
      <c r="I97" s="87">
        <f t="shared" si="0"/>
        <v>0</v>
      </c>
    </row>
    <row r="98" spans="1:9" ht="18.75" hidden="1" x14ac:dyDescent="0.45">
      <c r="A98" s="80">
        <v>5.6</v>
      </c>
      <c r="C98" s="85">
        <f>IFERROR(VLOOKUP($A98,GanttChart!$A:$JD,2,FALSE),"خطا")</f>
        <v>0</v>
      </c>
      <c r="D98" s="86">
        <f>IFERROR(VLOOKUP($A98,GanttChart!$A:$JD,261,FALSE),0)</f>
        <v>0</v>
      </c>
      <c r="E98" s="86">
        <f>IFERROR(VLOOKUP($A98,GanttChart!$A:$JD,262,FALSE),0)</f>
        <v>0</v>
      </c>
      <c r="F98" s="86">
        <f>IFERROR(VLOOKUP($A98,GanttChart!$A:$JD,263,FALSE),0)</f>
        <v>0</v>
      </c>
      <c r="G98" s="87">
        <f>IFERROR(VLOOKUP($A98,GanttChart!$A:$JD,264,FALSE),0)</f>
        <v>0</v>
      </c>
      <c r="H98" s="88"/>
      <c r="I98" s="87">
        <f t="shared" si="0"/>
        <v>0</v>
      </c>
    </row>
    <row r="99" spans="1:9" ht="18.75" hidden="1" x14ac:dyDescent="0.45">
      <c r="A99" s="80">
        <v>5.7</v>
      </c>
      <c r="C99" s="85">
        <f>IFERROR(VLOOKUP($A99,GanttChart!$A:$JD,2,FALSE),"خطا")</f>
        <v>0</v>
      </c>
      <c r="D99" s="86">
        <f>IFERROR(VLOOKUP($A99,GanttChart!$A:$JD,261,FALSE),0)</f>
        <v>0</v>
      </c>
      <c r="E99" s="86">
        <f>IFERROR(VLOOKUP($A99,GanttChart!$A:$JD,262,FALSE),0)</f>
        <v>0</v>
      </c>
      <c r="F99" s="86">
        <f>IFERROR(VLOOKUP($A99,GanttChart!$A:$JD,263,FALSE),0)</f>
        <v>0</v>
      </c>
      <c r="G99" s="87">
        <f>IFERROR(VLOOKUP($A99,GanttChart!$A:$JD,264,FALSE),0)</f>
        <v>0</v>
      </c>
      <c r="H99" s="88"/>
      <c r="I99" s="87">
        <f t="shared" si="0"/>
        <v>0</v>
      </c>
    </row>
    <row r="100" spans="1:9" ht="18.75" hidden="1" x14ac:dyDescent="0.45">
      <c r="A100" s="80">
        <v>5.8</v>
      </c>
      <c r="C100" s="85">
        <f>IFERROR(VLOOKUP($A100,GanttChart!$A:$JD,2,FALSE),"خطا")</f>
        <v>0</v>
      </c>
      <c r="D100" s="86">
        <f>IFERROR(VLOOKUP($A100,GanttChart!$A:$JD,261,FALSE),0)</f>
        <v>0</v>
      </c>
      <c r="E100" s="86">
        <f>IFERROR(VLOOKUP($A100,GanttChart!$A:$JD,262,FALSE),0)</f>
        <v>0</v>
      </c>
      <c r="F100" s="86">
        <f>IFERROR(VLOOKUP($A100,GanttChart!$A:$JD,263,FALSE),0)</f>
        <v>0</v>
      </c>
      <c r="G100" s="87">
        <f>IFERROR(VLOOKUP($A100,GanttChart!$A:$JD,264,FALSE),0)</f>
        <v>0</v>
      </c>
      <c r="H100" s="88"/>
      <c r="I100" s="87">
        <f t="shared" si="0"/>
        <v>0</v>
      </c>
    </row>
    <row r="101" spans="1:9" ht="18.75" hidden="1" x14ac:dyDescent="0.45">
      <c r="A101" s="80">
        <v>5.9</v>
      </c>
      <c r="C101" s="85">
        <f>IFERROR(VLOOKUP($A101,GanttChart!$A:$JD,2,FALSE),"خطا")</f>
        <v>0</v>
      </c>
      <c r="D101" s="86">
        <f>IFERROR(VLOOKUP($A101,GanttChart!$A:$JD,261,FALSE),0)</f>
        <v>0</v>
      </c>
      <c r="E101" s="86">
        <f>IFERROR(VLOOKUP($A101,GanttChart!$A:$JD,262,FALSE),0)</f>
        <v>0</v>
      </c>
      <c r="F101" s="86">
        <f>IFERROR(VLOOKUP($A101,GanttChart!$A:$JD,263,FALSE),0)</f>
        <v>0</v>
      </c>
      <c r="G101" s="87">
        <f>IFERROR(VLOOKUP($A101,GanttChart!$A:$JD,264,FALSE),0)</f>
        <v>0</v>
      </c>
      <c r="H101" s="88"/>
      <c r="I101" s="87">
        <f t="shared" si="0"/>
        <v>0</v>
      </c>
    </row>
    <row r="102" spans="1:9" ht="18.75" hidden="1" x14ac:dyDescent="0.45">
      <c r="A102" s="80">
        <v>5.1100000000000003</v>
      </c>
      <c r="C102" s="85">
        <f>IFERROR(VLOOKUP($A102,GanttChart!$A:$JD,2,FALSE),"خطا")</f>
        <v>0</v>
      </c>
      <c r="D102" s="86">
        <f>IFERROR(VLOOKUP($A102,GanttChart!$A:$JD,261,FALSE),0)</f>
        <v>0</v>
      </c>
      <c r="E102" s="86">
        <f>IFERROR(VLOOKUP($A102,GanttChart!$A:$JD,262,FALSE),0)</f>
        <v>0</v>
      </c>
      <c r="F102" s="86">
        <f>IFERROR(VLOOKUP($A102,GanttChart!$A:$JD,263,FALSE),0)</f>
        <v>0</v>
      </c>
      <c r="G102" s="87">
        <f>IFERROR(VLOOKUP($A102,GanttChart!$A:$JD,264,FALSE),0)</f>
        <v>0</v>
      </c>
      <c r="H102" s="88"/>
      <c r="I102" s="87">
        <f t="shared" si="0"/>
        <v>0</v>
      </c>
    </row>
    <row r="103" spans="1:9" ht="18.75" hidden="1" x14ac:dyDescent="0.45">
      <c r="A103" s="80">
        <v>5.12</v>
      </c>
      <c r="C103" s="85">
        <f>IFERROR(VLOOKUP($A103,GanttChart!$A:$JD,2,FALSE),"خطا")</f>
        <v>0</v>
      </c>
      <c r="D103" s="86">
        <f>IFERROR(VLOOKUP($A103,GanttChart!$A:$JD,261,FALSE),0)</f>
        <v>0</v>
      </c>
      <c r="E103" s="86">
        <f>IFERROR(VLOOKUP($A103,GanttChart!$A:$JD,262,FALSE),0)</f>
        <v>0</v>
      </c>
      <c r="F103" s="86">
        <f>IFERROR(VLOOKUP($A103,GanttChart!$A:$JD,263,FALSE),0)</f>
        <v>0</v>
      </c>
      <c r="G103" s="87">
        <f>IFERROR(VLOOKUP($A103,GanttChart!$A:$JD,264,FALSE),0)</f>
        <v>0</v>
      </c>
      <c r="H103" s="88"/>
      <c r="I103" s="87">
        <f t="shared" si="0"/>
        <v>0</v>
      </c>
    </row>
    <row r="104" spans="1:9" ht="18.75" hidden="1" x14ac:dyDescent="0.45">
      <c r="A104" s="80">
        <v>5.13</v>
      </c>
      <c r="C104" s="85">
        <f>IFERROR(VLOOKUP($A104,GanttChart!$A:$JD,2,FALSE),"خطا")</f>
        <v>0</v>
      </c>
      <c r="D104" s="86">
        <f>IFERROR(VLOOKUP($A104,GanttChart!$A:$JD,261,FALSE),0)</f>
        <v>0</v>
      </c>
      <c r="E104" s="86">
        <f>IFERROR(VLOOKUP($A104,GanttChart!$A:$JD,262,FALSE),0)</f>
        <v>0</v>
      </c>
      <c r="F104" s="86">
        <f>IFERROR(VLOOKUP($A104,GanttChart!$A:$JD,263,FALSE),0)</f>
        <v>0</v>
      </c>
      <c r="G104" s="87">
        <f>IFERROR(VLOOKUP($A104,GanttChart!$A:$JD,264,FALSE),0)</f>
        <v>0</v>
      </c>
      <c r="H104" s="88"/>
      <c r="I104" s="87">
        <f t="shared" si="0"/>
        <v>0</v>
      </c>
    </row>
    <row r="105" spans="1:9" ht="18.75" hidden="1" x14ac:dyDescent="0.45">
      <c r="A105" s="80">
        <v>5.14</v>
      </c>
      <c r="C105" s="85">
        <f>IFERROR(VLOOKUP($A105,GanttChart!$A:$JD,2,FALSE),"خطا")</f>
        <v>0</v>
      </c>
      <c r="D105" s="86">
        <f>IFERROR(VLOOKUP($A105,GanttChart!$A:$JD,261,FALSE),0)</f>
        <v>0</v>
      </c>
      <c r="E105" s="86">
        <f>IFERROR(VLOOKUP($A105,GanttChart!$A:$JD,262,FALSE),0)</f>
        <v>0</v>
      </c>
      <c r="F105" s="86">
        <f>IFERROR(VLOOKUP($A105,GanttChart!$A:$JD,263,FALSE),0)</f>
        <v>0</v>
      </c>
      <c r="G105" s="87">
        <f>IFERROR(VLOOKUP($A105,GanttChart!$A:$JD,264,FALSE),0)</f>
        <v>0</v>
      </c>
      <c r="H105" s="88"/>
      <c r="I105" s="87">
        <f t="shared" si="0"/>
        <v>0</v>
      </c>
    </row>
    <row r="106" spans="1:9" ht="18.75" hidden="1" x14ac:dyDescent="0.45">
      <c r="A106" s="80">
        <v>5.15</v>
      </c>
      <c r="C106" s="85">
        <f>IFERROR(VLOOKUP($A106,GanttChart!$A:$JD,2,FALSE),"خطا")</f>
        <v>0</v>
      </c>
      <c r="D106" s="86">
        <f>IFERROR(VLOOKUP($A106,GanttChart!$A:$JD,261,FALSE),0)</f>
        <v>0</v>
      </c>
      <c r="E106" s="86">
        <f>IFERROR(VLOOKUP($A106,GanttChart!$A:$JD,262,FALSE),0)</f>
        <v>0</v>
      </c>
      <c r="F106" s="86">
        <f>IFERROR(VLOOKUP($A106,GanttChart!$A:$JD,263,FALSE),0)</f>
        <v>0</v>
      </c>
      <c r="G106" s="87">
        <f>IFERROR(VLOOKUP($A106,GanttChart!$A:$JD,264,FALSE),0)</f>
        <v>0</v>
      </c>
      <c r="H106" s="88"/>
      <c r="I106" s="87">
        <f t="shared" si="0"/>
        <v>0</v>
      </c>
    </row>
    <row r="107" spans="1:9" ht="18.75" hidden="1" x14ac:dyDescent="0.45">
      <c r="A107" s="80">
        <v>5.16</v>
      </c>
      <c r="C107" s="85">
        <f>IFERROR(VLOOKUP($A107,GanttChart!$A:$JD,2,FALSE),"خطا")</f>
        <v>0</v>
      </c>
      <c r="D107" s="86">
        <f>IFERROR(VLOOKUP($A107,GanttChart!$A:$JD,261,FALSE),0)</f>
        <v>0</v>
      </c>
      <c r="E107" s="86">
        <f>IFERROR(VLOOKUP($A107,GanttChart!$A:$JD,262,FALSE),0)</f>
        <v>0</v>
      </c>
      <c r="F107" s="86">
        <f>IFERROR(VLOOKUP($A107,GanttChart!$A:$JD,263,FALSE),0)</f>
        <v>0</v>
      </c>
      <c r="G107" s="87">
        <f>IFERROR(VLOOKUP($A107,GanttChart!$A:$JD,264,FALSE),0)</f>
        <v>0</v>
      </c>
      <c r="H107" s="88"/>
      <c r="I107" s="87">
        <f t="shared" si="0"/>
        <v>0</v>
      </c>
    </row>
    <row r="108" spans="1:9" ht="18.75" hidden="1" x14ac:dyDescent="0.45">
      <c r="A108" s="80">
        <v>5.17</v>
      </c>
      <c r="C108" s="85">
        <f>IFERROR(VLOOKUP($A108,GanttChart!$A:$JD,2,FALSE),"خطا")</f>
        <v>0</v>
      </c>
      <c r="D108" s="86">
        <f>IFERROR(VLOOKUP($A108,GanttChart!$A:$JD,261,FALSE),0)</f>
        <v>0</v>
      </c>
      <c r="E108" s="86">
        <f>IFERROR(VLOOKUP($A108,GanttChart!$A:$JD,262,FALSE),0)</f>
        <v>0</v>
      </c>
      <c r="F108" s="86">
        <f>IFERROR(VLOOKUP($A108,GanttChart!$A:$JD,263,FALSE),0)</f>
        <v>0</v>
      </c>
      <c r="G108" s="87">
        <f>IFERROR(VLOOKUP($A108,GanttChart!$A:$JD,264,FALSE),0)</f>
        <v>0</v>
      </c>
      <c r="H108" s="88"/>
      <c r="I108" s="87">
        <f t="shared" si="0"/>
        <v>0</v>
      </c>
    </row>
    <row r="109" spans="1:9" ht="18.75" hidden="1" x14ac:dyDescent="0.45">
      <c r="A109" s="80">
        <v>5.18</v>
      </c>
      <c r="C109" s="85">
        <f>IFERROR(VLOOKUP($A109,GanttChart!$A:$JD,2,FALSE),"خطا")</f>
        <v>0</v>
      </c>
      <c r="D109" s="86">
        <f>IFERROR(VLOOKUP($A109,GanttChart!$A:$JD,261,FALSE),0)</f>
        <v>0</v>
      </c>
      <c r="E109" s="86">
        <f>IFERROR(VLOOKUP($A109,GanttChart!$A:$JD,262,FALSE),0)</f>
        <v>0</v>
      </c>
      <c r="F109" s="86">
        <f>IFERROR(VLOOKUP($A109,GanttChart!$A:$JD,263,FALSE),0)</f>
        <v>0</v>
      </c>
      <c r="G109" s="87">
        <f>IFERROR(VLOOKUP($A109,GanttChart!$A:$JD,264,FALSE),0)</f>
        <v>0</v>
      </c>
      <c r="H109" s="88"/>
      <c r="I109" s="87">
        <f t="shared" si="0"/>
        <v>0</v>
      </c>
    </row>
    <row r="110" spans="1:9" ht="18.75" hidden="1" x14ac:dyDescent="0.45">
      <c r="A110" s="80">
        <v>5.19</v>
      </c>
      <c r="C110" s="85">
        <f>IFERROR(VLOOKUP($A110,GanttChart!$A:$JD,2,FALSE),"خطا")</f>
        <v>0</v>
      </c>
      <c r="D110" s="86">
        <f>IFERROR(VLOOKUP($A110,GanttChart!$A:$JD,261,FALSE),0)</f>
        <v>0</v>
      </c>
      <c r="E110" s="86">
        <f>IFERROR(VLOOKUP($A110,GanttChart!$A:$JD,262,FALSE),0)</f>
        <v>0</v>
      </c>
      <c r="F110" s="86">
        <f>IFERROR(VLOOKUP($A110,GanttChart!$A:$JD,263,FALSE),0)</f>
        <v>0</v>
      </c>
      <c r="G110" s="87">
        <f>IFERROR(VLOOKUP($A110,GanttChart!$A:$JD,264,FALSE),0)</f>
        <v>0</v>
      </c>
      <c r="H110" s="88"/>
      <c r="I110" s="87">
        <f t="shared" si="0"/>
        <v>0</v>
      </c>
    </row>
    <row r="111" spans="1:9" ht="18.75" hidden="1" x14ac:dyDescent="0.45">
      <c r="A111" s="80">
        <v>5.21</v>
      </c>
      <c r="C111" s="85">
        <f>IFERROR(VLOOKUP($A111,GanttChart!$A:$JD,2,FALSE),"خطا")</f>
        <v>0</v>
      </c>
      <c r="D111" s="86">
        <f>IFERROR(VLOOKUP($A111,GanttChart!$A:$JD,261,FALSE),0)</f>
        <v>0</v>
      </c>
      <c r="E111" s="86">
        <f>IFERROR(VLOOKUP($A111,GanttChart!$A:$JD,262,FALSE),0)</f>
        <v>0</v>
      </c>
      <c r="F111" s="86">
        <f>IFERROR(VLOOKUP($A111,GanttChart!$A:$JD,263,FALSE),0)</f>
        <v>0</v>
      </c>
      <c r="G111" s="87">
        <f>IFERROR(VLOOKUP($A111,GanttChart!$A:$JD,264,FALSE),0)</f>
        <v>0</v>
      </c>
      <c r="H111" s="88"/>
      <c r="I111" s="87">
        <f t="shared" si="0"/>
        <v>0</v>
      </c>
    </row>
    <row r="112" spans="1:9" ht="18.75" hidden="1" x14ac:dyDescent="0.45">
      <c r="A112" s="80">
        <v>5.22</v>
      </c>
      <c r="C112" s="85">
        <f>IFERROR(VLOOKUP($A112,GanttChart!$A:$JD,2,FALSE),"خطا")</f>
        <v>0</v>
      </c>
      <c r="D112" s="86">
        <f>IFERROR(VLOOKUP($A112,GanttChart!$A:$JD,261,FALSE),0)</f>
        <v>0</v>
      </c>
      <c r="E112" s="86">
        <f>IFERROR(VLOOKUP($A112,GanttChart!$A:$JD,262,FALSE),0)</f>
        <v>0</v>
      </c>
      <c r="F112" s="86">
        <f>IFERROR(VLOOKUP($A112,GanttChart!$A:$JD,263,FALSE),0)</f>
        <v>0</v>
      </c>
      <c r="G112" s="87">
        <f>IFERROR(VLOOKUP($A112,GanttChart!$A:$JD,264,FALSE),0)</f>
        <v>0</v>
      </c>
      <c r="H112" s="88"/>
      <c r="I112" s="87">
        <f t="shared" si="0"/>
        <v>0</v>
      </c>
    </row>
    <row r="113" spans="1:9" ht="18.75" hidden="1" x14ac:dyDescent="0.45">
      <c r="A113" s="80">
        <v>5.23</v>
      </c>
      <c r="C113" s="85">
        <f>IFERROR(VLOOKUP($A113,GanttChart!$A:$JD,2,FALSE),"خطا")</f>
        <v>0</v>
      </c>
      <c r="D113" s="86">
        <f>IFERROR(VLOOKUP($A113,GanttChart!$A:$JD,261,FALSE),0)</f>
        <v>0</v>
      </c>
      <c r="E113" s="86">
        <f>IFERROR(VLOOKUP($A113,GanttChart!$A:$JD,262,FALSE),0)</f>
        <v>0</v>
      </c>
      <c r="F113" s="86">
        <f>IFERROR(VLOOKUP($A113,GanttChart!$A:$JD,263,FALSE),0)</f>
        <v>0</v>
      </c>
      <c r="G113" s="87">
        <f>IFERROR(VLOOKUP($A113,GanttChart!$A:$JD,264,FALSE),0)</f>
        <v>0</v>
      </c>
      <c r="H113" s="88"/>
      <c r="I113" s="87">
        <f t="shared" si="0"/>
        <v>0</v>
      </c>
    </row>
    <row r="114" spans="1:9" ht="18.75" x14ac:dyDescent="0.45">
      <c r="A114" s="80">
        <v>6</v>
      </c>
      <c r="C114" s="85" t="str">
        <f>IFERROR(VLOOKUP($A114,GanttChart!$A:$JD,2,FALSE),"خطا")</f>
        <v>کانوت مکانیزه  محتوا  و ، تامین  و تکمیل فرایند  ورود داده به روش دستی</v>
      </c>
      <c r="D114" s="86">
        <f>SUM(D115:D135)</f>
        <v>0</v>
      </c>
      <c r="E114" s="86">
        <f>SUM(E115:E135)</f>
        <v>8.3333333333333329E-2</v>
      </c>
      <c r="F114" s="86">
        <f>SUM(F115:F135)</f>
        <v>1.875</v>
      </c>
      <c r="G114" s="87">
        <f>SUM(G115:G135)</f>
        <v>26807000</v>
      </c>
      <c r="H114" s="244"/>
      <c r="I114" s="87">
        <f t="shared" si="0"/>
        <v>26807000</v>
      </c>
    </row>
    <row r="115" spans="1:9" ht="18.75" hidden="1" x14ac:dyDescent="0.45">
      <c r="A115" s="80">
        <v>6.1</v>
      </c>
      <c r="C115" s="85" t="str">
        <f>IFERROR(VLOOKUP($A115,GanttChart!$A:$JD,2,FALSE),"خطا")</f>
        <v>کانورت محتوای متنی، فایل و تصاویر موجود</v>
      </c>
      <c r="D115" s="86">
        <f>IFERROR(VLOOKUP($A115,GanttChart!$A:$JD,261,FALSE),0)</f>
        <v>0</v>
      </c>
      <c r="E115" s="86">
        <f>IFERROR(VLOOKUP($A115,GanttChart!$A:$JD,262,FALSE),0)</f>
        <v>8.3333333333333329E-2</v>
      </c>
      <c r="F115" s="86">
        <f>IFERROR(VLOOKUP($A115,GanttChart!$A:$JD,263,FALSE),0)</f>
        <v>0.16666666666666666</v>
      </c>
      <c r="G115" s="87">
        <f>IFERROR(VLOOKUP($A115,GanttChart!$A:$JD,264,FALSE),0)</f>
        <v>4052000</v>
      </c>
      <c r="H115" s="88"/>
      <c r="I115" s="87">
        <f t="shared" si="0"/>
        <v>4052000</v>
      </c>
    </row>
    <row r="116" spans="1:9" ht="18.75" hidden="1" x14ac:dyDescent="0.45">
      <c r="A116" s="80">
        <v>6.2</v>
      </c>
      <c r="C116" s="85" t="str">
        <f>IFERROR(VLOOKUP($A116,GanttChart!$A:$JD,2,FALSE),"خطا")</f>
        <v>بررسی و بارگذاری محتوای گرافیکی موجود</v>
      </c>
      <c r="D116" s="86">
        <f>IFERROR(VLOOKUP($A116,GanttChart!$A:$JD,261,FALSE),0)</f>
        <v>0</v>
      </c>
      <c r="E116" s="86">
        <f>IFERROR(VLOOKUP($A116,GanttChart!$A:$JD,262,FALSE),0)</f>
        <v>0</v>
      </c>
      <c r="F116" s="86">
        <f>IFERROR(VLOOKUP($A116,GanttChart!$A:$JD,263,FALSE),0)</f>
        <v>0.20833333333333334</v>
      </c>
      <c r="G116" s="87">
        <f>IFERROR(VLOOKUP($A116,GanttChart!$A:$JD,264,FALSE),0)</f>
        <v>2775000</v>
      </c>
      <c r="H116" s="88"/>
      <c r="I116" s="87">
        <f t="shared" si="0"/>
        <v>2775000</v>
      </c>
    </row>
    <row r="117" spans="1:9" ht="18.75" hidden="1" x14ac:dyDescent="0.45">
      <c r="A117" s="80">
        <v>6.3</v>
      </c>
      <c r="C117" s="85" t="str">
        <f>IFERROR(VLOOKUP($A117,GanttChart!$A:$JD,2,FALSE),"خطا")</f>
        <v>تامین محتوای متنی جدید مورد نیاز (توسط کارفرما)</v>
      </c>
      <c r="D117" s="86">
        <f>IFERROR(VLOOKUP($A117,GanttChart!$A:$JD,261,FALSE),0)</f>
        <v>0</v>
      </c>
      <c r="E117" s="86">
        <f>IFERROR(VLOOKUP($A117,GanttChart!$A:$JD,262,FALSE),0)</f>
        <v>0</v>
      </c>
      <c r="F117" s="86">
        <f>IFERROR(VLOOKUP($A117,GanttChart!$A:$JD,263,FALSE),0)</f>
        <v>0</v>
      </c>
      <c r="G117" s="87">
        <f>IFERROR(VLOOKUP($A117,GanttChart!$A:$JD,264,FALSE),0)</f>
        <v>0</v>
      </c>
      <c r="H117" s="88"/>
      <c r="I117" s="87">
        <f t="shared" si="0"/>
        <v>0</v>
      </c>
    </row>
    <row r="118" spans="1:9" ht="18.75" hidden="1" x14ac:dyDescent="0.45">
      <c r="A118" s="80">
        <v>6.4</v>
      </c>
      <c r="C118" s="85" t="str">
        <f>IFERROR(VLOOKUP($A118,GanttChart!$A:$JD,2,FALSE),"خطا")</f>
        <v>تامین محتوای گرافیکی جدید  مورد نیاز (توسط کارفرما)</v>
      </c>
      <c r="D118" s="86">
        <f>IFERROR(VLOOKUP($A118,GanttChart!$A:$JD,261,FALSE),0)</f>
        <v>0</v>
      </c>
      <c r="E118" s="86">
        <f>IFERROR(VLOOKUP($A118,GanttChart!$A:$JD,262,FALSE),0)</f>
        <v>0</v>
      </c>
      <c r="F118" s="86">
        <f>IFERROR(VLOOKUP($A118,GanttChart!$A:$JD,263,FALSE),0)</f>
        <v>0.83333333333333337</v>
      </c>
      <c r="G118" s="87">
        <f>IFERROR(VLOOKUP($A118,GanttChart!$A:$JD,264,FALSE),0)</f>
        <v>11100000</v>
      </c>
      <c r="H118" s="88"/>
      <c r="I118" s="87">
        <f t="shared" si="0"/>
        <v>11100000</v>
      </c>
    </row>
    <row r="119" spans="1:9" ht="18.75" hidden="1" x14ac:dyDescent="0.45">
      <c r="A119" s="80">
        <v>6.5</v>
      </c>
      <c r="C119" s="85" t="str">
        <f>IFERROR(VLOOKUP($A119,GanttChart!$A:$JD,2,FALSE),"خطا")</f>
        <v>ارائه مشاوره بارگزاری محتوای متنی و گرافیکی در پورتال توسط کارفرما</v>
      </c>
      <c r="D119" s="86">
        <f>IFERROR(VLOOKUP($A119,GanttChart!$A:$JD,261,FALSE),0)</f>
        <v>0</v>
      </c>
      <c r="E119" s="86">
        <f>IFERROR(VLOOKUP($A119,GanttChart!$A:$JD,262,FALSE),0)</f>
        <v>0</v>
      </c>
      <c r="F119" s="86">
        <f>IFERROR(VLOOKUP($A119,GanttChart!$A:$JD,263,FALSE),0)</f>
        <v>0.66666666666666663</v>
      </c>
      <c r="G119" s="87">
        <f>IFERROR(VLOOKUP($A119,GanttChart!$A:$JD,264,FALSE),0)</f>
        <v>8880000</v>
      </c>
      <c r="H119" s="88"/>
      <c r="I119" s="87">
        <f t="shared" si="0"/>
        <v>8880000</v>
      </c>
    </row>
    <row r="120" spans="1:9" ht="18.75" hidden="1" x14ac:dyDescent="0.45">
      <c r="A120" s="80">
        <v>6.6</v>
      </c>
      <c r="C120" s="85">
        <f>IFERROR(VLOOKUP($A120,GanttChart!$A:$JD,2,FALSE),"خطا")</f>
        <v>0</v>
      </c>
      <c r="D120" s="86">
        <f>IFERROR(VLOOKUP($A120,GanttChart!$A:$JD,261,FALSE),0)</f>
        <v>0</v>
      </c>
      <c r="E120" s="86">
        <f>IFERROR(VLOOKUP($A120,GanttChart!$A:$JD,262,FALSE),0)</f>
        <v>0</v>
      </c>
      <c r="F120" s="86">
        <f>IFERROR(VLOOKUP($A120,GanttChart!$A:$JD,263,FALSE),0)</f>
        <v>0</v>
      </c>
      <c r="G120" s="87">
        <f>IFERROR(VLOOKUP($A120,GanttChart!$A:$JD,264,FALSE),0)</f>
        <v>0</v>
      </c>
      <c r="H120" s="88"/>
      <c r="I120" s="87">
        <f t="shared" si="0"/>
        <v>0</v>
      </c>
    </row>
    <row r="121" spans="1:9" ht="18.75" hidden="1" x14ac:dyDescent="0.45">
      <c r="A121" s="80">
        <v>6.7</v>
      </c>
      <c r="C121" s="85">
        <f>IFERROR(VLOOKUP($A121,GanttChart!$A:$JD,2,FALSE),"خطا")</f>
        <v>0</v>
      </c>
      <c r="D121" s="86">
        <f>IFERROR(VLOOKUP($A121,GanttChart!$A:$JD,261,FALSE),0)</f>
        <v>0</v>
      </c>
      <c r="E121" s="86">
        <f>IFERROR(VLOOKUP($A121,GanttChart!$A:$JD,262,FALSE),0)</f>
        <v>0</v>
      </c>
      <c r="F121" s="86">
        <f>IFERROR(VLOOKUP($A121,GanttChart!$A:$JD,263,FALSE),0)</f>
        <v>0</v>
      </c>
      <c r="G121" s="87">
        <f>IFERROR(VLOOKUP($A121,GanttChart!$A:$JD,264,FALSE),0)</f>
        <v>0</v>
      </c>
      <c r="H121" s="88"/>
      <c r="I121" s="87">
        <f t="shared" si="0"/>
        <v>0</v>
      </c>
    </row>
    <row r="122" spans="1:9" ht="18.75" hidden="1" x14ac:dyDescent="0.45">
      <c r="A122" s="80">
        <v>6.8</v>
      </c>
      <c r="C122" s="85">
        <f>IFERROR(VLOOKUP($A122,GanttChart!$A:$JD,2,FALSE),"خطا")</f>
        <v>0</v>
      </c>
      <c r="D122" s="86">
        <f>IFERROR(VLOOKUP($A122,GanttChart!$A:$JD,261,FALSE),0)</f>
        <v>0</v>
      </c>
      <c r="E122" s="86">
        <f>IFERROR(VLOOKUP($A122,GanttChart!$A:$JD,262,FALSE),0)</f>
        <v>0</v>
      </c>
      <c r="F122" s="86">
        <f>IFERROR(VLOOKUP($A122,GanttChart!$A:$JD,263,FALSE),0)</f>
        <v>0</v>
      </c>
      <c r="G122" s="87">
        <f>IFERROR(VLOOKUP($A122,GanttChart!$A:$JD,264,FALSE),0)</f>
        <v>0</v>
      </c>
      <c r="H122" s="88"/>
      <c r="I122" s="87">
        <f t="shared" si="0"/>
        <v>0</v>
      </c>
    </row>
    <row r="123" spans="1:9" ht="18.75" hidden="1" x14ac:dyDescent="0.45">
      <c r="A123" s="80">
        <v>6.9</v>
      </c>
      <c r="C123" s="85">
        <f>IFERROR(VLOOKUP($A123,GanttChart!$A:$JD,2,FALSE),"خطا")</f>
        <v>0</v>
      </c>
      <c r="D123" s="86">
        <f>IFERROR(VLOOKUP($A123,GanttChart!$A:$JD,261,FALSE),0)</f>
        <v>0</v>
      </c>
      <c r="E123" s="86">
        <f>IFERROR(VLOOKUP($A123,GanttChart!$A:$JD,262,FALSE),0)</f>
        <v>0</v>
      </c>
      <c r="F123" s="86">
        <f>IFERROR(VLOOKUP($A123,GanttChart!$A:$JD,263,FALSE),0)</f>
        <v>0</v>
      </c>
      <c r="G123" s="87">
        <f>IFERROR(VLOOKUP($A123,GanttChart!$A:$JD,264,FALSE),0)</f>
        <v>0</v>
      </c>
      <c r="H123" s="88"/>
      <c r="I123" s="87">
        <f t="shared" si="0"/>
        <v>0</v>
      </c>
    </row>
    <row r="124" spans="1:9" ht="18.75" hidden="1" x14ac:dyDescent="0.45">
      <c r="A124" s="80">
        <v>6.11</v>
      </c>
      <c r="C124" s="85">
        <f>IFERROR(VLOOKUP($A124,GanttChart!$A:$JD,2,FALSE),"خطا")</f>
        <v>0</v>
      </c>
      <c r="D124" s="86">
        <f>IFERROR(VLOOKUP($A124,GanttChart!$A:$JD,261,FALSE),0)</f>
        <v>0</v>
      </c>
      <c r="E124" s="86">
        <f>IFERROR(VLOOKUP($A124,GanttChart!$A:$JD,262,FALSE),0)</f>
        <v>0</v>
      </c>
      <c r="F124" s="86">
        <f>IFERROR(VLOOKUP($A124,GanttChart!$A:$JD,263,FALSE),0)</f>
        <v>0</v>
      </c>
      <c r="G124" s="87">
        <f>IFERROR(VLOOKUP($A124,GanttChart!$A:$JD,264,FALSE),0)</f>
        <v>0</v>
      </c>
      <c r="H124" s="88"/>
      <c r="I124" s="87">
        <f t="shared" si="0"/>
        <v>0</v>
      </c>
    </row>
    <row r="125" spans="1:9" ht="18.75" hidden="1" x14ac:dyDescent="0.45">
      <c r="A125" s="80">
        <v>6.12</v>
      </c>
      <c r="C125" s="85">
        <f>IFERROR(VLOOKUP($A125,GanttChart!$A:$JD,2,FALSE),"خطا")</f>
        <v>0</v>
      </c>
      <c r="D125" s="86">
        <f>IFERROR(VLOOKUP($A125,GanttChart!$A:$JD,261,FALSE),0)</f>
        <v>0</v>
      </c>
      <c r="E125" s="86">
        <f>IFERROR(VLOOKUP($A125,GanttChart!$A:$JD,262,FALSE),0)</f>
        <v>0</v>
      </c>
      <c r="F125" s="86">
        <f>IFERROR(VLOOKUP($A125,GanttChart!$A:$JD,263,FALSE),0)</f>
        <v>0</v>
      </c>
      <c r="G125" s="87">
        <f>IFERROR(VLOOKUP($A125,GanttChart!$A:$JD,264,FALSE),0)</f>
        <v>0</v>
      </c>
      <c r="H125" s="88"/>
      <c r="I125" s="87">
        <f t="shared" si="0"/>
        <v>0</v>
      </c>
    </row>
    <row r="126" spans="1:9" ht="18.75" hidden="1" x14ac:dyDescent="0.45">
      <c r="A126" s="80">
        <v>6.13</v>
      </c>
      <c r="C126" s="85">
        <f>IFERROR(VLOOKUP($A126,GanttChart!$A:$JD,2,FALSE),"خطا")</f>
        <v>0</v>
      </c>
      <c r="D126" s="86">
        <f>IFERROR(VLOOKUP($A126,GanttChart!$A:$JD,261,FALSE),0)</f>
        <v>0</v>
      </c>
      <c r="E126" s="86">
        <f>IFERROR(VLOOKUP($A126,GanttChart!$A:$JD,262,FALSE),0)</f>
        <v>0</v>
      </c>
      <c r="F126" s="86">
        <f>IFERROR(VLOOKUP($A126,GanttChart!$A:$JD,263,FALSE),0)</f>
        <v>0</v>
      </c>
      <c r="G126" s="87">
        <f>IFERROR(VLOOKUP($A126,GanttChart!$A:$JD,264,FALSE),0)</f>
        <v>0</v>
      </c>
      <c r="H126" s="88"/>
      <c r="I126" s="87">
        <f t="shared" si="0"/>
        <v>0</v>
      </c>
    </row>
    <row r="127" spans="1:9" ht="18.75" hidden="1" x14ac:dyDescent="0.45">
      <c r="A127" s="80">
        <v>6.14</v>
      </c>
      <c r="C127" s="85">
        <f>IFERROR(VLOOKUP($A127,GanttChart!$A:$JD,2,FALSE),"خطا")</f>
        <v>0</v>
      </c>
      <c r="D127" s="86">
        <f>IFERROR(VLOOKUP($A127,GanttChart!$A:$JD,261,FALSE),0)</f>
        <v>0</v>
      </c>
      <c r="E127" s="86">
        <f>IFERROR(VLOOKUP($A127,GanttChart!$A:$JD,262,FALSE),0)</f>
        <v>0</v>
      </c>
      <c r="F127" s="86">
        <f>IFERROR(VLOOKUP($A127,GanttChart!$A:$JD,263,FALSE),0)</f>
        <v>0</v>
      </c>
      <c r="G127" s="87">
        <f>IFERROR(VLOOKUP($A127,GanttChart!$A:$JD,264,FALSE),0)</f>
        <v>0</v>
      </c>
      <c r="H127" s="88"/>
      <c r="I127" s="87">
        <f t="shared" si="0"/>
        <v>0</v>
      </c>
    </row>
    <row r="128" spans="1:9" ht="18.75" hidden="1" x14ac:dyDescent="0.45">
      <c r="A128" s="80">
        <v>6.15</v>
      </c>
      <c r="C128" s="85">
        <f>IFERROR(VLOOKUP($A128,GanttChart!$A:$JD,2,FALSE),"خطا")</f>
        <v>0</v>
      </c>
      <c r="D128" s="86">
        <f>IFERROR(VLOOKUP($A128,GanttChart!$A:$JD,261,FALSE),0)</f>
        <v>0</v>
      </c>
      <c r="E128" s="86">
        <f>IFERROR(VLOOKUP($A128,GanttChart!$A:$JD,262,FALSE),0)</f>
        <v>0</v>
      </c>
      <c r="F128" s="86">
        <f>IFERROR(VLOOKUP($A128,GanttChart!$A:$JD,263,FALSE),0)</f>
        <v>0</v>
      </c>
      <c r="G128" s="87">
        <f>IFERROR(VLOOKUP($A128,GanttChart!$A:$JD,264,FALSE),0)</f>
        <v>0</v>
      </c>
      <c r="H128" s="88"/>
      <c r="I128" s="87">
        <f t="shared" si="0"/>
        <v>0</v>
      </c>
    </row>
    <row r="129" spans="1:9" ht="18.75" hidden="1" x14ac:dyDescent="0.45">
      <c r="A129" s="80">
        <v>6.16</v>
      </c>
      <c r="C129" s="85">
        <f>IFERROR(VLOOKUP($A129,GanttChart!$A:$JD,2,FALSE),"خطا")</f>
        <v>0</v>
      </c>
      <c r="D129" s="86">
        <f>IFERROR(VLOOKUP($A129,GanttChart!$A:$JD,261,FALSE),0)</f>
        <v>0</v>
      </c>
      <c r="E129" s="86">
        <f>IFERROR(VLOOKUP($A129,GanttChart!$A:$JD,262,FALSE),0)</f>
        <v>0</v>
      </c>
      <c r="F129" s="86">
        <f>IFERROR(VLOOKUP($A129,GanttChart!$A:$JD,263,FALSE),0)</f>
        <v>0</v>
      </c>
      <c r="G129" s="87">
        <f>IFERROR(VLOOKUP($A129,GanttChart!$A:$JD,264,FALSE),0)</f>
        <v>0</v>
      </c>
      <c r="H129" s="88"/>
      <c r="I129" s="87">
        <f t="shared" si="0"/>
        <v>0</v>
      </c>
    </row>
    <row r="130" spans="1:9" ht="18.75" hidden="1" x14ac:dyDescent="0.45">
      <c r="A130" s="80">
        <v>6.17</v>
      </c>
      <c r="C130" s="85">
        <f>IFERROR(VLOOKUP($A130,GanttChart!$A:$JD,2,FALSE),"خطا")</f>
        <v>0</v>
      </c>
      <c r="D130" s="86">
        <f>IFERROR(VLOOKUP($A130,GanttChart!$A:$JD,261,FALSE),0)</f>
        <v>0</v>
      </c>
      <c r="E130" s="86">
        <f>IFERROR(VLOOKUP($A130,GanttChart!$A:$JD,262,FALSE),0)</f>
        <v>0</v>
      </c>
      <c r="F130" s="86">
        <f>IFERROR(VLOOKUP($A130,GanttChart!$A:$JD,263,FALSE),0)</f>
        <v>0</v>
      </c>
      <c r="G130" s="87">
        <f>IFERROR(VLOOKUP($A130,GanttChart!$A:$JD,264,FALSE),0)</f>
        <v>0</v>
      </c>
      <c r="H130" s="88"/>
      <c r="I130" s="87">
        <f t="shared" si="0"/>
        <v>0</v>
      </c>
    </row>
    <row r="131" spans="1:9" ht="18.75" hidden="1" x14ac:dyDescent="0.45">
      <c r="A131" s="80">
        <v>6.18</v>
      </c>
      <c r="C131" s="85">
        <f>IFERROR(VLOOKUP($A131,GanttChart!$A:$JD,2,FALSE),"خطا")</f>
        <v>0</v>
      </c>
      <c r="D131" s="86">
        <f>IFERROR(VLOOKUP($A131,GanttChart!$A:$JD,261,FALSE),0)</f>
        <v>0</v>
      </c>
      <c r="E131" s="86">
        <f>IFERROR(VLOOKUP($A131,GanttChart!$A:$JD,262,FALSE),0)</f>
        <v>0</v>
      </c>
      <c r="F131" s="86">
        <f>IFERROR(VLOOKUP($A131,GanttChart!$A:$JD,263,FALSE),0)</f>
        <v>0</v>
      </c>
      <c r="G131" s="87">
        <f>IFERROR(VLOOKUP($A131,GanttChart!$A:$JD,264,FALSE),0)</f>
        <v>0</v>
      </c>
      <c r="H131" s="88"/>
      <c r="I131" s="87">
        <f t="shared" si="0"/>
        <v>0</v>
      </c>
    </row>
    <row r="132" spans="1:9" ht="18.75" hidden="1" x14ac:dyDescent="0.45">
      <c r="A132" s="80">
        <v>6.19</v>
      </c>
      <c r="C132" s="85">
        <f>IFERROR(VLOOKUP($A132,GanttChart!$A:$JD,2,FALSE),"خطا")</f>
        <v>0</v>
      </c>
      <c r="D132" s="86">
        <f>IFERROR(VLOOKUP($A132,GanttChart!$A:$JD,261,FALSE),0)</f>
        <v>0</v>
      </c>
      <c r="E132" s="86">
        <f>IFERROR(VLOOKUP($A132,GanttChart!$A:$JD,262,FALSE),0)</f>
        <v>0</v>
      </c>
      <c r="F132" s="86">
        <f>IFERROR(VLOOKUP($A132,GanttChart!$A:$JD,263,FALSE),0)</f>
        <v>0</v>
      </c>
      <c r="G132" s="87">
        <f>IFERROR(VLOOKUP($A132,GanttChart!$A:$JD,264,FALSE),0)</f>
        <v>0</v>
      </c>
      <c r="H132" s="88"/>
      <c r="I132" s="87">
        <f t="shared" si="0"/>
        <v>0</v>
      </c>
    </row>
    <row r="133" spans="1:9" ht="18.75" hidden="1" x14ac:dyDescent="0.45">
      <c r="A133" s="80">
        <v>6.21</v>
      </c>
      <c r="C133" s="85">
        <f>IFERROR(VLOOKUP($A133,GanttChart!$A:$JD,2,FALSE),"خطا")</f>
        <v>0</v>
      </c>
      <c r="D133" s="86">
        <f>IFERROR(VLOOKUP($A133,GanttChart!$A:$JD,261,FALSE),0)</f>
        <v>0</v>
      </c>
      <c r="E133" s="86">
        <f>IFERROR(VLOOKUP($A133,GanttChart!$A:$JD,262,FALSE),0)</f>
        <v>0</v>
      </c>
      <c r="F133" s="86">
        <f>IFERROR(VLOOKUP($A133,GanttChart!$A:$JD,263,FALSE),0)</f>
        <v>0</v>
      </c>
      <c r="G133" s="87">
        <f>IFERROR(VLOOKUP($A133,GanttChart!$A:$JD,264,FALSE),0)</f>
        <v>0</v>
      </c>
      <c r="H133" s="88"/>
      <c r="I133" s="87">
        <f t="shared" si="0"/>
        <v>0</v>
      </c>
    </row>
    <row r="134" spans="1:9" ht="18.75" hidden="1" x14ac:dyDescent="0.45">
      <c r="A134" s="80">
        <v>6.22</v>
      </c>
      <c r="C134" s="85">
        <f>IFERROR(VLOOKUP($A134,GanttChart!$A:$JD,2,FALSE),"خطا")</f>
        <v>0</v>
      </c>
      <c r="D134" s="86">
        <f>IFERROR(VLOOKUP($A134,GanttChart!$A:$JD,261,FALSE),0)</f>
        <v>0</v>
      </c>
      <c r="E134" s="86">
        <f>IFERROR(VLOOKUP($A134,GanttChart!$A:$JD,262,FALSE),0)</f>
        <v>0</v>
      </c>
      <c r="F134" s="86">
        <f>IFERROR(VLOOKUP($A134,GanttChart!$A:$JD,263,FALSE),0)</f>
        <v>0</v>
      </c>
      <c r="G134" s="87">
        <f>IFERROR(VLOOKUP($A134,GanttChart!$A:$JD,264,FALSE),0)</f>
        <v>0</v>
      </c>
      <c r="H134" s="88"/>
      <c r="I134" s="87">
        <f t="shared" si="0"/>
        <v>0</v>
      </c>
    </row>
    <row r="135" spans="1:9" ht="18.75" hidden="1" x14ac:dyDescent="0.45">
      <c r="A135" s="80">
        <v>6.23</v>
      </c>
      <c r="C135" s="85">
        <f>IFERROR(VLOOKUP($A135,GanttChart!$A:$JD,2,FALSE),"خطا")</f>
        <v>0</v>
      </c>
      <c r="D135" s="86">
        <f>IFERROR(VLOOKUP($A135,GanttChart!$A:$JD,261,FALSE),0)</f>
        <v>0</v>
      </c>
      <c r="E135" s="86">
        <f>IFERROR(VLOOKUP($A135,GanttChart!$A:$JD,262,FALSE),0)</f>
        <v>0</v>
      </c>
      <c r="F135" s="86">
        <f>IFERROR(VLOOKUP($A135,GanttChart!$A:$JD,263,FALSE),0)</f>
        <v>0</v>
      </c>
      <c r="G135" s="87">
        <f>IFERROR(VLOOKUP($A135,GanttChart!$A:$JD,264,FALSE),0)</f>
        <v>0</v>
      </c>
      <c r="H135" s="88"/>
      <c r="I135" s="87">
        <f t="shared" si="0"/>
        <v>0</v>
      </c>
    </row>
    <row r="136" spans="1:9" ht="31.5" x14ac:dyDescent="0.45">
      <c r="A136" s="80">
        <v>7</v>
      </c>
      <c r="C136" s="85" t="str">
        <f>IFERROR(VLOOKUP($A136,GanttChart!$A:$JD,2,FALSE),"خطا")</f>
        <v>ارائه خدمات اجرایی موضوع ردیف 5 جدول ب قرارداد پیاده سازی (آموزش حضوری)</v>
      </c>
      <c r="D136" s="86">
        <f>SUM(D137:D157)</f>
        <v>0</v>
      </c>
      <c r="E136" s="86">
        <f>SUM(E137:E157)</f>
        <v>8.3333333333333329E-2</v>
      </c>
      <c r="F136" s="86">
        <f>SUM(F137:F157)</f>
        <v>1.0416666666666667</v>
      </c>
      <c r="G136" s="87">
        <f>SUM(G137:G157)</f>
        <v>15707000</v>
      </c>
      <c r="H136" s="244">
        <v>1</v>
      </c>
      <c r="I136" s="87">
        <f t="shared" si="0"/>
        <v>0</v>
      </c>
    </row>
    <row r="137" spans="1:9" ht="18.75" hidden="1" x14ac:dyDescent="0.45">
      <c r="A137" s="80">
        <v>7.1</v>
      </c>
      <c r="C137" s="85" t="str">
        <f>IFERROR(VLOOKUP($A137,GanttChart!$A:$JD,2,FALSE),"خطا")</f>
        <v>ارائه طرح آموزش و برنامه زمانبندی برگزاری جلسات آموزشی</v>
      </c>
      <c r="D137" s="86">
        <f>IFERROR(VLOOKUP($A137,GanttChart!$A:$JD,261,FALSE),0)</f>
        <v>0</v>
      </c>
      <c r="E137" s="86">
        <f>IFERROR(VLOOKUP($A137,GanttChart!$A:$JD,262,FALSE),0)</f>
        <v>8.3333333333333329E-2</v>
      </c>
      <c r="F137" s="86">
        <f>IFERROR(VLOOKUP($A137,GanttChart!$A:$JD,263,FALSE),0)</f>
        <v>0</v>
      </c>
      <c r="G137" s="87">
        <f>IFERROR(VLOOKUP($A137,GanttChart!$A:$JD,264,FALSE),0)</f>
        <v>1832000</v>
      </c>
      <c r="H137" s="88"/>
      <c r="I137" s="87">
        <f t="shared" si="0"/>
        <v>1832000</v>
      </c>
    </row>
    <row r="138" spans="1:9" ht="31.5" hidden="1" x14ac:dyDescent="0.45">
      <c r="A138" s="80">
        <v>7.2</v>
      </c>
      <c r="C138" s="85" t="str">
        <f>IFERROR(VLOOKUP($A138,GanttChart!$A:$JD,2,FALSE),"خطا")</f>
        <v>برگزاری جلسات آموزش راهبری و به روزرسانی محتوا و مدیریت پورتال مطابق پیوست شماره 5 و ردیف 5 جدول ب قرارداد</v>
      </c>
      <c r="D138" s="86">
        <f>IFERROR(VLOOKUP($A138,GanttChart!$A:$JD,261,FALSE),0)</f>
        <v>0</v>
      </c>
      <c r="E138" s="86">
        <f>IFERROR(VLOOKUP($A138,GanttChart!$A:$JD,262,FALSE),0)</f>
        <v>0</v>
      </c>
      <c r="F138" s="86">
        <f>IFERROR(VLOOKUP($A138,GanttChart!$A:$JD,263,FALSE),0)</f>
        <v>1.0416666666666667</v>
      </c>
      <c r="G138" s="87">
        <f>IFERROR(VLOOKUP($A138,GanttChart!$A:$JD,264,FALSE),0)</f>
        <v>13875000</v>
      </c>
      <c r="H138" s="88"/>
      <c r="I138" s="87">
        <f t="shared" si="0"/>
        <v>13875000</v>
      </c>
    </row>
    <row r="139" spans="1:9" ht="18.75" hidden="1" x14ac:dyDescent="0.45">
      <c r="A139" s="80">
        <v>7.3</v>
      </c>
      <c r="C139" s="85">
        <f>IFERROR(VLOOKUP($A139,GanttChart!$A:$JD,2,FALSE),"خطا")</f>
        <v>0</v>
      </c>
      <c r="D139" s="86">
        <f>IFERROR(VLOOKUP($A139,GanttChart!$A:$JD,261,FALSE),0)</f>
        <v>0</v>
      </c>
      <c r="E139" s="86">
        <f>IFERROR(VLOOKUP($A139,GanttChart!$A:$JD,262,FALSE),0)</f>
        <v>0</v>
      </c>
      <c r="F139" s="86">
        <f>IFERROR(VLOOKUP($A139,GanttChart!$A:$JD,263,FALSE),0)</f>
        <v>0</v>
      </c>
      <c r="G139" s="87">
        <f>IFERROR(VLOOKUP($A139,GanttChart!$A:$JD,264,FALSE),0)</f>
        <v>0</v>
      </c>
      <c r="H139" s="88"/>
      <c r="I139" s="87">
        <f t="shared" si="0"/>
        <v>0</v>
      </c>
    </row>
    <row r="140" spans="1:9" ht="18.75" hidden="1" x14ac:dyDescent="0.45">
      <c r="A140" s="80">
        <v>7.4</v>
      </c>
      <c r="C140" s="85">
        <f>IFERROR(VLOOKUP($A140,GanttChart!$A:$JD,2,FALSE),"خطا")</f>
        <v>0</v>
      </c>
      <c r="D140" s="86">
        <f>IFERROR(VLOOKUP($A140,GanttChart!$A:$JD,261,FALSE),0)</f>
        <v>0</v>
      </c>
      <c r="E140" s="86">
        <f>IFERROR(VLOOKUP($A140,GanttChart!$A:$JD,262,FALSE),0)</f>
        <v>0</v>
      </c>
      <c r="F140" s="86">
        <f>IFERROR(VLOOKUP($A140,GanttChart!$A:$JD,263,FALSE),0)</f>
        <v>0</v>
      </c>
      <c r="G140" s="87">
        <f>IFERROR(VLOOKUP($A140,GanttChart!$A:$JD,264,FALSE),0)</f>
        <v>0</v>
      </c>
      <c r="H140" s="88"/>
      <c r="I140" s="87">
        <f t="shared" si="0"/>
        <v>0</v>
      </c>
    </row>
    <row r="141" spans="1:9" ht="18.75" hidden="1" x14ac:dyDescent="0.45">
      <c r="A141" s="80">
        <v>7.5</v>
      </c>
      <c r="C141" s="85">
        <f>IFERROR(VLOOKUP($A141,GanttChart!$A:$JD,2,FALSE),"خطا")</f>
        <v>0</v>
      </c>
      <c r="D141" s="86">
        <f>IFERROR(VLOOKUP($A141,GanttChart!$A:$JD,261,FALSE),0)</f>
        <v>0</v>
      </c>
      <c r="E141" s="86">
        <f>IFERROR(VLOOKUP($A141,GanttChart!$A:$JD,262,FALSE),0)</f>
        <v>0</v>
      </c>
      <c r="F141" s="86">
        <f>IFERROR(VLOOKUP($A141,GanttChart!$A:$JD,263,FALSE),0)</f>
        <v>0</v>
      </c>
      <c r="G141" s="87">
        <f>IFERROR(VLOOKUP($A141,GanttChart!$A:$JD,264,FALSE),0)</f>
        <v>0</v>
      </c>
      <c r="H141" s="88"/>
      <c r="I141" s="87">
        <f t="shared" si="0"/>
        <v>0</v>
      </c>
    </row>
    <row r="142" spans="1:9" ht="18.75" hidden="1" x14ac:dyDescent="0.45">
      <c r="A142" s="80">
        <v>7.6</v>
      </c>
      <c r="C142" s="85">
        <f>IFERROR(VLOOKUP($A142,GanttChart!$A:$JD,2,FALSE),"خطا")</f>
        <v>0</v>
      </c>
      <c r="D142" s="86">
        <f>IFERROR(VLOOKUP($A142,GanttChart!$A:$JD,261,FALSE),0)</f>
        <v>0</v>
      </c>
      <c r="E142" s="86">
        <f>IFERROR(VLOOKUP($A142,GanttChart!$A:$JD,262,FALSE),0)</f>
        <v>0</v>
      </c>
      <c r="F142" s="86">
        <f>IFERROR(VLOOKUP($A142,GanttChart!$A:$JD,263,FALSE),0)</f>
        <v>0</v>
      </c>
      <c r="G142" s="87">
        <f>IFERROR(VLOOKUP($A142,GanttChart!$A:$JD,264,FALSE),0)</f>
        <v>0</v>
      </c>
      <c r="H142" s="88"/>
      <c r="I142" s="87">
        <f t="shared" si="0"/>
        <v>0</v>
      </c>
    </row>
    <row r="143" spans="1:9" ht="18.75" hidden="1" x14ac:dyDescent="0.45">
      <c r="A143" s="80">
        <v>7.7</v>
      </c>
      <c r="C143" s="85">
        <f>IFERROR(VLOOKUP($A143,GanttChart!$A:$JD,2,FALSE),"خطا")</f>
        <v>0</v>
      </c>
      <c r="D143" s="86">
        <f>IFERROR(VLOOKUP($A143,GanttChart!$A:$JD,261,FALSE),0)</f>
        <v>0</v>
      </c>
      <c r="E143" s="86">
        <f>IFERROR(VLOOKUP($A143,GanttChart!$A:$JD,262,FALSE),0)</f>
        <v>0</v>
      </c>
      <c r="F143" s="86">
        <f>IFERROR(VLOOKUP($A143,GanttChart!$A:$JD,263,FALSE),0)</f>
        <v>0</v>
      </c>
      <c r="G143" s="87">
        <f>IFERROR(VLOOKUP($A143,GanttChart!$A:$JD,264,FALSE),0)</f>
        <v>0</v>
      </c>
      <c r="H143" s="88"/>
      <c r="I143" s="87">
        <f t="shared" si="0"/>
        <v>0</v>
      </c>
    </row>
    <row r="144" spans="1:9" ht="18.75" hidden="1" x14ac:dyDescent="0.45">
      <c r="A144" s="80">
        <v>7.8</v>
      </c>
      <c r="C144" s="85">
        <f>IFERROR(VLOOKUP($A144,GanttChart!$A:$JD,2,FALSE),"خطا")</f>
        <v>0</v>
      </c>
      <c r="D144" s="86">
        <f>IFERROR(VLOOKUP($A144,GanttChart!$A:$JD,261,FALSE),0)</f>
        <v>0</v>
      </c>
      <c r="E144" s="86">
        <f>IFERROR(VLOOKUP($A144,GanttChart!$A:$JD,262,FALSE),0)</f>
        <v>0</v>
      </c>
      <c r="F144" s="86">
        <f>IFERROR(VLOOKUP($A144,GanttChart!$A:$JD,263,FALSE),0)</f>
        <v>0</v>
      </c>
      <c r="G144" s="87">
        <f>IFERROR(VLOOKUP($A144,GanttChart!$A:$JD,264,FALSE),0)</f>
        <v>0</v>
      </c>
      <c r="H144" s="88"/>
      <c r="I144" s="87">
        <f t="shared" si="0"/>
        <v>0</v>
      </c>
    </row>
    <row r="145" spans="1:9" ht="18.75" hidden="1" x14ac:dyDescent="0.45">
      <c r="A145" s="80">
        <v>7.9</v>
      </c>
      <c r="C145" s="85">
        <f>IFERROR(VLOOKUP($A145,GanttChart!$A:$JD,2,FALSE),"خطا")</f>
        <v>0</v>
      </c>
      <c r="D145" s="86">
        <f>IFERROR(VLOOKUP($A145,GanttChart!$A:$JD,261,FALSE),0)</f>
        <v>0</v>
      </c>
      <c r="E145" s="86">
        <f>IFERROR(VLOOKUP($A145,GanttChart!$A:$JD,262,FALSE),0)</f>
        <v>0</v>
      </c>
      <c r="F145" s="86">
        <f>IFERROR(VLOOKUP($A145,GanttChart!$A:$JD,263,FALSE),0)</f>
        <v>0</v>
      </c>
      <c r="G145" s="87">
        <f>IFERROR(VLOOKUP($A145,GanttChart!$A:$JD,264,FALSE),0)</f>
        <v>0</v>
      </c>
      <c r="H145" s="88"/>
      <c r="I145" s="87">
        <f t="shared" si="0"/>
        <v>0</v>
      </c>
    </row>
    <row r="146" spans="1:9" ht="18.75" hidden="1" x14ac:dyDescent="0.45">
      <c r="A146" s="80">
        <v>7.11</v>
      </c>
      <c r="C146" s="85">
        <f>IFERROR(VLOOKUP($A146,GanttChart!$A:$JD,2,FALSE),"خطا")</f>
        <v>0</v>
      </c>
      <c r="D146" s="86">
        <f>IFERROR(VLOOKUP($A146,GanttChart!$A:$JD,261,FALSE),0)</f>
        <v>0</v>
      </c>
      <c r="E146" s="86">
        <f>IFERROR(VLOOKUP($A146,GanttChart!$A:$JD,262,FALSE),0)</f>
        <v>0</v>
      </c>
      <c r="F146" s="86">
        <f>IFERROR(VLOOKUP($A146,GanttChart!$A:$JD,263,FALSE),0)</f>
        <v>0</v>
      </c>
      <c r="G146" s="87">
        <f>IFERROR(VLOOKUP($A146,GanttChart!$A:$JD,264,FALSE),0)</f>
        <v>0</v>
      </c>
      <c r="H146" s="88"/>
      <c r="I146" s="87">
        <f t="shared" si="0"/>
        <v>0</v>
      </c>
    </row>
    <row r="147" spans="1:9" ht="18.75" hidden="1" x14ac:dyDescent="0.45">
      <c r="A147" s="80">
        <v>7.12</v>
      </c>
      <c r="C147" s="85">
        <f>IFERROR(VLOOKUP($A147,GanttChart!$A:$JD,2,FALSE),"خطا")</f>
        <v>0</v>
      </c>
      <c r="D147" s="86">
        <f>IFERROR(VLOOKUP($A147,GanttChart!$A:$JD,261,FALSE),0)</f>
        <v>0</v>
      </c>
      <c r="E147" s="86">
        <f>IFERROR(VLOOKUP($A147,GanttChart!$A:$JD,262,FALSE),0)</f>
        <v>0</v>
      </c>
      <c r="F147" s="86">
        <f>IFERROR(VLOOKUP($A147,GanttChart!$A:$JD,263,FALSE),0)</f>
        <v>0</v>
      </c>
      <c r="G147" s="87">
        <f>IFERROR(VLOOKUP($A147,GanttChart!$A:$JD,264,FALSE),0)</f>
        <v>0</v>
      </c>
      <c r="H147" s="88"/>
      <c r="I147" s="87">
        <f t="shared" si="0"/>
        <v>0</v>
      </c>
    </row>
    <row r="148" spans="1:9" ht="18.75" hidden="1" x14ac:dyDescent="0.45">
      <c r="A148" s="80">
        <v>7.13</v>
      </c>
      <c r="C148" s="85">
        <f>IFERROR(VLOOKUP($A148,GanttChart!$A:$JD,2,FALSE),"خطا")</f>
        <v>0</v>
      </c>
      <c r="D148" s="86">
        <f>IFERROR(VLOOKUP($A148,GanttChart!$A:$JD,261,FALSE),0)</f>
        <v>0</v>
      </c>
      <c r="E148" s="86">
        <f>IFERROR(VLOOKUP($A148,GanttChart!$A:$JD,262,FALSE),0)</f>
        <v>0</v>
      </c>
      <c r="F148" s="86">
        <f>IFERROR(VLOOKUP($A148,GanttChart!$A:$JD,263,FALSE),0)</f>
        <v>0</v>
      </c>
      <c r="G148" s="87">
        <f>IFERROR(VLOOKUP($A148,GanttChart!$A:$JD,264,FALSE),0)</f>
        <v>0</v>
      </c>
      <c r="H148" s="88"/>
      <c r="I148" s="87">
        <f t="shared" si="0"/>
        <v>0</v>
      </c>
    </row>
    <row r="149" spans="1:9" ht="18.75" hidden="1" x14ac:dyDescent="0.45">
      <c r="A149" s="80">
        <v>7.14</v>
      </c>
      <c r="C149" s="85">
        <f>IFERROR(VLOOKUP($A149,GanttChart!$A:$JD,2,FALSE),"خطا")</f>
        <v>0</v>
      </c>
      <c r="D149" s="86">
        <f>IFERROR(VLOOKUP($A149,GanttChart!$A:$JD,261,FALSE),0)</f>
        <v>0</v>
      </c>
      <c r="E149" s="86">
        <f>IFERROR(VLOOKUP($A149,GanttChart!$A:$JD,262,FALSE),0)</f>
        <v>0</v>
      </c>
      <c r="F149" s="86">
        <f>IFERROR(VLOOKUP($A149,GanttChart!$A:$JD,263,FALSE),0)</f>
        <v>0</v>
      </c>
      <c r="G149" s="87">
        <f>IFERROR(VLOOKUP($A149,GanttChart!$A:$JD,264,FALSE),0)</f>
        <v>0</v>
      </c>
      <c r="H149" s="88"/>
      <c r="I149" s="87">
        <f t="shared" si="0"/>
        <v>0</v>
      </c>
    </row>
    <row r="150" spans="1:9" ht="18.75" hidden="1" x14ac:dyDescent="0.45">
      <c r="A150" s="80">
        <v>7.15</v>
      </c>
      <c r="C150" s="85">
        <f>IFERROR(VLOOKUP($A150,GanttChart!$A:$JD,2,FALSE),"خطا")</f>
        <v>0</v>
      </c>
      <c r="D150" s="86">
        <f>IFERROR(VLOOKUP($A150,GanttChart!$A:$JD,261,FALSE),0)</f>
        <v>0</v>
      </c>
      <c r="E150" s="86">
        <f>IFERROR(VLOOKUP($A150,GanttChart!$A:$JD,262,FALSE),0)</f>
        <v>0</v>
      </c>
      <c r="F150" s="86">
        <f>IFERROR(VLOOKUP($A150,GanttChart!$A:$JD,263,FALSE),0)</f>
        <v>0</v>
      </c>
      <c r="G150" s="87">
        <f>IFERROR(VLOOKUP($A150,GanttChart!$A:$JD,264,FALSE),0)</f>
        <v>0</v>
      </c>
      <c r="H150" s="88"/>
      <c r="I150" s="87">
        <f t="shared" si="0"/>
        <v>0</v>
      </c>
    </row>
    <row r="151" spans="1:9" ht="18.75" hidden="1" x14ac:dyDescent="0.45">
      <c r="A151" s="80">
        <v>7.16</v>
      </c>
      <c r="C151" s="85">
        <f>IFERROR(VLOOKUP($A151,GanttChart!$A:$JD,2,FALSE),"خطا")</f>
        <v>0</v>
      </c>
      <c r="D151" s="86">
        <f>IFERROR(VLOOKUP($A151,GanttChart!$A:$JD,261,FALSE),0)</f>
        <v>0</v>
      </c>
      <c r="E151" s="86">
        <f>IFERROR(VLOOKUP($A151,GanttChart!$A:$JD,262,FALSE),0)</f>
        <v>0</v>
      </c>
      <c r="F151" s="86">
        <f>IFERROR(VLOOKUP($A151,GanttChart!$A:$JD,263,FALSE),0)</f>
        <v>0</v>
      </c>
      <c r="G151" s="87">
        <f>IFERROR(VLOOKUP($A151,GanttChart!$A:$JD,264,FALSE),0)</f>
        <v>0</v>
      </c>
      <c r="H151" s="88"/>
      <c r="I151" s="87">
        <f t="shared" si="0"/>
        <v>0</v>
      </c>
    </row>
    <row r="152" spans="1:9" ht="18.75" hidden="1" x14ac:dyDescent="0.45">
      <c r="A152" s="80">
        <v>7.17</v>
      </c>
      <c r="C152" s="85">
        <f>IFERROR(VLOOKUP($A152,GanttChart!$A:$JD,2,FALSE),"خطا")</f>
        <v>0</v>
      </c>
      <c r="D152" s="86">
        <f>IFERROR(VLOOKUP($A152,GanttChart!$A:$JD,261,FALSE),0)</f>
        <v>0</v>
      </c>
      <c r="E152" s="86">
        <f>IFERROR(VLOOKUP($A152,GanttChart!$A:$JD,262,FALSE),0)</f>
        <v>0</v>
      </c>
      <c r="F152" s="86">
        <f>IFERROR(VLOOKUP($A152,GanttChart!$A:$JD,263,FALSE),0)</f>
        <v>0</v>
      </c>
      <c r="G152" s="87">
        <f>IFERROR(VLOOKUP($A152,GanttChart!$A:$JD,264,FALSE),0)</f>
        <v>0</v>
      </c>
      <c r="H152" s="88"/>
      <c r="I152" s="87">
        <f t="shared" si="0"/>
        <v>0</v>
      </c>
    </row>
    <row r="153" spans="1:9" ht="18.75" hidden="1" x14ac:dyDescent="0.45">
      <c r="A153" s="80">
        <v>7.18</v>
      </c>
      <c r="C153" s="85">
        <f>IFERROR(VLOOKUP($A153,GanttChart!$A:$JD,2,FALSE),"خطا")</f>
        <v>0</v>
      </c>
      <c r="D153" s="86">
        <f>IFERROR(VLOOKUP($A153,GanttChart!$A:$JD,261,FALSE),0)</f>
        <v>0</v>
      </c>
      <c r="E153" s="86">
        <f>IFERROR(VLOOKUP($A153,GanttChart!$A:$JD,262,FALSE),0)</f>
        <v>0</v>
      </c>
      <c r="F153" s="86">
        <f>IFERROR(VLOOKUP($A153,GanttChart!$A:$JD,263,FALSE),0)</f>
        <v>0</v>
      </c>
      <c r="G153" s="87">
        <f>IFERROR(VLOOKUP($A153,GanttChart!$A:$JD,264,FALSE),0)</f>
        <v>0</v>
      </c>
      <c r="H153" s="88"/>
      <c r="I153" s="87">
        <f t="shared" si="0"/>
        <v>0</v>
      </c>
    </row>
    <row r="154" spans="1:9" ht="18.75" hidden="1" x14ac:dyDescent="0.45">
      <c r="A154" s="80">
        <v>7.19</v>
      </c>
      <c r="C154" s="85">
        <f>IFERROR(VLOOKUP($A154,GanttChart!$A:$JD,2,FALSE),"خطا")</f>
        <v>0</v>
      </c>
      <c r="D154" s="86">
        <f>IFERROR(VLOOKUP($A154,GanttChart!$A:$JD,261,FALSE),0)</f>
        <v>0</v>
      </c>
      <c r="E154" s="86">
        <f>IFERROR(VLOOKUP($A154,GanttChart!$A:$JD,262,FALSE),0)</f>
        <v>0</v>
      </c>
      <c r="F154" s="86">
        <f>IFERROR(VLOOKUP($A154,GanttChart!$A:$JD,263,FALSE),0)</f>
        <v>0</v>
      </c>
      <c r="G154" s="87">
        <f>IFERROR(VLOOKUP($A154,GanttChart!$A:$JD,264,FALSE),0)</f>
        <v>0</v>
      </c>
      <c r="H154" s="88"/>
      <c r="I154" s="87">
        <f t="shared" si="0"/>
        <v>0</v>
      </c>
    </row>
    <row r="155" spans="1:9" ht="18.75" hidden="1" x14ac:dyDescent="0.45">
      <c r="A155" s="80">
        <v>7.21</v>
      </c>
      <c r="C155" s="85">
        <f>IFERROR(VLOOKUP($A155,GanttChart!$A:$JD,2,FALSE),"خطا")</f>
        <v>0</v>
      </c>
      <c r="D155" s="86">
        <f>IFERROR(VLOOKUP($A155,GanttChart!$A:$JD,261,FALSE),0)</f>
        <v>0</v>
      </c>
      <c r="E155" s="86">
        <f>IFERROR(VLOOKUP($A155,GanttChart!$A:$JD,262,FALSE),0)</f>
        <v>0</v>
      </c>
      <c r="F155" s="86">
        <f>IFERROR(VLOOKUP($A155,GanttChart!$A:$JD,263,FALSE),0)</f>
        <v>0</v>
      </c>
      <c r="G155" s="87">
        <f>IFERROR(VLOOKUP($A155,GanttChart!$A:$JD,264,FALSE),0)</f>
        <v>0</v>
      </c>
      <c r="H155" s="88"/>
      <c r="I155" s="87">
        <f t="shared" si="0"/>
        <v>0</v>
      </c>
    </row>
    <row r="156" spans="1:9" ht="18.75" hidden="1" x14ac:dyDescent="0.45">
      <c r="A156" s="80">
        <v>7.22</v>
      </c>
      <c r="C156" s="85">
        <f>IFERROR(VLOOKUP($A156,GanttChart!$A:$JD,2,FALSE),"خطا")</f>
        <v>0</v>
      </c>
      <c r="D156" s="86">
        <f>IFERROR(VLOOKUP($A156,GanttChart!$A:$JD,261,FALSE),0)</f>
        <v>0</v>
      </c>
      <c r="E156" s="86">
        <f>IFERROR(VLOOKUP($A156,GanttChart!$A:$JD,262,FALSE),0)</f>
        <v>0</v>
      </c>
      <c r="F156" s="86">
        <f>IFERROR(VLOOKUP($A156,GanttChart!$A:$JD,263,FALSE),0)</f>
        <v>0</v>
      </c>
      <c r="G156" s="87">
        <f>IFERROR(VLOOKUP($A156,GanttChart!$A:$JD,264,FALSE),0)</f>
        <v>0</v>
      </c>
      <c r="H156" s="88"/>
      <c r="I156" s="87">
        <f t="shared" si="0"/>
        <v>0</v>
      </c>
    </row>
    <row r="157" spans="1:9" ht="18.75" hidden="1" x14ac:dyDescent="0.45">
      <c r="A157" s="80">
        <v>7.23</v>
      </c>
      <c r="C157" s="85">
        <f>IFERROR(VLOOKUP($A157,GanttChart!$A:$JD,2,FALSE),"خطا")</f>
        <v>0</v>
      </c>
      <c r="D157" s="86">
        <f>IFERROR(VLOOKUP($A157,GanttChart!$A:$JD,261,FALSE),0)</f>
        <v>0</v>
      </c>
      <c r="E157" s="86">
        <f>IFERROR(VLOOKUP($A157,GanttChart!$A:$JD,262,FALSE),0)</f>
        <v>0</v>
      </c>
      <c r="F157" s="86">
        <f>IFERROR(VLOOKUP($A157,GanttChart!$A:$JD,263,FALSE),0)</f>
        <v>0</v>
      </c>
      <c r="G157" s="87">
        <f>IFERROR(VLOOKUP($A157,GanttChart!$A:$JD,264,FALSE),0)</f>
        <v>0</v>
      </c>
      <c r="H157" s="88"/>
      <c r="I157" s="87">
        <f t="shared" si="0"/>
        <v>0</v>
      </c>
    </row>
    <row r="158" spans="1:9" ht="18.75" x14ac:dyDescent="0.45">
      <c r="A158" s="80">
        <v>8</v>
      </c>
      <c r="C158" s="85" t="str">
        <f>IFERROR(VLOOKUP($A158,GanttChart!$A:$JD,2,FALSE),"خطا")</f>
        <v>تحویل نهايي دستاوردهای پروژه</v>
      </c>
      <c r="D158" s="86">
        <f>SUM(D159:D179)</f>
        <v>0</v>
      </c>
      <c r="E158" s="86">
        <f>SUM(E159:E179)</f>
        <v>0.25</v>
      </c>
      <c r="F158" s="86">
        <f>SUM(F159:F179)</f>
        <v>8.3333333333333329E-2</v>
      </c>
      <c r="G158" s="87">
        <f>SUM(G159:G179)</f>
        <v>6606000</v>
      </c>
      <c r="H158" s="244">
        <v>1</v>
      </c>
      <c r="I158" s="87">
        <f t="shared" si="0"/>
        <v>0</v>
      </c>
    </row>
    <row r="159" spans="1:9" ht="31.5" hidden="1" x14ac:dyDescent="0.45">
      <c r="A159" s="80">
        <v>8.1</v>
      </c>
      <c r="C159" s="85" t="str">
        <f>IFERROR(VLOOKUP($A159,GanttChart!$A:$JD,2,FALSE),"خطا")</f>
        <v>راه اندازی سرور میرور و پیکربندی امنیتی و اطمینان از صحت عملکرد رویه های پشتیبان گیری</v>
      </c>
      <c r="D159" s="86">
        <f>IFERROR(VLOOKUP($A159,GanttChart!$A:$JD,261,FALSE),0)</f>
        <v>0</v>
      </c>
      <c r="E159" s="86">
        <f>IFERROR(VLOOKUP($A159,GanttChart!$A:$JD,262,FALSE),0)</f>
        <v>0.16666666666666666</v>
      </c>
      <c r="F159" s="86">
        <f>IFERROR(VLOOKUP($A159,GanttChart!$A:$JD,263,FALSE),0)</f>
        <v>0</v>
      </c>
      <c r="G159" s="87">
        <f>IFERROR(VLOOKUP($A159,GanttChart!$A:$JD,264,FALSE),0)</f>
        <v>3664000</v>
      </c>
      <c r="H159" s="88"/>
      <c r="I159" s="87">
        <f t="shared" si="0"/>
        <v>3664000</v>
      </c>
    </row>
    <row r="160" spans="1:9" ht="18.75" hidden="1" x14ac:dyDescent="0.45">
      <c r="A160" s="80">
        <v>8.1999999999999993</v>
      </c>
      <c r="C160" s="85" t="str">
        <f>IFERROR(VLOOKUP($A160,GanttChart!$A:$JD,2,FALSE),"خطا")</f>
        <v>انتقال پورتال به دامنه اصلی کارفرما</v>
      </c>
      <c r="D160" s="86">
        <f>IFERROR(VLOOKUP($A160,GanttChart!$A:$JD,261,FALSE),0)</f>
        <v>0</v>
      </c>
      <c r="E160" s="86">
        <f>IFERROR(VLOOKUP($A160,GanttChart!$A:$JD,262,FALSE),0)</f>
        <v>8.3333333333333329E-2</v>
      </c>
      <c r="F160" s="86">
        <f>IFERROR(VLOOKUP($A160,GanttChart!$A:$JD,263,FALSE),0)</f>
        <v>8.3333333333333329E-2</v>
      </c>
      <c r="G160" s="87">
        <f>IFERROR(VLOOKUP($A160,GanttChart!$A:$JD,264,FALSE),0)</f>
        <v>2942000</v>
      </c>
      <c r="H160" s="88"/>
      <c r="I160" s="87">
        <f t="shared" si="0"/>
        <v>2942000</v>
      </c>
    </row>
    <row r="161" spans="1:9" ht="18.75" hidden="1" x14ac:dyDescent="0.45">
      <c r="A161" s="91">
        <v>8.3000000000000007</v>
      </c>
      <c r="C161" s="85">
        <f>IFERROR(VLOOKUP($A161,GanttChart!$A:$JD,2,FALSE),"خطا")</f>
        <v>0</v>
      </c>
      <c r="D161" s="86">
        <f>IFERROR(VLOOKUP($A161,GanttChart!$A:$JD,261,FALSE),0)</f>
        <v>0</v>
      </c>
      <c r="E161" s="86">
        <f>IFERROR(VLOOKUP($A161,GanttChart!$A:$JD,262,FALSE),0)</f>
        <v>0</v>
      </c>
      <c r="F161" s="86">
        <f>IFERROR(VLOOKUP($A161,GanttChart!$A:$JD,263,FALSE),0)</f>
        <v>0</v>
      </c>
      <c r="G161" s="87">
        <f>IFERROR(VLOOKUP($A161,GanttChart!$A:$JD,264,FALSE),0)</f>
        <v>0</v>
      </c>
      <c r="H161" s="92"/>
      <c r="I161" s="87">
        <f t="shared" ref="I161:I179" si="1">G161-(H161*G161)</f>
        <v>0</v>
      </c>
    </row>
    <row r="162" spans="1:9" ht="18.75" hidden="1" x14ac:dyDescent="0.45">
      <c r="A162" s="91">
        <v>8.4</v>
      </c>
      <c r="C162" s="85">
        <f>IFERROR(VLOOKUP($A162,GanttChart!$A:$JD,2,FALSE),"خطا")</f>
        <v>0</v>
      </c>
      <c r="D162" s="86">
        <f>IFERROR(VLOOKUP($A162,GanttChart!$A:$JD,261,FALSE),0)</f>
        <v>0</v>
      </c>
      <c r="E162" s="86">
        <f>IFERROR(VLOOKUP($A162,GanttChart!$A:$JD,262,FALSE),0)</f>
        <v>0</v>
      </c>
      <c r="F162" s="86">
        <f>IFERROR(VLOOKUP($A162,GanttChart!$A:$JD,263,FALSE),0)</f>
        <v>0</v>
      </c>
      <c r="G162" s="87">
        <f>IFERROR(VLOOKUP($A162,GanttChart!$A:$JD,264,FALSE),0)</f>
        <v>0</v>
      </c>
      <c r="H162" s="92"/>
      <c r="I162" s="87">
        <f t="shared" si="1"/>
        <v>0</v>
      </c>
    </row>
    <row r="163" spans="1:9" ht="18.75" hidden="1" x14ac:dyDescent="0.45">
      <c r="A163" s="80">
        <v>8.5</v>
      </c>
      <c r="C163" s="85">
        <f>IFERROR(VLOOKUP($A163,GanttChart!$A:$JD,2,FALSE),"خطا")</f>
        <v>0</v>
      </c>
      <c r="D163" s="86">
        <f>IFERROR(VLOOKUP($A163,GanttChart!$A:$JD,261,FALSE),0)</f>
        <v>0</v>
      </c>
      <c r="E163" s="86">
        <f>IFERROR(VLOOKUP($A163,GanttChart!$A:$JD,262,FALSE),0)</f>
        <v>0</v>
      </c>
      <c r="F163" s="86">
        <f>IFERROR(VLOOKUP($A163,GanttChart!$A:$JD,263,FALSE),0)</f>
        <v>0</v>
      </c>
      <c r="G163" s="87">
        <f>IFERROR(VLOOKUP($A163,GanttChart!$A:$JD,264,FALSE),0)</f>
        <v>0</v>
      </c>
      <c r="H163" s="92"/>
      <c r="I163" s="87">
        <f t="shared" si="1"/>
        <v>0</v>
      </c>
    </row>
    <row r="164" spans="1:9" ht="18.75" hidden="1" x14ac:dyDescent="0.45">
      <c r="A164" s="91">
        <v>8.6</v>
      </c>
      <c r="C164" s="85">
        <f>IFERROR(VLOOKUP($A164,GanttChart!$A:$JD,2,FALSE),"خطا")</f>
        <v>0</v>
      </c>
      <c r="D164" s="86">
        <f>IFERROR(VLOOKUP($A164,GanttChart!$A:$JD,261,FALSE),0)</f>
        <v>0</v>
      </c>
      <c r="E164" s="86">
        <f>IFERROR(VLOOKUP($A164,GanttChart!$A:$JD,262,FALSE),0)</f>
        <v>0</v>
      </c>
      <c r="F164" s="86">
        <f>IFERROR(VLOOKUP($A164,GanttChart!$A:$JD,263,FALSE),0)</f>
        <v>0</v>
      </c>
      <c r="G164" s="87">
        <f>IFERROR(VLOOKUP($A164,GanttChart!$A:$JD,264,FALSE),0)</f>
        <v>0</v>
      </c>
      <c r="H164" s="92"/>
      <c r="I164" s="87">
        <f t="shared" si="1"/>
        <v>0</v>
      </c>
    </row>
    <row r="165" spans="1:9" ht="18.75" hidden="1" x14ac:dyDescent="0.45">
      <c r="A165" s="91">
        <v>8.7000000000000099</v>
      </c>
      <c r="C165" s="85" t="str">
        <f>IFERROR(VLOOKUP($A165,GanttChart!$A:$JD,2,FALSE),"خطا")</f>
        <v>خطا</v>
      </c>
      <c r="D165" s="86">
        <f>IFERROR(VLOOKUP($A165,GanttChart!$A:$JD,261,FALSE),0)</f>
        <v>0</v>
      </c>
      <c r="E165" s="86">
        <f>IFERROR(VLOOKUP($A165,GanttChart!$A:$JD,262,FALSE),0)</f>
        <v>0</v>
      </c>
      <c r="F165" s="86">
        <f>IFERROR(VLOOKUP($A165,GanttChart!$A:$JD,263,FALSE),0)</f>
        <v>0</v>
      </c>
      <c r="G165" s="87">
        <f>IFERROR(VLOOKUP($A165,GanttChart!$A:$JD,264,FALSE),0)</f>
        <v>0</v>
      </c>
      <c r="H165" s="92"/>
      <c r="I165" s="87">
        <f t="shared" si="1"/>
        <v>0</v>
      </c>
    </row>
    <row r="166" spans="1:9" ht="18.75" hidden="1" x14ac:dyDescent="0.45">
      <c r="A166" s="80">
        <v>8.8000000000000096</v>
      </c>
      <c r="C166" s="85" t="str">
        <f>IFERROR(VLOOKUP($A166,GanttChart!$A:$JD,2,FALSE),"خطا")</f>
        <v>خطا</v>
      </c>
      <c r="D166" s="86">
        <f>IFERROR(VLOOKUP($A166,GanttChart!$A:$JD,261,FALSE),0)</f>
        <v>0</v>
      </c>
      <c r="E166" s="86">
        <f>IFERROR(VLOOKUP($A166,GanttChart!$A:$JD,262,FALSE),0)</f>
        <v>0</v>
      </c>
      <c r="F166" s="86">
        <f>IFERROR(VLOOKUP($A166,GanttChart!$A:$JD,263,FALSE),0)</f>
        <v>0</v>
      </c>
      <c r="G166" s="87">
        <f>IFERROR(VLOOKUP($A166,GanttChart!$A:$JD,264,FALSE),0)</f>
        <v>0</v>
      </c>
      <c r="H166" s="92"/>
      <c r="I166" s="87">
        <f t="shared" si="1"/>
        <v>0</v>
      </c>
    </row>
    <row r="167" spans="1:9" ht="18.75" hidden="1" x14ac:dyDescent="0.45">
      <c r="A167" s="91">
        <v>8.9000000000000092</v>
      </c>
      <c r="C167" s="85" t="str">
        <f>IFERROR(VLOOKUP($A167,GanttChart!$A:$JD,2,FALSE),"خطا")</f>
        <v>خطا</v>
      </c>
      <c r="D167" s="86">
        <f>IFERROR(VLOOKUP($A167,GanttChart!$A:$JD,261,FALSE),0)</f>
        <v>0</v>
      </c>
      <c r="E167" s="86">
        <f>IFERROR(VLOOKUP($A167,GanttChart!$A:$JD,262,FALSE),0)</f>
        <v>0</v>
      </c>
      <c r="F167" s="86">
        <f>IFERROR(VLOOKUP($A167,GanttChart!$A:$JD,263,FALSE),0)</f>
        <v>0</v>
      </c>
      <c r="G167" s="87">
        <f>IFERROR(VLOOKUP($A167,GanttChart!$A:$JD,264,FALSE),0)</f>
        <v>0</v>
      </c>
      <c r="H167" s="92"/>
      <c r="I167" s="87">
        <f t="shared" si="1"/>
        <v>0</v>
      </c>
    </row>
    <row r="168" spans="1:9" ht="18.75" hidden="1" x14ac:dyDescent="0.45">
      <c r="A168" s="91">
        <v>8.11</v>
      </c>
      <c r="C168" s="85">
        <f>IFERROR(VLOOKUP($A168,GanttChart!$A:$JD,2,FALSE),"خطا")</f>
        <v>0</v>
      </c>
      <c r="D168" s="86">
        <f>IFERROR(VLOOKUP($A168,GanttChart!$A:$JD,261,FALSE),0)</f>
        <v>0</v>
      </c>
      <c r="E168" s="86">
        <f>IFERROR(VLOOKUP($A168,GanttChart!$A:$JD,262,FALSE),0)</f>
        <v>0</v>
      </c>
      <c r="F168" s="86">
        <f>IFERROR(VLOOKUP($A168,GanttChart!$A:$JD,263,FALSE),0)</f>
        <v>0</v>
      </c>
      <c r="G168" s="87">
        <f>IFERROR(VLOOKUP($A168,GanttChart!$A:$JD,264,FALSE),0)</f>
        <v>0</v>
      </c>
      <c r="H168" s="92"/>
      <c r="I168" s="87">
        <f t="shared" si="1"/>
        <v>0</v>
      </c>
    </row>
    <row r="169" spans="1:9" ht="18.75" hidden="1" x14ac:dyDescent="0.45">
      <c r="A169" s="91">
        <v>8.1199999999999992</v>
      </c>
      <c r="C169" s="85">
        <f>IFERROR(VLOOKUP($A169,GanttChart!$A:$JD,2,FALSE),"خطا")</f>
        <v>0</v>
      </c>
      <c r="D169" s="86">
        <f>IFERROR(VLOOKUP($A169,GanttChart!$A:$JD,261,FALSE),0)</f>
        <v>0</v>
      </c>
      <c r="E169" s="86">
        <f>IFERROR(VLOOKUP($A169,GanttChart!$A:$JD,262,FALSE),0)</f>
        <v>0</v>
      </c>
      <c r="F169" s="86">
        <f>IFERROR(VLOOKUP($A169,GanttChart!$A:$JD,263,FALSE),0)</f>
        <v>0</v>
      </c>
      <c r="G169" s="87">
        <f>IFERROR(VLOOKUP($A169,GanttChart!$A:$JD,264,FALSE),0)</f>
        <v>0</v>
      </c>
      <c r="H169" s="92"/>
      <c r="I169" s="87">
        <f t="shared" si="1"/>
        <v>0</v>
      </c>
    </row>
    <row r="170" spans="1:9" ht="18.75" hidden="1" x14ac:dyDescent="0.45">
      <c r="A170" s="91">
        <v>8.1300000000000008</v>
      </c>
      <c r="C170" s="85">
        <f>IFERROR(VLOOKUP($A170,GanttChart!$A:$JD,2,FALSE),"خطا")</f>
        <v>0</v>
      </c>
      <c r="D170" s="86">
        <f>IFERROR(VLOOKUP($A170,GanttChart!$A:$JD,261,FALSE),0)</f>
        <v>0</v>
      </c>
      <c r="E170" s="86">
        <f>IFERROR(VLOOKUP($A170,GanttChart!$A:$JD,262,FALSE),0)</f>
        <v>0</v>
      </c>
      <c r="F170" s="86">
        <f>IFERROR(VLOOKUP($A170,GanttChart!$A:$JD,263,FALSE),0)</f>
        <v>0</v>
      </c>
      <c r="G170" s="87">
        <f>IFERROR(VLOOKUP($A170,GanttChart!$A:$JD,264,FALSE),0)</f>
        <v>0</v>
      </c>
      <c r="H170" s="92"/>
      <c r="I170" s="87">
        <f t="shared" si="1"/>
        <v>0</v>
      </c>
    </row>
    <row r="171" spans="1:9" ht="18.75" hidden="1" x14ac:dyDescent="0.45">
      <c r="A171" s="91">
        <v>8.14</v>
      </c>
      <c r="C171" s="85">
        <f>IFERROR(VLOOKUP($A171,GanttChart!$A:$JD,2,FALSE),"خطا")</f>
        <v>0</v>
      </c>
      <c r="D171" s="86">
        <f>IFERROR(VLOOKUP($A171,GanttChart!$A:$JD,261,FALSE),0)</f>
        <v>0</v>
      </c>
      <c r="E171" s="86">
        <f>IFERROR(VLOOKUP($A171,GanttChart!$A:$JD,262,FALSE),0)</f>
        <v>0</v>
      </c>
      <c r="F171" s="86">
        <f>IFERROR(VLOOKUP($A171,GanttChart!$A:$JD,263,FALSE),0)</f>
        <v>0</v>
      </c>
      <c r="G171" s="87">
        <f>IFERROR(VLOOKUP($A171,GanttChart!$A:$JD,264,FALSE),0)</f>
        <v>0</v>
      </c>
      <c r="H171" s="92"/>
      <c r="I171" s="87">
        <f t="shared" si="1"/>
        <v>0</v>
      </c>
    </row>
    <row r="172" spans="1:9" ht="18.75" hidden="1" x14ac:dyDescent="0.45">
      <c r="A172" s="91">
        <v>8.15</v>
      </c>
      <c r="C172" s="85">
        <f>IFERROR(VLOOKUP($A172,GanttChart!$A:$JD,2,FALSE),"خطا")</f>
        <v>0</v>
      </c>
      <c r="D172" s="86">
        <f>IFERROR(VLOOKUP($A172,GanttChart!$A:$JD,261,FALSE),0)</f>
        <v>0</v>
      </c>
      <c r="E172" s="86">
        <f>IFERROR(VLOOKUP($A172,GanttChart!$A:$JD,262,FALSE),0)</f>
        <v>0</v>
      </c>
      <c r="F172" s="86">
        <f>IFERROR(VLOOKUP($A172,GanttChart!$A:$JD,263,FALSE),0)</f>
        <v>0</v>
      </c>
      <c r="G172" s="87">
        <f>IFERROR(VLOOKUP($A172,GanttChart!$A:$JD,264,FALSE),0)</f>
        <v>0</v>
      </c>
      <c r="H172" s="92"/>
      <c r="I172" s="87">
        <f t="shared" si="1"/>
        <v>0</v>
      </c>
    </row>
    <row r="173" spans="1:9" ht="18.75" hidden="1" x14ac:dyDescent="0.45">
      <c r="A173" s="91">
        <v>8.16</v>
      </c>
      <c r="C173" s="85">
        <f>IFERROR(VLOOKUP($A173,GanttChart!$A:$JD,2,FALSE),"خطا")</f>
        <v>0</v>
      </c>
      <c r="D173" s="86">
        <f>IFERROR(VLOOKUP($A173,GanttChart!$A:$JD,261,FALSE),0)</f>
        <v>0</v>
      </c>
      <c r="E173" s="86">
        <f>IFERROR(VLOOKUP($A173,GanttChart!$A:$JD,262,FALSE),0)</f>
        <v>0</v>
      </c>
      <c r="F173" s="86">
        <f>IFERROR(VLOOKUP($A173,GanttChart!$A:$JD,263,FALSE),0)</f>
        <v>0</v>
      </c>
      <c r="G173" s="87">
        <f>IFERROR(VLOOKUP($A173,GanttChart!$A:$JD,264,FALSE),0)</f>
        <v>0</v>
      </c>
      <c r="H173" s="92"/>
      <c r="I173" s="87">
        <f t="shared" si="1"/>
        <v>0</v>
      </c>
    </row>
    <row r="174" spans="1:9" ht="18.75" hidden="1" x14ac:dyDescent="0.45">
      <c r="A174" s="91">
        <v>8.17</v>
      </c>
      <c r="C174" s="85">
        <f>IFERROR(VLOOKUP($A174,GanttChart!$A:$JD,2,FALSE),"خطا")</f>
        <v>0</v>
      </c>
      <c r="D174" s="86">
        <f>IFERROR(VLOOKUP($A174,GanttChart!$A:$JD,261,FALSE),0)</f>
        <v>0</v>
      </c>
      <c r="E174" s="86">
        <f>IFERROR(VLOOKUP($A174,GanttChart!$A:$JD,262,FALSE),0)</f>
        <v>0</v>
      </c>
      <c r="F174" s="86">
        <f>IFERROR(VLOOKUP($A174,GanttChart!$A:$JD,263,FALSE),0)</f>
        <v>0</v>
      </c>
      <c r="G174" s="87">
        <f>IFERROR(VLOOKUP($A174,GanttChart!$A:$JD,264,FALSE),0)</f>
        <v>0</v>
      </c>
      <c r="H174" s="92"/>
      <c r="I174" s="87">
        <f t="shared" si="1"/>
        <v>0</v>
      </c>
    </row>
    <row r="175" spans="1:9" ht="18.75" hidden="1" x14ac:dyDescent="0.45">
      <c r="A175" s="91">
        <v>8.18</v>
      </c>
      <c r="C175" s="85">
        <f>IFERROR(VLOOKUP($A175,GanttChart!$A:$JD,2,FALSE),"خطا")</f>
        <v>0</v>
      </c>
      <c r="D175" s="86">
        <f>IFERROR(VLOOKUP($A175,GanttChart!$A:$JD,261,FALSE),0)</f>
        <v>0</v>
      </c>
      <c r="E175" s="86">
        <f>IFERROR(VLOOKUP($A175,GanttChart!$A:$JD,262,FALSE),0)</f>
        <v>0</v>
      </c>
      <c r="F175" s="86">
        <f>IFERROR(VLOOKUP($A175,GanttChart!$A:$JD,263,FALSE),0)</f>
        <v>0</v>
      </c>
      <c r="G175" s="87">
        <f>IFERROR(VLOOKUP($A175,GanttChart!$A:$JD,264,FALSE),0)</f>
        <v>0</v>
      </c>
      <c r="H175" s="92"/>
      <c r="I175" s="87">
        <f t="shared" si="1"/>
        <v>0</v>
      </c>
    </row>
    <row r="176" spans="1:9" ht="18.75" hidden="1" x14ac:dyDescent="0.45">
      <c r="A176" s="91">
        <v>8.19</v>
      </c>
      <c r="C176" s="85">
        <f>IFERROR(VLOOKUP($A176,GanttChart!$A:$JD,2,FALSE),"خطا")</f>
        <v>0</v>
      </c>
      <c r="D176" s="86">
        <f>IFERROR(VLOOKUP($A176,GanttChart!$A:$JD,261,FALSE),0)</f>
        <v>0</v>
      </c>
      <c r="E176" s="86">
        <f>IFERROR(VLOOKUP($A176,GanttChart!$A:$JD,262,FALSE),0)</f>
        <v>0</v>
      </c>
      <c r="F176" s="86">
        <f>IFERROR(VLOOKUP($A176,GanttChart!$A:$JD,263,FALSE),0)</f>
        <v>0</v>
      </c>
      <c r="G176" s="87">
        <f>IFERROR(VLOOKUP($A176,GanttChart!$A:$JD,264,FALSE),0)</f>
        <v>0</v>
      </c>
      <c r="H176" s="92"/>
      <c r="I176" s="87">
        <f t="shared" si="1"/>
        <v>0</v>
      </c>
    </row>
    <row r="177" spans="1:9" ht="18.75" hidden="1" x14ac:dyDescent="0.45">
      <c r="A177" s="91">
        <v>8.2100000000000009</v>
      </c>
      <c r="C177" s="85">
        <f>IFERROR(VLOOKUP($A177,GanttChart!$A:$JD,2,FALSE),"خطا")</f>
        <v>0</v>
      </c>
      <c r="D177" s="86">
        <f>IFERROR(VLOOKUP($A177,GanttChart!$A:$JD,261,FALSE),0)</f>
        <v>0</v>
      </c>
      <c r="E177" s="86">
        <f>IFERROR(VLOOKUP($A177,GanttChart!$A:$JD,262,FALSE),0)</f>
        <v>0</v>
      </c>
      <c r="F177" s="86">
        <f>IFERROR(VLOOKUP($A177,GanttChart!$A:$JD,263,FALSE),0)</f>
        <v>0</v>
      </c>
      <c r="G177" s="87">
        <f>IFERROR(VLOOKUP($A177,GanttChart!$A:$JD,264,FALSE),0)</f>
        <v>0</v>
      </c>
      <c r="H177" s="92"/>
      <c r="I177" s="87">
        <f t="shared" si="1"/>
        <v>0</v>
      </c>
    </row>
    <row r="178" spans="1:9" ht="18.75" hidden="1" x14ac:dyDescent="0.45">
      <c r="A178" s="91">
        <v>8.2200000000000006</v>
      </c>
      <c r="C178" s="85">
        <f>IFERROR(VLOOKUP($A178,GanttChart!$A:$JD,2,FALSE),"خطا")</f>
        <v>0</v>
      </c>
      <c r="D178" s="86">
        <f>IFERROR(VLOOKUP($A178,GanttChart!$A:$JD,261,FALSE),0)</f>
        <v>0</v>
      </c>
      <c r="E178" s="86">
        <f>IFERROR(VLOOKUP($A178,GanttChart!$A:$JD,262,FALSE),0)</f>
        <v>0</v>
      </c>
      <c r="F178" s="86">
        <f>IFERROR(VLOOKUP($A178,GanttChart!$A:$JD,263,FALSE),0)</f>
        <v>0</v>
      </c>
      <c r="G178" s="87">
        <f>IFERROR(VLOOKUP($A178,GanttChart!$A:$JD,264,FALSE),0)</f>
        <v>0</v>
      </c>
      <c r="H178" s="92"/>
      <c r="I178" s="87">
        <f t="shared" si="1"/>
        <v>0</v>
      </c>
    </row>
    <row r="179" spans="1:9" ht="18.75" hidden="1" x14ac:dyDescent="0.45">
      <c r="A179" s="91">
        <v>8.23</v>
      </c>
      <c r="C179" s="95">
        <f>IFERROR(VLOOKUP($A179,GanttChart!$A:$JD,2,FALSE),"خطا")</f>
        <v>0</v>
      </c>
      <c r="D179" s="96">
        <f>IFERROR(VLOOKUP($A179,GanttChart!$A:$JD,261,FALSE),0)</f>
        <v>0</v>
      </c>
      <c r="E179" s="96">
        <f>IFERROR(VLOOKUP($A179,GanttChart!$A:$JD,262,FALSE),0)</f>
        <v>0</v>
      </c>
      <c r="F179" s="96">
        <f>IFERROR(VLOOKUP($A179,GanttChart!$A:$JD,263,FALSE),0)</f>
        <v>0</v>
      </c>
      <c r="G179" s="93">
        <f>IFERROR(VLOOKUP($A179,GanttChart!$A:$JD,264,FALSE),0)</f>
        <v>0</v>
      </c>
      <c r="H179" s="92"/>
      <c r="I179" s="93">
        <f t="shared" si="1"/>
        <v>0</v>
      </c>
    </row>
    <row r="180" spans="1:9" ht="21" x14ac:dyDescent="0.6">
      <c r="A180" s="100">
        <v>10</v>
      </c>
      <c r="C180" s="97" t="s">
        <v>100</v>
      </c>
      <c r="D180" s="98">
        <f>SUM(D4,D26,D48,D70,D92,D114,D136,D158)</f>
        <v>1.1666666666666665</v>
      </c>
      <c r="E180" s="98">
        <f>SUM(E4,E26,E48,E70,E92,F114,F136,F158)</f>
        <v>4.75</v>
      </c>
      <c r="F180" s="98">
        <f>SUM(F4,F26,F48,F70,F92,F114,F136,F158)</f>
        <v>6.333333333333333</v>
      </c>
      <c r="G180" s="94">
        <f>SUM(G4,G26,G48,G70,G92,G114,G136,G158)</f>
        <v>165592000</v>
      </c>
      <c r="H180" s="99"/>
      <c r="I180" s="94">
        <f>SUM(I4,I26,I48,I70,I92,I114,I136,I158)</f>
        <v>84127000</v>
      </c>
    </row>
  </sheetData>
  <sheetProtection algorithmName="SHA-512" hashValue="sRy+B+P6ntOBVIXzsbqnWDFK+Zf68XZBt8Rgwb9VaLD6zHoCKNiyiWS5WK6EGg/DagW+5GqF6SUDyHCNLowfZg==" saltValue="V1kJdvDvREK39+q/ddYGmg==" spinCount="100000" sheet="1" objects="1" scenarios="1" selectLockedCells="1"/>
  <autoFilter ref="A1:I180">
    <filterColumn colId="0">
      <filters blank="1">
        <filter val="1"/>
        <filter val="10"/>
        <filter val="2"/>
        <filter val="3"/>
        <filter val="4"/>
        <filter val="5"/>
        <filter val="6"/>
        <filter val="7"/>
        <filter val="8"/>
        <filter val="WBS"/>
      </filters>
    </filterColumn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</autoFilter>
  <mergeCells count="8">
    <mergeCell ref="B1:I1"/>
    <mergeCell ref="A2:A3"/>
    <mergeCell ref="B2:B3"/>
    <mergeCell ref="C2:C3"/>
    <mergeCell ref="D2:F2"/>
    <mergeCell ref="G2:G3"/>
    <mergeCell ref="H2:H3"/>
    <mergeCell ref="I2:I3"/>
  </mergeCells>
  <pageMargins left="0.27559055118110237" right="0.27559055118110237" top="0.74803149606299213" bottom="0.74803149606299213" header="0.31496062992125984" footer="0.31496062992125984"/>
  <pageSetup paperSize="9" scale="85" orientation="portrait" r:id="rId1"/>
  <headerFooter>
    <oddHeader>&amp;C&amp;"B Mitra,پررنگ"&amp;12پیوست شماره 1</oddHeader>
  </headerFooter>
  <ignoredErrors>
    <ignoredError sqref="D26:G158 E18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ه5"/>
  <dimension ref="A1:F81"/>
  <sheetViews>
    <sheetView rightToLeft="1" workbookViewId="0">
      <selection activeCell="E33" sqref="A1:F81"/>
    </sheetView>
  </sheetViews>
  <sheetFormatPr defaultRowHeight="12.75" x14ac:dyDescent="0.2"/>
  <cols>
    <col min="2" max="2" width="19.5703125" bestFit="1" customWidth="1"/>
    <col min="3" max="3" width="19.5703125" customWidth="1"/>
    <col min="4" max="4" width="10.42578125" customWidth="1"/>
    <col min="5" max="5" width="15" customWidth="1"/>
    <col min="6" max="6" width="39.7109375" bestFit="1" customWidth="1"/>
  </cols>
  <sheetData>
    <row r="1" spans="1:6" ht="18" x14ac:dyDescent="0.2">
      <c r="A1" s="16" t="s">
        <v>64</v>
      </c>
      <c r="B1" s="16" t="s">
        <v>68</v>
      </c>
      <c r="C1" s="16" t="s">
        <v>67</v>
      </c>
      <c r="D1" s="16" t="s">
        <v>65</v>
      </c>
      <c r="E1" s="16" t="s">
        <v>66</v>
      </c>
      <c r="F1" s="16" t="s">
        <v>14</v>
      </c>
    </row>
    <row r="2" spans="1:6" ht="18" hidden="1" x14ac:dyDescent="0.2">
      <c r="A2" s="17" t="s">
        <v>15</v>
      </c>
      <c r="B2" s="17" t="str">
        <f t="shared" ref="B2:B46" si="0">LEFT(A2,4)</f>
        <v>1392</v>
      </c>
      <c r="C2" s="17" t="str">
        <f t="shared" ref="C2:C46" si="1">MID(A2,6,2)</f>
        <v>01</v>
      </c>
      <c r="D2" s="17">
        <v>1</v>
      </c>
      <c r="E2" s="16" t="e">
        <f ca="1">IF([1]!j_WEEKDAY(A2)=6,1,"")</f>
        <v>#NAME?</v>
      </c>
      <c r="F2" s="18" t="s">
        <v>16</v>
      </c>
    </row>
    <row r="3" spans="1:6" ht="18" hidden="1" x14ac:dyDescent="0.2">
      <c r="A3" s="17" t="s">
        <v>17</v>
      </c>
      <c r="B3" s="17" t="str">
        <f t="shared" si="0"/>
        <v>1392</v>
      </c>
      <c r="C3" s="17" t="str">
        <f t="shared" si="1"/>
        <v>01</v>
      </c>
      <c r="D3" s="17">
        <v>1</v>
      </c>
      <c r="E3" s="16" t="e">
        <f ca="1">IF([1]!j_WEEKDAY(A3)=6,1,"")</f>
        <v>#NAME?</v>
      </c>
      <c r="F3" s="18" t="s">
        <v>16</v>
      </c>
    </row>
    <row r="4" spans="1:6" ht="18" hidden="1" x14ac:dyDescent="0.2">
      <c r="A4" s="17" t="s">
        <v>18</v>
      </c>
      <c r="B4" s="17" t="str">
        <f t="shared" si="0"/>
        <v>1392</v>
      </c>
      <c r="C4" s="17" t="str">
        <f t="shared" si="1"/>
        <v>01</v>
      </c>
      <c r="D4" s="17">
        <v>1</v>
      </c>
      <c r="E4" s="16" t="e">
        <f ca="1">IF([1]!j_WEEKDAY(A4)=6,1,"")</f>
        <v>#NAME?</v>
      </c>
      <c r="F4" s="18" t="s">
        <v>16</v>
      </c>
    </row>
    <row r="5" spans="1:6" ht="18" hidden="1" x14ac:dyDescent="0.2">
      <c r="A5" s="17" t="s">
        <v>19</v>
      </c>
      <c r="B5" s="17" t="str">
        <f t="shared" si="0"/>
        <v>1392</v>
      </c>
      <c r="C5" s="17" t="str">
        <f t="shared" si="1"/>
        <v>01</v>
      </c>
      <c r="D5" s="17">
        <v>1</v>
      </c>
      <c r="E5" s="16" t="e">
        <f ca="1">IF([1]!j_WEEKDAY(A5)=6,1,"")</f>
        <v>#NAME?</v>
      </c>
      <c r="F5" s="18" t="s">
        <v>16</v>
      </c>
    </row>
    <row r="6" spans="1:6" ht="18" hidden="1" x14ac:dyDescent="0.2">
      <c r="A6" s="17" t="s">
        <v>20</v>
      </c>
      <c r="B6" s="17" t="str">
        <f t="shared" si="0"/>
        <v>1392</v>
      </c>
      <c r="C6" s="17" t="str">
        <f t="shared" si="1"/>
        <v>01</v>
      </c>
      <c r="D6" s="17">
        <v>1</v>
      </c>
      <c r="E6" s="16" t="e">
        <f ca="1">IF([1]!j_WEEKDAY(A6)=6,1,"")</f>
        <v>#NAME?</v>
      </c>
      <c r="F6" s="18" t="s">
        <v>21</v>
      </c>
    </row>
    <row r="7" spans="1:6" ht="18" hidden="1" x14ac:dyDescent="0.2">
      <c r="A7" s="17" t="s">
        <v>22</v>
      </c>
      <c r="B7" s="17" t="str">
        <f t="shared" si="0"/>
        <v>1392</v>
      </c>
      <c r="C7" s="17" t="str">
        <f t="shared" si="1"/>
        <v>01</v>
      </c>
      <c r="D7" s="17">
        <v>1</v>
      </c>
      <c r="E7" s="16" t="e">
        <f ca="1">IF([1]!j_WEEKDAY(A7)=6,1,"")</f>
        <v>#NAME?</v>
      </c>
      <c r="F7" s="18" t="s">
        <v>23</v>
      </c>
    </row>
    <row r="8" spans="1:6" ht="18" hidden="1" x14ac:dyDescent="0.2">
      <c r="A8" s="17" t="s">
        <v>24</v>
      </c>
      <c r="B8" s="17" t="str">
        <f t="shared" si="0"/>
        <v>1392</v>
      </c>
      <c r="C8" s="17" t="str">
        <f t="shared" si="1"/>
        <v>01</v>
      </c>
      <c r="D8" s="17">
        <v>1</v>
      </c>
      <c r="E8" s="16" t="e">
        <f ca="1">IF([1]!j_WEEKDAY(A8)=6,1,"")</f>
        <v>#NAME?</v>
      </c>
      <c r="F8" s="18" t="s">
        <v>25</v>
      </c>
    </row>
    <row r="9" spans="1:6" ht="18" hidden="1" x14ac:dyDescent="0.2">
      <c r="A9" s="17" t="s">
        <v>26</v>
      </c>
      <c r="B9" s="17" t="str">
        <f t="shared" si="0"/>
        <v>1392</v>
      </c>
      <c r="C9" s="17" t="str">
        <f t="shared" si="1"/>
        <v>02</v>
      </c>
      <c r="D9" s="17">
        <v>1</v>
      </c>
      <c r="E9" s="16" t="e">
        <f ca="1">IF([1]!j_WEEKDAY(A9)=6,1,"")</f>
        <v>#NAME?</v>
      </c>
      <c r="F9" s="19" t="s">
        <v>27</v>
      </c>
    </row>
    <row r="10" spans="1:6" ht="18" hidden="1" x14ac:dyDescent="0.2">
      <c r="A10" s="17" t="s">
        <v>28</v>
      </c>
      <c r="B10" s="17" t="str">
        <f t="shared" si="0"/>
        <v>1392</v>
      </c>
      <c r="C10" s="17" t="str">
        <f t="shared" si="1"/>
        <v>03</v>
      </c>
      <c r="D10" s="17">
        <v>1</v>
      </c>
      <c r="E10" s="16" t="e">
        <f ca="1">IF([1]!j_WEEKDAY(A10)=6,1,"")</f>
        <v>#NAME?</v>
      </c>
      <c r="F10" s="18" t="s">
        <v>29</v>
      </c>
    </row>
    <row r="11" spans="1:6" ht="18" hidden="1" x14ac:dyDescent="0.2">
      <c r="A11" s="17" t="s">
        <v>30</v>
      </c>
      <c r="B11" s="17" t="str">
        <f t="shared" si="0"/>
        <v>1392</v>
      </c>
      <c r="C11" s="17" t="str">
        <f t="shared" si="1"/>
        <v>03</v>
      </c>
      <c r="D11" s="17">
        <v>1</v>
      </c>
      <c r="E11" s="16" t="e">
        <f ca="1">IF([1]!j_WEEKDAY(A11)=6,1,"")</f>
        <v>#NAME?</v>
      </c>
      <c r="F11" s="18" t="s">
        <v>31</v>
      </c>
    </row>
    <row r="12" spans="1:6" ht="18" hidden="1" x14ac:dyDescent="0.2">
      <c r="A12" s="17" t="s">
        <v>32</v>
      </c>
      <c r="B12" s="17" t="str">
        <f t="shared" si="0"/>
        <v>1392</v>
      </c>
      <c r="C12" s="17" t="str">
        <f t="shared" si="1"/>
        <v>03</v>
      </c>
      <c r="D12" s="17">
        <v>1</v>
      </c>
      <c r="E12" s="16" t="e">
        <f ca="1">IF([1]!j_WEEKDAY(A12)=6,1,"")</f>
        <v>#NAME?</v>
      </c>
      <c r="F12" s="18" t="s">
        <v>33</v>
      </c>
    </row>
    <row r="13" spans="1:6" ht="18" hidden="1" x14ac:dyDescent="0.2">
      <c r="A13" s="17" t="s">
        <v>34</v>
      </c>
      <c r="B13" s="17" t="str">
        <f t="shared" si="0"/>
        <v>1392</v>
      </c>
      <c r="C13" s="17" t="str">
        <f t="shared" si="1"/>
        <v>03</v>
      </c>
      <c r="D13" s="17">
        <v>1</v>
      </c>
      <c r="E13" s="16" t="e">
        <f ca="1">IF([1]!j_WEEKDAY(A13)=6,1,"")</f>
        <v>#NAME?</v>
      </c>
      <c r="F13" s="18" t="s">
        <v>35</v>
      </c>
    </row>
    <row r="14" spans="1:6" ht="18" hidden="1" x14ac:dyDescent="0.2">
      <c r="A14" s="17" t="s">
        <v>36</v>
      </c>
      <c r="B14" s="17" t="str">
        <f t="shared" si="0"/>
        <v>1392</v>
      </c>
      <c r="C14" s="17" t="str">
        <f t="shared" si="1"/>
        <v>04</v>
      </c>
      <c r="D14" s="17">
        <v>1</v>
      </c>
      <c r="E14" s="16" t="e">
        <f ca="1">IF([1]!j_WEEKDAY(A14)=6,1,"")</f>
        <v>#NAME?</v>
      </c>
      <c r="F14" s="20" t="s">
        <v>37</v>
      </c>
    </row>
    <row r="15" spans="1:6" ht="18" hidden="1" x14ac:dyDescent="0.2">
      <c r="A15" s="17" t="s">
        <v>38</v>
      </c>
      <c r="B15" s="17" t="str">
        <f t="shared" si="0"/>
        <v>1392</v>
      </c>
      <c r="C15" s="17" t="str">
        <f t="shared" si="1"/>
        <v>05</v>
      </c>
      <c r="D15" s="17">
        <v>1</v>
      </c>
      <c r="E15" s="16" t="e">
        <f ca="1">IF([1]!j_WEEKDAY(A15)=6,1,"")</f>
        <v>#NAME?</v>
      </c>
      <c r="F15" s="18" t="s">
        <v>39</v>
      </c>
    </row>
    <row r="16" spans="1:6" ht="18" hidden="1" x14ac:dyDescent="0.2">
      <c r="A16" s="17" t="s">
        <v>40</v>
      </c>
      <c r="B16" s="17" t="str">
        <f t="shared" si="0"/>
        <v>1392</v>
      </c>
      <c r="C16" s="17" t="str">
        <f t="shared" si="1"/>
        <v>05</v>
      </c>
      <c r="D16" s="17">
        <v>1</v>
      </c>
      <c r="E16" s="16" t="e">
        <f ca="1">IF([1]!j_WEEKDAY(A16)=6,1,"")</f>
        <v>#NAME?</v>
      </c>
      <c r="F16" s="18" t="s">
        <v>41</v>
      </c>
    </row>
    <row r="17" spans="1:6" ht="18" hidden="1" x14ac:dyDescent="0.2">
      <c r="A17" s="17" t="s">
        <v>42</v>
      </c>
      <c r="B17" s="17" t="str">
        <f t="shared" si="0"/>
        <v>1392</v>
      </c>
      <c r="C17" s="17" t="str">
        <f t="shared" si="1"/>
        <v>05</v>
      </c>
      <c r="D17" s="17">
        <v>1</v>
      </c>
      <c r="E17" s="16" t="e">
        <f ca="1">IF([1]!j_WEEKDAY(A17)=6,1,"")</f>
        <v>#NAME?</v>
      </c>
      <c r="F17" s="18" t="s">
        <v>43</v>
      </c>
    </row>
    <row r="18" spans="1:6" ht="18" hidden="1" x14ac:dyDescent="0.2">
      <c r="A18" s="17" t="s">
        <v>44</v>
      </c>
      <c r="B18" s="17" t="str">
        <f t="shared" si="0"/>
        <v>1392</v>
      </c>
      <c r="C18" s="17" t="str">
        <f t="shared" si="1"/>
        <v>06</v>
      </c>
      <c r="D18" s="17">
        <v>1</v>
      </c>
      <c r="E18" s="16" t="e">
        <f ca="1">IF([1]!j_WEEKDAY(A18)=6,1,"")</f>
        <v>#NAME?</v>
      </c>
      <c r="F18" s="18" t="s">
        <v>45</v>
      </c>
    </row>
    <row r="19" spans="1:6" ht="18" hidden="1" x14ac:dyDescent="0.2">
      <c r="A19" s="17" t="s">
        <v>46</v>
      </c>
      <c r="B19" s="17" t="str">
        <f t="shared" si="0"/>
        <v>1392</v>
      </c>
      <c r="C19" s="17" t="str">
        <f t="shared" si="1"/>
        <v>07</v>
      </c>
      <c r="D19" s="17">
        <v>1</v>
      </c>
      <c r="E19" s="16" t="e">
        <f ca="1">IF([1]!j_WEEKDAY(A19)=6,1,"")</f>
        <v>#NAME?</v>
      </c>
      <c r="F19" s="18" t="s">
        <v>47</v>
      </c>
    </row>
    <row r="20" spans="1:6" ht="18" hidden="1" x14ac:dyDescent="0.2">
      <c r="A20" s="17" t="s">
        <v>48</v>
      </c>
      <c r="B20" s="17" t="str">
        <f t="shared" si="0"/>
        <v>1392</v>
      </c>
      <c r="C20" s="17" t="str">
        <f t="shared" si="1"/>
        <v>08</v>
      </c>
      <c r="D20" s="17">
        <v>1</v>
      </c>
      <c r="E20" s="16" t="e">
        <f ca="1">IF([1]!j_WEEKDAY(A20)=6,1,"")</f>
        <v>#NAME?</v>
      </c>
      <c r="F20" s="18" t="s">
        <v>49</v>
      </c>
    </row>
    <row r="21" spans="1:6" ht="18" hidden="1" x14ac:dyDescent="0.2">
      <c r="A21" s="17" t="s">
        <v>50</v>
      </c>
      <c r="B21" s="17" t="str">
        <f t="shared" si="0"/>
        <v>1392</v>
      </c>
      <c r="C21" s="17" t="str">
        <f t="shared" si="1"/>
        <v>08</v>
      </c>
      <c r="D21" s="17">
        <v>1</v>
      </c>
      <c r="E21" s="16" t="e">
        <f ca="1">IF([1]!j_WEEKDAY(A21)=6,1,"")</f>
        <v>#NAME?</v>
      </c>
      <c r="F21" s="18" t="s">
        <v>51</v>
      </c>
    </row>
    <row r="22" spans="1:6" ht="18" hidden="1" x14ac:dyDescent="0.2">
      <c r="A22" s="17" t="s">
        <v>52</v>
      </c>
      <c r="B22" s="17" t="str">
        <f t="shared" si="0"/>
        <v>1392</v>
      </c>
      <c r="C22" s="17" t="str">
        <f t="shared" si="1"/>
        <v>08</v>
      </c>
      <c r="D22" s="17">
        <v>1</v>
      </c>
      <c r="E22" s="16" t="e">
        <f ca="1">IF([1]!j_WEEKDAY(A22)=6,1,"")</f>
        <v>#NAME?</v>
      </c>
      <c r="F22" s="18" t="s">
        <v>53</v>
      </c>
    </row>
    <row r="23" spans="1:6" ht="18" hidden="1" x14ac:dyDescent="0.2">
      <c r="A23" s="17" t="s">
        <v>54</v>
      </c>
      <c r="B23" s="17" t="str">
        <f t="shared" si="0"/>
        <v>1392</v>
      </c>
      <c r="C23" s="17" t="str">
        <f t="shared" si="1"/>
        <v>10</v>
      </c>
      <c r="D23" s="17">
        <v>1</v>
      </c>
      <c r="E23" s="16" t="e">
        <f ca="1">IF([1]!j_WEEKDAY(A23)=6,1,"")</f>
        <v>#NAME?</v>
      </c>
      <c r="F23" s="18" t="s">
        <v>55</v>
      </c>
    </row>
    <row r="24" spans="1:6" ht="18" hidden="1" x14ac:dyDescent="0.2">
      <c r="A24" s="17" t="s">
        <v>3</v>
      </c>
      <c r="B24" s="17" t="str">
        <f t="shared" si="0"/>
        <v>1392</v>
      </c>
      <c r="C24" s="17" t="str">
        <f t="shared" si="1"/>
        <v>10</v>
      </c>
      <c r="D24" s="17">
        <v>1</v>
      </c>
      <c r="E24" s="16" t="e">
        <f ca="1">IF([1]!j_WEEKDAY(A24)=6,1,"")</f>
        <v>#NAME?</v>
      </c>
      <c r="F24" s="18" t="s">
        <v>56</v>
      </c>
    </row>
    <row r="25" spans="1:6" ht="18" hidden="1" x14ac:dyDescent="0.2">
      <c r="A25" s="17" t="s">
        <v>4</v>
      </c>
      <c r="B25" s="17" t="str">
        <f t="shared" si="0"/>
        <v>1392</v>
      </c>
      <c r="C25" s="17" t="str">
        <f t="shared" si="1"/>
        <v>10</v>
      </c>
      <c r="D25" s="17">
        <v>1</v>
      </c>
      <c r="E25" s="16" t="e">
        <f ca="1">IF([1]!j_WEEKDAY(A25)=6,1,"")</f>
        <v>#NAME?</v>
      </c>
      <c r="F25" s="18" t="s">
        <v>57</v>
      </c>
    </row>
    <row r="26" spans="1:6" ht="18" hidden="1" x14ac:dyDescent="0.2">
      <c r="A26" s="17" t="s">
        <v>58</v>
      </c>
      <c r="B26" s="17" t="str">
        <f t="shared" si="0"/>
        <v>1392</v>
      </c>
      <c r="C26" s="17" t="str">
        <f t="shared" si="1"/>
        <v>10</v>
      </c>
      <c r="D26" s="17">
        <v>1</v>
      </c>
      <c r="E26" s="16" t="e">
        <f ca="1">IF([1]!j_WEEKDAY(A26)=6,1,"")</f>
        <v>#NAME?</v>
      </c>
      <c r="F26" s="18" t="s">
        <v>59</v>
      </c>
    </row>
    <row r="27" spans="1:6" ht="18" hidden="1" x14ac:dyDescent="0.2">
      <c r="A27" s="17" t="s">
        <v>60</v>
      </c>
      <c r="B27" s="17" t="str">
        <f t="shared" si="0"/>
        <v>1392</v>
      </c>
      <c r="C27" s="17" t="str">
        <f t="shared" si="1"/>
        <v>11</v>
      </c>
      <c r="D27" s="17">
        <v>1</v>
      </c>
      <c r="E27" s="16" t="e">
        <f ca="1">IF([1]!j_WEEKDAY(A27)=6,1,"")</f>
        <v>#NAME?</v>
      </c>
      <c r="F27" s="18" t="s">
        <v>61</v>
      </c>
    </row>
    <row r="28" spans="1:6" ht="18" hidden="1" x14ac:dyDescent="0.2">
      <c r="A28" s="17" t="s">
        <v>62</v>
      </c>
      <c r="B28" s="17" t="str">
        <f t="shared" si="0"/>
        <v>1392</v>
      </c>
      <c r="C28" s="17" t="str">
        <f t="shared" si="1"/>
        <v>12</v>
      </c>
      <c r="D28" s="17">
        <v>1</v>
      </c>
      <c r="E28" s="16" t="e">
        <f ca="1">IF([1]!j_WEEKDAY(A28)=6,1,"")</f>
        <v>#NAME?</v>
      </c>
      <c r="F28" s="18" t="s">
        <v>63</v>
      </c>
    </row>
    <row r="29" spans="1:6" ht="18" x14ac:dyDescent="0.2">
      <c r="A29" s="17" t="s">
        <v>69</v>
      </c>
      <c r="B29" s="17" t="str">
        <f t="shared" si="0"/>
        <v>1393</v>
      </c>
      <c r="C29" s="17" t="str">
        <f t="shared" si="1"/>
        <v>01</v>
      </c>
      <c r="D29" s="17">
        <v>1</v>
      </c>
      <c r="E29" s="16" t="e">
        <f ca="1">IF([1]!j_WEEKDAY(A29)=6,1,"")</f>
        <v>#NAME?</v>
      </c>
      <c r="F29" s="18" t="s">
        <v>16</v>
      </c>
    </row>
    <row r="30" spans="1:6" ht="18" x14ac:dyDescent="0.2">
      <c r="A30" s="17" t="s">
        <v>71</v>
      </c>
      <c r="B30" s="17" t="str">
        <f t="shared" si="0"/>
        <v>1393</v>
      </c>
      <c r="C30" s="17" t="str">
        <f t="shared" si="1"/>
        <v>01</v>
      </c>
      <c r="D30" s="17">
        <v>1</v>
      </c>
      <c r="E30" s="16" t="e">
        <f ca="1">IF([1]!j_WEEKDAY(A30)=6,1,"")</f>
        <v>#NAME?</v>
      </c>
      <c r="F30" s="18" t="s">
        <v>16</v>
      </c>
    </row>
    <row r="31" spans="1:6" ht="18" x14ac:dyDescent="0.2">
      <c r="A31" s="17" t="s">
        <v>72</v>
      </c>
      <c r="B31" s="17" t="str">
        <f t="shared" si="0"/>
        <v>1393</v>
      </c>
      <c r="C31" s="17" t="str">
        <f t="shared" si="1"/>
        <v>01</v>
      </c>
      <c r="D31" s="17">
        <v>1</v>
      </c>
      <c r="E31" s="16" t="e">
        <f ca="1">IF([1]!j_WEEKDAY(A31)=6,1,"")</f>
        <v>#NAME?</v>
      </c>
      <c r="F31" s="18" t="s">
        <v>16</v>
      </c>
    </row>
    <row r="32" spans="1:6" ht="18" x14ac:dyDescent="0.2">
      <c r="A32" s="17" t="s">
        <v>73</v>
      </c>
      <c r="B32" s="17" t="str">
        <f t="shared" si="0"/>
        <v>1393</v>
      </c>
      <c r="C32" s="17" t="str">
        <f t="shared" si="1"/>
        <v>01</v>
      </c>
      <c r="D32" s="17">
        <v>1</v>
      </c>
      <c r="E32" s="16" t="e">
        <f ca="1">IF([1]!j_WEEKDAY(A32)=6,1,"")</f>
        <v>#NAME?</v>
      </c>
      <c r="F32" s="18" t="s">
        <v>16</v>
      </c>
    </row>
    <row r="33" spans="1:6" ht="18" x14ac:dyDescent="0.2">
      <c r="A33" s="17" t="s">
        <v>74</v>
      </c>
      <c r="B33" s="17" t="str">
        <f t="shared" si="0"/>
        <v>1393</v>
      </c>
      <c r="C33" s="17" t="str">
        <f t="shared" si="1"/>
        <v>01</v>
      </c>
      <c r="D33" s="17">
        <v>1</v>
      </c>
      <c r="E33" s="16" t="e">
        <f ca="1">IF([1]!j_WEEKDAY(A33)=6,1,"")</f>
        <v>#NAME?</v>
      </c>
      <c r="F33" s="18" t="s">
        <v>21</v>
      </c>
    </row>
    <row r="34" spans="1:6" ht="18" x14ac:dyDescent="0.2">
      <c r="A34" s="17" t="s">
        <v>75</v>
      </c>
      <c r="B34" s="17" t="str">
        <f t="shared" si="0"/>
        <v>1393</v>
      </c>
      <c r="C34" s="17" t="str">
        <f t="shared" si="1"/>
        <v>01</v>
      </c>
      <c r="D34" s="17">
        <v>1</v>
      </c>
      <c r="E34" s="16" t="e">
        <f ca="1">IF([1]!j_WEEKDAY(A34)=6,1,"")</f>
        <v>#NAME?</v>
      </c>
      <c r="F34" s="18" t="s">
        <v>23</v>
      </c>
    </row>
    <row r="35" spans="1:6" ht="18" x14ac:dyDescent="0.2">
      <c r="A35" s="17" t="s">
        <v>70</v>
      </c>
      <c r="B35" s="17" t="str">
        <f t="shared" si="0"/>
        <v>1393</v>
      </c>
      <c r="C35" s="17" t="str">
        <f t="shared" si="1"/>
        <v>01</v>
      </c>
      <c r="D35" s="17">
        <v>1</v>
      </c>
      <c r="E35" s="16" t="e">
        <f ca="1">IF([1]!j_WEEKDAY(A35)=6,1,"")</f>
        <v>#NAME?</v>
      </c>
      <c r="F35" s="18" t="s">
        <v>25</v>
      </c>
    </row>
    <row r="36" spans="1:6" ht="18" x14ac:dyDescent="0.2">
      <c r="A36" s="17" t="s">
        <v>76</v>
      </c>
      <c r="B36" s="17" t="str">
        <f t="shared" si="0"/>
        <v>1393</v>
      </c>
      <c r="C36" s="17" t="str">
        <f t="shared" si="1"/>
        <v>02</v>
      </c>
      <c r="D36" s="17">
        <v>1</v>
      </c>
      <c r="E36" s="16" t="e">
        <f ca="1">IF([1]!j_WEEKDAY(A36)=6,1,"")</f>
        <v>#NAME?</v>
      </c>
      <c r="F36" s="18" t="s">
        <v>29</v>
      </c>
    </row>
    <row r="37" spans="1:6" ht="18" x14ac:dyDescent="0.2">
      <c r="A37" s="17" t="s">
        <v>77</v>
      </c>
      <c r="B37" s="17" t="str">
        <f t="shared" si="0"/>
        <v>1393</v>
      </c>
      <c r="C37" s="17" t="str">
        <f t="shared" si="1"/>
        <v>03</v>
      </c>
      <c r="D37" s="17">
        <v>1</v>
      </c>
      <c r="E37" s="16" t="e">
        <f ca="1">IF([1]!j_WEEKDAY(A37)=6,1,"")</f>
        <v>#NAME?</v>
      </c>
      <c r="F37" s="18" t="s">
        <v>35</v>
      </c>
    </row>
    <row r="38" spans="1:6" ht="18" x14ac:dyDescent="0.2">
      <c r="A38" s="17" t="s">
        <v>78</v>
      </c>
      <c r="B38" s="17" t="str">
        <f t="shared" si="0"/>
        <v>1393</v>
      </c>
      <c r="C38" s="17" t="str">
        <f t="shared" si="1"/>
        <v>03</v>
      </c>
      <c r="D38" s="17">
        <v>1</v>
      </c>
      <c r="E38" s="16" t="e">
        <f ca="1">IF([1]!j_WEEKDAY(A38)=6,1,"")</f>
        <v>#NAME?</v>
      </c>
      <c r="F38" s="18" t="s">
        <v>31</v>
      </c>
    </row>
    <row r="39" spans="1:6" ht="18" x14ac:dyDescent="0.2">
      <c r="A39" s="17" t="s">
        <v>79</v>
      </c>
      <c r="B39" s="17" t="str">
        <f t="shared" si="0"/>
        <v>1393</v>
      </c>
      <c r="C39" s="17" t="str">
        <f t="shared" si="1"/>
        <v>03</v>
      </c>
      <c r="D39" s="17">
        <v>1</v>
      </c>
      <c r="E39" s="16" t="e">
        <f ca="1">IF([1]!j_WEEKDAY(A39)=6,1,"")</f>
        <v>#NAME?</v>
      </c>
      <c r="F39" s="18" t="s">
        <v>33</v>
      </c>
    </row>
    <row r="40" spans="1:6" ht="18" x14ac:dyDescent="0.2">
      <c r="A40" s="17" t="s">
        <v>80</v>
      </c>
      <c r="B40" s="17" t="str">
        <f t="shared" si="0"/>
        <v>1393</v>
      </c>
      <c r="C40" s="17" t="str">
        <f t="shared" si="1"/>
        <v>03</v>
      </c>
      <c r="D40" s="17">
        <v>1</v>
      </c>
      <c r="E40" s="16" t="e">
        <f ca="1">IF([1]!j_WEEKDAY(A40)=6,1,"")</f>
        <v>#NAME?</v>
      </c>
      <c r="F40" s="20" t="s">
        <v>37</v>
      </c>
    </row>
    <row r="41" spans="1:6" ht="18" x14ac:dyDescent="0.2">
      <c r="A41" s="17" t="s">
        <v>81</v>
      </c>
      <c r="B41" s="17" t="str">
        <f t="shared" si="0"/>
        <v>1393</v>
      </c>
      <c r="C41" s="17" t="str">
        <f t="shared" si="1"/>
        <v>04</v>
      </c>
      <c r="D41" s="17">
        <v>1</v>
      </c>
      <c r="E41" s="16" t="e">
        <f ca="1">IF([1]!j_WEEKDAY(A41)=6,1,"")</f>
        <v>#NAME?</v>
      </c>
      <c r="F41" s="18" t="s">
        <v>39</v>
      </c>
    </row>
    <row r="42" spans="1:6" ht="18" x14ac:dyDescent="0.2">
      <c r="A42" s="17" t="s">
        <v>82</v>
      </c>
      <c r="B42" s="17" t="str">
        <f t="shared" si="0"/>
        <v>1393</v>
      </c>
      <c r="C42" s="17" t="str">
        <f t="shared" si="1"/>
        <v>05</v>
      </c>
      <c r="D42" s="17">
        <v>1</v>
      </c>
      <c r="E42" s="16" t="e">
        <f ca="1">IF([1]!j_WEEKDAY(A42)=6,1,"")</f>
        <v>#NAME?</v>
      </c>
      <c r="F42" s="18" t="s">
        <v>41</v>
      </c>
    </row>
    <row r="43" spans="1:6" ht="18" x14ac:dyDescent="0.2">
      <c r="A43" s="17" t="s">
        <v>83</v>
      </c>
      <c r="B43" s="17" t="str">
        <f t="shared" si="0"/>
        <v>1393</v>
      </c>
      <c r="C43" s="17" t="str">
        <f t="shared" si="1"/>
        <v>05</v>
      </c>
      <c r="D43" s="17">
        <v>1</v>
      </c>
      <c r="E43" s="16" t="e">
        <f ca="1">IF([1]!j_WEEKDAY(A43)=6,1,"")</f>
        <v>#NAME?</v>
      </c>
      <c r="F43" s="18" t="s">
        <v>43</v>
      </c>
    </row>
    <row r="44" spans="1:6" ht="18" x14ac:dyDescent="0.2">
      <c r="A44" s="17" t="s">
        <v>84</v>
      </c>
      <c r="B44" s="17" t="str">
        <f t="shared" si="0"/>
        <v>1393</v>
      </c>
      <c r="C44" s="17" t="str">
        <f t="shared" si="1"/>
        <v>05</v>
      </c>
      <c r="D44" s="17">
        <v>1</v>
      </c>
      <c r="E44" s="16" t="e">
        <f ca="1">IF([1]!j_WEEKDAY(A44)=6,1,"")</f>
        <v>#NAME?</v>
      </c>
      <c r="F44" s="18" t="s">
        <v>45</v>
      </c>
    </row>
    <row r="45" spans="1:6" ht="18" x14ac:dyDescent="0.2">
      <c r="A45" s="17" t="s">
        <v>85</v>
      </c>
      <c r="B45" s="17" t="str">
        <f t="shared" si="0"/>
        <v>1393</v>
      </c>
      <c r="C45" s="17" t="str">
        <f t="shared" si="1"/>
        <v>07</v>
      </c>
      <c r="D45" s="17">
        <v>1</v>
      </c>
      <c r="E45" s="16" t="e">
        <f ca="1">IF([1]!j_WEEKDAY(A45)=6,1,"")</f>
        <v>#NAME?</v>
      </c>
      <c r="F45" s="18" t="s">
        <v>47</v>
      </c>
    </row>
    <row r="46" spans="1:6" ht="18" x14ac:dyDescent="0.2">
      <c r="A46" s="17" t="s">
        <v>91</v>
      </c>
      <c r="B46" s="17" t="str">
        <f t="shared" si="0"/>
        <v>1393</v>
      </c>
      <c r="C46" s="17" t="str">
        <f t="shared" si="1"/>
        <v>07</v>
      </c>
      <c r="D46" s="17">
        <v>1</v>
      </c>
      <c r="E46" s="16" t="e">
        <f ca="1">IF([1]!j_WEEKDAY(A46)=6,1,"")</f>
        <v>#NAME?</v>
      </c>
      <c r="F46" s="18" t="s">
        <v>49</v>
      </c>
    </row>
    <row r="47" spans="1:6" ht="18" x14ac:dyDescent="0.2">
      <c r="A47" s="17" t="s">
        <v>131</v>
      </c>
      <c r="B47" s="17" t="str">
        <f t="shared" ref="B47:B81" si="2">LEFT(A47,4)</f>
        <v>1393</v>
      </c>
      <c r="C47" s="17" t="str">
        <f t="shared" ref="C47:C81" si="3">MID(A47,6,2)</f>
        <v>08</v>
      </c>
      <c r="D47" s="17">
        <v>1</v>
      </c>
      <c r="E47" s="16" t="e">
        <f ca="1">IF([1]!j_WEEKDAY(A47)=6,1,"")</f>
        <v>#NAME?</v>
      </c>
      <c r="F47" s="18" t="s">
        <v>129</v>
      </c>
    </row>
    <row r="48" spans="1:6" ht="18" hidden="1" x14ac:dyDescent="0.2">
      <c r="A48" s="17" t="s">
        <v>128</v>
      </c>
      <c r="B48" s="17" t="str">
        <f t="shared" si="2"/>
        <v>1392</v>
      </c>
      <c r="C48" s="17" t="str">
        <f t="shared" si="3"/>
        <v>08</v>
      </c>
      <c r="D48" s="17">
        <v>1</v>
      </c>
      <c r="E48" s="16" t="e">
        <f ca="1">IF([1]!j_WEEKDAY(A48)=6,1,"")</f>
        <v>#NAME?</v>
      </c>
      <c r="F48" s="18" t="s">
        <v>130</v>
      </c>
    </row>
    <row r="49" spans="1:6" ht="18" x14ac:dyDescent="0.2">
      <c r="A49" s="17" t="s">
        <v>132</v>
      </c>
      <c r="B49" s="17" t="str">
        <f t="shared" si="2"/>
        <v>1393</v>
      </c>
      <c r="C49" s="17" t="str">
        <f t="shared" si="3"/>
        <v>09</v>
      </c>
      <c r="D49" s="17">
        <v>1</v>
      </c>
      <c r="E49" s="16" t="e">
        <f ca="1">IF([1]!j_WEEKDAY(A49)=6,1,"")</f>
        <v>#NAME?</v>
      </c>
      <c r="F49" s="18" t="s">
        <v>133</v>
      </c>
    </row>
    <row r="50" spans="1:6" ht="18" x14ac:dyDescent="0.2">
      <c r="A50" s="17" t="s">
        <v>135</v>
      </c>
      <c r="B50" s="17" t="str">
        <f t="shared" si="2"/>
        <v>1393</v>
      </c>
      <c r="C50" s="17" t="str">
        <f t="shared" si="3"/>
        <v>09</v>
      </c>
      <c r="D50" s="17">
        <v>1</v>
      </c>
      <c r="E50" s="16" t="e">
        <f ca="1">IF([1]!j_WEEKDAY(A50)=6,1,"")</f>
        <v>#NAME?</v>
      </c>
      <c r="F50" s="18" t="s">
        <v>134</v>
      </c>
    </row>
    <row r="51" spans="1:6" ht="18" x14ac:dyDescent="0.2">
      <c r="A51" s="17" t="s">
        <v>136</v>
      </c>
      <c r="B51" s="17" t="str">
        <f t="shared" si="2"/>
        <v>1393</v>
      </c>
      <c r="C51" s="17" t="str">
        <f t="shared" si="3"/>
        <v>10</v>
      </c>
      <c r="D51" s="17">
        <v>1</v>
      </c>
      <c r="E51" s="16" t="e">
        <f ca="1">IF([1]!j_WEEKDAY(A51)=6,1,"")</f>
        <v>#NAME?</v>
      </c>
      <c r="F51" s="18" t="s">
        <v>137</v>
      </c>
    </row>
    <row r="52" spans="1:6" ht="18" x14ac:dyDescent="0.2">
      <c r="A52" s="17" t="s">
        <v>138</v>
      </c>
      <c r="B52" s="17" t="str">
        <f t="shared" si="2"/>
        <v>1393</v>
      </c>
      <c r="C52" s="17" t="str">
        <f t="shared" si="3"/>
        <v>10</v>
      </c>
      <c r="D52" s="17">
        <v>1</v>
      </c>
      <c r="E52" s="16" t="e">
        <f ca="1">IF([1]!j_WEEKDAY(A52)=6,1,"")</f>
        <v>#NAME?</v>
      </c>
      <c r="F52" s="18" t="s">
        <v>139</v>
      </c>
    </row>
    <row r="53" spans="1:6" ht="18" x14ac:dyDescent="0.2">
      <c r="A53" s="17" t="s">
        <v>140</v>
      </c>
      <c r="B53" s="17" t="str">
        <f t="shared" si="2"/>
        <v>1393</v>
      </c>
      <c r="C53" s="17" t="str">
        <f t="shared" si="3"/>
        <v>11</v>
      </c>
      <c r="D53" s="17">
        <v>1</v>
      </c>
      <c r="E53" s="16" t="e">
        <f ca="1">IF([1]!j_WEEKDAY(A53)=6,1,"")</f>
        <v>#NAME?</v>
      </c>
      <c r="F53" s="18" t="s">
        <v>141</v>
      </c>
    </row>
    <row r="54" spans="1:6" ht="18" x14ac:dyDescent="0.2">
      <c r="A54" s="17" t="s">
        <v>142</v>
      </c>
      <c r="B54" s="17" t="str">
        <f t="shared" si="2"/>
        <v>1393</v>
      </c>
      <c r="C54" s="17" t="str">
        <f t="shared" si="3"/>
        <v>12</v>
      </c>
      <c r="D54" s="17">
        <v>1</v>
      </c>
      <c r="E54" s="16" t="e">
        <f ca="1">IF([1]!j_WEEKDAY(A54)=6,1,"")</f>
        <v>#NAME?</v>
      </c>
      <c r="F54" s="18" t="s">
        <v>143</v>
      </c>
    </row>
    <row r="55" spans="1:6" ht="18" x14ac:dyDescent="0.2">
      <c r="A55" s="245" t="s">
        <v>100</v>
      </c>
      <c r="B55" s="245"/>
      <c r="C55" s="245"/>
      <c r="D55" s="245">
        <f>SUBTOTAL(109,Holieday[ok])</f>
        <v>25</v>
      </c>
      <c r="E55" s="245" t="e">
        <f ca="1">SUBTOTAL(109,Holieday[Friday])</f>
        <v>#NAME?</v>
      </c>
      <c r="F55" s="246"/>
    </row>
    <row r="56" spans="1:6" ht="18" x14ac:dyDescent="0.2">
      <c r="A56" s="17"/>
      <c r="B56" s="17" t="str">
        <f t="shared" si="2"/>
        <v/>
      </c>
      <c r="C56" s="17" t="str">
        <f t="shared" si="3"/>
        <v/>
      </c>
      <c r="D56" s="17"/>
      <c r="E56" s="16"/>
      <c r="F56" s="18"/>
    </row>
    <row r="57" spans="1:6" ht="18" x14ac:dyDescent="0.2">
      <c r="A57" s="17"/>
      <c r="B57" s="17" t="str">
        <f t="shared" si="2"/>
        <v/>
      </c>
      <c r="C57" s="17" t="str">
        <f t="shared" si="3"/>
        <v/>
      </c>
      <c r="D57" s="17"/>
      <c r="E57" s="16"/>
      <c r="F57" s="18"/>
    </row>
    <row r="58" spans="1:6" ht="18" x14ac:dyDescent="0.2">
      <c r="A58" s="17"/>
      <c r="B58" s="17" t="str">
        <f t="shared" si="2"/>
        <v/>
      </c>
      <c r="C58" s="17" t="str">
        <f t="shared" si="3"/>
        <v/>
      </c>
      <c r="D58" s="17"/>
      <c r="E58" s="16"/>
      <c r="F58" s="18"/>
    </row>
    <row r="59" spans="1:6" ht="18" x14ac:dyDescent="0.2">
      <c r="A59" s="17"/>
      <c r="B59" s="17" t="str">
        <f t="shared" si="2"/>
        <v/>
      </c>
      <c r="C59" s="17" t="str">
        <f t="shared" si="3"/>
        <v/>
      </c>
      <c r="D59" s="17"/>
      <c r="E59" s="16"/>
      <c r="F59" s="18"/>
    </row>
    <row r="60" spans="1:6" ht="18" x14ac:dyDescent="0.2">
      <c r="A60" s="17"/>
      <c r="B60" s="17" t="str">
        <f t="shared" si="2"/>
        <v/>
      </c>
      <c r="C60" s="17" t="str">
        <f t="shared" si="3"/>
        <v/>
      </c>
      <c r="D60" s="17"/>
      <c r="E60" s="16"/>
      <c r="F60" s="18"/>
    </row>
    <row r="61" spans="1:6" ht="18" x14ac:dyDescent="0.2">
      <c r="A61" s="17"/>
      <c r="B61" s="17" t="str">
        <f t="shared" si="2"/>
        <v/>
      </c>
      <c r="C61" s="17" t="str">
        <f t="shared" si="3"/>
        <v/>
      </c>
      <c r="D61" s="17"/>
      <c r="E61" s="16"/>
      <c r="F61" s="18"/>
    </row>
    <row r="62" spans="1:6" ht="18" x14ac:dyDescent="0.2">
      <c r="A62" s="17"/>
      <c r="B62" s="17" t="str">
        <f t="shared" si="2"/>
        <v/>
      </c>
      <c r="C62" s="17" t="str">
        <f t="shared" si="3"/>
        <v/>
      </c>
      <c r="D62" s="17"/>
      <c r="E62" s="16"/>
      <c r="F62" s="18"/>
    </row>
    <row r="63" spans="1:6" ht="18" x14ac:dyDescent="0.2">
      <c r="A63" s="17"/>
      <c r="B63" s="17" t="str">
        <f t="shared" si="2"/>
        <v/>
      </c>
      <c r="C63" s="17" t="str">
        <f t="shared" si="3"/>
        <v/>
      </c>
      <c r="D63" s="17"/>
      <c r="E63" s="16"/>
      <c r="F63" s="18"/>
    </row>
    <row r="64" spans="1:6" ht="18" x14ac:dyDescent="0.2">
      <c r="A64" s="17"/>
      <c r="B64" s="17" t="str">
        <f t="shared" si="2"/>
        <v/>
      </c>
      <c r="C64" s="17" t="str">
        <f t="shared" si="3"/>
        <v/>
      </c>
      <c r="D64" s="17"/>
      <c r="E64" s="16"/>
      <c r="F64" s="18"/>
    </row>
    <row r="65" spans="1:6" ht="18" x14ac:dyDescent="0.2">
      <c r="A65" s="17"/>
      <c r="B65" s="17" t="str">
        <f t="shared" si="2"/>
        <v/>
      </c>
      <c r="C65" s="17" t="str">
        <f t="shared" si="3"/>
        <v/>
      </c>
      <c r="D65" s="17"/>
      <c r="E65" s="16"/>
      <c r="F65" s="18"/>
    </row>
    <row r="66" spans="1:6" ht="18" x14ac:dyDescent="0.2">
      <c r="A66" s="17"/>
      <c r="B66" s="17" t="str">
        <f t="shared" si="2"/>
        <v/>
      </c>
      <c r="C66" s="17" t="str">
        <f t="shared" si="3"/>
        <v/>
      </c>
      <c r="D66" s="17"/>
      <c r="E66" s="16"/>
      <c r="F66" s="18"/>
    </row>
    <row r="67" spans="1:6" ht="18" x14ac:dyDescent="0.2">
      <c r="A67" s="17"/>
      <c r="B67" s="17" t="str">
        <f t="shared" si="2"/>
        <v/>
      </c>
      <c r="C67" s="17" t="str">
        <f t="shared" si="3"/>
        <v/>
      </c>
      <c r="D67" s="17"/>
      <c r="E67" s="16"/>
      <c r="F67" s="18"/>
    </row>
    <row r="68" spans="1:6" ht="18" x14ac:dyDescent="0.2">
      <c r="A68" s="17"/>
      <c r="B68" s="17" t="str">
        <f t="shared" si="2"/>
        <v/>
      </c>
      <c r="C68" s="17" t="str">
        <f t="shared" si="3"/>
        <v/>
      </c>
      <c r="D68" s="17"/>
      <c r="E68" s="16"/>
      <c r="F68" s="18"/>
    </row>
    <row r="69" spans="1:6" ht="18" x14ac:dyDescent="0.2">
      <c r="A69" s="17"/>
      <c r="B69" s="17" t="str">
        <f t="shared" si="2"/>
        <v/>
      </c>
      <c r="C69" s="17" t="str">
        <f t="shared" si="3"/>
        <v/>
      </c>
      <c r="D69" s="17"/>
      <c r="E69" s="16"/>
      <c r="F69" s="18"/>
    </row>
    <row r="70" spans="1:6" ht="18" x14ac:dyDescent="0.2">
      <c r="A70" s="17"/>
      <c r="B70" s="17" t="str">
        <f t="shared" si="2"/>
        <v/>
      </c>
      <c r="C70" s="17" t="str">
        <f t="shared" si="3"/>
        <v/>
      </c>
      <c r="D70" s="17"/>
      <c r="E70" s="16"/>
      <c r="F70" s="18"/>
    </row>
    <row r="71" spans="1:6" ht="18" x14ac:dyDescent="0.2">
      <c r="A71" s="17"/>
      <c r="B71" s="17" t="str">
        <f t="shared" si="2"/>
        <v/>
      </c>
      <c r="C71" s="17" t="str">
        <f t="shared" si="3"/>
        <v/>
      </c>
      <c r="D71" s="17"/>
      <c r="E71" s="16"/>
      <c r="F71" s="18"/>
    </row>
    <row r="72" spans="1:6" ht="18" x14ac:dyDescent="0.2">
      <c r="A72" s="17"/>
      <c r="B72" s="17" t="str">
        <f t="shared" si="2"/>
        <v/>
      </c>
      <c r="C72" s="17" t="str">
        <f t="shared" si="3"/>
        <v/>
      </c>
      <c r="D72" s="17"/>
      <c r="E72" s="16"/>
      <c r="F72" s="18"/>
    </row>
    <row r="73" spans="1:6" ht="18" x14ac:dyDescent="0.2">
      <c r="A73" s="17"/>
      <c r="B73" s="17" t="str">
        <f t="shared" si="2"/>
        <v/>
      </c>
      <c r="C73" s="17" t="str">
        <f t="shared" si="3"/>
        <v/>
      </c>
      <c r="D73" s="17"/>
      <c r="E73" s="16"/>
      <c r="F73" s="18"/>
    </row>
    <row r="74" spans="1:6" ht="18" x14ac:dyDescent="0.2">
      <c r="A74" s="17"/>
      <c r="B74" s="17" t="str">
        <f t="shared" si="2"/>
        <v/>
      </c>
      <c r="C74" s="17" t="str">
        <f t="shared" si="3"/>
        <v/>
      </c>
      <c r="D74" s="17"/>
      <c r="E74" s="16"/>
      <c r="F74" s="18"/>
    </row>
    <row r="75" spans="1:6" ht="18" x14ac:dyDescent="0.2">
      <c r="A75" s="17"/>
      <c r="B75" s="17" t="str">
        <f t="shared" si="2"/>
        <v/>
      </c>
      <c r="C75" s="17" t="str">
        <f t="shared" si="3"/>
        <v/>
      </c>
      <c r="D75" s="17"/>
      <c r="E75" s="16"/>
      <c r="F75" s="18"/>
    </row>
    <row r="76" spans="1:6" ht="18" x14ac:dyDescent="0.2">
      <c r="A76" s="17"/>
      <c r="B76" s="17" t="str">
        <f t="shared" si="2"/>
        <v/>
      </c>
      <c r="C76" s="17" t="str">
        <f t="shared" si="3"/>
        <v/>
      </c>
      <c r="D76" s="17"/>
      <c r="E76" s="16"/>
      <c r="F76" s="18"/>
    </row>
    <row r="77" spans="1:6" ht="18" x14ac:dyDescent="0.2">
      <c r="A77" s="17"/>
      <c r="B77" s="17" t="str">
        <f t="shared" si="2"/>
        <v/>
      </c>
      <c r="C77" s="17" t="str">
        <f t="shared" si="3"/>
        <v/>
      </c>
      <c r="D77" s="17"/>
      <c r="E77" s="16"/>
      <c r="F77" s="18"/>
    </row>
    <row r="78" spans="1:6" ht="18" x14ac:dyDescent="0.2">
      <c r="A78" s="17"/>
      <c r="B78" s="17" t="str">
        <f t="shared" si="2"/>
        <v/>
      </c>
      <c r="C78" s="17" t="str">
        <f t="shared" si="3"/>
        <v/>
      </c>
      <c r="D78" s="17"/>
      <c r="E78" s="16"/>
      <c r="F78" s="18"/>
    </row>
    <row r="79" spans="1:6" ht="18" x14ac:dyDescent="0.2">
      <c r="A79" s="17"/>
      <c r="B79" s="17" t="str">
        <f t="shared" si="2"/>
        <v/>
      </c>
      <c r="C79" s="17" t="str">
        <f t="shared" si="3"/>
        <v/>
      </c>
      <c r="D79" s="17"/>
      <c r="E79" s="16"/>
      <c r="F79" s="18"/>
    </row>
    <row r="80" spans="1:6" ht="18" x14ac:dyDescent="0.2">
      <c r="A80" s="17"/>
      <c r="B80" s="17" t="str">
        <f t="shared" si="2"/>
        <v/>
      </c>
      <c r="C80" s="17" t="str">
        <f t="shared" si="3"/>
        <v/>
      </c>
      <c r="D80" s="17"/>
      <c r="E80" s="16"/>
      <c r="F80" s="18"/>
    </row>
    <row r="81" spans="1:6" ht="18" x14ac:dyDescent="0.2">
      <c r="A81" s="17"/>
      <c r="B81" s="17" t="str">
        <f t="shared" si="2"/>
        <v/>
      </c>
      <c r="C81" s="17" t="str">
        <f t="shared" si="3"/>
        <v/>
      </c>
      <c r="D81" s="17"/>
      <c r="E81" s="16"/>
      <c r="F81" s="18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GanttChart</vt:lpstr>
      <vt:lpstr>Income Person-hours</vt:lpstr>
      <vt:lpstr>Report 1</vt:lpstr>
      <vt:lpstr>Report 2</vt:lpstr>
      <vt:lpstr>Holidays</vt:lpstr>
      <vt:lpstr>GanttChart!a</vt:lpstr>
      <vt:lpstr>GanttChart!Print_Area</vt:lpstr>
      <vt:lpstr>'Report 1'!Print_Area</vt:lpstr>
      <vt:lpstr>'Report 2'!Print_Area</vt:lpstr>
    </vt:vector>
  </TitlesOfParts>
  <Manager>گروه اکسل ایران</Manager>
  <Company>www.exceliran.com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نمونه فایل زمانبندی پروژه</dc:title>
  <dc:subject>نمونه گانت چارت</dc:subject>
  <dc:creator>سعید علی محمدی-09155016029</dc:creator>
  <dc:description>این فایل نمونه جهت کاربران که در مدیریت پروژه ها کار میکنندتهیه گردیده است- www.exceliran.com</dc:description>
  <cp:lastModifiedBy>کاشانی</cp:lastModifiedBy>
  <cp:lastPrinted>2018-12-05T10:51:10Z</cp:lastPrinted>
  <dcterms:created xsi:type="dcterms:W3CDTF">2006-11-11T15:27:14Z</dcterms:created>
  <dcterms:modified xsi:type="dcterms:W3CDTF">2019-09-08T11:58:15Z</dcterms:modified>
  <cp:category>gant</cp:category>
</cp:coreProperties>
</file>