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3\Project\2-Current Projects\Bank Eghtesad Novin\02-Planning ( MSP . WBS )\"/>
    </mc:Choice>
  </mc:AlternateContent>
  <bookViews>
    <workbookView showSheetTabs="0" xWindow="0" yWindow="0" windowWidth="20400" windowHeight="595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GanttChart!$A$8:$Q$71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GanttChart!$B$1:$GA$71</definedName>
    <definedName name="_xlnm.Print_Area" localSheetId="0">GanttChart!$A$1:$DI$71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8" l="1"/>
  <c r="E7" i="9"/>
  <c r="E8" i="9"/>
  <c r="E2" i="9"/>
  <c r="E4" i="9"/>
  <c r="E27" i="9"/>
  <c r="E18" i="9"/>
  <c r="E14" i="9"/>
  <c r="E12" i="9"/>
  <c r="E19" i="9"/>
  <c r="E21" i="9"/>
  <c r="E24" i="9"/>
  <c r="E13" i="9"/>
  <c r="E10" i="9"/>
  <c r="E15" i="9"/>
  <c r="E16" i="9"/>
  <c r="E22" i="9"/>
  <c r="E3" i="9"/>
  <c r="E26" i="9"/>
  <c r="E25" i="9"/>
  <c r="E17" i="9"/>
  <c r="E6" i="9"/>
  <c r="E9" i="9"/>
  <c r="E23" i="9"/>
  <c r="E20" i="9"/>
  <c r="E8" i="8"/>
  <c r="E11" i="9"/>
  <c r="E5" i="9"/>
  <c r="C3" i="8"/>
  <c r="K19" i="8" l="1"/>
  <c r="K18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26" i="8"/>
  <c r="K27" i="8"/>
  <c r="K38" i="8"/>
  <c r="K42" i="8"/>
  <c r="K55" i="8"/>
  <c r="K61" i="8"/>
  <c r="K62" i="8"/>
  <c r="JD71" i="8"/>
  <c r="JD70" i="8"/>
  <c r="JD65" i="8"/>
  <c r="JD66" i="8"/>
  <c r="JD64" i="8"/>
  <c r="JD60" i="8"/>
  <c r="JD61" i="8"/>
  <c r="JD62" i="8"/>
  <c r="JD52" i="8"/>
  <c r="JD53" i="8"/>
  <c r="JD54" i="8"/>
  <c r="JD55" i="8"/>
  <c r="JD51" i="8"/>
  <c r="JD38" i="8"/>
  <c r="JD42" i="8"/>
  <c r="G24" i="14" l="1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71" i="8"/>
  <c r="K70" i="8"/>
  <c r="K69" i="8" s="1"/>
  <c r="K66" i="8"/>
  <c r="K65" i="8"/>
  <c r="K64" i="8"/>
  <c r="K13" i="8"/>
  <c r="K12" i="8"/>
  <c r="K11" i="8"/>
  <c r="K25" i="8"/>
  <c r="K23" i="8"/>
  <c r="K22" i="8"/>
  <c r="K21" i="8"/>
  <c r="K20" i="8"/>
  <c r="K32" i="8"/>
  <c r="K31" i="8"/>
  <c r="K54" i="8"/>
  <c r="K53" i="8"/>
  <c r="K52" i="8"/>
  <c r="K51" i="8"/>
  <c r="I159" i="13" l="1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59" i="8"/>
  <c r="JD58" i="8"/>
  <c r="JD57" i="8"/>
  <c r="JD32" i="8"/>
  <c r="JD31" i="8"/>
  <c r="JD27" i="8"/>
  <c r="JD26" i="8"/>
  <c r="JD25" i="8"/>
  <c r="JD23" i="8"/>
  <c r="JD22" i="8"/>
  <c r="JD21" i="8"/>
  <c r="JD20" i="8"/>
  <c r="JD19" i="8"/>
  <c r="JD18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60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59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D9" i="8" l="1"/>
  <c r="D10" i="8" s="1"/>
  <c r="E9" i="8"/>
  <c r="J9" i="8"/>
  <c r="IZ55" i="8" l="1"/>
  <c r="IZ25" i="8"/>
  <c r="IZ26" i="8"/>
  <c r="IZ27" i="8"/>
  <c r="IZ21" i="8"/>
  <c r="IZ22" i="8"/>
  <c r="IZ23" i="8"/>
  <c r="IZ60" i="8" l="1"/>
  <c r="IZ59" i="8"/>
  <c r="IZ32" i="8"/>
  <c r="IZ31" i="8"/>
  <c r="IZ20" i="8"/>
  <c r="IZ19" i="8"/>
  <c r="IZ18" i="8"/>
  <c r="IZ13" i="8"/>
  <c r="IZ12" i="8"/>
  <c r="IZ11" i="8"/>
  <c r="IZ10" i="8"/>
  <c r="K30" i="8" l="1"/>
  <c r="K17" i="8"/>
  <c r="K9" i="8"/>
  <c r="K58" i="8" l="1"/>
  <c r="IZ58" i="8" s="1"/>
  <c r="K57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57" i="8" l="1"/>
  <c r="K56" i="8"/>
  <c r="C10" i="10"/>
  <c r="E10" i="8"/>
  <c r="J10" i="8"/>
  <c r="F10" i="8"/>
  <c r="E10" i="10" l="1"/>
  <c r="D10" i="10"/>
  <c r="IZ51" i="8"/>
  <c r="IZ64" i="8"/>
  <c r="IZ52" i="8"/>
  <c r="IZ65" i="8"/>
  <c r="D67" i="8"/>
  <c r="L10" i="8"/>
  <c r="D18" i="8"/>
  <c r="J67" i="8"/>
  <c r="D11" i="8"/>
  <c r="F67" i="8"/>
  <c r="G10" i="8"/>
  <c r="L67" i="8"/>
  <c r="O10" i="8" l="1"/>
  <c r="G10" i="10"/>
  <c r="F10" i="10"/>
  <c r="IZ53" i="8"/>
  <c r="IZ66" i="8"/>
  <c r="P10" i="8"/>
  <c r="J18" i="8"/>
  <c r="E67" i="8"/>
  <c r="F11" i="8"/>
  <c r="E18" i="8"/>
  <c r="G67" i="8"/>
  <c r="E11" i="8"/>
  <c r="J11" i="8"/>
  <c r="D68" i="8"/>
  <c r="J68" i="8" s="1"/>
  <c r="F18" i="8"/>
  <c r="F68" i="8"/>
  <c r="Q10" i="8" l="1"/>
  <c r="K63" i="8"/>
  <c r="IZ54" i="8"/>
  <c r="C11" i="10"/>
  <c r="G68" i="8"/>
  <c r="L18" i="8"/>
  <c r="G18" i="8"/>
  <c r="G11" i="8"/>
  <c r="D12" i="8"/>
  <c r="L68" i="8"/>
  <c r="L11" i="8"/>
  <c r="E68" i="8"/>
  <c r="D19" i="8"/>
  <c r="O11" i="8" l="1"/>
  <c r="E11" i="10"/>
  <c r="D11" i="10"/>
  <c r="D12" i="10" s="1"/>
  <c r="K50" i="8"/>
  <c r="K8" i="8" s="1"/>
  <c r="C12" i="10"/>
  <c r="G14" i="10" s="1"/>
  <c r="E12" i="8"/>
  <c r="E19" i="8"/>
  <c r="F19" i="8"/>
  <c r="P11" i="8"/>
  <c r="J12" i="8"/>
  <c r="F12" i="8"/>
  <c r="Q11" i="8" l="1"/>
  <c r="G11" i="10"/>
  <c r="G12" i="10" s="1"/>
  <c r="F11" i="10"/>
  <c r="F12" i="10" s="1"/>
  <c r="E12" i="10"/>
  <c r="L12" i="8"/>
  <c r="G12" i="8"/>
  <c r="D13" i="8"/>
  <c r="D20" i="8"/>
  <c r="L19" i="8"/>
  <c r="G19" i="8"/>
  <c r="D51" i="8"/>
  <c r="O12" i="8" l="1"/>
  <c r="J20" i="8"/>
  <c r="F20" i="8"/>
  <c r="E51" i="8"/>
  <c r="F13" i="8"/>
  <c r="F51" i="8"/>
  <c r="P12" i="8"/>
  <c r="D57" i="8"/>
  <c r="E13" i="8"/>
  <c r="J13" i="8"/>
  <c r="J51" i="8"/>
  <c r="E20" i="8"/>
  <c r="O18" i="8" l="1"/>
  <c r="Q12" i="8"/>
  <c r="D14" i="8"/>
  <c r="L51" i="8"/>
  <c r="G51" i="8"/>
  <c r="D31" i="8"/>
  <c r="P18" i="8"/>
  <c r="L20" i="8"/>
  <c r="J57" i="8"/>
  <c r="E57" i="8"/>
  <c r="L13" i="8"/>
  <c r="D21" i="8"/>
  <c r="F57" i="8"/>
  <c r="G20" i="8"/>
  <c r="J14" i="8"/>
  <c r="G13" i="8"/>
  <c r="F14" i="8"/>
  <c r="L14" i="8"/>
  <c r="O13" i="8" l="1"/>
  <c r="Q13" i="8" s="1"/>
  <c r="O51" i="8"/>
  <c r="Q51" i="8" s="1"/>
  <c r="Q18" i="8"/>
  <c r="F31" i="8"/>
  <c r="G57" i="8"/>
  <c r="D15" i="8"/>
  <c r="E15" i="8"/>
  <c r="E21" i="8"/>
  <c r="J21" i="8"/>
  <c r="D58" i="8"/>
  <c r="J15" i="8"/>
  <c r="G14" i="8"/>
  <c r="P13" i="8"/>
  <c r="F21" i="8"/>
  <c r="P51" i="8"/>
  <c r="E14" i="8"/>
  <c r="E31" i="8"/>
  <c r="J31" i="8"/>
  <c r="L57" i="8"/>
  <c r="F15" i="8"/>
  <c r="L15" i="8"/>
  <c r="O19" i="8" l="1"/>
  <c r="G15" i="8"/>
  <c r="D16" i="8"/>
  <c r="G31" i="8"/>
  <c r="F16" i="8"/>
  <c r="L21" i="8"/>
  <c r="J58" i="8"/>
  <c r="J16" i="8"/>
  <c r="G21" i="8"/>
  <c r="L31" i="8"/>
  <c r="E58" i="8"/>
  <c r="F58" i="8"/>
  <c r="D22" i="8"/>
  <c r="O21" i="8" l="1"/>
  <c r="Q21" i="8" s="1"/>
  <c r="Q19" i="8"/>
  <c r="O20" i="8"/>
  <c r="F22" i="8"/>
  <c r="E22" i="8"/>
  <c r="E16" i="8"/>
  <c r="L58" i="8"/>
  <c r="G58" i="8"/>
  <c r="G16" i="8"/>
  <c r="D59" i="8"/>
  <c r="J22" i="8"/>
  <c r="P21" i="8"/>
  <c r="L16" i="8"/>
  <c r="M9" i="8" l="1"/>
  <c r="Q20" i="8"/>
  <c r="P20" i="8"/>
  <c r="P19" i="8"/>
  <c r="J59" i="8"/>
  <c r="D23" i="8"/>
  <c r="L22" i="8"/>
  <c r="D24" i="8"/>
  <c r="E59" i="8"/>
  <c r="F59" i="8"/>
  <c r="G22" i="8"/>
  <c r="F24" i="8"/>
  <c r="J24" i="8"/>
  <c r="E24" i="8"/>
  <c r="O22" i="8" l="1"/>
  <c r="Q22" i="8" s="1"/>
  <c r="F23" i="8"/>
  <c r="L24" i="8"/>
  <c r="J23" i="8"/>
  <c r="L59" i="8"/>
  <c r="G24" i="8"/>
  <c r="L23" i="8"/>
  <c r="E23" i="8"/>
  <c r="G23" i="8"/>
  <c r="G59" i="8"/>
  <c r="O23" i="8" l="1"/>
  <c r="Q23" i="8" s="1"/>
  <c r="D60" i="8"/>
  <c r="D26" i="8"/>
  <c r="D25" i="8"/>
  <c r="E25" i="8" s="1"/>
  <c r="P23" i="8"/>
  <c r="F26" i="8"/>
  <c r="J26" i="8"/>
  <c r="F60" i="8"/>
  <c r="J60" i="8"/>
  <c r="G60" i="8"/>
  <c r="P22" i="8"/>
  <c r="F25" i="8"/>
  <c r="L25" i="8" s="1"/>
  <c r="E26" i="8"/>
  <c r="J25" i="8"/>
  <c r="G26" i="8"/>
  <c r="E60" i="8"/>
  <c r="L26" i="8"/>
  <c r="L60" i="8"/>
  <c r="O25" i="8" l="1"/>
  <c r="O26" i="8"/>
  <c r="O31" i="8"/>
  <c r="O60" i="8"/>
  <c r="O59" i="8"/>
  <c r="O58" i="8"/>
  <c r="O57" i="8"/>
  <c r="P25" i="8"/>
  <c r="P26" i="8"/>
  <c r="P60" i="8"/>
  <c r="P59" i="8"/>
  <c r="P31" i="8"/>
  <c r="G25" i="8"/>
  <c r="P58" i="8"/>
  <c r="P57" i="8"/>
  <c r="D61" i="8"/>
  <c r="F61" i="8" s="1"/>
  <c r="J61" i="8"/>
  <c r="E61" i="8"/>
  <c r="Q25" i="8" l="1"/>
  <c r="Q26" i="8"/>
  <c r="Q58" i="8"/>
  <c r="Q60" i="8"/>
  <c r="Q57" i="8"/>
  <c r="Q59" i="8"/>
  <c r="Q31" i="8"/>
  <c r="G61" i="8"/>
  <c r="L61" i="8"/>
  <c r="O61" i="8" l="1"/>
  <c r="P61" i="8"/>
  <c r="D64" i="8"/>
  <c r="D62" i="8"/>
  <c r="J62" i="8" s="1"/>
  <c r="D32" i="8"/>
  <c r="F62" i="8"/>
  <c r="J32" i="8"/>
  <c r="D52" i="8"/>
  <c r="J64" i="8"/>
  <c r="E64" i="8"/>
  <c r="F32" i="8"/>
  <c r="E32" i="8"/>
  <c r="Q61" i="8" l="1"/>
  <c r="L62" i="8"/>
  <c r="D34" i="8"/>
  <c r="D33" i="8"/>
  <c r="E62" i="8"/>
  <c r="F33" i="8"/>
  <c r="F64" i="8"/>
  <c r="J33" i="8"/>
  <c r="L32" i="8"/>
  <c r="G32" i="8"/>
  <c r="F52" i="8"/>
  <c r="L52" i="8" s="1"/>
  <c r="F34" i="8"/>
  <c r="L34" i="8"/>
  <c r="E52" i="8"/>
  <c r="J52" i="8"/>
  <c r="G62" i="8"/>
  <c r="J34" i="8"/>
  <c r="O62" i="8" l="1"/>
  <c r="O32" i="8"/>
  <c r="O52" i="8"/>
  <c r="P62" i="8"/>
  <c r="G52" i="8"/>
  <c r="P32" i="8"/>
  <c r="P52" i="8"/>
  <c r="G34" i="8"/>
  <c r="L33" i="8"/>
  <c r="D65" i="8"/>
  <c r="D53" i="8"/>
  <c r="G33" i="8"/>
  <c r="E34" i="8"/>
  <c r="L9" i="8"/>
  <c r="G64" i="8"/>
  <c r="E33" i="8"/>
  <c r="L64" i="8"/>
  <c r="D35" i="8"/>
  <c r="F35" i="8" s="1"/>
  <c r="L35" i="8" s="1"/>
  <c r="J53" i="8"/>
  <c r="J35" i="8"/>
  <c r="Q62" i="8" l="1"/>
  <c r="Q32" i="8"/>
  <c r="O64" i="8"/>
  <c r="Q64" i="8" s="1"/>
  <c r="Q52" i="8"/>
  <c r="E65" i="8"/>
  <c r="E35" i="8"/>
  <c r="J65" i="8"/>
  <c r="F9" i="8"/>
  <c r="P64" i="8"/>
  <c r="G35" i="8"/>
  <c r="D36" i="8"/>
  <c r="F36" i="8" s="1"/>
  <c r="J36" i="8"/>
  <c r="F65" i="8"/>
  <c r="L65" i="8" s="1"/>
  <c r="F53" i="8"/>
  <c r="G53" i="8" s="1"/>
  <c r="E53" i="8"/>
  <c r="L53" i="8"/>
  <c r="L36" i="8"/>
  <c r="O65" i="8" l="1"/>
  <c r="O53" i="8"/>
  <c r="Q53" i="8" s="1"/>
  <c r="M56" i="8"/>
  <c r="E36" i="8"/>
  <c r="G65" i="8"/>
  <c r="D66" i="8"/>
  <c r="D48" i="8"/>
  <c r="D56" i="8"/>
  <c r="D54" i="8"/>
  <c r="F66" i="8"/>
  <c r="F48" i="8"/>
  <c r="E56" i="8"/>
  <c r="F54" i="8"/>
  <c r="G36" i="8"/>
  <c r="P65" i="8"/>
  <c r="D37" i="8"/>
  <c r="G9" i="8"/>
  <c r="E66" i="8"/>
  <c r="P53" i="8"/>
  <c r="J66" i="8"/>
  <c r="N9" i="8"/>
  <c r="J48" i="8"/>
  <c r="J56" i="8"/>
  <c r="E54" i="8"/>
  <c r="J54" i="8"/>
  <c r="J37" i="8"/>
  <c r="F37" i="8"/>
  <c r="L37" i="8" s="1"/>
  <c r="Q65" i="8" l="1"/>
  <c r="L56" i="8"/>
  <c r="D38" i="8"/>
  <c r="J38" i="8"/>
  <c r="E48" i="8"/>
  <c r="G54" i="8"/>
  <c r="L66" i="8"/>
  <c r="F56" i="8"/>
  <c r="G48" i="8"/>
  <c r="G37" i="8"/>
  <c r="L54" i="8"/>
  <c r="G66" i="8"/>
  <c r="E37" i="8"/>
  <c r="L48" i="8"/>
  <c r="F38" i="8"/>
  <c r="D55" i="8"/>
  <c r="E55" i="8" s="1"/>
  <c r="O56" i="8" l="1"/>
  <c r="O66" i="8"/>
  <c r="O54" i="8"/>
  <c r="L38" i="8"/>
  <c r="D39" i="8"/>
  <c r="F55" i="8"/>
  <c r="P56" i="8"/>
  <c r="P66" i="8"/>
  <c r="G55" i="8"/>
  <c r="G56" i="8"/>
  <c r="J55" i="8"/>
  <c r="N56" i="8"/>
  <c r="F39" i="8"/>
  <c r="P54" i="8"/>
  <c r="D63" i="8"/>
  <c r="L63" i="8" s="1"/>
  <c r="J39" i="8"/>
  <c r="E63" i="8"/>
  <c r="Q56" i="8" l="1"/>
  <c r="Q66" i="8"/>
  <c r="Q54" i="8"/>
  <c r="M63" i="8"/>
  <c r="O63" i="8" s="1"/>
  <c r="O9" i="8"/>
  <c r="E39" i="8"/>
  <c r="F63" i="8"/>
  <c r="G39" i="8"/>
  <c r="L55" i="8"/>
  <c r="J63" i="8"/>
  <c r="L39" i="8"/>
  <c r="D50" i="8"/>
  <c r="P63" i="8"/>
  <c r="P9" i="8"/>
  <c r="O55" i="8" l="1"/>
  <c r="M50" i="8"/>
  <c r="Q55" i="8"/>
  <c r="Q63" i="8"/>
  <c r="Q9" i="8"/>
  <c r="P55" i="8"/>
  <c r="N63" i="8"/>
  <c r="L50" i="8"/>
  <c r="J50" i="8"/>
  <c r="E50" i="8"/>
  <c r="G63" i="8"/>
  <c r="O50" i="8" l="1"/>
  <c r="P50" i="8"/>
  <c r="F50" i="8"/>
  <c r="Q50" i="8" l="1"/>
  <c r="G50" i="8"/>
  <c r="N50" i="8"/>
  <c r="O8" i="8" l="1"/>
  <c r="P8" i="8"/>
  <c r="D27" i="8"/>
  <c r="J27" i="8"/>
  <c r="E27" i="8"/>
  <c r="F27" i="8"/>
  <c r="G27" i="8"/>
  <c r="L27" i="8"/>
  <c r="M17" i="8" l="1"/>
  <c r="O27" i="8"/>
  <c r="D17" i="8"/>
  <c r="J17" i="8"/>
  <c r="P27" i="8"/>
  <c r="D28" i="8"/>
  <c r="L17" i="8"/>
  <c r="F28" i="8"/>
  <c r="L28" i="8"/>
  <c r="O17" i="8" l="1"/>
  <c r="Q17" i="8" s="1"/>
  <c r="Q27" i="8"/>
  <c r="G28" i="8"/>
  <c r="F17" i="8"/>
  <c r="E17" i="8"/>
  <c r="D29" i="8"/>
  <c r="J28" i="8"/>
  <c r="J29" i="8"/>
  <c r="E28" i="8"/>
  <c r="E38" i="8"/>
  <c r="G17" i="8"/>
  <c r="P17" i="8"/>
  <c r="G38" i="8"/>
  <c r="F29" i="8"/>
  <c r="G29" i="8" s="1"/>
  <c r="L29" i="8"/>
  <c r="O38" i="8" l="1"/>
  <c r="Q38" i="8" s="1"/>
  <c r="N17" i="8"/>
  <c r="D49" i="8"/>
  <c r="D40" i="8"/>
  <c r="F40" i="8"/>
  <c r="L40" i="8"/>
  <c r="E40" i="8"/>
  <c r="E49" i="8"/>
  <c r="J49" i="8"/>
  <c r="G40" i="8"/>
  <c r="E29" i="8"/>
  <c r="P38" i="8"/>
  <c r="F49" i="8"/>
  <c r="J40" i="8"/>
  <c r="L49" i="8"/>
  <c r="G49" i="8"/>
  <c r="D41" i="8"/>
  <c r="E41" i="8"/>
  <c r="D70" i="8"/>
  <c r="J41" i="8"/>
  <c r="F41" i="8"/>
  <c r="J70" i="8"/>
  <c r="E70" i="8"/>
  <c r="F70" i="8"/>
  <c r="G41" i="8"/>
  <c r="L41" i="8"/>
  <c r="L70" i="8"/>
  <c r="G70" i="8"/>
  <c r="O70" i="8" l="1"/>
  <c r="D71" i="8"/>
  <c r="D42" i="8"/>
  <c r="P70" i="8"/>
  <c r="E71" i="8"/>
  <c r="D69" i="8" s="1"/>
  <c r="J71" i="8"/>
  <c r="F71" i="8"/>
  <c r="F42" i="8"/>
  <c r="E42" i="8"/>
  <c r="J42" i="8"/>
  <c r="G71" i="8"/>
  <c r="L69" i="8" s="1"/>
  <c r="L71" i="8"/>
  <c r="G42" i="8"/>
  <c r="L42" i="8"/>
  <c r="J69" i="8"/>
  <c r="E69" i="8"/>
  <c r="F69" i="8"/>
  <c r="N69" i="8"/>
  <c r="G69" i="8"/>
  <c r="M69" i="8" l="1"/>
  <c r="O69" i="8" s="1"/>
  <c r="Q69" i="8" s="1"/>
  <c r="O42" i="8"/>
  <c r="Q42" i="8" s="1"/>
  <c r="M30" i="8"/>
  <c r="O71" i="8"/>
  <c r="Q71" i="8" s="1"/>
  <c r="Q70" i="8"/>
  <c r="P69" i="8"/>
  <c r="P42" i="8"/>
  <c r="P71" i="8"/>
  <c r="D30" i="8"/>
  <c r="D72" i="8"/>
  <c r="L30" i="8"/>
  <c r="D43" i="8"/>
  <c r="E30" i="8"/>
  <c r="J30" i="8"/>
  <c r="E72" i="8"/>
  <c r="F72" i="8"/>
  <c r="J72" i="8"/>
  <c r="F30" i="8"/>
  <c r="E43" i="8"/>
  <c r="J43" i="8"/>
  <c r="F43" i="8"/>
  <c r="G72" i="8"/>
  <c r="L72" i="8"/>
  <c r="G30" i="8"/>
  <c r="G43" i="8"/>
  <c r="L43" i="8"/>
  <c r="M8" i="8" l="1"/>
  <c r="O30" i="8"/>
  <c r="D44" i="8"/>
  <c r="D73" i="8"/>
  <c r="N30" i="8"/>
  <c r="P30" i="8"/>
  <c r="E44" i="8"/>
  <c r="J44" i="8"/>
  <c r="F44" i="8"/>
  <c r="E73" i="8"/>
  <c r="F73" i="8"/>
  <c r="J73" i="8"/>
  <c r="G44" i="8"/>
  <c r="L44" i="8"/>
  <c r="G73" i="8"/>
  <c r="L73" i="8"/>
  <c r="Q30" i="8" l="1"/>
  <c r="D45" i="8"/>
  <c r="D74" i="8"/>
  <c r="J45" i="8"/>
  <c r="E45" i="8"/>
  <c r="F45" i="8"/>
  <c r="F74" i="8"/>
  <c r="E74" i="8"/>
  <c r="J74" i="8"/>
  <c r="G45" i="8"/>
  <c r="L45" i="8"/>
  <c r="L74" i="8"/>
  <c r="G74" i="8"/>
  <c r="D46" i="8"/>
  <c r="D75" i="8"/>
  <c r="E46" i="8"/>
  <c r="F46" i="8"/>
  <c r="J46" i="8"/>
  <c r="E75" i="8"/>
  <c r="J75" i="8"/>
  <c r="F75" i="8"/>
  <c r="G46" i="8"/>
  <c r="L46" i="8"/>
  <c r="L75" i="8"/>
  <c r="G75" i="8"/>
  <c r="D47" i="8"/>
  <c r="D77" i="8"/>
  <c r="E47" i="8"/>
  <c r="F47" i="8"/>
  <c r="J47" i="8"/>
  <c r="E77" i="8"/>
  <c r="J77" i="8"/>
  <c r="F77" i="8"/>
  <c r="G47" i="8"/>
  <c r="L47" i="8"/>
  <c r="L77" i="8"/>
  <c r="G77" i="8"/>
  <c r="M76" i="8" l="1"/>
  <c r="D76" i="8"/>
  <c r="L76" i="8"/>
  <c r="F76" i="8" s="1"/>
  <c r="J76" i="8"/>
  <c r="E76" i="8"/>
  <c r="S5" i="8" s="1"/>
  <c r="G76" i="8"/>
  <c r="S6" i="8"/>
  <c r="T5" i="8"/>
  <c r="U5" i="8"/>
  <c r="V5" i="8"/>
  <c r="W5" i="8"/>
  <c r="X5" i="8"/>
  <c r="X6" i="8"/>
  <c r="Y5" i="8"/>
  <c r="Z5" i="8"/>
  <c r="AA5" i="8"/>
  <c r="AB5" i="8"/>
  <c r="AC5" i="8"/>
  <c r="AC6" i="8"/>
  <c r="AD5" i="8"/>
  <c r="AE5" i="8"/>
  <c r="AF5" i="8"/>
  <c r="AG5" i="8"/>
  <c r="AH5" i="8"/>
  <c r="AH6" i="8"/>
  <c r="AI5" i="8"/>
  <c r="AJ5" i="8"/>
  <c r="AK5" i="8"/>
  <c r="AL5" i="8"/>
  <c r="AM5" i="8"/>
  <c r="AM6" i="8"/>
  <c r="AN5" i="8"/>
  <c r="AO5" i="8"/>
  <c r="AP5" i="8"/>
  <c r="AQ5" i="8"/>
  <c r="AR5" i="8"/>
  <c r="AR6" i="8"/>
  <c r="AS5" i="8"/>
  <c r="AT5" i="8"/>
  <c r="AU5" i="8"/>
  <c r="AV5" i="8"/>
  <c r="AW5" i="8"/>
  <c r="AW6" i="8"/>
  <c r="AX5" i="8"/>
  <c r="AY5" i="8"/>
  <c r="AZ5" i="8"/>
  <c r="BA5" i="8"/>
  <c r="BB5" i="8"/>
  <c r="BB6" i="8"/>
  <c r="BC5" i="8"/>
  <c r="BD5" i="8"/>
  <c r="BE5" i="8"/>
  <c r="BF5" i="8"/>
  <c r="BG5" i="8"/>
  <c r="BG6" i="8"/>
  <c r="BH5" i="8"/>
  <c r="BI5" i="8"/>
  <c r="BJ5" i="8"/>
  <c r="BK5" i="8"/>
  <c r="BL5" i="8"/>
  <c r="BL6" i="8"/>
  <c r="BM5" i="8"/>
  <c r="BN5" i="8"/>
  <c r="BO5" i="8"/>
  <c r="BP5" i="8"/>
  <c r="BQ5" i="8"/>
  <c r="BQ6" i="8"/>
  <c r="BR5" i="8"/>
  <c r="BS5" i="8"/>
  <c r="BT5" i="8"/>
  <c r="BU5" i="8"/>
  <c r="BV5" i="8"/>
  <c r="BV6" i="8"/>
  <c r="BW5" i="8"/>
  <c r="BX5" i="8"/>
  <c r="BY5" i="8"/>
  <c r="BZ5" i="8"/>
  <c r="CA5" i="8"/>
  <c r="CA6" i="8"/>
  <c r="CB5" i="8"/>
  <c r="CC5" i="8"/>
  <c r="CD5" i="8"/>
  <c r="CE5" i="8"/>
  <c r="CF5" i="8"/>
  <c r="CF6" i="8"/>
  <c r="CG5" i="8"/>
  <c r="CH5" i="8"/>
  <c r="CI5" i="8"/>
  <c r="CJ5" i="8"/>
  <c r="CK5" i="8"/>
  <c r="CK6" i="8"/>
  <c r="CL5" i="8"/>
  <c r="CM5" i="8"/>
  <c r="CN5" i="8"/>
  <c r="CO5" i="8"/>
  <c r="CP5" i="8"/>
  <c r="CP6" i="8"/>
  <c r="CQ5" i="8"/>
  <c r="CR5" i="8"/>
  <c r="CS5" i="8"/>
  <c r="CT5" i="8"/>
  <c r="CU5" i="8"/>
  <c r="CU6" i="8"/>
  <c r="CV5" i="8"/>
  <c r="CW5" i="8"/>
  <c r="CX5" i="8"/>
  <c r="CY5" i="8"/>
  <c r="CZ5" i="8"/>
  <c r="CZ6" i="8"/>
  <c r="DA5" i="8"/>
  <c r="DB5" i="8"/>
  <c r="DC5" i="8"/>
  <c r="DD5" i="8"/>
  <c r="DE5" i="8"/>
  <c r="DE6" i="8"/>
  <c r="DF5" i="8"/>
  <c r="DG5" i="8"/>
  <c r="DH5" i="8"/>
  <c r="DI5" i="8"/>
  <c r="DJ5" i="8"/>
  <c r="DJ6" i="8"/>
  <c r="DK5" i="8"/>
  <c r="DL5" i="8"/>
  <c r="DM5" i="8"/>
  <c r="DN5" i="8"/>
  <c r="DO5" i="8"/>
  <c r="DO6" i="8"/>
  <c r="DP5" i="8"/>
  <c r="DQ5" i="8"/>
  <c r="DR5" i="8"/>
  <c r="DS5" i="8"/>
  <c r="DT5" i="8"/>
  <c r="DT6" i="8"/>
  <c r="DU5" i="8"/>
  <c r="DV5" i="8"/>
  <c r="DW5" i="8"/>
  <c r="DX5" i="8"/>
  <c r="DY5" i="8"/>
  <c r="DY6" i="8"/>
  <c r="DZ5" i="8"/>
  <c r="EA5" i="8"/>
  <c r="EB5" i="8"/>
  <c r="EC5" i="8"/>
  <c r="ED5" i="8"/>
  <c r="ED6" i="8"/>
  <c r="EE5" i="8"/>
  <c r="EF5" i="8"/>
  <c r="EG5" i="8"/>
  <c r="EH5" i="8"/>
  <c r="EI5" i="8"/>
  <c r="EI6" i="8"/>
  <c r="EJ5" i="8"/>
  <c r="EK5" i="8"/>
  <c r="EL5" i="8"/>
  <c r="EM5" i="8"/>
  <c r="EN5" i="8"/>
  <c r="EN6" i="8"/>
  <c r="EO5" i="8"/>
  <c r="EP5" i="8"/>
  <c r="EQ5" i="8"/>
  <c r="ER5" i="8"/>
  <c r="ES5" i="8"/>
  <c r="ES6" i="8"/>
  <c r="ET5" i="8"/>
  <c r="EU5" i="8"/>
  <c r="EV5" i="8"/>
  <c r="EW5" i="8"/>
  <c r="EX5" i="8"/>
  <c r="EX6" i="8"/>
  <c r="EY5" i="8"/>
  <c r="EZ5" i="8"/>
  <c r="FA5" i="8"/>
  <c r="FB5" i="8"/>
  <c r="FC5" i="8"/>
  <c r="FC6" i="8"/>
  <c r="FD5" i="8"/>
  <c r="FE5" i="8"/>
  <c r="FF5" i="8"/>
  <c r="FG5" i="8"/>
  <c r="FH5" i="8"/>
  <c r="FH6" i="8"/>
  <c r="FI5" i="8"/>
  <c r="FJ5" i="8"/>
  <c r="FK5" i="8"/>
  <c r="FL5" i="8"/>
  <c r="FM5" i="8"/>
  <c r="FM6" i="8"/>
  <c r="FN5" i="8"/>
  <c r="FO5" i="8"/>
  <c r="FP5" i="8"/>
  <c r="FQ5" i="8"/>
  <c r="FR5" i="8"/>
  <c r="FR6" i="8"/>
  <c r="FS5" i="8"/>
  <c r="FT5" i="8"/>
  <c r="FU5" i="8"/>
  <c r="FV5" i="8"/>
  <c r="FW5" i="8"/>
  <c r="FW6" i="8"/>
  <c r="FX5" i="8"/>
  <c r="FY5" i="8"/>
  <c r="FZ5" i="8"/>
  <c r="GA5" i="8"/>
  <c r="GB5" i="8"/>
  <c r="GB6" i="8"/>
  <c r="GC5" i="8"/>
  <c r="GD5" i="8"/>
  <c r="GE5" i="8"/>
  <c r="GF5" i="8"/>
  <c r="GG5" i="8"/>
  <c r="GG6" i="8"/>
  <c r="GH5" i="8"/>
  <c r="GI5" i="8"/>
  <c r="GJ5" i="8"/>
  <c r="GK5" i="8"/>
  <c r="GL5" i="8"/>
  <c r="GL6" i="8"/>
  <c r="GM5" i="8"/>
  <c r="GN5" i="8"/>
  <c r="GO5" i="8"/>
  <c r="GP5" i="8"/>
  <c r="GQ5" i="8"/>
  <c r="GQ6" i="8"/>
  <c r="GR5" i="8"/>
  <c r="GS5" i="8"/>
  <c r="GT5" i="8"/>
  <c r="GU5" i="8"/>
  <c r="GV5" i="8"/>
  <c r="GV6" i="8"/>
  <c r="GW5" i="8"/>
  <c r="GX5" i="8"/>
  <c r="GY5" i="8"/>
  <c r="GZ5" i="8"/>
  <c r="HA5" i="8"/>
  <c r="HA6" i="8"/>
  <c r="HB5" i="8"/>
  <c r="HC5" i="8"/>
  <c r="HD5" i="8"/>
  <c r="HE5" i="8"/>
  <c r="HF5" i="8"/>
  <c r="HF6" i="8"/>
  <c r="HG5" i="8"/>
  <c r="HH5" i="8"/>
  <c r="HI5" i="8"/>
  <c r="HJ5" i="8"/>
  <c r="HK5" i="8"/>
  <c r="HK6" i="8"/>
  <c r="HL5" i="8"/>
  <c r="HM5" i="8"/>
  <c r="HN5" i="8"/>
  <c r="HO5" i="8"/>
  <c r="HP5" i="8"/>
  <c r="HP6" i="8"/>
  <c r="HQ5" i="8"/>
  <c r="HR5" i="8"/>
  <c r="HS5" i="8"/>
  <c r="HT5" i="8"/>
  <c r="HU5" i="8"/>
  <c r="HU6" i="8"/>
  <c r="HV5" i="8"/>
  <c r="HW5" i="8"/>
  <c r="HX5" i="8"/>
  <c r="HY5" i="8"/>
  <c r="HZ5" i="8"/>
  <c r="HZ6" i="8"/>
  <c r="IA5" i="8"/>
  <c r="IB5" i="8"/>
  <c r="IC5" i="8"/>
  <c r="ID5" i="8"/>
  <c r="IE5" i="8"/>
  <c r="IE6" i="8"/>
  <c r="IF5" i="8"/>
  <c r="IG5" i="8"/>
  <c r="IH5" i="8"/>
  <c r="II5" i="8"/>
  <c r="IJ5" i="8"/>
  <c r="IK5" i="8"/>
  <c r="IJ6" i="8"/>
  <c r="IL5" i="8"/>
  <c r="IM5" i="8"/>
  <c r="IN5" i="8"/>
  <c r="IO5" i="8"/>
  <c r="IP5" i="8"/>
  <c r="IO6" i="8"/>
  <c r="IQ5" i="8"/>
  <c r="IR5" i="8"/>
  <c r="IS5" i="8"/>
  <c r="IT5" i="8"/>
  <c r="IU5" i="8"/>
  <c r="IT6" i="8"/>
  <c r="IV5" i="8"/>
  <c r="IW5" i="8"/>
  <c r="IW4" i="8" l="1"/>
  <c r="IX5" i="8"/>
  <c r="IV4" i="8"/>
  <c r="IU4" i="8"/>
  <c r="IT4" i="8"/>
  <c r="IS4" i="8"/>
  <c r="IR4" i="8"/>
  <c r="IQ4" i="8"/>
  <c r="IP4" i="8"/>
  <c r="IO4" i="8"/>
  <c r="IN4" i="8"/>
  <c r="IM4" i="8"/>
  <c r="IL4" i="8"/>
  <c r="IK4" i="8"/>
  <c r="IJ4" i="8"/>
  <c r="II4" i="8"/>
  <c r="IH4" i="8"/>
  <c r="IG4" i="8"/>
  <c r="IF4" i="8"/>
  <c r="IE4" i="8"/>
  <c r="ID4" i="8"/>
  <c r="IC4" i="8"/>
  <c r="IB4" i="8"/>
  <c r="IA4" i="8"/>
  <c r="HZ4" i="8"/>
  <c r="HY4" i="8"/>
  <c r="HX4" i="8"/>
  <c r="HW4" i="8"/>
  <c r="HV4" i="8"/>
  <c r="HU4" i="8"/>
  <c r="HT4" i="8"/>
  <c r="HS4" i="8"/>
  <c r="HR4" i="8"/>
  <c r="HQ4" i="8"/>
  <c r="HP4" i="8"/>
  <c r="HO4" i="8"/>
  <c r="HN4" i="8"/>
  <c r="HM4" i="8"/>
  <c r="HL4" i="8"/>
  <c r="HK4" i="8"/>
  <c r="HJ4" i="8"/>
  <c r="HI4" i="8"/>
  <c r="HH4" i="8"/>
  <c r="HG4" i="8"/>
  <c r="HF4" i="8"/>
  <c r="HE4" i="8"/>
  <c r="HD4" i="8"/>
  <c r="HC4" i="8"/>
  <c r="HB4" i="8"/>
  <c r="HA4" i="8"/>
  <c r="GZ4" i="8"/>
  <c r="GY4" i="8"/>
  <c r="GX4" i="8"/>
  <c r="GW4" i="8"/>
  <c r="GV4" i="8"/>
  <c r="GU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C5" i="8"/>
  <c r="S4" i="8"/>
  <c r="L8" i="8"/>
  <c r="N76" i="8"/>
  <c r="F8" i="8"/>
  <c r="G8" i="8"/>
  <c r="F13" i="10" l="1"/>
  <c r="Q8" i="8"/>
  <c r="B14" i="10"/>
  <c r="F14" i="10"/>
  <c r="N8" i="8"/>
  <c r="D14" i="10" l="1"/>
</calcChain>
</file>

<file path=xl/sharedStrings.xml><?xml version="1.0" encoding="utf-8"?>
<sst xmlns="http://schemas.openxmlformats.org/spreadsheetml/2006/main" count="254" uniqueCount="174">
  <si>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</si>
  <si>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</si>
  <si>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</si>
  <si>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</si>
  <si>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</si>
  <si>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</si>
  <si>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</si>
  <si>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</si>
  <si>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</si>
  <si>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</si>
  <si>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</si>
  <si>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</si>
  <si>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</si>
  <si>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</si>
  <si>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</si>
  <si>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</si>
  <si>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</si>
  <si>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</si>
  <si>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</si>
  <si>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</si>
  <si>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</si>
  <si>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</si>
  <si>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</si>
  <si>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</si>
  <si>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</si>
  <si>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</si>
  <si>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</si>
  <si>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</si>
  <si>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</si>
  <si>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</si>
  <si>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</si>
  <si>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</si>
  <si>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</si>
  <si>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</si>
  <si>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</si>
  <si>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</si>
  <si>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</si>
  <si>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</si>
  <si>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</si>
  <si>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</si>
  <si>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</si>
  <si>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</si>
  <si>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</si>
  <si>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</si>
  <si>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</si>
  <si>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</si>
  <si>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</si>
  <si>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</si>
  <si>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</si>
  <si>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</si>
  <si>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</si>
  <si>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</si>
  <si>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</si>
  <si>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</si>
  <si>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</si>
  <si>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</si>
  <si>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</si>
  <si>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</si>
  <si>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</si>
  <si>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</si>
  <si>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</si>
  <si>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</si>
  <si>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</si>
  <si>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</si>
  <si>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</si>
  <si>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</si>
  <si>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</si>
  <si>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</si>
  <si>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</si>
  <si>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</si>
  <si>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</si>
  <si>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</si>
  <si>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</si>
  <si>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</si>
  <si>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</si>
  <si>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</si>
  <si>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</si>
  <si>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</si>
  <si>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</si>
  <si>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</si>
  <si>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</si>
  <si>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</si>
  <si>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</si>
  <si>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</si>
  <si>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</si>
  <si>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</si>
  <si>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</si>
  <si>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</si>
  <si>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</si>
  <si>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</si>
  <si>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</si>
  <si>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</si>
  <si>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</si>
  <si>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</si>
  <si>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</si>
  <si>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</si>
  <si>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</si>
  <si>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</si>
  <si>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</si>
  <si>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</si>
  <si>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</si>
  <si>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</si>
  <si>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</si>
  <si>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</si>
  <si>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</si>
  <si>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</si>
  <si>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</si>
  <si>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</si>
  <si>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</si>
  <si>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</si>
  <si>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</si>
  <si>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 xml:space="preserve">تامين و آماده سازي شبکه و زيرساخت سخت افزاری و نرم افزاری مورد نياز (سرور  اصلی و میرور) توسط کارفرما </t>
  </si>
  <si>
    <t>استقرار زيرساخت  وآماده سازی  زیر ساخت نرم افزاری سامان سوئیت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</si>
  <si>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</si>
  <si>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</si>
  <si>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</si>
  <si>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</si>
  <si>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</si>
  <si>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</si>
  <si>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</si>
  <si>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</si>
  <si>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معرفی نمایندگان کارفرما به تفکیک سطوح کاربری دارای دانش و مهارت های پیش نیاز آموزش نرم افزار</t>
  </si>
  <si>
    <t>ارائه خدمات آموزش</t>
  </si>
  <si>
    <t>اعلام نام های کاربری و حقوق دسترسی مورد نیاز هر یک از کاربران و اطلاعات مورد نیاز جهت تنظیم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</si>
  <si>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</si>
  <si>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</si>
  <si>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ارائه خدمات اجرایی موضوع قرارداد</t>
  </si>
  <si>
    <t>تعریف و اعطای حق دسترسی به کاربران و گروه های کاربری اعلام شده</t>
  </si>
  <si>
    <t>برگزاری جلسات آموزش  راهبری و مدیریتی  (9 ساعت)</t>
  </si>
  <si>
    <t>برگزاری جلسات آموزش کاربری(9 ساعت)</t>
  </si>
  <si>
    <t xml:space="preserve"> بررسی و تایید مستند معماری محتوا توسط کارفرما (تدریجی)</t>
  </si>
  <si>
    <r>
      <rPr>
        <b/>
        <sz val="10"/>
        <rFont val="B Nazanin"/>
        <charset val="178"/>
      </rPr>
      <t>راه اندازی اولیه</t>
    </r>
    <r>
      <rPr>
        <sz val="9"/>
        <rFont val="B Nazanin"/>
        <charset val="178"/>
      </rPr>
      <t xml:space="preserve"> زیر پورتال شامل موارد زیر می گردد:
ایجاد زیرپورتال بر اساس ماژولهای منتخب از پورتال اصلی
ایجاد ساختار محتوا و سرفصل های اطلاعاتی
پیاده سازی چیدمان صفحه اصلی
طراحی سرصفحه نمای گرافیکی (منطبق بر طرح پایه)
</t>
    </r>
    <r>
      <rPr>
        <sz val="10"/>
        <rFont val="B Nazanin"/>
        <charset val="178"/>
      </rPr>
      <t>راه اندازی کامل</t>
    </r>
    <r>
      <rPr>
        <sz val="9"/>
        <rFont val="B Nazanin"/>
        <charset val="178"/>
      </rPr>
      <t xml:space="preserve"> زیر پورتال مازاد بر راه اندازی اولیه زیر پورتال شامل موارد زیر می گردد:
تعریف کاربران و تنظیم حقوق دسترسی
ورود اطلاعات محتوا
آموزش راهبر پورتال</t>
    </r>
  </si>
  <si>
    <r>
      <t>تهيه برنامه زمانبندي msp  و گ</t>
    </r>
    <r>
      <rPr>
        <b/>
        <sz val="8"/>
        <rFont val="B Nazanin"/>
        <charset val="178"/>
      </rPr>
      <t>انت چارت</t>
    </r>
    <r>
      <rPr>
        <sz val="8"/>
        <rFont val="B Nazanin"/>
        <charset val="178"/>
      </rPr>
      <t xml:space="preserve"> اجرايي پروژه</t>
    </r>
  </si>
  <si>
    <r>
      <t xml:space="preserve">تنظیم روال های تهیه </t>
    </r>
    <r>
      <rPr>
        <b/>
        <sz val="8"/>
        <rFont val="B Nazanin"/>
        <charset val="178"/>
      </rPr>
      <t>نسخه پشتیبان</t>
    </r>
    <r>
      <rPr>
        <sz val="8"/>
        <rFont val="B Nazanin"/>
        <charset val="178"/>
      </rPr>
      <t xml:space="preserve"> دوره ای از نرم افزار سامان سوئیت</t>
    </r>
  </si>
  <si>
    <t>طراحی و پیاده سازی پورتال اینترنتی و زیر پورتال های بانک اقتصاد نوین</t>
  </si>
  <si>
    <t>1398/10/01</t>
  </si>
  <si>
    <t>جلسه اول پروژه (معارفه)</t>
  </si>
  <si>
    <t>برگزاری جلسات آموزش دسته سرويس هاي تخصصي بانکی (6 ساعت)</t>
  </si>
  <si>
    <t>جلسه دوم پروژه (بررسی نیازمندی های کارفرما و وضع جاری)</t>
  </si>
  <si>
    <t>جلسه چهارم (هماهنگی جهت بهره برداری از پروژه)</t>
  </si>
  <si>
    <t>جلسه سوم(تحویل پروژه)</t>
  </si>
  <si>
    <t>تحویل نرم افزار نصب شده مطابق با مجوزهای جدول الف قرارداد بر روی سرور کارفرما به کارفرما</t>
  </si>
  <si>
    <t>تهیه و نگهداری نسخه های پشتیبان نرم افزار سامان سوئیت (در طول قرارداد)</t>
  </si>
  <si>
    <t>تحویل سرور اصلی به کارفرما</t>
  </si>
  <si>
    <t>تامين و آماده سازي شبکه و زيرساخت سخت افزاری و نرم افزاری مورد نياز (سرور  تست) توسط کارفرما منطبق بر مشخصات سرور اصلی و در بستر همسان</t>
  </si>
  <si>
    <t>آماده سازی محیط تست</t>
  </si>
  <si>
    <t>تحویل سرور تست  به کارفرما</t>
  </si>
  <si>
    <t>مطالعه اسناد ارائه ساختار محتوا و بررسی طرح های گرافیکی  ارسالی از سوی کارفرما</t>
  </si>
  <si>
    <t>تدوین سند شناخت وضع جاری (وب سایت اینترنتی فارسی و انگلیسی و زیر پورتال ویژه همکاران)</t>
  </si>
  <si>
    <t>ارائه ساختار محتوا و طرح های گرافیکی نسخه انگلیسی</t>
  </si>
  <si>
    <t>3.4</t>
  </si>
  <si>
    <t>جمع بندی نيازمنديهای فرايند شناخت و تدوین سند معماری محتوا (تدریجی)</t>
  </si>
  <si>
    <t>پیاده سازی نمای گرافیکی نسخه فارسی بانک</t>
  </si>
  <si>
    <t>پیاده سازی صفحه ایستا معرفی بانک</t>
  </si>
  <si>
    <t>پیاده سازی صفحه ایستا دعوت به همکاری</t>
  </si>
  <si>
    <t>پیاده سازی صفحه ایستا مدارس بانک اقتصاد نوین</t>
  </si>
  <si>
    <t>پیاده سازی صفحه ایستا اعتبارات اسنادی</t>
  </si>
  <si>
    <t>پیاده سازی صفحه ایستا سامانه های موبایلی</t>
  </si>
  <si>
    <t>پیاده سازی صفحه ایستا کارت های بانکی</t>
  </si>
  <si>
    <t>پیاده سازی صفحه ایستا اطلاعات تماس</t>
  </si>
  <si>
    <t>پیاده سازی صفحه ایستا طرح صبا</t>
  </si>
  <si>
    <t>پیاده سازی صفحه ایستا طرح کوشان</t>
  </si>
  <si>
    <t>پیاده سازی صفحه ایستا جشنواره حساب های قرض الحسته</t>
  </si>
  <si>
    <t>پیاده سازی صفحه ورودی ویژه همکاران</t>
  </si>
  <si>
    <t>پیاده سازی نمای گرافیکی نسخه انگلیسی بانک</t>
  </si>
  <si>
    <t>تحویل اقدامات پیاده سازی نمای گرافیکی بانک</t>
  </si>
  <si>
    <t>ارائه دسترسی به وب سرویس استعلام ضمانت و شبا</t>
  </si>
  <si>
    <t>6.5</t>
  </si>
  <si>
    <t>تنظیم ماژول های استعلام ضمانت نامه و شبا</t>
  </si>
  <si>
    <t>انجام اقدامات پیکربندی امنیتی در سطح WAF  و قرار گیری سرور در محیط عملیاتی</t>
  </si>
  <si>
    <t>اجرای تست امنیت و ارائه گزارش مربوطه</t>
  </si>
  <si>
    <t>رفع اشکالات گزارش شده در سطح نرم افزار بر روی سرور اصلی</t>
  </si>
  <si>
    <t>تست مجدد سامانه</t>
  </si>
  <si>
    <t>تایید امنیت سامانه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</si>
</sst>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33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b/>
      <sz val="14"/>
      <color indexed="1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8"/>
      <name val="B Nazanin"/>
      <charset val="178"/>
    </font>
    <font>
      <sz val="8"/>
      <name val="B Nazanin"/>
      <charset val="178"/>
    </font>
    <font>
      <sz val="11"/>
      <name val="B Nazanin"/>
      <charset val="178"/>
    </font>
    <font>
      <sz val="9"/>
      <name val="B Nazanin"/>
      <charset val="178"/>
    </font>
    <font>
      <b/>
      <sz val="10"/>
      <name val="B Nazanin"/>
      <charset val="178"/>
    </font>
    <font>
      <sz val="10"/>
      <name val="B Nazanin"/>
      <charset val="178"/>
    </font>
    <font>
      <u/>
      <sz val="10"/>
      <color indexed="12"/>
      <name val="B Nazanin"/>
      <charset val="178"/>
    </font>
    <font>
      <b/>
      <sz val="14"/>
      <color indexed="16"/>
      <name val="B Nazanin"/>
      <charset val="178"/>
    </font>
    <font>
      <sz val="9"/>
      <color theme="0"/>
      <name val="B Nazanin"/>
      <charset val="178"/>
    </font>
    <font>
      <b/>
      <sz val="11"/>
      <color indexed="16"/>
      <name val="B Nazanin"/>
      <charset val="178"/>
    </font>
    <font>
      <u/>
      <sz val="8"/>
      <color indexed="12"/>
      <name val="B Nazanin"/>
      <charset val="178"/>
    </font>
    <font>
      <sz val="6"/>
      <name val="B Nazanin"/>
      <charset val="17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0" fillId="0" borderId="0"/>
    <xf numFmtId="164" fontId="14" fillId="0" borderId="0" applyFont="0" applyFill="0" applyBorder="0" applyAlignment="0" applyProtection="0"/>
    <xf numFmtId="0" fontId="10" fillId="0" borderId="0"/>
    <xf numFmtId="0" fontId="19" fillId="0" borderId="0" applyNumberFormat="0" applyFill="0" applyBorder="0" applyAlignment="0" applyProtection="0"/>
    <xf numFmtId="0" fontId="20" fillId="0" borderId="0"/>
  </cellStyleXfs>
  <cellXfs count="342">
    <xf numFmtId="0" fontId="0" fillId="0" borderId="0" xfId="0"/>
    <xf numFmtId="0" fontId="4" fillId="2" borderId="2" xfId="0" applyFont="1" applyFill="1" applyBorder="1"/>
    <xf numFmtId="1" fontId="4" fillId="2" borderId="2" xfId="0" applyNumberFormat="1" applyFont="1" applyFill="1" applyBorder="1"/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0" fontId="4" fillId="0" borderId="0" xfId="0" applyFont="1"/>
    <xf numFmtId="0" fontId="11" fillId="0" borderId="0" xfId="3" applyFont="1" applyFill="1" applyAlignment="1">
      <alignment horizontal="center" vertical="center"/>
    </xf>
    <xf numFmtId="0" fontId="11" fillId="0" borderId="0" xfId="3" applyNumberFormat="1" applyFont="1" applyFill="1" applyAlignment="1">
      <alignment horizontal="center" vertical="center"/>
    </xf>
    <xf numFmtId="0" fontId="11" fillId="0" borderId="0" xfId="3" applyFont="1" applyFill="1" applyAlignment="1">
      <alignment horizontal="right" vertical="center"/>
    </xf>
    <xf numFmtId="0" fontId="12" fillId="0" borderId="0" xfId="3" applyFont="1" applyFill="1" applyAlignment="1">
      <alignment horizontal="right" vertical="center"/>
    </xf>
    <xf numFmtId="165" fontId="4" fillId="0" borderId="2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6" fillId="0" borderId="0" xfId="0" applyFont="1"/>
    <xf numFmtId="166" fontId="16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6" fillId="0" borderId="0" xfId="4" applyNumberFormat="1" applyFont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167" fontId="6" fillId="2" borderId="0" xfId="4" applyNumberFormat="1" applyFont="1" applyFill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167" fontId="16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16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66" fontId="16" fillId="0" borderId="5" xfId="4" applyNumberFormat="1" applyFont="1" applyBorder="1" applyAlignment="1">
      <alignment horizontal="center"/>
    </xf>
    <xf numFmtId="167" fontId="16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16" fillId="0" borderId="0" xfId="0" applyNumberFormat="1" applyFont="1"/>
    <xf numFmtId="1" fontId="4" fillId="0" borderId="0" xfId="0" applyNumberFormat="1" applyFont="1"/>
    <xf numFmtId="165" fontId="18" fillId="0" borderId="10" xfId="0" applyNumberFormat="1" applyFont="1" applyBorder="1" applyAlignment="1">
      <alignment horizontal="center"/>
    </xf>
    <xf numFmtId="167" fontId="17" fillId="0" borderId="10" xfId="0" applyNumberFormat="1" applyFont="1" applyBorder="1" applyAlignment="1">
      <alignment horizontal="center"/>
    </xf>
    <xf numFmtId="168" fontId="17" fillId="0" borderId="10" xfId="2" applyNumberFormat="1" applyFont="1" applyBorder="1" applyAlignment="1">
      <alignment horizontal="center"/>
    </xf>
    <xf numFmtId="1" fontId="18" fillId="0" borderId="5" xfId="4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18" fillId="0" borderId="0" xfId="0" applyNumberFormat="1" applyFont="1" applyBorder="1" applyAlignment="1">
      <alignment horizontal="center" readingOrder="2"/>
    </xf>
    <xf numFmtId="164" fontId="16" fillId="0" borderId="0" xfId="4" applyFont="1"/>
    <xf numFmtId="164" fontId="16" fillId="0" borderId="5" xfId="4" applyFont="1" applyBorder="1"/>
    <xf numFmtId="167" fontId="4" fillId="0" borderId="5" xfId="4" applyNumberFormat="1" applyFont="1" applyBorder="1"/>
    <xf numFmtId="167" fontId="17" fillId="0" borderId="5" xfId="4" applyNumberFormat="1" applyFont="1" applyBorder="1"/>
    <xf numFmtId="166" fontId="16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6" fillId="0" borderId="14" xfId="0" applyNumberFormat="1" applyFont="1" applyFill="1" applyBorder="1" applyAlignment="1">
      <alignment horizontal="center" vertical="center" wrapText="1"/>
    </xf>
    <xf numFmtId="166" fontId="16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16" fillId="0" borderId="16" xfId="4" applyNumberFormat="1" applyFont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6" fillId="0" borderId="16" xfId="0" applyNumberFormat="1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right" wrapText="1"/>
    </xf>
    <xf numFmtId="165" fontId="6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15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16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15" fillId="0" borderId="2" xfId="0" applyFont="1" applyFill="1" applyBorder="1" applyAlignment="1">
      <alignment wrapText="1"/>
    </xf>
    <xf numFmtId="0" fontId="4" fillId="0" borderId="2" xfId="0" applyFont="1" applyFill="1" applyBorder="1" applyProtection="1"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5" fillId="2" borderId="0" xfId="0" applyFont="1" applyFill="1" applyAlignment="1" applyProtection="1">
      <alignment vertical="center"/>
    </xf>
    <xf numFmtId="165" fontId="5" fillId="0" borderId="0" xfId="0" applyNumberFormat="1" applyFont="1" applyFill="1" applyAlignment="1" applyProtection="1">
      <alignment horizontal="center" vertical="center"/>
    </xf>
    <xf numFmtId="0" fontId="6" fillId="0" borderId="0" xfId="0" applyFont="1" applyProtection="1"/>
    <xf numFmtId="0" fontId="6" fillId="0" borderId="0" xfId="0" applyFont="1" applyFill="1" applyBorder="1" applyProtection="1"/>
    <xf numFmtId="0" fontId="6" fillId="0" borderId="0" xfId="0" applyFont="1" applyBorder="1" applyAlignment="1" applyProtection="1">
      <alignment horizontal="left"/>
    </xf>
    <xf numFmtId="0" fontId="6" fillId="0" borderId="0" xfId="0" applyNumberFormat="1" applyFont="1" applyBorder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/>
    <xf numFmtId="14" fontId="4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Border="1" applyAlignment="1" applyProtection="1">
      <alignment horizontal="left"/>
    </xf>
    <xf numFmtId="165" fontId="7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3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6" fillId="0" borderId="17" xfId="0" applyFont="1" applyBorder="1" applyAlignment="1" applyProtection="1">
      <alignment horizontal="right" indent="1"/>
    </xf>
    <xf numFmtId="14" fontId="6" fillId="0" borderId="0" xfId="0" applyNumberFormat="1" applyFont="1" applyBorder="1" applyAlignment="1" applyProtection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Alignment="1" applyProtection="1">
      <alignment horizontal="right"/>
    </xf>
    <xf numFmtId="14" fontId="6" fillId="0" borderId="0" xfId="0" applyNumberFormat="1" applyFont="1" applyFill="1" applyProtection="1"/>
    <xf numFmtId="0" fontId="8" fillId="0" borderId="1" xfId="0" applyFont="1" applyBorder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65" fontId="4" fillId="6" borderId="2" xfId="0" applyNumberFormat="1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0" fontId="4" fillId="0" borderId="2" xfId="0" applyFont="1" applyFill="1" applyBorder="1" applyProtection="1"/>
    <xf numFmtId="1" fontId="4" fillId="0" borderId="2" xfId="0" applyNumberFormat="1" applyFont="1" applyFill="1" applyBorder="1" applyAlignment="1" applyProtection="1">
      <alignment horizontal="center"/>
    </xf>
    <xf numFmtId="165" fontId="4" fillId="0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165" fontId="6" fillId="0" borderId="0" xfId="0" applyNumberFormat="1" applyFont="1" applyAlignment="1" applyProtection="1">
      <alignment horizontal="center" vertical="center"/>
    </xf>
    <xf numFmtId="167" fontId="6" fillId="0" borderId="0" xfId="4" applyNumberFormat="1" applyFont="1" applyAlignment="1" applyProtection="1">
      <alignment horizontal="center" readingOrder="2"/>
    </xf>
    <xf numFmtId="165" fontId="6" fillId="0" borderId="0" xfId="0" applyNumberFormat="1" applyFont="1" applyFill="1" applyBorder="1" applyAlignment="1" applyProtection="1">
      <alignment horizontal="center" vertical="center"/>
    </xf>
    <xf numFmtId="167" fontId="6" fillId="0" borderId="0" xfId="4" applyNumberFormat="1" applyFont="1" applyFill="1" applyBorder="1" applyAlignment="1" applyProtection="1">
      <alignment horizontal="center" readingOrder="2"/>
    </xf>
    <xf numFmtId="165" fontId="6" fillId="2" borderId="0" xfId="0" applyNumberFormat="1" applyFont="1" applyFill="1" applyAlignment="1" applyProtection="1">
      <alignment horizontal="center" vertical="center"/>
    </xf>
    <xf numFmtId="167" fontId="6" fillId="2" borderId="0" xfId="4" applyNumberFormat="1" applyFont="1" applyFill="1" applyAlignment="1" applyProtection="1">
      <alignment horizontal="center" readingOrder="2"/>
    </xf>
    <xf numFmtId="0" fontId="6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16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6" fillId="0" borderId="0" xfId="0" applyFont="1" applyAlignment="1" applyProtection="1">
      <alignment horizontal="right" indent="1"/>
    </xf>
    <xf numFmtId="0" fontId="6" fillId="0" borderId="0" xfId="0" applyFont="1" applyAlignment="1" applyProtection="1">
      <alignment horizontal="center"/>
    </xf>
    <xf numFmtId="0" fontId="6" fillId="0" borderId="0" xfId="0" applyNumberFormat="1" applyFont="1" applyProtection="1"/>
    <xf numFmtId="0" fontId="13" fillId="0" borderId="0" xfId="0" applyFont="1" applyAlignment="1" applyProtection="1">
      <alignment horizontal="center"/>
    </xf>
    <xf numFmtId="165" fontId="6" fillId="0" borderId="0" xfId="0" applyNumberFormat="1" applyFont="1" applyAlignment="1" applyProtection="1">
      <alignment horizontal="center"/>
    </xf>
    <xf numFmtId="167" fontId="16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49" fontId="22" fillId="0" borderId="2" xfId="0" applyNumberFormat="1" applyFont="1" applyBorder="1" applyAlignment="1" applyProtection="1">
      <alignment horizontal="left"/>
    </xf>
    <xf numFmtId="0" fontId="22" fillId="0" borderId="2" xfId="0" applyFont="1" applyFill="1" applyBorder="1" applyProtection="1">
      <protection locked="0"/>
    </xf>
    <xf numFmtId="1" fontId="22" fillId="0" borderId="2" xfId="0" applyNumberFormat="1" applyFont="1" applyFill="1" applyBorder="1" applyAlignment="1" applyProtection="1">
      <alignment horizontal="center"/>
    </xf>
    <xf numFmtId="1" fontId="22" fillId="0" borderId="2" xfId="0" applyNumberFormat="1" applyFont="1" applyFill="1" applyBorder="1" applyProtection="1">
      <protection locked="0"/>
    </xf>
    <xf numFmtId="0" fontId="22" fillId="0" borderId="2" xfId="0" applyNumberFormat="1" applyFont="1" applyFill="1" applyBorder="1" applyProtection="1">
      <protection locked="0"/>
    </xf>
    <xf numFmtId="1" fontId="22" fillId="3" borderId="2" xfId="0" applyNumberFormat="1" applyFont="1" applyFill="1" applyBorder="1" applyAlignment="1" applyProtection="1">
      <alignment horizontal="center"/>
    </xf>
    <xf numFmtId="9" fontId="22" fillId="3" borderId="2" xfId="2" applyFont="1" applyFill="1" applyBorder="1" applyAlignment="1" applyProtection="1">
      <alignment horizontal="center"/>
      <protection locked="0"/>
    </xf>
    <xf numFmtId="1" fontId="22" fillId="0" borderId="2" xfId="0" applyNumberFormat="1" applyFont="1" applyFill="1" applyBorder="1" applyAlignment="1" applyProtection="1">
      <alignment horizontal="center"/>
      <protection locked="0"/>
    </xf>
    <xf numFmtId="0" fontId="22" fillId="0" borderId="2" xfId="0" applyFont="1" applyFill="1" applyBorder="1" applyProtection="1"/>
    <xf numFmtId="0" fontId="22" fillId="0" borderId="2" xfId="0" applyFont="1" applyBorder="1" applyAlignment="1">
      <alignment horizontal="center" vertical="center"/>
    </xf>
    <xf numFmtId="167" fontId="22" fillId="0" borderId="2" xfId="4" applyNumberFormat="1" applyFont="1" applyBorder="1" applyAlignment="1">
      <alignment horizontal="center" vertical="center"/>
    </xf>
    <xf numFmtId="165" fontId="22" fillId="0" borderId="2" xfId="0" applyNumberFormat="1" applyFont="1" applyBorder="1" applyAlignment="1" applyProtection="1">
      <alignment horizontal="center" vertical="center"/>
      <protection locked="0"/>
    </xf>
    <xf numFmtId="167" fontId="22" fillId="0" borderId="2" xfId="4" applyNumberFormat="1" applyFont="1" applyBorder="1" applyAlignment="1" applyProtection="1">
      <alignment horizontal="center" readingOrder="2"/>
    </xf>
    <xf numFmtId="0" fontId="22" fillId="0" borderId="2" xfId="0" applyFont="1" applyBorder="1" applyProtection="1"/>
    <xf numFmtId="0" fontId="22" fillId="0" borderId="2" xfId="0" applyFont="1" applyFill="1" applyBorder="1" applyAlignment="1" applyProtection="1">
      <alignment horizontal="right" wrapText="1" indent="1"/>
      <protection locked="0"/>
    </xf>
    <xf numFmtId="0" fontId="8" fillId="0" borderId="2" xfId="0" applyFont="1" applyBorder="1" applyProtection="1"/>
    <xf numFmtId="0" fontId="22" fillId="0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Protection="1"/>
    <xf numFmtId="1" fontId="22" fillId="0" borderId="2" xfId="0" applyNumberFormat="1" applyFont="1" applyFill="1" applyBorder="1" applyAlignment="1">
      <alignment horizontal="center"/>
    </xf>
    <xf numFmtId="1" fontId="22" fillId="3" borderId="2" xfId="0" applyNumberFormat="1" applyFont="1" applyFill="1" applyBorder="1" applyAlignment="1">
      <alignment horizontal="center"/>
    </xf>
    <xf numFmtId="0" fontId="22" fillId="0" borderId="2" xfId="0" applyFont="1" applyFill="1" applyBorder="1"/>
    <xf numFmtId="0" fontId="22" fillId="0" borderId="2" xfId="0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 applyProtection="1">
      <alignment horizontal="center" vertical="center"/>
      <protection locked="0"/>
    </xf>
    <xf numFmtId="167" fontId="22" fillId="0" borderId="2" xfId="4" applyNumberFormat="1" applyFont="1" applyFill="1" applyBorder="1" applyAlignment="1">
      <alignment horizontal="center" readingOrder="2"/>
    </xf>
    <xf numFmtId="1" fontId="22" fillId="0" borderId="2" xfId="0" applyNumberFormat="1" applyFont="1" applyFill="1" applyBorder="1"/>
    <xf numFmtId="0" fontId="22" fillId="0" borderId="2" xfId="0" applyNumberFormat="1" applyFont="1" applyBorder="1" applyAlignment="1" applyProtection="1">
      <alignment horizontal="left"/>
    </xf>
    <xf numFmtId="0" fontId="22" fillId="0" borderId="2" xfId="0" applyFont="1" applyBorder="1" applyProtection="1">
      <protection locked="0"/>
    </xf>
    <xf numFmtId="167" fontId="22" fillId="0" borderId="2" xfId="4" applyNumberFormat="1" applyFont="1" applyBorder="1" applyAlignment="1">
      <alignment horizontal="center" readingOrder="2"/>
    </xf>
    <xf numFmtId="0" fontId="22" fillId="0" borderId="2" xfId="0" applyFont="1" applyBorder="1"/>
    <xf numFmtId="49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right" wrapText="1" indent="1"/>
      <protection locked="0"/>
    </xf>
    <xf numFmtId="0" fontId="22" fillId="2" borderId="2" xfId="0" applyFont="1" applyFill="1" applyBorder="1" applyProtection="1">
      <protection locked="0"/>
    </xf>
    <xf numFmtId="1" fontId="22" fillId="2" borderId="2" xfId="0" applyNumberFormat="1" applyFont="1" applyFill="1" applyBorder="1" applyProtection="1">
      <protection locked="0"/>
    </xf>
    <xf numFmtId="0" fontId="22" fillId="2" borderId="2" xfId="0" applyNumberFormat="1" applyFont="1" applyFill="1" applyBorder="1" applyProtection="1">
      <protection locked="0"/>
    </xf>
    <xf numFmtId="1" fontId="22" fillId="2" borderId="2" xfId="0" applyNumberFormat="1" applyFont="1" applyFill="1" applyBorder="1" applyAlignment="1" applyProtection="1">
      <alignment horizontal="center"/>
    </xf>
    <xf numFmtId="1" fontId="22" fillId="4" borderId="2" xfId="0" applyNumberFormat="1" applyFont="1" applyFill="1" applyBorder="1" applyAlignment="1" applyProtection="1">
      <alignment horizontal="center"/>
    </xf>
    <xf numFmtId="9" fontId="22" fillId="4" borderId="2" xfId="2" applyFont="1" applyFill="1" applyBorder="1" applyAlignment="1" applyProtection="1">
      <alignment horizontal="center"/>
    </xf>
    <xf numFmtId="1" fontId="22" fillId="5" borderId="2" xfId="0" applyNumberFormat="1" applyFont="1" applyFill="1" applyBorder="1" applyAlignment="1" applyProtection="1">
      <alignment horizontal="center"/>
    </xf>
    <xf numFmtId="0" fontId="22" fillId="0" borderId="2" xfId="0" applyFont="1" applyBorder="1" applyAlignment="1" applyProtection="1">
      <alignment horizontal="right" indent="1"/>
    </xf>
    <xf numFmtId="49" fontId="22" fillId="0" borderId="2" xfId="0" applyNumberFormat="1" applyFont="1" applyFill="1" applyBorder="1" applyAlignment="1" applyProtection="1">
      <alignment horizontal="left"/>
    </xf>
    <xf numFmtId="1" fontId="22" fillId="10" borderId="2" xfId="0" applyNumberFormat="1" applyFont="1" applyFill="1" applyBorder="1" applyAlignment="1" applyProtection="1">
      <alignment horizontal="center"/>
    </xf>
    <xf numFmtId="9" fontId="22" fillId="10" borderId="2" xfId="2" applyFont="1" applyFill="1" applyBorder="1" applyAlignment="1" applyProtection="1">
      <alignment horizontal="center"/>
      <protection locked="0"/>
    </xf>
    <xf numFmtId="165" fontId="22" fillId="0" borderId="2" xfId="0" applyNumberFormat="1" applyFont="1" applyFill="1" applyBorder="1" applyAlignment="1">
      <alignment horizontal="center" vertical="center"/>
    </xf>
    <xf numFmtId="165" fontId="22" fillId="0" borderId="2" xfId="4" applyNumberFormat="1" applyFont="1" applyFill="1" applyBorder="1" applyAlignment="1" applyProtection="1">
      <alignment horizontal="center" readingOrder="2"/>
      <protection locked="0"/>
    </xf>
    <xf numFmtId="20" fontId="22" fillId="0" borderId="2" xfId="0" applyNumberFormat="1" applyFont="1" applyFill="1" applyBorder="1" applyProtection="1">
      <protection locked="0"/>
    </xf>
    <xf numFmtId="167" fontId="22" fillId="0" borderId="2" xfId="4" applyNumberFormat="1" applyFont="1" applyFill="1" applyBorder="1" applyAlignment="1" applyProtection="1">
      <alignment horizontal="center" readingOrder="2"/>
    </xf>
    <xf numFmtId="0" fontId="22" fillId="0" borderId="0" xfId="0" applyFont="1" applyFill="1" applyBorder="1" applyProtection="1"/>
    <xf numFmtId="165" fontId="22" fillId="0" borderId="2" xfId="0" applyNumberFormat="1" applyFont="1" applyFill="1" applyBorder="1" applyProtection="1">
      <protection locked="0"/>
    </xf>
    <xf numFmtId="49" fontId="22" fillId="6" borderId="0" xfId="0" applyNumberFormat="1" applyFont="1" applyFill="1" applyBorder="1" applyProtection="1"/>
    <xf numFmtId="0" fontId="22" fillId="6" borderId="0" xfId="0" applyFont="1" applyFill="1" applyBorder="1" applyAlignment="1" applyProtection="1">
      <alignment horizontal="right" indent="1"/>
      <protection locked="0"/>
    </xf>
    <xf numFmtId="0" fontId="22" fillId="6" borderId="0" xfId="0" applyFont="1" applyFill="1" applyBorder="1" applyProtection="1">
      <protection locked="0"/>
    </xf>
    <xf numFmtId="0" fontId="22" fillId="6" borderId="0" xfId="0" applyFont="1" applyFill="1" applyBorder="1" applyAlignment="1" applyProtection="1">
      <alignment horizontal="center"/>
      <protection locked="0"/>
    </xf>
    <xf numFmtId="1" fontId="22" fillId="6" borderId="2" xfId="0" applyNumberFormat="1" applyFont="1" applyFill="1" applyBorder="1" applyAlignment="1" applyProtection="1">
      <alignment horizontal="center"/>
    </xf>
    <xf numFmtId="1" fontId="22" fillId="6" borderId="2" xfId="0" applyNumberFormat="1" applyFont="1" applyFill="1" applyBorder="1" applyProtection="1">
      <protection locked="0"/>
    </xf>
    <xf numFmtId="0" fontId="22" fillId="6" borderId="2" xfId="0" applyNumberFormat="1" applyFont="1" applyFill="1" applyBorder="1" applyProtection="1">
      <protection locked="0"/>
    </xf>
    <xf numFmtId="1" fontId="23" fillId="6" borderId="2" xfId="0" applyNumberFormat="1" applyFont="1" applyFill="1" applyBorder="1" applyAlignment="1" applyProtection="1">
      <alignment horizontal="center"/>
    </xf>
    <xf numFmtId="1" fontId="22" fillId="7" borderId="2" xfId="0" applyNumberFormat="1" applyFont="1" applyFill="1" applyBorder="1" applyAlignment="1" applyProtection="1">
      <alignment horizontal="center"/>
    </xf>
    <xf numFmtId="9" fontId="22" fillId="7" borderId="2" xfId="2" applyFont="1" applyFill="1" applyBorder="1" applyAlignment="1" applyProtection="1">
      <alignment horizontal="center"/>
    </xf>
    <xf numFmtId="1" fontId="22" fillId="6" borderId="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Border="1" applyProtection="1"/>
    <xf numFmtId="0" fontId="22" fillId="6" borderId="0" xfId="0" applyFont="1" applyFill="1" applyBorder="1" applyAlignment="1">
      <alignment horizontal="center" vertical="center"/>
    </xf>
    <xf numFmtId="167" fontId="22" fillId="6" borderId="0" xfId="4" applyNumberFormat="1" applyFont="1" applyFill="1" applyBorder="1" applyAlignment="1">
      <alignment horizontal="center" vertical="center"/>
    </xf>
    <xf numFmtId="165" fontId="22" fillId="6" borderId="0" xfId="0" applyNumberFormat="1" applyFont="1" applyFill="1" applyBorder="1" applyAlignment="1" applyProtection="1">
      <alignment horizontal="center" vertical="center"/>
    </xf>
    <xf numFmtId="167" fontId="22" fillId="6" borderId="0" xfId="4" applyNumberFormat="1" applyFont="1" applyFill="1" applyBorder="1" applyAlignment="1" applyProtection="1">
      <alignment horizontal="center" readingOrder="2"/>
    </xf>
    <xf numFmtId="0" fontId="24" fillId="0" borderId="0" xfId="0" applyFont="1" applyAlignment="1" applyProtection="1">
      <alignment horizontal="right" wrapText="1" indent="1"/>
    </xf>
    <xf numFmtId="0" fontId="27" fillId="0" borderId="0" xfId="1" applyFont="1" applyFill="1" applyAlignment="1" applyProtection="1">
      <alignment horizontal="center" vertical="center"/>
    </xf>
    <xf numFmtId="0" fontId="28" fillId="2" borderId="0" xfId="0" applyFont="1" applyFill="1" applyAlignment="1" applyProtection="1">
      <alignment horizontal="right" vertical="center" indent="1"/>
    </xf>
    <xf numFmtId="0" fontId="28" fillId="2" borderId="0" xfId="0" applyFont="1" applyFill="1" applyAlignment="1" applyProtection="1">
      <alignment vertical="center"/>
    </xf>
    <xf numFmtId="0" fontId="28" fillId="2" borderId="0" xfId="0" applyFont="1" applyFill="1" applyAlignment="1" applyProtection="1">
      <alignment horizontal="center" vertical="center"/>
    </xf>
    <xf numFmtId="0" fontId="26" fillId="0" borderId="0" xfId="0" applyFont="1" applyFill="1" applyBorder="1" applyProtection="1"/>
    <xf numFmtId="0" fontId="26" fillId="0" borderId="17" xfId="0" applyFont="1" applyBorder="1" applyAlignment="1" applyProtection="1">
      <alignment horizontal="right"/>
    </xf>
    <xf numFmtId="0" fontId="26" fillId="0" borderId="18" xfId="0" applyFont="1" applyBorder="1" applyAlignment="1" applyProtection="1">
      <alignment horizontal="right"/>
    </xf>
    <xf numFmtId="14" fontId="21" fillId="0" borderId="0" xfId="0" applyNumberFormat="1" applyFont="1" applyBorder="1" applyAlignment="1" applyProtection="1">
      <alignment horizontal="left"/>
    </xf>
    <xf numFmtId="14" fontId="29" fillId="0" borderId="0" xfId="0" applyNumberFormat="1" applyFont="1" applyFill="1" applyBorder="1" applyAlignment="1" applyProtection="1">
      <alignment horizontal="left"/>
    </xf>
    <xf numFmtId="14" fontId="24" fillId="0" borderId="0" xfId="0" applyNumberFormat="1" applyFont="1" applyBorder="1" applyAlignment="1" applyProtection="1">
      <alignment horizontal="center"/>
    </xf>
    <xf numFmtId="0" fontId="28" fillId="2" borderId="0" xfId="0" applyNumberFormat="1" applyFont="1" applyFill="1" applyAlignment="1" applyProtection="1">
      <alignment vertical="center"/>
    </xf>
    <xf numFmtId="0" fontId="30" fillId="2" borderId="0" xfId="0" applyFont="1" applyFill="1" applyAlignment="1" applyProtection="1">
      <alignment horizontal="center" vertical="center"/>
    </xf>
    <xf numFmtId="0" fontId="26" fillId="0" borderId="0" xfId="0" applyFont="1" applyBorder="1" applyAlignment="1" applyProtection="1">
      <alignment horizontal="left"/>
    </xf>
    <xf numFmtId="0" fontId="26" fillId="0" borderId="0" xfId="0" applyNumberFormat="1" applyFont="1" applyBorder="1" applyAlignment="1" applyProtection="1">
      <alignment horizontal="left"/>
    </xf>
    <xf numFmtId="0" fontId="23" fillId="0" borderId="0" xfId="0" applyFont="1" applyBorder="1" applyAlignment="1" applyProtection="1">
      <alignment horizontal="center"/>
    </xf>
    <xf numFmtId="14" fontId="24" fillId="0" borderId="0" xfId="0" applyNumberFormat="1" applyFont="1" applyBorder="1" applyAlignment="1" applyProtection="1">
      <alignment horizontal="left"/>
    </xf>
    <xf numFmtId="0" fontId="24" fillId="0" borderId="0" xfId="0" applyNumberFormat="1" applyFont="1" applyBorder="1" applyAlignment="1" applyProtection="1">
      <alignment horizontal="left"/>
    </xf>
    <xf numFmtId="14" fontId="23" fillId="0" borderId="0" xfId="0" applyNumberFormat="1" applyFont="1" applyBorder="1" applyAlignment="1" applyProtection="1">
      <alignment horizontal="center"/>
    </xf>
    <xf numFmtId="0" fontId="28" fillId="9" borderId="0" xfId="0" applyFont="1" applyFill="1" applyAlignment="1" applyProtection="1">
      <alignment vertical="center"/>
    </xf>
    <xf numFmtId="0" fontId="31" fillId="0" borderId="0" xfId="1" applyFont="1" applyFill="1" applyAlignment="1" applyProtection="1">
      <alignment horizontal="right"/>
    </xf>
    <xf numFmtId="0" fontId="32" fillId="0" borderId="0" xfId="0" applyFont="1" applyFill="1" applyProtection="1"/>
    <xf numFmtId="0" fontId="26" fillId="0" borderId="0" xfId="0" applyFont="1" applyAlignment="1" applyProtection="1"/>
    <xf numFmtId="0" fontId="26" fillId="0" borderId="0" xfId="0" applyFont="1" applyProtection="1"/>
    <xf numFmtId="0" fontId="21" fillId="0" borderId="1" xfId="0" applyFont="1" applyFill="1" applyBorder="1" applyAlignment="1" applyProtection="1">
      <alignment horizontal="center"/>
    </xf>
    <xf numFmtId="0" fontId="21" fillId="0" borderId="1" xfId="0" applyFont="1" applyBorder="1" applyAlignment="1" applyProtection="1">
      <alignment horizontal="right" indent="1"/>
    </xf>
    <xf numFmtId="0" fontId="21" fillId="0" borderId="1" xfId="0" applyFont="1" applyBorder="1" applyAlignment="1" applyProtection="1">
      <alignment horizontal="center"/>
    </xf>
    <xf numFmtId="0" fontId="21" fillId="0" borderId="1" xfId="0" applyFont="1" applyBorder="1" applyAlignment="1" applyProtection="1">
      <alignment horizontal="center" textRotation="90"/>
    </xf>
    <xf numFmtId="0" fontId="21" fillId="0" borderId="1" xfId="0" applyNumberFormat="1" applyFont="1" applyBorder="1" applyAlignment="1" applyProtection="1">
      <alignment horizontal="center" textRotation="90"/>
    </xf>
    <xf numFmtId="0" fontId="26" fillId="0" borderId="1" xfId="0" applyFont="1" applyBorder="1" applyAlignment="1" applyProtection="1">
      <alignment horizontal="center" textRotation="90" wrapText="1"/>
    </xf>
    <xf numFmtId="0" fontId="26" fillId="0" borderId="1" xfId="0" applyFont="1" applyBorder="1" applyAlignment="1" applyProtection="1">
      <alignment horizontal="center" textRotation="90"/>
    </xf>
    <xf numFmtId="0" fontId="21" fillId="2" borderId="2" xfId="0" applyNumberFormat="1" applyFont="1" applyFill="1" applyBorder="1" applyAlignment="1" applyProtection="1">
      <alignment horizontal="left"/>
    </xf>
    <xf numFmtId="0" fontId="21" fillId="2" borderId="2" xfId="0" applyFont="1" applyFill="1" applyBorder="1" applyAlignment="1" applyProtection="1">
      <alignment horizontal="right" wrapText="1" indent="1"/>
      <protection locked="0"/>
    </xf>
    <xf numFmtId="0" fontId="21" fillId="2" borderId="2" xfId="0" applyFont="1" applyFill="1" applyBorder="1" applyProtection="1">
      <protection locked="0"/>
    </xf>
    <xf numFmtId="1" fontId="21" fillId="2" borderId="2" xfId="0" applyNumberFormat="1" applyFont="1" applyFill="1" applyBorder="1" applyAlignment="1" applyProtection="1">
      <alignment horizontal="center"/>
    </xf>
    <xf numFmtId="1" fontId="21" fillId="8" borderId="2" xfId="0" applyNumberFormat="1" applyFont="1" applyFill="1" applyBorder="1" applyProtection="1">
      <protection locked="0"/>
    </xf>
    <xf numFmtId="0" fontId="21" fillId="8" borderId="2" xfId="0" applyNumberFormat="1" applyFont="1" applyFill="1" applyBorder="1" applyProtection="1">
      <protection locked="0"/>
    </xf>
    <xf numFmtId="1" fontId="21" fillId="4" borderId="2" xfId="0" applyNumberFormat="1" applyFont="1" applyFill="1" applyBorder="1" applyAlignment="1" applyProtection="1">
      <alignment horizontal="center"/>
    </xf>
    <xf numFmtId="9" fontId="21" fillId="4" borderId="2" xfId="2" applyFont="1" applyFill="1" applyBorder="1" applyAlignment="1" applyProtection="1">
      <alignment horizontal="center"/>
    </xf>
    <xf numFmtId="1" fontId="21" fillId="5" borderId="2" xfId="0" applyNumberFormat="1" applyFont="1" applyFill="1" applyBorder="1" applyAlignment="1" applyProtection="1">
      <alignment horizontal="center"/>
    </xf>
    <xf numFmtId="0" fontId="8" fillId="2" borderId="2" xfId="0" applyFont="1" applyFill="1" applyBorder="1" applyProtection="1"/>
    <xf numFmtId="0" fontId="8" fillId="2" borderId="2" xfId="0" applyFont="1" applyFill="1" applyBorder="1" applyAlignment="1">
      <alignment horizontal="center" vertical="center"/>
    </xf>
    <xf numFmtId="167" fontId="8" fillId="2" borderId="2" xfId="4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 applyProtection="1">
      <alignment horizontal="center" vertical="center"/>
    </xf>
    <xf numFmtId="167" fontId="8" fillId="2" borderId="2" xfId="4" applyNumberFormat="1" applyFont="1" applyFill="1" applyBorder="1" applyAlignment="1" applyProtection="1">
      <alignment horizontal="center" readingOrder="2"/>
    </xf>
    <xf numFmtId="49" fontId="21" fillId="2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Protection="1">
      <protection locked="0"/>
    </xf>
    <xf numFmtId="0" fontId="21" fillId="2" borderId="2" xfId="0" applyNumberFormat="1" applyFont="1" applyFill="1" applyBorder="1" applyProtection="1">
      <protection locked="0"/>
    </xf>
    <xf numFmtId="1" fontId="21" fillId="2" borderId="2" xfId="0" applyNumberFormat="1" applyFont="1" applyFill="1" applyBorder="1" applyProtection="1"/>
    <xf numFmtId="0" fontId="21" fillId="2" borderId="2" xfId="0" applyFont="1" applyFill="1" applyBorder="1" applyProtection="1"/>
    <xf numFmtId="0" fontId="21" fillId="2" borderId="2" xfId="0" applyFont="1" applyFill="1" applyBorder="1" applyAlignment="1">
      <alignment horizontal="center" vertical="center"/>
    </xf>
    <xf numFmtId="167" fontId="21" fillId="2" borderId="2" xfId="4" applyNumberFormat="1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 applyProtection="1">
      <alignment horizontal="center" vertical="center"/>
    </xf>
    <xf numFmtId="167" fontId="21" fillId="2" borderId="2" xfId="4" applyNumberFormat="1" applyFont="1" applyFill="1" applyBorder="1" applyAlignment="1" applyProtection="1">
      <alignment horizontal="center" readingOrder="2"/>
    </xf>
    <xf numFmtId="0" fontId="21" fillId="8" borderId="2" xfId="0" applyFont="1" applyFill="1" applyBorder="1" applyAlignment="1" applyProtection="1">
      <alignment horizontal="right" wrapText="1" indent="1"/>
      <protection locked="0"/>
    </xf>
    <xf numFmtId="0" fontId="21" fillId="8" borderId="2" xfId="0" applyFont="1" applyFill="1" applyBorder="1" applyProtection="1">
      <protection locked="0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4" applyNumberFormat="1" applyFont="1" applyFill="1" applyBorder="1" applyAlignment="1" applyProtection="1">
      <alignment horizontal="center" readingOrder="2"/>
    </xf>
    <xf numFmtId="1" fontId="8" fillId="2" borderId="2" xfId="0" applyNumberFormat="1" applyFont="1" applyFill="1" applyBorder="1" applyAlignment="1" applyProtection="1">
      <alignment horizontal="center"/>
    </xf>
    <xf numFmtId="0" fontId="22" fillId="0" borderId="2" xfId="0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Alignment="1" applyProtection="1">
      <alignment horizontal="left" readingOrder="1"/>
    </xf>
    <xf numFmtId="1" fontId="21" fillId="2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>
      <alignment horizontal="left"/>
    </xf>
    <xf numFmtId="1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left"/>
    </xf>
    <xf numFmtId="0" fontId="22" fillId="0" borderId="2" xfId="0" applyFont="1" applyFill="1" applyBorder="1" applyAlignment="1">
      <alignment horizontal="left"/>
    </xf>
    <xf numFmtId="0" fontId="22" fillId="0" borderId="0" xfId="0" applyNumberFormat="1" applyFont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right" wrapText="1" indent="1"/>
      <protection locked="0"/>
    </xf>
    <xf numFmtId="49" fontId="22" fillId="0" borderId="2" xfId="0" applyNumberFormat="1" applyFont="1" applyBorder="1" applyAlignment="1">
      <alignment horizontal="left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14" fontId="6" fillId="0" borderId="0" xfId="0" applyNumberFormat="1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16" fillId="0" borderId="5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167" fontId="16" fillId="0" borderId="5" xfId="4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166" fontId="16" fillId="0" borderId="6" xfId="4" applyNumberFormat="1" applyFont="1" applyBorder="1" applyAlignment="1">
      <alignment horizontal="center"/>
    </xf>
    <xf numFmtId="166" fontId="16" fillId="0" borderId="7" xfId="4" applyNumberFormat="1" applyFont="1" applyBorder="1" applyAlignment="1">
      <alignment horizontal="center"/>
    </xf>
    <xf numFmtId="166" fontId="16" fillId="0" borderId="6" xfId="4" applyNumberFormat="1" applyFont="1" applyBorder="1" applyAlignment="1" applyProtection="1">
      <alignment horizontal="center"/>
      <protection locked="0"/>
    </xf>
    <xf numFmtId="166" fontId="16" fillId="0" borderId="7" xfId="4" applyNumberFormat="1" applyFont="1" applyBorder="1" applyAlignment="1" applyProtection="1">
      <alignment horizontal="center"/>
      <protection locked="0"/>
    </xf>
    <xf numFmtId="165" fontId="18" fillId="0" borderId="2" xfId="0" applyNumberFormat="1" applyFont="1" applyFill="1" applyBorder="1" applyAlignment="1">
      <alignment horizontal="center" vertical="center" wrapText="1"/>
    </xf>
    <xf numFmtId="165" fontId="18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22" dataDxfId="21" headerRowCellStyle="Normal 2" dataCellStyle="Normal 2">
  <autoFilter ref="A1:F27"/>
  <tableColumns count="6">
    <tableColumn id="1" name="date" totalsRowLabel="مجموع" dataDxfId="20" totalsRowDxfId="19" dataCellStyle="Normal 2"/>
    <tableColumn id="2" name="year" dataDxfId="18" totalsRowDxfId="17" dataCellStyle="Normal 2">
      <calculatedColumnFormula>LEFT(A2,4)</calculatedColumnFormula>
    </tableColumn>
    <tableColumn id="6" name="month" dataDxfId="16" totalsRowDxfId="15" dataCellStyle="Normal 2">
      <calculatedColumnFormula>MID(A2,6,2)</calculatedColumnFormula>
    </tableColumn>
    <tableColumn id="3" name="ok" totalsRowFunction="sum" dataDxfId="14" totalsRowDxfId="13" dataCellStyle="Normal 2"/>
    <tableColumn id="4" name="Friday" totalsRowFunction="sum" dataDxfId="12" totalsRowDxfId="11" dataCellStyle="Normal 2"/>
    <tableColumn id="5" name="مناسبت" dataDxfId="10" totalsRowDxfId="9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>
    <tabColor rgb="FF92D050"/>
  </sheetPr>
  <dimension ref="A1:XFD79"/>
  <sheetViews>
    <sheetView showGridLines="0" rightToLeft="1" tabSelected="1" topLeftCell="A63" zoomScaleNormal="100" workbookViewId="0">
      <selection activeCell="A77" sqref="A77:XFD77"/>
    </sheetView>
  </sheetViews>
  <sheetFormatPr defaultColWidth="9.140625" defaultRowHeight="14.25"/>
  <cols>
    <col min="1" max="1" width="4.42578125" style="98" bestFit="1" customWidth="1"/>
    <col min="2" max="2" width="31.140625" style="161" customWidth="1"/>
    <col min="3" max="3" width="8.7109375" style="97" customWidth="1"/>
    <col min="4" max="4" width="8.5703125" style="162" customWidth="1"/>
    <col min="5" max="5" width="8.5703125" style="97" hidden="1" customWidth="1"/>
    <col min="6" max="6" width="8.5703125" style="162" customWidth="1"/>
    <col min="7" max="7" width="14" style="97" hidden="1" customWidth="1"/>
    <col min="8" max="8" width="4.7109375" style="97" customWidth="1"/>
    <col min="9" max="9" width="4.42578125" style="163" customWidth="1"/>
    <col min="10" max="10" width="5.28515625" style="164" customWidth="1"/>
    <col min="11" max="11" width="6.7109375" style="165" hidden="1" customWidth="1"/>
    <col min="12" max="12" width="8.28515625" style="97" customWidth="1"/>
    <col min="13" max="13" width="9" style="97" customWidth="1"/>
    <col min="14" max="14" width="3.5703125" style="97" customWidth="1"/>
    <col min="15" max="15" width="3.140625" style="97" hidden="1" customWidth="1"/>
    <col min="16" max="16" width="2.85546875" style="97" hidden="1" customWidth="1"/>
    <col min="17" max="17" width="3.85546875" style="97" hidden="1" customWidth="1"/>
    <col min="18" max="18" width="2.7109375" style="97" customWidth="1"/>
    <col min="19" max="234" width="0.42578125" style="97" customWidth="1"/>
    <col min="235" max="258" width="0.42578125" style="98" customWidth="1"/>
    <col min="259" max="259" width="4.42578125" style="16" customWidth="1"/>
    <col min="260" max="260" width="20.7109375" style="26" customWidth="1"/>
    <col min="261" max="261" width="4.7109375" style="147" bestFit="1" customWidth="1"/>
    <col min="262" max="263" width="5.5703125" style="147" bestFit="1" customWidth="1"/>
    <col min="264" max="264" width="20.5703125" style="148" customWidth="1"/>
    <col min="265" max="16384" width="9.140625" style="98"/>
  </cols>
  <sheetData>
    <row r="1" spans="1:264" s="97" customFormat="1" ht="22.5">
      <c r="A1" s="237"/>
      <c r="B1" s="238" t="str">
        <f>CONCATENATE("برنامه زمانبندی ",B8)</f>
        <v>برنامه زمانبندی طراحی و پیاده سازی پورتال اینترنتی و زیر پورتال های بانک اقتصاد نوین</v>
      </c>
      <c r="C1" s="239"/>
      <c r="D1" s="240"/>
      <c r="E1" s="95"/>
      <c r="F1" s="240"/>
      <c r="G1" s="95"/>
      <c r="H1" s="239"/>
      <c r="I1" s="247"/>
      <c r="J1" s="248"/>
      <c r="K1" s="96"/>
      <c r="L1" s="255"/>
      <c r="M1" s="256"/>
      <c r="N1" s="257"/>
      <c r="IY1" s="15"/>
      <c r="IZ1" s="25"/>
      <c r="JA1" s="145"/>
      <c r="JB1" s="145"/>
      <c r="JC1" s="145"/>
      <c r="JD1" s="146"/>
    </row>
    <row r="2" spans="1:264" ht="18">
      <c r="A2" s="241"/>
      <c r="B2" s="242" t="s">
        <v>7</v>
      </c>
      <c r="C2" s="310" t="s">
        <v>102</v>
      </c>
      <c r="D2" s="310"/>
      <c r="E2" s="311"/>
      <c r="F2" s="310"/>
      <c r="G2" s="99"/>
      <c r="H2" s="249"/>
      <c r="I2" s="250"/>
      <c r="J2" s="251"/>
      <c r="K2" s="101"/>
      <c r="L2" s="258"/>
      <c r="M2" s="258"/>
      <c r="N2" s="259"/>
    </row>
    <row r="3" spans="1:264" ht="18">
      <c r="A3" s="241"/>
      <c r="B3" s="243"/>
      <c r="C3" s="244" t="str">
        <f ca="1">J_TODAY(1)</f>
        <v>1398/11/21</v>
      </c>
      <c r="D3" s="245">
        <f ca="1">VALUE(J_normdate(C3))</f>
        <v>13981121</v>
      </c>
      <c r="E3" s="104"/>
      <c r="F3" s="246"/>
      <c r="G3" s="104"/>
      <c r="H3" s="252"/>
      <c r="I3" s="253"/>
      <c r="J3" s="254"/>
      <c r="K3" s="105"/>
      <c r="L3" s="258"/>
      <c r="M3" s="258"/>
      <c r="N3" s="259"/>
    </row>
    <row r="4" spans="1:264" hidden="1">
      <c r="B4" s="106"/>
      <c r="C4" s="103"/>
      <c r="D4" s="103"/>
      <c r="E4" s="103"/>
      <c r="F4" s="107"/>
      <c r="G4" s="108"/>
      <c r="H4" s="108"/>
      <c r="I4" s="109"/>
      <c r="J4" s="110"/>
      <c r="K4" s="111"/>
      <c r="L4" s="102"/>
      <c r="M4" s="102"/>
      <c r="S4" s="97">
        <f t="shared" ref="S4:CD4" ca="1" si="0">VALUE(S5)</f>
        <v>13980923</v>
      </c>
      <c r="T4" s="97">
        <f t="shared" ca="1" si="0"/>
        <v>13980924</v>
      </c>
      <c r="U4" s="97">
        <f t="shared" ca="1" si="0"/>
        <v>13980925</v>
      </c>
      <c r="V4" s="97">
        <f t="shared" ca="1" si="0"/>
        <v>13980926</v>
      </c>
      <c r="W4" s="97">
        <f t="shared" ca="1" si="0"/>
        <v>13980927</v>
      </c>
      <c r="X4" s="97">
        <f t="shared" ca="1" si="0"/>
        <v>13980928</v>
      </c>
      <c r="Y4" s="97">
        <f t="shared" ca="1" si="0"/>
        <v>13980929</v>
      </c>
      <c r="Z4" s="97">
        <f t="shared" ca="1" si="0"/>
        <v>13980930</v>
      </c>
      <c r="AA4" s="97">
        <f t="shared" ca="1" si="0"/>
        <v>13981001</v>
      </c>
      <c r="AB4" s="97">
        <f t="shared" ca="1" si="0"/>
        <v>13981002</v>
      </c>
      <c r="AC4" s="97">
        <f t="shared" ca="1" si="0"/>
        <v>13981003</v>
      </c>
      <c r="AD4" s="97">
        <f t="shared" ca="1" si="0"/>
        <v>13981004</v>
      </c>
      <c r="AE4" s="97">
        <f t="shared" ca="1" si="0"/>
        <v>13981005</v>
      </c>
      <c r="AF4" s="97">
        <f t="shared" ca="1" si="0"/>
        <v>13981006</v>
      </c>
      <c r="AG4" s="97">
        <f t="shared" ca="1" si="0"/>
        <v>13981007</v>
      </c>
      <c r="AH4" s="97">
        <f t="shared" ca="1" si="0"/>
        <v>13981008</v>
      </c>
      <c r="AI4" s="97">
        <f t="shared" ca="1" si="0"/>
        <v>13981009</v>
      </c>
      <c r="AJ4" s="97">
        <f t="shared" ca="1" si="0"/>
        <v>13981010</v>
      </c>
      <c r="AK4" s="97">
        <f t="shared" ca="1" si="0"/>
        <v>13981011</v>
      </c>
      <c r="AL4" s="97">
        <f t="shared" ca="1" si="0"/>
        <v>13981012</v>
      </c>
      <c r="AM4" s="97">
        <f t="shared" ca="1" si="0"/>
        <v>13981013</v>
      </c>
      <c r="AN4" s="97">
        <f t="shared" ca="1" si="0"/>
        <v>13981014</v>
      </c>
      <c r="AO4" s="97">
        <f t="shared" ca="1" si="0"/>
        <v>13981015</v>
      </c>
      <c r="AP4" s="97">
        <f t="shared" ca="1" si="0"/>
        <v>13981016</v>
      </c>
      <c r="AQ4" s="97">
        <f t="shared" ca="1" si="0"/>
        <v>13981017</v>
      </c>
      <c r="AR4" s="97">
        <f t="shared" ca="1" si="0"/>
        <v>13981018</v>
      </c>
      <c r="AS4" s="97">
        <f t="shared" ca="1" si="0"/>
        <v>13981019</v>
      </c>
      <c r="AT4" s="97">
        <f t="shared" ca="1" si="0"/>
        <v>13981020</v>
      </c>
      <c r="AU4" s="97">
        <f t="shared" ca="1" si="0"/>
        <v>13981021</v>
      </c>
      <c r="AV4" s="97">
        <f t="shared" ca="1" si="0"/>
        <v>13981022</v>
      </c>
      <c r="AW4" s="97">
        <f t="shared" ca="1" si="0"/>
        <v>13981023</v>
      </c>
      <c r="AX4" s="97">
        <f t="shared" ca="1" si="0"/>
        <v>13981024</v>
      </c>
      <c r="AY4" s="97">
        <f t="shared" ca="1" si="0"/>
        <v>13981025</v>
      </c>
      <c r="AZ4" s="97">
        <f t="shared" ca="1" si="0"/>
        <v>13981026</v>
      </c>
      <c r="BA4" s="97">
        <f t="shared" ca="1" si="0"/>
        <v>13981027</v>
      </c>
      <c r="BB4" s="97">
        <f t="shared" ca="1" si="0"/>
        <v>13981028</v>
      </c>
      <c r="BC4" s="97">
        <f t="shared" ca="1" si="0"/>
        <v>13981029</v>
      </c>
      <c r="BD4" s="97">
        <f t="shared" ca="1" si="0"/>
        <v>13981030</v>
      </c>
      <c r="BE4" s="97">
        <f t="shared" ca="1" si="0"/>
        <v>13981101</v>
      </c>
      <c r="BF4" s="97">
        <f t="shared" ca="1" si="0"/>
        <v>13981102</v>
      </c>
      <c r="BG4" s="97">
        <f t="shared" ca="1" si="0"/>
        <v>13981103</v>
      </c>
      <c r="BH4" s="97">
        <f t="shared" ca="1" si="0"/>
        <v>13981104</v>
      </c>
      <c r="BI4" s="97">
        <f t="shared" ca="1" si="0"/>
        <v>13981105</v>
      </c>
      <c r="BJ4" s="97">
        <f t="shared" ca="1" si="0"/>
        <v>13981106</v>
      </c>
      <c r="BK4" s="97">
        <f t="shared" ca="1" si="0"/>
        <v>13981107</v>
      </c>
      <c r="BL4" s="97">
        <f t="shared" ca="1" si="0"/>
        <v>13981108</v>
      </c>
      <c r="BM4" s="97">
        <f t="shared" ca="1" si="0"/>
        <v>13981109</v>
      </c>
      <c r="BN4" s="97">
        <f t="shared" ca="1" si="0"/>
        <v>13981110</v>
      </c>
      <c r="BO4" s="97">
        <f t="shared" ca="1" si="0"/>
        <v>13981111</v>
      </c>
      <c r="BP4" s="97">
        <f t="shared" ca="1" si="0"/>
        <v>13981112</v>
      </c>
      <c r="BQ4" s="97">
        <f t="shared" ca="1" si="0"/>
        <v>13981113</v>
      </c>
      <c r="BR4" s="97">
        <f t="shared" ca="1" si="0"/>
        <v>13981114</v>
      </c>
      <c r="BS4" s="97">
        <f t="shared" ca="1" si="0"/>
        <v>13981115</v>
      </c>
      <c r="BT4" s="97">
        <f t="shared" ca="1" si="0"/>
        <v>13981116</v>
      </c>
      <c r="BU4" s="97">
        <f t="shared" ca="1" si="0"/>
        <v>13981117</v>
      </c>
      <c r="BV4" s="97">
        <f t="shared" ca="1" si="0"/>
        <v>13981118</v>
      </c>
      <c r="BW4" s="97">
        <f t="shared" ca="1" si="0"/>
        <v>13981119</v>
      </c>
      <c r="BX4" s="97">
        <f t="shared" ca="1" si="0"/>
        <v>13981120</v>
      </c>
      <c r="BY4" s="97">
        <f t="shared" ca="1" si="0"/>
        <v>13981121</v>
      </c>
      <c r="BZ4" s="97">
        <f t="shared" ca="1" si="0"/>
        <v>13981122</v>
      </c>
      <c r="CA4" s="97">
        <f t="shared" ca="1" si="0"/>
        <v>13981123</v>
      </c>
      <c r="CB4" s="97">
        <f t="shared" ca="1" si="0"/>
        <v>13981124</v>
      </c>
      <c r="CC4" s="97">
        <f t="shared" ca="1" si="0"/>
        <v>13981125</v>
      </c>
      <c r="CD4" s="97">
        <f t="shared" ca="1" si="0"/>
        <v>13981126</v>
      </c>
      <c r="CE4" s="97">
        <f t="shared" ref="CE4:EP4" ca="1" si="1">VALUE(CE5)</f>
        <v>13981127</v>
      </c>
      <c r="CF4" s="97">
        <f t="shared" ca="1" si="1"/>
        <v>13981128</v>
      </c>
      <c r="CG4" s="97">
        <f t="shared" ca="1" si="1"/>
        <v>13981129</v>
      </c>
      <c r="CH4" s="97">
        <f t="shared" ca="1" si="1"/>
        <v>13981130</v>
      </c>
      <c r="CI4" s="97">
        <f t="shared" ca="1" si="1"/>
        <v>13981201</v>
      </c>
      <c r="CJ4" s="97">
        <f t="shared" ca="1" si="1"/>
        <v>13981202</v>
      </c>
      <c r="CK4" s="97">
        <f t="shared" ca="1" si="1"/>
        <v>13981203</v>
      </c>
      <c r="CL4" s="97">
        <f t="shared" ca="1" si="1"/>
        <v>13981204</v>
      </c>
      <c r="CM4" s="97">
        <f t="shared" ca="1" si="1"/>
        <v>13981205</v>
      </c>
      <c r="CN4" s="97">
        <f t="shared" ca="1" si="1"/>
        <v>13981206</v>
      </c>
      <c r="CO4" s="97">
        <f t="shared" ca="1" si="1"/>
        <v>13981207</v>
      </c>
      <c r="CP4" s="97">
        <f t="shared" ca="1" si="1"/>
        <v>13981208</v>
      </c>
      <c r="CQ4" s="97">
        <f t="shared" ca="1" si="1"/>
        <v>13981209</v>
      </c>
      <c r="CR4" s="97">
        <f t="shared" ca="1" si="1"/>
        <v>13981210</v>
      </c>
      <c r="CS4" s="97">
        <f t="shared" ca="1" si="1"/>
        <v>13981211</v>
      </c>
      <c r="CT4" s="97">
        <f t="shared" ca="1" si="1"/>
        <v>13981212</v>
      </c>
      <c r="CU4" s="97">
        <f t="shared" ca="1" si="1"/>
        <v>13981213</v>
      </c>
      <c r="CV4" s="97">
        <f t="shared" ca="1" si="1"/>
        <v>13981214</v>
      </c>
      <c r="CW4" s="97">
        <f t="shared" ca="1" si="1"/>
        <v>13981215</v>
      </c>
      <c r="CX4" s="97">
        <f t="shared" ca="1" si="1"/>
        <v>13981216</v>
      </c>
      <c r="CY4" s="97">
        <f t="shared" ca="1" si="1"/>
        <v>13981217</v>
      </c>
      <c r="CZ4" s="97">
        <f t="shared" ca="1" si="1"/>
        <v>13981218</v>
      </c>
      <c r="DA4" s="97">
        <f t="shared" ca="1" si="1"/>
        <v>13981219</v>
      </c>
      <c r="DB4" s="97">
        <f t="shared" ca="1" si="1"/>
        <v>13981220</v>
      </c>
      <c r="DC4" s="97">
        <f t="shared" ca="1" si="1"/>
        <v>13981221</v>
      </c>
      <c r="DD4" s="97">
        <f t="shared" ca="1" si="1"/>
        <v>13981222</v>
      </c>
      <c r="DE4" s="97">
        <f t="shared" ca="1" si="1"/>
        <v>13981223</v>
      </c>
      <c r="DF4" s="97">
        <f t="shared" ca="1" si="1"/>
        <v>13981224</v>
      </c>
      <c r="DG4" s="97">
        <f t="shared" ca="1" si="1"/>
        <v>13981225</v>
      </c>
      <c r="DH4" s="97">
        <f t="shared" ca="1" si="1"/>
        <v>13981226</v>
      </c>
      <c r="DI4" s="97">
        <f t="shared" ca="1" si="1"/>
        <v>13981227</v>
      </c>
      <c r="DJ4" s="97">
        <f t="shared" ca="1" si="1"/>
        <v>13981228</v>
      </c>
      <c r="DK4" s="97">
        <f t="shared" ca="1" si="1"/>
        <v>13981229</v>
      </c>
      <c r="DL4" s="97">
        <f t="shared" ca="1" si="1"/>
        <v>13990101</v>
      </c>
      <c r="DM4" s="97">
        <f t="shared" ca="1" si="1"/>
        <v>13990102</v>
      </c>
      <c r="DN4" s="97">
        <f t="shared" ca="1" si="1"/>
        <v>13990103</v>
      </c>
      <c r="DO4" s="97">
        <f t="shared" ca="1" si="1"/>
        <v>13990104</v>
      </c>
      <c r="DP4" s="97">
        <f t="shared" ca="1" si="1"/>
        <v>13990105</v>
      </c>
      <c r="DQ4" s="97">
        <f t="shared" ca="1" si="1"/>
        <v>13990106</v>
      </c>
      <c r="DR4" s="97">
        <f t="shared" ca="1" si="1"/>
        <v>13990107</v>
      </c>
      <c r="DS4" s="97">
        <f t="shared" ca="1" si="1"/>
        <v>13990108</v>
      </c>
      <c r="DT4" s="97">
        <f t="shared" ca="1" si="1"/>
        <v>13990109</v>
      </c>
      <c r="DU4" s="97">
        <f t="shared" ca="1" si="1"/>
        <v>13990110</v>
      </c>
      <c r="DV4" s="97">
        <f t="shared" ca="1" si="1"/>
        <v>13990111</v>
      </c>
      <c r="DW4" s="97">
        <f t="shared" ca="1" si="1"/>
        <v>13990112</v>
      </c>
      <c r="DX4" s="97">
        <f t="shared" ca="1" si="1"/>
        <v>13990113</v>
      </c>
      <c r="DY4" s="97">
        <f t="shared" ca="1" si="1"/>
        <v>13990114</v>
      </c>
      <c r="DZ4" s="97">
        <f t="shared" ca="1" si="1"/>
        <v>13990115</v>
      </c>
      <c r="EA4" s="97">
        <f t="shared" ca="1" si="1"/>
        <v>13990116</v>
      </c>
      <c r="EB4" s="97">
        <f t="shared" ca="1" si="1"/>
        <v>13990117</v>
      </c>
      <c r="EC4" s="97">
        <f t="shared" ca="1" si="1"/>
        <v>13990118</v>
      </c>
      <c r="ED4" s="97">
        <f t="shared" ca="1" si="1"/>
        <v>13990119</v>
      </c>
      <c r="EE4" s="97">
        <f t="shared" ca="1" si="1"/>
        <v>13990120</v>
      </c>
      <c r="EF4" s="97">
        <f t="shared" ca="1" si="1"/>
        <v>13990121</v>
      </c>
      <c r="EG4" s="97">
        <f t="shared" ca="1" si="1"/>
        <v>13990122</v>
      </c>
      <c r="EH4" s="97">
        <f t="shared" ca="1" si="1"/>
        <v>13990123</v>
      </c>
      <c r="EI4" s="97">
        <f t="shared" ca="1" si="1"/>
        <v>13990124</v>
      </c>
      <c r="EJ4" s="97">
        <f t="shared" ca="1" si="1"/>
        <v>13990125</v>
      </c>
      <c r="EK4" s="97">
        <f t="shared" ca="1" si="1"/>
        <v>13990126</v>
      </c>
      <c r="EL4" s="97">
        <f t="shared" ca="1" si="1"/>
        <v>13990127</v>
      </c>
      <c r="EM4" s="97">
        <f t="shared" ca="1" si="1"/>
        <v>13990128</v>
      </c>
      <c r="EN4" s="97">
        <f t="shared" ca="1" si="1"/>
        <v>13990129</v>
      </c>
      <c r="EO4" s="97">
        <f t="shared" ca="1" si="1"/>
        <v>13990130</v>
      </c>
      <c r="EP4" s="97">
        <f t="shared" ca="1" si="1"/>
        <v>13990131</v>
      </c>
      <c r="EQ4" s="97">
        <f t="shared" ref="EQ4:HB4" ca="1" si="2">VALUE(EQ5)</f>
        <v>13990201</v>
      </c>
      <c r="ER4" s="97">
        <f t="shared" ca="1" si="2"/>
        <v>13990202</v>
      </c>
      <c r="ES4" s="97">
        <f t="shared" ca="1" si="2"/>
        <v>13990203</v>
      </c>
      <c r="ET4" s="97">
        <f t="shared" ca="1" si="2"/>
        <v>13990204</v>
      </c>
      <c r="EU4" s="97">
        <f t="shared" ca="1" si="2"/>
        <v>13990205</v>
      </c>
      <c r="EV4" s="97">
        <f t="shared" ca="1" si="2"/>
        <v>13990206</v>
      </c>
      <c r="EW4" s="97">
        <f t="shared" ca="1" si="2"/>
        <v>13990207</v>
      </c>
      <c r="EX4" s="97">
        <f t="shared" ca="1" si="2"/>
        <v>13990208</v>
      </c>
      <c r="EY4" s="97">
        <f t="shared" ca="1" si="2"/>
        <v>13990209</v>
      </c>
      <c r="EZ4" s="97">
        <f t="shared" ca="1" si="2"/>
        <v>13990210</v>
      </c>
      <c r="FA4" s="97">
        <f t="shared" ca="1" si="2"/>
        <v>13990211</v>
      </c>
      <c r="FB4" s="97">
        <f t="shared" ca="1" si="2"/>
        <v>13990212</v>
      </c>
      <c r="FC4" s="97">
        <f t="shared" ca="1" si="2"/>
        <v>13990213</v>
      </c>
      <c r="FD4" s="97">
        <f t="shared" ca="1" si="2"/>
        <v>13990214</v>
      </c>
      <c r="FE4" s="97">
        <f t="shared" ca="1" si="2"/>
        <v>13990215</v>
      </c>
      <c r="FF4" s="97">
        <f t="shared" ca="1" si="2"/>
        <v>13990216</v>
      </c>
      <c r="FG4" s="97">
        <f t="shared" ca="1" si="2"/>
        <v>13990217</v>
      </c>
      <c r="FH4" s="97">
        <f t="shared" ca="1" si="2"/>
        <v>13990218</v>
      </c>
      <c r="FI4" s="97">
        <f t="shared" ca="1" si="2"/>
        <v>13990219</v>
      </c>
      <c r="FJ4" s="97">
        <f t="shared" ca="1" si="2"/>
        <v>13990220</v>
      </c>
      <c r="FK4" s="97">
        <f t="shared" ca="1" si="2"/>
        <v>13990221</v>
      </c>
      <c r="FL4" s="97">
        <f t="shared" ca="1" si="2"/>
        <v>13990222</v>
      </c>
      <c r="FM4" s="97">
        <f t="shared" ca="1" si="2"/>
        <v>13990223</v>
      </c>
      <c r="FN4" s="97">
        <f t="shared" ca="1" si="2"/>
        <v>13990224</v>
      </c>
      <c r="FO4" s="97">
        <f t="shared" ca="1" si="2"/>
        <v>13990225</v>
      </c>
      <c r="FP4" s="97">
        <f t="shared" ca="1" si="2"/>
        <v>13990226</v>
      </c>
      <c r="FQ4" s="97">
        <f t="shared" ca="1" si="2"/>
        <v>13990227</v>
      </c>
      <c r="FR4" s="97">
        <f t="shared" ca="1" si="2"/>
        <v>13990228</v>
      </c>
      <c r="FS4" s="97">
        <f t="shared" ca="1" si="2"/>
        <v>13990229</v>
      </c>
      <c r="FT4" s="97">
        <f t="shared" ca="1" si="2"/>
        <v>13990230</v>
      </c>
      <c r="FU4" s="97">
        <f t="shared" ca="1" si="2"/>
        <v>13990231</v>
      </c>
      <c r="FV4" s="97">
        <f t="shared" ca="1" si="2"/>
        <v>13990301</v>
      </c>
      <c r="FW4" s="97">
        <f t="shared" ca="1" si="2"/>
        <v>13990302</v>
      </c>
      <c r="FX4" s="97">
        <f t="shared" ca="1" si="2"/>
        <v>13990303</v>
      </c>
      <c r="FY4" s="97">
        <f t="shared" ca="1" si="2"/>
        <v>13990304</v>
      </c>
      <c r="FZ4" s="97">
        <f t="shared" ca="1" si="2"/>
        <v>13990305</v>
      </c>
      <c r="GA4" s="97">
        <f t="shared" ca="1" si="2"/>
        <v>13990306</v>
      </c>
      <c r="GB4" s="97">
        <f t="shared" ca="1" si="2"/>
        <v>13990307</v>
      </c>
      <c r="GC4" s="97">
        <f t="shared" ca="1" si="2"/>
        <v>13990308</v>
      </c>
      <c r="GD4" s="97">
        <f t="shared" ca="1" si="2"/>
        <v>13990309</v>
      </c>
      <c r="GE4" s="97">
        <f t="shared" ca="1" si="2"/>
        <v>13990310</v>
      </c>
      <c r="GF4" s="97">
        <f t="shared" ca="1" si="2"/>
        <v>13990311</v>
      </c>
      <c r="GG4" s="97">
        <f t="shared" ca="1" si="2"/>
        <v>13990312</v>
      </c>
      <c r="GH4" s="97">
        <f t="shared" ca="1" si="2"/>
        <v>13990313</v>
      </c>
      <c r="GI4" s="97">
        <f t="shared" ca="1" si="2"/>
        <v>13990314</v>
      </c>
      <c r="GJ4" s="97">
        <f t="shared" ca="1" si="2"/>
        <v>13990315</v>
      </c>
      <c r="GK4" s="97">
        <f t="shared" ca="1" si="2"/>
        <v>13990316</v>
      </c>
      <c r="GL4" s="97">
        <f t="shared" ca="1" si="2"/>
        <v>13990317</v>
      </c>
      <c r="GM4" s="97">
        <f t="shared" ca="1" si="2"/>
        <v>13990318</v>
      </c>
      <c r="GN4" s="97">
        <f t="shared" ca="1" si="2"/>
        <v>13990319</v>
      </c>
      <c r="GO4" s="97">
        <f t="shared" ca="1" si="2"/>
        <v>13990320</v>
      </c>
      <c r="GP4" s="97">
        <f t="shared" ca="1" si="2"/>
        <v>13990321</v>
      </c>
      <c r="GQ4" s="97">
        <f t="shared" ca="1" si="2"/>
        <v>13990322</v>
      </c>
      <c r="GR4" s="97">
        <f t="shared" ca="1" si="2"/>
        <v>13990323</v>
      </c>
      <c r="GS4" s="97">
        <f t="shared" ca="1" si="2"/>
        <v>13990324</v>
      </c>
      <c r="GT4" s="97">
        <f t="shared" ca="1" si="2"/>
        <v>13990325</v>
      </c>
      <c r="GU4" s="97">
        <f t="shared" ca="1" si="2"/>
        <v>13990326</v>
      </c>
      <c r="GV4" s="97">
        <f t="shared" ca="1" si="2"/>
        <v>13990327</v>
      </c>
      <c r="GW4" s="97">
        <f t="shared" ca="1" si="2"/>
        <v>13990328</v>
      </c>
      <c r="GX4" s="97">
        <f t="shared" ca="1" si="2"/>
        <v>13990329</v>
      </c>
      <c r="GY4" s="97">
        <f t="shared" ca="1" si="2"/>
        <v>13990330</v>
      </c>
      <c r="GZ4" s="97">
        <f t="shared" ca="1" si="2"/>
        <v>13990331</v>
      </c>
      <c r="HA4" s="97">
        <f t="shared" ca="1" si="2"/>
        <v>13990401</v>
      </c>
      <c r="HB4" s="97">
        <f t="shared" ca="1" si="2"/>
        <v>13990402</v>
      </c>
      <c r="HC4" s="97">
        <f t="shared" ref="HC4:IW4" ca="1" si="3">VALUE(HC5)</f>
        <v>13990403</v>
      </c>
      <c r="HD4" s="97">
        <f t="shared" ca="1" si="3"/>
        <v>13990404</v>
      </c>
      <c r="HE4" s="97">
        <f t="shared" ca="1" si="3"/>
        <v>13990405</v>
      </c>
      <c r="HF4" s="97">
        <f t="shared" ca="1" si="3"/>
        <v>13990406</v>
      </c>
      <c r="HG4" s="97">
        <f t="shared" ca="1" si="3"/>
        <v>13990407</v>
      </c>
      <c r="HH4" s="97">
        <f t="shared" ca="1" si="3"/>
        <v>13990408</v>
      </c>
      <c r="HI4" s="97">
        <f t="shared" ca="1" si="3"/>
        <v>13990409</v>
      </c>
      <c r="HJ4" s="97">
        <f t="shared" ca="1" si="3"/>
        <v>13990410</v>
      </c>
      <c r="HK4" s="97">
        <f t="shared" ca="1" si="3"/>
        <v>13990411</v>
      </c>
      <c r="HL4" s="97">
        <f t="shared" ca="1" si="3"/>
        <v>13990412</v>
      </c>
      <c r="HM4" s="97">
        <f t="shared" ca="1" si="3"/>
        <v>13990413</v>
      </c>
      <c r="HN4" s="97">
        <f t="shared" ca="1" si="3"/>
        <v>13990414</v>
      </c>
      <c r="HO4" s="97">
        <f t="shared" ca="1" si="3"/>
        <v>13990415</v>
      </c>
      <c r="HP4" s="97">
        <f t="shared" ca="1" si="3"/>
        <v>13990416</v>
      </c>
      <c r="HQ4" s="97">
        <f t="shared" ca="1" si="3"/>
        <v>13990417</v>
      </c>
      <c r="HR4" s="97">
        <f t="shared" ca="1" si="3"/>
        <v>13990418</v>
      </c>
      <c r="HS4" s="97">
        <f t="shared" ca="1" si="3"/>
        <v>13990419</v>
      </c>
      <c r="HT4" s="97">
        <f t="shared" ca="1" si="3"/>
        <v>13990420</v>
      </c>
      <c r="HU4" s="97">
        <f t="shared" ca="1" si="3"/>
        <v>13990421</v>
      </c>
      <c r="HV4" s="97">
        <f t="shared" ca="1" si="3"/>
        <v>13990422</v>
      </c>
      <c r="HW4" s="97">
        <f t="shared" ca="1" si="3"/>
        <v>13990423</v>
      </c>
      <c r="HX4" s="97">
        <f t="shared" ca="1" si="3"/>
        <v>13990424</v>
      </c>
      <c r="HY4" s="97">
        <f t="shared" ca="1" si="3"/>
        <v>13990425</v>
      </c>
      <c r="HZ4" s="97">
        <f t="shared" ca="1" si="3"/>
        <v>13990426</v>
      </c>
      <c r="IA4" s="97">
        <f t="shared" ca="1" si="3"/>
        <v>13990427</v>
      </c>
      <c r="IB4" s="97">
        <f t="shared" ca="1" si="3"/>
        <v>13990428</v>
      </c>
      <c r="IC4" s="97">
        <f t="shared" ca="1" si="3"/>
        <v>13990429</v>
      </c>
      <c r="ID4" s="97">
        <f t="shared" ca="1" si="3"/>
        <v>13990430</v>
      </c>
      <c r="IE4" s="97">
        <f t="shared" ca="1" si="3"/>
        <v>13990431</v>
      </c>
      <c r="IF4" s="97">
        <f t="shared" ca="1" si="3"/>
        <v>13990501</v>
      </c>
      <c r="IG4" s="97">
        <f t="shared" ca="1" si="3"/>
        <v>13990502</v>
      </c>
      <c r="IH4" s="97">
        <f t="shared" ca="1" si="3"/>
        <v>13990503</v>
      </c>
      <c r="II4" s="97">
        <f t="shared" ca="1" si="3"/>
        <v>13990504</v>
      </c>
      <c r="IJ4" s="97">
        <f t="shared" ca="1" si="3"/>
        <v>13990505</v>
      </c>
      <c r="IK4" s="97">
        <f t="shared" ca="1" si="3"/>
        <v>13990506</v>
      </c>
      <c r="IL4" s="97">
        <f t="shared" ca="1" si="3"/>
        <v>13990507</v>
      </c>
      <c r="IM4" s="97">
        <f t="shared" ca="1" si="3"/>
        <v>13990508</v>
      </c>
      <c r="IN4" s="97">
        <f t="shared" ca="1" si="3"/>
        <v>13990509</v>
      </c>
      <c r="IO4" s="97">
        <f t="shared" ca="1" si="3"/>
        <v>13990510</v>
      </c>
      <c r="IP4" s="97">
        <f t="shared" ca="1" si="3"/>
        <v>13990511</v>
      </c>
      <c r="IQ4" s="97">
        <f t="shared" ca="1" si="3"/>
        <v>13990512</v>
      </c>
      <c r="IR4" s="97">
        <f t="shared" ca="1" si="3"/>
        <v>13990513</v>
      </c>
      <c r="IS4" s="97">
        <f t="shared" ca="1" si="3"/>
        <v>13990514</v>
      </c>
      <c r="IT4" s="97">
        <f t="shared" ca="1" si="3"/>
        <v>13990515</v>
      </c>
      <c r="IU4" s="97">
        <f t="shared" ca="1" si="3"/>
        <v>13990516</v>
      </c>
      <c r="IV4" s="97">
        <f t="shared" ca="1" si="3"/>
        <v>13990517</v>
      </c>
      <c r="IW4" s="97">
        <f t="shared" ca="1" si="3"/>
        <v>13990518</v>
      </c>
    </row>
    <row r="5" spans="1:264" s="151" customFormat="1" ht="12.75" hidden="1">
      <c r="A5" s="98"/>
      <c r="B5" s="112" t="s">
        <v>71</v>
      </c>
      <c r="C5" s="309" t="str">
        <f ca="1">S6&amp;" - "&amp;IT6</f>
        <v>1398/09/23 - 1399/05/15</v>
      </c>
      <c r="D5" s="309"/>
      <c r="E5" s="309"/>
      <c r="F5" s="309"/>
      <c r="G5" s="309"/>
      <c r="H5" s="309"/>
      <c r="I5" s="100"/>
      <c r="J5" s="114"/>
      <c r="K5" s="101"/>
      <c r="L5" s="113"/>
      <c r="M5" s="102"/>
      <c r="N5" s="97"/>
      <c r="O5" s="102"/>
      <c r="P5" s="102"/>
      <c r="Q5" s="97"/>
      <c r="R5" s="115">
        <v>0</v>
      </c>
      <c r="S5" s="116" t="str">
        <f ca="1">J_normdate(J_ADDDAY(J_SUBDAY(FDate(MIN(OFFSET(E6,0,0,500,1))),j_WEEKDAY(FDate(MIN(OFFSET(E6,0,0,500,1))),0),1),7*R5,1))</f>
        <v>13980923</v>
      </c>
      <c r="T5" s="116" t="str">
        <f ca="1">J_normdate(J_ADDDAY(FDate(S5),1,1))</f>
        <v>13980924</v>
      </c>
      <c r="U5" s="116" t="str">
        <f ca="1">J_normdate(J_ADDDAY(FDate(T5),1,1))</f>
        <v>13980925</v>
      </c>
      <c r="V5" s="116" t="str">
        <f ca="1">J_normdate(J_ADDDAY(FDate(U5),1,1))</f>
        <v>13980926</v>
      </c>
      <c r="W5" s="116" t="str">
        <f ca="1">J_normdate(J_ADDDAY(FDate(V5),1,1))</f>
        <v>13980927</v>
      </c>
      <c r="X5" s="116" t="str">
        <f ca="1">J_normdate(J_ADDDAY(FDate(W5),1,1))</f>
        <v>13980928</v>
      </c>
      <c r="Y5" s="116" t="str">
        <f ca="1">J_normdate(J_ADDDAY(FDate(X5),1,1))</f>
        <v>13980929</v>
      </c>
      <c r="Z5" s="116" t="str">
        <f ca="1">J_normdate(J_ADDDAY(FDate(Y5),1,1))</f>
        <v>13980930</v>
      </c>
      <c r="AA5" s="116" t="str">
        <f ca="1">J_normdate(J_ADDDAY(FDate(Z5),1,1))</f>
        <v>13981001</v>
      </c>
      <c r="AB5" s="116" t="str">
        <f ca="1">J_normdate(J_ADDDAY(FDate(AA5),1,1))</f>
        <v>13981002</v>
      </c>
      <c r="AC5" s="116" t="str">
        <f ca="1">J_normdate(J_ADDDAY(FDate(AB5),1,1))</f>
        <v>13981003</v>
      </c>
      <c r="AD5" s="116" t="str">
        <f ca="1">J_normdate(J_ADDDAY(FDate(AC5),1,1))</f>
        <v>13981004</v>
      </c>
      <c r="AE5" s="116" t="str">
        <f ca="1">J_normdate(J_ADDDAY(FDate(AD5),1,1))</f>
        <v>13981005</v>
      </c>
      <c r="AF5" s="116" t="str">
        <f ca="1">J_normdate(J_ADDDAY(FDate(AE5),1,1))</f>
        <v>13981006</v>
      </c>
      <c r="AG5" s="116" t="str">
        <f ca="1">J_normdate(J_ADDDAY(FDate(AF5),1,1))</f>
        <v>13981007</v>
      </c>
      <c r="AH5" s="116" t="str">
        <f ca="1">J_normdate(J_ADDDAY(FDate(AG5),1,1))</f>
        <v>13981008</v>
      </c>
      <c r="AI5" s="116" t="str">
        <f ca="1">J_normdate(J_ADDDAY(FDate(AH5),1,1))</f>
        <v>13981009</v>
      </c>
      <c r="AJ5" s="116" t="str">
        <f ca="1">J_normdate(J_ADDDAY(FDate(AI5),1,1))</f>
        <v>13981010</v>
      </c>
      <c r="AK5" s="116" t="str">
        <f ca="1">J_normdate(J_ADDDAY(FDate(AJ5),1,1))</f>
        <v>13981011</v>
      </c>
      <c r="AL5" s="116" t="str">
        <f ca="1">J_normdate(J_ADDDAY(FDate(AK5),1,1))</f>
        <v>13981012</v>
      </c>
      <c r="AM5" s="116" t="str">
        <f ca="1">J_normdate(J_ADDDAY(FDate(AL5),1,1))</f>
        <v>13981013</v>
      </c>
      <c r="AN5" s="116" t="str">
        <f ca="1">J_normdate(J_ADDDAY(FDate(AM5),1,1))</f>
        <v>13981014</v>
      </c>
      <c r="AO5" s="116" t="str">
        <f ca="1">J_normdate(J_ADDDAY(FDate(AN5),1,1))</f>
        <v>13981015</v>
      </c>
      <c r="AP5" s="116" t="str">
        <f ca="1">J_normdate(J_ADDDAY(FDate(AO5),1,1))</f>
        <v>13981016</v>
      </c>
      <c r="AQ5" s="116" t="str">
        <f ca="1">J_normdate(J_ADDDAY(FDate(AP5),1,1))</f>
        <v>13981017</v>
      </c>
      <c r="AR5" s="116" t="str">
        <f ca="1">J_normdate(J_ADDDAY(FDate(AQ5),1,1))</f>
        <v>13981018</v>
      </c>
      <c r="AS5" s="116" t="str">
        <f ca="1">J_normdate(J_ADDDAY(FDate(AR5),1,1))</f>
        <v>13981019</v>
      </c>
      <c r="AT5" s="116" t="str">
        <f ca="1">J_normdate(J_ADDDAY(FDate(AS5),1,1))</f>
        <v>13981020</v>
      </c>
      <c r="AU5" s="116" t="str">
        <f ca="1">J_normdate(J_ADDDAY(FDate(AT5),1,1))</f>
        <v>13981021</v>
      </c>
      <c r="AV5" s="116" t="str">
        <f ca="1">J_normdate(J_ADDDAY(FDate(AU5),1,1))</f>
        <v>13981022</v>
      </c>
      <c r="AW5" s="116" t="str">
        <f ca="1">J_normdate(J_ADDDAY(FDate(AV5),1,1))</f>
        <v>13981023</v>
      </c>
      <c r="AX5" s="116" t="str">
        <f ca="1">J_normdate(J_ADDDAY(FDate(AW5),1,1))</f>
        <v>13981024</v>
      </c>
      <c r="AY5" s="116" t="str">
        <f ca="1">J_normdate(J_ADDDAY(FDate(AX5),1,1))</f>
        <v>13981025</v>
      </c>
      <c r="AZ5" s="116" t="str">
        <f ca="1">J_normdate(J_ADDDAY(FDate(AY5),1,1))</f>
        <v>13981026</v>
      </c>
      <c r="BA5" s="116" t="str">
        <f ca="1">J_normdate(J_ADDDAY(FDate(AZ5),1,1))</f>
        <v>13981027</v>
      </c>
      <c r="BB5" s="116" t="str">
        <f ca="1">J_normdate(J_ADDDAY(FDate(BA5),1,1))</f>
        <v>13981028</v>
      </c>
      <c r="BC5" s="116" t="str">
        <f ca="1">J_normdate(J_ADDDAY(FDate(BB5),1,1))</f>
        <v>13981029</v>
      </c>
      <c r="BD5" s="116" t="str">
        <f ca="1">J_normdate(J_ADDDAY(FDate(BC5),1,1))</f>
        <v>13981030</v>
      </c>
      <c r="BE5" s="116" t="str">
        <f ca="1">J_normdate(J_ADDDAY(FDate(BD5),1,1))</f>
        <v>13981101</v>
      </c>
      <c r="BF5" s="116" t="str">
        <f ca="1">J_normdate(J_ADDDAY(FDate(BE5),1,1))</f>
        <v>13981102</v>
      </c>
      <c r="BG5" s="116" t="str">
        <f ca="1">J_normdate(J_ADDDAY(FDate(BF5),1,1))</f>
        <v>13981103</v>
      </c>
      <c r="BH5" s="116" t="str">
        <f ca="1">J_normdate(J_ADDDAY(FDate(BG5),1,1))</f>
        <v>13981104</v>
      </c>
      <c r="BI5" s="116" t="str">
        <f ca="1">J_normdate(J_ADDDAY(FDate(BH5),1,1))</f>
        <v>13981105</v>
      </c>
      <c r="BJ5" s="116" t="str">
        <f ca="1">J_normdate(J_ADDDAY(FDate(BI5),1,1))</f>
        <v>13981106</v>
      </c>
      <c r="BK5" s="116" t="str">
        <f ca="1">J_normdate(J_ADDDAY(FDate(BJ5),1,1))</f>
        <v>13981107</v>
      </c>
      <c r="BL5" s="116" t="str">
        <f ca="1">J_normdate(J_ADDDAY(FDate(BK5),1,1))</f>
        <v>13981108</v>
      </c>
      <c r="BM5" s="116" t="str">
        <f ca="1">J_normdate(J_ADDDAY(FDate(BL5),1,1))</f>
        <v>13981109</v>
      </c>
      <c r="BN5" s="116" t="str">
        <f ca="1">J_normdate(J_ADDDAY(FDate(BM5),1,1))</f>
        <v>13981110</v>
      </c>
      <c r="BO5" s="116" t="str">
        <f ca="1">J_normdate(J_ADDDAY(FDate(BN5),1,1))</f>
        <v>13981111</v>
      </c>
      <c r="BP5" s="116" t="str">
        <f ca="1">J_normdate(J_ADDDAY(FDate(BO5),1,1))</f>
        <v>13981112</v>
      </c>
      <c r="BQ5" s="116" t="str">
        <f ca="1">J_normdate(J_ADDDAY(FDate(BP5),1,1))</f>
        <v>13981113</v>
      </c>
      <c r="BR5" s="116" t="str">
        <f ca="1">J_normdate(J_ADDDAY(FDate(BQ5),1,1))</f>
        <v>13981114</v>
      </c>
      <c r="BS5" s="116" t="str">
        <f ca="1">J_normdate(J_ADDDAY(FDate(BR5),1,1))</f>
        <v>13981115</v>
      </c>
      <c r="BT5" s="116" t="str">
        <f ca="1">J_normdate(J_ADDDAY(FDate(BS5),1,1))</f>
        <v>13981116</v>
      </c>
      <c r="BU5" s="116" t="str">
        <f ca="1">J_normdate(J_ADDDAY(FDate(BT5),1,1))</f>
        <v>13981117</v>
      </c>
      <c r="BV5" s="116" t="str">
        <f ca="1">J_normdate(J_ADDDAY(FDate(BU5),1,1))</f>
        <v>13981118</v>
      </c>
      <c r="BW5" s="116" t="str">
        <f ca="1">J_normdate(J_ADDDAY(FDate(BV5),1,1))</f>
        <v>13981119</v>
      </c>
      <c r="BX5" s="116" t="str">
        <f ca="1">J_normdate(J_ADDDAY(FDate(BW5),1,1))</f>
        <v>13981120</v>
      </c>
      <c r="BY5" s="116" t="str">
        <f ca="1">J_normdate(J_ADDDAY(FDate(BX5),1,1))</f>
        <v>13981121</v>
      </c>
      <c r="BZ5" s="116" t="str">
        <f ca="1">J_normdate(J_ADDDAY(FDate(BY5),1,1))</f>
        <v>13981122</v>
      </c>
      <c r="CA5" s="116" t="str">
        <f ca="1">J_normdate(J_ADDDAY(FDate(BZ5),1,1))</f>
        <v>13981123</v>
      </c>
      <c r="CB5" s="116" t="str">
        <f ca="1">J_normdate(J_ADDDAY(FDate(CA5),1,1))</f>
        <v>13981124</v>
      </c>
      <c r="CC5" s="116" t="str">
        <f ca="1">J_normdate(J_ADDDAY(FDate(CB5),1,1))</f>
        <v>13981125</v>
      </c>
      <c r="CD5" s="116" t="str">
        <f ca="1">J_normdate(J_ADDDAY(FDate(CC5),1,1))</f>
        <v>13981126</v>
      </c>
      <c r="CE5" s="116" t="str">
        <f ca="1">J_normdate(J_ADDDAY(FDate(CD5),1,1))</f>
        <v>13981127</v>
      </c>
      <c r="CF5" s="116" t="str">
        <f ca="1">J_normdate(J_ADDDAY(FDate(CE5),1,1))</f>
        <v>13981128</v>
      </c>
      <c r="CG5" s="116" t="str">
        <f ca="1">J_normdate(J_ADDDAY(FDate(CF5),1,1))</f>
        <v>13981129</v>
      </c>
      <c r="CH5" s="116" t="str">
        <f ca="1">J_normdate(J_ADDDAY(FDate(CG5),1,1))</f>
        <v>13981130</v>
      </c>
      <c r="CI5" s="116" t="str">
        <f ca="1">J_normdate(J_ADDDAY(FDate(CH5),1,1))</f>
        <v>13981201</v>
      </c>
      <c r="CJ5" s="116" t="str">
        <f ca="1">J_normdate(J_ADDDAY(FDate(CI5),1,1))</f>
        <v>13981202</v>
      </c>
      <c r="CK5" s="116" t="str">
        <f ca="1">J_normdate(J_ADDDAY(FDate(CJ5),1,1))</f>
        <v>13981203</v>
      </c>
      <c r="CL5" s="116" t="str">
        <f ca="1">J_normdate(J_ADDDAY(FDate(CK5),1,1))</f>
        <v>13981204</v>
      </c>
      <c r="CM5" s="116" t="str">
        <f ca="1">J_normdate(J_ADDDAY(FDate(CL5),1,1))</f>
        <v>13981205</v>
      </c>
      <c r="CN5" s="116" t="str">
        <f ca="1">J_normdate(J_ADDDAY(FDate(CM5),1,1))</f>
        <v>13981206</v>
      </c>
      <c r="CO5" s="116" t="str">
        <f ca="1">J_normdate(J_ADDDAY(FDate(CN5),1,1))</f>
        <v>13981207</v>
      </c>
      <c r="CP5" s="116" t="str">
        <f ca="1">J_normdate(J_ADDDAY(FDate(CO5),1,1))</f>
        <v>13981208</v>
      </c>
      <c r="CQ5" s="116" t="str">
        <f ca="1">J_normdate(J_ADDDAY(FDate(CP5),1,1))</f>
        <v>13981209</v>
      </c>
      <c r="CR5" s="116" t="str">
        <f ca="1">J_normdate(J_ADDDAY(FDate(CQ5),1,1))</f>
        <v>13981210</v>
      </c>
      <c r="CS5" s="116" t="str">
        <f ca="1">J_normdate(J_ADDDAY(FDate(CR5),1,1))</f>
        <v>13981211</v>
      </c>
      <c r="CT5" s="116" t="str">
        <f ca="1">J_normdate(J_ADDDAY(FDate(CS5),1,1))</f>
        <v>13981212</v>
      </c>
      <c r="CU5" s="116" t="str">
        <f ca="1">J_normdate(J_ADDDAY(FDate(CT5),1,1))</f>
        <v>13981213</v>
      </c>
      <c r="CV5" s="116" t="str">
        <f ca="1">J_normdate(J_ADDDAY(FDate(CU5),1,1))</f>
        <v>13981214</v>
      </c>
      <c r="CW5" s="116" t="str">
        <f ca="1">J_normdate(J_ADDDAY(FDate(CV5),1,1))</f>
        <v>13981215</v>
      </c>
      <c r="CX5" s="116" t="str">
        <f ca="1">J_normdate(J_ADDDAY(FDate(CW5),1,1))</f>
        <v>13981216</v>
      </c>
      <c r="CY5" s="116" t="str">
        <f ca="1">J_normdate(J_ADDDAY(FDate(CX5),1,1))</f>
        <v>13981217</v>
      </c>
      <c r="CZ5" s="116" t="str">
        <f ca="1">J_normdate(J_ADDDAY(FDate(CY5),1,1))</f>
        <v>13981218</v>
      </c>
      <c r="DA5" s="116" t="str">
        <f ca="1">J_normdate(J_ADDDAY(FDate(CZ5),1,1))</f>
        <v>13981219</v>
      </c>
      <c r="DB5" s="116" t="str">
        <f ca="1">J_normdate(J_ADDDAY(FDate(DA5),1,1))</f>
        <v>13981220</v>
      </c>
      <c r="DC5" s="116" t="str">
        <f ca="1">J_normdate(J_ADDDAY(FDate(DB5),1,1))</f>
        <v>13981221</v>
      </c>
      <c r="DD5" s="116" t="str">
        <f ca="1">J_normdate(J_ADDDAY(FDate(DC5),1,1))</f>
        <v>13981222</v>
      </c>
      <c r="DE5" s="116" t="str">
        <f ca="1">J_normdate(J_ADDDAY(FDate(DD5),1,1))</f>
        <v>13981223</v>
      </c>
      <c r="DF5" s="116" t="str">
        <f ca="1">J_normdate(J_ADDDAY(FDate(DE5),1,1))</f>
        <v>13981224</v>
      </c>
      <c r="DG5" s="116" t="str">
        <f ca="1">J_normdate(J_ADDDAY(FDate(DF5),1,1))</f>
        <v>13981225</v>
      </c>
      <c r="DH5" s="116" t="str">
        <f ca="1">J_normdate(J_ADDDAY(FDate(DG5),1,1))</f>
        <v>13981226</v>
      </c>
      <c r="DI5" s="116" t="str">
        <f ca="1">J_normdate(J_ADDDAY(FDate(DH5),1,1))</f>
        <v>13981227</v>
      </c>
      <c r="DJ5" s="116" t="str">
        <f ca="1">J_normdate(J_ADDDAY(FDate(DI5),1,1))</f>
        <v>13981228</v>
      </c>
      <c r="DK5" s="116" t="str">
        <f ca="1">J_normdate(J_ADDDAY(FDate(DJ5),1,1))</f>
        <v>13981229</v>
      </c>
      <c r="DL5" s="116" t="str">
        <f ca="1">J_normdate(J_ADDDAY(FDate(DK5),1,1))</f>
        <v>13990101</v>
      </c>
      <c r="DM5" s="116" t="str">
        <f ca="1">J_normdate(J_ADDDAY(FDate(DL5),1,1))</f>
        <v>13990102</v>
      </c>
      <c r="DN5" s="116" t="str">
        <f ca="1">J_normdate(J_ADDDAY(FDate(DM5),1,1))</f>
        <v>13990103</v>
      </c>
      <c r="DO5" s="116" t="str">
        <f ca="1">J_normdate(J_ADDDAY(FDate(DN5),1,1))</f>
        <v>13990104</v>
      </c>
      <c r="DP5" s="116" t="str">
        <f ca="1">J_normdate(J_ADDDAY(FDate(DO5),1,1))</f>
        <v>13990105</v>
      </c>
      <c r="DQ5" s="116" t="str">
        <f ca="1">J_normdate(J_ADDDAY(FDate(DP5),1,1))</f>
        <v>13990106</v>
      </c>
      <c r="DR5" s="116" t="str">
        <f ca="1">J_normdate(J_ADDDAY(FDate(DQ5),1,1))</f>
        <v>13990107</v>
      </c>
      <c r="DS5" s="116" t="str">
        <f ca="1">J_normdate(J_ADDDAY(FDate(DR5),1,1))</f>
        <v>13990108</v>
      </c>
      <c r="DT5" s="116" t="str">
        <f ca="1">J_normdate(J_ADDDAY(FDate(DS5),1,1))</f>
        <v>13990109</v>
      </c>
      <c r="DU5" s="116" t="str">
        <f ca="1">J_normdate(J_ADDDAY(FDate(DT5),1,1))</f>
        <v>13990110</v>
      </c>
      <c r="DV5" s="116" t="str">
        <f ca="1">J_normdate(J_ADDDAY(FDate(DU5),1,1))</f>
        <v>13990111</v>
      </c>
      <c r="DW5" s="116" t="str">
        <f ca="1">J_normdate(J_ADDDAY(FDate(DV5),1,1))</f>
        <v>13990112</v>
      </c>
      <c r="DX5" s="116" t="str">
        <f ca="1">J_normdate(J_ADDDAY(FDate(DW5),1,1))</f>
        <v>13990113</v>
      </c>
      <c r="DY5" s="116" t="str">
        <f ca="1">J_normdate(J_ADDDAY(FDate(DX5),1,1))</f>
        <v>13990114</v>
      </c>
      <c r="DZ5" s="116" t="str">
        <f ca="1">J_normdate(J_ADDDAY(FDate(DY5),1,1))</f>
        <v>13990115</v>
      </c>
      <c r="EA5" s="116" t="str">
        <f ca="1">J_normdate(J_ADDDAY(FDate(DZ5),1,1))</f>
        <v>13990116</v>
      </c>
      <c r="EB5" s="116" t="str">
        <f ca="1">J_normdate(J_ADDDAY(FDate(EA5),1,1))</f>
        <v>13990117</v>
      </c>
      <c r="EC5" s="116" t="str">
        <f ca="1">J_normdate(J_ADDDAY(FDate(EB5),1,1))</f>
        <v>13990118</v>
      </c>
      <c r="ED5" s="116" t="str">
        <f ca="1">J_normdate(J_ADDDAY(FDate(EC5),1,1))</f>
        <v>13990119</v>
      </c>
      <c r="EE5" s="116" t="str">
        <f ca="1">J_normdate(J_ADDDAY(FDate(ED5),1,1))</f>
        <v>13990120</v>
      </c>
      <c r="EF5" s="116" t="str">
        <f ca="1">J_normdate(J_ADDDAY(FDate(EE5),1,1))</f>
        <v>13990121</v>
      </c>
      <c r="EG5" s="116" t="str">
        <f ca="1">J_normdate(J_ADDDAY(FDate(EF5),1,1))</f>
        <v>13990122</v>
      </c>
      <c r="EH5" s="116" t="str">
        <f ca="1">J_normdate(J_ADDDAY(FDate(EG5),1,1))</f>
        <v>13990123</v>
      </c>
      <c r="EI5" s="116" t="str">
        <f ca="1">J_normdate(J_ADDDAY(FDate(EH5),1,1))</f>
        <v>13990124</v>
      </c>
      <c r="EJ5" s="116" t="str">
        <f ca="1">J_normdate(J_ADDDAY(FDate(EI5),1,1))</f>
        <v>13990125</v>
      </c>
      <c r="EK5" s="116" t="str">
        <f ca="1">J_normdate(J_ADDDAY(FDate(EJ5),1,1))</f>
        <v>13990126</v>
      </c>
      <c r="EL5" s="116" t="str">
        <f ca="1">J_normdate(J_ADDDAY(FDate(EK5),1,1))</f>
        <v>13990127</v>
      </c>
      <c r="EM5" s="116" t="str">
        <f ca="1">J_normdate(J_ADDDAY(FDate(EL5),1,1))</f>
        <v>13990128</v>
      </c>
      <c r="EN5" s="116" t="str">
        <f ca="1">J_normdate(J_ADDDAY(FDate(EM5),1,1))</f>
        <v>13990129</v>
      </c>
      <c r="EO5" s="116" t="str">
        <f ca="1">J_normdate(J_ADDDAY(FDate(EN5),1,1))</f>
        <v>13990130</v>
      </c>
      <c r="EP5" s="116" t="str">
        <f ca="1">J_normdate(J_ADDDAY(FDate(EO5),1,1))</f>
        <v>13990131</v>
      </c>
      <c r="EQ5" s="116" t="str">
        <f ca="1">J_normdate(J_ADDDAY(FDate(EP5),1,1))</f>
        <v>13990201</v>
      </c>
      <c r="ER5" s="116" t="str">
        <f ca="1">J_normdate(J_ADDDAY(FDate(EQ5),1,1))</f>
        <v>13990202</v>
      </c>
      <c r="ES5" s="116" t="str">
        <f ca="1">J_normdate(J_ADDDAY(FDate(ER5),1,1))</f>
        <v>13990203</v>
      </c>
      <c r="ET5" s="116" t="str">
        <f ca="1">J_normdate(J_ADDDAY(FDate(ES5),1,1))</f>
        <v>13990204</v>
      </c>
      <c r="EU5" s="116" t="str">
        <f ca="1">J_normdate(J_ADDDAY(FDate(ET5),1,1))</f>
        <v>13990205</v>
      </c>
      <c r="EV5" s="116" t="str">
        <f ca="1">J_normdate(J_ADDDAY(FDate(EU5),1,1))</f>
        <v>13990206</v>
      </c>
      <c r="EW5" s="116" t="str">
        <f ca="1">J_normdate(J_ADDDAY(FDate(EV5),1,1))</f>
        <v>13990207</v>
      </c>
      <c r="EX5" s="116" t="str">
        <f ca="1">J_normdate(J_ADDDAY(FDate(EW5),1,1))</f>
        <v>13990208</v>
      </c>
      <c r="EY5" s="116" t="str">
        <f ca="1">J_normdate(J_ADDDAY(FDate(EX5),1,1))</f>
        <v>13990209</v>
      </c>
      <c r="EZ5" s="116" t="str">
        <f ca="1">J_normdate(J_ADDDAY(FDate(EY5),1,1))</f>
        <v>13990210</v>
      </c>
      <c r="FA5" s="116" t="str">
        <f ca="1">J_normdate(J_ADDDAY(FDate(EZ5),1,1))</f>
        <v>13990211</v>
      </c>
      <c r="FB5" s="116" t="str">
        <f ca="1">J_normdate(J_ADDDAY(FDate(FA5),1,1))</f>
        <v>13990212</v>
      </c>
      <c r="FC5" s="116" t="str">
        <f ca="1">J_normdate(J_ADDDAY(FDate(FB5),1,1))</f>
        <v>13990213</v>
      </c>
      <c r="FD5" s="116" t="str">
        <f ca="1">J_normdate(J_ADDDAY(FDate(FC5),1,1))</f>
        <v>13990214</v>
      </c>
      <c r="FE5" s="116" t="str">
        <f ca="1">J_normdate(J_ADDDAY(FDate(FD5),1,1))</f>
        <v>13990215</v>
      </c>
      <c r="FF5" s="116" t="str">
        <f ca="1">J_normdate(J_ADDDAY(FDate(FE5),1,1))</f>
        <v>13990216</v>
      </c>
      <c r="FG5" s="116" t="str">
        <f ca="1">J_normdate(J_ADDDAY(FDate(FF5),1,1))</f>
        <v>13990217</v>
      </c>
      <c r="FH5" s="116" t="str">
        <f ca="1">J_normdate(J_ADDDAY(FDate(FG5),1,1))</f>
        <v>13990218</v>
      </c>
      <c r="FI5" s="116" t="str">
        <f ca="1">J_normdate(J_ADDDAY(FDate(FH5),1,1))</f>
        <v>13990219</v>
      </c>
      <c r="FJ5" s="116" t="str">
        <f ca="1">J_normdate(J_ADDDAY(FDate(FI5),1,1))</f>
        <v>13990220</v>
      </c>
      <c r="FK5" s="116" t="str">
        <f ca="1">J_normdate(J_ADDDAY(FDate(FJ5),1,1))</f>
        <v>13990221</v>
      </c>
      <c r="FL5" s="116" t="str">
        <f ca="1">J_normdate(J_ADDDAY(FDate(FK5),1,1))</f>
        <v>13990222</v>
      </c>
      <c r="FM5" s="116" t="str">
        <f ca="1">J_normdate(J_ADDDAY(FDate(FL5),1,1))</f>
        <v>13990223</v>
      </c>
      <c r="FN5" s="116" t="str">
        <f ca="1">J_normdate(J_ADDDAY(FDate(FM5),1,1))</f>
        <v>13990224</v>
      </c>
      <c r="FO5" s="116" t="str">
        <f ca="1">J_normdate(J_ADDDAY(FDate(FN5),1,1))</f>
        <v>13990225</v>
      </c>
      <c r="FP5" s="116" t="str">
        <f ca="1">J_normdate(J_ADDDAY(FDate(FO5),1,1))</f>
        <v>13990226</v>
      </c>
      <c r="FQ5" s="116" t="str">
        <f ca="1">J_normdate(J_ADDDAY(FDate(FP5),1,1))</f>
        <v>13990227</v>
      </c>
      <c r="FR5" s="116" t="str">
        <f ca="1">J_normdate(J_ADDDAY(FDate(FQ5),1,1))</f>
        <v>13990228</v>
      </c>
      <c r="FS5" s="116" t="str">
        <f ca="1">J_normdate(J_ADDDAY(FDate(FR5),1,1))</f>
        <v>13990229</v>
      </c>
      <c r="FT5" s="116" t="str">
        <f ca="1">J_normdate(J_ADDDAY(FDate(FS5),1,1))</f>
        <v>13990230</v>
      </c>
      <c r="FU5" s="116" t="str">
        <f ca="1">J_normdate(J_ADDDAY(FDate(FT5),1,1))</f>
        <v>13990231</v>
      </c>
      <c r="FV5" s="116" t="str">
        <f ca="1">J_normdate(J_ADDDAY(FDate(FU5),1,1))</f>
        <v>13990301</v>
      </c>
      <c r="FW5" s="116" t="str">
        <f ca="1">J_normdate(J_ADDDAY(FDate(FV5),1,1))</f>
        <v>13990302</v>
      </c>
      <c r="FX5" s="116" t="str">
        <f ca="1">J_normdate(J_ADDDAY(FDate(FW5),1,1))</f>
        <v>13990303</v>
      </c>
      <c r="FY5" s="116" t="str">
        <f ca="1">J_normdate(J_ADDDAY(FDate(FX5),1,1))</f>
        <v>13990304</v>
      </c>
      <c r="FZ5" s="116" t="str">
        <f ca="1">J_normdate(J_ADDDAY(FDate(FY5),1,1))</f>
        <v>13990305</v>
      </c>
      <c r="GA5" s="116" t="str">
        <f ca="1">J_normdate(J_ADDDAY(FDate(FZ5),1,1))</f>
        <v>13990306</v>
      </c>
      <c r="GB5" s="116" t="str">
        <f ca="1">J_normdate(J_ADDDAY(FDate(GA5),1,1))</f>
        <v>13990307</v>
      </c>
      <c r="GC5" s="116" t="str">
        <f ca="1">J_normdate(J_ADDDAY(FDate(GB5),1,1))</f>
        <v>13990308</v>
      </c>
      <c r="GD5" s="116" t="str">
        <f ca="1">J_normdate(J_ADDDAY(FDate(GC5),1,1))</f>
        <v>13990309</v>
      </c>
      <c r="GE5" s="116" t="str">
        <f ca="1">J_normdate(J_ADDDAY(FDate(GD5),1,1))</f>
        <v>13990310</v>
      </c>
      <c r="GF5" s="116" t="str">
        <f ca="1">J_normdate(J_ADDDAY(FDate(GE5),1,1))</f>
        <v>13990311</v>
      </c>
      <c r="GG5" s="116" t="str">
        <f ca="1">J_normdate(J_ADDDAY(FDate(GF5),1,1))</f>
        <v>13990312</v>
      </c>
      <c r="GH5" s="116" t="str">
        <f ca="1">J_normdate(J_ADDDAY(FDate(GG5),1,1))</f>
        <v>13990313</v>
      </c>
      <c r="GI5" s="116" t="str">
        <f ca="1">J_normdate(J_ADDDAY(FDate(GH5),1,1))</f>
        <v>13990314</v>
      </c>
      <c r="GJ5" s="116" t="str">
        <f ca="1">J_normdate(J_ADDDAY(FDate(GI5),1,1))</f>
        <v>13990315</v>
      </c>
      <c r="GK5" s="116" t="str">
        <f ca="1">J_normdate(J_ADDDAY(FDate(GJ5),1,1))</f>
        <v>13990316</v>
      </c>
      <c r="GL5" s="116" t="str">
        <f ca="1">J_normdate(J_ADDDAY(FDate(GK5),1,1))</f>
        <v>13990317</v>
      </c>
      <c r="GM5" s="116" t="str">
        <f ca="1">J_normdate(J_ADDDAY(FDate(GL5),1,1))</f>
        <v>13990318</v>
      </c>
      <c r="GN5" s="116" t="str">
        <f ca="1">J_normdate(J_ADDDAY(FDate(GM5),1,1))</f>
        <v>13990319</v>
      </c>
      <c r="GO5" s="116" t="str">
        <f ca="1">J_normdate(J_ADDDAY(FDate(GN5),1,1))</f>
        <v>13990320</v>
      </c>
      <c r="GP5" s="116" t="str">
        <f ca="1">J_normdate(J_ADDDAY(FDate(GO5),1,1))</f>
        <v>13990321</v>
      </c>
      <c r="GQ5" s="116" t="str">
        <f ca="1">J_normdate(J_ADDDAY(FDate(GP5),1,1))</f>
        <v>13990322</v>
      </c>
      <c r="GR5" s="116" t="str">
        <f ca="1">J_normdate(J_ADDDAY(FDate(GQ5),1,1))</f>
        <v>13990323</v>
      </c>
      <c r="GS5" s="116" t="str">
        <f ca="1">J_normdate(J_ADDDAY(FDate(GR5),1,1))</f>
        <v>13990324</v>
      </c>
      <c r="GT5" s="116" t="str">
        <f ca="1">J_normdate(J_ADDDAY(FDate(GS5),1,1))</f>
        <v>13990325</v>
      </c>
      <c r="GU5" s="116" t="str">
        <f ca="1">J_normdate(J_ADDDAY(FDate(GT5),1,1))</f>
        <v>13990326</v>
      </c>
      <c r="GV5" s="116" t="str">
        <f ca="1">J_normdate(J_ADDDAY(FDate(GU5),1,1))</f>
        <v>13990327</v>
      </c>
      <c r="GW5" s="116" t="str">
        <f ca="1">J_normdate(J_ADDDAY(FDate(GV5),1,1))</f>
        <v>13990328</v>
      </c>
      <c r="GX5" s="116" t="str">
        <f ca="1">J_normdate(J_ADDDAY(FDate(GW5),1,1))</f>
        <v>13990329</v>
      </c>
      <c r="GY5" s="116" t="str">
        <f ca="1">J_normdate(J_ADDDAY(FDate(GX5),1,1))</f>
        <v>13990330</v>
      </c>
      <c r="GZ5" s="116" t="str">
        <f ca="1">J_normdate(J_ADDDAY(FDate(GY5),1,1))</f>
        <v>13990331</v>
      </c>
      <c r="HA5" s="116" t="str">
        <f ca="1">J_normdate(J_ADDDAY(FDate(GZ5),1,1))</f>
        <v>13990401</v>
      </c>
      <c r="HB5" s="116" t="str">
        <f ca="1">J_normdate(J_ADDDAY(FDate(HA5),1,1))</f>
        <v>13990402</v>
      </c>
      <c r="HC5" s="116" t="str">
        <f ca="1">J_normdate(J_ADDDAY(FDate(HB5),1,1))</f>
        <v>13990403</v>
      </c>
      <c r="HD5" s="116" t="str">
        <f ca="1">J_normdate(J_ADDDAY(FDate(HC5),1,1))</f>
        <v>13990404</v>
      </c>
      <c r="HE5" s="116" t="str">
        <f ca="1">J_normdate(J_ADDDAY(FDate(HD5),1,1))</f>
        <v>13990405</v>
      </c>
      <c r="HF5" s="116" t="str">
        <f ca="1">J_normdate(J_ADDDAY(FDate(HE5),1,1))</f>
        <v>13990406</v>
      </c>
      <c r="HG5" s="116" t="str">
        <f ca="1">J_normdate(J_ADDDAY(FDate(HF5),1,1))</f>
        <v>13990407</v>
      </c>
      <c r="HH5" s="116" t="str">
        <f ca="1">J_normdate(J_ADDDAY(FDate(HG5),1,1))</f>
        <v>13990408</v>
      </c>
      <c r="HI5" s="116" t="str">
        <f ca="1">J_normdate(J_ADDDAY(FDate(HH5),1,1))</f>
        <v>13990409</v>
      </c>
      <c r="HJ5" s="116" t="str">
        <f ca="1">J_normdate(J_ADDDAY(FDate(HI5),1,1))</f>
        <v>13990410</v>
      </c>
      <c r="HK5" s="116" t="str">
        <f ca="1">J_normdate(J_ADDDAY(FDate(HJ5),1,1))</f>
        <v>13990411</v>
      </c>
      <c r="HL5" s="116" t="str">
        <f ca="1">J_normdate(J_ADDDAY(FDate(HK5),1,1))</f>
        <v>13990412</v>
      </c>
      <c r="HM5" s="116" t="str">
        <f ca="1">J_normdate(J_ADDDAY(FDate(HL5),1,1))</f>
        <v>13990413</v>
      </c>
      <c r="HN5" s="116" t="str">
        <f ca="1">J_normdate(J_ADDDAY(FDate(HM5),1,1))</f>
        <v>13990414</v>
      </c>
      <c r="HO5" s="116" t="str">
        <f ca="1">J_normdate(J_ADDDAY(FDate(HN5),1,1))</f>
        <v>13990415</v>
      </c>
      <c r="HP5" s="116" t="str">
        <f ca="1">J_normdate(J_ADDDAY(FDate(HO5),1,1))</f>
        <v>13990416</v>
      </c>
      <c r="HQ5" s="116" t="str">
        <f ca="1">J_normdate(J_ADDDAY(FDate(HP5),1,1))</f>
        <v>13990417</v>
      </c>
      <c r="HR5" s="116" t="str">
        <f ca="1">J_normdate(J_ADDDAY(FDate(HQ5),1,1))</f>
        <v>13990418</v>
      </c>
      <c r="HS5" s="116" t="str">
        <f ca="1">J_normdate(J_ADDDAY(FDate(HR5),1,1))</f>
        <v>13990419</v>
      </c>
      <c r="HT5" s="116" t="str">
        <f ca="1">J_normdate(J_ADDDAY(FDate(HS5),1,1))</f>
        <v>13990420</v>
      </c>
      <c r="HU5" s="116" t="str">
        <f ca="1">J_normdate(J_ADDDAY(FDate(HT5),1,1))</f>
        <v>13990421</v>
      </c>
      <c r="HV5" s="116" t="str">
        <f ca="1">J_normdate(J_ADDDAY(FDate(HU5),1,1))</f>
        <v>13990422</v>
      </c>
      <c r="HW5" s="116" t="str">
        <f ca="1">J_normdate(J_ADDDAY(FDate(HV5),1,1))</f>
        <v>13990423</v>
      </c>
      <c r="HX5" s="116" t="str">
        <f ca="1">J_normdate(J_ADDDAY(FDate(HW5),1,1))</f>
        <v>13990424</v>
      </c>
      <c r="HY5" s="116" t="str">
        <f ca="1">J_normdate(J_ADDDAY(FDate(HX5),1,1))</f>
        <v>13990425</v>
      </c>
      <c r="HZ5" s="116" t="str">
        <f ca="1">J_normdate(J_ADDDAY(FDate(HY5),1,1))</f>
        <v>13990426</v>
      </c>
      <c r="IA5" s="116" t="str">
        <f ca="1">J_normdate(J_ADDDAY(FDate(HZ5),1,1))</f>
        <v>13990427</v>
      </c>
      <c r="IB5" s="116" t="str">
        <f ca="1">J_normdate(J_ADDDAY(FDate(IA5),1,1))</f>
        <v>13990428</v>
      </c>
      <c r="IC5" s="116" t="str">
        <f ca="1">J_normdate(J_ADDDAY(FDate(IB5),1,1))</f>
        <v>13990429</v>
      </c>
      <c r="ID5" s="116" t="str">
        <f ca="1">J_normdate(J_ADDDAY(FDate(IC5),1,1))</f>
        <v>13990430</v>
      </c>
      <c r="IE5" s="116" t="str">
        <f ca="1">J_normdate(J_ADDDAY(FDate(ID5),1,1))</f>
        <v>13990431</v>
      </c>
      <c r="IF5" s="116" t="str">
        <f ca="1">J_normdate(J_ADDDAY(FDate(IE5),1,1))</f>
        <v>13990501</v>
      </c>
      <c r="IG5" s="116" t="str">
        <f ca="1">J_normdate(J_ADDDAY(FDate(IF5),1,1))</f>
        <v>13990502</v>
      </c>
      <c r="IH5" s="116" t="str">
        <f ca="1">J_normdate(J_ADDDAY(FDate(IG5),1,1))</f>
        <v>13990503</v>
      </c>
      <c r="II5" s="116" t="str">
        <f ca="1">J_normdate(J_ADDDAY(FDate(IH5),1,1))</f>
        <v>13990504</v>
      </c>
      <c r="IJ5" s="116" t="str">
        <f ca="1">J_normdate(J_ADDDAY(FDate(II5),1,1))</f>
        <v>13990505</v>
      </c>
      <c r="IK5" s="116" t="str">
        <f ca="1">J_normdate(J_ADDDAY(FDate(IJ5),1,1))</f>
        <v>13990506</v>
      </c>
      <c r="IL5" s="116" t="str">
        <f ca="1">J_normdate(J_ADDDAY(FDate(IK5),1,1))</f>
        <v>13990507</v>
      </c>
      <c r="IM5" s="116" t="str">
        <f ca="1">J_normdate(J_ADDDAY(FDate(IL5),1,1))</f>
        <v>13990508</v>
      </c>
      <c r="IN5" s="116" t="str">
        <f ca="1">J_normdate(J_ADDDAY(FDate(IM5),1,1))</f>
        <v>13990509</v>
      </c>
      <c r="IO5" s="116" t="str">
        <f ca="1">J_normdate(J_ADDDAY(FDate(IN5),1,1))</f>
        <v>13990510</v>
      </c>
      <c r="IP5" s="116" t="str">
        <f ca="1">J_normdate(J_ADDDAY(FDate(IO5),1,1))</f>
        <v>13990511</v>
      </c>
      <c r="IQ5" s="116" t="str">
        <f ca="1">J_normdate(J_ADDDAY(FDate(IP5),1,1))</f>
        <v>13990512</v>
      </c>
      <c r="IR5" s="116" t="str">
        <f ca="1">J_normdate(J_ADDDAY(FDate(IQ5),1,1))</f>
        <v>13990513</v>
      </c>
      <c r="IS5" s="116" t="str">
        <f ca="1">J_normdate(J_ADDDAY(FDate(IR5),1,1))</f>
        <v>13990514</v>
      </c>
      <c r="IT5" s="116" t="str">
        <f ca="1">J_normdate(J_ADDDAY(FDate(IS5),1,1))</f>
        <v>13990515</v>
      </c>
      <c r="IU5" s="116" t="str">
        <f ca="1">J_normdate(J_ADDDAY(FDate(IT5),1,1))</f>
        <v>13990516</v>
      </c>
      <c r="IV5" s="116" t="str">
        <f ca="1">J_normdate(J_ADDDAY(FDate(IU5),1,1))</f>
        <v>13990517</v>
      </c>
      <c r="IW5" s="116" t="str">
        <f ca="1">J_normdate(J_ADDDAY(FDate(IV5),1,1))</f>
        <v>13990518</v>
      </c>
      <c r="IX5" s="116">
        <f ca="1">IW5+1</f>
        <v>13990519</v>
      </c>
      <c r="IY5" s="17"/>
      <c r="IZ5" s="27"/>
      <c r="JA5" s="149"/>
      <c r="JB5" s="149"/>
      <c r="JC5" s="149"/>
      <c r="JD5" s="150"/>
    </row>
    <row r="6" spans="1:264" s="153" customFormat="1" ht="81.75" customHeight="1" thickBot="1">
      <c r="A6" s="260" t="s">
        <v>0</v>
      </c>
      <c r="B6" s="261" t="s">
        <v>8</v>
      </c>
      <c r="C6" s="262" t="s">
        <v>9</v>
      </c>
      <c r="D6" s="262" t="s">
        <v>1</v>
      </c>
      <c r="E6" s="117" t="s">
        <v>1</v>
      </c>
      <c r="F6" s="262" t="s">
        <v>2</v>
      </c>
      <c r="G6" s="117" t="s">
        <v>2</v>
      </c>
      <c r="H6" s="263" t="s">
        <v>41</v>
      </c>
      <c r="I6" s="264" t="s">
        <v>42</v>
      </c>
      <c r="J6" s="263" t="s">
        <v>40</v>
      </c>
      <c r="K6" s="118" t="s">
        <v>43</v>
      </c>
      <c r="L6" s="265" t="s">
        <v>3</v>
      </c>
      <c r="M6" s="266" t="s">
        <v>4</v>
      </c>
      <c r="N6" s="265" t="s">
        <v>5</v>
      </c>
      <c r="O6" s="120" t="s">
        <v>10</v>
      </c>
      <c r="P6" s="121" t="s">
        <v>44</v>
      </c>
      <c r="Q6" s="119" t="s">
        <v>6</v>
      </c>
      <c r="R6" s="122"/>
      <c r="S6" s="306" t="str">
        <f ca="1">FDate(S5)</f>
        <v>1398/09/23</v>
      </c>
      <c r="T6" s="307"/>
      <c r="U6" s="307"/>
      <c r="V6" s="307"/>
      <c r="W6" s="308"/>
      <c r="X6" s="306" t="str">
        <f ca="1">FDate(X5)</f>
        <v>1398/09/28</v>
      </c>
      <c r="Y6" s="307"/>
      <c r="Z6" s="307"/>
      <c r="AA6" s="307"/>
      <c r="AB6" s="308"/>
      <c r="AC6" s="306" t="str">
        <f ca="1">FDate(AC5)</f>
        <v>1398/10/03</v>
      </c>
      <c r="AD6" s="307"/>
      <c r="AE6" s="307"/>
      <c r="AF6" s="307"/>
      <c r="AG6" s="308"/>
      <c r="AH6" s="306" t="str">
        <f ca="1">FDate(AH5)</f>
        <v>1398/10/08</v>
      </c>
      <c r="AI6" s="307"/>
      <c r="AJ6" s="307"/>
      <c r="AK6" s="307"/>
      <c r="AL6" s="308"/>
      <c r="AM6" s="306" t="str">
        <f ca="1">FDate(AM5)</f>
        <v>1398/10/13</v>
      </c>
      <c r="AN6" s="307"/>
      <c r="AO6" s="307"/>
      <c r="AP6" s="307"/>
      <c r="AQ6" s="308"/>
      <c r="AR6" s="306" t="str">
        <f ca="1">FDate(AR5)</f>
        <v>1398/10/18</v>
      </c>
      <c r="AS6" s="307"/>
      <c r="AT6" s="307"/>
      <c r="AU6" s="307"/>
      <c r="AV6" s="308"/>
      <c r="AW6" s="306" t="str">
        <f ca="1">FDate(AW5)</f>
        <v>1398/10/23</v>
      </c>
      <c r="AX6" s="307"/>
      <c r="AY6" s="307"/>
      <c r="AZ6" s="307"/>
      <c r="BA6" s="308"/>
      <c r="BB6" s="306" t="str">
        <f ca="1">FDate(BB5)</f>
        <v>1398/10/28</v>
      </c>
      <c r="BC6" s="307"/>
      <c r="BD6" s="307"/>
      <c r="BE6" s="307"/>
      <c r="BF6" s="308"/>
      <c r="BG6" s="306" t="str">
        <f ca="1">FDate(BG5)</f>
        <v>1398/11/03</v>
      </c>
      <c r="BH6" s="307"/>
      <c r="BI6" s="307"/>
      <c r="BJ6" s="307"/>
      <c r="BK6" s="308"/>
      <c r="BL6" s="306" t="str">
        <f ca="1">FDate(BL5)</f>
        <v>1398/11/08</v>
      </c>
      <c r="BM6" s="307"/>
      <c r="BN6" s="307"/>
      <c r="BO6" s="307"/>
      <c r="BP6" s="308"/>
      <c r="BQ6" s="306" t="str">
        <f ca="1">FDate(BQ5)</f>
        <v>1398/11/13</v>
      </c>
      <c r="BR6" s="307"/>
      <c r="BS6" s="307"/>
      <c r="BT6" s="307"/>
      <c r="BU6" s="308"/>
      <c r="BV6" s="306" t="str">
        <f ca="1">FDate(BV5)</f>
        <v>1398/11/18</v>
      </c>
      <c r="BW6" s="307"/>
      <c r="BX6" s="307"/>
      <c r="BY6" s="307"/>
      <c r="BZ6" s="308"/>
      <c r="CA6" s="306" t="str">
        <f ca="1">FDate(CA5)</f>
        <v>1398/11/23</v>
      </c>
      <c r="CB6" s="307"/>
      <c r="CC6" s="307"/>
      <c r="CD6" s="307"/>
      <c r="CE6" s="308"/>
      <c r="CF6" s="306" t="str">
        <f ca="1">FDate(CF5)</f>
        <v>1398/11/28</v>
      </c>
      <c r="CG6" s="307"/>
      <c r="CH6" s="307"/>
      <c r="CI6" s="307"/>
      <c r="CJ6" s="308"/>
      <c r="CK6" s="306" t="str">
        <f ca="1">FDate(CK5)</f>
        <v>1398/12/03</v>
      </c>
      <c r="CL6" s="307"/>
      <c r="CM6" s="307"/>
      <c r="CN6" s="307"/>
      <c r="CO6" s="308"/>
      <c r="CP6" s="306" t="str">
        <f ca="1">FDate(CP5)</f>
        <v>1398/12/08</v>
      </c>
      <c r="CQ6" s="307"/>
      <c r="CR6" s="307"/>
      <c r="CS6" s="307"/>
      <c r="CT6" s="308"/>
      <c r="CU6" s="306" t="str">
        <f ca="1">FDate(CU5)</f>
        <v>1398/12/13</v>
      </c>
      <c r="CV6" s="307"/>
      <c r="CW6" s="307"/>
      <c r="CX6" s="307"/>
      <c r="CY6" s="308"/>
      <c r="CZ6" s="306" t="str">
        <f ca="1">FDate(CZ5)</f>
        <v>1398/12/18</v>
      </c>
      <c r="DA6" s="307"/>
      <c r="DB6" s="307"/>
      <c r="DC6" s="307"/>
      <c r="DD6" s="308"/>
      <c r="DE6" s="306" t="str">
        <f ca="1">FDate(DE5)</f>
        <v>1398/12/23</v>
      </c>
      <c r="DF6" s="307"/>
      <c r="DG6" s="307"/>
      <c r="DH6" s="307"/>
      <c r="DI6" s="308"/>
      <c r="DJ6" s="306" t="str">
        <f ca="1">FDate(DJ5)</f>
        <v>1398/12/28</v>
      </c>
      <c r="DK6" s="307"/>
      <c r="DL6" s="307"/>
      <c r="DM6" s="307"/>
      <c r="DN6" s="308"/>
      <c r="DO6" s="306" t="str">
        <f ca="1">FDate(DO5)</f>
        <v>1399/01/04</v>
      </c>
      <c r="DP6" s="307"/>
      <c r="DQ6" s="307"/>
      <c r="DR6" s="307"/>
      <c r="DS6" s="308"/>
      <c r="DT6" s="306" t="str">
        <f ca="1">FDate(DT5)</f>
        <v>1399/01/09</v>
      </c>
      <c r="DU6" s="307"/>
      <c r="DV6" s="307"/>
      <c r="DW6" s="307"/>
      <c r="DX6" s="308"/>
      <c r="DY6" s="306" t="str">
        <f ca="1">FDate(DY5)</f>
        <v>1399/01/14</v>
      </c>
      <c r="DZ6" s="307"/>
      <c r="EA6" s="307"/>
      <c r="EB6" s="307"/>
      <c r="EC6" s="308"/>
      <c r="ED6" s="306" t="str">
        <f ca="1">FDate(ED5)</f>
        <v>1399/01/19</v>
      </c>
      <c r="EE6" s="307"/>
      <c r="EF6" s="307"/>
      <c r="EG6" s="307"/>
      <c r="EH6" s="308"/>
      <c r="EI6" s="306" t="str">
        <f ca="1">FDate(EI5)</f>
        <v>1399/01/24</v>
      </c>
      <c r="EJ6" s="307"/>
      <c r="EK6" s="307"/>
      <c r="EL6" s="307"/>
      <c r="EM6" s="308"/>
      <c r="EN6" s="306" t="str">
        <f ca="1">FDate(EN5)</f>
        <v>1399/01/29</v>
      </c>
      <c r="EO6" s="307"/>
      <c r="EP6" s="307"/>
      <c r="EQ6" s="307"/>
      <c r="ER6" s="308"/>
      <c r="ES6" s="306" t="str">
        <f ca="1">FDate(ES5)</f>
        <v>1399/02/03</v>
      </c>
      <c r="ET6" s="307"/>
      <c r="EU6" s="307"/>
      <c r="EV6" s="307"/>
      <c r="EW6" s="308"/>
      <c r="EX6" s="306" t="str">
        <f ca="1">FDate(EX5)</f>
        <v>1399/02/08</v>
      </c>
      <c r="EY6" s="307"/>
      <c r="EZ6" s="307"/>
      <c r="FA6" s="307"/>
      <c r="FB6" s="308"/>
      <c r="FC6" s="306" t="str">
        <f ca="1">FDate(FC5)</f>
        <v>1399/02/13</v>
      </c>
      <c r="FD6" s="307"/>
      <c r="FE6" s="307"/>
      <c r="FF6" s="307"/>
      <c r="FG6" s="308"/>
      <c r="FH6" s="306" t="str">
        <f ca="1">FDate(FH5)</f>
        <v>1399/02/18</v>
      </c>
      <c r="FI6" s="307"/>
      <c r="FJ6" s="307"/>
      <c r="FK6" s="307"/>
      <c r="FL6" s="308"/>
      <c r="FM6" s="306" t="str">
        <f ca="1">FDate(FM5)</f>
        <v>1399/02/23</v>
      </c>
      <c r="FN6" s="307"/>
      <c r="FO6" s="307"/>
      <c r="FP6" s="307"/>
      <c r="FQ6" s="308"/>
      <c r="FR6" s="306" t="str">
        <f ca="1">FDate(FR5)</f>
        <v>1399/02/28</v>
      </c>
      <c r="FS6" s="307"/>
      <c r="FT6" s="307"/>
      <c r="FU6" s="307"/>
      <c r="FV6" s="308"/>
      <c r="FW6" s="306" t="str">
        <f ca="1">FDate(FW5)</f>
        <v>1399/03/02</v>
      </c>
      <c r="FX6" s="307"/>
      <c r="FY6" s="307"/>
      <c r="FZ6" s="307"/>
      <c r="GA6" s="308"/>
      <c r="GB6" s="306" t="str">
        <f ca="1">FDate(GB5)</f>
        <v>1399/03/07</v>
      </c>
      <c r="GC6" s="307"/>
      <c r="GD6" s="307"/>
      <c r="GE6" s="307"/>
      <c r="GF6" s="308"/>
      <c r="GG6" s="306" t="str">
        <f ca="1">FDate(GG5)</f>
        <v>1399/03/12</v>
      </c>
      <c r="GH6" s="307"/>
      <c r="GI6" s="307"/>
      <c r="GJ6" s="307"/>
      <c r="GK6" s="308"/>
      <c r="GL6" s="306" t="str">
        <f ca="1">FDate(GL5)</f>
        <v>1399/03/17</v>
      </c>
      <c r="GM6" s="307"/>
      <c r="GN6" s="307"/>
      <c r="GO6" s="307"/>
      <c r="GP6" s="308"/>
      <c r="GQ6" s="306" t="str">
        <f ca="1">FDate(GQ5)</f>
        <v>1399/03/22</v>
      </c>
      <c r="GR6" s="307"/>
      <c r="GS6" s="307"/>
      <c r="GT6" s="307"/>
      <c r="GU6" s="308"/>
      <c r="GV6" s="306" t="str">
        <f ca="1">FDate(GV5)</f>
        <v>1399/03/27</v>
      </c>
      <c r="GW6" s="307"/>
      <c r="GX6" s="307"/>
      <c r="GY6" s="307"/>
      <c r="GZ6" s="308"/>
      <c r="HA6" s="306" t="str">
        <f ca="1">FDate(HA5)</f>
        <v>1399/04/01</v>
      </c>
      <c r="HB6" s="307"/>
      <c r="HC6" s="307"/>
      <c r="HD6" s="307"/>
      <c r="HE6" s="308"/>
      <c r="HF6" s="306" t="str">
        <f ca="1">FDate(HF5)</f>
        <v>1399/04/06</v>
      </c>
      <c r="HG6" s="307"/>
      <c r="HH6" s="307"/>
      <c r="HI6" s="307"/>
      <c r="HJ6" s="308"/>
      <c r="HK6" s="306" t="str">
        <f ca="1">FDate(HK5)</f>
        <v>1399/04/11</v>
      </c>
      <c r="HL6" s="307"/>
      <c r="HM6" s="307"/>
      <c r="HN6" s="307"/>
      <c r="HO6" s="308"/>
      <c r="HP6" s="306" t="str">
        <f ca="1">FDate(HP5)</f>
        <v>1399/04/16</v>
      </c>
      <c r="HQ6" s="307"/>
      <c r="HR6" s="307"/>
      <c r="HS6" s="307"/>
      <c r="HT6" s="308"/>
      <c r="HU6" s="306" t="str">
        <f ca="1">FDate(HU5)</f>
        <v>1399/04/21</v>
      </c>
      <c r="HV6" s="307"/>
      <c r="HW6" s="307"/>
      <c r="HX6" s="307"/>
      <c r="HY6" s="308"/>
      <c r="HZ6" s="306" t="str">
        <f ca="1">FDate(HZ5)</f>
        <v>1399/04/26</v>
      </c>
      <c r="IA6" s="307"/>
      <c r="IB6" s="307"/>
      <c r="IC6" s="307"/>
      <c r="ID6" s="308"/>
      <c r="IE6" s="306" t="str">
        <f ca="1">FDate(IE5)</f>
        <v>1399/04/31</v>
      </c>
      <c r="IF6" s="307"/>
      <c r="IG6" s="307"/>
      <c r="IH6" s="307"/>
      <c r="II6" s="308"/>
      <c r="IJ6" s="306" t="str">
        <f ca="1">FDate(IJ5)</f>
        <v>1399/05/05</v>
      </c>
      <c r="IK6" s="307"/>
      <c r="IL6" s="307"/>
      <c r="IM6" s="307"/>
      <c r="IN6" s="308"/>
      <c r="IO6" s="306" t="str">
        <f ca="1">FDate(IO5)</f>
        <v>1399/05/10</v>
      </c>
      <c r="IP6" s="307"/>
      <c r="IQ6" s="307"/>
      <c r="IR6" s="307"/>
      <c r="IS6" s="308"/>
      <c r="IT6" s="306" t="str">
        <f ca="1">FDate(IT5)</f>
        <v>1399/05/15</v>
      </c>
      <c r="IU6" s="307"/>
      <c r="IV6" s="307"/>
      <c r="IW6" s="307"/>
      <c r="IX6" s="308"/>
      <c r="IY6" s="18"/>
      <c r="IZ6" s="28"/>
      <c r="JA6" s="152" t="s">
        <v>7</v>
      </c>
      <c r="JB6" s="152" t="s">
        <v>55</v>
      </c>
      <c r="JC6" s="152" t="s">
        <v>56</v>
      </c>
      <c r="JD6" s="148"/>
    </row>
    <row r="7" spans="1:264" s="125" customFormat="1">
      <c r="A7" s="123"/>
      <c r="B7" s="124"/>
      <c r="D7" s="126"/>
      <c r="F7" s="126"/>
      <c r="I7" s="127"/>
      <c r="J7" s="128"/>
      <c r="K7" s="129"/>
      <c r="L7" s="127"/>
      <c r="N7" s="127"/>
      <c r="IY7" s="19"/>
      <c r="IZ7" s="29"/>
      <c r="JA7" s="154"/>
      <c r="JB7" s="154"/>
      <c r="JC7" s="154"/>
      <c r="JD7" s="155"/>
    </row>
    <row r="8" spans="1:264" s="231" customFormat="1" ht="18">
      <c r="A8" s="220" t="s">
        <v>39</v>
      </c>
      <c r="B8" s="221" t="s">
        <v>134</v>
      </c>
      <c r="C8" s="222"/>
      <c r="D8" s="223" t="s">
        <v>135</v>
      </c>
      <c r="E8" s="130">
        <f t="shared" ref="E8:E26" si="4">VALUE(J_normdate(D8))</f>
        <v>13981001</v>
      </c>
      <c r="F8" s="224" t="str">
        <f>J_SUBDAY(J_ADDDAY(D8,L8,1),1,1)</f>
        <v>1398/12/26</v>
      </c>
      <c r="G8" s="132">
        <f t="shared" ref="G8:G26" si="5">VALUE(J_normdate(F8))</f>
        <v>13981226</v>
      </c>
      <c r="H8" s="225"/>
      <c r="I8" s="226"/>
      <c r="J8" s="227"/>
      <c r="K8" s="133" t="e">
        <f>SUM(K9,K17,K30,K50,K56,K63,#REF!)</f>
        <v>#REF!</v>
      </c>
      <c r="L8" s="228">
        <f>J_DIFF(D8,FDate(MAX(G9:G9701)))+1</f>
        <v>86</v>
      </c>
      <c r="M8" s="229">
        <f>(L9*M9+L17*M17+L30*M30+L50*M50+L56*M56+L63*M63+L69*M69)/SUM(L9,L17,L30,L50,L56,L63,L69)</f>
        <v>0.10975825722575881</v>
      </c>
      <c r="N8" s="230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71</v>
      </c>
      <c r="O8" s="134" t="e">
        <f>SUM(O9,O17,O30,O50,O56,O63,O69,#REF!,#REF!,#REF!)</f>
        <v>#REF!</v>
      </c>
      <c r="P8" s="135" t="e">
        <f>VALUE(J_normdate(J_ADDDAY($D8,$O8,1)))</f>
        <v>#VALUE!</v>
      </c>
      <c r="Q8" s="131" t="e">
        <f t="shared" ref="Q8:Q13" si="6">L8-O8</f>
        <v>#REF!</v>
      </c>
      <c r="IY8" s="232"/>
      <c r="IZ8" s="233"/>
      <c r="JA8" s="234"/>
      <c r="JB8" s="234"/>
      <c r="JC8" s="234"/>
      <c r="JD8" s="235"/>
    </row>
    <row r="9" spans="1:264" s="136" customFormat="1" ht="22.5" customHeight="1">
      <c r="A9" s="201">
        <v>1</v>
      </c>
      <c r="B9" s="202" t="s">
        <v>108</v>
      </c>
      <c r="C9" s="203"/>
      <c r="D9" s="301" t="str">
        <f>D8</f>
        <v>1398/10/01</v>
      </c>
      <c r="E9" s="136">
        <f t="shared" si="4"/>
        <v>13981001</v>
      </c>
      <c r="F9" s="300" t="str">
        <f>J_SUBDAY(J_ADDDAY(D9,L9,1),1,1)</f>
        <v>1398/10/16</v>
      </c>
      <c r="G9" s="139">
        <f t="shared" si="5"/>
        <v>13981016</v>
      </c>
      <c r="H9" s="204"/>
      <c r="I9" s="205"/>
      <c r="J9" s="206">
        <f>j_WEEKDAY(D9,2)</f>
        <v>1</v>
      </c>
      <c r="K9" s="140">
        <f>SUM(K10:K13)</f>
        <v>0</v>
      </c>
      <c r="L9" s="207">
        <f>J_DIFF(D9,FDate(MAX(G10:G13)))+1</f>
        <v>16</v>
      </c>
      <c r="M9" s="208">
        <f>IF(SUM(L10:L16)&lt;&gt;0,SUMPRODUCT(L10:L16,M10:M16)/SUM(L10:L16),0)</f>
        <v>0.20833333333333334</v>
      </c>
      <c r="N9" s="209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14</v>
      </c>
      <c r="O9" s="135">
        <f t="shared" ref="O9:O18" si="7">ROUNDDOWN(M9*L9,0)</f>
        <v>3</v>
      </c>
      <c r="P9" s="135">
        <f>VALUE(J_normdate(J_ADDDAY($D9,$O9,1)))</f>
        <v>13981004</v>
      </c>
      <c r="Q9" s="138">
        <f t="shared" si="6"/>
        <v>13</v>
      </c>
      <c r="IY9" s="20"/>
      <c r="IZ9" s="30"/>
      <c r="JA9" s="156"/>
      <c r="JB9" s="156"/>
      <c r="JC9" s="156"/>
      <c r="JD9" s="157"/>
    </row>
    <row r="10" spans="1:264" s="159" customFormat="1" ht="34.5" customHeight="1">
      <c r="A10" s="172">
        <v>1.1000000000000001</v>
      </c>
      <c r="B10" s="186" t="s">
        <v>132</v>
      </c>
      <c r="C10" s="173" t="s">
        <v>104</v>
      </c>
      <c r="D10" s="295" t="str">
        <f>D9</f>
        <v>1398/10/01</v>
      </c>
      <c r="E10" s="136">
        <f t="shared" si="4"/>
        <v>13981001</v>
      </c>
      <c r="F10" s="296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1398/10/01</v>
      </c>
      <c r="G10" s="139">
        <f t="shared" si="5"/>
        <v>13981001</v>
      </c>
      <c r="H10" s="175"/>
      <c r="I10" s="176">
        <v>1</v>
      </c>
      <c r="J10" s="174">
        <f>j_WEEKDAY(D10,2)</f>
        <v>1</v>
      </c>
      <c r="K10" s="143">
        <f t="shared" ref="K10:K13" si="8">SUM(JA10:JC10)</f>
        <v>0</v>
      </c>
      <c r="L10" s="177">
        <f t="shared" ref="L10:L16" si="9">J_DIFF(D10,F10)+1</f>
        <v>1</v>
      </c>
      <c r="M10" s="178">
        <v>1</v>
      </c>
      <c r="N10" s="179">
        <v>1</v>
      </c>
      <c r="O10" s="144">
        <f t="shared" si="7"/>
        <v>1</v>
      </c>
      <c r="P10" s="144">
        <f>VALUE(J_normdate(J_ADDDAY($D10,$O10,1)))</f>
        <v>13981002</v>
      </c>
      <c r="Q10" s="142">
        <f t="shared" si="6"/>
        <v>0</v>
      </c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  <c r="CK10" s="141"/>
      <c r="CL10" s="141"/>
      <c r="CM10" s="141"/>
      <c r="CN10" s="141"/>
      <c r="CO10" s="141"/>
      <c r="CP10" s="141"/>
      <c r="CQ10" s="141"/>
      <c r="CR10" s="141"/>
      <c r="CS10" s="141"/>
      <c r="CT10" s="141"/>
      <c r="CU10" s="141"/>
      <c r="CV10" s="141"/>
      <c r="CW10" s="141"/>
      <c r="CX10" s="141"/>
      <c r="CY10" s="141"/>
      <c r="CZ10" s="141"/>
      <c r="DA10" s="141"/>
      <c r="DB10" s="141"/>
      <c r="DC10" s="141"/>
      <c r="DD10" s="141"/>
      <c r="DE10" s="141"/>
      <c r="DF10" s="141"/>
      <c r="DG10" s="141"/>
      <c r="DH10" s="141"/>
      <c r="DI10" s="141"/>
      <c r="DJ10" s="141"/>
      <c r="DK10" s="141"/>
      <c r="DL10" s="141"/>
      <c r="DM10" s="141"/>
      <c r="DN10" s="141"/>
      <c r="DO10" s="141"/>
      <c r="DP10" s="141"/>
      <c r="DQ10" s="141"/>
      <c r="DR10" s="141"/>
      <c r="DS10" s="141"/>
      <c r="DT10" s="141"/>
      <c r="DU10" s="141"/>
      <c r="DV10" s="141"/>
      <c r="DW10" s="141"/>
      <c r="DX10" s="141"/>
      <c r="DY10" s="141"/>
      <c r="DZ10" s="141"/>
      <c r="EA10" s="141"/>
      <c r="EB10" s="141"/>
      <c r="EC10" s="141"/>
      <c r="ED10" s="141"/>
      <c r="EE10" s="141"/>
      <c r="EF10" s="141"/>
      <c r="EG10" s="141"/>
      <c r="EH10" s="141"/>
      <c r="EI10" s="141"/>
      <c r="EJ10" s="141"/>
      <c r="EK10" s="141"/>
      <c r="EL10" s="141"/>
      <c r="EM10" s="141"/>
      <c r="EN10" s="141"/>
      <c r="EO10" s="141"/>
      <c r="EP10" s="141"/>
      <c r="EQ10" s="141"/>
      <c r="ER10" s="141"/>
      <c r="ES10" s="141"/>
      <c r="ET10" s="141"/>
      <c r="EU10" s="141"/>
      <c r="EV10" s="141"/>
      <c r="EW10" s="141"/>
      <c r="EX10" s="141"/>
      <c r="EY10" s="141"/>
      <c r="EZ10" s="141"/>
      <c r="FA10" s="141"/>
      <c r="FB10" s="141"/>
      <c r="FC10" s="141"/>
      <c r="FD10" s="141"/>
      <c r="FE10" s="141"/>
      <c r="FF10" s="141"/>
      <c r="FG10" s="141"/>
      <c r="FH10" s="141"/>
      <c r="FI10" s="141"/>
      <c r="FJ10" s="141"/>
      <c r="FK10" s="141"/>
      <c r="FL10" s="141"/>
      <c r="FM10" s="141"/>
      <c r="FN10" s="141"/>
      <c r="FO10" s="141"/>
      <c r="FP10" s="141"/>
      <c r="FQ10" s="141"/>
      <c r="FR10" s="141"/>
      <c r="FS10" s="141"/>
      <c r="FT10" s="141"/>
      <c r="FU10" s="141"/>
      <c r="FV10" s="141"/>
      <c r="FW10" s="141"/>
      <c r="FX10" s="141"/>
      <c r="FY10" s="141"/>
      <c r="FZ10" s="141"/>
      <c r="GA10" s="141"/>
      <c r="GB10" s="141"/>
      <c r="GC10" s="141"/>
      <c r="GD10" s="141"/>
      <c r="GE10" s="141"/>
      <c r="GF10" s="141"/>
      <c r="GG10" s="141"/>
      <c r="GH10" s="141"/>
      <c r="GI10" s="141"/>
      <c r="GJ10" s="141"/>
      <c r="GK10" s="141"/>
      <c r="GL10" s="141"/>
      <c r="GM10" s="141"/>
      <c r="GN10" s="141"/>
      <c r="GO10" s="141"/>
      <c r="GP10" s="141"/>
      <c r="GQ10" s="141"/>
      <c r="GR10" s="141"/>
      <c r="GS10" s="141"/>
      <c r="GT10" s="141"/>
      <c r="GU10" s="141"/>
      <c r="GV10" s="141"/>
      <c r="GW10" s="141"/>
      <c r="GX10" s="141"/>
      <c r="GY10" s="141"/>
      <c r="GZ10" s="141"/>
      <c r="HA10" s="141"/>
      <c r="HB10" s="141"/>
      <c r="HC10" s="141"/>
      <c r="HD10" s="141"/>
      <c r="HE10" s="141"/>
      <c r="HF10" s="141"/>
      <c r="HG10" s="141"/>
      <c r="HH10" s="141"/>
      <c r="HI10" s="141"/>
      <c r="HJ10" s="141"/>
      <c r="HK10" s="141"/>
      <c r="HL10" s="141"/>
      <c r="HM10" s="141"/>
      <c r="HN10" s="141"/>
      <c r="HO10" s="141"/>
      <c r="HP10" s="141"/>
      <c r="HQ10" s="141"/>
      <c r="HR10" s="141"/>
      <c r="HS10" s="141"/>
      <c r="HT10" s="141"/>
      <c r="HU10" s="141"/>
      <c r="HV10" s="141"/>
      <c r="HW10" s="141"/>
      <c r="HX10" s="141"/>
      <c r="HY10" s="141"/>
      <c r="HZ10" s="141"/>
      <c r="IA10" s="141"/>
      <c r="IB10" s="141"/>
      <c r="IC10" s="141"/>
      <c r="ID10" s="141"/>
      <c r="IE10" s="141"/>
      <c r="IF10" s="141"/>
      <c r="IG10" s="141"/>
      <c r="IH10" s="141"/>
      <c r="II10" s="141"/>
      <c r="IJ10" s="141"/>
      <c r="IK10" s="141"/>
      <c r="IL10" s="141"/>
      <c r="IM10" s="141"/>
      <c r="IN10" s="141"/>
      <c r="IO10" s="141"/>
      <c r="IP10" s="141"/>
      <c r="IQ10" s="141"/>
      <c r="IR10" s="141"/>
      <c r="IS10" s="141"/>
      <c r="IT10" s="141"/>
      <c r="IU10" s="141"/>
      <c r="IV10" s="141"/>
      <c r="IW10" s="141"/>
      <c r="IX10" s="141"/>
      <c r="IY10" s="21">
        <v>1</v>
      </c>
      <c r="IZ10" s="31">
        <f>(TEXT(K10,"[m]")/60)*VLOOKUP(IY10,'Income Person-hours'!A$2:C$5,3,FALSE)</f>
        <v>0</v>
      </c>
      <c r="JA10" s="91"/>
      <c r="JB10" s="91"/>
      <c r="JC10" s="91"/>
      <c r="JD10" s="158">
        <f>SUM((TEXT(JA10,"[M]")/60)*'Income Person-hours'!$D$3,(TEXT(JB10,"[M]")/60)*'Income Person-hours'!$D$4,(TEXT(JC10,"[M]")/60)*'Income Person-hours'!$D$5)</f>
        <v>0</v>
      </c>
    </row>
    <row r="11" spans="1:264" s="159" customFormat="1" ht="13.5">
      <c r="A11" s="172">
        <v>1.2</v>
      </c>
      <c r="B11" s="186" t="s">
        <v>124</v>
      </c>
      <c r="C11" s="173" t="s">
        <v>104</v>
      </c>
      <c r="D11" s="295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1398/10/01</v>
      </c>
      <c r="E11" s="136">
        <f t="shared" si="4"/>
        <v>13981001</v>
      </c>
      <c r="F11" s="296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1398/10/03</v>
      </c>
      <c r="G11" s="139">
        <f t="shared" si="5"/>
        <v>13981003</v>
      </c>
      <c r="H11" s="175"/>
      <c r="I11" s="176">
        <v>1.1000000000000001</v>
      </c>
      <c r="J11" s="174">
        <f>j_WEEKDAY(D11,2)</f>
        <v>1</v>
      </c>
      <c r="K11" s="143">
        <f t="shared" si="8"/>
        <v>0</v>
      </c>
      <c r="L11" s="177">
        <f t="shared" si="9"/>
        <v>3</v>
      </c>
      <c r="M11" s="178">
        <v>1</v>
      </c>
      <c r="N11" s="179">
        <v>3</v>
      </c>
      <c r="O11" s="144">
        <f t="shared" si="7"/>
        <v>3</v>
      </c>
      <c r="P11" s="144">
        <f>VALUE(J_normdate(J_ADDDAY($D11,$O11,1)))</f>
        <v>13981004</v>
      </c>
      <c r="Q11" s="142">
        <f t="shared" si="6"/>
        <v>0</v>
      </c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1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1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1"/>
      <c r="DZ11" s="141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21">
        <v>2</v>
      </c>
      <c r="IZ11" s="31">
        <f>(TEXT(K11,"[m]")/60)*VLOOKUP(IY11,'Income Person-hours'!A$2:C$5,3,FALSE)</f>
        <v>0</v>
      </c>
      <c r="JA11" s="91"/>
      <c r="JB11" s="91"/>
      <c r="JC11" s="91"/>
      <c r="JD11" s="160">
        <f>SUM((TEXT(JA11,"[M]")/60)*'Income Person-hours'!$D$3,(TEXT(JB11,"[M]")/60)*'Income Person-hours'!$D$4,(TEXT(JC11,"[M]")/60)*'Income Person-hours'!$D$5)</f>
        <v>0</v>
      </c>
    </row>
    <row r="12" spans="1:264" s="159" customFormat="1" ht="13.5">
      <c r="A12" s="172">
        <v>1.3</v>
      </c>
      <c r="B12" s="186" t="s">
        <v>105</v>
      </c>
      <c r="C12" s="173" t="s">
        <v>72</v>
      </c>
      <c r="D12" s="295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1398/10/01</v>
      </c>
      <c r="E12" s="136">
        <f t="shared" si="4"/>
        <v>13981001</v>
      </c>
      <c r="F12" s="296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1398/10/16</v>
      </c>
      <c r="G12" s="139">
        <f t="shared" si="5"/>
        <v>13981016</v>
      </c>
      <c r="H12" s="175"/>
      <c r="I12" s="176">
        <v>1.1000000000000001</v>
      </c>
      <c r="J12" s="174">
        <f>j_WEEKDAY(D12,2)</f>
        <v>1</v>
      </c>
      <c r="K12" s="143">
        <f t="shared" si="8"/>
        <v>0</v>
      </c>
      <c r="L12" s="177">
        <f t="shared" si="9"/>
        <v>16</v>
      </c>
      <c r="M12" s="178">
        <v>0</v>
      </c>
      <c r="N12" s="179">
        <v>14</v>
      </c>
      <c r="O12" s="144">
        <f t="shared" si="7"/>
        <v>0</v>
      </c>
      <c r="P12" s="144">
        <f>VALUE(J_normdate(J_ADDDAY($D12,$O12,1)))</f>
        <v>13981001</v>
      </c>
      <c r="Q12" s="142">
        <f t="shared" si="6"/>
        <v>16</v>
      </c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  <c r="AO12" s="141"/>
      <c r="AP12" s="141"/>
      <c r="AQ12" s="141"/>
      <c r="AR12" s="141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41"/>
      <c r="BD12" s="141"/>
      <c r="BE12" s="141"/>
      <c r="BF12" s="141"/>
      <c r="BG12" s="141"/>
      <c r="BH12" s="141"/>
      <c r="BI12" s="141"/>
      <c r="BJ12" s="141"/>
      <c r="BK12" s="141"/>
      <c r="BL12" s="141"/>
      <c r="BM12" s="141"/>
      <c r="BN12" s="141"/>
      <c r="BO12" s="141"/>
      <c r="BP12" s="141"/>
      <c r="BQ12" s="141"/>
      <c r="BR12" s="141"/>
      <c r="BS12" s="141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  <c r="CK12" s="141"/>
      <c r="CL12" s="141"/>
      <c r="CM12" s="141"/>
      <c r="CN12" s="141"/>
      <c r="CO12" s="141"/>
      <c r="CP12" s="141"/>
      <c r="CQ12" s="141"/>
      <c r="CR12" s="141"/>
      <c r="CS12" s="141"/>
      <c r="CT12" s="141"/>
      <c r="CU12" s="141"/>
      <c r="CV12" s="141"/>
      <c r="CW12" s="141"/>
      <c r="CX12" s="141"/>
      <c r="CY12" s="141"/>
      <c r="CZ12" s="141"/>
      <c r="DA12" s="141"/>
      <c r="DB12" s="141"/>
      <c r="DC12" s="141"/>
      <c r="DD12" s="141"/>
      <c r="DE12" s="141"/>
      <c r="DF12" s="141"/>
      <c r="DG12" s="141"/>
      <c r="DH12" s="141"/>
      <c r="DI12" s="141"/>
      <c r="DJ12" s="141"/>
      <c r="DK12" s="141"/>
      <c r="DL12" s="141"/>
      <c r="DM12" s="141"/>
      <c r="DN12" s="141"/>
      <c r="DO12" s="141"/>
      <c r="DP12" s="141"/>
      <c r="DQ12" s="141"/>
      <c r="DR12" s="141"/>
      <c r="DS12" s="141"/>
      <c r="DT12" s="141"/>
      <c r="DU12" s="141"/>
      <c r="DV12" s="141"/>
      <c r="DW12" s="141"/>
      <c r="DX12" s="141"/>
      <c r="DY12" s="141"/>
      <c r="DZ12" s="141"/>
      <c r="EA12" s="141"/>
      <c r="EB12" s="141"/>
      <c r="EC12" s="141"/>
      <c r="ED12" s="141"/>
      <c r="EE12" s="141"/>
      <c r="EF12" s="141"/>
      <c r="EG12" s="141"/>
      <c r="EH12" s="141"/>
      <c r="EI12" s="141"/>
      <c r="EJ12" s="141"/>
      <c r="EK12" s="141"/>
      <c r="EL12" s="141"/>
      <c r="EM12" s="141"/>
      <c r="EN12" s="141"/>
      <c r="EO12" s="141"/>
      <c r="EP12" s="141"/>
      <c r="EQ12" s="141"/>
      <c r="ER12" s="141"/>
      <c r="ES12" s="141"/>
      <c r="ET12" s="141"/>
      <c r="EU12" s="141"/>
      <c r="EV12" s="141"/>
      <c r="EW12" s="141"/>
      <c r="EX12" s="141"/>
      <c r="EY12" s="141"/>
      <c r="EZ12" s="141"/>
      <c r="FA12" s="141"/>
      <c r="FB12" s="141"/>
      <c r="FC12" s="141"/>
      <c r="FD12" s="141"/>
      <c r="FE12" s="141"/>
      <c r="FF12" s="141"/>
      <c r="FG12" s="141"/>
      <c r="FH12" s="141"/>
      <c r="FI12" s="141"/>
      <c r="FJ12" s="141"/>
      <c r="FK12" s="141"/>
      <c r="FL12" s="141"/>
      <c r="FM12" s="141"/>
      <c r="FN12" s="141"/>
      <c r="FO12" s="141"/>
      <c r="FP12" s="141"/>
      <c r="FQ12" s="141"/>
      <c r="FR12" s="141"/>
      <c r="FS12" s="141"/>
      <c r="FT12" s="141"/>
      <c r="FU12" s="141"/>
      <c r="FV12" s="141"/>
      <c r="FW12" s="141"/>
      <c r="FX12" s="141"/>
      <c r="FY12" s="141"/>
      <c r="FZ12" s="141"/>
      <c r="GA12" s="141"/>
      <c r="GB12" s="141"/>
      <c r="GC12" s="141"/>
      <c r="GD12" s="141"/>
      <c r="GE12" s="141"/>
      <c r="GF12" s="141"/>
      <c r="GG12" s="141"/>
      <c r="GH12" s="141"/>
      <c r="GI12" s="141"/>
      <c r="GJ12" s="141"/>
      <c r="GK12" s="141"/>
      <c r="GL12" s="141"/>
      <c r="GM12" s="141"/>
      <c r="GN12" s="141"/>
      <c r="GO12" s="141"/>
      <c r="GP12" s="141"/>
      <c r="GQ12" s="141"/>
      <c r="GR12" s="141"/>
      <c r="GS12" s="141"/>
      <c r="GT12" s="141"/>
      <c r="GU12" s="141"/>
      <c r="GV12" s="141"/>
      <c r="GW12" s="141"/>
      <c r="GX12" s="141"/>
      <c r="GY12" s="141"/>
      <c r="GZ12" s="141"/>
      <c r="HA12" s="141"/>
      <c r="HB12" s="141"/>
      <c r="HC12" s="141"/>
      <c r="HD12" s="141"/>
      <c r="HE12" s="141"/>
      <c r="HF12" s="141"/>
      <c r="HG12" s="141"/>
      <c r="HH12" s="141"/>
      <c r="HI12" s="141"/>
      <c r="HJ12" s="141"/>
      <c r="HK12" s="141"/>
      <c r="HL12" s="141"/>
      <c r="HM12" s="141"/>
      <c r="HN12" s="141"/>
      <c r="HO12" s="141"/>
      <c r="HP12" s="141"/>
      <c r="HQ12" s="141"/>
      <c r="HR12" s="141"/>
      <c r="HS12" s="141"/>
      <c r="HT12" s="141"/>
      <c r="HU12" s="141"/>
      <c r="HV12" s="141"/>
      <c r="HW12" s="141"/>
      <c r="HX12" s="141"/>
      <c r="HY12" s="141"/>
      <c r="HZ12" s="141"/>
      <c r="IA12" s="141"/>
      <c r="IB12" s="141"/>
      <c r="IC12" s="141"/>
      <c r="ID12" s="141"/>
      <c r="IE12" s="141"/>
      <c r="IF12" s="141"/>
      <c r="IG12" s="141"/>
      <c r="IH12" s="141"/>
      <c r="II12" s="141"/>
      <c r="IJ12" s="141"/>
      <c r="IK12" s="141"/>
      <c r="IL12" s="141"/>
      <c r="IM12" s="141"/>
      <c r="IN12" s="141"/>
      <c r="IO12" s="141"/>
      <c r="IP12" s="141"/>
      <c r="IQ12" s="141"/>
      <c r="IR12" s="141"/>
      <c r="IS12" s="141"/>
      <c r="IT12" s="141"/>
      <c r="IU12" s="141"/>
      <c r="IV12" s="141"/>
      <c r="IW12" s="141"/>
      <c r="IX12" s="141"/>
      <c r="IY12" s="21">
        <v>2</v>
      </c>
      <c r="IZ12" s="31">
        <f>(TEXT(K12,"[m]")/60)*VLOOKUP(IY12,'Income Person-hours'!A$2:C$5,3,FALSE)</f>
        <v>0</v>
      </c>
      <c r="JA12" s="91"/>
      <c r="JB12" s="91"/>
      <c r="JC12" s="91"/>
      <c r="JD12" s="160">
        <f>SUM((TEXT(JA12,"[M]")/60)*'Income Person-hours'!$D$3,(TEXT(JB12,"[M]")/60)*'Income Person-hours'!$D$4,(TEXT(JC12,"[M]")/60)*'Income Person-hours'!$D$5)</f>
        <v>0</v>
      </c>
    </row>
    <row r="13" spans="1:264" s="159" customFormat="1" ht="13.5">
      <c r="A13" s="172">
        <v>1.4</v>
      </c>
      <c r="B13" s="186" t="s">
        <v>136</v>
      </c>
      <c r="C13" s="173" t="s">
        <v>103</v>
      </c>
      <c r="D13" s="180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1398/09/26</v>
      </c>
      <c r="E13" s="136">
        <f t="shared" si="4"/>
        <v>13980926</v>
      </c>
      <c r="F13" s="189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1398/09/26</v>
      </c>
      <c r="G13" s="139">
        <f t="shared" si="5"/>
        <v>13980926</v>
      </c>
      <c r="H13" s="175">
        <v>-5</v>
      </c>
      <c r="I13" s="176">
        <v>1.1000000000000001</v>
      </c>
      <c r="J13" s="174">
        <f>j_WEEKDAY(D13,2)</f>
        <v>3</v>
      </c>
      <c r="K13" s="143">
        <f t="shared" si="8"/>
        <v>0</v>
      </c>
      <c r="L13" s="177">
        <f t="shared" si="9"/>
        <v>1</v>
      </c>
      <c r="M13" s="178">
        <v>1</v>
      </c>
      <c r="N13" s="179">
        <v>1</v>
      </c>
      <c r="O13" s="144">
        <f t="shared" si="7"/>
        <v>1</v>
      </c>
      <c r="P13" s="144">
        <f>VALUE(J_normdate(J_ADDDAY($D13,$O13,1)))</f>
        <v>13980927</v>
      </c>
      <c r="Q13" s="142">
        <f t="shared" si="6"/>
        <v>0</v>
      </c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1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  <c r="CK13" s="141"/>
      <c r="CL13" s="141"/>
      <c r="CM13" s="141"/>
      <c r="CN13" s="141"/>
      <c r="CO13" s="141"/>
      <c r="CP13" s="141"/>
      <c r="CQ13" s="141"/>
      <c r="CR13" s="141"/>
      <c r="CS13" s="141"/>
      <c r="CT13" s="141"/>
      <c r="CU13" s="141"/>
      <c r="CV13" s="141"/>
      <c r="CW13" s="141"/>
      <c r="CX13" s="141"/>
      <c r="CY13" s="141"/>
      <c r="CZ13" s="141"/>
      <c r="DA13" s="141"/>
      <c r="DB13" s="141"/>
      <c r="DC13" s="141"/>
      <c r="DD13" s="141"/>
      <c r="DE13" s="141"/>
      <c r="DF13" s="141"/>
      <c r="DG13" s="141"/>
      <c r="DH13" s="141"/>
      <c r="DI13" s="141"/>
      <c r="DJ13" s="141"/>
      <c r="DK13" s="141"/>
      <c r="DL13" s="141"/>
      <c r="DM13" s="141"/>
      <c r="DN13" s="141"/>
      <c r="DO13" s="141"/>
      <c r="DP13" s="141"/>
      <c r="DQ13" s="141"/>
      <c r="DR13" s="141"/>
      <c r="DS13" s="141"/>
      <c r="DT13" s="141"/>
      <c r="DU13" s="141"/>
      <c r="DV13" s="141"/>
      <c r="DW13" s="141"/>
      <c r="DX13" s="141"/>
      <c r="DY13" s="141"/>
      <c r="DZ13" s="141"/>
      <c r="EA13" s="141"/>
      <c r="EB13" s="141"/>
      <c r="EC13" s="141"/>
      <c r="ED13" s="141"/>
      <c r="EE13" s="141"/>
      <c r="EF13" s="141"/>
      <c r="EG13" s="141"/>
      <c r="EH13" s="141"/>
      <c r="EI13" s="141"/>
      <c r="EJ13" s="141"/>
      <c r="EK13" s="141"/>
      <c r="EL13" s="141"/>
      <c r="EM13" s="141"/>
      <c r="EN13" s="141"/>
      <c r="EO13" s="141"/>
      <c r="EP13" s="141"/>
      <c r="EQ13" s="141"/>
      <c r="ER13" s="141"/>
      <c r="ES13" s="141"/>
      <c r="ET13" s="141"/>
      <c r="EU13" s="141"/>
      <c r="EV13" s="141"/>
      <c r="EW13" s="141"/>
      <c r="EX13" s="141"/>
      <c r="EY13" s="141"/>
      <c r="EZ13" s="141"/>
      <c r="FA13" s="141"/>
      <c r="FB13" s="141"/>
      <c r="FC13" s="141"/>
      <c r="FD13" s="141"/>
      <c r="FE13" s="141"/>
      <c r="FF13" s="141"/>
      <c r="FG13" s="141"/>
      <c r="FH13" s="141"/>
      <c r="FI13" s="141"/>
      <c r="FJ13" s="141"/>
      <c r="FK13" s="141"/>
      <c r="FL13" s="141"/>
      <c r="FM13" s="141"/>
      <c r="FN13" s="141"/>
      <c r="FO13" s="141"/>
      <c r="FP13" s="141"/>
      <c r="FQ13" s="141"/>
      <c r="FR13" s="141"/>
      <c r="FS13" s="141"/>
      <c r="FT13" s="141"/>
      <c r="FU13" s="141"/>
      <c r="FV13" s="141"/>
      <c r="FW13" s="141"/>
      <c r="FX13" s="141"/>
      <c r="FY13" s="141"/>
      <c r="FZ13" s="141"/>
      <c r="GA13" s="141"/>
      <c r="GB13" s="141"/>
      <c r="GC13" s="141"/>
      <c r="GD13" s="141"/>
      <c r="GE13" s="141"/>
      <c r="GF13" s="141"/>
      <c r="GG13" s="141"/>
      <c r="GH13" s="141"/>
      <c r="GI13" s="141"/>
      <c r="GJ13" s="141"/>
      <c r="GK13" s="141"/>
      <c r="GL13" s="141"/>
      <c r="GM13" s="141"/>
      <c r="GN13" s="141"/>
      <c r="GO13" s="141"/>
      <c r="GP13" s="141"/>
      <c r="GQ13" s="141"/>
      <c r="GR13" s="141"/>
      <c r="GS13" s="141"/>
      <c r="GT13" s="141"/>
      <c r="GU13" s="141"/>
      <c r="GV13" s="141"/>
      <c r="GW13" s="141"/>
      <c r="GX13" s="141"/>
      <c r="GY13" s="141"/>
      <c r="GZ13" s="141"/>
      <c r="HA13" s="141"/>
      <c r="HB13" s="141"/>
      <c r="HC13" s="141"/>
      <c r="HD13" s="141"/>
      <c r="HE13" s="141"/>
      <c r="HF13" s="141"/>
      <c r="HG13" s="141"/>
      <c r="HH13" s="141"/>
      <c r="HI13" s="141"/>
      <c r="HJ13" s="141"/>
      <c r="HK13" s="141"/>
      <c r="HL13" s="141"/>
      <c r="HM13" s="141"/>
      <c r="HN13" s="141"/>
      <c r="HO13" s="141"/>
      <c r="HP13" s="141"/>
      <c r="HQ13" s="141"/>
      <c r="HR13" s="141"/>
      <c r="HS13" s="141"/>
      <c r="HT13" s="141"/>
      <c r="HU13" s="141"/>
      <c r="HV13" s="141"/>
      <c r="HW13" s="141"/>
      <c r="HX13" s="141"/>
      <c r="HY13" s="141"/>
      <c r="HZ13" s="141"/>
      <c r="IA13" s="141"/>
      <c r="IB13" s="141"/>
      <c r="IC13" s="141"/>
      <c r="ID13" s="141"/>
      <c r="IE13" s="141"/>
      <c r="IF13" s="141"/>
      <c r="IG13" s="141"/>
      <c r="IH13" s="141"/>
      <c r="II13" s="141"/>
      <c r="IJ13" s="141"/>
      <c r="IK13" s="141"/>
      <c r="IL13" s="141"/>
      <c r="IM13" s="141"/>
      <c r="IN13" s="141"/>
      <c r="IO13" s="141"/>
      <c r="IP13" s="141"/>
      <c r="IQ13" s="141"/>
      <c r="IR13" s="141"/>
      <c r="IS13" s="141"/>
      <c r="IT13" s="141"/>
      <c r="IU13" s="141"/>
      <c r="IV13" s="141"/>
      <c r="IW13" s="141"/>
      <c r="IX13" s="141"/>
      <c r="IY13" s="21">
        <v>1</v>
      </c>
      <c r="IZ13" s="31">
        <f>(TEXT(K13,"[m]")/60)*VLOOKUP(IY13,'Income Person-hours'!A$2:C$5,3,FALSE)</f>
        <v>0</v>
      </c>
      <c r="JA13" s="91"/>
      <c r="JB13" s="91"/>
      <c r="JC13" s="91"/>
      <c r="JD13" s="160">
        <f>SUM((TEXT(JA13,"[M]")/60)*'Income Person-hours'!$D$3,(TEXT(JB13,"[M]")/60)*'Income Person-hours'!$D$4,(TEXT(JC13,"[M]")/60)*'Income Person-hours'!$D$5)</f>
        <v>0</v>
      </c>
    </row>
    <row r="14" spans="1:264" s="159" customFormat="1" ht="32.25" customHeight="1">
      <c r="A14" s="172">
        <v>1.5</v>
      </c>
      <c r="B14" s="186" t="s">
        <v>138</v>
      </c>
      <c r="C14" s="173" t="s">
        <v>103</v>
      </c>
      <c r="D14" s="180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1398/10/17</v>
      </c>
      <c r="E14" s="136">
        <f t="shared" si="4"/>
        <v>13981017</v>
      </c>
      <c r="F14" s="189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1398/10/17</v>
      </c>
      <c r="G14" s="139">
        <f t="shared" si="5"/>
        <v>13981017</v>
      </c>
      <c r="H14" s="175">
        <v>21</v>
      </c>
      <c r="I14" s="176">
        <v>1.4</v>
      </c>
      <c r="J14" s="174">
        <f>j_WEEKDAY(D14,2)</f>
        <v>3</v>
      </c>
      <c r="K14" s="143"/>
      <c r="L14" s="177">
        <f t="shared" si="9"/>
        <v>1</v>
      </c>
      <c r="M14" s="178">
        <v>0</v>
      </c>
      <c r="N14" s="179">
        <v>1</v>
      </c>
      <c r="O14" s="144"/>
      <c r="P14" s="144"/>
      <c r="Q14" s="142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1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  <c r="CK14" s="141"/>
      <c r="CL14" s="141"/>
      <c r="CM14" s="141"/>
      <c r="CN14" s="141"/>
      <c r="CO14" s="141"/>
      <c r="CP14" s="141"/>
      <c r="CQ14" s="141"/>
      <c r="CR14" s="141"/>
      <c r="CS14" s="141"/>
      <c r="CT14" s="141"/>
      <c r="CU14" s="141"/>
      <c r="CV14" s="141"/>
      <c r="CW14" s="141"/>
      <c r="CX14" s="141"/>
      <c r="CY14" s="141"/>
      <c r="CZ14" s="141"/>
      <c r="DA14" s="141"/>
      <c r="DB14" s="141"/>
      <c r="DC14" s="141"/>
      <c r="DD14" s="141"/>
      <c r="DE14" s="141"/>
      <c r="DF14" s="141"/>
      <c r="DG14" s="141"/>
      <c r="DH14" s="141"/>
      <c r="DI14" s="141"/>
      <c r="DJ14" s="141"/>
      <c r="DK14" s="141"/>
      <c r="DL14" s="141"/>
      <c r="DM14" s="141"/>
      <c r="DN14" s="141"/>
      <c r="DO14" s="141"/>
      <c r="DP14" s="141"/>
      <c r="DQ14" s="141"/>
      <c r="DR14" s="141"/>
      <c r="DS14" s="141"/>
      <c r="DT14" s="141"/>
      <c r="DU14" s="141"/>
      <c r="DV14" s="141"/>
      <c r="DW14" s="141"/>
      <c r="DX14" s="141"/>
      <c r="DY14" s="141"/>
      <c r="DZ14" s="141"/>
      <c r="EA14" s="141"/>
      <c r="EB14" s="141"/>
      <c r="EC14" s="141"/>
      <c r="ED14" s="141"/>
      <c r="EE14" s="141"/>
      <c r="EF14" s="141"/>
      <c r="EG14" s="141"/>
      <c r="EH14" s="141"/>
      <c r="EI14" s="141"/>
      <c r="EJ14" s="141"/>
      <c r="EK14" s="141"/>
      <c r="EL14" s="141"/>
      <c r="EM14" s="141"/>
      <c r="EN14" s="141"/>
      <c r="EO14" s="141"/>
      <c r="EP14" s="141"/>
      <c r="EQ14" s="141"/>
      <c r="ER14" s="141"/>
      <c r="ES14" s="141"/>
      <c r="ET14" s="141"/>
      <c r="EU14" s="141"/>
      <c r="EV14" s="141"/>
      <c r="EW14" s="141"/>
      <c r="EX14" s="141"/>
      <c r="EY14" s="141"/>
      <c r="EZ14" s="141"/>
      <c r="FA14" s="141"/>
      <c r="FB14" s="141"/>
      <c r="FC14" s="141"/>
      <c r="FD14" s="141"/>
      <c r="FE14" s="141"/>
      <c r="FF14" s="141"/>
      <c r="FG14" s="141"/>
      <c r="FH14" s="141"/>
      <c r="FI14" s="141"/>
      <c r="FJ14" s="141"/>
      <c r="FK14" s="141"/>
      <c r="FL14" s="141"/>
      <c r="FM14" s="141"/>
      <c r="FN14" s="141"/>
      <c r="FO14" s="141"/>
      <c r="FP14" s="141"/>
      <c r="FQ14" s="141"/>
      <c r="FR14" s="141"/>
      <c r="FS14" s="141"/>
      <c r="FT14" s="141"/>
      <c r="FU14" s="141"/>
      <c r="FV14" s="141"/>
      <c r="FW14" s="141"/>
      <c r="FX14" s="141"/>
      <c r="FY14" s="141"/>
      <c r="FZ14" s="141"/>
      <c r="GA14" s="141"/>
      <c r="GB14" s="141"/>
      <c r="GC14" s="141"/>
      <c r="GD14" s="141"/>
      <c r="GE14" s="141"/>
      <c r="GF14" s="141"/>
      <c r="GG14" s="141"/>
      <c r="GH14" s="141"/>
      <c r="GI14" s="141"/>
      <c r="GJ14" s="141"/>
      <c r="GK14" s="141"/>
      <c r="GL14" s="141"/>
      <c r="GM14" s="141"/>
      <c r="GN14" s="141"/>
      <c r="GO14" s="141"/>
      <c r="GP14" s="141"/>
      <c r="GQ14" s="141"/>
      <c r="GR14" s="141"/>
      <c r="GS14" s="141"/>
      <c r="GT14" s="141"/>
      <c r="GU14" s="141"/>
      <c r="GV14" s="141"/>
      <c r="GW14" s="141"/>
      <c r="GX14" s="141"/>
      <c r="GY14" s="141"/>
      <c r="GZ14" s="141"/>
      <c r="HA14" s="141"/>
      <c r="HB14" s="141"/>
      <c r="HC14" s="141"/>
      <c r="HD14" s="141"/>
      <c r="HE14" s="141"/>
      <c r="HF14" s="141"/>
      <c r="HG14" s="141"/>
      <c r="HH14" s="141"/>
      <c r="HI14" s="141"/>
      <c r="HJ14" s="141"/>
      <c r="HK14" s="141"/>
      <c r="HL14" s="141"/>
      <c r="HM14" s="141"/>
      <c r="HN14" s="141"/>
      <c r="HO14" s="141"/>
      <c r="HP14" s="141"/>
      <c r="HQ14" s="141"/>
      <c r="HR14" s="141"/>
      <c r="HS14" s="141"/>
      <c r="HT14" s="141"/>
      <c r="HU14" s="141"/>
      <c r="HV14" s="141"/>
      <c r="HW14" s="141"/>
      <c r="HX14" s="141"/>
      <c r="HY14" s="141"/>
      <c r="HZ14" s="141"/>
      <c r="IA14" s="141"/>
      <c r="IB14" s="141"/>
      <c r="IC14" s="141"/>
      <c r="ID14" s="141"/>
      <c r="IE14" s="141"/>
      <c r="IF14" s="141"/>
      <c r="IG14" s="141"/>
      <c r="IH14" s="141"/>
      <c r="II14" s="141"/>
      <c r="IJ14" s="141"/>
      <c r="IK14" s="141"/>
      <c r="IL14" s="141"/>
      <c r="IM14" s="141"/>
      <c r="IN14" s="141"/>
      <c r="IO14" s="141"/>
      <c r="IP14" s="141"/>
      <c r="IQ14" s="141"/>
      <c r="IR14" s="141"/>
      <c r="IS14" s="141"/>
      <c r="IT14" s="141"/>
      <c r="IU14" s="141"/>
      <c r="IV14" s="141"/>
      <c r="IW14" s="141"/>
      <c r="IX14" s="141"/>
      <c r="IY14" s="21"/>
      <c r="IZ14" s="31"/>
      <c r="JA14" s="91"/>
      <c r="JB14" s="91"/>
      <c r="JC14" s="91"/>
      <c r="JD14" s="160"/>
    </row>
    <row r="15" spans="1:264" s="159" customFormat="1" ht="13.5">
      <c r="A15" s="197">
        <v>1.6</v>
      </c>
      <c r="B15" s="186" t="s">
        <v>140</v>
      </c>
      <c r="C15" s="173" t="s">
        <v>103</v>
      </c>
      <c r="D15" s="180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1398/10/21</v>
      </c>
      <c r="E15" s="136">
        <f t="shared" si="4"/>
        <v>13981021</v>
      </c>
      <c r="F15" s="189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1398/10/21</v>
      </c>
      <c r="G15" s="139">
        <f t="shared" si="5"/>
        <v>13981021</v>
      </c>
      <c r="H15" s="175">
        <v>3</v>
      </c>
      <c r="I15" s="176">
        <v>1.5</v>
      </c>
      <c r="J15" s="174">
        <f>j_WEEKDAY(D15,2)</f>
        <v>0</v>
      </c>
      <c r="K15" s="143"/>
      <c r="L15" s="177">
        <f t="shared" si="9"/>
        <v>1</v>
      </c>
      <c r="M15" s="178">
        <v>0</v>
      </c>
      <c r="N15" s="179">
        <v>1</v>
      </c>
      <c r="O15" s="144"/>
      <c r="P15" s="144"/>
      <c r="Q15" s="142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  <c r="CK15" s="141"/>
      <c r="CL15" s="141"/>
      <c r="CM15" s="141"/>
      <c r="CN15" s="141"/>
      <c r="CO15" s="141"/>
      <c r="CP15" s="141"/>
      <c r="CQ15" s="141"/>
      <c r="CR15" s="141"/>
      <c r="CS15" s="141"/>
      <c r="CT15" s="141"/>
      <c r="CU15" s="141"/>
      <c r="CV15" s="141"/>
      <c r="CW15" s="141"/>
      <c r="CX15" s="141"/>
      <c r="CY15" s="141"/>
      <c r="CZ15" s="141"/>
      <c r="DA15" s="141"/>
      <c r="DB15" s="141"/>
      <c r="DC15" s="141"/>
      <c r="DD15" s="141"/>
      <c r="DE15" s="141"/>
      <c r="DF15" s="141"/>
      <c r="DG15" s="141"/>
      <c r="DH15" s="141"/>
      <c r="DI15" s="141"/>
      <c r="DJ15" s="141"/>
      <c r="DK15" s="141"/>
      <c r="DL15" s="141"/>
      <c r="DM15" s="141"/>
      <c r="DN15" s="141"/>
      <c r="DO15" s="141"/>
      <c r="DP15" s="141"/>
      <c r="DQ15" s="141"/>
      <c r="DR15" s="141"/>
      <c r="DS15" s="141"/>
      <c r="DT15" s="141"/>
      <c r="DU15" s="141"/>
      <c r="DV15" s="141"/>
      <c r="DW15" s="141"/>
      <c r="DX15" s="141"/>
      <c r="DY15" s="141"/>
      <c r="DZ15" s="141"/>
      <c r="EA15" s="141"/>
      <c r="EB15" s="141"/>
      <c r="EC15" s="141"/>
      <c r="ED15" s="141"/>
      <c r="EE15" s="141"/>
      <c r="EF15" s="141"/>
      <c r="EG15" s="141"/>
      <c r="EH15" s="141"/>
      <c r="EI15" s="141"/>
      <c r="EJ15" s="141"/>
      <c r="EK15" s="141"/>
      <c r="EL15" s="141"/>
      <c r="EM15" s="141"/>
      <c r="EN15" s="141"/>
      <c r="EO15" s="141"/>
      <c r="EP15" s="141"/>
      <c r="EQ15" s="141"/>
      <c r="ER15" s="141"/>
      <c r="ES15" s="141"/>
      <c r="ET15" s="141"/>
      <c r="EU15" s="141"/>
      <c r="EV15" s="141"/>
      <c r="EW15" s="141"/>
      <c r="EX15" s="141"/>
      <c r="EY15" s="141"/>
      <c r="EZ15" s="141"/>
      <c r="FA15" s="141"/>
      <c r="FB15" s="141"/>
      <c r="FC15" s="141"/>
      <c r="FD15" s="141"/>
      <c r="FE15" s="141"/>
      <c r="FF15" s="141"/>
      <c r="FG15" s="141"/>
      <c r="FH15" s="141"/>
      <c r="FI15" s="141"/>
      <c r="FJ15" s="141"/>
      <c r="FK15" s="141"/>
      <c r="FL15" s="141"/>
      <c r="FM15" s="141"/>
      <c r="FN15" s="141"/>
      <c r="FO15" s="141"/>
      <c r="FP15" s="141"/>
      <c r="FQ15" s="141"/>
      <c r="FR15" s="141"/>
      <c r="FS15" s="141"/>
      <c r="FT15" s="141"/>
      <c r="FU15" s="141"/>
      <c r="FV15" s="141"/>
      <c r="FW15" s="141"/>
      <c r="FX15" s="141"/>
      <c r="FY15" s="141"/>
      <c r="FZ15" s="141"/>
      <c r="GA15" s="141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  <c r="HD15" s="141"/>
      <c r="HE15" s="141"/>
      <c r="HF15" s="141"/>
      <c r="HG15" s="141"/>
      <c r="HH15" s="141"/>
      <c r="HI15" s="141"/>
      <c r="HJ15" s="141"/>
      <c r="HK15" s="141"/>
      <c r="HL15" s="141"/>
      <c r="HM15" s="141"/>
      <c r="HN15" s="141"/>
      <c r="HO15" s="141"/>
      <c r="HP15" s="141"/>
      <c r="HQ15" s="141"/>
      <c r="HR15" s="141"/>
      <c r="HS15" s="141"/>
      <c r="HT15" s="141"/>
      <c r="HU15" s="141"/>
      <c r="HV15" s="141"/>
      <c r="HW15" s="141"/>
      <c r="HX15" s="141"/>
      <c r="HY15" s="141"/>
      <c r="HZ15" s="141"/>
      <c r="IA15" s="141"/>
      <c r="IB15" s="141"/>
      <c r="IC15" s="141"/>
      <c r="ID15" s="141"/>
      <c r="IE15" s="141"/>
      <c r="IF15" s="141"/>
      <c r="IG15" s="141"/>
      <c r="IH15" s="141"/>
      <c r="II15" s="141"/>
      <c r="IJ15" s="141"/>
      <c r="IK15" s="141"/>
      <c r="IL15" s="141"/>
      <c r="IM15" s="141"/>
      <c r="IN15" s="141"/>
      <c r="IO15" s="141"/>
      <c r="IP15" s="141"/>
      <c r="IQ15" s="141"/>
      <c r="IR15" s="141"/>
      <c r="IS15" s="141"/>
      <c r="IT15" s="141"/>
      <c r="IU15" s="141"/>
      <c r="IV15" s="141"/>
      <c r="IW15" s="141"/>
      <c r="IX15" s="141"/>
      <c r="IY15" s="21"/>
      <c r="IZ15" s="31"/>
      <c r="JA15" s="91"/>
      <c r="JB15" s="91"/>
      <c r="JC15" s="91"/>
      <c r="JD15" s="160"/>
    </row>
    <row r="16" spans="1:264" s="159" customFormat="1" ht="24" customHeight="1">
      <c r="A16" s="172">
        <v>1.7</v>
      </c>
      <c r="B16" s="186" t="s">
        <v>139</v>
      </c>
      <c r="C16" s="173" t="s">
        <v>103</v>
      </c>
      <c r="D16" s="180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1398/11/01</v>
      </c>
      <c r="E16" s="136">
        <f t="shared" si="4"/>
        <v>13981101</v>
      </c>
      <c r="F16" s="189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1398/11/01</v>
      </c>
      <c r="G16" s="139">
        <f t="shared" si="5"/>
        <v>13981101</v>
      </c>
      <c r="H16" s="175">
        <v>10</v>
      </c>
      <c r="I16" s="176">
        <v>1.6</v>
      </c>
      <c r="J16" s="174">
        <f>j_WEEKDAY(D16,2)</f>
        <v>3</v>
      </c>
      <c r="K16" s="143"/>
      <c r="L16" s="177">
        <f t="shared" si="9"/>
        <v>1</v>
      </c>
      <c r="M16" s="178">
        <v>0</v>
      </c>
      <c r="N16" s="179">
        <v>1</v>
      </c>
      <c r="O16" s="144"/>
      <c r="P16" s="144"/>
      <c r="Q16" s="142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141"/>
      <c r="AV16" s="141"/>
      <c r="AW16" s="141"/>
      <c r="AX16" s="141"/>
      <c r="AY16" s="141"/>
      <c r="AZ16" s="141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1"/>
      <c r="CZ16" s="141"/>
      <c r="DA16" s="141"/>
      <c r="DB16" s="141"/>
      <c r="DC16" s="141"/>
      <c r="DD16" s="141"/>
      <c r="DE16" s="141"/>
      <c r="DF16" s="141"/>
      <c r="DG16" s="141"/>
      <c r="DH16" s="141"/>
      <c r="DI16" s="141"/>
      <c r="DJ16" s="141"/>
      <c r="DK16" s="141"/>
      <c r="DL16" s="141"/>
      <c r="DM16" s="141"/>
      <c r="DN16" s="141"/>
      <c r="DO16" s="141"/>
      <c r="DP16" s="141"/>
      <c r="DQ16" s="141"/>
      <c r="DR16" s="141"/>
      <c r="DS16" s="141"/>
      <c r="DT16" s="141"/>
      <c r="DU16" s="141"/>
      <c r="DV16" s="141"/>
      <c r="DW16" s="141"/>
      <c r="DX16" s="141"/>
      <c r="DY16" s="141"/>
      <c r="DZ16" s="141"/>
      <c r="EA16" s="141"/>
      <c r="EB16" s="141"/>
      <c r="EC16" s="141"/>
      <c r="ED16" s="141"/>
      <c r="EE16" s="141"/>
      <c r="EF16" s="141"/>
      <c r="EG16" s="141"/>
      <c r="EH16" s="141"/>
      <c r="EI16" s="141"/>
      <c r="EJ16" s="141"/>
      <c r="EK16" s="141"/>
      <c r="EL16" s="141"/>
      <c r="EM16" s="141"/>
      <c r="EN16" s="141"/>
      <c r="EO16" s="141"/>
      <c r="EP16" s="141"/>
      <c r="EQ16" s="141"/>
      <c r="ER16" s="141"/>
      <c r="ES16" s="141"/>
      <c r="ET16" s="141"/>
      <c r="EU16" s="141"/>
      <c r="EV16" s="141"/>
      <c r="EW16" s="141"/>
      <c r="EX16" s="141"/>
      <c r="EY16" s="141"/>
      <c r="EZ16" s="141"/>
      <c r="FA16" s="141"/>
      <c r="FB16" s="141"/>
      <c r="FC16" s="141"/>
      <c r="FD16" s="141"/>
      <c r="FE16" s="141"/>
      <c r="FF16" s="141"/>
      <c r="FG16" s="141"/>
      <c r="FH16" s="141"/>
      <c r="FI16" s="141"/>
      <c r="FJ16" s="141"/>
      <c r="FK16" s="141"/>
      <c r="FL16" s="141"/>
      <c r="FM16" s="141"/>
      <c r="FN16" s="141"/>
      <c r="FO16" s="141"/>
      <c r="FP16" s="141"/>
      <c r="FQ16" s="141"/>
      <c r="FR16" s="141"/>
      <c r="FS16" s="141"/>
      <c r="FT16" s="141"/>
      <c r="FU16" s="141"/>
      <c r="FV16" s="141"/>
      <c r="FW16" s="141"/>
      <c r="FX16" s="141"/>
      <c r="FY16" s="141"/>
      <c r="FZ16" s="141"/>
      <c r="GA16" s="141"/>
      <c r="GB16" s="141"/>
      <c r="GC16" s="141"/>
      <c r="GD16" s="141"/>
      <c r="GE16" s="141"/>
      <c r="GF16" s="141"/>
      <c r="GG16" s="141"/>
      <c r="GH16" s="141"/>
      <c r="GI16" s="141"/>
      <c r="GJ16" s="141"/>
      <c r="GK16" s="141"/>
      <c r="GL16" s="141"/>
      <c r="GM16" s="141"/>
      <c r="GN16" s="141"/>
      <c r="GO16" s="141"/>
      <c r="GP16" s="141"/>
      <c r="GQ16" s="141"/>
      <c r="GR16" s="141"/>
      <c r="GS16" s="141"/>
      <c r="GT16" s="141"/>
      <c r="GU16" s="141"/>
      <c r="GV16" s="141"/>
      <c r="GW16" s="141"/>
      <c r="GX16" s="141"/>
      <c r="GY16" s="141"/>
      <c r="GZ16" s="141"/>
      <c r="HA16" s="141"/>
      <c r="HB16" s="141"/>
      <c r="HC16" s="141"/>
      <c r="HD16" s="141"/>
      <c r="HE16" s="141"/>
      <c r="HF16" s="141"/>
      <c r="HG16" s="141"/>
      <c r="HH16" s="141"/>
      <c r="HI16" s="141"/>
      <c r="HJ16" s="141"/>
      <c r="HK16" s="141"/>
      <c r="HL16" s="141"/>
      <c r="HM16" s="141"/>
      <c r="HN16" s="141"/>
      <c r="HO16" s="141"/>
      <c r="HP16" s="141"/>
      <c r="HQ16" s="141"/>
      <c r="HR16" s="141"/>
      <c r="HS16" s="141"/>
      <c r="HT16" s="141"/>
      <c r="HU16" s="141"/>
      <c r="HV16" s="141"/>
      <c r="HW16" s="141"/>
      <c r="HX16" s="141"/>
      <c r="HY16" s="141"/>
      <c r="HZ16" s="141"/>
      <c r="IA16" s="141"/>
      <c r="IB16" s="141"/>
      <c r="IC16" s="141"/>
      <c r="ID16" s="141"/>
      <c r="IE16" s="141"/>
      <c r="IF16" s="141"/>
      <c r="IG16" s="141"/>
      <c r="IH16" s="141"/>
      <c r="II16" s="141"/>
      <c r="IJ16" s="141"/>
      <c r="IK16" s="141"/>
      <c r="IL16" s="141"/>
      <c r="IM16" s="141"/>
      <c r="IN16" s="141"/>
      <c r="IO16" s="141"/>
      <c r="IP16" s="141"/>
      <c r="IQ16" s="141"/>
      <c r="IR16" s="141"/>
      <c r="IS16" s="141"/>
      <c r="IT16" s="141"/>
      <c r="IU16" s="141"/>
      <c r="IV16" s="141"/>
      <c r="IW16" s="141"/>
      <c r="IX16" s="141"/>
      <c r="IY16" s="21"/>
      <c r="IZ16" s="31"/>
      <c r="JA16" s="91"/>
      <c r="JB16" s="91"/>
      <c r="JC16" s="91"/>
      <c r="JD16" s="160"/>
    </row>
    <row r="17" spans="1:16384" s="276" customFormat="1" ht="35.25" customHeight="1">
      <c r="A17" s="281">
        <v>2</v>
      </c>
      <c r="B17" s="268" t="s">
        <v>112</v>
      </c>
      <c r="C17" s="269"/>
      <c r="D17" s="270" t="str">
        <f>FDate(MIN(E18:E27))</f>
        <v>1398/10/01</v>
      </c>
      <c r="E17" s="136">
        <f t="shared" si="4"/>
        <v>13981001</v>
      </c>
      <c r="F17" s="298" t="str">
        <f>J_SUBDAY(J_ADDDAY(D17,L17,1),1,1)</f>
        <v>1398/10/23</v>
      </c>
      <c r="G17" s="139">
        <f t="shared" si="5"/>
        <v>13981023</v>
      </c>
      <c r="H17" s="282"/>
      <c r="I17" s="283"/>
      <c r="J17" s="270">
        <f>j_WEEKDAY(D17,2)</f>
        <v>1</v>
      </c>
      <c r="K17" s="140">
        <f>SUM(K18:K27)</f>
        <v>0</v>
      </c>
      <c r="L17" s="273">
        <f>J_DIFF(D17,FDate(MAX(G18:G27)))+1</f>
        <v>23</v>
      </c>
      <c r="M17" s="274">
        <f>IF(SUM(L18:L27)&lt;&gt;0,SUMPRODUCT(L18:L27,M18:M27)/SUM(L18:L27),0)</f>
        <v>3.5714285714285712E-2</v>
      </c>
      <c r="N17" s="275">
        <f>IF(F17&gt;=D17,NETWORKDAYS.INTL(J_GregorianDate(D17,1),J_GregorianDate(F17,1),16,1)-SUMIFS(Holieday[ok],Holieday[date],CONCATENATE("&gt;","=",D17),Holieday[date],CONCATENATE("&lt;","=",F17))+SUMIFS(Holieday[Friday],Holieday[date],CONCATENATE("&gt;","=",D17),Holieday[date],CONCATENATE("&lt;","=",F17)),0)</f>
        <v>20</v>
      </c>
      <c r="O17" s="135">
        <f t="shared" si="7"/>
        <v>0</v>
      </c>
      <c r="P17" s="135">
        <f>VALUE(J_normdate(J_ADDDAY($D17,$O17,1)))</f>
        <v>13981001</v>
      </c>
      <c r="Q17" s="138">
        <f>L17-O17</f>
        <v>23</v>
      </c>
      <c r="IY17" s="277"/>
      <c r="IZ17" s="278"/>
      <c r="JA17" s="279"/>
      <c r="JB17" s="279"/>
      <c r="JC17" s="279"/>
      <c r="JD17" s="280"/>
    </row>
    <row r="18" spans="1:16384" s="159" customFormat="1" ht="30.75" customHeight="1">
      <c r="A18" s="197">
        <v>2.1</v>
      </c>
      <c r="B18" s="186" t="s">
        <v>74</v>
      </c>
      <c r="C18" s="173" t="s">
        <v>104</v>
      </c>
      <c r="D18" s="296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1398/10/01</v>
      </c>
      <c r="E18" s="136">
        <f t="shared" si="4"/>
        <v>13981001</v>
      </c>
      <c r="F18" s="296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1398/10/01</v>
      </c>
      <c r="G18" s="139">
        <f t="shared" si="5"/>
        <v>13981001</v>
      </c>
      <c r="H18" s="175"/>
      <c r="I18" s="176">
        <v>1.1000000000000001</v>
      </c>
      <c r="J18" s="174">
        <f>j_WEEKDAY(D18,2)</f>
        <v>1</v>
      </c>
      <c r="K18" s="143">
        <f t="shared" ref="K18:K27" si="10">SUM(JA18:JC18)</f>
        <v>0</v>
      </c>
      <c r="L18" s="177">
        <f t="shared" ref="L18:L29" si="11">J_DIFF(D18,F18)+1</f>
        <v>1</v>
      </c>
      <c r="M18" s="178">
        <v>1</v>
      </c>
      <c r="N18" s="179">
        <v>1</v>
      </c>
      <c r="O18" s="144">
        <f t="shared" si="7"/>
        <v>1</v>
      </c>
      <c r="P18" s="144">
        <f>VALUE(J_normdate(J_ADDDAY($D18,$O18,1)))</f>
        <v>13981002</v>
      </c>
      <c r="Q18" s="142">
        <f>L18-O18</f>
        <v>0</v>
      </c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41"/>
      <c r="BA18" s="141"/>
      <c r="BB18" s="141"/>
      <c r="BC18" s="141"/>
      <c r="BD18" s="141"/>
      <c r="BE18" s="141"/>
      <c r="BF18" s="141"/>
      <c r="BG18" s="141"/>
      <c r="BH18" s="141"/>
      <c r="BI18" s="141"/>
      <c r="BJ18" s="141"/>
      <c r="BK18" s="141"/>
      <c r="BL18" s="141"/>
      <c r="BM18" s="141"/>
      <c r="BN18" s="141"/>
      <c r="BO18" s="141"/>
      <c r="BP18" s="141"/>
      <c r="BQ18" s="141"/>
      <c r="BR18" s="141"/>
      <c r="BS18" s="141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  <c r="CK18" s="141"/>
      <c r="CL18" s="141"/>
      <c r="CM18" s="141"/>
      <c r="CN18" s="141"/>
      <c r="CO18" s="141"/>
      <c r="CP18" s="141"/>
      <c r="CQ18" s="141"/>
      <c r="CR18" s="141"/>
      <c r="CS18" s="141"/>
      <c r="CT18" s="141"/>
      <c r="CU18" s="141"/>
      <c r="CV18" s="141"/>
      <c r="CW18" s="141"/>
      <c r="CX18" s="141"/>
      <c r="CY18" s="141"/>
      <c r="CZ18" s="141"/>
      <c r="DA18" s="141"/>
      <c r="DB18" s="141"/>
      <c r="DC18" s="141"/>
      <c r="DD18" s="141"/>
      <c r="DE18" s="141"/>
      <c r="DF18" s="141"/>
      <c r="DG18" s="141"/>
      <c r="DH18" s="141"/>
      <c r="DI18" s="141"/>
      <c r="DJ18" s="141"/>
      <c r="DK18" s="141"/>
      <c r="DL18" s="141"/>
      <c r="DM18" s="141"/>
      <c r="DN18" s="141"/>
      <c r="DO18" s="141"/>
      <c r="DP18" s="141"/>
      <c r="DQ18" s="141"/>
      <c r="DR18" s="141"/>
      <c r="DS18" s="141"/>
      <c r="DT18" s="141"/>
      <c r="DU18" s="141"/>
      <c r="DV18" s="141"/>
      <c r="DW18" s="141"/>
      <c r="DX18" s="141"/>
      <c r="DY18" s="141"/>
      <c r="DZ18" s="141"/>
      <c r="EA18" s="141"/>
      <c r="EB18" s="141"/>
      <c r="EC18" s="141"/>
      <c r="ED18" s="141"/>
      <c r="EE18" s="141"/>
      <c r="EF18" s="141"/>
      <c r="EG18" s="141"/>
      <c r="EH18" s="141"/>
      <c r="EI18" s="141"/>
      <c r="EJ18" s="141"/>
      <c r="EK18" s="141"/>
      <c r="EL18" s="141"/>
      <c r="EM18" s="141"/>
      <c r="EN18" s="141"/>
      <c r="EO18" s="141"/>
      <c r="EP18" s="141"/>
      <c r="EQ18" s="141"/>
      <c r="ER18" s="141"/>
      <c r="ES18" s="141"/>
      <c r="ET18" s="141"/>
      <c r="EU18" s="141"/>
      <c r="EV18" s="141"/>
      <c r="EW18" s="141"/>
      <c r="EX18" s="141"/>
      <c r="EY18" s="141"/>
      <c r="EZ18" s="141"/>
      <c r="FA18" s="141"/>
      <c r="FB18" s="141"/>
      <c r="FC18" s="141"/>
      <c r="FD18" s="141"/>
      <c r="FE18" s="141"/>
      <c r="FF18" s="141"/>
      <c r="FG18" s="141"/>
      <c r="FH18" s="141"/>
      <c r="FI18" s="141"/>
      <c r="FJ18" s="141"/>
      <c r="FK18" s="141"/>
      <c r="FL18" s="141"/>
      <c r="FM18" s="141"/>
      <c r="FN18" s="141"/>
      <c r="FO18" s="141"/>
      <c r="FP18" s="141"/>
      <c r="FQ18" s="141"/>
      <c r="FR18" s="141"/>
      <c r="FS18" s="141"/>
      <c r="FT18" s="141"/>
      <c r="FU18" s="141"/>
      <c r="FV18" s="141"/>
      <c r="FW18" s="141"/>
      <c r="FX18" s="141"/>
      <c r="FY18" s="141"/>
      <c r="FZ18" s="141"/>
      <c r="GA18" s="141"/>
      <c r="GB18" s="141"/>
      <c r="GC18" s="141"/>
      <c r="GD18" s="141"/>
      <c r="GE18" s="141"/>
      <c r="GF18" s="141"/>
      <c r="GG18" s="141"/>
      <c r="GH18" s="141"/>
      <c r="GI18" s="141"/>
      <c r="GJ18" s="141"/>
      <c r="GK18" s="141"/>
      <c r="GL18" s="141"/>
      <c r="GM18" s="141"/>
      <c r="GN18" s="141"/>
      <c r="GO18" s="141"/>
      <c r="GP18" s="141"/>
      <c r="GQ18" s="141"/>
      <c r="GR18" s="141"/>
      <c r="GS18" s="141"/>
      <c r="GT18" s="141"/>
      <c r="GU18" s="141"/>
      <c r="GV18" s="141"/>
      <c r="GW18" s="141"/>
      <c r="GX18" s="141"/>
      <c r="GY18" s="141"/>
      <c r="GZ18" s="141"/>
      <c r="HA18" s="141"/>
      <c r="HB18" s="141"/>
      <c r="HC18" s="141"/>
      <c r="HD18" s="141"/>
      <c r="HE18" s="141"/>
      <c r="HF18" s="141"/>
      <c r="HG18" s="141"/>
      <c r="HH18" s="141"/>
      <c r="HI18" s="141"/>
      <c r="HJ18" s="141"/>
      <c r="HK18" s="141"/>
      <c r="HL18" s="141"/>
      <c r="HM18" s="141"/>
      <c r="HN18" s="141"/>
      <c r="HO18" s="141"/>
      <c r="HP18" s="141"/>
      <c r="HQ18" s="141"/>
      <c r="HR18" s="141"/>
      <c r="HS18" s="141"/>
      <c r="HT18" s="141"/>
      <c r="HU18" s="141"/>
      <c r="HV18" s="141"/>
      <c r="HW18" s="141"/>
      <c r="HX18" s="141"/>
      <c r="HY18" s="141"/>
      <c r="HZ18" s="141"/>
      <c r="IA18" s="141"/>
      <c r="IB18" s="141"/>
      <c r="IC18" s="141"/>
      <c r="ID18" s="141"/>
      <c r="IE18" s="141"/>
      <c r="IF18" s="141"/>
      <c r="IG18" s="141"/>
      <c r="IH18" s="141"/>
      <c r="II18" s="141"/>
      <c r="IJ18" s="141"/>
      <c r="IK18" s="141"/>
      <c r="IL18" s="141"/>
      <c r="IM18" s="141"/>
      <c r="IN18" s="141"/>
      <c r="IO18" s="141"/>
      <c r="IP18" s="141"/>
      <c r="IQ18" s="141"/>
      <c r="IR18" s="141"/>
      <c r="IS18" s="141"/>
      <c r="IT18" s="141"/>
      <c r="IU18" s="141"/>
      <c r="IV18" s="141"/>
      <c r="IW18" s="141"/>
      <c r="IX18" s="141"/>
      <c r="IY18" s="21">
        <v>1</v>
      </c>
      <c r="IZ18" s="31">
        <f>(TEXT(K18,"[m]")/60)*VLOOKUP(IY18,'Income Person-hours'!A$2:C$5,3,FALSE)</f>
        <v>0</v>
      </c>
      <c r="JA18" s="91"/>
      <c r="JB18" s="91"/>
      <c r="JC18" s="91"/>
      <c r="JD18" s="160">
        <f>SUM((TEXT(JA18,"[M]")/60)*'Income Person-hours'!$D$3,(TEXT(JB18,"[M]")/60)*'Income Person-hours'!$D$4,(TEXT(JC18,"[M]")/60)*'Income Person-hours'!$D$5)</f>
        <v>0</v>
      </c>
    </row>
    <row r="19" spans="1:16384" s="159" customFormat="1" ht="53.25" customHeight="1">
      <c r="A19" s="197">
        <v>2.2000000000000002</v>
      </c>
      <c r="B19" s="186" t="s">
        <v>111</v>
      </c>
      <c r="C19" s="173" t="s">
        <v>72</v>
      </c>
      <c r="D19" s="296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1398/10/01</v>
      </c>
      <c r="E19" s="136">
        <f t="shared" si="4"/>
        <v>13981001</v>
      </c>
      <c r="F19" s="296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1398/10/16</v>
      </c>
      <c r="G19" s="139">
        <f t="shared" si="5"/>
        <v>13981016</v>
      </c>
      <c r="H19" s="175"/>
      <c r="I19" s="176">
        <v>2.1</v>
      </c>
      <c r="J19" s="174">
        <v>1</v>
      </c>
      <c r="K19" s="143">
        <f t="shared" si="10"/>
        <v>0</v>
      </c>
      <c r="L19" s="177">
        <f t="shared" si="11"/>
        <v>16</v>
      </c>
      <c r="M19" s="178">
        <v>0</v>
      </c>
      <c r="N19" s="179">
        <v>14</v>
      </c>
      <c r="O19" s="144">
        <f t="shared" ref="O19:O27" si="12">ROUNDDOWN(M19*L19,0)</f>
        <v>0</v>
      </c>
      <c r="P19" s="144">
        <f>VALUE(J_normdate(J_ADDDAY($D19,$O19,1)))</f>
        <v>13981001</v>
      </c>
      <c r="Q19" s="142">
        <f t="shared" ref="Q19:Q42" si="13">L19-O19</f>
        <v>16</v>
      </c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1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  <c r="CK19" s="141"/>
      <c r="CL19" s="141"/>
      <c r="CM19" s="141"/>
      <c r="CN19" s="141"/>
      <c r="CO19" s="141"/>
      <c r="CP19" s="141"/>
      <c r="CQ19" s="141"/>
      <c r="CR19" s="141"/>
      <c r="CS19" s="141"/>
      <c r="CT19" s="141"/>
      <c r="CU19" s="141"/>
      <c r="CV19" s="141"/>
      <c r="CW19" s="141"/>
      <c r="CX19" s="141"/>
      <c r="CY19" s="141"/>
      <c r="CZ19" s="141"/>
      <c r="DA19" s="141"/>
      <c r="DB19" s="141"/>
      <c r="DC19" s="141"/>
      <c r="DD19" s="141"/>
      <c r="DE19" s="141"/>
      <c r="DF19" s="141"/>
      <c r="DG19" s="141"/>
      <c r="DH19" s="141"/>
      <c r="DI19" s="141"/>
      <c r="DJ19" s="141"/>
      <c r="DK19" s="141"/>
      <c r="DL19" s="141"/>
      <c r="DM19" s="141"/>
      <c r="DN19" s="141"/>
      <c r="DO19" s="141"/>
      <c r="DP19" s="141"/>
      <c r="DQ19" s="141"/>
      <c r="DR19" s="141"/>
      <c r="DS19" s="141"/>
      <c r="DT19" s="141"/>
      <c r="DU19" s="141"/>
      <c r="DV19" s="141"/>
      <c r="DW19" s="141"/>
      <c r="DX19" s="141"/>
      <c r="DY19" s="141"/>
      <c r="DZ19" s="141"/>
      <c r="EA19" s="141"/>
      <c r="EB19" s="141"/>
      <c r="EC19" s="141"/>
      <c r="ED19" s="141"/>
      <c r="EE19" s="141"/>
      <c r="EF19" s="141"/>
      <c r="EG19" s="141"/>
      <c r="EH19" s="141"/>
      <c r="EI19" s="141"/>
      <c r="EJ19" s="141"/>
      <c r="EK19" s="141"/>
      <c r="EL19" s="141"/>
      <c r="EM19" s="141"/>
      <c r="EN19" s="141"/>
      <c r="EO19" s="141"/>
      <c r="EP19" s="141"/>
      <c r="EQ19" s="141"/>
      <c r="ER19" s="141"/>
      <c r="ES19" s="141"/>
      <c r="ET19" s="141"/>
      <c r="EU19" s="141"/>
      <c r="EV19" s="141"/>
      <c r="EW19" s="141"/>
      <c r="EX19" s="141"/>
      <c r="EY19" s="141"/>
      <c r="EZ19" s="141"/>
      <c r="FA19" s="141"/>
      <c r="FB19" s="141"/>
      <c r="FC19" s="141"/>
      <c r="FD19" s="141"/>
      <c r="FE19" s="141"/>
      <c r="FF19" s="141"/>
      <c r="FG19" s="141"/>
      <c r="FH19" s="141"/>
      <c r="FI19" s="141"/>
      <c r="FJ19" s="141"/>
      <c r="FK19" s="141"/>
      <c r="FL19" s="141"/>
      <c r="FM19" s="141"/>
      <c r="FN19" s="141"/>
      <c r="FO19" s="141"/>
      <c r="FP19" s="141"/>
      <c r="FQ19" s="141"/>
      <c r="FR19" s="141"/>
      <c r="FS19" s="141"/>
      <c r="FT19" s="141"/>
      <c r="FU19" s="141"/>
      <c r="FV19" s="141"/>
      <c r="FW19" s="141"/>
      <c r="FX19" s="141"/>
      <c r="FY19" s="141"/>
      <c r="FZ19" s="141"/>
      <c r="GA19" s="141"/>
      <c r="GB19" s="141"/>
      <c r="GC19" s="141"/>
      <c r="GD19" s="141"/>
      <c r="GE19" s="141"/>
      <c r="GF19" s="141"/>
      <c r="GG19" s="141"/>
      <c r="GH19" s="141"/>
      <c r="GI19" s="141"/>
      <c r="GJ19" s="141"/>
      <c r="GK19" s="141"/>
      <c r="GL19" s="141"/>
      <c r="GM19" s="141"/>
      <c r="GN19" s="141"/>
      <c r="GO19" s="141"/>
      <c r="GP19" s="141"/>
      <c r="GQ19" s="141"/>
      <c r="GR19" s="141"/>
      <c r="GS19" s="141"/>
      <c r="GT19" s="141"/>
      <c r="GU19" s="141"/>
      <c r="GV19" s="141"/>
      <c r="GW19" s="141"/>
      <c r="GX19" s="141"/>
      <c r="GY19" s="141"/>
      <c r="GZ19" s="141"/>
      <c r="HA19" s="141"/>
      <c r="HB19" s="141"/>
      <c r="HC19" s="141"/>
      <c r="HD19" s="141"/>
      <c r="HE19" s="141"/>
      <c r="HF19" s="141"/>
      <c r="HG19" s="141"/>
      <c r="HH19" s="141"/>
      <c r="HI19" s="141"/>
      <c r="HJ19" s="141"/>
      <c r="HK19" s="141"/>
      <c r="HL19" s="141"/>
      <c r="HM19" s="141"/>
      <c r="HN19" s="141"/>
      <c r="HO19" s="141"/>
      <c r="HP19" s="141"/>
      <c r="HQ19" s="141"/>
      <c r="HR19" s="141"/>
      <c r="HS19" s="141"/>
      <c r="HT19" s="141"/>
      <c r="HU19" s="141"/>
      <c r="HV19" s="141"/>
      <c r="HW19" s="141"/>
      <c r="HX19" s="141"/>
      <c r="HY19" s="141"/>
      <c r="HZ19" s="141"/>
      <c r="IA19" s="141"/>
      <c r="IB19" s="141"/>
      <c r="IC19" s="141"/>
      <c r="ID19" s="141"/>
      <c r="IE19" s="141"/>
      <c r="IF19" s="141"/>
      <c r="IG19" s="141"/>
      <c r="IH19" s="141"/>
      <c r="II19" s="141"/>
      <c r="IJ19" s="141"/>
      <c r="IK19" s="141"/>
      <c r="IL19" s="141"/>
      <c r="IM19" s="141"/>
      <c r="IN19" s="141"/>
      <c r="IO19" s="141"/>
      <c r="IP19" s="141"/>
      <c r="IQ19" s="141"/>
      <c r="IR19" s="141"/>
      <c r="IS19" s="141"/>
      <c r="IT19" s="141"/>
      <c r="IU19" s="141"/>
      <c r="IV19" s="141"/>
      <c r="IW19" s="141"/>
      <c r="IX19" s="141"/>
      <c r="IY19" s="21">
        <v>1</v>
      </c>
      <c r="IZ19" s="31">
        <f>(TEXT(K19,"[m]")/60)*VLOOKUP(IY19,'Income Person-hours'!A$2:C$5,3,FALSE)</f>
        <v>0</v>
      </c>
      <c r="JA19" s="91"/>
      <c r="JB19" s="91"/>
      <c r="JC19" s="91"/>
      <c r="JD19" s="160">
        <f>SUM((TEXT(JA19,"[M]")/60)*'Income Person-hours'!$D$3,(TEXT(JB19,"[M]")/60)*'Income Person-hours'!$D$4,(TEXT(JC19,"[M]")/60)*'Income Person-hours'!$D$5)</f>
        <v>0</v>
      </c>
    </row>
    <row r="20" spans="1:16384" s="159" customFormat="1" ht="36.75" customHeight="1">
      <c r="A20" s="197">
        <v>2.2999999999999998</v>
      </c>
      <c r="B20" s="186" t="s">
        <v>119</v>
      </c>
      <c r="C20" s="173" t="s">
        <v>72</v>
      </c>
      <c r="D20" s="295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1398/10/16</v>
      </c>
      <c r="E20" s="136">
        <f t="shared" si="4"/>
        <v>13981016</v>
      </c>
      <c r="F20" s="296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1398/10/16</v>
      </c>
      <c r="G20" s="139">
        <f t="shared" si="5"/>
        <v>13981016</v>
      </c>
      <c r="H20" s="175"/>
      <c r="I20" s="176">
        <v>2.2000000000000002</v>
      </c>
      <c r="J20" s="174">
        <f>j_WEEKDAY(D20,2)</f>
        <v>2</v>
      </c>
      <c r="K20" s="143">
        <f t="shared" si="10"/>
        <v>0</v>
      </c>
      <c r="L20" s="177">
        <f t="shared" si="11"/>
        <v>1</v>
      </c>
      <c r="M20" s="178">
        <v>0</v>
      </c>
      <c r="N20" s="179">
        <v>1</v>
      </c>
      <c r="O20" s="144">
        <f t="shared" si="12"/>
        <v>0</v>
      </c>
      <c r="P20" s="144">
        <f>VALUE(J_normdate(J_ADDDAY($D20,$O20,1)))</f>
        <v>13981016</v>
      </c>
      <c r="Q20" s="142">
        <f t="shared" si="13"/>
        <v>1</v>
      </c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41"/>
      <c r="BH20" s="141"/>
      <c r="BI20" s="141"/>
      <c r="BJ20" s="141"/>
      <c r="BK20" s="141"/>
      <c r="BL20" s="141"/>
      <c r="BM20" s="141"/>
      <c r="BN20" s="141"/>
      <c r="BO20" s="141"/>
      <c r="BP20" s="141"/>
      <c r="BQ20" s="141"/>
      <c r="BR20" s="141"/>
      <c r="BS20" s="141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  <c r="CK20" s="141"/>
      <c r="CL20" s="141"/>
      <c r="CM20" s="141"/>
      <c r="CN20" s="141"/>
      <c r="CO20" s="141"/>
      <c r="CP20" s="141"/>
      <c r="CQ20" s="141"/>
      <c r="CR20" s="141"/>
      <c r="CS20" s="141"/>
      <c r="CT20" s="141"/>
      <c r="CU20" s="141"/>
      <c r="CV20" s="141"/>
      <c r="CW20" s="141"/>
      <c r="CX20" s="141"/>
      <c r="CY20" s="141"/>
      <c r="CZ20" s="141"/>
      <c r="DA20" s="141"/>
      <c r="DB20" s="141"/>
      <c r="DC20" s="141"/>
      <c r="DD20" s="141"/>
      <c r="DE20" s="141"/>
      <c r="DF20" s="141"/>
      <c r="DG20" s="141"/>
      <c r="DH20" s="141"/>
      <c r="DI20" s="141"/>
      <c r="DJ20" s="141"/>
      <c r="DK20" s="141"/>
      <c r="DL20" s="141"/>
      <c r="DM20" s="141"/>
      <c r="DN20" s="141"/>
      <c r="DO20" s="141"/>
      <c r="DP20" s="141"/>
      <c r="DQ20" s="141"/>
      <c r="DR20" s="141"/>
      <c r="DS20" s="141"/>
      <c r="DT20" s="141"/>
      <c r="DU20" s="141"/>
      <c r="DV20" s="141"/>
      <c r="DW20" s="141"/>
      <c r="DX20" s="141"/>
      <c r="DY20" s="141"/>
      <c r="DZ20" s="141"/>
      <c r="EA20" s="141"/>
      <c r="EB20" s="141"/>
      <c r="EC20" s="141"/>
      <c r="ED20" s="141"/>
      <c r="EE20" s="141"/>
      <c r="EF20" s="141"/>
      <c r="EG20" s="141"/>
      <c r="EH20" s="141"/>
      <c r="EI20" s="141"/>
      <c r="EJ20" s="141"/>
      <c r="EK20" s="141"/>
      <c r="EL20" s="141"/>
      <c r="EM20" s="141"/>
      <c r="EN20" s="141"/>
      <c r="EO20" s="141"/>
      <c r="EP20" s="141"/>
      <c r="EQ20" s="141"/>
      <c r="ER20" s="141"/>
      <c r="ES20" s="141"/>
      <c r="ET20" s="141"/>
      <c r="EU20" s="141"/>
      <c r="EV20" s="141"/>
      <c r="EW20" s="141"/>
      <c r="EX20" s="141"/>
      <c r="EY20" s="141"/>
      <c r="EZ20" s="141"/>
      <c r="FA20" s="141"/>
      <c r="FB20" s="141"/>
      <c r="FC20" s="141"/>
      <c r="FD20" s="141"/>
      <c r="FE20" s="141"/>
      <c r="FF20" s="141"/>
      <c r="FG20" s="141"/>
      <c r="FH20" s="141"/>
      <c r="FI20" s="141"/>
      <c r="FJ20" s="141"/>
      <c r="FK20" s="141"/>
      <c r="FL20" s="141"/>
      <c r="FM20" s="141"/>
      <c r="FN20" s="141"/>
      <c r="FO20" s="141"/>
      <c r="FP20" s="141"/>
      <c r="FQ20" s="141"/>
      <c r="FR20" s="141"/>
      <c r="FS20" s="141"/>
      <c r="FT20" s="141"/>
      <c r="FU20" s="141"/>
      <c r="FV20" s="141"/>
      <c r="FW20" s="141"/>
      <c r="FX20" s="141"/>
      <c r="FY20" s="141"/>
      <c r="FZ20" s="141"/>
      <c r="GA20" s="141"/>
      <c r="GB20" s="141"/>
      <c r="GC20" s="141"/>
      <c r="GD20" s="141"/>
      <c r="GE20" s="141"/>
      <c r="GF20" s="141"/>
      <c r="GG20" s="141"/>
      <c r="GH20" s="141"/>
      <c r="GI20" s="141"/>
      <c r="GJ20" s="141"/>
      <c r="GK20" s="141"/>
      <c r="GL20" s="141"/>
      <c r="GM20" s="141"/>
      <c r="GN20" s="141"/>
      <c r="GO20" s="141"/>
      <c r="GP20" s="141"/>
      <c r="GQ20" s="141"/>
      <c r="GR20" s="141"/>
      <c r="GS20" s="141"/>
      <c r="GT20" s="141"/>
      <c r="GU20" s="141"/>
      <c r="GV20" s="141"/>
      <c r="GW20" s="141"/>
      <c r="GX20" s="141"/>
      <c r="GY20" s="141"/>
      <c r="GZ20" s="141"/>
      <c r="HA20" s="141"/>
      <c r="HB20" s="141"/>
      <c r="HC20" s="141"/>
      <c r="HD20" s="141"/>
      <c r="HE20" s="141"/>
      <c r="HF20" s="141"/>
      <c r="HG20" s="141"/>
      <c r="HH20" s="141"/>
      <c r="HI20" s="141"/>
      <c r="HJ20" s="141"/>
      <c r="HK20" s="141"/>
      <c r="HL20" s="141"/>
      <c r="HM20" s="141"/>
      <c r="HN20" s="141"/>
      <c r="HO20" s="141"/>
      <c r="HP20" s="141"/>
      <c r="HQ20" s="141"/>
      <c r="HR20" s="141"/>
      <c r="HS20" s="141"/>
      <c r="HT20" s="141"/>
      <c r="HU20" s="141"/>
      <c r="HV20" s="141"/>
      <c r="HW20" s="141"/>
      <c r="HX20" s="141"/>
      <c r="HY20" s="141"/>
      <c r="HZ20" s="141"/>
      <c r="IA20" s="141"/>
      <c r="IB20" s="141"/>
      <c r="IC20" s="141"/>
      <c r="ID20" s="141"/>
      <c r="IE20" s="141"/>
      <c r="IF20" s="141"/>
      <c r="IG20" s="141"/>
      <c r="IH20" s="141"/>
      <c r="II20" s="141"/>
      <c r="IJ20" s="141"/>
      <c r="IK20" s="141"/>
      <c r="IL20" s="141"/>
      <c r="IM20" s="141"/>
      <c r="IN20" s="141"/>
      <c r="IO20" s="141"/>
      <c r="IP20" s="141"/>
      <c r="IQ20" s="141"/>
      <c r="IR20" s="141"/>
      <c r="IS20" s="141"/>
      <c r="IT20" s="141"/>
      <c r="IU20" s="141"/>
      <c r="IV20" s="141"/>
      <c r="IW20" s="141"/>
      <c r="IX20" s="141"/>
      <c r="IY20" s="21">
        <v>2</v>
      </c>
      <c r="IZ20" s="31">
        <f>(TEXT(K20,"[m]")/60)*VLOOKUP(IY20,'Income Person-hours'!A$2:C$5,3,FALSE)</f>
        <v>0</v>
      </c>
      <c r="JA20" s="91"/>
      <c r="JB20" s="91"/>
      <c r="JC20" s="91"/>
      <c r="JD20" s="160">
        <f>SUM((TEXT(JA20,"[M]")/60)*'Income Person-hours'!$D$3,(TEXT(JB20,"[M]")/60)*'Income Person-hours'!$D$4,(TEXT(JC20,"[M]")/60)*'Income Person-hours'!$D$5)</f>
        <v>0</v>
      </c>
    </row>
    <row r="21" spans="1:16384" s="159" customFormat="1" ht="36" customHeight="1">
      <c r="A21" s="197">
        <v>2.4</v>
      </c>
      <c r="B21" s="186" t="s">
        <v>120</v>
      </c>
      <c r="C21" s="173" t="s">
        <v>103</v>
      </c>
      <c r="D21" s="295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1398/10/17</v>
      </c>
      <c r="E21" s="136">
        <f t="shared" si="4"/>
        <v>13981017</v>
      </c>
      <c r="F21" s="296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1398/10/18</v>
      </c>
      <c r="G21" s="139">
        <f t="shared" si="5"/>
        <v>13981018</v>
      </c>
      <c r="H21" s="175">
        <v>1</v>
      </c>
      <c r="I21" s="176">
        <v>2.2999999999999998</v>
      </c>
      <c r="J21" s="174">
        <f>j_WEEKDAY(D21,2)</f>
        <v>3</v>
      </c>
      <c r="K21" s="143">
        <f t="shared" si="10"/>
        <v>0</v>
      </c>
      <c r="L21" s="177">
        <f t="shared" si="11"/>
        <v>2</v>
      </c>
      <c r="M21" s="178">
        <v>0</v>
      </c>
      <c r="N21" s="179">
        <v>2</v>
      </c>
      <c r="O21" s="144">
        <f t="shared" si="12"/>
        <v>0</v>
      </c>
      <c r="P21" s="144">
        <f>VALUE(J_normdate(J_ADDDAY($D21,$O21,1)))</f>
        <v>13981017</v>
      </c>
      <c r="Q21" s="142">
        <f t="shared" si="13"/>
        <v>2</v>
      </c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  <c r="CZ21" s="141"/>
      <c r="DA21" s="141"/>
      <c r="DB21" s="141"/>
      <c r="DC21" s="141"/>
      <c r="DD21" s="141"/>
      <c r="DE21" s="141"/>
      <c r="DF21" s="141"/>
      <c r="DG21" s="141"/>
      <c r="DH21" s="141"/>
      <c r="DI21" s="141"/>
      <c r="DJ21" s="141"/>
      <c r="DK21" s="141"/>
      <c r="DL21" s="141"/>
      <c r="DM21" s="141"/>
      <c r="DN21" s="141"/>
      <c r="DO21" s="141"/>
      <c r="DP21" s="141"/>
      <c r="DQ21" s="141"/>
      <c r="DR21" s="141"/>
      <c r="DS21" s="141"/>
      <c r="DT21" s="141"/>
      <c r="DU21" s="141"/>
      <c r="DV21" s="141"/>
      <c r="DW21" s="141"/>
      <c r="DX21" s="141"/>
      <c r="DY21" s="141"/>
      <c r="DZ21" s="141"/>
      <c r="EA21" s="141"/>
      <c r="EB21" s="141"/>
      <c r="EC21" s="141"/>
      <c r="ED21" s="141"/>
      <c r="EE21" s="141"/>
      <c r="EF21" s="141"/>
      <c r="EG21" s="141"/>
      <c r="EH21" s="141"/>
      <c r="EI21" s="141"/>
      <c r="EJ21" s="141"/>
      <c r="EK21" s="141"/>
      <c r="EL21" s="141"/>
      <c r="EM21" s="141"/>
      <c r="EN21" s="141"/>
      <c r="EO21" s="141"/>
      <c r="EP21" s="141"/>
      <c r="EQ21" s="141"/>
      <c r="ER21" s="141"/>
      <c r="ES21" s="141"/>
      <c r="ET21" s="141"/>
      <c r="EU21" s="141"/>
      <c r="EV21" s="141"/>
      <c r="EW21" s="141"/>
      <c r="EX21" s="141"/>
      <c r="EY21" s="141"/>
      <c r="EZ21" s="141"/>
      <c r="FA21" s="141"/>
      <c r="FB21" s="141"/>
      <c r="FC21" s="141"/>
      <c r="FD21" s="141"/>
      <c r="FE21" s="141"/>
      <c r="FF21" s="141"/>
      <c r="FG21" s="141"/>
      <c r="FH21" s="141"/>
      <c r="FI21" s="141"/>
      <c r="FJ21" s="141"/>
      <c r="FK21" s="141"/>
      <c r="FL21" s="141"/>
      <c r="FM21" s="141"/>
      <c r="FN21" s="141"/>
      <c r="FO21" s="141"/>
      <c r="FP21" s="141"/>
      <c r="FQ21" s="141"/>
      <c r="FR21" s="141"/>
      <c r="FS21" s="141"/>
      <c r="FT21" s="141"/>
      <c r="FU21" s="141"/>
      <c r="FV21" s="141"/>
      <c r="FW21" s="141"/>
      <c r="FX21" s="141"/>
      <c r="FY21" s="141"/>
      <c r="FZ21" s="141"/>
      <c r="GA21" s="141"/>
      <c r="GB21" s="141"/>
      <c r="GC21" s="141"/>
      <c r="GD21" s="141"/>
      <c r="GE21" s="141"/>
      <c r="GF21" s="141"/>
      <c r="GG21" s="141"/>
      <c r="GH21" s="141"/>
      <c r="GI21" s="141"/>
      <c r="GJ21" s="141"/>
      <c r="GK21" s="141"/>
      <c r="GL21" s="141"/>
      <c r="GM21" s="141"/>
      <c r="GN21" s="141"/>
      <c r="GO21" s="141"/>
      <c r="GP21" s="141"/>
      <c r="GQ21" s="141"/>
      <c r="GR21" s="141"/>
      <c r="GS21" s="141"/>
      <c r="GT21" s="141"/>
      <c r="GU21" s="141"/>
      <c r="GV21" s="141"/>
      <c r="GW21" s="141"/>
      <c r="GX21" s="141"/>
      <c r="GY21" s="141"/>
      <c r="GZ21" s="141"/>
      <c r="HA21" s="141"/>
      <c r="HB21" s="141"/>
      <c r="HC21" s="141"/>
      <c r="HD21" s="141"/>
      <c r="HE21" s="141"/>
      <c r="HF21" s="141"/>
      <c r="HG21" s="141"/>
      <c r="HH21" s="141"/>
      <c r="HI21" s="141"/>
      <c r="HJ21" s="141"/>
      <c r="HK21" s="141"/>
      <c r="HL21" s="141"/>
      <c r="HM21" s="141"/>
      <c r="HN21" s="141"/>
      <c r="HO21" s="141"/>
      <c r="HP21" s="141"/>
      <c r="HQ21" s="141"/>
      <c r="HR21" s="141"/>
      <c r="HS21" s="141"/>
      <c r="HT21" s="141"/>
      <c r="HU21" s="141"/>
      <c r="HV21" s="141"/>
      <c r="HW21" s="141"/>
      <c r="HX21" s="141"/>
      <c r="HY21" s="141"/>
      <c r="HZ21" s="141"/>
      <c r="IA21" s="141"/>
      <c r="IB21" s="141"/>
      <c r="IC21" s="141"/>
      <c r="ID21" s="141"/>
      <c r="IE21" s="141"/>
      <c r="IF21" s="141"/>
      <c r="IG21" s="141"/>
      <c r="IH21" s="141"/>
      <c r="II21" s="141"/>
      <c r="IJ21" s="141"/>
      <c r="IK21" s="141"/>
      <c r="IL21" s="141"/>
      <c r="IM21" s="141"/>
      <c r="IN21" s="141"/>
      <c r="IO21" s="141"/>
      <c r="IP21" s="141"/>
      <c r="IQ21" s="141"/>
      <c r="IR21" s="141"/>
      <c r="IS21" s="141"/>
      <c r="IT21" s="141"/>
      <c r="IU21" s="141"/>
      <c r="IV21" s="141"/>
      <c r="IW21" s="141"/>
      <c r="IX21" s="141"/>
      <c r="IY21" s="21">
        <v>1</v>
      </c>
      <c r="IZ21" s="31">
        <f>(TEXT(K21,"[m]")/60)*VLOOKUP(IY21,'Income Person-hours'!A$2:C$5,3,FALSE)</f>
        <v>0</v>
      </c>
      <c r="JA21" s="91"/>
      <c r="JB21" s="91"/>
      <c r="JC21" s="91"/>
      <c r="JD21" s="160">
        <f>SUM((TEXT(JA21,"[M]")/60)*'Income Person-hours'!$D$3,(TEXT(JB21,"[M]")/60)*'Income Person-hours'!$D$4,(TEXT(JC21,"[M]")/60)*'Income Person-hours'!$D$5)</f>
        <v>0</v>
      </c>
    </row>
    <row r="22" spans="1:16384" s="159" customFormat="1" ht="38.25" customHeight="1">
      <c r="A22" s="197">
        <v>2.5</v>
      </c>
      <c r="B22" s="186" t="s">
        <v>125</v>
      </c>
      <c r="C22" s="173" t="s">
        <v>103</v>
      </c>
      <c r="D22" s="295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1398/10/19</v>
      </c>
      <c r="E22" s="136">
        <f t="shared" si="4"/>
        <v>13981019</v>
      </c>
      <c r="F22" s="296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1398/10/21</v>
      </c>
      <c r="G22" s="139">
        <f t="shared" si="5"/>
        <v>13981021</v>
      </c>
      <c r="H22" s="175">
        <v>1</v>
      </c>
      <c r="I22" s="176">
        <v>2.4</v>
      </c>
      <c r="J22" s="174">
        <f>j_WEEKDAY(D22,2)</f>
        <v>5</v>
      </c>
      <c r="K22" s="143">
        <f t="shared" si="10"/>
        <v>0</v>
      </c>
      <c r="L22" s="177">
        <f t="shared" si="11"/>
        <v>3</v>
      </c>
      <c r="M22" s="178">
        <v>0</v>
      </c>
      <c r="N22" s="179">
        <v>2</v>
      </c>
      <c r="O22" s="144">
        <f t="shared" si="12"/>
        <v>0</v>
      </c>
      <c r="P22" s="144">
        <f>VALUE(J_normdate(J_ADDDAY($D22,$O22,1)))</f>
        <v>13981019</v>
      </c>
      <c r="Q22" s="142">
        <f t="shared" si="13"/>
        <v>3</v>
      </c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CW22" s="141"/>
      <c r="CX22" s="141"/>
      <c r="CY22" s="141"/>
      <c r="CZ22" s="141"/>
      <c r="DA22" s="141"/>
      <c r="DB22" s="141"/>
      <c r="DC22" s="141"/>
      <c r="DD22" s="141"/>
      <c r="DE22" s="141"/>
      <c r="DF22" s="141"/>
      <c r="DG22" s="141"/>
      <c r="DH22" s="141"/>
      <c r="DI22" s="141"/>
      <c r="DJ22" s="141"/>
      <c r="DK22" s="141"/>
      <c r="DL22" s="141"/>
      <c r="DM22" s="141"/>
      <c r="DN22" s="141"/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141"/>
      <c r="EE22" s="141"/>
      <c r="EF22" s="141"/>
      <c r="EG22" s="141"/>
      <c r="EH22" s="141"/>
      <c r="EI22" s="141"/>
      <c r="EJ22" s="141"/>
      <c r="EK22" s="141"/>
      <c r="EL22" s="141"/>
      <c r="EM22" s="141"/>
      <c r="EN22" s="141"/>
      <c r="EO22" s="141"/>
      <c r="EP22" s="141"/>
      <c r="EQ22" s="141"/>
      <c r="ER22" s="141"/>
      <c r="ES22" s="141"/>
      <c r="ET22" s="141"/>
      <c r="EU22" s="141"/>
      <c r="EV22" s="141"/>
      <c r="EW22" s="141"/>
      <c r="EX22" s="141"/>
      <c r="EY22" s="141"/>
      <c r="EZ22" s="141"/>
      <c r="FA22" s="141"/>
      <c r="FB22" s="141"/>
      <c r="FC22" s="141"/>
      <c r="FD22" s="141"/>
      <c r="FE22" s="141"/>
      <c r="FF22" s="141"/>
      <c r="FG22" s="141"/>
      <c r="FH22" s="141"/>
      <c r="FI22" s="141"/>
      <c r="FJ22" s="141"/>
      <c r="FK22" s="141"/>
      <c r="FL22" s="141"/>
      <c r="FM22" s="141"/>
      <c r="FN22" s="141"/>
      <c r="FO22" s="141"/>
      <c r="FP22" s="141"/>
      <c r="FQ22" s="141"/>
      <c r="FR22" s="141"/>
      <c r="FS22" s="141"/>
      <c r="FT22" s="141"/>
      <c r="FU22" s="141"/>
      <c r="FV22" s="141"/>
      <c r="FW22" s="141"/>
      <c r="FX22" s="141"/>
      <c r="FY22" s="141"/>
      <c r="FZ22" s="141"/>
      <c r="GA22" s="141"/>
      <c r="GB22" s="141"/>
      <c r="GC22" s="141"/>
      <c r="GD22" s="141"/>
      <c r="GE22" s="141"/>
      <c r="GF22" s="141"/>
      <c r="GG22" s="141"/>
      <c r="GH22" s="141"/>
      <c r="GI22" s="141"/>
      <c r="GJ22" s="141"/>
      <c r="GK22" s="141"/>
      <c r="GL22" s="141"/>
      <c r="GM22" s="141"/>
      <c r="GN22" s="141"/>
      <c r="GO22" s="141"/>
      <c r="GP22" s="141"/>
      <c r="GQ22" s="141"/>
      <c r="GR22" s="141"/>
      <c r="GS22" s="141"/>
      <c r="GT22" s="141"/>
      <c r="GU22" s="141"/>
      <c r="GV22" s="141"/>
      <c r="GW22" s="141"/>
      <c r="GX22" s="141"/>
      <c r="GY22" s="141"/>
      <c r="GZ22" s="141"/>
      <c r="HA22" s="141"/>
      <c r="HB22" s="141"/>
      <c r="HC22" s="141"/>
      <c r="HD22" s="141"/>
      <c r="HE22" s="141"/>
      <c r="HF22" s="141"/>
      <c r="HG22" s="141"/>
      <c r="HH22" s="141"/>
      <c r="HI22" s="141"/>
      <c r="HJ22" s="141"/>
      <c r="HK22" s="141"/>
      <c r="HL22" s="141"/>
      <c r="HM22" s="141"/>
      <c r="HN22" s="141"/>
      <c r="HO22" s="141"/>
      <c r="HP22" s="141"/>
      <c r="HQ22" s="141"/>
      <c r="HR22" s="141"/>
      <c r="HS22" s="141"/>
      <c r="HT22" s="141"/>
      <c r="HU22" s="141"/>
      <c r="HV22" s="141"/>
      <c r="HW22" s="141"/>
      <c r="HX22" s="141"/>
      <c r="HY22" s="141"/>
      <c r="HZ22" s="141"/>
      <c r="IA22" s="141"/>
      <c r="IB22" s="141"/>
      <c r="IC22" s="141"/>
      <c r="ID22" s="141"/>
      <c r="IE22" s="141"/>
      <c r="IF22" s="141"/>
      <c r="IG22" s="141"/>
      <c r="IH22" s="141"/>
      <c r="II22" s="141"/>
      <c r="IJ22" s="141"/>
      <c r="IK22" s="141"/>
      <c r="IL22" s="141"/>
      <c r="IM22" s="141"/>
      <c r="IN22" s="141"/>
      <c r="IO22" s="141"/>
      <c r="IP22" s="141"/>
      <c r="IQ22" s="141"/>
      <c r="IR22" s="141"/>
      <c r="IS22" s="141"/>
      <c r="IT22" s="141"/>
      <c r="IU22" s="141"/>
      <c r="IV22" s="141"/>
      <c r="IW22" s="141"/>
      <c r="IX22" s="141"/>
      <c r="IY22" s="21">
        <v>1</v>
      </c>
      <c r="IZ22" s="31">
        <f>(TEXT(K22,"[m]")/60)*VLOOKUP(IY22,'Income Person-hours'!A$2:C$5,3,FALSE)</f>
        <v>0</v>
      </c>
      <c r="JA22" s="91"/>
      <c r="JB22" s="91"/>
      <c r="JC22" s="91"/>
      <c r="JD22" s="160">
        <f>SUM((TEXT(JA22,"[M]")/60)*'Income Person-hours'!$D$3,(TEXT(JB22,"[M]")/60)*'Income Person-hours'!$D$4,(TEXT(JC22,"[M]")/60)*'Income Person-hours'!$D$5)</f>
        <v>0</v>
      </c>
    </row>
    <row r="23" spans="1:16384" s="159" customFormat="1" ht="33" customHeight="1">
      <c r="A23" s="188">
        <v>2.6</v>
      </c>
      <c r="B23" s="186" t="s">
        <v>133</v>
      </c>
      <c r="C23" s="173" t="s">
        <v>103</v>
      </c>
      <c r="D23" s="295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1398/10/22</v>
      </c>
      <c r="E23" s="136">
        <f t="shared" si="4"/>
        <v>13981022</v>
      </c>
      <c r="F23" s="296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1398/10/22</v>
      </c>
      <c r="G23" s="139">
        <f t="shared" si="5"/>
        <v>13981022</v>
      </c>
      <c r="H23" s="175">
        <v>1</v>
      </c>
      <c r="I23" s="176">
        <v>2.5</v>
      </c>
      <c r="J23" s="174">
        <f>j_WEEKDAY(D23,2)</f>
        <v>1</v>
      </c>
      <c r="K23" s="143">
        <f t="shared" si="10"/>
        <v>0</v>
      </c>
      <c r="L23" s="177">
        <f t="shared" si="11"/>
        <v>1</v>
      </c>
      <c r="M23" s="178">
        <v>0</v>
      </c>
      <c r="N23" s="179">
        <v>1</v>
      </c>
      <c r="O23" s="144">
        <f t="shared" si="12"/>
        <v>0</v>
      </c>
      <c r="P23" s="144">
        <f>VALUE(J_normdate(J_ADDDAY($D23,$O23,1)))</f>
        <v>13981022</v>
      </c>
      <c r="Q23" s="142">
        <f t="shared" si="13"/>
        <v>1</v>
      </c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  <c r="CK23" s="141"/>
      <c r="CL23" s="141"/>
      <c r="CM23" s="141"/>
      <c r="CN23" s="141"/>
      <c r="CO23" s="141"/>
      <c r="CP23" s="141"/>
      <c r="CQ23" s="141"/>
      <c r="CR23" s="141"/>
      <c r="CS23" s="141"/>
      <c r="CT23" s="141"/>
      <c r="CU23" s="141"/>
      <c r="CV23" s="141"/>
      <c r="CW23" s="141"/>
      <c r="CX23" s="141"/>
      <c r="CY23" s="141"/>
      <c r="CZ23" s="141"/>
      <c r="DA23" s="141"/>
      <c r="DB23" s="141"/>
      <c r="DC23" s="141"/>
      <c r="DD23" s="141"/>
      <c r="DE23" s="141"/>
      <c r="DF23" s="141"/>
      <c r="DG23" s="141"/>
      <c r="DH23" s="141"/>
      <c r="DI23" s="141"/>
      <c r="DJ23" s="141"/>
      <c r="DK23" s="141"/>
      <c r="DL23" s="141"/>
      <c r="DM23" s="141"/>
      <c r="DN23" s="141"/>
      <c r="DO23" s="141"/>
      <c r="DP23" s="141"/>
      <c r="DQ23" s="141"/>
      <c r="DR23" s="141"/>
      <c r="DS23" s="141"/>
      <c r="DT23" s="141"/>
      <c r="DU23" s="141"/>
      <c r="DV23" s="141"/>
      <c r="DW23" s="141"/>
      <c r="DX23" s="141"/>
      <c r="DY23" s="141"/>
      <c r="DZ23" s="141"/>
      <c r="EA23" s="141"/>
      <c r="EB23" s="141"/>
      <c r="EC23" s="141"/>
      <c r="ED23" s="141"/>
      <c r="EE23" s="141"/>
      <c r="EF23" s="141"/>
      <c r="EG23" s="141"/>
      <c r="EH23" s="141"/>
      <c r="EI23" s="141"/>
      <c r="EJ23" s="141"/>
      <c r="EK23" s="141"/>
      <c r="EL23" s="141"/>
      <c r="EM23" s="141"/>
      <c r="EN23" s="141"/>
      <c r="EO23" s="141"/>
      <c r="EP23" s="141"/>
      <c r="EQ23" s="141"/>
      <c r="ER23" s="141"/>
      <c r="ES23" s="141"/>
      <c r="ET23" s="141"/>
      <c r="EU23" s="141"/>
      <c r="EV23" s="141"/>
      <c r="EW23" s="141"/>
      <c r="EX23" s="141"/>
      <c r="EY23" s="141"/>
      <c r="EZ23" s="141"/>
      <c r="FA23" s="141"/>
      <c r="FB23" s="141"/>
      <c r="FC23" s="141"/>
      <c r="FD23" s="141"/>
      <c r="FE23" s="141"/>
      <c r="FF23" s="141"/>
      <c r="FG23" s="141"/>
      <c r="FH23" s="141"/>
      <c r="FI23" s="141"/>
      <c r="FJ23" s="141"/>
      <c r="FK23" s="141"/>
      <c r="FL23" s="141"/>
      <c r="FM23" s="141"/>
      <c r="FN23" s="141"/>
      <c r="FO23" s="141"/>
      <c r="FP23" s="141"/>
      <c r="FQ23" s="141"/>
      <c r="FR23" s="141"/>
      <c r="FS23" s="141"/>
      <c r="FT23" s="141"/>
      <c r="FU23" s="141"/>
      <c r="FV23" s="141"/>
      <c r="FW23" s="141"/>
      <c r="FX23" s="141"/>
      <c r="FY23" s="141"/>
      <c r="FZ23" s="141"/>
      <c r="GA23" s="141"/>
      <c r="GB23" s="141"/>
      <c r="GC23" s="141"/>
      <c r="GD23" s="141"/>
      <c r="GE23" s="141"/>
      <c r="GF23" s="141"/>
      <c r="GG23" s="141"/>
      <c r="GH23" s="141"/>
      <c r="GI23" s="141"/>
      <c r="GJ23" s="141"/>
      <c r="GK23" s="141"/>
      <c r="GL23" s="141"/>
      <c r="GM23" s="141"/>
      <c r="GN23" s="141"/>
      <c r="GO23" s="141"/>
      <c r="GP23" s="141"/>
      <c r="GQ23" s="141"/>
      <c r="GR23" s="141"/>
      <c r="GS23" s="141"/>
      <c r="GT23" s="141"/>
      <c r="GU23" s="141"/>
      <c r="GV23" s="141"/>
      <c r="GW23" s="141"/>
      <c r="GX23" s="141"/>
      <c r="GY23" s="141"/>
      <c r="GZ23" s="141"/>
      <c r="HA23" s="141"/>
      <c r="HB23" s="141"/>
      <c r="HC23" s="141"/>
      <c r="HD23" s="141"/>
      <c r="HE23" s="141"/>
      <c r="HF23" s="141"/>
      <c r="HG23" s="141"/>
      <c r="HH23" s="141"/>
      <c r="HI23" s="141"/>
      <c r="HJ23" s="141"/>
      <c r="HK23" s="141"/>
      <c r="HL23" s="141"/>
      <c r="HM23" s="141"/>
      <c r="HN23" s="141"/>
      <c r="HO23" s="141"/>
      <c r="HP23" s="141"/>
      <c r="HQ23" s="141"/>
      <c r="HR23" s="141"/>
      <c r="HS23" s="141"/>
      <c r="HT23" s="141"/>
      <c r="HU23" s="141"/>
      <c r="HV23" s="141"/>
      <c r="HW23" s="141"/>
      <c r="HX23" s="141"/>
      <c r="HY23" s="141"/>
      <c r="HZ23" s="141"/>
      <c r="IA23" s="141"/>
      <c r="IB23" s="141"/>
      <c r="IC23" s="141"/>
      <c r="ID23" s="141"/>
      <c r="IE23" s="141"/>
      <c r="IF23" s="141"/>
      <c r="IG23" s="141"/>
      <c r="IH23" s="141"/>
      <c r="II23" s="141"/>
      <c r="IJ23" s="141"/>
      <c r="IK23" s="141"/>
      <c r="IL23" s="141"/>
      <c r="IM23" s="141"/>
      <c r="IN23" s="141"/>
      <c r="IO23" s="141"/>
      <c r="IP23" s="141"/>
      <c r="IQ23" s="141"/>
      <c r="IR23" s="141"/>
      <c r="IS23" s="141"/>
      <c r="IT23" s="141"/>
      <c r="IU23" s="141"/>
      <c r="IV23" s="141"/>
      <c r="IW23" s="141"/>
      <c r="IX23" s="141"/>
      <c r="IY23" s="21">
        <v>1</v>
      </c>
      <c r="IZ23" s="24">
        <f>(TEXT(K23,"[m]")/60)*VLOOKUP(IY23,'Income Person-hours'!A$2:C$5,3,FALSE)</f>
        <v>0</v>
      </c>
      <c r="JA23" s="91"/>
      <c r="JB23" s="91"/>
      <c r="JC23" s="91"/>
      <c r="JD23" s="160">
        <f>SUM((TEXT(JA23,"[M]")/60)*'Income Person-hours'!$D$3,(TEXT(JB23,"[M]")/60)*'Income Person-hours'!$D$4,(TEXT(JC23,"[M]")/60)*'Income Person-hours'!$D$5)</f>
        <v>0</v>
      </c>
    </row>
    <row r="24" spans="1:16384" s="7" customFormat="1" ht="12.75" customHeight="1">
      <c r="A24" s="188">
        <v>2.7</v>
      </c>
      <c r="B24" s="186" t="s">
        <v>141</v>
      </c>
      <c r="C24" s="173" t="s">
        <v>103</v>
      </c>
      <c r="D24" s="295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1398/10/22</v>
      </c>
      <c r="E24" s="136">
        <f t="shared" si="4"/>
        <v>13981022</v>
      </c>
      <c r="F24" s="296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1398/10/22</v>
      </c>
      <c r="G24" s="139">
        <f t="shared" si="5"/>
        <v>13981022</v>
      </c>
      <c r="H24" s="175">
        <v>1</v>
      </c>
      <c r="I24" s="176">
        <v>2.5</v>
      </c>
      <c r="J24" s="174">
        <f>j_WEEKDAY(D24,2)</f>
        <v>1</v>
      </c>
      <c r="K24" s="13"/>
      <c r="L24" s="177">
        <f t="shared" si="11"/>
        <v>1</v>
      </c>
      <c r="M24" s="178">
        <v>0</v>
      </c>
      <c r="N24" s="179">
        <v>1</v>
      </c>
      <c r="O24" s="6"/>
      <c r="P24" s="6"/>
      <c r="Q24" s="5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21"/>
      <c r="IZ24" s="24"/>
      <c r="JA24" s="91"/>
      <c r="JB24" s="91"/>
      <c r="JC24" s="91"/>
      <c r="JD24" s="54"/>
    </row>
    <row r="25" spans="1:16384" s="7" customFormat="1" ht="34.5" customHeight="1">
      <c r="A25" s="197">
        <v>2.8</v>
      </c>
      <c r="B25" s="186" t="s">
        <v>142</v>
      </c>
      <c r="C25" s="173" t="s">
        <v>72</v>
      </c>
      <c r="D25" s="302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1398/10/23</v>
      </c>
      <c r="E25" s="1">
        <f t="shared" si="4"/>
        <v>13981023</v>
      </c>
      <c r="F25" s="299" t="str">
        <f>IF(N25=0,J_SUBDAY(D25,1,1),IF((N25-(NETWORKDAYS.INTL(J_GregorianDate(D25,1),J_GregorianDate(J_SUBDAY(J_ADDDAY(D25,N25,1),1,1),1),16,1)))+SUMIFS(Holieday[ok],Holieday[date],CONCATENATE("&gt;","=",D25),Holieday[date],CONCATENATE("&lt;","=",J_SUBDAY(J_ADDDAY(D25,N25,1),1,1)))-SUMIFS(Holieday[Friday],Holieday[date],CONCATENATE("&gt;","=",D25),Holieday[date],CONCATENATE("&lt;","=",J_SUBDAY(J_ADDDAY(D25,N25,1),1,1)))=0,J_SUBDAY(J_ADDDAY(D25,N25,1),1,1),IF((N25+1-(NETWORKDAYS.INTL(J_GregorianDate(D25,1),J_GregorianDate(J_SUBDAY(J_ADDDAY(D25,N25+1,1),1,1),1),16,1)))+SUMIFS(Holieday[ok],Holieday[date],CONCATENATE("&gt;","=",D25),Holieday[date],CONCATENATE("&lt;","=",J_SUBDAY(J_ADDDAY(D25,N25+1,1),1,1)))-SUMIFS(Holieday[Friday],Holieday[date],CONCATENATE("&gt;","=",D25),Holieday[date],CONCATENATE("&lt;","=",J_SUBDAY(J_ADDDAY(D25,N25+1,1),1,1)))=1,J_SUBDAY(J_ADDDAY(D25,N25+1,1),1,1),IF((N25+2-(NETWORKDAYS.INTL(J_GregorianDate(D25,1),J_GregorianDate(J_SUBDAY(J_ADDDAY(D25,N25+2,1),1,1),1),16,1)))+SUMIFS(Holieday[ok],Holieday[date],CONCATENATE("&gt;","=",D25),Holieday[date],CONCATENATE("&lt;","=",J_SUBDAY(J_ADDDAY(D25,N25+2,1),1,1)))-SUMIFS(Holieday[Friday],Holieday[date],CONCATENATE("&gt;","=",D25),Holieday[date],CONCATENATE("&lt;","=",J_SUBDAY(J_ADDDAY(D25,N25+2,1),1,1)))=2,J_SUBDAY(J_ADDDAY(D25,N25+2,1),1,1),IF((N25+3-(NETWORKDAYS.INTL(J_GregorianDate(D25,1),J_GregorianDate(J_SUBDAY(J_ADDDAY(D25,N25+3,1),1,1),1),16,1)))+SUMIFS(Holieday[ok],Holieday[date],CONCATENATE("&gt;","=",D25),Holieday[date],CONCATENATE("&lt;","=",J_SUBDAY(J_ADDDAY(D25,N25+3,1),1,1)))-SUMIFS(Holieday[Friday],Holieday[date],CONCATENATE("&gt;","=",D25),Holieday[date],CONCATENATE("&lt;","=",J_SUBDAY(J_ADDDAY(D25,N25+3,1),1,1)))=3,J_SUBDAY(J_ADDDAY(D25,N25+3,1),1,1),IF((N25+4-(NETWORKDAYS.INTL(J_GregorianDate(D25,1),J_GregorianDate(J_SUBDAY(J_ADDDAY(D25,N25+4,1),1,1),1),16,1)))+SUMIFS(Holieday[ok],Holieday[date],CONCATENATE("&gt;","=",D25),Holieday[date],CONCATENATE("&lt;","=",J_SUBDAY(J_ADDDAY(D25,N25+4,1),1,1)))-SUMIFS(Holieday[Friday],Holieday[date],CONCATENATE("&gt;","=",D25),Holieday[date],CONCATENATE("&lt;","=",J_SUBDAY(J_ADDDAY(D25,N25+4,1),1,1)))=4,J_SUBDAY(J_ADDDAY(D25,N25+4,1),1,1),IF((N25+5-(NETWORKDAYS.INTL(J_GregorianDate(D25,1),J_GregorianDate(J_SUBDAY(J_ADDDAY(D25,N25+5,1),1,1),1),16,1)))+SUMIFS(Holieday[ok],Holieday[date],CONCATENATE("&gt;","=",D25),Holieday[date],CONCATENATE("&lt;","=",J_SUBDAY(J_ADDDAY(D25,N25+5,1),1,1)))-SUMIFS(Holieday[Friday],Holieday[date],CONCATENATE("&gt;","=",D25),Holieday[date],CONCATENATE("&lt;","=",J_SUBDAY(J_ADDDAY(D25,N25+5,1),1,1)))=5,J_SUBDAY(J_ADDDAY(D25,N25+5,1),1,1),J_SUBDAY(J_ADDDAY(D25,N25+6,1),1,1))))))))</f>
        <v>1398/10/23</v>
      </c>
      <c r="G25" s="2">
        <f t="shared" si="5"/>
        <v>13981023</v>
      </c>
      <c r="H25" s="175">
        <v>1</v>
      </c>
      <c r="I25" s="176">
        <v>2.6</v>
      </c>
      <c r="J25" s="174">
        <f>j_WEEKDAY(D25,2)</f>
        <v>2</v>
      </c>
      <c r="K25" s="13">
        <f t="shared" si="10"/>
        <v>0</v>
      </c>
      <c r="L25" s="191">
        <f t="shared" si="11"/>
        <v>1</v>
      </c>
      <c r="M25" s="178">
        <v>0</v>
      </c>
      <c r="N25" s="179">
        <v>1</v>
      </c>
      <c r="O25" s="6">
        <f t="shared" si="12"/>
        <v>0</v>
      </c>
      <c r="P25" s="6">
        <f>VALUE(J_normdate(J_ADDDAY($D25,$O25,1)))</f>
        <v>13981023</v>
      </c>
      <c r="Q25" s="5">
        <f t="shared" si="13"/>
        <v>1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21">
        <v>1</v>
      </c>
      <c r="IZ25" s="24">
        <f>(TEXT(K25,"[m]")/60)*VLOOKUP(IY25,'Income Person-hours'!A$2:C$5,3,FALSE)</f>
        <v>0</v>
      </c>
      <c r="JA25" s="91"/>
      <c r="JB25" s="91"/>
      <c r="JC25" s="91"/>
      <c r="JD25" s="54">
        <f>SUM((TEXT(JA25,"[M]")/60)*'Income Person-hours'!$D$3,(TEXT(JB25,"[M]")/60)*'Income Person-hours'!$D$4,(TEXT(JC25,"[M]")/60)*'Income Person-hours'!$D$5)</f>
        <v>0</v>
      </c>
    </row>
    <row r="26" spans="1:16384" s="7" customFormat="1" ht="13.5">
      <c r="A26" s="197">
        <v>2.9</v>
      </c>
      <c r="B26" s="186" t="s">
        <v>143</v>
      </c>
      <c r="C26" s="173" t="s">
        <v>103</v>
      </c>
      <c r="D26" s="302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1398/10/22</v>
      </c>
      <c r="E26" s="1">
        <f t="shared" si="4"/>
        <v>13981022</v>
      </c>
      <c r="F26" s="299" t="str">
        <f>IF(N26=0,J_SUBDAY(D26,1,1),IF((N26-(NETWORKDAYS.INTL(J_GregorianDate(D26,1),J_GregorianDate(J_SUBDAY(J_ADDDAY(D26,N26,1),1,1),1),16,1)))+SUMIFS(Holieday[ok],Holieday[date],CONCATENATE("&gt;","=",D26),Holieday[date],CONCATENATE("&lt;","=",J_SUBDAY(J_ADDDAY(D26,N26,1),1,1)))-SUMIFS(Holieday[Friday],Holieday[date],CONCATENATE("&gt;","=",D26),Holieday[date],CONCATENATE("&lt;","=",J_SUBDAY(J_ADDDAY(D26,N26,1),1,1)))=0,J_SUBDAY(J_ADDDAY(D26,N26,1),1,1),IF((N26+1-(NETWORKDAYS.INTL(J_GregorianDate(D26,1),J_GregorianDate(J_SUBDAY(J_ADDDAY(D26,N26+1,1),1,1),1),16,1)))+SUMIFS(Holieday[ok],Holieday[date],CONCATENATE("&gt;","=",D26),Holieday[date],CONCATENATE("&lt;","=",J_SUBDAY(J_ADDDAY(D26,N26+1,1),1,1)))-SUMIFS(Holieday[Friday],Holieday[date],CONCATENATE("&gt;","=",D26),Holieday[date],CONCATENATE("&lt;","=",J_SUBDAY(J_ADDDAY(D26,N26+1,1),1,1)))=1,J_SUBDAY(J_ADDDAY(D26,N26+1,1),1,1),IF((N26+2-(NETWORKDAYS.INTL(J_GregorianDate(D26,1),J_GregorianDate(J_SUBDAY(J_ADDDAY(D26,N26+2,1),1,1),1),16,1)))+SUMIFS(Holieday[ok],Holieday[date],CONCATENATE("&gt;","=",D26),Holieday[date],CONCATENATE("&lt;","=",J_SUBDAY(J_ADDDAY(D26,N26+2,1),1,1)))-SUMIFS(Holieday[Friday],Holieday[date],CONCATENATE("&gt;","=",D26),Holieday[date],CONCATENATE("&lt;","=",J_SUBDAY(J_ADDDAY(D26,N26+2,1),1,1)))=2,J_SUBDAY(J_ADDDAY(D26,N26+2,1),1,1),IF((N26+3-(NETWORKDAYS.INTL(J_GregorianDate(D26,1),J_GregorianDate(J_SUBDAY(J_ADDDAY(D26,N26+3,1),1,1),1),16,1)))+SUMIFS(Holieday[ok],Holieday[date],CONCATENATE("&gt;","=",D26),Holieday[date],CONCATENATE("&lt;","=",J_SUBDAY(J_ADDDAY(D26,N26+3,1),1,1)))-SUMIFS(Holieday[Friday],Holieday[date],CONCATENATE("&gt;","=",D26),Holieday[date],CONCATENATE("&lt;","=",J_SUBDAY(J_ADDDAY(D26,N26+3,1),1,1)))=3,J_SUBDAY(J_ADDDAY(D26,N26+3,1),1,1),IF((N26+4-(NETWORKDAYS.INTL(J_GregorianDate(D26,1),J_GregorianDate(J_SUBDAY(J_ADDDAY(D26,N26+4,1),1,1),1),16,1)))+SUMIFS(Holieday[ok],Holieday[date],CONCATENATE("&gt;","=",D26),Holieday[date],CONCATENATE("&lt;","=",J_SUBDAY(J_ADDDAY(D26,N26+4,1),1,1)))-SUMIFS(Holieday[Friday],Holieday[date],CONCATENATE("&gt;","=",D26),Holieday[date],CONCATENATE("&lt;","=",J_SUBDAY(J_ADDDAY(D26,N26+4,1),1,1)))=4,J_SUBDAY(J_ADDDAY(D26,N26+4,1),1,1),IF((N26+5-(NETWORKDAYS.INTL(J_GregorianDate(D26,1),J_GregorianDate(J_SUBDAY(J_ADDDAY(D26,N26+5,1),1,1),1),16,1)))+SUMIFS(Holieday[ok],Holieday[date],CONCATENATE("&gt;","=",D26),Holieday[date],CONCATENATE("&lt;","=",J_SUBDAY(J_ADDDAY(D26,N26+5,1),1,1)))-SUMIFS(Holieday[Friday],Holieday[date],CONCATENATE("&gt;","=",D26),Holieday[date],CONCATENATE("&lt;","=",J_SUBDAY(J_ADDDAY(D26,N26+5,1),1,1)))=5,J_SUBDAY(J_ADDDAY(D26,N26+5,1),1,1),J_SUBDAY(J_ADDDAY(D26,N26+6,1),1,1))))))))</f>
        <v>1398/10/22</v>
      </c>
      <c r="G26" s="2">
        <f t="shared" si="5"/>
        <v>13981022</v>
      </c>
      <c r="H26" s="175"/>
      <c r="I26" s="176">
        <v>2.6</v>
      </c>
      <c r="J26" s="174">
        <f>j_WEEKDAY(D26,2)</f>
        <v>1</v>
      </c>
      <c r="K26" s="13">
        <f t="shared" si="10"/>
        <v>0</v>
      </c>
      <c r="L26" s="191">
        <f t="shared" si="11"/>
        <v>1</v>
      </c>
      <c r="M26" s="178">
        <v>0</v>
      </c>
      <c r="N26" s="179">
        <v>1</v>
      </c>
      <c r="O26" s="6">
        <f t="shared" si="12"/>
        <v>0</v>
      </c>
      <c r="P26" s="6">
        <f>VALUE(J_normdate(J_ADDDAY($D26,$O26,1)))</f>
        <v>13981022</v>
      </c>
      <c r="Q26" s="5">
        <f t="shared" si="13"/>
        <v>1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21">
        <v>1</v>
      </c>
      <c r="IZ26" s="24">
        <f>(TEXT(K26,"[m]")/60)*VLOOKUP(IY26,'Income Person-hours'!A$2:C$5,3,FALSE)</f>
        <v>0</v>
      </c>
      <c r="JA26" s="91"/>
      <c r="JB26" s="91"/>
      <c r="JC26" s="91"/>
      <c r="JD26" s="54">
        <f>SUM((TEXT(JA26,"[M]")/60)*'Income Person-hours'!$D$3,(TEXT(JB26,"[M]")/60)*'Income Person-hours'!$D$4,(TEXT(JC26,"[M]")/60)*'Income Person-hours'!$D$5)</f>
        <v>0</v>
      </c>
    </row>
    <row r="27" spans="1:16384" s="7" customFormat="1" ht="12" customHeight="1">
      <c r="A27" s="197">
        <v>2.11</v>
      </c>
      <c r="B27" s="186" t="s">
        <v>144</v>
      </c>
      <c r="C27" s="173" t="s">
        <v>72</v>
      </c>
      <c r="D27" s="302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1398/10/22</v>
      </c>
      <c r="E27" s="1">
        <f t="shared" ref="E27:E41" si="14">VALUE(J_normdate(D27))</f>
        <v>13981022</v>
      </c>
      <c r="F27" s="299" t="str">
        <f>IF(N27=0,J_SUBDAY(D27,1,1),IF((N27-(NETWORKDAYS.INTL(J_GregorianDate(D27,1),J_GregorianDate(J_SUBDAY(J_ADDDAY(D27,N27,1),1,1),1),16,1)))+SUMIFS(Holieday[ok],Holieday[date],CONCATENATE("&gt;","=",D27),Holieday[date],CONCATENATE("&lt;","=",J_SUBDAY(J_ADDDAY(D27,N27,1),1,1)))-SUMIFS(Holieday[Friday],Holieday[date],CONCATENATE("&gt;","=",D27),Holieday[date],CONCATENATE("&lt;","=",J_SUBDAY(J_ADDDAY(D27,N27,1),1,1)))=0,J_SUBDAY(J_ADDDAY(D27,N27,1),1,1),IF((N27+1-(NETWORKDAYS.INTL(J_GregorianDate(D27,1),J_GregorianDate(J_SUBDAY(J_ADDDAY(D27,N27+1,1),1,1),1),16,1)))+SUMIFS(Holieday[ok],Holieday[date],CONCATENATE("&gt;","=",D27),Holieday[date],CONCATENATE("&lt;","=",J_SUBDAY(J_ADDDAY(D27,N27+1,1),1,1)))-SUMIFS(Holieday[Friday],Holieday[date],CONCATENATE("&gt;","=",D27),Holieday[date],CONCATENATE("&lt;","=",J_SUBDAY(J_ADDDAY(D27,N27+1,1),1,1)))=1,J_SUBDAY(J_ADDDAY(D27,N27+1,1),1,1),IF((N27+2-(NETWORKDAYS.INTL(J_GregorianDate(D27,1),J_GregorianDate(J_SUBDAY(J_ADDDAY(D27,N27+2,1),1,1),1),16,1)))+SUMIFS(Holieday[ok],Holieday[date],CONCATENATE("&gt;","=",D27),Holieday[date],CONCATENATE("&lt;","=",J_SUBDAY(J_ADDDAY(D27,N27+2,1),1,1)))-SUMIFS(Holieday[Friday],Holieday[date],CONCATENATE("&gt;","=",D27),Holieday[date],CONCATENATE("&lt;","=",J_SUBDAY(J_ADDDAY(D27,N27+2,1),1,1)))=2,J_SUBDAY(J_ADDDAY(D27,N27+2,1),1,1),IF((N27+3-(NETWORKDAYS.INTL(J_GregorianDate(D27,1),J_GregorianDate(J_SUBDAY(J_ADDDAY(D27,N27+3,1),1,1),1),16,1)))+SUMIFS(Holieday[ok],Holieday[date],CONCATENATE("&gt;","=",D27),Holieday[date],CONCATENATE("&lt;","=",J_SUBDAY(J_ADDDAY(D27,N27+3,1),1,1)))-SUMIFS(Holieday[Friday],Holieday[date],CONCATENATE("&gt;","=",D27),Holieday[date],CONCATENATE("&lt;","=",J_SUBDAY(J_ADDDAY(D27,N27+3,1),1,1)))=3,J_SUBDAY(J_ADDDAY(D27,N27+3,1),1,1),IF((N27+4-(NETWORKDAYS.INTL(J_GregorianDate(D27,1),J_GregorianDate(J_SUBDAY(J_ADDDAY(D27,N27+4,1),1,1),1),16,1)))+SUMIFS(Holieday[ok],Holieday[date],CONCATENATE("&gt;","=",D27),Holieday[date],CONCATENATE("&lt;","=",J_SUBDAY(J_ADDDAY(D27,N27+4,1),1,1)))-SUMIFS(Holieday[Friday],Holieday[date],CONCATENATE("&gt;","=",D27),Holieday[date],CONCATENATE("&lt;","=",J_SUBDAY(J_ADDDAY(D27,N27+4,1),1,1)))=4,J_SUBDAY(J_ADDDAY(D27,N27+4,1),1,1),IF((N27+5-(NETWORKDAYS.INTL(J_GregorianDate(D27,1),J_GregorianDate(J_SUBDAY(J_ADDDAY(D27,N27+5,1),1,1),1),16,1)))+SUMIFS(Holieday[ok],Holieday[date],CONCATENATE("&gt;","=",D27),Holieday[date],CONCATENATE("&lt;","=",J_SUBDAY(J_ADDDAY(D27,N27+5,1),1,1)))-SUMIFS(Holieday[Friday],Holieday[date],CONCATENATE("&gt;","=",D27),Holieday[date],CONCATENATE("&lt;","=",J_SUBDAY(J_ADDDAY(D27,N27+5,1),1,1)))=5,J_SUBDAY(J_ADDDAY(D27,N27+5,1),1,1),J_SUBDAY(J_ADDDAY(D27,N27+6,1),1,1))))))))</f>
        <v>1398/10/22</v>
      </c>
      <c r="G27" s="2">
        <f t="shared" ref="G27:G41" si="15">VALUE(J_normdate(F27))</f>
        <v>13981022</v>
      </c>
      <c r="H27" s="175"/>
      <c r="I27" s="176">
        <v>2.9</v>
      </c>
      <c r="J27" s="174">
        <f>j_WEEKDAY(D27,2)</f>
        <v>1</v>
      </c>
      <c r="K27" s="13">
        <f t="shared" si="10"/>
        <v>0</v>
      </c>
      <c r="L27" s="191">
        <f t="shared" si="11"/>
        <v>1</v>
      </c>
      <c r="M27" s="178">
        <v>0</v>
      </c>
      <c r="N27" s="179">
        <v>1</v>
      </c>
      <c r="O27" s="6">
        <f t="shared" si="12"/>
        <v>0</v>
      </c>
      <c r="P27" s="6">
        <f>VALUE(J_normdate(J_ADDDAY($D27,$O27,1)))</f>
        <v>13981022</v>
      </c>
      <c r="Q27" s="5">
        <f t="shared" si="13"/>
        <v>1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21">
        <v>1</v>
      </c>
      <c r="IZ27" s="24">
        <f>(TEXT(K27,"[m]")/60)*VLOOKUP(IY27,'Income Person-hours'!A$2:C$5,3,FALSE)</f>
        <v>0</v>
      </c>
      <c r="JA27" s="91"/>
      <c r="JB27" s="91"/>
      <c r="JC27" s="91"/>
      <c r="JD27" s="54">
        <f>SUM((TEXT(JA27,"[M]")/60)*'Income Person-hours'!$D$3,(TEXT(JB27,"[M]")/60)*'Income Person-hours'!$D$4,(TEXT(JC27,"[M]")/60)*'Income Person-hours'!$D$5)</f>
        <v>0</v>
      </c>
    </row>
    <row r="28" spans="1:16384" s="7" customFormat="1" ht="13.5">
      <c r="A28" s="197">
        <v>2.12</v>
      </c>
      <c r="B28" s="186" t="s">
        <v>145</v>
      </c>
      <c r="C28" s="173" t="s">
        <v>104</v>
      </c>
      <c r="D28" s="302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1398/10/22</v>
      </c>
      <c r="E28" s="1">
        <f t="shared" si="14"/>
        <v>13981022</v>
      </c>
      <c r="F28" s="299" t="str">
        <f>IF(N28=0,J_SUBDAY(D28,1,1),IF((N28-(NETWORKDAYS.INTL(J_GregorianDate(D28,1),J_GregorianDate(J_SUBDAY(J_ADDDAY(D28,N28,1),1,1),1),16,1)))+SUMIFS(Holieday[ok],Holieday[date],CONCATENATE("&gt;","=",D28),Holieday[date],CONCATENATE("&lt;","=",J_SUBDAY(J_ADDDAY(D28,N28,1),1,1)))-SUMIFS(Holieday[Friday],Holieday[date],CONCATENATE("&gt;","=",D28),Holieday[date],CONCATENATE("&lt;","=",J_SUBDAY(J_ADDDAY(D28,N28,1),1,1)))=0,J_SUBDAY(J_ADDDAY(D28,N28,1),1,1),IF((N28+1-(NETWORKDAYS.INTL(J_GregorianDate(D28,1),J_GregorianDate(J_SUBDAY(J_ADDDAY(D28,N28+1,1),1,1),1),16,1)))+SUMIFS(Holieday[ok],Holieday[date],CONCATENATE("&gt;","=",D28),Holieday[date],CONCATENATE("&lt;","=",J_SUBDAY(J_ADDDAY(D28,N28+1,1),1,1)))-SUMIFS(Holieday[Friday],Holieday[date],CONCATENATE("&gt;","=",D28),Holieday[date],CONCATENATE("&lt;","=",J_SUBDAY(J_ADDDAY(D28,N28+1,1),1,1)))=1,J_SUBDAY(J_ADDDAY(D28,N28+1,1),1,1),IF((N28+2-(NETWORKDAYS.INTL(J_GregorianDate(D28,1),J_GregorianDate(J_SUBDAY(J_ADDDAY(D28,N28+2,1),1,1),1),16,1)))+SUMIFS(Holieday[ok],Holieday[date],CONCATENATE("&gt;","=",D28),Holieday[date],CONCATENATE("&lt;","=",J_SUBDAY(J_ADDDAY(D28,N28+2,1),1,1)))-SUMIFS(Holieday[Friday],Holieday[date],CONCATENATE("&gt;","=",D28),Holieday[date],CONCATENATE("&lt;","=",J_SUBDAY(J_ADDDAY(D28,N28+2,1),1,1)))=2,J_SUBDAY(J_ADDDAY(D28,N28+2,1),1,1),IF((N28+3-(NETWORKDAYS.INTL(J_GregorianDate(D28,1),J_GregorianDate(J_SUBDAY(J_ADDDAY(D28,N28+3,1),1,1),1),16,1)))+SUMIFS(Holieday[ok],Holieday[date],CONCATENATE("&gt;","=",D28),Holieday[date],CONCATENATE("&lt;","=",J_SUBDAY(J_ADDDAY(D28,N28+3,1),1,1)))-SUMIFS(Holieday[Friday],Holieday[date],CONCATENATE("&gt;","=",D28),Holieday[date],CONCATENATE("&lt;","=",J_SUBDAY(J_ADDDAY(D28,N28+3,1),1,1)))=3,J_SUBDAY(J_ADDDAY(D28,N28+3,1),1,1),IF((N28+4-(NETWORKDAYS.INTL(J_GregorianDate(D28,1),J_GregorianDate(J_SUBDAY(J_ADDDAY(D28,N28+4,1),1,1),1),16,1)))+SUMIFS(Holieday[ok],Holieday[date],CONCATENATE("&gt;","=",D28),Holieday[date],CONCATENATE("&lt;","=",J_SUBDAY(J_ADDDAY(D28,N28+4,1),1,1)))-SUMIFS(Holieday[Friday],Holieday[date],CONCATENATE("&gt;","=",D28),Holieday[date],CONCATENATE("&lt;","=",J_SUBDAY(J_ADDDAY(D28,N28+4,1),1,1)))=4,J_SUBDAY(J_ADDDAY(D28,N28+4,1),1,1),IF((N28+5-(NETWORKDAYS.INTL(J_GregorianDate(D28,1),J_GregorianDate(J_SUBDAY(J_ADDDAY(D28,N28+5,1),1,1),1),16,1)))+SUMIFS(Holieday[ok],Holieday[date],CONCATENATE("&gt;","=",D28),Holieday[date],CONCATENATE("&lt;","=",J_SUBDAY(J_ADDDAY(D28,N28+5,1),1,1)))-SUMIFS(Holieday[Friday],Holieday[date],CONCATENATE("&gt;","=",D28),Holieday[date],CONCATENATE("&lt;","=",J_SUBDAY(J_ADDDAY(D28,N28+5,1),1,1)))=5,J_SUBDAY(J_ADDDAY(D28,N28+5,1),1,1),J_SUBDAY(J_ADDDAY(D28,N28+6,1),1,1))))))))</f>
        <v>1398/10/23</v>
      </c>
      <c r="G28" s="2">
        <f t="shared" si="15"/>
        <v>13981023</v>
      </c>
      <c r="H28" s="175"/>
      <c r="I28" s="176">
        <v>2.11</v>
      </c>
      <c r="J28" s="174">
        <f>j_WEEKDAY(D28,2)</f>
        <v>1</v>
      </c>
      <c r="K28" s="13"/>
      <c r="L28" s="191">
        <f t="shared" si="11"/>
        <v>2</v>
      </c>
      <c r="M28" s="178">
        <v>0</v>
      </c>
      <c r="N28" s="179">
        <v>2</v>
      </c>
      <c r="O28" s="6"/>
      <c r="P28" s="6"/>
      <c r="Q28" s="5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21"/>
      <c r="IZ28" s="24"/>
      <c r="JA28" s="91"/>
      <c r="JB28" s="91"/>
      <c r="JC28" s="91"/>
      <c r="JD28" s="54"/>
    </row>
    <row r="29" spans="1:16384" s="7" customFormat="1" ht="13.5">
      <c r="A29" s="197">
        <v>2.13</v>
      </c>
      <c r="B29" s="186" t="s">
        <v>146</v>
      </c>
      <c r="C29" s="173" t="s">
        <v>103</v>
      </c>
      <c r="D29" s="302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1398/10/23</v>
      </c>
      <c r="E29" s="1">
        <f t="shared" si="14"/>
        <v>13981023</v>
      </c>
      <c r="F29" s="299" t="str">
        <f>IF(N29=0,J_SUBDAY(D29,1,1),IF((N29-(NETWORKDAYS.INTL(J_GregorianDate(D29,1),J_GregorianDate(J_SUBDAY(J_ADDDAY(D29,N29,1),1,1),1),16,1)))+SUMIFS(Holieday[ok],Holieday[date],CONCATENATE("&gt;","=",D29),Holieday[date],CONCATENATE("&lt;","=",J_SUBDAY(J_ADDDAY(D29,N29,1),1,1)))-SUMIFS(Holieday[Friday],Holieday[date],CONCATENATE("&gt;","=",D29),Holieday[date],CONCATENATE("&lt;","=",J_SUBDAY(J_ADDDAY(D29,N29,1),1,1)))=0,J_SUBDAY(J_ADDDAY(D29,N29,1),1,1),IF((N29+1-(NETWORKDAYS.INTL(J_GregorianDate(D29,1),J_GregorianDate(J_SUBDAY(J_ADDDAY(D29,N29+1,1),1,1),1),16,1)))+SUMIFS(Holieday[ok],Holieday[date],CONCATENATE("&gt;","=",D29),Holieday[date],CONCATENATE("&lt;","=",J_SUBDAY(J_ADDDAY(D29,N29+1,1),1,1)))-SUMIFS(Holieday[Friday],Holieday[date],CONCATENATE("&gt;","=",D29),Holieday[date],CONCATENATE("&lt;","=",J_SUBDAY(J_ADDDAY(D29,N29+1,1),1,1)))=1,J_SUBDAY(J_ADDDAY(D29,N29+1,1),1,1),IF((N29+2-(NETWORKDAYS.INTL(J_GregorianDate(D29,1),J_GregorianDate(J_SUBDAY(J_ADDDAY(D29,N29+2,1),1,1),1),16,1)))+SUMIFS(Holieday[ok],Holieday[date],CONCATENATE("&gt;","=",D29),Holieday[date],CONCATENATE("&lt;","=",J_SUBDAY(J_ADDDAY(D29,N29+2,1),1,1)))-SUMIFS(Holieday[Friday],Holieday[date],CONCATENATE("&gt;","=",D29),Holieday[date],CONCATENATE("&lt;","=",J_SUBDAY(J_ADDDAY(D29,N29+2,1),1,1)))=2,J_SUBDAY(J_ADDDAY(D29,N29+2,1),1,1),IF((N29+3-(NETWORKDAYS.INTL(J_GregorianDate(D29,1),J_GregorianDate(J_SUBDAY(J_ADDDAY(D29,N29+3,1),1,1),1),16,1)))+SUMIFS(Holieday[ok],Holieday[date],CONCATENATE("&gt;","=",D29),Holieday[date],CONCATENATE("&lt;","=",J_SUBDAY(J_ADDDAY(D29,N29+3,1),1,1)))-SUMIFS(Holieday[Friday],Holieday[date],CONCATENATE("&gt;","=",D29),Holieday[date],CONCATENATE("&lt;","=",J_SUBDAY(J_ADDDAY(D29,N29+3,1),1,1)))=3,J_SUBDAY(J_ADDDAY(D29,N29+3,1),1,1),IF((N29+4-(NETWORKDAYS.INTL(J_GregorianDate(D29,1),J_GregorianDate(J_SUBDAY(J_ADDDAY(D29,N29+4,1),1,1),1),16,1)))+SUMIFS(Holieday[ok],Holieday[date],CONCATENATE("&gt;","=",D29),Holieday[date],CONCATENATE("&lt;","=",J_SUBDAY(J_ADDDAY(D29,N29+4,1),1,1)))-SUMIFS(Holieday[Friday],Holieday[date],CONCATENATE("&gt;","=",D29),Holieday[date],CONCATENATE("&lt;","=",J_SUBDAY(J_ADDDAY(D29,N29+4,1),1,1)))=4,J_SUBDAY(J_ADDDAY(D29,N29+4,1),1,1),IF((N29+5-(NETWORKDAYS.INTL(J_GregorianDate(D29,1),J_GregorianDate(J_SUBDAY(J_ADDDAY(D29,N29+5,1),1,1),1),16,1)))+SUMIFS(Holieday[ok],Holieday[date],CONCATENATE("&gt;","=",D29),Holieday[date],CONCATENATE("&lt;","=",J_SUBDAY(J_ADDDAY(D29,N29+5,1),1,1)))-SUMIFS(Holieday[Friday],Holieday[date],CONCATENATE("&gt;","=",D29),Holieday[date],CONCATENATE("&lt;","=",J_SUBDAY(J_ADDDAY(D29,N29+5,1),1,1)))=5,J_SUBDAY(J_ADDDAY(D29,N29+5,1),1,1),J_SUBDAY(J_ADDDAY(D29,N29+6,1),1,1))))))))</f>
        <v>1398/10/25</v>
      </c>
      <c r="G29" s="2">
        <f t="shared" si="15"/>
        <v>13981025</v>
      </c>
      <c r="H29" s="175"/>
      <c r="I29" s="176">
        <v>2.12</v>
      </c>
      <c r="J29" s="174">
        <f>j_WEEKDAY(D29,2)</f>
        <v>2</v>
      </c>
      <c r="K29" s="13"/>
      <c r="L29" s="191">
        <f t="shared" si="11"/>
        <v>3</v>
      </c>
      <c r="M29" s="178">
        <v>0</v>
      </c>
      <c r="N29" s="179">
        <v>3</v>
      </c>
      <c r="O29" s="6"/>
      <c r="P29" s="6"/>
      <c r="Q29" s="5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21"/>
      <c r="IZ29" s="24"/>
      <c r="JA29" s="91"/>
      <c r="JB29" s="91"/>
      <c r="JC29" s="91"/>
      <c r="JD29" s="54"/>
    </row>
    <row r="30" spans="1:16384" s="187" customFormat="1" ht="13.5">
      <c r="A30" s="267">
        <v>3</v>
      </c>
      <c r="B30" s="268" t="s">
        <v>126</v>
      </c>
      <c r="C30" s="269"/>
      <c r="D30" s="298" t="str">
        <f>FDate(MIN(E31:E42))</f>
        <v>1398/10/01</v>
      </c>
      <c r="E30" s="136">
        <f t="shared" si="14"/>
        <v>13981001</v>
      </c>
      <c r="F30" s="297" t="str">
        <f>J_SUBDAY(J_ADDDAY(D30,L30,1),1,1)</f>
        <v>1398/11/13</v>
      </c>
      <c r="G30" s="139">
        <f t="shared" si="15"/>
        <v>13981113</v>
      </c>
      <c r="H30" s="271"/>
      <c r="I30" s="272"/>
      <c r="J30" s="270">
        <f>j_WEEKDAY(D30,2)</f>
        <v>1</v>
      </c>
      <c r="K30" s="140">
        <f>SUM(K31:K42)</f>
        <v>0</v>
      </c>
      <c r="L30" s="273">
        <f>J_DIFF(D30,FDate(MAX(G31:G42)))+1</f>
        <v>43</v>
      </c>
      <c r="M30" s="274">
        <f>IF(SUM(L31:L42)&lt;&gt;0,SUMPRODUCT(L31:L42,M31:M42)/SUM(L31:L42),0)</f>
        <v>0.39397590361445778</v>
      </c>
      <c r="N30" s="275">
        <f>IF(F30&gt;=D30,NETWORKDAYS.INTL(J_GregorianDate(D30,1),J_GregorianDate(F30,1),16,1)-SUMIFS(Holieday[ok],Holieday[date],CONCATENATE("&gt;","=",D30),Holieday[date],CONCATENATE("&lt;","=",F30))+SUMIFS(Holieday[Friday],Holieday[date],CONCATENATE("&gt;","=",D30),Holieday[date],CONCATENATE("&lt;","=",F30)),0)</f>
        <v>36</v>
      </c>
      <c r="O30" s="135">
        <f t="shared" ref="O30:O38" si="16">ROUNDDOWN(M30*L30,0)</f>
        <v>16</v>
      </c>
      <c r="P30" s="138">
        <f>VALUE(J_normdate(J_ADDDAY($D30,$O30,1)))</f>
        <v>13981017</v>
      </c>
      <c r="Q30" s="137">
        <f>L30-O30</f>
        <v>27</v>
      </c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  <c r="AG30" s="276"/>
      <c r="AH30" s="276"/>
      <c r="AI30" s="276"/>
      <c r="AJ30" s="276"/>
      <c r="AK30" s="276"/>
      <c r="AL30" s="276"/>
      <c r="AM30" s="276"/>
      <c r="AN30" s="276"/>
      <c r="AO30" s="276"/>
      <c r="AP30" s="276"/>
      <c r="AQ30" s="276"/>
      <c r="AR30" s="276"/>
      <c r="AS30" s="276"/>
      <c r="AT30" s="276"/>
      <c r="AU30" s="276"/>
      <c r="AV30" s="276"/>
      <c r="AW30" s="276"/>
      <c r="AX30" s="276"/>
      <c r="AY30" s="276"/>
      <c r="AZ30" s="276"/>
      <c r="BA30" s="276"/>
      <c r="BB30" s="276"/>
      <c r="BC30" s="276"/>
      <c r="BD30" s="276"/>
      <c r="BE30" s="276"/>
      <c r="BF30" s="276"/>
      <c r="BG30" s="276"/>
      <c r="BH30" s="276"/>
      <c r="BI30" s="276"/>
      <c r="BJ30" s="276"/>
      <c r="BK30" s="276"/>
      <c r="BL30" s="276"/>
      <c r="BM30" s="276"/>
      <c r="BN30" s="276"/>
      <c r="BO30" s="276"/>
      <c r="BP30" s="276"/>
      <c r="BQ30" s="276"/>
      <c r="BR30" s="276"/>
      <c r="BS30" s="276"/>
      <c r="BT30" s="276"/>
      <c r="BU30" s="276"/>
      <c r="BV30" s="276"/>
      <c r="BW30" s="276"/>
      <c r="BX30" s="276"/>
      <c r="BY30" s="276"/>
      <c r="BZ30" s="276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  <c r="CW30" s="276"/>
      <c r="CX30" s="276"/>
      <c r="CY30" s="276"/>
      <c r="CZ30" s="276"/>
      <c r="DA30" s="276"/>
      <c r="DB30" s="276"/>
      <c r="DC30" s="276"/>
      <c r="DD30" s="276"/>
      <c r="DE30" s="276"/>
      <c r="DF30" s="276"/>
      <c r="DG30" s="276"/>
      <c r="DH30" s="276"/>
      <c r="DI30" s="276"/>
      <c r="DJ30" s="276"/>
      <c r="DK30" s="276"/>
      <c r="DL30" s="276"/>
      <c r="DM30" s="276"/>
      <c r="DN30" s="276"/>
      <c r="DO30" s="276"/>
      <c r="DP30" s="276"/>
      <c r="DQ30" s="276"/>
      <c r="DR30" s="276"/>
      <c r="DS30" s="276"/>
      <c r="DT30" s="276"/>
      <c r="DU30" s="276"/>
      <c r="DV30" s="276"/>
      <c r="DW30" s="276"/>
      <c r="DX30" s="276"/>
      <c r="DY30" s="276"/>
      <c r="DZ30" s="276"/>
      <c r="EA30" s="276"/>
      <c r="EB30" s="276"/>
      <c r="EC30" s="276"/>
      <c r="ED30" s="276"/>
      <c r="EE30" s="276"/>
      <c r="EF30" s="276"/>
      <c r="EG30" s="276"/>
      <c r="EH30" s="276"/>
      <c r="EI30" s="276"/>
      <c r="EJ30" s="276"/>
      <c r="EK30" s="276"/>
      <c r="EL30" s="276"/>
      <c r="EM30" s="276"/>
      <c r="EN30" s="276"/>
      <c r="EO30" s="276"/>
      <c r="EP30" s="276"/>
      <c r="EQ30" s="276"/>
      <c r="ER30" s="276"/>
      <c r="ES30" s="276"/>
      <c r="ET30" s="276"/>
      <c r="EU30" s="276"/>
      <c r="EV30" s="276"/>
      <c r="EW30" s="276"/>
      <c r="EX30" s="276"/>
      <c r="EY30" s="276"/>
      <c r="EZ30" s="276"/>
      <c r="FA30" s="276"/>
      <c r="FB30" s="276"/>
      <c r="FC30" s="276"/>
      <c r="FD30" s="276"/>
      <c r="FE30" s="276"/>
      <c r="FF30" s="276"/>
      <c r="FG30" s="276"/>
      <c r="FH30" s="276"/>
      <c r="FI30" s="276"/>
      <c r="FJ30" s="276"/>
      <c r="FK30" s="276"/>
      <c r="FL30" s="276"/>
      <c r="FM30" s="276"/>
      <c r="FN30" s="276"/>
      <c r="FO30" s="276"/>
      <c r="FP30" s="276"/>
      <c r="FQ30" s="276"/>
      <c r="FR30" s="276"/>
      <c r="FS30" s="276"/>
      <c r="FT30" s="276"/>
      <c r="FU30" s="276"/>
      <c r="FV30" s="276"/>
      <c r="FW30" s="276"/>
      <c r="FX30" s="276"/>
      <c r="FY30" s="276"/>
      <c r="FZ30" s="276"/>
      <c r="GA30" s="276"/>
      <c r="GB30" s="276"/>
      <c r="GC30" s="276"/>
      <c r="GD30" s="276"/>
      <c r="GE30" s="276"/>
      <c r="GF30" s="276"/>
      <c r="GG30" s="276"/>
      <c r="GH30" s="276"/>
      <c r="GI30" s="276"/>
      <c r="GJ30" s="276"/>
      <c r="GK30" s="276"/>
      <c r="GL30" s="276"/>
      <c r="GM30" s="276"/>
      <c r="GN30" s="276"/>
      <c r="GO30" s="276"/>
      <c r="GP30" s="276"/>
      <c r="GQ30" s="276"/>
      <c r="GR30" s="276"/>
      <c r="GS30" s="276"/>
      <c r="GT30" s="276"/>
      <c r="GU30" s="276"/>
      <c r="GV30" s="276"/>
      <c r="GW30" s="276"/>
      <c r="GX30" s="276"/>
      <c r="GY30" s="276"/>
      <c r="GZ30" s="276"/>
      <c r="HA30" s="276"/>
      <c r="HB30" s="276"/>
      <c r="HC30" s="276"/>
      <c r="HD30" s="276"/>
      <c r="HE30" s="276"/>
      <c r="HF30" s="276"/>
      <c r="HG30" s="276"/>
      <c r="HH30" s="276"/>
      <c r="HI30" s="276"/>
      <c r="HJ30" s="276"/>
      <c r="HK30" s="276"/>
      <c r="HL30" s="276"/>
      <c r="HM30" s="276"/>
      <c r="HN30" s="276"/>
      <c r="HO30" s="276"/>
      <c r="HP30" s="276"/>
      <c r="HQ30" s="276"/>
      <c r="HR30" s="276"/>
      <c r="HS30" s="276"/>
      <c r="HT30" s="276"/>
      <c r="HU30" s="276"/>
      <c r="HV30" s="276"/>
      <c r="HW30" s="276"/>
      <c r="HX30" s="276"/>
      <c r="HY30" s="276"/>
      <c r="HZ30" s="276"/>
      <c r="IA30" s="276"/>
      <c r="IB30" s="276"/>
      <c r="IC30" s="276"/>
      <c r="ID30" s="276"/>
      <c r="IE30" s="276"/>
      <c r="IF30" s="276"/>
      <c r="IG30" s="276"/>
      <c r="IH30" s="276"/>
      <c r="II30" s="276"/>
      <c r="IJ30" s="276"/>
      <c r="IK30" s="276"/>
      <c r="IL30" s="276"/>
      <c r="IM30" s="276"/>
      <c r="IN30" s="276"/>
      <c r="IO30" s="276"/>
      <c r="IP30" s="276"/>
      <c r="IQ30" s="276"/>
      <c r="IR30" s="276"/>
      <c r="IS30" s="276"/>
      <c r="IT30" s="276"/>
      <c r="IU30" s="276"/>
      <c r="IV30" s="276"/>
      <c r="IW30" s="276"/>
      <c r="IX30" s="276"/>
      <c r="IY30" s="277"/>
      <c r="IZ30" s="278"/>
      <c r="JA30" s="279"/>
      <c r="JB30" s="279"/>
      <c r="JC30" s="279"/>
      <c r="JD30" s="280"/>
      <c r="JE30" s="276"/>
      <c r="JF30" s="276"/>
      <c r="JG30" s="276"/>
      <c r="JH30" s="276"/>
      <c r="JI30" s="276"/>
      <c r="JJ30" s="276"/>
      <c r="JK30" s="276"/>
      <c r="JL30" s="276"/>
      <c r="JM30" s="276"/>
      <c r="JN30" s="276"/>
      <c r="JO30" s="276"/>
      <c r="JP30" s="276"/>
      <c r="JQ30" s="276"/>
      <c r="JR30" s="276"/>
      <c r="JS30" s="276"/>
      <c r="JT30" s="276"/>
      <c r="JU30" s="276"/>
      <c r="JV30" s="276"/>
      <c r="JW30" s="276"/>
      <c r="JX30" s="276"/>
      <c r="JY30" s="276"/>
      <c r="JZ30" s="276"/>
      <c r="KA30" s="276"/>
      <c r="KB30" s="276"/>
      <c r="KC30" s="276"/>
      <c r="KD30" s="276"/>
      <c r="KE30" s="276"/>
      <c r="KF30" s="276"/>
      <c r="KG30" s="276"/>
      <c r="KH30" s="276"/>
      <c r="KI30" s="276"/>
      <c r="KJ30" s="276"/>
      <c r="KK30" s="276"/>
      <c r="KL30" s="276"/>
      <c r="KM30" s="276"/>
      <c r="KN30" s="276"/>
      <c r="KO30" s="276"/>
      <c r="KP30" s="276"/>
      <c r="KQ30" s="276"/>
      <c r="KR30" s="276"/>
      <c r="KS30" s="276"/>
      <c r="KT30" s="276"/>
      <c r="KU30" s="276"/>
      <c r="KV30" s="276"/>
      <c r="KW30" s="276"/>
      <c r="KX30" s="276"/>
      <c r="KY30" s="276"/>
      <c r="KZ30" s="276"/>
      <c r="LA30" s="276"/>
      <c r="LB30" s="276"/>
      <c r="LC30" s="276"/>
      <c r="LD30" s="276"/>
      <c r="LE30" s="276"/>
      <c r="LF30" s="276"/>
      <c r="LG30" s="276"/>
      <c r="LH30" s="276"/>
      <c r="LI30" s="276"/>
      <c r="LJ30" s="276"/>
      <c r="LK30" s="276"/>
      <c r="LL30" s="276"/>
      <c r="LM30" s="276"/>
      <c r="LN30" s="276"/>
      <c r="LO30" s="276"/>
      <c r="LP30" s="276"/>
      <c r="LQ30" s="276"/>
      <c r="LR30" s="276"/>
      <c r="LS30" s="276"/>
      <c r="LT30" s="276"/>
      <c r="LU30" s="276"/>
      <c r="LV30" s="276"/>
      <c r="LW30" s="276"/>
      <c r="LX30" s="276"/>
      <c r="LY30" s="276"/>
      <c r="LZ30" s="276"/>
      <c r="MA30" s="276"/>
      <c r="MB30" s="276"/>
      <c r="MC30" s="276"/>
      <c r="MD30" s="276"/>
      <c r="ME30" s="276"/>
      <c r="MF30" s="276"/>
      <c r="MG30" s="276"/>
      <c r="MH30" s="276"/>
      <c r="MI30" s="276"/>
      <c r="MJ30" s="276"/>
      <c r="MK30" s="276"/>
      <c r="ML30" s="276"/>
      <c r="MM30" s="276"/>
      <c r="MN30" s="276"/>
      <c r="MO30" s="276"/>
      <c r="MP30" s="276"/>
      <c r="MQ30" s="276"/>
      <c r="MR30" s="276"/>
      <c r="MS30" s="276"/>
      <c r="MT30" s="276"/>
      <c r="MU30" s="276"/>
      <c r="MV30" s="276"/>
      <c r="MW30" s="276"/>
      <c r="MX30" s="276"/>
      <c r="MY30" s="276"/>
      <c r="MZ30" s="276"/>
      <c r="NA30" s="276"/>
      <c r="NB30" s="276"/>
      <c r="NC30" s="276"/>
      <c r="ND30" s="276"/>
      <c r="NE30" s="276"/>
      <c r="NF30" s="276"/>
      <c r="NG30" s="276"/>
      <c r="NH30" s="276"/>
      <c r="NI30" s="276"/>
      <c r="NJ30" s="276"/>
      <c r="NK30" s="276"/>
      <c r="NL30" s="276"/>
      <c r="NM30" s="276"/>
      <c r="NN30" s="276"/>
      <c r="NO30" s="276"/>
      <c r="NP30" s="276"/>
      <c r="NQ30" s="276"/>
      <c r="NR30" s="276"/>
      <c r="NS30" s="276"/>
      <c r="NT30" s="276"/>
      <c r="NU30" s="276"/>
      <c r="NV30" s="276"/>
      <c r="NW30" s="276"/>
      <c r="NX30" s="276"/>
      <c r="NY30" s="276"/>
      <c r="NZ30" s="276"/>
      <c r="OA30" s="276"/>
      <c r="OB30" s="276"/>
      <c r="OC30" s="276"/>
      <c r="OD30" s="276"/>
      <c r="OE30" s="276"/>
      <c r="OF30" s="276"/>
      <c r="OG30" s="276"/>
      <c r="OH30" s="276"/>
      <c r="OI30" s="276"/>
      <c r="OJ30" s="276"/>
      <c r="OK30" s="276"/>
      <c r="OL30" s="276"/>
      <c r="OM30" s="276"/>
      <c r="ON30" s="276"/>
      <c r="OO30" s="276"/>
      <c r="OP30" s="276"/>
      <c r="OQ30" s="276"/>
      <c r="OR30" s="276"/>
      <c r="OS30" s="276"/>
      <c r="OT30" s="276"/>
      <c r="OU30" s="276"/>
      <c r="OV30" s="276"/>
      <c r="OW30" s="276"/>
      <c r="OX30" s="276"/>
      <c r="OY30" s="276"/>
      <c r="OZ30" s="276"/>
      <c r="PA30" s="276"/>
      <c r="PB30" s="276"/>
      <c r="PC30" s="276"/>
      <c r="PD30" s="276"/>
      <c r="PE30" s="276"/>
      <c r="PF30" s="276"/>
      <c r="PG30" s="276"/>
      <c r="PH30" s="276"/>
      <c r="PI30" s="276"/>
      <c r="PJ30" s="276"/>
      <c r="PK30" s="276"/>
      <c r="PL30" s="276"/>
      <c r="PM30" s="276"/>
      <c r="PN30" s="276"/>
      <c r="PO30" s="276"/>
      <c r="PP30" s="276"/>
      <c r="PQ30" s="276"/>
      <c r="PR30" s="276"/>
      <c r="PS30" s="276"/>
      <c r="PT30" s="276"/>
      <c r="PU30" s="276"/>
      <c r="PV30" s="276"/>
      <c r="PW30" s="276"/>
      <c r="PX30" s="276"/>
      <c r="PY30" s="276"/>
      <c r="PZ30" s="276"/>
      <c r="QA30" s="276"/>
      <c r="QB30" s="276"/>
      <c r="QC30" s="276"/>
      <c r="QD30" s="276"/>
      <c r="QE30" s="276"/>
      <c r="QF30" s="276"/>
      <c r="QG30" s="276"/>
      <c r="QH30" s="276"/>
      <c r="QI30" s="276"/>
      <c r="QJ30" s="276"/>
      <c r="QK30" s="276"/>
      <c r="QL30" s="276"/>
      <c r="QM30" s="276"/>
      <c r="QN30" s="276"/>
      <c r="QO30" s="276"/>
      <c r="QP30" s="276"/>
      <c r="QQ30" s="276"/>
      <c r="QR30" s="276"/>
      <c r="QS30" s="276"/>
      <c r="QT30" s="276"/>
      <c r="QU30" s="276"/>
      <c r="QV30" s="276"/>
      <c r="QW30" s="276"/>
      <c r="QX30" s="276"/>
      <c r="QY30" s="276"/>
      <c r="QZ30" s="276"/>
      <c r="RA30" s="276"/>
      <c r="RB30" s="276"/>
      <c r="RC30" s="276"/>
      <c r="RD30" s="276"/>
      <c r="RE30" s="276"/>
      <c r="RF30" s="276"/>
      <c r="RG30" s="276"/>
      <c r="RH30" s="276"/>
      <c r="RI30" s="276"/>
      <c r="RJ30" s="276"/>
      <c r="RK30" s="276"/>
      <c r="RL30" s="276"/>
      <c r="RM30" s="276"/>
      <c r="RN30" s="276"/>
      <c r="RO30" s="276"/>
      <c r="RP30" s="276"/>
      <c r="RQ30" s="276"/>
      <c r="RR30" s="276"/>
      <c r="RS30" s="276"/>
      <c r="RT30" s="276"/>
      <c r="RU30" s="276"/>
      <c r="RV30" s="276"/>
      <c r="RW30" s="276"/>
      <c r="RX30" s="276"/>
      <c r="RY30" s="276"/>
      <c r="RZ30" s="276"/>
      <c r="SA30" s="276"/>
      <c r="SB30" s="276"/>
      <c r="SC30" s="276"/>
      <c r="SD30" s="276"/>
      <c r="SE30" s="276"/>
      <c r="SF30" s="276"/>
      <c r="SG30" s="276"/>
      <c r="SH30" s="276"/>
      <c r="SI30" s="276"/>
      <c r="SJ30" s="276"/>
      <c r="SK30" s="276"/>
      <c r="SL30" s="276"/>
      <c r="SM30" s="276"/>
      <c r="SN30" s="276"/>
      <c r="SO30" s="276"/>
      <c r="SP30" s="276"/>
      <c r="SQ30" s="276"/>
      <c r="SR30" s="276"/>
      <c r="SS30" s="276"/>
      <c r="ST30" s="276"/>
      <c r="SU30" s="276"/>
      <c r="SV30" s="276"/>
      <c r="SW30" s="276"/>
      <c r="SX30" s="276"/>
      <c r="SY30" s="276"/>
      <c r="SZ30" s="276"/>
      <c r="TA30" s="276"/>
      <c r="TB30" s="276"/>
      <c r="TC30" s="276"/>
      <c r="TD30" s="276"/>
      <c r="TE30" s="276"/>
      <c r="TF30" s="276"/>
      <c r="TG30" s="276"/>
      <c r="TH30" s="276"/>
      <c r="TI30" s="276"/>
      <c r="TJ30" s="276"/>
      <c r="TK30" s="276"/>
      <c r="TL30" s="276"/>
      <c r="TM30" s="276"/>
      <c r="TN30" s="276"/>
      <c r="TO30" s="276"/>
      <c r="TP30" s="276"/>
      <c r="TQ30" s="276"/>
      <c r="TR30" s="276"/>
      <c r="TS30" s="276"/>
      <c r="TT30" s="276"/>
      <c r="TU30" s="276"/>
      <c r="TV30" s="276"/>
      <c r="TW30" s="276"/>
      <c r="TX30" s="276"/>
      <c r="TY30" s="276"/>
      <c r="TZ30" s="276"/>
      <c r="UA30" s="276"/>
      <c r="UB30" s="276"/>
      <c r="UC30" s="276"/>
      <c r="UD30" s="276"/>
      <c r="UE30" s="276"/>
      <c r="UF30" s="276"/>
      <c r="UG30" s="276"/>
      <c r="UH30" s="276"/>
      <c r="UI30" s="276"/>
      <c r="UJ30" s="276"/>
      <c r="UK30" s="276"/>
      <c r="UL30" s="276"/>
      <c r="UM30" s="276"/>
      <c r="UN30" s="276"/>
      <c r="UO30" s="276"/>
      <c r="UP30" s="276"/>
      <c r="UQ30" s="276"/>
      <c r="UR30" s="276"/>
      <c r="US30" s="276"/>
      <c r="UT30" s="276"/>
      <c r="UU30" s="276"/>
      <c r="UV30" s="276"/>
      <c r="UW30" s="276"/>
      <c r="UX30" s="276"/>
      <c r="UY30" s="276"/>
      <c r="UZ30" s="276"/>
      <c r="VA30" s="276"/>
      <c r="VB30" s="276"/>
      <c r="VC30" s="276"/>
      <c r="VD30" s="276"/>
      <c r="VE30" s="276"/>
      <c r="VF30" s="276"/>
      <c r="VG30" s="276"/>
      <c r="VH30" s="276"/>
      <c r="VI30" s="276"/>
      <c r="VJ30" s="276"/>
      <c r="VK30" s="276"/>
      <c r="VL30" s="276"/>
      <c r="VM30" s="276"/>
      <c r="VN30" s="276"/>
      <c r="VO30" s="276"/>
      <c r="VP30" s="276"/>
      <c r="VQ30" s="276"/>
      <c r="VR30" s="276"/>
      <c r="VS30" s="276"/>
      <c r="VT30" s="276"/>
      <c r="VU30" s="276"/>
      <c r="VV30" s="276"/>
      <c r="VW30" s="276"/>
      <c r="VX30" s="276"/>
      <c r="VY30" s="276"/>
      <c r="VZ30" s="276"/>
      <c r="WA30" s="276"/>
      <c r="WB30" s="276"/>
      <c r="WC30" s="276"/>
      <c r="WD30" s="276"/>
      <c r="WE30" s="276"/>
      <c r="WF30" s="276"/>
      <c r="WG30" s="276"/>
      <c r="WH30" s="276"/>
      <c r="WI30" s="276"/>
      <c r="WJ30" s="276"/>
      <c r="WK30" s="276"/>
      <c r="WL30" s="276"/>
      <c r="WM30" s="276"/>
      <c r="WN30" s="276"/>
      <c r="WO30" s="276"/>
      <c r="WP30" s="276"/>
      <c r="WQ30" s="276"/>
      <c r="WR30" s="276"/>
      <c r="WS30" s="276"/>
      <c r="WT30" s="276"/>
      <c r="WU30" s="276"/>
      <c r="WV30" s="276"/>
      <c r="WW30" s="276"/>
      <c r="WX30" s="276"/>
      <c r="WY30" s="276"/>
      <c r="WZ30" s="276"/>
      <c r="XA30" s="276"/>
      <c r="XB30" s="276"/>
      <c r="XC30" s="276"/>
      <c r="XD30" s="276"/>
      <c r="XE30" s="276"/>
      <c r="XF30" s="276"/>
      <c r="XG30" s="276"/>
      <c r="XH30" s="276"/>
      <c r="XI30" s="276"/>
      <c r="XJ30" s="276"/>
      <c r="XK30" s="276"/>
      <c r="XL30" s="276"/>
      <c r="XM30" s="276"/>
      <c r="XN30" s="276"/>
      <c r="XO30" s="276"/>
      <c r="XP30" s="276"/>
      <c r="XQ30" s="276"/>
      <c r="XR30" s="276"/>
      <c r="XS30" s="276"/>
      <c r="XT30" s="276"/>
      <c r="XU30" s="276"/>
      <c r="XV30" s="276"/>
      <c r="XW30" s="276"/>
      <c r="XX30" s="276"/>
      <c r="XY30" s="276"/>
      <c r="XZ30" s="276"/>
      <c r="YA30" s="276"/>
      <c r="YB30" s="276"/>
      <c r="YC30" s="276"/>
      <c r="YD30" s="276"/>
      <c r="YE30" s="276"/>
      <c r="YF30" s="276"/>
      <c r="YG30" s="276"/>
      <c r="YH30" s="276"/>
      <c r="YI30" s="276"/>
      <c r="YJ30" s="276"/>
      <c r="YK30" s="276"/>
      <c r="YL30" s="276"/>
      <c r="YM30" s="276"/>
      <c r="YN30" s="276"/>
      <c r="YO30" s="276"/>
      <c r="YP30" s="276"/>
      <c r="YQ30" s="276"/>
      <c r="YR30" s="276"/>
      <c r="YS30" s="276"/>
      <c r="YT30" s="276"/>
      <c r="YU30" s="276"/>
      <c r="YV30" s="276"/>
      <c r="YW30" s="276"/>
      <c r="YX30" s="276"/>
      <c r="YY30" s="276"/>
      <c r="YZ30" s="276"/>
      <c r="ZA30" s="276"/>
      <c r="ZB30" s="276"/>
      <c r="ZC30" s="276"/>
      <c r="ZD30" s="276"/>
      <c r="ZE30" s="276"/>
      <c r="ZF30" s="276"/>
      <c r="ZG30" s="276"/>
      <c r="ZH30" s="276"/>
      <c r="ZI30" s="276"/>
      <c r="ZJ30" s="276"/>
      <c r="ZK30" s="276"/>
      <c r="ZL30" s="276"/>
      <c r="ZM30" s="276"/>
      <c r="ZN30" s="276"/>
      <c r="ZO30" s="276"/>
      <c r="ZP30" s="276"/>
      <c r="ZQ30" s="276"/>
      <c r="ZR30" s="276"/>
      <c r="ZS30" s="276"/>
      <c r="ZT30" s="276"/>
      <c r="ZU30" s="276"/>
      <c r="ZV30" s="276"/>
      <c r="ZW30" s="276"/>
      <c r="ZX30" s="276"/>
      <c r="ZY30" s="276"/>
      <c r="ZZ30" s="276"/>
      <c r="AAA30" s="276"/>
      <c r="AAB30" s="276"/>
      <c r="AAC30" s="276"/>
      <c r="AAD30" s="276"/>
      <c r="AAE30" s="276"/>
      <c r="AAF30" s="276"/>
      <c r="AAG30" s="276"/>
      <c r="AAH30" s="276"/>
      <c r="AAI30" s="276"/>
      <c r="AAJ30" s="276"/>
      <c r="AAK30" s="276"/>
      <c r="AAL30" s="276"/>
      <c r="AAM30" s="276"/>
      <c r="AAN30" s="276"/>
      <c r="AAO30" s="276"/>
      <c r="AAP30" s="276"/>
      <c r="AAQ30" s="276"/>
      <c r="AAR30" s="276"/>
      <c r="AAS30" s="276"/>
      <c r="AAT30" s="276"/>
      <c r="AAU30" s="276"/>
      <c r="AAV30" s="276"/>
      <c r="AAW30" s="276"/>
      <c r="AAX30" s="276"/>
      <c r="AAY30" s="276"/>
      <c r="AAZ30" s="276"/>
      <c r="ABA30" s="276"/>
      <c r="ABB30" s="276"/>
      <c r="ABC30" s="276"/>
      <c r="ABD30" s="276"/>
      <c r="ABE30" s="276"/>
      <c r="ABF30" s="276"/>
      <c r="ABG30" s="276"/>
      <c r="ABH30" s="276"/>
      <c r="ABI30" s="276"/>
      <c r="ABJ30" s="276"/>
      <c r="ABK30" s="276"/>
      <c r="ABL30" s="276"/>
      <c r="ABM30" s="276"/>
      <c r="ABN30" s="276"/>
      <c r="ABO30" s="276"/>
      <c r="ABP30" s="276"/>
      <c r="ABQ30" s="276"/>
      <c r="ABR30" s="276"/>
      <c r="ABS30" s="276"/>
      <c r="ABT30" s="276"/>
      <c r="ABU30" s="276"/>
      <c r="ABV30" s="276"/>
      <c r="ABW30" s="276"/>
      <c r="ABX30" s="276"/>
      <c r="ABY30" s="276"/>
      <c r="ABZ30" s="276"/>
      <c r="ACA30" s="276"/>
      <c r="ACB30" s="276"/>
      <c r="ACC30" s="276"/>
      <c r="ACD30" s="276"/>
      <c r="ACE30" s="276"/>
      <c r="ACF30" s="276"/>
      <c r="ACG30" s="276"/>
      <c r="ACH30" s="276"/>
      <c r="ACI30" s="276"/>
      <c r="ACJ30" s="276"/>
      <c r="ACK30" s="276"/>
      <c r="ACL30" s="276"/>
      <c r="ACM30" s="276"/>
      <c r="ACN30" s="276"/>
      <c r="ACO30" s="276"/>
      <c r="ACP30" s="276"/>
      <c r="ACQ30" s="276"/>
      <c r="ACR30" s="276"/>
      <c r="ACS30" s="276"/>
      <c r="ACT30" s="276"/>
      <c r="ACU30" s="276"/>
      <c r="ACV30" s="276"/>
      <c r="ACW30" s="276"/>
      <c r="ACX30" s="276"/>
      <c r="ACY30" s="276"/>
      <c r="ACZ30" s="276"/>
      <c r="ADA30" s="276"/>
      <c r="ADB30" s="276"/>
      <c r="ADC30" s="276"/>
      <c r="ADD30" s="276"/>
      <c r="ADE30" s="276"/>
      <c r="ADF30" s="276"/>
      <c r="ADG30" s="276"/>
      <c r="ADH30" s="276"/>
      <c r="ADI30" s="276"/>
      <c r="ADJ30" s="276"/>
      <c r="ADK30" s="276"/>
      <c r="ADL30" s="276"/>
      <c r="ADM30" s="276"/>
      <c r="ADN30" s="276"/>
      <c r="ADO30" s="276"/>
      <c r="ADP30" s="276"/>
      <c r="ADQ30" s="276"/>
      <c r="ADR30" s="276"/>
      <c r="ADS30" s="276"/>
      <c r="ADT30" s="276"/>
      <c r="ADU30" s="276"/>
      <c r="ADV30" s="276"/>
      <c r="ADW30" s="276"/>
      <c r="ADX30" s="276"/>
      <c r="ADY30" s="276"/>
      <c r="ADZ30" s="276"/>
      <c r="AEA30" s="276"/>
      <c r="AEB30" s="276"/>
      <c r="AEC30" s="276"/>
      <c r="AED30" s="276"/>
      <c r="AEE30" s="276"/>
      <c r="AEF30" s="276"/>
      <c r="AEG30" s="276"/>
      <c r="AEH30" s="276"/>
      <c r="AEI30" s="276"/>
      <c r="AEJ30" s="276"/>
      <c r="AEK30" s="276"/>
      <c r="AEL30" s="276"/>
      <c r="AEM30" s="276"/>
      <c r="AEN30" s="276"/>
      <c r="AEO30" s="276"/>
      <c r="AEP30" s="276"/>
      <c r="AEQ30" s="276"/>
      <c r="AER30" s="276"/>
      <c r="AES30" s="276"/>
      <c r="AET30" s="276"/>
      <c r="AEU30" s="276"/>
      <c r="AEV30" s="276"/>
      <c r="AEW30" s="276"/>
      <c r="AEX30" s="276"/>
      <c r="AEY30" s="276"/>
      <c r="AEZ30" s="276"/>
      <c r="AFA30" s="276"/>
      <c r="AFB30" s="276"/>
      <c r="AFC30" s="276"/>
      <c r="AFD30" s="276"/>
      <c r="AFE30" s="276"/>
      <c r="AFF30" s="276"/>
      <c r="AFG30" s="276"/>
      <c r="AFH30" s="276"/>
      <c r="AFI30" s="276"/>
      <c r="AFJ30" s="276"/>
      <c r="AFK30" s="276"/>
      <c r="AFL30" s="276"/>
      <c r="AFM30" s="276"/>
      <c r="AFN30" s="276"/>
      <c r="AFO30" s="276"/>
      <c r="AFP30" s="276"/>
      <c r="AFQ30" s="276"/>
      <c r="AFR30" s="276"/>
      <c r="AFS30" s="276"/>
      <c r="AFT30" s="276"/>
      <c r="AFU30" s="276"/>
      <c r="AFV30" s="276"/>
      <c r="AFW30" s="276"/>
      <c r="AFX30" s="276"/>
      <c r="AFY30" s="276"/>
      <c r="AFZ30" s="276"/>
      <c r="AGA30" s="276"/>
      <c r="AGB30" s="276"/>
      <c r="AGC30" s="276"/>
      <c r="AGD30" s="276"/>
      <c r="AGE30" s="276"/>
      <c r="AGF30" s="276"/>
      <c r="AGG30" s="276"/>
      <c r="AGH30" s="276"/>
      <c r="AGI30" s="276"/>
      <c r="AGJ30" s="276"/>
      <c r="AGK30" s="276"/>
      <c r="AGL30" s="276"/>
      <c r="AGM30" s="276"/>
      <c r="AGN30" s="276"/>
      <c r="AGO30" s="276"/>
      <c r="AGP30" s="276"/>
      <c r="AGQ30" s="276"/>
      <c r="AGR30" s="276"/>
      <c r="AGS30" s="276"/>
      <c r="AGT30" s="276"/>
      <c r="AGU30" s="276"/>
      <c r="AGV30" s="276"/>
      <c r="AGW30" s="276"/>
      <c r="AGX30" s="276"/>
      <c r="AGY30" s="276"/>
      <c r="AGZ30" s="276"/>
      <c r="AHA30" s="276"/>
      <c r="AHB30" s="276"/>
      <c r="AHC30" s="276"/>
      <c r="AHD30" s="276"/>
      <c r="AHE30" s="276"/>
      <c r="AHF30" s="276"/>
      <c r="AHG30" s="276"/>
      <c r="AHH30" s="276"/>
      <c r="AHI30" s="276"/>
      <c r="AHJ30" s="276"/>
      <c r="AHK30" s="276"/>
      <c r="AHL30" s="276"/>
      <c r="AHM30" s="276"/>
      <c r="AHN30" s="276"/>
      <c r="AHO30" s="276"/>
      <c r="AHP30" s="276"/>
      <c r="AHQ30" s="276"/>
      <c r="AHR30" s="276"/>
      <c r="AHS30" s="276"/>
      <c r="AHT30" s="276"/>
      <c r="AHU30" s="276"/>
      <c r="AHV30" s="276"/>
      <c r="AHW30" s="276"/>
      <c r="AHX30" s="276"/>
      <c r="AHY30" s="276"/>
      <c r="AHZ30" s="276"/>
      <c r="AIA30" s="276"/>
      <c r="AIB30" s="276"/>
      <c r="AIC30" s="276"/>
      <c r="AID30" s="276"/>
      <c r="AIE30" s="276"/>
      <c r="AIF30" s="276"/>
      <c r="AIG30" s="276"/>
      <c r="AIH30" s="276"/>
      <c r="AII30" s="276"/>
      <c r="AIJ30" s="276"/>
      <c r="AIK30" s="276"/>
      <c r="AIL30" s="276"/>
      <c r="AIM30" s="276"/>
      <c r="AIN30" s="276"/>
      <c r="AIO30" s="276"/>
      <c r="AIP30" s="276"/>
      <c r="AIQ30" s="276"/>
      <c r="AIR30" s="276"/>
      <c r="AIS30" s="276"/>
      <c r="AIT30" s="276"/>
      <c r="AIU30" s="276"/>
      <c r="AIV30" s="276"/>
      <c r="AIW30" s="276"/>
      <c r="AIX30" s="276"/>
      <c r="AIY30" s="276"/>
      <c r="AIZ30" s="276"/>
      <c r="AJA30" s="276"/>
      <c r="AJB30" s="276"/>
      <c r="AJC30" s="276"/>
      <c r="AJD30" s="276"/>
      <c r="AJE30" s="276"/>
      <c r="AJF30" s="276"/>
      <c r="AJG30" s="276"/>
      <c r="AJH30" s="276"/>
      <c r="AJI30" s="276"/>
      <c r="AJJ30" s="276"/>
      <c r="AJK30" s="276"/>
      <c r="AJL30" s="276"/>
      <c r="AJM30" s="276"/>
      <c r="AJN30" s="276"/>
      <c r="AJO30" s="276"/>
      <c r="AJP30" s="276"/>
      <c r="AJQ30" s="276"/>
      <c r="AJR30" s="276"/>
      <c r="AJS30" s="276"/>
      <c r="AJT30" s="276"/>
      <c r="AJU30" s="276"/>
      <c r="AJV30" s="276"/>
      <c r="AJW30" s="276"/>
      <c r="AJX30" s="276"/>
      <c r="AJY30" s="276"/>
      <c r="AJZ30" s="276"/>
      <c r="AKA30" s="276"/>
      <c r="AKB30" s="276"/>
      <c r="AKC30" s="276"/>
      <c r="AKD30" s="276"/>
      <c r="AKE30" s="276"/>
      <c r="AKF30" s="276"/>
      <c r="AKG30" s="276"/>
      <c r="AKH30" s="276"/>
      <c r="AKI30" s="276"/>
      <c r="AKJ30" s="276"/>
      <c r="AKK30" s="276"/>
      <c r="AKL30" s="276"/>
      <c r="AKM30" s="276"/>
      <c r="AKN30" s="276"/>
      <c r="AKO30" s="276"/>
      <c r="AKP30" s="276"/>
      <c r="AKQ30" s="276"/>
      <c r="AKR30" s="276"/>
      <c r="AKS30" s="276"/>
      <c r="AKT30" s="276"/>
      <c r="AKU30" s="276"/>
      <c r="AKV30" s="276"/>
      <c r="AKW30" s="276"/>
      <c r="AKX30" s="276"/>
      <c r="AKY30" s="276"/>
      <c r="AKZ30" s="276"/>
      <c r="ALA30" s="276"/>
      <c r="ALB30" s="276"/>
      <c r="ALC30" s="276"/>
      <c r="ALD30" s="276"/>
      <c r="ALE30" s="276"/>
      <c r="ALF30" s="276"/>
      <c r="ALG30" s="276"/>
      <c r="ALH30" s="276"/>
      <c r="ALI30" s="276"/>
      <c r="ALJ30" s="276"/>
      <c r="ALK30" s="276"/>
      <c r="ALL30" s="276"/>
      <c r="ALM30" s="276"/>
      <c r="ALN30" s="276"/>
      <c r="ALO30" s="276"/>
      <c r="ALP30" s="276"/>
      <c r="ALQ30" s="276"/>
      <c r="ALR30" s="276"/>
      <c r="ALS30" s="276"/>
      <c r="ALT30" s="276"/>
      <c r="ALU30" s="276"/>
      <c r="ALV30" s="276"/>
      <c r="ALW30" s="276"/>
      <c r="ALX30" s="276"/>
      <c r="ALY30" s="276"/>
      <c r="ALZ30" s="276"/>
      <c r="AMA30" s="276"/>
      <c r="AMB30" s="276"/>
      <c r="AMC30" s="276"/>
      <c r="AMD30" s="276"/>
      <c r="AME30" s="276"/>
      <c r="AMF30" s="276"/>
      <c r="AMG30" s="276"/>
      <c r="AMH30" s="276"/>
      <c r="AMI30" s="276"/>
      <c r="AMJ30" s="276"/>
      <c r="AMK30" s="276"/>
      <c r="AML30" s="276"/>
      <c r="AMM30" s="276"/>
      <c r="AMN30" s="276"/>
      <c r="AMO30" s="276"/>
      <c r="AMP30" s="276"/>
      <c r="AMQ30" s="276"/>
      <c r="AMR30" s="276"/>
      <c r="AMS30" s="276"/>
      <c r="AMT30" s="276"/>
      <c r="AMU30" s="276"/>
      <c r="AMV30" s="276"/>
      <c r="AMW30" s="276"/>
      <c r="AMX30" s="276"/>
      <c r="AMY30" s="276"/>
      <c r="AMZ30" s="276"/>
      <c r="ANA30" s="276"/>
      <c r="ANB30" s="276"/>
      <c r="ANC30" s="276"/>
      <c r="AND30" s="276"/>
      <c r="ANE30" s="276"/>
      <c r="ANF30" s="276"/>
      <c r="ANG30" s="276"/>
      <c r="ANH30" s="276"/>
      <c r="ANI30" s="276"/>
      <c r="ANJ30" s="276"/>
      <c r="ANK30" s="276"/>
      <c r="ANL30" s="276"/>
      <c r="ANM30" s="276"/>
      <c r="ANN30" s="276"/>
      <c r="ANO30" s="276"/>
      <c r="ANP30" s="276"/>
      <c r="ANQ30" s="276"/>
      <c r="ANR30" s="276"/>
      <c r="ANS30" s="276"/>
      <c r="ANT30" s="276"/>
      <c r="ANU30" s="276"/>
      <c r="ANV30" s="276"/>
      <c r="ANW30" s="276"/>
      <c r="ANX30" s="276"/>
      <c r="ANY30" s="276"/>
      <c r="ANZ30" s="276"/>
      <c r="AOA30" s="276"/>
      <c r="AOB30" s="276"/>
      <c r="AOC30" s="276"/>
      <c r="AOD30" s="276"/>
      <c r="AOE30" s="276"/>
      <c r="AOF30" s="276"/>
      <c r="AOG30" s="276"/>
      <c r="AOH30" s="276"/>
      <c r="AOI30" s="276"/>
      <c r="AOJ30" s="276"/>
      <c r="AOK30" s="276"/>
      <c r="AOL30" s="276"/>
      <c r="AOM30" s="276"/>
      <c r="AON30" s="276"/>
      <c r="AOO30" s="276"/>
      <c r="AOP30" s="276"/>
      <c r="AOQ30" s="276"/>
      <c r="AOR30" s="276"/>
      <c r="AOS30" s="276"/>
      <c r="AOT30" s="276"/>
      <c r="AOU30" s="276"/>
      <c r="AOV30" s="276"/>
      <c r="AOW30" s="276"/>
      <c r="AOX30" s="276"/>
      <c r="AOY30" s="276"/>
      <c r="AOZ30" s="276"/>
      <c r="APA30" s="276"/>
      <c r="APB30" s="276"/>
      <c r="APC30" s="276"/>
      <c r="APD30" s="276"/>
      <c r="APE30" s="276"/>
      <c r="APF30" s="276"/>
      <c r="APG30" s="276"/>
      <c r="APH30" s="276"/>
      <c r="API30" s="276"/>
      <c r="APJ30" s="276"/>
      <c r="APK30" s="276"/>
      <c r="APL30" s="276"/>
      <c r="APM30" s="276"/>
      <c r="APN30" s="276"/>
      <c r="APO30" s="276"/>
      <c r="APP30" s="276"/>
      <c r="APQ30" s="276"/>
      <c r="APR30" s="276"/>
      <c r="APS30" s="276"/>
      <c r="APT30" s="276"/>
      <c r="APU30" s="276"/>
      <c r="APV30" s="276"/>
      <c r="APW30" s="276"/>
      <c r="APX30" s="276"/>
      <c r="APY30" s="276"/>
      <c r="APZ30" s="276"/>
      <c r="AQA30" s="276"/>
      <c r="AQB30" s="276"/>
      <c r="AQC30" s="276"/>
      <c r="AQD30" s="276"/>
      <c r="AQE30" s="276"/>
      <c r="AQF30" s="276"/>
      <c r="AQG30" s="276"/>
      <c r="AQH30" s="276"/>
      <c r="AQI30" s="276"/>
      <c r="AQJ30" s="276"/>
      <c r="AQK30" s="276"/>
      <c r="AQL30" s="276"/>
      <c r="AQM30" s="276"/>
      <c r="AQN30" s="276"/>
      <c r="AQO30" s="276"/>
      <c r="AQP30" s="276"/>
      <c r="AQQ30" s="276"/>
      <c r="AQR30" s="276"/>
      <c r="AQS30" s="276"/>
      <c r="AQT30" s="276"/>
      <c r="AQU30" s="276"/>
      <c r="AQV30" s="276"/>
      <c r="AQW30" s="276"/>
      <c r="AQX30" s="276"/>
      <c r="AQY30" s="276"/>
      <c r="AQZ30" s="276"/>
      <c r="ARA30" s="276"/>
      <c r="ARB30" s="276"/>
      <c r="ARC30" s="276"/>
      <c r="ARD30" s="276"/>
      <c r="ARE30" s="276"/>
      <c r="ARF30" s="276"/>
      <c r="ARG30" s="276"/>
      <c r="ARH30" s="276"/>
      <c r="ARI30" s="276"/>
      <c r="ARJ30" s="276"/>
      <c r="ARK30" s="276"/>
      <c r="ARL30" s="276"/>
      <c r="ARM30" s="276"/>
      <c r="ARN30" s="276"/>
      <c r="ARO30" s="276"/>
      <c r="ARP30" s="276"/>
      <c r="ARQ30" s="276"/>
      <c r="ARR30" s="276"/>
      <c r="ARS30" s="276"/>
      <c r="ART30" s="276"/>
      <c r="ARU30" s="276"/>
      <c r="ARV30" s="276"/>
      <c r="ARW30" s="276"/>
      <c r="ARX30" s="276"/>
      <c r="ARY30" s="276"/>
      <c r="ARZ30" s="276"/>
      <c r="ASA30" s="276"/>
      <c r="ASB30" s="276"/>
      <c r="ASC30" s="276"/>
      <c r="ASD30" s="276"/>
      <c r="ASE30" s="276"/>
      <c r="ASF30" s="276"/>
      <c r="ASG30" s="276"/>
      <c r="ASH30" s="276"/>
      <c r="ASI30" s="276"/>
      <c r="ASJ30" s="276"/>
      <c r="ASK30" s="276"/>
      <c r="ASL30" s="276"/>
      <c r="ASM30" s="276"/>
      <c r="ASN30" s="276"/>
      <c r="ASO30" s="276"/>
      <c r="ASP30" s="276"/>
      <c r="ASQ30" s="276"/>
      <c r="ASR30" s="276"/>
      <c r="ASS30" s="276"/>
      <c r="AST30" s="276"/>
      <c r="ASU30" s="276"/>
      <c r="ASV30" s="276"/>
      <c r="ASW30" s="276"/>
      <c r="ASX30" s="276"/>
      <c r="ASY30" s="276"/>
      <c r="ASZ30" s="276"/>
      <c r="ATA30" s="276"/>
      <c r="ATB30" s="276"/>
      <c r="ATC30" s="276"/>
      <c r="ATD30" s="276"/>
      <c r="ATE30" s="276"/>
      <c r="ATF30" s="276"/>
      <c r="ATG30" s="276"/>
      <c r="ATH30" s="276"/>
      <c r="ATI30" s="276"/>
      <c r="ATJ30" s="276"/>
      <c r="ATK30" s="276"/>
      <c r="ATL30" s="276"/>
      <c r="ATM30" s="276"/>
      <c r="ATN30" s="276"/>
      <c r="ATO30" s="276"/>
      <c r="ATP30" s="276"/>
      <c r="ATQ30" s="276"/>
      <c r="ATR30" s="276"/>
      <c r="ATS30" s="276"/>
      <c r="ATT30" s="276"/>
      <c r="ATU30" s="276"/>
      <c r="ATV30" s="276"/>
      <c r="ATW30" s="276"/>
      <c r="ATX30" s="276"/>
      <c r="ATY30" s="276"/>
      <c r="ATZ30" s="276"/>
      <c r="AUA30" s="276"/>
      <c r="AUB30" s="276"/>
      <c r="AUC30" s="276"/>
      <c r="AUD30" s="276"/>
      <c r="AUE30" s="276"/>
      <c r="AUF30" s="276"/>
      <c r="AUG30" s="276"/>
      <c r="AUH30" s="276"/>
      <c r="AUI30" s="276"/>
      <c r="AUJ30" s="276"/>
      <c r="AUK30" s="276"/>
      <c r="AUL30" s="276"/>
      <c r="AUM30" s="276"/>
      <c r="AUN30" s="276"/>
      <c r="AUO30" s="276"/>
      <c r="AUP30" s="276"/>
      <c r="AUQ30" s="276"/>
      <c r="AUR30" s="276"/>
      <c r="AUS30" s="276"/>
      <c r="AUT30" s="276"/>
      <c r="AUU30" s="276"/>
      <c r="AUV30" s="276"/>
      <c r="AUW30" s="276"/>
      <c r="AUX30" s="276"/>
      <c r="AUY30" s="276"/>
      <c r="AUZ30" s="276"/>
      <c r="AVA30" s="276"/>
      <c r="AVB30" s="276"/>
      <c r="AVC30" s="276"/>
      <c r="AVD30" s="276"/>
      <c r="AVE30" s="276"/>
      <c r="AVF30" s="276"/>
      <c r="AVG30" s="276"/>
      <c r="AVH30" s="276"/>
      <c r="AVI30" s="276"/>
      <c r="AVJ30" s="276"/>
      <c r="AVK30" s="276"/>
      <c r="AVL30" s="276"/>
      <c r="AVM30" s="276"/>
      <c r="AVN30" s="276"/>
      <c r="AVO30" s="276"/>
      <c r="AVP30" s="276"/>
      <c r="AVQ30" s="276"/>
      <c r="AVR30" s="276"/>
      <c r="AVS30" s="276"/>
      <c r="AVT30" s="276"/>
      <c r="AVU30" s="276"/>
      <c r="AVV30" s="276"/>
      <c r="AVW30" s="276"/>
      <c r="AVX30" s="276"/>
      <c r="AVY30" s="276"/>
      <c r="AVZ30" s="276"/>
      <c r="AWA30" s="276"/>
      <c r="AWB30" s="276"/>
      <c r="AWC30" s="276"/>
      <c r="AWD30" s="276"/>
      <c r="AWE30" s="276"/>
      <c r="AWF30" s="276"/>
      <c r="AWG30" s="276"/>
      <c r="AWH30" s="276"/>
      <c r="AWI30" s="276"/>
      <c r="AWJ30" s="276"/>
      <c r="AWK30" s="276"/>
      <c r="AWL30" s="276"/>
      <c r="AWM30" s="276"/>
      <c r="AWN30" s="276"/>
      <c r="AWO30" s="276"/>
      <c r="AWP30" s="276"/>
      <c r="AWQ30" s="276"/>
      <c r="AWR30" s="276"/>
      <c r="AWS30" s="276"/>
      <c r="AWT30" s="276"/>
      <c r="AWU30" s="276"/>
      <c r="AWV30" s="276"/>
      <c r="AWW30" s="276"/>
      <c r="AWX30" s="276"/>
      <c r="AWY30" s="276"/>
      <c r="AWZ30" s="276"/>
      <c r="AXA30" s="276"/>
      <c r="AXB30" s="276"/>
      <c r="AXC30" s="276"/>
      <c r="AXD30" s="276"/>
      <c r="AXE30" s="276"/>
      <c r="AXF30" s="276"/>
      <c r="AXG30" s="276"/>
      <c r="AXH30" s="276"/>
      <c r="AXI30" s="276"/>
      <c r="AXJ30" s="276"/>
      <c r="AXK30" s="276"/>
      <c r="AXL30" s="276"/>
      <c r="AXM30" s="276"/>
      <c r="AXN30" s="276"/>
      <c r="AXO30" s="276"/>
      <c r="AXP30" s="276"/>
      <c r="AXQ30" s="276"/>
      <c r="AXR30" s="276"/>
      <c r="AXS30" s="276"/>
      <c r="AXT30" s="276"/>
      <c r="AXU30" s="276"/>
      <c r="AXV30" s="276"/>
      <c r="AXW30" s="276"/>
      <c r="AXX30" s="276"/>
      <c r="AXY30" s="276"/>
      <c r="AXZ30" s="276"/>
      <c r="AYA30" s="276"/>
      <c r="AYB30" s="276"/>
      <c r="AYC30" s="276"/>
      <c r="AYD30" s="276"/>
      <c r="AYE30" s="276"/>
      <c r="AYF30" s="276"/>
      <c r="AYG30" s="276"/>
      <c r="AYH30" s="276"/>
      <c r="AYI30" s="276"/>
      <c r="AYJ30" s="276"/>
      <c r="AYK30" s="276"/>
      <c r="AYL30" s="276"/>
      <c r="AYM30" s="276"/>
      <c r="AYN30" s="276"/>
      <c r="AYO30" s="276"/>
      <c r="AYP30" s="276"/>
      <c r="AYQ30" s="276"/>
      <c r="AYR30" s="276"/>
      <c r="AYS30" s="276"/>
      <c r="AYT30" s="276"/>
      <c r="AYU30" s="276"/>
      <c r="AYV30" s="276"/>
      <c r="AYW30" s="276"/>
      <c r="AYX30" s="276"/>
      <c r="AYY30" s="276"/>
      <c r="AYZ30" s="276"/>
      <c r="AZA30" s="276"/>
      <c r="AZB30" s="276"/>
      <c r="AZC30" s="276"/>
      <c r="AZD30" s="276"/>
      <c r="AZE30" s="276"/>
      <c r="AZF30" s="276"/>
      <c r="AZG30" s="276"/>
      <c r="AZH30" s="276"/>
      <c r="AZI30" s="276"/>
      <c r="AZJ30" s="276"/>
      <c r="AZK30" s="276"/>
      <c r="AZL30" s="276"/>
      <c r="AZM30" s="276"/>
      <c r="AZN30" s="276"/>
      <c r="AZO30" s="276"/>
      <c r="AZP30" s="276"/>
      <c r="AZQ30" s="276"/>
      <c r="AZR30" s="276"/>
      <c r="AZS30" s="276"/>
      <c r="AZT30" s="276"/>
      <c r="AZU30" s="276"/>
      <c r="AZV30" s="276"/>
      <c r="AZW30" s="276"/>
      <c r="AZX30" s="276"/>
      <c r="AZY30" s="276"/>
      <c r="AZZ30" s="276"/>
      <c r="BAA30" s="276"/>
      <c r="BAB30" s="276"/>
      <c r="BAC30" s="276"/>
      <c r="BAD30" s="276"/>
      <c r="BAE30" s="276"/>
      <c r="BAF30" s="276"/>
      <c r="BAG30" s="276"/>
      <c r="BAH30" s="276"/>
      <c r="BAI30" s="276"/>
      <c r="BAJ30" s="276"/>
      <c r="BAK30" s="276"/>
      <c r="BAL30" s="276"/>
      <c r="BAM30" s="276"/>
      <c r="BAN30" s="276"/>
      <c r="BAO30" s="276"/>
      <c r="BAP30" s="276"/>
      <c r="BAQ30" s="276"/>
      <c r="BAR30" s="276"/>
      <c r="BAS30" s="276"/>
      <c r="BAT30" s="276"/>
      <c r="BAU30" s="276"/>
      <c r="BAV30" s="276"/>
      <c r="BAW30" s="276"/>
      <c r="BAX30" s="276"/>
      <c r="BAY30" s="276"/>
      <c r="BAZ30" s="276"/>
      <c r="BBA30" s="276"/>
      <c r="BBB30" s="276"/>
      <c r="BBC30" s="276"/>
      <c r="BBD30" s="276"/>
      <c r="BBE30" s="276"/>
      <c r="BBF30" s="276"/>
      <c r="BBG30" s="276"/>
      <c r="BBH30" s="276"/>
      <c r="BBI30" s="276"/>
      <c r="BBJ30" s="276"/>
      <c r="BBK30" s="276"/>
      <c r="BBL30" s="276"/>
      <c r="BBM30" s="276"/>
      <c r="BBN30" s="276"/>
      <c r="BBO30" s="276"/>
      <c r="BBP30" s="276"/>
      <c r="BBQ30" s="276"/>
      <c r="BBR30" s="276"/>
      <c r="BBS30" s="276"/>
      <c r="BBT30" s="276"/>
      <c r="BBU30" s="276"/>
      <c r="BBV30" s="276"/>
      <c r="BBW30" s="276"/>
      <c r="BBX30" s="276"/>
      <c r="BBY30" s="276"/>
      <c r="BBZ30" s="276"/>
      <c r="BCA30" s="276"/>
      <c r="BCB30" s="276"/>
      <c r="BCC30" s="276"/>
      <c r="BCD30" s="276"/>
      <c r="BCE30" s="276"/>
      <c r="BCF30" s="276"/>
      <c r="BCG30" s="276"/>
      <c r="BCH30" s="276"/>
      <c r="BCI30" s="276"/>
      <c r="BCJ30" s="276"/>
      <c r="BCK30" s="276"/>
      <c r="BCL30" s="276"/>
      <c r="BCM30" s="276"/>
      <c r="BCN30" s="276"/>
      <c r="BCO30" s="276"/>
      <c r="BCP30" s="276"/>
      <c r="BCQ30" s="276"/>
      <c r="BCR30" s="276"/>
      <c r="BCS30" s="276"/>
      <c r="BCT30" s="276"/>
      <c r="BCU30" s="276"/>
      <c r="BCV30" s="276"/>
      <c r="BCW30" s="276"/>
      <c r="BCX30" s="276"/>
      <c r="BCY30" s="276"/>
      <c r="BCZ30" s="276"/>
      <c r="BDA30" s="276"/>
      <c r="BDB30" s="276"/>
      <c r="BDC30" s="276"/>
      <c r="BDD30" s="276"/>
      <c r="BDE30" s="276"/>
      <c r="BDF30" s="276"/>
      <c r="BDG30" s="276"/>
      <c r="BDH30" s="276"/>
      <c r="BDI30" s="276"/>
      <c r="BDJ30" s="276"/>
      <c r="BDK30" s="276"/>
      <c r="BDL30" s="276"/>
      <c r="BDM30" s="276"/>
      <c r="BDN30" s="276"/>
      <c r="BDO30" s="276"/>
      <c r="BDP30" s="276"/>
      <c r="BDQ30" s="276"/>
      <c r="BDR30" s="276"/>
      <c r="BDS30" s="276"/>
      <c r="BDT30" s="276"/>
      <c r="BDU30" s="276"/>
      <c r="BDV30" s="276"/>
      <c r="BDW30" s="276"/>
      <c r="BDX30" s="276"/>
      <c r="BDY30" s="276"/>
      <c r="BDZ30" s="276"/>
      <c r="BEA30" s="276"/>
      <c r="BEB30" s="276"/>
      <c r="BEC30" s="276"/>
      <c r="BED30" s="276"/>
      <c r="BEE30" s="276"/>
      <c r="BEF30" s="276"/>
      <c r="BEG30" s="276"/>
      <c r="BEH30" s="276"/>
      <c r="BEI30" s="276"/>
      <c r="BEJ30" s="276"/>
      <c r="BEK30" s="276"/>
      <c r="BEL30" s="276"/>
      <c r="BEM30" s="276"/>
      <c r="BEN30" s="276"/>
      <c r="BEO30" s="276"/>
      <c r="BEP30" s="276"/>
      <c r="BEQ30" s="276"/>
      <c r="BER30" s="276"/>
      <c r="BES30" s="276"/>
      <c r="BET30" s="276"/>
      <c r="BEU30" s="276"/>
      <c r="BEV30" s="276"/>
      <c r="BEW30" s="276"/>
      <c r="BEX30" s="276"/>
      <c r="BEY30" s="276"/>
      <c r="BEZ30" s="276"/>
      <c r="BFA30" s="276"/>
      <c r="BFB30" s="276"/>
      <c r="BFC30" s="276"/>
      <c r="BFD30" s="276"/>
      <c r="BFE30" s="276"/>
      <c r="BFF30" s="276"/>
      <c r="BFG30" s="276"/>
      <c r="BFH30" s="276"/>
      <c r="BFI30" s="276"/>
      <c r="BFJ30" s="276"/>
      <c r="BFK30" s="276"/>
      <c r="BFL30" s="276"/>
      <c r="BFM30" s="276"/>
      <c r="BFN30" s="276"/>
      <c r="BFO30" s="276"/>
      <c r="BFP30" s="276"/>
      <c r="BFQ30" s="276"/>
      <c r="BFR30" s="276"/>
      <c r="BFS30" s="276"/>
      <c r="BFT30" s="276"/>
      <c r="BFU30" s="276"/>
      <c r="BFV30" s="276"/>
      <c r="BFW30" s="276"/>
      <c r="BFX30" s="276"/>
      <c r="BFY30" s="276"/>
      <c r="BFZ30" s="276"/>
      <c r="BGA30" s="276"/>
      <c r="BGB30" s="276"/>
      <c r="BGC30" s="276"/>
      <c r="BGD30" s="276"/>
      <c r="BGE30" s="276"/>
      <c r="BGF30" s="276"/>
      <c r="BGG30" s="276"/>
      <c r="BGH30" s="276"/>
      <c r="BGI30" s="276"/>
      <c r="BGJ30" s="276"/>
      <c r="BGK30" s="276"/>
      <c r="BGL30" s="276"/>
      <c r="BGM30" s="276"/>
      <c r="BGN30" s="276"/>
      <c r="BGO30" s="276"/>
      <c r="BGP30" s="276"/>
      <c r="BGQ30" s="276"/>
      <c r="BGR30" s="276"/>
      <c r="BGS30" s="276"/>
      <c r="BGT30" s="276"/>
      <c r="BGU30" s="276"/>
      <c r="BGV30" s="276"/>
      <c r="BGW30" s="276"/>
      <c r="BGX30" s="276"/>
      <c r="BGY30" s="276"/>
      <c r="BGZ30" s="276"/>
      <c r="BHA30" s="276"/>
      <c r="BHB30" s="276"/>
      <c r="BHC30" s="276"/>
      <c r="BHD30" s="276"/>
      <c r="BHE30" s="276"/>
      <c r="BHF30" s="276"/>
      <c r="BHG30" s="276"/>
      <c r="BHH30" s="276"/>
      <c r="BHI30" s="276"/>
      <c r="BHJ30" s="276"/>
      <c r="BHK30" s="276"/>
      <c r="BHL30" s="276"/>
      <c r="BHM30" s="276"/>
      <c r="BHN30" s="276"/>
      <c r="BHO30" s="276"/>
      <c r="BHP30" s="276"/>
      <c r="BHQ30" s="276"/>
      <c r="BHR30" s="276"/>
      <c r="BHS30" s="276"/>
      <c r="BHT30" s="276"/>
      <c r="BHU30" s="276"/>
      <c r="BHV30" s="276"/>
      <c r="BHW30" s="276"/>
      <c r="BHX30" s="276"/>
      <c r="BHY30" s="276"/>
      <c r="BHZ30" s="276"/>
      <c r="BIA30" s="276"/>
      <c r="BIB30" s="276"/>
      <c r="BIC30" s="276"/>
      <c r="BID30" s="276"/>
      <c r="BIE30" s="276"/>
      <c r="BIF30" s="276"/>
      <c r="BIG30" s="276"/>
      <c r="BIH30" s="276"/>
      <c r="BII30" s="276"/>
      <c r="BIJ30" s="276"/>
      <c r="BIK30" s="276"/>
      <c r="BIL30" s="276"/>
      <c r="BIM30" s="276"/>
      <c r="BIN30" s="276"/>
      <c r="BIO30" s="276"/>
      <c r="BIP30" s="276"/>
      <c r="BIQ30" s="276"/>
      <c r="BIR30" s="276"/>
      <c r="BIS30" s="276"/>
      <c r="BIT30" s="276"/>
      <c r="BIU30" s="276"/>
      <c r="BIV30" s="276"/>
      <c r="BIW30" s="276"/>
      <c r="BIX30" s="276"/>
      <c r="BIY30" s="276"/>
      <c r="BIZ30" s="276"/>
      <c r="BJA30" s="276"/>
      <c r="BJB30" s="276"/>
      <c r="BJC30" s="276"/>
      <c r="BJD30" s="276"/>
      <c r="BJE30" s="276"/>
      <c r="BJF30" s="276"/>
      <c r="BJG30" s="276"/>
      <c r="BJH30" s="276"/>
      <c r="BJI30" s="276"/>
      <c r="BJJ30" s="276"/>
      <c r="BJK30" s="276"/>
      <c r="BJL30" s="276"/>
      <c r="BJM30" s="276"/>
      <c r="BJN30" s="276"/>
      <c r="BJO30" s="276"/>
      <c r="BJP30" s="276"/>
      <c r="BJQ30" s="276"/>
      <c r="BJR30" s="276"/>
      <c r="BJS30" s="276"/>
      <c r="BJT30" s="276"/>
      <c r="BJU30" s="276"/>
      <c r="BJV30" s="276"/>
      <c r="BJW30" s="276"/>
      <c r="BJX30" s="276"/>
      <c r="BJY30" s="276"/>
      <c r="BJZ30" s="276"/>
      <c r="BKA30" s="276"/>
      <c r="BKB30" s="276"/>
      <c r="BKC30" s="276"/>
      <c r="BKD30" s="276"/>
      <c r="BKE30" s="276"/>
      <c r="BKF30" s="276"/>
      <c r="BKG30" s="276"/>
      <c r="BKH30" s="276"/>
      <c r="BKI30" s="276"/>
      <c r="BKJ30" s="276"/>
      <c r="BKK30" s="276"/>
      <c r="BKL30" s="276"/>
      <c r="BKM30" s="276"/>
      <c r="BKN30" s="276"/>
      <c r="BKO30" s="276"/>
      <c r="BKP30" s="276"/>
      <c r="BKQ30" s="276"/>
      <c r="BKR30" s="276"/>
      <c r="BKS30" s="276"/>
      <c r="BKT30" s="276"/>
      <c r="BKU30" s="276"/>
      <c r="BKV30" s="276"/>
      <c r="BKW30" s="276"/>
      <c r="BKX30" s="276"/>
      <c r="BKY30" s="276"/>
      <c r="BKZ30" s="276"/>
      <c r="BLA30" s="276"/>
      <c r="BLB30" s="276"/>
      <c r="BLC30" s="276"/>
      <c r="BLD30" s="276"/>
      <c r="BLE30" s="276"/>
      <c r="BLF30" s="276"/>
      <c r="BLG30" s="276"/>
      <c r="BLH30" s="276"/>
      <c r="BLI30" s="276"/>
      <c r="BLJ30" s="276"/>
      <c r="BLK30" s="276"/>
      <c r="BLL30" s="276"/>
      <c r="BLM30" s="276"/>
      <c r="BLN30" s="276"/>
      <c r="BLO30" s="276"/>
      <c r="BLP30" s="276"/>
      <c r="BLQ30" s="276"/>
      <c r="BLR30" s="276"/>
      <c r="BLS30" s="276"/>
      <c r="BLT30" s="276"/>
      <c r="BLU30" s="276"/>
      <c r="BLV30" s="276"/>
      <c r="BLW30" s="276"/>
      <c r="BLX30" s="276"/>
      <c r="BLY30" s="276"/>
      <c r="BLZ30" s="276"/>
      <c r="BMA30" s="276"/>
      <c r="BMB30" s="276"/>
      <c r="BMC30" s="276"/>
      <c r="BMD30" s="276"/>
      <c r="BME30" s="276"/>
      <c r="BMF30" s="276"/>
      <c r="BMG30" s="276"/>
      <c r="BMH30" s="276"/>
      <c r="BMI30" s="276"/>
      <c r="BMJ30" s="276"/>
      <c r="BMK30" s="276"/>
      <c r="BML30" s="276"/>
      <c r="BMM30" s="276"/>
      <c r="BMN30" s="276"/>
      <c r="BMO30" s="276"/>
      <c r="BMP30" s="276"/>
      <c r="BMQ30" s="276"/>
      <c r="BMR30" s="276"/>
      <c r="BMS30" s="276"/>
      <c r="BMT30" s="276"/>
      <c r="BMU30" s="276"/>
      <c r="BMV30" s="276"/>
      <c r="BMW30" s="276"/>
      <c r="BMX30" s="276"/>
      <c r="BMY30" s="276"/>
      <c r="BMZ30" s="276"/>
      <c r="BNA30" s="276"/>
      <c r="BNB30" s="276"/>
      <c r="BNC30" s="276"/>
      <c r="BND30" s="276"/>
      <c r="BNE30" s="276"/>
      <c r="BNF30" s="276"/>
      <c r="BNG30" s="276"/>
      <c r="BNH30" s="276"/>
      <c r="BNI30" s="276"/>
      <c r="BNJ30" s="276"/>
      <c r="BNK30" s="276"/>
      <c r="BNL30" s="276"/>
      <c r="BNM30" s="276"/>
      <c r="BNN30" s="276"/>
      <c r="BNO30" s="276"/>
      <c r="BNP30" s="276"/>
      <c r="BNQ30" s="276"/>
      <c r="BNR30" s="276"/>
      <c r="BNS30" s="276"/>
      <c r="BNT30" s="276"/>
      <c r="BNU30" s="276"/>
      <c r="BNV30" s="276"/>
      <c r="BNW30" s="276"/>
      <c r="BNX30" s="276"/>
      <c r="BNY30" s="276"/>
      <c r="BNZ30" s="276"/>
      <c r="BOA30" s="276"/>
      <c r="BOB30" s="276"/>
      <c r="BOC30" s="276"/>
      <c r="BOD30" s="276"/>
      <c r="BOE30" s="276"/>
      <c r="BOF30" s="276"/>
      <c r="BOG30" s="276"/>
      <c r="BOH30" s="276"/>
      <c r="BOI30" s="276"/>
      <c r="BOJ30" s="276"/>
      <c r="BOK30" s="276"/>
      <c r="BOL30" s="276"/>
      <c r="BOM30" s="276"/>
      <c r="BON30" s="276"/>
      <c r="BOO30" s="276"/>
      <c r="BOP30" s="276"/>
      <c r="BOQ30" s="276"/>
      <c r="BOR30" s="276"/>
      <c r="BOS30" s="276"/>
      <c r="BOT30" s="276"/>
      <c r="BOU30" s="276"/>
      <c r="BOV30" s="276"/>
      <c r="BOW30" s="276"/>
      <c r="BOX30" s="276"/>
      <c r="BOY30" s="276"/>
      <c r="BOZ30" s="276"/>
      <c r="BPA30" s="276"/>
      <c r="BPB30" s="276"/>
      <c r="BPC30" s="276"/>
      <c r="BPD30" s="276"/>
      <c r="BPE30" s="276"/>
      <c r="BPF30" s="276"/>
      <c r="BPG30" s="276"/>
      <c r="BPH30" s="276"/>
      <c r="BPI30" s="276"/>
      <c r="BPJ30" s="276"/>
      <c r="BPK30" s="276"/>
      <c r="BPL30" s="276"/>
      <c r="BPM30" s="276"/>
      <c r="BPN30" s="276"/>
      <c r="BPO30" s="276"/>
      <c r="BPP30" s="276"/>
      <c r="BPQ30" s="276"/>
      <c r="BPR30" s="276"/>
      <c r="BPS30" s="276"/>
      <c r="BPT30" s="276"/>
      <c r="BPU30" s="276"/>
      <c r="BPV30" s="276"/>
      <c r="BPW30" s="276"/>
      <c r="BPX30" s="276"/>
      <c r="BPY30" s="276"/>
      <c r="BPZ30" s="276"/>
      <c r="BQA30" s="276"/>
      <c r="BQB30" s="276"/>
      <c r="BQC30" s="276"/>
      <c r="BQD30" s="276"/>
      <c r="BQE30" s="276"/>
      <c r="BQF30" s="276"/>
      <c r="BQG30" s="276"/>
      <c r="BQH30" s="276"/>
      <c r="BQI30" s="276"/>
      <c r="BQJ30" s="276"/>
      <c r="BQK30" s="276"/>
      <c r="BQL30" s="276"/>
      <c r="BQM30" s="276"/>
      <c r="BQN30" s="276"/>
      <c r="BQO30" s="276"/>
      <c r="BQP30" s="276"/>
      <c r="BQQ30" s="276"/>
      <c r="BQR30" s="276"/>
      <c r="BQS30" s="276"/>
      <c r="BQT30" s="276"/>
      <c r="BQU30" s="276"/>
      <c r="BQV30" s="276"/>
      <c r="BQW30" s="276"/>
      <c r="BQX30" s="276"/>
      <c r="BQY30" s="276"/>
      <c r="BQZ30" s="276"/>
      <c r="BRA30" s="276"/>
      <c r="BRB30" s="276"/>
      <c r="BRC30" s="276"/>
      <c r="BRD30" s="276"/>
      <c r="BRE30" s="276"/>
      <c r="BRF30" s="276"/>
      <c r="BRG30" s="276"/>
      <c r="BRH30" s="276"/>
      <c r="BRI30" s="276"/>
      <c r="BRJ30" s="276"/>
      <c r="BRK30" s="276"/>
      <c r="BRL30" s="276"/>
      <c r="BRM30" s="276"/>
      <c r="BRN30" s="276"/>
      <c r="BRO30" s="276"/>
      <c r="BRP30" s="276"/>
      <c r="BRQ30" s="276"/>
      <c r="BRR30" s="276"/>
      <c r="BRS30" s="276"/>
      <c r="BRT30" s="276"/>
      <c r="BRU30" s="276"/>
      <c r="BRV30" s="276"/>
      <c r="BRW30" s="276"/>
      <c r="BRX30" s="276"/>
      <c r="BRY30" s="276"/>
      <c r="BRZ30" s="276"/>
      <c r="BSA30" s="276"/>
      <c r="BSB30" s="276"/>
      <c r="BSC30" s="276"/>
      <c r="BSD30" s="276"/>
      <c r="BSE30" s="276"/>
      <c r="BSF30" s="276"/>
      <c r="BSG30" s="276"/>
      <c r="BSH30" s="276"/>
      <c r="BSI30" s="276"/>
      <c r="BSJ30" s="276"/>
      <c r="BSK30" s="276"/>
      <c r="BSL30" s="276"/>
      <c r="BSM30" s="276"/>
      <c r="BSN30" s="276"/>
      <c r="BSO30" s="276"/>
      <c r="BSP30" s="276"/>
      <c r="BSQ30" s="276"/>
      <c r="BSR30" s="276"/>
      <c r="BSS30" s="276"/>
      <c r="BST30" s="276"/>
      <c r="BSU30" s="276"/>
      <c r="BSV30" s="276"/>
      <c r="BSW30" s="276"/>
      <c r="BSX30" s="276"/>
      <c r="BSY30" s="276"/>
      <c r="BSZ30" s="276"/>
      <c r="BTA30" s="276"/>
      <c r="BTB30" s="276"/>
      <c r="BTC30" s="276"/>
      <c r="BTD30" s="276"/>
      <c r="BTE30" s="276"/>
      <c r="BTF30" s="276"/>
      <c r="BTG30" s="276"/>
      <c r="BTH30" s="276"/>
      <c r="BTI30" s="276"/>
      <c r="BTJ30" s="276"/>
      <c r="BTK30" s="276"/>
      <c r="BTL30" s="276"/>
      <c r="BTM30" s="276"/>
      <c r="BTN30" s="276"/>
      <c r="BTO30" s="276"/>
      <c r="BTP30" s="276"/>
      <c r="BTQ30" s="276"/>
      <c r="BTR30" s="276"/>
      <c r="BTS30" s="276"/>
      <c r="BTT30" s="276"/>
      <c r="BTU30" s="276"/>
      <c r="BTV30" s="276"/>
      <c r="BTW30" s="276"/>
      <c r="BTX30" s="276"/>
      <c r="BTY30" s="276"/>
      <c r="BTZ30" s="276"/>
      <c r="BUA30" s="276"/>
      <c r="BUB30" s="276"/>
      <c r="BUC30" s="276"/>
      <c r="BUD30" s="276"/>
      <c r="BUE30" s="276"/>
      <c r="BUF30" s="276"/>
      <c r="BUG30" s="276"/>
      <c r="BUH30" s="276"/>
      <c r="BUI30" s="276"/>
      <c r="BUJ30" s="276"/>
      <c r="BUK30" s="276"/>
      <c r="BUL30" s="276"/>
      <c r="BUM30" s="276"/>
      <c r="BUN30" s="276"/>
      <c r="BUO30" s="276"/>
      <c r="BUP30" s="276"/>
      <c r="BUQ30" s="276"/>
      <c r="BUR30" s="276"/>
      <c r="BUS30" s="276"/>
      <c r="BUT30" s="276"/>
      <c r="BUU30" s="276"/>
      <c r="BUV30" s="276"/>
      <c r="BUW30" s="276"/>
      <c r="BUX30" s="276"/>
      <c r="BUY30" s="276"/>
      <c r="BUZ30" s="276"/>
      <c r="BVA30" s="276"/>
      <c r="BVB30" s="276"/>
      <c r="BVC30" s="276"/>
      <c r="BVD30" s="276"/>
      <c r="BVE30" s="276"/>
      <c r="BVF30" s="276"/>
      <c r="BVG30" s="276"/>
      <c r="BVH30" s="276"/>
      <c r="BVI30" s="276"/>
      <c r="BVJ30" s="276"/>
      <c r="BVK30" s="276"/>
      <c r="BVL30" s="276"/>
      <c r="BVM30" s="276"/>
      <c r="BVN30" s="276"/>
      <c r="BVO30" s="276"/>
      <c r="BVP30" s="276"/>
      <c r="BVQ30" s="276"/>
      <c r="BVR30" s="276"/>
      <c r="BVS30" s="276"/>
      <c r="BVT30" s="276"/>
      <c r="BVU30" s="276"/>
      <c r="BVV30" s="276"/>
      <c r="BVW30" s="276"/>
      <c r="BVX30" s="276"/>
      <c r="BVY30" s="276"/>
      <c r="BVZ30" s="276"/>
      <c r="BWA30" s="276"/>
      <c r="BWB30" s="276"/>
      <c r="BWC30" s="276"/>
      <c r="BWD30" s="276"/>
      <c r="BWE30" s="276"/>
      <c r="BWF30" s="276"/>
      <c r="BWG30" s="276"/>
      <c r="BWH30" s="276"/>
      <c r="BWI30" s="276"/>
      <c r="BWJ30" s="276"/>
      <c r="BWK30" s="276"/>
      <c r="BWL30" s="276"/>
      <c r="BWM30" s="276"/>
      <c r="BWN30" s="276"/>
      <c r="BWO30" s="276"/>
      <c r="BWP30" s="276"/>
      <c r="BWQ30" s="276"/>
      <c r="BWR30" s="276"/>
      <c r="BWS30" s="276"/>
      <c r="BWT30" s="276"/>
      <c r="BWU30" s="276"/>
      <c r="BWV30" s="276"/>
      <c r="BWW30" s="276"/>
      <c r="BWX30" s="276"/>
      <c r="BWY30" s="276"/>
      <c r="BWZ30" s="276"/>
      <c r="BXA30" s="276"/>
      <c r="BXB30" s="276"/>
      <c r="BXC30" s="276"/>
      <c r="BXD30" s="276"/>
      <c r="BXE30" s="276"/>
      <c r="BXF30" s="276"/>
      <c r="BXG30" s="276"/>
      <c r="BXH30" s="276"/>
      <c r="BXI30" s="276"/>
      <c r="BXJ30" s="276"/>
      <c r="BXK30" s="276"/>
      <c r="BXL30" s="276"/>
      <c r="BXM30" s="276"/>
      <c r="BXN30" s="276"/>
      <c r="BXO30" s="276"/>
      <c r="BXP30" s="276"/>
      <c r="BXQ30" s="276"/>
      <c r="BXR30" s="276"/>
      <c r="BXS30" s="276"/>
      <c r="BXT30" s="276"/>
      <c r="BXU30" s="276"/>
      <c r="BXV30" s="276"/>
      <c r="BXW30" s="276"/>
      <c r="BXX30" s="276"/>
      <c r="BXY30" s="276"/>
      <c r="BXZ30" s="276"/>
      <c r="BYA30" s="276"/>
      <c r="BYB30" s="276"/>
      <c r="BYC30" s="276"/>
      <c r="BYD30" s="276"/>
      <c r="BYE30" s="276"/>
      <c r="BYF30" s="276"/>
      <c r="BYG30" s="276"/>
      <c r="BYH30" s="276"/>
      <c r="BYI30" s="276"/>
      <c r="BYJ30" s="276"/>
      <c r="BYK30" s="276"/>
      <c r="BYL30" s="276"/>
      <c r="BYM30" s="276"/>
      <c r="BYN30" s="276"/>
      <c r="BYO30" s="276"/>
      <c r="BYP30" s="276"/>
      <c r="BYQ30" s="276"/>
      <c r="BYR30" s="276"/>
      <c r="BYS30" s="276"/>
      <c r="BYT30" s="276"/>
      <c r="BYU30" s="276"/>
      <c r="BYV30" s="276"/>
      <c r="BYW30" s="276"/>
      <c r="BYX30" s="276"/>
      <c r="BYY30" s="276"/>
      <c r="BYZ30" s="276"/>
      <c r="BZA30" s="276"/>
      <c r="BZB30" s="276"/>
      <c r="BZC30" s="276"/>
      <c r="BZD30" s="276"/>
      <c r="BZE30" s="276"/>
      <c r="BZF30" s="276"/>
      <c r="BZG30" s="276"/>
      <c r="BZH30" s="276"/>
      <c r="BZI30" s="276"/>
      <c r="BZJ30" s="276"/>
      <c r="BZK30" s="276"/>
      <c r="BZL30" s="276"/>
      <c r="BZM30" s="276"/>
      <c r="BZN30" s="276"/>
      <c r="BZO30" s="276"/>
      <c r="BZP30" s="276"/>
      <c r="BZQ30" s="276"/>
      <c r="BZR30" s="276"/>
      <c r="BZS30" s="276"/>
      <c r="BZT30" s="276"/>
      <c r="BZU30" s="276"/>
      <c r="BZV30" s="276"/>
      <c r="BZW30" s="276"/>
      <c r="BZX30" s="276"/>
      <c r="BZY30" s="276"/>
      <c r="BZZ30" s="276"/>
      <c r="CAA30" s="276"/>
      <c r="CAB30" s="276"/>
      <c r="CAC30" s="276"/>
      <c r="CAD30" s="276"/>
      <c r="CAE30" s="276"/>
      <c r="CAF30" s="276"/>
      <c r="CAG30" s="276"/>
      <c r="CAH30" s="276"/>
      <c r="CAI30" s="276"/>
      <c r="CAJ30" s="276"/>
      <c r="CAK30" s="276"/>
      <c r="CAL30" s="276"/>
      <c r="CAM30" s="276"/>
      <c r="CAN30" s="276"/>
      <c r="CAO30" s="276"/>
      <c r="CAP30" s="276"/>
      <c r="CAQ30" s="276"/>
      <c r="CAR30" s="276"/>
      <c r="CAS30" s="276"/>
      <c r="CAT30" s="276"/>
      <c r="CAU30" s="276"/>
      <c r="CAV30" s="276"/>
      <c r="CAW30" s="276"/>
      <c r="CAX30" s="276"/>
      <c r="CAY30" s="276"/>
      <c r="CAZ30" s="276"/>
      <c r="CBA30" s="276"/>
      <c r="CBB30" s="276"/>
      <c r="CBC30" s="276"/>
      <c r="CBD30" s="276"/>
      <c r="CBE30" s="276"/>
      <c r="CBF30" s="276"/>
      <c r="CBG30" s="276"/>
      <c r="CBH30" s="276"/>
      <c r="CBI30" s="276"/>
      <c r="CBJ30" s="276"/>
      <c r="CBK30" s="276"/>
      <c r="CBL30" s="276"/>
      <c r="CBM30" s="276"/>
      <c r="CBN30" s="276"/>
      <c r="CBO30" s="276"/>
      <c r="CBP30" s="276"/>
      <c r="CBQ30" s="276"/>
      <c r="CBR30" s="276"/>
      <c r="CBS30" s="276"/>
      <c r="CBT30" s="276"/>
      <c r="CBU30" s="276"/>
      <c r="CBV30" s="276"/>
      <c r="CBW30" s="276"/>
      <c r="CBX30" s="276"/>
      <c r="CBY30" s="276"/>
      <c r="CBZ30" s="276"/>
      <c r="CCA30" s="276"/>
      <c r="CCB30" s="276"/>
      <c r="CCC30" s="276"/>
      <c r="CCD30" s="276"/>
      <c r="CCE30" s="276"/>
      <c r="CCF30" s="276"/>
      <c r="CCG30" s="276"/>
      <c r="CCH30" s="276"/>
      <c r="CCI30" s="276"/>
      <c r="CCJ30" s="276"/>
      <c r="CCK30" s="276"/>
      <c r="CCL30" s="276"/>
      <c r="CCM30" s="276"/>
      <c r="CCN30" s="276"/>
      <c r="CCO30" s="276"/>
      <c r="CCP30" s="276"/>
      <c r="CCQ30" s="276"/>
      <c r="CCR30" s="276"/>
      <c r="CCS30" s="276"/>
      <c r="CCT30" s="276"/>
      <c r="CCU30" s="276"/>
      <c r="CCV30" s="276"/>
      <c r="CCW30" s="276"/>
      <c r="CCX30" s="276"/>
      <c r="CCY30" s="276"/>
      <c r="CCZ30" s="276"/>
      <c r="CDA30" s="276"/>
      <c r="CDB30" s="276"/>
      <c r="CDC30" s="276"/>
      <c r="CDD30" s="276"/>
      <c r="CDE30" s="276"/>
      <c r="CDF30" s="276"/>
      <c r="CDG30" s="276"/>
      <c r="CDH30" s="276"/>
      <c r="CDI30" s="276"/>
      <c r="CDJ30" s="276"/>
      <c r="CDK30" s="276"/>
      <c r="CDL30" s="276"/>
      <c r="CDM30" s="276"/>
      <c r="CDN30" s="276"/>
      <c r="CDO30" s="276"/>
      <c r="CDP30" s="276"/>
      <c r="CDQ30" s="276"/>
      <c r="CDR30" s="276"/>
      <c r="CDS30" s="276"/>
      <c r="CDT30" s="276"/>
      <c r="CDU30" s="276"/>
      <c r="CDV30" s="276"/>
      <c r="CDW30" s="276"/>
      <c r="CDX30" s="276"/>
      <c r="CDY30" s="276"/>
      <c r="CDZ30" s="276"/>
      <c r="CEA30" s="276"/>
      <c r="CEB30" s="276"/>
      <c r="CEC30" s="276"/>
      <c r="CED30" s="276"/>
      <c r="CEE30" s="276"/>
      <c r="CEF30" s="276"/>
      <c r="CEG30" s="276"/>
      <c r="CEH30" s="276"/>
      <c r="CEI30" s="276"/>
      <c r="CEJ30" s="276"/>
      <c r="CEK30" s="276"/>
      <c r="CEL30" s="276"/>
      <c r="CEM30" s="276"/>
      <c r="CEN30" s="276"/>
      <c r="CEO30" s="276"/>
      <c r="CEP30" s="276"/>
      <c r="CEQ30" s="276"/>
      <c r="CER30" s="276"/>
      <c r="CES30" s="276"/>
      <c r="CET30" s="276"/>
      <c r="CEU30" s="276"/>
      <c r="CEV30" s="276"/>
      <c r="CEW30" s="276"/>
      <c r="CEX30" s="276"/>
      <c r="CEY30" s="276"/>
      <c r="CEZ30" s="276"/>
      <c r="CFA30" s="276"/>
      <c r="CFB30" s="276"/>
      <c r="CFC30" s="276"/>
      <c r="CFD30" s="276"/>
      <c r="CFE30" s="276"/>
      <c r="CFF30" s="276"/>
      <c r="CFG30" s="276"/>
      <c r="CFH30" s="276"/>
      <c r="CFI30" s="276"/>
      <c r="CFJ30" s="276"/>
      <c r="CFK30" s="276"/>
      <c r="CFL30" s="276"/>
      <c r="CFM30" s="276"/>
      <c r="CFN30" s="276"/>
      <c r="CFO30" s="276"/>
      <c r="CFP30" s="276"/>
      <c r="CFQ30" s="276"/>
      <c r="CFR30" s="276"/>
      <c r="CFS30" s="276"/>
      <c r="CFT30" s="276"/>
      <c r="CFU30" s="276"/>
      <c r="CFV30" s="276"/>
      <c r="CFW30" s="276"/>
      <c r="CFX30" s="276"/>
      <c r="CFY30" s="276"/>
      <c r="CFZ30" s="276"/>
      <c r="CGA30" s="276"/>
      <c r="CGB30" s="276"/>
      <c r="CGC30" s="276"/>
      <c r="CGD30" s="276"/>
      <c r="CGE30" s="276"/>
      <c r="CGF30" s="276"/>
      <c r="CGG30" s="276"/>
      <c r="CGH30" s="276"/>
      <c r="CGI30" s="276"/>
      <c r="CGJ30" s="276"/>
      <c r="CGK30" s="276"/>
      <c r="CGL30" s="276"/>
      <c r="CGM30" s="276"/>
      <c r="CGN30" s="276"/>
      <c r="CGO30" s="276"/>
      <c r="CGP30" s="276"/>
      <c r="CGQ30" s="276"/>
      <c r="CGR30" s="276"/>
      <c r="CGS30" s="276"/>
      <c r="CGT30" s="276"/>
      <c r="CGU30" s="276"/>
      <c r="CGV30" s="276"/>
      <c r="CGW30" s="276"/>
      <c r="CGX30" s="276"/>
      <c r="CGY30" s="276"/>
      <c r="CGZ30" s="276"/>
      <c r="CHA30" s="276"/>
      <c r="CHB30" s="276"/>
      <c r="CHC30" s="276"/>
      <c r="CHD30" s="276"/>
      <c r="CHE30" s="276"/>
      <c r="CHF30" s="276"/>
      <c r="CHG30" s="276"/>
      <c r="CHH30" s="276"/>
      <c r="CHI30" s="276"/>
      <c r="CHJ30" s="276"/>
      <c r="CHK30" s="276"/>
      <c r="CHL30" s="276"/>
      <c r="CHM30" s="276"/>
      <c r="CHN30" s="276"/>
      <c r="CHO30" s="276"/>
      <c r="CHP30" s="276"/>
      <c r="CHQ30" s="276"/>
      <c r="CHR30" s="276"/>
      <c r="CHS30" s="276"/>
      <c r="CHT30" s="276"/>
      <c r="CHU30" s="276"/>
      <c r="CHV30" s="276"/>
      <c r="CHW30" s="276"/>
      <c r="CHX30" s="276"/>
      <c r="CHY30" s="276"/>
      <c r="CHZ30" s="276"/>
      <c r="CIA30" s="276"/>
      <c r="CIB30" s="276"/>
      <c r="CIC30" s="276"/>
      <c r="CID30" s="276"/>
      <c r="CIE30" s="276"/>
      <c r="CIF30" s="276"/>
      <c r="CIG30" s="276"/>
      <c r="CIH30" s="276"/>
      <c r="CII30" s="276"/>
      <c r="CIJ30" s="276"/>
      <c r="CIK30" s="276"/>
      <c r="CIL30" s="276"/>
      <c r="CIM30" s="276"/>
      <c r="CIN30" s="276"/>
      <c r="CIO30" s="276"/>
      <c r="CIP30" s="276"/>
      <c r="CIQ30" s="276"/>
      <c r="CIR30" s="276"/>
      <c r="CIS30" s="276"/>
      <c r="CIT30" s="276"/>
      <c r="CIU30" s="276"/>
      <c r="CIV30" s="276"/>
      <c r="CIW30" s="276"/>
      <c r="CIX30" s="276"/>
      <c r="CIY30" s="276"/>
      <c r="CIZ30" s="276"/>
      <c r="CJA30" s="276"/>
      <c r="CJB30" s="276"/>
      <c r="CJC30" s="276"/>
      <c r="CJD30" s="276"/>
      <c r="CJE30" s="276"/>
      <c r="CJF30" s="276"/>
      <c r="CJG30" s="276"/>
      <c r="CJH30" s="276"/>
      <c r="CJI30" s="276"/>
      <c r="CJJ30" s="276"/>
      <c r="CJK30" s="276"/>
      <c r="CJL30" s="276"/>
      <c r="CJM30" s="276"/>
      <c r="CJN30" s="276"/>
      <c r="CJO30" s="276"/>
      <c r="CJP30" s="276"/>
      <c r="CJQ30" s="276"/>
      <c r="CJR30" s="276"/>
      <c r="CJS30" s="276"/>
      <c r="CJT30" s="276"/>
      <c r="CJU30" s="276"/>
      <c r="CJV30" s="276"/>
      <c r="CJW30" s="276"/>
      <c r="CJX30" s="276"/>
      <c r="CJY30" s="276"/>
      <c r="CJZ30" s="276"/>
      <c r="CKA30" s="276"/>
      <c r="CKB30" s="276"/>
      <c r="CKC30" s="276"/>
      <c r="CKD30" s="276"/>
      <c r="CKE30" s="276"/>
      <c r="CKF30" s="276"/>
      <c r="CKG30" s="276"/>
      <c r="CKH30" s="276"/>
      <c r="CKI30" s="276"/>
      <c r="CKJ30" s="276"/>
      <c r="CKK30" s="276"/>
      <c r="CKL30" s="276"/>
      <c r="CKM30" s="276"/>
      <c r="CKN30" s="276"/>
      <c r="CKO30" s="276"/>
      <c r="CKP30" s="276"/>
      <c r="CKQ30" s="276"/>
      <c r="CKR30" s="276"/>
      <c r="CKS30" s="276"/>
      <c r="CKT30" s="276"/>
      <c r="CKU30" s="276"/>
      <c r="CKV30" s="276"/>
      <c r="CKW30" s="276"/>
      <c r="CKX30" s="276"/>
      <c r="CKY30" s="276"/>
      <c r="CKZ30" s="276"/>
      <c r="CLA30" s="276"/>
      <c r="CLB30" s="276"/>
      <c r="CLC30" s="276"/>
      <c r="CLD30" s="276"/>
      <c r="CLE30" s="276"/>
      <c r="CLF30" s="276"/>
      <c r="CLG30" s="276"/>
      <c r="CLH30" s="276"/>
      <c r="CLI30" s="276"/>
      <c r="CLJ30" s="276"/>
      <c r="CLK30" s="276"/>
      <c r="CLL30" s="276"/>
      <c r="CLM30" s="276"/>
      <c r="CLN30" s="276"/>
      <c r="CLO30" s="276"/>
      <c r="CLP30" s="276"/>
      <c r="CLQ30" s="276"/>
      <c r="CLR30" s="276"/>
      <c r="CLS30" s="276"/>
      <c r="CLT30" s="276"/>
      <c r="CLU30" s="276"/>
      <c r="CLV30" s="276"/>
      <c r="CLW30" s="276"/>
      <c r="CLX30" s="276"/>
      <c r="CLY30" s="276"/>
      <c r="CLZ30" s="276"/>
      <c r="CMA30" s="276"/>
      <c r="CMB30" s="276"/>
      <c r="CMC30" s="276"/>
      <c r="CMD30" s="276"/>
      <c r="CME30" s="276"/>
      <c r="CMF30" s="276"/>
      <c r="CMG30" s="276"/>
      <c r="CMH30" s="276"/>
      <c r="CMI30" s="276"/>
      <c r="CMJ30" s="276"/>
      <c r="CMK30" s="276"/>
      <c r="CML30" s="276"/>
      <c r="CMM30" s="276"/>
      <c r="CMN30" s="276"/>
      <c r="CMO30" s="276"/>
      <c r="CMP30" s="276"/>
      <c r="CMQ30" s="276"/>
      <c r="CMR30" s="276"/>
      <c r="CMS30" s="276"/>
      <c r="CMT30" s="276"/>
      <c r="CMU30" s="276"/>
      <c r="CMV30" s="276"/>
      <c r="CMW30" s="276"/>
      <c r="CMX30" s="276"/>
      <c r="CMY30" s="276"/>
      <c r="CMZ30" s="276"/>
      <c r="CNA30" s="276"/>
      <c r="CNB30" s="276"/>
      <c r="CNC30" s="276"/>
      <c r="CND30" s="276"/>
      <c r="CNE30" s="276"/>
      <c r="CNF30" s="276"/>
      <c r="CNG30" s="276"/>
      <c r="CNH30" s="276"/>
      <c r="CNI30" s="276"/>
      <c r="CNJ30" s="276"/>
      <c r="CNK30" s="276"/>
      <c r="CNL30" s="276"/>
      <c r="CNM30" s="276"/>
      <c r="CNN30" s="276"/>
      <c r="CNO30" s="276"/>
      <c r="CNP30" s="276"/>
      <c r="CNQ30" s="276"/>
      <c r="CNR30" s="276"/>
      <c r="CNS30" s="276"/>
      <c r="CNT30" s="276"/>
      <c r="CNU30" s="276"/>
      <c r="CNV30" s="276"/>
      <c r="CNW30" s="276"/>
      <c r="CNX30" s="276"/>
      <c r="CNY30" s="276"/>
      <c r="CNZ30" s="276"/>
      <c r="COA30" s="276"/>
      <c r="COB30" s="276"/>
      <c r="COC30" s="276"/>
      <c r="COD30" s="276"/>
      <c r="COE30" s="276"/>
      <c r="COF30" s="276"/>
      <c r="COG30" s="276"/>
      <c r="COH30" s="276"/>
      <c r="COI30" s="276"/>
      <c r="COJ30" s="276"/>
      <c r="COK30" s="276"/>
      <c r="COL30" s="276"/>
      <c r="COM30" s="276"/>
      <c r="CON30" s="276"/>
      <c r="COO30" s="276"/>
      <c r="COP30" s="276"/>
      <c r="COQ30" s="276"/>
      <c r="COR30" s="276"/>
      <c r="COS30" s="276"/>
      <c r="COT30" s="276"/>
      <c r="COU30" s="276"/>
      <c r="COV30" s="276"/>
      <c r="COW30" s="276"/>
      <c r="COX30" s="276"/>
      <c r="COY30" s="276"/>
      <c r="COZ30" s="276"/>
      <c r="CPA30" s="276"/>
      <c r="CPB30" s="276"/>
      <c r="CPC30" s="276"/>
      <c r="CPD30" s="276"/>
      <c r="CPE30" s="276"/>
      <c r="CPF30" s="276"/>
      <c r="CPG30" s="276"/>
      <c r="CPH30" s="276"/>
      <c r="CPI30" s="276"/>
      <c r="CPJ30" s="276"/>
      <c r="CPK30" s="276"/>
      <c r="CPL30" s="276"/>
      <c r="CPM30" s="276"/>
      <c r="CPN30" s="276"/>
      <c r="CPO30" s="276"/>
      <c r="CPP30" s="276"/>
      <c r="CPQ30" s="276"/>
      <c r="CPR30" s="276"/>
      <c r="CPS30" s="276"/>
      <c r="CPT30" s="276"/>
      <c r="CPU30" s="276"/>
      <c r="CPV30" s="276"/>
      <c r="CPW30" s="276"/>
      <c r="CPX30" s="276"/>
      <c r="CPY30" s="276"/>
      <c r="CPZ30" s="276"/>
      <c r="CQA30" s="276"/>
      <c r="CQB30" s="276"/>
      <c r="CQC30" s="276"/>
      <c r="CQD30" s="276"/>
      <c r="CQE30" s="276"/>
      <c r="CQF30" s="276"/>
      <c r="CQG30" s="276"/>
      <c r="CQH30" s="276"/>
      <c r="CQI30" s="276"/>
      <c r="CQJ30" s="276"/>
      <c r="CQK30" s="276"/>
      <c r="CQL30" s="276"/>
      <c r="CQM30" s="276"/>
      <c r="CQN30" s="276"/>
      <c r="CQO30" s="276"/>
      <c r="CQP30" s="276"/>
      <c r="CQQ30" s="276"/>
      <c r="CQR30" s="276"/>
      <c r="CQS30" s="276"/>
      <c r="CQT30" s="276"/>
      <c r="CQU30" s="276"/>
      <c r="CQV30" s="276"/>
      <c r="CQW30" s="276"/>
      <c r="CQX30" s="276"/>
      <c r="CQY30" s="276"/>
      <c r="CQZ30" s="276"/>
      <c r="CRA30" s="276"/>
      <c r="CRB30" s="276"/>
      <c r="CRC30" s="276"/>
      <c r="CRD30" s="276"/>
      <c r="CRE30" s="276"/>
      <c r="CRF30" s="276"/>
      <c r="CRG30" s="276"/>
      <c r="CRH30" s="276"/>
      <c r="CRI30" s="276"/>
      <c r="CRJ30" s="276"/>
      <c r="CRK30" s="276"/>
      <c r="CRL30" s="276"/>
      <c r="CRM30" s="276"/>
      <c r="CRN30" s="276"/>
      <c r="CRO30" s="276"/>
      <c r="CRP30" s="276"/>
      <c r="CRQ30" s="276"/>
      <c r="CRR30" s="276"/>
      <c r="CRS30" s="276"/>
      <c r="CRT30" s="276"/>
      <c r="CRU30" s="276"/>
      <c r="CRV30" s="276"/>
      <c r="CRW30" s="276"/>
      <c r="CRX30" s="276"/>
      <c r="CRY30" s="276"/>
      <c r="CRZ30" s="276"/>
      <c r="CSA30" s="276"/>
      <c r="CSB30" s="276"/>
      <c r="CSC30" s="276"/>
      <c r="CSD30" s="276"/>
      <c r="CSE30" s="276"/>
      <c r="CSF30" s="276"/>
      <c r="CSG30" s="276"/>
      <c r="CSH30" s="276"/>
      <c r="CSI30" s="276"/>
      <c r="CSJ30" s="276"/>
      <c r="CSK30" s="276"/>
      <c r="CSL30" s="276"/>
      <c r="CSM30" s="276"/>
      <c r="CSN30" s="276"/>
      <c r="CSO30" s="276"/>
      <c r="CSP30" s="276"/>
      <c r="CSQ30" s="276"/>
      <c r="CSR30" s="276"/>
      <c r="CSS30" s="276"/>
      <c r="CST30" s="276"/>
      <c r="CSU30" s="276"/>
      <c r="CSV30" s="276"/>
      <c r="CSW30" s="276"/>
      <c r="CSX30" s="276"/>
      <c r="CSY30" s="276"/>
      <c r="CSZ30" s="276"/>
      <c r="CTA30" s="276"/>
      <c r="CTB30" s="276"/>
      <c r="CTC30" s="276"/>
      <c r="CTD30" s="276"/>
      <c r="CTE30" s="276"/>
      <c r="CTF30" s="276"/>
      <c r="CTG30" s="276"/>
      <c r="CTH30" s="276"/>
      <c r="CTI30" s="276"/>
      <c r="CTJ30" s="276"/>
      <c r="CTK30" s="276"/>
      <c r="CTL30" s="276"/>
      <c r="CTM30" s="276"/>
      <c r="CTN30" s="276"/>
      <c r="CTO30" s="276"/>
      <c r="CTP30" s="276"/>
      <c r="CTQ30" s="276"/>
      <c r="CTR30" s="276"/>
      <c r="CTS30" s="276"/>
      <c r="CTT30" s="276"/>
      <c r="CTU30" s="276"/>
      <c r="CTV30" s="276"/>
      <c r="CTW30" s="276"/>
      <c r="CTX30" s="276"/>
      <c r="CTY30" s="276"/>
      <c r="CTZ30" s="276"/>
      <c r="CUA30" s="276"/>
      <c r="CUB30" s="276"/>
      <c r="CUC30" s="276"/>
      <c r="CUD30" s="276"/>
      <c r="CUE30" s="276"/>
      <c r="CUF30" s="276"/>
      <c r="CUG30" s="276"/>
      <c r="CUH30" s="276"/>
      <c r="CUI30" s="276"/>
      <c r="CUJ30" s="276"/>
      <c r="CUK30" s="276"/>
      <c r="CUL30" s="276"/>
      <c r="CUM30" s="276"/>
      <c r="CUN30" s="276"/>
      <c r="CUO30" s="276"/>
      <c r="CUP30" s="276"/>
      <c r="CUQ30" s="276"/>
      <c r="CUR30" s="276"/>
      <c r="CUS30" s="276"/>
      <c r="CUT30" s="276"/>
      <c r="CUU30" s="276"/>
      <c r="CUV30" s="276"/>
      <c r="CUW30" s="276"/>
      <c r="CUX30" s="276"/>
      <c r="CUY30" s="276"/>
      <c r="CUZ30" s="276"/>
      <c r="CVA30" s="276"/>
      <c r="CVB30" s="276"/>
      <c r="CVC30" s="276"/>
      <c r="CVD30" s="276"/>
      <c r="CVE30" s="276"/>
      <c r="CVF30" s="276"/>
      <c r="CVG30" s="276"/>
      <c r="CVH30" s="276"/>
      <c r="CVI30" s="276"/>
      <c r="CVJ30" s="276"/>
      <c r="CVK30" s="276"/>
      <c r="CVL30" s="276"/>
      <c r="CVM30" s="276"/>
      <c r="CVN30" s="276"/>
      <c r="CVO30" s="276"/>
      <c r="CVP30" s="276"/>
      <c r="CVQ30" s="276"/>
      <c r="CVR30" s="276"/>
      <c r="CVS30" s="276"/>
      <c r="CVT30" s="276"/>
      <c r="CVU30" s="276"/>
      <c r="CVV30" s="276"/>
      <c r="CVW30" s="276"/>
      <c r="CVX30" s="276"/>
      <c r="CVY30" s="276"/>
      <c r="CVZ30" s="276"/>
      <c r="CWA30" s="276"/>
      <c r="CWB30" s="276"/>
      <c r="CWC30" s="276"/>
      <c r="CWD30" s="276"/>
      <c r="CWE30" s="276"/>
      <c r="CWF30" s="276"/>
      <c r="CWG30" s="276"/>
      <c r="CWH30" s="276"/>
      <c r="CWI30" s="276"/>
      <c r="CWJ30" s="276"/>
      <c r="CWK30" s="276"/>
      <c r="CWL30" s="276"/>
      <c r="CWM30" s="276"/>
      <c r="CWN30" s="276"/>
      <c r="CWO30" s="276"/>
      <c r="CWP30" s="276"/>
      <c r="CWQ30" s="276"/>
      <c r="CWR30" s="276"/>
      <c r="CWS30" s="276"/>
      <c r="CWT30" s="276"/>
      <c r="CWU30" s="276"/>
      <c r="CWV30" s="276"/>
      <c r="CWW30" s="276"/>
      <c r="CWX30" s="276"/>
      <c r="CWY30" s="276"/>
      <c r="CWZ30" s="276"/>
      <c r="CXA30" s="276"/>
      <c r="CXB30" s="276"/>
      <c r="CXC30" s="276"/>
      <c r="CXD30" s="276"/>
      <c r="CXE30" s="276"/>
      <c r="CXF30" s="276"/>
      <c r="CXG30" s="276"/>
      <c r="CXH30" s="276"/>
      <c r="CXI30" s="276"/>
      <c r="CXJ30" s="276"/>
      <c r="CXK30" s="276"/>
      <c r="CXL30" s="276"/>
      <c r="CXM30" s="276"/>
      <c r="CXN30" s="276"/>
      <c r="CXO30" s="276"/>
      <c r="CXP30" s="276"/>
      <c r="CXQ30" s="276"/>
      <c r="CXR30" s="276"/>
      <c r="CXS30" s="276"/>
      <c r="CXT30" s="276"/>
      <c r="CXU30" s="276"/>
      <c r="CXV30" s="276"/>
      <c r="CXW30" s="276"/>
      <c r="CXX30" s="276"/>
      <c r="CXY30" s="276"/>
      <c r="CXZ30" s="276"/>
      <c r="CYA30" s="276"/>
      <c r="CYB30" s="276"/>
      <c r="CYC30" s="276"/>
      <c r="CYD30" s="276"/>
      <c r="CYE30" s="276"/>
      <c r="CYF30" s="276"/>
      <c r="CYG30" s="276"/>
      <c r="CYH30" s="276"/>
      <c r="CYI30" s="276"/>
      <c r="CYJ30" s="276"/>
      <c r="CYK30" s="276"/>
      <c r="CYL30" s="276"/>
      <c r="CYM30" s="276"/>
      <c r="CYN30" s="276"/>
      <c r="CYO30" s="276"/>
      <c r="CYP30" s="276"/>
      <c r="CYQ30" s="276"/>
      <c r="CYR30" s="276"/>
      <c r="CYS30" s="276"/>
      <c r="CYT30" s="276"/>
      <c r="CYU30" s="276"/>
      <c r="CYV30" s="276"/>
      <c r="CYW30" s="276"/>
      <c r="CYX30" s="276"/>
      <c r="CYY30" s="276"/>
      <c r="CYZ30" s="276"/>
      <c r="CZA30" s="276"/>
      <c r="CZB30" s="276"/>
      <c r="CZC30" s="276"/>
      <c r="CZD30" s="276"/>
      <c r="CZE30" s="276"/>
      <c r="CZF30" s="276"/>
      <c r="CZG30" s="276"/>
      <c r="CZH30" s="276"/>
      <c r="CZI30" s="276"/>
      <c r="CZJ30" s="276"/>
      <c r="CZK30" s="276"/>
      <c r="CZL30" s="276"/>
      <c r="CZM30" s="276"/>
      <c r="CZN30" s="276"/>
      <c r="CZO30" s="276"/>
      <c r="CZP30" s="276"/>
      <c r="CZQ30" s="276"/>
      <c r="CZR30" s="276"/>
      <c r="CZS30" s="276"/>
      <c r="CZT30" s="276"/>
      <c r="CZU30" s="276"/>
      <c r="CZV30" s="276"/>
      <c r="CZW30" s="276"/>
      <c r="CZX30" s="276"/>
      <c r="CZY30" s="276"/>
      <c r="CZZ30" s="276"/>
      <c r="DAA30" s="276"/>
      <c r="DAB30" s="276"/>
      <c r="DAC30" s="276"/>
      <c r="DAD30" s="276"/>
      <c r="DAE30" s="276"/>
      <c r="DAF30" s="276"/>
      <c r="DAG30" s="276"/>
      <c r="DAH30" s="276"/>
      <c r="DAI30" s="276"/>
      <c r="DAJ30" s="276"/>
      <c r="DAK30" s="276"/>
      <c r="DAL30" s="276"/>
      <c r="DAM30" s="276"/>
      <c r="DAN30" s="276"/>
      <c r="DAO30" s="276"/>
      <c r="DAP30" s="276"/>
      <c r="DAQ30" s="276"/>
      <c r="DAR30" s="276"/>
      <c r="DAS30" s="276"/>
      <c r="DAT30" s="276"/>
      <c r="DAU30" s="276"/>
      <c r="DAV30" s="276"/>
      <c r="DAW30" s="276"/>
      <c r="DAX30" s="276"/>
      <c r="DAY30" s="276"/>
      <c r="DAZ30" s="276"/>
      <c r="DBA30" s="276"/>
      <c r="DBB30" s="276"/>
      <c r="DBC30" s="276"/>
      <c r="DBD30" s="276"/>
      <c r="DBE30" s="276"/>
      <c r="DBF30" s="276"/>
      <c r="DBG30" s="276"/>
      <c r="DBH30" s="276"/>
      <c r="DBI30" s="276"/>
      <c r="DBJ30" s="276"/>
      <c r="DBK30" s="276"/>
      <c r="DBL30" s="276"/>
      <c r="DBM30" s="276"/>
      <c r="DBN30" s="276"/>
      <c r="DBO30" s="276"/>
      <c r="DBP30" s="276"/>
      <c r="DBQ30" s="276"/>
      <c r="DBR30" s="276"/>
      <c r="DBS30" s="276"/>
      <c r="DBT30" s="276"/>
      <c r="DBU30" s="276"/>
      <c r="DBV30" s="276"/>
      <c r="DBW30" s="276"/>
      <c r="DBX30" s="276"/>
      <c r="DBY30" s="276"/>
      <c r="DBZ30" s="276"/>
      <c r="DCA30" s="276"/>
      <c r="DCB30" s="276"/>
      <c r="DCC30" s="276"/>
      <c r="DCD30" s="276"/>
      <c r="DCE30" s="276"/>
      <c r="DCF30" s="276"/>
      <c r="DCG30" s="276"/>
      <c r="DCH30" s="276"/>
      <c r="DCI30" s="276"/>
      <c r="DCJ30" s="276"/>
      <c r="DCK30" s="276"/>
      <c r="DCL30" s="276"/>
      <c r="DCM30" s="276"/>
      <c r="DCN30" s="276"/>
      <c r="DCO30" s="276"/>
      <c r="DCP30" s="276"/>
      <c r="DCQ30" s="276"/>
      <c r="DCR30" s="276"/>
      <c r="DCS30" s="276"/>
      <c r="DCT30" s="276"/>
      <c r="DCU30" s="276"/>
      <c r="DCV30" s="276"/>
      <c r="DCW30" s="276"/>
      <c r="DCX30" s="276"/>
      <c r="DCY30" s="276"/>
      <c r="DCZ30" s="276"/>
      <c r="DDA30" s="276"/>
      <c r="DDB30" s="276"/>
      <c r="DDC30" s="276"/>
      <c r="DDD30" s="276"/>
      <c r="DDE30" s="276"/>
      <c r="DDF30" s="276"/>
      <c r="DDG30" s="276"/>
      <c r="DDH30" s="276"/>
      <c r="DDI30" s="276"/>
      <c r="DDJ30" s="276"/>
      <c r="DDK30" s="276"/>
      <c r="DDL30" s="276"/>
      <c r="DDM30" s="276"/>
      <c r="DDN30" s="276"/>
      <c r="DDO30" s="276"/>
      <c r="DDP30" s="276"/>
      <c r="DDQ30" s="276"/>
      <c r="DDR30" s="276"/>
      <c r="DDS30" s="276"/>
      <c r="DDT30" s="276"/>
      <c r="DDU30" s="276"/>
      <c r="DDV30" s="276"/>
      <c r="DDW30" s="276"/>
      <c r="DDX30" s="276"/>
      <c r="DDY30" s="276"/>
      <c r="DDZ30" s="276"/>
      <c r="DEA30" s="276"/>
      <c r="DEB30" s="276"/>
      <c r="DEC30" s="276"/>
      <c r="DED30" s="276"/>
      <c r="DEE30" s="276"/>
      <c r="DEF30" s="276"/>
      <c r="DEG30" s="276"/>
      <c r="DEH30" s="276"/>
      <c r="DEI30" s="276"/>
      <c r="DEJ30" s="276"/>
      <c r="DEK30" s="276"/>
      <c r="DEL30" s="276"/>
      <c r="DEM30" s="276"/>
      <c r="DEN30" s="276"/>
      <c r="DEO30" s="276"/>
      <c r="DEP30" s="276"/>
      <c r="DEQ30" s="276"/>
      <c r="DER30" s="276"/>
      <c r="DES30" s="276"/>
      <c r="DET30" s="276"/>
      <c r="DEU30" s="276"/>
      <c r="DEV30" s="276"/>
      <c r="DEW30" s="276"/>
      <c r="DEX30" s="276"/>
      <c r="DEY30" s="276"/>
      <c r="DEZ30" s="276"/>
      <c r="DFA30" s="276"/>
      <c r="DFB30" s="276"/>
      <c r="DFC30" s="276"/>
      <c r="DFD30" s="276"/>
      <c r="DFE30" s="276"/>
      <c r="DFF30" s="276"/>
      <c r="DFG30" s="276"/>
      <c r="DFH30" s="276"/>
      <c r="DFI30" s="276"/>
      <c r="DFJ30" s="276"/>
      <c r="DFK30" s="276"/>
      <c r="DFL30" s="276"/>
      <c r="DFM30" s="276"/>
      <c r="DFN30" s="276"/>
      <c r="DFO30" s="276"/>
      <c r="DFP30" s="276"/>
      <c r="DFQ30" s="276"/>
      <c r="DFR30" s="276"/>
      <c r="DFS30" s="276"/>
      <c r="DFT30" s="276"/>
      <c r="DFU30" s="276"/>
      <c r="DFV30" s="276"/>
      <c r="DFW30" s="276"/>
      <c r="DFX30" s="276"/>
      <c r="DFY30" s="276"/>
      <c r="DFZ30" s="276"/>
      <c r="DGA30" s="276"/>
      <c r="DGB30" s="276"/>
      <c r="DGC30" s="276"/>
      <c r="DGD30" s="276"/>
      <c r="DGE30" s="276"/>
      <c r="DGF30" s="276"/>
      <c r="DGG30" s="276"/>
      <c r="DGH30" s="276"/>
      <c r="DGI30" s="276"/>
      <c r="DGJ30" s="276"/>
      <c r="DGK30" s="276"/>
      <c r="DGL30" s="276"/>
      <c r="DGM30" s="276"/>
      <c r="DGN30" s="276"/>
      <c r="DGO30" s="276"/>
      <c r="DGP30" s="276"/>
      <c r="DGQ30" s="276"/>
      <c r="DGR30" s="276"/>
      <c r="DGS30" s="276"/>
      <c r="DGT30" s="276"/>
      <c r="DGU30" s="276"/>
      <c r="DGV30" s="276"/>
      <c r="DGW30" s="276"/>
      <c r="DGX30" s="276"/>
      <c r="DGY30" s="276"/>
      <c r="DGZ30" s="276"/>
      <c r="DHA30" s="276"/>
      <c r="DHB30" s="276"/>
      <c r="DHC30" s="276"/>
      <c r="DHD30" s="276"/>
      <c r="DHE30" s="276"/>
      <c r="DHF30" s="276"/>
      <c r="DHG30" s="276"/>
      <c r="DHH30" s="276"/>
      <c r="DHI30" s="276"/>
      <c r="DHJ30" s="276"/>
      <c r="DHK30" s="276"/>
      <c r="DHL30" s="276"/>
      <c r="DHM30" s="276"/>
      <c r="DHN30" s="276"/>
      <c r="DHO30" s="276"/>
      <c r="DHP30" s="276"/>
      <c r="DHQ30" s="276"/>
      <c r="DHR30" s="276"/>
      <c r="DHS30" s="276"/>
      <c r="DHT30" s="276"/>
      <c r="DHU30" s="276"/>
      <c r="DHV30" s="276"/>
      <c r="DHW30" s="276"/>
      <c r="DHX30" s="276"/>
      <c r="DHY30" s="276"/>
      <c r="DHZ30" s="276"/>
      <c r="DIA30" s="276"/>
      <c r="DIB30" s="276"/>
      <c r="DIC30" s="276"/>
      <c r="DID30" s="276"/>
      <c r="DIE30" s="276"/>
      <c r="DIF30" s="276"/>
      <c r="DIG30" s="276"/>
      <c r="DIH30" s="276"/>
      <c r="DII30" s="276"/>
      <c r="DIJ30" s="276"/>
      <c r="DIK30" s="276"/>
      <c r="DIL30" s="276"/>
      <c r="DIM30" s="276"/>
      <c r="DIN30" s="276"/>
      <c r="DIO30" s="276"/>
      <c r="DIP30" s="276"/>
      <c r="DIQ30" s="276"/>
      <c r="DIR30" s="276"/>
      <c r="DIS30" s="276"/>
      <c r="DIT30" s="276"/>
      <c r="DIU30" s="276"/>
      <c r="DIV30" s="276"/>
      <c r="DIW30" s="276"/>
      <c r="DIX30" s="276"/>
      <c r="DIY30" s="276"/>
      <c r="DIZ30" s="276"/>
      <c r="DJA30" s="276"/>
      <c r="DJB30" s="276"/>
      <c r="DJC30" s="276"/>
      <c r="DJD30" s="276"/>
      <c r="DJE30" s="276"/>
      <c r="DJF30" s="276"/>
      <c r="DJG30" s="276"/>
      <c r="DJH30" s="276"/>
      <c r="DJI30" s="276"/>
      <c r="DJJ30" s="276"/>
      <c r="DJK30" s="276"/>
      <c r="DJL30" s="276"/>
      <c r="DJM30" s="276"/>
      <c r="DJN30" s="276"/>
      <c r="DJO30" s="276"/>
      <c r="DJP30" s="276"/>
      <c r="DJQ30" s="276"/>
      <c r="DJR30" s="276"/>
      <c r="DJS30" s="276"/>
      <c r="DJT30" s="276"/>
      <c r="DJU30" s="276"/>
      <c r="DJV30" s="276"/>
      <c r="DJW30" s="276"/>
      <c r="DJX30" s="276"/>
      <c r="DJY30" s="276"/>
      <c r="DJZ30" s="276"/>
      <c r="DKA30" s="276"/>
      <c r="DKB30" s="276"/>
      <c r="DKC30" s="276"/>
      <c r="DKD30" s="276"/>
      <c r="DKE30" s="276"/>
      <c r="DKF30" s="276"/>
      <c r="DKG30" s="276"/>
      <c r="DKH30" s="276"/>
      <c r="DKI30" s="276"/>
      <c r="DKJ30" s="276"/>
      <c r="DKK30" s="276"/>
      <c r="DKL30" s="276"/>
      <c r="DKM30" s="276"/>
      <c r="DKN30" s="276"/>
      <c r="DKO30" s="276"/>
      <c r="DKP30" s="276"/>
      <c r="DKQ30" s="276"/>
      <c r="DKR30" s="276"/>
      <c r="DKS30" s="276"/>
      <c r="DKT30" s="276"/>
      <c r="DKU30" s="276"/>
      <c r="DKV30" s="276"/>
      <c r="DKW30" s="276"/>
      <c r="DKX30" s="276"/>
      <c r="DKY30" s="276"/>
      <c r="DKZ30" s="276"/>
      <c r="DLA30" s="276"/>
      <c r="DLB30" s="276"/>
      <c r="DLC30" s="276"/>
      <c r="DLD30" s="276"/>
      <c r="DLE30" s="276"/>
      <c r="DLF30" s="276"/>
      <c r="DLG30" s="276"/>
      <c r="DLH30" s="276"/>
      <c r="DLI30" s="276"/>
      <c r="DLJ30" s="276"/>
      <c r="DLK30" s="276"/>
      <c r="DLL30" s="276"/>
      <c r="DLM30" s="276"/>
      <c r="DLN30" s="276"/>
      <c r="DLO30" s="276"/>
      <c r="DLP30" s="276"/>
      <c r="DLQ30" s="276"/>
      <c r="DLR30" s="276"/>
      <c r="DLS30" s="276"/>
      <c r="DLT30" s="276"/>
      <c r="DLU30" s="276"/>
      <c r="DLV30" s="276"/>
      <c r="DLW30" s="276"/>
      <c r="DLX30" s="276"/>
      <c r="DLY30" s="276"/>
      <c r="DLZ30" s="276"/>
      <c r="DMA30" s="276"/>
      <c r="DMB30" s="276"/>
      <c r="DMC30" s="276"/>
      <c r="DMD30" s="276"/>
      <c r="DME30" s="276"/>
      <c r="DMF30" s="276"/>
      <c r="DMG30" s="276"/>
      <c r="DMH30" s="276"/>
      <c r="DMI30" s="276"/>
      <c r="DMJ30" s="276"/>
      <c r="DMK30" s="276"/>
      <c r="DML30" s="276"/>
      <c r="DMM30" s="276"/>
      <c r="DMN30" s="276"/>
      <c r="DMO30" s="276"/>
      <c r="DMP30" s="276"/>
      <c r="DMQ30" s="276"/>
      <c r="DMR30" s="276"/>
      <c r="DMS30" s="276"/>
      <c r="DMT30" s="276"/>
      <c r="DMU30" s="276"/>
      <c r="DMV30" s="276"/>
      <c r="DMW30" s="276"/>
      <c r="DMX30" s="276"/>
      <c r="DMY30" s="276"/>
      <c r="DMZ30" s="276"/>
      <c r="DNA30" s="276"/>
      <c r="DNB30" s="276"/>
      <c r="DNC30" s="276"/>
      <c r="DND30" s="276"/>
      <c r="DNE30" s="276"/>
      <c r="DNF30" s="276"/>
      <c r="DNG30" s="276"/>
      <c r="DNH30" s="276"/>
      <c r="DNI30" s="276"/>
      <c r="DNJ30" s="276"/>
      <c r="DNK30" s="276"/>
      <c r="DNL30" s="276"/>
      <c r="DNM30" s="276"/>
      <c r="DNN30" s="276"/>
      <c r="DNO30" s="276"/>
      <c r="DNP30" s="276"/>
      <c r="DNQ30" s="276"/>
      <c r="DNR30" s="276"/>
      <c r="DNS30" s="276"/>
      <c r="DNT30" s="276"/>
      <c r="DNU30" s="276"/>
      <c r="DNV30" s="276"/>
      <c r="DNW30" s="276"/>
      <c r="DNX30" s="276"/>
      <c r="DNY30" s="276"/>
      <c r="DNZ30" s="276"/>
      <c r="DOA30" s="276"/>
      <c r="DOB30" s="276"/>
      <c r="DOC30" s="276"/>
      <c r="DOD30" s="276"/>
      <c r="DOE30" s="276"/>
      <c r="DOF30" s="276"/>
      <c r="DOG30" s="276"/>
      <c r="DOH30" s="276"/>
      <c r="DOI30" s="276"/>
      <c r="DOJ30" s="276"/>
      <c r="DOK30" s="276"/>
      <c r="DOL30" s="276"/>
      <c r="DOM30" s="276"/>
      <c r="DON30" s="276"/>
      <c r="DOO30" s="276"/>
      <c r="DOP30" s="276"/>
      <c r="DOQ30" s="276"/>
      <c r="DOR30" s="276"/>
      <c r="DOS30" s="276"/>
      <c r="DOT30" s="276"/>
      <c r="DOU30" s="276"/>
      <c r="DOV30" s="276"/>
      <c r="DOW30" s="276"/>
      <c r="DOX30" s="276"/>
      <c r="DOY30" s="276"/>
      <c r="DOZ30" s="276"/>
      <c r="DPA30" s="276"/>
      <c r="DPB30" s="276"/>
      <c r="DPC30" s="276"/>
      <c r="DPD30" s="276"/>
      <c r="DPE30" s="276"/>
      <c r="DPF30" s="276"/>
      <c r="DPG30" s="276"/>
      <c r="DPH30" s="276"/>
      <c r="DPI30" s="276"/>
      <c r="DPJ30" s="276"/>
      <c r="DPK30" s="276"/>
      <c r="DPL30" s="276"/>
      <c r="DPM30" s="276"/>
      <c r="DPN30" s="276"/>
      <c r="DPO30" s="276"/>
      <c r="DPP30" s="276"/>
      <c r="DPQ30" s="276"/>
      <c r="DPR30" s="276"/>
      <c r="DPS30" s="276"/>
      <c r="DPT30" s="276"/>
      <c r="DPU30" s="276"/>
      <c r="DPV30" s="276"/>
      <c r="DPW30" s="276"/>
      <c r="DPX30" s="276"/>
      <c r="DPY30" s="276"/>
      <c r="DPZ30" s="276"/>
      <c r="DQA30" s="276"/>
      <c r="DQB30" s="276"/>
      <c r="DQC30" s="276"/>
      <c r="DQD30" s="276"/>
      <c r="DQE30" s="276"/>
      <c r="DQF30" s="276"/>
      <c r="DQG30" s="276"/>
      <c r="DQH30" s="276"/>
      <c r="DQI30" s="276"/>
      <c r="DQJ30" s="276"/>
      <c r="DQK30" s="276"/>
      <c r="DQL30" s="276"/>
      <c r="DQM30" s="276"/>
      <c r="DQN30" s="276"/>
      <c r="DQO30" s="276"/>
      <c r="DQP30" s="276"/>
      <c r="DQQ30" s="276"/>
      <c r="DQR30" s="276"/>
      <c r="DQS30" s="276"/>
      <c r="DQT30" s="276"/>
      <c r="DQU30" s="276"/>
      <c r="DQV30" s="276"/>
      <c r="DQW30" s="276"/>
      <c r="DQX30" s="276"/>
      <c r="DQY30" s="276"/>
      <c r="DQZ30" s="276"/>
      <c r="DRA30" s="276"/>
      <c r="DRB30" s="276"/>
      <c r="DRC30" s="276"/>
      <c r="DRD30" s="276"/>
      <c r="DRE30" s="276"/>
      <c r="DRF30" s="276"/>
      <c r="DRG30" s="276"/>
      <c r="DRH30" s="276"/>
      <c r="DRI30" s="276"/>
      <c r="DRJ30" s="276"/>
      <c r="DRK30" s="276"/>
      <c r="DRL30" s="276"/>
      <c r="DRM30" s="276"/>
      <c r="DRN30" s="276"/>
      <c r="DRO30" s="276"/>
      <c r="DRP30" s="276"/>
      <c r="DRQ30" s="276"/>
      <c r="DRR30" s="276"/>
      <c r="DRS30" s="276"/>
      <c r="DRT30" s="276"/>
      <c r="DRU30" s="276"/>
      <c r="DRV30" s="276"/>
      <c r="DRW30" s="276"/>
      <c r="DRX30" s="276"/>
      <c r="DRY30" s="276"/>
      <c r="DRZ30" s="276"/>
      <c r="DSA30" s="276"/>
      <c r="DSB30" s="276"/>
      <c r="DSC30" s="276"/>
      <c r="DSD30" s="276"/>
      <c r="DSE30" s="276"/>
      <c r="DSF30" s="276"/>
      <c r="DSG30" s="276"/>
      <c r="DSH30" s="276"/>
      <c r="DSI30" s="276"/>
      <c r="DSJ30" s="276"/>
      <c r="DSK30" s="276"/>
      <c r="DSL30" s="276"/>
      <c r="DSM30" s="276"/>
      <c r="DSN30" s="276"/>
      <c r="DSO30" s="276"/>
      <c r="DSP30" s="276"/>
      <c r="DSQ30" s="276"/>
      <c r="DSR30" s="276"/>
      <c r="DSS30" s="276"/>
      <c r="DST30" s="276"/>
      <c r="DSU30" s="276"/>
      <c r="DSV30" s="276"/>
      <c r="DSW30" s="276"/>
      <c r="DSX30" s="276"/>
      <c r="DSY30" s="276"/>
      <c r="DSZ30" s="276"/>
      <c r="DTA30" s="276"/>
      <c r="DTB30" s="276"/>
      <c r="DTC30" s="276"/>
      <c r="DTD30" s="276"/>
      <c r="DTE30" s="276"/>
      <c r="DTF30" s="276"/>
      <c r="DTG30" s="276"/>
      <c r="DTH30" s="276"/>
      <c r="DTI30" s="276"/>
      <c r="DTJ30" s="276"/>
      <c r="DTK30" s="276"/>
      <c r="DTL30" s="276"/>
      <c r="DTM30" s="276"/>
      <c r="DTN30" s="276"/>
      <c r="DTO30" s="276"/>
      <c r="DTP30" s="276"/>
      <c r="DTQ30" s="276"/>
      <c r="DTR30" s="276"/>
      <c r="DTS30" s="276"/>
      <c r="DTT30" s="276"/>
      <c r="DTU30" s="276"/>
      <c r="DTV30" s="276"/>
      <c r="DTW30" s="276"/>
      <c r="DTX30" s="276"/>
      <c r="DTY30" s="276"/>
      <c r="DTZ30" s="276"/>
      <c r="DUA30" s="276"/>
      <c r="DUB30" s="276"/>
      <c r="DUC30" s="276"/>
      <c r="DUD30" s="276"/>
      <c r="DUE30" s="276"/>
      <c r="DUF30" s="276"/>
      <c r="DUG30" s="276"/>
      <c r="DUH30" s="276"/>
      <c r="DUI30" s="276"/>
      <c r="DUJ30" s="276"/>
      <c r="DUK30" s="276"/>
      <c r="DUL30" s="276"/>
      <c r="DUM30" s="276"/>
      <c r="DUN30" s="276"/>
      <c r="DUO30" s="276"/>
      <c r="DUP30" s="276"/>
      <c r="DUQ30" s="276"/>
      <c r="DUR30" s="276"/>
      <c r="DUS30" s="276"/>
      <c r="DUT30" s="276"/>
      <c r="DUU30" s="276"/>
      <c r="DUV30" s="276"/>
      <c r="DUW30" s="276"/>
      <c r="DUX30" s="276"/>
      <c r="DUY30" s="276"/>
      <c r="DUZ30" s="276"/>
      <c r="DVA30" s="276"/>
      <c r="DVB30" s="276"/>
      <c r="DVC30" s="276"/>
      <c r="DVD30" s="276"/>
      <c r="DVE30" s="276"/>
      <c r="DVF30" s="276"/>
      <c r="DVG30" s="276"/>
      <c r="DVH30" s="276"/>
      <c r="DVI30" s="276"/>
      <c r="DVJ30" s="276"/>
      <c r="DVK30" s="276"/>
      <c r="DVL30" s="276"/>
      <c r="DVM30" s="276"/>
      <c r="DVN30" s="276"/>
      <c r="DVO30" s="276"/>
      <c r="DVP30" s="276"/>
      <c r="DVQ30" s="276"/>
      <c r="DVR30" s="276"/>
      <c r="DVS30" s="276"/>
      <c r="DVT30" s="276"/>
      <c r="DVU30" s="276"/>
      <c r="DVV30" s="276"/>
      <c r="DVW30" s="276"/>
      <c r="DVX30" s="276"/>
      <c r="DVY30" s="276"/>
      <c r="DVZ30" s="276"/>
      <c r="DWA30" s="276"/>
      <c r="DWB30" s="276"/>
      <c r="DWC30" s="276"/>
      <c r="DWD30" s="276"/>
      <c r="DWE30" s="276"/>
      <c r="DWF30" s="276"/>
      <c r="DWG30" s="276"/>
      <c r="DWH30" s="276"/>
      <c r="DWI30" s="276"/>
      <c r="DWJ30" s="276"/>
      <c r="DWK30" s="276"/>
      <c r="DWL30" s="276"/>
      <c r="DWM30" s="276"/>
      <c r="DWN30" s="276"/>
      <c r="DWO30" s="276"/>
      <c r="DWP30" s="276"/>
      <c r="DWQ30" s="276"/>
      <c r="DWR30" s="276"/>
      <c r="DWS30" s="276"/>
      <c r="DWT30" s="276"/>
      <c r="DWU30" s="276"/>
      <c r="DWV30" s="276"/>
      <c r="DWW30" s="276"/>
      <c r="DWX30" s="276"/>
      <c r="DWY30" s="276"/>
      <c r="DWZ30" s="276"/>
      <c r="DXA30" s="276"/>
      <c r="DXB30" s="276"/>
      <c r="DXC30" s="276"/>
      <c r="DXD30" s="276"/>
      <c r="DXE30" s="276"/>
      <c r="DXF30" s="276"/>
      <c r="DXG30" s="276"/>
      <c r="DXH30" s="276"/>
      <c r="DXI30" s="276"/>
      <c r="DXJ30" s="276"/>
      <c r="DXK30" s="276"/>
      <c r="DXL30" s="276"/>
      <c r="DXM30" s="276"/>
      <c r="DXN30" s="276"/>
      <c r="DXO30" s="276"/>
      <c r="DXP30" s="276"/>
      <c r="DXQ30" s="276"/>
      <c r="DXR30" s="276"/>
      <c r="DXS30" s="276"/>
      <c r="DXT30" s="276"/>
      <c r="DXU30" s="276"/>
      <c r="DXV30" s="276"/>
      <c r="DXW30" s="276"/>
      <c r="DXX30" s="276"/>
      <c r="DXY30" s="276"/>
      <c r="DXZ30" s="276"/>
      <c r="DYA30" s="276"/>
      <c r="DYB30" s="276"/>
      <c r="DYC30" s="276"/>
      <c r="DYD30" s="276"/>
      <c r="DYE30" s="276"/>
      <c r="DYF30" s="276"/>
      <c r="DYG30" s="276"/>
      <c r="DYH30" s="276"/>
      <c r="DYI30" s="276"/>
      <c r="DYJ30" s="276"/>
      <c r="DYK30" s="276"/>
      <c r="DYL30" s="276"/>
      <c r="DYM30" s="276"/>
      <c r="DYN30" s="276"/>
      <c r="DYO30" s="276"/>
      <c r="DYP30" s="276"/>
      <c r="DYQ30" s="276"/>
      <c r="DYR30" s="276"/>
      <c r="DYS30" s="276"/>
      <c r="DYT30" s="276"/>
      <c r="DYU30" s="276"/>
      <c r="DYV30" s="276"/>
      <c r="DYW30" s="276"/>
      <c r="DYX30" s="276"/>
      <c r="DYY30" s="276"/>
      <c r="DYZ30" s="276"/>
      <c r="DZA30" s="276"/>
      <c r="DZB30" s="276"/>
      <c r="DZC30" s="276"/>
      <c r="DZD30" s="276"/>
      <c r="DZE30" s="276"/>
      <c r="DZF30" s="276"/>
      <c r="DZG30" s="276"/>
      <c r="DZH30" s="276"/>
      <c r="DZI30" s="276"/>
      <c r="DZJ30" s="276"/>
      <c r="DZK30" s="276"/>
      <c r="DZL30" s="276"/>
      <c r="DZM30" s="276"/>
      <c r="DZN30" s="276"/>
      <c r="DZO30" s="276"/>
      <c r="DZP30" s="276"/>
      <c r="DZQ30" s="276"/>
      <c r="DZR30" s="276"/>
      <c r="DZS30" s="276"/>
      <c r="DZT30" s="276"/>
      <c r="DZU30" s="276"/>
      <c r="DZV30" s="276"/>
      <c r="DZW30" s="276"/>
      <c r="DZX30" s="276"/>
      <c r="DZY30" s="276"/>
      <c r="DZZ30" s="276"/>
      <c r="EAA30" s="276"/>
      <c r="EAB30" s="276"/>
      <c r="EAC30" s="276"/>
      <c r="EAD30" s="276"/>
      <c r="EAE30" s="276"/>
      <c r="EAF30" s="276"/>
      <c r="EAG30" s="276"/>
      <c r="EAH30" s="276"/>
      <c r="EAI30" s="276"/>
      <c r="EAJ30" s="276"/>
      <c r="EAK30" s="276"/>
      <c r="EAL30" s="276"/>
      <c r="EAM30" s="276"/>
      <c r="EAN30" s="276"/>
      <c r="EAO30" s="276"/>
      <c r="EAP30" s="276"/>
      <c r="EAQ30" s="276"/>
      <c r="EAR30" s="276"/>
      <c r="EAS30" s="276"/>
      <c r="EAT30" s="276"/>
      <c r="EAU30" s="276"/>
      <c r="EAV30" s="276"/>
      <c r="EAW30" s="276"/>
      <c r="EAX30" s="276"/>
      <c r="EAY30" s="276"/>
      <c r="EAZ30" s="276"/>
      <c r="EBA30" s="276"/>
      <c r="EBB30" s="276"/>
      <c r="EBC30" s="276"/>
      <c r="EBD30" s="276"/>
      <c r="EBE30" s="276"/>
      <c r="EBF30" s="276"/>
      <c r="EBG30" s="276"/>
      <c r="EBH30" s="276"/>
      <c r="EBI30" s="276"/>
      <c r="EBJ30" s="276"/>
      <c r="EBK30" s="276"/>
      <c r="EBL30" s="276"/>
      <c r="EBM30" s="276"/>
      <c r="EBN30" s="276"/>
      <c r="EBO30" s="276"/>
      <c r="EBP30" s="276"/>
      <c r="EBQ30" s="276"/>
      <c r="EBR30" s="276"/>
      <c r="EBS30" s="276"/>
      <c r="EBT30" s="276"/>
      <c r="EBU30" s="276"/>
      <c r="EBV30" s="276"/>
      <c r="EBW30" s="276"/>
      <c r="EBX30" s="276"/>
      <c r="EBY30" s="276"/>
      <c r="EBZ30" s="276"/>
      <c r="ECA30" s="276"/>
      <c r="ECB30" s="276"/>
      <c r="ECC30" s="276"/>
      <c r="ECD30" s="276"/>
      <c r="ECE30" s="276"/>
      <c r="ECF30" s="276"/>
      <c r="ECG30" s="276"/>
      <c r="ECH30" s="276"/>
      <c r="ECI30" s="276"/>
      <c r="ECJ30" s="276"/>
      <c r="ECK30" s="276"/>
      <c r="ECL30" s="276"/>
      <c r="ECM30" s="276"/>
      <c r="ECN30" s="276"/>
      <c r="ECO30" s="276"/>
      <c r="ECP30" s="276"/>
      <c r="ECQ30" s="276"/>
      <c r="ECR30" s="276"/>
      <c r="ECS30" s="276"/>
      <c r="ECT30" s="276"/>
      <c r="ECU30" s="276"/>
      <c r="ECV30" s="276"/>
      <c r="ECW30" s="276"/>
      <c r="ECX30" s="276"/>
      <c r="ECY30" s="276"/>
      <c r="ECZ30" s="276"/>
      <c r="EDA30" s="276"/>
      <c r="EDB30" s="276"/>
      <c r="EDC30" s="276"/>
      <c r="EDD30" s="276"/>
      <c r="EDE30" s="276"/>
      <c r="EDF30" s="276"/>
      <c r="EDG30" s="276"/>
      <c r="EDH30" s="276"/>
      <c r="EDI30" s="276"/>
      <c r="EDJ30" s="276"/>
      <c r="EDK30" s="276"/>
      <c r="EDL30" s="276"/>
      <c r="EDM30" s="276"/>
      <c r="EDN30" s="276"/>
      <c r="EDO30" s="276"/>
      <c r="EDP30" s="276"/>
      <c r="EDQ30" s="276"/>
      <c r="EDR30" s="276"/>
      <c r="EDS30" s="276"/>
      <c r="EDT30" s="276"/>
      <c r="EDU30" s="276"/>
      <c r="EDV30" s="276"/>
      <c r="EDW30" s="276"/>
      <c r="EDX30" s="276"/>
      <c r="EDY30" s="276"/>
      <c r="EDZ30" s="276"/>
      <c r="EEA30" s="276"/>
      <c r="EEB30" s="276"/>
      <c r="EEC30" s="276"/>
      <c r="EED30" s="276"/>
      <c r="EEE30" s="276"/>
      <c r="EEF30" s="276"/>
      <c r="EEG30" s="276"/>
      <c r="EEH30" s="276"/>
      <c r="EEI30" s="276"/>
      <c r="EEJ30" s="276"/>
      <c r="EEK30" s="276"/>
      <c r="EEL30" s="276"/>
      <c r="EEM30" s="276"/>
      <c r="EEN30" s="276"/>
      <c r="EEO30" s="276"/>
      <c r="EEP30" s="276"/>
      <c r="EEQ30" s="276"/>
      <c r="EER30" s="276"/>
      <c r="EES30" s="276"/>
      <c r="EET30" s="276"/>
      <c r="EEU30" s="276"/>
      <c r="EEV30" s="276"/>
      <c r="EEW30" s="276"/>
      <c r="EEX30" s="276"/>
      <c r="EEY30" s="276"/>
      <c r="EEZ30" s="276"/>
      <c r="EFA30" s="276"/>
      <c r="EFB30" s="276"/>
      <c r="EFC30" s="276"/>
      <c r="EFD30" s="276"/>
      <c r="EFE30" s="276"/>
      <c r="EFF30" s="276"/>
      <c r="EFG30" s="276"/>
      <c r="EFH30" s="276"/>
      <c r="EFI30" s="276"/>
      <c r="EFJ30" s="276"/>
      <c r="EFK30" s="276"/>
      <c r="EFL30" s="276"/>
      <c r="EFM30" s="276"/>
      <c r="EFN30" s="276"/>
      <c r="EFO30" s="276"/>
      <c r="EFP30" s="276"/>
      <c r="EFQ30" s="276"/>
      <c r="EFR30" s="276"/>
      <c r="EFS30" s="276"/>
      <c r="EFT30" s="276"/>
      <c r="EFU30" s="276"/>
      <c r="EFV30" s="276"/>
      <c r="EFW30" s="276"/>
      <c r="EFX30" s="276"/>
      <c r="EFY30" s="276"/>
      <c r="EFZ30" s="276"/>
      <c r="EGA30" s="276"/>
      <c r="EGB30" s="276"/>
      <c r="EGC30" s="276"/>
      <c r="EGD30" s="276"/>
      <c r="EGE30" s="276"/>
      <c r="EGF30" s="276"/>
      <c r="EGG30" s="276"/>
      <c r="EGH30" s="276"/>
      <c r="EGI30" s="276"/>
      <c r="EGJ30" s="276"/>
      <c r="EGK30" s="276"/>
      <c r="EGL30" s="276"/>
      <c r="EGM30" s="276"/>
      <c r="EGN30" s="276"/>
      <c r="EGO30" s="276"/>
      <c r="EGP30" s="276"/>
      <c r="EGQ30" s="276"/>
      <c r="EGR30" s="276"/>
      <c r="EGS30" s="276"/>
      <c r="EGT30" s="276"/>
      <c r="EGU30" s="276"/>
      <c r="EGV30" s="276"/>
      <c r="EGW30" s="276"/>
      <c r="EGX30" s="276"/>
      <c r="EGY30" s="276"/>
      <c r="EGZ30" s="276"/>
      <c r="EHA30" s="276"/>
      <c r="EHB30" s="276"/>
      <c r="EHC30" s="276"/>
      <c r="EHD30" s="276"/>
      <c r="EHE30" s="276"/>
      <c r="EHF30" s="276"/>
      <c r="EHG30" s="276"/>
      <c r="EHH30" s="276"/>
      <c r="EHI30" s="276"/>
      <c r="EHJ30" s="276"/>
      <c r="EHK30" s="276"/>
      <c r="EHL30" s="276"/>
      <c r="EHM30" s="276"/>
      <c r="EHN30" s="276"/>
      <c r="EHO30" s="276"/>
      <c r="EHP30" s="276"/>
      <c r="EHQ30" s="276"/>
      <c r="EHR30" s="276"/>
      <c r="EHS30" s="276"/>
      <c r="EHT30" s="276"/>
      <c r="EHU30" s="276"/>
      <c r="EHV30" s="276"/>
      <c r="EHW30" s="276"/>
      <c r="EHX30" s="276"/>
      <c r="EHY30" s="276"/>
      <c r="EHZ30" s="276"/>
      <c r="EIA30" s="276"/>
      <c r="EIB30" s="276"/>
      <c r="EIC30" s="276"/>
      <c r="EID30" s="276"/>
      <c r="EIE30" s="276"/>
      <c r="EIF30" s="276"/>
      <c r="EIG30" s="276"/>
      <c r="EIH30" s="276"/>
      <c r="EII30" s="276"/>
      <c r="EIJ30" s="276"/>
      <c r="EIK30" s="276"/>
      <c r="EIL30" s="276"/>
      <c r="EIM30" s="276"/>
      <c r="EIN30" s="276"/>
      <c r="EIO30" s="276"/>
      <c r="EIP30" s="276"/>
      <c r="EIQ30" s="276"/>
      <c r="EIR30" s="276"/>
      <c r="EIS30" s="276"/>
      <c r="EIT30" s="276"/>
      <c r="EIU30" s="276"/>
      <c r="EIV30" s="276"/>
      <c r="EIW30" s="276"/>
      <c r="EIX30" s="276"/>
      <c r="EIY30" s="276"/>
      <c r="EIZ30" s="276"/>
      <c r="EJA30" s="276"/>
      <c r="EJB30" s="276"/>
      <c r="EJC30" s="276"/>
      <c r="EJD30" s="276"/>
      <c r="EJE30" s="276"/>
      <c r="EJF30" s="276"/>
      <c r="EJG30" s="276"/>
      <c r="EJH30" s="276"/>
      <c r="EJI30" s="276"/>
      <c r="EJJ30" s="276"/>
      <c r="EJK30" s="276"/>
      <c r="EJL30" s="276"/>
      <c r="EJM30" s="276"/>
      <c r="EJN30" s="276"/>
      <c r="EJO30" s="276"/>
      <c r="EJP30" s="276"/>
      <c r="EJQ30" s="276"/>
      <c r="EJR30" s="276"/>
      <c r="EJS30" s="276"/>
      <c r="EJT30" s="276"/>
      <c r="EJU30" s="276"/>
      <c r="EJV30" s="276"/>
      <c r="EJW30" s="276"/>
      <c r="EJX30" s="276"/>
      <c r="EJY30" s="276"/>
      <c r="EJZ30" s="276"/>
      <c r="EKA30" s="276"/>
      <c r="EKB30" s="276"/>
      <c r="EKC30" s="276"/>
      <c r="EKD30" s="276"/>
      <c r="EKE30" s="276"/>
      <c r="EKF30" s="276"/>
      <c r="EKG30" s="276"/>
      <c r="EKH30" s="276"/>
      <c r="EKI30" s="276"/>
      <c r="EKJ30" s="276"/>
      <c r="EKK30" s="276"/>
      <c r="EKL30" s="276"/>
      <c r="EKM30" s="276"/>
      <c r="EKN30" s="276"/>
      <c r="EKO30" s="276"/>
      <c r="EKP30" s="276"/>
      <c r="EKQ30" s="276"/>
      <c r="EKR30" s="276"/>
      <c r="EKS30" s="276"/>
      <c r="EKT30" s="276"/>
      <c r="EKU30" s="276"/>
      <c r="EKV30" s="276"/>
      <c r="EKW30" s="276"/>
      <c r="EKX30" s="276"/>
      <c r="EKY30" s="276"/>
      <c r="EKZ30" s="276"/>
      <c r="ELA30" s="276"/>
      <c r="ELB30" s="276"/>
      <c r="ELC30" s="276"/>
      <c r="ELD30" s="276"/>
      <c r="ELE30" s="276"/>
      <c r="ELF30" s="276"/>
      <c r="ELG30" s="276"/>
      <c r="ELH30" s="276"/>
      <c r="ELI30" s="276"/>
      <c r="ELJ30" s="276"/>
      <c r="ELK30" s="276"/>
      <c r="ELL30" s="276"/>
      <c r="ELM30" s="276"/>
      <c r="ELN30" s="276"/>
      <c r="ELO30" s="276"/>
      <c r="ELP30" s="276"/>
      <c r="ELQ30" s="276"/>
      <c r="ELR30" s="276"/>
      <c r="ELS30" s="276"/>
      <c r="ELT30" s="276"/>
      <c r="ELU30" s="276"/>
      <c r="ELV30" s="276"/>
      <c r="ELW30" s="276"/>
      <c r="ELX30" s="276"/>
      <c r="ELY30" s="276"/>
      <c r="ELZ30" s="276"/>
      <c r="EMA30" s="276"/>
      <c r="EMB30" s="276"/>
      <c r="EMC30" s="276"/>
      <c r="EMD30" s="276"/>
      <c r="EME30" s="276"/>
      <c r="EMF30" s="276"/>
      <c r="EMG30" s="276"/>
      <c r="EMH30" s="276"/>
      <c r="EMI30" s="276"/>
      <c r="EMJ30" s="276"/>
      <c r="EMK30" s="276"/>
      <c r="EML30" s="276"/>
      <c r="EMM30" s="276"/>
      <c r="EMN30" s="276"/>
      <c r="EMO30" s="276"/>
      <c r="EMP30" s="276"/>
      <c r="EMQ30" s="276"/>
      <c r="EMR30" s="276"/>
      <c r="EMS30" s="276"/>
      <c r="EMT30" s="276"/>
      <c r="EMU30" s="276"/>
      <c r="EMV30" s="276"/>
      <c r="EMW30" s="276"/>
      <c r="EMX30" s="276"/>
      <c r="EMY30" s="276"/>
      <c r="EMZ30" s="276"/>
      <c r="ENA30" s="276"/>
      <c r="ENB30" s="276"/>
      <c r="ENC30" s="276"/>
      <c r="END30" s="276"/>
      <c r="ENE30" s="276"/>
      <c r="ENF30" s="276"/>
      <c r="ENG30" s="276"/>
      <c r="ENH30" s="276"/>
      <c r="ENI30" s="276"/>
      <c r="ENJ30" s="276"/>
      <c r="ENK30" s="276"/>
      <c r="ENL30" s="276"/>
      <c r="ENM30" s="276"/>
      <c r="ENN30" s="276"/>
      <c r="ENO30" s="276"/>
      <c r="ENP30" s="276"/>
      <c r="ENQ30" s="276"/>
      <c r="ENR30" s="276"/>
      <c r="ENS30" s="276"/>
      <c r="ENT30" s="276"/>
      <c r="ENU30" s="276"/>
      <c r="ENV30" s="276"/>
      <c r="ENW30" s="276"/>
      <c r="ENX30" s="276"/>
      <c r="ENY30" s="276"/>
      <c r="ENZ30" s="276"/>
      <c r="EOA30" s="276"/>
      <c r="EOB30" s="276"/>
      <c r="EOC30" s="276"/>
      <c r="EOD30" s="276"/>
      <c r="EOE30" s="276"/>
      <c r="EOF30" s="276"/>
      <c r="EOG30" s="276"/>
      <c r="EOH30" s="276"/>
      <c r="EOI30" s="276"/>
      <c r="EOJ30" s="276"/>
      <c r="EOK30" s="276"/>
      <c r="EOL30" s="276"/>
      <c r="EOM30" s="276"/>
      <c r="EON30" s="276"/>
      <c r="EOO30" s="276"/>
      <c r="EOP30" s="276"/>
      <c r="EOQ30" s="276"/>
      <c r="EOR30" s="276"/>
      <c r="EOS30" s="276"/>
      <c r="EOT30" s="276"/>
      <c r="EOU30" s="276"/>
      <c r="EOV30" s="276"/>
      <c r="EOW30" s="276"/>
      <c r="EOX30" s="276"/>
      <c r="EOY30" s="276"/>
      <c r="EOZ30" s="276"/>
      <c r="EPA30" s="276"/>
      <c r="EPB30" s="276"/>
      <c r="EPC30" s="276"/>
      <c r="EPD30" s="276"/>
      <c r="EPE30" s="276"/>
      <c r="EPF30" s="276"/>
      <c r="EPG30" s="276"/>
      <c r="EPH30" s="276"/>
      <c r="EPI30" s="276"/>
      <c r="EPJ30" s="276"/>
      <c r="EPK30" s="276"/>
      <c r="EPL30" s="276"/>
      <c r="EPM30" s="276"/>
      <c r="EPN30" s="276"/>
      <c r="EPO30" s="276"/>
      <c r="EPP30" s="276"/>
      <c r="EPQ30" s="276"/>
      <c r="EPR30" s="276"/>
      <c r="EPS30" s="276"/>
      <c r="EPT30" s="276"/>
      <c r="EPU30" s="276"/>
      <c r="EPV30" s="276"/>
      <c r="EPW30" s="276"/>
      <c r="EPX30" s="276"/>
      <c r="EPY30" s="276"/>
      <c r="EPZ30" s="276"/>
      <c r="EQA30" s="276"/>
      <c r="EQB30" s="276"/>
      <c r="EQC30" s="276"/>
      <c r="EQD30" s="276"/>
      <c r="EQE30" s="276"/>
      <c r="EQF30" s="276"/>
      <c r="EQG30" s="276"/>
      <c r="EQH30" s="276"/>
      <c r="EQI30" s="276"/>
      <c r="EQJ30" s="276"/>
      <c r="EQK30" s="276"/>
      <c r="EQL30" s="276"/>
      <c r="EQM30" s="276"/>
      <c r="EQN30" s="276"/>
      <c r="EQO30" s="276"/>
      <c r="EQP30" s="276"/>
      <c r="EQQ30" s="276"/>
      <c r="EQR30" s="276"/>
      <c r="EQS30" s="276"/>
      <c r="EQT30" s="276"/>
      <c r="EQU30" s="276"/>
      <c r="EQV30" s="276"/>
      <c r="EQW30" s="276"/>
      <c r="EQX30" s="276"/>
      <c r="EQY30" s="276"/>
      <c r="EQZ30" s="276"/>
      <c r="ERA30" s="276"/>
      <c r="ERB30" s="276"/>
      <c r="ERC30" s="276"/>
      <c r="ERD30" s="276"/>
      <c r="ERE30" s="276"/>
      <c r="ERF30" s="276"/>
      <c r="ERG30" s="276"/>
      <c r="ERH30" s="276"/>
      <c r="ERI30" s="276"/>
      <c r="ERJ30" s="276"/>
      <c r="ERK30" s="276"/>
      <c r="ERL30" s="276"/>
      <c r="ERM30" s="276"/>
      <c r="ERN30" s="276"/>
      <c r="ERO30" s="276"/>
      <c r="ERP30" s="276"/>
      <c r="ERQ30" s="276"/>
      <c r="ERR30" s="276"/>
      <c r="ERS30" s="276"/>
      <c r="ERT30" s="276"/>
      <c r="ERU30" s="276"/>
      <c r="ERV30" s="276"/>
      <c r="ERW30" s="276"/>
      <c r="ERX30" s="276"/>
      <c r="ERY30" s="276"/>
      <c r="ERZ30" s="276"/>
      <c r="ESA30" s="276"/>
      <c r="ESB30" s="276"/>
      <c r="ESC30" s="276"/>
      <c r="ESD30" s="276"/>
      <c r="ESE30" s="276"/>
      <c r="ESF30" s="276"/>
      <c r="ESG30" s="276"/>
      <c r="ESH30" s="276"/>
      <c r="ESI30" s="276"/>
      <c r="ESJ30" s="276"/>
      <c r="ESK30" s="276"/>
      <c r="ESL30" s="276"/>
      <c r="ESM30" s="276"/>
      <c r="ESN30" s="276"/>
      <c r="ESO30" s="276"/>
      <c r="ESP30" s="276"/>
      <c r="ESQ30" s="276"/>
      <c r="ESR30" s="276"/>
      <c r="ESS30" s="276"/>
      <c r="EST30" s="276"/>
      <c r="ESU30" s="276"/>
      <c r="ESV30" s="276"/>
      <c r="ESW30" s="276"/>
      <c r="ESX30" s="276"/>
      <c r="ESY30" s="276"/>
      <c r="ESZ30" s="276"/>
      <c r="ETA30" s="276"/>
      <c r="ETB30" s="276"/>
      <c r="ETC30" s="276"/>
      <c r="ETD30" s="276"/>
      <c r="ETE30" s="276"/>
      <c r="ETF30" s="276"/>
      <c r="ETG30" s="276"/>
      <c r="ETH30" s="276"/>
      <c r="ETI30" s="276"/>
      <c r="ETJ30" s="276"/>
      <c r="ETK30" s="276"/>
      <c r="ETL30" s="276"/>
      <c r="ETM30" s="276"/>
      <c r="ETN30" s="276"/>
      <c r="ETO30" s="276"/>
      <c r="ETP30" s="276"/>
      <c r="ETQ30" s="276"/>
      <c r="ETR30" s="276"/>
      <c r="ETS30" s="276"/>
      <c r="ETT30" s="276"/>
      <c r="ETU30" s="276"/>
      <c r="ETV30" s="276"/>
      <c r="ETW30" s="276"/>
      <c r="ETX30" s="276"/>
      <c r="ETY30" s="276"/>
      <c r="ETZ30" s="276"/>
      <c r="EUA30" s="276"/>
      <c r="EUB30" s="276"/>
      <c r="EUC30" s="276"/>
      <c r="EUD30" s="276"/>
      <c r="EUE30" s="276"/>
      <c r="EUF30" s="276"/>
      <c r="EUG30" s="276"/>
      <c r="EUH30" s="276"/>
      <c r="EUI30" s="276"/>
      <c r="EUJ30" s="276"/>
      <c r="EUK30" s="276"/>
      <c r="EUL30" s="276"/>
      <c r="EUM30" s="276"/>
      <c r="EUN30" s="276"/>
      <c r="EUO30" s="276"/>
      <c r="EUP30" s="276"/>
      <c r="EUQ30" s="276"/>
      <c r="EUR30" s="276"/>
      <c r="EUS30" s="276"/>
      <c r="EUT30" s="276"/>
      <c r="EUU30" s="276"/>
      <c r="EUV30" s="276"/>
      <c r="EUW30" s="276"/>
      <c r="EUX30" s="276"/>
      <c r="EUY30" s="276"/>
      <c r="EUZ30" s="276"/>
      <c r="EVA30" s="276"/>
      <c r="EVB30" s="276"/>
      <c r="EVC30" s="276"/>
      <c r="EVD30" s="276"/>
      <c r="EVE30" s="276"/>
      <c r="EVF30" s="276"/>
      <c r="EVG30" s="276"/>
      <c r="EVH30" s="276"/>
      <c r="EVI30" s="276"/>
      <c r="EVJ30" s="276"/>
      <c r="EVK30" s="276"/>
      <c r="EVL30" s="276"/>
      <c r="EVM30" s="276"/>
      <c r="EVN30" s="276"/>
      <c r="EVO30" s="276"/>
      <c r="EVP30" s="276"/>
      <c r="EVQ30" s="276"/>
      <c r="EVR30" s="276"/>
      <c r="EVS30" s="276"/>
      <c r="EVT30" s="276"/>
      <c r="EVU30" s="276"/>
      <c r="EVV30" s="276"/>
      <c r="EVW30" s="276"/>
      <c r="EVX30" s="276"/>
      <c r="EVY30" s="276"/>
      <c r="EVZ30" s="276"/>
      <c r="EWA30" s="276"/>
      <c r="EWB30" s="276"/>
      <c r="EWC30" s="276"/>
      <c r="EWD30" s="276"/>
      <c r="EWE30" s="276"/>
      <c r="EWF30" s="276"/>
      <c r="EWG30" s="276"/>
      <c r="EWH30" s="276"/>
      <c r="EWI30" s="276"/>
      <c r="EWJ30" s="276"/>
      <c r="EWK30" s="276"/>
      <c r="EWL30" s="276"/>
      <c r="EWM30" s="276"/>
      <c r="EWN30" s="276"/>
      <c r="EWO30" s="276"/>
      <c r="EWP30" s="276"/>
      <c r="EWQ30" s="276"/>
      <c r="EWR30" s="276"/>
      <c r="EWS30" s="276"/>
      <c r="EWT30" s="276"/>
      <c r="EWU30" s="276"/>
      <c r="EWV30" s="276"/>
      <c r="EWW30" s="276"/>
      <c r="EWX30" s="276"/>
      <c r="EWY30" s="276"/>
      <c r="EWZ30" s="276"/>
      <c r="EXA30" s="276"/>
      <c r="EXB30" s="276"/>
      <c r="EXC30" s="276"/>
      <c r="EXD30" s="276"/>
      <c r="EXE30" s="276"/>
      <c r="EXF30" s="276"/>
      <c r="EXG30" s="276"/>
      <c r="EXH30" s="276"/>
      <c r="EXI30" s="276"/>
      <c r="EXJ30" s="276"/>
      <c r="EXK30" s="276"/>
      <c r="EXL30" s="276"/>
      <c r="EXM30" s="276"/>
      <c r="EXN30" s="276"/>
      <c r="EXO30" s="276"/>
      <c r="EXP30" s="276"/>
      <c r="EXQ30" s="276"/>
      <c r="EXR30" s="276"/>
      <c r="EXS30" s="276"/>
      <c r="EXT30" s="276"/>
      <c r="EXU30" s="276"/>
      <c r="EXV30" s="276"/>
      <c r="EXW30" s="276"/>
      <c r="EXX30" s="276"/>
      <c r="EXY30" s="276"/>
      <c r="EXZ30" s="276"/>
      <c r="EYA30" s="276"/>
      <c r="EYB30" s="276"/>
      <c r="EYC30" s="276"/>
      <c r="EYD30" s="276"/>
      <c r="EYE30" s="276"/>
      <c r="EYF30" s="276"/>
      <c r="EYG30" s="276"/>
      <c r="EYH30" s="276"/>
      <c r="EYI30" s="276"/>
      <c r="EYJ30" s="276"/>
      <c r="EYK30" s="276"/>
      <c r="EYL30" s="276"/>
      <c r="EYM30" s="276"/>
      <c r="EYN30" s="276"/>
      <c r="EYO30" s="276"/>
      <c r="EYP30" s="276"/>
      <c r="EYQ30" s="276"/>
      <c r="EYR30" s="276"/>
      <c r="EYS30" s="276"/>
      <c r="EYT30" s="276"/>
      <c r="EYU30" s="276"/>
      <c r="EYV30" s="276"/>
      <c r="EYW30" s="276"/>
      <c r="EYX30" s="276"/>
      <c r="EYY30" s="276"/>
      <c r="EYZ30" s="276"/>
      <c r="EZA30" s="276"/>
      <c r="EZB30" s="276"/>
      <c r="EZC30" s="276"/>
      <c r="EZD30" s="276"/>
      <c r="EZE30" s="276"/>
      <c r="EZF30" s="276"/>
      <c r="EZG30" s="276"/>
      <c r="EZH30" s="276"/>
      <c r="EZI30" s="276"/>
      <c r="EZJ30" s="276"/>
      <c r="EZK30" s="276"/>
      <c r="EZL30" s="276"/>
      <c r="EZM30" s="276"/>
      <c r="EZN30" s="276"/>
      <c r="EZO30" s="276"/>
      <c r="EZP30" s="276"/>
      <c r="EZQ30" s="276"/>
      <c r="EZR30" s="276"/>
      <c r="EZS30" s="276"/>
      <c r="EZT30" s="276"/>
      <c r="EZU30" s="276"/>
      <c r="EZV30" s="276"/>
      <c r="EZW30" s="276"/>
      <c r="EZX30" s="276"/>
      <c r="EZY30" s="276"/>
      <c r="EZZ30" s="276"/>
      <c r="FAA30" s="276"/>
      <c r="FAB30" s="276"/>
      <c r="FAC30" s="276"/>
      <c r="FAD30" s="276"/>
      <c r="FAE30" s="276"/>
      <c r="FAF30" s="276"/>
      <c r="FAG30" s="276"/>
      <c r="FAH30" s="276"/>
      <c r="FAI30" s="276"/>
      <c r="FAJ30" s="276"/>
      <c r="FAK30" s="276"/>
      <c r="FAL30" s="276"/>
      <c r="FAM30" s="276"/>
      <c r="FAN30" s="276"/>
      <c r="FAO30" s="276"/>
      <c r="FAP30" s="276"/>
      <c r="FAQ30" s="276"/>
      <c r="FAR30" s="276"/>
      <c r="FAS30" s="276"/>
      <c r="FAT30" s="276"/>
      <c r="FAU30" s="276"/>
      <c r="FAV30" s="276"/>
      <c r="FAW30" s="276"/>
      <c r="FAX30" s="276"/>
      <c r="FAY30" s="276"/>
      <c r="FAZ30" s="276"/>
      <c r="FBA30" s="276"/>
      <c r="FBB30" s="276"/>
      <c r="FBC30" s="276"/>
      <c r="FBD30" s="276"/>
      <c r="FBE30" s="276"/>
      <c r="FBF30" s="276"/>
      <c r="FBG30" s="276"/>
      <c r="FBH30" s="276"/>
      <c r="FBI30" s="276"/>
      <c r="FBJ30" s="276"/>
      <c r="FBK30" s="276"/>
      <c r="FBL30" s="276"/>
      <c r="FBM30" s="276"/>
      <c r="FBN30" s="276"/>
      <c r="FBO30" s="276"/>
      <c r="FBP30" s="276"/>
      <c r="FBQ30" s="276"/>
      <c r="FBR30" s="276"/>
      <c r="FBS30" s="276"/>
      <c r="FBT30" s="276"/>
      <c r="FBU30" s="276"/>
      <c r="FBV30" s="276"/>
      <c r="FBW30" s="276"/>
      <c r="FBX30" s="276"/>
      <c r="FBY30" s="276"/>
      <c r="FBZ30" s="276"/>
      <c r="FCA30" s="276"/>
      <c r="FCB30" s="276"/>
      <c r="FCC30" s="276"/>
      <c r="FCD30" s="276"/>
      <c r="FCE30" s="276"/>
      <c r="FCF30" s="276"/>
      <c r="FCG30" s="276"/>
      <c r="FCH30" s="276"/>
      <c r="FCI30" s="276"/>
      <c r="FCJ30" s="276"/>
      <c r="FCK30" s="276"/>
      <c r="FCL30" s="276"/>
      <c r="FCM30" s="276"/>
      <c r="FCN30" s="276"/>
      <c r="FCO30" s="276"/>
      <c r="FCP30" s="276"/>
      <c r="FCQ30" s="276"/>
      <c r="FCR30" s="276"/>
      <c r="FCS30" s="276"/>
      <c r="FCT30" s="276"/>
      <c r="FCU30" s="276"/>
      <c r="FCV30" s="276"/>
      <c r="FCW30" s="276"/>
      <c r="FCX30" s="276"/>
      <c r="FCY30" s="276"/>
      <c r="FCZ30" s="276"/>
      <c r="FDA30" s="276"/>
      <c r="FDB30" s="276"/>
      <c r="FDC30" s="276"/>
      <c r="FDD30" s="276"/>
      <c r="FDE30" s="276"/>
      <c r="FDF30" s="276"/>
      <c r="FDG30" s="276"/>
      <c r="FDH30" s="276"/>
      <c r="FDI30" s="276"/>
      <c r="FDJ30" s="276"/>
      <c r="FDK30" s="276"/>
      <c r="FDL30" s="276"/>
      <c r="FDM30" s="276"/>
      <c r="FDN30" s="276"/>
      <c r="FDO30" s="276"/>
      <c r="FDP30" s="276"/>
      <c r="FDQ30" s="276"/>
      <c r="FDR30" s="276"/>
      <c r="FDS30" s="276"/>
      <c r="FDT30" s="276"/>
      <c r="FDU30" s="276"/>
      <c r="FDV30" s="276"/>
      <c r="FDW30" s="276"/>
      <c r="FDX30" s="276"/>
      <c r="FDY30" s="276"/>
      <c r="FDZ30" s="276"/>
      <c r="FEA30" s="276"/>
      <c r="FEB30" s="276"/>
      <c r="FEC30" s="276"/>
      <c r="FED30" s="276"/>
      <c r="FEE30" s="276"/>
      <c r="FEF30" s="276"/>
      <c r="FEG30" s="276"/>
      <c r="FEH30" s="276"/>
      <c r="FEI30" s="276"/>
      <c r="FEJ30" s="276"/>
      <c r="FEK30" s="276"/>
      <c r="FEL30" s="276"/>
      <c r="FEM30" s="276"/>
      <c r="FEN30" s="276"/>
      <c r="FEO30" s="276"/>
      <c r="FEP30" s="276"/>
      <c r="FEQ30" s="276"/>
      <c r="FER30" s="276"/>
      <c r="FES30" s="276"/>
      <c r="FET30" s="276"/>
      <c r="FEU30" s="276"/>
      <c r="FEV30" s="276"/>
      <c r="FEW30" s="276"/>
      <c r="FEX30" s="276"/>
      <c r="FEY30" s="276"/>
      <c r="FEZ30" s="276"/>
      <c r="FFA30" s="276"/>
      <c r="FFB30" s="276"/>
      <c r="FFC30" s="276"/>
      <c r="FFD30" s="276"/>
      <c r="FFE30" s="276"/>
      <c r="FFF30" s="276"/>
      <c r="FFG30" s="276"/>
      <c r="FFH30" s="276"/>
      <c r="FFI30" s="276"/>
      <c r="FFJ30" s="276"/>
      <c r="FFK30" s="276"/>
      <c r="FFL30" s="276"/>
      <c r="FFM30" s="276"/>
      <c r="FFN30" s="276"/>
      <c r="FFO30" s="276"/>
      <c r="FFP30" s="276"/>
      <c r="FFQ30" s="276"/>
      <c r="FFR30" s="276"/>
      <c r="FFS30" s="276"/>
      <c r="FFT30" s="276"/>
      <c r="FFU30" s="276"/>
      <c r="FFV30" s="276"/>
      <c r="FFW30" s="276"/>
      <c r="FFX30" s="276"/>
      <c r="FFY30" s="276"/>
      <c r="FFZ30" s="276"/>
      <c r="FGA30" s="276"/>
      <c r="FGB30" s="276"/>
      <c r="FGC30" s="276"/>
      <c r="FGD30" s="276"/>
      <c r="FGE30" s="276"/>
      <c r="FGF30" s="276"/>
      <c r="FGG30" s="276"/>
      <c r="FGH30" s="276"/>
      <c r="FGI30" s="276"/>
      <c r="FGJ30" s="276"/>
      <c r="FGK30" s="276"/>
      <c r="FGL30" s="276"/>
      <c r="FGM30" s="276"/>
      <c r="FGN30" s="276"/>
      <c r="FGO30" s="276"/>
      <c r="FGP30" s="276"/>
      <c r="FGQ30" s="276"/>
      <c r="FGR30" s="276"/>
      <c r="FGS30" s="276"/>
      <c r="FGT30" s="276"/>
      <c r="FGU30" s="276"/>
      <c r="FGV30" s="276"/>
      <c r="FGW30" s="276"/>
      <c r="FGX30" s="276"/>
      <c r="FGY30" s="276"/>
      <c r="FGZ30" s="276"/>
      <c r="FHA30" s="276"/>
      <c r="FHB30" s="276"/>
      <c r="FHC30" s="276"/>
      <c r="FHD30" s="276"/>
      <c r="FHE30" s="276"/>
      <c r="FHF30" s="276"/>
      <c r="FHG30" s="276"/>
      <c r="FHH30" s="276"/>
      <c r="FHI30" s="276"/>
      <c r="FHJ30" s="276"/>
      <c r="FHK30" s="276"/>
      <c r="FHL30" s="276"/>
      <c r="FHM30" s="276"/>
      <c r="FHN30" s="276"/>
      <c r="FHO30" s="276"/>
      <c r="FHP30" s="276"/>
      <c r="FHQ30" s="276"/>
      <c r="FHR30" s="276"/>
      <c r="FHS30" s="276"/>
      <c r="FHT30" s="276"/>
      <c r="FHU30" s="276"/>
      <c r="FHV30" s="276"/>
      <c r="FHW30" s="276"/>
      <c r="FHX30" s="276"/>
      <c r="FHY30" s="276"/>
      <c r="FHZ30" s="276"/>
      <c r="FIA30" s="276"/>
      <c r="FIB30" s="276"/>
      <c r="FIC30" s="276"/>
      <c r="FID30" s="276"/>
      <c r="FIE30" s="276"/>
      <c r="FIF30" s="276"/>
      <c r="FIG30" s="276"/>
      <c r="FIH30" s="276"/>
      <c r="FII30" s="276"/>
      <c r="FIJ30" s="276"/>
      <c r="FIK30" s="276"/>
      <c r="FIL30" s="276"/>
      <c r="FIM30" s="276"/>
      <c r="FIN30" s="276"/>
      <c r="FIO30" s="276"/>
      <c r="FIP30" s="276"/>
      <c r="FIQ30" s="276"/>
      <c r="FIR30" s="276"/>
      <c r="FIS30" s="276"/>
      <c r="FIT30" s="276"/>
      <c r="FIU30" s="276"/>
      <c r="FIV30" s="276"/>
      <c r="FIW30" s="276"/>
      <c r="FIX30" s="276"/>
      <c r="FIY30" s="276"/>
      <c r="FIZ30" s="276"/>
      <c r="FJA30" s="276"/>
      <c r="FJB30" s="276"/>
      <c r="FJC30" s="276"/>
      <c r="FJD30" s="276"/>
      <c r="FJE30" s="276"/>
      <c r="FJF30" s="276"/>
      <c r="FJG30" s="276"/>
      <c r="FJH30" s="276"/>
      <c r="FJI30" s="276"/>
      <c r="FJJ30" s="276"/>
      <c r="FJK30" s="276"/>
      <c r="FJL30" s="276"/>
      <c r="FJM30" s="276"/>
      <c r="FJN30" s="276"/>
      <c r="FJO30" s="276"/>
      <c r="FJP30" s="276"/>
      <c r="FJQ30" s="276"/>
      <c r="FJR30" s="276"/>
      <c r="FJS30" s="276"/>
      <c r="FJT30" s="276"/>
      <c r="FJU30" s="276"/>
      <c r="FJV30" s="276"/>
      <c r="FJW30" s="276"/>
      <c r="FJX30" s="276"/>
      <c r="FJY30" s="276"/>
      <c r="FJZ30" s="276"/>
      <c r="FKA30" s="276"/>
      <c r="FKB30" s="276"/>
      <c r="FKC30" s="276"/>
      <c r="FKD30" s="276"/>
      <c r="FKE30" s="276"/>
      <c r="FKF30" s="276"/>
      <c r="FKG30" s="276"/>
      <c r="FKH30" s="276"/>
      <c r="FKI30" s="276"/>
      <c r="FKJ30" s="276"/>
      <c r="FKK30" s="276"/>
      <c r="FKL30" s="276"/>
      <c r="FKM30" s="276"/>
      <c r="FKN30" s="276"/>
      <c r="FKO30" s="276"/>
      <c r="FKP30" s="276"/>
      <c r="FKQ30" s="276"/>
      <c r="FKR30" s="276"/>
      <c r="FKS30" s="276"/>
      <c r="FKT30" s="276"/>
      <c r="FKU30" s="276"/>
      <c r="FKV30" s="276"/>
      <c r="FKW30" s="276"/>
      <c r="FKX30" s="276"/>
      <c r="FKY30" s="276"/>
      <c r="FKZ30" s="276"/>
      <c r="FLA30" s="276"/>
      <c r="FLB30" s="276"/>
      <c r="FLC30" s="276"/>
      <c r="FLD30" s="276"/>
      <c r="FLE30" s="276"/>
      <c r="FLF30" s="276"/>
      <c r="FLG30" s="276"/>
      <c r="FLH30" s="276"/>
      <c r="FLI30" s="276"/>
      <c r="FLJ30" s="276"/>
      <c r="FLK30" s="276"/>
      <c r="FLL30" s="276"/>
      <c r="FLM30" s="276"/>
      <c r="FLN30" s="276"/>
      <c r="FLO30" s="276"/>
      <c r="FLP30" s="276"/>
      <c r="FLQ30" s="276"/>
      <c r="FLR30" s="276"/>
      <c r="FLS30" s="276"/>
      <c r="FLT30" s="276"/>
      <c r="FLU30" s="276"/>
      <c r="FLV30" s="276"/>
      <c r="FLW30" s="276"/>
      <c r="FLX30" s="276"/>
      <c r="FLY30" s="276"/>
      <c r="FLZ30" s="276"/>
      <c r="FMA30" s="276"/>
      <c r="FMB30" s="276"/>
      <c r="FMC30" s="276"/>
      <c r="FMD30" s="276"/>
      <c r="FME30" s="276"/>
      <c r="FMF30" s="276"/>
      <c r="FMG30" s="276"/>
      <c r="FMH30" s="276"/>
      <c r="FMI30" s="276"/>
      <c r="FMJ30" s="276"/>
      <c r="FMK30" s="276"/>
      <c r="FML30" s="276"/>
      <c r="FMM30" s="276"/>
      <c r="FMN30" s="276"/>
      <c r="FMO30" s="276"/>
      <c r="FMP30" s="276"/>
      <c r="FMQ30" s="276"/>
      <c r="FMR30" s="276"/>
      <c r="FMS30" s="276"/>
      <c r="FMT30" s="276"/>
      <c r="FMU30" s="276"/>
      <c r="FMV30" s="276"/>
      <c r="FMW30" s="276"/>
      <c r="FMX30" s="276"/>
      <c r="FMY30" s="276"/>
      <c r="FMZ30" s="276"/>
      <c r="FNA30" s="276"/>
      <c r="FNB30" s="276"/>
      <c r="FNC30" s="276"/>
      <c r="FND30" s="276"/>
      <c r="FNE30" s="276"/>
      <c r="FNF30" s="276"/>
      <c r="FNG30" s="276"/>
      <c r="FNH30" s="276"/>
      <c r="FNI30" s="276"/>
      <c r="FNJ30" s="276"/>
      <c r="FNK30" s="276"/>
      <c r="FNL30" s="276"/>
      <c r="FNM30" s="276"/>
      <c r="FNN30" s="276"/>
      <c r="FNO30" s="276"/>
      <c r="FNP30" s="276"/>
      <c r="FNQ30" s="276"/>
      <c r="FNR30" s="276"/>
      <c r="FNS30" s="276"/>
      <c r="FNT30" s="276"/>
      <c r="FNU30" s="276"/>
      <c r="FNV30" s="276"/>
      <c r="FNW30" s="276"/>
      <c r="FNX30" s="276"/>
      <c r="FNY30" s="276"/>
      <c r="FNZ30" s="276"/>
      <c r="FOA30" s="276"/>
      <c r="FOB30" s="276"/>
      <c r="FOC30" s="276"/>
      <c r="FOD30" s="276"/>
      <c r="FOE30" s="276"/>
      <c r="FOF30" s="276"/>
      <c r="FOG30" s="276"/>
      <c r="FOH30" s="276"/>
      <c r="FOI30" s="276"/>
      <c r="FOJ30" s="276"/>
      <c r="FOK30" s="276"/>
      <c r="FOL30" s="276"/>
      <c r="FOM30" s="276"/>
      <c r="FON30" s="276"/>
      <c r="FOO30" s="276"/>
      <c r="FOP30" s="276"/>
      <c r="FOQ30" s="276"/>
      <c r="FOR30" s="276"/>
      <c r="FOS30" s="276"/>
      <c r="FOT30" s="276"/>
      <c r="FOU30" s="276"/>
      <c r="FOV30" s="276"/>
      <c r="FOW30" s="276"/>
      <c r="FOX30" s="276"/>
      <c r="FOY30" s="276"/>
      <c r="FOZ30" s="276"/>
      <c r="FPA30" s="276"/>
      <c r="FPB30" s="276"/>
      <c r="FPC30" s="276"/>
      <c r="FPD30" s="276"/>
      <c r="FPE30" s="276"/>
      <c r="FPF30" s="276"/>
      <c r="FPG30" s="276"/>
      <c r="FPH30" s="276"/>
      <c r="FPI30" s="276"/>
      <c r="FPJ30" s="276"/>
      <c r="FPK30" s="276"/>
      <c r="FPL30" s="276"/>
      <c r="FPM30" s="276"/>
      <c r="FPN30" s="276"/>
      <c r="FPO30" s="276"/>
      <c r="FPP30" s="276"/>
      <c r="FPQ30" s="276"/>
      <c r="FPR30" s="276"/>
      <c r="FPS30" s="276"/>
      <c r="FPT30" s="276"/>
      <c r="FPU30" s="276"/>
      <c r="FPV30" s="276"/>
      <c r="FPW30" s="276"/>
      <c r="FPX30" s="276"/>
      <c r="FPY30" s="276"/>
      <c r="FPZ30" s="276"/>
      <c r="FQA30" s="276"/>
      <c r="FQB30" s="276"/>
      <c r="FQC30" s="276"/>
      <c r="FQD30" s="276"/>
      <c r="FQE30" s="276"/>
      <c r="FQF30" s="276"/>
      <c r="FQG30" s="276"/>
      <c r="FQH30" s="276"/>
      <c r="FQI30" s="276"/>
      <c r="FQJ30" s="276"/>
      <c r="FQK30" s="276"/>
      <c r="FQL30" s="276"/>
      <c r="FQM30" s="276"/>
      <c r="FQN30" s="276"/>
      <c r="FQO30" s="276"/>
      <c r="FQP30" s="276"/>
      <c r="FQQ30" s="276"/>
      <c r="FQR30" s="276"/>
      <c r="FQS30" s="276"/>
      <c r="FQT30" s="276"/>
      <c r="FQU30" s="276"/>
      <c r="FQV30" s="276"/>
      <c r="FQW30" s="276"/>
      <c r="FQX30" s="276"/>
      <c r="FQY30" s="276"/>
      <c r="FQZ30" s="276"/>
      <c r="FRA30" s="276"/>
      <c r="FRB30" s="276"/>
      <c r="FRC30" s="276"/>
      <c r="FRD30" s="276"/>
      <c r="FRE30" s="276"/>
      <c r="FRF30" s="276"/>
      <c r="FRG30" s="276"/>
      <c r="FRH30" s="276"/>
      <c r="FRI30" s="276"/>
      <c r="FRJ30" s="276"/>
      <c r="FRK30" s="276"/>
      <c r="FRL30" s="276"/>
      <c r="FRM30" s="276"/>
      <c r="FRN30" s="276"/>
      <c r="FRO30" s="276"/>
      <c r="FRP30" s="276"/>
      <c r="FRQ30" s="276"/>
      <c r="FRR30" s="276"/>
      <c r="FRS30" s="276"/>
      <c r="FRT30" s="276"/>
      <c r="FRU30" s="276"/>
      <c r="FRV30" s="276"/>
      <c r="FRW30" s="276"/>
      <c r="FRX30" s="276"/>
      <c r="FRY30" s="276"/>
      <c r="FRZ30" s="276"/>
      <c r="FSA30" s="276"/>
      <c r="FSB30" s="276"/>
      <c r="FSC30" s="276"/>
      <c r="FSD30" s="276"/>
      <c r="FSE30" s="276"/>
      <c r="FSF30" s="276"/>
      <c r="FSG30" s="276"/>
      <c r="FSH30" s="276"/>
      <c r="FSI30" s="276"/>
      <c r="FSJ30" s="276"/>
      <c r="FSK30" s="276"/>
      <c r="FSL30" s="276"/>
      <c r="FSM30" s="276"/>
      <c r="FSN30" s="276"/>
      <c r="FSO30" s="276"/>
      <c r="FSP30" s="276"/>
      <c r="FSQ30" s="276"/>
      <c r="FSR30" s="276"/>
      <c r="FSS30" s="276"/>
      <c r="FST30" s="276"/>
      <c r="FSU30" s="276"/>
      <c r="FSV30" s="276"/>
      <c r="FSW30" s="276"/>
      <c r="FSX30" s="276"/>
      <c r="FSY30" s="276"/>
      <c r="FSZ30" s="276"/>
      <c r="FTA30" s="276"/>
      <c r="FTB30" s="276"/>
      <c r="FTC30" s="276"/>
      <c r="FTD30" s="276"/>
      <c r="FTE30" s="276"/>
      <c r="FTF30" s="276"/>
      <c r="FTG30" s="276"/>
      <c r="FTH30" s="276"/>
      <c r="FTI30" s="276"/>
      <c r="FTJ30" s="276"/>
      <c r="FTK30" s="276"/>
      <c r="FTL30" s="276"/>
      <c r="FTM30" s="276"/>
      <c r="FTN30" s="276"/>
      <c r="FTO30" s="276"/>
      <c r="FTP30" s="276"/>
      <c r="FTQ30" s="276"/>
      <c r="FTR30" s="276"/>
      <c r="FTS30" s="276"/>
      <c r="FTT30" s="276"/>
      <c r="FTU30" s="276"/>
      <c r="FTV30" s="276"/>
      <c r="FTW30" s="276"/>
      <c r="FTX30" s="276"/>
      <c r="FTY30" s="276"/>
      <c r="FTZ30" s="276"/>
      <c r="FUA30" s="276"/>
      <c r="FUB30" s="276"/>
      <c r="FUC30" s="276"/>
      <c r="FUD30" s="276"/>
      <c r="FUE30" s="276"/>
      <c r="FUF30" s="276"/>
      <c r="FUG30" s="276"/>
      <c r="FUH30" s="276"/>
      <c r="FUI30" s="276"/>
      <c r="FUJ30" s="276"/>
      <c r="FUK30" s="276"/>
      <c r="FUL30" s="276"/>
      <c r="FUM30" s="276"/>
      <c r="FUN30" s="276"/>
      <c r="FUO30" s="276"/>
      <c r="FUP30" s="276"/>
      <c r="FUQ30" s="276"/>
      <c r="FUR30" s="276"/>
      <c r="FUS30" s="276"/>
      <c r="FUT30" s="276"/>
      <c r="FUU30" s="276"/>
      <c r="FUV30" s="276"/>
      <c r="FUW30" s="276"/>
      <c r="FUX30" s="276"/>
      <c r="FUY30" s="276"/>
      <c r="FUZ30" s="276"/>
      <c r="FVA30" s="276"/>
      <c r="FVB30" s="276"/>
      <c r="FVC30" s="276"/>
      <c r="FVD30" s="276"/>
      <c r="FVE30" s="276"/>
      <c r="FVF30" s="276"/>
      <c r="FVG30" s="276"/>
      <c r="FVH30" s="276"/>
      <c r="FVI30" s="276"/>
      <c r="FVJ30" s="276"/>
      <c r="FVK30" s="276"/>
      <c r="FVL30" s="276"/>
      <c r="FVM30" s="276"/>
      <c r="FVN30" s="276"/>
      <c r="FVO30" s="276"/>
      <c r="FVP30" s="276"/>
      <c r="FVQ30" s="276"/>
      <c r="FVR30" s="276"/>
      <c r="FVS30" s="276"/>
      <c r="FVT30" s="276"/>
      <c r="FVU30" s="276"/>
      <c r="FVV30" s="276"/>
      <c r="FVW30" s="276"/>
      <c r="FVX30" s="276"/>
      <c r="FVY30" s="276"/>
      <c r="FVZ30" s="276"/>
      <c r="FWA30" s="276"/>
      <c r="FWB30" s="276"/>
      <c r="FWC30" s="276"/>
      <c r="FWD30" s="276"/>
      <c r="FWE30" s="276"/>
      <c r="FWF30" s="276"/>
      <c r="FWG30" s="276"/>
      <c r="FWH30" s="276"/>
      <c r="FWI30" s="276"/>
      <c r="FWJ30" s="276"/>
      <c r="FWK30" s="276"/>
      <c r="FWL30" s="276"/>
      <c r="FWM30" s="276"/>
      <c r="FWN30" s="276"/>
      <c r="FWO30" s="276"/>
      <c r="FWP30" s="276"/>
      <c r="FWQ30" s="276"/>
      <c r="FWR30" s="276"/>
      <c r="FWS30" s="276"/>
      <c r="FWT30" s="276"/>
      <c r="FWU30" s="276"/>
      <c r="FWV30" s="276"/>
      <c r="FWW30" s="276"/>
      <c r="FWX30" s="276"/>
      <c r="FWY30" s="276"/>
      <c r="FWZ30" s="276"/>
      <c r="FXA30" s="276"/>
      <c r="FXB30" s="276"/>
      <c r="FXC30" s="276"/>
      <c r="FXD30" s="276"/>
      <c r="FXE30" s="276"/>
      <c r="FXF30" s="276"/>
      <c r="FXG30" s="276"/>
      <c r="FXH30" s="276"/>
      <c r="FXI30" s="276"/>
      <c r="FXJ30" s="276"/>
      <c r="FXK30" s="276"/>
      <c r="FXL30" s="276"/>
      <c r="FXM30" s="276"/>
      <c r="FXN30" s="276"/>
      <c r="FXO30" s="276"/>
      <c r="FXP30" s="276"/>
      <c r="FXQ30" s="276"/>
      <c r="FXR30" s="276"/>
      <c r="FXS30" s="276"/>
      <c r="FXT30" s="276"/>
      <c r="FXU30" s="276"/>
      <c r="FXV30" s="276"/>
      <c r="FXW30" s="276"/>
      <c r="FXX30" s="276"/>
      <c r="FXY30" s="276"/>
      <c r="FXZ30" s="276"/>
      <c r="FYA30" s="276"/>
      <c r="FYB30" s="276"/>
      <c r="FYC30" s="276"/>
      <c r="FYD30" s="276"/>
      <c r="FYE30" s="276"/>
      <c r="FYF30" s="276"/>
      <c r="FYG30" s="276"/>
      <c r="FYH30" s="276"/>
      <c r="FYI30" s="276"/>
      <c r="FYJ30" s="276"/>
      <c r="FYK30" s="276"/>
      <c r="FYL30" s="276"/>
      <c r="FYM30" s="276"/>
      <c r="FYN30" s="276"/>
      <c r="FYO30" s="276"/>
      <c r="FYP30" s="276"/>
      <c r="FYQ30" s="276"/>
      <c r="FYR30" s="276"/>
      <c r="FYS30" s="276"/>
      <c r="FYT30" s="276"/>
      <c r="FYU30" s="276"/>
      <c r="FYV30" s="276"/>
      <c r="FYW30" s="276"/>
      <c r="FYX30" s="276"/>
      <c r="FYY30" s="276"/>
      <c r="FYZ30" s="276"/>
      <c r="FZA30" s="276"/>
      <c r="FZB30" s="276"/>
      <c r="FZC30" s="276"/>
      <c r="FZD30" s="276"/>
      <c r="FZE30" s="276"/>
      <c r="FZF30" s="276"/>
      <c r="FZG30" s="276"/>
      <c r="FZH30" s="276"/>
      <c r="FZI30" s="276"/>
      <c r="FZJ30" s="276"/>
      <c r="FZK30" s="276"/>
      <c r="FZL30" s="276"/>
      <c r="FZM30" s="276"/>
      <c r="FZN30" s="276"/>
      <c r="FZO30" s="276"/>
      <c r="FZP30" s="276"/>
      <c r="FZQ30" s="276"/>
      <c r="FZR30" s="276"/>
      <c r="FZS30" s="276"/>
      <c r="FZT30" s="276"/>
      <c r="FZU30" s="276"/>
      <c r="FZV30" s="276"/>
      <c r="FZW30" s="276"/>
      <c r="FZX30" s="276"/>
      <c r="FZY30" s="276"/>
      <c r="FZZ30" s="276"/>
      <c r="GAA30" s="276"/>
      <c r="GAB30" s="276"/>
      <c r="GAC30" s="276"/>
      <c r="GAD30" s="276"/>
      <c r="GAE30" s="276"/>
      <c r="GAF30" s="276"/>
      <c r="GAG30" s="276"/>
      <c r="GAH30" s="276"/>
      <c r="GAI30" s="276"/>
      <c r="GAJ30" s="276"/>
      <c r="GAK30" s="276"/>
      <c r="GAL30" s="276"/>
      <c r="GAM30" s="276"/>
      <c r="GAN30" s="276"/>
      <c r="GAO30" s="276"/>
      <c r="GAP30" s="276"/>
      <c r="GAQ30" s="276"/>
      <c r="GAR30" s="276"/>
      <c r="GAS30" s="276"/>
      <c r="GAT30" s="276"/>
      <c r="GAU30" s="276"/>
      <c r="GAV30" s="276"/>
      <c r="GAW30" s="276"/>
      <c r="GAX30" s="276"/>
      <c r="GAY30" s="276"/>
      <c r="GAZ30" s="276"/>
      <c r="GBA30" s="276"/>
      <c r="GBB30" s="276"/>
      <c r="GBC30" s="276"/>
      <c r="GBD30" s="276"/>
      <c r="GBE30" s="276"/>
      <c r="GBF30" s="276"/>
      <c r="GBG30" s="276"/>
      <c r="GBH30" s="276"/>
      <c r="GBI30" s="276"/>
      <c r="GBJ30" s="276"/>
      <c r="GBK30" s="276"/>
      <c r="GBL30" s="276"/>
      <c r="GBM30" s="276"/>
      <c r="GBN30" s="276"/>
      <c r="GBO30" s="276"/>
      <c r="GBP30" s="276"/>
      <c r="GBQ30" s="276"/>
      <c r="GBR30" s="276"/>
      <c r="GBS30" s="276"/>
      <c r="GBT30" s="276"/>
      <c r="GBU30" s="276"/>
      <c r="GBV30" s="276"/>
      <c r="GBW30" s="276"/>
      <c r="GBX30" s="276"/>
      <c r="GBY30" s="276"/>
      <c r="GBZ30" s="276"/>
      <c r="GCA30" s="276"/>
      <c r="GCB30" s="276"/>
      <c r="GCC30" s="276"/>
      <c r="GCD30" s="276"/>
      <c r="GCE30" s="276"/>
      <c r="GCF30" s="276"/>
      <c r="GCG30" s="276"/>
      <c r="GCH30" s="276"/>
      <c r="GCI30" s="276"/>
      <c r="GCJ30" s="276"/>
      <c r="GCK30" s="276"/>
      <c r="GCL30" s="276"/>
      <c r="GCM30" s="276"/>
      <c r="GCN30" s="276"/>
      <c r="GCO30" s="276"/>
      <c r="GCP30" s="276"/>
      <c r="GCQ30" s="276"/>
      <c r="GCR30" s="276"/>
      <c r="GCS30" s="276"/>
      <c r="GCT30" s="276"/>
      <c r="GCU30" s="276"/>
      <c r="GCV30" s="276"/>
      <c r="GCW30" s="276"/>
      <c r="GCX30" s="276"/>
      <c r="GCY30" s="276"/>
      <c r="GCZ30" s="276"/>
      <c r="GDA30" s="276"/>
      <c r="GDB30" s="276"/>
      <c r="GDC30" s="276"/>
      <c r="GDD30" s="276"/>
      <c r="GDE30" s="276"/>
      <c r="GDF30" s="276"/>
      <c r="GDG30" s="276"/>
      <c r="GDH30" s="276"/>
      <c r="GDI30" s="276"/>
      <c r="GDJ30" s="276"/>
      <c r="GDK30" s="276"/>
      <c r="GDL30" s="276"/>
      <c r="GDM30" s="276"/>
      <c r="GDN30" s="276"/>
      <c r="GDO30" s="276"/>
      <c r="GDP30" s="276"/>
      <c r="GDQ30" s="276"/>
      <c r="GDR30" s="276"/>
      <c r="GDS30" s="276"/>
      <c r="GDT30" s="276"/>
      <c r="GDU30" s="276"/>
      <c r="GDV30" s="276"/>
      <c r="GDW30" s="276"/>
      <c r="GDX30" s="276"/>
      <c r="GDY30" s="276"/>
      <c r="GDZ30" s="276"/>
      <c r="GEA30" s="276"/>
      <c r="GEB30" s="276"/>
      <c r="GEC30" s="276"/>
      <c r="GED30" s="276"/>
      <c r="GEE30" s="276"/>
      <c r="GEF30" s="276"/>
      <c r="GEG30" s="276"/>
      <c r="GEH30" s="276"/>
      <c r="GEI30" s="276"/>
      <c r="GEJ30" s="276"/>
      <c r="GEK30" s="276"/>
      <c r="GEL30" s="276"/>
      <c r="GEM30" s="276"/>
      <c r="GEN30" s="276"/>
      <c r="GEO30" s="276"/>
      <c r="GEP30" s="276"/>
      <c r="GEQ30" s="276"/>
      <c r="GER30" s="276"/>
      <c r="GES30" s="276"/>
      <c r="GET30" s="276"/>
      <c r="GEU30" s="276"/>
      <c r="GEV30" s="276"/>
      <c r="GEW30" s="276"/>
      <c r="GEX30" s="276"/>
      <c r="GEY30" s="276"/>
      <c r="GEZ30" s="276"/>
      <c r="GFA30" s="276"/>
      <c r="GFB30" s="276"/>
      <c r="GFC30" s="276"/>
      <c r="GFD30" s="276"/>
      <c r="GFE30" s="276"/>
      <c r="GFF30" s="276"/>
      <c r="GFG30" s="276"/>
      <c r="GFH30" s="276"/>
      <c r="GFI30" s="276"/>
      <c r="GFJ30" s="276"/>
      <c r="GFK30" s="276"/>
      <c r="GFL30" s="276"/>
      <c r="GFM30" s="276"/>
      <c r="GFN30" s="276"/>
      <c r="GFO30" s="276"/>
      <c r="GFP30" s="276"/>
      <c r="GFQ30" s="276"/>
      <c r="GFR30" s="276"/>
      <c r="GFS30" s="276"/>
      <c r="GFT30" s="276"/>
      <c r="GFU30" s="276"/>
      <c r="GFV30" s="276"/>
      <c r="GFW30" s="276"/>
      <c r="GFX30" s="276"/>
      <c r="GFY30" s="276"/>
      <c r="GFZ30" s="276"/>
      <c r="GGA30" s="276"/>
      <c r="GGB30" s="276"/>
      <c r="GGC30" s="276"/>
      <c r="GGD30" s="276"/>
      <c r="GGE30" s="276"/>
      <c r="GGF30" s="276"/>
      <c r="GGG30" s="276"/>
      <c r="GGH30" s="276"/>
      <c r="GGI30" s="276"/>
      <c r="GGJ30" s="276"/>
      <c r="GGK30" s="276"/>
      <c r="GGL30" s="276"/>
      <c r="GGM30" s="276"/>
      <c r="GGN30" s="276"/>
      <c r="GGO30" s="276"/>
      <c r="GGP30" s="276"/>
      <c r="GGQ30" s="276"/>
      <c r="GGR30" s="276"/>
      <c r="GGS30" s="276"/>
      <c r="GGT30" s="276"/>
      <c r="GGU30" s="276"/>
      <c r="GGV30" s="276"/>
      <c r="GGW30" s="276"/>
      <c r="GGX30" s="276"/>
      <c r="GGY30" s="276"/>
      <c r="GGZ30" s="276"/>
      <c r="GHA30" s="276"/>
      <c r="GHB30" s="276"/>
      <c r="GHC30" s="276"/>
      <c r="GHD30" s="276"/>
      <c r="GHE30" s="276"/>
      <c r="GHF30" s="276"/>
      <c r="GHG30" s="276"/>
      <c r="GHH30" s="276"/>
      <c r="GHI30" s="276"/>
      <c r="GHJ30" s="276"/>
      <c r="GHK30" s="276"/>
      <c r="GHL30" s="276"/>
      <c r="GHM30" s="276"/>
      <c r="GHN30" s="276"/>
      <c r="GHO30" s="276"/>
      <c r="GHP30" s="276"/>
      <c r="GHQ30" s="276"/>
      <c r="GHR30" s="276"/>
      <c r="GHS30" s="276"/>
      <c r="GHT30" s="276"/>
      <c r="GHU30" s="276"/>
      <c r="GHV30" s="276"/>
      <c r="GHW30" s="276"/>
      <c r="GHX30" s="276"/>
      <c r="GHY30" s="276"/>
      <c r="GHZ30" s="276"/>
      <c r="GIA30" s="276"/>
      <c r="GIB30" s="276"/>
      <c r="GIC30" s="276"/>
      <c r="GID30" s="276"/>
      <c r="GIE30" s="276"/>
      <c r="GIF30" s="276"/>
      <c r="GIG30" s="276"/>
      <c r="GIH30" s="276"/>
      <c r="GII30" s="276"/>
      <c r="GIJ30" s="276"/>
      <c r="GIK30" s="276"/>
      <c r="GIL30" s="276"/>
      <c r="GIM30" s="276"/>
      <c r="GIN30" s="276"/>
      <c r="GIO30" s="276"/>
      <c r="GIP30" s="276"/>
      <c r="GIQ30" s="276"/>
      <c r="GIR30" s="276"/>
      <c r="GIS30" s="276"/>
      <c r="GIT30" s="276"/>
      <c r="GIU30" s="276"/>
      <c r="GIV30" s="276"/>
      <c r="GIW30" s="276"/>
      <c r="GIX30" s="276"/>
      <c r="GIY30" s="276"/>
      <c r="GIZ30" s="276"/>
      <c r="GJA30" s="276"/>
      <c r="GJB30" s="276"/>
      <c r="GJC30" s="276"/>
      <c r="GJD30" s="276"/>
      <c r="GJE30" s="276"/>
      <c r="GJF30" s="276"/>
      <c r="GJG30" s="276"/>
      <c r="GJH30" s="276"/>
      <c r="GJI30" s="276"/>
      <c r="GJJ30" s="276"/>
      <c r="GJK30" s="276"/>
      <c r="GJL30" s="276"/>
      <c r="GJM30" s="276"/>
      <c r="GJN30" s="276"/>
      <c r="GJO30" s="276"/>
      <c r="GJP30" s="276"/>
      <c r="GJQ30" s="276"/>
      <c r="GJR30" s="276"/>
      <c r="GJS30" s="276"/>
      <c r="GJT30" s="276"/>
      <c r="GJU30" s="276"/>
      <c r="GJV30" s="276"/>
      <c r="GJW30" s="276"/>
      <c r="GJX30" s="276"/>
      <c r="GJY30" s="276"/>
      <c r="GJZ30" s="276"/>
      <c r="GKA30" s="276"/>
      <c r="GKB30" s="276"/>
      <c r="GKC30" s="276"/>
      <c r="GKD30" s="276"/>
      <c r="GKE30" s="276"/>
      <c r="GKF30" s="276"/>
      <c r="GKG30" s="276"/>
      <c r="GKH30" s="276"/>
      <c r="GKI30" s="276"/>
      <c r="GKJ30" s="276"/>
      <c r="GKK30" s="276"/>
      <c r="GKL30" s="276"/>
      <c r="GKM30" s="276"/>
      <c r="GKN30" s="276"/>
      <c r="GKO30" s="276"/>
      <c r="GKP30" s="276"/>
      <c r="GKQ30" s="276"/>
      <c r="GKR30" s="276"/>
      <c r="GKS30" s="276"/>
      <c r="GKT30" s="276"/>
      <c r="GKU30" s="276"/>
      <c r="GKV30" s="276"/>
      <c r="GKW30" s="276"/>
      <c r="GKX30" s="276"/>
      <c r="GKY30" s="276"/>
      <c r="GKZ30" s="276"/>
      <c r="GLA30" s="276"/>
      <c r="GLB30" s="276"/>
      <c r="GLC30" s="276"/>
      <c r="GLD30" s="276"/>
      <c r="GLE30" s="276"/>
      <c r="GLF30" s="276"/>
      <c r="GLG30" s="276"/>
      <c r="GLH30" s="276"/>
      <c r="GLI30" s="276"/>
      <c r="GLJ30" s="276"/>
      <c r="GLK30" s="276"/>
      <c r="GLL30" s="276"/>
      <c r="GLM30" s="276"/>
      <c r="GLN30" s="276"/>
      <c r="GLO30" s="276"/>
      <c r="GLP30" s="276"/>
      <c r="GLQ30" s="276"/>
      <c r="GLR30" s="276"/>
      <c r="GLS30" s="276"/>
      <c r="GLT30" s="276"/>
      <c r="GLU30" s="276"/>
      <c r="GLV30" s="276"/>
      <c r="GLW30" s="276"/>
      <c r="GLX30" s="276"/>
      <c r="GLY30" s="276"/>
      <c r="GLZ30" s="276"/>
      <c r="GMA30" s="276"/>
      <c r="GMB30" s="276"/>
      <c r="GMC30" s="276"/>
      <c r="GMD30" s="276"/>
      <c r="GME30" s="276"/>
      <c r="GMF30" s="276"/>
      <c r="GMG30" s="276"/>
      <c r="GMH30" s="276"/>
      <c r="GMI30" s="276"/>
      <c r="GMJ30" s="276"/>
      <c r="GMK30" s="276"/>
      <c r="GML30" s="276"/>
      <c r="GMM30" s="276"/>
      <c r="GMN30" s="276"/>
      <c r="GMO30" s="276"/>
      <c r="GMP30" s="276"/>
      <c r="GMQ30" s="276"/>
      <c r="GMR30" s="276"/>
      <c r="GMS30" s="276"/>
      <c r="GMT30" s="276"/>
      <c r="GMU30" s="276"/>
      <c r="GMV30" s="276"/>
      <c r="GMW30" s="276"/>
      <c r="GMX30" s="276"/>
      <c r="GMY30" s="276"/>
      <c r="GMZ30" s="276"/>
      <c r="GNA30" s="276"/>
      <c r="GNB30" s="276"/>
      <c r="GNC30" s="276"/>
      <c r="GND30" s="276"/>
      <c r="GNE30" s="276"/>
      <c r="GNF30" s="276"/>
      <c r="GNG30" s="276"/>
      <c r="GNH30" s="276"/>
      <c r="GNI30" s="276"/>
      <c r="GNJ30" s="276"/>
      <c r="GNK30" s="276"/>
      <c r="GNL30" s="276"/>
      <c r="GNM30" s="276"/>
      <c r="GNN30" s="276"/>
      <c r="GNO30" s="276"/>
      <c r="GNP30" s="276"/>
      <c r="GNQ30" s="276"/>
      <c r="GNR30" s="276"/>
      <c r="GNS30" s="276"/>
      <c r="GNT30" s="276"/>
      <c r="GNU30" s="276"/>
      <c r="GNV30" s="276"/>
      <c r="GNW30" s="276"/>
      <c r="GNX30" s="276"/>
      <c r="GNY30" s="276"/>
      <c r="GNZ30" s="276"/>
      <c r="GOA30" s="276"/>
      <c r="GOB30" s="276"/>
      <c r="GOC30" s="276"/>
      <c r="GOD30" s="276"/>
      <c r="GOE30" s="276"/>
      <c r="GOF30" s="276"/>
      <c r="GOG30" s="276"/>
      <c r="GOH30" s="276"/>
      <c r="GOI30" s="276"/>
      <c r="GOJ30" s="276"/>
      <c r="GOK30" s="276"/>
      <c r="GOL30" s="276"/>
      <c r="GOM30" s="276"/>
      <c r="GON30" s="276"/>
      <c r="GOO30" s="276"/>
      <c r="GOP30" s="276"/>
      <c r="GOQ30" s="276"/>
      <c r="GOR30" s="276"/>
      <c r="GOS30" s="276"/>
      <c r="GOT30" s="276"/>
      <c r="GOU30" s="276"/>
      <c r="GOV30" s="276"/>
      <c r="GOW30" s="276"/>
      <c r="GOX30" s="276"/>
      <c r="GOY30" s="276"/>
      <c r="GOZ30" s="276"/>
      <c r="GPA30" s="276"/>
      <c r="GPB30" s="276"/>
      <c r="GPC30" s="276"/>
      <c r="GPD30" s="276"/>
      <c r="GPE30" s="276"/>
      <c r="GPF30" s="276"/>
      <c r="GPG30" s="276"/>
      <c r="GPH30" s="276"/>
      <c r="GPI30" s="276"/>
      <c r="GPJ30" s="276"/>
      <c r="GPK30" s="276"/>
      <c r="GPL30" s="276"/>
      <c r="GPM30" s="276"/>
      <c r="GPN30" s="276"/>
      <c r="GPO30" s="276"/>
      <c r="GPP30" s="276"/>
      <c r="GPQ30" s="276"/>
      <c r="GPR30" s="276"/>
      <c r="GPS30" s="276"/>
      <c r="GPT30" s="276"/>
      <c r="GPU30" s="276"/>
      <c r="GPV30" s="276"/>
      <c r="GPW30" s="276"/>
      <c r="GPX30" s="276"/>
      <c r="GPY30" s="276"/>
      <c r="GPZ30" s="276"/>
      <c r="GQA30" s="276"/>
      <c r="GQB30" s="276"/>
      <c r="GQC30" s="276"/>
      <c r="GQD30" s="276"/>
      <c r="GQE30" s="276"/>
      <c r="GQF30" s="276"/>
      <c r="GQG30" s="276"/>
      <c r="GQH30" s="276"/>
      <c r="GQI30" s="276"/>
      <c r="GQJ30" s="276"/>
      <c r="GQK30" s="276"/>
      <c r="GQL30" s="276"/>
      <c r="GQM30" s="276"/>
      <c r="GQN30" s="276"/>
      <c r="GQO30" s="276"/>
      <c r="GQP30" s="276"/>
      <c r="GQQ30" s="276"/>
      <c r="GQR30" s="276"/>
      <c r="GQS30" s="276"/>
      <c r="GQT30" s="276"/>
      <c r="GQU30" s="276"/>
      <c r="GQV30" s="276"/>
      <c r="GQW30" s="276"/>
      <c r="GQX30" s="276"/>
      <c r="GQY30" s="276"/>
      <c r="GQZ30" s="276"/>
      <c r="GRA30" s="276"/>
      <c r="GRB30" s="276"/>
      <c r="GRC30" s="276"/>
      <c r="GRD30" s="276"/>
      <c r="GRE30" s="276"/>
      <c r="GRF30" s="276"/>
      <c r="GRG30" s="276"/>
      <c r="GRH30" s="276"/>
      <c r="GRI30" s="276"/>
      <c r="GRJ30" s="276"/>
      <c r="GRK30" s="276"/>
      <c r="GRL30" s="276"/>
      <c r="GRM30" s="276"/>
      <c r="GRN30" s="276"/>
      <c r="GRO30" s="276"/>
      <c r="GRP30" s="276"/>
      <c r="GRQ30" s="276"/>
      <c r="GRR30" s="276"/>
      <c r="GRS30" s="276"/>
      <c r="GRT30" s="276"/>
      <c r="GRU30" s="276"/>
      <c r="GRV30" s="276"/>
      <c r="GRW30" s="276"/>
      <c r="GRX30" s="276"/>
      <c r="GRY30" s="276"/>
      <c r="GRZ30" s="276"/>
      <c r="GSA30" s="276"/>
      <c r="GSB30" s="276"/>
      <c r="GSC30" s="276"/>
      <c r="GSD30" s="276"/>
      <c r="GSE30" s="276"/>
      <c r="GSF30" s="276"/>
      <c r="GSG30" s="276"/>
      <c r="GSH30" s="276"/>
      <c r="GSI30" s="276"/>
      <c r="GSJ30" s="276"/>
      <c r="GSK30" s="276"/>
      <c r="GSL30" s="276"/>
      <c r="GSM30" s="276"/>
      <c r="GSN30" s="276"/>
      <c r="GSO30" s="276"/>
      <c r="GSP30" s="276"/>
      <c r="GSQ30" s="276"/>
      <c r="GSR30" s="276"/>
      <c r="GSS30" s="276"/>
      <c r="GST30" s="276"/>
      <c r="GSU30" s="276"/>
      <c r="GSV30" s="276"/>
      <c r="GSW30" s="276"/>
      <c r="GSX30" s="276"/>
      <c r="GSY30" s="276"/>
      <c r="GSZ30" s="276"/>
      <c r="GTA30" s="276"/>
      <c r="GTB30" s="276"/>
      <c r="GTC30" s="276"/>
      <c r="GTD30" s="276"/>
      <c r="GTE30" s="276"/>
      <c r="GTF30" s="276"/>
      <c r="GTG30" s="276"/>
      <c r="GTH30" s="276"/>
      <c r="GTI30" s="276"/>
      <c r="GTJ30" s="276"/>
      <c r="GTK30" s="276"/>
      <c r="GTL30" s="276"/>
      <c r="GTM30" s="276"/>
      <c r="GTN30" s="276"/>
      <c r="GTO30" s="276"/>
      <c r="GTP30" s="276"/>
      <c r="GTQ30" s="276"/>
      <c r="GTR30" s="276"/>
      <c r="GTS30" s="276"/>
      <c r="GTT30" s="276"/>
      <c r="GTU30" s="276"/>
      <c r="GTV30" s="276"/>
      <c r="GTW30" s="276"/>
      <c r="GTX30" s="276"/>
      <c r="GTY30" s="276"/>
      <c r="GTZ30" s="276"/>
      <c r="GUA30" s="276"/>
      <c r="GUB30" s="276"/>
      <c r="GUC30" s="276"/>
      <c r="GUD30" s="276"/>
      <c r="GUE30" s="276"/>
      <c r="GUF30" s="276"/>
      <c r="GUG30" s="276"/>
      <c r="GUH30" s="276"/>
      <c r="GUI30" s="276"/>
      <c r="GUJ30" s="276"/>
      <c r="GUK30" s="276"/>
      <c r="GUL30" s="276"/>
      <c r="GUM30" s="276"/>
      <c r="GUN30" s="276"/>
      <c r="GUO30" s="276"/>
      <c r="GUP30" s="276"/>
      <c r="GUQ30" s="276"/>
      <c r="GUR30" s="276"/>
      <c r="GUS30" s="276"/>
      <c r="GUT30" s="276"/>
      <c r="GUU30" s="276"/>
      <c r="GUV30" s="276"/>
      <c r="GUW30" s="276"/>
      <c r="GUX30" s="276"/>
      <c r="GUY30" s="276"/>
      <c r="GUZ30" s="276"/>
      <c r="GVA30" s="276"/>
      <c r="GVB30" s="276"/>
      <c r="GVC30" s="276"/>
      <c r="GVD30" s="276"/>
      <c r="GVE30" s="276"/>
      <c r="GVF30" s="276"/>
      <c r="GVG30" s="276"/>
      <c r="GVH30" s="276"/>
      <c r="GVI30" s="276"/>
      <c r="GVJ30" s="276"/>
      <c r="GVK30" s="276"/>
      <c r="GVL30" s="276"/>
      <c r="GVM30" s="276"/>
      <c r="GVN30" s="276"/>
      <c r="GVO30" s="276"/>
      <c r="GVP30" s="276"/>
      <c r="GVQ30" s="276"/>
      <c r="GVR30" s="276"/>
      <c r="GVS30" s="276"/>
      <c r="GVT30" s="276"/>
      <c r="GVU30" s="276"/>
      <c r="GVV30" s="276"/>
      <c r="GVW30" s="276"/>
      <c r="GVX30" s="276"/>
      <c r="GVY30" s="276"/>
      <c r="GVZ30" s="276"/>
      <c r="GWA30" s="276"/>
      <c r="GWB30" s="276"/>
      <c r="GWC30" s="276"/>
      <c r="GWD30" s="276"/>
      <c r="GWE30" s="276"/>
      <c r="GWF30" s="276"/>
      <c r="GWG30" s="276"/>
      <c r="GWH30" s="276"/>
      <c r="GWI30" s="276"/>
      <c r="GWJ30" s="276"/>
      <c r="GWK30" s="276"/>
      <c r="GWL30" s="276"/>
      <c r="GWM30" s="276"/>
      <c r="GWN30" s="276"/>
      <c r="GWO30" s="276"/>
      <c r="GWP30" s="276"/>
      <c r="GWQ30" s="276"/>
      <c r="GWR30" s="276"/>
      <c r="GWS30" s="276"/>
      <c r="GWT30" s="276"/>
      <c r="GWU30" s="276"/>
      <c r="GWV30" s="276"/>
      <c r="GWW30" s="276"/>
      <c r="GWX30" s="276"/>
      <c r="GWY30" s="276"/>
      <c r="GWZ30" s="276"/>
      <c r="GXA30" s="276"/>
      <c r="GXB30" s="276"/>
      <c r="GXC30" s="276"/>
      <c r="GXD30" s="276"/>
      <c r="GXE30" s="276"/>
      <c r="GXF30" s="276"/>
      <c r="GXG30" s="276"/>
      <c r="GXH30" s="276"/>
      <c r="GXI30" s="276"/>
      <c r="GXJ30" s="276"/>
      <c r="GXK30" s="276"/>
      <c r="GXL30" s="276"/>
      <c r="GXM30" s="276"/>
      <c r="GXN30" s="276"/>
      <c r="GXO30" s="276"/>
      <c r="GXP30" s="276"/>
      <c r="GXQ30" s="276"/>
      <c r="GXR30" s="276"/>
      <c r="GXS30" s="276"/>
      <c r="GXT30" s="276"/>
      <c r="GXU30" s="276"/>
      <c r="GXV30" s="276"/>
      <c r="GXW30" s="276"/>
      <c r="GXX30" s="276"/>
      <c r="GXY30" s="276"/>
      <c r="GXZ30" s="276"/>
      <c r="GYA30" s="276"/>
      <c r="GYB30" s="276"/>
      <c r="GYC30" s="276"/>
      <c r="GYD30" s="276"/>
      <c r="GYE30" s="276"/>
      <c r="GYF30" s="276"/>
      <c r="GYG30" s="276"/>
      <c r="GYH30" s="276"/>
      <c r="GYI30" s="276"/>
      <c r="GYJ30" s="276"/>
      <c r="GYK30" s="276"/>
      <c r="GYL30" s="276"/>
      <c r="GYM30" s="276"/>
      <c r="GYN30" s="276"/>
      <c r="GYO30" s="276"/>
      <c r="GYP30" s="276"/>
      <c r="GYQ30" s="276"/>
      <c r="GYR30" s="276"/>
      <c r="GYS30" s="276"/>
      <c r="GYT30" s="276"/>
      <c r="GYU30" s="276"/>
      <c r="GYV30" s="276"/>
      <c r="GYW30" s="276"/>
      <c r="GYX30" s="276"/>
      <c r="GYY30" s="276"/>
      <c r="GYZ30" s="276"/>
      <c r="GZA30" s="276"/>
      <c r="GZB30" s="276"/>
      <c r="GZC30" s="276"/>
      <c r="GZD30" s="276"/>
      <c r="GZE30" s="276"/>
      <c r="GZF30" s="276"/>
      <c r="GZG30" s="276"/>
      <c r="GZH30" s="276"/>
      <c r="GZI30" s="276"/>
      <c r="GZJ30" s="276"/>
      <c r="GZK30" s="276"/>
      <c r="GZL30" s="276"/>
      <c r="GZM30" s="276"/>
      <c r="GZN30" s="276"/>
      <c r="GZO30" s="276"/>
      <c r="GZP30" s="276"/>
      <c r="GZQ30" s="276"/>
      <c r="GZR30" s="276"/>
      <c r="GZS30" s="276"/>
      <c r="GZT30" s="276"/>
      <c r="GZU30" s="276"/>
      <c r="GZV30" s="276"/>
      <c r="GZW30" s="276"/>
      <c r="GZX30" s="276"/>
      <c r="GZY30" s="276"/>
      <c r="GZZ30" s="276"/>
      <c r="HAA30" s="276"/>
      <c r="HAB30" s="276"/>
      <c r="HAC30" s="276"/>
      <c r="HAD30" s="276"/>
      <c r="HAE30" s="276"/>
      <c r="HAF30" s="276"/>
      <c r="HAG30" s="276"/>
      <c r="HAH30" s="276"/>
      <c r="HAI30" s="276"/>
      <c r="HAJ30" s="276"/>
      <c r="HAK30" s="276"/>
      <c r="HAL30" s="276"/>
      <c r="HAM30" s="276"/>
      <c r="HAN30" s="276"/>
      <c r="HAO30" s="276"/>
      <c r="HAP30" s="276"/>
      <c r="HAQ30" s="276"/>
      <c r="HAR30" s="276"/>
      <c r="HAS30" s="276"/>
      <c r="HAT30" s="276"/>
      <c r="HAU30" s="276"/>
      <c r="HAV30" s="276"/>
      <c r="HAW30" s="276"/>
      <c r="HAX30" s="276"/>
      <c r="HAY30" s="276"/>
      <c r="HAZ30" s="276"/>
      <c r="HBA30" s="276"/>
      <c r="HBB30" s="276"/>
      <c r="HBC30" s="276"/>
      <c r="HBD30" s="276"/>
      <c r="HBE30" s="276"/>
      <c r="HBF30" s="276"/>
      <c r="HBG30" s="276"/>
      <c r="HBH30" s="276"/>
      <c r="HBI30" s="276"/>
      <c r="HBJ30" s="276"/>
      <c r="HBK30" s="276"/>
      <c r="HBL30" s="276"/>
      <c r="HBM30" s="276"/>
      <c r="HBN30" s="276"/>
      <c r="HBO30" s="276"/>
      <c r="HBP30" s="276"/>
      <c r="HBQ30" s="276"/>
      <c r="HBR30" s="276"/>
      <c r="HBS30" s="276"/>
      <c r="HBT30" s="276"/>
      <c r="HBU30" s="276"/>
      <c r="HBV30" s="276"/>
      <c r="HBW30" s="276"/>
      <c r="HBX30" s="276"/>
      <c r="HBY30" s="276"/>
      <c r="HBZ30" s="276"/>
      <c r="HCA30" s="276"/>
      <c r="HCB30" s="276"/>
      <c r="HCC30" s="276"/>
      <c r="HCD30" s="276"/>
      <c r="HCE30" s="276"/>
      <c r="HCF30" s="276"/>
      <c r="HCG30" s="276"/>
      <c r="HCH30" s="276"/>
      <c r="HCI30" s="276"/>
      <c r="HCJ30" s="276"/>
      <c r="HCK30" s="276"/>
      <c r="HCL30" s="276"/>
      <c r="HCM30" s="276"/>
      <c r="HCN30" s="276"/>
      <c r="HCO30" s="276"/>
      <c r="HCP30" s="276"/>
      <c r="HCQ30" s="276"/>
      <c r="HCR30" s="276"/>
      <c r="HCS30" s="276"/>
      <c r="HCT30" s="276"/>
      <c r="HCU30" s="276"/>
      <c r="HCV30" s="276"/>
      <c r="HCW30" s="276"/>
      <c r="HCX30" s="276"/>
      <c r="HCY30" s="276"/>
      <c r="HCZ30" s="276"/>
      <c r="HDA30" s="276"/>
      <c r="HDB30" s="276"/>
      <c r="HDC30" s="276"/>
      <c r="HDD30" s="276"/>
      <c r="HDE30" s="276"/>
      <c r="HDF30" s="276"/>
      <c r="HDG30" s="276"/>
      <c r="HDH30" s="276"/>
      <c r="HDI30" s="276"/>
      <c r="HDJ30" s="276"/>
      <c r="HDK30" s="276"/>
      <c r="HDL30" s="276"/>
      <c r="HDM30" s="276"/>
      <c r="HDN30" s="276"/>
      <c r="HDO30" s="276"/>
      <c r="HDP30" s="276"/>
      <c r="HDQ30" s="276"/>
      <c r="HDR30" s="276"/>
      <c r="HDS30" s="276"/>
      <c r="HDT30" s="276"/>
      <c r="HDU30" s="276"/>
      <c r="HDV30" s="276"/>
      <c r="HDW30" s="276"/>
      <c r="HDX30" s="276"/>
      <c r="HDY30" s="276"/>
      <c r="HDZ30" s="276"/>
      <c r="HEA30" s="276"/>
      <c r="HEB30" s="276"/>
      <c r="HEC30" s="276"/>
      <c r="HED30" s="276"/>
      <c r="HEE30" s="276"/>
      <c r="HEF30" s="276"/>
      <c r="HEG30" s="276"/>
      <c r="HEH30" s="276"/>
      <c r="HEI30" s="276"/>
      <c r="HEJ30" s="276"/>
      <c r="HEK30" s="276"/>
      <c r="HEL30" s="276"/>
      <c r="HEM30" s="276"/>
      <c r="HEN30" s="276"/>
      <c r="HEO30" s="276"/>
      <c r="HEP30" s="276"/>
      <c r="HEQ30" s="276"/>
      <c r="HER30" s="276"/>
      <c r="HES30" s="276"/>
      <c r="HET30" s="276"/>
      <c r="HEU30" s="276"/>
      <c r="HEV30" s="276"/>
      <c r="HEW30" s="276"/>
      <c r="HEX30" s="276"/>
      <c r="HEY30" s="276"/>
      <c r="HEZ30" s="276"/>
      <c r="HFA30" s="276"/>
      <c r="HFB30" s="276"/>
      <c r="HFC30" s="276"/>
      <c r="HFD30" s="276"/>
      <c r="HFE30" s="276"/>
      <c r="HFF30" s="276"/>
      <c r="HFG30" s="276"/>
      <c r="HFH30" s="276"/>
      <c r="HFI30" s="276"/>
      <c r="HFJ30" s="276"/>
      <c r="HFK30" s="276"/>
      <c r="HFL30" s="276"/>
      <c r="HFM30" s="276"/>
      <c r="HFN30" s="276"/>
      <c r="HFO30" s="276"/>
      <c r="HFP30" s="276"/>
      <c r="HFQ30" s="276"/>
      <c r="HFR30" s="276"/>
      <c r="HFS30" s="276"/>
      <c r="HFT30" s="276"/>
      <c r="HFU30" s="276"/>
      <c r="HFV30" s="276"/>
      <c r="HFW30" s="276"/>
      <c r="HFX30" s="276"/>
      <c r="HFY30" s="276"/>
      <c r="HFZ30" s="276"/>
      <c r="HGA30" s="276"/>
      <c r="HGB30" s="276"/>
      <c r="HGC30" s="276"/>
      <c r="HGD30" s="276"/>
      <c r="HGE30" s="276"/>
      <c r="HGF30" s="276"/>
      <c r="HGG30" s="276"/>
      <c r="HGH30" s="276"/>
      <c r="HGI30" s="276"/>
      <c r="HGJ30" s="276"/>
      <c r="HGK30" s="276"/>
      <c r="HGL30" s="276"/>
      <c r="HGM30" s="276"/>
      <c r="HGN30" s="276"/>
      <c r="HGO30" s="276"/>
      <c r="HGP30" s="276"/>
      <c r="HGQ30" s="276"/>
      <c r="HGR30" s="276"/>
      <c r="HGS30" s="276"/>
      <c r="HGT30" s="276"/>
      <c r="HGU30" s="276"/>
      <c r="HGV30" s="276"/>
      <c r="HGW30" s="276"/>
      <c r="HGX30" s="276"/>
      <c r="HGY30" s="276"/>
      <c r="HGZ30" s="276"/>
      <c r="HHA30" s="276"/>
      <c r="HHB30" s="276"/>
      <c r="HHC30" s="276"/>
      <c r="HHD30" s="276"/>
      <c r="HHE30" s="276"/>
      <c r="HHF30" s="276"/>
      <c r="HHG30" s="276"/>
      <c r="HHH30" s="276"/>
      <c r="HHI30" s="276"/>
      <c r="HHJ30" s="276"/>
      <c r="HHK30" s="276"/>
      <c r="HHL30" s="276"/>
      <c r="HHM30" s="276"/>
      <c r="HHN30" s="276"/>
      <c r="HHO30" s="276"/>
      <c r="HHP30" s="276"/>
      <c r="HHQ30" s="276"/>
      <c r="HHR30" s="276"/>
      <c r="HHS30" s="276"/>
      <c r="HHT30" s="276"/>
      <c r="HHU30" s="276"/>
      <c r="HHV30" s="276"/>
      <c r="HHW30" s="276"/>
      <c r="HHX30" s="276"/>
      <c r="HHY30" s="276"/>
      <c r="HHZ30" s="276"/>
      <c r="HIA30" s="276"/>
      <c r="HIB30" s="276"/>
      <c r="HIC30" s="276"/>
      <c r="HID30" s="276"/>
      <c r="HIE30" s="276"/>
      <c r="HIF30" s="276"/>
      <c r="HIG30" s="276"/>
      <c r="HIH30" s="276"/>
      <c r="HII30" s="276"/>
      <c r="HIJ30" s="276"/>
      <c r="HIK30" s="276"/>
      <c r="HIL30" s="276"/>
      <c r="HIM30" s="276"/>
      <c r="HIN30" s="276"/>
      <c r="HIO30" s="276"/>
      <c r="HIP30" s="276"/>
      <c r="HIQ30" s="276"/>
      <c r="HIR30" s="276"/>
      <c r="HIS30" s="276"/>
      <c r="HIT30" s="276"/>
      <c r="HIU30" s="276"/>
      <c r="HIV30" s="276"/>
      <c r="HIW30" s="276"/>
      <c r="HIX30" s="276"/>
      <c r="HIY30" s="276"/>
      <c r="HIZ30" s="276"/>
      <c r="HJA30" s="276"/>
      <c r="HJB30" s="276"/>
      <c r="HJC30" s="276"/>
      <c r="HJD30" s="276"/>
      <c r="HJE30" s="276"/>
      <c r="HJF30" s="276"/>
      <c r="HJG30" s="276"/>
      <c r="HJH30" s="276"/>
      <c r="HJI30" s="276"/>
      <c r="HJJ30" s="276"/>
      <c r="HJK30" s="276"/>
      <c r="HJL30" s="276"/>
      <c r="HJM30" s="276"/>
      <c r="HJN30" s="276"/>
      <c r="HJO30" s="276"/>
      <c r="HJP30" s="276"/>
      <c r="HJQ30" s="276"/>
      <c r="HJR30" s="276"/>
      <c r="HJS30" s="276"/>
      <c r="HJT30" s="276"/>
      <c r="HJU30" s="276"/>
      <c r="HJV30" s="276"/>
      <c r="HJW30" s="276"/>
      <c r="HJX30" s="276"/>
      <c r="HJY30" s="276"/>
      <c r="HJZ30" s="276"/>
      <c r="HKA30" s="276"/>
      <c r="HKB30" s="276"/>
      <c r="HKC30" s="276"/>
      <c r="HKD30" s="276"/>
      <c r="HKE30" s="276"/>
      <c r="HKF30" s="276"/>
      <c r="HKG30" s="276"/>
      <c r="HKH30" s="276"/>
      <c r="HKI30" s="276"/>
      <c r="HKJ30" s="276"/>
      <c r="HKK30" s="276"/>
      <c r="HKL30" s="276"/>
      <c r="HKM30" s="276"/>
      <c r="HKN30" s="276"/>
      <c r="HKO30" s="276"/>
      <c r="HKP30" s="276"/>
      <c r="HKQ30" s="276"/>
      <c r="HKR30" s="276"/>
      <c r="HKS30" s="276"/>
      <c r="HKT30" s="276"/>
      <c r="HKU30" s="276"/>
      <c r="HKV30" s="276"/>
      <c r="HKW30" s="276"/>
      <c r="HKX30" s="276"/>
      <c r="HKY30" s="276"/>
      <c r="HKZ30" s="276"/>
      <c r="HLA30" s="276"/>
      <c r="HLB30" s="276"/>
      <c r="HLC30" s="276"/>
      <c r="HLD30" s="276"/>
      <c r="HLE30" s="276"/>
      <c r="HLF30" s="276"/>
      <c r="HLG30" s="276"/>
      <c r="HLH30" s="276"/>
      <c r="HLI30" s="276"/>
      <c r="HLJ30" s="276"/>
      <c r="HLK30" s="276"/>
      <c r="HLL30" s="276"/>
      <c r="HLM30" s="276"/>
      <c r="HLN30" s="276"/>
      <c r="HLO30" s="276"/>
      <c r="HLP30" s="276"/>
      <c r="HLQ30" s="276"/>
      <c r="HLR30" s="276"/>
      <c r="HLS30" s="276"/>
      <c r="HLT30" s="276"/>
      <c r="HLU30" s="276"/>
      <c r="HLV30" s="276"/>
      <c r="HLW30" s="276"/>
      <c r="HLX30" s="276"/>
      <c r="HLY30" s="276"/>
      <c r="HLZ30" s="276"/>
      <c r="HMA30" s="276"/>
      <c r="HMB30" s="276"/>
      <c r="HMC30" s="276"/>
      <c r="HMD30" s="276"/>
      <c r="HME30" s="276"/>
      <c r="HMF30" s="276"/>
      <c r="HMG30" s="276"/>
      <c r="HMH30" s="276"/>
      <c r="HMI30" s="276"/>
      <c r="HMJ30" s="276"/>
      <c r="HMK30" s="276"/>
      <c r="HML30" s="276"/>
      <c r="HMM30" s="276"/>
      <c r="HMN30" s="276"/>
      <c r="HMO30" s="276"/>
      <c r="HMP30" s="276"/>
      <c r="HMQ30" s="276"/>
      <c r="HMR30" s="276"/>
      <c r="HMS30" s="276"/>
      <c r="HMT30" s="276"/>
      <c r="HMU30" s="276"/>
      <c r="HMV30" s="276"/>
      <c r="HMW30" s="276"/>
      <c r="HMX30" s="276"/>
      <c r="HMY30" s="276"/>
      <c r="HMZ30" s="276"/>
      <c r="HNA30" s="276"/>
      <c r="HNB30" s="276"/>
      <c r="HNC30" s="276"/>
      <c r="HND30" s="276"/>
      <c r="HNE30" s="276"/>
      <c r="HNF30" s="276"/>
      <c r="HNG30" s="276"/>
      <c r="HNH30" s="276"/>
      <c r="HNI30" s="276"/>
      <c r="HNJ30" s="276"/>
      <c r="HNK30" s="276"/>
      <c r="HNL30" s="276"/>
      <c r="HNM30" s="276"/>
      <c r="HNN30" s="276"/>
      <c r="HNO30" s="276"/>
      <c r="HNP30" s="276"/>
      <c r="HNQ30" s="276"/>
      <c r="HNR30" s="276"/>
      <c r="HNS30" s="276"/>
      <c r="HNT30" s="276"/>
      <c r="HNU30" s="276"/>
      <c r="HNV30" s="276"/>
      <c r="HNW30" s="276"/>
      <c r="HNX30" s="276"/>
      <c r="HNY30" s="276"/>
      <c r="HNZ30" s="276"/>
      <c r="HOA30" s="276"/>
      <c r="HOB30" s="276"/>
      <c r="HOC30" s="276"/>
      <c r="HOD30" s="276"/>
      <c r="HOE30" s="276"/>
      <c r="HOF30" s="276"/>
      <c r="HOG30" s="276"/>
      <c r="HOH30" s="276"/>
      <c r="HOI30" s="276"/>
      <c r="HOJ30" s="276"/>
      <c r="HOK30" s="276"/>
      <c r="HOL30" s="276"/>
      <c r="HOM30" s="276"/>
      <c r="HON30" s="276"/>
      <c r="HOO30" s="276"/>
      <c r="HOP30" s="276"/>
      <c r="HOQ30" s="276"/>
      <c r="HOR30" s="276"/>
      <c r="HOS30" s="276"/>
      <c r="HOT30" s="276"/>
      <c r="HOU30" s="276"/>
      <c r="HOV30" s="276"/>
      <c r="HOW30" s="276"/>
      <c r="HOX30" s="276"/>
      <c r="HOY30" s="276"/>
      <c r="HOZ30" s="276"/>
      <c r="HPA30" s="276"/>
      <c r="HPB30" s="276"/>
      <c r="HPC30" s="276"/>
      <c r="HPD30" s="276"/>
      <c r="HPE30" s="276"/>
      <c r="HPF30" s="276"/>
      <c r="HPG30" s="276"/>
      <c r="HPH30" s="276"/>
      <c r="HPI30" s="276"/>
      <c r="HPJ30" s="276"/>
      <c r="HPK30" s="276"/>
      <c r="HPL30" s="276"/>
      <c r="HPM30" s="276"/>
      <c r="HPN30" s="276"/>
      <c r="HPO30" s="276"/>
      <c r="HPP30" s="276"/>
      <c r="HPQ30" s="276"/>
      <c r="HPR30" s="276"/>
      <c r="HPS30" s="276"/>
      <c r="HPT30" s="276"/>
      <c r="HPU30" s="276"/>
      <c r="HPV30" s="276"/>
      <c r="HPW30" s="276"/>
      <c r="HPX30" s="276"/>
      <c r="HPY30" s="276"/>
      <c r="HPZ30" s="276"/>
      <c r="HQA30" s="276"/>
      <c r="HQB30" s="276"/>
      <c r="HQC30" s="276"/>
      <c r="HQD30" s="276"/>
      <c r="HQE30" s="276"/>
      <c r="HQF30" s="276"/>
      <c r="HQG30" s="276"/>
      <c r="HQH30" s="276"/>
      <c r="HQI30" s="276"/>
      <c r="HQJ30" s="276"/>
      <c r="HQK30" s="276"/>
      <c r="HQL30" s="276"/>
      <c r="HQM30" s="276"/>
      <c r="HQN30" s="276"/>
      <c r="HQO30" s="276"/>
      <c r="HQP30" s="276"/>
      <c r="HQQ30" s="276"/>
      <c r="HQR30" s="276"/>
      <c r="HQS30" s="276"/>
      <c r="HQT30" s="276"/>
      <c r="HQU30" s="276"/>
      <c r="HQV30" s="276"/>
      <c r="HQW30" s="276"/>
      <c r="HQX30" s="276"/>
      <c r="HQY30" s="276"/>
      <c r="HQZ30" s="276"/>
      <c r="HRA30" s="276"/>
      <c r="HRB30" s="276"/>
      <c r="HRC30" s="276"/>
      <c r="HRD30" s="276"/>
      <c r="HRE30" s="276"/>
      <c r="HRF30" s="276"/>
      <c r="HRG30" s="276"/>
      <c r="HRH30" s="276"/>
      <c r="HRI30" s="276"/>
      <c r="HRJ30" s="276"/>
      <c r="HRK30" s="276"/>
      <c r="HRL30" s="276"/>
      <c r="HRM30" s="276"/>
      <c r="HRN30" s="276"/>
      <c r="HRO30" s="276"/>
      <c r="HRP30" s="276"/>
      <c r="HRQ30" s="276"/>
      <c r="HRR30" s="276"/>
      <c r="HRS30" s="276"/>
      <c r="HRT30" s="276"/>
      <c r="HRU30" s="276"/>
      <c r="HRV30" s="276"/>
      <c r="HRW30" s="276"/>
      <c r="HRX30" s="276"/>
      <c r="HRY30" s="276"/>
      <c r="HRZ30" s="276"/>
      <c r="HSA30" s="276"/>
      <c r="HSB30" s="276"/>
      <c r="HSC30" s="276"/>
      <c r="HSD30" s="276"/>
      <c r="HSE30" s="276"/>
      <c r="HSF30" s="276"/>
      <c r="HSG30" s="276"/>
      <c r="HSH30" s="276"/>
      <c r="HSI30" s="276"/>
      <c r="HSJ30" s="276"/>
      <c r="HSK30" s="276"/>
      <c r="HSL30" s="276"/>
      <c r="HSM30" s="276"/>
      <c r="HSN30" s="276"/>
      <c r="HSO30" s="276"/>
      <c r="HSP30" s="276"/>
      <c r="HSQ30" s="276"/>
      <c r="HSR30" s="276"/>
      <c r="HSS30" s="276"/>
      <c r="HST30" s="276"/>
      <c r="HSU30" s="276"/>
      <c r="HSV30" s="276"/>
      <c r="HSW30" s="276"/>
      <c r="HSX30" s="276"/>
      <c r="HSY30" s="276"/>
      <c r="HSZ30" s="276"/>
      <c r="HTA30" s="276"/>
      <c r="HTB30" s="276"/>
      <c r="HTC30" s="276"/>
      <c r="HTD30" s="276"/>
      <c r="HTE30" s="276"/>
      <c r="HTF30" s="276"/>
      <c r="HTG30" s="276"/>
      <c r="HTH30" s="276"/>
      <c r="HTI30" s="276"/>
      <c r="HTJ30" s="276"/>
      <c r="HTK30" s="276"/>
      <c r="HTL30" s="276"/>
      <c r="HTM30" s="276"/>
      <c r="HTN30" s="276"/>
      <c r="HTO30" s="276"/>
      <c r="HTP30" s="276"/>
      <c r="HTQ30" s="276"/>
      <c r="HTR30" s="276"/>
      <c r="HTS30" s="276"/>
      <c r="HTT30" s="276"/>
      <c r="HTU30" s="276"/>
      <c r="HTV30" s="276"/>
      <c r="HTW30" s="276"/>
      <c r="HTX30" s="276"/>
      <c r="HTY30" s="276"/>
      <c r="HTZ30" s="276"/>
      <c r="HUA30" s="276"/>
      <c r="HUB30" s="276"/>
      <c r="HUC30" s="276"/>
      <c r="HUD30" s="276"/>
      <c r="HUE30" s="276"/>
      <c r="HUF30" s="276"/>
      <c r="HUG30" s="276"/>
      <c r="HUH30" s="276"/>
      <c r="HUI30" s="276"/>
      <c r="HUJ30" s="276"/>
      <c r="HUK30" s="276"/>
      <c r="HUL30" s="276"/>
      <c r="HUM30" s="276"/>
      <c r="HUN30" s="276"/>
      <c r="HUO30" s="276"/>
      <c r="HUP30" s="276"/>
      <c r="HUQ30" s="276"/>
      <c r="HUR30" s="276"/>
      <c r="HUS30" s="276"/>
      <c r="HUT30" s="276"/>
      <c r="HUU30" s="276"/>
      <c r="HUV30" s="276"/>
      <c r="HUW30" s="276"/>
      <c r="HUX30" s="276"/>
      <c r="HUY30" s="276"/>
      <c r="HUZ30" s="276"/>
      <c r="HVA30" s="276"/>
      <c r="HVB30" s="276"/>
      <c r="HVC30" s="276"/>
      <c r="HVD30" s="276"/>
      <c r="HVE30" s="276"/>
      <c r="HVF30" s="276"/>
      <c r="HVG30" s="276"/>
      <c r="HVH30" s="276"/>
      <c r="HVI30" s="276"/>
      <c r="HVJ30" s="276"/>
      <c r="HVK30" s="276"/>
      <c r="HVL30" s="276"/>
      <c r="HVM30" s="276"/>
      <c r="HVN30" s="276"/>
      <c r="HVO30" s="276"/>
      <c r="HVP30" s="276"/>
      <c r="HVQ30" s="276"/>
      <c r="HVR30" s="276"/>
      <c r="HVS30" s="276"/>
      <c r="HVT30" s="276"/>
      <c r="HVU30" s="276"/>
      <c r="HVV30" s="276"/>
      <c r="HVW30" s="276"/>
      <c r="HVX30" s="276"/>
      <c r="HVY30" s="276"/>
      <c r="HVZ30" s="276"/>
      <c r="HWA30" s="276"/>
      <c r="HWB30" s="276"/>
      <c r="HWC30" s="276"/>
      <c r="HWD30" s="276"/>
      <c r="HWE30" s="276"/>
      <c r="HWF30" s="276"/>
      <c r="HWG30" s="276"/>
      <c r="HWH30" s="276"/>
      <c r="HWI30" s="276"/>
      <c r="HWJ30" s="276"/>
      <c r="HWK30" s="276"/>
      <c r="HWL30" s="276"/>
      <c r="HWM30" s="276"/>
      <c r="HWN30" s="276"/>
      <c r="HWO30" s="276"/>
      <c r="HWP30" s="276"/>
      <c r="HWQ30" s="276"/>
      <c r="HWR30" s="276"/>
      <c r="HWS30" s="276"/>
      <c r="HWT30" s="276"/>
      <c r="HWU30" s="276"/>
      <c r="HWV30" s="276"/>
      <c r="HWW30" s="276"/>
      <c r="HWX30" s="276"/>
      <c r="HWY30" s="276"/>
      <c r="HWZ30" s="276"/>
      <c r="HXA30" s="276"/>
      <c r="HXB30" s="276"/>
      <c r="HXC30" s="276"/>
      <c r="HXD30" s="276"/>
      <c r="HXE30" s="276"/>
      <c r="HXF30" s="276"/>
      <c r="HXG30" s="276"/>
      <c r="HXH30" s="276"/>
      <c r="HXI30" s="276"/>
      <c r="HXJ30" s="276"/>
      <c r="HXK30" s="276"/>
      <c r="HXL30" s="276"/>
      <c r="HXM30" s="276"/>
      <c r="HXN30" s="276"/>
      <c r="HXO30" s="276"/>
      <c r="HXP30" s="276"/>
      <c r="HXQ30" s="276"/>
      <c r="HXR30" s="276"/>
      <c r="HXS30" s="276"/>
      <c r="HXT30" s="276"/>
      <c r="HXU30" s="276"/>
      <c r="HXV30" s="276"/>
      <c r="HXW30" s="276"/>
      <c r="HXX30" s="276"/>
      <c r="HXY30" s="276"/>
      <c r="HXZ30" s="276"/>
      <c r="HYA30" s="276"/>
      <c r="HYB30" s="276"/>
      <c r="HYC30" s="276"/>
      <c r="HYD30" s="276"/>
      <c r="HYE30" s="276"/>
      <c r="HYF30" s="276"/>
      <c r="HYG30" s="276"/>
      <c r="HYH30" s="276"/>
      <c r="HYI30" s="276"/>
      <c r="HYJ30" s="276"/>
      <c r="HYK30" s="276"/>
      <c r="HYL30" s="276"/>
      <c r="HYM30" s="276"/>
      <c r="HYN30" s="276"/>
      <c r="HYO30" s="276"/>
      <c r="HYP30" s="276"/>
      <c r="HYQ30" s="276"/>
      <c r="HYR30" s="276"/>
      <c r="HYS30" s="276"/>
      <c r="HYT30" s="276"/>
      <c r="HYU30" s="276"/>
      <c r="HYV30" s="276"/>
      <c r="HYW30" s="276"/>
      <c r="HYX30" s="276"/>
      <c r="HYY30" s="276"/>
      <c r="HYZ30" s="276"/>
      <c r="HZA30" s="276"/>
      <c r="HZB30" s="276"/>
      <c r="HZC30" s="276"/>
      <c r="HZD30" s="276"/>
      <c r="HZE30" s="276"/>
      <c r="HZF30" s="276"/>
      <c r="HZG30" s="276"/>
      <c r="HZH30" s="276"/>
      <c r="HZI30" s="276"/>
      <c r="HZJ30" s="276"/>
      <c r="HZK30" s="276"/>
      <c r="HZL30" s="276"/>
      <c r="HZM30" s="276"/>
      <c r="HZN30" s="276"/>
      <c r="HZO30" s="276"/>
      <c r="HZP30" s="276"/>
      <c r="HZQ30" s="276"/>
      <c r="HZR30" s="276"/>
      <c r="HZS30" s="276"/>
      <c r="HZT30" s="276"/>
      <c r="HZU30" s="276"/>
      <c r="HZV30" s="276"/>
      <c r="HZW30" s="276"/>
      <c r="HZX30" s="276"/>
      <c r="HZY30" s="276"/>
      <c r="HZZ30" s="276"/>
      <c r="IAA30" s="276"/>
      <c r="IAB30" s="276"/>
      <c r="IAC30" s="276"/>
      <c r="IAD30" s="276"/>
      <c r="IAE30" s="276"/>
      <c r="IAF30" s="276"/>
      <c r="IAG30" s="276"/>
      <c r="IAH30" s="276"/>
      <c r="IAI30" s="276"/>
      <c r="IAJ30" s="276"/>
      <c r="IAK30" s="276"/>
      <c r="IAL30" s="276"/>
      <c r="IAM30" s="276"/>
      <c r="IAN30" s="276"/>
      <c r="IAO30" s="276"/>
      <c r="IAP30" s="276"/>
      <c r="IAQ30" s="276"/>
      <c r="IAR30" s="276"/>
      <c r="IAS30" s="276"/>
      <c r="IAT30" s="276"/>
      <c r="IAU30" s="276"/>
      <c r="IAV30" s="276"/>
      <c r="IAW30" s="276"/>
      <c r="IAX30" s="276"/>
      <c r="IAY30" s="276"/>
      <c r="IAZ30" s="276"/>
      <c r="IBA30" s="276"/>
      <c r="IBB30" s="276"/>
      <c r="IBC30" s="276"/>
      <c r="IBD30" s="276"/>
      <c r="IBE30" s="276"/>
      <c r="IBF30" s="276"/>
      <c r="IBG30" s="276"/>
      <c r="IBH30" s="276"/>
      <c r="IBI30" s="276"/>
      <c r="IBJ30" s="276"/>
      <c r="IBK30" s="276"/>
      <c r="IBL30" s="276"/>
      <c r="IBM30" s="276"/>
      <c r="IBN30" s="276"/>
      <c r="IBO30" s="276"/>
      <c r="IBP30" s="276"/>
      <c r="IBQ30" s="276"/>
      <c r="IBR30" s="276"/>
      <c r="IBS30" s="276"/>
      <c r="IBT30" s="276"/>
      <c r="IBU30" s="276"/>
      <c r="IBV30" s="276"/>
      <c r="IBW30" s="276"/>
      <c r="IBX30" s="276"/>
      <c r="IBY30" s="276"/>
      <c r="IBZ30" s="276"/>
      <c r="ICA30" s="276"/>
      <c r="ICB30" s="276"/>
      <c r="ICC30" s="276"/>
      <c r="ICD30" s="276"/>
      <c r="ICE30" s="276"/>
      <c r="ICF30" s="276"/>
      <c r="ICG30" s="276"/>
      <c r="ICH30" s="276"/>
      <c r="ICI30" s="276"/>
      <c r="ICJ30" s="276"/>
      <c r="ICK30" s="276"/>
      <c r="ICL30" s="276"/>
      <c r="ICM30" s="276"/>
      <c r="ICN30" s="276"/>
      <c r="ICO30" s="276"/>
      <c r="ICP30" s="276"/>
      <c r="ICQ30" s="276"/>
      <c r="ICR30" s="276"/>
      <c r="ICS30" s="276"/>
      <c r="ICT30" s="276"/>
      <c r="ICU30" s="276"/>
      <c r="ICV30" s="276"/>
      <c r="ICW30" s="276"/>
      <c r="ICX30" s="276"/>
      <c r="ICY30" s="276"/>
      <c r="ICZ30" s="276"/>
      <c r="IDA30" s="276"/>
      <c r="IDB30" s="276"/>
      <c r="IDC30" s="276"/>
      <c r="IDD30" s="276"/>
      <c r="IDE30" s="276"/>
      <c r="IDF30" s="276"/>
      <c r="IDG30" s="276"/>
      <c r="IDH30" s="276"/>
      <c r="IDI30" s="276"/>
      <c r="IDJ30" s="276"/>
      <c r="IDK30" s="276"/>
      <c r="IDL30" s="276"/>
      <c r="IDM30" s="276"/>
      <c r="IDN30" s="276"/>
      <c r="IDO30" s="276"/>
      <c r="IDP30" s="276"/>
      <c r="IDQ30" s="276"/>
      <c r="IDR30" s="276"/>
      <c r="IDS30" s="276"/>
      <c r="IDT30" s="276"/>
      <c r="IDU30" s="276"/>
      <c r="IDV30" s="276"/>
      <c r="IDW30" s="276"/>
      <c r="IDX30" s="276"/>
      <c r="IDY30" s="276"/>
      <c r="IDZ30" s="276"/>
      <c r="IEA30" s="276"/>
      <c r="IEB30" s="276"/>
      <c r="IEC30" s="276"/>
      <c r="IED30" s="276"/>
      <c r="IEE30" s="276"/>
      <c r="IEF30" s="276"/>
      <c r="IEG30" s="276"/>
      <c r="IEH30" s="276"/>
      <c r="IEI30" s="276"/>
      <c r="IEJ30" s="276"/>
      <c r="IEK30" s="276"/>
      <c r="IEL30" s="276"/>
      <c r="IEM30" s="276"/>
      <c r="IEN30" s="276"/>
      <c r="IEO30" s="276"/>
      <c r="IEP30" s="276"/>
      <c r="IEQ30" s="276"/>
      <c r="IER30" s="276"/>
      <c r="IES30" s="276"/>
      <c r="IET30" s="276"/>
      <c r="IEU30" s="276"/>
      <c r="IEV30" s="276"/>
      <c r="IEW30" s="276"/>
      <c r="IEX30" s="276"/>
      <c r="IEY30" s="276"/>
      <c r="IEZ30" s="276"/>
      <c r="IFA30" s="276"/>
      <c r="IFB30" s="276"/>
      <c r="IFC30" s="276"/>
      <c r="IFD30" s="276"/>
      <c r="IFE30" s="276"/>
      <c r="IFF30" s="276"/>
      <c r="IFG30" s="276"/>
      <c r="IFH30" s="276"/>
      <c r="IFI30" s="276"/>
      <c r="IFJ30" s="276"/>
      <c r="IFK30" s="276"/>
      <c r="IFL30" s="276"/>
      <c r="IFM30" s="276"/>
      <c r="IFN30" s="276"/>
      <c r="IFO30" s="276"/>
      <c r="IFP30" s="276"/>
      <c r="IFQ30" s="276"/>
      <c r="IFR30" s="276"/>
      <c r="IFS30" s="276"/>
      <c r="IFT30" s="276"/>
      <c r="IFU30" s="276"/>
      <c r="IFV30" s="276"/>
      <c r="IFW30" s="276"/>
      <c r="IFX30" s="276"/>
      <c r="IFY30" s="276"/>
      <c r="IFZ30" s="276"/>
      <c r="IGA30" s="276"/>
      <c r="IGB30" s="276"/>
      <c r="IGC30" s="276"/>
      <c r="IGD30" s="276"/>
      <c r="IGE30" s="276"/>
      <c r="IGF30" s="276"/>
      <c r="IGG30" s="276"/>
      <c r="IGH30" s="276"/>
      <c r="IGI30" s="276"/>
      <c r="IGJ30" s="276"/>
      <c r="IGK30" s="276"/>
      <c r="IGL30" s="276"/>
      <c r="IGM30" s="276"/>
      <c r="IGN30" s="276"/>
      <c r="IGO30" s="276"/>
      <c r="IGP30" s="276"/>
      <c r="IGQ30" s="276"/>
      <c r="IGR30" s="276"/>
      <c r="IGS30" s="276"/>
      <c r="IGT30" s="276"/>
      <c r="IGU30" s="276"/>
      <c r="IGV30" s="276"/>
      <c r="IGW30" s="276"/>
      <c r="IGX30" s="276"/>
      <c r="IGY30" s="276"/>
      <c r="IGZ30" s="276"/>
      <c r="IHA30" s="276"/>
      <c r="IHB30" s="276"/>
      <c r="IHC30" s="276"/>
      <c r="IHD30" s="276"/>
      <c r="IHE30" s="276"/>
      <c r="IHF30" s="276"/>
      <c r="IHG30" s="276"/>
      <c r="IHH30" s="276"/>
      <c r="IHI30" s="276"/>
      <c r="IHJ30" s="276"/>
      <c r="IHK30" s="276"/>
      <c r="IHL30" s="276"/>
      <c r="IHM30" s="276"/>
      <c r="IHN30" s="276"/>
      <c r="IHO30" s="276"/>
      <c r="IHP30" s="276"/>
      <c r="IHQ30" s="276"/>
      <c r="IHR30" s="276"/>
      <c r="IHS30" s="276"/>
      <c r="IHT30" s="276"/>
      <c r="IHU30" s="276"/>
      <c r="IHV30" s="276"/>
      <c r="IHW30" s="276"/>
      <c r="IHX30" s="276"/>
      <c r="IHY30" s="276"/>
      <c r="IHZ30" s="276"/>
      <c r="IIA30" s="276"/>
      <c r="IIB30" s="276"/>
      <c r="IIC30" s="276"/>
      <c r="IID30" s="276"/>
      <c r="IIE30" s="276"/>
      <c r="IIF30" s="276"/>
      <c r="IIG30" s="276"/>
      <c r="IIH30" s="276"/>
      <c r="III30" s="276"/>
      <c r="IIJ30" s="276"/>
      <c r="IIK30" s="276"/>
      <c r="IIL30" s="276"/>
      <c r="IIM30" s="276"/>
      <c r="IIN30" s="276"/>
      <c r="IIO30" s="276"/>
      <c r="IIP30" s="276"/>
      <c r="IIQ30" s="276"/>
      <c r="IIR30" s="276"/>
      <c r="IIS30" s="276"/>
      <c r="IIT30" s="276"/>
      <c r="IIU30" s="276"/>
      <c r="IIV30" s="276"/>
      <c r="IIW30" s="276"/>
      <c r="IIX30" s="276"/>
      <c r="IIY30" s="276"/>
      <c r="IIZ30" s="276"/>
      <c r="IJA30" s="276"/>
      <c r="IJB30" s="276"/>
      <c r="IJC30" s="276"/>
      <c r="IJD30" s="276"/>
      <c r="IJE30" s="276"/>
      <c r="IJF30" s="276"/>
      <c r="IJG30" s="276"/>
      <c r="IJH30" s="276"/>
      <c r="IJI30" s="276"/>
      <c r="IJJ30" s="276"/>
      <c r="IJK30" s="276"/>
      <c r="IJL30" s="276"/>
      <c r="IJM30" s="276"/>
      <c r="IJN30" s="276"/>
      <c r="IJO30" s="276"/>
      <c r="IJP30" s="276"/>
      <c r="IJQ30" s="276"/>
      <c r="IJR30" s="276"/>
      <c r="IJS30" s="276"/>
      <c r="IJT30" s="276"/>
      <c r="IJU30" s="276"/>
      <c r="IJV30" s="276"/>
      <c r="IJW30" s="276"/>
      <c r="IJX30" s="276"/>
      <c r="IJY30" s="276"/>
      <c r="IJZ30" s="276"/>
      <c r="IKA30" s="276"/>
      <c r="IKB30" s="276"/>
      <c r="IKC30" s="276"/>
      <c r="IKD30" s="276"/>
      <c r="IKE30" s="276"/>
      <c r="IKF30" s="276"/>
      <c r="IKG30" s="276"/>
      <c r="IKH30" s="276"/>
      <c r="IKI30" s="276"/>
      <c r="IKJ30" s="276"/>
      <c r="IKK30" s="276"/>
      <c r="IKL30" s="276"/>
      <c r="IKM30" s="276"/>
      <c r="IKN30" s="276"/>
      <c r="IKO30" s="276"/>
      <c r="IKP30" s="276"/>
      <c r="IKQ30" s="276"/>
      <c r="IKR30" s="276"/>
      <c r="IKS30" s="276"/>
      <c r="IKT30" s="276"/>
      <c r="IKU30" s="276"/>
      <c r="IKV30" s="276"/>
      <c r="IKW30" s="276"/>
      <c r="IKX30" s="276"/>
      <c r="IKY30" s="276"/>
      <c r="IKZ30" s="276"/>
      <c r="ILA30" s="276"/>
      <c r="ILB30" s="276"/>
      <c r="ILC30" s="276"/>
      <c r="ILD30" s="276"/>
      <c r="ILE30" s="276"/>
      <c r="ILF30" s="276"/>
      <c r="ILG30" s="276"/>
      <c r="ILH30" s="276"/>
      <c r="ILI30" s="276"/>
      <c r="ILJ30" s="276"/>
      <c r="ILK30" s="276"/>
      <c r="ILL30" s="276"/>
      <c r="ILM30" s="276"/>
      <c r="ILN30" s="276"/>
      <c r="ILO30" s="276"/>
      <c r="ILP30" s="276"/>
      <c r="ILQ30" s="276"/>
      <c r="ILR30" s="276"/>
      <c r="ILS30" s="276"/>
      <c r="ILT30" s="276"/>
      <c r="ILU30" s="276"/>
      <c r="ILV30" s="276"/>
      <c r="ILW30" s="276"/>
      <c r="ILX30" s="276"/>
      <c r="ILY30" s="276"/>
      <c r="ILZ30" s="276"/>
      <c r="IMA30" s="276"/>
      <c r="IMB30" s="276"/>
      <c r="IMC30" s="276"/>
      <c r="IMD30" s="276"/>
      <c r="IME30" s="276"/>
      <c r="IMF30" s="276"/>
      <c r="IMG30" s="276"/>
      <c r="IMH30" s="276"/>
      <c r="IMI30" s="276"/>
      <c r="IMJ30" s="276"/>
      <c r="IMK30" s="276"/>
      <c r="IML30" s="276"/>
      <c r="IMM30" s="276"/>
      <c r="IMN30" s="276"/>
      <c r="IMO30" s="276"/>
      <c r="IMP30" s="276"/>
      <c r="IMQ30" s="276"/>
      <c r="IMR30" s="276"/>
      <c r="IMS30" s="276"/>
      <c r="IMT30" s="276"/>
      <c r="IMU30" s="276"/>
      <c r="IMV30" s="276"/>
      <c r="IMW30" s="276"/>
      <c r="IMX30" s="276"/>
      <c r="IMY30" s="276"/>
      <c r="IMZ30" s="276"/>
      <c r="INA30" s="276"/>
      <c r="INB30" s="276"/>
      <c r="INC30" s="276"/>
      <c r="IND30" s="276"/>
      <c r="INE30" s="276"/>
      <c r="INF30" s="276"/>
      <c r="ING30" s="276"/>
      <c r="INH30" s="276"/>
      <c r="INI30" s="276"/>
      <c r="INJ30" s="276"/>
      <c r="INK30" s="276"/>
      <c r="INL30" s="276"/>
      <c r="INM30" s="276"/>
      <c r="INN30" s="276"/>
      <c r="INO30" s="276"/>
      <c r="INP30" s="276"/>
      <c r="INQ30" s="276"/>
      <c r="INR30" s="276"/>
      <c r="INS30" s="276"/>
      <c r="INT30" s="276"/>
      <c r="INU30" s="276"/>
      <c r="INV30" s="276"/>
      <c r="INW30" s="276"/>
      <c r="INX30" s="276"/>
      <c r="INY30" s="276"/>
      <c r="INZ30" s="276"/>
      <c r="IOA30" s="276"/>
      <c r="IOB30" s="276"/>
      <c r="IOC30" s="276"/>
      <c r="IOD30" s="276"/>
      <c r="IOE30" s="276"/>
      <c r="IOF30" s="276"/>
      <c r="IOG30" s="276"/>
      <c r="IOH30" s="276"/>
      <c r="IOI30" s="276"/>
      <c r="IOJ30" s="276"/>
      <c r="IOK30" s="276"/>
      <c r="IOL30" s="276"/>
      <c r="IOM30" s="276"/>
      <c r="ION30" s="276"/>
      <c r="IOO30" s="276"/>
      <c r="IOP30" s="276"/>
      <c r="IOQ30" s="276"/>
      <c r="IOR30" s="276"/>
      <c r="IOS30" s="276"/>
      <c r="IOT30" s="276"/>
      <c r="IOU30" s="276"/>
      <c r="IOV30" s="276"/>
      <c r="IOW30" s="276"/>
      <c r="IOX30" s="276"/>
      <c r="IOY30" s="276"/>
      <c r="IOZ30" s="276"/>
      <c r="IPA30" s="276"/>
      <c r="IPB30" s="276"/>
      <c r="IPC30" s="276"/>
      <c r="IPD30" s="276"/>
      <c r="IPE30" s="276"/>
      <c r="IPF30" s="276"/>
      <c r="IPG30" s="276"/>
      <c r="IPH30" s="276"/>
      <c r="IPI30" s="276"/>
      <c r="IPJ30" s="276"/>
      <c r="IPK30" s="276"/>
      <c r="IPL30" s="276"/>
      <c r="IPM30" s="276"/>
      <c r="IPN30" s="276"/>
      <c r="IPO30" s="276"/>
      <c r="IPP30" s="276"/>
      <c r="IPQ30" s="276"/>
      <c r="IPR30" s="276"/>
      <c r="IPS30" s="276"/>
      <c r="IPT30" s="276"/>
      <c r="IPU30" s="276"/>
      <c r="IPV30" s="276"/>
      <c r="IPW30" s="276"/>
      <c r="IPX30" s="276"/>
      <c r="IPY30" s="276"/>
      <c r="IPZ30" s="276"/>
      <c r="IQA30" s="276"/>
      <c r="IQB30" s="276"/>
      <c r="IQC30" s="276"/>
      <c r="IQD30" s="276"/>
      <c r="IQE30" s="276"/>
      <c r="IQF30" s="276"/>
      <c r="IQG30" s="276"/>
      <c r="IQH30" s="276"/>
      <c r="IQI30" s="276"/>
      <c r="IQJ30" s="276"/>
      <c r="IQK30" s="276"/>
      <c r="IQL30" s="276"/>
      <c r="IQM30" s="276"/>
      <c r="IQN30" s="276"/>
      <c r="IQO30" s="276"/>
      <c r="IQP30" s="276"/>
      <c r="IQQ30" s="276"/>
      <c r="IQR30" s="276"/>
      <c r="IQS30" s="276"/>
      <c r="IQT30" s="276"/>
      <c r="IQU30" s="276"/>
      <c r="IQV30" s="276"/>
      <c r="IQW30" s="276"/>
      <c r="IQX30" s="276"/>
      <c r="IQY30" s="276"/>
      <c r="IQZ30" s="276"/>
      <c r="IRA30" s="276"/>
      <c r="IRB30" s="276"/>
      <c r="IRC30" s="276"/>
      <c r="IRD30" s="276"/>
      <c r="IRE30" s="276"/>
      <c r="IRF30" s="276"/>
      <c r="IRG30" s="276"/>
      <c r="IRH30" s="276"/>
      <c r="IRI30" s="276"/>
      <c r="IRJ30" s="276"/>
      <c r="IRK30" s="276"/>
      <c r="IRL30" s="276"/>
      <c r="IRM30" s="276"/>
      <c r="IRN30" s="276"/>
      <c r="IRO30" s="276"/>
      <c r="IRP30" s="276"/>
      <c r="IRQ30" s="276"/>
      <c r="IRR30" s="276"/>
      <c r="IRS30" s="276"/>
      <c r="IRT30" s="276"/>
      <c r="IRU30" s="276"/>
      <c r="IRV30" s="276"/>
      <c r="IRW30" s="276"/>
      <c r="IRX30" s="276"/>
      <c r="IRY30" s="276"/>
      <c r="IRZ30" s="276"/>
      <c r="ISA30" s="276"/>
      <c r="ISB30" s="276"/>
      <c r="ISC30" s="276"/>
      <c r="ISD30" s="276"/>
      <c r="ISE30" s="276"/>
      <c r="ISF30" s="276"/>
      <c r="ISG30" s="276"/>
      <c r="ISH30" s="276"/>
      <c r="ISI30" s="276"/>
      <c r="ISJ30" s="276"/>
      <c r="ISK30" s="276"/>
      <c r="ISL30" s="276"/>
      <c r="ISM30" s="276"/>
      <c r="ISN30" s="276"/>
      <c r="ISO30" s="276"/>
      <c r="ISP30" s="276"/>
      <c r="ISQ30" s="276"/>
      <c r="ISR30" s="276"/>
      <c r="ISS30" s="276"/>
      <c r="IST30" s="276"/>
      <c r="ISU30" s="276"/>
      <c r="ISV30" s="276"/>
      <c r="ISW30" s="276"/>
      <c r="ISX30" s="276"/>
      <c r="ISY30" s="276"/>
      <c r="ISZ30" s="276"/>
      <c r="ITA30" s="276"/>
      <c r="ITB30" s="276"/>
      <c r="ITC30" s="276"/>
      <c r="ITD30" s="276"/>
      <c r="ITE30" s="276"/>
      <c r="ITF30" s="276"/>
      <c r="ITG30" s="276"/>
      <c r="ITH30" s="276"/>
      <c r="ITI30" s="276"/>
      <c r="ITJ30" s="276"/>
      <c r="ITK30" s="276"/>
      <c r="ITL30" s="276"/>
      <c r="ITM30" s="276"/>
      <c r="ITN30" s="276"/>
      <c r="ITO30" s="276"/>
      <c r="ITP30" s="276"/>
      <c r="ITQ30" s="276"/>
      <c r="ITR30" s="276"/>
      <c r="ITS30" s="276"/>
      <c r="ITT30" s="276"/>
      <c r="ITU30" s="276"/>
      <c r="ITV30" s="276"/>
      <c r="ITW30" s="276"/>
      <c r="ITX30" s="276"/>
      <c r="ITY30" s="276"/>
      <c r="ITZ30" s="276"/>
      <c r="IUA30" s="276"/>
      <c r="IUB30" s="276"/>
      <c r="IUC30" s="276"/>
      <c r="IUD30" s="276"/>
      <c r="IUE30" s="276"/>
      <c r="IUF30" s="276"/>
      <c r="IUG30" s="276"/>
      <c r="IUH30" s="276"/>
      <c r="IUI30" s="276"/>
      <c r="IUJ30" s="276"/>
      <c r="IUK30" s="276"/>
      <c r="IUL30" s="276"/>
      <c r="IUM30" s="276"/>
      <c r="IUN30" s="276"/>
      <c r="IUO30" s="276"/>
      <c r="IUP30" s="276"/>
      <c r="IUQ30" s="276"/>
      <c r="IUR30" s="276"/>
      <c r="IUS30" s="276"/>
      <c r="IUT30" s="276"/>
      <c r="IUU30" s="276"/>
      <c r="IUV30" s="276"/>
      <c r="IUW30" s="276"/>
      <c r="IUX30" s="276"/>
      <c r="IUY30" s="276"/>
      <c r="IUZ30" s="276"/>
      <c r="IVA30" s="276"/>
      <c r="IVB30" s="276"/>
      <c r="IVC30" s="276"/>
      <c r="IVD30" s="276"/>
      <c r="IVE30" s="276"/>
      <c r="IVF30" s="276"/>
      <c r="IVG30" s="276"/>
      <c r="IVH30" s="276"/>
      <c r="IVI30" s="276"/>
      <c r="IVJ30" s="276"/>
      <c r="IVK30" s="276"/>
      <c r="IVL30" s="276"/>
      <c r="IVM30" s="276"/>
      <c r="IVN30" s="276"/>
      <c r="IVO30" s="276"/>
      <c r="IVP30" s="276"/>
      <c r="IVQ30" s="276"/>
      <c r="IVR30" s="276"/>
      <c r="IVS30" s="276"/>
      <c r="IVT30" s="276"/>
      <c r="IVU30" s="276"/>
      <c r="IVV30" s="276"/>
      <c r="IVW30" s="276"/>
      <c r="IVX30" s="276"/>
      <c r="IVY30" s="276"/>
      <c r="IVZ30" s="276"/>
      <c r="IWA30" s="276"/>
      <c r="IWB30" s="276"/>
      <c r="IWC30" s="276"/>
      <c r="IWD30" s="276"/>
      <c r="IWE30" s="276"/>
      <c r="IWF30" s="276"/>
      <c r="IWG30" s="276"/>
      <c r="IWH30" s="276"/>
      <c r="IWI30" s="276"/>
      <c r="IWJ30" s="276"/>
      <c r="IWK30" s="276"/>
      <c r="IWL30" s="276"/>
      <c r="IWM30" s="276"/>
      <c r="IWN30" s="276"/>
      <c r="IWO30" s="276"/>
      <c r="IWP30" s="276"/>
      <c r="IWQ30" s="276"/>
      <c r="IWR30" s="276"/>
      <c r="IWS30" s="276"/>
      <c r="IWT30" s="276"/>
      <c r="IWU30" s="276"/>
      <c r="IWV30" s="276"/>
      <c r="IWW30" s="276"/>
      <c r="IWX30" s="276"/>
      <c r="IWY30" s="276"/>
      <c r="IWZ30" s="276"/>
      <c r="IXA30" s="276"/>
      <c r="IXB30" s="276"/>
      <c r="IXC30" s="276"/>
      <c r="IXD30" s="276"/>
      <c r="IXE30" s="276"/>
      <c r="IXF30" s="276"/>
      <c r="IXG30" s="276"/>
      <c r="IXH30" s="276"/>
      <c r="IXI30" s="276"/>
      <c r="IXJ30" s="276"/>
      <c r="IXK30" s="276"/>
      <c r="IXL30" s="276"/>
      <c r="IXM30" s="276"/>
      <c r="IXN30" s="276"/>
      <c r="IXO30" s="276"/>
      <c r="IXP30" s="276"/>
      <c r="IXQ30" s="276"/>
      <c r="IXR30" s="276"/>
      <c r="IXS30" s="276"/>
      <c r="IXT30" s="276"/>
      <c r="IXU30" s="276"/>
      <c r="IXV30" s="276"/>
      <c r="IXW30" s="276"/>
      <c r="IXX30" s="276"/>
      <c r="IXY30" s="276"/>
      <c r="IXZ30" s="276"/>
      <c r="IYA30" s="276"/>
      <c r="IYB30" s="276"/>
      <c r="IYC30" s="276"/>
      <c r="IYD30" s="276"/>
      <c r="IYE30" s="276"/>
      <c r="IYF30" s="276"/>
      <c r="IYG30" s="276"/>
      <c r="IYH30" s="276"/>
      <c r="IYI30" s="276"/>
      <c r="IYJ30" s="276"/>
      <c r="IYK30" s="276"/>
      <c r="IYL30" s="276"/>
      <c r="IYM30" s="276"/>
      <c r="IYN30" s="276"/>
      <c r="IYO30" s="276"/>
      <c r="IYP30" s="276"/>
      <c r="IYQ30" s="276"/>
      <c r="IYR30" s="276"/>
      <c r="IYS30" s="276"/>
      <c r="IYT30" s="276"/>
      <c r="IYU30" s="276"/>
      <c r="IYV30" s="276"/>
      <c r="IYW30" s="276"/>
      <c r="IYX30" s="276"/>
      <c r="IYY30" s="276"/>
      <c r="IYZ30" s="276"/>
      <c r="IZA30" s="276"/>
      <c r="IZB30" s="276"/>
      <c r="IZC30" s="276"/>
      <c r="IZD30" s="276"/>
      <c r="IZE30" s="276"/>
      <c r="IZF30" s="276"/>
      <c r="IZG30" s="276"/>
      <c r="IZH30" s="276"/>
      <c r="IZI30" s="276"/>
      <c r="IZJ30" s="276"/>
      <c r="IZK30" s="276"/>
      <c r="IZL30" s="276"/>
      <c r="IZM30" s="276"/>
      <c r="IZN30" s="276"/>
      <c r="IZO30" s="276"/>
      <c r="IZP30" s="276"/>
      <c r="IZQ30" s="276"/>
      <c r="IZR30" s="276"/>
      <c r="IZS30" s="276"/>
      <c r="IZT30" s="276"/>
      <c r="IZU30" s="276"/>
      <c r="IZV30" s="276"/>
      <c r="IZW30" s="276"/>
      <c r="IZX30" s="276"/>
      <c r="IZY30" s="276"/>
      <c r="IZZ30" s="276"/>
      <c r="JAA30" s="276"/>
      <c r="JAB30" s="276"/>
      <c r="JAC30" s="276"/>
      <c r="JAD30" s="276"/>
      <c r="JAE30" s="276"/>
      <c r="JAF30" s="276"/>
      <c r="JAG30" s="276"/>
      <c r="JAH30" s="276"/>
      <c r="JAI30" s="276"/>
      <c r="JAJ30" s="276"/>
      <c r="JAK30" s="276"/>
      <c r="JAL30" s="276"/>
      <c r="JAM30" s="276"/>
      <c r="JAN30" s="276"/>
      <c r="JAO30" s="276"/>
      <c r="JAP30" s="276"/>
      <c r="JAQ30" s="276"/>
      <c r="JAR30" s="276"/>
      <c r="JAS30" s="276"/>
      <c r="JAT30" s="276"/>
      <c r="JAU30" s="276"/>
      <c r="JAV30" s="276"/>
      <c r="JAW30" s="276"/>
      <c r="JAX30" s="276"/>
      <c r="JAY30" s="276"/>
      <c r="JAZ30" s="276"/>
      <c r="JBA30" s="276"/>
      <c r="JBB30" s="276"/>
      <c r="JBC30" s="276"/>
      <c r="JBD30" s="276"/>
      <c r="JBE30" s="276"/>
      <c r="JBF30" s="276"/>
      <c r="JBG30" s="276"/>
      <c r="JBH30" s="276"/>
      <c r="JBI30" s="276"/>
      <c r="JBJ30" s="276"/>
      <c r="JBK30" s="276"/>
      <c r="JBL30" s="276"/>
      <c r="JBM30" s="276"/>
      <c r="JBN30" s="276"/>
      <c r="JBO30" s="276"/>
      <c r="JBP30" s="276"/>
      <c r="JBQ30" s="276"/>
      <c r="JBR30" s="276"/>
      <c r="JBS30" s="276"/>
      <c r="JBT30" s="276"/>
      <c r="JBU30" s="276"/>
      <c r="JBV30" s="276"/>
      <c r="JBW30" s="276"/>
      <c r="JBX30" s="276"/>
      <c r="JBY30" s="276"/>
      <c r="JBZ30" s="276"/>
      <c r="JCA30" s="276"/>
      <c r="JCB30" s="276"/>
      <c r="JCC30" s="276"/>
      <c r="JCD30" s="276"/>
      <c r="JCE30" s="276"/>
      <c r="JCF30" s="276"/>
      <c r="JCG30" s="276"/>
      <c r="JCH30" s="276"/>
      <c r="JCI30" s="276"/>
      <c r="JCJ30" s="276"/>
      <c r="JCK30" s="276"/>
      <c r="JCL30" s="276"/>
      <c r="JCM30" s="276"/>
      <c r="JCN30" s="276"/>
      <c r="JCO30" s="276"/>
      <c r="JCP30" s="276"/>
      <c r="JCQ30" s="276"/>
      <c r="JCR30" s="276"/>
      <c r="JCS30" s="276"/>
      <c r="JCT30" s="276"/>
      <c r="JCU30" s="276"/>
      <c r="JCV30" s="276"/>
      <c r="JCW30" s="276"/>
      <c r="JCX30" s="276"/>
      <c r="JCY30" s="276"/>
      <c r="JCZ30" s="276"/>
      <c r="JDA30" s="276"/>
      <c r="JDB30" s="276"/>
      <c r="JDC30" s="276"/>
      <c r="JDD30" s="276"/>
      <c r="JDE30" s="276"/>
      <c r="JDF30" s="276"/>
      <c r="JDG30" s="276"/>
      <c r="JDH30" s="276"/>
      <c r="JDI30" s="276"/>
      <c r="JDJ30" s="276"/>
      <c r="JDK30" s="276"/>
      <c r="JDL30" s="276"/>
      <c r="JDM30" s="276"/>
      <c r="JDN30" s="276"/>
      <c r="JDO30" s="276"/>
      <c r="JDP30" s="276"/>
      <c r="JDQ30" s="276"/>
      <c r="JDR30" s="276"/>
      <c r="JDS30" s="276"/>
      <c r="JDT30" s="276"/>
      <c r="JDU30" s="276"/>
      <c r="JDV30" s="276"/>
      <c r="JDW30" s="276"/>
      <c r="JDX30" s="276"/>
      <c r="JDY30" s="276"/>
      <c r="JDZ30" s="276"/>
      <c r="JEA30" s="276"/>
      <c r="JEB30" s="276"/>
      <c r="JEC30" s="276"/>
      <c r="JED30" s="276"/>
      <c r="JEE30" s="276"/>
      <c r="JEF30" s="276"/>
      <c r="JEG30" s="276"/>
      <c r="JEH30" s="276"/>
      <c r="JEI30" s="276"/>
      <c r="JEJ30" s="276"/>
      <c r="JEK30" s="276"/>
      <c r="JEL30" s="276"/>
      <c r="JEM30" s="276"/>
      <c r="JEN30" s="276"/>
      <c r="JEO30" s="276"/>
      <c r="JEP30" s="276"/>
      <c r="JEQ30" s="276"/>
      <c r="JER30" s="276"/>
      <c r="JES30" s="276"/>
      <c r="JET30" s="276"/>
      <c r="JEU30" s="276"/>
      <c r="JEV30" s="276"/>
      <c r="JEW30" s="276"/>
      <c r="JEX30" s="276"/>
      <c r="JEY30" s="276"/>
      <c r="JEZ30" s="276"/>
      <c r="JFA30" s="276"/>
      <c r="JFB30" s="276"/>
      <c r="JFC30" s="276"/>
      <c r="JFD30" s="276"/>
      <c r="JFE30" s="276"/>
      <c r="JFF30" s="276"/>
      <c r="JFG30" s="276"/>
      <c r="JFH30" s="276"/>
      <c r="JFI30" s="276"/>
      <c r="JFJ30" s="276"/>
      <c r="JFK30" s="276"/>
      <c r="JFL30" s="276"/>
      <c r="JFM30" s="276"/>
      <c r="JFN30" s="276"/>
      <c r="JFO30" s="276"/>
      <c r="JFP30" s="276"/>
      <c r="JFQ30" s="276"/>
      <c r="JFR30" s="276"/>
      <c r="JFS30" s="276"/>
      <c r="JFT30" s="276"/>
      <c r="JFU30" s="276"/>
      <c r="JFV30" s="276"/>
      <c r="JFW30" s="276"/>
      <c r="JFX30" s="276"/>
      <c r="JFY30" s="276"/>
      <c r="JFZ30" s="276"/>
      <c r="JGA30" s="276"/>
      <c r="JGB30" s="276"/>
      <c r="JGC30" s="276"/>
      <c r="JGD30" s="276"/>
      <c r="JGE30" s="276"/>
      <c r="JGF30" s="276"/>
      <c r="JGG30" s="276"/>
      <c r="JGH30" s="276"/>
      <c r="JGI30" s="276"/>
      <c r="JGJ30" s="276"/>
      <c r="JGK30" s="276"/>
      <c r="JGL30" s="276"/>
      <c r="JGM30" s="276"/>
      <c r="JGN30" s="276"/>
      <c r="JGO30" s="276"/>
      <c r="JGP30" s="276"/>
      <c r="JGQ30" s="276"/>
      <c r="JGR30" s="276"/>
      <c r="JGS30" s="276"/>
      <c r="JGT30" s="276"/>
      <c r="JGU30" s="276"/>
      <c r="JGV30" s="276"/>
      <c r="JGW30" s="276"/>
      <c r="JGX30" s="276"/>
      <c r="JGY30" s="276"/>
      <c r="JGZ30" s="276"/>
      <c r="JHA30" s="276"/>
      <c r="JHB30" s="276"/>
      <c r="JHC30" s="276"/>
      <c r="JHD30" s="276"/>
      <c r="JHE30" s="276"/>
      <c r="JHF30" s="276"/>
      <c r="JHG30" s="276"/>
      <c r="JHH30" s="276"/>
      <c r="JHI30" s="276"/>
      <c r="JHJ30" s="276"/>
      <c r="JHK30" s="276"/>
      <c r="JHL30" s="276"/>
      <c r="JHM30" s="276"/>
      <c r="JHN30" s="276"/>
      <c r="JHO30" s="276"/>
      <c r="JHP30" s="276"/>
      <c r="JHQ30" s="276"/>
      <c r="JHR30" s="276"/>
      <c r="JHS30" s="276"/>
      <c r="JHT30" s="276"/>
      <c r="JHU30" s="276"/>
      <c r="JHV30" s="276"/>
      <c r="JHW30" s="276"/>
      <c r="JHX30" s="276"/>
      <c r="JHY30" s="276"/>
      <c r="JHZ30" s="276"/>
      <c r="JIA30" s="276"/>
      <c r="JIB30" s="276"/>
      <c r="JIC30" s="276"/>
      <c r="JID30" s="276"/>
      <c r="JIE30" s="276"/>
      <c r="JIF30" s="276"/>
      <c r="JIG30" s="276"/>
      <c r="JIH30" s="276"/>
      <c r="JII30" s="276"/>
      <c r="JIJ30" s="276"/>
      <c r="JIK30" s="276"/>
      <c r="JIL30" s="276"/>
      <c r="JIM30" s="276"/>
      <c r="JIN30" s="276"/>
      <c r="JIO30" s="276"/>
      <c r="JIP30" s="276"/>
      <c r="JIQ30" s="276"/>
      <c r="JIR30" s="276"/>
      <c r="JIS30" s="276"/>
      <c r="JIT30" s="276"/>
      <c r="JIU30" s="276"/>
      <c r="JIV30" s="276"/>
      <c r="JIW30" s="276"/>
      <c r="JIX30" s="276"/>
      <c r="JIY30" s="276"/>
      <c r="JIZ30" s="276"/>
      <c r="JJA30" s="276"/>
      <c r="JJB30" s="276"/>
      <c r="JJC30" s="276"/>
      <c r="JJD30" s="276"/>
      <c r="JJE30" s="276"/>
      <c r="JJF30" s="276"/>
      <c r="JJG30" s="276"/>
      <c r="JJH30" s="276"/>
      <c r="JJI30" s="276"/>
      <c r="JJJ30" s="276"/>
      <c r="JJK30" s="276"/>
      <c r="JJL30" s="276"/>
      <c r="JJM30" s="276"/>
      <c r="JJN30" s="276"/>
      <c r="JJO30" s="276"/>
      <c r="JJP30" s="276"/>
      <c r="JJQ30" s="276"/>
      <c r="JJR30" s="276"/>
      <c r="JJS30" s="276"/>
      <c r="JJT30" s="276"/>
      <c r="JJU30" s="276"/>
      <c r="JJV30" s="276"/>
      <c r="JJW30" s="276"/>
      <c r="JJX30" s="276"/>
      <c r="JJY30" s="276"/>
      <c r="JJZ30" s="276"/>
      <c r="JKA30" s="276"/>
      <c r="JKB30" s="276"/>
      <c r="JKC30" s="276"/>
      <c r="JKD30" s="276"/>
      <c r="JKE30" s="276"/>
      <c r="JKF30" s="276"/>
      <c r="JKG30" s="276"/>
      <c r="JKH30" s="276"/>
      <c r="JKI30" s="276"/>
      <c r="JKJ30" s="276"/>
      <c r="JKK30" s="276"/>
      <c r="JKL30" s="276"/>
      <c r="JKM30" s="276"/>
      <c r="JKN30" s="276"/>
      <c r="JKO30" s="276"/>
      <c r="JKP30" s="276"/>
      <c r="JKQ30" s="276"/>
      <c r="JKR30" s="276"/>
      <c r="JKS30" s="276"/>
      <c r="JKT30" s="276"/>
      <c r="JKU30" s="276"/>
      <c r="JKV30" s="276"/>
      <c r="JKW30" s="276"/>
      <c r="JKX30" s="276"/>
      <c r="JKY30" s="276"/>
      <c r="JKZ30" s="276"/>
      <c r="JLA30" s="276"/>
      <c r="JLB30" s="276"/>
      <c r="JLC30" s="276"/>
      <c r="JLD30" s="276"/>
      <c r="JLE30" s="276"/>
      <c r="JLF30" s="276"/>
      <c r="JLG30" s="276"/>
      <c r="JLH30" s="276"/>
      <c r="JLI30" s="276"/>
      <c r="JLJ30" s="276"/>
      <c r="JLK30" s="276"/>
      <c r="JLL30" s="276"/>
      <c r="JLM30" s="276"/>
      <c r="JLN30" s="276"/>
      <c r="JLO30" s="276"/>
      <c r="JLP30" s="276"/>
      <c r="JLQ30" s="276"/>
      <c r="JLR30" s="276"/>
      <c r="JLS30" s="276"/>
      <c r="JLT30" s="276"/>
      <c r="JLU30" s="276"/>
      <c r="JLV30" s="276"/>
      <c r="JLW30" s="276"/>
      <c r="JLX30" s="276"/>
      <c r="JLY30" s="276"/>
      <c r="JLZ30" s="276"/>
      <c r="JMA30" s="276"/>
      <c r="JMB30" s="276"/>
      <c r="JMC30" s="276"/>
      <c r="JMD30" s="276"/>
      <c r="JME30" s="276"/>
      <c r="JMF30" s="276"/>
      <c r="JMG30" s="276"/>
      <c r="JMH30" s="276"/>
      <c r="JMI30" s="276"/>
      <c r="JMJ30" s="276"/>
      <c r="JMK30" s="276"/>
      <c r="JML30" s="276"/>
      <c r="JMM30" s="276"/>
      <c r="JMN30" s="276"/>
      <c r="JMO30" s="276"/>
      <c r="JMP30" s="276"/>
      <c r="JMQ30" s="276"/>
      <c r="JMR30" s="276"/>
      <c r="JMS30" s="276"/>
      <c r="JMT30" s="276"/>
      <c r="JMU30" s="276"/>
      <c r="JMV30" s="276"/>
      <c r="JMW30" s="276"/>
      <c r="JMX30" s="276"/>
      <c r="JMY30" s="276"/>
      <c r="JMZ30" s="276"/>
      <c r="JNA30" s="276"/>
      <c r="JNB30" s="276"/>
      <c r="JNC30" s="276"/>
      <c r="JND30" s="276"/>
      <c r="JNE30" s="276"/>
      <c r="JNF30" s="276"/>
      <c r="JNG30" s="276"/>
      <c r="JNH30" s="276"/>
      <c r="JNI30" s="276"/>
      <c r="JNJ30" s="276"/>
      <c r="JNK30" s="276"/>
      <c r="JNL30" s="276"/>
      <c r="JNM30" s="276"/>
      <c r="JNN30" s="276"/>
      <c r="JNO30" s="276"/>
      <c r="JNP30" s="276"/>
      <c r="JNQ30" s="276"/>
      <c r="JNR30" s="276"/>
      <c r="JNS30" s="276"/>
      <c r="JNT30" s="276"/>
      <c r="JNU30" s="276"/>
      <c r="JNV30" s="276"/>
      <c r="JNW30" s="276"/>
      <c r="JNX30" s="276"/>
      <c r="JNY30" s="276"/>
      <c r="JNZ30" s="276"/>
      <c r="JOA30" s="276"/>
      <c r="JOB30" s="276"/>
      <c r="JOC30" s="276"/>
      <c r="JOD30" s="276"/>
      <c r="JOE30" s="276"/>
      <c r="JOF30" s="276"/>
      <c r="JOG30" s="276"/>
      <c r="JOH30" s="276"/>
      <c r="JOI30" s="276"/>
      <c r="JOJ30" s="276"/>
      <c r="JOK30" s="276"/>
      <c r="JOL30" s="276"/>
      <c r="JOM30" s="276"/>
      <c r="JON30" s="276"/>
      <c r="JOO30" s="276"/>
      <c r="JOP30" s="276"/>
      <c r="JOQ30" s="276"/>
      <c r="JOR30" s="276"/>
      <c r="JOS30" s="276"/>
      <c r="JOT30" s="276"/>
      <c r="JOU30" s="276"/>
      <c r="JOV30" s="276"/>
      <c r="JOW30" s="276"/>
      <c r="JOX30" s="276"/>
      <c r="JOY30" s="276"/>
      <c r="JOZ30" s="276"/>
      <c r="JPA30" s="276"/>
      <c r="JPB30" s="276"/>
      <c r="JPC30" s="276"/>
      <c r="JPD30" s="276"/>
      <c r="JPE30" s="276"/>
      <c r="JPF30" s="276"/>
      <c r="JPG30" s="276"/>
      <c r="JPH30" s="276"/>
      <c r="JPI30" s="276"/>
      <c r="JPJ30" s="276"/>
      <c r="JPK30" s="276"/>
      <c r="JPL30" s="276"/>
      <c r="JPM30" s="276"/>
      <c r="JPN30" s="276"/>
      <c r="JPO30" s="276"/>
      <c r="JPP30" s="276"/>
      <c r="JPQ30" s="276"/>
      <c r="JPR30" s="276"/>
      <c r="JPS30" s="276"/>
      <c r="JPT30" s="276"/>
      <c r="JPU30" s="276"/>
      <c r="JPV30" s="276"/>
      <c r="JPW30" s="276"/>
      <c r="JPX30" s="276"/>
      <c r="JPY30" s="276"/>
      <c r="JPZ30" s="276"/>
      <c r="JQA30" s="276"/>
      <c r="JQB30" s="276"/>
      <c r="JQC30" s="276"/>
      <c r="JQD30" s="276"/>
      <c r="JQE30" s="276"/>
      <c r="JQF30" s="276"/>
      <c r="JQG30" s="276"/>
      <c r="JQH30" s="276"/>
      <c r="JQI30" s="276"/>
      <c r="JQJ30" s="276"/>
      <c r="JQK30" s="276"/>
      <c r="JQL30" s="276"/>
      <c r="JQM30" s="276"/>
      <c r="JQN30" s="276"/>
      <c r="JQO30" s="276"/>
      <c r="JQP30" s="276"/>
      <c r="JQQ30" s="276"/>
      <c r="JQR30" s="276"/>
      <c r="JQS30" s="276"/>
      <c r="JQT30" s="276"/>
      <c r="JQU30" s="276"/>
      <c r="JQV30" s="276"/>
      <c r="JQW30" s="276"/>
      <c r="JQX30" s="276"/>
      <c r="JQY30" s="276"/>
      <c r="JQZ30" s="276"/>
      <c r="JRA30" s="276"/>
      <c r="JRB30" s="276"/>
      <c r="JRC30" s="276"/>
      <c r="JRD30" s="276"/>
      <c r="JRE30" s="276"/>
      <c r="JRF30" s="276"/>
      <c r="JRG30" s="276"/>
      <c r="JRH30" s="276"/>
      <c r="JRI30" s="276"/>
      <c r="JRJ30" s="276"/>
      <c r="JRK30" s="276"/>
      <c r="JRL30" s="276"/>
      <c r="JRM30" s="276"/>
      <c r="JRN30" s="276"/>
      <c r="JRO30" s="276"/>
      <c r="JRP30" s="276"/>
      <c r="JRQ30" s="276"/>
      <c r="JRR30" s="276"/>
      <c r="JRS30" s="276"/>
      <c r="JRT30" s="276"/>
      <c r="JRU30" s="276"/>
      <c r="JRV30" s="276"/>
      <c r="JRW30" s="276"/>
      <c r="JRX30" s="276"/>
      <c r="JRY30" s="276"/>
      <c r="JRZ30" s="276"/>
      <c r="JSA30" s="276"/>
      <c r="JSB30" s="276"/>
      <c r="JSC30" s="276"/>
      <c r="JSD30" s="276"/>
      <c r="JSE30" s="276"/>
      <c r="JSF30" s="276"/>
      <c r="JSG30" s="276"/>
      <c r="JSH30" s="276"/>
      <c r="JSI30" s="276"/>
      <c r="JSJ30" s="276"/>
      <c r="JSK30" s="276"/>
      <c r="JSL30" s="276"/>
      <c r="JSM30" s="276"/>
      <c r="JSN30" s="276"/>
      <c r="JSO30" s="276"/>
      <c r="JSP30" s="276"/>
      <c r="JSQ30" s="276"/>
      <c r="JSR30" s="276"/>
      <c r="JSS30" s="276"/>
      <c r="JST30" s="276"/>
      <c r="JSU30" s="276"/>
      <c r="JSV30" s="276"/>
      <c r="JSW30" s="276"/>
      <c r="JSX30" s="276"/>
      <c r="JSY30" s="276"/>
      <c r="JSZ30" s="276"/>
      <c r="JTA30" s="276"/>
      <c r="JTB30" s="276"/>
      <c r="JTC30" s="276"/>
      <c r="JTD30" s="276"/>
      <c r="JTE30" s="276"/>
      <c r="JTF30" s="276"/>
      <c r="JTG30" s="276"/>
      <c r="JTH30" s="276"/>
      <c r="JTI30" s="276"/>
      <c r="JTJ30" s="276"/>
      <c r="JTK30" s="276"/>
      <c r="JTL30" s="276"/>
      <c r="JTM30" s="276"/>
      <c r="JTN30" s="276"/>
      <c r="JTO30" s="276"/>
      <c r="JTP30" s="276"/>
      <c r="JTQ30" s="276"/>
      <c r="JTR30" s="276"/>
      <c r="JTS30" s="276"/>
      <c r="JTT30" s="276"/>
      <c r="JTU30" s="276"/>
      <c r="JTV30" s="276"/>
      <c r="JTW30" s="276"/>
      <c r="JTX30" s="276"/>
      <c r="JTY30" s="276"/>
      <c r="JTZ30" s="276"/>
      <c r="JUA30" s="276"/>
      <c r="JUB30" s="276"/>
      <c r="JUC30" s="276"/>
      <c r="JUD30" s="276"/>
      <c r="JUE30" s="276"/>
      <c r="JUF30" s="276"/>
      <c r="JUG30" s="276"/>
      <c r="JUH30" s="276"/>
      <c r="JUI30" s="276"/>
      <c r="JUJ30" s="276"/>
      <c r="JUK30" s="276"/>
      <c r="JUL30" s="276"/>
      <c r="JUM30" s="276"/>
      <c r="JUN30" s="276"/>
      <c r="JUO30" s="276"/>
      <c r="JUP30" s="276"/>
      <c r="JUQ30" s="276"/>
      <c r="JUR30" s="276"/>
      <c r="JUS30" s="276"/>
      <c r="JUT30" s="276"/>
      <c r="JUU30" s="276"/>
      <c r="JUV30" s="276"/>
      <c r="JUW30" s="276"/>
      <c r="JUX30" s="276"/>
      <c r="JUY30" s="276"/>
      <c r="JUZ30" s="276"/>
      <c r="JVA30" s="276"/>
      <c r="JVB30" s="276"/>
      <c r="JVC30" s="276"/>
      <c r="JVD30" s="276"/>
      <c r="JVE30" s="276"/>
      <c r="JVF30" s="276"/>
      <c r="JVG30" s="276"/>
      <c r="JVH30" s="276"/>
      <c r="JVI30" s="276"/>
      <c r="JVJ30" s="276"/>
      <c r="JVK30" s="276"/>
      <c r="JVL30" s="276"/>
      <c r="JVM30" s="276"/>
      <c r="JVN30" s="276"/>
      <c r="JVO30" s="276"/>
      <c r="JVP30" s="276"/>
      <c r="JVQ30" s="276"/>
      <c r="JVR30" s="276"/>
      <c r="JVS30" s="276"/>
      <c r="JVT30" s="276"/>
      <c r="JVU30" s="276"/>
      <c r="JVV30" s="276"/>
      <c r="JVW30" s="276"/>
      <c r="JVX30" s="276"/>
      <c r="JVY30" s="276"/>
      <c r="JVZ30" s="276"/>
      <c r="JWA30" s="276"/>
      <c r="JWB30" s="276"/>
      <c r="JWC30" s="276"/>
      <c r="JWD30" s="276"/>
      <c r="JWE30" s="276"/>
      <c r="JWF30" s="276"/>
      <c r="JWG30" s="276"/>
      <c r="JWH30" s="276"/>
      <c r="JWI30" s="276"/>
      <c r="JWJ30" s="276"/>
      <c r="JWK30" s="276"/>
      <c r="JWL30" s="276"/>
      <c r="JWM30" s="276"/>
      <c r="JWN30" s="276"/>
      <c r="JWO30" s="276"/>
      <c r="JWP30" s="276"/>
      <c r="JWQ30" s="276"/>
      <c r="JWR30" s="276"/>
      <c r="JWS30" s="276"/>
      <c r="JWT30" s="276"/>
      <c r="JWU30" s="276"/>
      <c r="JWV30" s="276"/>
      <c r="JWW30" s="276"/>
      <c r="JWX30" s="276"/>
      <c r="JWY30" s="276"/>
      <c r="JWZ30" s="276"/>
      <c r="JXA30" s="276"/>
      <c r="JXB30" s="276"/>
      <c r="JXC30" s="276"/>
      <c r="JXD30" s="276"/>
      <c r="JXE30" s="276"/>
      <c r="JXF30" s="276"/>
      <c r="JXG30" s="276"/>
      <c r="JXH30" s="276"/>
      <c r="JXI30" s="276"/>
      <c r="JXJ30" s="276"/>
      <c r="JXK30" s="276"/>
      <c r="JXL30" s="276"/>
      <c r="JXM30" s="276"/>
      <c r="JXN30" s="276"/>
      <c r="JXO30" s="276"/>
      <c r="JXP30" s="276"/>
      <c r="JXQ30" s="276"/>
      <c r="JXR30" s="276"/>
      <c r="JXS30" s="276"/>
      <c r="JXT30" s="276"/>
      <c r="JXU30" s="276"/>
      <c r="JXV30" s="276"/>
      <c r="JXW30" s="276"/>
      <c r="JXX30" s="276"/>
      <c r="JXY30" s="276"/>
      <c r="JXZ30" s="276"/>
      <c r="JYA30" s="276"/>
      <c r="JYB30" s="276"/>
      <c r="JYC30" s="276"/>
      <c r="JYD30" s="276"/>
      <c r="JYE30" s="276"/>
      <c r="JYF30" s="276"/>
      <c r="JYG30" s="276"/>
      <c r="JYH30" s="276"/>
      <c r="JYI30" s="276"/>
      <c r="JYJ30" s="276"/>
      <c r="JYK30" s="276"/>
      <c r="JYL30" s="276"/>
      <c r="JYM30" s="276"/>
      <c r="JYN30" s="276"/>
      <c r="JYO30" s="276"/>
      <c r="JYP30" s="276"/>
      <c r="JYQ30" s="276"/>
      <c r="JYR30" s="276"/>
      <c r="JYS30" s="276"/>
      <c r="JYT30" s="276"/>
      <c r="JYU30" s="276"/>
      <c r="JYV30" s="276"/>
      <c r="JYW30" s="276"/>
      <c r="JYX30" s="276"/>
      <c r="JYY30" s="276"/>
      <c r="JYZ30" s="276"/>
      <c r="JZA30" s="276"/>
      <c r="JZB30" s="276"/>
      <c r="JZC30" s="276"/>
      <c r="JZD30" s="276"/>
      <c r="JZE30" s="276"/>
      <c r="JZF30" s="276"/>
      <c r="JZG30" s="276"/>
      <c r="JZH30" s="276"/>
      <c r="JZI30" s="276"/>
      <c r="JZJ30" s="276"/>
      <c r="JZK30" s="276"/>
      <c r="JZL30" s="276"/>
      <c r="JZM30" s="276"/>
      <c r="JZN30" s="276"/>
      <c r="JZO30" s="276"/>
      <c r="JZP30" s="276"/>
      <c r="JZQ30" s="276"/>
      <c r="JZR30" s="276"/>
      <c r="JZS30" s="276"/>
      <c r="JZT30" s="276"/>
      <c r="JZU30" s="276"/>
      <c r="JZV30" s="276"/>
      <c r="JZW30" s="276"/>
      <c r="JZX30" s="276"/>
      <c r="JZY30" s="276"/>
      <c r="JZZ30" s="276"/>
      <c r="KAA30" s="276"/>
      <c r="KAB30" s="276"/>
      <c r="KAC30" s="276"/>
      <c r="KAD30" s="276"/>
      <c r="KAE30" s="276"/>
      <c r="KAF30" s="276"/>
      <c r="KAG30" s="276"/>
      <c r="KAH30" s="276"/>
      <c r="KAI30" s="276"/>
      <c r="KAJ30" s="276"/>
      <c r="KAK30" s="276"/>
      <c r="KAL30" s="276"/>
      <c r="KAM30" s="276"/>
      <c r="KAN30" s="276"/>
      <c r="KAO30" s="276"/>
      <c r="KAP30" s="276"/>
      <c r="KAQ30" s="276"/>
      <c r="KAR30" s="276"/>
      <c r="KAS30" s="276"/>
      <c r="KAT30" s="276"/>
      <c r="KAU30" s="276"/>
      <c r="KAV30" s="276"/>
      <c r="KAW30" s="276"/>
      <c r="KAX30" s="276"/>
      <c r="KAY30" s="276"/>
      <c r="KAZ30" s="276"/>
      <c r="KBA30" s="276"/>
      <c r="KBB30" s="276"/>
      <c r="KBC30" s="276"/>
      <c r="KBD30" s="276"/>
      <c r="KBE30" s="276"/>
      <c r="KBF30" s="276"/>
      <c r="KBG30" s="276"/>
      <c r="KBH30" s="276"/>
      <c r="KBI30" s="276"/>
      <c r="KBJ30" s="276"/>
      <c r="KBK30" s="276"/>
      <c r="KBL30" s="276"/>
      <c r="KBM30" s="276"/>
      <c r="KBN30" s="276"/>
      <c r="KBO30" s="276"/>
      <c r="KBP30" s="276"/>
      <c r="KBQ30" s="276"/>
      <c r="KBR30" s="276"/>
      <c r="KBS30" s="276"/>
      <c r="KBT30" s="276"/>
      <c r="KBU30" s="276"/>
      <c r="KBV30" s="276"/>
      <c r="KBW30" s="276"/>
      <c r="KBX30" s="276"/>
      <c r="KBY30" s="276"/>
      <c r="KBZ30" s="276"/>
      <c r="KCA30" s="276"/>
      <c r="KCB30" s="276"/>
      <c r="KCC30" s="276"/>
      <c r="KCD30" s="276"/>
      <c r="KCE30" s="276"/>
      <c r="KCF30" s="276"/>
      <c r="KCG30" s="276"/>
      <c r="KCH30" s="276"/>
      <c r="KCI30" s="276"/>
      <c r="KCJ30" s="276"/>
      <c r="KCK30" s="276"/>
      <c r="KCL30" s="276"/>
      <c r="KCM30" s="276"/>
      <c r="KCN30" s="276"/>
      <c r="KCO30" s="276"/>
      <c r="KCP30" s="276"/>
      <c r="KCQ30" s="276"/>
      <c r="KCR30" s="276"/>
      <c r="KCS30" s="276"/>
      <c r="KCT30" s="276"/>
      <c r="KCU30" s="276"/>
      <c r="KCV30" s="276"/>
      <c r="KCW30" s="276"/>
      <c r="KCX30" s="276"/>
      <c r="KCY30" s="276"/>
      <c r="KCZ30" s="276"/>
      <c r="KDA30" s="276"/>
      <c r="KDB30" s="276"/>
      <c r="KDC30" s="276"/>
      <c r="KDD30" s="276"/>
      <c r="KDE30" s="276"/>
      <c r="KDF30" s="276"/>
      <c r="KDG30" s="276"/>
      <c r="KDH30" s="276"/>
      <c r="KDI30" s="276"/>
      <c r="KDJ30" s="276"/>
      <c r="KDK30" s="276"/>
      <c r="KDL30" s="276"/>
      <c r="KDM30" s="276"/>
      <c r="KDN30" s="276"/>
      <c r="KDO30" s="276"/>
      <c r="KDP30" s="276"/>
      <c r="KDQ30" s="276"/>
      <c r="KDR30" s="276"/>
      <c r="KDS30" s="276"/>
      <c r="KDT30" s="276"/>
      <c r="KDU30" s="276"/>
      <c r="KDV30" s="276"/>
      <c r="KDW30" s="276"/>
      <c r="KDX30" s="276"/>
      <c r="KDY30" s="276"/>
      <c r="KDZ30" s="276"/>
      <c r="KEA30" s="276"/>
      <c r="KEB30" s="276"/>
      <c r="KEC30" s="276"/>
      <c r="KED30" s="276"/>
      <c r="KEE30" s="276"/>
      <c r="KEF30" s="276"/>
      <c r="KEG30" s="276"/>
      <c r="KEH30" s="276"/>
      <c r="KEI30" s="276"/>
      <c r="KEJ30" s="276"/>
      <c r="KEK30" s="276"/>
      <c r="KEL30" s="276"/>
      <c r="KEM30" s="276"/>
      <c r="KEN30" s="276"/>
      <c r="KEO30" s="276"/>
      <c r="KEP30" s="276"/>
      <c r="KEQ30" s="276"/>
      <c r="KER30" s="276"/>
      <c r="KES30" s="276"/>
      <c r="KET30" s="276"/>
      <c r="KEU30" s="276"/>
      <c r="KEV30" s="276"/>
      <c r="KEW30" s="276"/>
      <c r="KEX30" s="276"/>
      <c r="KEY30" s="276"/>
      <c r="KEZ30" s="276"/>
      <c r="KFA30" s="276"/>
      <c r="KFB30" s="276"/>
      <c r="KFC30" s="276"/>
      <c r="KFD30" s="276"/>
      <c r="KFE30" s="276"/>
      <c r="KFF30" s="276"/>
      <c r="KFG30" s="276"/>
      <c r="KFH30" s="276"/>
      <c r="KFI30" s="276"/>
      <c r="KFJ30" s="276"/>
      <c r="KFK30" s="276"/>
      <c r="KFL30" s="276"/>
      <c r="KFM30" s="276"/>
      <c r="KFN30" s="276"/>
      <c r="KFO30" s="276"/>
      <c r="KFP30" s="276"/>
      <c r="KFQ30" s="276"/>
      <c r="KFR30" s="276"/>
      <c r="KFS30" s="276"/>
      <c r="KFT30" s="276"/>
      <c r="KFU30" s="276"/>
      <c r="KFV30" s="276"/>
      <c r="KFW30" s="276"/>
      <c r="KFX30" s="276"/>
      <c r="KFY30" s="276"/>
      <c r="KFZ30" s="276"/>
      <c r="KGA30" s="276"/>
      <c r="KGB30" s="276"/>
      <c r="KGC30" s="276"/>
      <c r="KGD30" s="276"/>
      <c r="KGE30" s="276"/>
      <c r="KGF30" s="276"/>
      <c r="KGG30" s="276"/>
      <c r="KGH30" s="276"/>
      <c r="KGI30" s="276"/>
      <c r="KGJ30" s="276"/>
      <c r="KGK30" s="276"/>
      <c r="KGL30" s="276"/>
      <c r="KGM30" s="276"/>
      <c r="KGN30" s="276"/>
      <c r="KGO30" s="276"/>
      <c r="KGP30" s="276"/>
      <c r="KGQ30" s="276"/>
      <c r="KGR30" s="276"/>
      <c r="KGS30" s="276"/>
      <c r="KGT30" s="276"/>
      <c r="KGU30" s="276"/>
      <c r="KGV30" s="276"/>
      <c r="KGW30" s="276"/>
      <c r="KGX30" s="276"/>
      <c r="KGY30" s="276"/>
      <c r="KGZ30" s="276"/>
      <c r="KHA30" s="276"/>
      <c r="KHB30" s="276"/>
      <c r="KHC30" s="276"/>
      <c r="KHD30" s="276"/>
      <c r="KHE30" s="276"/>
      <c r="KHF30" s="276"/>
      <c r="KHG30" s="276"/>
      <c r="KHH30" s="276"/>
      <c r="KHI30" s="276"/>
      <c r="KHJ30" s="276"/>
      <c r="KHK30" s="276"/>
      <c r="KHL30" s="276"/>
      <c r="KHM30" s="276"/>
      <c r="KHN30" s="276"/>
      <c r="KHO30" s="276"/>
      <c r="KHP30" s="276"/>
      <c r="KHQ30" s="276"/>
      <c r="KHR30" s="276"/>
      <c r="KHS30" s="276"/>
      <c r="KHT30" s="276"/>
      <c r="KHU30" s="276"/>
      <c r="KHV30" s="276"/>
      <c r="KHW30" s="276"/>
      <c r="KHX30" s="276"/>
      <c r="KHY30" s="276"/>
      <c r="KHZ30" s="276"/>
      <c r="KIA30" s="276"/>
      <c r="KIB30" s="276"/>
      <c r="KIC30" s="276"/>
      <c r="KID30" s="276"/>
      <c r="KIE30" s="276"/>
      <c r="KIF30" s="276"/>
      <c r="KIG30" s="276"/>
      <c r="KIH30" s="276"/>
      <c r="KII30" s="276"/>
      <c r="KIJ30" s="276"/>
      <c r="KIK30" s="276"/>
      <c r="KIL30" s="276"/>
      <c r="KIM30" s="276"/>
      <c r="KIN30" s="276"/>
      <c r="KIO30" s="276"/>
      <c r="KIP30" s="276"/>
      <c r="KIQ30" s="276"/>
      <c r="KIR30" s="276"/>
      <c r="KIS30" s="276"/>
      <c r="KIT30" s="276"/>
      <c r="KIU30" s="276"/>
      <c r="KIV30" s="276"/>
      <c r="KIW30" s="276"/>
      <c r="KIX30" s="276"/>
      <c r="KIY30" s="276"/>
      <c r="KIZ30" s="276"/>
      <c r="KJA30" s="276"/>
      <c r="KJB30" s="276"/>
      <c r="KJC30" s="276"/>
      <c r="KJD30" s="276"/>
      <c r="KJE30" s="276"/>
      <c r="KJF30" s="276"/>
      <c r="KJG30" s="276"/>
      <c r="KJH30" s="276"/>
      <c r="KJI30" s="276"/>
      <c r="KJJ30" s="276"/>
      <c r="KJK30" s="276"/>
      <c r="KJL30" s="276"/>
      <c r="KJM30" s="276"/>
      <c r="KJN30" s="276"/>
      <c r="KJO30" s="276"/>
      <c r="KJP30" s="276"/>
      <c r="KJQ30" s="276"/>
      <c r="KJR30" s="276"/>
      <c r="KJS30" s="276"/>
      <c r="KJT30" s="276"/>
      <c r="KJU30" s="276"/>
      <c r="KJV30" s="276"/>
      <c r="KJW30" s="276"/>
      <c r="KJX30" s="276"/>
      <c r="KJY30" s="276"/>
      <c r="KJZ30" s="276"/>
      <c r="KKA30" s="276"/>
      <c r="KKB30" s="276"/>
      <c r="KKC30" s="276"/>
      <c r="KKD30" s="276"/>
      <c r="KKE30" s="276"/>
      <c r="KKF30" s="276"/>
      <c r="KKG30" s="276"/>
      <c r="KKH30" s="276"/>
      <c r="KKI30" s="276"/>
      <c r="KKJ30" s="276"/>
      <c r="KKK30" s="276"/>
      <c r="KKL30" s="276"/>
      <c r="KKM30" s="276"/>
      <c r="KKN30" s="276"/>
      <c r="KKO30" s="276"/>
      <c r="KKP30" s="276"/>
      <c r="KKQ30" s="276"/>
      <c r="KKR30" s="276"/>
      <c r="KKS30" s="276"/>
      <c r="KKT30" s="276"/>
      <c r="KKU30" s="276"/>
      <c r="KKV30" s="276"/>
      <c r="KKW30" s="276"/>
      <c r="KKX30" s="276"/>
      <c r="KKY30" s="276"/>
      <c r="KKZ30" s="276"/>
      <c r="KLA30" s="276"/>
      <c r="KLB30" s="276"/>
      <c r="KLC30" s="276"/>
      <c r="KLD30" s="276"/>
      <c r="KLE30" s="276"/>
      <c r="KLF30" s="276"/>
      <c r="KLG30" s="276"/>
      <c r="KLH30" s="276"/>
      <c r="KLI30" s="276"/>
      <c r="KLJ30" s="276"/>
      <c r="KLK30" s="276"/>
      <c r="KLL30" s="276"/>
      <c r="KLM30" s="276"/>
      <c r="KLN30" s="276"/>
      <c r="KLO30" s="276"/>
      <c r="KLP30" s="276"/>
      <c r="KLQ30" s="276"/>
      <c r="KLR30" s="276"/>
      <c r="KLS30" s="276"/>
      <c r="KLT30" s="276"/>
      <c r="KLU30" s="276"/>
      <c r="KLV30" s="276"/>
      <c r="KLW30" s="276"/>
      <c r="KLX30" s="276"/>
      <c r="KLY30" s="276"/>
      <c r="KLZ30" s="276"/>
      <c r="KMA30" s="276"/>
      <c r="KMB30" s="276"/>
      <c r="KMC30" s="276"/>
      <c r="KMD30" s="276"/>
      <c r="KME30" s="276"/>
      <c r="KMF30" s="276"/>
      <c r="KMG30" s="276"/>
      <c r="KMH30" s="276"/>
      <c r="KMI30" s="276"/>
      <c r="KMJ30" s="276"/>
      <c r="KMK30" s="276"/>
      <c r="KML30" s="276"/>
      <c r="KMM30" s="276"/>
      <c r="KMN30" s="276"/>
      <c r="KMO30" s="276"/>
      <c r="KMP30" s="276"/>
      <c r="KMQ30" s="276"/>
      <c r="KMR30" s="276"/>
      <c r="KMS30" s="276"/>
      <c r="KMT30" s="276"/>
      <c r="KMU30" s="276"/>
      <c r="KMV30" s="276"/>
      <c r="KMW30" s="276"/>
      <c r="KMX30" s="276"/>
      <c r="KMY30" s="276"/>
      <c r="KMZ30" s="276"/>
      <c r="KNA30" s="276"/>
      <c r="KNB30" s="276"/>
      <c r="KNC30" s="276"/>
      <c r="KND30" s="276"/>
      <c r="KNE30" s="276"/>
      <c r="KNF30" s="276"/>
      <c r="KNG30" s="276"/>
      <c r="KNH30" s="276"/>
      <c r="KNI30" s="276"/>
      <c r="KNJ30" s="276"/>
      <c r="KNK30" s="276"/>
      <c r="KNL30" s="276"/>
      <c r="KNM30" s="276"/>
      <c r="KNN30" s="276"/>
      <c r="KNO30" s="276"/>
      <c r="KNP30" s="276"/>
      <c r="KNQ30" s="276"/>
      <c r="KNR30" s="276"/>
      <c r="KNS30" s="276"/>
      <c r="KNT30" s="276"/>
      <c r="KNU30" s="276"/>
      <c r="KNV30" s="276"/>
      <c r="KNW30" s="276"/>
      <c r="KNX30" s="276"/>
      <c r="KNY30" s="276"/>
      <c r="KNZ30" s="276"/>
      <c r="KOA30" s="276"/>
      <c r="KOB30" s="276"/>
      <c r="KOC30" s="276"/>
      <c r="KOD30" s="276"/>
      <c r="KOE30" s="276"/>
      <c r="KOF30" s="276"/>
      <c r="KOG30" s="276"/>
      <c r="KOH30" s="276"/>
      <c r="KOI30" s="276"/>
      <c r="KOJ30" s="276"/>
      <c r="KOK30" s="276"/>
      <c r="KOL30" s="276"/>
      <c r="KOM30" s="276"/>
      <c r="KON30" s="276"/>
      <c r="KOO30" s="276"/>
      <c r="KOP30" s="276"/>
      <c r="KOQ30" s="276"/>
      <c r="KOR30" s="276"/>
      <c r="KOS30" s="276"/>
      <c r="KOT30" s="276"/>
      <c r="KOU30" s="276"/>
      <c r="KOV30" s="276"/>
      <c r="KOW30" s="276"/>
      <c r="KOX30" s="276"/>
      <c r="KOY30" s="276"/>
      <c r="KOZ30" s="276"/>
      <c r="KPA30" s="276"/>
      <c r="KPB30" s="276"/>
      <c r="KPC30" s="276"/>
      <c r="KPD30" s="276"/>
      <c r="KPE30" s="276"/>
      <c r="KPF30" s="276"/>
      <c r="KPG30" s="276"/>
      <c r="KPH30" s="276"/>
      <c r="KPI30" s="276"/>
      <c r="KPJ30" s="276"/>
      <c r="KPK30" s="276"/>
      <c r="KPL30" s="276"/>
      <c r="KPM30" s="276"/>
      <c r="KPN30" s="276"/>
      <c r="KPO30" s="276"/>
      <c r="KPP30" s="276"/>
      <c r="KPQ30" s="276"/>
      <c r="KPR30" s="276"/>
      <c r="KPS30" s="276"/>
      <c r="KPT30" s="276"/>
      <c r="KPU30" s="276"/>
      <c r="KPV30" s="276"/>
      <c r="KPW30" s="276"/>
      <c r="KPX30" s="276"/>
      <c r="KPY30" s="276"/>
      <c r="KPZ30" s="276"/>
      <c r="KQA30" s="276"/>
      <c r="KQB30" s="276"/>
      <c r="KQC30" s="276"/>
      <c r="KQD30" s="276"/>
      <c r="KQE30" s="276"/>
      <c r="KQF30" s="276"/>
      <c r="KQG30" s="276"/>
      <c r="KQH30" s="276"/>
      <c r="KQI30" s="276"/>
      <c r="KQJ30" s="276"/>
      <c r="KQK30" s="276"/>
      <c r="KQL30" s="276"/>
      <c r="KQM30" s="276"/>
      <c r="KQN30" s="276"/>
      <c r="KQO30" s="276"/>
      <c r="KQP30" s="276"/>
      <c r="KQQ30" s="276"/>
      <c r="KQR30" s="276"/>
      <c r="KQS30" s="276"/>
      <c r="KQT30" s="276"/>
      <c r="KQU30" s="276"/>
      <c r="KQV30" s="276"/>
      <c r="KQW30" s="276"/>
      <c r="KQX30" s="276"/>
      <c r="KQY30" s="276"/>
      <c r="KQZ30" s="276"/>
      <c r="KRA30" s="276"/>
      <c r="KRB30" s="276"/>
      <c r="KRC30" s="276"/>
      <c r="KRD30" s="276"/>
      <c r="KRE30" s="276"/>
      <c r="KRF30" s="276"/>
      <c r="KRG30" s="276"/>
      <c r="KRH30" s="276"/>
      <c r="KRI30" s="276"/>
      <c r="KRJ30" s="276"/>
      <c r="KRK30" s="276"/>
      <c r="KRL30" s="276"/>
      <c r="KRM30" s="276"/>
      <c r="KRN30" s="276"/>
      <c r="KRO30" s="276"/>
      <c r="KRP30" s="276"/>
      <c r="KRQ30" s="276"/>
      <c r="KRR30" s="276"/>
      <c r="KRS30" s="276"/>
      <c r="KRT30" s="276"/>
      <c r="KRU30" s="276"/>
      <c r="KRV30" s="276"/>
      <c r="KRW30" s="276"/>
      <c r="KRX30" s="276"/>
      <c r="KRY30" s="276"/>
      <c r="KRZ30" s="276"/>
      <c r="KSA30" s="276"/>
      <c r="KSB30" s="276"/>
      <c r="KSC30" s="276"/>
      <c r="KSD30" s="276"/>
      <c r="KSE30" s="276"/>
      <c r="KSF30" s="276"/>
      <c r="KSG30" s="276"/>
      <c r="KSH30" s="276"/>
      <c r="KSI30" s="276"/>
      <c r="KSJ30" s="276"/>
      <c r="KSK30" s="276"/>
      <c r="KSL30" s="276"/>
      <c r="KSM30" s="276"/>
      <c r="KSN30" s="276"/>
      <c r="KSO30" s="276"/>
      <c r="KSP30" s="276"/>
      <c r="KSQ30" s="276"/>
      <c r="KSR30" s="276"/>
      <c r="KSS30" s="276"/>
      <c r="KST30" s="276"/>
      <c r="KSU30" s="276"/>
      <c r="KSV30" s="276"/>
      <c r="KSW30" s="276"/>
      <c r="KSX30" s="276"/>
      <c r="KSY30" s="276"/>
      <c r="KSZ30" s="276"/>
      <c r="KTA30" s="276"/>
      <c r="KTB30" s="276"/>
      <c r="KTC30" s="276"/>
      <c r="KTD30" s="276"/>
      <c r="KTE30" s="276"/>
      <c r="KTF30" s="276"/>
      <c r="KTG30" s="276"/>
      <c r="KTH30" s="276"/>
      <c r="KTI30" s="276"/>
      <c r="KTJ30" s="276"/>
      <c r="KTK30" s="276"/>
      <c r="KTL30" s="276"/>
      <c r="KTM30" s="276"/>
      <c r="KTN30" s="276"/>
      <c r="KTO30" s="276"/>
      <c r="KTP30" s="276"/>
      <c r="KTQ30" s="276"/>
      <c r="KTR30" s="276"/>
      <c r="KTS30" s="276"/>
      <c r="KTT30" s="276"/>
      <c r="KTU30" s="276"/>
      <c r="KTV30" s="276"/>
      <c r="KTW30" s="276"/>
      <c r="KTX30" s="276"/>
      <c r="KTY30" s="276"/>
      <c r="KTZ30" s="276"/>
      <c r="KUA30" s="276"/>
      <c r="KUB30" s="276"/>
      <c r="KUC30" s="276"/>
      <c r="KUD30" s="276"/>
      <c r="KUE30" s="276"/>
      <c r="KUF30" s="276"/>
      <c r="KUG30" s="276"/>
      <c r="KUH30" s="276"/>
      <c r="KUI30" s="276"/>
      <c r="KUJ30" s="276"/>
      <c r="KUK30" s="276"/>
      <c r="KUL30" s="276"/>
      <c r="KUM30" s="276"/>
      <c r="KUN30" s="276"/>
      <c r="KUO30" s="276"/>
      <c r="KUP30" s="276"/>
      <c r="KUQ30" s="276"/>
      <c r="KUR30" s="276"/>
      <c r="KUS30" s="276"/>
      <c r="KUT30" s="276"/>
      <c r="KUU30" s="276"/>
      <c r="KUV30" s="276"/>
      <c r="KUW30" s="276"/>
      <c r="KUX30" s="276"/>
      <c r="KUY30" s="276"/>
      <c r="KUZ30" s="276"/>
      <c r="KVA30" s="276"/>
      <c r="KVB30" s="276"/>
      <c r="KVC30" s="276"/>
      <c r="KVD30" s="276"/>
      <c r="KVE30" s="276"/>
      <c r="KVF30" s="276"/>
      <c r="KVG30" s="276"/>
      <c r="KVH30" s="276"/>
      <c r="KVI30" s="276"/>
      <c r="KVJ30" s="276"/>
      <c r="KVK30" s="276"/>
      <c r="KVL30" s="276"/>
      <c r="KVM30" s="276"/>
      <c r="KVN30" s="276"/>
      <c r="KVO30" s="276"/>
      <c r="KVP30" s="276"/>
      <c r="KVQ30" s="276"/>
      <c r="KVR30" s="276"/>
      <c r="KVS30" s="276"/>
      <c r="KVT30" s="276"/>
      <c r="KVU30" s="276"/>
      <c r="KVV30" s="276"/>
      <c r="KVW30" s="276"/>
      <c r="KVX30" s="276"/>
      <c r="KVY30" s="276"/>
      <c r="KVZ30" s="276"/>
      <c r="KWA30" s="276"/>
      <c r="KWB30" s="276"/>
      <c r="KWC30" s="276"/>
      <c r="KWD30" s="276"/>
      <c r="KWE30" s="276"/>
      <c r="KWF30" s="276"/>
      <c r="KWG30" s="276"/>
      <c r="KWH30" s="276"/>
      <c r="KWI30" s="276"/>
      <c r="KWJ30" s="276"/>
      <c r="KWK30" s="276"/>
      <c r="KWL30" s="276"/>
      <c r="KWM30" s="276"/>
      <c r="KWN30" s="276"/>
      <c r="KWO30" s="276"/>
      <c r="KWP30" s="276"/>
      <c r="KWQ30" s="276"/>
      <c r="KWR30" s="276"/>
      <c r="KWS30" s="276"/>
      <c r="KWT30" s="276"/>
      <c r="KWU30" s="276"/>
      <c r="KWV30" s="276"/>
      <c r="KWW30" s="276"/>
      <c r="KWX30" s="276"/>
      <c r="KWY30" s="276"/>
      <c r="KWZ30" s="276"/>
      <c r="KXA30" s="276"/>
      <c r="KXB30" s="276"/>
      <c r="KXC30" s="276"/>
      <c r="KXD30" s="276"/>
      <c r="KXE30" s="276"/>
      <c r="KXF30" s="276"/>
      <c r="KXG30" s="276"/>
      <c r="KXH30" s="276"/>
      <c r="KXI30" s="276"/>
      <c r="KXJ30" s="276"/>
      <c r="KXK30" s="276"/>
      <c r="KXL30" s="276"/>
      <c r="KXM30" s="276"/>
      <c r="KXN30" s="276"/>
      <c r="KXO30" s="276"/>
      <c r="KXP30" s="276"/>
      <c r="KXQ30" s="276"/>
      <c r="KXR30" s="276"/>
      <c r="KXS30" s="276"/>
      <c r="KXT30" s="276"/>
      <c r="KXU30" s="276"/>
      <c r="KXV30" s="276"/>
      <c r="KXW30" s="276"/>
      <c r="KXX30" s="276"/>
      <c r="KXY30" s="276"/>
      <c r="KXZ30" s="276"/>
      <c r="KYA30" s="276"/>
      <c r="KYB30" s="276"/>
      <c r="KYC30" s="276"/>
      <c r="KYD30" s="276"/>
      <c r="KYE30" s="276"/>
      <c r="KYF30" s="276"/>
      <c r="KYG30" s="276"/>
      <c r="KYH30" s="276"/>
      <c r="KYI30" s="276"/>
      <c r="KYJ30" s="276"/>
      <c r="KYK30" s="276"/>
      <c r="KYL30" s="276"/>
      <c r="KYM30" s="276"/>
      <c r="KYN30" s="276"/>
      <c r="KYO30" s="276"/>
      <c r="KYP30" s="276"/>
      <c r="KYQ30" s="276"/>
      <c r="KYR30" s="276"/>
      <c r="KYS30" s="276"/>
      <c r="KYT30" s="276"/>
      <c r="KYU30" s="276"/>
      <c r="KYV30" s="276"/>
      <c r="KYW30" s="276"/>
      <c r="KYX30" s="276"/>
      <c r="KYY30" s="276"/>
      <c r="KYZ30" s="276"/>
      <c r="KZA30" s="276"/>
      <c r="KZB30" s="276"/>
      <c r="KZC30" s="276"/>
      <c r="KZD30" s="276"/>
      <c r="KZE30" s="276"/>
      <c r="KZF30" s="276"/>
      <c r="KZG30" s="276"/>
      <c r="KZH30" s="276"/>
      <c r="KZI30" s="276"/>
      <c r="KZJ30" s="276"/>
      <c r="KZK30" s="276"/>
      <c r="KZL30" s="276"/>
      <c r="KZM30" s="276"/>
      <c r="KZN30" s="276"/>
      <c r="KZO30" s="276"/>
      <c r="KZP30" s="276"/>
      <c r="KZQ30" s="276"/>
      <c r="KZR30" s="276"/>
      <c r="KZS30" s="276"/>
      <c r="KZT30" s="276"/>
      <c r="KZU30" s="276"/>
      <c r="KZV30" s="276"/>
      <c r="KZW30" s="276"/>
      <c r="KZX30" s="276"/>
      <c r="KZY30" s="276"/>
      <c r="KZZ30" s="276"/>
      <c r="LAA30" s="276"/>
      <c r="LAB30" s="276"/>
      <c r="LAC30" s="276"/>
      <c r="LAD30" s="276"/>
      <c r="LAE30" s="276"/>
      <c r="LAF30" s="276"/>
      <c r="LAG30" s="276"/>
      <c r="LAH30" s="276"/>
      <c r="LAI30" s="276"/>
      <c r="LAJ30" s="276"/>
      <c r="LAK30" s="276"/>
      <c r="LAL30" s="276"/>
      <c r="LAM30" s="276"/>
      <c r="LAN30" s="276"/>
      <c r="LAO30" s="276"/>
      <c r="LAP30" s="276"/>
      <c r="LAQ30" s="276"/>
      <c r="LAR30" s="276"/>
      <c r="LAS30" s="276"/>
      <c r="LAT30" s="276"/>
      <c r="LAU30" s="276"/>
      <c r="LAV30" s="276"/>
      <c r="LAW30" s="276"/>
      <c r="LAX30" s="276"/>
      <c r="LAY30" s="276"/>
      <c r="LAZ30" s="276"/>
      <c r="LBA30" s="276"/>
      <c r="LBB30" s="276"/>
      <c r="LBC30" s="276"/>
      <c r="LBD30" s="276"/>
      <c r="LBE30" s="276"/>
      <c r="LBF30" s="276"/>
      <c r="LBG30" s="276"/>
      <c r="LBH30" s="276"/>
      <c r="LBI30" s="276"/>
      <c r="LBJ30" s="276"/>
      <c r="LBK30" s="276"/>
      <c r="LBL30" s="276"/>
      <c r="LBM30" s="276"/>
      <c r="LBN30" s="276"/>
      <c r="LBO30" s="276"/>
      <c r="LBP30" s="276"/>
      <c r="LBQ30" s="276"/>
      <c r="LBR30" s="276"/>
      <c r="LBS30" s="276"/>
      <c r="LBT30" s="276"/>
      <c r="LBU30" s="276"/>
      <c r="LBV30" s="276"/>
      <c r="LBW30" s="276"/>
      <c r="LBX30" s="276"/>
      <c r="LBY30" s="276"/>
      <c r="LBZ30" s="276"/>
      <c r="LCA30" s="276"/>
      <c r="LCB30" s="276"/>
      <c r="LCC30" s="276"/>
      <c r="LCD30" s="276"/>
      <c r="LCE30" s="276"/>
      <c r="LCF30" s="276"/>
      <c r="LCG30" s="276"/>
      <c r="LCH30" s="276"/>
      <c r="LCI30" s="276"/>
      <c r="LCJ30" s="276"/>
      <c r="LCK30" s="276"/>
      <c r="LCL30" s="276"/>
      <c r="LCM30" s="276"/>
      <c r="LCN30" s="276"/>
      <c r="LCO30" s="276"/>
      <c r="LCP30" s="276"/>
      <c r="LCQ30" s="276"/>
      <c r="LCR30" s="276"/>
      <c r="LCS30" s="276"/>
      <c r="LCT30" s="276"/>
      <c r="LCU30" s="276"/>
      <c r="LCV30" s="276"/>
      <c r="LCW30" s="276"/>
      <c r="LCX30" s="276"/>
      <c r="LCY30" s="276"/>
      <c r="LCZ30" s="276"/>
      <c r="LDA30" s="276"/>
      <c r="LDB30" s="276"/>
      <c r="LDC30" s="276"/>
      <c r="LDD30" s="276"/>
      <c r="LDE30" s="276"/>
      <c r="LDF30" s="276"/>
      <c r="LDG30" s="276"/>
      <c r="LDH30" s="276"/>
      <c r="LDI30" s="276"/>
      <c r="LDJ30" s="276"/>
      <c r="LDK30" s="276"/>
      <c r="LDL30" s="276"/>
      <c r="LDM30" s="276"/>
      <c r="LDN30" s="276"/>
      <c r="LDO30" s="276"/>
      <c r="LDP30" s="276"/>
      <c r="LDQ30" s="276"/>
      <c r="LDR30" s="276"/>
      <c r="LDS30" s="276"/>
      <c r="LDT30" s="276"/>
      <c r="LDU30" s="276"/>
      <c r="LDV30" s="276"/>
      <c r="LDW30" s="276"/>
      <c r="LDX30" s="276"/>
      <c r="LDY30" s="276"/>
      <c r="LDZ30" s="276"/>
      <c r="LEA30" s="276"/>
      <c r="LEB30" s="276"/>
      <c r="LEC30" s="276"/>
      <c r="LED30" s="276"/>
      <c r="LEE30" s="276"/>
      <c r="LEF30" s="276"/>
      <c r="LEG30" s="276"/>
      <c r="LEH30" s="276"/>
      <c r="LEI30" s="276"/>
      <c r="LEJ30" s="276"/>
      <c r="LEK30" s="276"/>
      <c r="LEL30" s="276"/>
      <c r="LEM30" s="276"/>
      <c r="LEN30" s="276"/>
      <c r="LEO30" s="276"/>
      <c r="LEP30" s="276"/>
      <c r="LEQ30" s="276"/>
      <c r="LER30" s="276"/>
      <c r="LES30" s="276"/>
      <c r="LET30" s="276"/>
      <c r="LEU30" s="276"/>
      <c r="LEV30" s="276"/>
      <c r="LEW30" s="276"/>
      <c r="LEX30" s="276"/>
      <c r="LEY30" s="276"/>
      <c r="LEZ30" s="276"/>
      <c r="LFA30" s="276"/>
      <c r="LFB30" s="276"/>
      <c r="LFC30" s="276"/>
      <c r="LFD30" s="276"/>
      <c r="LFE30" s="276"/>
      <c r="LFF30" s="276"/>
      <c r="LFG30" s="276"/>
      <c r="LFH30" s="276"/>
      <c r="LFI30" s="276"/>
      <c r="LFJ30" s="276"/>
      <c r="LFK30" s="276"/>
      <c r="LFL30" s="276"/>
      <c r="LFM30" s="276"/>
      <c r="LFN30" s="276"/>
      <c r="LFO30" s="276"/>
      <c r="LFP30" s="276"/>
      <c r="LFQ30" s="276"/>
      <c r="LFR30" s="276"/>
      <c r="LFS30" s="276"/>
      <c r="LFT30" s="276"/>
      <c r="LFU30" s="276"/>
      <c r="LFV30" s="276"/>
      <c r="LFW30" s="276"/>
      <c r="LFX30" s="276"/>
      <c r="LFY30" s="276"/>
      <c r="LFZ30" s="276"/>
      <c r="LGA30" s="276"/>
      <c r="LGB30" s="276"/>
      <c r="LGC30" s="276"/>
      <c r="LGD30" s="276"/>
      <c r="LGE30" s="276"/>
      <c r="LGF30" s="276"/>
      <c r="LGG30" s="276"/>
      <c r="LGH30" s="276"/>
      <c r="LGI30" s="276"/>
      <c r="LGJ30" s="276"/>
      <c r="LGK30" s="276"/>
      <c r="LGL30" s="276"/>
      <c r="LGM30" s="276"/>
      <c r="LGN30" s="276"/>
      <c r="LGO30" s="276"/>
      <c r="LGP30" s="276"/>
      <c r="LGQ30" s="276"/>
      <c r="LGR30" s="276"/>
      <c r="LGS30" s="276"/>
      <c r="LGT30" s="276"/>
      <c r="LGU30" s="276"/>
      <c r="LGV30" s="276"/>
      <c r="LGW30" s="276"/>
      <c r="LGX30" s="276"/>
      <c r="LGY30" s="276"/>
      <c r="LGZ30" s="276"/>
      <c r="LHA30" s="276"/>
      <c r="LHB30" s="276"/>
      <c r="LHC30" s="276"/>
      <c r="LHD30" s="276"/>
      <c r="LHE30" s="276"/>
      <c r="LHF30" s="276"/>
      <c r="LHG30" s="276"/>
      <c r="LHH30" s="276"/>
      <c r="LHI30" s="276"/>
      <c r="LHJ30" s="276"/>
      <c r="LHK30" s="276"/>
      <c r="LHL30" s="276"/>
      <c r="LHM30" s="276"/>
      <c r="LHN30" s="276"/>
      <c r="LHO30" s="276"/>
      <c r="LHP30" s="276"/>
      <c r="LHQ30" s="276"/>
      <c r="LHR30" s="276"/>
      <c r="LHS30" s="276"/>
      <c r="LHT30" s="276"/>
      <c r="LHU30" s="276"/>
      <c r="LHV30" s="276"/>
      <c r="LHW30" s="276"/>
      <c r="LHX30" s="276"/>
      <c r="LHY30" s="276"/>
      <c r="LHZ30" s="276"/>
      <c r="LIA30" s="276"/>
      <c r="LIB30" s="276"/>
      <c r="LIC30" s="276"/>
      <c r="LID30" s="276"/>
      <c r="LIE30" s="276"/>
      <c r="LIF30" s="276"/>
      <c r="LIG30" s="276"/>
      <c r="LIH30" s="276"/>
      <c r="LII30" s="276"/>
      <c r="LIJ30" s="276"/>
      <c r="LIK30" s="276"/>
      <c r="LIL30" s="276"/>
      <c r="LIM30" s="276"/>
      <c r="LIN30" s="276"/>
      <c r="LIO30" s="276"/>
      <c r="LIP30" s="276"/>
      <c r="LIQ30" s="276"/>
      <c r="LIR30" s="276"/>
      <c r="LIS30" s="276"/>
      <c r="LIT30" s="276"/>
      <c r="LIU30" s="276"/>
      <c r="LIV30" s="276"/>
      <c r="LIW30" s="276"/>
      <c r="LIX30" s="276"/>
      <c r="LIY30" s="276"/>
      <c r="LIZ30" s="276"/>
      <c r="LJA30" s="276"/>
      <c r="LJB30" s="276"/>
      <c r="LJC30" s="276"/>
      <c r="LJD30" s="276"/>
      <c r="LJE30" s="276"/>
      <c r="LJF30" s="276"/>
      <c r="LJG30" s="276"/>
      <c r="LJH30" s="276"/>
      <c r="LJI30" s="276"/>
      <c r="LJJ30" s="276"/>
      <c r="LJK30" s="276"/>
      <c r="LJL30" s="276"/>
      <c r="LJM30" s="276"/>
      <c r="LJN30" s="276"/>
      <c r="LJO30" s="276"/>
      <c r="LJP30" s="276"/>
      <c r="LJQ30" s="276"/>
      <c r="LJR30" s="276"/>
      <c r="LJS30" s="276"/>
      <c r="LJT30" s="276"/>
      <c r="LJU30" s="276"/>
      <c r="LJV30" s="276"/>
      <c r="LJW30" s="276"/>
      <c r="LJX30" s="276"/>
      <c r="LJY30" s="276"/>
      <c r="LJZ30" s="276"/>
      <c r="LKA30" s="276"/>
      <c r="LKB30" s="276"/>
      <c r="LKC30" s="276"/>
      <c r="LKD30" s="276"/>
      <c r="LKE30" s="276"/>
      <c r="LKF30" s="276"/>
      <c r="LKG30" s="276"/>
      <c r="LKH30" s="276"/>
      <c r="LKI30" s="276"/>
      <c r="LKJ30" s="276"/>
      <c r="LKK30" s="276"/>
      <c r="LKL30" s="276"/>
      <c r="LKM30" s="276"/>
      <c r="LKN30" s="276"/>
      <c r="LKO30" s="276"/>
      <c r="LKP30" s="276"/>
      <c r="LKQ30" s="276"/>
      <c r="LKR30" s="276"/>
      <c r="LKS30" s="276"/>
      <c r="LKT30" s="276"/>
      <c r="LKU30" s="276"/>
      <c r="LKV30" s="276"/>
      <c r="LKW30" s="276"/>
      <c r="LKX30" s="276"/>
      <c r="LKY30" s="276"/>
      <c r="LKZ30" s="276"/>
      <c r="LLA30" s="276"/>
      <c r="LLB30" s="276"/>
      <c r="LLC30" s="276"/>
      <c r="LLD30" s="276"/>
      <c r="LLE30" s="276"/>
      <c r="LLF30" s="276"/>
      <c r="LLG30" s="276"/>
      <c r="LLH30" s="276"/>
      <c r="LLI30" s="276"/>
      <c r="LLJ30" s="276"/>
      <c r="LLK30" s="276"/>
      <c r="LLL30" s="276"/>
      <c r="LLM30" s="276"/>
      <c r="LLN30" s="276"/>
      <c r="LLO30" s="276"/>
      <c r="LLP30" s="276"/>
      <c r="LLQ30" s="276"/>
      <c r="LLR30" s="276"/>
      <c r="LLS30" s="276"/>
      <c r="LLT30" s="276"/>
      <c r="LLU30" s="276"/>
      <c r="LLV30" s="276"/>
      <c r="LLW30" s="276"/>
      <c r="LLX30" s="276"/>
      <c r="LLY30" s="276"/>
      <c r="LLZ30" s="276"/>
      <c r="LMA30" s="276"/>
      <c r="LMB30" s="276"/>
      <c r="LMC30" s="276"/>
      <c r="LMD30" s="276"/>
      <c r="LME30" s="276"/>
      <c r="LMF30" s="276"/>
      <c r="LMG30" s="276"/>
      <c r="LMH30" s="276"/>
      <c r="LMI30" s="276"/>
      <c r="LMJ30" s="276"/>
      <c r="LMK30" s="276"/>
      <c r="LML30" s="276"/>
      <c r="LMM30" s="276"/>
      <c r="LMN30" s="276"/>
      <c r="LMO30" s="276"/>
      <c r="LMP30" s="276"/>
      <c r="LMQ30" s="276"/>
      <c r="LMR30" s="276"/>
      <c r="LMS30" s="276"/>
      <c r="LMT30" s="276"/>
      <c r="LMU30" s="276"/>
      <c r="LMV30" s="276"/>
      <c r="LMW30" s="276"/>
      <c r="LMX30" s="276"/>
      <c r="LMY30" s="276"/>
      <c r="LMZ30" s="276"/>
      <c r="LNA30" s="276"/>
      <c r="LNB30" s="276"/>
      <c r="LNC30" s="276"/>
      <c r="LND30" s="276"/>
      <c r="LNE30" s="276"/>
      <c r="LNF30" s="276"/>
      <c r="LNG30" s="276"/>
      <c r="LNH30" s="276"/>
      <c r="LNI30" s="276"/>
      <c r="LNJ30" s="276"/>
      <c r="LNK30" s="276"/>
      <c r="LNL30" s="276"/>
      <c r="LNM30" s="276"/>
      <c r="LNN30" s="276"/>
      <c r="LNO30" s="276"/>
      <c r="LNP30" s="276"/>
      <c r="LNQ30" s="276"/>
      <c r="LNR30" s="276"/>
      <c r="LNS30" s="276"/>
      <c r="LNT30" s="276"/>
      <c r="LNU30" s="276"/>
      <c r="LNV30" s="276"/>
      <c r="LNW30" s="276"/>
      <c r="LNX30" s="276"/>
      <c r="LNY30" s="276"/>
      <c r="LNZ30" s="276"/>
      <c r="LOA30" s="276"/>
      <c r="LOB30" s="276"/>
      <c r="LOC30" s="276"/>
      <c r="LOD30" s="276"/>
      <c r="LOE30" s="276"/>
      <c r="LOF30" s="276"/>
      <c r="LOG30" s="276"/>
      <c r="LOH30" s="276"/>
      <c r="LOI30" s="276"/>
      <c r="LOJ30" s="276"/>
      <c r="LOK30" s="276"/>
      <c r="LOL30" s="276"/>
      <c r="LOM30" s="276"/>
      <c r="LON30" s="276"/>
      <c r="LOO30" s="276"/>
      <c r="LOP30" s="276"/>
      <c r="LOQ30" s="276"/>
      <c r="LOR30" s="276"/>
      <c r="LOS30" s="276"/>
      <c r="LOT30" s="276"/>
      <c r="LOU30" s="276"/>
      <c r="LOV30" s="276"/>
      <c r="LOW30" s="276"/>
      <c r="LOX30" s="276"/>
      <c r="LOY30" s="276"/>
      <c r="LOZ30" s="276"/>
      <c r="LPA30" s="276"/>
      <c r="LPB30" s="276"/>
      <c r="LPC30" s="276"/>
      <c r="LPD30" s="276"/>
      <c r="LPE30" s="276"/>
      <c r="LPF30" s="276"/>
      <c r="LPG30" s="276"/>
      <c r="LPH30" s="276"/>
      <c r="LPI30" s="276"/>
      <c r="LPJ30" s="276"/>
      <c r="LPK30" s="276"/>
      <c r="LPL30" s="276"/>
      <c r="LPM30" s="276"/>
      <c r="LPN30" s="276"/>
      <c r="LPO30" s="276"/>
      <c r="LPP30" s="276"/>
      <c r="LPQ30" s="276"/>
      <c r="LPR30" s="276"/>
      <c r="LPS30" s="276"/>
      <c r="LPT30" s="276"/>
      <c r="LPU30" s="276"/>
      <c r="LPV30" s="276"/>
      <c r="LPW30" s="276"/>
      <c r="LPX30" s="276"/>
      <c r="LPY30" s="276"/>
      <c r="LPZ30" s="276"/>
      <c r="LQA30" s="276"/>
      <c r="LQB30" s="276"/>
      <c r="LQC30" s="276"/>
      <c r="LQD30" s="276"/>
      <c r="LQE30" s="276"/>
      <c r="LQF30" s="276"/>
      <c r="LQG30" s="276"/>
      <c r="LQH30" s="276"/>
      <c r="LQI30" s="276"/>
      <c r="LQJ30" s="276"/>
      <c r="LQK30" s="276"/>
      <c r="LQL30" s="276"/>
      <c r="LQM30" s="276"/>
      <c r="LQN30" s="276"/>
      <c r="LQO30" s="276"/>
      <c r="LQP30" s="276"/>
      <c r="LQQ30" s="276"/>
      <c r="LQR30" s="276"/>
      <c r="LQS30" s="276"/>
      <c r="LQT30" s="276"/>
      <c r="LQU30" s="276"/>
      <c r="LQV30" s="276"/>
      <c r="LQW30" s="276"/>
      <c r="LQX30" s="276"/>
      <c r="LQY30" s="276"/>
      <c r="LQZ30" s="276"/>
      <c r="LRA30" s="276"/>
      <c r="LRB30" s="276"/>
      <c r="LRC30" s="276"/>
      <c r="LRD30" s="276"/>
      <c r="LRE30" s="276"/>
      <c r="LRF30" s="276"/>
      <c r="LRG30" s="276"/>
      <c r="LRH30" s="276"/>
      <c r="LRI30" s="276"/>
      <c r="LRJ30" s="276"/>
      <c r="LRK30" s="276"/>
      <c r="LRL30" s="276"/>
      <c r="LRM30" s="276"/>
      <c r="LRN30" s="276"/>
      <c r="LRO30" s="276"/>
      <c r="LRP30" s="276"/>
      <c r="LRQ30" s="276"/>
      <c r="LRR30" s="276"/>
      <c r="LRS30" s="276"/>
      <c r="LRT30" s="276"/>
      <c r="LRU30" s="276"/>
      <c r="LRV30" s="276"/>
      <c r="LRW30" s="276"/>
      <c r="LRX30" s="276"/>
      <c r="LRY30" s="276"/>
      <c r="LRZ30" s="276"/>
      <c r="LSA30" s="276"/>
      <c r="LSB30" s="276"/>
      <c r="LSC30" s="276"/>
      <c r="LSD30" s="276"/>
      <c r="LSE30" s="276"/>
      <c r="LSF30" s="276"/>
      <c r="LSG30" s="276"/>
      <c r="LSH30" s="276"/>
      <c r="LSI30" s="276"/>
      <c r="LSJ30" s="276"/>
      <c r="LSK30" s="276"/>
      <c r="LSL30" s="276"/>
      <c r="LSM30" s="276"/>
      <c r="LSN30" s="276"/>
      <c r="LSO30" s="276"/>
      <c r="LSP30" s="276"/>
      <c r="LSQ30" s="276"/>
      <c r="LSR30" s="276"/>
      <c r="LSS30" s="276"/>
      <c r="LST30" s="276"/>
      <c r="LSU30" s="276"/>
      <c r="LSV30" s="276"/>
      <c r="LSW30" s="276"/>
      <c r="LSX30" s="276"/>
      <c r="LSY30" s="276"/>
      <c r="LSZ30" s="276"/>
      <c r="LTA30" s="276"/>
      <c r="LTB30" s="276"/>
      <c r="LTC30" s="276"/>
      <c r="LTD30" s="276"/>
      <c r="LTE30" s="276"/>
      <c r="LTF30" s="276"/>
      <c r="LTG30" s="276"/>
      <c r="LTH30" s="276"/>
      <c r="LTI30" s="276"/>
      <c r="LTJ30" s="276"/>
      <c r="LTK30" s="276"/>
      <c r="LTL30" s="276"/>
      <c r="LTM30" s="276"/>
      <c r="LTN30" s="276"/>
      <c r="LTO30" s="276"/>
      <c r="LTP30" s="276"/>
      <c r="LTQ30" s="276"/>
      <c r="LTR30" s="276"/>
      <c r="LTS30" s="276"/>
      <c r="LTT30" s="276"/>
      <c r="LTU30" s="276"/>
      <c r="LTV30" s="276"/>
      <c r="LTW30" s="276"/>
      <c r="LTX30" s="276"/>
      <c r="LTY30" s="276"/>
      <c r="LTZ30" s="276"/>
      <c r="LUA30" s="276"/>
      <c r="LUB30" s="276"/>
      <c r="LUC30" s="276"/>
      <c r="LUD30" s="276"/>
      <c r="LUE30" s="276"/>
      <c r="LUF30" s="276"/>
      <c r="LUG30" s="276"/>
      <c r="LUH30" s="276"/>
      <c r="LUI30" s="276"/>
      <c r="LUJ30" s="276"/>
      <c r="LUK30" s="276"/>
      <c r="LUL30" s="276"/>
      <c r="LUM30" s="276"/>
      <c r="LUN30" s="276"/>
      <c r="LUO30" s="276"/>
      <c r="LUP30" s="276"/>
      <c r="LUQ30" s="276"/>
      <c r="LUR30" s="276"/>
      <c r="LUS30" s="276"/>
      <c r="LUT30" s="276"/>
      <c r="LUU30" s="276"/>
      <c r="LUV30" s="276"/>
      <c r="LUW30" s="276"/>
      <c r="LUX30" s="276"/>
      <c r="LUY30" s="276"/>
      <c r="LUZ30" s="276"/>
      <c r="LVA30" s="276"/>
      <c r="LVB30" s="276"/>
      <c r="LVC30" s="276"/>
      <c r="LVD30" s="276"/>
      <c r="LVE30" s="276"/>
      <c r="LVF30" s="276"/>
      <c r="LVG30" s="276"/>
      <c r="LVH30" s="276"/>
      <c r="LVI30" s="276"/>
      <c r="LVJ30" s="276"/>
      <c r="LVK30" s="276"/>
      <c r="LVL30" s="276"/>
      <c r="LVM30" s="276"/>
      <c r="LVN30" s="276"/>
      <c r="LVO30" s="276"/>
      <c r="LVP30" s="276"/>
      <c r="LVQ30" s="276"/>
      <c r="LVR30" s="276"/>
      <c r="LVS30" s="276"/>
      <c r="LVT30" s="276"/>
      <c r="LVU30" s="276"/>
      <c r="LVV30" s="276"/>
      <c r="LVW30" s="276"/>
      <c r="LVX30" s="276"/>
      <c r="LVY30" s="276"/>
      <c r="LVZ30" s="276"/>
      <c r="LWA30" s="276"/>
      <c r="LWB30" s="276"/>
      <c r="LWC30" s="276"/>
      <c r="LWD30" s="276"/>
      <c r="LWE30" s="276"/>
      <c r="LWF30" s="276"/>
      <c r="LWG30" s="276"/>
      <c r="LWH30" s="276"/>
      <c r="LWI30" s="276"/>
      <c r="LWJ30" s="276"/>
      <c r="LWK30" s="276"/>
      <c r="LWL30" s="276"/>
      <c r="LWM30" s="276"/>
      <c r="LWN30" s="276"/>
      <c r="LWO30" s="276"/>
      <c r="LWP30" s="276"/>
      <c r="LWQ30" s="276"/>
      <c r="LWR30" s="276"/>
      <c r="LWS30" s="276"/>
      <c r="LWT30" s="276"/>
      <c r="LWU30" s="276"/>
      <c r="LWV30" s="276"/>
      <c r="LWW30" s="276"/>
      <c r="LWX30" s="276"/>
      <c r="LWY30" s="276"/>
      <c r="LWZ30" s="276"/>
      <c r="LXA30" s="276"/>
      <c r="LXB30" s="276"/>
      <c r="LXC30" s="276"/>
      <c r="LXD30" s="276"/>
      <c r="LXE30" s="276"/>
      <c r="LXF30" s="276"/>
      <c r="LXG30" s="276"/>
      <c r="LXH30" s="276"/>
      <c r="LXI30" s="276"/>
      <c r="LXJ30" s="276"/>
      <c r="LXK30" s="276"/>
      <c r="LXL30" s="276"/>
      <c r="LXM30" s="276"/>
      <c r="LXN30" s="276"/>
      <c r="LXO30" s="276"/>
      <c r="LXP30" s="276"/>
      <c r="LXQ30" s="276"/>
      <c r="LXR30" s="276"/>
      <c r="LXS30" s="276"/>
      <c r="LXT30" s="276"/>
      <c r="LXU30" s="276"/>
      <c r="LXV30" s="276"/>
      <c r="LXW30" s="276"/>
      <c r="LXX30" s="276"/>
      <c r="LXY30" s="276"/>
      <c r="LXZ30" s="276"/>
      <c r="LYA30" s="276"/>
      <c r="LYB30" s="276"/>
      <c r="LYC30" s="276"/>
      <c r="LYD30" s="276"/>
      <c r="LYE30" s="276"/>
      <c r="LYF30" s="276"/>
      <c r="LYG30" s="276"/>
      <c r="LYH30" s="276"/>
      <c r="LYI30" s="276"/>
      <c r="LYJ30" s="276"/>
      <c r="LYK30" s="276"/>
      <c r="LYL30" s="276"/>
      <c r="LYM30" s="276"/>
      <c r="LYN30" s="276"/>
      <c r="LYO30" s="276"/>
      <c r="LYP30" s="276"/>
      <c r="LYQ30" s="276"/>
      <c r="LYR30" s="276"/>
      <c r="LYS30" s="276"/>
      <c r="LYT30" s="276"/>
      <c r="LYU30" s="276"/>
      <c r="LYV30" s="276"/>
      <c r="LYW30" s="276"/>
      <c r="LYX30" s="276"/>
      <c r="LYY30" s="276"/>
      <c r="LYZ30" s="276"/>
      <c r="LZA30" s="276"/>
      <c r="LZB30" s="276"/>
      <c r="LZC30" s="276"/>
      <c r="LZD30" s="276"/>
      <c r="LZE30" s="276"/>
      <c r="LZF30" s="276"/>
      <c r="LZG30" s="276"/>
      <c r="LZH30" s="276"/>
      <c r="LZI30" s="276"/>
      <c r="LZJ30" s="276"/>
      <c r="LZK30" s="276"/>
      <c r="LZL30" s="276"/>
      <c r="LZM30" s="276"/>
      <c r="LZN30" s="276"/>
      <c r="LZO30" s="276"/>
      <c r="LZP30" s="276"/>
      <c r="LZQ30" s="276"/>
      <c r="LZR30" s="276"/>
      <c r="LZS30" s="276"/>
      <c r="LZT30" s="276"/>
      <c r="LZU30" s="276"/>
      <c r="LZV30" s="276"/>
      <c r="LZW30" s="276"/>
      <c r="LZX30" s="276"/>
      <c r="LZY30" s="276"/>
      <c r="LZZ30" s="276"/>
      <c r="MAA30" s="276"/>
      <c r="MAB30" s="276"/>
      <c r="MAC30" s="276"/>
      <c r="MAD30" s="276"/>
      <c r="MAE30" s="276"/>
      <c r="MAF30" s="276"/>
      <c r="MAG30" s="276"/>
      <c r="MAH30" s="276"/>
      <c r="MAI30" s="276"/>
      <c r="MAJ30" s="276"/>
      <c r="MAK30" s="276"/>
      <c r="MAL30" s="276"/>
      <c r="MAM30" s="276"/>
      <c r="MAN30" s="276"/>
      <c r="MAO30" s="276"/>
      <c r="MAP30" s="276"/>
      <c r="MAQ30" s="276"/>
      <c r="MAR30" s="276"/>
      <c r="MAS30" s="276"/>
      <c r="MAT30" s="276"/>
      <c r="MAU30" s="276"/>
      <c r="MAV30" s="276"/>
      <c r="MAW30" s="276"/>
      <c r="MAX30" s="276"/>
      <c r="MAY30" s="276"/>
      <c r="MAZ30" s="276"/>
      <c r="MBA30" s="276"/>
      <c r="MBB30" s="276"/>
      <c r="MBC30" s="276"/>
      <c r="MBD30" s="276"/>
      <c r="MBE30" s="276"/>
      <c r="MBF30" s="276"/>
      <c r="MBG30" s="276"/>
      <c r="MBH30" s="276"/>
      <c r="MBI30" s="276"/>
      <c r="MBJ30" s="276"/>
      <c r="MBK30" s="276"/>
      <c r="MBL30" s="276"/>
      <c r="MBM30" s="276"/>
      <c r="MBN30" s="276"/>
      <c r="MBO30" s="276"/>
      <c r="MBP30" s="276"/>
      <c r="MBQ30" s="276"/>
      <c r="MBR30" s="276"/>
      <c r="MBS30" s="276"/>
      <c r="MBT30" s="276"/>
      <c r="MBU30" s="276"/>
      <c r="MBV30" s="276"/>
      <c r="MBW30" s="276"/>
      <c r="MBX30" s="276"/>
      <c r="MBY30" s="276"/>
      <c r="MBZ30" s="276"/>
      <c r="MCA30" s="276"/>
      <c r="MCB30" s="276"/>
      <c r="MCC30" s="276"/>
      <c r="MCD30" s="276"/>
      <c r="MCE30" s="276"/>
      <c r="MCF30" s="276"/>
      <c r="MCG30" s="276"/>
      <c r="MCH30" s="276"/>
      <c r="MCI30" s="276"/>
      <c r="MCJ30" s="276"/>
      <c r="MCK30" s="276"/>
      <c r="MCL30" s="276"/>
      <c r="MCM30" s="276"/>
      <c r="MCN30" s="276"/>
      <c r="MCO30" s="276"/>
      <c r="MCP30" s="276"/>
      <c r="MCQ30" s="276"/>
      <c r="MCR30" s="276"/>
      <c r="MCS30" s="276"/>
      <c r="MCT30" s="276"/>
      <c r="MCU30" s="276"/>
      <c r="MCV30" s="276"/>
      <c r="MCW30" s="276"/>
      <c r="MCX30" s="276"/>
      <c r="MCY30" s="276"/>
      <c r="MCZ30" s="276"/>
      <c r="MDA30" s="276"/>
      <c r="MDB30" s="276"/>
      <c r="MDC30" s="276"/>
      <c r="MDD30" s="276"/>
      <c r="MDE30" s="276"/>
      <c r="MDF30" s="276"/>
      <c r="MDG30" s="276"/>
      <c r="MDH30" s="276"/>
      <c r="MDI30" s="276"/>
      <c r="MDJ30" s="276"/>
      <c r="MDK30" s="276"/>
      <c r="MDL30" s="276"/>
      <c r="MDM30" s="276"/>
      <c r="MDN30" s="276"/>
      <c r="MDO30" s="276"/>
      <c r="MDP30" s="276"/>
      <c r="MDQ30" s="276"/>
      <c r="MDR30" s="276"/>
      <c r="MDS30" s="276"/>
      <c r="MDT30" s="276"/>
      <c r="MDU30" s="276"/>
      <c r="MDV30" s="276"/>
      <c r="MDW30" s="276"/>
      <c r="MDX30" s="276"/>
      <c r="MDY30" s="276"/>
      <c r="MDZ30" s="276"/>
      <c r="MEA30" s="276"/>
      <c r="MEB30" s="276"/>
      <c r="MEC30" s="276"/>
      <c r="MED30" s="276"/>
      <c r="MEE30" s="276"/>
      <c r="MEF30" s="276"/>
      <c r="MEG30" s="276"/>
      <c r="MEH30" s="276"/>
      <c r="MEI30" s="276"/>
      <c r="MEJ30" s="276"/>
      <c r="MEK30" s="276"/>
      <c r="MEL30" s="276"/>
      <c r="MEM30" s="276"/>
      <c r="MEN30" s="276"/>
      <c r="MEO30" s="276"/>
      <c r="MEP30" s="276"/>
      <c r="MEQ30" s="276"/>
      <c r="MER30" s="276"/>
      <c r="MES30" s="276"/>
      <c r="MET30" s="276"/>
      <c r="MEU30" s="276"/>
      <c r="MEV30" s="276"/>
      <c r="MEW30" s="276"/>
      <c r="MEX30" s="276"/>
      <c r="MEY30" s="276"/>
      <c r="MEZ30" s="276"/>
      <c r="MFA30" s="276"/>
      <c r="MFB30" s="276"/>
      <c r="MFC30" s="276"/>
      <c r="MFD30" s="276"/>
      <c r="MFE30" s="276"/>
      <c r="MFF30" s="276"/>
      <c r="MFG30" s="276"/>
      <c r="MFH30" s="276"/>
      <c r="MFI30" s="276"/>
      <c r="MFJ30" s="276"/>
      <c r="MFK30" s="276"/>
      <c r="MFL30" s="276"/>
      <c r="MFM30" s="276"/>
      <c r="MFN30" s="276"/>
      <c r="MFO30" s="276"/>
      <c r="MFP30" s="276"/>
      <c r="MFQ30" s="276"/>
      <c r="MFR30" s="276"/>
      <c r="MFS30" s="276"/>
      <c r="MFT30" s="276"/>
      <c r="MFU30" s="276"/>
      <c r="MFV30" s="276"/>
      <c r="MFW30" s="276"/>
      <c r="MFX30" s="276"/>
      <c r="MFY30" s="276"/>
      <c r="MFZ30" s="276"/>
      <c r="MGA30" s="276"/>
      <c r="MGB30" s="276"/>
      <c r="MGC30" s="276"/>
      <c r="MGD30" s="276"/>
      <c r="MGE30" s="276"/>
      <c r="MGF30" s="276"/>
      <c r="MGG30" s="276"/>
      <c r="MGH30" s="276"/>
      <c r="MGI30" s="276"/>
      <c r="MGJ30" s="276"/>
      <c r="MGK30" s="276"/>
      <c r="MGL30" s="276"/>
      <c r="MGM30" s="276"/>
      <c r="MGN30" s="276"/>
      <c r="MGO30" s="276"/>
      <c r="MGP30" s="276"/>
      <c r="MGQ30" s="276"/>
      <c r="MGR30" s="276"/>
      <c r="MGS30" s="276"/>
      <c r="MGT30" s="276"/>
      <c r="MGU30" s="276"/>
      <c r="MGV30" s="276"/>
      <c r="MGW30" s="276"/>
      <c r="MGX30" s="276"/>
      <c r="MGY30" s="276"/>
      <c r="MGZ30" s="276"/>
      <c r="MHA30" s="276"/>
      <c r="MHB30" s="276"/>
      <c r="MHC30" s="276"/>
      <c r="MHD30" s="276"/>
      <c r="MHE30" s="276"/>
      <c r="MHF30" s="276"/>
      <c r="MHG30" s="276"/>
      <c r="MHH30" s="276"/>
      <c r="MHI30" s="276"/>
      <c r="MHJ30" s="276"/>
      <c r="MHK30" s="276"/>
      <c r="MHL30" s="276"/>
      <c r="MHM30" s="276"/>
      <c r="MHN30" s="276"/>
      <c r="MHO30" s="276"/>
      <c r="MHP30" s="276"/>
      <c r="MHQ30" s="276"/>
      <c r="MHR30" s="276"/>
      <c r="MHS30" s="276"/>
      <c r="MHT30" s="276"/>
      <c r="MHU30" s="276"/>
      <c r="MHV30" s="276"/>
      <c r="MHW30" s="276"/>
      <c r="MHX30" s="276"/>
      <c r="MHY30" s="276"/>
      <c r="MHZ30" s="276"/>
      <c r="MIA30" s="276"/>
      <c r="MIB30" s="276"/>
      <c r="MIC30" s="276"/>
      <c r="MID30" s="276"/>
      <c r="MIE30" s="276"/>
      <c r="MIF30" s="276"/>
      <c r="MIG30" s="276"/>
      <c r="MIH30" s="276"/>
      <c r="MII30" s="276"/>
      <c r="MIJ30" s="276"/>
      <c r="MIK30" s="276"/>
      <c r="MIL30" s="276"/>
      <c r="MIM30" s="276"/>
      <c r="MIN30" s="276"/>
      <c r="MIO30" s="276"/>
      <c r="MIP30" s="276"/>
      <c r="MIQ30" s="276"/>
      <c r="MIR30" s="276"/>
      <c r="MIS30" s="276"/>
      <c r="MIT30" s="276"/>
      <c r="MIU30" s="276"/>
      <c r="MIV30" s="276"/>
      <c r="MIW30" s="276"/>
      <c r="MIX30" s="276"/>
      <c r="MIY30" s="276"/>
      <c r="MIZ30" s="276"/>
      <c r="MJA30" s="276"/>
      <c r="MJB30" s="276"/>
      <c r="MJC30" s="276"/>
      <c r="MJD30" s="276"/>
      <c r="MJE30" s="276"/>
      <c r="MJF30" s="276"/>
      <c r="MJG30" s="276"/>
      <c r="MJH30" s="276"/>
      <c r="MJI30" s="276"/>
      <c r="MJJ30" s="276"/>
      <c r="MJK30" s="276"/>
      <c r="MJL30" s="276"/>
      <c r="MJM30" s="276"/>
      <c r="MJN30" s="276"/>
      <c r="MJO30" s="276"/>
      <c r="MJP30" s="276"/>
      <c r="MJQ30" s="276"/>
      <c r="MJR30" s="276"/>
      <c r="MJS30" s="276"/>
      <c r="MJT30" s="276"/>
      <c r="MJU30" s="276"/>
      <c r="MJV30" s="276"/>
      <c r="MJW30" s="276"/>
      <c r="MJX30" s="276"/>
      <c r="MJY30" s="276"/>
      <c r="MJZ30" s="276"/>
      <c r="MKA30" s="276"/>
      <c r="MKB30" s="276"/>
      <c r="MKC30" s="276"/>
      <c r="MKD30" s="276"/>
      <c r="MKE30" s="276"/>
      <c r="MKF30" s="276"/>
      <c r="MKG30" s="276"/>
      <c r="MKH30" s="276"/>
      <c r="MKI30" s="276"/>
      <c r="MKJ30" s="276"/>
      <c r="MKK30" s="276"/>
      <c r="MKL30" s="276"/>
      <c r="MKM30" s="276"/>
      <c r="MKN30" s="276"/>
      <c r="MKO30" s="276"/>
      <c r="MKP30" s="276"/>
      <c r="MKQ30" s="276"/>
      <c r="MKR30" s="276"/>
      <c r="MKS30" s="276"/>
      <c r="MKT30" s="276"/>
      <c r="MKU30" s="276"/>
      <c r="MKV30" s="276"/>
      <c r="MKW30" s="276"/>
      <c r="MKX30" s="276"/>
      <c r="MKY30" s="276"/>
      <c r="MKZ30" s="276"/>
      <c r="MLA30" s="276"/>
      <c r="MLB30" s="276"/>
      <c r="MLC30" s="276"/>
      <c r="MLD30" s="276"/>
      <c r="MLE30" s="276"/>
      <c r="MLF30" s="276"/>
      <c r="MLG30" s="276"/>
      <c r="MLH30" s="276"/>
      <c r="MLI30" s="276"/>
      <c r="MLJ30" s="276"/>
      <c r="MLK30" s="276"/>
      <c r="MLL30" s="276"/>
      <c r="MLM30" s="276"/>
      <c r="MLN30" s="276"/>
      <c r="MLO30" s="276"/>
      <c r="MLP30" s="276"/>
      <c r="MLQ30" s="276"/>
      <c r="MLR30" s="276"/>
      <c r="MLS30" s="276"/>
      <c r="MLT30" s="276"/>
      <c r="MLU30" s="276"/>
      <c r="MLV30" s="276"/>
      <c r="MLW30" s="276"/>
      <c r="MLX30" s="276"/>
      <c r="MLY30" s="276"/>
      <c r="MLZ30" s="276"/>
      <c r="MMA30" s="276"/>
      <c r="MMB30" s="276"/>
      <c r="MMC30" s="276"/>
      <c r="MMD30" s="276"/>
      <c r="MME30" s="276"/>
      <c r="MMF30" s="276"/>
      <c r="MMG30" s="276"/>
      <c r="MMH30" s="276"/>
      <c r="MMI30" s="276"/>
      <c r="MMJ30" s="276"/>
      <c r="MMK30" s="276"/>
      <c r="MML30" s="276"/>
      <c r="MMM30" s="276"/>
      <c r="MMN30" s="276"/>
      <c r="MMO30" s="276"/>
      <c r="MMP30" s="276"/>
      <c r="MMQ30" s="276"/>
      <c r="MMR30" s="276"/>
      <c r="MMS30" s="276"/>
      <c r="MMT30" s="276"/>
      <c r="MMU30" s="276"/>
      <c r="MMV30" s="276"/>
      <c r="MMW30" s="276"/>
      <c r="MMX30" s="276"/>
      <c r="MMY30" s="276"/>
      <c r="MMZ30" s="276"/>
      <c r="MNA30" s="276"/>
      <c r="MNB30" s="276"/>
      <c r="MNC30" s="276"/>
      <c r="MND30" s="276"/>
      <c r="MNE30" s="276"/>
      <c r="MNF30" s="276"/>
      <c r="MNG30" s="276"/>
      <c r="MNH30" s="276"/>
      <c r="MNI30" s="276"/>
      <c r="MNJ30" s="276"/>
      <c r="MNK30" s="276"/>
      <c r="MNL30" s="276"/>
      <c r="MNM30" s="276"/>
      <c r="MNN30" s="276"/>
      <c r="MNO30" s="276"/>
      <c r="MNP30" s="276"/>
      <c r="MNQ30" s="276"/>
      <c r="MNR30" s="276"/>
      <c r="MNS30" s="276"/>
      <c r="MNT30" s="276"/>
      <c r="MNU30" s="276"/>
      <c r="MNV30" s="276"/>
      <c r="MNW30" s="276"/>
      <c r="MNX30" s="276"/>
      <c r="MNY30" s="276"/>
      <c r="MNZ30" s="276"/>
      <c r="MOA30" s="276"/>
      <c r="MOB30" s="276"/>
      <c r="MOC30" s="276"/>
      <c r="MOD30" s="276"/>
      <c r="MOE30" s="276"/>
      <c r="MOF30" s="276"/>
      <c r="MOG30" s="276"/>
      <c r="MOH30" s="276"/>
      <c r="MOI30" s="276"/>
      <c r="MOJ30" s="276"/>
      <c r="MOK30" s="276"/>
      <c r="MOL30" s="276"/>
      <c r="MOM30" s="276"/>
      <c r="MON30" s="276"/>
      <c r="MOO30" s="276"/>
      <c r="MOP30" s="276"/>
      <c r="MOQ30" s="276"/>
      <c r="MOR30" s="276"/>
      <c r="MOS30" s="276"/>
      <c r="MOT30" s="276"/>
      <c r="MOU30" s="276"/>
      <c r="MOV30" s="276"/>
      <c r="MOW30" s="276"/>
      <c r="MOX30" s="276"/>
      <c r="MOY30" s="276"/>
      <c r="MOZ30" s="276"/>
      <c r="MPA30" s="276"/>
      <c r="MPB30" s="276"/>
      <c r="MPC30" s="276"/>
      <c r="MPD30" s="276"/>
      <c r="MPE30" s="276"/>
      <c r="MPF30" s="276"/>
      <c r="MPG30" s="276"/>
      <c r="MPH30" s="276"/>
      <c r="MPI30" s="276"/>
      <c r="MPJ30" s="276"/>
      <c r="MPK30" s="276"/>
      <c r="MPL30" s="276"/>
      <c r="MPM30" s="276"/>
      <c r="MPN30" s="276"/>
      <c r="MPO30" s="276"/>
      <c r="MPP30" s="276"/>
      <c r="MPQ30" s="276"/>
      <c r="MPR30" s="276"/>
      <c r="MPS30" s="276"/>
      <c r="MPT30" s="276"/>
      <c r="MPU30" s="276"/>
      <c r="MPV30" s="276"/>
      <c r="MPW30" s="276"/>
      <c r="MPX30" s="276"/>
      <c r="MPY30" s="276"/>
      <c r="MPZ30" s="276"/>
      <c r="MQA30" s="276"/>
      <c r="MQB30" s="276"/>
      <c r="MQC30" s="276"/>
      <c r="MQD30" s="276"/>
      <c r="MQE30" s="276"/>
      <c r="MQF30" s="276"/>
      <c r="MQG30" s="276"/>
      <c r="MQH30" s="276"/>
      <c r="MQI30" s="276"/>
      <c r="MQJ30" s="276"/>
      <c r="MQK30" s="276"/>
      <c r="MQL30" s="276"/>
      <c r="MQM30" s="276"/>
      <c r="MQN30" s="276"/>
      <c r="MQO30" s="276"/>
      <c r="MQP30" s="276"/>
      <c r="MQQ30" s="276"/>
      <c r="MQR30" s="276"/>
      <c r="MQS30" s="276"/>
      <c r="MQT30" s="276"/>
      <c r="MQU30" s="276"/>
      <c r="MQV30" s="276"/>
      <c r="MQW30" s="276"/>
      <c r="MQX30" s="276"/>
      <c r="MQY30" s="276"/>
      <c r="MQZ30" s="276"/>
      <c r="MRA30" s="276"/>
      <c r="MRB30" s="276"/>
      <c r="MRC30" s="276"/>
      <c r="MRD30" s="276"/>
      <c r="MRE30" s="276"/>
      <c r="MRF30" s="276"/>
      <c r="MRG30" s="276"/>
      <c r="MRH30" s="276"/>
      <c r="MRI30" s="276"/>
      <c r="MRJ30" s="276"/>
      <c r="MRK30" s="276"/>
      <c r="MRL30" s="276"/>
      <c r="MRM30" s="276"/>
      <c r="MRN30" s="276"/>
      <c r="MRO30" s="276"/>
      <c r="MRP30" s="276"/>
      <c r="MRQ30" s="276"/>
      <c r="MRR30" s="276"/>
      <c r="MRS30" s="276"/>
      <c r="MRT30" s="276"/>
      <c r="MRU30" s="276"/>
      <c r="MRV30" s="276"/>
      <c r="MRW30" s="276"/>
      <c r="MRX30" s="276"/>
      <c r="MRY30" s="276"/>
      <c r="MRZ30" s="276"/>
      <c r="MSA30" s="276"/>
      <c r="MSB30" s="276"/>
      <c r="MSC30" s="276"/>
      <c r="MSD30" s="276"/>
      <c r="MSE30" s="276"/>
      <c r="MSF30" s="276"/>
      <c r="MSG30" s="276"/>
      <c r="MSH30" s="276"/>
      <c r="MSI30" s="276"/>
      <c r="MSJ30" s="276"/>
      <c r="MSK30" s="276"/>
      <c r="MSL30" s="276"/>
      <c r="MSM30" s="276"/>
      <c r="MSN30" s="276"/>
      <c r="MSO30" s="276"/>
      <c r="MSP30" s="276"/>
      <c r="MSQ30" s="276"/>
      <c r="MSR30" s="276"/>
      <c r="MSS30" s="276"/>
      <c r="MST30" s="276"/>
      <c r="MSU30" s="276"/>
      <c r="MSV30" s="276"/>
      <c r="MSW30" s="276"/>
      <c r="MSX30" s="276"/>
      <c r="MSY30" s="276"/>
      <c r="MSZ30" s="276"/>
      <c r="MTA30" s="276"/>
      <c r="MTB30" s="276"/>
      <c r="MTC30" s="276"/>
      <c r="MTD30" s="276"/>
      <c r="MTE30" s="276"/>
      <c r="MTF30" s="276"/>
      <c r="MTG30" s="276"/>
      <c r="MTH30" s="276"/>
      <c r="MTI30" s="276"/>
      <c r="MTJ30" s="276"/>
      <c r="MTK30" s="276"/>
      <c r="MTL30" s="276"/>
      <c r="MTM30" s="276"/>
      <c r="MTN30" s="276"/>
      <c r="MTO30" s="276"/>
      <c r="MTP30" s="276"/>
      <c r="MTQ30" s="276"/>
      <c r="MTR30" s="276"/>
      <c r="MTS30" s="276"/>
      <c r="MTT30" s="276"/>
      <c r="MTU30" s="276"/>
      <c r="MTV30" s="276"/>
      <c r="MTW30" s="276"/>
      <c r="MTX30" s="276"/>
      <c r="MTY30" s="276"/>
      <c r="MTZ30" s="276"/>
      <c r="MUA30" s="276"/>
      <c r="MUB30" s="276"/>
      <c r="MUC30" s="276"/>
      <c r="MUD30" s="276"/>
      <c r="MUE30" s="276"/>
      <c r="MUF30" s="276"/>
      <c r="MUG30" s="276"/>
      <c r="MUH30" s="276"/>
      <c r="MUI30" s="276"/>
      <c r="MUJ30" s="276"/>
      <c r="MUK30" s="276"/>
      <c r="MUL30" s="276"/>
      <c r="MUM30" s="276"/>
      <c r="MUN30" s="276"/>
      <c r="MUO30" s="276"/>
      <c r="MUP30" s="276"/>
      <c r="MUQ30" s="276"/>
      <c r="MUR30" s="276"/>
      <c r="MUS30" s="276"/>
      <c r="MUT30" s="276"/>
      <c r="MUU30" s="276"/>
      <c r="MUV30" s="276"/>
      <c r="MUW30" s="276"/>
      <c r="MUX30" s="276"/>
      <c r="MUY30" s="276"/>
      <c r="MUZ30" s="276"/>
      <c r="MVA30" s="276"/>
      <c r="MVB30" s="276"/>
      <c r="MVC30" s="276"/>
      <c r="MVD30" s="276"/>
      <c r="MVE30" s="276"/>
      <c r="MVF30" s="276"/>
      <c r="MVG30" s="276"/>
      <c r="MVH30" s="276"/>
      <c r="MVI30" s="276"/>
      <c r="MVJ30" s="276"/>
      <c r="MVK30" s="276"/>
      <c r="MVL30" s="276"/>
      <c r="MVM30" s="276"/>
      <c r="MVN30" s="276"/>
      <c r="MVO30" s="276"/>
      <c r="MVP30" s="276"/>
      <c r="MVQ30" s="276"/>
      <c r="MVR30" s="276"/>
      <c r="MVS30" s="276"/>
      <c r="MVT30" s="276"/>
      <c r="MVU30" s="276"/>
      <c r="MVV30" s="276"/>
      <c r="MVW30" s="276"/>
      <c r="MVX30" s="276"/>
      <c r="MVY30" s="276"/>
      <c r="MVZ30" s="276"/>
      <c r="MWA30" s="276"/>
      <c r="MWB30" s="276"/>
      <c r="MWC30" s="276"/>
      <c r="MWD30" s="276"/>
      <c r="MWE30" s="276"/>
      <c r="MWF30" s="276"/>
      <c r="MWG30" s="276"/>
      <c r="MWH30" s="276"/>
      <c r="MWI30" s="276"/>
      <c r="MWJ30" s="276"/>
      <c r="MWK30" s="276"/>
      <c r="MWL30" s="276"/>
      <c r="MWM30" s="276"/>
      <c r="MWN30" s="276"/>
      <c r="MWO30" s="276"/>
      <c r="MWP30" s="276"/>
      <c r="MWQ30" s="276"/>
      <c r="MWR30" s="276"/>
      <c r="MWS30" s="276"/>
      <c r="MWT30" s="276"/>
      <c r="MWU30" s="276"/>
      <c r="MWV30" s="276"/>
      <c r="MWW30" s="276"/>
      <c r="MWX30" s="276"/>
      <c r="MWY30" s="276"/>
      <c r="MWZ30" s="276"/>
      <c r="MXA30" s="276"/>
      <c r="MXB30" s="276"/>
      <c r="MXC30" s="276"/>
      <c r="MXD30" s="276"/>
      <c r="MXE30" s="276"/>
      <c r="MXF30" s="276"/>
      <c r="MXG30" s="276"/>
      <c r="MXH30" s="276"/>
      <c r="MXI30" s="276"/>
      <c r="MXJ30" s="276"/>
      <c r="MXK30" s="276"/>
      <c r="MXL30" s="276"/>
      <c r="MXM30" s="276"/>
      <c r="MXN30" s="276"/>
      <c r="MXO30" s="276"/>
      <c r="MXP30" s="276"/>
      <c r="MXQ30" s="276"/>
      <c r="MXR30" s="276"/>
      <c r="MXS30" s="276"/>
      <c r="MXT30" s="276"/>
      <c r="MXU30" s="276"/>
      <c r="MXV30" s="276"/>
      <c r="MXW30" s="276"/>
      <c r="MXX30" s="276"/>
      <c r="MXY30" s="276"/>
      <c r="MXZ30" s="276"/>
      <c r="MYA30" s="276"/>
      <c r="MYB30" s="276"/>
      <c r="MYC30" s="276"/>
      <c r="MYD30" s="276"/>
      <c r="MYE30" s="276"/>
      <c r="MYF30" s="276"/>
      <c r="MYG30" s="276"/>
      <c r="MYH30" s="276"/>
      <c r="MYI30" s="276"/>
      <c r="MYJ30" s="276"/>
      <c r="MYK30" s="276"/>
      <c r="MYL30" s="276"/>
      <c r="MYM30" s="276"/>
      <c r="MYN30" s="276"/>
      <c r="MYO30" s="276"/>
      <c r="MYP30" s="276"/>
      <c r="MYQ30" s="276"/>
      <c r="MYR30" s="276"/>
      <c r="MYS30" s="276"/>
      <c r="MYT30" s="276"/>
      <c r="MYU30" s="276"/>
      <c r="MYV30" s="276"/>
      <c r="MYW30" s="276"/>
      <c r="MYX30" s="276"/>
      <c r="MYY30" s="276"/>
      <c r="MYZ30" s="276"/>
      <c r="MZA30" s="276"/>
      <c r="MZB30" s="276"/>
      <c r="MZC30" s="276"/>
      <c r="MZD30" s="276"/>
      <c r="MZE30" s="276"/>
      <c r="MZF30" s="276"/>
      <c r="MZG30" s="276"/>
      <c r="MZH30" s="276"/>
      <c r="MZI30" s="276"/>
      <c r="MZJ30" s="276"/>
      <c r="MZK30" s="276"/>
      <c r="MZL30" s="276"/>
      <c r="MZM30" s="276"/>
      <c r="MZN30" s="276"/>
      <c r="MZO30" s="276"/>
      <c r="MZP30" s="276"/>
      <c r="MZQ30" s="276"/>
      <c r="MZR30" s="276"/>
      <c r="MZS30" s="276"/>
      <c r="MZT30" s="276"/>
      <c r="MZU30" s="276"/>
      <c r="MZV30" s="276"/>
      <c r="MZW30" s="276"/>
      <c r="MZX30" s="276"/>
      <c r="MZY30" s="276"/>
      <c r="MZZ30" s="276"/>
      <c r="NAA30" s="276"/>
      <c r="NAB30" s="276"/>
      <c r="NAC30" s="276"/>
      <c r="NAD30" s="276"/>
      <c r="NAE30" s="276"/>
      <c r="NAF30" s="276"/>
      <c r="NAG30" s="276"/>
      <c r="NAH30" s="276"/>
      <c r="NAI30" s="276"/>
      <c r="NAJ30" s="276"/>
      <c r="NAK30" s="276"/>
      <c r="NAL30" s="276"/>
      <c r="NAM30" s="276"/>
      <c r="NAN30" s="276"/>
      <c r="NAO30" s="276"/>
      <c r="NAP30" s="276"/>
      <c r="NAQ30" s="276"/>
      <c r="NAR30" s="276"/>
      <c r="NAS30" s="276"/>
      <c r="NAT30" s="276"/>
      <c r="NAU30" s="276"/>
      <c r="NAV30" s="276"/>
      <c r="NAW30" s="276"/>
      <c r="NAX30" s="276"/>
      <c r="NAY30" s="276"/>
      <c r="NAZ30" s="276"/>
      <c r="NBA30" s="276"/>
      <c r="NBB30" s="276"/>
      <c r="NBC30" s="276"/>
      <c r="NBD30" s="276"/>
      <c r="NBE30" s="276"/>
      <c r="NBF30" s="276"/>
      <c r="NBG30" s="276"/>
      <c r="NBH30" s="276"/>
      <c r="NBI30" s="276"/>
      <c r="NBJ30" s="276"/>
      <c r="NBK30" s="276"/>
      <c r="NBL30" s="276"/>
      <c r="NBM30" s="276"/>
      <c r="NBN30" s="276"/>
      <c r="NBO30" s="276"/>
      <c r="NBP30" s="276"/>
      <c r="NBQ30" s="276"/>
      <c r="NBR30" s="276"/>
      <c r="NBS30" s="276"/>
      <c r="NBT30" s="276"/>
      <c r="NBU30" s="276"/>
      <c r="NBV30" s="276"/>
      <c r="NBW30" s="276"/>
      <c r="NBX30" s="276"/>
      <c r="NBY30" s="276"/>
      <c r="NBZ30" s="276"/>
      <c r="NCA30" s="276"/>
      <c r="NCB30" s="276"/>
      <c r="NCC30" s="276"/>
      <c r="NCD30" s="276"/>
      <c r="NCE30" s="276"/>
      <c r="NCF30" s="276"/>
      <c r="NCG30" s="276"/>
      <c r="NCH30" s="276"/>
      <c r="NCI30" s="276"/>
      <c r="NCJ30" s="276"/>
      <c r="NCK30" s="276"/>
      <c r="NCL30" s="276"/>
      <c r="NCM30" s="276"/>
      <c r="NCN30" s="276"/>
      <c r="NCO30" s="276"/>
      <c r="NCP30" s="276"/>
      <c r="NCQ30" s="276"/>
      <c r="NCR30" s="276"/>
      <c r="NCS30" s="276"/>
      <c r="NCT30" s="276"/>
      <c r="NCU30" s="276"/>
      <c r="NCV30" s="276"/>
      <c r="NCW30" s="276"/>
      <c r="NCX30" s="276"/>
      <c r="NCY30" s="276"/>
      <c r="NCZ30" s="276"/>
      <c r="NDA30" s="276"/>
      <c r="NDB30" s="276"/>
      <c r="NDC30" s="276"/>
      <c r="NDD30" s="276"/>
      <c r="NDE30" s="276"/>
      <c r="NDF30" s="276"/>
      <c r="NDG30" s="276"/>
      <c r="NDH30" s="276"/>
      <c r="NDI30" s="276"/>
      <c r="NDJ30" s="276"/>
      <c r="NDK30" s="276"/>
      <c r="NDL30" s="276"/>
      <c r="NDM30" s="276"/>
      <c r="NDN30" s="276"/>
      <c r="NDO30" s="276"/>
      <c r="NDP30" s="276"/>
      <c r="NDQ30" s="276"/>
      <c r="NDR30" s="276"/>
      <c r="NDS30" s="276"/>
      <c r="NDT30" s="276"/>
      <c r="NDU30" s="276"/>
      <c r="NDV30" s="276"/>
      <c r="NDW30" s="276"/>
      <c r="NDX30" s="276"/>
      <c r="NDY30" s="276"/>
      <c r="NDZ30" s="276"/>
      <c r="NEA30" s="276"/>
      <c r="NEB30" s="276"/>
      <c r="NEC30" s="276"/>
      <c r="NED30" s="276"/>
      <c r="NEE30" s="276"/>
      <c r="NEF30" s="276"/>
      <c r="NEG30" s="276"/>
      <c r="NEH30" s="276"/>
      <c r="NEI30" s="276"/>
      <c r="NEJ30" s="276"/>
      <c r="NEK30" s="276"/>
      <c r="NEL30" s="276"/>
      <c r="NEM30" s="276"/>
      <c r="NEN30" s="276"/>
      <c r="NEO30" s="276"/>
      <c r="NEP30" s="276"/>
      <c r="NEQ30" s="276"/>
      <c r="NER30" s="276"/>
      <c r="NES30" s="276"/>
      <c r="NET30" s="276"/>
      <c r="NEU30" s="276"/>
      <c r="NEV30" s="276"/>
      <c r="NEW30" s="276"/>
      <c r="NEX30" s="276"/>
      <c r="NEY30" s="276"/>
      <c r="NEZ30" s="276"/>
      <c r="NFA30" s="276"/>
      <c r="NFB30" s="276"/>
      <c r="NFC30" s="276"/>
      <c r="NFD30" s="276"/>
      <c r="NFE30" s="276"/>
      <c r="NFF30" s="276"/>
      <c r="NFG30" s="276"/>
      <c r="NFH30" s="276"/>
      <c r="NFI30" s="276"/>
      <c r="NFJ30" s="276"/>
      <c r="NFK30" s="276"/>
      <c r="NFL30" s="276"/>
      <c r="NFM30" s="276"/>
      <c r="NFN30" s="276"/>
      <c r="NFO30" s="276"/>
      <c r="NFP30" s="276"/>
      <c r="NFQ30" s="276"/>
      <c r="NFR30" s="276"/>
      <c r="NFS30" s="276"/>
      <c r="NFT30" s="276"/>
      <c r="NFU30" s="276"/>
      <c r="NFV30" s="276"/>
      <c r="NFW30" s="276"/>
      <c r="NFX30" s="276"/>
      <c r="NFY30" s="276"/>
      <c r="NFZ30" s="276"/>
      <c r="NGA30" s="276"/>
      <c r="NGB30" s="276"/>
      <c r="NGC30" s="276"/>
      <c r="NGD30" s="276"/>
      <c r="NGE30" s="276"/>
      <c r="NGF30" s="276"/>
      <c r="NGG30" s="276"/>
      <c r="NGH30" s="276"/>
      <c r="NGI30" s="276"/>
      <c r="NGJ30" s="276"/>
      <c r="NGK30" s="276"/>
      <c r="NGL30" s="276"/>
      <c r="NGM30" s="276"/>
      <c r="NGN30" s="276"/>
      <c r="NGO30" s="276"/>
      <c r="NGP30" s="276"/>
      <c r="NGQ30" s="276"/>
      <c r="NGR30" s="276"/>
      <c r="NGS30" s="276"/>
      <c r="NGT30" s="276"/>
      <c r="NGU30" s="276"/>
      <c r="NGV30" s="276"/>
      <c r="NGW30" s="276"/>
      <c r="NGX30" s="276"/>
      <c r="NGY30" s="276"/>
      <c r="NGZ30" s="276"/>
      <c r="NHA30" s="276"/>
      <c r="NHB30" s="276"/>
      <c r="NHC30" s="276"/>
      <c r="NHD30" s="276"/>
      <c r="NHE30" s="276"/>
      <c r="NHF30" s="276"/>
      <c r="NHG30" s="276"/>
      <c r="NHH30" s="276"/>
      <c r="NHI30" s="276"/>
      <c r="NHJ30" s="276"/>
      <c r="NHK30" s="276"/>
      <c r="NHL30" s="276"/>
      <c r="NHM30" s="276"/>
      <c r="NHN30" s="276"/>
      <c r="NHO30" s="276"/>
      <c r="NHP30" s="276"/>
      <c r="NHQ30" s="276"/>
      <c r="NHR30" s="276"/>
      <c r="NHS30" s="276"/>
      <c r="NHT30" s="276"/>
      <c r="NHU30" s="276"/>
      <c r="NHV30" s="276"/>
      <c r="NHW30" s="276"/>
      <c r="NHX30" s="276"/>
      <c r="NHY30" s="276"/>
      <c r="NHZ30" s="276"/>
      <c r="NIA30" s="276"/>
      <c r="NIB30" s="276"/>
      <c r="NIC30" s="276"/>
      <c r="NID30" s="276"/>
      <c r="NIE30" s="276"/>
      <c r="NIF30" s="276"/>
      <c r="NIG30" s="276"/>
      <c r="NIH30" s="276"/>
      <c r="NII30" s="276"/>
      <c r="NIJ30" s="276"/>
      <c r="NIK30" s="276"/>
      <c r="NIL30" s="276"/>
      <c r="NIM30" s="276"/>
      <c r="NIN30" s="276"/>
      <c r="NIO30" s="276"/>
      <c r="NIP30" s="276"/>
      <c r="NIQ30" s="276"/>
      <c r="NIR30" s="276"/>
      <c r="NIS30" s="276"/>
      <c r="NIT30" s="276"/>
      <c r="NIU30" s="276"/>
      <c r="NIV30" s="276"/>
      <c r="NIW30" s="276"/>
      <c r="NIX30" s="276"/>
      <c r="NIY30" s="276"/>
      <c r="NIZ30" s="276"/>
      <c r="NJA30" s="276"/>
      <c r="NJB30" s="276"/>
      <c r="NJC30" s="276"/>
      <c r="NJD30" s="276"/>
      <c r="NJE30" s="276"/>
      <c r="NJF30" s="276"/>
      <c r="NJG30" s="276"/>
      <c r="NJH30" s="276"/>
      <c r="NJI30" s="276"/>
      <c r="NJJ30" s="276"/>
      <c r="NJK30" s="276"/>
      <c r="NJL30" s="276"/>
      <c r="NJM30" s="276"/>
      <c r="NJN30" s="276"/>
      <c r="NJO30" s="276"/>
      <c r="NJP30" s="276"/>
      <c r="NJQ30" s="276"/>
      <c r="NJR30" s="276"/>
      <c r="NJS30" s="276"/>
      <c r="NJT30" s="276"/>
      <c r="NJU30" s="276"/>
      <c r="NJV30" s="276"/>
      <c r="NJW30" s="276"/>
      <c r="NJX30" s="276"/>
      <c r="NJY30" s="276"/>
      <c r="NJZ30" s="276"/>
      <c r="NKA30" s="276"/>
      <c r="NKB30" s="276"/>
      <c r="NKC30" s="276"/>
      <c r="NKD30" s="276"/>
      <c r="NKE30" s="276"/>
      <c r="NKF30" s="276"/>
      <c r="NKG30" s="276"/>
      <c r="NKH30" s="276"/>
      <c r="NKI30" s="276"/>
      <c r="NKJ30" s="276"/>
      <c r="NKK30" s="276"/>
      <c r="NKL30" s="276"/>
      <c r="NKM30" s="276"/>
      <c r="NKN30" s="276"/>
      <c r="NKO30" s="276"/>
      <c r="NKP30" s="276"/>
      <c r="NKQ30" s="276"/>
      <c r="NKR30" s="276"/>
      <c r="NKS30" s="276"/>
      <c r="NKT30" s="276"/>
      <c r="NKU30" s="276"/>
      <c r="NKV30" s="276"/>
      <c r="NKW30" s="276"/>
      <c r="NKX30" s="276"/>
      <c r="NKY30" s="276"/>
      <c r="NKZ30" s="276"/>
      <c r="NLA30" s="276"/>
      <c r="NLB30" s="276"/>
      <c r="NLC30" s="276"/>
      <c r="NLD30" s="276"/>
      <c r="NLE30" s="276"/>
      <c r="NLF30" s="276"/>
      <c r="NLG30" s="276"/>
      <c r="NLH30" s="276"/>
      <c r="NLI30" s="276"/>
      <c r="NLJ30" s="276"/>
      <c r="NLK30" s="276"/>
      <c r="NLL30" s="276"/>
      <c r="NLM30" s="276"/>
      <c r="NLN30" s="276"/>
      <c r="NLO30" s="276"/>
      <c r="NLP30" s="276"/>
      <c r="NLQ30" s="276"/>
      <c r="NLR30" s="276"/>
      <c r="NLS30" s="276"/>
      <c r="NLT30" s="276"/>
      <c r="NLU30" s="276"/>
      <c r="NLV30" s="276"/>
      <c r="NLW30" s="276"/>
      <c r="NLX30" s="276"/>
      <c r="NLY30" s="276"/>
      <c r="NLZ30" s="276"/>
      <c r="NMA30" s="276"/>
      <c r="NMB30" s="276"/>
      <c r="NMC30" s="276"/>
      <c r="NMD30" s="276"/>
      <c r="NME30" s="276"/>
      <c r="NMF30" s="276"/>
      <c r="NMG30" s="276"/>
      <c r="NMH30" s="276"/>
      <c r="NMI30" s="276"/>
      <c r="NMJ30" s="276"/>
      <c r="NMK30" s="276"/>
      <c r="NML30" s="276"/>
      <c r="NMM30" s="276"/>
      <c r="NMN30" s="276"/>
      <c r="NMO30" s="276"/>
      <c r="NMP30" s="276"/>
      <c r="NMQ30" s="276"/>
      <c r="NMR30" s="276"/>
      <c r="NMS30" s="276"/>
      <c r="NMT30" s="276"/>
      <c r="NMU30" s="276"/>
      <c r="NMV30" s="276"/>
      <c r="NMW30" s="276"/>
      <c r="NMX30" s="276"/>
      <c r="NMY30" s="276"/>
      <c r="NMZ30" s="276"/>
      <c r="NNA30" s="276"/>
      <c r="NNB30" s="276"/>
      <c r="NNC30" s="276"/>
      <c r="NND30" s="276"/>
      <c r="NNE30" s="276"/>
      <c r="NNF30" s="276"/>
      <c r="NNG30" s="276"/>
      <c r="NNH30" s="276"/>
      <c r="NNI30" s="276"/>
      <c r="NNJ30" s="276"/>
      <c r="NNK30" s="276"/>
      <c r="NNL30" s="276"/>
      <c r="NNM30" s="276"/>
      <c r="NNN30" s="276"/>
      <c r="NNO30" s="276"/>
      <c r="NNP30" s="276"/>
      <c r="NNQ30" s="276"/>
      <c r="NNR30" s="276"/>
      <c r="NNS30" s="276"/>
      <c r="NNT30" s="276"/>
      <c r="NNU30" s="276"/>
      <c r="NNV30" s="276"/>
      <c r="NNW30" s="276"/>
      <c r="NNX30" s="276"/>
      <c r="NNY30" s="276"/>
      <c r="NNZ30" s="276"/>
      <c r="NOA30" s="276"/>
      <c r="NOB30" s="276"/>
      <c r="NOC30" s="276"/>
      <c r="NOD30" s="276"/>
      <c r="NOE30" s="276"/>
      <c r="NOF30" s="276"/>
      <c r="NOG30" s="276"/>
      <c r="NOH30" s="276"/>
      <c r="NOI30" s="276"/>
      <c r="NOJ30" s="276"/>
      <c r="NOK30" s="276"/>
      <c r="NOL30" s="276"/>
      <c r="NOM30" s="276"/>
      <c r="NON30" s="276"/>
      <c r="NOO30" s="276"/>
      <c r="NOP30" s="276"/>
      <c r="NOQ30" s="276"/>
      <c r="NOR30" s="276"/>
      <c r="NOS30" s="276"/>
      <c r="NOT30" s="276"/>
      <c r="NOU30" s="276"/>
      <c r="NOV30" s="276"/>
      <c r="NOW30" s="276"/>
      <c r="NOX30" s="276"/>
      <c r="NOY30" s="276"/>
      <c r="NOZ30" s="276"/>
      <c r="NPA30" s="276"/>
      <c r="NPB30" s="276"/>
      <c r="NPC30" s="276"/>
      <c r="NPD30" s="276"/>
      <c r="NPE30" s="276"/>
      <c r="NPF30" s="276"/>
      <c r="NPG30" s="276"/>
      <c r="NPH30" s="276"/>
      <c r="NPI30" s="276"/>
      <c r="NPJ30" s="276"/>
      <c r="NPK30" s="276"/>
      <c r="NPL30" s="276"/>
      <c r="NPM30" s="276"/>
      <c r="NPN30" s="276"/>
      <c r="NPO30" s="276"/>
      <c r="NPP30" s="276"/>
      <c r="NPQ30" s="276"/>
      <c r="NPR30" s="276"/>
      <c r="NPS30" s="276"/>
      <c r="NPT30" s="276"/>
      <c r="NPU30" s="276"/>
      <c r="NPV30" s="276"/>
      <c r="NPW30" s="276"/>
      <c r="NPX30" s="276"/>
      <c r="NPY30" s="276"/>
      <c r="NPZ30" s="276"/>
      <c r="NQA30" s="276"/>
      <c r="NQB30" s="276"/>
      <c r="NQC30" s="276"/>
      <c r="NQD30" s="276"/>
      <c r="NQE30" s="276"/>
      <c r="NQF30" s="276"/>
      <c r="NQG30" s="276"/>
      <c r="NQH30" s="276"/>
      <c r="NQI30" s="276"/>
      <c r="NQJ30" s="276"/>
      <c r="NQK30" s="276"/>
      <c r="NQL30" s="276"/>
      <c r="NQM30" s="276"/>
      <c r="NQN30" s="276"/>
      <c r="NQO30" s="276"/>
      <c r="NQP30" s="276"/>
      <c r="NQQ30" s="276"/>
      <c r="NQR30" s="276"/>
      <c r="NQS30" s="276"/>
      <c r="NQT30" s="276"/>
      <c r="NQU30" s="276"/>
      <c r="NQV30" s="276"/>
      <c r="NQW30" s="276"/>
      <c r="NQX30" s="276"/>
      <c r="NQY30" s="276"/>
      <c r="NQZ30" s="276"/>
      <c r="NRA30" s="276"/>
      <c r="NRB30" s="276"/>
      <c r="NRC30" s="276"/>
      <c r="NRD30" s="276"/>
      <c r="NRE30" s="276"/>
      <c r="NRF30" s="276"/>
      <c r="NRG30" s="276"/>
      <c r="NRH30" s="276"/>
      <c r="NRI30" s="276"/>
      <c r="NRJ30" s="276"/>
      <c r="NRK30" s="276"/>
      <c r="NRL30" s="276"/>
      <c r="NRM30" s="276"/>
      <c r="NRN30" s="276"/>
      <c r="NRO30" s="276"/>
      <c r="NRP30" s="276"/>
      <c r="NRQ30" s="276"/>
      <c r="NRR30" s="276"/>
      <c r="NRS30" s="276"/>
      <c r="NRT30" s="276"/>
      <c r="NRU30" s="276"/>
      <c r="NRV30" s="276"/>
      <c r="NRW30" s="276"/>
      <c r="NRX30" s="276"/>
      <c r="NRY30" s="276"/>
      <c r="NRZ30" s="276"/>
      <c r="NSA30" s="276"/>
      <c r="NSB30" s="276"/>
      <c r="NSC30" s="276"/>
      <c r="NSD30" s="276"/>
      <c r="NSE30" s="276"/>
      <c r="NSF30" s="276"/>
      <c r="NSG30" s="276"/>
      <c r="NSH30" s="276"/>
      <c r="NSI30" s="276"/>
      <c r="NSJ30" s="276"/>
      <c r="NSK30" s="276"/>
      <c r="NSL30" s="276"/>
      <c r="NSM30" s="276"/>
      <c r="NSN30" s="276"/>
      <c r="NSO30" s="276"/>
      <c r="NSP30" s="276"/>
      <c r="NSQ30" s="276"/>
      <c r="NSR30" s="276"/>
      <c r="NSS30" s="276"/>
      <c r="NST30" s="276"/>
      <c r="NSU30" s="276"/>
      <c r="NSV30" s="276"/>
      <c r="NSW30" s="276"/>
      <c r="NSX30" s="276"/>
      <c r="NSY30" s="276"/>
      <c r="NSZ30" s="276"/>
      <c r="NTA30" s="276"/>
      <c r="NTB30" s="276"/>
      <c r="NTC30" s="276"/>
      <c r="NTD30" s="276"/>
      <c r="NTE30" s="276"/>
      <c r="NTF30" s="276"/>
      <c r="NTG30" s="276"/>
      <c r="NTH30" s="276"/>
      <c r="NTI30" s="276"/>
      <c r="NTJ30" s="276"/>
      <c r="NTK30" s="276"/>
      <c r="NTL30" s="276"/>
      <c r="NTM30" s="276"/>
      <c r="NTN30" s="276"/>
      <c r="NTO30" s="276"/>
      <c r="NTP30" s="276"/>
      <c r="NTQ30" s="276"/>
      <c r="NTR30" s="276"/>
      <c r="NTS30" s="276"/>
      <c r="NTT30" s="276"/>
      <c r="NTU30" s="276"/>
      <c r="NTV30" s="276"/>
      <c r="NTW30" s="276"/>
      <c r="NTX30" s="276"/>
      <c r="NTY30" s="276"/>
      <c r="NTZ30" s="276"/>
      <c r="NUA30" s="276"/>
      <c r="NUB30" s="276"/>
      <c r="NUC30" s="276"/>
      <c r="NUD30" s="276"/>
      <c r="NUE30" s="276"/>
      <c r="NUF30" s="276"/>
      <c r="NUG30" s="276"/>
      <c r="NUH30" s="276"/>
      <c r="NUI30" s="276"/>
      <c r="NUJ30" s="276"/>
      <c r="NUK30" s="276"/>
      <c r="NUL30" s="276"/>
      <c r="NUM30" s="276"/>
      <c r="NUN30" s="276"/>
      <c r="NUO30" s="276"/>
      <c r="NUP30" s="276"/>
      <c r="NUQ30" s="276"/>
      <c r="NUR30" s="276"/>
      <c r="NUS30" s="276"/>
      <c r="NUT30" s="276"/>
      <c r="NUU30" s="276"/>
      <c r="NUV30" s="276"/>
      <c r="NUW30" s="276"/>
      <c r="NUX30" s="276"/>
      <c r="NUY30" s="276"/>
      <c r="NUZ30" s="276"/>
      <c r="NVA30" s="276"/>
      <c r="NVB30" s="276"/>
      <c r="NVC30" s="276"/>
      <c r="NVD30" s="276"/>
      <c r="NVE30" s="276"/>
      <c r="NVF30" s="276"/>
      <c r="NVG30" s="276"/>
      <c r="NVH30" s="276"/>
      <c r="NVI30" s="276"/>
      <c r="NVJ30" s="276"/>
      <c r="NVK30" s="276"/>
      <c r="NVL30" s="276"/>
      <c r="NVM30" s="276"/>
      <c r="NVN30" s="276"/>
      <c r="NVO30" s="276"/>
      <c r="NVP30" s="276"/>
      <c r="NVQ30" s="276"/>
      <c r="NVR30" s="276"/>
      <c r="NVS30" s="276"/>
      <c r="NVT30" s="276"/>
      <c r="NVU30" s="276"/>
      <c r="NVV30" s="276"/>
      <c r="NVW30" s="276"/>
      <c r="NVX30" s="276"/>
      <c r="NVY30" s="276"/>
      <c r="NVZ30" s="276"/>
      <c r="NWA30" s="276"/>
      <c r="NWB30" s="276"/>
      <c r="NWC30" s="276"/>
      <c r="NWD30" s="276"/>
      <c r="NWE30" s="276"/>
      <c r="NWF30" s="276"/>
      <c r="NWG30" s="276"/>
      <c r="NWH30" s="276"/>
      <c r="NWI30" s="276"/>
      <c r="NWJ30" s="276"/>
      <c r="NWK30" s="276"/>
      <c r="NWL30" s="276"/>
      <c r="NWM30" s="276"/>
      <c r="NWN30" s="276"/>
      <c r="NWO30" s="276"/>
      <c r="NWP30" s="276"/>
      <c r="NWQ30" s="276"/>
      <c r="NWR30" s="276"/>
      <c r="NWS30" s="276"/>
      <c r="NWT30" s="276"/>
      <c r="NWU30" s="276"/>
      <c r="NWV30" s="276"/>
      <c r="NWW30" s="276"/>
      <c r="NWX30" s="276"/>
      <c r="NWY30" s="276"/>
      <c r="NWZ30" s="276"/>
      <c r="NXA30" s="276"/>
      <c r="NXB30" s="276"/>
      <c r="NXC30" s="276"/>
      <c r="NXD30" s="276"/>
      <c r="NXE30" s="276"/>
      <c r="NXF30" s="276"/>
      <c r="NXG30" s="276"/>
      <c r="NXH30" s="276"/>
      <c r="NXI30" s="276"/>
      <c r="NXJ30" s="276"/>
      <c r="NXK30" s="276"/>
      <c r="NXL30" s="276"/>
      <c r="NXM30" s="276"/>
      <c r="NXN30" s="276"/>
      <c r="NXO30" s="276"/>
      <c r="NXP30" s="276"/>
      <c r="NXQ30" s="276"/>
      <c r="NXR30" s="276"/>
      <c r="NXS30" s="276"/>
      <c r="NXT30" s="276"/>
      <c r="NXU30" s="276"/>
      <c r="NXV30" s="276"/>
      <c r="NXW30" s="276"/>
      <c r="NXX30" s="276"/>
      <c r="NXY30" s="276"/>
      <c r="NXZ30" s="276"/>
      <c r="NYA30" s="276"/>
      <c r="NYB30" s="276"/>
      <c r="NYC30" s="276"/>
      <c r="NYD30" s="276"/>
      <c r="NYE30" s="276"/>
      <c r="NYF30" s="276"/>
      <c r="NYG30" s="276"/>
      <c r="NYH30" s="276"/>
      <c r="NYI30" s="276"/>
      <c r="NYJ30" s="276"/>
      <c r="NYK30" s="276"/>
      <c r="NYL30" s="276"/>
      <c r="NYM30" s="276"/>
      <c r="NYN30" s="276"/>
      <c r="NYO30" s="276"/>
      <c r="NYP30" s="276"/>
      <c r="NYQ30" s="276"/>
      <c r="NYR30" s="276"/>
      <c r="NYS30" s="276"/>
      <c r="NYT30" s="276"/>
      <c r="NYU30" s="276"/>
      <c r="NYV30" s="276"/>
      <c r="NYW30" s="276"/>
      <c r="NYX30" s="276"/>
      <c r="NYY30" s="276"/>
      <c r="NYZ30" s="276"/>
      <c r="NZA30" s="276"/>
      <c r="NZB30" s="276"/>
      <c r="NZC30" s="276"/>
      <c r="NZD30" s="276"/>
      <c r="NZE30" s="276"/>
      <c r="NZF30" s="276"/>
      <c r="NZG30" s="276"/>
      <c r="NZH30" s="276"/>
      <c r="NZI30" s="276"/>
      <c r="NZJ30" s="276"/>
      <c r="NZK30" s="276"/>
      <c r="NZL30" s="276"/>
      <c r="NZM30" s="276"/>
      <c r="NZN30" s="276"/>
      <c r="NZO30" s="276"/>
      <c r="NZP30" s="276"/>
      <c r="NZQ30" s="276"/>
      <c r="NZR30" s="276"/>
      <c r="NZS30" s="276"/>
      <c r="NZT30" s="276"/>
      <c r="NZU30" s="276"/>
      <c r="NZV30" s="276"/>
      <c r="NZW30" s="276"/>
      <c r="NZX30" s="276"/>
      <c r="NZY30" s="276"/>
      <c r="NZZ30" s="276"/>
      <c r="OAA30" s="276"/>
      <c r="OAB30" s="276"/>
      <c r="OAC30" s="276"/>
      <c r="OAD30" s="276"/>
      <c r="OAE30" s="276"/>
      <c r="OAF30" s="276"/>
      <c r="OAG30" s="276"/>
      <c r="OAH30" s="276"/>
      <c r="OAI30" s="276"/>
      <c r="OAJ30" s="276"/>
      <c r="OAK30" s="276"/>
      <c r="OAL30" s="276"/>
      <c r="OAM30" s="276"/>
      <c r="OAN30" s="276"/>
      <c r="OAO30" s="276"/>
      <c r="OAP30" s="276"/>
      <c r="OAQ30" s="276"/>
      <c r="OAR30" s="276"/>
      <c r="OAS30" s="276"/>
      <c r="OAT30" s="276"/>
      <c r="OAU30" s="276"/>
      <c r="OAV30" s="276"/>
      <c r="OAW30" s="276"/>
      <c r="OAX30" s="276"/>
      <c r="OAY30" s="276"/>
      <c r="OAZ30" s="276"/>
      <c r="OBA30" s="276"/>
      <c r="OBB30" s="276"/>
      <c r="OBC30" s="276"/>
      <c r="OBD30" s="276"/>
      <c r="OBE30" s="276"/>
      <c r="OBF30" s="276"/>
      <c r="OBG30" s="276"/>
      <c r="OBH30" s="276"/>
      <c r="OBI30" s="276"/>
      <c r="OBJ30" s="276"/>
      <c r="OBK30" s="276"/>
      <c r="OBL30" s="276"/>
      <c r="OBM30" s="276"/>
      <c r="OBN30" s="276"/>
      <c r="OBO30" s="276"/>
      <c r="OBP30" s="276"/>
      <c r="OBQ30" s="276"/>
      <c r="OBR30" s="276"/>
      <c r="OBS30" s="276"/>
      <c r="OBT30" s="276"/>
      <c r="OBU30" s="276"/>
      <c r="OBV30" s="276"/>
      <c r="OBW30" s="276"/>
      <c r="OBX30" s="276"/>
      <c r="OBY30" s="276"/>
      <c r="OBZ30" s="276"/>
      <c r="OCA30" s="276"/>
      <c r="OCB30" s="276"/>
      <c r="OCC30" s="276"/>
      <c r="OCD30" s="276"/>
      <c r="OCE30" s="276"/>
      <c r="OCF30" s="276"/>
      <c r="OCG30" s="276"/>
      <c r="OCH30" s="276"/>
      <c r="OCI30" s="276"/>
      <c r="OCJ30" s="276"/>
      <c r="OCK30" s="276"/>
      <c r="OCL30" s="276"/>
      <c r="OCM30" s="276"/>
      <c r="OCN30" s="276"/>
      <c r="OCO30" s="276"/>
      <c r="OCP30" s="276"/>
      <c r="OCQ30" s="276"/>
      <c r="OCR30" s="276"/>
      <c r="OCS30" s="276"/>
      <c r="OCT30" s="276"/>
      <c r="OCU30" s="276"/>
      <c r="OCV30" s="276"/>
      <c r="OCW30" s="276"/>
      <c r="OCX30" s="276"/>
      <c r="OCY30" s="276"/>
      <c r="OCZ30" s="276"/>
      <c r="ODA30" s="276"/>
      <c r="ODB30" s="276"/>
      <c r="ODC30" s="276"/>
      <c r="ODD30" s="276"/>
      <c r="ODE30" s="276"/>
      <c r="ODF30" s="276"/>
      <c r="ODG30" s="276"/>
      <c r="ODH30" s="276"/>
      <c r="ODI30" s="276"/>
      <c r="ODJ30" s="276"/>
      <c r="ODK30" s="276"/>
      <c r="ODL30" s="276"/>
      <c r="ODM30" s="276"/>
      <c r="ODN30" s="276"/>
      <c r="ODO30" s="276"/>
      <c r="ODP30" s="276"/>
      <c r="ODQ30" s="276"/>
      <c r="ODR30" s="276"/>
      <c r="ODS30" s="276"/>
      <c r="ODT30" s="276"/>
      <c r="ODU30" s="276"/>
      <c r="ODV30" s="276"/>
      <c r="ODW30" s="276"/>
      <c r="ODX30" s="276"/>
      <c r="ODY30" s="276"/>
      <c r="ODZ30" s="276"/>
      <c r="OEA30" s="276"/>
      <c r="OEB30" s="276"/>
      <c r="OEC30" s="276"/>
      <c r="OED30" s="276"/>
      <c r="OEE30" s="276"/>
      <c r="OEF30" s="276"/>
      <c r="OEG30" s="276"/>
      <c r="OEH30" s="276"/>
      <c r="OEI30" s="276"/>
      <c r="OEJ30" s="276"/>
      <c r="OEK30" s="276"/>
      <c r="OEL30" s="276"/>
      <c r="OEM30" s="276"/>
      <c r="OEN30" s="276"/>
      <c r="OEO30" s="276"/>
      <c r="OEP30" s="276"/>
      <c r="OEQ30" s="276"/>
      <c r="OER30" s="276"/>
      <c r="OES30" s="276"/>
      <c r="OET30" s="276"/>
      <c r="OEU30" s="276"/>
      <c r="OEV30" s="276"/>
      <c r="OEW30" s="276"/>
      <c r="OEX30" s="276"/>
      <c r="OEY30" s="276"/>
      <c r="OEZ30" s="276"/>
      <c r="OFA30" s="276"/>
      <c r="OFB30" s="276"/>
      <c r="OFC30" s="276"/>
      <c r="OFD30" s="276"/>
      <c r="OFE30" s="276"/>
      <c r="OFF30" s="276"/>
      <c r="OFG30" s="276"/>
      <c r="OFH30" s="276"/>
      <c r="OFI30" s="276"/>
      <c r="OFJ30" s="276"/>
      <c r="OFK30" s="276"/>
      <c r="OFL30" s="276"/>
      <c r="OFM30" s="276"/>
      <c r="OFN30" s="276"/>
      <c r="OFO30" s="276"/>
      <c r="OFP30" s="276"/>
      <c r="OFQ30" s="276"/>
      <c r="OFR30" s="276"/>
      <c r="OFS30" s="276"/>
      <c r="OFT30" s="276"/>
      <c r="OFU30" s="276"/>
      <c r="OFV30" s="276"/>
      <c r="OFW30" s="276"/>
      <c r="OFX30" s="276"/>
      <c r="OFY30" s="276"/>
      <c r="OFZ30" s="276"/>
      <c r="OGA30" s="276"/>
      <c r="OGB30" s="276"/>
      <c r="OGC30" s="276"/>
      <c r="OGD30" s="276"/>
      <c r="OGE30" s="276"/>
      <c r="OGF30" s="276"/>
      <c r="OGG30" s="276"/>
      <c r="OGH30" s="276"/>
      <c r="OGI30" s="276"/>
      <c r="OGJ30" s="276"/>
      <c r="OGK30" s="276"/>
      <c r="OGL30" s="276"/>
      <c r="OGM30" s="276"/>
      <c r="OGN30" s="276"/>
      <c r="OGO30" s="276"/>
      <c r="OGP30" s="276"/>
      <c r="OGQ30" s="276"/>
      <c r="OGR30" s="276"/>
      <c r="OGS30" s="276"/>
      <c r="OGT30" s="276"/>
      <c r="OGU30" s="276"/>
      <c r="OGV30" s="276"/>
      <c r="OGW30" s="276"/>
      <c r="OGX30" s="276"/>
      <c r="OGY30" s="276"/>
      <c r="OGZ30" s="276"/>
      <c r="OHA30" s="276"/>
      <c r="OHB30" s="276"/>
      <c r="OHC30" s="276"/>
      <c r="OHD30" s="276"/>
      <c r="OHE30" s="276"/>
      <c r="OHF30" s="276"/>
      <c r="OHG30" s="276"/>
      <c r="OHH30" s="276"/>
      <c r="OHI30" s="276"/>
      <c r="OHJ30" s="276"/>
      <c r="OHK30" s="276"/>
      <c r="OHL30" s="276"/>
      <c r="OHM30" s="276"/>
      <c r="OHN30" s="276"/>
      <c r="OHO30" s="276"/>
      <c r="OHP30" s="276"/>
      <c r="OHQ30" s="276"/>
      <c r="OHR30" s="276"/>
      <c r="OHS30" s="276"/>
      <c r="OHT30" s="276"/>
      <c r="OHU30" s="276"/>
      <c r="OHV30" s="276"/>
      <c r="OHW30" s="276"/>
      <c r="OHX30" s="276"/>
      <c r="OHY30" s="276"/>
      <c r="OHZ30" s="276"/>
      <c r="OIA30" s="276"/>
      <c r="OIB30" s="276"/>
      <c r="OIC30" s="276"/>
      <c r="OID30" s="276"/>
      <c r="OIE30" s="276"/>
      <c r="OIF30" s="276"/>
      <c r="OIG30" s="276"/>
      <c r="OIH30" s="276"/>
      <c r="OII30" s="276"/>
      <c r="OIJ30" s="276"/>
      <c r="OIK30" s="276"/>
      <c r="OIL30" s="276"/>
      <c r="OIM30" s="276"/>
      <c r="OIN30" s="276"/>
      <c r="OIO30" s="276"/>
      <c r="OIP30" s="276"/>
      <c r="OIQ30" s="276"/>
      <c r="OIR30" s="276"/>
      <c r="OIS30" s="276"/>
      <c r="OIT30" s="276"/>
      <c r="OIU30" s="276"/>
      <c r="OIV30" s="276"/>
      <c r="OIW30" s="276"/>
      <c r="OIX30" s="276"/>
      <c r="OIY30" s="276"/>
      <c r="OIZ30" s="276"/>
      <c r="OJA30" s="276"/>
      <c r="OJB30" s="276"/>
      <c r="OJC30" s="276"/>
      <c r="OJD30" s="276"/>
      <c r="OJE30" s="276"/>
      <c r="OJF30" s="276"/>
      <c r="OJG30" s="276"/>
      <c r="OJH30" s="276"/>
      <c r="OJI30" s="276"/>
      <c r="OJJ30" s="276"/>
      <c r="OJK30" s="276"/>
      <c r="OJL30" s="276"/>
      <c r="OJM30" s="276"/>
      <c r="OJN30" s="276"/>
      <c r="OJO30" s="276"/>
      <c r="OJP30" s="276"/>
      <c r="OJQ30" s="276"/>
      <c r="OJR30" s="276"/>
      <c r="OJS30" s="276"/>
      <c r="OJT30" s="276"/>
      <c r="OJU30" s="276"/>
      <c r="OJV30" s="276"/>
      <c r="OJW30" s="276"/>
      <c r="OJX30" s="276"/>
      <c r="OJY30" s="276"/>
      <c r="OJZ30" s="276"/>
      <c r="OKA30" s="276"/>
      <c r="OKB30" s="276"/>
      <c r="OKC30" s="276"/>
      <c r="OKD30" s="276"/>
      <c r="OKE30" s="276"/>
      <c r="OKF30" s="276"/>
      <c r="OKG30" s="276"/>
      <c r="OKH30" s="276"/>
      <c r="OKI30" s="276"/>
      <c r="OKJ30" s="276"/>
      <c r="OKK30" s="276"/>
      <c r="OKL30" s="276"/>
      <c r="OKM30" s="276"/>
      <c r="OKN30" s="276"/>
      <c r="OKO30" s="276"/>
      <c r="OKP30" s="276"/>
      <c r="OKQ30" s="276"/>
      <c r="OKR30" s="276"/>
      <c r="OKS30" s="276"/>
      <c r="OKT30" s="276"/>
      <c r="OKU30" s="276"/>
      <c r="OKV30" s="276"/>
      <c r="OKW30" s="276"/>
      <c r="OKX30" s="276"/>
      <c r="OKY30" s="276"/>
      <c r="OKZ30" s="276"/>
      <c r="OLA30" s="276"/>
      <c r="OLB30" s="276"/>
      <c r="OLC30" s="276"/>
      <c r="OLD30" s="276"/>
      <c r="OLE30" s="276"/>
      <c r="OLF30" s="276"/>
      <c r="OLG30" s="276"/>
      <c r="OLH30" s="276"/>
      <c r="OLI30" s="276"/>
      <c r="OLJ30" s="276"/>
      <c r="OLK30" s="276"/>
      <c r="OLL30" s="276"/>
      <c r="OLM30" s="276"/>
      <c r="OLN30" s="276"/>
      <c r="OLO30" s="276"/>
      <c r="OLP30" s="276"/>
      <c r="OLQ30" s="276"/>
      <c r="OLR30" s="276"/>
      <c r="OLS30" s="276"/>
      <c r="OLT30" s="276"/>
      <c r="OLU30" s="276"/>
      <c r="OLV30" s="276"/>
      <c r="OLW30" s="276"/>
      <c r="OLX30" s="276"/>
      <c r="OLY30" s="276"/>
      <c r="OLZ30" s="276"/>
      <c r="OMA30" s="276"/>
      <c r="OMB30" s="276"/>
      <c r="OMC30" s="276"/>
      <c r="OMD30" s="276"/>
      <c r="OME30" s="276"/>
      <c r="OMF30" s="276"/>
      <c r="OMG30" s="276"/>
      <c r="OMH30" s="276"/>
      <c r="OMI30" s="276"/>
      <c r="OMJ30" s="276"/>
      <c r="OMK30" s="276"/>
      <c r="OML30" s="276"/>
      <c r="OMM30" s="276"/>
      <c r="OMN30" s="276"/>
      <c r="OMO30" s="276"/>
      <c r="OMP30" s="276"/>
      <c r="OMQ30" s="276"/>
      <c r="OMR30" s="276"/>
      <c r="OMS30" s="276"/>
      <c r="OMT30" s="276"/>
      <c r="OMU30" s="276"/>
      <c r="OMV30" s="276"/>
      <c r="OMW30" s="276"/>
      <c r="OMX30" s="276"/>
      <c r="OMY30" s="276"/>
      <c r="OMZ30" s="276"/>
      <c r="ONA30" s="276"/>
      <c r="ONB30" s="276"/>
      <c r="ONC30" s="276"/>
      <c r="OND30" s="276"/>
      <c r="ONE30" s="276"/>
      <c r="ONF30" s="276"/>
      <c r="ONG30" s="276"/>
      <c r="ONH30" s="276"/>
      <c r="ONI30" s="276"/>
      <c r="ONJ30" s="276"/>
      <c r="ONK30" s="276"/>
      <c r="ONL30" s="276"/>
      <c r="ONM30" s="276"/>
      <c r="ONN30" s="276"/>
      <c r="ONO30" s="276"/>
      <c r="ONP30" s="276"/>
      <c r="ONQ30" s="276"/>
      <c r="ONR30" s="276"/>
      <c r="ONS30" s="276"/>
      <c r="ONT30" s="276"/>
      <c r="ONU30" s="276"/>
      <c r="ONV30" s="276"/>
      <c r="ONW30" s="276"/>
      <c r="ONX30" s="276"/>
      <c r="ONY30" s="276"/>
      <c r="ONZ30" s="276"/>
      <c r="OOA30" s="276"/>
      <c r="OOB30" s="276"/>
      <c r="OOC30" s="276"/>
      <c r="OOD30" s="276"/>
      <c r="OOE30" s="276"/>
      <c r="OOF30" s="276"/>
      <c r="OOG30" s="276"/>
      <c r="OOH30" s="276"/>
      <c r="OOI30" s="276"/>
      <c r="OOJ30" s="276"/>
      <c r="OOK30" s="276"/>
      <c r="OOL30" s="276"/>
      <c r="OOM30" s="276"/>
      <c r="OON30" s="276"/>
      <c r="OOO30" s="276"/>
      <c r="OOP30" s="276"/>
      <c r="OOQ30" s="276"/>
      <c r="OOR30" s="276"/>
      <c r="OOS30" s="276"/>
      <c r="OOT30" s="276"/>
      <c r="OOU30" s="276"/>
      <c r="OOV30" s="276"/>
      <c r="OOW30" s="276"/>
      <c r="OOX30" s="276"/>
      <c r="OOY30" s="276"/>
      <c r="OOZ30" s="276"/>
      <c r="OPA30" s="276"/>
      <c r="OPB30" s="276"/>
      <c r="OPC30" s="276"/>
      <c r="OPD30" s="276"/>
      <c r="OPE30" s="276"/>
      <c r="OPF30" s="276"/>
      <c r="OPG30" s="276"/>
      <c r="OPH30" s="276"/>
      <c r="OPI30" s="276"/>
      <c r="OPJ30" s="276"/>
      <c r="OPK30" s="276"/>
      <c r="OPL30" s="276"/>
      <c r="OPM30" s="276"/>
      <c r="OPN30" s="276"/>
      <c r="OPO30" s="276"/>
      <c r="OPP30" s="276"/>
      <c r="OPQ30" s="276"/>
      <c r="OPR30" s="276"/>
      <c r="OPS30" s="276"/>
      <c r="OPT30" s="276"/>
      <c r="OPU30" s="276"/>
      <c r="OPV30" s="276"/>
      <c r="OPW30" s="276"/>
      <c r="OPX30" s="276"/>
      <c r="OPY30" s="276"/>
      <c r="OPZ30" s="276"/>
      <c r="OQA30" s="276"/>
      <c r="OQB30" s="276"/>
      <c r="OQC30" s="276"/>
      <c r="OQD30" s="276"/>
      <c r="OQE30" s="276"/>
      <c r="OQF30" s="276"/>
      <c r="OQG30" s="276"/>
      <c r="OQH30" s="276"/>
      <c r="OQI30" s="276"/>
      <c r="OQJ30" s="276"/>
      <c r="OQK30" s="276"/>
      <c r="OQL30" s="276"/>
      <c r="OQM30" s="276"/>
      <c r="OQN30" s="276"/>
      <c r="OQO30" s="276"/>
      <c r="OQP30" s="276"/>
      <c r="OQQ30" s="276"/>
      <c r="OQR30" s="276"/>
      <c r="OQS30" s="276"/>
      <c r="OQT30" s="276"/>
      <c r="OQU30" s="276"/>
      <c r="OQV30" s="276"/>
      <c r="OQW30" s="276"/>
      <c r="OQX30" s="276"/>
      <c r="OQY30" s="276"/>
      <c r="OQZ30" s="276"/>
      <c r="ORA30" s="276"/>
      <c r="ORB30" s="276"/>
      <c r="ORC30" s="276"/>
      <c r="ORD30" s="276"/>
      <c r="ORE30" s="276"/>
      <c r="ORF30" s="276"/>
      <c r="ORG30" s="276"/>
      <c r="ORH30" s="276"/>
      <c r="ORI30" s="276"/>
      <c r="ORJ30" s="276"/>
      <c r="ORK30" s="276"/>
      <c r="ORL30" s="276"/>
      <c r="ORM30" s="276"/>
      <c r="ORN30" s="276"/>
      <c r="ORO30" s="276"/>
      <c r="ORP30" s="276"/>
      <c r="ORQ30" s="276"/>
      <c r="ORR30" s="276"/>
      <c r="ORS30" s="276"/>
      <c r="ORT30" s="276"/>
      <c r="ORU30" s="276"/>
      <c r="ORV30" s="276"/>
      <c r="ORW30" s="276"/>
      <c r="ORX30" s="276"/>
      <c r="ORY30" s="276"/>
      <c r="ORZ30" s="276"/>
      <c r="OSA30" s="276"/>
      <c r="OSB30" s="276"/>
      <c r="OSC30" s="276"/>
      <c r="OSD30" s="276"/>
      <c r="OSE30" s="276"/>
      <c r="OSF30" s="276"/>
      <c r="OSG30" s="276"/>
      <c r="OSH30" s="276"/>
      <c r="OSI30" s="276"/>
      <c r="OSJ30" s="276"/>
      <c r="OSK30" s="276"/>
      <c r="OSL30" s="276"/>
      <c r="OSM30" s="276"/>
      <c r="OSN30" s="276"/>
      <c r="OSO30" s="276"/>
      <c r="OSP30" s="276"/>
      <c r="OSQ30" s="276"/>
      <c r="OSR30" s="276"/>
      <c r="OSS30" s="276"/>
      <c r="OST30" s="276"/>
      <c r="OSU30" s="276"/>
      <c r="OSV30" s="276"/>
      <c r="OSW30" s="276"/>
      <c r="OSX30" s="276"/>
      <c r="OSY30" s="276"/>
      <c r="OSZ30" s="276"/>
      <c r="OTA30" s="276"/>
      <c r="OTB30" s="276"/>
      <c r="OTC30" s="276"/>
      <c r="OTD30" s="276"/>
      <c r="OTE30" s="276"/>
      <c r="OTF30" s="276"/>
      <c r="OTG30" s="276"/>
      <c r="OTH30" s="276"/>
      <c r="OTI30" s="276"/>
      <c r="OTJ30" s="276"/>
      <c r="OTK30" s="276"/>
      <c r="OTL30" s="276"/>
      <c r="OTM30" s="276"/>
      <c r="OTN30" s="276"/>
      <c r="OTO30" s="276"/>
      <c r="OTP30" s="276"/>
      <c r="OTQ30" s="276"/>
      <c r="OTR30" s="276"/>
      <c r="OTS30" s="276"/>
      <c r="OTT30" s="276"/>
      <c r="OTU30" s="276"/>
      <c r="OTV30" s="276"/>
      <c r="OTW30" s="276"/>
      <c r="OTX30" s="276"/>
      <c r="OTY30" s="276"/>
      <c r="OTZ30" s="276"/>
      <c r="OUA30" s="276"/>
      <c r="OUB30" s="276"/>
      <c r="OUC30" s="276"/>
      <c r="OUD30" s="276"/>
      <c r="OUE30" s="276"/>
      <c r="OUF30" s="276"/>
      <c r="OUG30" s="276"/>
      <c r="OUH30" s="276"/>
      <c r="OUI30" s="276"/>
      <c r="OUJ30" s="276"/>
      <c r="OUK30" s="276"/>
      <c r="OUL30" s="276"/>
      <c r="OUM30" s="276"/>
      <c r="OUN30" s="276"/>
      <c r="OUO30" s="276"/>
      <c r="OUP30" s="276"/>
      <c r="OUQ30" s="276"/>
      <c r="OUR30" s="276"/>
      <c r="OUS30" s="276"/>
      <c r="OUT30" s="276"/>
      <c r="OUU30" s="276"/>
      <c r="OUV30" s="276"/>
      <c r="OUW30" s="276"/>
      <c r="OUX30" s="276"/>
      <c r="OUY30" s="276"/>
      <c r="OUZ30" s="276"/>
      <c r="OVA30" s="276"/>
      <c r="OVB30" s="276"/>
      <c r="OVC30" s="276"/>
      <c r="OVD30" s="276"/>
      <c r="OVE30" s="276"/>
      <c r="OVF30" s="276"/>
      <c r="OVG30" s="276"/>
      <c r="OVH30" s="276"/>
      <c r="OVI30" s="276"/>
      <c r="OVJ30" s="276"/>
      <c r="OVK30" s="276"/>
      <c r="OVL30" s="276"/>
      <c r="OVM30" s="276"/>
      <c r="OVN30" s="276"/>
      <c r="OVO30" s="276"/>
      <c r="OVP30" s="276"/>
      <c r="OVQ30" s="276"/>
      <c r="OVR30" s="276"/>
      <c r="OVS30" s="276"/>
      <c r="OVT30" s="276"/>
      <c r="OVU30" s="276"/>
      <c r="OVV30" s="276"/>
      <c r="OVW30" s="276"/>
      <c r="OVX30" s="276"/>
      <c r="OVY30" s="276"/>
      <c r="OVZ30" s="276"/>
      <c r="OWA30" s="276"/>
      <c r="OWB30" s="276"/>
      <c r="OWC30" s="276"/>
      <c r="OWD30" s="276"/>
      <c r="OWE30" s="276"/>
      <c r="OWF30" s="276"/>
      <c r="OWG30" s="276"/>
      <c r="OWH30" s="276"/>
      <c r="OWI30" s="276"/>
      <c r="OWJ30" s="276"/>
      <c r="OWK30" s="276"/>
      <c r="OWL30" s="276"/>
      <c r="OWM30" s="276"/>
      <c r="OWN30" s="276"/>
      <c r="OWO30" s="276"/>
      <c r="OWP30" s="276"/>
      <c r="OWQ30" s="276"/>
      <c r="OWR30" s="276"/>
      <c r="OWS30" s="276"/>
      <c r="OWT30" s="276"/>
      <c r="OWU30" s="276"/>
      <c r="OWV30" s="276"/>
      <c r="OWW30" s="276"/>
      <c r="OWX30" s="276"/>
      <c r="OWY30" s="276"/>
      <c r="OWZ30" s="276"/>
      <c r="OXA30" s="276"/>
      <c r="OXB30" s="276"/>
      <c r="OXC30" s="276"/>
      <c r="OXD30" s="276"/>
      <c r="OXE30" s="276"/>
      <c r="OXF30" s="276"/>
      <c r="OXG30" s="276"/>
      <c r="OXH30" s="276"/>
      <c r="OXI30" s="276"/>
      <c r="OXJ30" s="276"/>
      <c r="OXK30" s="276"/>
      <c r="OXL30" s="276"/>
      <c r="OXM30" s="276"/>
      <c r="OXN30" s="276"/>
      <c r="OXO30" s="276"/>
      <c r="OXP30" s="276"/>
      <c r="OXQ30" s="276"/>
      <c r="OXR30" s="276"/>
      <c r="OXS30" s="276"/>
      <c r="OXT30" s="276"/>
      <c r="OXU30" s="276"/>
      <c r="OXV30" s="276"/>
      <c r="OXW30" s="276"/>
      <c r="OXX30" s="276"/>
      <c r="OXY30" s="276"/>
      <c r="OXZ30" s="276"/>
      <c r="OYA30" s="276"/>
      <c r="OYB30" s="276"/>
      <c r="OYC30" s="276"/>
      <c r="OYD30" s="276"/>
      <c r="OYE30" s="276"/>
      <c r="OYF30" s="276"/>
      <c r="OYG30" s="276"/>
      <c r="OYH30" s="276"/>
      <c r="OYI30" s="276"/>
      <c r="OYJ30" s="276"/>
      <c r="OYK30" s="276"/>
      <c r="OYL30" s="276"/>
      <c r="OYM30" s="276"/>
      <c r="OYN30" s="276"/>
      <c r="OYO30" s="276"/>
      <c r="OYP30" s="276"/>
      <c r="OYQ30" s="276"/>
      <c r="OYR30" s="276"/>
      <c r="OYS30" s="276"/>
      <c r="OYT30" s="276"/>
      <c r="OYU30" s="276"/>
      <c r="OYV30" s="276"/>
      <c r="OYW30" s="276"/>
      <c r="OYX30" s="276"/>
      <c r="OYY30" s="276"/>
      <c r="OYZ30" s="276"/>
      <c r="OZA30" s="276"/>
      <c r="OZB30" s="276"/>
      <c r="OZC30" s="276"/>
      <c r="OZD30" s="276"/>
      <c r="OZE30" s="276"/>
      <c r="OZF30" s="276"/>
      <c r="OZG30" s="276"/>
      <c r="OZH30" s="276"/>
      <c r="OZI30" s="276"/>
      <c r="OZJ30" s="276"/>
      <c r="OZK30" s="276"/>
      <c r="OZL30" s="276"/>
      <c r="OZM30" s="276"/>
      <c r="OZN30" s="276"/>
      <c r="OZO30" s="276"/>
      <c r="OZP30" s="276"/>
      <c r="OZQ30" s="276"/>
      <c r="OZR30" s="276"/>
      <c r="OZS30" s="276"/>
      <c r="OZT30" s="276"/>
      <c r="OZU30" s="276"/>
      <c r="OZV30" s="276"/>
      <c r="OZW30" s="276"/>
      <c r="OZX30" s="276"/>
      <c r="OZY30" s="276"/>
      <c r="OZZ30" s="276"/>
      <c r="PAA30" s="276"/>
      <c r="PAB30" s="276"/>
      <c r="PAC30" s="276"/>
      <c r="PAD30" s="276"/>
      <c r="PAE30" s="276"/>
      <c r="PAF30" s="276"/>
      <c r="PAG30" s="276"/>
      <c r="PAH30" s="276"/>
      <c r="PAI30" s="276"/>
      <c r="PAJ30" s="276"/>
      <c r="PAK30" s="276"/>
      <c r="PAL30" s="276"/>
      <c r="PAM30" s="276"/>
      <c r="PAN30" s="276"/>
      <c r="PAO30" s="276"/>
      <c r="PAP30" s="276"/>
      <c r="PAQ30" s="276"/>
      <c r="PAR30" s="276"/>
      <c r="PAS30" s="276"/>
      <c r="PAT30" s="276"/>
      <c r="PAU30" s="276"/>
      <c r="PAV30" s="276"/>
      <c r="PAW30" s="276"/>
      <c r="PAX30" s="276"/>
      <c r="PAY30" s="276"/>
      <c r="PAZ30" s="276"/>
      <c r="PBA30" s="276"/>
      <c r="PBB30" s="276"/>
      <c r="PBC30" s="276"/>
      <c r="PBD30" s="276"/>
      <c r="PBE30" s="276"/>
      <c r="PBF30" s="276"/>
      <c r="PBG30" s="276"/>
      <c r="PBH30" s="276"/>
      <c r="PBI30" s="276"/>
      <c r="PBJ30" s="276"/>
      <c r="PBK30" s="276"/>
      <c r="PBL30" s="276"/>
      <c r="PBM30" s="276"/>
      <c r="PBN30" s="276"/>
      <c r="PBO30" s="276"/>
      <c r="PBP30" s="276"/>
      <c r="PBQ30" s="276"/>
      <c r="PBR30" s="276"/>
      <c r="PBS30" s="276"/>
      <c r="PBT30" s="276"/>
      <c r="PBU30" s="276"/>
      <c r="PBV30" s="276"/>
      <c r="PBW30" s="276"/>
      <c r="PBX30" s="276"/>
      <c r="PBY30" s="276"/>
      <c r="PBZ30" s="276"/>
      <c r="PCA30" s="276"/>
      <c r="PCB30" s="276"/>
      <c r="PCC30" s="276"/>
      <c r="PCD30" s="276"/>
      <c r="PCE30" s="276"/>
      <c r="PCF30" s="276"/>
      <c r="PCG30" s="276"/>
      <c r="PCH30" s="276"/>
      <c r="PCI30" s="276"/>
      <c r="PCJ30" s="276"/>
      <c r="PCK30" s="276"/>
      <c r="PCL30" s="276"/>
      <c r="PCM30" s="276"/>
      <c r="PCN30" s="276"/>
      <c r="PCO30" s="276"/>
      <c r="PCP30" s="276"/>
      <c r="PCQ30" s="276"/>
      <c r="PCR30" s="276"/>
      <c r="PCS30" s="276"/>
      <c r="PCT30" s="276"/>
      <c r="PCU30" s="276"/>
      <c r="PCV30" s="276"/>
      <c r="PCW30" s="276"/>
      <c r="PCX30" s="276"/>
      <c r="PCY30" s="276"/>
      <c r="PCZ30" s="276"/>
      <c r="PDA30" s="276"/>
      <c r="PDB30" s="276"/>
      <c r="PDC30" s="276"/>
      <c r="PDD30" s="276"/>
      <c r="PDE30" s="276"/>
      <c r="PDF30" s="276"/>
      <c r="PDG30" s="276"/>
      <c r="PDH30" s="276"/>
      <c r="PDI30" s="276"/>
      <c r="PDJ30" s="276"/>
      <c r="PDK30" s="276"/>
      <c r="PDL30" s="276"/>
      <c r="PDM30" s="276"/>
      <c r="PDN30" s="276"/>
      <c r="PDO30" s="276"/>
      <c r="PDP30" s="276"/>
      <c r="PDQ30" s="276"/>
      <c r="PDR30" s="276"/>
      <c r="PDS30" s="276"/>
      <c r="PDT30" s="276"/>
      <c r="PDU30" s="276"/>
      <c r="PDV30" s="276"/>
      <c r="PDW30" s="276"/>
      <c r="PDX30" s="276"/>
      <c r="PDY30" s="276"/>
      <c r="PDZ30" s="276"/>
      <c r="PEA30" s="276"/>
      <c r="PEB30" s="276"/>
      <c r="PEC30" s="276"/>
      <c r="PED30" s="276"/>
      <c r="PEE30" s="276"/>
      <c r="PEF30" s="276"/>
      <c r="PEG30" s="276"/>
      <c r="PEH30" s="276"/>
      <c r="PEI30" s="276"/>
      <c r="PEJ30" s="276"/>
      <c r="PEK30" s="276"/>
      <c r="PEL30" s="276"/>
      <c r="PEM30" s="276"/>
      <c r="PEN30" s="276"/>
      <c r="PEO30" s="276"/>
      <c r="PEP30" s="276"/>
      <c r="PEQ30" s="276"/>
      <c r="PER30" s="276"/>
      <c r="PES30" s="276"/>
      <c r="PET30" s="276"/>
      <c r="PEU30" s="276"/>
      <c r="PEV30" s="276"/>
      <c r="PEW30" s="276"/>
      <c r="PEX30" s="276"/>
      <c r="PEY30" s="276"/>
      <c r="PEZ30" s="276"/>
      <c r="PFA30" s="276"/>
      <c r="PFB30" s="276"/>
      <c r="PFC30" s="276"/>
      <c r="PFD30" s="276"/>
      <c r="PFE30" s="276"/>
      <c r="PFF30" s="276"/>
      <c r="PFG30" s="276"/>
      <c r="PFH30" s="276"/>
      <c r="PFI30" s="276"/>
      <c r="PFJ30" s="276"/>
      <c r="PFK30" s="276"/>
      <c r="PFL30" s="276"/>
      <c r="PFM30" s="276"/>
      <c r="PFN30" s="276"/>
      <c r="PFO30" s="276"/>
      <c r="PFP30" s="276"/>
      <c r="PFQ30" s="276"/>
      <c r="PFR30" s="276"/>
      <c r="PFS30" s="276"/>
      <c r="PFT30" s="276"/>
      <c r="PFU30" s="276"/>
      <c r="PFV30" s="276"/>
      <c r="PFW30" s="276"/>
      <c r="PFX30" s="276"/>
      <c r="PFY30" s="276"/>
      <c r="PFZ30" s="276"/>
      <c r="PGA30" s="276"/>
      <c r="PGB30" s="276"/>
      <c r="PGC30" s="276"/>
      <c r="PGD30" s="276"/>
      <c r="PGE30" s="276"/>
      <c r="PGF30" s="276"/>
      <c r="PGG30" s="276"/>
      <c r="PGH30" s="276"/>
      <c r="PGI30" s="276"/>
      <c r="PGJ30" s="276"/>
      <c r="PGK30" s="276"/>
      <c r="PGL30" s="276"/>
      <c r="PGM30" s="276"/>
      <c r="PGN30" s="276"/>
      <c r="PGO30" s="276"/>
      <c r="PGP30" s="276"/>
      <c r="PGQ30" s="276"/>
      <c r="PGR30" s="276"/>
      <c r="PGS30" s="276"/>
      <c r="PGT30" s="276"/>
      <c r="PGU30" s="276"/>
      <c r="PGV30" s="276"/>
      <c r="PGW30" s="276"/>
      <c r="PGX30" s="276"/>
      <c r="PGY30" s="276"/>
      <c r="PGZ30" s="276"/>
      <c r="PHA30" s="276"/>
      <c r="PHB30" s="276"/>
      <c r="PHC30" s="276"/>
      <c r="PHD30" s="276"/>
      <c r="PHE30" s="276"/>
      <c r="PHF30" s="276"/>
      <c r="PHG30" s="276"/>
      <c r="PHH30" s="276"/>
      <c r="PHI30" s="276"/>
      <c r="PHJ30" s="276"/>
      <c r="PHK30" s="276"/>
      <c r="PHL30" s="276"/>
      <c r="PHM30" s="276"/>
      <c r="PHN30" s="276"/>
      <c r="PHO30" s="276"/>
      <c r="PHP30" s="276"/>
      <c r="PHQ30" s="276"/>
      <c r="PHR30" s="276"/>
      <c r="PHS30" s="276"/>
      <c r="PHT30" s="276"/>
      <c r="PHU30" s="276"/>
      <c r="PHV30" s="276"/>
      <c r="PHW30" s="276"/>
      <c r="PHX30" s="276"/>
      <c r="PHY30" s="276"/>
      <c r="PHZ30" s="276"/>
      <c r="PIA30" s="276"/>
      <c r="PIB30" s="276"/>
      <c r="PIC30" s="276"/>
      <c r="PID30" s="276"/>
      <c r="PIE30" s="276"/>
      <c r="PIF30" s="276"/>
      <c r="PIG30" s="276"/>
      <c r="PIH30" s="276"/>
      <c r="PII30" s="276"/>
      <c r="PIJ30" s="276"/>
      <c r="PIK30" s="276"/>
      <c r="PIL30" s="276"/>
      <c r="PIM30" s="276"/>
      <c r="PIN30" s="276"/>
      <c r="PIO30" s="276"/>
      <c r="PIP30" s="276"/>
      <c r="PIQ30" s="276"/>
      <c r="PIR30" s="276"/>
      <c r="PIS30" s="276"/>
      <c r="PIT30" s="276"/>
      <c r="PIU30" s="276"/>
      <c r="PIV30" s="276"/>
      <c r="PIW30" s="276"/>
      <c r="PIX30" s="276"/>
      <c r="PIY30" s="276"/>
      <c r="PIZ30" s="276"/>
      <c r="PJA30" s="276"/>
      <c r="PJB30" s="276"/>
      <c r="PJC30" s="276"/>
      <c r="PJD30" s="276"/>
      <c r="PJE30" s="276"/>
      <c r="PJF30" s="276"/>
      <c r="PJG30" s="276"/>
      <c r="PJH30" s="276"/>
      <c r="PJI30" s="276"/>
      <c r="PJJ30" s="276"/>
      <c r="PJK30" s="276"/>
      <c r="PJL30" s="276"/>
      <c r="PJM30" s="276"/>
      <c r="PJN30" s="276"/>
      <c r="PJO30" s="276"/>
      <c r="PJP30" s="276"/>
      <c r="PJQ30" s="276"/>
      <c r="PJR30" s="276"/>
      <c r="PJS30" s="276"/>
      <c r="PJT30" s="276"/>
      <c r="PJU30" s="276"/>
      <c r="PJV30" s="276"/>
      <c r="PJW30" s="276"/>
      <c r="PJX30" s="276"/>
      <c r="PJY30" s="276"/>
      <c r="PJZ30" s="276"/>
      <c r="PKA30" s="276"/>
      <c r="PKB30" s="276"/>
      <c r="PKC30" s="276"/>
      <c r="PKD30" s="276"/>
      <c r="PKE30" s="276"/>
      <c r="PKF30" s="276"/>
      <c r="PKG30" s="276"/>
      <c r="PKH30" s="276"/>
      <c r="PKI30" s="276"/>
      <c r="PKJ30" s="276"/>
      <c r="PKK30" s="276"/>
      <c r="PKL30" s="276"/>
      <c r="PKM30" s="276"/>
      <c r="PKN30" s="276"/>
      <c r="PKO30" s="276"/>
      <c r="PKP30" s="276"/>
      <c r="PKQ30" s="276"/>
      <c r="PKR30" s="276"/>
      <c r="PKS30" s="276"/>
      <c r="PKT30" s="276"/>
      <c r="PKU30" s="276"/>
      <c r="PKV30" s="276"/>
      <c r="PKW30" s="276"/>
      <c r="PKX30" s="276"/>
      <c r="PKY30" s="276"/>
      <c r="PKZ30" s="276"/>
      <c r="PLA30" s="276"/>
      <c r="PLB30" s="276"/>
      <c r="PLC30" s="276"/>
      <c r="PLD30" s="276"/>
      <c r="PLE30" s="276"/>
      <c r="PLF30" s="276"/>
      <c r="PLG30" s="276"/>
      <c r="PLH30" s="276"/>
      <c r="PLI30" s="276"/>
      <c r="PLJ30" s="276"/>
      <c r="PLK30" s="276"/>
      <c r="PLL30" s="276"/>
      <c r="PLM30" s="276"/>
      <c r="PLN30" s="276"/>
      <c r="PLO30" s="276"/>
      <c r="PLP30" s="276"/>
      <c r="PLQ30" s="276"/>
      <c r="PLR30" s="276"/>
      <c r="PLS30" s="276"/>
      <c r="PLT30" s="276"/>
      <c r="PLU30" s="276"/>
      <c r="PLV30" s="276"/>
      <c r="PLW30" s="276"/>
      <c r="PLX30" s="276"/>
      <c r="PLY30" s="276"/>
      <c r="PLZ30" s="276"/>
      <c r="PMA30" s="276"/>
      <c r="PMB30" s="276"/>
      <c r="PMC30" s="276"/>
      <c r="PMD30" s="276"/>
      <c r="PME30" s="276"/>
      <c r="PMF30" s="276"/>
      <c r="PMG30" s="276"/>
      <c r="PMH30" s="276"/>
      <c r="PMI30" s="276"/>
      <c r="PMJ30" s="276"/>
      <c r="PMK30" s="276"/>
      <c r="PML30" s="276"/>
      <c r="PMM30" s="276"/>
      <c r="PMN30" s="276"/>
      <c r="PMO30" s="276"/>
      <c r="PMP30" s="276"/>
      <c r="PMQ30" s="276"/>
      <c r="PMR30" s="276"/>
      <c r="PMS30" s="276"/>
      <c r="PMT30" s="276"/>
      <c r="PMU30" s="276"/>
      <c r="PMV30" s="276"/>
      <c r="PMW30" s="276"/>
      <c r="PMX30" s="276"/>
      <c r="PMY30" s="276"/>
      <c r="PMZ30" s="276"/>
      <c r="PNA30" s="276"/>
      <c r="PNB30" s="276"/>
      <c r="PNC30" s="276"/>
      <c r="PND30" s="276"/>
      <c r="PNE30" s="276"/>
      <c r="PNF30" s="276"/>
      <c r="PNG30" s="276"/>
      <c r="PNH30" s="276"/>
      <c r="PNI30" s="276"/>
      <c r="PNJ30" s="276"/>
      <c r="PNK30" s="276"/>
      <c r="PNL30" s="276"/>
      <c r="PNM30" s="276"/>
      <c r="PNN30" s="276"/>
      <c r="PNO30" s="276"/>
      <c r="PNP30" s="276"/>
      <c r="PNQ30" s="276"/>
      <c r="PNR30" s="276"/>
      <c r="PNS30" s="276"/>
      <c r="PNT30" s="276"/>
      <c r="PNU30" s="276"/>
      <c r="PNV30" s="276"/>
      <c r="PNW30" s="276"/>
      <c r="PNX30" s="276"/>
      <c r="PNY30" s="276"/>
      <c r="PNZ30" s="276"/>
      <c r="POA30" s="276"/>
      <c r="POB30" s="276"/>
      <c r="POC30" s="276"/>
      <c r="POD30" s="276"/>
      <c r="POE30" s="276"/>
      <c r="POF30" s="276"/>
      <c r="POG30" s="276"/>
      <c r="POH30" s="276"/>
      <c r="POI30" s="276"/>
      <c r="POJ30" s="276"/>
      <c r="POK30" s="276"/>
      <c r="POL30" s="276"/>
      <c r="POM30" s="276"/>
      <c r="PON30" s="276"/>
      <c r="POO30" s="276"/>
      <c r="POP30" s="276"/>
      <c r="POQ30" s="276"/>
      <c r="POR30" s="276"/>
      <c r="POS30" s="276"/>
      <c r="POT30" s="276"/>
      <c r="POU30" s="276"/>
      <c r="POV30" s="276"/>
      <c r="POW30" s="276"/>
      <c r="POX30" s="276"/>
      <c r="POY30" s="276"/>
      <c r="POZ30" s="276"/>
      <c r="PPA30" s="276"/>
      <c r="PPB30" s="276"/>
      <c r="PPC30" s="276"/>
      <c r="PPD30" s="276"/>
      <c r="PPE30" s="276"/>
      <c r="PPF30" s="276"/>
      <c r="PPG30" s="276"/>
      <c r="PPH30" s="276"/>
      <c r="PPI30" s="276"/>
      <c r="PPJ30" s="276"/>
      <c r="PPK30" s="276"/>
      <c r="PPL30" s="276"/>
      <c r="PPM30" s="276"/>
      <c r="PPN30" s="276"/>
      <c r="PPO30" s="276"/>
      <c r="PPP30" s="276"/>
      <c r="PPQ30" s="276"/>
      <c r="PPR30" s="276"/>
      <c r="PPS30" s="276"/>
      <c r="PPT30" s="276"/>
      <c r="PPU30" s="276"/>
      <c r="PPV30" s="276"/>
      <c r="PPW30" s="276"/>
      <c r="PPX30" s="276"/>
      <c r="PPY30" s="276"/>
      <c r="PPZ30" s="276"/>
      <c r="PQA30" s="276"/>
      <c r="PQB30" s="276"/>
      <c r="PQC30" s="276"/>
      <c r="PQD30" s="276"/>
      <c r="PQE30" s="276"/>
      <c r="PQF30" s="276"/>
      <c r="PQG30" s="276"/>
      <c r="PQH30" s="276"/>
      <c r="PQI30" s="276"/>
      <c r="PQJ30" s="276"/>
      <c r="PQK30" s="276"/>
      <c r="PQL30" s="276"/>
      <c r="PQM30" s="276"/>
      <c r="PQN30" s="276"/>
      <c r="PQO30" s="276"/>
      <c r="PQP30" s="276"/>
      <c r="PQQ30" s="276"/>
      <c r="PQR30" s="276"/>
      <c r="PQS30" s="276"/>
      <c r="PQT30" s="276"/>
      <c r="PQU30" s="276"/>
      <c r="PQV30" s="276"/>
      <c r="PQW30" s="276"/>
      <c r="PQX30" s="276"/>
      <c r="PQY30" s="276"/>
      <c r="PQZ30" s="276"/>
      <c r="PRA30" s="276"/>
      <c r="PRB30" s="276"/>
      <c r="PRC30" s="276"/>
      <c r="PRD30" s="276"/>
      <c r="PRE30" s="276"/>
      <c r="PRF30" s="276"/>
      <c r="PRG30" s="276"/>
      <c r="PRH30" s="276"/>
      <c r="PRI30" s="276"/>
      <c r="PRJ30" s="276"/>
      <c r="PRK30" s="276"/>
      <c r="PRL30" s="276"/>
      <c r="PRM30" s="276"/>
      <c r="PRN30" s="276"/>
      <c r="PRO30" s="276"/>
      <c r="PRP30" s="276"/>
      <c r="PRQ30" s="276"/>
      <c r="PRR30" s="276"/>
      <c r="PRS30" s="276"/>
      <c r="PRT30" s="276"/>
      <c r="PRU30" s="276"/>
      <c r="PRV30" s="276"/>
      <c r="PRW30" s="276"/>
      <c r="PRX30" s="276"/>
      <c r="PRY30" s="276"/>
      <c r="PRZ30" s="276"/>
      <c r="PSA30" s="276"/>
      <c r="PSB30" s="276"/>
      <c r="PSC30" s="276"/>
      <c r="PSD30" s="276"/>
      <c r="PSE30" s="276"/>
      <c r="PSF30" s="276"/>
      <c r="PSG30" s="276"/>
      <c r="PSH30" s="276"/>
      <c r="PSI30" s="276"/>
      <c r="PSJ30" s="276"/>
      <c r="PSK30" s="276"/>
      <c r="PSL30" s="276"/>
      <c r="PSM30" s="276"/>
      <c r="PSN30" s="276"/>
      <c r="PSO30" s="276"/>
      <c r="PSP30" s="276"/>
      <c r="PSQ30" s="276"/>
      <c r="PSR30" s="276"/>
      <c r="PSS30" s="276"/>
      <c r="PST30" s="276"/>
      <c r="PSU30" s="276"/>
      <c r="PSV30" s="276"/>
      <c r="PSW30" s="276"/>
      <c r="PSX30" s="276"/>
      <c r="PSY30" s="276"/>
      <c r="PSZ30" s="276"/>
      <c r="PTA30" s="276"/>
      <c r="PTB30" s="276"/>
      <c r="PTC30" s="276"/>
      <c r="PTD30" s="276"/>
      <c r="PTE30" s="276"/>
      <c r="PTF30" s="276"/>
      <c r="PTG30" s="276"/>
      <c r="PTH30" s="276"/>
      <c r="PTI30" s="276"/>
      <c r="PTJ30" s="276"/>
      <c r="PTK30" s="276"/>
      <c r="PTL30" s="276"/>
      <c r="PTM30" s="276"/>
      <c r="PTN30" s="276"/>
      <c r="PTO30" s="276"/>
      <c r="PTP30" s="276"/>
      <c r="PTQ30" s="276"/>
      <c r="PTR30" s="276"/>
      <c r="PTS30" s="276"/>
      <c r="PTT30" s="276"/>
      <c r="PTU30" s="276"/>
      <c r="PTV30" s="276"/>
      <c r="PTW30" s="276"/>
      <c r="PTX30" s="276"/>
      <c r="PTY30" s="276"/>
      <c r="PTZ30" s="276"/>
      <c r="PUA30" s="276"/>
      <c r="PUB30" s="276"/>
      <c r="PUC30" s="276"/>
      <c r="PUD30" s="276"/>
      <c r="PUE30" s="276"/>
      <c r="PUF30" s="276"/>
      <c r="PUG30" s="276"/>
      <c r="PUH30" s="276"/>
      <c r="PUI30" s="276"/>
      <c r="PUJ30" s="276"/>
      <c r="PUK30" s="276"/>
      <c r="PUL30" s="276"/>
      <c r="PUM30" s="276"/>
      <c r="PUN30" s="276"/>
      <c r="PUO30" s="276"/>
      <c r="PUP30" s="276"/>
      <c r="PUQ30" s="276"/>
      <c r="PUR30" s="276"/>
      <c r="PUS30" s="276"/>
      <c r="PUT30" s="276"/>
      <c r="PUU30" s="276"/>
      <c r="PUV30" s="276"/>
      <c r="PUW30" s="276"/>
      <c r="PUX30" s="276"/>
      <c r="PUY30" s="276"/>
      <c r="PUZ30" s="276"/>
      <c r="PVA30" s="276"/>
      <c r="PVB30" s="276"/>
      <c r="PVC30" s="276"/>
      <c r="PVD30" s="276"/>
      <c r="PVE30" s="276"/>
      <c r="PVF30" s="276"/>
      <c r="PVG30" s="276"/>
      <c r="PVH30" s="276"/>
      <c r="PVI30" s="276"/>
      <c r="PVJ30" s="276"/>
      <c r="PVK30" s="276"/>
      <c r="PVL30" s="276"/>
      <c r="PVM30" s="276"/>
      <c r="PVN30" s="276"/>
      <c r="PVO30" s="276"/>
      <c r="PVP30" s="276"/>
      <c r="PVQ30" s="276"/>
      <c r="PVR30" s="276"/>
      <c r="PVS30" s="276"/>
      <c r="PVT30" s="276"/>
      <c r="PVU30" s="276"/>
      <c r="PVV30" s="276"/>
      <c r="PVW30" s="276"/>
      <c r="PVX30" s="276"/>
      <c r="PVY30" s="276"/>
      <c r="PVZ30" s="276"/>
      <c r="PWA30" s="276"/>
      <c r="PWB30" s="276"/>
      <c r="PWC30" s="276"/>
      <c r="PWD30" s="276"/>
      <c r="PWE30" s="276"/>
      <c r="PWF30" s="276"/>
      <c r="PWG30" s="276"/>
      <c r="PWH30" s="276"/>
      <c r="PWI30" s="276"/>
      <c r="PWJ30" s="276"/>
      <c r="PWK30" s="276"/>
      <c r="PWL30" s="276"/>
      <c r="PWM30" s="276"/>
      <c r="PWN30" s="276"/>
      <c r="PWO30" s="276"/>
      <c r="PWP30" s="276"/>
      <c r="PWQ30" s="276"/>
      <c r="PWR30" s="276"/>
      <c r="PWS30" s="276"/>
      <c r="PWT30" s="276"/>
      <c r="PWU30" s="276"/>
      <c r="PWV30" s="276"/>
      <c r="PWW30" s="276"/>
      <c r="PWX30" s="276"/>
      <c r="PWY30" s="276"/>
      <c r="PWZ30" s="276"/>
      <c r="PXA30" s="276"/>
      <c r="PXB30" s="276"/>
      <c r="PXC30" s="276"/>
      <c r="PXD30" s="276"/>
      <c r="PXE30" s="276"/>
      <c r="PXF30" s="276"/>
      <c r="PXG30" s="276"/>
      <c r="PXH30" s="276"/>
      <c r="PXI30" s="276"/>
      <c r="PXJ30" s="276"/>
      <c r="PXK30" s="276"/>
      <c r="PXL30" s="276"/>
      <c r="PXM30" s="276"/>
      <c r="PXN30" s="276"/>
      <c r="PXO30" s="276"/>
      <c r="PXP30" s="276"/>
      <c r="PXQ30" s="276"/>
      <c r="PXR30" s="276"/>
      <c r="PXS30" s="276"/>
      <c r="PXT30" s="276"/>
      <c r="PXU30" s="276"/>
      <c r="PXV30" s="276"/>
      <c r="PXW30" s="276"/>
      <c r="PXX30" s="276"/>
      <c r="PXY30" s="276"/>
      <c r="PXZ30" s="276"/>
      <c r="PYA30" s="276"/>
      <c r="PYB30" s="276"/>
      <c r="PYC30" s="276"/>
      <c r="PYD30" s="276"/>
      <c r="PYE30" s="276"/>
      <c r="PYF30" s="276"/>
      <c r="PYG30" s="276"/>
      <c r="PYH30" s="276"/>
      <c r="PYI30" s="276"/>
      <c r="PYJ30" s="276"/>
      <c r="PYK30" s="276"/>
      <c r="PYL30" s="276"/>
      <c r="PYM30" s="276"/>
      <c r="PYN30" s="276"/>
      <c r="PYO30" s="276"/>
      <c r="PYP30" s="276"/>
      <c r="PYQ30" s="276"/>
      <c r="PYR30" s="276"/>
      <c r="PYS30" s="276"/>
      <c r="PYT30" s="276"/>
      <c r="PYU30" s="276"/>
      <c r="PYV30" s="276"/>
      <c r="PYW30" s="276"/>
      <c r="PYX30" s="276"/>
      <c r="PYY30" s="276"/>
      <c r="PYZ30" s="276"/>
      <c r="PZA30" s="276"/>
      <c r="PZB30" s="276"/>
      <c r="PZC30" s="276"/>
      <c r="PZD30" s="276"/>
      <c r="PZE30" s="276"/>
      <c r="PZF30" s="276"/>
      <c r="PZG30" s="276"/>
      <c r="PZH30" s="276"/>
      <c r="PZI30" s="276"/>
      <c r="PZJ30" s="276"/>
      <c r="PZK30" s="276"/>
      <c r="PZL30" s="276"/>
      <c r="PZM30" s="276"/>
      <c r="PZN30" s="276"/>
      <c r="PZO30" s="276"/>
      <c r="PZP30" s="276"/>
      <c r="PZQ30" s="276"/>
      <c r="PZR30" s="276"/>
      <c r="PZS30" s="276"/>
      <c r="PZT30" s="276"/>
      <c r="PZU30" s="276"/>
      <c r="PZV30" s="276"/>
      <c r="PZW30" s="276"/>
      <c r="PZX30" s="276"/>
      <c r="PZY30" s="276"/>
      <c r="PZZ30" s="276"/>
      <c r="QAA30" s="276"/>
      <c r="QAB30" s="276"/>
      <c r="QAC30" s="276"/>
      <c r="QAD30" s="276"/>
      <c r="QAE30" s="276"/>
      <c r="QAF30" s="276"/>
      <c r="QAG30" s="276"/>
      <c r="QAH30" s="276"/>
      <c r="QAI30" s="276"/>
      <c r="QAJ30" s="276"/>
      <c r="QAK30" s="276"/>
      <c r="QAL30" s="276"/>
      <c r="QAM30" s="276"/>
      <c r="QAN30" s="276"/>
      <c r="QAO30" s="276"/>
      <c r="QAP30" s="276"/>
      <c r="QAQ30" s="276"/>
      <c r="QAR30" s="276"/>
      <c r="QAS30" s="276"/>
      <c r="QAT30" s="276"/>
      <c r="QAU30" s="276"/>
      <c r="QAV30" s="276"/>
      <c r="QAW30" s="276"/>
      <c r="QAX30" s="276"/>
      <c r="QAY30" s="276"/>
      <c r="QAZ30" s="276"/>
      <c r="QBA30" s="276"/>
      <c r="QBB30" s="276"/>
      <c r="QBC30" s="276"/>
      <c r="QBD30" s="276"/>
      <c r="QBE30" s="276"/>
      <c r="QBF30" s="276"/>
      <c r="QBG30" s="276"/>
      <c r="QBH30" s="276"/>
      <c r="QBI30" s="276"/>
      <c r="QBJ30" s="276"/>
      <c r="QBK30" s="276"/>
      <c r="QBL30" s="276"/>
      <c r="QBM30" s="276"/>
      <c r="QBN30" s="276"/>
      <c r="QBO30" s="276"/>
      <c r="QBP30" s="276"/>
      <c r="QBQ30" s="276"/>
      <c r="QBR30" s="276"/>
      <c r="QBS30" s="276"/>
      <c r="QBT30" s="276"/>
      <c r="QBU30" s="276"/>
      <c r="QBV30" s="276"/>
      <c r="QBW30" s="276"/>
      <c r="QBX30" s="276"/>
      <c r="QBY30" s="276"/>
      <c r="QBZ30" s="276"/>
      <c r="QCA30" s="276"/>
      <c r="QCB30" s="276"/>
      <c r="QCC30" s="276"/>
      <c r="QCD30" s="276"/>
      <c r="QCE30" s="276"/>
      <c r="QCF30" s="276"/>
      <c r="QCG30" s="276"/>
      <c r="QCH30" s="276"/>
      <c r="QCI30" s="276"/>
      <c r="QCJ30" s="276"/>
      <c r="QCK30" s="276"/>
      <c r="QCL30" s="276"/>
      <c r="QCM30" s="276"/>
      <c r="QCN30" s="276"/>
      <c r="QCO30" s="276"/>
      <c r="QCP30" s="276"/>
      <c r="QCQ30" s="276"/>
      <c r="QCR30" s="276"/>
      <c r="QCS30" s="276"/>
      <c r="QCT30" s="276"/>
      <c r="QCU30" s="276"/>
      <c r="QCV30" s="276"/>
      <c r="QCW30" s="276"/>
      <c r="QCX30" s="276"/>
      <c r="QCY30" s="276"/>
      <c r="QCZ30" s="276"/>
      <c r="QDA30" s="276"/>
      <c r="QDB30" s="276"/>
      <c r="QDC30" s="276"/>
      <c r="QDD30" s="276"/>
      <c r="QDE30" s="276"/>
      <c r="QDF30" s="276"/>
      <c r="QDG30" s="276"/>
      <c r="QDH30" s="276"/>
      <c r="QDI30" s="276"/>
      <c r="QDJ30" s="276"/>
      <c r="QDK30" s="276"/>
      <c r="QDL30" s="276"/>
      <c r="QDM30" s="276"/>
      <c r="QDN30" s="276"/>
      <c r="QDO30" s="276"/>
      <c r="QDP30" s="276"/>
      <c r="QDQ30" s="276"/>
      <c r="QDR30" s="276"/>
      <c r="QDS30" s="276"/>
      <c r="QDT30" s="276"/>
      <c r="QDU30" s="276"/>
      <c r="QDV30" s="276"/>
      <c r="QDW30" s="276"/>
      <c r="QDX30" s="276"/>
      <c r="QDY30" s="276"/>
      <c r="QDZ30" s="276"/>
      <c r="QEA30" s="276"/>
      <c r="QEB30" s="276"/>
      <c r="QEC30" s="276"/>
      <c r="QED30" s="276"/>
      <c r="QEE30" s="276"/>
      <c r="QEF30" s="276"/>
      <c r="QEG30" s="276"/>
      <c r="QEH30" s="276"/>
      <c r="QEI30" s="276"/>
      <c r="QEJ30" s="276"/>
      <c r="QEK30" s="276"/>
      <c r="QEL30" s="276"/>
      <c r="QEM30" s="276"/>
      <c r="QEN30" s="276"/>
      <c r="QEO30" s="276"/>
      <c r="QEP30" s="276"/>
      <c r="QEQ30" s="276"/>
      <c r="QER30" s="276"/>
      <c r="QES30" s="276"/>
      <c r="QET30" s="276"/>
      <c r="QEU30" s="276"/>
      <c r="QEV30" s="276"/>
      <c r="QEW30" s="276"/>
      <c r="QEX30" s="276"/>
      <c r="QEY30" s="276"/>
      <c r="QEZ30" s="276"/>
      <c r="QFA30" s="276"/>
      <c r="QFB30" s="276"/>
      <c r="QFC30" s="276"/>
      <c r="QFD30" s="276"/>
      <c r="QFE30" s="276"/>
      <c r="QFF30" s="276"/>
      <c r="QFG30" s="276"/>
      <c r="QFH30" s="276"/>
      <c r="QFI30" s="276"/>
      <c r="QFJ30" s="276"/>
      <c r="QFK30" s="276"/>
      <c r="QFL30" s="276"/>
      <c r="QFM30" s="276"/>
      <c r="QFN30" s="276"/>
      <c r="QFO30" s="276"/>
      <c r="QFP30" s="276"/>
      <c r="QFQ30" s="276"/>
      <c r="QFR30" s="276"/>
      <c r="QFS30" s="276"/>
      <c r="QFT30" s="276"/>
      <c r="QFU30" s="276"/>
      <c r="QFV30" s="276"/>
      <c r="QFW30" s="276"/>
      <c r="QFX30" s="276"/>
      <c r="QFY30" s="276"/>
      <c r="QFZ30" s="276"/>
      <c r="QGA30" s="276"/>
      <c r="QGB30" s="276"/>
      <c r="QGC30" s="276"/>
      <c r="QGD30" s="276"/>
      <c r="QGE30" s="276"/>
      <c r="QGF30" s="276"/>
      <c r="QGG30" s="276"/>
      <c r="QGH30" s="276"/>
      <c r="QGI30" s="276"/>
      <c r="QGJ30" s="276"/>
      <c r="QGK30" s="276"/>
      <c r="QGL30" s="276"/>
      <c r="QGM30" s="276"/>
      <c r="QGN30" s="276"/>
      <c r="QGO30" s="276"/>
      <c r="QGP30" s="276"/>
      <c r="QGQ30" s="276"/>
      <c r="QGR30" s="276"/>
      <c r="QGS30" s="276"/>
      <c r="QGT30" s="276"/>
      <c r="QGU30" s="276"/>
      <c r="QGV30" s="276"/>
      <c r="QGW30" s="276"/>
      <c r="QGX30" s="276"/>
      <c r="QGY30" s="276"/>
      <c r="QGZ30" s="276"/>
      <c r="QHA30" s="276"/>
      <c r="QHB30" s="276"/>
      <c r="QHC30" s="276"/>
      <c r="QHD30" s="276"/>
      <c r="QHE30" s="276"/>
      <c r="QHF30" s="276"/>
      <c r="QHG30" s="276"/>
      <c r="QHH30" s="276"/>
      <c r="QHI30" s="276"/>
      <c r="QHJ30" s="276"/>
      <c r="QHK30" s="276"/>
      <c r="QHL30" s="276"/>
      <c r="QHM30" s="276"/>
      <c r="QHN30" s="276"/>
      <c r="QHO30" s="276"/>
      <c r="QHP30" s="276"/>
      <c r="QHQ30" s="276"/>
      <c r="QHR30" s="276"/>
      <c r="QHS30" s="276"/>
      <c r="QHT30" s="276"/>
      <c r="QHU30" s="276"/>
      <c r="QHV30" s="276"/>
      <c r="QHW30" s="276"/>
      <c r="QHX30" s="276"/>
      <c r="QHY30" s="276"/>
      <c r="QHZ30" s="276"/>
      <c r="QIA30" s="276"/>
      <c r="QIB30" s="276"/>
      <c r="QIC30" s="276"/>
      <c r="QID30" s="276"/>
      <c r="QIE30" s="276"/>
      <c r="QIF30" s="276"/>
      <c r="QIG30" s="276"/>
      <c r="QIH30" s="276"/>
      <c r="QII30" s="276"/>
      <c r="QIJ30" s="276"/>
      <c r="QIK30" s="276"/>
      <c r="QIL30" s="276"/>
      <c r="QIM30" s="276"/>
      <c r="QIN30" s="276"/>
      <c r="QIO30" s="276"/>
      <c r="QIP30" s="276"/>
      <c r="QIQ30" s="276"/>
      <c r="QIR30" s="276"/>
      <c r="QIS30" s="276"/>
      <c r="QIT30" s="276"/>
      <c r="QIU30" s="276"/>
      <c r="QIV30" s="276"/>
      <c r="QIW30" s="276"/>
      <c r="QIX30" s="276"/>
      <c r="QIY30" s="276"/>
      <c r="QIZ30" s="276"/>
      <c r="QJA30" s="276"/>
      <c r="QJB30" s="276"/>
      <c r="QJC30" s="276"/>
      <c r="QJD30" s="276"/>
      <c r="QJE30" s="276"/>
      <c r="QJF30" s="276"/>
      <c r="QJG30" s="276"/>
      <c r="QJH30" s="276"/>
      <c r="QJI30" s="276"/>
      <c r="QJJ30" s="276"/>
      <c r="QJK30" s="276"/>
      <c r="QJL30" s="276"/>
      <c r="QJM30" s="276"/>
      <c r="QJN30" s="276"/>
      <c r="QJO30" s="276"/>
      <c r="QJP30" s="276"/>
      <c r="QJQ30" s="276"/>
      <c r="QJR30" s="276"/>
      <c r="QJS30" s="276"/>
      <c r="QJT30" s="276"/>
      <c r="QJU30" s="276"/>
      <c r="QJV30" s="276"/>
      <c r="QJW30" s="276"/>
      <c r="QJX30" s="276"/>
      <c r="QJY30" s="276"/>
      <c r="QJZ30" s="276"/>
      <c r="QKA30" s="276"/>
      <c r="QKB30" s="276"/>
      <c r="QKC30" s="276"/>
      <c r="QKD30" s="276"/>
      <c r="QKE30" s="276"/>
      <c r="QKF30" s="276"/>
      <c r="QKG30" s="276"/>
      <c r="QKH30" s="276"/>
      <c r="QKI30" s="276"/>
      <c r="QKJ30" s="276"/>
      <c r="QKK30" s="276"/>
      <c r="QKL30" s="276"/>
      <c r="QKM30" s="276"/>
      <c r="QKN30" s="276"/>
      <c r="QKO30" s="276"/>
      <c r="QKP30" s="276"/>
      <c r="QKQ30" s="276"/>
      <c r="QKR30" s="276"/>
      <c r="QKS30" s="276"/>
      <c r="QKT30" s="276"/>
      <c r="QKU30" s="276"/>
      <c r="QKV30" s="276"/>
      <c r="QKW30" s="276"/>
      <c r="QKX30" s="276"/>
      <c r="QKY30" s="276"/>
      <c r="QKZ30" s="276"/>
      <c r="QLA30" s="276"/>
      <c r="QLB30" s="276"/>
      <c r="QLC30" s="276"/>
      <c r="QLD30" s="276"/>
      <c r="QLE30" s="276"/>
      <c r="QLF30" s="276"/>
      <c r="QLG30" s="276"/>
      <c r="QLH30" s="276"/>
      <c r="QLI30" s="276"/>
      <c r="QLJ30" s="276"/>
      <c r="QLK30" s="276"/>
      <c r="QLL30" s="276"/>
      <c r="QLM30" s="276"/>
      <c r="QLN30" s="276"/>
      <c r="QLO30" s="276"/>
      <c r="QLP30" s="276"/>
      <c r="QLQ30" s="276"/>
      <c r="QLR30" s="276"/>
      <c r="QLS30" s="276"/>
      <c r="QLT30" s="276"/>
      <c r="QLU30" s="276"/>
      <c r="QLV30" s="276"/>
      <c r="QLW30" s="276"/>
      <c r="QLX30" s="276"/>
      <c r="QLY30" s="276"/>
      <c r="QLZ30" s="276"/>
      <c r="QMA30" s="276"/>
      <c r="QMB30" s="276"/>
      <c r="QMC30" s="276"/>
      <c r="QMD30" s="276"/>
      <c r="QME30" s="276"/>
      <c r="QMF30" s="276"/>
      <c r="QMG30" s="276"/>
      <c r="QMH30" s="276"/>
      <c r="QMI30" s="276"/>
      <c r="QMJ30" s="276"/>
      <c r="QMK30" s="276"/>
      <c r="QML30" s="276"/>
      <c r="QMM30" s="276"/>
      <c r="QMN30" s="276"/>
      <c r="QMO30" s="276"/>
      <c r="QMP30" s="276"/>
      <c r="QMQ30" s="276"/>
      <c r="QMR30" s="276"/>
      <c r="QMS30" s="276"/>
      <c r="QMT30" s="276"/>
      <c r="QMU30" s="276"/>
      <c r="QMV30" s="276"/>
      <c r="QMW30" s="276"/>
      <c r="QMX30" s="276"/>
      <c r="QMY30" s="276"/>
      <c r="QMZ30" s="276"/>
      <c r="QNA30" s="276"/>
      <c r="QNB30" s="276"/>
      <c r="QNC30" s="276"/>
      <c r="QND30" s="276"/>
      <c r="QNE30" s="276"/>
      <c r="QNF30" s="276"/>
      <c r="QNG30" s="276"/>
      <c r="QNH30" s="276"/>
      <c r="QNI30" s="276"/>
      <c r="QNJ30" s="276"/>
      <c r="QNK30" s="276"/>
      <c r="QNL30" s="276"/>
      <c r="QNM30" s="276"/>
      <c r="QNN30" s="276"/>
      <c r="QNO30" s="276"/>
      <c r="QNP30" s="276"/>
      <c r="QNQ30" s="276"/>
      <c r="QNR30" s="276"/>
      <c r="QNS30" s="276"/>
      <c r="QNT30" s="276"/>
      <c r="QNU30" s="276"/>
      <c r="QNV30" s="276"/>
      <c r="QNW30" s="276"/>
      <c r="QNX30" s="276"/>
      <c r="QNY30" s="276"/>
      <c r="QNZ30" s="276"/>
      <c r="QOA30" s="276"/>
      <c r="QOB30" s="276"/>
      <c r="QOC30" s="276"/>
      <c r="QOD30" s="276"/>
      <c r="QOE30" s="276"/>
      <c r="QOF30" s="276"/>
      <c r="QOG30" s="276"/>
      <c r="QOH30" s="276"/>
      <c r="QOI30" s="276"/>
      <c r="QOJ30" s="276"/>
      <c r="QOK30" s="276"/>
      <c r="QOL30" s="276"/>
      <c r="QOM30" s="276"/>
      <c r="QON30" s="276"/>
      <c r="QOO30" s="276"/>
      <c r="QOP30" s="276"/>
      <c r="QOQ30" s="276"/>
      <c r="QOR30" s="276"/>
      <c r="QOS30" s="276"/>
      <c r="QOT30" s="276"/>
      <c r="QOU30" s="276"/>
      <c r="QOV30" s="276"/>
      <c r="QOW30" s="276"/>
      <c r="QOX30" s="276"/>
      <c r="QOY30" s="276"/>
      <c r="QOZ30" s="276"/>
      <c r="QPA30" s="276"/>
      <c r="QPB30" s="276"/>
      <c r="QPC30" s="276"/>
      <c r="QPD30" s="276"/>
      <c r="QPE30" s="276"/>
      <c r="QPF30" s="276"/>
      <c r="QPG30" s="276"/>
      <c r="QPH30" s="276"/>
      <c r="QPI30" s="276"/>
      <c r="QPJ30" s="276"/>
      <c r="QPK30" s="276"/>
      <c r="QPL30" s="276"/>
      <c r="QPM30" s="276"/>
      <c r="QPN30" s="276"/>
      <c r="QPO30" s="276"/>
      <c r="QPP30" s="276"/>
      <c r="QPQ30" s="276"/>
      <c r="QPR30" s="276"/>
      <c r="QPS30" s="276"/>
      <c r="QPT30" s="276"/>
      <c r="QPU30" s="276"/>
      <c r="QPV30" s="276"/>
      <c r="QPW30" s="276"/>
      <c r="QPX30" s="276"/>
      <c r="QPY30" s="276"/>
      <c r="QPZ30" s="276"/>
      <c r="QQA30" s="276"/>
      <c r="QQB30" s="276"/>
      <c r="QQC30" s="276"/>
      <c r="QQD30" s="276"/>
      <c r="QQE30" s="276"/>
      <c r="QQF30" s="276"/>
      <c r="QQG30" s="276"/>
      <c r="QQH30" s="276"/>
      <c r="QQI30" s="276"/>
      <c r="QQJ30" s="276"/>
      <c r="QQK30" s="276"/>
      <c r="QQL30" s="276"/>
      <c r="QQM30" s="276"/>
      <c r="QQN30" s="276"/>
      <c r="QQO30" s="276"/>
      <c r="QQP30" s="276"/>
      <c r="QQQ30" s="276"/>
      <c r="QQR30" s="276"/>
      <c r="QQS30" s="276"/>
      <c r="QQT30" s="276"/>
      <c r="QQU30" s="276"/>
      <c r="QQV30" s="276"/>
      <c r="QQW30" s="276"/>
      <c r="QQX30" s="276"/>
      <c r="QQY30" s="276"/>
      <c r="QQZ30" s="276"/>
      <c r="QRA30" s="276"/>
      <c r="QRB30" s="276"/>
      <c r="QRC30" s="276"/>
      <c r="QRD30" s="276"/>
      <c r="QRE30" s="276"/>
      <c r="QRF30" s="276"/>
      <c r="QRG30" s="276"/>
      <c r="QRH30" s="276"/>
      <c r="QRI30" s="276"/>
      <c r="QRJ30" s="276"/>
      <c r="QRK30" s="276"/>
      <c r="QRL30" s="276"/>
      <c r="QRM30" s="276"/>
      <c r="QRN30" s="276"/>
      <c r="QRO30" s="276"/>
      <c r="QRP30" s="276"/>
      <c r="QRQ30" s="276"/>
      <c r="QRR30" s="276"/>
      <c r="QRS30" s="276"/>
      <c r="QRT30" s="276"/>
      <c r="QRU30" s="276"/>
      <c r="QRV30" s="276"/>
      <c r="QRW30" s="276"/>
      <c r="QRX30" s="276"/>
      <c r="QRY30" s="276"/>
      <c r="QRZ30" s="276"/>
      <c r="QSA30" s="276"/>
      <c r="QSB30" s="276"/>
      <c r="QSC30" s="276"/>
      <c r="QSD30" s="276"/>
      <c r="QSE30" s="276"/>
      <c r="QSF30" s="276"/>
      <c r="QSG30" s="276"/>
      <c r="QSH30" s="276"/>
      <c r="QSI30" s="276"/>
      <c r="QSJ30" s="276"/>
      <c r="QSK30" s="276"/>
      <c r="QSL30" s="276"/>
      <c r="QSM30" s="276"/>
      <c r="QSN30" s="276"/>
      <c r="QSO30" s="276"/>
      <c r="QSP30" s="276"/>
      <c r="QSQ30" s="276"/>
      <c r="QSR30" s="276"/>
      <c r="QSS30" s="276"/>
      <c r="QST30" s="276"/>
      <c r="QSU30" s="276"/>
      <c r="QSV30" s="276"/>
      <c r="QSW30" s="276"/>
      <c r="QSX30" s="276"/>
      <c r="QSY30" s="276"/>
      <c r="QSZ30" s="276"/>
      <c r="QTA30" s="276"/>
      <c r="QTB30" s="276"/>
      <c r="QTC30" s="276"/>
      <c r="QTD30" s="276"/>
      <c r="QTE30" s="276"/>
      <c r="QTF30" s="276"/>
      <c r="QTG30" s="276"/>
      <c r="QTH30" s="276"/>
      <c r="QTI30" s="276"/>
      <c r="QTJ30" s="276"/>
      <c r="QTK30" s="276"/>
      <c r="QTL30" s="276"/>
      <c r="QTM30" s="276"/>
      <c r="QTN30" s="276"/>
      <c r="QTO30" s="276"/>
      <c r="QTP30" s="276"/>
      <c r="QTQ30" s="276"/>
      <c r="QTR30" s="276"/>
      <c r="QTS30" s="276"/>
      <c r="QTT30" s="276"/>
      <c r="QTU30" s="276"/>
      <c r="QTV30" s="276"/>
      <c r="QTW30" s="276"/>
      <c r="QTX30" s="276"/>
      <c r="QTY30" s="276"/>
      <c r="QTZ30" s="276"/>
      <c r="QUA30" s="276"/>
      <c r="QUB30" s="276"/>
      <c r="QUC30" s="276"/>
      <c r="QUD30" s="276"/>
      <c r="QUE30" s="276"/>
      <c r="QUF30" s="276"/>
      <c r="QUG30" s="276"/>
      <c r="QUH30" s="276"/>
      <c r="QUI30" s="276"/>
      <c r="QUJ30" s="276"/>
      <c r="QUK30" s="276"/>
      <c r="QUL30" s="276"/>
      <c r="QUM30" s="276"/>
      <c r="QUN30" s="276"/>
      <c r="QUO30" s="276"/>
      <c r="QUP30" s="276"/>
      <c r="QUQ30" s="276"/>
      <c r="QUR30" s="276"/>
      <c r="QUS30" s="276"/>
      <c r="QUT30" s="276"/>
      <c r="QUU30" s="276"/>
      <c r="QUV30" s="276"/>
      <c r="QUW30" s="276"/>
      <c r="QUX30" s="276"/>
      <c r="QUY30" s="276"/>
      <c r="QUZ30" s="276"/>
      <c r="QVA30" s="276"/>
      <c r="QVB30" s="276"/>
      <c r="QVC30" s="276"/>
      <c r="QVD30" s="276"/>
      <c r="QVE30" s="276"/>
      <c r="QVF30" s="276"/>
      <c r="QVG30" s="276"/>
      <c r="QVH30" s="276"/>
      <c r="QVI30" s="276"/>
      <c r="QVJ30" s="276"/>
      <c r="QVK30" s="276"/>
      <c r="QVL30" s="276"/>
      <c r="QVM30" s="276"/>
      <c r="QVN30" s="276"/>
      <c r="QVO30" s="276"/>
      <c r="QVP30" s="276"/>
      <c r="QVQ30" s="276"/>
      <c r="QVR30" s="276"/>
      <c r="QVS30" s="276"/>
      <c r="QVT30" s="276"/>
      <c r="QVU30" s="276"/>
      <c r="QVV30" s="276"/>
      <c r="QVW30" s="276"/>
      <c r="QVX30" s="276"/>
      <c r="QVY30" s="276"/>
      <c r="QVZ30" s="276"/>
      <c r="QWA30" s="276"/>
      <c r="QWB30" s="276"/>
      <c r="QWC30" s="276"/>
      <c r="QWD30" s="276"/>
      <c r="QWE30" s="276"/>
      <c r="QWF30" s="276"/>
      <c r="QWG30" s="276"/>
      <c r="QWH30" s="276"/>
      <c r="QWI30" s="276"/>
      <c r="QWJ30" s="276"/>
      <c r="QWK30" s="276"/>
      <c r="QWL30" s="276"/>
      <c r="QWM30" s="276"/>
      <c r="QWN30" s="276"/>
      <c r="QWO30" s="276"/>
      <c r="QWP30" s="276"/>
      <c r="QWQ30" s="276"/>
      <c r="QWR30" s="276"/>
      <c r="QWS30" s="276"/>
      <c r="QWT30" s="276"/>
      <c r="QWU30" s="276"/>
      <c r="QWV30" s="276"/>
      <c r="QWW30" s="276"/>
      <c r="QWX30" s="276"/>
      <c r="QWY30" s="276"/>
      <c r="QWZ30" s="276"/>
      <c r="QXA30" s="276"/>
      <c r="QXB30" s="276"/>
      <c r="QXC30" s="276"/>
      <c r="QXD30" s="276"/>
      <c r="QXE30" s="276"/>
      <c r="QXF30" s="276"/>
      <c r="QXG30" s="276"/>
      <c r="QXH30" s="276"/>
      <c r="QXI30" s="276"/>
      <c r="QXJ30" s="276"/>
      <c r="QXK30" s="276"/>
      <c r="QXL30" s="276"/>
      <c r="QXM30" s="276"/>
      <c r="QXN30" s="276"/>
      <c r="QXO30" s="276"/>
      <c r="QXP30" s="276"/>
      <c r="QXQ30" s="276"/>
      <c r="QXR30" s="276"/>
      <c r="QXS30" s="276"/>
      <c r="QXT30" s="276"/>
      <c r="QXU30" s="276"/>
      <c r="QXV30" s="276"/>
      <c r="QXW30" s="276"/>
      <c r="QXX30" s="276"/>
      <c r="QXY30" s="276"/>
      <c r="QXZ30" s="276"/>
      <c r="QYA30" s="276"/>
      <c r="QYB30" s="276"/>
      <c r="QYC30" s="276"/>
      <c r="QYD30" s="276"/>
      <c r="QYE30" s="276"/>
      <c r="QYF30" s="276"/>
      <c r="QYG30" s="276"/>
      <c r="QYH30" s="276"/>
      <c r="QYI30" s="276"/>
      <c r="QYJ30" s="276"/>
      <c r="QYK30" s="276"/>
      <c r="QYL30" s="276"/>
      <c r="QYM30" s="276"/>
      <c r="QYN30" s="276"/>
      <c r="QYO30" s="276"/>
      <c r="QYP30" s="276"/>
      <c r="QYQ30" s="276"/>
      <c r="QYR30" s="276"/>
      <c r="QYS30" s="276"/>
      <c r="QYT30" s="276"/>
      <c r="QYU30" s="276"/>
      <c r="QYV30" s="276"/>
      <c r="QYW30" s="276"/>
      <c r="QYX30" s="276"/>
      <c r="QYY30" s="276"/>
      <c r="QYZ30" s="276"/>
      <c r="QZA30" s="276"/>
      <c r="QZB30" s="276"/>
      <c r="QZC30" s="276"/>
      <c r="QZD30" s="276"/>
      <c r="QZE30" s="276"/>
      <c r="QZF30" s="276"/>
      <c r="QZG30" s="276"/>
      <c r="QZH30" s="276"/>
      <c r="QZI30" s="276"/>
      <c r="QZJ30" s="276"/>
      <c r="QZK30" s="276"/>
      <c r="QZL30" s="276"/>
      <c r="QZM30" s="276"/>
      <c r="QZN30" s="276"/>
      <c r="QZO30" s="276"/>
      <c r="QZP30" s="276"/>
      <c r="QZQ30" s="276"/>
      <c r="QZR30" s="276"/>
      <c r="QZS30" s="276"/>
      <c r="QZT30" s="276"/>
      <c r="QZU30" s="276"/>
      <c r="QZV30" s="276"/>
      <c r="QZW30" s="276"/>
      <c r="QZX30" s="276"/>
      <c r="QZY30" s="276"/>
      <c r="QZZ30" s="276"/>
      <c r="RAA30" s="276"/>
      <c r="RAB30" s="276"/>
      <c r="RAC30" s="276"/>
      <c r="RAD30" s="276"/>
      <c r="RAE30" s="276"/>
      <c r="RAF30" s="276"/>
      <c r="RAG30" s="276"/>
      <c r="RAH30" s="276"/>
      <c r="RAI30" s="276"/>
      <c r="RAJ30" s="276"/>
      <c r="RAK30" s="276"/>
      <c r="RAL30" s="276"/>
      <c r="RAM30" s="276"/>
      <c r="RAN30" s="276"/>
      <c r="RAO30" s="276"/>
      <c r="RAP30" s="276"/>
      <c r="RAQ30" s="276"/>
      <c r="RAR30" s="276"/>
      <c r="RAS30" s="276"/>
      <c r="RAT30" s="276"/>
      <c r="RAU30" s="276"/>
      <c r="RAV30" s="276"/>
      <c r="RAW30" s="276"/>
      <c r="RAX30" s="276"/>
      <c r="RAY30" s="276"/>
      <c r="RAZ30" s="276"/>
      <c r="RBA30" s="276"/>
      <c r="RBB30" s="276"/>
      <c r="RBC30" s="276"/>
      <c r="RBD30" s="276"/>
      <c r="RBE30" s="276"/>
      <c r="RBF30" s="276"/>
      <c r="RBG30" s="276"/>
      <c r="RBH30" s="276"/>
      <c r="RBI30" s="276"/>
      <c r="RBJ30" s="276"/>
      <c r="RBK30" s="276"/>
      <c r="RBL30" s="276"/>
      <c r="RBM30" s="276"/>
      <c r="RBN30" s="276"/>
      <c r="RBO30" s="276"/>
      <c r="RBP30" s="276"/>
      <c r="RBQ30" s="276"/>
      <c r="RBR30" s="276"/>
      <c r="RBS30" s="276"/>
      <c r="RBT30" s="276"/>
      <c r="RBU30" s="276"/>
      <c r="RBV30" s="276"/>
      <c r="RBW30" s="276"/>
      <c r="RBX30" s="276"/>
      <c r="RBY30" s="276"/>
      <c r="RBZ30" s="276"/>
      <c r="RCA30" s="276"/>
      <c r="RCB30" s="276"/>
      <c r="RCC30" s="276"/>
      <c r="RCD30" s="276"/>
      <c r="RCE30" s="276"/>
      <c r="RCF30" s="276"/>
      <c r="RCG30" s="276"/>
      <c r="RCH30" s="276"/>
      <c r="RCI30" s="276"/>
      <c r="RCJ30" s="276"/>
      <c r="RCK30" s="276"/>
      <c r="RCL30" s="276"/>
      <c r="RCM30" s="276"/>
      <c r="RCN30" s="276"/>
      <c r="RCO30" s="276"/>
      <c r="RCP30" s="276"/>
      <c r="RCQ30" s="276"/>
      <c r="RCR30" s="276"/>
      <c r="RCS30" s="276"/>
      <c r="RCT30" s="276"/>
      <c r="RCU30" s="276"/>
      <c r="RCV30" s="276"/>
      <c r="RCW30" s="276"/>
      <c r="RCX30" s="276"/>
      <c r="RCY30" s="276"/>
      <c r="RCZ30" s="276"/>
      <c r="RDA30" s="276"/>
      <c r="RDB30" s="276"/>
      <c r="RDC30" s="276"/>
      <c r="RDD30" s="276"/>
      <c r="RDE30" s="276"/>
      <c r="RDF30" s="276"/>
      <c r="RDG30" s="276"/>
      <c r="RDH30" s="276"/>
      <c r="RDI30" s="276"/>
      <c r="RDJ30" s="276"/>
      <c r="RDK30" s="276"/>
      <c r="RDL30" s="276"/>
      <c r="RDM30" s="276"/>
      <c r="RDN30" s="276"/>
      <c r="RDO30" s="276"/>
      <c r="RDP30" s="276"/>
      <c r="RDQ30" s="276"/>
      <c r="RDR30" s="276"/>
      <c r="RDS30" s="276"/>
      <c r="RDT30" s="276"/>
      <c r="RDU30" s="276"/>
      <c r="RDV30" s="276"/>
      <c r="RDW30" s="276"/>
      <c r="RDX30" s="276"/>
      <c r="RDY30" s="276"/>
      <c r="RDZ30" s="276"/>
      <c r="REA30" s="276"/>
      <c r="REB30" s="276"/>
      <c r="REC30" s="276"/>
      <c r="RED30" s="276"/>
      <c r="REE30" s="276"/>
      <c r="REF30" s="276"/>
      <c r="REG30" s="276"/>
      <c r="REH30" s="276"/>
      <c r="REI30" s="276"/>
      <c r="REJ30" s="276"/>
      <c r="REK30" s="276"/>
      <c r="REL30" s="276"/>
      <c r="REM30" s="276"/>
      <c r="REN30" s="276"/>
      <c r="REO30" s="276"/>
      <c r="REP30" s="276"/>
      <c r="REQ30" s="276"/>
      <c r="RER30" s="276"/>
      <c r="RES30" s="276"/>
      <c r="RET30" s="276"/>
      <c r="REU30" s="276"/>
      <c r="REV30" s="276"/>
      <c r="REW30" s="276"/>
      <c r="REX30" s="276"/>
      <c r="REY30" s="276"/>
      <c r="REZ30" s="276"/>
      <c r="RFA30" s="276"/>
      <c r="RFB30" s="276"/>
      <c r="RFC30" s="276"/>
      <c r="RFD30" s="276"/>
      <c r="RFE30" s="276"/>
      <c r="RFF30" s="276"/>
      <c r="RFG30" s="276"/>
      <c r="RFH30" s="276"/>
      <c r="RFI30" s="276"/>
      <c r="RFJ30" s="276"/>
      <c r="RFK30" s="276"/>
      <c r="RFL30" s="276"/>
      <c r="RFM30" s="276"/>
      <c r="RFN30" s="276"/>
      <c r="RFO30" s="276"/>
      <c r="RFP30" s="276"/>
      <c r="RFQ30" s="276"/>
      <c r="RFR30" s="276"/>
      <c r="RFS30" s="276"/>
      <c r="RFT30" s="276"/>
      <c r="RFU30" s="276"/>
      <c r="RFV30" s="276"/>
      <c r="RFW30" s="276"/>
      <c r="RFX30" s="276"/>
      <c r="RFY30" s="276"/>
      <c r="RFZ30" s="276"/>
      <c r="RGA30" s="276"/>
      <c r="RGB30" s="276"/>
      <c r="RGC30" s="276"/>
      <c r="RGD30" s="276"/>
      <c r="RGE30" s="276"/>
      <c r="RGF30" s="276"/>
      <c r="RGG30" s="276"/>
      <c r="RGH30" s="276"/>
      <c r="RGI30" s="276"/>
      <c r="RGJ30" s="276"/>
      <c r="RGK30" s="276"/>
      <c r="RGL30" s="276"/>
      <c r="RGM30" s="276"/>
      <c r="RGN30" s="276"/>
      <c r="RGO30" s="276"/>
      <c r="RGP30" s="276"/>
      <c r="RGQ30" s="276"/>
      <c r="RGR30" s="276"/>
      <c r="RGS30" s="276"/>
      <c r="RGT30" s="276"/>
      <c r="RGU30" s="276"/>
      <c r="RGV30" s="276"/>
      <c r="RGW30" s="276"/>
      <c r="RGX30" s="276"/>
      <c r="RGY30" s="276"/>
      <c r="RGZ30" s="276"/>
      <c r="RHA30" s="276"/>
      <c r="RHB30" s="276"/>
      <c r="RHC30" s="276"/>
      <c r="RHD30" s="276"/>
      <c r="RHE30" s="276"/>
      <c r="RHF30" s="276"/>
      <c r="RHG30" s="276"/>
      <c r="RHH30" s="276"/>
      <c r="RHI30" s="276"/>
      <c r="RHJ30" s="276"/>
      <c r="RHK30" s="276"/>
      <c r="RHL30" s="276"/>
      <c r="RHM30" s="276"/>
      <c r="RHN30" s="276"/>
      <c r="RHO30" s="276"/>
      <c r="RHP30" s="276"/>
      <c r="RHQ30" s="276"/>
      <c r="RHR30" s="276"/>
      <c r="RHS30" s="276"/>
      <c r="RHT30" s="276"/>
      <c r="RHU30" s="276"/>
      <c r="RHV30" s="276"/>
      <c r="RHW30" s="276"/>
      <c r="RHX30" s="276"/>
      <c r="RHY30" s="276"/>
      <c r="RHZ30" s="276"/>
      <c r="RIA30" s="276"/>
      <c r="RIB30" s="276"/>
      <c r="RIC30" s="276"/>
      <c r="RID30" s="276"/>
      <c r="RIE30" s="276"/>
      <c r="RIF30" s="276"/>
      <c r="RIG30" s="276"/>
      <c r="RIH30" s="276"/>
      <c r="RII30" s="276"/>
      <c r="RIJ30" s="276"/>
      <c r="RIK30" s="276"/>
      <c r="RIL30" s="276"/>
      <c r="RIM30" s="276"/>
      <c r="RIN30" s="276"/>
      <c r="RIO30" s="276"/>
      <c r="RIP30" s="276"/>
      <c r="RIQ30" s="276"/>
      <c r="RIR30" s="276"/>
      <c r="RIS30" s="276"/>
      <c r="RIT30" s="276"/>
      <c r="RIU30" s="276"/>
      <c r="RIV30" s="276"/>
      <c r="RIW30" s="276"/>
      <c r="RIX30" s="276"/>
      <c r="RIY30" s="276"/>
      <c r="RIZ30" s="276"/>
      <c r="RJA30" s="276"/>
      <c r="RJB30" s="276"/>
      <c r="RJC30" s="276"/>
      <c r="RJD30" s="276"/>
      <c r="RJE30" s="276"/>
      <c r="RJF30" s="276"/>
      <c r="RJG30" s="276"/>
      <c r="RJH30" s="276"/>
      <c r="RJI30" s="276"/>
      <c r="RJJ30" s="276"/>
      <c r="RJK30" s="276"/>
      <c r="RJL30" s="276"/>
      <c r="RJM30" s="276"/>
      <c r="RJN30" s="276"/>
      <c r="RJO30" s="276"/>
      <c r="RJP30" s="276"/>
      <c r="RJQ30" s="276"/>
      <c r="RJR30" s="276"/>
      <c r="RJS30" s="276"/>
      <c r="RJT30" s="276"/>
      <c r="RJU30" s="276"/>
      <c r="RJV30" s="276"/>
      <c r="RJW30" s="276"/>
      <c r="RJX30" s="276"/>
      <c r="RJY30" s="276"/>
      <c r="RJZ30" s="276"/>
      <c r="RKA30" s="276"/>
      <c r="RKB30" s="276"/>
      <c r="RKC30" s="276"/>
      <c r="RKD30" s="276"/>
      <c r="RKE30" s="276"/>
      <c r="RKF30" s="276"/>
      <c r="RKG30" s="276"/>
      <c r="RKH30" s="276"/>
      <c r="RKI30" s="276"/>
      <c r="RKJ30" s="276"/>
      <c r="RKK30" s="276"/>
      <c r="RKL30" s="276"/>
      <c r="RKM30" s="276"/>
      <c r="RKN30" s="276"/>
      <c r="RKO30" s="276"/>
      <c r="RKP30" s="276"/>
      <c r="RKQ30" s="276"/>
      <c r="RKR30" s="276"/>
      <c r="RKS30" s="276"/>
      <c r="RKT30" s="276"/>
      <c r="RKU30" s="276"/>
      <c r="RKV30" s="276"/>
      <c r="RKW30" s="276"/>
      <c r="RKX30" s="276"/>
      <c r="RKY30" s="276"/>
      <c r="RKZ30" s="276"/>
      <c r="RLA30" s="276"/>
      <c r="RLB30" s="276"/>
      <c r="RLC30" s="276"/>
      <c r="RLD30" s="276"/>
      <c r="RLE30" s="276"/>
      <c r="RLF30" s="276"/>
      <c r="RLG30" s="276"/>
      <c r="RLH30" s="276"/>
      <c r="RLI30" s="276"/>
      <c r="RLJ30" s="276"/>
      <c r="RLK30" s="276"/>
      <c r="RLL30" s="276"/>
      <c r="RLM30" s="276"/>
      <c r="RLN30" s="276"/>
      <c r="RLO30" s="276"/>
      <c r="RLP30" s="276"/>
      <c r="RLQ30" s="276"/>
      <c r="RLR30" s="276"/>
      <c r="RLS30" s="276"/>
      <c r="RLT30" s="276"/>
      <c r="RLU30" s="276"/>
      <c r="RLV30" s="276"/>
      <c r="RLW30" s="276"/>
      <c r="RLX30" s="276"/>
      <c r="RLY30" s="276"/>
      <c r="RLZ30" s="276"/>
      <c r="RMA30" s="276"/>
      <c r="RMB30" s="276"/>
      <c r="RMC30" s="276"/>
      <c r="RMD30" s="276"/>
      <c r="RME30" s="276"/>
      <c r="RMF30" s="276"/>
      <c r="RMG30" s="276"/>
      <c r="RMH30" s="276"/>
      <c r="RMI30" s="276"/>
      <c r="RMJ30" s="276"/>
      <c r="RMK30" s="276"/>
      <c r="RML30" s="276"/>
      <c r="RMM30" s="276"/>
      <c r="RMN30" s="276"/>
      <c r="RMO30" s="276"/>
      <c r="RMP30" s="276"/>
      <c r="RMQ30" s="276"/>
      <c r="RMR30" s="276"/>
      <c r="RMS30" s="276"/>
      <c r="RMT30" s="276"/>
      <c r="RMU30" s="276"/>
      <c r="RMV30" s="276"/>
      <c r="RMW30" s="276"/>
      <c r="RMX30" s="276"/>
      <c r="RMY30" s="276"/>
      <c r="RMZ30" s="276"/>
      <c r="RNA30" s="276"/>
      <c r="RNB30" s="276"/>
      <c r="RNC30" s="276"/>
      <c r="RND30" s="276"/>
      <c r="RNE30" s="276"/>
      <c r="RNF30" s="276"/>
      <c r="RNG30" s="276"/>
      <c r="RNH30" s="276"/>
      <c r="RNI30" s="276"/>
      <c r="RNJ30" s="276"/>
      <c r="RNK30" s="276"/>
      <c r="RNL30" s="276"/>
      <c r="RNM30" s="276"/>
      <c r="RNN30" s="276"/>
      <c r="RNO30" s="276"/>
      <c r="RNP30" s="276"/>
      <c r="RNQ30" s="276"/>
      <c r="RNR30" s="276"/>
      <c r="RNS30" s="276"/>
      <c r="RNT30" s="276"/>
      <c r="RNU30" s="276"/>
      <c r="RNV30" s="276"/>
      <c r="RNW30" s="276"/>
      <c r="RNX30" s="276"/>
      <c r="RNY30" s="276"/>
      <c r="RNZ30" s="276"/>
      <c r="ROA30" s="276"/>
      <c r="ROB30" s="276"/>
      <c r="ROC30" s="276"/>
      <c r="ROD30" s="276"/>
      <c r="ROE30" s="276"/>
      <c r="ROF30" s="276"/>
      <c r="ROG30" s="276"/>
      <c r="ROH30" s="276"/>
      <c r="ROI30" s="276"/>
      <c r="ROJ30" s="276"/>
      <c r="ROK30" s="276"/>
      <c r="ROL30" s="276"/>
      <c r="ROM30" s="276"/>
      <c r="RON30" s="276"/>
      <c r="ROO30" s="276"/>
      <c r="ROP30" s="276"/>
      <c r="ROQ30" s="276"/>
      <c r="ROR30" s="276"/>
      <c r="ROS30" s="276"/>
      <c r="ROT30" s="276"/>
      <c r="ROU30" s="276"/>
      <c r="ROV30" s="276"/>
      <c r="ROW30" s="276"/>
      <c r="ROX30" s="276"/>
      <c r="ROY30" s="276"/>
      <c r="ROZ30" s="276"/>
      <c r="RPA30" s="276"/>
      <c r="RPB30" s="276"/>
      <c r="RPC30" s="276"/>
      <c r="RPD30" s="276"/>
      <c r="RPE30" s="276"/>
      <c r="RPF30" s="276"/>
      <c r="RPG30" s="276"/>
      <c r="RPH30" s="276"/>
      <c r="RPI30" s="276"/>
      <c r="RPJ30" s="276"/>
      <c r="RPK30" s="276"/>
      <c r="RPL30" s="276"/>
      <c r="RPM30" s="276"/>
      <c r="RPN30" s="276"/>
      <c r="RPO30" s="276"/>
      <c r="RPP30" s="276"/>
      <c r="RPQ30" s="276"/>
      <c r="RPR30" s="276"/>
      <c r="RPS30" s="276"/>
      <c r="RPT30" s="276"/>
      <c r="RPU30" s="276"/>
      <c r="RPV30" s="276"/>
      <c r="RPW30" s="276"/>
      <c r="RPX30" s="276"/>
      <c r="RPY30" s="276"/>
      <c r="RPZ30" s="276"/>
      <c r="RQA30" s="276"/>
      <c r="RQB30" s="276"/>
      <c r="RQC30" s="276"/>
      <c r="RQD30" s="276"/>
      <c r="RQE30" s="276"/>
      <c r="RQF30" s="276"/>
      <c r="RQG30" s="276"/>
      <c r="RQH30" s="276"/>
      <c r="RQI30" s="276"/>
      <c r="RQJ30" s="276"/>
      <c r="RQK30" s="276"/>
      <c r="RQL30" s="276"/>
      <c r="RQM30" s="276"/>
      <c r="RQN30" s="276"/>
      <c r="RQO30" s="276"/>
      <c r="RQP30" s="276"/>
      <c r="RQQ30" s="276"/>
      <c r="RQR30" s="276"/>
      <c r="RQS30" s="276"/>
      <c r="RQT30" s="276"/>
      <c r="RQU30" s="276"/>
      <c r="RQV30" s="276"/>
      <c r="RQW30" s="276"/>
      <c r="RQX30" s="276"/>
      <c r="RQY30" s="276"/>
      <c r="RQZ30" s="276"/>
      <c r="RRA30" s="276"/>
      <c r="RRB30" s="276"/>
      <c r="RRC30" s="276"/>
      <c r="RRD30" s="276"/>
      <c r="RRE30" s="276"/>
      <c r="RRF30" s="276"/>
      <c r="RRG30" s="276"/>
      <c r="RRH30" s="276"/>
      <c r="RRI30" s="276"/>
      <c r="RRJ30" s="276"/>
      <c r="RRK30" s="276"/>
      <c r="RRL30" s="276"/>
      <c r="RRM30" s="276"/>
      <c r="RRN30" s="276"/>
      <c r="RRO30" s="276"/>
      <c r="RRP30" s="276"/>
      <c r="RRQ30" s="276"/>
      <c r="RRR30" s="276"/>
      <c r="RRS30" s="276"/>
      <c r="RRT30" s="276"/>
      <c r="RRU30" s="276"/>
      <c r="RRV30" s="276"/>
      <c r="RRW30" s="276"/>
      <c r="RRX30" s="276"/>
      <c r="RRY30" s="276"/>
      <c r="RRZ30" s="276"/>
      <c r="RSA30" s="276"/>
      <c r="RSB30" s="276"/>
      <c r="RSC30" s="276"/>
      <c r="RSD30" s="276"/>
      <c r="RSE30" s="276"/>
      <c r="RSF30" s="276"/>
      <c r="RSG30" s="276"/>
      <c r="RSH30" s="276"/>
      <c r="RSI30" s="276"/>
      <c r="RSJ30" s="276"/>
      <c r="RSK30" s="276"/>
      <c r="RSL30" s="276"/>
      <c r="RSM30" s="276"/>
      <c r="RSN30" s="276"/>
      <c r="RSO30" s="276"/>
      <c r="RSP30" s="276"/>
      <c r="RSQ30" s="276"/>
      <c r="RSR30" s="276"/>
      <c r="RSS30" s="276"/>
      <c r="RST30" s="276"/>
      <c r="RSU30" s="276"/>
      <c r="RSV30" s="276"/>
      <c r="RSW30" s="276"/>
      <c r="RSX30" s="276"/>
      <c r="RSY30" s="276"/>
      <c r="RSZ30" s="276"/>
      <c r="RTA30" s="276"/>
      <c r="RTB30" s="276"/>
      <c r="RTC30" s="276"/>
      <c r="RTD30" s="276"/>
      <c r="RTE30" s="276"/>
      <c r="RTF30" s="276"/>
      <c r="RTG30" s="276"/>
      <c r="RTH30" s="276"/>
      <c r="RTI30" s="276"/>
      <c r="RTJ30" s="276"/>
      <c r="RTK30" s="276"/>
      <c r="RTL30" s="276"/>
      <c r="RTM30" s="276"/>
      <c r="RTN30" s="276"/>
      <c r="RTO30" s="276"/>
      <c r="RTP30" s="276"/>
      <c r="RTQ30" s="276"/>
      <c r="RTR30" s="276"/>
      <c r="RTS30" s="276"/>
      <c r="RTT30" s="276"/>
      <c r="RTU30" s="276"/>
      <c r="RTV30" s="276"/>
      <c r="RTW30" s="276"/>
      <c r="RTX30" s="276"/>
      <c r="RTY30" s="276"/>
      <c r="RTZ30" s="276"/>
      <c r="RUA30" s="276"/>
      <c r="RUB30" s="276"/>
      <c r="RUC30" s="276"/>
      <c r="RUD30" s="276"/>
      <c r="RUE30" s="276"/>
      <c r="RUF30" s="276"/>
      <c r="RUG30" s="276"/>
      <c r="RUH30" s="276"/>
      <c r="RUI30" s="276"/>
      <c r="RUJ30" s="276"/>
      <c r="RUK30" s="276"/>
      <c r="RUL30" s="276"/>
      <c r="RUM30" s="276"/>
      <c r="RUN30" s="276"/>
      <c r="RUO30" s="276"/>
      <c r="RUP30" s="276"/>
      <c r="RUQ30" s="276"/>
      <c r="RUR30" s="276"/>
      <c r="RUS30" s="276"/>
      <c r="RUT30" s="276"/>
      <c r="RUU30" s="276"/>
      <c r="RUV30" s="276"/>
      <c r="RUW30" s="276"/>
      <c r="RUX30" s="276"/>
      <c r="RUY30" s="276"/>
      <c r="RUZ30" s="276"/>
      <c r="RVA30" s="276"/>
      <c r="RVB30" s="276"/>
      <c r="RVC30" s="276"/>
      <c r="RVD30" s="276"/>
      <c r="RVE30" s="276"/>
      <c r="RVF30" s="276"/>
      <c r="RVG30" s="276"/>
      <c r="RVH30" s="276"/>
      <c r="RVI30" s="276"/>
      <c r="RVJ30" s="276"/>
      <c r="RVK30" s="276"/>
      <c r="RVL30" s="276"/>
      <c r="RVM30" s="276"/>
      <c r="RVN30" s="276"/>
      <c r="RVO30" s="276"/>
      <c r="RVP30" s="276"/>
      <c r="RVQ30" s="276"/>
      <c r="RVR30" s="276"/>
      <c r="RVS30" s="276"/>
      <c r="RVT30" s="276"/>
      <c r="RVU30" s="276"/>
      <c r="RVV30" s="276"/>
      <c r="RVW30" s="276"/>
      <c r="RVX30" s="276"/>
      <c r="RVY30" s="276"/>
      <c r="RVZ30" s="276"/>
      <c r="RWA30" s="276"/>
      <c r="RWB30" s="276"/>
      <c r="RWC30" s="276"/>
      <c r="RWD30" s="276"/>
      <c r="RWE30" s="276"/>
      <c r="RWF30" s="276"/>
      <c r="RWG30" s="276"/>
      <c r="RWH30" s="276"/>
      <c r="RWI30" s="276"/>
      <c r="RWJ30" s="276"/>
      <c r="RWK30" s="276"/>
      <c r="RWL30" s="276"/>
      <c r="RWM30" s="276"/>
      <c r="RWN30" s="276"/>
      <c r="RWO30" s="276"/>
      <c r="RWP30" s="276"/>
      <c r="RWQ30" s="276"/>
      <c r="RWR30" s="276"/>
      <c r="RWS30" s="276"/>
      <c r="RWT30" s="276"/>
      <c r="RWU30" s="276"/>
      <c r="RWV30" s="276"/>
      <c r="RWW30" s="276"/>
      <c r="RWX30" s="276"/>
      <c r="RWY30" s="276"/>
      <c r="RWZ30" s="276"/>
      <c r="RXA30" s="276"/>
      <c r="RXB30" s="276"/>
      <c r="RXC30" s="276"/>
      <c r="RXD30" s="276"/>
      <c r="RXE30" s="276"/>
      <c r="RXF30" s="276"/>
      <c r="RXG30" s="276"/>
      <c r="RXH30" s="276"/>
      <c r="RXI30" s="276"/>
      <c r="RXJ30" s="276"/>
      <c r="RXK30" s="276"/>
      <c r="RXL30" s="276"/>
      <c r="RXM30" s="276"/>
      <c r="RXN30" s="276"/>
      <c r="RXO30" s="276"/>
      <c r="RXP30" s="276"/>
      <c r="RXQ30" s="276"/>
      <c r="RXR30" s="276"/>
      <c r="RXS30" s="276"/>
      <c r="RXT30" s="276"/>
      <c r="RXU30" s="276"/>
      <c r="RXV30" s="276"/>
      <c r="RXW30" s="276"/>
      <c r="RXX30" s="276"/>
      <c r="RXY30" s="276"/>
      <c r="RXZ30" s="276"/>
      <c r="RYA30" s="276"/>
      <c r="RYB30" s="276"/>
      <c r="RYC30" s="276"/>
      <c r="RYD30" s="276"/>
      <c r="RYE30" s="276"/>
      <c r="RYF30" s="276"/>
      <c r="RYG30" s="276"/>
      <c r="RYH30" s="276"/>
      <c r="RYI30" s="276"/>
      <c r="RYJ30" s="276"/>
      <c r="RYK30" s="276"/>
      <c r="RYL30" s="276"/>
      <c r="RYM30" s="276"/>
      <c r="RYN30" s="276"/>
      <c r="RYO30" s="276"/>
      <c r="RYP30" s="276"/>
      <c r="RYQ30" s="276"/>
      <c r="RYR30" s="276"/>
      <c r="RYS30" s="276"/>
      <c r="RYT30" s="276"/>
      <c r="RYU30" s="276"/>
      <c r="RYV30" s="276"/>
      <c r="RYW30" s="276"/>
      <c r="RYX30" s="276"/>
      <c r="RYY30" s="276"/>
      <c r="RYZ30" s="276"/>
      <c r="RZA30" s="276"/>
      <c r="RZB30" s="276"/>
      <c r="RZC30" s="276"/>
      <c r="RZD30" s="276"/>
      <c r="RZE30" s="276"/>
      <c r="RZF30" s="276"/>
      <c r="RZG30" s="276"/>
      <c r="RZH30" s="276"/>
      <c r="RZI30" s="276"/>
      <c r="RZJ30" s="276"/>
      <c r="RZK30" s="276"/>
      <c r="RZL30" s="276"/>
      <c r="RZM30" s="276"/>
      <c r="RZN30" s="276"/>
      <c r="RZO30" s="276"/>
      <c r="RZP30" s="276"/>
      <c r="RZQ30" s="276"/>
      <c r="RZR30" s="276"/>
      <c r="RZS30" s="276"/>
      <c r="RZT30" s="276"/>
      <c r="RZU30" s="276"/>
      <c r="RZV30" s="276"/>
      <c r="RZW30" s="276"/>
      <c r="RZX30" s="276"/>
      <c r="RZY30" s="276"/>
      <c r="RZZ30" s="276"/>
      <c r="SAA30" s="276"/>
      <c r="SAB30" s="276"/>
      <c r="SAC30" s="276"/>
      <c r="SAD30" s="276"/>
      <c r="SAE30" s="276"/>
      <c r="SAF30" s="276"/>
      <c r="SAG30" s="276"/>
      <c r="SAH30" s="276"/>
      <c r="SAI30" s="276"/>
      <c r="SAJ30" s="276"/>
      <c r="SAK30" s="276"/>
      <c r="SAL30" s="276"/>
      <c r="SAM30" s="276"/>
      <c r="SAN30" s="276"/>
      <c r="SAO30" s="276"/>
      <c r="SAP30" s="276"/>
      <c r="SAQ30" s="276"/>
      <c r="SAR30" s="276"/>
      <c r="SAS30" s="276"/>
      <c r="SAT30" s="276"/>
      <c r="SAU30" s="276"/>
      <c r="SAV30" s="276"/>
      <c r="SAW30" s="276"/>
      <c r="SAX30" s="276"/>
      <c r="SAY30" s="276"/>
      <c r="SAZ30" s="276"/>
      <c r="SBA30" s="276"/>
      <c r="SBB30" s="276"/>
      <c r="SBC30" s="276"/>
      <c r="SBD30" s="276"/>
      <c r="SBE30" s="276"/>
      <c r="SBF30" s="276"/>
      <c r="SBG30" s="276"/>
      <c r="SBH30" s="276"/>
      <c r="SBI30" s="276"/>
      <c r="SBJ30" s="276"/>
      <c r="SBK30" s="276"/>
      <c r="SBL30" s="276"/>
      <c r="SBM30" s="276"/>
      <c r="SBN30" s="276"/>
      <c r="SBO30" s="276"/>
      <c r="SBP30" s="276"/>
      <c r="SBQ30" s="276"/>
      <c r="SBR30" s="276"/>
      <c r="SBS30" s="276"/>
      <c r="SBT30" s="276"/>
      <c r="SBU30" s="276"/>
      <c r="SBV30" s="276"/>
      <c r="SBW30" s="276"/>
      <c r="SBX30" s="276"/>
      <c r="SBY30" s="276"/>
      <c r="SBZ30" s="276"/>
      <c r="SCA30" s="276"/>
      <c r="SCB30" s="276"/>
      <c r="SCC30" s="276"/>
      <c r="SCD30" s="276"/>
      <c r="SCE30" s="276"/>
      <c r="SCF30" s="276"/>
      <c r="SCG30" s="276"/>
      <c r="SCH30" s="276"/>
      <c r="SCI30" s="276"/>
      <c r="SCJ30" s="276"/>
      <c r="SCK30" s="276"/>
      <c r="SCL30" s="276"/>
      <c r="SCM30" s="276"/>
      <c r="SCN30" s="276"/>
      <c r="SCO30" s="276"/>
      <c r="SCP30" s="276"/>
      <c r="SCQ30" s="276"/>
      <c r="SCR30" s="276"/>
      <c r="SCS30" s="276"/>
      <c r="SCT30" s="276"/>
      <c r="SCU30" s="276"/>
      <c r="SCV30" s="276"/>
      <c r="SCW30" s="276"/>
      <c r="SCX30" s="276"/>
      <c r="SCY30" s="276"/>
      <c r="SCZ30" s="276"/>
      <c r="SDA30" s="276"/>
      <c r="SDB30" s="276"/>
      <c r="SDC30" s="276"/>
      <c r="SDD30" s="276"/>
      <c r="SDE30" s="276"/>
      <c r="SDF30" s="276"/>
      <c r="SDG30" s="276"/>
      <c r="SDH30" s="276"/>
      <c r="SDI30" s="276"/>
      <c r="SDJ30" s="276"/>
      <c r="SDK30" s="276"/>
      <c r="SDL30" s="276"/>
      <c r="SDM30" s="276"/>
      <c r="SDN30" s="276"/>
      <c r="SDO30" s="276"/>
      <c r="SDP30" s="276"/>
      <c r="SDQ30" s="276"/>
      <c r="SDR30" s="276"/>
      <c r="SDS30" s="276"/>
      <c r="SDT30" s="276"/>
      <c r="SDU30" s="276"/>
      <c r="SDV30" s="276"/>
      <c r="SDW30" s="276"/>
      <c r="SDX30" s="276"/>
      <c r="SDY30" s="276"/>
      <c r="SDZ30" s="276"/>
      <c r="SEA30" s="276"/>
      <c r="SEB30" s="276"/>
      <c r="SEC30" s="276"/>
      <c r="SED30" s="276"/>
      <c r="SEE30" s="276"/>
      <c r="SEF30" s="276"/>
      <c r="SEG30" s="276"/>
      <c r="SEH30" s="276"/>
      <c r="SEI30" s="276"/>
      <c r="SEJ30" s="276"/>
      <c r="SEK30" s="276"/>
      <c r="SEL30" s="276"/>
      <c r="SEM30" s="276"/>
      <c r="SEN30" s="276"/>
      <c r="SEO30" s="276"/>
      <c r="SEP30" s="276"/>
      <c r="SEQ30" s="276"/>
      <c r="SER30" s="276"/>
      <c r="SES30" s="276"/>
      <c r="SET30" s="276"/>
      <c r="SEU30" s="276"/>
      <c r="SEV30" s="276"/>
      <c r="SEW30" s="276"/>
      <c r="SEX30" s="276"/>
      <c r="SEY30" s="276"/>
      <c r="SEZ30" s="276"/>
      <c r="SFA30" s="276"/>
      <c r="SFB30" s="276"/>
      <c r="SFC30" s="276"/>
      <c r="SFD30" s="276"/>
      <c r="SFE30" s="276"/>
      <c r="SFF30" s="276"/>
      <c r="SFG30" s="276"/>
      <c r="SFH30" s="276"/>
      <c r="SFI30" s="276"/>
      <c r="SFJ30" s="276"/>
      <c r="SFK30" s="276"/>
      <c r="SFL30" s="276"/>
      <c r="SFM30" s="276"/>
      <c r="SFN30" s="276"/>
      <c r="SFO30" s="276"/>
      <c r="SFP30" s="276"/>
      <c r="SFQ30" s="276"/>
      <c r="SFR30" s="276"/>
      <c r="SFS30" s="276"/>
      <c r="SFT30" s="276"/>
      <c r="SFU30" s="276"/>
      <c r="SFV30" s="276"/>
      <c r="SFW30" s="276"/>
      <c r="SFX30" s="276"/>
      <c r="SFY30" s="276"/>
      <c r="SFZ30" s="276"/>
      <c r="SGA30" s="276"/>
      <c r="SGB30" s="276"/>
      <c r="SGC30" s="276"/>
      <c r="SGD30" s="276"/>
      <c r="SGE30" s="276"/>
      <c r="SGF30" s="276"/>
      <c r="SGG30" s="276"/>
      <c r="SGH30" s="276"/>
      <c r="SGI30" s="276"/>
      <c r="SGJ30" s="276"/>
      <c r="SGK30" s="276"/>
      <c r="SGL30" s="276"/>
      <c r="SGM30" s="276"/>
      <c r="SGN30" s="276"/>
      <c r="SGO30" s="276"/>
      <c r="SGP30" s="276"/>
      <c r="SGQ30" s="276"/>
      <c r="SGR30" s="276"/>
      <c r="SGS30" s="276"/>
      <c r="SGT30" s="276"/>
      <c r="SGU30" s="276"/>
      <c r="SGV30" s="276"/>
      <c r="SGW30" s="276"/>
      <c r="SGX30" s="276"/>
      <c r="SGY30" s="276"/>
      <c r="SGZ30" s="276"/>
      <c r="SHA30" s="276"/>
      <c r="SHB30" s="276"/>
      <c r="SHC30" s="276"/>
      <c r="SHD30" s="276"/>
      <c r="SHE30" s="276"/>
      <c r="SHF30" s="276"/>
      <c r="SHG30" s="276"/>
      <c r="SHH30" s="276"/>
      <c r="SHI30" s="276"/>
      <c r="SHJ30" s="276"/>
      <c r="SHK30" s="276"/>
      <c r="SHL30" s="276"/>
      <c r="SHM30" s="276"/>
      <c r="SHN30" s="276"/>
      <c r="SHO30" s="276"/>
      <c r="SHP30" s="276"/>
      <c r="SHQ30" s="276"/>
      <c r="SHR30" s="276"/>
      <c r="SHS30" s="276"/>
      <c r="SHT30" s="276"/>
      <c r="SHU30" s="276"/>
      <c r="SHV30" s="276"/>
      <c r="SHW30" s="276"/>
      <c r="SHX30" s="276"/>
      <c r="SHY30" s="276"/>
      <c r="SHZ30" s="276"/>
      <c r="SIA30" s="276"/>
      <c r="SIB30" s="276"/>
      <c r="SIC30" s="276"/>
      <c r="SID30" s="276"/>
      <c r="SIE30" s="276"/>
      <c r="SIF30" s="276"/>
      <c r="SIG30" s="276"/>
      <c r="SIH30" s="276"/>
      <c r="SII30" s="276"/>
      <c r="SIJ30" s="276"/>
      <c r="SIK30" s="276"/>
      <c r="SIL30" s="276"/>
      <c r="SIM30" s="276"/>
      <c r="SIN30" s="276"/>
      <c r="SIO30" s="276"/>
      <c r="SIP30" s="276"/>
      <c r="SIQ30" s="276"/>
      <c r="SIR30" s="276"/>
      <c r="SIS30" s="276"/>
      <c r="SIT30" s="276"/>
      <c r="SIU30" s="276"/>
      <c r="SIV30" s="276"/>
      <c r="SIW30" s="276"/>
      <c r="SIX30" s="276"/>
      <c r="SIY30" s="276"/>
      <c r="SIZ30" s="276"/>
      <c r="SJA30" s="276"/>
      <c r="SJB30" s="276"/>
      <c r="SJC30" s="276"/>
      <c r="SJD30" s="276"/>
      <c r="SJE30" s="276"/>
      <c r="SJF30" s="276"/>
      <c r="SJG30" s="276"/>
      <c r="SJH30" s="276"/>
      <c r="SJI30" s="276"/>
      <c r="SJJ30" s="276"/>
      <c r="SJK30" s="276"/>
      <c r="SJL30" s="276"/>
      <c r="SJM30" s="276"/>
      <c r="SJN30" s="276"/>
      <c r="SJO30" s="276"/>
      <c r="SJP30" s="276"/>
      <c r="SJQ30" s="276"/>
      <c r="SJR30" s="276"/>
      <c r="SJS30" s="276"/>
      <c r="SJT30" s="276"/>
      <c r="SJU30" s="276"/>
      <c r="SJV30" s="276"/>
      <c r="SJW30" s="276"/>
      <c r="SJX30" s="276"/>
      <c r="SJY30" s="276"/>
      <c r="SJZ30" s="276"/>
      <c r="SKA30" s="276"/>
      <c r="SKB30" s="276"/>
      <c r="SKC30" s="276"/>
      <c r="SKD30" s="276"/>
      <c r="SKE30" s="276"/>
      <c r="SKF30" s="276"/>
      <c r="SKG30" s="276"/>
      <c r="SKH30" s="276"/>
      <c r="SKI30" s="276"/>
      <c r="SKJ30" s="276"/>
      <c r="SKK30" s="276"/>
      <c r="SKL30" s="276"/>
      <c r="SKM30" s="276"/>
      <c r="SKN30" s="276"/>
      <c r="SKO30" s="276"/>
      <c r="SKP30" s="276"/>
      <c r="SKQ30" s="276"/>
      <c r="SKR30" s="276"/>
      <c r="SKS30" s="276"/>
      <c r="SKT30" s="276"/>
      <c r="SKU30" s="276"/>
      <c r="SKV30" s="276"/>
      <c r="SKW30" s="276"/>
      <c r="SKX30" s="276"/>
      <c r="SKY30" s="276"/>
      <c r="SKZ30" s="276"/>
      <c r="SLA30" s="276"/>
      <c r="SLB30" s="276"/>
      <c r="SLC30" s="276"/>
      <c r="SLD30" s="276"/>
      <c r="SLE30" s="276"/>
      <c r="SLF30" s="276"/>
      <c r="SLG30" s="276"/>
      <c r="SLH30" s="276"/>
      <c r="SLI30" s="276"/>
      <c r="SLJ30" s="276"/>
      <c r="SLK30" s="276"/>
      <c r="SLL30" s="276"/>
      <c r="SLM30" s="276"/>
      <c r="SLN30" s="276"/>
      <c r="SLO30" s="276"/>
      <c r="SLP30" s="276"/>
      <c r="SLQ30" s="276"/>
      <c r="SLR30" s="276"/>
      <c r="SLS30" s="276"/>
      <c r="SLT30" s="276"/>
      <c r="SLU30" s="276"/>
      <c r="SLV30" s="276"/>
      <c r="SLW30" s="276"/>
      <c r="SLX30" s="276"/>
      <c r="SLY30" s="276"/>
      <c r="SLZ30" s="276"/>
      <c r="SMA30" s="276"/>
      <c r="SMB30" s="276"/>
      <c r="SMC30" s="276"/>
      <c r="SMD30" s="276"/>
      <c r="SME30" s="276"/>
      <c r="SMF30" s="276"/>
      <c r="SMG30" s="276"/>
      <c r="SMH30" s="276"/>
      <c r="SMI30" s="276"/>
      <c r="SMJ30" s="276"/>
      <c r="SMK30" s="276"/>
      <c r="SML30" s="276"/>
      <c r="SMM30" s="276"/>
      <c r="SMN30" s="276"/>
      <c r="SMO30" s="276"/>
      <c r="SMP30" s="276"/>
      <c r="SMQ30" s="276"/>
      <c r="SMR30" s="276"/>
      <c r="SMS30" s="276"/>
      <c r="SMT30" s="276"/>
      <c r="SMU30" s="276"/>
      <c r="SMV30" s="276"/>
      <c r="SMW30" s="276"/>
      <c r="SMX30" s="276"/>
      <c r="SMY30" s="276"/>
      <c r="SMZ30" s="276"/>
      <c r="SNA30" s="276"/>
      <c r="SNB30" s="276"/>
      <c r="SNC30" s="276"/>
      <c r="SND30" s="276"/>
      <c r="SNE30" s="276"/>
      <c r="SNF30" s="276"/>
      <c r="SNG30" s="276"/>
      <c r="SNH30" s="276"/>
      <c r="SNI30" s="276"/>
      <c r="SNJ30" s="276"/>
      <c r="SNK30" s="276"/>
      <c r="SNL30" s="276"/>
      <c r="SNM30" s="276"/>
      <c r="SNN30" s="276"/>
      <c r="SNO30" s="276"/>
      <c r="SNP30" s="276"/>
      <c r="SNQ30" s="276"/>
      <c r="SNR30" s="276"/>
      <c r="SNS30" s="276"/>
      <c r="SNT30" s="276"/>
      <c r="SNU30" s="276"/>
      <c r="SNV30" s="276"/>
      <c r="SNW30" s="276"/>
      <c r="SNX30" s="276"/>
      <c r="SNY30" s="276"/>
      <c r="SNZ30" s="276"/>
      <c r="SOA30" s="276"/>
      <c r="SOB30" s="276"/>
      <c r="SOC30" s="276"/>
      <c r="SOD30" s="276"/>
      <c r="SOE30" s="276"/>
      <c r="SOF30" s="276"/>
      <c r="SOG30" s="276"/>
      <c r="SOH30" s="276"/>
      <c r="SOI30" s="276"/>
      <c r="SOJ30" s="276"/>
      <c r="SOK30" s="276"/>
      <c r="SOL30" s="276"/>
      <c r="SOM30" s="276"/>
      <c r="SON30" s="276"/>
      <c r="SOO30" s="276"/>
      <c r="SOP30" s="276"/>
      <c r="SOQ30" s="276"/>
      <c r="SOR30" s="276"/>
      <c r="SOS30" s="276"/>
      <c r="SOT30" s="276"/>
      <c r="SOU30" s="276"/>
      <c r="SOV30" s="276"/>
      <c r="SOW30" s="276"/>
      <c r="SOX30" s="276"/>
      <c r="SOY30" s="276"/>
      <c r="SOZ30" s="276"/>
      <c r="SPA30" s="276"/>
      <c r="SPB30" s="276"/>
      <c r="SPC30" s="276"/>
      <c r="SPD30" s="276"/>
      <c r="SPE30" s="276"/>
      <c r="SPF30" s="276"/>
      <c r="SPG30" s="276"/>
      <c r="SPH30" s="276"/>
      <c r="SPI30" s="276"/>
      <c r="SPJ30" s="276"/>
      <c r="SPK30" s="276"/>
      <c r="SPL30" s="276"/>
      <c r="SPM30" s="276"/>
      <c r="SPN30" s="276"/>
      <c r="SPO30" s="276"/>
      <c r="SPP30" s="276"/>
      <c r="SPQ30" s="276"/>
      <c r="SPR30" s="276"/>
      <c r="SPS30" s="276"/>
      <c r="SPT30" s="276"/>
      <c r="SPU30" s="276"/>
      <c r="SPV30" s="276"/>
      <c r="SPW30" s="276"/>
      <c r="SPX30" s="276"/>
      <c r="SPY30" s="276"/>
      <c r="SPZ30" s="276"/>
      <c r="SQA30" s="276"/>
      <c r="SQB30" s="276"/>
      <c r="SQC30" s="276"/>
      <c r="SQD30" s="276"/>
      <c r="SQE30" s="276"/>
      <c r="SQF30" s="276"/>
      <c r="SQG30" s="276"/>
      <c r="SQH30" s="276"/>
      <c r="SQI30" s="276"/>
      <c r="SQJ30" s="276"/>
      <c r="SQK30" s="276"/>
      <c r="SQL30" s="276"/>
      <c r="SQM30" s="276"/>
      <c r="SQN30" s="276"/>
      <c r="SQO30" s="276"/>
      <c r="SQP30" s="276"/>
      <c r="SQQ30" s="276"/>
      <c r="SQR30" s="276"/>
      <c r="SQS30" s="276"/>
      <c r="SQT30" s="276"/>
      <c r="SQU30" s="276"/>
      <c r="SQV30" s="276"/>
      <c r="SQW30" s="276"/>
      <c r="SQX30" s="276"/>
      <c r="SQY30" s="276"/>
      <c r="SQZ30" s="276"/>
      <c r="SRA30" s="276"/>
      <c r="SRB30" s="276"/>
      <c r="SRC30" s="276"/>
      <c r="SRD30" s="276"/>
      <c r="SRE30" s="276"/>
      <c r="SRF30" s="276"/>
      <c r="SRG30" s="276"/>
      <c r="SRH30" s="276"/>
      <c r="SRI30" s="276"/>
      <c r="SRJ30" s="276"/>
      <c r="SRK30" s="276"/>
      <c r="SRL30" s="276"/>
      <c r="SRM30" s="276"/>
      <c r="SRN30" s="276"/>
      <c r="SRO30" s="276"/>
      <c r="SRP30" s="276"/>
      <c r="SRQ30" s="276"/>
      <c r="SRR30" s="276"/>
      <c r="SRS30" s="276"/>
      <c r="SRT30" s="276"/>
      <c r="SRU30" s="276"/>
      <c r="SRV30" s="276"/>
      <c r="SRW30" s="276"/>
      <c r="SRX30" s="276"/>
      <c r="SRY30" s="276"/>
      <c r="SRZ30" s="276"/>
      <c r="SSA30" s="276"/>
      <c r="SSB30" s="276"/>
      <c r="SSC30" s="276"/>
      <c r="SSD30" s="276"/>
      <c r="SSE30" s="276"/>
      <c r="SSF30" s="276"/>
      <c r="SSG30" s="276"/>
      <c r="SSH30" s="276"/>
      <c r="SSI30" s="276"/>
      <c r="SSJ30" s="276"/>
      <c r="SSK30" s="276"/>
      <c r="SSL30" s="276"/>
      <c r="SSM30" s="276"/>
      <c r="SSN30" s="276"/>
      <c r="SSO30" s="276"/>
      <c r="SSP30" s="276"/>
      <c r="SSQ30" s="276"/>
      <c r="SSR30" s="276"/>
      <c r="SSS30" s="276"/>
      <c r="SST30" s="276"/>
      <c r="SSU30" s="276"/>
      <c r="SSV30" s="276"/>
      <c r="SSW30" s="276"/>
      <c r="SSX30" s="276"/>
      <c r="SSY30" s="276"/>
      <c r="SSZ30" s="276"/>
      <c r="STA30" s="276"/>
      <c r="STB30" s="276"/>
      <c r="STC30" s="276"/>
      <c r="STD30" s="276"/>
      <c r="STE30" s="276"/>
      <c r="STF30" s="276"/>
      <c r="STG30" s="276"/>
      <c r="STH30" s="276"/>
      <c r="STI30" s="276"/>
      <c r="STJ30" s="276"/>
      <c r="STK30" s="276"/>
      <c r="STL30" s="276"/>
      <c r="STM30" s="276"/>
      <c r="STN30" s="276"/>
      <c r="STO30" s="276"/>
      <c r="STP30" s="276"/>
      <c r="STQ30" s="276"/>
      <c r="STR30" s="276"/>
      <c r="STS30" s="276"/>
      <c r="STT30" s="276"/>
      <c r="STU30" s="276"/>
      <c r="STV30" s="276"/>
      <c r="STW30" s="276"/>
      <c r="STX30" s="276"/>
      <c r="STY30" s="276"/>
      <c r="STZ30" s="276"/>
      <c r="SUA30" s="276"/>
      <c r="SUB30" s="276"/>
      <c r="SUC30" s="276"/>
      <c r="SUD30" s="276"/>
      <c r="SUE30" s="276"/>
      <c r="SUF30" s="276"/>
      <c r="SUG30" s="276"/>
      <c r="SUH30" s="276"/>
      <c r="SUI30" s="276"/>
      <c r="SUJ30" s="276"/>
      <c r="SUK30" s="276"/>
      <c r="SUL30" s="276"/>
      <c r="SUM30" s="276"/>
      <c r="SUN30" s="276"/>
      <c r="SUO30" s="276"/>
      <c r="SUP30" s="276"/>
      <c r="SUQ30" s="276"/>
      <c r="SUR30" s="276"/>
      <c r="SUS30" s="276"/>
      <c r="SUT30" s="276"/>
      <c r="SUU30" s="276"/>
      <c r="SUV30" s="276"/>
      <c r="SUW30" s="276"/>
      <c r="SUX30" s="276"/>
      <c r="SUY30" s="276"/>
      <c r="SUZ30" s="276"/>
      <c r="SVA30" s="276"/>
      <c r="SVB30" s="276"/>
      <c r="SVC30" s="276"/>
      <c r="SVD30" s="276"/>
      <c r="SVE30" s="276"/>
      <c r="SVF30" s="276"/>
      <c r="SVG30" s="276"/>
      <c r="SVH30" s="276"/>
      <c r="SVI30" s="276"/>
      <c r="SVJ30" s="276"/>
      <c r="SVK30" s="276"/>
      <c r="SVL30" s="276"/>
      <c r="SVM30" s="276"/>
      <c r="SVN30" s="276"/>
      <c r="SVO30" s="276"/>
      <c r="SVP30" s="276"/>
      <c r="SVQ30" s="276"/>
      <c r="SVR30" s="276"/>
      <c r="SVS30" s="276"/>
      <c r="SVT30" s="276"/>
      <c r="SVU30" s="276"/>
      <c r="SVV30" s="276"/>
      <c r="SVW30" s="276"/>
      <c r="SVX30" s="276"/>
      <c r="SVY30" s="276"/>
      <c r="SVZ30" s="276"/>
      <c r="SWA30" s="276"/>
      <c r="SWB30" s="276"/>
      <c r="SWC30" s="276"/>
      <c r="SWD30" s="276"/>
      <c r="SWE30" s="276"/>
      <c r="SWF30" s="276"/>
      <c r="SWG30" s="276"/>
      <c r="SWH30" s="276"/>
      <c r="SWI30" s="276"/>
      <c r="SWJ30" s="276"/>
      <c r="SWK30" s="276"/>
      <c r="SWL30" s="276"/>
      <c r="SWM30" s="276"/>
      <c r="SWN30" s="276"/>
      <c r="SWO30" s="276"/>
      <c r="SWP30" s="276"/>
      <c r="SWQ30" s="276"/>
      <c r="SWR30" s="276"/>
      <c r="SWS30" s="276"/>
      <c r="SWT30" s="276"/>
      <c r="SWU30" s="276"/>
      <c r="SWV30" s="276"/>
      <c r="SWW30" s="276"/>
      <c r="SWX30" s="276"/>
      <c r="SWY30" s="276"/>
      <c r="SWZ30" s="276"/>
      <c r="SXA30" s="276"/>
      <c r="SXB30" s="276"/>
      <c r="SXC30" s="276"/>
      <c r="SXD30" s="276"/>
      <c r="SXE30" s="276"/>
      <c r="SXF30" s="276"/>
      <c r="SXG30" s="276"/>
      <c r="SXH30" s="276"/>
      <c r="SXI30" s="276"/>
      <c r="SXJ30" s="276"/>
      <c r="SXK30" s="276"/>
      <c r="SXL30" s="276"/>
      <c r="SXM30" s="276"/>
      <c r="SXN30" s="276"/>
      <c r="SXO30" s="276"/>
      <c r="SXP30" s="276"/>
      <c r="SXQ30" s="276"/>
      <c r="SXR30" s="276"/>
      <c r="SXS30" s="276"/>
      <c r="SXT30" s="276"/>
      <c r="SXU30" s="276"/>
      <c r="SXV30" s="276"/>
      <c r="SXW30" s="276"/>
      <c r="SXX30" s="276"/>
      <c r="SXY30" s="276"/>
      <c r="SXZ30" s="276"/>
      <c r="SYA30" s="276"/>
      <c r="SYB30" s="276"/>
      <c r="SYC30" s="276"/>
      <c r="SYD30" s="276"/>
      <c r="SYE30" s="276"/>
      <c r="SYF30" s="276"/>
      <c r="SYG30" s="276"/>
      <c r="SYH30" s="276"/>
      <c r="SYI30" s="276"/>
      <c r="SYJ30" s="276"/>
      <c r="SYK30" s="276"/>
      <c r="SYL30" s="276"/>
      <c r="SYM30" s="276"/>
      <c r="SYN30" s="276"/>
      <c r="SYO30" s="276"/>
      <c r="SYP30" s="276"/>
      <c r="SYQ30" s="276"/>
      <c r="SYR30" s="276"/>
      <c r="SYS30" s="276"/>
      <c r="SYT30" s="276"/>
      <c r="SYU30" s="276"/>
      <c r="SYV30" s="276"/>
      <c r="SYW30" s="276"/>
      <c r="SYX30" s="276"/>
      <c r="SYY30" s="276"/>
      <c r="SYZ30" s="276"/>
      <c r="SZA30" s="276"/>
      <c r="SZB30" s="276"/>
      <c r="SZC30" s="276"/>
      <c r="SZD30" s="276"/>
      <c r="SZE30" s="276"/>
      <c r="SZF30" s="276"/>
      <c r="SZG30" s="276"/>
      <c r="SZH30" s="276"/>
      <c r="SZI30" s="276"/>
      <c r="SZJ30" s="276"/>
      <c r="SZK30" s="276"/>
      <c r="SZL30" s="276"/>
      <c r="SZM30" s="276"/>
      <c r="SZN30" s="276"/>
      <c r="SZO30" s="276"/>
      <c r="SZP30" s="276"/>
      <c r="SZQ30" s="276"/>
      <c r="SZR30" s="276"/>
      <c r="SZS30" s="276"/>
      <c r="SZT30" s="276"/>
      <c r="SZU30" s="276"/>
      <c r="SZV30" s="276"/>
      <c r="SZW30" s="276"/>
      <c r="SZX30" s="276"/>
      <c r="SZY30" s="276"/>
      <c r="SZZ30" s="276"/>
      <c r="TAA30" s="276"/>
      <c r="TAB30" s="276"/>
      <c r="TAC30" s="276"/>
      <c r="TAD30" s="276"/>
      <c r="TAE30" s="276"/>
      <c r="TAF30" s="276"/>
      <c r="TAG30" s="276"/>
      <c r="TAH30" s="276"/>
      <c r="TAI30" s="276"/>
      <c r="TAJ30" s="276"/>
      <c r="TAK30" s="276"/>
      <c r="TAL30" s="276"/>
      <c r="TAM30" s="276"/>
      <c r="TAN30" s="276"/>
      <c r="TAO30" s="276"/>
      <c r="TAP30" s="276"/>
      <c r="TAQ30" s="276"/>
      <c r="TAR30" s="276"/>
      <c r="TAS30" s="276"/>
      <c r="TAT30" s="276"/>
      <c r="TAU30" s="276"/>
      <c r="TAV30" s="276"/>
      <c r="TAW30" s="276"/>
      <c r="TAX30" s="276"/>
      <c r="TAY30" s="276"/>
      <c r="TAZ30" s="276"/>
      <c r="TBA30" s="276"/>
      <c r="TBB30" s="276"/>
      <c r="TBC30" s="276"/>
      <c r="TBD30" s="276"/>
      <c r="TBE30" s="276"/>
      <c r="TBF30" s="276"/>
      <c r="TBG30" s="276"/>
      <c r="TBH30" s="276"/>
      <c r="TBI30" s="276"/>
      <c r="TBJ30" s="276"/>
      <c r="TBK30" s="276"/>
      <c r="TBL30" s="276"/>
      <c r="TBM30" s="276"/>
      <c r="TBN30" s="276"/>
      <c r="TBO30" s="276"/>
      <c r="TBP30" s="276"/>
      <c r="TBQ30" s="276"/>
      <c r="TBR30" s="276"/>
      <c r="TBS30" s="276"/>
      <c r="TBT30" s="276"/>
      <c r="TBU30" s="276"/>
      <c r="TBV30" s="276"/>
      <c r="TBW30" s="276"/>
      <c r="TBX30" s="276"/>
      <c r="TBY30" s="276"/>
      <c r="TBZ30" s="276"/>
      <c r="TCA30" s="276"/>
      <c r="TCB30" s="276"/>
      <c r="TCC30" s="276"/>
      <c r="TCD30" s="276"/>
      <c r="TCE30" s="276"/>
      <c r="TCF30" s="276"/>
      <c r="TCG30" s="276"/>
      <c r="TCH30" s="276"/>
      <c r="TCI30" s="276"/>
      <c r="TCJ30" s="276"/>
      <c r="TCK30" s="276"/>
      <c r="TCL30" s="276"/>
      <c r="TCM30" s="276"/>
      <c r="TCN30" s="276"/>
      <c r="TCO30" s="276"/>
      <c r="TCP30" s="276"/>
      <c r="TCQ30" s="276"/>
      <c r="TCR30" s="276"/>
      <c r="TCS30" s="276"/>
      <c r="TCT30" s="276"/>
      <c r="TCU30" s="276"/>
      <c r="TCV30" s="276"/>
      <c r="TCW30" s="276"/>
      <c r="TCX30" s="276"/>
      <c r="TCY30" s="276"/>
      <c r="TCZ30" s="276"/>
      <c r="TDA30" s="276"/>
      <c r="TDB30" s="276"/>
      <c r="TDC30" s="276"/>
      <c r="TDD30" s="276"/>
      <c r="TDE30" s="276"/>
      <c r="TDF30" s="276"/>
      <c r="TDG30" s="276"/>
      <c r="TDH30" s="276"/>
      <c r="TDI30" s="276"/>
      <c r="TDJ30" s="276"/>
      <c r="TDK30" s="276"/>
      <c r="TDL30" s="276"/>
      <c r="TDM30" s="276"/>
      <c r="TDN30" s="276"/>
      <c r="TDO30" s="276"/>
      <c r="TDP30" s="276"/>
      <c r="TDQ30" s="276"/>
      <c r="TDR30" s="276"/>
      <c r="TDS30" s="276"/>
      <c r="TDT30" s="276"/>
      <c r="TDU30" s="276"/>
      <c r="TDV30" s="276"/>
      <c r="TDW30" s="276"/>
      <c r="TDX30" s="276"/>
      <c r="TDY30" s="276"/>
      <c r="TDZ30" s="276"/>
      <c r="TEA30" s="276"/>
      <c r="TEB30" s="276"/>
      <c r="TEC30" s="276"/>
      <c r="TED30" s="276"/>
      <c r="TEE30" s="276"/>
      <c r="TEF30" s="276"/>
      <c r="TEG30" s="276"/>
      <c r="TEH30" s="276"/>
      <c r="TEI30" s="276"/>
      <c r="TEJ30" s="276"/>
      <c r="TEK30" s="276"/>
      <c r="TEL30" s="276"/>
      <c r="TEM30" s="276"/>
      <c r="TEN30" s="276"/>
      <c r="TEO30" s="276"/>
      <c r="TEP30" s="276"/>
      <c r="TEQ30" s="276"/>
      <c r="TER30" s="276"/>
      <c r="TES30" s="276"/>
      <c r="TET30" s="276"/>
      <c r="TEU30" s="276"/>
      <c r="TEV30" s="276"/>
      <c r="TEW30" s="276"/>
      <c r="TEX30" s="276"/>
      <c r="TEY30" s="276"/>
      <c r="TEZ30" s="276"/>
      <c r="TFA30" s="276"/>
      <c r="TFB30" s="276"/>
      <c r="TFC30" s="276"/>
      <c r="TFD30" s="276"/>
      <c r="TFE30" s="276"/>
      <c r="TFF30" s="276"/>
      <c r="TFG30" s="276"/>
      <c r="TFH30" s="276"/>
      <c r="TFI30" s="276"/>
      <c r="TFJ30" s="276"/>
      <c r="TFK30" s="276"/>
      <c r="TFL30" s="276"/>
      <c r="TFM30" s="276"/>
      <c r="TFN30" s="276"/>
      <c r="TFO30" s="276"/>
      <c r="TFP30" s="276"/>
      <c r="TFQ30" s="276"/>
      <c r="TFR30" s="276"/>
      <c r="TFS30" s="276"/>
      <c r="TFT30" s="276"/>
      <c r="TFU30" s="276"/>
      <c r="TFV30" s="276"/>
      <c r="TFW30" s="276"/>
      <c r="TFX30" s="276"/>
      <c r="TFY30" s="276"/>
      <c r="TFZ30" s="276"/>
      <c r="TGA30" s="276"/>
      <c r="TGB30" s="276"/>
      <c r="TGC30" s="276"/>
      <c r="TGD30" s="276"/>
      <c r="TGE30" s="276"/>
      <c r="TGF30" s="276"/>
      <c r="TGG30" s="276"/>
      <c r="TGH30" s="276"/>
      <c r="TGI30" s="276"/>
      <c r="TGJ30" s="276"/>
      <c r="TGK30" s="276"/>
      <c r="TGL30" s="276"/>
      <c r="TGM30" s="276"/>
      <c r="TGN30" s="276"/>
      <c r="TGO30" s="276"/>
      <c r="TGP30" s="276"/>
      <c r="TGQ30" s="276"/>
      <c r="TGR30" s="276"/>
      <c r="TGS30" s="276"/>
      <c r="TGT30" s="276"/>
      <c r="TGU30" s="276"/>
      <c r="TGV30" s="276"/>
      <c r="TGW30" s="276"/>
      <c r="TGX30" s="276"/>
      <c r="TGY30" s="276"/>
      <c r="TGZ30" s="276"/>
      <c r="THA30" s="276"/>
      <c r="THB30" s="276"/>
      <c r="THC30" s="276"/>
      <c r="THD30" s="276"/>
      <c r="THE30" s="276"/>
      <c r="THF30" s="276"/>
      <c r="THG30" s="276"/>
      <c r="THH30" s="276"/>
      <c r="THI30" s="276"/>
      <c r="THJ30" s="276"/>
      <c r="THK30" s="276"/>
      <c r="THL30" s="276"/>
      <c r="THM30" s="276"/>
      <c r="THN30" s="276"/>
      <c r="THO30" s="276"/>
      <c r="THP30" s="276"/>
      <c r="THQ30" s="276"/>
      <c r="THR30" s="276"/>
      <c r="THS30" s="276"/>
      <c r="THT30" s="276"/>
      <c r="THU30" s="276"/>
      <c r="THV30" s="276"/>
      <c r="THW30" s="276"/>
      <c r="THX30" s="276"/>
      <c r="THY30" s="276"/>
      <c r="THZ30" s="276"/>
      <c r="TIA30" s="276"/>
      <c r="TIB30" s="276"/>
      <c r="TIC30" s="276"/>
      <c r="TID30" s="276"/>
      <c r="TIE30" s="276"/>
      <c r="TIF30" s="276"/>
      <c r="TIG30" s="276"/>
      <c r="TIH30" s="276"/>
      <c r="TII30" s="276"/>
      <c r="TIJ30" s="276"/>
      <c r="TIK30" s="276"/>
      <c r="TIL30" s="276"/>
      <c r="TIM30" s="276"/>
      <c r="TIN30" s="276"/>
      <c r="TIO30" s="276"/>
      <c r="TIP30" s="276"/>
      <c r="TIQ30" s="276"/>
      <c r="TIR30" s="276"/>
      <c r="TIS30" s="276"/>
      <c r="TIT30" s="276"/>
      <c r="TIU30" s="276"/>
      <c r="TIV30" s="276"/>
      <c r="TIW30" s="276"/>
      <c r="TIX30" s="276"/>
      <c r="TIY30" s="276"/>
      <c r="TIZ30" s="276"/>
      <c r="TJA30" s="276"/>
      <c r="TJB30" s="276"/>
      <c r="TJC30" s="276"/>
      <c r="TJD30" s="276"/>
      <c r="TJE30" s="276"/>
      <c r="TJF30" s="276"/>
      <c r="TJG30" s="276"/>
      <c r="TJH30" s="276"/>
      <c r="TJI30" s="276"/>
      <c r="TJJ30" s="276"/>
      <c r="TJK30" s="276"/>
      <c r="TJL30" s="276"/>
      <c r="TJM30" s="276"/>
      <c r="TJN30" s="276"/>
      <c r="TJO30" s="276"/>
      <c r="TJP30" s="276"/>
      <c r="TJQ30" s="276"/>
      <c r="TJR30" s="276"/>
      <c r="TJS30" s="276"/>
      <c r="TJT30" s="276"/>
      <c r="TJU30" s="276"/>
      <c r="TJV30" s="276"/>
      <c r="TJW30" s="276"/>
      <c r="TJX30" s="276"/>
      <c r="TJY30" s="276"/>
      <c r="TJZ30" s="276"/>
      <c r="TKA30" s="276"/>
      <c r="TKB30" s="276"/>
      <c r="TKC30" s="276"/>
      <c r="TKD30" s="276"/>
      <c r="TKE30" s="276"/>
      <c r="TKF30" s="276"/>
      <c r="TKG30" s="276"/>
      <c r="TKH30" s="276"/>
      <c r="TKI30" s="276"/>
      <c r="TKJ30" s="276"/>
      <c r="TKK30" s="276"/>
      <c r="TKL30" s="276"/>
      <c r="TKM30" s="276"/>
      <c r="TKN30" s="276"/>
      <c r="TKO30" s="276"/>
      <c r="TKP30" s="276"/>
      <c r="TKQ30" s="276"/>
      <c r="TKR30" s="276"/>
      <c r="TKS30" s="276"/>
      <c r="TKT30" s="276"/>
      <c r="TKU30" s="276"/>
      <c r="TKV30" s="276"/>
      <c r="TKW30" s="276"/>
      <c r="TKX30" s="276"/>
      <c r="TKY30" s="276"/>
      <c r="TKZ30" s="276"/>
      <c r="TLA30" s="276"/>
      <c r="TLB30" s="276"/>
      <c r="TLC30" s="276"/>
      <c r="TLD30" s="276"/>
      <c r="TLE30" s="276"/>
      <c r="TLF30" s="276"/>
      <c r="TLG30" s="276"/>
      <c r="TLH30" s="276"/>
      <c r="TLI30" s="276"/>
      <c r="TLJ30" s="276"/>
      <c r="TLK30" s="276"/>
      <c r="TLL30" s="276"/>
      <c r="TLM30" s="276"/>
      <c r="TLN30" s="276"/>
      <c r="TLO30" s="276"/>
      <c r="TLP30" s="276"/>
      <c r="TLQ30" s="276"/>
      <c r="TLR30" s="276"/>
      <c r="TLS30" s="276"/>
      <c r="TLT30" s="276"/>
      <c r="TLU30" s="276"/>
      <c r="TLV30" s="276"/>
      <c r="TLW30" s="276"/>
      <c r="TLX30" s="276"/>
      <c r="TLY30" s="276"/>
      <c r="TLZ30" s="276"/>
      <c r="TMA30" s="276"/>
      <c r="TMB30" s="276"/>
      <c r="TMC30" s="276"/>
      <c r="TMD30" s="276"/>
      <c r="TME30" s="276"/>
      <c r="TMF30" s="276"/>
      <c r="TMG30" s="276"/>
      <c r="TMH30" s="276"/>
      <c r="TMI30" s="276"/>
      <c r="TMJ30" s="276"/>
      <c r="TMK30" s="276"/>
      <c r="TML30" s="276"/>
      <c r="TMM30" s="276"/>
      <c r="TMN30" s="276"/>
      <c r="TMO30" s="276"/>
      <c r="TMP30" s="276"/>
      <c r="TMQ30" s="276"/>
      <c r="TMR30" s="276"/>
      <c r="TMS30" s="276"/>
      <c r="TMT30" s="276"/>
      <c r="TMU30" s="276"/>
      <c r="TMV30" s="276"/>
      <c r="TMW30" s="276"/>
      <c r="TMX30" s="276"/>
      <c r="TMY30" s="276"/>
      <c r="TMZ30" s="276"/>
      <c r="TNA30" s="276"/>
      <c r="TNB30" s="276"/>
      <c r="TNC30" s="276"/>
      <c r="TND30" s="276"/>
      <c r="TNE30" s="276"/>
      <c r="TNF30" s="276"/>
      <c r="TNG30" s="276"/>
      <c r="TNH30" s="276"/>
      <c r="TNI30" s="276"/>
      <c r="TNJ30" s="276"/>
      <c r="TNK30" s="276"/>
      <c r="TNL30" s="276"/>
      <c r="TNM30" s="276"/>
      <c r="TNN30" s="276"/>
      <c r="TNO30" s="276"/>
      <c r="TNP30" s="276"/>
      <c r="TNQ30" s="276"/>
      <c r="TNR30" s="276"/>
      <c r="TNS30" s="276"/>
      <c r="TNT30" s="276"/>
      <c r="TNU30" s="276"/>
      <c r="TNV30" s="276"/>
      <c r="TNW30" s="276"/>
      <c r="TNX30" s="276"/>
      <c r="TNY30" s="276"/>
      <c r="TNZ30" s="276"/>
      <c r="TOA30" s="276"/>
      <c r="TOB30" s="276"/>
      <c r="TOC30" s="276"/>
      <c r="TOD30" s="276"/>
      <c r="TOE30" s="276"/>
      <c r="TOF30" s="276"/>
      <c r="TOG30" s="276"/>
      <c r="TOH30" s="276"/>
      <c r="TOI30" s="276"/>
      <c r="TOJ30" s="276"/>
      <c r="TOK30" s="276"/>
      <c r="TOL30" s="276"/>
      <c r="TOM30" s="276"/>
      <c r="TON30" s="276"/>
      <c r="TOO30" s="276"/>
      <c r="TOP30" s="276"/>
      <c r="TOQ30" s="276"/>
      <c r="TOR30" s="276"/>
      <c r="TOS30" s="276"/>
      <c r="TOT30" s="276"/>
      <c r="TOU30" s="276"/>
      <c r="TOV30" s="276"/>
      <c r="TOW30" s="276"/>
      <c r="TOX30" s="276"/>
      <c r="TOY30" s="276"/>
      <c r="TOZ30" s="276"/>
      <c r="TPA30" s="276"/>
      <c r="TPB30" s="276"/>
      <c r="TPC30" s="276"/>
      <c r="TPD30" s="276"/>
      <c r="TPE30" s="276"/>
      <c r="TPF30" s="276"/>
      <c r="TPG30" s="276"/>
      <c r="TPH30" s="276"/>
      <c r="TPI30" s="276"/>
      <c r="TPJ30" s="276"/>
      <c r="TPK30" s="276"/>
      <c r="TPL30" s="276"/>
      <c r="TPM30" s="276"/>
      <c r="TPN30" s="276"/>
      <c r="TPO30" s="276"/>
      <c r="TPP30" s="276"/>
      <c r="TPQ30" s="276"/>
      <c r="TPR30" s="276"/>
      <c r="TPS30" s="276"/>
      <c r="TPT30" s="276"/>
      <c r="TPU30" s="276"/>
      <c r="TPV30" s="276"/>
      <c r="TPW30" s="276"/>
      <c r="TPX30" s="276"/>
      <c r="TPY30" s="276"/>
      <c r="TPZ30" s="276"/>
      <c r="TQA30" s="276"/>
      <c r="TQB30" s="276"/>
      <c r="TQC30" s="276"/>
      <c r="TQD30" s="276"/>
      <c r="TQE30" s="276"/>
      <c r="TQF30" s="276"/>
      <c r="TQG30" s="276"/>
      <c r="TQH30" s="276"/>
      <c r="TQI30" s="276"/>
      <c r="TQJ30" s="276"/>
      <c r="TQK30" s="276"/>
      <c r="TQL30" s="276"/>
      <c r="TQM30" s="276"/>
      <c r="TQN30" s="276"/>
      <c r="TQO30" s="276"/>
      <c r="TQP30" s="276"/>
      <c r="TQQ30" s="276"/>
      <c r="TQR30" s="276"/>
      <c r="TQS30" s="276"/>
      <c r="TQT30" s="276"/>
      <c r="TQU30" s="276"/>
      <c r="TQV30" s="276"/>
      <c r="TQW30" s="276"/>
      <c r="TQX30" s="276"/>
      <c r="TQY30" s="276"/>
      <c r="TQZ30" s="276"/>
      <c r="TRA30" s="276"/>
      <c r="TRB30" s="276"/>
      <c r="TRC30" s="276"/>
      <c r="TRD30" s="276"/>
      <c r="TRE30" s="276"/>
      <c r="TRF30" s="276"/>
      <c r="TRG30" s="276"/>
      <c r="TRH30" s="276"/>
      <c r="TRI30" s="276"/>
      <c r="TRJ30" s="276"/>
      <c r="TRK30" s="276"/>
      <c r="TRL30" s="276"/>
      <c r="TRM30" s="276"/>
      <c r="TRN30" s="276"/>
      <c r="TRO30" s="276"/>
      <c r="TRP30" s="276"/>
      <c r="TRQ30" s="276"/>
      <c r="TRR30" s="276"/>
      <c r="TRS30" s="276"/>
      <c r="TRT30" s="276"/>
      <c r="TRU30" s="276"/>
      <c r="TRV30" s="276"/>
      <c r="TRW30" s="276"/>
      <c r="TRX30" s="276"/>
      <c r="TRY30" s="276"/>
      <c r="TRZ30" s="276"/>
      <c r="TSA30" s="276"/>
      <c r="TSB30" s="276"/>
      <c r="TSC30" s="276"/>
      <c r="TSD30" s="276"/>
      <c r="TSE30" s="276"/>
      <c r="TSF30" s="276"/>
      <c r="TSG30" s="276"/>
      <c r="TSH30" s="276"/>
      <c r="TSI30" s="276"/>
      <c r="TSJ30" s="276"/>
      <c r="TSK30" s="276"/>
      <c r="TSL30" s="276"/>
      <c r="TSM30" s="276"/>
      <c r="TSN30" s="276"/>
      <c r="TSO30" s="276"/>
      <c r="TSP30" s="276"/>
      <c r="TSQ30" s="276"/>
      <c r="TSR30" s="276"/>
      <c r="TSS30" s="276"/>
      <c r="TST30" s="276"/>
      <c r="TSU30" s="276"/>
      <c r="TSV30" s="276"/>
      <c r="TSW30" s="276"/>
      <c r="TSX30" s="276"/>
      <c r="TSY30" s="276"/>
      <c r="TSZ30" s="276"/>
      <c r="TTA30" s="276"/>
      <c r="TTB30" s="276"/>
      <c r="TTC30" s="276"/>
      <c r="TTD30" s="276"/>
      <c r="TTE30" s="276"/>
      <c r="TTF30" s="276"/>
      <c r="TTG30" s="276"/>
      <c r="TTH30" s="276"/>
      <c r="TTI30" s="276"/>
      <c r="TTJ30" s="276"/>
      <c r="TTK30" s="276"/>
      <c r="TTL30" s="276"/>
      <c r="TTM30" s="276"/>
      <c r="TTN30" s="276"/>
      <c r="TTO30" s="276"/>
      <c r="TTP30" s="276"/>
      <c r="TTQ30" s="276"/>
      <c r="TTR30" s="276"/>
      <c r="TTS30" s="276"/>
      <c r="TTT30" s="276"/>
      <c r="TTU30" s="276"/>
      <c r="TTV30" s="276"/>
      <c r="TTW30" s="276"/>
      <c r="TTX30" s="276"/>
      <c r="TTY30" s="276"/>
      <c r="TTZ30" s="276"/>
      <c r="TUA30" s="276"/>
      <c r="TUB30" s="276"/>
      <c r="TUC30" s="276"/>
      <c r="TUD30" s="276"/>
      <c r="TUE30" s="276"/>
      <c r="TUF30" s="276"/>
      <c r="TUG30" s="276"/>
      <c r="TUH30" s="276"/>
      <c r="TUI30" s="276"/>
      <c r="TUJ30" s="276"/>
      <c r="TUK30" s="276"/>
      <c r="TUL30" s="276"/>
      <c r="TUM30" s="276"/>
      <c r="TUN30" s="276"/>
      <c r="TUO30" s="276"/>
      <c r="TUP30" s="276"/>
      <c r="TUQ30" s="276"/>
      <c r="TUR30" s="276"/>
      <c r="TUS30" s="276"/>
      <c r="TUT30" s="276"/>
      <c r="TUU30" s="276"/>
      <c r="TUV30" s="276"/>
      <c r="TUW30" s="276"/>
      <c r="TUX30" s="276"/>
      <c r="TUY30" s="276"/>
      <c r="TUZ30" s="276"/>
      <c r="TVA30" s="276"/>
      <c r="TVB30" s="276"/>
      <c r="TVC30" s="276"/>
      <c r="TVD30" s="276"/>
      <c r="TVE30" s="276"/>
      <c r="TVF30" s="276"/>
      <c r="TVG30" s="276"/>
      <c r="TVH30" s="276"/>
      <c r="TVI30" s="276"/>
      <c r="TVJ30" s="276"/>
      <c r="TVK30" s="276"/>
      <c r="TVL30" s="276"/>
      <c r="TVM30" s="276"/>
      <c r="TVN30" s="276"/>
      <c r="TVO30" s="276"/>
      <c r="TVP30" s="276"/>
      <c r="TVQ30" s="276"/>
      <c r="TVR30" s="276"/>
      <c r="TVS30" s="276"/>
      <c r="TVT30" s="276"/>
      <c r="TVU30" s="276"/>
      <c r="TVV30" s="276"/>
      <c r="TVW30" s="276"/>
      <c r="TVX30" s="276"/>
      <c r="TVY30" s="276"/>
      <c r="TVZ30" s="276"/>
      <c r="TWA30" s="276"/>
      <c r="TWB30" s="276"/>
      <c r="TWC30" s="276"/>
      <c r="TWD30" s="276"/>
      <c r="TWE30" s="276"/>
      <c r="TWF30" s="276"/>
      <c r="TWG30" s="276"/>
      <c r="TWH30" s="276"/>
      <c r="TWI30" s="276"/>
      <c r="TWJ30" s="276"/>
      <c r="TWK30" s="276"/>
      <c r="TWL30" s="276"/>
      <c r="TWM30" s="276"/>
      <c r="TWN30" s="276"/>
      <c r="TWO30" s="276"/>
      <c r="TWP30" s="276"/>
      <c r="TWQ30" s="276"/>
      <c r="TWR30" s="276"/>
      <c r="TWS30" s="276"/>
      <c r="TWT30" s="276"/>
      <c r="TWU30" s="276"/>
      <c r="TWV30" s="276"/>
      <c r="TWW30" s="276"/>
      <c r="TWX30" s="276"/>
      <c r="TWY30" s="276"/>
      <c r="TWZ30" s="276"/>
      <c r="TXA30" s="276"/>
      <c r="TXB30" s="276"/>
      <c r="TXC30" s="276"/>
      <c r="TXD30" s="276"/>
      <c r="TXE30" s="276"/>
      <c r="TXF30" s="276"/>
      <c r="TXG30" s="276"/>
      <c r="TXH30" s="276"/>
      <c r="TXI30" s="276"/>
      <c r="TXJ30" s="276"/>
      <c r="TXK30" s="276"/>
      <c r="TXL30" s="276"/>
      <c r="TXM30" s="276"/>
      <c r="TXN30" s="276"/>
      <c r="TXO30" s="276"/>
      <c r="TXP30" s="276"/>
      <c r="TXQ30" s="276"/>
      <c r="TXR30" s="276"/>
      <c r="TXS30" s="276"/>
      <c r="TXT30" s="276"/>
      <c r="TXU30" s="276"/>
      <c r="TXV30" s="276"/>
      <c r="TXW30" s="276"/>
      <c r="TXX30" s="276"/>
      <c r="TXY30" s="276"/>
      <c r="TXZ30" s="276"/>
      <c r="TYA30" s="276"/>
      <c r="TYB30" s="276"/>
      <c r="TYC30" s="276"/>
      <c r="TYD30" s="276"/>
      <c r="TYE30" s="276"/>
      <c r="TYF30" s="276"/>
      <c r="TYG30" s="276"/>
      <c r="TYH30" s="276"/>
      <c r="TYI30" s="276"/>
      <c r="TYJ30" s="276"/>
      <c r="TYK30" s="276"/>
      <c r="TYL30" s="276"/>
      <c r="TYM30" s="276"/>
      <c r="TYN30" s="276"/>
      <c r="TYO30" s="276"/>
      <c r="TYP30" s="276"/>
      <c r="TYQ30" s="276"/>
      <c r="TYR30" s="276"/>
      <c r="TYS30" s="276"/>
      <c r="TYT30" s="276"/>
      <c r="TYU30" s="276"/>
      <c r="TYV30" s="276"/>
      <c r="TYW30" s="276"/>
      <c r="TYX30" s="276"/>
      <c r="TYY30" s="276"/>
      <c r="TYZ30" s="276"/>
      <c r="TZA30" s="276"/>
      <c r="TZB30" s="276"/>
      <c r="TZC30" s="276"/>
      <c r="TZD30" s="276"/>
      <c r="TZE30" s="276"/>
      <c r="TZF30" s="276"/>
      <c r="TZG30" s="276"/>
      <c r="TZH30" s="276"/>
      <c r="TZI30" s="276"/>
      <c r="TZJ30" s="276"/>
      <c r="TZK30" s="276"/>
      <c r="TZL30" s="276"/>
      <c r="TZM30" s="276"/>
      <c r="TZN30" s="276"/>
      <c r="TZO30" s="276"/>
      <c r="TZP30" s="276"/>
      <c r="TZQ30" s="276"/>
      <c r="TZR30" s="276"/>
      <c r="TZS30" s="276"/>
      <c r="TZT30" s="276"/>
      <c r="TZU30" s="276"/>
      <c r="TZV30" s="276"/>
      <c r="TZW30" s="276"/>
      <c r="TZX30" s="276"/>
      <c r="TZY30" s="276"/>
      <c r="TZZ30" s="276"/>
      <c r="UAA30" s="276"/>
      <c r="UAB30" s="276"/>
      <c r="UAC30" s="276"/>
      <c r="UAD30" s="276"/>
      <c r="UAE30" s="276"/>
      <c r="UAF30" s="276"/>
      <c r="UAG30" s="276"/>
      <c r="UAH30" s="276"/>
      <c r="UAI30" s="276"/>
      <c r="UAJ30" s="276"/>
      <c r="UAK30" s="276"/>
      <c r="UAL30" s="276"/>
      <c r="UAM30" s="276"/>
      <c r="UAN30" s="276"/>
      <c r="UAO30" s="276"/>
      <c r="UAP30" s="276"/>
      <c r="UAQ30" s="276"/>
      <c r="UAR30" s="276"/>
      <c r="UAS30" s="276"/>
      <c r="UAT30" s="276"/>
      <c r="UAU30" s="276"/>
      <c r="UAV30" s="276"/>
      <c r="UAW30" s="276"/>
      <c r="UAX30" s="276"/>
      <c r="UAY30" s="276"/>
      <c r="UAZ30" s="276"/>
      <c r="UBA30" s="276"/>
      <c r="UBB30" s="276"/>
      <c r="UBC30" s="276"/>
      <c r="UBD30" s="276"/>
      <c r="UBE30" s="276"/>
      <c r="UBF30" s="276"/>
      <c r="UBG30" s="276"/>
      <c r="UBH30" s="276"/>
      <c r="UBI30" s="276"/>
      <c r="UBJ30" s="276"/>
      <c r="UBK30" s="276"/>
      <c r="UBL30" s="276"/>
      <c r="UBM30" s="276"/>
      <c r="UBN30" s="276"/>
      <c r="UBO30" s="276"/>
      <c r="UBP30" s="276"/>
      <c r="UBQ30" s="276"/>
      <c r="UBR30" s="276"/>
      <c r="UBS30" s="276"/>
      <c r="UBT30" s="276"/>
      <c r="UBU30" s="276"/>
      <c r="UBV30" s="276"/>
      <c r="UBW30" s="276"/>
      <c r="UBX30" s="276"/>
      <c r="UBY30" s="276"/>
      <c r="UBZ30" s="276"/>
      <c r="UCA30" s="276"/>
      <c r="UCB30" s="276"/>
      <c r="UCC30" s="276"/>
      <c r="UCD30" s="276"/>
      <c r="UCE30" s="276"/>
      <c r="UCF30" s="276"/>
      <c r="UCG30" s="276"/>
      <c r="UCH30" s="276"/>
      <c r="UCI30" s="276"/>
      <c r="UCJ30" s="276"/>
      <c r="UCK30" s="276"/>
      <c r="UCL30" s="276"/>
      <c r="UCM30" s="276"/>
      <c r="UCN30" s="276"/>
      <c r="UCO30" s="276"/>
      <c r="UCP30" s="276"/>
      <c r="UCQ30" s="276"/>
      <c r="UCR30" s="276"/>
      <c r="UCS30" s="276"/>
      <c r="UCT30" s="276"/>
      <c r="UCU30" s="276"/>
      <c r="UCV30" s="276"/>
      <c r="UCW30" s="276"/>
      <c r="UCX30" s="276"/>
      <c r="UCY30" s="276"/>
      <c r="UCZ30" s="276"/>
      <c r="UDA30" s="276"/>
      <c r="UDB30" s="276"/>
      <c r="UDC30" s="276"/>
      <c r="UDD30" s="276"/>
      <c r="UDE30" s="276"/>
      <c r="UDF30" s="276"/>
      <c r="UDG30" s="276"/>
      <c r="UDH30" s="276"/>
      <c r="UDI30" s="276"/>
      <c r="UDJ30" s="276"/>
      <c r="UDK30" s="276"/>
      <c r="UDL30" s="276"/>
      <c r="UDM30" s="276"/>
      <c r="UDN30" s="276"/>
      <c r="UDO30" s="276"/>
      <c r="UDP30" s="276"/>
      <c r="UDQ30" s="276"/>
      <c r="UDR30" s="276"/>
      <c r="UDS30" s="276"/>
      <c r="UDT30" s="276"/>
      <c r="UDU30" s="276"/>
      <c r="UDV30" s="276"/>
      <c r="UDW30" s="276"/>
      <c r="UDX30" s="276"/>
      <c r="UDY30" s="276"/>
      <c r="UDZ30" s="276"/>
      <c r="UEA30" s="276"/>
      <c r="UEB30" s="276"/>
      <c r="UEC30" s="276"/>
      <c r="UED30" s="276"/>
      <c r="UEE30" s="276"/>
      <c r="UEF30" s="276"/>
      <c r="UEG30" s="276"/>
      <c r="UEH30" s="276"/>
      <c r="UEI30" s="276"/>
      <c r="UEJ30" s="276"/>
      <c r="UEK30" s="276"/>
      <c r="UEL30" s="276"/>
      <c r="UEM30" s="276"/>
      <c r="UEN30" s="276"/>
      <c r="UEO30" s="276"/>
      <c r="UEP30" s="276"/>
      <c r="UEQ30" s="276"/>
      <c r="UER30" s="276"/>
      <c r="UES30" s="276"/>
      <c r="UET30" s="276"/>
      <c r="UEU30" s="276"/>
      <c r="UEV30" s="276"/>
      <c r="UEW30" s="276"/>
      <c r="UEX30" s="276"/>
      <c r="UEY30" s="276"/>
      <c r="UEZ30" s="276"/>
      <c r="UFA30" s="276"/>
      <c r="UFB30" s="276"/>
      <c r="UFC30" s="276"/>
      <c r="UFD30" s="276"/>
      <c r="UFE30" s="276"/>
      <c r="UFF30" s="276"/>
      <c r="UFG30" s="276"/>
      <c r="UFH30" s="276"/>
      <c r="UFI30" s="276"/>
      <c r="UFJ30" s="276"/>
      <c r="UFK30" s="276"/>
      <c r="UFL30" s="276"/>
      <c r="UFM30" s="276"/>
      <c r="UFN30" s="276"/>
      <c r="UFO30" s="276"/>
      <c r="UFP30" s="276"/>
      <c r="UFQ30" s="276"/>
      <c r="UFR30" s="276"/>
      <c r="UFS30" s="276"/>
      <c r="UFT30" s="276"/>
      <c r="UFU30" s="276"/>
      <c r="UFV30" s="276"/>
      <c r="UFW30" s="276"/>
      <c r="UFX30" s="276"/>
      <c r="UFY30" s="276"/>
      <c r="UFZ30" s="276"/>
      <c r="UGA30" s="276"/>
      <c r="UGB30" s="276"/>
      <c r="UGC30" s="276"/>
      <c r="UGD30" s="276"/>
      <c r="UGE30" s="276"/>
      <c r="UGF30" s="276"/>
      <c r="UGG30" s="276"/>
      <c r="UGH30" s="276"/>
      <c r="UGI30" s="276"/>
      <c r="UGJ30" s="276"/>
      <c r="UGK30" s="276"/>
      <c r="UGL30" s="276"/>
      <c r="UGM30" s="276"/>
      <c r="UGN30" s="276"/>
      <c r="UGO30" s="276"/>
      <c r="UGP30" s="276"/>
      <c r="UGQ30" s="276"/>
      <c r="UGR30" s="276"/>
      <c r="UGS30" s="276"/>
      <c r="UGT30" s="276"/>
      <c r="UGU30" s="276"/>
      <c r="UGV30" s="276"/>
      <c r="UGW30" s="276"/>
      <c r="UGX30" s="276"/>
      <c r="UGY30" s="276"/>
      <c r="UGZ30" s="276"/>
      <c r="UHA30" s="276"/>
      <c r="UHB30" s="276"/>
      <c r="UHC30" s="276"/>
      <c r="UHD30" s="276"/>
      <c r="UHE30" s="276"/>
      <c r="UHF30" s="276"/>
      <c r="UHG30" s="276"/>
      <c r="UHH30" s="276"/>
      <c r="UHI30" s="276"/>
      <c r="UHJ30" s="276"/>
      <c r="UHK30" s="276"/>
      <c r="UHL30" s="276"/>
      <c r="UHM30" s="276"/>
      <c r="UHN30" s="276"/>
      <c r="UHO30" s="276"/>
      <c r="UHP30" s="276"/>
      <c r="UHQ30" s="276"/>
      <c r="UHR30" s="276"/>
      <c r="UHS30" s="276"/>
      <c r="UHT30" s="276"/>
      <c r="UHU30" s="276"/>
      <c r="UHV30" s="276"/>
      <c r="UHW30" s="276"/>
      <c r="UHX30" s="276"/>
      <c r="UHY30" s="276"/>
      <c r="UHZ30" s="276"/>
      <c r="UIA30" s="276"/>
      <c r="UIB30" s="276"/>
      <c r="UIC30" s="276"/>
      <c r="UID30" s="276"/>
      <c r="UIE30" s="276"/>
      <c r="UIF30" s="276"/>
      <c r="UIG30" s="276"/>
      <c r="UIH30" s="276"/>
      <c r="UII30" s="276"/>
      <c r="UIJ30" s="276"/>
      <c r="UIK30" s="276"/>
      <c r="UIL30" s="276"/>
      <c r="UIM30" s="276"/>
      <c r="UIN30" s="276"/>
      <c r="UIO30" s="276"/>
      <c r="UIP30" s="276"/>
      <c r="UIQ30" s="276"/>
      <c r="UIR30" s="276"/>
      <c r="UIS30" s="276"/>
      <c r="UIT30" s="276"/>
      <c r="UIU30" s="276"/>
      <c r="UIV30" s="276"/>
      <c r="UIW30" s="276"/>
      <c r="UIX30" s="276"/>
      <c r="UIY30" s="276"/>
      <c r="UIZ30" s="276"/>
      <c r="UJA30" s="276"/>
      <c r="UJB30" s="276"/>
      <c r="UJC30" s="276"/>
      <c r="UJD30" s="276"/>
      <c r="UJE30" s="276"/>
      <c r="UJF30" s="276"/>
      <c r="UJG30" s="276"/>
      <c r="UJH30" s="276"/>
      <c r="UJI30" s="276"/>
      <c r="UJJ30" s="276"/>
      <c r="UJK30" s="276"/>
      <c r="UJL30" s="276"/>
      <c r="UJM30" s="276"/>
      <c r="UJN30" s="276"/>
      <c r="UJO30" s="276"/>
      <c r="UJP30" s="276"/>
      <c r="UJQ30" s="276"/>
      <c r="UJR30" s="276"/>
      <c r="UJS30" s="276"/>
      <c r="UJT30" s="276"/>
      <c r="UJU30" s="276"/>
      <c r="UJV30" s="276"/>
      <c r="UJW30" s="276"/>
      <c r="UJX30" s="276"/>
      <c r="UJY30" s="276"/>
      <c r="UJZ30" s="276"/>
      <c r="UKA30" s="276"/>
      <c r="UKB30" s="276"/>
      <c r="UKC30" s="276"/>
      <c r="UKD30" s="276"/>
      <c r="UKE30" s="276"/>
      <c r="UKF30" s="276"/>
      <c r="UKG30" s="276"/>
      <c r="UKH30" s="276"/>
      <c r="UKI30" s="276"/>
      <c r="UKJ30" s="276"/>
      <c r="UKK30" s="276"/>
      <c r="UKL30" s="276"/>
      <c r="UKM30" s="276"/>
      <c r="UKN30" s="276"/>
      <c r="UKO30" s="276"/>
      <c r="UKP30" s="276"/>
      <c r="UKQ30" s="276"/>
      <c r="UKR30" s="276"/>
      <c r="UKS30" s="276"/>
      <c r="UKT30" s="276"/>
      <c r="UKU30" s="276"/>
      <c r="UKV30" s="276"/>
      <c r="UKW30" s="276"/>
      <c r="UKX30" s="276"/>
      <c r="UKY30" s="276"/>
      <c r="UKZ30" s="276"/>
      <c r="ULA30" s="276"/>
      <c r="ULB30" s="276"/>
      <c r="ULC30" s="276"/>
      <c r="ULD30" s="276"/>
      <c r="ULE30" s="276"/>
      <c r="ULF30" s="276"/>
      <c r="ULG30" s="276"/>
      <c r="ULH30" s="276"/>
      <c r="ULI30" s="276"/>
      <c r="ULJ30" s="276"/>
      <c r="ULK30" s="276"/>
      <c r="ULL30" s="276"/>
      <c r="ULM30" s="276"/>
      <c r="ULN30" s="276"/>
      <c r="ULO30" s="276"/>
      <c r="ULP30" s="276"/>
      <c r="ULQ30" s="276"/>
      <c r="ULR30" s="276"/>
      <c r="ULS30" s="276"/>
      <c r="ULT30" s="276"/>
      <c r="ULU30" s="276"/>
      <c r="ULV30" s="276"/>
      <c r="ULW30" s="276"/>
      <c r="ULX30" s="276"/>
      <c r="ULY30" s="276"/>
      <c r="ULZ30" s="276"/>
      <c r="UMA30" s="276"/>
      <c r="UMB30" s="276"/>
      <c r="UMC30" s="276"/>
      <c r="UMD30" s="276"/>
      <c r="UME30" s="276"/>
      <c r="UMF30" s="276"/>
      <c r="UMG30" s="276"/>
      <c r="UMH30" s="276"/>
      <c r="UMI30" s="276"/>
      <c r="UMJ30" s="276"/>
      <c r="UMK30" s="276"/>
      <c r="UML30" s="276"/>
      <c r="UMM30" s="276"/>
      <c r="UMN30" s="276"/>
      <c r="UMO30" s="276"/>
      <c r="UMP30" s="276"/>
      <c r="UMQ30" s="276"/>
      <c r="UMR30" s="276"/>
      <c r="UMS30" s="276"/>
      <c r="UMT30" s="276"/>
      <c r="UMU30" s="276"/>
      <c r="UMV30" s="276"/>
      <c r="UMW30" s="276"/>
      <c r="UMX30" s="276"/>
      <c r="UMY30" s="276"/>
      <c r="UMZ30" s="276"/>
      <c r="UNA30" s="276"/>
      <c r="UNB30" s="276"/>
      <c r="UNC30" s="276"/>
      <c r="UND30" s="276"/>
      <c r="UNE30" s="276"/>
      <c r="UNF30" s="276"/>
      <c r="UNG30" s="276"/>
      <c r="UNH30" s="276"/>
      <c r="UNI30" s="276"/>
      <c r="UNJ30" s="276"/>
      <c r="UNK30" s="276"/>
      <c r="UNL30" s="276"/>
      <c r="UNM30" s="276"/>
      <c r="UNN30" s="276"/>
      <c r="UNO30" s="276"/>
      <c r="UNP30" s="276"/>
      <c r="UNQ30" s="276"/>
      <c r="UNR30" s="276"/>
      <c r="UNS30" s="276"/>
      <c r="UNT30" s="276"/>
      <c r="UNU30" s="276"/>
      <c r="UNV30" s="276"/>
      <c r="UNW30" s="276"/>
      <c r="UNX30" s="276"/>
      <c r="UNY30" s="276"/>
      <c r="UNZ30" s="276"/>
      <c r="UOA30" s="276"/>
      <c r="UOB30" s="276"/>
      <c r="UOC30" s="276"/>
      <c r="UOD30" s="276"/>
      <c r="UOE30" s="276"/>
      <c r="UOF30" s="276"/>
      <c r="UOG30" s="276"/>
      <c r="UOH30" s="276"/>
      <c r="UOI30" s="276"/>
      <c r="UOJ30" s="276"/>
      <c r="UOK30" s="276"/>
      <c r="UOL30" s="276"/>
      <c r="UOM30" s="276"/>
      <c r="UON30" s="276"/>
      <c r="UOO30" s="276"/>
      <c r="UOP30" s="276"/>
      <c r="UOQ30" s="276"/>
      <c r="UOR30" s="276"/>
      <c r="UOS30" s="276"/>
      <c r="UOT30" s="276"/>
      <c r="UOU30" s="276"/>
      <c r="UOV30" s="276"/>
      <c r="UOW30" s="276"/>
      <c r="UOX30" s="276"/>
      <c r="UOY30" s="276"/>
      <c r="UOZ30" s="276"/>
      <c r="UPA30" s="276"/>
      <c r="UPB30" s="276"/>
      <c r="UPC30" s="276"/>
      <c r="UPD30" s="276"/>
      <c r="UPE30" s="276"/>
      <c r="UPF30" s="276"/>
      <c r="UPG30" s="276"/>
      <c r="UPH30" s="276"/>
      <c r="UPI30" s="276"/>
      <c r="UPJ30" s="276"/>
      <c r="UPK30" s="276"/>
      <c r="UPL30" s="276"/>
      <c r="UPM30" s="276"/>
      <c r="UPN30" s="276"/>
      <c r="UPO30" s="276"/>
      <c r="UPP30" s="276"/>
      <c r="UPQ30" s="276"/>
      <c r="UPR30" s="276"/>
      <c r="UPS30" s="276"/>
      <c r="UPT30" s="276"/>
      <c r="UPU30" s="276"/>
      <c r="UPV30" s="276"/>
      <c r="UPW30" s="276"/>
      <c r="UPX30" s="276"/>
      <c r="UPY30" s="276"/>
      <c r="UPZ30" s="276"/>
      <c r="UQA30" s="276"/>
      <c r="UQB30" s="276"/>
      <c r="UQC30" s="276"/>
      <c r="UQD30" s="276"/>
      <c r="UQE30" s="276"/>
      <c r="UQF30" s="276"/>
      <c r="UQG30" s="276"/>
      <c r="UQH30" s="276"/>
      <c r="UQI30" s="276"/>
      <c r="UQJ30" s="276"/>
      <c r="UQK30" s="276"/>
      <c r="UQL30" s="276"/>
      <c r="UQM30" s="276"/>
      <c r="UQN30" s="276"/>
      <c r="UQO30" s="276"/>
      <c r="UQP30" s="276"/>
      <c r="UQQ30" s="276"/>
      <c r="UQR30" s="276"/>
      <c r="UQS30" s="276"/>
      <c r="UQT30" s="276"/>
      <c r="UQU30" s="276"/>
      <c r="UQV30" s="276"/>
      <c r="UQW30" s="276"/>
      <c r="UQX30" s="276"/>
      <c r="UQY30" s="276"/>
      <c r="UQZ30" s="276"/>
      <c r="URA30" s="276"/>
      <c r="URB30" s="276"/>
      <c r="URC30" s="276"/>
      <c r="URD30" s="276"/>
      <c r="URE30" s="276"/>
      <c r="URF30" s="276"/>
      <c r="URG30" s="276"/>
      <c r="URH30" s="276"/>
      <c r="URI30" s="276"/>
      <c r="URJ30" s="276"/>
      <c r="URK30" s="276"/>
      <c r="URL30" s="276"/>
      <c r="URM30" s="276"/>
      <c r="URN30" s="276"/>
      <c r="URO30" s="276"/>
      <c r="URP30" s="276"/>
      <c r="URQ30" s="276"/>
      <c r="URR30" s="276"/>
      <c r="URS30" s="276"/>
      <c r="URT30" s="276"/>
      <c r="URU30" s="276"/>
      <c r="URV30" s="276"/>
      <c r="URW30" s="276"/>
      <c r="URX30" s="276"/>
      <c r="URY30" s="276"/>
      <c r="URZ30" s="276"/>
      <c r="USA30" s="276"/>
      <c r="USB30" s="276"/>
      <c r="USC30" s="276"/>
      <c r="USD30" s="276"/>
      <c r="USE30" s="276"/>
      <c r="USF30" s="276"/>
      <c r="USG30" s="276"/>
      <c r="USH30" s="276"/>
      <c r="USI30" s="276"/>
      <c r="USJ30" s="276"/>
      <c r="USK30" s="276"/>
      <c r="USL30" s="276"/>
      <c r="USM30" s="276"/>
      <c r="USN30" s="276"/>
      <c r="USO30" s="276"/>
      <c r="USP30" s="276"/>
      <c r="USQ30" s="276"/>
      <c r="USR30" s="276"/>
      <c r="USS30" s="276"/>
      <c r="UST30" s="276"/>
      <c r="USU30" s="276"/>
      <c r="USV30" s="276"/>
      <c r="USW30" s="276"/>
      <c r="USX30" s="276"/>
      <c r="USY30" s="276"/>
      <c r="USZ30" s="276"/>
      <c r="UTA30" s="276"/>
      <c r="UTB30" s="276"/>
      <c r="UTC30" s="276"/>
      <c r="UTD30" s="276"/>
      <c r="UTE30" s="276"/>
      <c r="UTF30" s="276"/>
      <c r="UTG30" s="276"/>
      <c r="UTH30" s="276"/>
      <c r="UTI30" s="276"/>
      <c r="UTJ30" s="276"/>
      <c r="UTK30" s="276"/>
      <c r="UTL30" s="276"/>
      <c r="UTM30" s="276"/>
      <c r="UTN30" s="276"/>
      <c r="UTO30" s="276"/>
      <c r="UTP30" s="276"/>
      <c r="UTQ30" s="276"/>
      <c r="UTR30" s="276"/>
      <c r="UTS30" s="276"/>
      <c r="UTT30" s="276"/>
      <c r="UTU30" s="276"/>
      <c r="UTV30" s="276"/>
      <c r="UTW30" s="276"/>
      <c r="UTX30" s="276"/>
      <c r="UTY30" s="276"/>
      <c r="UTZ30" s="276"/>
      <c r="UUA30" s="276"/>
      <c r="UUB30" s="276"/>
      <c r="UUC30" s="276"/>
      <c r="UUD30" s="276"/>
      <c r="UUE30" s="276"/>
      <c r="UUF30" s="276"/>
      <c r="UUG30" s="276"/>
      <c r="UUH30" s="276"/>
      <c r="UUI30" s="276"/>
      <c r="UUJ30" s="276"/>
      <c r="UUK30" s="276"/>
      <c r="UUL30" s="276"/>
      <c r="UUM30" s="276"/>
      <c r="UUN30" s="276"/>
      <c r="UUO30" s="276"/>
      <c r="UUP30" s="276"/>
      <c r="UUQ30" s="276"/>
      <c r="UUR30" s="276"/>
      <c r="UUS30" s="276"/>
      <c r="UUT30" s="276"/>
      <c r="UUU30" s="276"/>
      <c r="UUV30" s="276"/>
      <c r="UUW30" s="276"/>
      <c r="UUX30" s="276"/>
      <c r="UUY30" s="276"/>
      <c r="UUZ30" s="276"/>
      <c r="UVA30" s="276"/>
      <c r="UVB30" s="276"/>
      <c r="UVC30" s="276"/>
      <c r="UVD30" s="276"/>
      <c r="UVE30" s="276"/>
      <c r="UVF30" s="276"/>
      <c r="UVG30" s="276"/>
      <c r="UVH30" s="276"/>
      <c r="UVI30" s="276"/>
      <c r="UVJ30" s="276"/>
      <c r="UVK30" s="276"/>
      <c r="UVL30" s="276"/>
      <c r="UVM30" s="276"/>
      <c r="UVN30" s="276"/>
      <c r="UVO30" s="276"/>
      <c r="UVP30" s="276"/>
      <c r="UVQ30" s="276"/>
      <c r="UVR30" s="276"/>
      <c r="UVS30" s="276"/>
      <c r="UVT30" s="276"/>
      <c r="UVU30" s="276"/>
      <c r="UVV30" s="276"/>
      <c r="UVW30" s="276"/>
      <c r="UVX30" s="276"/>
      <c r="UVY30" s="276"/>
      <c r="UVZ30" s="276"/>
      <c r="UWA30" s="276"/>
      <c r="UWB30" s="276"/>
      <c r="UWC30" s="276"/>
      <c r="UWD30" s="276"/>
      <c r="UWE30" s="276"/>
      <c r="UWF30" s="276"/>
      <c r="UWG30" s="276"/>
      <c r="UWH30" s="276"/>
      <c r="UWI30" s="276"/>
      <c r="UWJ30" s="276"/>
      <c r="UWK30" s="276"/>
      <c r="UWL30" s="276"/>
      <c r="UWM30" s="276"/>
      <c r="UWN30" s="276"/>
      <c r="UWO30" s="276"/>
      <c r="UWP30" s="276"/>
      <c r="UWQ30" s="276"/>
      <c r="UWR30" s="276"/>
      <c r="UWS30" s="276"/>
      <c r="UWT30" s="276"/>
      <c r="UWU30" s="276"/>
      <c r="UWV30" s="276"/>
      <c r="UWW30" s="276"/>
      <c r="UWX30" s="276"/>
      <c r="UWY30" s="276"/>
      <c r="UWZ30" s="276"/>
      <c r="UXA30" s="276"/>
      <c r="UXB30" s="276"/>
      <c r="UXC30" s="276"/>
      <c r="UXD30" s="276"/>
      <c r="UXE30" s="276"/>
      <c r="UXF30" s="276"/>
      <c r="UXG30" s="276"/>
      <c r="UXH30" s="276"/>
      <c r="UXI30" s="276"/>
      <c r="UXJ30" s="276"/>
      <c r="UXK30" s="276"/>
      <c r="UXL30" s="276"/>
      <c r="UXM30" s="276"/>
      <c r="UXN30" s="276"/>
      <c r="UXO30" s="276"/>
      <c r="UXP30" s="276"/>
      <c r="UXQ30" s="276"/>
      <c r="UXR30" s="276"/>
      <c r="UXS30" s="276"/>
      <c r="UXT30" s="276"/>
      <c r="UXU30" s="276"/>
      <c r="UXV30" s="276"/>
      <c r="UXW30" s="276"/>
      <c r="UXX30" s="276"/>
      <c r="UXY30" s="276"/>
      <c r="UXZ30" s="276"/>
      <c r="UYA30" s="276"/>
      <c r="UYB30" s="276"/>
      <c r="UYC30" s="276"/>
      <c r="UYD30" s="276"/>
      <c r="UYE30" s="276"/>
      <c r="UYF30" s="276"/>
      <c r="UYG30" s="276"/>
      <c r="UYH30" s="276"/>
      <c r="UYI30" s="276"/>
      <c r="UYJ30" s="276"/>
      <c r="UYK30" s="276"/>
      <c r="UYL30" s="276"/>
      <c r="UYM30" s="276"/>
      <c r="UYN30" s="276"/>
      <c r="UYO30" s="276"/>
      <c r="UYP30" s="276"/>
      <c r="UYQ30" s="276"/>
      <c r="UYR30" s="276"/>
      <c r="UYS30" s="276"/>
      <c r="UYT30" s="276"/>
      <c r="UYU30" s="276"/>
      <c r="UYV30" s="276"/>
      <c r="UYW30" s="276"/>
      <c r="UYX30" s="276"/>
      <c r="UYY30" s="276"/>
      <c r="UYZ30" s="276"/>
      <c r="UZA30" s="276"/>
      <c r="UZB30" s="276"/>
      <c r="UZC30" s="276"/>
      <c r="UZD30" s="276"/>
      <c r="UZE30" s="276"/>
      <c r="UZF30" s="276"/>
      <c r="UZG30" s="276"/>
      <c r="UZH30" s="276"/>
      <c r="UZI30" s="276"/>
      <c r="UZJ30" s="276"/>
      <c r="UZK30" s="276"/>
      <c r="UZL30" s="276"/>
      <c r="UZM30" s="276"/>
      <c r="UZN30" s="276"/>
      <c r="UZO30" s="276"/>
      <c r="UZP30" s="276"/>
      <c r="UZQ30" s="276"/>
      <c r="UZR30" s="276"/>
      <c r="UZS30" s="276"/>
      <c r="UZT30" s="276"/>
      <c r="UZU30" s="276"/>
      <c r="UZV30" s="276"/>
      <c r="UZW30" s="276"/>
      <c r="UZX30" s="276"/>
      <c r="UZY30" s="276"/>
      <c r="UZZ30" s="276"/>
      <c r="VAA30" s="276"/>
      <c r="VAB30" s="276"/>
      <c r="VAC30" s="276"/>
      <c r="VAD30" s="276"/>
      <c r="VAE30" s="276"/>
      <c r="VAF30" s="276"/>
      <c r="VAG30" s="276"/>
      <c r="VAH30" s="276"/>
      <c r="VAI30" s="276"/>
      <c r="VAJ30" s="276"/>
      <c r="VAK30" s="276"/>
      <c r="VAL30" s="276"/>
      <c r="VAM30" s="276"/>
      <c r="VAN30" s="276"/>
      <c r="VAO30" s="276"/>
      <c r="VAP30" s="276"/>
      <c r="VAQ30" s="276"/>
      <c r="VAR30" s="276"/>
      <c r="VAS30" s="276"/>
      <c r="VAT30" s="276"/>
      <c r="VAU30" s="276"/>
      <c r="VAV30" s="276"/>
      <c r="VAW30" s="276"/>
      <c r="VAX30" s="276"/>
      <c r="VAY30" s="276"/>
      <c r="VAZ30" s="276"/>
      <c r="VBA30" s="276"/>
      <c r="VBB30" s="276"/>
      <c r="VBC30" s="276"/>
      <c r="VBD30" s="276"/>
      <c r="VBE30" s="276"/>
      <c r="VBF30" s="276"/>
      <c r="VBG30" s="276"/>
      <c r="VBH30" s="276"/>
      <c r="VBI30" s="276"/>
      <c r="VBJ30" s="276"/>
      <c r="VBK30" s="276"/>
      <c r="VBL30" s="276"/>
      <c r="VBM30" s="276"/>
      <c r="VBN30" s="276"/>
      <c r="VBO30" s="276"/>
      <c r="VBP30" s="276"/>
      <c r="VBQ30" s="276"/>
      <c r="VBR30" s="276"/>
      <c r="VBS30" s="276"/>
      <c r="VBT30" s="276"/>
      <c r="VBU30" s="276"/>
      <c r="VBV30" s="276"/>
      <c r="VBW30" s="276"/>
      <c r="VBX30" s="276"/>
      <c r="VBY30" s="276"/>
      <c r="VBZ30" s="276"/>
      <c r="VCA30" s="276"/>
      <c r="VCB30" s="276"/>
      <c r="VCC30" s="276"/>
      <c r="VCD30" s="276"/>
      <c r="VCE30" s="276"/>
      <c r="VCF30" s="276"/>
      <c r="VCG30" s="276"/>
      <c r="VCH30" s="276"/>
      <c r="VCI30" s="276"/>
      <c r="VCJ30" s="276"/>
      <c r="VCK30" s="276"/>
      <c r="VCL30" s="276"/>
      <c r="VCM30" s="276"/>
      <c r="VCN30" s="276"/>
      <c r="VCO30" s="276"/>
      <c r="VCP30" s="276"/>
      <c r="VCQ30" s="276"/>
      <c r="VCR30" s="276"/>
      <c r="VCS30" s="276"/>
      <c r="VCT30" s="276"/>
      <c r="VCU30" s="276"/>
      <c r="VCV30" s="276"/>
      <c r="VCW30" s="276"/>
      <c r="VCX30" s="276"/>
      <c r="VCY30" s="276"/>
      <c r="VCZ30" s="276"/>
      <c r="VDA30" s="276"/>
      <c r="VDB30" s="276"/>
      <c r="VDC30" s="276"/>
      <c r="VDD30" s="276"/>
      <c r="VDE30" s="276"/>
      <c r="VDF30" s="276"/>
      <c r="VDG30" s="276"/>
      <c r="VDH30" s="276"/>
      <c r="VDI30" s="276"/>
      <c r="VDJ30" s="276"/>
      <c r="VDK30" s="276"/>
      <c r="VDL30" s="276"/>
      <c r="VDM30" s="276"/>
      <c r="VDN30" s="276"/>
      <c r="VDO30" s="276"/>
      <c r="VDP30" s="276"/>
      <c r="VDQ30" s="276"/>
      <c r="VDR30" s="276"/>
      <c r="VDS30" s="276"/>
      <c r="VDT30" s="276"/>
      <c r="VDU30" s="276"/>
      <c r="VDV30" s="276"/>
      <c r="VDW30" s="276"/>
      <c r="VDX30" s="276"/>
      <c r="VDY30" s="276"/>
      <c r="VDZ30" s="276"/>
      <c r="VEA30" s="276"/>
      <c r="VEB30" s="276"/>
      <c r="VEC30" s="276"/>
      <c r="VED30" s="276"/>
      <c r="VEE30" s="276"/>
      <c r="VEF30" s="276"/>
      <c r="VEG30" s="276"/>
      <c r="VEH30" s="276"/>
      <c r="VEI30" s="276"/>
      <c r="VEJ30" s="276"/>
      <c r="VEK30" s="276"/>
      <c r="VEL30" s="276"/>
      <c r="VEM30" s="276"/>
      <c r="VEN30" s="276"/>
      <c r="VEO30" s="276"/>
      <c r="VEP30" s="276"/>
      <c r="VEQ30" s="276"/>
      <c r="VER30" s="276"/>
      <c r="VES30" s="276"/>
      <c r="VET30" s="276"/>
      <c r="VEU30" s="276"/>
      <c r="VEV30" s="276"/>
      <c r="VEW30" s="276"/>
      <c r="VEX30" s="276"/>
      <c r="VEY30" s="276"/>
      <c r="VEZ30" s="276"/>
      <c r="VFA30" s="276"/>
      <c r="VFB30" s="276"/>
      <c r="VFC30" s="276"/>
      <c r="VFD30" s="276"/>
      <c r="VFE30" s="276"/>
      <c r="VFF30" s="276"/>
      <c r="VFG30" s="276"/>
      <c r="VFH30" s="276"/>
      <c r="VFI30" s="276"/>
      <c r="VFJ30" s="276"/>
      <c r="VFK30" s="276"/>
      <c r="VFL30" s="276"/>
      <c r="VFM30" s="276"/>
      <c r="VFN30" s="276"/>
      <c r="VFO30" s="276"/>
      <c r="VFP30" s="276"/>
      <c r="VFQ30" s="276"/>
      <c r="VFR30" s="276"/>
      <c r="VFS30" s="276"/>
      <c r="VFT30" s="276"/>
      <c r="VFU30" s="276"/>
      <c r="VFV30" s="276"/>
      <c r="VFW30" s="276"/>
      <c r="VFX30" s="276"/>
      <c r="VFY30" s="276"/>
      <c r="VFZ30" s="276"/>
      <c r="VGA30" s="276"/>
      <c r="VGB30" s="276"/>
      <c r="VGC30" s="276"/>
      <c r="VGD30" s="276"/>
      <c r="VGE30" s="276"/>
      <c r="VGF30" s="276"/>
      <c r="VGG30" s="276"/>
      <c r="VGH30" s="276"/>
      <c r="VGI30" s="276"/>
      <c r="VGJ30" s="276"/>
      <c r="VGK30" s="276"/>
      <c r="VGL30" s="276"/>
      <c r="VGM30" s="276"/>
      <c r="VGN30" s="276"/>
      <c r="VGO30" s="276"/>
      <c r="VGP30" s="276"/>
      <c r="VGQ30" s="276"/>
      <c r="VGR30" s="276"/>
      <c r="VGS30" s="276"/>
      <c r="VGT30" s="276"/>
      <c r="VGU30" s="276"/>
      <c r="VGV30" s="276"/>
      <c r="VGW30" s="276"/>
      <c r="VGX30" s="276"/>
      <c r="VGY30" s="276"/>
      <c r="VGZ30" s="276"/>
      <c r="VHA30" s="276"/>
      <c r="VHB30" s="276"/>
      <c r="VHC30" s="276"/>
      <c r="VHD30" s="276"/>
      <c r="VHE30" s="276"/>
      <c r="VHF30" s="276"/>
      <c r="VHG30" s="276"/>
      <c r="VHH30" s="276"/>
      <c r="VHI30" s="276"/>
      <c r="VHJ30" s="276"/>
      <c r="VHK30" s="276"/>
      <c r="VHL30" s="276"/>
      <c r="VHM30" s="276"/>
      <c r="VHN30" s="276"/>
      <c r="VHO30" s="276"/>
      <c r="VHP30" s="276"/>
      <c r="VHQ30" s="276"/>
      <c r="VHR30" s="276"/>
      <c r="VHS30" s="276"/>
      <c r="VHT30" s="276"/>
      <c r="VHU30" s="276"/>
      <c r="VHV30" s="276"/>
      <c r="VHW30" s="276"/>
      <c r="VHX30" s="276"/>
      <c r="VHY30" s="276"/>
      <c r="VHZ30" s="276"/>
      <c r="VIA30" s="276"/>
      <c r="VIB30" s="276"/>
      <c r="VIC30" s="276"/>
      <c r="VID30" s="276"/>
      <c r="VIE30" s="276"/>
      <c r="VIF30" s="276"/>
      <c r="VIG30" s="276"/>
      <c r="VIH30" s="276"/>
      <c r="VII30" s="276"/>
      <c r="VIJ30" s="276"/>
      <c r="VIK30" s="276"/>
      <c r="VIL30" s="276"/>
      <c r="VIM30" s="276"/>
      <c r="VIN30" s="276"/>
      <c r="VIO30" s="276"/>
      <c r="VIP30" s="276"/>
      <c r="VIQ30" s="276"/>
      <c r="VIR30" s="276"/>
      <c r="VIS30" s="276"/>
      <c r="VIT30" s="276"/>
      <c r="VIU30" s="276"/>
      <c r="VIV30" s="276"/>
      <c r="VIW30" s="276"/>
      <c r="VIX30" s="276"/>
      <c r="VIY30" s="276"/>
      <c r="VIZ30" s="276"/>
      <c r="VJA30" s="276"/>
      <c r="VJB30" s="276"/>
      <c r="VJC30" s="276"/>
      <c r="VJD30" s="276"/>
      <c r="VJE30" s="276"/>
      <c r="VJF30" s="276"/>
      <c r="VJG30" s="276"/>
      <c r="VJH30" s="276"/>
      <c r="VJI30" s="276"/>
      <c r="VJJ30" s="276"/>
      <c r="VJK30" s="276"/>
      <c r="VJL30" s="276"/>
      <c r="VJM30" s="276"/>
      <c r="VJN30" s="276"/>
      <c r="VJO30" s="276"/>
      <c r="VJP30" s="276"/>
      <c r="VJQ30" s="276"/>
      <c r="VJR30" s="276"/>
      <c r="VJS30" s="276"/>
      <c r="VJT30" s="276"/>
      <c r="VJU30" s="276"/>
      <c r="VJV30" s="276"/>
      <c r="VJW30" s="276"/>
      <c r="VJX30" s="276"/>
      <c r="VJY30" s="276"/>
      <c r="VJZ30" s="276"/>
      <c r="VKA30" s="276"/>
      <c r="VKB30" s="276"/>
      <c r="VKC30" s="276"/>
      <c r="VKD30" s="276"/>
      <c r="VKE30" s="276"/>
      <c r="VKF30" s="276"/>
      <c r="VKG30" s="276"/>
      <c r="VKH30" s="276"/>
      <c r="VKI30" s="276"/>
      <c r="VKJ30" s="276"/>
      <c r="VKK30" s="276"/>
      <c r="VKL30" s="276"/>
      <c r="VKM30" s="276"/>
      <c r="VKN30" s="276"/>
      <c r="VKO30" s="276"/>
      <c r="VKP30" s="276"/>
      <c r="VKQ30" s="276"/>
      <c r="VKR30" s="276"/>
      <c r="VKS30" s="276"/>
      <c r="VKT30" s="276"/>
      <c r="VKU30" s="276"/>
      <c r="VKV30" s="276"/>
      <c r="VKW30" s="276"/>
      <c r="VKX30" s="276"/>
      <c r="VKY30" s="276"/>
      <c r="VKZ30" s="276"/>
      <c r="VLA30" s="276"/>
      <c r="VLB30" s="276"/>
      <c r="VLC30" s="276"/>
      <c r="VLD30" s="276"/>
      <c r="VLE30" s="276"/>
      <c r="VLF30" s="276"/>
      <c r="VLG30" s="276"/>
      <c r="VLH30" s="276"/>
      <c r="VLI30" s="276"/>
      <c r="VLJ30" s="276"/>
      <c r="VLK30" s="276"/>
      <c r="VLL30" s="276"/>
      <c r="VLM30" s="276"/>
      <c r="VLN30" s="276"/>
      <c r="VLO30" s="276"/>
      <c r="VLP30" s="276"/>
      <c r="VLQ30" s="276"/>
      <c r="VLR30" s="276"/>
      <c r="VLS30" s="276"/>
      <c r="VLT30" s="276"/>
      <c r="VLU30" s="276"/>
      <c r="VLV30" s="276"/>
      <c r="VLW30" s="276"/>
      <c r="VLX30" s="276"/>
      <c r="VLY30" s="276"/>
      <c r="VLZ30" s="276"/>
      <c r="VMA30" s="276"/>
      <c r="VMB30" s="276"/>
      <c r="VMC30" s="276"/>
      <c r="VMD30" s="276"/>
      <c r="VME30" s="276"/>
      <c r="VMF30" s="276"/>
      <c r="VMG30" s="276"/>
      <c r="VMH30" s="276"/>
      <c r="VMI30" s="276"/>
      <c r="VMJ30" s="276"/>
      <c r="VMK30" s="276"/>
      <c r="VML30" s="276"/>
      <c r="VMM30" s="276"/>
      <c r="VMN30" s="276"/>
      <c r="VMO30" s="276"/>
      <c r="VMP30" s="276"/>
      <c r="VMQ30" s="276"/>
      <c r="VMR30" s="276"/>
      <c r="VMS30" s="276"/>
      <c r="VMT30" s="276"/>
      <c r="VMU30" s="276"/>
      <c r="VMV30" s="276"/>
      <c r="VMW30" s="276"/>
      <c r="VMX30" s="276"/>
      <c r="VMY30" s="276"/>
      <c r="VMZ30" s="276"/>
      <c r="VNA30" s="276"/>
      <c r="VNB30" s="276"/>
      <c r="VNC30" s="276"/>
      <c r="VND30" s="276"/>
      <c r="VNE30" s="276"/>
      <c r="VNF30" s="276"/>
      <c r="VNG30" s="276"/>
      <c r="VNH30" s="276"/>
      <c r="VNI30" s="276"/>
      <c r="VNJ30" s="276"/>
      <c r="VNK30" s="276"/>
      <c r="VNL30" s="276"/>
      <c r="VNM30" s="276"/>
      <c r="VNN30" s="276"/>
      <c r="VNO30" s="276"/>
      <c r="VNP30" s="276"/>
      <c r="VNQ30" s="276"/>
      <c r="VNR30" s="276"/>
      <c r="VNS30" s="276"/>
      <c r="VNT30" s="276"/>
      <c r="VNU30" s="276"/>
      <c r="VNV30" s="276"/>
      <c r="VNW30" s="276"/>
      <c r="VNX30" s="276"/>
      <c r="VNY30" s="276"/>
      <c r="VNZ30" s="276"/>
      <c r="VOA30" s="276"/>
      <c r="VOB30" s="276"/>
      <c r="VOC30" s="276"/>
      <c r="VOD30" s="276"/>
      <c r="VOE30" s="276"/>
      <c r="VOF30" s="276"/>
      <c r="VOG30" s="276"/>
      <c r="VOH30" s="276"/>
      <c r="VOI30" s="276"/>
      <c r="VOJ30" s="276"/>
      <c r="VOK30" s="276"/>
      <c r="VOL30" s="276"/>
      <c r="VOM30" s="276"/>
      <c r="VON30" s="276"/>
      <c r="VOO30" s="276"/>
      <c r="VOP30" s="276"/>
      <c r="VOQ30" s="276"/>
      <c r="VOR30" s="276"/>
      <c r="VOS30" s="276"/>
      <c r="VOT30" s="276"/>
      <c r="VOU30" s="276"/>
      <c r="VOV30" s="276"/>
      <c r="VOW30" s="276"/>
      <c r="VOX30" s="276"/>
      <c r="VOY30" s="276"/>
      <c r="VOZ30" s="276"/>
      <c r="VPA30" s="276"/>
      <c r="VPB30" s="276"/>
      <c r="VPC30" s="276"/>
      <c r="VPD30" s="276"/>
      <c r="VPE30" s="276"/>
      <c r="VPF30" s="276"/>
      <c r="VPG30" s="276"/>
      <c r="VPH30" s="276"/>
      <c r="VPI30" s="276"/>
      <c r="VPJ30" s="276"/>
      <c r="VPK30" s="276"/>
      <c r="VPL30" s="276"/>
      <c r="VPM30" s="276"/>
      <c r="VPN30" s="276"/>
      <c r="VPO30" s="276"/>
      <c r="VPP30" s="276"/>
      <c r="VPQ30" s="276"/>
      <c r="VPR30" s="276"/>
      <c r="VPS30" s="276"/>
      <c r="VPT30" s="276"/>
      <c r="VPU30" s="276"/>
      <c r="VPV30" s="276"/>
      <c r="VPW30" s="276"/>
      <c r="VPX30" s="276"/>
      <c r="VPY30" s="276"/>
      <c r="VPZ30" s="276"/>
      <c r="VQA30" s="276"/>
      <c r="VQB30" s="276"/>
      <c r="VQC30" s="276"/>
      <c r="VQD30" s="276"/>
      <c r="VQE30" s="276"/>
      <c r="VQF30" s="276"/>
      <c r="VQG30" s="276"/>
      <c r="VQH30" s="276"/>
      <c r="VQI30" s="276"/>
      <c r="VQJ30" s="276"/>
      <c r="VQK30" s="276"/>
      <c r="VQL30" s="276"/>
      <c r="VQM30" s="276"/>
      <c r="VQN30" s="276"/>
      <c r="VQO30" s="276"/>
      <c r="VQP30" s="276"/>
      <c r="VQQ30" s="276"/>
      <c r="VQR30" s="276"/>
      <c r="VQS30" s="276"/>
      <c r="VQT30" s="276"/>
      <c r="VQU30" s="276"/>
      <c r="VQV30" s="276"/>
      <c r="VQW30" s="276"/>
      <c r="VQX30" s="276"/>
      <c r="VQY30" s="276"/>
      <c r="VQZ30" s="276"/>
      <c r="VRA30" s="276"/>
      <c r="VRB30" s="276"/>
      <c r="VRC30" s="276"/>
      <c r="VRD30" s="276"/>
      <c r="VRE30" s="276"/>
      <c r="VRF30" s="276"/>
      <c r="VRG30" s="276"/>
      <c r="VRH30" s="276"/>
      <c r="VRI30" s="276"/>
      <c r="VRJ30" s="276"/>
      <c r="VRK30" s="276"/>
      <c r="VRL30" s="276"/>
      <c r="VRM30" s="276"/>
      <c r="VRN30" s="276"/>
      <c r="VRO30" s="276"/>
      <c r="VRP30" s="276"/>
      <c r="VRQ30" s="276"/>
      <c r="VRR30" s="276"/>
      <c r="VRS30" s="276"/>
      <c r="VRT30" s="276"/>
      <c r="VRU30" s="276"/>
      <c r="VRV30" s="276"/>
      <c r="VRW30" s="276"/>
      <c r="VRX30" s="276"/>
      <c r="VRY30" s="276"/>
      <c r="VRZ30" s="276"/>
      <c r="VSA30" s="276"/>
      <c r="VSB30" s="276"/>
      <c r="VSC30" s="276"/>
      <c r="VSD30" s="276"/>
      <c r="VSE30" s="276"/>
      <c r="VSF30" s="276"/>
      <c r="VSG30" s="276"/>
      <c r="VSH30" s="276"/>
      <c r="VSI30" s="276"/>
      <c r="VSJ30" s="276"/>
      <c r="VSK30" s="276"/>
      <c r="VSL30" s="276"/>
      <c r="VSM30" s="276"/>
      <c r="VSN30" s="276"/>
      <c r="VSO30" s="276"/>
      <c r="VSP30" s="276"/>
      <c r="VSQ30" s="276"/>
      <c r="VSR30" s="276"/>
      <c r="VSS30" s="276"/>
      <c r="VST30" s="276"/>
      <c r="VSU30" s="276"/>
      <c r="VSV30" s="276"/>
      <c r="VSW30" s="276"/>
      <c r="VSX30" s="276"/>
      <c r="VSY30" s="276"/>
      <c r="VSZ30" s="276"/>
      <c r="VTA30" s="276"/>
      <c r="VTB30" s="276"/>
      <c r="VTC30" s="276"/>
      <c r="VTD30" s="276"/>
      <c r="VTE30" s="276"/>
      <c r="VTF30" s="276"/>
      <c r="VTG30" s="276"/>
      <c r="VTH30" s="276"/>
      <c r="VTI30" s="276"/>
      <c r="VTJ30" s="276"/>
      <c r="VTK30" s="276"/>
      <c r="VTL30" s="276"/>
      <c r="VTM30" s="276"/>
      <c r="VTN30" s="276"/>
      <c r="VTO30" s="276"/>
      <c r="VTP30" s="276"/>
      <c r="VTQ30" s="276"/>
      <c r="VTR30" s="276"/>
      <c r="VTS30" s="276"/>
      <c r="VTT30" s="276"/>
      <c r="VTU30" s="276"/>
      <c r="VTV30" s="276"/>
      <c r="VTW30" s="276"/>
      <c r="VTX30" s="276"/>
      <c r="VTY30" s="276"/>
      <c r="VTZ30" s="276"/>
      <c r="VUA30" s="276"/>
      <c r="VUB30" s="276"/>
      <c r="VUC30" s="276"/>
      <c r="VUD30" s="276"/>
      <c r="VUE30" s="276"/>
      <c r="VUF30" s="276"/>
      <c r="VUG30" s="276"/>
      <c r="VUH30" s="276"/>
      <c r="VUI30" s="276"/>
      <c r="VUJ30" s="276"/>
      <c r="VUK30" s="276"/>
      <c r="VUL30" s="276"/>
      <c r="VUM30" s="276"/>
      <c r="VUN30" s="276"/>
      <c r="VUO30" s="276"/>
      <c r="VUP30" s="276"/>
      <c r="VUQ30" s="276"/>
      <c r="VUR30" s="276"/>
      <c r="VUS30" s="276"/>
      <c r="VUT30" s="276"/>
      <c r="VUU30" s="276"/>
      <c r="VUV30" s="276"/>
      <c r="VUW30" s="276"/>
      <c r="VUX30" s="276"/>
      <c r="VUY30" s="276"/>
      <c r="VUZ30" s="276"/>
      <c r="VVA30" s="276"/>
      <c r="VVB30" s="276"/>
      <c r="VVC30" s="276"/>
      <c r="VVD30" s="276"/>
      <c r="VVE30" s="276"/>
      <c r="VVF30" s="276"/>
      <c r="VVG30" s="276"/>
      <c r="VVH30" s="276"/>
      <c r="VVI30" s="276"/>
      <c r="VVJ30" s="276"/>
      <c r="VVK30" s="276"/>
      <c r="VVL30" s="276"/>
      <c r="VVM30" s="276"/>
      <c r="VVN30" s="276"/>
      <c r="VVO30" s="276"/>
      <c r="VVP30" s="276"/>
      <c r="VVQ30" s="276"/>
      <c r="VVR30" s="276"/>
      <c r="VVS30" s="276"/>
      <c r="VVT30" s="276"/>
      <c r="VVU30" s="276"/>
      <c r="VVV30" s="276"/>
      <c r="VVW30" s="276"/>
      <c r="VVX30" s="276"/>
      <c r="VVY30" s="276"/>
      <c r="VVZ30" s="276"/>
      <c r="VWA30" s="276"/>
      <c r="VWB30" s="276"/>
      <c r="VWC30" s="276"/>
      <c r="VWD30" s="276"/>
      <c r="VWE30" s="276"/>
      <c r="VWF30" s="276"/>
      <c r="VWG30" s="276"/>
      <c r="VWH30" s="276"/>
      <c r="VWI30" s="276"/>
      <c r="VWJ30" s="276"/>
      <c r="VWK30" s="276"/>
      <c r="VWL30" s="276"/>
      <c r="VWM30" s="276"/>
      <c r="VWN30" s="276"/>
      <c r="VWO30" s="276"/>
      <c r="VWP30" s="276"/>
      <c r="VWQ30" s="276"/>
      <c r="VWR30" s="276"/>
      <c r="VWS30" s="276"/>
      <c r="VWT30" s="276"/>
      <c r="VWU30" s="276"/>
      <c r="VWV30" s="276"/>
      <c r="VWW30" s="276"/>
      <c r="VWX30" s="276"/>
      <c r="VWY30" s="276"/>
      <c r="VWZ30" s="276"/>
      <c r="VXA30" s="276"/>
      <c r="VXB30" s="276"/>
      <c r="VXC30" s="276"/>
      <c r="VXD30" s="276"/>
      <c r="VXE30" s="276"/>
      <c r="VXF30" s="276"/>
      <c r="VXG30" s="276"/>
      <c r="VXH30" s="276"/>
      <c r="VXI30" s="276"/>
      <c r="VXJ30" s="276"/>
      <c r="VXK30" s="276"/>
      <c r="VXL30" s="276"/>
      <c r="VXM30" s="276"/>
      <c r="VXN30" s="276"/>
      <c r="VXO30" s="276"/>
      <c r="VXP30" s="276"/>
      <c r="VXQ30" s="276"/>
      <c r="VXR30" s="276"/>
      <c r="VXS30" s="276"/>
      <c r="VXT30" s="276"/>
      <c r="VXU30" s="276"/>
      <c r="VXV30" s="276"/>
      <c r="VXW30" s="276"/>
      <c r="VXX30" s="276"/>
      <c r="VXY30" s="276"/>
      <c r="VXZ30" s="276"/>
      <c r="VYA30" s="276"/>
      <c r="VYB30" s="276"/>
      <c r="VYC30" s="276"/>
      <c r="VYD30" s="276"/>
      <c r="VYE30" s="276"/>
      <c r="VYF30" s="276"/>
      <c r="VYG30" s="276"/>
      <c r="VYH30" s="276"/>
      <c r="VYI30" s="276"/>
      <c r="VYJ30" s="276"/>
      <c r="VYK30" s="276"/>
      <c r="VYL30" s="276"/>
      <c r="VYM30" s="276"/>
      <c r="VYN30" s="276"/>
      <c r="VYO30" s="276"/>
      <c r="VYP30" s="276"/>
      <c r="VYQ30" s="276"/>
      <c r="VYR30" s="276"/>
      <c r="VYS30" s="276"/>
      <c r="VYT30" s="276"/>
      <c r="VYU30" s="276"/>
      <c r="VYV30" s="276"/>
      <c r="VYW30" s="276"/>
      <c r="VYX30" s="276"/>
      <c r="VYY30" s="276"/>
      <c r="VYZ30" s="276"/>
      <c r="VZA30" s="276"/>
      <c r="VZB30" s="276"/>
      <c r="VZC30" s="276"/>
      <c r="VZD30" s="276"/>
      <c r="VZE30" s="276"/>
      <c r="VZF30" s="276"/>
      <c r="VZG30" s="276"/>
      <c r="VZH30" s="276"/>
      <c r="VZI30" s="276"/>
      <c r="VZJ30" s="276"/>
      <c r="VZK30" s="276"/>
      <c r="VZL30" s="276"/>
      <c r="VZM30" s="276"/>
      <c r="VZN30" s="276"/>
      <c r="VZO30" s="276"/>
      <c r="VZP30" s="276"/>
      <c r="VZQ30" s="276"/>
      <c r="VZR30" s="276"/>
      <c r="VZS30" s="276"/>
      <c r="VZT30" s="276"/>
      <c r="VZU30" s="276"/>
      <c r="VZV30" s="276"/>
      <c r="VZW30" s="276"/>
      <c r="VZX30" s="276"/>
      <c r="VZY30" s="276"/>
      <c r="VZZ30" s="276"/>
      <c r="WAA30" s="276"/>
      <c r="WAB30" s="276"/>
      <c r="WAC30" s="276"/>
      <c r="WAD30" s="276"/>
      <c r="WAE30" s="276"/>
      <c r="WAF30" s="276"/>
      <c r="WAG30" s="276"/>
      <c r="WAH30" s="276"/>
      <c r="WAI30" s="276"/>
      <c r="WAJ30" s="276"/>
      <c r="WAK30" s="276"/>
      <c r="WAL30" s="276"/>
      <c r="WAM30" s="276"/>
      <c r="WAN30" s="276"/>
      <c r="WAO30" s="276"/>
      <c r="WAP30" s="276"/>
      <c r="WAQ30" s="276"/>
      <c r="WAR30" s="276"/>
      <c r="WAS30" s="276"/>
      <c r="WAT30" s="276"/>
      <c r="WAU30" s="276"/>
      <c r="WAV30" s="276"/>
      <c r="WAW30" s="276"/>
      <c r="WAX30" s="276"/>
      <c r="WAY30" s="276"/>
      <c r="WAZ30" s="276"/>
      <c r="WBA30" s="276"/>
      <c r="WBB30" s="276"/>
      <c r="WBC30" s="276"/>
      <c r="WBD30" s="276"/>
      <c r="WBE30" s="276"/>
      <c r="WBF30" s="276"/>
      <c r="WBG30" s="276"/>
      <c r="WBH30" s="276"/>
      <c r="WBI30" s="276"/>
      <c r="WBJ30" s="276"/>
      <c r="WBK30" s="276"/>
      <c r="WBL30" s="276"/>
      <c r="WBM30" s="276"/>
      <c r="WBN30" s="276"/>
      <c r="WBO30" s="276"/>
      <c r="WBP30" s="276"/>
      <c r="WBQ30" s="276"/>
      <c r="WBR30" s="276"/>
      <c r="WBS30" s="276"/>
      <c r="WBT30" s="276"/>
      <c r="WBU30" s="276"/>
      <c r="WBV30" s="276"/>
      <c r="WBW30" s="276"/>
      <c r="WBX30" s="276"/>
      <c r="WBY30" s="276"/>
      <c r="WBZ30" s="276"/>
      <c r="WCA30" s="276"/>
      <c r="WCB30" s="276"/>
      <c r="WCC30" s="276"/>
      <c r="WCD30" s="276"/>
      <c r="WCE30" s="276"/>
      <c r="WCF30" s="276"/>
      <c r="WCG30" s="276"/>
      <c r="WCH30" s="276"/>
      <c r="WCI30" s="276"/>
      <c r="WCJ30" s="276"/>
      <c r="WCK30" s="276"/>
      <c r="WCL30" s="276"/>
      <c r="WCM30" s="276"/>
      <c r="WCN30" s="276"/>
      <c r="WCO30" s="276"/>
      <c r="WCP30" s="276"/>
      <c r="WCQ30" s="276"/>
      <c r="WCR30" s="276"/>
      <c r="WCS30" s="276"/>
      <c r="WCT30" s="276"/>
      <c r="WCU30" s="276"/>
      <c r="WCV30" s="276"/>
      <c r="WCW30" s="276"/>
      <c r="WCX30" s="276"/>
      <c r="WCY30" s="276"/>
      <c r="WCZ30" s="276"/>
      <c r="WDA30" s="276"/>
      <c r="WDB30" s="276"/>
      <c r="WDC30" s="276"/>
      <c r="WDD30" s="276"/>
      <c r="WDE30" s="276"/>
      <c r="WDF30" s="276"/>
      <c r="WDG30" s="276"/>
      <c r="WDH30" s="276"/>
      <c r="WDI30" s="276"/>
      <c r="WDJ30" s="276"/>
      <c r="WDK30" s="276"/>
      <c r="WDL30" s="276"/>
      <c r="WDM30" s="276"/>
      <c r="WDN30" s="276"/>
      <c r="WDO30" s="276"/>
      <c r="WDP30" s="276"/>
      <c r="WDQ30" s="276"/>
      <c r="WDR30" s="276"/>
      <c r="WDS30" s="276"/>
      <c r="WDT30" s="276"/>
      <c r="WDU30" s="276"/>
      <c r="WDV30" s="276"/>
      <c r="WDW30" s="276"/>
      <c r="WDX30" s="276"/>
      <c r="WDY30" s="276"/>
      <c r="WDZ30" s="276"/>
      <c r="WEA30" s="276"/>
      <c r="WEB30" s="276"/>
      <c r="WEC30" s="276"/>
      <c r="WED30" s="276"/>
      <c r="WEE30" s="276"/>
      <c r="WEF30" s="276"/>
      <c r="WEG30" s="276"/>
      <c r="WEH30" s="276"/>
      <c r="WEI30" s="276"/>
      <c r="WEJ30" s="276"/>
      <c r="WEK30" s="276"/>
      <c r="WEL30" s="276"/>
      <c r="WEM30" s="276"/>
      <c r="WEN30" s="276"/>
      <c r="WEO30" s="276"/>
      <c r="WEP30" s="276"/>
      <c r="WEQ30" s="276"/>
      <c r="WER30" s="276"/>
      <c r="WES30" s="276"/>
      <c r="WET30" s="276"/>
      <c r="WEU30" s="276"/>
      <c r="WEV30" s="276"/>
      <c r="WEW30" s="276"/>
      <c r="WEX30" s="276"/>
      <c r="WEY30" s="276"/>
      <c r="WEZ30" s="276"/>
      <c r="WFA30" s="276"/>
      <c r="WFB30" s="276"/>
      <c r="WFC30" s="276"/>
      <c r="WFD30" s="276"/>
      <c r="WFE30" s="276"/>
      <c r="WFF30" s="276"/>
      <c r="WFG30" s="276"/>
      <c r="WFH30" s="276"/>
      <c r="WFI30" s="276"/>
      <c r="WFJ30" s="276"/>
      <c r="WFK30" s="276"/>
      <c r="WFL30" s="276"/>
      <c r="WFM30" s="276"/>
      <c r="WFN30" s="276"/>
      <c r="WFO30" s="276"/>
      <c r="WFP30" s="276"/>
      <c r="WFQ30" s="276"/>
      <c r="WFR30" s="276"/>
      <c r="WFS30" s="276"/>
      <c r="WFT30" s="276"/>
      <c r="WFU30" s="276"/>
      <c r="WFV30" s="276"/>
      <c r="WFW30" s="276"/>
      <c r="WFX30" s="276"/>
      <c r="WFY30" s="276"/>
      <c r="WFZ30" s="276"/>
      <c r="WGA30" s="276"/>
      <c r="WGB30" s="276"/>
      <c r="WGC30" s="276"/>
      <c r="WGD30" s="276"/>
      <c r="WGE30" s="276"/>
      <c r="WGF30" s="276"/>
      <c r="WGG30" s="276"/>
      <c r="WGH30" s="276"/>
      <c r="WGI30" s="276"/>
      <c r="WGJ30" s="276"/>
      <c r="WGK30" s="276"/>
      <c r="WGL30" s="276"/>
      <c r="WGM30" s="276"/>
      <c r="WGN30" s="276"/>
      <c r="WGO30" s="276"/>
      <c r="WGP30" s="276"/>
      <c r="WGQ30" s="276"/>
      <c r="WGR30" s="276"/>
      <c r="WGS30" s="276"/>
      <c r="WGT30" s="276"/>
      <c r="WGU30" s="276"/>
      <c r="WGV30" s="276"/>
      <c r="WGW30" s="276"/>
      <c r="WGX30" s="276"/>
      <c r="WGY30" s="276"/>
      <c r="WGZ30" s="276"/>
      <c r="WHA30" s="276"/>
      <c r="WHB30" s="276"/>
      <c r="WHC30" s="276"/>
      <c r="WHD30" s="276"/>
      <c r="WHE30" s="276"/>
      <c r="WHF30" s="276"/>
      <c r="WHG30" s="276"/>
      <c r="WHH30" s="276"/>
      <c r="WHI30" s="276"/>
      <c r="WHJ30" s="276"/>
      <c r="WHK30" s="276"/>
      <c r="WHL30" s="276"/>
      <c r="WHM30" s="276"/>
      <c r="WHN30" s="276"/>
      <c r="WHO30" s="276"/>
      <c r="WHP30" s="276"/>
      <c r="WHQ30" s="276"/>
      <c r="WHR30" s="276"/>
      <c r="WHS30" s="276"/>
      <c r="WHT30" s="276"/>
      <c r="WHU30" s="276"/>
      <c r="WHV30" s="276"/>
      <c r="WHW30" s="276"/>
      <c r="WHX30" s="276"/>
      <c r="WHY30" s="276"/>
      <c r="WHZ30" s="276"/>
      <c r="WIA30" s="276"/>
      <c r="WIB30" s="276"/>
      <c r="WIC30" s="276"/>
      <c r="WID30" s="276"/>
      <c r="WIE30" s="276"/>
      <c r="WIF30" s="276"/>
      <c r="WIG30" s="276"/>
      <c r="WIH30" s="276"/>
      <c r="WII30" s="276"/>
      <c r="WIJ30" s="276"/>
      <c r="WIK30" s="276"/>
      <c r="WIL30" s="276"/>
      <c r="WIM30" s="276"/>
      <c r="WIN30" s="276"/>
      <c r="WIO30" s="276"/>
      <c r="WIP30" s="276"/>
      <c r="WIQ30" s="276"/>
      <c r="WIR30" s="276"/>
      <c r="WIS30" s="276"/>
      <c r="WIT30" s="276"/>
      <c r="WIU30" s="276"/>
      <c r="WIV30" s="276"/>
      <c r="WIW30" s="276"/>
      <c r="WIX30" s="276"/>
      <c r="WIY30" s="276"/>
      <c r="WIZ30" s="276"/>
      <c r="WJA30" s="276"/>
      <c r="WJB30" s="276"/>
      <c r="WJC30" s="276"/>
      <c r="WJD30" s="276"/>
      <c r="WJE30" s="276"/>
      <c r="WJF30" s="276"/>
      <c r="WJG30" s="276"/>
      <c r="WJH30" s="276"/>
      <c r="WJI30" s="276"/>
      <c r="WJJ30" s="276"/>
      <c r="WJK30" s="276"/>
      <c r="WJL30" s="276"/>
      <c r="WJM30" s="276"/>
      <c r="WJN30" s="276"/>
      <c r="WJO30" s="276"/>
      <c r="WJP30" s="276"/>
      <c r="WJQ30" s="276"/>
      <c r="WJR30" s="276"/>
      <c r="WJS30" s="276"/>
      <c r="WJT30" s="276"/>
      <c r="WJU30" s="276"/>
      <c r="WJV30" s="276"/>
      <c r="WJW30" s="276"/>
      <c r="WJX30" s="276"/>
      <c r="WJY30" s="276"/>
      <c r="WJZ30" s="276"/>
      <c r="WKA30" s="276"/>
      <c r="WKB30" s="276"/>
      <c r="WKC30" s="276"/>
      <c r="WKD30" s="276"/>
      <c r="WKE30" s="276"/>
      <c r="WKF30" s="276"/>
      <c r="WKG30" s="276"/>
      <c r="WKH30" s="276"/>
      <c r="WKI30" s="276"/>
      <c r="WKJ30" s="276"/>
      <c r="WKK30" s="276"/>
      <c r="WKL30" s="276"/>
      <c r="WKM30" s="276"/>
      <c r="WKN30" s="276"/>
      <c r="WKO30" s="276"/>
      <c r="WKP30" s="276"/>
      <c r="WKQ30" s="276"/>
      <c r="WKR30" s="276"/>
      <c r="WKS30" s="276"/>
      <c r="WKT30" s="276"/>
      <c r="WKU30" s="276"/>
      <c r="WKV30" s="276"/>
      <c r="WKW30" s="276"/>
      <c r="WKX30" s="276"/>
      <c r="WKY30" s="276"/>
      <c r="WKZ30" s="276"/>
      <c r="WLA30" s="276"/>
      <c r="WLB30" s="276"/>
      <c r="WLC30" s="276"/>
      <c r="WLD30" s="276"/>
      <c r="WLE30" s="276"/>
      <c r="WLF30" s="276"/>
      <c r="WLG30" s="276"/>
      <c r="WLH30" s="276"/>
      <c r="WLI30" s="276"/>
      <c r="WLJ30" s="276"/>
      <c r="WLK30" s="276"/>
      <c r="WLL30" s="276"/>
      <c r="WLM30" s="276"/>
      <c r="WLN30" s="276"/>
      <c r="WLO30" s="276"/>
      <c r="WLP30" s="276"/>
      <c r="WLQ30" s="276"/>
      <c r="WLR30" s="276"/>
      <c r="WLS30" s="276"/>
      <c r="WLT30" s="276"/>
      <c r="WLU30" s="276"/>
      <c r="WLV30" s="276"/>
      <c r="WLW30" s="276"/>
      <c r="WLX30" s="276"/>
      <c r="WLY30" s="276"/>
      <c r="WLZ30" s="276"/>
      <c r="WMA30" s="276"/>
      <c r="WMB30" s="276"/>
      <c r="WMC30" s="276"/>
      <c r="WMD30" s="276"/>
      <c r="WME30" s="276"/>
      <c r="WMF30" s="276"/>
      <c r="WMG30" s="276"/>
      <c r="WMH30" s="276"/>
      <c r="WMI30" s="276"/>
      <c r="WMJ30" s="276"/>
      <c r="WMK30" s="276"/>
      <c r="WML30" s="276"/>
      <c r="WMM30" s="276"/>
      <c r="WMN30" s="276"/>
      <c r="WMO30" s="276"/>
      <c r="WMP30" s="276"/>
      <c r="WMQ30" s="276"/>
      <c r="WMR30" s="276"/>
      <c r="WMS30" s="276"/>
      <c r="WMT30" s="276"/>
      <c r="WMU30" s="276"/>
      <c r="WMV30" s="276"/>
      <c r="WMW30" s="276"/>
      <c r="WMX30" s="276"/>
      <c r="WMY30" s="276"/>
      <c r="WMZ30" s="276"/>
      <c r="WNA30" s="276"/>
      <c r="WNB30" s="276"/>
      <c r="WNC30" s="276"/>
      <c r="WND30" s="276"/>
      <c r="WNE30" s="276"/>
      <c r="WNF30" s="276"/>
      <c r="WNG30" s="276"/>
      <c r="WNH30" s="276"/>
      <c r="WNI30" s="276"/>
      <c r="WNJ30" s="276"/>
      <c r="WNK30" s="276"/>
      <c r="WNL30" s="276"/>
      <c r="WNM30" s="276"/>
      <c r="WNN30" s="276"/>
      <c r="WNO30" s="276"/>
      <c r="WNP30" s="276"/>
      <c r="WNQ30" s="276"/>
      <c r="WNR30" s="276"/>
      <c r="WNS30" s="276"/>
      <c r="WNT30" s="276"/>
      <c r="WNU30" s="276"/>
      <c r="WNV30" s="276"/>
      <c r="WNW30" s="276"/>
      <c r="WNX30" s="276"/>
      <c r="WNY30" s="276"/>
      <c r="WNZ30" s="276"/>
      <c r="WOA30" s="276"/>
      <c r="WOB30" s="276"/>
      <c r="WOC30" s="276"/>
      <c r="WOD30" s="276"/>
      <c r="WOE30" s="276"/>
      <c r="WOF30" s="276"/>
      <c r="WOG30" s="276"/>
      <c r="WOH30" s="276"/>
      <c r="WOI30" s="276"/>
      <c r="WOJ30" s="276"/>
      <c r="WOK30" s="276"/>
      <c r="WOL30" s="276"/>
      <c r="WOM30" s="276"/>
      <c r="WON30" s="276"/>
      <c r="WOO30" s="276"/>
      <c r="WOP30" s="276"/>
      <c r="WOQ30" s="276"/>
      <c r="WOR30" s="276"/>
      <c r="WOS30" s="276"/>
      <c r="WOT30" s="276"/>
      <c r="WOU30" s="276"/>
      <c r="WOV30" s="276"/>
      <c r="WOW30" s="276"/>
      <c r="WOX30" s="276"/>
      <c r="WOY30" s="276"/>
      <c r="WOZ30" s="276"/>
      <c r="WPA30" s="276"/>
      <c r="WPB30" s="276"/>
      <c r="WPC30" s="276"/>
      <c r="WPD30" s="276"/>
      <c r="WPE30" s="276"/>
      <c r="WPF30" s="276"/>
      <c r="WPG30" s="276"/>
      <c r="WPH30" s="276"/>
      <c r="WPI30" s="276"/>
      <c r="WPJ30" s="276"/>
      <c r="WPK30" s="276"/>
      <c r="WPL30" s="276"/>
      <c r="WPM30" s="276"/>
      <c r="WPN30" s="276"/>
      <c r="WPO30" s="276"/>
      <c r="WPP30" s="276"/>
      <c r="WPQ30" s="276"/>
      <c r="WPR30" s="276"/>
      <c r="WPS30" s="276"/>
      <c r="WPT30" s="276"/>
      <c r="WPU30" s="276"/>
      <c r="WPV30" s="276"/>
      <c r="WPW30" s="276"/>
      <c r="WPX30" s="276"/>
      <c r="WPY30" s="276"/>
      <c r="WPZ30" s="276"/>
      <c r="WQA30" s="276"/>
      <c r="WQB30" s="276"/>
      <c r="WQC30" s="276"/>
      <c r="WQD30" s="276"/>
      <c r="WQE30" s="276"/>
      <c r="WQF30" s="276"/>
      <c r="WQG30" s="276"/>
      <c r="WQH30" s="276"/>
      <c r="WQI30" s="276"/>
      <c r="WQJ30" s="276"/>
      <c r="WQK30" s="276"/>
      <c r="WQL30" s="276"/>
      <c r="WQM30" s="276"/>
      <c r="WQN30" s="276"/>
      <c r="WQO30" s="276"/>
      <c r="WQP30" s="276"/>
      <c r="WQQ30" s="276"/>
      <c r="WQR30" s="276"/>
      <c r="WQS30" s="276"/>
      <c r="WQT30" s="276"/>
      <c r="WQU30" s="276"/>
      <c r="WQV30" s="276"/>
      <c r="WQW30" s="276"/>
      <c r="WQX30" s="276"/>
      <c r="WQY30" s="276"/>
      <c r="WQZ30" s="276"/>
      <c r="WRA30" s="276"/>
      <c r="WRB30" s="276"/>
      <c r="WRC30" s="276"/>
      <c r="WRD30" s="276"/>
      <c r="WRE30" s="276"/>
      <c r="WRF30" s="276"/>
      <c r="WRG30" s="276"/>
      <c r="WRH30" s="276"/>
      <c r="WRI30" s="276"/>
      <c r="WRJ30" s="276"/>
      <c r="WRK30" s="276"/>
      <c r="WRL30" s="276"/>
      <c r="WRM30" s="276"/>
      <c r="WRN30" s="276"/>
      <c r="WRO30" s="276"/>
      <c r="WRP30" s="276"/>
      <c r="WRQ30" s="276"/>
      <c r="WRR30" s="276"/>
      <c r="WRS30" s="276"/>
      <c r="WRT30" s="276"/>
      <c r="WRU30" s="276"/>
      <c r="WRV30" s="276"/>
      <c r="WRW30" s="276"/>
      <c r="WRX30" s="276"/>
      <c r="WRY30" s="276"/>
      <c r="WRZ30" s="276"/>
      <c r="WSA30" s="276"/>
      <c r="WSB30" s="276"/>
      <c r="WSC30" s="276"/>
      <c r="WSD30" s="276"/>
      <c r="WSE30" s="276"/>
      <c r="WSF30" s="276"/>
      <c r="WSG30" s="276"/>
      <c r="WSH30" s="276"/>
      <c r="WSI30" s="276"/>
      <c r="WSJ30" s="276"/>
      <c r="WSK30" s="276"/>
      <c r="WSL30" s="276"/>
      <c r="WSM30" s="276"/>
      <c r="WSN30" s="276"/>
      <c r="WSO30" s="276"/>
      <c r="WSP30" s="276"/>
      <c r="WSQ30" s="276"/>
      <c r="WSR30" s="276"/>
      <c r="WSS30" s="276"/>
      <c r="WST30" s="276"/>
      <c r="WSU30" s="276"/>
      <c r="WSV30" s="276"/>
      <c r="WSW30" s="276"/>
      <c r="WSX30" s="276"/>
      <c r="WSY30" s="276"/>
      <c r="WSZ30" s="276"/>
      <c r="WTA30" s="276"/>
      <c r="WTB30" s="276"/>
      <c r="WTC30" s="276"/>
      <c r="WTD30" s="276"/>
      <c r="WTE30" s="276"/>
      <c r="WTF30" s="276"/>
      <c r="WTG30" s="276"/>
      <c r="WTH30" s="276"/>
      <c r="WTI30" s="276"/>
      <c r="WTJ30" s="276"/>
      <c r="WTK30" s="276"/>
      <c r="WTL30" s="276"/>
      <c r="WTM30" s="276"/>
      <c r="WTN30" s="276"/>
      <c r="WTO30" s="276"/>
      <c r="WTP30" s="276"/>
      <c r="WTQ30" s="276"/>
      <c r="WTR30" s="276"/>
      <c r="WTS30" s="276"/>
      <c r="WTT30" s="276"/>
      <c r="WTU30" s="276"/>
      <c r="WTV30" s="276"/>
      <c r="WTW30" s="276"/>
      <c r="WTX30" s="276"/>
      <c r="WTY30" s="276"/>
      <c r="WTZ30" s="276"/>
      <c r="WUA30" s="276"/>
      <c r="WUB30" s="276"/>
      <c r="WUC30" s="276"/>
      <c r="WUD30" s="276"/>
      <c r="WUE30" s="276"/>
      <c r="WUF30" s="276"/>
      <c r="WUG30" s="276"/>
      <c r="WUH30" s="276"/>
      <c r="WUI30" s="276"/>
      <c r="WUJ30" s="276"/>
      <c r="WUK30" s="276"/>
      <c r="WUL30" s="276"/>
      <c r="WUM30" s="276"/>
      <c r="WUN30" s="276"/>
      <c r="WUO30" s="276"/>
      <c r="WUP30" s="276"/>
      <c r="WUQ30" s="276"/>
      <c r="WUR30" s="276"/>
      <c r="WUS30" s="276"/>
      <c r="WUT30" s="276"/>
      <c r="WUU30" s="276"/>
      <c r="WUV30" s="276"/>
      <c r="WUW30" s="276"/>
      <c r="WUX30" s="276"/>
      <c r="WUY30" s="276"/>
      <c r="WUZ30" s="276"/>
      <c r="WVA30" s="276"/>
      <c r="WVB30" s="276"/>
      <c r="WVC30" s="276"/>
      <c r="WVD30" s="276"/>
      <c r="WVE30" s="276"/>
      <c r="WVF30" s="276"/>
      <c r="WVG30" s="276"/>
      <c r="WVH30" s="276"/>
      <c r="WVI30" s="276"/>
      <c r="WVJ30" s="276"/>
      <c r="WVK30" s="276"/>
      <c r="WVL30" s="276"/>
      <c r="WVM30" s="276"/>
      <c r="WVN30" s="276"/>
      <c r="WVO30" s="276"/>
      <c r="WVP30" s="276"/>
      <c r="WVQ30" s="276"/>
      <c r="WVR30" s="276"/>
      <c r="WVS30" s="276"/>
      <c r="WVT30" s="276"/>
      <c r="WVU30" s="276"/>
      <c r="WVV30" s="276"/>
      <c r="WVW30" s="276"/>
      <c r="WVX30" s="276"/>
      <c r="WVY30" s="276"/>
      <c r="WVZ30" s="276"/>
      <c r="WWA30" s="276"/>
      <c r="WWB30" s="276"/>
      <c r="WWC30" s="276"/>
      <c r="WWD30" s="276"/>
      <c r="WWE30" s="276"/>
      <c r="WWF30" s="276"/>
      <c r="WWG30" s="276"/>
      <c r="WWH30" s="276"/>
      <c r="WWI30" s="276"/>
      <c r="WWJ30" s="276"/>
      <c r="WWK30" s="276"/>
      <c r="WWL30" s="276"/>
      <c r="WWM30" s="276"/>
      <c r="WWN30" s="276"/>
      <c r="WWO30" s="276"/>
      <c r="WWP30" s="276"/>
      <c r="WWQ30" s="276"/>
      <c r="WWR30" s="276"/>
      <c r="WWS30" s="276"/>
      <c r="WWT30" s="276"/>
      <c r="WWU30" s="276"/>
      <c r="WWV30" s="276"/>
      <c r="WWW30" s="276"/>
      <c r="WWX30" s="276"/>
      <c r="WWY30" s="276"/>
      <c r="WWZ30" s="276"/>
      <c r="WXA30" s="276"/>
      <c r="WXB30" s="276"/>
      <c r="WXC30" s="276"/>
      <c r="WXD30" s="276"/>
      <c r="WXE30" s="276"/>
      <c r="WXF30" s="276"/>
      <c r="WXG30" s="276"/>
      <c r="WXH30" s="276"/>
      <c r="WXI30" s="276"/>
      <c r="WXJ30" s="276"/>
      <c r="WXK30" s="276"/>
      <c r="WXL30" s="276"/>
      <c r="WXM30" s="276"/>
      <c r="WXN30" s="276"/>
      <c r="WXO30" s="276"/>
      <c r="WXP30" s="276"/>
      <c r="WXQ30" s="276"/>
      <c r="WXR30" s="276"/>
      <c r="WXS30" s="276"/>
      <c r="WXT30" s="276"/>
      <c r="WXU30" s="276"/>
      <c r="WXV30" s="276"/>
      <c r="WXW30" s="276"/>
      <c r="WXX30" s="276"/>
      <c r="WXY30" s="276"/>
      <c r="WXZ30" s="276"/>
      <c r="WYA30" s="276"/>
      <c r="WYB30" s="276"/>
      <c r="WYC30" s="276"/>
      <c r="WYD30" s="276"/>
      <c r="WYE30" s="276"/>
      <c r="WYF30" s="276"/>
      <c r="WYG30" s="276"/>
      <c r="WYH30" s="276"/>
      <c r="WYI30" s="276"/>
      <c r="WYJ30" s="276"/>
      <c r="WYK30" s="276"/>
      <c r="WYL30" s="276"/>
      <c r="WYM30" s="276"/>
      <c r="WYN30" s="276"/>
      <c r="WYO30" s="276"/>
      <c r="WYP30" s="276"/>
      <c r="WYQ30" s="276"/>
      <c r="WYR30" s="276"/>
      <c r="WYS30" s="276"/>
      <c r="WYT30" s="276"/>
      <c r="WYU30" s="276"/>
      <c r="WYV30" s="276"/>
      <c r="WYW30" s="276"/>
      <c r="WYX30" s="276"/>
      <c r="WYY30" s="276"/>
      <c r="WYZ30" s="276"/>
      <c r="WZA30" s="276"/>
      <c r="WZB30" s="276"/>
      <c r="WZC30" s="276"/>
      <c r="WZD30" s="276"/>
      <c r="WZE30" s="276"/>
      <c r="WZF30" s="276"/>
      <c r="WZG30" s="276"/>
      <c r="WZH30" s="276"/>
      <c r="WZI30" s="276"/>
      <c r="WZJ30" s="276"/>
      <c r="WZK30" s="276"/>
      <c r="WZL30" s="276"/>
      <c r="WZM30" s="276"/>
      <c r="WZN30" s="276"/>
      <c r="WZO30" s="276"/>
      <c r="WZP30" s="276"/>
      <c r="WZQ30" s="276"/>
      <c r="WZR30" s="276"/>
      <c r="WZS30" s="276"/>
      <c r="WZT30" s="276"/>
      <c r="WZU30" s="276"/>
      <c r="WZV30" s="276"/>
      <c r="WZW30" s="276"/>
      <c r="WZX30" s="276"/>
      <c r="WZY30" s="276"/>
      <c r="WZZ30" s="276"/>
      <c r="XAA30" s="276"/>
      <c r="XAB30" s="276"/>
      <c r="XAC30" s="276"/>
      <c r="XAD30" s="276"/>
      <c r="XAE30" s="276"/>
      <c r="XAF30" s="276"/>
      <c r="XAG30" s="276"/>
      <c r="XAH30" s="276"/>
      <c r="XAI30" s="276"/>
      <c r="XAJ30" s="276"/>
      <c r="XAK30" s="276"/>
      <c r="XAL30" s="276"/>
      <c r="XAM30" s="276"/>
      <c r="XAN30" s="276"/>
      <c r="XAO30" s="276"/>
      <c r="XAP30" s="276"/>
      <c r="XAQ30" s="276"/>
      <c r="XAR30" s="276"/>
      <c r="XAS30" s="276"/>
      <c r="XAT30" s="276"/>
      <c r="XAU30" s="276"/>
      <c r="XAV30" s="276"/>
      <c r="XAW30" s="276"/>
      <c r="XAX30" s="276"/>
      <c r="XAY30" s="276"/>
      <c r="XAZ30" s="276"/>
      <c r="XBA30" s="276"/>
      <c r="XBB30" s="276"/>
      <c r="XBC30" s="276"/>
      <c r="XBD30" s="276"/>
      <c r="XBE30" s="276"/>
      <c r="XBF30" s="276"/>
      <c r="XBG30" s="276"/>
      <c r="XBH30" s="276"/>
      <c r="XBI30" s="276"/>
      <c r="XBJ30" s="276"/>
      <c r="XBK30" s="276"/>
      <c r="XBL30" s="276"/>
      <c r="XBM30" s="276"/>
      <c r="XBN30" s="276"/>
      <c r="XBO30" s="276"/>
      <c r="XBP30" s="276"/>
      <c r="XBQ30" s="276"/>
      <c r="XBR30" s="276"/>
      <c r="XBS30" s="276"/>
      <c r="XBT30" s="276"/>
      <c r="XBU30" s="276"/>
      <c r="XBV30" s="276"/>
      <c r="XBW30" s="276"/>
      <c r="XBX30" s="276"/>
      <c r="XBY30" s="276"/>
      <c r="XBZ30" s="276"/>
      <c r="XCA30" s="276"/>
      <c r="XCB30" s="276"/>
      <c r="XCC30" s="276"/>
      <c r="XCD30" s="276"/>
      <c r="XCE30" s="276"/>
      <c r="XCF30" s="276"/>
      <c r="XCG30" s="276"/>
      <c r="XCH30" s="276"/>
      <c r="XCI30" s="276"/>
      <c r="XCJ30" s="276"/>
      <c r="XCK30" s="276"/>
      <c r="XCL30" s="276"/>
      <c r="XCM30" s="276"/>
      <c r="XCN30" s="276"/>
      <c r="XCO30" s="276"/>
      <c r="XCP30" s="276"/>
      <c r="XCQ30" s="276"/>
      <c r="XCR30" s="276"/>
      <c r="XCS30" s="276"/>
      <c r="XCT30" s="276"/>
      <c r="XCU30" s="276"/>
      <c r="XCV30" s="276"/>
      <c r="XCW30" s="276"/>
      <c r="XCX30" s="276"/>
      <c r="XCY30" s="276"/>
      <c r="XCZ30" s="276"/>
      <c r="XDA30" s="276"/>
      <c r="XDB30" s="276"/>
      <c r="XDC30" s="276"/>
      <c r="XDD30" s="276"/>
      <c r="XDE30" s="276"/>
      <c r="XDF30" s="276"/>
      <c r="XDG30" s="276"/>
      <c r="XDH30" s="276"/>
      <c r="XDI30" s="276"/>
      <c r="XDJ30" s="276"/>
      <c r="XDK30" s="276"/>
      <c r="XDL30" s="276"/>
      <c r="XDM30" s="276"/>
      <c r="XDN30" s="276"/>
      <c r="XDO30" s="276"/>
      <c r="XDP30" s="276"/>
      <c r="XDQ30" s="276"/>
      <c r="XDR30" s="276"/>
      <c r="XDS30" s="276"/>
      <c r="XDT30" s="276"/>
      <c r="XDU30" s="276"/>
      <c r="XDV30" s="276"/>
      <c r="XDW30" s="276"/>
      <c r="XDX30" s="276"/>
      <c r="XDY30" s="276"/>
      <c r="XDZ30" s="276"/>
      <c r="XEA30" s="276"/>
      <c r="XEB30" s="276"/>
      <c r="XEC30" s="276"/>
      <c r="XED30" s="276"/>
      <c r="XEE30" s="276"/>
      <c r="XEF30" s="276"/>
      <c r="XEG30" s="276"/>
      <c r="XEH30" s="276"/>
      <c r="XEI30" s="276"/>
      <c r="XEJ30" s="276"/>
      <c r="XEK30" s="276"/>
      <c r="XEL30" s="276"/>
      <c r="XEM30" s="276"/>
      <c r="XEN30" s="276"/>
      <c r="XEO30" s="276"/>
      <c r="XEP30" s="276"/>
      <c r="XEQ30" s="276"/>
      <c r="XER30" s="276"/>
      <c r="XES30" s="276"/>
      <c r="XET30" s="276"/>
      <c r="XEU30" s="276"/>
      <c r="XEV30" s="276"/>
      <c r="XEW30" s="276"/>
      <c r="XEX30" s="276"/>
      <c r="XEY30" s="276"/>
      <c r="XEZ30" s="276"/>
      <c r="XFA30" s="276"/>
      <c r="XFB30" s="276"/>
      <c r="XFC30" s="276"/>
      <c r="XFD30" s="276"/>
    </row>
    <row r="31" spans="1:16384" s="159" customFormat="1" ht="15" customHeight="1">
      <c r="A31" s="172">
        <v>3.2</v>
      </c>
      <c r="B31" s="186" t="s">
        <v>147</v>
      </c>
      <c r="C31" s="173" t="s">
        <v>104</v>
      </c>
      <c r="D31" s="295" t="str">
        <f>IF(OR(j_WEEKDAY(J_ADDDAY(VLOOKUP(I31,A:F,6,FALSE),H31,1),0)=6,SUMIFS(Holieday[ok],Holieday[date],J_ADDDAY(VLOOKUP(I31,A:F,6,FALSE),H31,1)))=FALSE(),J_ADDDAY(VLOOKUP(I31,A:F,6,FALSE),H31,1),IF(OR(j_WEEKDAY(J_ADDDAY(VLOOKUP(I31,A:F,6,FALSE),H31+1,1),0)=6,SUMIFS(Holieday[ok],Holieday[date],J_ADDDAY(VLOOKUP(I31,A:F,6,FALSE),H31+1,1)))=FALSE(),J_ADDDAY(VLOOKUP(I31,A:F,6,FALSE),H31+1,1),IF(OR(j_WEEKDAY(J_ADDDAY(VLOOKUP(I31,A:F,6,FALSE),H31+2,1),0)=6,SUMIFS(Holieday[ok],Holieday[date],J_ADDDAY(VLOOKUP(I31,A:F,6,FALSE),H31+2,1)))=FALSE(),J_ADDDAY(VLOOKUP(I31,A:F,6,FALSE),H31+2,1),IF(OR(j_WEEKDAY(J_ADDDAY(VLOOKUP(I31,A:F,6,FALSE),H31+3,1),0)=6,SUMIFS(Holieday[ok],Holieday[date],J_ADDDAY(VLOOKUP(I31,A:F,6,FALSE),H31+3,1)))=FALSE(),J_ADDDAY(VLOOKUP(I31,A:F,6,FALSE),H31+3,1),IF(OR(j_WEEKDAY(J_ADDDAY(VLOOKUP(I31,A:F,6,FALSE),H31+4,1),0)=6,SUMIFS(Holieday[ok],Holieday[date],J_ADDDAY(VLOOKUP(I31,A:F,6,FALSE),H31+4,1)))=FALSE(),J_ADDDAY(VLOOKUP(I31,A:F,6,FALSE),H31+4,1),J_ADDDAY(VLOOKUP(I31,A:F,6,FALSE),H31+5,1))))))</f>
        <v>1398/10/01</v>
      </c>
      <c r="E31" s="136">
        <f t="shared" si="14"/>
        <v>13981001</v>
      </c>
      <c r="F31" s="296" t="str">
        <f>IF(N31=0,J_SUBDAY(D31,1,1),IF((N31-(NETWORKDAYS.INTL(J_GregorianDate(D31,1),J_GregorianDate(J_SUBDAY(J_ADDDAY(D31,N31,1),1,1),1),16,1)))+SUMIFS(Holieday[ok],Holieday[date],CONCATENATE("&gt;","=",D31),Holieday[date],CONCATENATE("&lt;","=",J_SUBDAY(J_ADDDAY(D31,N31,1),1,1)))-SUMIFS(Holieday[Friday],Holieday[date],CONCATENATE("&gt;","=",D31),Holieday[date],CONCATENATE("&lt;","=",J_SUBDAY(J_ADDDAY(D31,N31,1),1,1)))=0,J_SUBDAY(J_ADDDAY(D31,N31,1),1,1),IF((N31+1-(NETWORKDAYS.INTL(J_GregorianDate(D31,1),J_GregorianDate(J_SUBDAY(J_ADDDAY(D31,N31+1,1),1,1),1),16,1)))+SUMIFS(Holieday[ok],Holieday[date],CONCATENATE("&gt;","=",D31),Holieday[date],CONCATENATE("&lt;","=",J_SUBDAY(J_ADDDAY(D31,N31+1,1),1,1)))-SUMIFS(Holieday[Friday],Holieday[date],CONCATENATE("&gt;","=",D31),Holieday[date],CONCATENATE("&lt;","=",J_SUBDAY(J_ADDDAY(D31,N31+1,1),1,1)))=1,J_SUBDAY(J_ADDDAY(D31,N31+1,1),1,1),IF((N31+2-(NETWORKDAYS.INTL(J_GregorianDate(D31,1),J_GregorianDate(J_SUBDAY(J_ADDDAY(D31,N31+2,1),1,1),1),16,1)))+SUMIFS(Holieday[ok],Holieday[date],CONCATENATE("&gt;","=",D31),Holieday[date],CONCATENATE("&lt;","=",J_SUBDAY(J_ADDDAY(D31,N31+2,1),1,1)))-SUMIFS(Holieday[Friday],Holieday[date],CONCATENATE("&gt;","=",D31),Holieday[date],CONCATENATE("&lt;","=",J_SUBDAY(J_ADDDAY(D31,N31+2,1),1,1)))=2,J_SUBDAY(J_ADDDAY(D31,N31+2,1),1,1),IF((N31+3-(NETWORKDAYS.INTL(J_GregorianDate(D31,1),J_GregorianDate(J_SUBDAY(J_ADDDAY(D31,N31+3,1),1,1),1),16,1)))+SUMIFS(Holieday[ok],Holieday[date],CONCATENATE("&gt;","=",D31),Holieday[date],CONCATENATE("&lt;","=",J_SUBDAY(J_ADDDAY(D31,N31+3,1),1,1)))-SUMIFS(Holieday[Friday],Holieday[date],CONCATENATE("&gt;","=",D31),Holieday[date],CONCATENATE("&lt;","=",J_SUBDAY(J_ADDDAY(D31,N31+3,1),1,1)))=3,J_SUBDAY(J_ADDDAY(D31,N31+3,1),1,1),IF((N31+4-(NETWORKDAYS.INTL(J_GregorianDate(D31,1),J_GregorianDate(J_SUBDAY(J_ADDDAY(D31,N31+4,1),1,1),1),16,1)))+SUMIFS(Holieday[ok],Holieday[date],CONCATENATE("&gt;","=",D31),Holieday[date],CONCATENATE("&lt;","=",J_SUBDAY(J_ADDDAY(D31,N31+4,1),1,1)))-SUMIFS(Holieday[Friday],Holieday[date],CONCATENATE("&gt;","=",D31),Holieday[date],CONCATENATE("&lt;","=",J_SUBDAY(J_ADDDAY(D31,N31+4,1),1,1)))=4,J_SUBDAY(J_ADDDAY(D31,N31+4,1),1,1),IF((N31+5-(NETWORKDAYS.INTL(J_GregorianDate(D31,1),J_GregorianDate(J_SUBDAY(J_ADDDAY(D31,N31+5,1),1,1),1),16,1)))+SUMIFS(Holieday[ok],Holieday[date],CONCATENATE("&gt;","=",D31),Holieday[date],CONCATENATE("&lt;","=",J_SUBDAY(J_ADDDAY(D31,N31+5,1),1,1)))-SUMIFS(Holieday[Friday],Holieday[date],CONCATENATE("&gt;","=",D31),Holieday[date],CONCATENATE("&lt;","=",J_SUBDAY(J_ADDDAY(D31,N31+5,1),1,1)))=5,J_SUBDAY(J_ADDDAY(D31,N31+5,1),1,1),J_SUBDAY(J_ADDDAY(D31,N31+6,1),1,1))))))))</f>
        <v>1398/10/11</v>
      </c>
      <c r="G31" s="139">
        <f t="shared" si="15"/>
        <v>13981011</v>
      </c>
      <c r="H31" s="175"/>
      <c r="I31" s="176">
        <v>1.1000000000000001</v>
      </c>
      <c r="J31" s="174">
        <f>j_WEEKDAY(D31,2)</f>
        <v>1</v>
      </c>
      <c r="K31" s="143">
        <f t="shared" ref="K31:K42" si="17">SUM(JA31:JC31)</f>
        <v>0</v>
      </c>
      <c r="L31" s="177">
        <f t="shared" ref="L31:L49" si="18">J_DIFF(D31,F31)+1</f>
        <v>11</v>
      </c>
      <c r="M31" s="178">
        <v>1</v>
      </c>
      <c r="N31" s="179">
        <v>10</v>
      </c>
      <c r="O31" s="144">
        <f t="shared" si="16"/>
        <v>11</v>
      </c>
      <c r="P31" s="144">
        <f>VALUE(J_normdate(J_ADDDAY($D31,$O31,1)))</f>
        <v>13981012</v>
      </c>
      <c r="Q31" s="142">
        <f t="shared" si="13"/>
        <v>0</v>
      </c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  <c r="GQ31" s="141"/>
      <c r="GR31" s="141"/>
      <c r="GS31" s="141"/>
      <c r="GT31" s="141"/>
      <c r="GU31" s="141"/>
      <c r="GV31" s="141"/>
      <c r="GW31" s="141"/>
      <c r="GX31" s="141"/>
      <c r="GY31" s="141"/>
      <c r="GZ31" s="141"/>
      <c r="HA31" s="141"/>
      <c r="HB31" s="141"/>
      <c r="HC31" s="141"/>
      <c r="HD31" s="141"/>
      <c r="HE31" s="141"/>
      <c r="HF31" s="141"/>
      <c r="HG31" s="141"/>
      <c r="HH31" s="141"/>
      <c r="HI31" s="141"/>
      <c r="HJ31" s="141"/>
      <c r="HK31" s="141"/>
      <c r="HL31" s="141"/>
      <c r="HM31" s="141"/>
      <c r="HN31" s="141"/>
      <c r="HO31" s="141"/>
      <c r="HP31" s="141"/>
      <c r="HQ31" s="141"/>
      <c r="HR31" s="141"/>
      <c r="HS31" s="141"/>
      <c r="HT31" s="141"/>
      <c r="HU31" s="141"/>
      <c r="HV31" s="141"/>
      <c r="HW31" s="141"/>
      <c r="HX31" s="141"/>
      <c r="HY31" s="141"/>
      <c r="HZ31" s="141"/>
      <c r="IA31" s="141"/>
      <c r="IB31" s="141"/>
      <c r="IC31" s="141"/>
      <c r="ID31" s="141"/>
      <c r="IE31" s="141"/>
      <c r="IF31" s="141"/>
      <c r="IG31" s="141"/>
      <c r="IH31" s="141"/>
      <c r="II31" s="141"/>
      <c r="IJ31" s="141"/>
      <c r="IK31" s="141"/>
      <c r="IL31" s="141"/>
      <c r="IM31" s="141"/>
      <c r="IN31" s="141"/>
      <c r="IO31" s="141"/>
      <c r="IP31" s="141"/>
      <c r="IQ31" s="141"/>
      <c r="IR31" s="141"/>
      <c r="IS31" s="141"/>
      <c r="IT31" s="141"/>
      <c r="IU31" s="141"/>
      <c r="IV31" s="141"/>
      <c r="IW31" s="141"/>
      <c r="IX31" s="141"/>
      <c r="IY31" s="21">
        <v>3</v>
      </c>
      <c r="IZ31" s="31">
        <f>(TEXT(K31,"[m]")/60)*VLOOKUP(IY31,'Income Person-hours'!A$2:C$5,3,FALSE)</f>
        <v>0</v>
      </c>
      <c r="JA31" s="91"/>
      <c r="JB31" s="91"/>
      <c r="JC31" s="91"/>
      <c r="JD31" s="160">
        <f>SUM((TEXT(JA31,"[M]")/60)*'Income Person-hours'!$D$3,(TEXT(JB31,"[M]")/60)*'Income Person-hours'!$D$4,(TEXT(JC31,"[M]")/60)*'Income Person-hours'!$D$5)</f>
        <v>0</v>
      </c>
    </row>
    <row r="32" spans="1:16384" s="185" customFormat="1" ht="12.75" customHeight="1">
      <c r="A32" s="172">
        <v>3.3</v>
      </c>
      <c r="B32" s="186" t="s">
        <v>148</v>
      </c>
      <c r="C32" s="173" t="s">
        <v>104</v>
      </c>
      <c r="D32" s="295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1398/10/01</v>
      </c>
      <c r="E32" s="136">
        <f t="shared" si="14"/>
        <v>13981001</v>
      </c>
      <c r="F32" s="296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1398/10/17</v>
      </c>
      <c r="G32" s="139">
        <f t="shared" si="15"/>
        <v>13981017</v>
      </c>
      <c r="H32" s="175"/>
      <c r="I32" s="176">
        <v>1.1000000000000001</v>
      </c>
      <c r="J32" s="174">
        <f>j_WEEKDAY(D32,2)</f>
        <v>1</v>
      </c>
      <c r="K32" s="143">
        <f t="shared" si="17"/>
        <v>0</v>
      </c>
      <c r="L32" s="177">
        <f>J_DIFF(D32,F32)+1</f>
        <v>17</v>
      </c>
      <c r="M32" s="178">
        <v>0.7</v>
      </c>
      <c r="N32" s="179">
        <v>15</v>
      </c>
      <c r="O32" s="144">
        <f t="shared" si="16"/>
        <v>11</v>
      </c>
      <c r="P32" s="144">
        <f>VALUE(J_normdate(J_ADDDAY($D32,$O32,1)))</f>
        <v>13981012</v>
      </c>
      <c r="Q32" s="142">
        <f t="shared" si="13"/>
        <v>6</v>
      </c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L32" s="180"/>
      <c r="BM32" s="180"/>
      <c r="BN32" s="180"/>
      <c r="BO32" s="180"/>
      <c r="BP32" s="180"/>
      <c r="BQ32" s="180"/>
      <c r="BR32" s="180"/>
      <c r="BS32" s="180"/>
      <c r="BT32" s="180"/>
      <c r="BU32" s="180"/>
      <c r="BV32" s="180"/>
      <c r="BW32" s="180"/>
      <c r="BX32" s="180"/>
      <c r="BY32" s="180"/>
      <c r="BZ32" s="180"/>
      <c r="CA32" s="180"/>
      <c r="CB32" s="180"/>
      <c r="CC32" s="180"/>
      <c r="CD32" s="180"/>
      <c r="CE32" s="180"/>
      <c r="CF32" s="180"/>
      <c r="CG32" s="180"/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180"/>
      <c r="DI32" s="180"/>
      <c r="DJ32" s="180"/>
      <c r="DK32" s="180"/>
      <c r="DL32" s="180"/>
      <c r="DM32" s="180"/>
      <c r="DN32" s="180"/>
      <c r="DO32" s="180"/>
      <c r="DP32" s="180"/>
      <c r="DQ32" s="180"/>
      <c r="DR32" s="180"/>
      <c r="DS32" s="180"/>
      <c r="DT32" s="180"/>
      <c r="DU32" s="180"/>
      <c r="DV32" s="180"/>
      <c r="DW32" s="180"/>
      <c r="DX32" s="180"/>
      <c r="DY32" s="180"/>
      <c r="DZ32" s="180"/>
      <c r="EA32" s="180"/>
      <c r="EB32" s="180"/>
      <c r="EC32" s="180"/>
      <c r="ED32" s="180"/>
      <c r="EE32" s="180"/>
      <c r="EF32" s="180"/>
      <c r="EG32" s="180"/>
      <c r="EH32" s="180"/>
      <c r="EI32" s="180"/>
      <c r="EJ32" s="180"/>
      <c r="EK32" s="180"/>
      <c r="EL32" s="180"/>
      <c r="EM32" s="180"/>
      <c r="EN32" s="180"/>
      <c r="EO32" s="180"/>
      <c r="EP32" s="180"/>
      <c r="EQ32" s="180"/>
      <c r="ER32" s="180"/>
      <c r="ES32" s="180"/>
      <c r="ET32" s="180"/>
      <c r="EU32" s="180"/>
      <c r="EV32" s="180"/>
      <c r="EW32" s="180"/>
      <c r="EX32" s="180"/>
      <c r="EY32" s="180"/>
      <c r="EZ32" s="180"/>
      <c r="FA32" s="180"/>
      <c r="FB32" s="180"/>
      <c r="FC32" s="180"/>
      <c r="FD32" s="180"/>
      <c r="FE32" s="180"/>
      <c r="FF32" s="180"/>
      <c r="FG32" s="180"/>
      <c r="FH32" s="180"/>
      <c r="FI32" s="180"/>
      <c r="FJ32" s="180"/>
      <c r="FK32" s="180"/>
      <c r="FL32" s="180"/>
      <c r="FM32" s="180"/>
      <c r="FN32" s="180"/>
      <c r="FO32" s="180"/>
      <c r="FP32" s="180"/>
      <c r="FQ32" s="180"/>
      <c r="FR32" s="180"/>
      <c r="FS32" s="180"/>
      <c r="FT32" s="180"/>
      <c r="FU32" s="180"/>
      <c r="FV32" s="180"/>
      <c r="FW32" s="180"/>
      <c r="FX32" s="180"/>
      <c r="FY32" s="180"/>
      <c r="FZ32" s="180"/>
      <c r="GA32" s="180"/>
      <c r="GB32" s="180"/>
      <c r="GC32" s="180"/>
      <c r="GD32" s="180"/>
      <c r="GE32" s="180"/>
      <c r="GF32" s="180"/>
      <c r="GG32" s="180"/>
      <c r="GH32" s="180"/>
      <c r="GI32" s="180"/>
      <c r="GJ32" s="180"/>
      <c r="GK32" s="180"/>
      <c r="GL32" s="180"/>
      <c r="GM32" s="180"/>
      <c r="GN32" s="180"/>
      <c r="GO32" s="180"/>
      <c r="GP32" s="180"/>
      <c r="GQ32" s="180"/>
      <c r="GR32" s="180"/>
      <c r="GS32" s="180"/>
      <c r="GT32" s="180"/>
      <c r="GU32" s="180"/>
      <c r="GV32" s="180"/>
      <c r="GW32" s="180"/>
      <c r="GX32" s="180"/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  <c r="HI32" s="180"/>
      <c r="HJ32" s="180"/>
      <c r="HK32" s="180"/>
      <c r="HL32" s="180"/>
      <c r="HM32" s="180"/>
      <c r="HN32" s="180"/>
      <c r="HO32" s="180"/>
      <c r="HP32" s="180"/>
      <c r="HQ32" s="180"/>
      <c r="HR32" s="180"/>
      <c r="HS32" s="180"/>
      <c r="HT32" s="180"/>
      <c r="HU32" s="180"/>
      <c r="HV32" s="180"/>
      <c r="HW32" s="180"/>
      <c r="HX32" s="180"/>
      <c r="HY32" s="180"/>
      <c r="HZ32" s="180"/>
      <c r="IA32" s="180"/>
      <c r="IB32" s="180"/>
      <c r="IC32" s="180"/>
      <c r="ID32" s="180"/>
      <c r="IE32" s="180"/>
      <c r="IF32" s="180"/>
      <c r="IG32" s="180"/>
      <c r="IH32" s="180"/>
      <c r="II32" s="180"/>
      <c r="IJ32" s="180"/>
      <c r="IK32" s="180"/>
      <c r="IL32" s="180"/>
      <c r="IM32" s="180"/>
      <c r="IN32" s="180"/>
      <c r="IO32" s="180"/>
      <c r="IP32" s="180"/>
      <c r="IQ32" s="180"/>
      <c r="IR32" s="180"/>
      <c r="IS32" s="180"/>
      <c r="IT32" s="180"/>
      <c r="IU32" s="180"/>
      <c r="IV32" s="180"/>
      <c r="IW32" s="180"/>
      <c r="IX32" s="180"/>
      <c r="IY32" s="181">
        <v>3</v>
      </c>
      <c r="IZ32" s="182">
        <f>(TEXT(K32,"[m]")/60)*VLOOKUP(IY32,'Income Person-hours'!A$2:C$5,3,FALSE)</f>
        <v>0</v>
      </c>
      <c r="JA32" s="183"/>
      <c r="JB32" s="183"/>
      <c r="JC32" s="183"/>
      <c r="JD32" s="184">
        <f>SUM((TEXT(JA32,"[M]")/60)*'Income Person-hours'!$D$3,(TEXT(JB32,"[M]")/60)*'Income Person-hours'!$D$4,(TEXT(JC32,"[M]")/60)*'Income Person-hours'!$D$5)</f>
        <v>0</v>
      </c>
    </row>
    <row r="33" spans="1:264" s="185" customFormat="1" ht="13.5">
      <c r="A33" s="172" t="s">
        <v>150</v>
      </c>
      <c r="B33" s="186" t="s">
        <v>149</v>
      </c>
      <c r="C33" s="173" t="s">
        <v>72</v>
      </c>
      <c r="D33" s="295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1398/10/18</v>
      </c>
      <c r="E33" s="136">
        <f t="shared" si="14"/>
        <v>13981018</v>
      </c>
      <c r="F33" s="296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1398/10/21</v>
      </c>
      <c r="G33" s="139">
        <f t="shared" si="15"/>
        <v>13981021</v>
      </c>
      <c r="H33" s="175">
        <v>1</v>
      </c>
      <c r="I33" s="176">
        <v>3.3</v>
      </c>
      <c r="J33" s="174">
        <f>j_WEEKDAY(D33,2)</f>
        <v>4</v>
      </c>
      <c r="K33" s="143"/>
      <c r="L33" s="177">
        <f t="shared" si="18"/>
        <v>4</v>
      </c>
      <c r="M33" s="178">
        <v>0</v>
      </c>
      <c r="N33" s="179">
        <v>3</v>
      </c>
      <c r="O33" s="144"/>
      <c r="P33" s="144"/>
      <c r="Q33" s="142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L33" s="180"/>
      <c r="BM33" s="180"/>
      <c r="BN33" s="180"/>
      <c r="BO33" s="180"/>
      <c r="BP33" s="180"/>
      <c r="BQ33" s="180"/>
      <c r="BR33" s="180"/>
      <c r="BS33" s="180"/>
      <c r="BT33" s="180"/>
      <c r="BU33" s="180"/>
      <c r="BV33" s="180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  <c r="DQ33" s="180"/>
      <c r="DR33" s="180"/>
      <c r="DS33" s="180"/>
      <c r="DT33" s="180"/>
      <c r="DU33" s="180"/>
      <c r="DV33" s="180"/>
      <c r="DW33" s="180"/>
      <c r="DX33" s="180"/>
      <c r="DY33" s="180"/>
      <c r="DZ33" s="180"/>
      <c r="EA33" s="180"/>
      <c r="EB33" s="180"/>
      <c r="EC33" s="180"/>
      <c r="ED33" s="180"/>
      <c r="EE33" s="180"/>
      <c r="EF33" s="180"/>
      <c r="EG33" s="180"/>
      <c r="EH33" s="180"/>
      <c r="EI33" s="180"/>
      <c r="EJ33" s="180"/>
      <c r="EK33" s="180"/>
      <c r="EL33" s="180"/>
      <c r="EM33" s="180"/>
      <c r="EN33" s="180"/>
      <c r="EO33" s="180"/>
      <c r="EP33" s="180"/>
      <c r="EQ33" s="180"/>
      <c r="ER33" s="180"/>
      <c r="ES33" s="180"/>
      <c r="ET33" s="180"/>
      <c r="EU33" s="180"/>
      <c r="EV33" s="180"/>
      <c r="EW33" s="180"/>
      <c r="EX33" s="180"/>
      <c r="EY33" s="180"/>
      <c r="EZ33" s="180"/>
      <c r="FA33" s="180"/>
      <c r="FB33" s="180"/>
      <c r="FC33" s="180"/>
      <c r="FD33" s="180"/>
      <c r="FE33" s="180"/>
      <c r="FF33" s="180"/>
      <c r="FG33" s="180"/>
      <c r="FH33" s="180"/>
      <c r="FI33" s="180"/>
      <c r="FJ33" s="180"/>
      <c r="FK33" s="180"/>
      <c r="FL33" s="180"/>
      <c r="FM33" s="180"/>
      <c r="FN33" s="180"/>
      <c r="FO33" s="180"/>
      <c r="FP33" s="180"/>
      <c r="FQ33" s="180"/>
      <c r="FR33" s="180"/>
      <c r="FS33" s="180"/>
      <c r="FT33" s="180"/>
      <c r="FU33" s="180"/>
      <c r="FV33" s="180"/>
      <c r="FW33" s="180"/>
      <c r="FX33" s="180"/>
      <c r="FY33" s="180"/>
      <c r="FZ33" s="180"/>
      <c r="GA33" s="180"/>
      <c r="GB33" s="180"/>
      <c r="GC33" s="180"/>
      <c r="GD33" s="180"/>
      <c r="GE33" s="180"/>
      <c r="GF33" s="180"/>
      <c r="GG33" s="180"/>
      <c r="GH33" s="180"/>
      <c r="GI33" s="180"/>
      <c r="GJ33" s="180"/>
      <c r="GK33" s="180"/>
      <c r="GL33" s="180"/>
      <c r="GM33" s="180"/>
      <c r="GN33" s="180"/>
      <c r="GO33" s="180"/>
      <c r="GP33" s="180"/>
      <c r="GQ33" s="180"/>
      <c r="GR33" s="180"/>
      <c r="GS33" s="180"/>
      <c r="GT33" s="180"/>
      <c r="GU33" s="180"/>
      <c r="GV33" s="180"/>
      <c r="GW33" s="180"/>
      <c r="GX33" s="180"/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  <c r="HI33" s="180"/>
      <c r="HJ33" s="180"/>
      <c r="HK33" s="180"/>
      <c r="HL33" s="180"/>
      <c r="HM33" s="180"/>
      <c r="HN33" s="180"/>
      <c r="HO33" s="180"/>
      <c r="HP33" s="180"/>
      <c r="HQ33" s="180"/>
      <c r="HR33" s="180"/>
      <c r="HS33" s="180"/>
      <c r="HT33" s="180"/>
      <c r="HU33" s="180"/>
      <c r="HV33" s="180"/>
      <c r="HW33" s="180"/>
      <c r="HX33" s="180"/>
      <c r="HY33" s="180"/>
      <c r="HZ33" s="180"/>
      <c r="IA33" s="180"/>
      <c r="IB33" s="180"/>
      <c r="IC33" s="180"/>
      <c r="ID33" s="180"/>
      <c r="IE33" s="180"/>
      <c r="IF33" s="180"/>
      <c r="IG33" s="180"/>
      <c r="IH33" s="180"/>
      <c r="II33" s="180"/>
      <c r="IJ33" s="180"/>
      <c r="IK33" s="180"/>
      <c r="IL33" s="180"/>
      <c r="IM33" s="180"/>
      <c r="IN33" s="180"/>
      <c r="IO33" s="180"/>
      <c r="IP33" s="180"/>
      <c r="IQ33" s="180"/>
      <c r="IR33" s="180"/>
      <c r="IS33" s="180"/>
      <c r="IT33" s="180"/>
      <c r="IU33" s="180"/>
      <c r="IV33" s="180"/>
      <c r="IW33" s="180"/>
      <c r="IX33" s="180"/>
      <c r="IY33" s="181"/>
      <c r="IZ33" s="182"/>
      <c r="JA33" s="183"/>
      <c r="JB33" s="183"/>
      <c r="JC33" s="183"/>
      <c r="JD33" s="184"/>
    </row>
    <row r="34" spans="1:264" s="185" customFormat="1" ht="28.5" customHeight="1">
      <c r="A34" s="197">
        <v>3.5</v>
      </c>
      <c r="B34" s="186" t="s">
        <v>151</v>
      </c>
      <c r="C34" s="173" t="s">
        <v>104</v>
      </c>
      <c r="D34" s="295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1398/10/12</v>
      </c>
      <c r="E34" s="136">
        <f t="shared" si="14"/>
        <v>13981012</v>
      </c>
      <c r="F34" s="296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1398/10/25</v>
      </c>
      <c r="G34" s="139">
        <f t="shared" si="15"/>
        <v>13981025</v>
      </c>
      <c r="H34" s="175">
        <v>-5</v>
      </c>
      <c r="I34" s="176">
        <v>3.3</v>
      </c>
      <c r="J34" s="174">
        <f>j_WEEKDAY(D34,2)</f>
        <v>5</v>
      </c>
      <c r="K34" s="143"/>
      <c r="L34" s="177">
        <f t="shared" si="18"/>
        <v>14</v>
      </c>
      <c r="M34" s="178">
        <v>0.7</v>
      </c>
      <c r="N34" s="179">
        <v>12</v>
      </c>
      <c r="O34" s="144"/>
      <c r="P34" s="144"/>
      <c r="Q34" s="142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L34" s="180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  <c r="DQ34" s="180"/>
      <c r="DR34" s="180"/>
      <c r="DS34" s="180"/>
      <c r="DT34" s="180"/>
      <c r="DU34" s="180"/>
      <c r="DV34" s="180"/>
      <c r="DW34" s="180"/>
      <c r="DX34" s="180"/>
      <c r="DY34" s="180"/>
      <c r="DZ34" s="180"/>
      <c r="EA34" s="180"/>
      <c r="EB34" s="180"/>
      <c r="EC34" s="180"/>
      <c r="ED34" s="180"/>
      <c r="EE34" s="180"/>
      <c r="EF34" s="180"/>
      <c r="EG34" s="180"/>
      <c r="EH34" s="180"/>
      <c r="EI34" s="180"/>
      <c r="EJ34" s="180"/>
      <c r="EK34" s="180"/>
      <c r="EL34" s="180"/>
      <c r="EM34" s="180"/>
      <c r="EN34" s="180"/>
      <c r="EO34" s="180"/>
      <c r="EP34" s="180"/>
      <c r="EQ34" s="180"/>
      <c r="ER34" s="180"/>
      <c r="ES34" s="180"/>
      <c r="ET34" s="180"/>
      <c r="EU34" s="180"/>
      <c r="EV34" s="180"/>
      <c r="EW34" s="180"/>
      <c r="EX34" s="180"/>
      <c r="EY34" s="180"/>
      <c r="EZ34" s="180"/>
      <c r="FA34" s="180"/>
      <c r="FB34" s="180"/>
      <c r="FC34" s="180"/>
      <c r="FD34" s="180"/>
      <c r="FE34" s="180"/>
      <c r="FF34" s="180"/>
      <c r="FG34" s="180"/>
      <c r="FH34" s="180"/>
      <c r="FI34" s="180"/>
      <c r="FJ34" s="180"/>
      <c r="FK34" s="180"/>
      <c r="FL34" s="180"/>
      <c r="FM34" s="180"/>
      <c r="FN34" s="180"/>
      <c r="FO34" s="180"/>
      <c r="FP34" s="180"/>
      <c r="FQ34" s="180"/>
      <c r="FR34" s="180"/>
      <c r="FS34" s="180"/>
      <c r="FT34" s="180"/>
      <c r="FU34" s="180"/>
      <c r="FV34" s="180"/>
      <c r="FW34" s="180"/>
      <c r="FX34" s="180"/>
      <c r="FY34" s="180"/>
      <c r="FZ34" s="180"/>
      <c r="GA34" s="180"/>
      <c r="GB34" s="180"/>
      <c r="GC34" s="180"/>
      <c r="GD34" s="180"/>
      <c r="GE34" s="180"/>
      <c r="GF34" s="180"/>
      <c r="GG34" s="180"/>
      <c r="GH34" s="180"/>
      <c r="GI34" s="180"/>
      <c r="GJ34" s="180"/>
      <c r="GK34" s="180"/>
      <c r="GL34" s="180"/>
      <c r="GM34" s="180"/>
      <c r="GN34" s="180"/>
      <c r="GO34" s="180"/>
      <c r="GP34" s="180"/>
      <c r="GQ34" s="180"/>
      <c r="GR34" s="180"/>
      <c r="GS34" s="180"/>
      <c r="GT34" s="180"/>
      <c r="GU34" s="180"/>
      <c r="GV34" s="180"/>
      <c r="GW34" s="180"/>
      <c r="GX34" s="180"/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  <c r="HI34" s="180"/>
      <c r="HJ34" s="180"/>
      <c r="HK34" s="180"/>
      <c r="HL34" s="180"/>
      <c r="HM34" s="180"/>
      <c r="HN34" s="180"/>
      <c r="HO34" s="180"/>
      <c r="HP34" s="180"/>
      <c r="HQ34" s="180"/>
      <c r="HR34" s="180"/>
      <c r="HS34" s="180"/>
      <c r="HT34" s="180"/>
      <c r="HU34" s="180"/>
      <c r="HV34" s="180"/>
      <c r="HW34" s="180"/>
      <c r="HX34" s="180"/>
      <c r="HY34" s="180"/>
      <c r="HZ34" s="180"/>
      <c r="IA34" s="180"/>
      <c r="IB34" s="180"/>
      <c r="IC34" s="180"/>
      <c r="ID34" s="180"/>
      <c r="IE34" s="180"/>
      <c r="IF34" s="180"/>
      <c r="IG34" s="180"/>
      <c r="IH34" s="180"/>
      <c r="II34" s="180"/>
      <c r="IJ34" s="180"/>
      <c r="IK34" s="180"/>
      <c r="IL34" s="180"/>
      <c r="IM34" s="180"/>
      <c r="IN34" s="180"/>
      <c r="IO34" s="180"/>
      <c r="IP34" s="180"/>
      <c r="IQ34" s="180"/>
      <c r="IR34" s="180"/>
      <c r="IS34" s="180"/>
      <c r="IT34" s="180"/>
      <c r="IU34" s="180"/>
      <c r="IV34" s="180"/>
      <c r="IW34" s="180"/>
      <c r="IX34" s="180"/>
      <c r="IY34" s="181"/>
      <c r="IZ34" s="182"/>
      <c r="JA34" s="183"/>
      <c r="JB34" s="183"/>
      <c r="JC34" s="183"/>
      <c r="JD34" s="184"/>
    </row>
    <row r="35" spans="1:264" s="185" customFormat="1" ht="33" customHeight="1">
      <c r="A35" s="197">
        <v>3.6</v>
      </c>
      <c r="B35" s="186" t="s">
        <v>130</v>
      </c>
      <c r="C35" s="173" t="s">
        <v>72</v>
      </c>
      <c r="D35" s="295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1398/10/14</v>
      </c>
      <c r="E35" s="136">
        <f t="shared" si="14"/>
        <v>13981014</v>
      </c>
      <c r="F35" s="296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1398/10/28</v>
      </c>
      <c r="G35" s="139">
        <f t="shared" si="15"/>
        <v>13981028</v>
      </c>
      <c r="H35" s="175">
        <v>-11</v>
      </c>
      <c r="I35" s="176">
        <v>3.5</v>
      </c>
      <c r="J35" s="174">
        <f>j_WEEKDAY(D35,2)</f>
        <v>0</v>
      </c>
      <c r="K35" s="143"/>
      <c r="L35" s="177">
        <f t="shared" si="18"/>
        <v>15</v>
      </c>
      <c r="M35" s="178">
        <v>0</v>
      </c>
      <c r="N35" s="179">
        <v>13</v>
      </c>
      <c r="O35" s="144"/>
      <c r="P35" s="144"/>
      <c r="Q35" s="142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L35" s="180"/>
      <c r="BM35" s="180"/>
      <c r="BN35" s="180"/>
      <c r="BO35" s="180"/>
      <c r="BP35" s="180"/>
      <c r="BQ35" s="180"/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  <c r="DQ35" s="180"/>
      <c r="DR35" s="180"/>
      <c r="DS35" s="180"/>
      <c r="DT35" s="180"/>
      <c r="DU35" s="180"/>
      <c r="DV35" s="180"/>
      <c r="DW35" s="180"/>
      <c r="DX35" s="180"/>
      <c r="DY35" s="180"/>
      <c r="DZ35" s="180"/>
      <c r="EA35" s="180"/>
      <c r="EB35" s="180"/>
      <c r="EC35" s="180"/>
      <c r="ED35" s="180"/>
      <c r="EE35" s="180"/>
      <c r="EF35" s="180"/>
      <c r="EG35" s="180"/>
      <c r="EH35" s="180"/>
      <c r="EI35" s="180"/>
      <c r="EJ35" s="180"/>
      <c r="EK35" s="180"/>
      <c r="EL35" s="180"/>
      <c r="EM35" s="180"/>
      <c r="EN35" s="180"/>
      <c r="EO35" s="180"/>
      <c r="EP35" s="180"/>
      <c r="EQ35" s="180"/>
      <c r="ER35" s="180"/>
      <c r="ES35" s="180"/>
      <c r="ET35" s="180"/>
      <c r="EU35" s="180"/>
      <c r="EV35" s="180"/>
      <c r="EW35" s="180"/>
      <c r="EX35" s="180"/>
      <c r="EY35" s="180"/>
      <c r="EZ35" s="180"/>
      <c r="FA35" s="180"/>
      <c r="FB35" s="180"/>
      <c r="FC35" s="180"/>
      <c r="FD35" s="180"/>
      <c r="FE35" s="180"/>
      <c r="FF35" s="180"/>
      <c r="FG35" s="180"/>
      <c r="FH35" s="180"/>
      <c r="FI35" s="180"/>
      <c r="FJ35" s="180"/>
      <c r="FK35" s="180"/>
      <c r="FL35" s="180"/>
      <c r="FM35" s="180"/>
      <c r="FN35" s="180"/>
      <c r="FO35" s="180"/>
      <c r="FP35" s="180"/>
      <c r="FQ35" s="180"/>
      <c r="FR35" s="180"/>
      <c r="FS35" s="180"/>
      <c r="FT35" s="180"/>
      <c r="FU35" s="180"/>
      <c r="FV35" s="180"/>
      <c r="FW35" s="180"/>
      <c r="FX35" s="180"/>
      <c r="FY35" s="180"/>
      <c r="FZ35" s="180"/>
      <c r="GA35" s="180"/>
      <c r="GB35" s="180"/>
      <c r="GC35" s="180"/>
      <c r="GD35" s="180"/>
      <c r="GE35" s="180"/>
      <c r="GF35" s="180"/>
      <c r="GG35" s="180"/>
      <c r="GH35" s="180"/>
      <c r="GI35" s="180"/>
      <c r="GJ35" s="180"/>
      <c r="GK35" s="180"/>
      <c r="GL35" s="180"/>
      <c r="GM35" s="180"/>
      <c r="GN35" s="180"/>
      <c r="GO35" s="180"/>
      <c r="GP35" s="180"/>
      <c r="GQ35" s="180"/>
      <c r="GR35" s="180"/>
      <c r="GS35" s="180"/>
      <c r="GT35" s="180"/>
      <c r="GU35" s="180"/>
      <c r="GV35" s="180"/>
      <c r="GW35" s="180"/>
      <c r="GX35" s="180"/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  <c r="HI35" s="180"/>
      <c r="HJ35" s="180"/>
      <c r="HK35" s="180"/>
      <c r="HL35" s="180"/>
      <c r="HM35" s="180"/>
      <c r="HN35" s="180"/>
      <c r="HO35" s="180"/>
      <c r="HP35" s="180"/>
      <c r="HQ35" s="180"/>
      <c r="HR35" s="180"/>
      <c r="HS35" s="180"/>
      <c r="HT35" s="180"/>
      <c r="HU35" s="180"/>
      <c r="HV35" s="180"/>
      <c r="HW35" s="180"/>
      <c r="HX35" s="180"/>
      <c r="HY35" s="180"/>
      <c r="HZ35" s="180"/>
      <c r="IA35" s="180"/>
      <c r="IB35" s="180"/>
      <c r="IC35" s="180"/>
      <c r="ID35" s="180"/>
      <c r="IE35" s="180"/>
      <c r="IF35" s="180"/>
      <c r="IG35" s="180"/>
      <c r="IH35" s="180"/>
      <c r="II35" s="180"/>
      <c r="IJ35" s="180"/>
      <c r="IK35" s="180"/>
      <c r="IL35" s="180"/>
      <c r="IM35" s="180"/>
      <c r="IN35" s="180"/>
      <c r="IO35" s="180"/>
      <c r="IP35" s="180"/>
      <c r="IQ35" s="180"/>
      <c r="IR35" s="180"/>
      <c r="IS35" s="180"/>
      <c r="IT35" s="180"/>
      <c r="IU35" s="180"/>
      <c r="IV35" s="180"/>
      <c r="IW35" s="180"/>
      <c r="IX35" s="180"/>
      <c r="IY35" s="181"/>
      <c r="IZ35" s="182"/>
      <c r="JA35" s="183"/>
      <c r="JB35" s="183"/>
      <c r="JC35" s="183"/>
      <c r="JD35" s="184"/>
    </row>
    <row r="36" spans="1:264" s="185" customFormat="1" ht="13.5">
      <c r="A36" s="197">
        <v>3.7</v>
      </c>
      <c r="B36" s="186" t="s">
        <v>152</v>
      </c>
      <c r="C36" s="173" t="s">
        <v>104</v>
      </c>
      <c r="D36" s="295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1398/10/21</v>
      </c>
      <c r="E36" s="136">
        <f t="shared" si="14"/>
        <v>13981021</v>
      </c>
      <c r="F36" s="296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1398/10/28</v>
      </c>
      <c r="G36" s="139">
        <f t="shared" si="15"/>
        <v>13981028</v>
      </c>
      <c r="H36" s="175">
        <v>-7</v>
      </c>
      <c r="I36" s="176">
        <v>3.6</v>
      </c>
      <c r="J36" s="174">
        <f>j_WEEKDAY(D36,2)</f>
        <v>0</v>
      </c>
      <c r="K36" s="143"/>
      <c r="L36" s="177">
        <f t="shared" si="18"/>
        <v>8</v>
      </c>
      <c r="M36" s="178">
        <v>0</v>
      </c>
      <c r="N36" s="179">
        <v>7</v>
      </c>
      <c r="O36" s="144"/>
      <c r="P36" s="144"/>
      <c r="Q36" s="142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L36" s="180"/>
      <c r="BM36" s="180"/>
      <c r="BN36" s="180"/>
      <c r="BO36" s="180"/>
      <c r="BP36" s="180"/>
      <c r="BQ36" s="180"/>
      <c r="BR36" s="180"/>
      <c r="BS36" s="180"/>
      <c r="BT36" s="180"/>
      <c r="BU36" s="180"/>
      <c r="BV36" s="180"/>
      <c r="BW36" s="180"/>
      <c r="BX36" s="180"/>
      <c r="BY36" s="180"/>
      <c r="BZ36" s="180"/>
      <c r="CA36" s="180"/>
      <c r="CB36" s="180"/>
      <c r="CC36" s="180"/>
      <c r="CD36" s="180"/>
      <c r="CE36" s="180"/>
      <c r="CF36" s="180"/>
      <c r="CG36" s="180"/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180"/>
      <c r="DI36" s="180"/>
      <c r="DJ36" s="180"/>
      <c r="DK36" s="180"/>
      <c r="DL36" s="180"/>
      <c r="DM36" s="180"/>
      <c r="DN36" s="180"/>
      <c r="DO36" s="180"/>
      <c r="DP36" s="180"/>
      <c r="DQ36" s="180"/>
      <c r="DR36" s="180"/>
      <c r="DS36" s="180"/>
      <c r="DT36" s="180"/>
      <c r="DU36" s="180"/>
      <c r="DV36" s="180"/>
      <c r="DW36" s="180"/>
      <c r="DX36" s="180"/>
      <c r="DY36" s="180"/>
      <c r="DZ36" s="180"/>
      <c r="EA36" s="180"/>
      <c r="EB36" s="180"/>
      <c r="EC36" s="180"/>
      <c r="ED36" s="180"/>
      <c r="EE36" s="180"/>
      <c r="EF36" s="180"/>
      <c r="EG36" s="180"/>
      <c r="EH36" s="180"/>
      <c r="EI36" s="180"/>
      <c r="EJ36" s="180"/>
      <c r="EK36" s="180"/>
      <c r="EL36" s="180"/>
      <c r="EM36" s="180"/>
      <c r="EN36" s="180"/>
      <c r="EO36" s="180"/>
      <c r="EP36" s="180"/>
      <c r="EQ36" s="180"/>
      <c r="ER36" s="180"/>
      <c r="ES36" s="180"/>
      <c r="ET36" s="180"/>
      <c r="EU36" s="180"/>
      <c r="EV36" s="180"/>
      <c r="EW36" s="180"/>
      <c r="EX36" s="180"/>
      <c r="EY36" s="180"/>
      <c r="EZ36" s="180"/>
      <c r="FA36" s="180"/>
      <c r="FB36" s="180"/>
      <c r="FC36" s="180"/>
      <c r="FD36" s="180"/>
      <c r="FE36" s="180"/>
      <c r="FF36" s="180"/>
      <c r="FG36" s="180"/>
      <c r="FH36" s="180"/>
      <c r="FI36" s="180"/>
      <c r="FJ36" s="180"/>
      <c r="FK36" s="180"/>
      <c r="FL36" s="180"/>
      <c r="FM36" s="180"/>
      <c r="FN36" s="180"/>
      <c r="FO36" s="180"/>
      <c r="FP36" s="180"/>
      <c r="FQ36" s="180"/>
      <c r="FR36" s="180"/>
      <c r="FS36" s="180"/>
      <c r="FT36" s="180"/>
      <c r="FU36" s="180"/>
      <c r="FV36" s="180"/>
      <c r="FW36" s="180"/>
      <c r="FX36" s="180"/>
      <c r="FY36" s="180"/>
      <c r="FZ36" s="180"/>
      <c r="GA36" s="180"/>
      <c r="GB36" s="180"/>
      <c r="GC36" s="180"/>
      <c r="GD36" s="180"/>
      <c r="GE36" s="180"/>
      <c r="GF36" s="180"/>
      <c r="GG36" s="180"/>
      <c r="GH36" s="180"/>
      <c r="GI36" s="180"/>
      <c r="GJ36" s="180"/>
      <c r="GK36" s="180"/>
      <c r="GL36" s="180"/>
      <c r="GM36" s="180"/>
      <c r="GN36" s="180"/>
      <c r="GO36" s="180"/>
      <c r="GP36" s="180"/>
      <c r="GQ36" s="180"/>
      <c r="GR36" s="180"/>
      <c r="GS36" s="180"/>
      <c r="GT36" s="180"/>
      <c r="GU36" s="180"/>
      <c r="GV36" s="180"/>
      <c r="GW36" s="180"/>
      <c r="GX36" s="180"/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  <c r="HI36" s="180"/>
      <c r="HJ36" s="180"/>
      <c r="HK36" s="180"/>
      <c r="HL36" s="180"/>
      <c r="HM36" s="180"/>
      <c r="HN36" s="180"/>
      <c r="HO36" s="180"/>
      <c r="HP36" s="180"/>
      <c r="HQ36" s="180"/>
      <c r="HR36" s="180"/>
      <c r="HS36" s="180"/>
      <c r="HT36" s="180"/>
      <c r="HU36" s="180"/>
      <c r="HV36" s="180"/>
      <c r="HW36" s="180"/>
      <c r="HX36" s="180"/>
      <c r="HY36" s="180"/>
      <c r="HZ36" s="180"/>
      <c r="IA36" s="180"/>
      <c r="IB36" s="180"/>
      <c r="IC36" s="180"/>
      <c r="ID36" s="180"/>
      <c r="IE36" s="180"/>
      <c r="IF36" s="180"/>
      <c r="IG36" s="180"/>
      <c r="IH36" s="180"/>
      <c r="II36" s="180"/>
      <c r="IJ36" s="180"/>
      <c r="IK36" s="180"/>
      <c r="IL36" s="180"/>
      <c r="IM36" s="180"/>
      <c r="IN36" s="180"/>
      <c r="IO36" s="180"/>
      <c r="IP36" s="180"/>
      <c r="IQ36" s="180"/>
      <c r="IR36" s="180"/>
      <c r="IS36" s="180"/>
      <c r="IT36" s="180"/>
      <c r="IU36" s="180"/>
      <c r="IV36" s="180"/>
      <c r="IW36" s="180"/>
      <c r="IX36" s="180"/>
      <c r="IY36" s="181"/>
      <c r="IZ36" s="182"/>
      <c r="JA36" s="183"/>
      <c r="JB36" s="183"/>
      <c r="JC36" s="183"/>
      <c r="JD36" s="184"/>
    </row>
    <row r="37" spans="1:264" s="200" customFormat="1" ht="13.5">
      <c r="A37" s="197">
        <v>3.8</v>
      </c>
      <c r="B37" s="186" t="s">
        <v>153</v>
      </c>
      <c r="C37" s="173" t="s">
        <v>72</v>
      </c>
      <c r="D37" s="295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1398/10/29</v>
      </c>
      <c r="E37" s="136">
        <f t="shared" si="14"/>
        <v>13981029</v>
      </c>
      <c r="F37" s="296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1398/10/30</v>
      </c>
      <c r="G37" s="139">
        <f t="shared" si="15"/>
        <v>13981030</v>
      </c>
      <c r="H37" s="175">
        <v>1</v>
      </c>
      <c r="I37" s="176">
        <v>3.7</v>
      </c>
      <c r="J37" s="174">
        <f>j_WEEKDAY(D37,2)</f>
        <v>1</v>
      </c>
      <c r="K37" s="13"/>
      <c r="L37" s="177">
        <f t="shared" si="18"/>
        <v>2</v>
      </c>
      <c r="M37" s="178">
        <v>0</v>
      </c>
      <c r="N37" s="179">
        <v>2</v>
      </c>
      <c r="O37" s="6"/>
      <c r="P37" s="6"/>
      <c r="Q37" s="5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2"/>
      <c r="EK37" s="192"/>
      <c r="EL37" s="192"/>
      <c r="EM37" s="192"/>
      <c r="EN37" s="192"/>
      <c r="EO37" s="192"/>
      <c r="EP37" s="192"/>
      <c r="EQ37" s="192"/>
      <c r="ER37" s="192"/>
      <c r="ES37" s="192"/>
      <c r="ET37" s="192"/>
      <c r="EU37" s="192"/>
      <c r="EV37" s="192"/>
      <c r="EW37" s="192"/>
      <c r="EX37" s="192"/>
      <c r="EY37" s="192"/>
      <c r="EZ37" s="192"/>
      <c r="FA37" s="192"/>
      <c r="FB37" s="192"/>
      <c r="FC37" s="192"/>
      <c r="FD37" s="192"/>
      <c r="FE37" s="192"/>
      <c r="FF37" s="192"/>
      <c r="FG37" s="192"/>
      <c r="FH37" s="192"/>
      <c r="FI37" s="192"/>
      <c r="FJ37" s="192"/>
      <c r="FK37" s="192"/>
      <c r="FL37" s="192"/>
      <c r="FM37" s="192"/>
      <c r="FN37" s="192"/>
      <c r="FO37" s="192"/>
      <c r="FP37" s="192"/>
      <c r="FQ37" s="192"/>
      <c r="FR37" s="192"/>
      <c r="FS37" s="192"/>
      <c r="FT37" s="192"/>
      <c r="FU37" s="192"/>
      <c r="FV37" s="192"/>
      <c r="FW37" s="192"/>
      <c r="FX37" s="192"/>
      <c r="FY37" s="192"/>
      <c r="FZ37" s="192"/>
      <c r="GA37" s="192"/>
      <c r="GB37" s="192"/>
      <c r="GC37" s="192"/>
      <c r="GD37" s="192"/>
      <c r="GE37" s="192"/>
      <c r="GF37" s="192"/>
      <c r="GG37" s="192"/>
      <c r="GH37" s="192"/>
      <c r="GI37" s="192"/>
      <c r="GJ37" s="192"/>
      <c r="GK37" s="192"/>
      <c r="GL37" s="192"/>
      <c r="GM37" s="192"/>
      <c r="GN37" s="192"/>
      <c r="GO37" s="192"/>
      <c r="GP37" s="192"/>
      <c r="GQ37" s="192"/>
      <c r="GR37" s="192"/>
      <c r="GS37" s="192"/>
      <c r="GT37" s="192"/>
      <c r="GU37" s="192"/>
      <c r="GV37" s="192"/>
      <c r="GW37" s="192"/>
      <c r="GX37" s="192"/>
      <c r="GY37" s="192"/>
      <c r="GZ37" s="192"/>
      <c r="HA37" s="192"/>
      <c r="HB37" s="192"/>
      <c r="HC37" s="192"/>
      <c r="HD37" s="192"/>
      <c r="HE37" s="192"/>
      <c r="HF37" s="192"/>
      <c r="HG37" s="192"/>
      <c r="HH37" s="192"/>
      <c r="HI37" s="192"/>
      <c r="HJ37" s="192"/>
      <c r="HK37" s="192"/>
      <c r="HL37" s="192"/>
      <c r="HM37" s="192"/>
      <c r="HN37" s="192"/>
      <c r="HO37" s="192"/>
      <c r="HP37" s="192"/>
      <c r="HQ37" s="192"/>
      <c r="HR37" s="192"/>
      <c r="HS37" s="192"/>
      <c r="HT37" s="192"/>
      <c r="HU37" s="192"/>
      <c r="HV37" s="192"/>
      <c r="HW37" s="192"/>
      <c r="HX37" s="192"/>
      <c r="HY37" s="192"/>
      <c r="HZ37" s="192"/>
      <c r="IA37" s="192"/>
      <c r="IB37" s="192"/>
      <c r="IC37" s="192"/>
      <c r="ID37" s="192"/>
      <c r="IE37" s="192"/>
      <c r="IF37" s="192"/>
      <c r="IG37" s="192"/>
      <c r="IH37" s="192"/>
      <c r="II37" s="192"/>
      <c r="IJ37" s="192"/>
      <c r="IK37" s="192"/>
      <c r="IL37" s="192"/>
      <c r="IM37" s="192"/>
      <c r="IN37" s="192"/>
      <c r="IO37" s="192"/>
      <c r="IP37" s="192"/>
      <c r="IQ37" s="192"/>
      <c r="IR37" s="192"/>
      <c r="IS37" s="192"/>
      <c r="IT37" s="192"/>
      <c r="IU37" s="192"/>
      <c r="IV37" s="192"/>
      <c r="IW37" s="192"/>
      <c r="IX37" s="192"/>
      <c r="IY37" s="181"/>
      <c r="IZ37" s="181"/>
      <c r="JA37" s="183"/>
      <c r="JB37" s="183"/>
      <c r="JC37" s="183"/>
      <c r="JD37" s="199"/>
    </row>
    <row r="38" spans="1:264" s="192" customFormat="1" ht="13.5">
      <c r="A38" s="197">
        <v>3.9</v>
      </c>
      <c r="B38" s="186" t="s">
        <v>154</v>
      </c>
      <c r="C38" s="173" t="s">
        <v>72</v>
      </c>
      <c r="D38" s="295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1398/11/01</v>
      </c>
      <c r="E38" s="1">
        <f t="shared" si="14"/>
        <v>13981101</v>
      </c>
      <c r="F38" s="296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1398/11/02</v>
      </c>
      <c r="G38" s="2">
        <f t="shared" si="15"/>
        <v>13981102</v>
      </c>
      <c r="H38" s="175">
        <v>1</v>
      </c>
      <c r="I38" s="176">
        <v>3.8</v>
      </c>
      <c r="J38" s="174">
        <f>j_WEEKDAY(D38,2)</f>
        <v>3</v>
      </c>
      <c r="K38" s="13">
        <f t="shared" si="17"/>
        <v>0</v>
      </c>
      <c r="L38" s="177">
        <f t="shared" si="18"/>
        <v>2</v>
      </c>
      <c r="M38" s="178">
        <v>0</v>
      </c>
      <c r="N38" s="179">
        <v>2</v>
      </c>
      <c r="O38" s="6">
        <f t="shared" si="16"/>
        <v>0</v>
      </c>
      <c r="P38" s="6">
        <f>VALUE(J_normdate(J_ADDDAY($D38,$O38,1)))</f>
        <v>13981101</v>
      </c>
      <c r="Q38" s="5">
        <f t="shared" si="13"/>
        <v>2</v>
      </c>
      <c r="IY38" s="193">
        <v>1</v>
      </c>
      <c r="IZ38" s="193"/>
      <c r="JA38" s="194"/>
      <c r="JB38" s="194"/>
      <c r="JC38" s="194"/>
      <c r="JD38" s="195">
        <f>SUM((TEXT(JA38,"[M]")/60)*'Income Person-hours'!$D$3,(TEXT(JB38,"[M]")/60)*'Income Person-hours'!$D$4,(TEXT(JC38,"[M]")/60)*'Income Person-hours'!$D$5)</f>
        <v>0</v>
      </c>
    </row>
    <row r="39" spans="1:264" s="192" customFormat="1" ht="13.5">
      <c r="A39" s="172">
        <v>3.11</v>
      </c>
      <c r="B39" s="186" t="s">
        <v>155</v>
      </c>
      <c r="C39" s="173" t="s">
        <v>72</v>
      </c>
      <c r="D39" s="295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1398/11/03</v>
      </c>
      <c r="E39" s="1">
        <f t="shared" si="14"/>
        <v>13981103</v>
      </c>
      <c r="F39" s="296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1398/11/05</v>
      </c>
      <c r="G39" s="2">
        <f t="shared" si="15"/>
        <v>13981105</v>
      </c>
      <c r="H39" s="175">
        <v>1</v>
      </c>
      <c r="I39" s="176">
        <v>3.9</v>
      </c>
      <c r="J39" s="174">
        <f>j_WEEKDAY(D39,2)</f>
        <v>5</v>
      </c>
      <c r="K39" s="13"/>
      <c r="L39" s="177">
        <f t="shared" si="18"/>
        <v>3</v>
      </c>
      <c r="M39" s="178">
        <v>0</v>
      </c>
      <c r="N39" s="179">
        <v>2</v>
      </c>
      <c r="O39" s="6"/>
      <c r="P39" s="6"/>
      <c r="Q39" s="5"/>
      <c r="IY39" s="193"/>
      <c r="IZ39" s="193"/>
      <c r="JA39" s="194"/>
      <c r="JB39" s="194"/>
      <c r="JC39" s="194"/>
      <c r="JD39" s="195"/>
    </row>
    <row r="40" spans="1:264" s="192" customFormat="1" ht="13.5">
      <c r="A40" s="211">
        <v>3.12</v>
      </c>
      <c r="B40" s="186" t="s">
        <v>156</v>
      </c>
      <c r="C40" s="173" t="s">
        <v>72</v>
      </c>
      <c r="D40" s="295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1398/11/06</v>
      </c>
      <c r="E40" s="1">
        <f t="shared" si="14"/>
        <v>13981106</v>
      </c>
      <c r="F40" s="296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1398/11/07</v>
      </c>
      <c r="G40" s="2">
        <f t="shared" si="15"/>
        <v>13981107</v>
      </c>
      <c r="H40" s="175">
        <v>1</v>
      </c>
      <c r="I40" s="176">
        <v>3.11</v>
      </c>
      <c r="J40" s="174">
        <f>j_WEEKDAY(D40,2)</f>
        <v>1</v>
      </c>
      <c r="K40" s="13"/>
      <c r="L40" s="177">
        <f t="shared" si="18"/>
        <v>2</v>
      </c>
      <c r="M40" s="178">
        <v>0</v>
      </c>
      <c r="N40" s="179">
        <v>2</v>
      </c>
      <c r="O40" s="6"/>
      <c r="P40" s="6"/>
      <c r="Q40" s="5"/>
      <c r="IY40" s="193"/>
      <c r="IZ40" s="193"/>
      <c r="JA40" s="194"/>
      <c r="JB40" s="194"/>
      <c r="JC40" s="194"/>
      <c r="JD40" s="195"/>
    </row>
    <row r="41" spans="1:264" s="192" customFormat="1" ht="13.5">
      <c r="A41" s="211">
        <v>3.13</v>
      </c>
      <c r="B41" s="186" t="s">
        <v>157</v>
      </c>
      <c r="C41" s="173" t="s">
        <v>72</v>
      </c>
      <c r="D41" s="295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1398/11/08</v>
      </c>
      <c r="E41" s="1">
        <f t="shared" si="14"/>
        <v>13981108</v>
      </c>
      <c r="F41" s="296" t="str">
        <f>IF(N41=0,J_SUBDAY(D41,1,1),IF((N41-(NETWORKDAYS.INTL(J_GregorianDate(D41,1),J_GregorianDate(J_SUBDAY(J_ADDDAY(D41,N41,1),1,1),1),16,1)))+SUMIFS(Holieday[ok],Holieday[date],CONCATENATE("&gt;","=",D41),Holieday[date],CONCATENATE("&lt;","=",J_SUBDAY(J_ADDDAY(D41,N41,1),1,1)))-SUMIFS(Holieday[Friday],Holieday[date],CONCATENATE("&gt;","=",D41),Holieday[date],CONCATENATE("&lt;","=",J_SUBDAY(J_ADDDAY(D41,N41,1),1,1)))=0,J_SUBDAY(J_ADDDAY(D41,N41,1),1,1),IF((N41+1-(NETWORKDAYS.INTL(J_GregorianDate(D41,1),J_GregorianDate(J_SUBDAY(J_ADDDAY(D41,N41+1,1),1,1),1),16,1)))+SUMIFS(Holieday[ok],Holieday[date],CONCATENATE("&gt;","=",D41),Holieday[date],CONCATENATE("&lt;","=",J_SUBDAY(J_ADDDAY(D41,N41+1,1),1,1)))-SUMIFS(Holieday[Friday],Holieday[date],CONCATENATE("&gt;","=",D41),Holieday[date],CONCATENATE("&lt;","=",J_SUBDAY(J_ADDDAY(D41,N41+1,1),1,1)))=1,J_SUBDAY(J_ADDDAY(D41,N41+1,1),1,1),IF((N41+2-(NETWORKDAYS.INTL(J_GregorianDate(D41,1),J_GregorianDate(J_SUBDAY(J_ADDDAY(D41,N41+2,1),1,1),1),16,1)))+SUMIFS(Holieday[ok],Holieday[date],CONCATENATE("&gt;","=",D41),Holieday[date],CONCATENATE("&lt;","=",J_SUBDAY(J_ADDDAY(D41,N41+2,1),1,1)))-SUMIFS(Holieday[Friday],Holieday[date],CONCATENATE("&gt;","=",D41),Holieday[date],CONCATENATE("&lt;","=",J_SUBDAY(J_ADDDAY(D41,N41+2,1),1,1)))=2,J_SUBDAY(J_ADDDAY(D41,N41+2,1),1,1),IF((N41+3-(NETWORKDAYS.INTL(J_GregorianDate(D41,1),J_GregorianDate(J_SUBDAY(J_ADDDAY(D41,N41+3,1),1,1),1),16,1)))+SUMIFS(Holieday[ok],Holieday[date],CONCATENATE("&gt;","=",D41),Holieday[date],CONCATENATE("&lt;","=",J_SUBDAY(J_ADDDAY(D41,N41+3,1),1,1)))-SUMIFS(Holieday[Friday],Holieday[date],CONCATENATE("&gt;","=",D41),Holieday[date],CONCATENATE("&lt;","=",J_SUBDAY(J_ADDDAY(D41,N41+3,1),1,1)))=3,J_SUBDAY(J_ADDDAY(D41,N41+3,1),1,1),IF((N41+4-(NETWORKDAYS.INTL(J_GregorianDate(D41,1),J_GregorianDate(J_SUBDAY(J_ADDDAY(D41,N41+4,1),1,1),1),16,1)))+SUMIFS(Holieday[ok],Holieday[date],CONCATENATE("&gt;","=",D41),Holieday[date],CONCATENATE("&lt;","=",J_SUBDAY(J_ADDDAY(D41,N41+4,1),1,1)))-SUMIFS(Holieday[Friday],Holieday[date],CONCATENATE("&gt;","=",D41),Holieday[date],CONCATENATE("&lt;","=",J_SUBDAY(J_ADDDAY(D41,N41+4,1),1,1)))=4,J_SUBDAY(J_ADDDAY(D41,N41+4,1),1,1),IF((N41+5-(NETWORKDAYS.INTL(J_GregorianDate(D41,1),J_GregorianDate(J_SUBDAY(J_ADDDAY(D41,N41+5,1),1,1),1),16,1)))+SUMIFS(Holieday[ok],Holieday[date],CONCATENATE("&gt;","=",D41),Holieday[date],CONCATENATE("&lt;","=",J_SUBDAY(J_ADDDAY(D41,N41+5,1),1,1)))-SUMIFS(Holieday[Friday],Holieday[date],CONCATENATE("&gt;","=",D41),Holieday[date],CONCATENATE("&lt;","=",J_SUBDAY(J_ADDDAY(D41,N41+5,1),1,1)))=5,J_SUBDAY(J_ADDDAY(D41,N41+5,1),1,1),J_SUBDAY(J_ADDDAY(D41,N41+6,1),1,1))))))))</f>
        <v>1398/11/10</v>
      </c>
      <c r="G41" s="2">
        <f t="shared" si="15"/>
        <v>13981110</v>
      </c>
      <c r="H41" s="175">
        <v>1</v>
      </c>
      <c r="I41" s="176">
        <v>3.12</v>
      </c>
      <c r="J41" s="174">
        <f>j_WEEKDAY(D41,2)</f>
        <v>3</v>
      </c>
      <c r="K41" s="13"/>
      <c r="L41" s="177">
        <f t="shared" si="18"/>
        <v>3</v>
      </c>
      <c r="M41" s="178">
        <v>0</v>
      </c>
      <c r="N41" s="179">
        <v>2</v>
      </c>
      <c r="O41" s="6"/>
      <c r="P41" s="6"/>
      <c r="Q41" s="5"/>
      <c r="IY41" s="193"/>
      <c r="IZ41" s="193"/>
      <c r="JA41" s="194"/>
      <c r="JB41" s="194"/>
      <c r="JC41" s="194"/>
      <c r="JD41" s="195"/>
    </row>
    <row r="42" spans="1:264" s="200" customFormat="1" ht="13.5">
      <c r="A42" s="305">
        <v>3.14</v>
      </c>
      <c r="B42" s="186" t="s">
        <v>158</v>
      </c>
      <c r="C42" s="173" t="s">
        <v>72</v>
      </c>
      <c r="D42" s="295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1398/11/12</v>
      </c>
      <c r="E42" s="1">
        <f t="shared" ref="E42:E49" si="19">VALUE(J_normdate(D42))</f>
        <v>13981112</v>
      </c>
      <c r="F42" s="296" t="str">
        <f>IF(N42=0,J_SUBDAY(D42,1,1),IF((N42-(NETWORKDAYS.INTL(J_GregorianDate(D42,1),J_GregorianDate(J_SUBDAY(J_ADDDAY(D42,N42,1),1,1),1),16,1)))+SUMIFS(Holieday[ok],Holieday[date],CONCATENATE("&gt;","=",D42),Holieday[date],CONCATENATE("&lt;","=",J_SUBDAY(J_ADDDAY(D42,N42,1),1,1)))-SUMIFS(Holieday[Friday],Holieday[date],CONCATENATE("&gt;","=",D42),Holieday[date],CONCATENATE("&lt;","=",J_SUBDAY(J_ADDDAY(D42,N42,1),1,1)))=0,J_SUBDAY(J_ADDDAY(D42,N42,1),1,1),IF((N42+1-(NETWORKDAYS.INTL(J_GregorianDate(D42,1),J_GregorianDate(J_SUBDAY(J_ADDDAY(D42,N42+1,1),1,1),1),16,1)))+SUMIFS(Holieday[ok],Holieday[date],CONCATENATE("&gt;","=",D42),Holieday[date],CONCATENATE("&lt;","=",J_SUBDAY(J_ADDDAY(D42,N42+1,1),1,1)))-SUMIFS(Holieday[Friday],Holieday[date],CONCATENATE("&gt;","=",D42),Holieday[date],CONCATENATE("&lt;","=",J_SUBDAY(J_ADDDAY(D42,N42+1,1),1,1)))=1,J_SUBDAY(J_ADDDAY(D42,N42+1,1),1,1),IF((N42+2-(NETWORKDAYS.INTL(J_GregorianDate(D42,1),J_GregorianDate(J_SUBDAY(J_ADDDAY(D42,N42+2,1),1,1),1),16,1)))+SUMIFS(Holieday[ok],Holieday[date],CONCATENATE("&gt;","=",D42),Holieday[date],CONCATENATE("&lt;","=",J_SUBDAY(J_ADDDAY(D42,N42+2,1),1,1)))-SUMIFS(Holieday[Friday],Holieday[date],CONCATENATE("&gt;","=",D42),Holieday[date],CONCATENATE("&lt;","=",J_SUBDAY(J_ADDDAY(D42,N42+2,1),1,1)))=2,J_SUBDAY(J_ADDDAY(D42,N42+2,1),1,1),IF((N42+3-(NETWORKDAYS.INTL(J_GregorianDate(D42,1),J_GregorianDate(J_SUBDAY(J_ADDDAY(D42,N42+3,1),1,1),1),16,1)))+SUMIFS(Holieday[ok],Holieday[date],CONCATENATE("&gt;","=",D42),Holieday[date],CONCATENATE("&lt;","=",J_SUBDAY(J_ADDDAY(D42,N42+3,1),1,1)))-SUMIFS(Holieday[Friday],Holieday[date],CONCATENATE("&gt;","=",D42),Holieday[date],CONCATENATE("&lt;","=",J_SUBDAY(J_ADDDAY(D42,N42+3,1),1,1)))=3,J_SUBDAY(J_ADDDAY(D42,N42+3,1),1,1),IF((N42+4-(NETWORKDAYS.INTL(J_GregorianDate(D42,1),J_GregorianDate(J_SUBDAY(J_ADDDAY(D42,N42+4,1),1,1),1),16,1)))+SUMIFS(Holieday[ok],Holieday[date],CONCATENATE("&gt;","=",D42),Holieday[date],CONCATENATE("&lt;","=",J_SUBDAY(J_ADDDAY(D42,N42+4,1),1,1)))-SUMIFS(Holieday[Friday],Holieday[date],CONCATENATE("&gt;","=",D42),Holieday[date],CONCATENATE("&lt;","=",J_SUBDAY(J_ADDDAY(D42,N42+4,1),1,1)))=4,J_SUBDAY(J_ADDDAY(D42,N42+4,1),1,1),IF((N42+5-(NETWORKDAYS.INTL(J_GregorianDate(D42,1),J_GregorianDate(J_SUBDAY(J_ADDDAY(D42,N42+5,1),1,1),1),16,1)))+SUMIFS(Holieday[ok],Holieday[date],CONCATENATE("&gt;","=",D42),Holieday[date],CONCATENATE("&lt;","=",J_SUBDAY(J_ADDDAY(D42,N42+5,1),1,1)))-SUMIFS(Holieday[Friday],Holieday[date],CONCATENATE("&gt;","=",D42),Holieday[date],CONCATENATE("&lt;","=",J_SUBDAY(J_ADDDAY(D42,N42+5,1),1,1)))=5,J_SUBDAY(J_ADDDAY(D42,N42+5,1),1,1),J_SUBDAY(J_ADDDAY(D42,N42+6,1),1,1))))))))</f>
        <v>1398/11/13</v>
      </c>
      <c r="G42" s="2">
        <f t="shared" ref="G42:G49" si="20">VALUE(J_normdate(F42))</f>
        <v>13981113</v>
      </c>
      <c r="H42" s="175">
        <v>1</v>
      </c>
      <c r="I42" s="176">
        <v>3.13</v>
      </c>
      <c r="J42" s="174">
        <f>j_WEEKDAY(D42,2)</f>
        <v>0</v>
      </c>
      <c r="K42" s="13">
        <f t="shared" si="17"/>
        <v>0</v>
      </c>
      <c r="L42" s="177">
        <f t="shared" si="18"/>
        <v>2</v>
      </c>
      <c r="M42" s="178">
        <v>0</v>
      </c>
      <c r="N42" s="179">
        <v>2</v>
      </c>
      <c r="O42" s="6">
        <f t="shared" ref="O42" si="21">ROUNDDOWN(M42*L42,0)</f>
        <v>0</v>
      </c>
      <c r="P42" s="6">
        <f>VALUE(J_normdate(J_ADDDAY($D42,$O42,1)))</f>
        <v>13981112</v>
      </c>
      <c r="Q42" s="5">
        <f t="shared" si="13"/>
        <v>2</v>
      </c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192"/>
      <c r="CO42" s="192"/>
      <c r="CP42" s="192"/>
      <c r="CQ42" s="192"/>
      <c r="CR42" s="192"/>
      <c r="CS42" s="192"/>
      <c r="CT42" s="192"/>
      <c r="CU42" s="192"/>
      <c r="CV42" s="192"/>
      <c r="CW42" s="192"/>
      <c r="CX42" s="192"/>
      <c r="CY42" s="192"/>
      <c r="CZ42" s="192"/>
      <c r="DA42" s="192"/>
      <c r="DB42" s="192"/>
      <c r="DC42" s="192"/>
      <c r="DD42" s="192"/>
      <c r="DE42" s="192"/>
      <c r="DF42" s="192"/>
      <c r="DG42" s="192"/>
      <c r="DH42" s="192"/>
      <c r="DI42" s="192"/>
      <c r="DJ42" s="192"/>
      <c r="DK42" s="192"/>
      <c r="DL42" s="192"/>
      <c r="DM42" s="192"/>
      <c r="DN42" s="192"/>
      <c r="DO42" s="192"/>
      <c r="DP42" s="192"/>
      <c r="DQ42" s="192"/>
      <c r="DR42" s="192"/>
      <c r="DS42" s="192"/>
      <c r="DT42" s="192"/>
      <c r="DU42" s="192"/>
      <c r="DV42" s="192"/>
      <c r="DW42" s="192"/>
      <c r="DX42" s="192"/>
      <c r="DY42" s="192"/>
      <c r="DZ42" s="192"/>
      <c r="EA42" s="192"/>
      <c r="EB42" s="192"/>
      <c r="EC42" s="192"/>
      <c r="ED42" s="192"/>
      <c r="EE42" s="192"/>
      <c r="EF42" s="192"/>
      <c r="EG42" s="192"/>
      <c r="EH42" s="192"/>
      <c r="EI42" s="192"/>
      <c r="EJ42" s="192"/>
      <c r="EK42" s="192"/>
      <c r="EL42" s="192"/>
      <c r="EM42" s="192"/>
      <c r="EN42" s="192"/>
      <c r="EO42" s="192"/>
      <c r="EP42" s="192"/>
      <c r="EQ42" s="192"/>
      <c r="ER42" s="192"/>
      <c r="ES42" s="192"/>
      <c r="ET42" s="192"/>
      <c r="EU42" s="192"/>
      <c r="EV42" s="192"/>
      <c r="EW42" s="192"/>
      <c r="EX42" s="192"/>
      <c r="EY42" s="192"/>
      <c r="EZ42" s="192"/>
      <c r="FA42" s="192"/>
      <c r="FB42" s="192"/>
      <c r="FC42" s="192"/>
      <c r="FD42" s="192"/>
      <c r="FE42" s="192"/>
      <c r="FF42" s="192"/>
      <c r="FG42" s="192"/>
      <c r="FH42" s="192"/>
      <c r="FI42" s="192"/>
      <c r="FJ42" s="192"/>
      <c r="FK42" s="192"/>
      <c r="FL42" s="192"/>
      <c r="FM42" s="192"/>
      <c r="FN42" s="192"/>
      <c r="FO42" s="192"/>
      <c r="FP42" s="192"/>
      <c r="FQ42" s="192"/>
      <c r="FR42" s="192"/>
      <c r="FS42" s="192"/>
      <c r="FT42" s="192"/>
      <c r="FU42" s="192"/>
      <c r="FV42" s="192"/>
      <c r="FW42" s="192"/>
      <c r="FX42" s="192"/>
      <c r="FY42" s="192"/>
      <c r="FZ42" s="192"/>
      <c r="GA42" s="192"/>
      <c r="GB42" s="192"/>
      <c r="GC42" s="192"/>
      <c r="GD42" s="192"/>
      <c r="GE42" s="192"/>
      <c r="GF42" s="192"/>
      <c r="GG42" s="192"/>
      <c r="GH42" s="192"/>
      <c r="GI42" s="192"/>
      <c r="GJ42" s="192"/>
      <c r="GK42" s="192"/>
      <c r="GL42" s="192"/>
      <c r="GM42" s="192"/>
      <c r="GN42" s="192"/>
      <c r="GO42" s="192"/>
      <c r="GP42" s="192"/>
      <c r="GQ42" s="192"/>
      <c r="GR42" s="192"/>
      <c r="GS42" s="192"/>
      <c r="GT42" s="192"/>
      <c r="GU42" s="192"/>
      <c r="GV42" s="192"/>
      <c r="GW42" s="192"/>
      <c r="GX42" s="192"/>
      <c r="GY42" s="192"/>
      <c r="GZ42" s="192"/>
      <c r="HA42" s="192"/>
      <c r="HB42" s="192"/>
      <c r="HC42" s="192"/>
      <c r="HD42" s="192"/>
      <c r="HE42" s="192"/>
      <c r="HF42" s="192"/>
      <c r="HG42" s="192"/>
      <c r="HH42" s="192"/>
      <c r="HI42" s="192"/>
      <c r="HJ42" s="192"/>
      <c r="HK42" s="192"/>
      <c r="HL42" s="192"/>
      <c r="HM42" s="192"/>
      <c r="HN42" s="192"/>
      <c r="HO42" s="192"/>
      <c r="HP42" s="192"/>
      <c r="HQ42" s="192"/>
      <c r="HR42" s="192"/>
      <c r="HS42" s="192"/>
      <c r="HT42" s="192"/>
      <c r="HU42" s="192"/>
      <c r="HV42" s="192"/>
      <c r="HW42" s="192"/>
      <c r="HX42" s="192"/>
      <c r="HY42" s="192"/>
      <c r="HZ42" s="192"/>
      <c r="IA42" s="192"/>
      <c r="IB42" s="192"/>
      <c r="IC42" s="192"/>
      <c r="ID42" s="192"/>
      <c r="IE42" s="192"/>
      <c r="IF42" s="192"/>
      <c r="IG42" s="192"/>
      <c r="IH42" s="192"/>
      <c r="II42" s="192"/>
      <c r="IJ42" s="192"/>
      <c r="IK42" s="192"/>
      <c r="IL42" s="192"/>
      <c r="IM42" s="192"/>
      <c r="IN42" s="192"/>
      <c r="IO42" s="192"/>
      <c r="IP42" s="192"/>
      <c r="IQ42" s="192"/>
      <c r="IR42" s="192"/>
      <c r="IS42" s="192"/>
      <c r="IT42" s="192"/>
      <c r="IU42" s="192"/>
      <c r="IV42" s="192"/>
      <c r="IW42" s="192"/>
      <c r="IX42" s="192"/>
      <c r="JA42" s="198"/>
      <c r="JB42" s="198"/>
      <c r="JC42" s="198"/>
      <c r="JD42" s="199">
        <f>SUM((TEXT(JA42,"[M]")/60)*'Income Person-hours'!$D$3,(TEXT(JB42,"[M]")/60)*'Income Person-hours'!$D$4,(TEXT(JC42,"[M]")/60)*'Income Person-hours'!$D$5)</f>
        <v>0</v>
      </c>
    </row>
    <row r="43" spans="1:264" s="200" customFormat="1" ht="13.5">
      <c r="A43" s="305">
        <v>3.15</v>
      </c>
      <c r="B43" s="186" t="s">
        <v>159</v>
      </c>
      <c r="C43" s="173" t="s">
        <v>72</v>
      </c>
      <c r="D43" s="295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1398/11/14</v>
      </c>
      <c r="E43" s="1">
        <f t="shared" si="19"/>
        <v>13981114</v>
      </c>
      <c r="F43" s="296" t="str">
        <f>IF(N43=0,J_SUBDAY(D43,1,1),IF((N43-(NETWORKDAYS.INTL(J_GregorianDate(D43,1),J_GregorianDate(J_SUBDAY(J_ADDDAY(D43,N43,1),1,1),1),16,1)))+SUMIFS(Holieday[ok],Holieday[date],CONCATENATE("&gt;","=",D43),Holieday[date],CONCATENATE("&lt;","=",J_SUBDAY(J_ADDDAY(D43,N43,1),1,1)))-SUMIFS(Holieday[Friday],Holieday[date],CONCATENATE("&gt;","=",D43),Holieday[date],CONCATENATE("&lt;","=",J_SUBDAY(J_ADDDAY(D43,N43,1),1,1)))=0,J_SUBDAY(J_ADDDAY(D43,N43,1),1,1),IF((N43+1-(NETWORKDAYS.INTL(J_GregorianDate(D43,1),J_GregorianDate(J_SUBDAY(J_ADDDAY(D43,N43+1,1),1,1),1),16,1)))+SUMIFS(Holieday[ok],Holieday[date],CONCATENATE("&gt;","=",D43),Holieday[date],CONCATENATE("&lt;","=",J_SUBDAY(J_ADDDAY(D43,N43+1,1),1,1)))-SUMIFS(Holieday[Friday],Holieday[date],CONCATENATE("&gt;","=",D43),Holieday[date],CONCATENATE("&lt;","=",J_SUBDAY(J_ADDDAY(D43,N43+1,1),1,1)))=1,J_SUBDAY(J_ADDDAY(D43,N43+1,1),1,1),IF((N43+2-(NETWORKDAYS.INTL(J_GregorianDate(D43,1),J_GregorianDate(J_SUBDAY(J_ADDDAY(D43,N43+2,1),1,1),1),16,1)))+SUMIFS(Holieday[ok],Holieday[date],CONCATENATE("&gt;","=",D43),Holieday[date],CONCATENATE("&lt;","=",J_SUBDAY(J_ADDDAY(D43,N43+2,1),1,1)))-SUMIFS(Holieday[Friday],Holieday[date],CONCATENATE("&gt;","=",D43),Holieday[date],CONCATENATE("&lt;","=",J_SUBDAY(J_ADDDAY(D43,N43+2,1),1,1)))=2,J_SUBDAY(J_ADDDAY(D43,N43+2,1),1,1),IF((N43+3-(NETWORKDAYS.INTL(J_GregorianDate(D43,1),J_GregorianDate(J_SUBDAY(J_ADDDAY(D43,N43+3,1),1,1),1),16,1)))+SUMIFS(Holieday[ok],Holieday[date],CONCATENATE("&gt;","=",D43),Holieday[date],CONCATENATE("&lt;","=",J_SUBDAY(J_ADDDAY(D43,N43+3,1),1,1)))-SUMIFS(Holieday[Friday],Holieday[date],CONCATENATE("&gt;","=",D43),Holieday[date],CONCATENATE("&lt;","=",J_SUBDAY(J_ADDDAY(D43,N43+3,1),1,1)))=3,J_SUBDAY(J_ADDDAY(D43,N43+3,1),1,1),IF((N43+4-(NETWORKDAYS.INTL(J_GregorianDate(D43,1),J_GregorianDate(J_SUBDAY(J_ADDDAY(D43,N43+4,1),1,1),1),16,1)))+SUMIFS(Holieday[ok],Holieday[date],CONCATENATE("&gt;","=",D43),Holieday[date],CONCATENATE("&lt;","=",J_SUBDAY(J_ADDDAY(D43,N43+4,1),1,1)))-SUMIFS(Holieday[Friday],Holieday[date],CONCATENATE("&gt;","=",D43),Holieday[date],CONCATENATE("&lt;","=",J_SUBDAY(J_ADDDAY(D43,N43+4,1),1,1)))=4,J_SUBDAY(J_ADDDAY(D43,N43+4,1),1,1),IF((N43+5-(NETWORKDAYS.INTL(J_GregorianDate(D43,1),J_GregorianDate(J_SUBDAY(J_ADDDAY(D43,N43+5,1),1,1),1),16,1)))+SUMIFS(Holieday[ok],Holieday[date],CONCATENATE("&gt;","=",D43),Holieday[date],CONCATENATE("&lt;","=",J_SUBDAY(J_ADDDAY(D43,N43+5,1),1,1)))-SUMIFS(Holieday[Friday],Holieday[date],CONCATENATE("&gt;","=",D43),Holieday[date],CONCATENATE("&lt;","=",J_SUBDAY(J_ADDDAY(D43,N43+5,1),1,1)))=5,J_SUBDAY(J_ADDDAY(D43,N43+5,1),1,1),J_SUBDAY(J_ADDDAY(D43,N43+6,1),1,1))))))))</f>
        <v>1398/11/15</v>
      </c>
      <c r="G43" s="2">
        <f t="shared" si="20"/>
        <v>13981115</v>
      </c>
      <c r="H43" s="175">
        <v>1</v>
      </c>
      <c r="I43" s="176">
        <v>3.14</v>
      </c>
      <c r="J43" s="174">
        <f>j_WEEKDAY(D43,2)</f>
        <v>2</v>
      </c>
      <c r="K43" s="13"/>
      <c r="L43" s="177">
        <f t="shared" si="18"/>
        <v>2</v>
      </c>
      <c r="M43" s="178">
        <v>0</v>
      </c>
      <c r="N43" s="179">
        <v>2</v>
      </c>
      <c r="O43" s="6"/>
      <c r="P43" s="6"/>
      <c r="Q43" s="5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192"/>
      <c r="CO43" s="192"/>
      <c r="CP43" s="192"/>
      <c r="CQ43" s="192"/>
      <c r="CR43" s="192"/>
      <c r="CS43" s="192"/>
      <c r="CT43" s="192"/>
      <c r="CU43" s="192"/>
      <c r="CV43" s="192"/>
      <c r="CW43" s="192"/>
      <c r="CX43" s="192"/>
      <c r="CY43" s="192"/>
      <c r="CZ43" s="192"/>
      <c r="DA43" s="192"/>
      <c r="DB43" s="192"/>
      <c r="DC43" s="192"/>
      <c r="DD43" s="192"/>
      <c r="DE43" s="192"/>
      <c r="DF43" s="192"/>
      <c r="DG43" s="192"/>
      <c r="DH43" s="192"/>
      <c r="DI43" s="192"/>
      <c r="DJ43" s="192"/>
      <c r="DK43" s="192"/>
      <c r="DL43" s="192"/>
      <c r="DM43" s="192"/>
      <c r="DN43" s="192"/>
      <c r="DO43" s="192"/>
      <c r="DP43" s="192"/>
      <c r="DQ43" s="192"/>
      <c r="DR43" s="192"/>
      <c r="DS43" s="192"/>
      <c r="DT43" s="192"/>
      <c r="DU43" s="192"/>
      <c r="DV43" s="192"/>
      <c r="DW43" s="192"/>
      <c r="DX43" s="192"/>
      <c r="DY43" s="192"/>
      <c r="DZ43" s="192"/>
      <c r="EA43" s="192"/>
      <c r="EB43" s="192"/>
      <c r="EC43" s="192"/>
      <c r="ED43" s="192"/>
      <c r="EE43" s="192"/>
      <c r="EF43" s="192"/>
      <c r="EG43" s="192"/>
      <c r="EH43" s="192"/>
      <c r="EI43" s="192"/>
      <c r="EJ43" s="192"/>
      <c r="EK43" s="192"/>
      <c r="EL43" s="192"/>
      <c r="EM43" s="192"/>
      <c r="EN43" s="192"/>
      <c r="EO43" s="192"/>
      <c r="EP43" s="192"/>
      <c r="EQ43" s="192"/>
      <c r="ER43" s="192"/>
      <c r="ES43" s="192"/>
      <c r="ET43" s="192"/>
      <c r="EU43" s="192"/>
      <c r="EV43" s="192"/>
      <c r="EW43" s="192"/>
      <c r="EX43" s="192"/>
      <c r="EY43" s="192"/>
      <c r="EZ43" s="192"/>
      <c r="FA43" s="192"/>
      <c r="FB43" s="192"/>
      <c r="FC43" s="192"/>
      <c r="FD43" s="192"/>
      <c r="FE43" s="192"/>
      <c r="FF43" s="192"/>
      <c r="FG43" s="192"/>
      <c r="FH43" s="192"/>
      <c r="FI43" s="192"/>
      <c r="FJ43" s="192"/>
      <c r="FK43" s="192"/>
      <c r="FL43" s="192"/>
      <c r="FM43" s="192"/>
      <c r="FN43" s="192"/>
      <c r="FO43" s="192"/>
      <c r="FP43" s="192"/>
      <c r="FQ43" s="192"/>
      <c r="FR43" s="192"/>
      <c r="FS43" s="192"/>
      <c r="FT43" s="192"/>
      <c r="FU43" s="192"/>
      <c r="FV43" s="192"/>
      <c r="FW43" s="192"/>
      <c r="FX43" s="192"/>
      <c r="FY43" s="192"/>
      <c r="FZ43" s="192"/>
      <c r="GA43" s="192"/>
      <c r="GB43" s="192"/>
      <c r="GC43" s="192"/>
      <c r="GD43" s="192"/>
      <c r="GE43" s="192"/>
      <c r="GF43" s="192"/>
      <c r="GG43" s="192"/>
      <c r="GH43" s="192"/>
      <c r="GI43" s="192"/>
      <c r="GJ43" s="192"/>
      <c r="GK43" s="192"/>
      <c r="GL43" s="192"/>
      <c r="GM43" s="192"/>
      <c r="GN43" s="192"/>
      <c r="GO43" s="192"/>
      <c r="GP43" s="192"/>
      <c r="GQ43" s="192"/>
      <c r="GR43" s="192"/>
      <c r="GS43" s="192"/>
      <c r="GT43" s="192"/>
      <c r="GU43" s="192"/>
      <c r="GV43" s="192"/>
      <c r="GW43" s="192"/>
      <c r="GX43" s="192"/>
      <c r="GY43" s="192"/>
      <c r="GZ43" s="192"/>
      <c r="HA43" s="192"/>
      <c r="HB43" s="192"/>
      <c r="HC43" s="192"/>
      <c r="HD43" s="192"/>
      <c r="HE43" s="192"/>
      <c r="HF43" s="192"/>
      <c r="HG43" s="192"/>
      <c r="HH43" s="192"/>
      <c r="HI43" s="192"/>
      <c r="HJ43" s="192"/>
      <c r="HK43" s="192"/>
      <c r="HL43" s="192"/>
      <c r="HM43" s="192"/>
      <c r="HN43" s="192"/>
      <c r="HO43" s="192"/>
      <c r="HP43" s="192"/>
      <c r="HQ43" s="192"/>
      <c r="HR43" s="192"/>
      <c r="HS43" s="192"/>
      <c r="HT43" s="192"/>
      <c r="HU43" s="192"/>
      <c r="HV43" s="192"/>
      <c r="HW43" s="192"/>
      <c r="HX43" s="192"/>
      <c r="HY43" s="192"/>
      <c r="HZ43" s="192"/>
      <c r="IA43" s="192"/>
      <c r="IB43" s="192"/>
      <c r="IC43" s="192"/>
      <c r="ID43" s="192"/>
      <c r="IE43" s="192"/>
      <c r="IF43" s="192"/>
      <c r="IG43" s="192"/>
      <c r="IH43" s="192"/>
      <c r="II43" s="192"/>
      <c r="IJ43" s="192"/>
      <c r="IK43" s="192"/>
      <c r="IL43" s="192"/>
      <c r="IM43" s="192"/>
      <c r="IN43" s="192"/>
      <c r="IO43" s="192"/>
      <c r="IP43" s="192"/>
      <c r="IQ43" s="192"/>
      <c r="IR43" s="192"/>
      <c r="IS43" s="192"/>
      <c r="IT43" s="192"/>
      <c r="IU43" s="192"/>
      <c r="IV43" s="192"/>
      <c r="IW43" s="192"/>
      <c r="IX43" s="192"/>
      <c r="JA43" s="198"/>
      <c r="JB43" s="198"/>
      <c r="JC43" s="198"/>
      <c r="JD43" s="199"/>
    </row>
    <row r="44" spans="1:264" s="200" customFormat="1" ht="13.5">
      <c r="A44" s="305">
        <v>3.16</v>
      </c>
      <c r="B44" s="186" t="s">
        <v>160</v>
      </c>
      <c r="C44" s="173" t="s">
        <v>72</v>
      </c>
      <c r="D44" s="295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1398/11/16</v>
      </c>
      <c r="E44" s="1">
        <f t="shared" si="19"/>
        <v>13981116</v>
      </c>
      <c r="F44" s="296" t="str">
        <f>IF(N44=0,J_SUBDAY(D44,1,1),IF((N44-(NETWORKDAYS.INTL(J_GregorianDate(D44,1),J_GregorianDate(J_SUBDAY(J_ADDDAY(D44,N44,1),1,1),1),16,1)))+SUMIFS(Holieday[ok],Holieday[date],CONCATENATE("&gt;","=",D44),Holieday[date],CONCATENATE("&lt;","=",J_SUBDAY(J_ADDDAY(D44,N44,1),1,1)))-SUMIFS(Holieday[Friday],Holieday[date],CONCATENATE("&gt;","=",D44),Holieday[date],CONCATENATE("&lt;","=",J_SUBDAY(J_ADDDAY(D44,N44,1),1,1)))=0,J_SUBDAY(J_ADDDAY(D44,N44,1),1,1),IF((N44+1-(NETWORKDAYS.INTL(J_GregorianDate(D44,1),J_GregorianDate(J_SUBDAY(J_ADDDAY(D44,N44+1,1),1,1),1),16,1)))+SUMIFS(Holieday[ok],Holieday[date],CONCATENATE("&gt;","=",D44),Holieday[date],CONCATENATE("&lt;","=",J_SUBDAY(J_ADDDAY(D44,N44+1,1),1,1)))-SUMIFS(Holieday[Friday],Holieday[date],CONCATENATE("&gt;","=",D44),Holieday[date],CONCATENATE("&lt;","=",J_SUBDAY(J_ADDDAY(D44,N44+1,1),1,1)))=1,J_SUBDAY(J_ADDDAY(D44,N44+1,1),1,1),IF((N44+2-(NETWORKDAYS.INTL(J_GregorianDate(D44,1),J_GregorianDate(J_SUBDAY(J_ADDDAY(D44,N44+2,1),1,1),1),16,1)))+SUMIFS(Holieday[ok],Holieday[date],CONCATENATE("&gt;","=",D44),Holieday[date],CONCATENATE("&lt;","=",J_SUBDAY(J_ADDDAY(D44,N44+2,1),1,1)))-SUMIFS(Holieday[Friday],Holieday[date],CONCATENATE("&gt;","=",D44),Holieday[date],CONCATENATE("&lt;","=",J_SUBDAY(J_ADDDAY(D44,N44+2,1),1,1)))=2,J_SUBDAY(J_ADDDAY(D44,N44+2,1),1,1),IF((N44+3-(NETWORKDAYS.INTL(J_GregorianDate(D44,1),J_GregorianDate(J_SUBDAY(J_ADDDAY(D44,N44+3,1),1,1),1),16,1)))+SUMIFS(Holieday[ok],Holieday[date],CONCATENATE("&gt;","=",D44),Holieday[date],CONCATENATE("&lt;","=",J_SUBDAY(J_ADDDAY(D44,N44+3,1),1,1)))-SUMIFS(Holieday[Friday],Holieday[date],CONCATENATE("&gt;","=",D44),Holieday[date],CONCATENATE("&lt;","=",J_SUBDAY(J_ADDDAY(D44,N44+3,1),1,1)))=3,J_SUBDAY(J_ADDDAY(D44,N44+3,1),1,1),IF((N44+4-(NETWORKDAYS.INTL(J_GregorianDate(D44,1),J_GregorianDate(J_SUBDAY(J_ADDDAY(D44,N44+4,1),1,1),1),16,1)))+SUMIFS(Holieday[ok],Holieday[date],CONCATENATE("&gt;","=",D44),Holieday[date],CONCATENATE("&lt;","=",J_SUBDAY(J_ADDDAY(D44,N44+4,1),1,1)))-SUMIFS(Holieday[Friday],Holieday[date],CONCATENATE("&gt;","=",D44),Holieday[date],CONCATENATE("&lt;","=",J_SUBDAY(J_ADDDAY(D44,N44+4,1),1,1)))=4,J_SUBDAY(J_ADDDAY(D44,N44+4,1),1,1),IF((N44+5-(NETWORKDAYS.INTL(J_GregorianDate(D44,1),J_GregorianDate(J_SUBDAY(J_ADDDAY(D44,N44+5,1),1,1),1),16,1)))+SUMIFS(Holieday[ok],Holieday[date],CONCATENATE("&gt;","=",D44),Holieday[date],CONCATENATE("&lt;","=",J_SUBDAY(J_ADDDAY(D44,N44+5,1),1,1)))-SUMIFS(Holieday[Friday],Holieday[date],CONCATENATE("&gt;","=",D44),Holieday[date],CONCATENATE("&lt;","=",J_SUBDAY(J_ADDDAY(D44,N44+5,1),1,1)))=5,J_SUBDAY(J_ADDDAY(D44,N44+5,1),1,1),J_SUBDAY(J_ADDDAY(D44,N44+6,1),1,1))))))))</f>
        <v>1398/11/17</v>
      </c>
      <c r="G44" s="2">
        <f t="shared" si="20"/>
        <v>13981117</v>
      </c>
      <c r="H44" s="175">
        <v>1</v>
      </c>
      <c r="I44" s="176">
        <v>3.15</v>
      </c>
      <c r="J44" s="174">
        <f>j_WEEKDAY(D44,2)</f>
        <v>4</v>
      </c>
      <c r="K44" s="13"/>
      <c r="L44" s="177">
        <f t="shared" si="18"/>
        <v>2</v>
      </c>
      <c r="M44" s="178">
        <v>0</v>
      </c>
      <c r="N44" s="179">
        <v>2</v>
      </c>
      <c r="O44" s="6"/>
      <c r="P44" s="6"/>
      <c r="Q44" s="5"/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192"/>
      <c r="CO44" s="192"/>
      <c r="CP44" s="192"/>
      <c r="CQ44" s="192"/>
      <c r="CR44" s="192"/>
      <c r="CS44" s="192"/>
      <c r="CT44" s="192"/>
      <c r="CU44" s="192"/>
      <c r="CV44" s="192"/>
      <c r="CW44" s="192"/>
      <c r="CX44" s="192"/>
      <c r="CY44" s="192"/>
      <c r="CZ44" s="192"/>
      <c r="DA44" s="192"/>
      <c r="DB44" s="192"/>
      <c r="DC44" s="192"/>
      <c r="DD44" s="192"/>
      <c r="DE44" s="192"/>
      <c r="DF44" s="192"/>
      <c r="DG44" s="192"/>
      <c r="DH44" s="192"/>
      <c r="DI44" s="192"/>
      <c r="DJ44" s="192"/>
      <c r="DK44" s="192"/>
      <c r="DL44" s="192"/>
      <c r="DM44" s="192"/>
      <c r="DN44" s="192"/>
      <c r="DO44" s="192"/>
      <c r="DP44" s="192"/>
      <c r="DQ44" s="192"/>
      <c r="DR44" s="192"/>
      <c r="DS44" s="192"/>
      <c r="DT44" s="192"/>
      <c r="DU44" s="192"/>
      <c r="DV44" s="192"/>
      <c r="DW44" s="192"/>
      <c r="DX44" s="192"/>
      <c r="DY44" s="192"/>
      <c r="DZ44" s="192"/>
      <c r="EA44" s="192"/>
      <c r="EB44" s="192"/>
      <c r="EC44" s="192"/>
      <c r="ED44" s="192"/>
      <c r="EE44" s="192"/>
      <c r="EF44" s="192"/>
      <c r="EG44" s="192"/>
      <c r="EH44" s="192"/>
      <c r="EI44" s="192"/>
      <c r="EJ44" s="192"/>
      <c r="EK44" s="192"/>
      <c r="EL44" s="192"/>
      <c r="EM44" s="192"/>
      <c r="EN44" s="192"/>
      <c r="EO44" s="192"/>
      <c r="EP44" s="192"/>
      <c r="EQ44" s="192"/>
      <c r="ER44" s="192"/>
      <c r="ES44" s="192"/>
      <c r="ET44" s="192"/>
      <c r="EU44" s="192"/>
      <c r="EV44" s="192"/>
      <c r="EW44" s="192"/>
      <c r="EX44" s="192"/>
      <c r="EY44" s="192"/>
      <c r="EZ44" s="192"/>
      <c r="FA44" s="192"/>
      <c r="FB44" s="192"/>
      <c r="FC44" s="192"/>
      <c r="FD44" s="192"/>
      <c r="FE44" s="192"/>
      <c r="FF44" s="192"/>
      <c r="FG44" s="192"/>
      <c r="FH44" s="192"/>
      <c r="FI44" s="192"/>
      <c r="FJ44" s="192"/>
      <c r="FK44" s="192"/>
      <c r="FL44" s="192"/>
      <c r="FM44" s="192"/>
      <c r="FN44" s="192"/>
      <c r="FO44" s="192"/>
      <c r="FP44" s="192"/>
      <c r="FQ44" s="192"/>
      <c r="FR44" s="192"/>
      <c r="FS44" s="192"/>
      <c r="FT44" s="192"/>
      <c r="FU44" s="192"/>
      <c r="FV44" s="192"/>
      <c r="FW44" s="192"/>
      <c r="FX44" s="192"/>
      <c r="FY44" s="192"/>
      <c r="FZ44" s="192"/>
      <c r="GA44" s="192"/>
      <c r="GB44" s="192"/>
      <c r="GC44" s="192"/>
      <c r="GD44" s="192"/>
      <c r="GE44" s="192"/>
      <c r="GF44" s="192"/>
      <c r="GG44" s="192"/>
      <c r="GH44" s="192"/>
      <c r="GI44" s="192"/>
      <c r="GJ44" s="192"/>
      <c r="GK44" s="192"/>
      <c r="GL44" s="192"/>
      <c r="GM44" s="192"/>
      <c r="GN44" s="192"/>
      <c r="GO44" s="192"/>
      <c r="GP44" s="192"/>
      <c r="GQ44" s="192"/>
      <c r="GR44" s="192"/>
      <c r="GS44" s="192"/>
      <c r="GT44" s="192"/>
      <c r="GU44" s="192"/>
      <c r="GV44" s="192"/>
      <c r="GW44" s="192"/>
      <c r="GX44" s="192"/>
      <c r="GY44" s="192"/>
      <c r="GZ44" s="192"/>
      <c r="HA44" s="192"/>
      <c r="HB44" s="192"/>
      <c r="HC44" s="192"/>
      <c r="HD44" s="192"/>
      <c r="HE44" s="192"/>
      <c r="HF44" s="192"/>
      <c r="HG44" s="192"/>
      <c r="HH44" s="192"/>
      <c r="HI44" s="192"/>
      <c r="HJ44" s="192"/>
      <c r="HK44" s="192"/>
      <c r="HL44" s="192"/>
      <c r="HM44" s="192"/>
      <c r="HN44" s="192"/>
      <c r="HO44" s="192"/>
      <c r="HP44" s="192"/>
      <c r="HQ44" s="192"/>
      <c r="HR44" s="192"/>
      <c r="HS44" s="192"/>
      <c r="HT44" s="192"/>
      <c r="HU44" s="192"/>
      <c r="HV44" s="192"/>
      <c r="HW44" s="192"/>
      <c r="HX44" s="192"/>
      <c r="HY44" s="192"/>
      <c r="HZ44" s="192"/>
      <c r="IA44" s="192"/>
      <c r="IB44" s="192"/>
      <c r="IC44" s="192"/>
      <c r="ID44" s="192"/>
      <c r="IE44" s="192"/>
      <c r="IF44" s="192"/>
      <c r="IG44" s="192"/>
      <c r="IH44" s="192"/>
      <c r="II44" s="192"/>
      <c r="IJ44" s="192"/>
      <c r="IK44" s="192"/>
      <c r="IL44" s="192"/>
      <c r="IM44" s="192"/>
      <c r="IN44" s="192"/>
      <c r="IO44" s="192"/>
      <c r="IP44" s="192"/>
      <c r="IQ44" s="192"/>
      <c r="IR44" s="192"/>
      <c r="IS44" s="192"/>
      <c r="IT44" s="192"/>
      <c r="IU44" s="192"/>
      <c r="IV44" s="192"/>
      <c r="IW44" s="192"/>
      <c r="IX44" s="192"/>
      <c r="JA44" s="198"/>
      <c r="JB44" s="198"/>
      <c r="JC44" s="198"/>
      <c r="JD44" s="199"/>
    </row>
    <row r="45" spans="1:264" s="200" customFormat="1" ht="13.5">
      <c r="A45" s="305">
        <v>3.17</v>
      </c>
      <c r="B45" s="186" t="s">
        <v>161</v>
      </c>
      <c r="C45" s="173" t="s">
        <v>72</v>
      </c>
      <c r="D45" s="295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1398/11/19</v>
      </c>
      <c r="E45" s="1">
        <f t="shared" si="19"/>
        <v>13981119</v>
      </c>
      <c r="F45" s="296" t="str">
        <f>IF(N45=0,J_SUBDAY(D45,1,1),IF((N45-(NETWORKDAYS.INTL(J_GregorianDate(D45,1),J_GregorianDate(J_SUBDAY(J_ADDDAY(D45,N45,1),1,1),1),16,1)))+SUMIFS(Holieday[ok],Holieday[date],CONCATENATE("&gt;","=",D45),Holieday[date],CONCATENATE("&lt;","=",J_SUBDAY(J_ADDDAY(D45,N45,1),1,1)))-SUMIFS(Holieday[Friday],Holieday[date],CONCATENATE("&gt;","=",D45),Holieday[date],CONCATENATE("&lt;","=",J_SUBDAY(J_ADDDAY(D45,N45,1),1,1)))=0,J_SUBDAY(J_ADDDAY(D45,N45,1),1,1),IF((N45+1-(NETWORKDAYS.INTL(J_GregorianDate(D45,1),J_GregorianDate(J_SUBDAY(J_ADDDAY(D45,N45+1,1),1,1),1),16,1)))+SUMIFS(Holieday[ok],Holieday[date],CONCATENATE("&gt;","=",D45),Holieday[date],CONCATENATE("&lt;","=",J_SUBDAY(J_ADDDAY(D45,N45+1,1),1,1)))-SUMIFS(Holieday[Friday],Holieday[date],CONCATENATE("&gt;","=",D45),Holieday[date],CONCATENATE("&lt;","=",J_SUBDAY(J_ADDDAY(D45,N45+1,1),1,1)))=1,J_SUBDAY(J_ADDDAY(D45,N45+1,1),1,1),IF((N45+2-(NETWORKDAYS.INTL(J_GregorianDate(D45,1),J_GregorianDate(J_SUBDAY(J_ADDDAY(D45,N45+2,1),1,1),1),16,1)))+SUMIFS(Holieday[ok],Holieday[date],CONCATENATE("&gt;","=",D45),Holieday[date],CONCATENATE("&lt;","=",J_SUBDAY(J_ADDDAY(D45,N45+2,1),1,1)))-SUMIFS(Holieday[Friday],Holieday[date],CONCATENATE("&gt;","=",D45),Holieday[date],CONCATENATE("&lt;","=",J_SUBDAY(J_ADDDAY(D45,N45+2,1),1,1)))=2,J_SUBDAY(J_ADDDAY(D45,N45+2,1),1,1),IF((N45+3-(NETWORKDAYS.INTL(J_GregorianDate(D45,1),J_GregorianDate(J_SUBDAY(J_ADDDAY(D45,N45+3,1),1,1),1),16,1)))+SUMIFS(Holieday[ok],Holieday[date],CONCATENATE("&gt;","=",D45),Holieday[date],CONCATENATE("&lt;","=",J_SUBDAY(J_ADDDAY(D45,N45+3,1),1,1)))-SUMIFS(Holieday[Friday],Holieday[date],CONCATENATE("&gt;","=",D45),Holieday[date],CONCATENATE("&lt;","=",J_SUBDAY(J_ADDDAY(D45,N45+3,1),1,1)))=3,J_SUBDAY(J_ADDDAY(D45,N45+3,1),1,1),IF((N45+4-(NETWORKDAYS.INTL(J_GregorianDate(D45,1),J_GregorianDate(J_SUBDAY(J_ADDDAY(D45,N45+4,1),1,1),1),16,1)))+SUMIFS(Holieday[ok],Holieday[date],CONCATENATE("&gt;","=",D45),Holieday[date],CONCATENATE("&lt;","=",J_SUBDAY(J_ADDDAY(D45,N45+4,1),1,1)))-SUMIFS(Holieday[Friday],Holieday[date],CONCATENATE("&gt;","=",D45),Holieday[date],CONCATENATE("&lt;","=",J_SUBDAY(J_ADDDAY(D45,N45+4,1),1,1)))=4,J_SUBDAY(J_ADDDAY(D45,N45+4,1),1,1),IF((N45+5-(NETWORKDAYS.INTL(J_GregorianDate(D45,1),J_GregorianDate(J_SUBDAY(J_ADDDAY(D45,N45+5,1),1,1),1),16,1)))+SUMIFS(Holieday[ok],Holieday[date],CONCATENATE("&gt;","=",D45),Holieday[date],CONCATENATE("&lt;","=",J_SUBDAY(J_ADDDAY(D45,N45+5,1),1,1)))-SUMIFS(Holieday[Friday],Holieday[date],CONCATENATE("&gt;","=",D45),Holieday[date],CONCATENATE("&lt;","=",J_SUBDAY(J_ADDDAY(D45,N45+5,1),1,1)))=5,J_SUBDAY(J_ADDDAY(D45,N45+5,1),1,1),J_SUBDAY(J_ADDDAY(D45,N45+6,1),1,1))))))))</f>
        <v>1398/11/20</v>
      </c>
      <c r="G45" s="2">
        <f t="shared" si="20"/>
        <v>13981120</v>
      </c>
      <c r="H45" s="175">
        <v>1</v>
      </c>
      <c r="I45" s="176">
        <v>3.16</v>
      </c>
      <c r="J45" s="174">
        <f>j_WEEKDAY(D45,2)</f>
        <v>0</v>
      </c>
      <c r="K45" s="13"/>
      <c r="L45" s="177">
        <f t="shared" si="18"/>
        <v>2</v>
      </c>
      <c r="M45" s="178">
        <v>0</v>
      </c>
      <c r="N45" s="179">
        <v>2</v>
      </c>
      <c r="O45" s="6"/>
      <c r="P45" s="6"/>
      <c r="Q45" s="5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192"/>
      <c r="CO45" s="192"/>
      <c r="CP45" s="192"/>
      <c r="CQ45" s="192"/>
      <c r="CR45" s="192"/>
      <c r="CS45" s="192"/>
      <c r="CT45" s="192"/>
      <c r="CU45" s="192"/>
      <c r="CV45" s="192"/>
      <c r="CW45" s="192"/>
      <c r="CX45" s="192"/>
      <c r="CY45" s="192"/>
      <c r="CZ45" s="192"/>
      <c r="DA45" s="192"/>
      <c r="DB45" s="192"/>
      <c r="DC45" s="192"/>
      <c r="DD45" s="192"/>
      <c r="DE45" s="192"/>
      <c r="DF45" s="192"/>
      <c r="DG45" s="192"/>
      <c r="DH45" s="192"/>
      <c r="DI45" s="192"/>
      <c r="DJ45" s="192"/>
      <c r="DK45" s="192"/>
      <c r="DL45" s="192"/>
      <c r="DM45" s="192"/>
      <c r="DN45" s="192"/>
      <c r="DO45" s="192"/>
      <c r="DP45" s="192"/>
      <c r="DQ45" s="192"/>
      <c r="DR45" s="192"/>
      <c r="DS45" s="192"/>
      <c r="DT45" s="192"/>
      <c r="DU45" s="192"/>
      <c r="DV45" s="192"/>
      <c r="DW45" s="192"/>
      <c r="DX45" s="192"/>
      <c r="DY45" s="192"/>
      <c r="DZ45" s="192"/>
      <c r="EA45" s="192"/>
      <c r="EB45" s="192"/>
      <c r="EC45" s="192"/>
      <c r="ED45" s="192"/>
      <c r="EE45" s="192"/>
      <c r="EF45" s="192"/>
      <c r="EG45" s="192"/>
      <c r="EH45" s="192"/>
      <c r="EI45" s="192"/>
      <c r="EJ45" s="192"/>
      <c r="EK45" s="192"/>
      <c r="EL45" s="192"/>
      <c r="EM45" s="192"/>
      <c r="EN45" s="192"/>
      <c r="EO45" s="192"/>
      <c r="EP45" s="192"/>
      <c r="EQ45" s="192"/>
      <c r="ER45" s="192"/>
      <c r="ES45" s="192"/>
      <c r="ET45" s="192"/>
      <c r="EU45" s="192"/>
      <c r="EV45" s="192"/>
      <c r="EW45" s="192"/>
      <c r="EX45" s="192"/>
      <c r="EY45" s="192"/>
      <c r="EZ45" s="192"/>
      <c r="FA45" s="192"/>
      <c r="FB45" s="192"/>
      <c r="FC45" s="192"/>
      <c r="FD45" s="192"/>
      <c r="FE45" s="192"/>
      <c r="FF45" s="192"/>
      <c r="FG45" s="192"/>
      <c r="FH45" s="192"/>
      <c r="FI45" s="192"/>
      <c r="FJ45" s="192"/>
      <c r="FK45" s="192"/>
      <c r="FL45" s="192"/>
      <c r="FM45" s="192"/>
      <c r="FN45" s="192"/>
      <c r="FO45" s="192"/>
      <c r="FP45" s="192"/>
      <c r="FQ45" s="192"/>
      <c r="FR45" s="192"/>
      <c r="FS45" s="192"/>
      <c r="FT45" s="192"/>
      <c r="FU45" s="192"/>
      <c r="FV45" s="192"/>
      <c r="FW45" s="192"/>
      <c r="FX45" s="192"/>
      <c r="FY45" s="192"/>
      <c r="FZ45" s="192"/>
      <c r="GA45" s="192"/>
      <c r="GB45" s="192"/>
      <c r="GC45" s="192"/>
      <c r="GD45" s="192"/>
      <c r="GE45" s="192"/>
      <c r="GF45" s="192"/>
      <c r="GG45" s="192"/>
      <c r="GH45" s="192"/>
      <c r="GI45" s="192"/>
      <c r="GJ45" s="192"/>
      <c r="GK45" s="192"/>
      <c r="GL45" s="192"/>
      <c r="GM45" s="192"/>
      <c r="GN45" s="192"/>
      <c r="GO45" s="192"/>
      <c r="GP45" s="192"/>
      <c r="GQ45" s="192"/>
      <c r="GR45" s="192"/>
      <c r="GS45" s="192"/>
      <c r="GT45" s="192"/>
      <c r="GU45" s="192"/>
      <c r="GV45" s="192"/>
      <c r="GW45" s="192"/>
      <c r="GX45" s="192"/>
      <c r="GY45" s="192"/>
      <c r="GZ45" s="192"/>
      <c r="HA45" s="192"/>
      <c r="HB45" s="192"/>
      <c r="HC45" s="192"/>
      <c r="HD45" s="192"/>
      <c r="HE45" s="192"/>
      <c r="HF45" s="192"/>
      <c r="HG45" s="192"/>
      <c r="HH45" s="192"/>
      <c r="HI45" s="192"/>
      <c r="HJ45" s="192"/>
      <c r="HK45" s="192"/>
      <c r="HL45" s="192"/>
      <c r="HM45" s="192"/>
      <c r="HN45" s="192"/>
      <c r="HO45" s="192"/>
      <c r="HP45" s="192"/>
      <c r="HQ45" s="192"/>
      <c r="HR45" s="192"/>
      <c r="HS45" s="192"/>
      <c r="HT45" s="192"/>
      <c r="HU45" s="192"/>
      <c r="HV45" s="192"/>
      <c r="HW45" s="192"/>
      <c r="HX45" s="192"/>
      <c r="HY45" s="192"/>
      <c r="HZ45" s="192"/>
      <c r="IA45" s="192"/>
      <c r="IB45" s="192"/>
      <c r="IC45" s="192"/>
      <c r="ID45" s="192"/>
      <c r="IE45" s="192"/>
      <c r="IF45" s="192"/>
      <c r="IG45" s="192"/>
      <c r="IH45" s="192"/>
      <c r="II45" s="192"/>
      <c r="IJ45" s="192"/>
      <c r="IK45" s="192"/>
      <c r="IL45" s="192"/>
      <c r="IM45" s="192"/>
      <c r="IN45" s="192"/>
      <c r="IO45" s="192"/>
      <c r="IP45" s="192"/>
      <c r="IQ45" s="192"/>
      <c r="IR45" s="192"/>
      <c r="IS45" s="192"/>
      <c r="IT45" s="192"/>
      <c r="IU45" s="192"/>
      <c r="IV45" s="192"/>
      <c r="IW45" s="192"/>
      <c r="IX45" s="192"/>
      <c r="JA45" s="198"/>
      <c r="JB45" s="198"/>
      <c r="JC45" s="198"/>
      <c r="JD45" s="199"/>
    </row>
    <row r="46" spans="1:264" s="200" customFormat="1" ht="18" customHeight="1">
      <c r="A46" s="305">
        <v>3.18</v>
      </c>
      <c r="B46" s="186" t="s">
        <v>162</v>
      </c>
      <c r="C46" s="173" t="s">
        <v>72</v>
      </c>
      <c r="D46" s="295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1398/11/21</v>
      </c>
      <c r="E46" s="1">
        <f t="shared" si="19"/>
        <v>13981121</v>
      </c>
      <c r="F46" s="296" t="str">
        <f>IF(N46=0,J_SUBDAY(D46,1,1),IF((N46-(NETWORKDAYS.INTL(J_GregorianDate(D46,1),J_GregorianDate(J_SUBDAY(J_ADDDAY(D46,N46,1),1,1),1),16,1)))+SUMIFS(Holieday[ok],Holieday[date],CONCATENATE("&gt;","=",D46),Holieday[date],CONCATENATE("&lt;","=",J_SUBDAY(J_ADDDAY(D46,N46,1),1,1)))-SUMIFS(Holieday[Friday],Holieday[date],CONCATENATE("&gt;","=",D46),Holieday[date],CONCATENATE("&lt;","=",J_SUBDAY(J_ADDDAY(D46,N46,1),1,1)))=0,J_SUBDAY(J_ADDDAY(D46,N46,1),1,1),IF((N46+1-(NETWORKDAYS.INTL(J_GregorianDate(D46,1),J_GregorianDate(J_SUBDAY(J_ADDDAY(D46,N46+1,1),1,1),1),16,1)))+SUMIFS(Holieday[ok],Holieday[date],CONCATENATE("&gt;","=",D46),Holieday[date],CONCATENATE("&lt;","=",J_SUBDAY(J_ADDDAY(D46,N46+1,1),1,1)))-SUMIFS(Holieday[Friday],Holieday[date],CONCATENATE("&gt;","=",D46),Holieday[date],CONCATENATE("&lt;","=",J_SUBDAY(J_ADDDAY(D46,N46+1,1),1,1)))=1,J_SUBDAY(J_ADDDAY(D46,N46+1,1),1,1),IF((N46+2-(NETWORKDAYS.INTL(J_GregorianDate(D46,1),J_GregorianDate(J_SUBDAY(J_ADDDAY(D46,N46+2,1),1,1),1),16,1)))+SUMIFS(Holieday[ok],Holieday[date],CONCATENATE("&gt;","=",D46),Holieday[date],CONCATENATE("&lt;","=",J_SUBDAY(J_ADDDAY(D46,N46+2,1),1,1)))-SUMIFS(Holieday[Friday],Holieday[date],CONCATENATE("&gt;","=",D46),Holieday[date],CONCATENATE("&lt;","=",J_SUBDAY(J_ADDDAY(D46,N46+2,1),1,1)))=2,J_SUBDAY(J_ADDDAY(D46,N46+2,1),1,1),IF((N46+3-(NETWORKDAYS.INTL(J_GregorianDate(D46,1),J_GregorianDate(J_SUBDAY(J_ADDDAY(D46,N46+3,1),1,1),1),16,1)))+SUMIFS(Holieday[ok],Holieday[date],CONCATENATE("&gt;","=",D46),Holieday[date],CONCATENATE("&lt;","=",J_SUBDAY(J_ADDDAY(D46,N46+3,1),1,1)))-SUMIFS(Holieday[Friday],Holieday[date],CONCATENATE("&gt;","=",D46),Holieday[date],CONCATENATE("&lt;","=",J_SUBDAY(J_ADDDAY(D46,N46+3,1),1,1)))=3,J_SUBDAY(J_ADDDAY(D46,N46+3,1),1,1),IF((N46+4-(NETWORKDAYS.INTL(J_GregorianDate(D46,1),J_GregorianDate(J_SUBDAY(J_ADDDAY(D46,N46+4,1),1,1),1),16,1)))+SUMIFS(Holieday[ok],Holieday[date],CONCATENATE("&gt;","=",D46),Holieday[date],CONCATENATE("&lt;","=",J_SUBDAY(J_ADDDAY(D46,N46+4,1),1,1)))-SUMIFS(Holieday[Friday],Holieday[date],CONCATENATE("&gt;","=",D46),Holieday[date],CONCATENATE("&lt;","=",J_SUBDAY(J_ADDDAY(D46,N46+4,1),1,1)))=4,J_SUBDAY(J_ADDDAY(D46,N46+4,1),1,1),IF((N46+5-(NETWORKDAYS.INTL(J_GregorianDate(D46,1),J_GregorianDate(J_SUBDAY(J_ADDDAY(D46,N46+5,1),1,1),1),16,1)))+SUMIFS(Holieday[ok],Holieday[date],CONCATENATE("&gt;","=",D46),Holieday[date],CONCATENATE("&lt;","=",J_SUBDAY(J_ADDDAY(D46,N46+5,1),1,1)))-SUMIFS(Holieday[Friday],Holieday[date],CONCATENATE("&gt;","=",D46),Holieday[date],CONCATENATE("&lt;","=",J_SUBDAY(J_ADDDAY(D46,N46+5,1),1,1)))=5,J_SUBDAY(J_ADDDAY(D46,N46+5,1),1,1),J_SUBDAY(J_ADDDAY(D46,N46+6,1),1,1))))))))</f>
        <v>1398/11/23</v>
      </c>
      <c r="G46" s="2">
        <f t="shared" si="20"/>
        <v>13981123</v>
      </c>
      <c r="H46" s="175">
        <v>1</v>
      </c>
      <c r="I46" s="176">
        <v>3.17</v>
      </c>
      <c r="J46" s="174">
        <f>j_WEEKDAY(D46,2)</f>
        <v>2</v>
      </c>
      <c r="K46" s="13"/>
      <c r="L46" s="177">
        <f t="shared" si="18"/>
        <v>3</v>
      </c>
      <c r="M46" s="178">
        <v>0</v>
      </c>
      <c r="N46" s="179">
        <v>2</v>
      </c>
      <c r="O46" s="6"/>
      <c r="P46" s="6"/>
      <c r="Q46" s="5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192"/>
      <c r="CO46" s="192"/>
      <c r="CP46" s="192"/>
      <c r="CQ46" s="192"/>
      <c r="CR46" s="192"/>
      <c r="CS46" s="192"/>
      <c r="CT46" s="192"/>
      <c r="CU46" s="192"/>
      <c r="CV46" s="192"/>
      <c r="CW46" s="192"/>
      <c r="CX46" s="192"/>
      <c r="CY46" s="192"/>
      <c r="CZ46" s="192"/>
      <c r="DA46" s="192"/>
      <c r="DB46" s="192"/>
      <c r="DC46" s="192"/>
      <c r="DD46" s="192"/>
      <c r="DE46" s="192"/>
      <c r="DF46" s="192"/>
      <c r="DG46" s="192"/>
      <c r="DH46" s="192"/>
      <c r="DI46" s="192"/>
      <c r="DJ46" s="192"/>
      <c r="DK46" s="192"/>
      <c r="DL46" s="192"/>
      <c r="DM46" s="192"/>
      <c r="DN46" s="192"/>
      <c r="DO46" s="192"/>
      <c r="DP46" s="192"/>
      <c r="DQ46" s="192"/>
      <c r="DR46" s="192"/>
      <c r="DS46" s="192"/>
      <c r="DT46" s="192"/>
      <c r="DU46" s="192"/>
      <c r="DV46" s="192"/>
      <c r="DW46" s="192"/>
      <c r="DX46" s="192"/>
      <c r="DY46" s="192"/>
      <c r="DZ46" s="192"/>
      <c r="EA46" s="192"/>
      <c r="EB46" s="192"/>
      <c r="EC46" s="192"/>
      <c r="ED46" s="192"/>
      <c r="EE46" s="192"/>
      <c r="EF46" s="192"/>
      <c r="EG46" s="192"/>
      <c r="EH46" s="192"/>
      <c r="EI46" s="192"/>
      <c r="EJ46" s="192"/>
      <c r="EK46" s="192"/>
      <c r="EL46" s="192"/>
      <c r="EM46" s="192"/>
      <c r="EN46" s="192"/>
      <c r="EO46" s="192"/>
      <c r="EP46" s="192"/>
      <c r="EQ46" s="192"/>
      <c r="ER46" s="192"/>
      <c r="ES46" s="192"/>
      <c r="ET46" s="192"/>
      <c r="EU46" s="192"/>
      <c r="EV46" s="192"/>
      <c r="EW46" s="192"/>
      <c r="EX46" s="192"/>
      <c r="EY46" s="192"/>
      <c r="EZ46" s="192"/>
      <c r="FA46" s="192"/>
      <c r="FB46" s="192"/>
      <c r="FC46" s="192"/>
      <c r="FD46" s="192"/>
      <c r="FE46" s="192"/>
      <c r="FF46" s="192"/>
      <c r="FG46" s="192"/>
      <c r="FH46" s="192"/>
      <c r="FI46" s="192"/>
      <c r="FJ46" s="192"/>
      <c r="FK46" s="192"/>
      <c r="FL46" s="192"/>
      <c r="FM46" s="192"/>
      <c r="FN46" s="192"/>
      <c r="FO46" s="192"/>
      <c r="FP46" s="192"/>
      <c r="FQ46" s="192"/>
      <c r="FR46" s="192"/>
      <c r="FS46" s="192"/>
      <c r="FT46" s="192"/>
      <c r="FU46" s="192"/>
      <c r="FV46" s="192"/>
      <c r="FW46" s="192"/>
      <c r="FX46" s="192"/>
      <c r="FY46" s="192"/>
      <c r="FZ46" s="192"/>
      <c r="GA46" s="192"/>
      <c r="GB46" s="192"/>
      <c r="GC46" s="192"/>
      <c r="GD46" s="192"/>
      <c r="GE46" s="192"/>
      <c r="GF46" s="192"/>
      <c r="GG46" s="192"/>
      <c r="GH46" s="192"/>
      <c r="GI46" s="192"/>
      <c r="GJ46" s="192"/>
      <c r="GK46" s="192"/>
      <c r="GL46" s="192"/>
      <c r="GM46" s="192"/>
      <c r="GN46" s="192"/>
      <c r="GO46" s="192"/>
      <c r="GP46" s="192"/>
      <c r="GQ46" s="192"/>
      <c r="GR46" s="192"/>
      <c r="GS46" s="192"/>
      <c r="GT46" s="192"/>
      <c r="GU46" s="192"/>
      <c r="GV46" s="192"/>
      <c r="GW46" s="192"/>
      <c r="GX46" s="192"/>
      <c r="GY46" s="192"/>
      <c r="GZ46" s="192"/>
      <c r="HA46" s="192"/>
      <c r="HB46" s="192"/>
      <c r="HC46" s="192"/>
      <c r="HD46" s="192"/>
      <c r="HE46" s="192"/>
      <c r="HF46" s="192"/>
      <c r="HG46" s="192"/>
      <c r="HH46" s="192"/>
      <c r="HI46" s="192"/>
      <c r="HJ46" s="192"/>
      <c r="HK46" s="192"/>
      <c r="HL46" s="192"/>
      <c r="HM46" s="192"/>
      <c r="HN46" s="192"/>
      <c r="HO46" s="192"/>
      <c r="HP46" s="192"/>
      <c r="HQ46" s="192"/>
      <c r="HR46" s="192"/>
      <c r="HS46" s="192"/>
      <c r="HT46" s="192"/>
      <c r="HU46" s="192"/>
      <c r="HV46" s="192"/>
      <c r="HW46" s="192"/>
      <c r="HX46" s="192"/>
      <c r="HY46" s="192"/>
      <c r="HZ46" s="192"/>
      <c r="IA46" s="192"/>
      <c r="IB46" s="192"/>
      <c r="IC46" s="192"/>
      <c r="ID46" s="192"/>
      <c r="IE46" s="192"/>
      <c r="IF46" s="192"/>
      <c r="IG46" s="192"/>
      <c r="IH46" s="192"/>
      <c r="II46" s="192"/>
      <c r="IJ46" s="192"/>
      <c r="IK46" s="192"/>
      <c r="IL46" s="192"/>
      <c r="IM46" s="192"/>
      <c r="IN46" s="192"/>
      <c r="IO46" s="192"/>
      <c r="IP46" s="192"/>
      <c r="IQ46" s="192"/>
      <c r="IR46" s="192"/>
      <c r="IS46" s="192"/>
      <c r="IT46" s="192"/>
      <c r="IU46" s="192"/>
      <c r="IV46" s="192"/>
      <c r="IW46" s="192"/>
      <c r="IX46" s="192"/>
      <c r="JA46" s="198"/>
      <c r="JB46" s="198"/>
      <c r="JC46" s="198"/>
      <c r="JD46" s="199"/>
    </row>
    <row r="47" spans="1:264" s="200" customFormat="1" ht="13.5">
      <c r="A47" s="305">
        <v>3.19</v>
      </c>
      <c r="B47" s="186" t="s">
        <v>163</v>
      </c>
      <c r="C47" s="173" t="s">
        <v>72</v>
      </c>
      <c r="D47" s="295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1398/11/26</v>
      </c>
      <c r="E47" s="1">
        <f t="shared" si="19"/>
        <v>13981126</v>
      </c>
      <c r="F47" s="296" t="str">
        <f>IF(N47=0,J_SUBDAY(D47,1,1),IF((N47-(NETWORKDAYS.INTL(J_GregorianDate(D47,1),J_GregorianDate(J_SUBDAY(J_ADDDAY(D47,N47,1),1,1),1),16,1)))+SUMIFS(Holieday[ok],Holieday[date],CONCATENATE("&gt;","=",D47),Holieday[date],CONCATENATE("&lt;","=",J_SUBDAY(J_ADDDAY(D47,N47,1),1,1)))-SUMIFS(Holieday[Friday],Holieday[date],CONCATENATE("&gt;","=",D47),Holieday[date],CONCATENATE("&lt;","=",J_SUBDAY(J_ADDDAY(D47,N47,1),1,1)))=0,J_SUBDAY(J_ADDDAY(D47,N47,1),1,1),IF((N47+1-(NETWORKDAYS.INTL(J_GregorianDate(D47,1),J_GregorianDate(J_SUBDAY(J_ADDDAY(D47,N47+1,1),1,1),1),16,1)))+SUMIFS(Holieday[ok],Holieday[date],CONCATENATE("&gt;","=",D47),Holieday[date],CONCATENATE("&lt;","=",J_SUBDAY(J_ADDDAY(D47,N47+1,1),1,1)))-SUMIFS(Holieday[Friday],Holieday[date],CONCATENATE("&gt;","=",D47),Holieday[date],CONCATENATE("&lt;","=",J_SUBDAY(J_ADDDAY(D47,N47+1,1),1,1)))=1,J_SUBDAY(J_ADDDAY(D47,N47+1,1),1,1),IF((N47+2-(NETWORKDAYS.INTL(J_GregorianDate(D47,1),J_GregorianDate(J_SUBDAY(J_ADDDAY(D47,N47+2,1),1,1),1),16,1)))+SUMIFS(Holieday[ok],Holieday[date],CONCATENATE("&gt;","=",D47),Holieday[date],CONCATENATE("&lt;","=",J_SUBDAY(J_ADDDAY(D47,N47+2,1),1,1)))-SUMIFS(Holieday[Friday],Holieday[date],CONCATENATE("&gt;","=",D47),Holieday[date],CONCATENATE("&lt;","=",J_SUBDAY(J_ADDDAY(D47,N47+2,1),1,1)))=2,J_SUBDAY(J_ADDDAY(D47,N47+2,1),1,1),IF((N47+3-(NETWORKDAYS.INTL(J_GregorianDate(D47,1),J_GregorianDate(J_SUBDAY(J_ADDDAY(D47,N47+3,1),1,1),1),16,1)))+SUMIFS(Holieday[ok],Holieday[date],CONCATENATE("&gt;","=",D47),Holieday[date],CONCATENATE("&lt;","=",J_SUBDAY(J_ADDDAY(D47,N47+3,1),1,1)))-SUMIFS(Holieday[Friday],Holieday[date],CONCATENATE("&gt;","=",D47),Holieday[date],CONCATENATE("&lt;","=",J_SUBDAY(J_ADDDAY(D47,N47+3,1),1,1)))=3,J_SUBDAY(J_ADDDAY(D47,N47+3,1),1,1),IF((N47+4-(NETWORKDAYS.INTL(J_GregorianDate(D47,1),J_GregorianDate(J_SUBDAY(J_ADDDAY(D47,N47+4,1),1,1),1),16,1)))+SUMIFS(Holieday[ok],Holieday[date],CONCATENATE("&gt;","=",D47),Holieday[date],CONCATENATE("&lt;","=",J_SUBDAY(J_ADDDAY(D47,N47+4,1),1,1)))-SUMIFS(Holieday[Friday],Holieday[date],CONCATENATE("&gt;","=",D47),Holieday[date],CONCATENATE("&lt;","=",J_SUBDAY(J_ADDDAY(D47,N47+4,1),1,1)))=4,J_SUBDAY(J_ADDDAY(D47,N47+4,1),1,1),IF((N47+5-(NETWORKDAYS.INTL(J_GregorianDate(D47,1),J_GregorianDate(J_SUBDAY(J_ADDDAY(D47,N47+5,1),1,1),1),16,1)))+SUMIFS(Holieday[ok],Holieday[date],CONCATENATE("&gt;","=",D47),Holieday[date],CONCATENATE("&lt;","=",J_SUBDAY(J_ADDDAY(D47,N47+5,1),1,1)))-SUMIFS(Holieday[Friday],Holieday[date],CONCATENATE("&gt;","=",D47),Holieday[date],CONCATENATE("&lt;","=",J_SUBDAY(J_ADDDAY(D47,N47+5,1),1,1)))=5,J_SUBDAY(J_ADDDAY(D47,N47+5,1),1,1),J_SUBDAY(J_ADDDAY(D47,N47+6,1),1,1))))))))</f>
        <v>1398/11/27</v>
      </c>
      <c r="G47" s="2">
        <f t="shared" si="20"/>
        <v>13981127</v>
      </c>
      <c r="H47" s="175">
        <v>2</v>
      </c>
      <c r="I47" s="176">
        <v>3.18</v>
      </c>
      <c r="J47" s="174">
        <f>j_WEEKDAY(D47,2)</f>
        <v>0</v>
      </c>
      <c r="K47" s="13"/>
      <c r="L47" s="177">
        <f t="shared" si="18"/>
        <v>2</v>
      </c>
      <c r="M47" s="178">
        <v>0</v>
      </c>
      <c r="N47" s="179">
        <v>2</v>
      </c>
      <c r="O47" s="6"/>
      <c r="P47" s="6"/>
      <c r="Q47" s="5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192"/>
      <c r="CO47" s="192"/>
      <c r="CP47" s="192"/>
      <c r="CQ47" s="192"/>
      <c r="CR47" s="192"/>
      <c r="CS47" s="192"/>
      <c r="CT47" s="192"/>
      <c r="CU47" s="192"/>
      <c r="CV47" s="192"/>
      <c r="CW47" s="192"/>
      <c r="CX47" s="192"/>
      <c r="CY47" s="192"/>
      <c r="CZ47" s="192"/>
      <c r="DA47" s="192"/>
      <c r="DB47" s="192"/>
      <c r="DC47" s="192"/>
      <c r="DD47" s="192"/>
      <c r="DE47" s="192"/>
      <c r="DF47" s="192"/>
      <c r="DG47" s="192"/>
      <c r="DH47" s="192"/>
      <c r="DI47" s="192"/>
      <c r="DJ47" s="192"/>
      <c r="DK47" s="192"/>
      <c r="DL47" s="192"/>
      <c r="DM47" s="192"/>
      <c r="DN47" s="192"/>
      <c r="DO47" s="192"/>
      <c r="DP47" s="192"/>
      <c r="DQ47" s="192"/>
      <c r="DR47" s="192"/>
      <c r="DS47" s="192"/>
      <c r="DT47" s="192"/>
      <c r="DU47" s="192"/>
      <c r="DV47" s="192"/>
      <c r="DW47" s="192"/>
      <c r="DX47" s="192"/>
      <c r="DY47" s="192"/>
      <c r="DZ47" s="192"/>
      <c r="EA47" s="192"/>
      <c r="EB47" s="192"/>
      <c r="EC47" s="192"/>
      <c r="ED47" s="192"/>
      <c r="EE47" s="192"/>
      <c r="EF47" s="192"/>
      <c r="EG47" s="192"/>
      <c r="EH47" s="192"/>
      <c r="EI47" s="192"/>
      <c r="EJ47" s="192"/>
      <c r="EK47" s="192"/>
      <c r="EL47" s="192"/>
      <c r="EM47" s="192"/>
      <c r="EN47" s="192"/>
      <c r="EO47" s="192"/>
      <c r="EP47" s="192"/>
      <c r="EQ47" s="192"/>
      <c r="ER47" s="192"/>
      <c r="ES47" s="192"/>
      <c r="ET47" s="192"/>
      <c r="EU47" s="192"/>
      <c r="EV47" s="192"/>
      <c r="EW47" s="192"/>
      <c r="EX47" s="192"/>
      <c r="EY47" s="192"/>
      <c r="EZ47" s="192"/>
      <c r="FA47" s="192"/>
      <c r="FB47" s="192"/>
      <c r="FC47" s="192"/>
      <c r="FD47" s="192"/>
      <c r="FE47" s="192"/>
      <c r="FF47" s="192"/>
      <c r="FG47" s="192"/>
      <c r="FH47" s="192"/>
      <c r="FI47" s="192"/>
      <c r="FJ47" s="192"/>
      <c r="FK47" s="192"/>
      <c r="FL47" s="192"/>
      <c r="FM47" s="192"/>
      <c r="FN47" s="192"/>
      <c r="FO47" s="192"/>
      <c r="FP47" s="192"/>
      <c r="FQ47" s="192"/>
      <c r="FR47" s="192"/>
      <c r="FS47" s="192"/>
      <c r="FT47" s="192"/>
      <c r="FU47" s="192"/>
      <c r="FV47" s="192"/>
      <c r="FW47" s="192"/>
      <c r="FX47" s="192"/>
      <c r="FY47" s="192"/>
      <c r="FZ47" s="192"/>
      <c r="GA47" s="192"/>
      <c r="GB47" s="192"/>
      <c r="GC47" s="192"/>
      <c r="GD47" s="192"/>
      <c r="GE47" s="192"/>
      <c r="GF47" s="192"/>
      <c r="GG47" s="192"/>
      <c r="GH47" s="192"/>
      <c r="GI47" s="192"/>
      <c r="GJ47" s="192"/>
      <c r="GK47" s="192"/>
      <c r="GL47" s="192"/>
      <c r="GM47" s="192"/>
      <c r="GN47" s="192"/>
      <c r="GO47" s="192"/>
      <c r="GP47" s="192"/>
      <c r="GQ47" s="192"/>
      <c r="GR47" s="192"/>
      <c r="GS47" s="192"/>
      <c r="GT47" s="192"/>
      <c r="GU47" s="192"/>
      <c r="GV47" s="192"/>
      <c r="GW47" s="192"/>
      <c r="GX47" s="192"/>
      <c r="GY47" s="192"/>
      <c r="GZ47" s="192"/>
      <c r="HA47" s="192"/>
      <c r="HB47" s="192"/>
      <c r="HC47" s="192"/>
      <c r="HD47" s="192"/>
      <c r="HE47" s="192"/>
      <c r="HF47" s="192"/>
      <c r="HG47" s="192"/>
      <c r="HH47" s="192"/>
      <c r="HI47" s="192"/>
      <c r="HJ47" s="192"/>
      <c r="HK47" s="192"/>
      <c r="HL47" s="192"/>
      <c r="HM47" s="192"/>
      <c r="HN47" s="192"/>
      <c r="HO47" s="192"/>
      <c r="HP47" s="192"/>
      <c r="HQ47" s="192"/>
      <c r="HR47" s="192"/>
      <c r="HS47" s="192"/>
      <c r="HT47" s="192"/>
      <c r="HU47" s="192"/>
      <c r="HV47" s="192"/>
      <c r="HW47" s="192"/>
      <c r="HX47" s="192"/>
      <c r="HY47" s="192"/>
      <c r="HZ47" s="192"/>
      <c r="IA47" s="192"/>
      <c r="IB47" s="192"/>
      <c r="IC47" s="192"/>
      <c r="ID47" s="192"/>
      <c r="IE47" s="192"/>
      <c r="IF47" s="192"/>
      <c r="IG47" s="192"/>
      <c r="IH47" s="192"/>
      <c r="II47" s="192"/>
      <c r="IJ47" s="192"/>
      <c r="IK47" s="192"/>
      <c r="IL47" s="192"/>
      <c r="IM47" s="192"/>
      <c r="IN47" s="192"/>
      <c r="IO47" s="192"/>
      <c r="IP47" s="192"/>
      <c r="IQ47" s="192"/>
      <c r="IR47" s="192"/>
      <c r="IS47" s="192"/>
      <c r="IT47" s="192"/>
      <c r="IU47" s="192"/>
      <c r="IV47" s="192"/>
      <c r="IW47" s="192"/>
      <c r="IX47" s="192"/>
      <c r="JA47" s="198"/>
      <c r="JB47" s="198"/>
      <c r="JC47" s="198"/>
      <c r="JD47" s="199"/>
    </row>
    <row r="48" spans="1:264" s="200" customFormat="1" ht="13.5">
      <c r="A48" s="305">
        <v>3.21</v>
      </c>
      <c r="B48" s="186" t="s">
        <v>164</v>
      </c>
      <c r="C48" s="173" t="s">
        <v>104</v>
      </c>
      <c r="D48" s="295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1398/11/01</v>
      </c>
      <c r="E48" s="1">
        <f t="shared" si="19"/>
        <v>13981101</v>
      </c>
      <c r="F48" s="296" t="str">
        <f>IF(N48=0,J_SUBDAY(D48,1,1),IF((N48-(NETWORKDAYS.INTL(J_GregorianDate(D48,1),J_GregorianDate(J_SUBDAY(J_ADDDAY(D48,N48,1),1,1),1),16,1)))+SUMIFS(Holieday[ok],Holieday[date],CONCATENATE("&gt;","=",D48),Holieday[date],CONCATENATE("&lt;","=",J_SUBDAY(J_ADDDAY(D48,N48,1),1,1)))-SUMIFS(Holieday[Friday],Holieday[date],CONCATENATE("&gt;","=",D48),Holieday[date],CONCATENATE("&lt;","=",J_SUBDAY(J_ADDDAY(D48,N48,1),1,1)))=0,J_SUBDAY(J_ADDDAY(D48,N48,1),1,1),IF((N48+1-(NETWORKDAYS.INTL(J_GregorianDate(D48,1),J_GregorianDate(J_SUBDAY(J_ADDDAY(D48,N48+1,1),1,1),1),16,1)))+SUMIFS(Holieday[ok],Holieday[date],CONCATENATE("&gt;","=",D48),Holieday[date],CONCATENATE("&lt;","=",J_SUBDAY(J_ADDDAY(D48,N48+1,1),1,1)))-SUMIFS(Holieday[Friday],Holieday[date],CONCATENATE("&gt;","=",D48),Holieday[date],CONCATENATE("&lt;","=",J_SUBDAY(J_ADDDAY(D48,N48+1,1),1,1)))=1,J_SUBDAY(J_ADDDAY(D48,N48+1,1),1,1),IF((N48+2-(NETWORKDAYS.INTL(J_GregorianDate(D48,1),J_GregorianDate(J_SUBDAY(J_ADDDAY(D48,N48+2,1),1,1),1),16,1)))+SUMIFS(Holieday[ok],Holieday[date],CONCATENATE("&gt;","=",D48),Holieday[date],CONCATENATE("&lt;","=",J_SUBDAY(J_ADDDAY(D48,N48+2,1),1,1)))-SUMIFS(Holieday[Friday],Holieday[date],CONCATENATE("&gt;","=",D48),Holieday[date],CONCATENATE("&lt;","=",J_SUBDAY(J_ADDDAY(D48,N48+2,1),1,1)))=2,J_SUBDAY(J_ADDDAY(D48,N48+2,1),1,1),IF((N48+3-(NETWORKDAYS.INTL(J_GregorianDate(D48,1),J_GregorianDate(J_SUBDAY(J_ADDDAY(D48,N48+3,1),1,1),1),16,1)))+SUMIFS(Holieday[ok],Holieday[date],CONCATENATE("&gt;","=",D48),Holieday[date],CONCATENATE("&lt;","=",J_SUBDAY(J_ADDDAY(D48,N48+3,1),1,1)))-SUMIFS(Holieday[Friday],Holieday[date],CONCATENATE("&gt;","=",D48),Holieday[date],CONCATENATE("&lt;","=",J_SUBDAY(J_ADDDAY(D48,N48+3,1),1,1)))=3,J_SUBDAY(J_ADDDAY(D48,N48+3,1),1,1),IF((N48+4-(NETWORKDAYS.INTL(J_GregorianDate(D48,1),J_GregorianDate(J_SUBDAY(J_ADDDAY(D48,N48+4,1),1,1),1),16,1)))+SUMIFS(Holieday[ok],Holieday[date],CONCATENATE("&gt;","=",D48),Holieday[date],CONCATENATE("&lt;","=",J_SUBDAY(J_ADDDAY(D48,N48+4,1),1,1)))-SUMIFS(Holieday[Friday],Holieday[date],CONCATENATE("&gt;","=",D48),Holieday[date],CONCATENATE("&lt;","=",J_SUBDAY(J_ADDDAY(D48,N48+4,1),1,1)))=4,J_SUBDAY(J_ADDDAY(D48,N48+4,1),1,1),IF((N48+5-(NETWORKDAYS.INTL(J_GregorianDate(D48,1),J_GregorianDate(J_SUBDAY(J_ADDDAY(D48,N48+5,1),1,1),1),16,1)))+SUMIFS(Holieday[ok],Holieday[date],CONCATENATE("&gt;","=",D48),Holieday[date],CONCATENATE("&lt;","=",J_SUBDAY(J_ADDDAY(D48,N48+5,1),1,1)))-SUMIFS(Holieday[Friday],Holieday[date],CONCATENATE("&gt;","=",D48),Holieday[date],CONCATENATE("&lt;","=",J_SUBDAY(J_ADDDAY(D48,N48+5,1),1,1)))=5,J_SUBDAY(J_ADDDAY(D48,N48+5,1),1,1),J_SUBDAY(J_ADDDAY(D48,N48+6,1),1,1))))))))</f>
        <v>1398/11/06</v>
      </c>
      <c r="G48" s="2">
        <f t="shared" si="20"/>
        <v>13981106</v>
      </c>
      <c r="H48" s="175">
        <v>3</v>
      </c>
      <c r="I48" s="176">
        <v>3.7</v>
      </c>
      <c r="J48" s="174">
        <f>j_WEEKDAY(D48,2)</f>
        <v>3</v>
      </c>
      <c r="K48" s="13"/>
      <c r="L48" s="177">
        <f t="shared" si="18"/>
        <v>6</v>
      </c>
      <c r="M48" s="178">
        <v>0</v>
      </c>
      <c r="N48" s="179">
        <v>5</v>
      </c>
      <c r="O48" s="6"/>
      <c r="P48" s="6"/>
      <c r="Q48" s="5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  <c r="DA48" s="192"/>
      <c r="DB48" s="192"/>
      <c r="DC48" s="192"/>
      <c r="DD48" s="192"/>
      <c r="DE48" s="192"/>
      <c r="DF48" s="192"/>
      <c r="DG48" s="192"/>
      <c r="DH48" s="192"/>
      <c r="DI48" s="192"/>
      <c r="DJ48" s="192"/>
      <c r="DK48" s="192"/>
      <c r="DL48" s="192"/>
      <c r="DM48" s="192"/>
      <c r="DN48" s="192"/>
      <c r="DO48" s="192"/>
      <c r="DP48" s="192"/>
      <c r="DQ48" s="192"/>
      <c r="DR48" s="192"/>
      <c r="DS48" s="192"/>
      <c r="DT48" s="192"/>
      <c r="DU48" s="192"/>
      <c r="DV48" s="192"/>
      <c r="DW48" s="192"/>
      <c r="DX48" s="192"/>
      <c r="DY48" s="192"/>
      <c r="DZ48" s="192"/>
      <c r="EA48" s="192"/>
      <c r="EB48" s="192"/>
      <c r="EC48" s="192"/>
      <c r="ED48" s="192"/>
      <c r="EE48" s="192"/>
      <c r="EF48" s="192"/>
      <c r="EG48" s="192"/>
      <c r="EH48" s="192"/>
      <c r="EI48" s="192"/>
      <c r="EJ48" s="192"/>
      <c r="EK48" s="192"/>
      <c r="EL48" s="192"/>
      <c r="EM48" s="192"/>
      <c r="EN48" s="192"/>
      <c r="EO48" s="192"/>
      <c r="EP48" s="192"/>
      <c r="EQ48" s="192"/>
      <c r="ER48" s="192"/>
      <c r="ES48" s="192"/>
      <c r="ET48" s="192"/>
      <c r="EU48" s="192"/>
      <c r="EV48" s="192"/>
      <c r="EW48" s="192"/>
      <c r="EX48" s="192"/>
      <c r="EY48" s="192"/>
      <c r="EZ48" s="192"/>
      <c r="FA48" s="192"/>
      <c r="FB48" s="192"/>
      <c r="FC48" s="192"/>
      <c r="FD48" s="192"/>
      <c r="FE48" s="192"/>
      <c r="FF48" s="192"/>
      <c r="FG48" s="192"/>
      <c r="FH48" s="192"/>
      <c r="FI48" s="192"/>
      <c r="FJ48" s="192"/>
      <c r="FK48" s="192"/>
      <c r="FL48" s="192"/>
      <c r="FM48" s="192"/>
      <c r="FN48" s="192"/>
      <c r="FO48" s="192"/>
      <c r="FP48" s="192"/>
      <c r="FQ48" s="192"/>
      <c r="FR48" s="192"/>
      <c r="FS48" s="192"/>
      <c r="FT48" s="192"/>
      <c r="FU48" s="192"/>
      <c r="FV48" s="192"/>
      <c r="FW48" s="192"/>
      <c r="FX48" s="192"/>
      <c r="FY48" s="192"/>
      <c r="FZ48" s="192"/>
      <c r="GA48" s="192"/>
      <c r="GB48" s="192"/>
      <c r="GC48" s="192"/>
      <c r="GD48" s="192"/>
      <c r="GE48" s="192"/>
      <c r="GF48" s="192"/>
      <c r="GG48" s="192"/>
      <c r="GH48" s="192"/>
      <c r="GI48" s="192"/>
      <c r="GJ48" s="192"/>
      <c r="GK48" s="192"/>
      <c r="GL48" s="192"/>
      <c r="GM48" s="192"/>
      <c r="GN48" s="192"/>
      <c r="GO48" s="192"/>
      <c r="GP48" s="192"/>
      <c r="GQ48" s="192"/>
      <c r="GR48" s="192"/>
      <c r="GS48" s="192"/>
      <c r="GT48" s="192"/>
      <c r="GU48" s="192"/>
      <c r="GV48" s="192"/>
      <c r="GW48" s="192"/>
      <c r="GX48" s="192"/>
      <c r="GY48" s="192"/>
      <c r="GZ48" s="192"/>
      <c r="HA48" s="192"/>
      <c r="HB48" s="192"/>
      <c r="HC48" s="192"/>
      <c r="HD48" s="192"/>
      <c r="HE48" s="192"/>
      <c r="HF48" s="192"/>
      <c r="HG48" s="192"/>
      <c r="HH48" s="192"/>
      <c r="HI48" s="192"/>
      <c r="HJ48" s="192"/>
      <c r="HK48" s="192"/>
      <c r="HL48" s="192"/>
      <c r="HM48" s="192"/>
      <c r="HN48" s="192"/>
      <c r="HO48" s="192"/>
      <c r="HP48" s="192"/>
      <c r="HQ48" s="192"/>
      <c r="HR48" s="192"/>
      <c r="HS48" s="192"/>
      <c r="HT48" s="192"/>
      <c r="HU48" s="192"/>
      <c r="HV48" s="192"/>
      <c r="HW48" s="192"/>
      <c r="HX48" s="192"/>
      <c r="HY48" s="192"/>
      <c r="HZ48" s="192"/>
      <c r="IA48" s="192"/>
      <c r="IB48" s="192"/>
      <c r="IC48" s="192"/>
      <c r="ID48" s="192"/>
      <c r="IE48" s="192"/>
      <c r="IF48" s="192"/>
      <c r="IG48" s="192"/>
      <c r="IH48" s="192"/>
      <c r="II48" s="192"/>
      <c r="IJ48" s="192"/>
      <c r="IK48" s="192"/>
      <c r="IL48" s="192"/>
      <c r="IM48" s="192"/>
      <c r="IN48" s="192"/>
      <c r="IO48" s="192"/>
      <c r="IP48" s="192"/>
      <c r="IQ48" s="192"/>
      <c r="IR48" s="192"/>
      <c r="IS48" s="192"/>
      <c r="IT48" s="192"/>
      <c r="IU48" s="192"/>
      <c r="IV48" s="192"/>
      <c r="IW48" s="192"/>
      <c r="IX48" s="192"/>
      <c r="JA48" s="198"/>
      <c r="JB48" s="198"/>
      <c r="JC48" s="198"/>
      <c r="JD48" s="199"/>
    </row>
    <row r="49" spans="1:16382" s="200" customFormat="1" ht="13.5">
      <c r="A49" s="305">
        <v>3.22</v>
      </c>
      <c r="B49" s="186" t="s">
        <v>165</v>
      </c>
      <c r="C49" s="173" t="s">
        <v>103</v>
      </c>
      <c r="D49" s="295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1398/11/07</v>
      </c>
      <c r="E49" s="1">
        <f t="shared" si="19"/>
        <v>13981107</v>
      </c>
      <c r="F49" s="296" t="str">
        <f>IF(N49=0,J_SUBDAY(D49,1,1),IF((N49-(NETWORKDAYS.INTL(J_GregorianDate(D49,1),J_GregorianDate(J_SUBDAY(J_ADDDAY(D49,N49,1),1,1),1),16,1)))+SUMIFS(Holieday[ok],Holieday[date],CONCATENATE("&gt;","=",D49),Holieday[date],CONCATENATE("&lt;","=",J_SUBDAY(J_ADDDAY(D49,N49,1),1,1)))-SUMIFS(Holieday[Friday],Holieday[date],CONCATENATE("&gt;","=",D49),Holieday[date],CONCATENATE("&lt;","=",J_SUBDAY(J_ADDDAY(D49,N49,1),1,1)))=0,J_SUBDAY(J_ADDDAY(D49,N49,1),1,1),IF((N49+1-(NETWORKDAYS.INTL(J_GregorianDate(D49,1),J_GregorianDate(J_SUBDAY(J_ADDDAY(D49,N49+1,1),1,1),1),16,1)))+SUMIFS(Holieday[ok],Holieday[date],CONCATENATE("&gt;","=",D49),Holieday[date],CONCATENATE("&lt;","=",J_SUBDAY(J_ADDDAY(D49,N49+1,1),1,1)))-SUMIFS(Holieday[Friday],Holieday[date],CONCATENATE("&gt;","=",D49),Holieday[date],CONCATENATE("&lt;","=",J_SUBDAY(J_ADDDAY(D49,N49+1,1),1,1)))=1,J_SUBDAY(J_ADDDAY(D49,N49+1,1),1,1),IF((N49+2-(NETWORKDAYS.INTL(J_GregorianDate(D49,1),J_GregorianDate(J_SUBDAY(J_ADDDAY(D49,N49+2,1),1,1),1),16,1)))+SUMIFS(Holieday[ok],Holieday[date],CONCATENATE("&gt;","=",D49),Holieday[date],CONCATENATE("&lt;","=",J_SUBDAY(J_ADDDAY(D49,N49+2,1),1,1)))-SUMIFS(Holieday[Friday],Holieday[date],CONCATENATE("&gt;","=",D49),Holieday[date],CONCATENATE("&lt;","=",J_SUBDAY(J_ADDDAY(D49,N49+2,1),1,1)))=2,J_SUBDAY(J_ADDDAY(D49,N49+2,1),1,1),IF((N49+3-(NETWORKDAYS.INTL(J_GregorianDate(D49,1),J_GregorianDate(J_SUBDAY(J_ADDDAY(D49,N49+3,1),1,1),1),16,1)))+SUMIFS(Holieday[ok],Holieday[date],CONCATENATE("&gt;","=",D49),Holieday[date],CONCATENATE("&lt;","=",J_SUBDAY(J_ADDDAY(D49,N49+3,1),1,1)))-SUMIFS(Holieday[Friday],Holieday[date],CONCATENATE("&gt;","=",D49),Holieday[date],CONCATENATE("&lt;","=",J_SUBDAY(J_ADDDAY(D49,N49+3,1),1,1)))=3,J_SUBDAY(J_ADDDAY(D49,N49+3,1),1,1),IF((N49+4-(NETWORKDAYS.INTL(J_GregorianDate(D49,1),J_GregorianDate(J_SUBDAY(J_ADDDAY(D49,N49+4,1),1,1),1),16,1)))+SUMIFS(Holieday[ok],Holieday[date],CONCATENATE("&gt;","=",D49),Holieday[date],CONCATENATE("&lt;","=",J_SUBDAY(J_ADDDAY(D49,N49+4,1),1,1)))-SUMIFS(Holieday[Friday],Holieday[date],CONCATENATE("&gt;","=",D49),Holieday[date],CONCATENATE("&lt;","=",J_SUBDAY(J_ADDDAY(D49,N49+4,1),1,1)))=4,J_SUBDAY(J_ADDDAY(D49,N49+4,1),1,1),IF((N49+5-(NETWORKDAYS.INTL(J_GregorianDate(D49,1),J_GregorianDate(J_SUBDAY(J_ADDDAY(D49,N49+5,1),1,1),1),16,1)))+SUMIFS(Holieday[ok],Holieday[date],CONCATENATE("&gt;","=",D49),Holieday[date],CONCATENATE("&lt;","=",J_SUBDAY(J_ADDDAY(D49,N49+5,1),1,1)))-SUMIFS(Holieday[Friday],Holieday[date],CONCATENATE("&gt;","=",D49),Holieday[date],CONCATENATE("&lt;","=",J_SUBDAY(J_ADDDAY(D49,N49+5,1),1,1)))=5,J_SUBDAY(J_ADDDAY(D49,N49+5,1),1,1),J_SUBDAY(J_ADDDAY(D49,N49+6,1),1,1))))))))</f>
        <v>1398/11/10</v>
      </c>
      <c r="G49" s="2">
        <f t="shared" si="20"/>
        <v>13981110</v>
      </c>
      <c r="H49" s="175">
        <v>1</v>
      </c>
      <c r="I49" s="176">
        <v>3.21</v>
      </c>
      <c r="J49" s="174">
        <f>j_WEEKDAY(D49,2)</f>
        <v>2</v>
      </c>
      <c r="K49" s="13"/>
      <c r="L49" s="177">
        <f t="shared" si="18"/>
        <v>4</v>
      </c>
      <c r="M49" s="178">
        <v>0</v>
      </c>
      <c r="N49" s="179">
        <v>3</v>
      </c>
      <c r="O49" s="6"/>
      <c r="P49" s="6"/>
      <c r="Q49" s="5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2"/>
      <c r="GT49" s="192"/>
      <c r="GU49" s="192"/>
      <c r="GV49" s="192"/>
      <c r="GW49" s="192"/>
      <c r="GX49" s="192"/>
      <c r="GY49" s="192"/>
      <c r="GZ49" s="192"/>
      <c r="HA49" s="192"/>
      <c r="HB49" s="192"/>
      <c r="HC49" s="192"/>
      <c r="HD49" s="192"/>
      <c r="HE49" s="192"/>
      <c r="HF49" s="192"/>
      <c r="HG49" s="192"/>
      <c r="HH49" s="192"/>
      <c r="HI49" s="192"/>
      <c r="HJ49" s="192"/>
      <c r="HK49" s="192"/>
      <c r="HL49" s="192"/>
      <c r="HM49" s="192"/>
      <c r="HN49" s="192"/>
      <c r="HO49" s="192"/>
      <c r="HP49" s="192"/>
      <c r="HQ49" s="192"/>
      <c r="HR49" s="192"/>
      <c r="HS49" s="192"/>
      <c r="HT49" s="192"/>
      <c r="HU49" s="192"/>
      <c r="HV49" s="192"/>
      <c r="HW49" s="192"/>
      <c r="HX49" s="192"/>
      <c r="HY49" s="192"/>
      <c r="HZ49" s="192"/>
      <c r="IA49" s="192"/>
      <c r="IB49" s="192"/>
      <c r="IC49" s="192"/>
      <c r="ID49" s="192"/>
      <c r="IE49" s="192"/>
      <c r="IF49" s="192"/>
      <c r="IG49" s="192"/>
      <c r="IH49" s="192"/>
      <c r="II49" s="192"/>
      <c r="IJ49" s="192"/>
      <c r="IK49" s="192"/>
      <c r="IL49" s="192"/>
      <c r="IM49" s="192"/>
      <c r="IN49" s="192"/>
      <c r="IO49" s="192"/>
      <c r="IP49" s="192"/>
      <c r="IQ49" s="192"/>
      <c r="IR49" s="192"/>
      <c r="IS49" s="192"/>
      <c r="IT49" s="192"/>
      <c r="IU49" s="192"/>
      <c r="IV49" s="192"/>
      <c r="IW49" s="192"/>
      <c r="IX49" s="192"/>
      <c r="JA49" s="198"/>
      <c r="JB49" s="198"/>
      <c r="JC49" s="198"/>
      <c r="JD49" s="199"/>
    </row>
    <row r="50" spans="1:16382" s="285" customFormat="1" ht="33.75" customHeight="1">
      <c r="A50" s="281">
        <v>4</v>
      </c>
      <c r="B50" s="268" t="s">
        <v>122</v>
      </c>
      <c r="C50" s="269"/>
      <c r="D50" s="284" t="str">
        <f>FDate(MIN(E51:E55))</f>
        <v>1398/10/14</v>
      </c>
      <c r="E50" s="136">
        <f>VALUE(J_normdate(D50))</f>
        <v>13981014</v>
      </c>
      <c r="F50" s="284" t="str">
        <f>J_SUBDAY(J_ADDDAY(D50,L50,1),1,1)</f>
        <v>1398/11/15</v>
      </c>
      <c r="G50" s="139">
        <f t="shared" ref="G50:G62" si="22">VALUE(J_normdate(F50))</f>
        <v>13981115</v>
      </c>
      <c r="H50" s="282"/>
      <c r="I50" s="283"/>
      <c r="J50" s="270">
        <f>j_WEEKDAY(D50,2)</f>
        <v>0</v>
      </c>
      <c r="K50" s="140">
        <f>SUM(K51:K55)</f>
        <v>0</v>
      </c>
      <c r="L50" s="273">
        <f>J_DIFF(D50,FDate(MAX(G51:G55)))+1</f>
        <v>32</v>
      </c>
      <c r="M50" s="274">
        <f>IF(SUM(L51:L55)&lt;&gt;0,SUMPRODUCT(L51:L55,M51:M55)/SUM(L51:L55),0)</f>
        <v>0</v>
      </c>
      <c r="N50" s="275">
        <f>IF(F50&gt;=D50,NETWORKDAYS.INTL(J_GregorianDate(D50,1),J_GregorianDate(F50,1),16,1)-SUMIFS(Holieday[ok],Holieday[date],CONCATENATE("&gt;","=",D50),Holieday[date],CONCATENATE("&lt;","=",F50))+SUMIFS(Holieday[Friday],Holieday[date],CONCATENATE("&gt;","=",D50),Holieday[date],CONCATENATE("&lt;","=",F50)),0)</f>
        <v>27</v>
      </c>
      <c r="O50" s="135">
        <f t="shared" ref="O50:O55" si="23">ROUNDDOWN(M50*L50,0)</f>
        <v>0</v>
      </c>
      <c r="P50" s="135">
        <f>VALUE(J_normdate(J_ADDDAY($D50,$O50,1)))</f>
        <v>13981014</v>
      </c>
      <c r="Q50" s="138">
        <f t="shared" ref="Q50:Q55" si="24">L50-O50</f>
        <v>32</v>
      </c>
      <c r="IY50" s="286"/>
      <c r="IZ50" s="287"/>
      <c r="JA50" s="288"/>
      <c r="JB50" s="288"/>
      <c r="JC50" s="288"/>
    </row>
    <row r="51" spans="1:16382" s="185" customFormat="1" ht="40.5" customHeight="1">
      <c r="A51" s="172">
        <v>4.0999999999999996</v>
      </c>
      <c r="B51" s="186" t="s">
        <v>107</v>
      </c>
      <c r="C51" s="173" t="s">
        <v>104</v>
      </c>
      <c r="D51" s="189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1398/10/14</v>
      </c>
      <c r="E51" s="136">
        <f t="shared" ref="E51:E62" si="25">VALUE(J_normdate(D51))</f>
        <v>13981014</v>
      </c>
      <c r="F51" s="189" t="str">
        <f>IF(N51=0,J_SUBDAY(D51,1,1)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0,J_SUBDAY(J_ADDDAY(D51,N51,1)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1,J_SUBDAY(J_ADDDAY(D51,N51+1,1)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2,J_SUBDAY(J_ADDDAY(D51,N51+2,1),1,1),J_SUBDAY(J_ADDDAY(D51,N51+3,1),1,1)))))</f>
        <v>1398/10/14</v>
      </c>
      <c r="G51" s="139">
        <f t="shared" si="22"/>
        <v>13981014</v>
      </c>
      <c r="H51" s="175">
        <v>10</v>
      </c>
      <c r="I51" s="176">
        <v>1.2</v>
      </c>
      <c r="J51" s="174">
        <f>j_WEEKDAY(D51,2)</f>
        <v>0</v>
      </c>
      <c r="K51" s="143">
        <f t="shared" ref="K51:K55" si="26">SUM(JA51:JC51)</f>
        <v>0</v>
      </c>
      <c r="L51" s="177">
        <f t="shared" ref="L51:L55" si="27">J_DIFF(D51,F51)+1</f>
        <v>1</v>
      </c>
      <c r="M51" s="178">
        <v>0</v>
      </c>
      <c r="N51" s="179">
        <v>1</v>
      </c>
      <c r="O51" s="144">
        <f t="shared" si="23"/>
        <v>0</v>
      </c>
      <c r="P51" s="144">
        <f>VALUE(J_normdate(J_ADDDAY($D51,$O51,1)))</f>
        <v>13981014</v>
      </c>
      <c r="Q51" s="142">
        <f t="shared" si="24"/>
        <v>1</v>
      </c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  <c r="AI51" s="180"/>
      <c r="AJ51" s="180"/>
      <c r="AK51" s="180"/>
      <c r="AL51" s="180"/>
      <c r="AM51" s="180"/>
      <c r="AN51" s="180"/>
      <c r="AO51" s="180"/>
      <c r="AP51" s="180"/>
      <c r="AQ51" s="180"/>
      <c r="AR51" s="180"/>
      <c r="AS51" s="180"/>
      <c r="AT51" s="180"/>
      <c r="AU51" s="180"/>
      <c r="AV51" s="180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0"/>
      <c r="BR51" s="180"/>
      <c r="BS51" s="180"/>
      <c r="BT51" s="180"/>
      <c r="BU51" s="180"/>
      <c r="BV51" s="180"/>
      <c r="BW51" s="180"/>
      <c r="BX51" s="180"/>
      <c r="BY51" s="180"/>
      <c r="BZ51" s="180"/>
      <c r="CA51" s="180"/>
      <c r="CB51" s="180"/>
      <c r="CC51" s="180"/>
      <c r="CD51" s="180"/>
      <c r="CE51" s="180"/>
      <c r="CF51" s="180"/>
      <c r="CG51" s="180"/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180"/>
      <c r="DI51" s="180"/>
      <c r="DJ51" s="180"/>
      <c r="DK51" s="180"/>
      <c r="DL51" s="180"/>
      <c r="DM51" s="180"/>
      <c r="DN51" s="180"/>
      <c r="DO51" s="180"/>
      <c r="DP51" s="180"/>
      <c r="DQ51" s="180"/>
      <c r="DR51" s="180"/>
      <c r="DS51" s="180"/>
      <c r="DT51" s="180"/>
      <c r="DU51" s="180"/>
      <c r="DV51" s="180"/>
      <c r="DW51" s="180"/>
      <c r="DX51" s="180"/>
      <c r="DY51" s="180"/>
      <c r="DZ51" s="180"/>
      <c r="EA51" s="180"/>
      <c r="EB51" s="180"/>
      <c r="EC51" s="180"/>
      <c r="ED51" s="180"/>
      <c r="EE51" s="180"/>
      <c r="EF51" s="180"/>
      <c r="EG51" s="180"/>
      <c r="EH51" s="180"/>
      <c r="EI51" s="180"/>
      <c r="EJ51" s="180"/>
      <c r="EK51" s="180"/>
      <c r="EL51" s="180"/>
      <c r="EM51" s="180"/>
      <c r="EN51" s="180"/>
      <c r="EO51" s="180"/>
      <c r="EP51" s="180"/>
      <c r="EQ51" s="180"/>
      <c r="ER51" s="180"/>
      <c r="ES51" s="180"/>
      <c r="ET51" s="180"/>
      <c r="EU51" s="180"/>
      <c r="EV51" s="180"/>
      <c r="EW51" s="180"/>
      <c r="EX51" s="180"/>
      <c r="EY51" s="180"/>
      <c r="EZ51" s="180"/>
      <c r="FA51" s="180"/>
      <c r="FB51" s="180"/>
      <c r="FC51" s="180"/>
      <c r="FD51" s="180"/>
      <c r="FE51" s="180"/>
      <c r="FF51" s="180"/>
      <c r="FG51" s="180"/>
      <c r="FH51" s="180"/>
      <c r="FI51" s="180"/>
      <c r="FJ51" s="180"/>
      <c r="FK51" s="180"/>
      <c r="FL51" s="180"/>
      <c r="FM51" s="180"/>
      <c r="FN51" s="180"/>
      <c r="FO51" s="180"/>
      <c r="FP51" s="180"/>
      <c r="FQ51" s="180"/>
      <c r="FR51" s="180"/>
      <c r="FS51" s="180"/>
      <c r="FT51" s="180"/>
      <c r="FU51" s="180"/>
      <c r="FV51" s="180"/>
      <c r="FW51" s="180"/>
      <c r="FX51" s="180"/>
      <c r="FY51" s="180"/>
      <c r="FZ51" s="180"/>
      <c r="GA51" s="180"/>
      <c r="GB51" s="180"/>
      <c r="GC51" s="180"/>
      <c r="GD51" s="180"/>
      <c r="GE51" s="180"/>
      <c r="GF51" s="180"/>
      <c r="GG51" s="180"/>
      <c r="GH51" s="180"/>
      <c r="GI51" s="180"/>
      <c r="GJ51" s="180"/>
      <c r="GK51" s="180"/>
      <c r="GL51" s="180"/>
      <c r="GM51" s="180"/>
      <c r="GN51" s="180"/>
      <c r="GO51" s="180"/>
      <c r="GP51" s="180"/>
      <c r="GQ51" s="180"/>
      <c r="GR51" s="180"/>
      <c r="GS51" s="180"/>
      <c r="GT51" s="180"/>
      <c r="GU51" s="180"/>
      <c r="GV51" s="180"/>
      <c r="GW51" s="180"/>
      <c r="GX51" s="180"/>
      <c r="GY51" s="180"/>
      <c r="GZ51" s="180"/>
      <c r="HA51" s="180"/>
      <c r="HB51" s="180"/>
      <c r="HC51" s="180"/>
      <c r="HD51" s="180"/>
      <c r="HE51" s="180"/>
      <c r="HF51" s="180"/>
      <c r="HG51" s="180"/>
      <c r="HH51" s="180"/>
      <c r="HI51" s="180"/>
      <c r="HJ51" s="180"/>
      <c r="HK51" s="180"/>
      <c r="HL51" s="180"/>
      <c r="HM51" s="180"/>
      <c r="HN51" s="180"/>
      <c r="HO51" s="180"/>
      <c r="HP51" s="180"/>
      <c r="HQ51" s="180"/>
      <c r="HR51" s="180"/>
      <c r="HS51" s="180"/>
      <c r="HT51" s="180"/>
      <c r="HU51" s="180"/>
      <c r="HV51" s="180"/>
      <c r="HW51" s="180"/>
      <c r="HX51" s="180"/>
      <c r="HY51" s="180"/>
      <c r="HZ51" s="180"/>
      <c r="IA51" s="180"/>
      <c r="IB51" s="180"/>
      <c r="IC51" s="180"/>
      <c r="ID51" s="180"/>
      <c r="IE51" s="180"/>
      <c r="IF51" s="180"/>
      <c r="IG51" s="180"/>
      <c r="IH51" s="180"/>
      <c r="II51" s="180"/>
      <c r="IJ51" s="180"/>
      <c r="IK51" s="180"/>
      <c r="IL51" s="180"/>
      <c r="IM51" s="180"/>
      <c r="IN51" s="180"/>
      <c r="IO51" s="180"/>
      <c r="IP51" s="180"/>
      <c r="IQ51" s="180"/>
      <c r="IR51" s="180"/>
      <c r="IS51" s="180"/>
      <c r="IT51" s="180"/>
      <c r="IU51" s="180"/>
      <c r="IV51" s="180"/>
      <c r="IW51" s="180"/>
      <c r="IX51" s="180"/>
      <c r="IY51" s="181">
        <v>2</v>
      </c>
      <c r="IZ51" s="182">
        <f>(TEXT(K51,"[m]")/60)*VLOOKUP(IY51,'Income Person-hours'!A$2:C$5,3,FALSE)</f>
        <v>0</v>
      </c>
      <c r="JA51" s="183"/>
      <c r="JB51" s="183"/>
      <c r="JC51" s="183"/>
      <c r="JD51" s="184">
        <f>SUM((TEXT(JA51,"[M]")/60)*'Income Person-hours'!$D$3,(TEXT(JB51,"[M]")/60)*'Income Person-hours'!$D$4,(TEXT(JC51,"[M]")/60)*'Income Person-hours'!$D$5)</f>
        <v>0</v>
      </c>
    </row>
    <row r="52" spans="1:16382" s="185" customFormat="1" ht="15.75" customHeight="1">
      <c r="A52" s="172">
        <v>4.2</v>
      </c>
      <c r="B52" s="186" t="s">
        <v>121</v>
      </c>
      <c r="C52" s="173" t="s">
        <v>72</v>
      </c>
      <c r="D52" s="189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1398/10/15</v>
      </c>
      <c r="E52" s="136">
        <f t="shared" si="25"/>
        <v>13981015</v>
      </c>
      <c r="F52" s="189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1398/10/19</v>
      </c>
      <c r="G52" s="139">
        <f t="shared" si="22"/>
        <v>13981019</v>
      </c>
      <c r="H52" s="175">
        <v>1</v>
      </c>
      <c r="I52" s="176">
        <v>4.0999999999999996</v>
      </c>
      <c r="J52" s="174">
        <f>j_WEEKDAY(D52,2)</f>
        <v>1</v>
      </c>
      <c r="K52" s="143">
        <f t="shared" si="26"/>
        <v>0</v>
      </c>
      <c r="L52" s="177">
        <f t="shared" si="27"/>
        <v>5</v>
      </c>
      <c r="M52" s="178">
        <v>0</v>
      </c>
      <c r="N52" s="179">
        <v>5</v>
      </c>
      <c r="O52" s="144">
        <f t="shared" si="23"/>
        <v>0</v>
      </c>
      <c r="P52" s="144">
        <f>VALUE(J_normdate(J_ADDDAY($D52,$O52,1)))</f>
        <v>13981015</v>
      </c>
      <c r="Q52" s="142">
        <f t="shared" si="24"/>
        <v>5</v>
      </c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  <c r="DZ52" s="180"/>
      <c r="EA52" s="180"/>
      <c r="EB52" s="180"/>
      <c r="EC52" s="180"/>
      <c r="ED52" s="180"/>
      <c r="EE52" s="180"/>
      <c r="EF52" s="180"/>
      <c r="EG52" s="180"/>
      <c r="EH52" s="180"/>
      <c r="EI52" s="180"/>
      <c r="EJ52" s="180"/>
      <c r="EK52" s="180"/>
      <c r="EL52" s="180"/>
      <c r="EM52" s="180"/>
      <c r="EN52" s="180"/>
      <c r="EO52" s="180"/>
      <c r="EP52" s="180"/>
      <c r="EQ52" s="180"/>
      <c r="ER52" s="180"/>
      <c r="ES52" s="180"/>
      <c r="ET52" s="180"/>
      <c r="EU52" s="180"/>
      <c r="EV52" s="180"/>
      <c r="EW52" s="180"/>
      <c r="EX52" s="180"/>
      <c r="EY52" s="180"/>
      <c r="EZ52" s="180"/>
      <c r="FA52" s="180"/>
      <c r="FB52" s="180"/>
      <c r="FC52" s="180"/>
      <c r="FD52" s="180"/>
      <c r="FE52" s="180"/>
      <c r="FF52" s="180"/>
      <c r="FG52" s="180"/>
      <c r="FH52" s="180"/>
      <c r="FI52" s="180"/>
      <c r="FJ52" s="180"/>
      <c r="FK52" s="180"/>
      <c r="FL52" s="180"/>
      <c r="FM52" s="180"/>
      <c r="FN52" s="180"/>
      <c r="FO52" s="180"/>
      <c r="FP52" s="180"/>
      <c r="FQ52" s="180"/>
      <c r="FR52" s="180"/>
      <c r="FS52" s="180"/>
      <c r="FT52" s="180"/>
      <c r="FU52" s="180"/>
      <c r="FV52" s="180"/>
      <c r="FW52" s="180"/>
      <c r="FX52" s="180"/>
      <c r="FY52" s="180"/>
      <c r="FZ52" s="180"/>
      <c r="GA52" s="180"/>
      <c r="GB52" s="180"/>
      <c r="GC52" s="180"/>
      <c r="GD52" s="180"/>
      <c r="GE52" s="180"/>
      <c r="GF52" s="180"/>
      <c r="GG52" s="180"/>
      <c r="GH52" s="180"/>
      <c r="GI52" s="180"/>
      <c r="GJ52" s="180"/>
      <c r="GK52" s="180"/>
      <c r="GL52" s="180"/>
      <c r="GM52" s="180"/>
      <c r="GN52" s="180"/>
      <c r="GO52" s="180"/>
      <c r="GP52" s="180"/>
      <c r="GQ52" s="180"/>
      <c r="GR52" s="180"/>
      <c r="GS52" s="180"/>
      <c r="GT52" s="180"/>
      <c r="GU52" s="180"/>
      <c r="GV52" s="180"/>
      <c r="GW52" s="180"/>
      <c r="GX52" s="180"/>
      <c r="GY52" s="180"/>
      <c r="GZ52" s="180"/>
      <c r="HA52" s="180"/>
      <c r="HB52" s="180"/>
      <c r="HC52" s="180"/>
      <c r="HD52" s="180"/>
      <c r="HE52" s="180"/>
      <c r="HF52" s="180"/>
      <c r="HG52" s="180"/>
      <c r="HH52" s="180"/>
      <c r="HI52" s="180"/>
      <c r="HJ52" s="180"/>
      <c r="HK52" s="180"/>
      <c r="HL52" s="180"/>
      <c r="HM52" s="180"/>
      <c r="HN52" s="180"/>
      <c r="HO52" s="180"/>
      <c r="HP52" s="180"/>
      <c r="HQ52" s="180"/>
      <c r="HR52" s="180"/>
      <c r="HS52" s="180"/>
      <c r="HT52" s="180"/>
      <c r="HU52" s="180"/>
      <c r="HV52" s="180"/>
      <c r="HW52" s="180"/>
      <c r="HX52" s="180"/>
      <c r="HY52" s="180"/>
      <c r="HZ52" s="180"/>
      <c r="IA52" s="180"/>
      <c r="IB52" s="180"/>
      <c r="IC52" s="180"/>
      <c r="ID52" s="180"/>
      <c r="IE52" s="180"/>
      <c r="IF52" s="180"/>
      <c r="IG52" s="180"/>
      <c r="IH52" s="180"/>
      <c r="II52" s="180"/>
      <c r="IJ52" s="180"/>
      <c r="IK52" s="180"/>
      <c r="IL52" s="180"/>
      <c r="IM52" s="180"/>
      <c r="IN52" s="180"/>
      <c r="IO52" s="180"/>
      <c r="IP52" s="180"/>
      <c r="IQ52" s="180"/>
      <c r="IR52" s="180"/>
      <c r="IS52" s="180"/>
      <c r="IT52" s="180"/>
      <c r="IU52" s="180"/>
      <c r="IV52" s="180"/>
      <c r="IW52" s="180"/>
      <c r="IX52" s="180"/>
      <c r="IY52" s="181">
        <v>3</v>
      </c>
      <c r="IZ52" s="182">
        <f>(TEXT(K52,"[m]")/60)*VLOOKUP(IY52,'Income Person-hours'!A$2:C$5,3,FALSE)</f>
        <v>0</v>
      </c>
      <c r="JA52" s="183"/>
      <c r="JB52" s="183"/>
      <c r="JC52" s="183"/>
      <c r="JD52" s="184">
        <f>SUM((TEXT(JA52,"[M]")/60)*'Income Person-hours'!$D$3,(TEXT(JB52,"[M]")/60)*'Income Person-hours'!$D$4,(TEXT(JC52,"[M]")/60)*'Income Person-hours'!$D$5)</f>
        <v>0</v>
      </c>
    </row>
    <row r="53" spans="1:16382" s="185" customFormat="1" ht="13.5">
      <c r="A53" s="172">
        <v>4.3</v>
      </c>
      <c r="B53" s="186" t="s">
        <v>129</v>
      </c>
      <c r="C53" s="173" t="s">
        <v>103</v>
      </c>
      <c r="D53" s="189" t="str">
        <f>IF(OR(j_WEEKDAY(J_ADDDAY(VLOOKUP(I53,A:F,6,FALSE),H53,1),0)=6,SUMIFS(Holieday[ok],Holieday[date],J_ADDDAY(VLOOKUP(I53,A:F,6,FALSE),H53,1)))=FALSE(),J_ADDDAY(VLOOKUP(I53,A:F,6,FALSE),H53,1),IF(OR(j_WEEKDAY(J_ADDDAY(VLOOKUP(I53,A:F,6,FALSE),H53+1,1),0)=6,SUMIFS(Holieday[ok],Holieday[date],J_ADDDAY(VLOOKUP(I53,A:F,6,FALSE),H53+1,1)))=FALSE(),J_ADDDAY(VLOOKUP(I53,A:F,6,FALSE),H53+1,1),IF(OR(j_WEEKDAY(J_ADDDAY(VLOOKUP(I53,A:F,6,FALSE),H53+2,1),0)=6,SUMIFS(Holieday[ok],Holieday[date],J_ADDDAY(VLOOKUP(I53,A:F,6,FALSE),H53+2,1)))=FALSE(),J_ADDDAY(VLOOKUP(I53,A:F,6,FALSE),H53+2,1),IF(OR(j_WEEKDAY(J_ADDDAY(VLOOKUP(I53,A:F,6,FALSE),H53+3,1),0)=6,SUMIFS(Holieday[ok],Holieday[date],J_ADDDAY(VLOOKUP(I53,A:F,6,FALSE),H53+3,1)))=FALSE(),J_ADDDAY(VLOOKUP(I53,A:F,6,FALSE),H53+3,1),IF(OR(j_WEEKDAY(J_ADDDAY(VLOOKUP(I53,A:F,6,FALSE),H53+4,1),0)=6,SUMIFS(Holieday[ok],Holieday[date],J_ADDDAY(VLOOKUP(I53,A:F,6,FALSE),H53+4,1)))=FALSE(),J_ADDDAY(VLOOKUP(I53,A:F,6,FALSE),H53+4,1),J_ADDDAY(VLOOKUP(I53,A:F,6,FALSE),H53+5,1))))))</f>
        <v>1398/10/21</v>
      </c>
      <c r="E53" s="136">
        <f t="shared" si="25"/>
        <v>13981021</v>
      </c>
      <c r="F53" s="189" t="str">
        <f>IF(N53=0,J_SUBDAY(D53,1,1)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0,J_SUBDAY(J_ADDDAY(D53,N53,1)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1,J_SUBDAY(J_ADDDAY(D53,N53+1,1)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2,J_SUBDAY(J_ADDDAY(D53,N53+2,1),1,1),J_SUBDAY(J_ADDDAY(D53,N53+3,1),1,1)))))</f>
        <v>1398/10/28</v>
      </c>
      <c r="G53" s="139">
        <f t="shared" si="22"/>
        <v>13981028</v>
      </c>
      <c r="H53" s="175">
        <v>2</v>
      </c>
      <c r="I53" s="176">
        <v>4.2</v>
      </c>
      <c r="J53" s="174">
        <f>j_WEEKDAY(D53,2)</f>
        <v>0</v>
      </c>
      <c r="K53" s="143">
        <f t="shared" si="26"/>
        <v>0</v>
      </c>
      <c r="L53" s="177">
        <f t="shared" si="27"/>
        <v>8</v>
      </c>
      <c r="M53" s="178">
        <v>0</v>
      </c>
      <c r="N53" s="179">
        <v>7</v>
      </c>
      <c r="O53" s="144">
        <f t="shared" si="23"/>
        <v>0</v>
      </c>
      <c r="P53" s="144">
        <f>VALUE(J_normdate(J_ADDDAY($D53,$O53,1)))</f>
        <v>13981021</v>
      </c>
      <c r="Q53" s="142">
        <f t="shared" si="24"/>
        <v>8</v>
      </c>
      <c r="R53" s="180"/>
      <c r="S53" s="180"/>
      <c r="T53" s="180"/>
      <c r="U53" s="180"/>
      <c r="V53" s="180"/>
      <c r="W53" s="180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  <c r="AI53" s="180"/>
      <c r="AJ53" s="180"/>
      <c r="AK53" s="180"/>
      <c r="AL53" s="180"/>
      <c r="AM53" s="180"/>
      <c r="AN53" s="180"/>
      <c r="AO53" s="180"/>
      <c r="AP53" s="180"/>
      <c r="AQ53" s="180"/>
      <c r="AR53" s="180"/>
      <c r="AS53" s="180"/>
      <c r="AT53" s="180"/>
      <c r="AU53" s="180"/>
      <c r="AV53" s="180"/>
      <c r="AW53" s="180"/>
      <c r="AX53" s="180"/>
      <c r="AY53" s="180"/>
      <c r="AZ53" s="180"/>
      <c r="BA53" s="180"/>
      <c r="BB53" s="180"/>
      <c r="BC53" s="180"/>
      <c r="BD53" s="180"/>
      <c r="BE53" s="180"/>
      <c r="BF53" s="180"/>
      <c r="BG53" s="180"/>
      <c r="BH53" s="180"/>
      <c r="BI53" s="180"/>
      <c r="BJ53" s="180"/>
      <c r="BK53" s="180"/>
      <c r="BL53" s="180"/>
      <c r="BM53" s="180"/>
      <c r="BN53" s="180"/>
      <c r="BO53" s="180"/>
      <c r="BP53" s="180"/>
      <c r="BQ53" s="180"/>
      <c r="BR53" s="180"/>
      <c r="BS53" s="180"/>
      <c r="BT53" s="180"/>
      <c r="BU53" s="180"/>
      <c r="BV53" s="180"/>
      <c r="BW53" s="180"/>
      <c r="BX53" s="180"/>
      <c r="BY53" s="180"/>
      <c r="BZ53" s="180"/>
      <c r="CA53" s="180"/>
      <c r="CB53" s="180"/>
      <c r="CC53" s="180"/>
      <c r="CD53" s="180"/>
      <c r="CE53" s="180"/>
      <c r="CF53" s="180"/>
      <c r="CG53" s="180"/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180"/>
      <c r="DI53" s="180"/>
      <c r="DJ53" s="180"/>
      <c r="DK53" s="180"/>
      <c r="DL53" s="180"/>
      <c r="DM53" s="180"/>
      <c r="DN53" s="180"/>
      <c r="DO53" s="180"/>
      <c r="DP53" s="180"/>
      <c r="DQ53" s="180"/>
      <c r="DR53" s="180"/>
      <c r="DS53" s="180"/>
      <c r="DT53" s="180"/>
      <c r="DU53" s="180"/>
      <c r="DV53" s="180"/>
      <c r="DW53" s="180"/>
      <c r="DX53" s="180"/>
      <c r="DY53" s="180"/>
      <c r="DZ53" s="180"/>
      <c r="EA53" s="180"/>
      <c r="EB53" s="180"/>
      <c r="EC53" s="180"/>
      <c r="ED53" s="180"/>
      <c r="EE53" s="180"/>
      <c r="EF53" s="180"/>
      <c r="EG53" s="180"/>
      <c r="EH53" s="180"/>
      <c r="EI53" s="180"/>
      <c r="EJ53" s="180"/>
      <c r="EK53" s="180"/>
      <c r="EL53" s="180"/>
      <c r="EM53" s="180"/>
      <c r="EN53" s="180"/>
      <c r="EO53" s="180"/>
      <c r="EP53" s="180"/>
      <c r="EQ53" s="180"/>
      <c r="ER53" s="180"/>
      <c r="ES53" s="180"/>
      <c r="ET53" s="180"/>
      <c r="EU53" s="180"/>
      <c r="EV53" s="180"/>
      <c r="EW53" s="180"/>
      <c r="EX53" s="180"/>
      <c r="EY53" s="180"/>
      <c r="EZ53" s="180"/>
      <c r="FA53" s="180"/>
      <c r="FB53" s="180"/>
      <c r="FC53" s="180"/>
      <c r="FD53" s="180"/>
      <c r="FE53" s="180"/>
      <c r="FF53" s="180"/>
      <c r="FG53" s="180"/>
      <c r="FH53" s="180"/>
      <c r="FI53" s="180"/>
      <c r="FJ53" s="180"/>
      <c r="FK53" s="180"/>
      <c r="FL53" s="180"/>
      <c r="FM53" s="180"/>
      <c r="FN53" s="180"/>
      <c r="FO53" s="180"/>
      <c r="FP53" s="180"/>
      <c r="FQ53" s="180"/>
      <c r="FR53" s="180"/>
      <c r="FS53" s="180"/>
      <c r="FT53" s="180"/>
      <c r="FU53" s="180"/>
      <c r="FV53" s="180"/>
      <c r="FW53" s="180"/>
      <c r="FX53" s="180"/>
      <c r="FY53" s="180"/>
      <c r="FZ53" s="180"/>
      <c r="GA53" s="180"/>
      <c r="GB53" s="180"/>
      <c r="GC53" s="180"/>
      <c r="GD53" s="180"/>
      <c r="GE53" s="180"/>
      <c r="GF53" s="180"/>
      <c r="GG53" s="180"/>
      <c r="GH53" s="180"/>
      <c r="GI53" s="180"/>
      <c r="GJ53" s="180"/>
      <c r="GK53" s="180"/>
      <c r="GL53" s="180"/>
      <c r="GM53" s="180"/>
      <c r="GN53" s="180"/>
      <c r="GO53" s="180"/>
      <c r="GP53" s="180"/>
      <c r="GQ53" s="180"/>
      <c r="GR53" s="180"/>
      <c r="GS53" s="180"/>
      <c r="GT53" s="180"/>
      <c r="GU53" s="180"/>
      <c r="GV53" s="180"/>
      <c r="GW53" s="180"/>
      <c r="GX53" s="180"/>
      <c r="GY53" s="180"/>
      <c r="GZ53" s="180"/>
      <c r="HA53" s="180"/>
      <c r="HB53" s="180"/>
      <c r="HC53" s="180"/>
      <c r="HD53" s="180"/>
      <c r="HE53" s="180"/>
      <c r="HF53" s="180"/>
      <c r="HG53" s="180"/>
      <c r="HH53" s="180"/>
      <c r="HI53" s="180"/>
      <c r="HJ53" s="180"/>
      <c r="HK53" s="180"/>
      <c r="HL53" s="180"/>
      <c r="HM53" s="180"/>
      <c r="HN53" s="180"/>
      <c r="HO53" s="180"/>
      <c r="HP53" s="180"/>
      <c r="HQ53" s="180"/>
      <c r="HR53" s="180"/>
      <c r="HS53" s="180"/>
      <c r="HT53" s="180"/>
      <c r="HU53" s="180"/>
      <c r="HV53" s="180"/>
      <c r="HW53" s="180"/>
      <c r="HX53" s="180"/>
      <c r="HY53" s="180"/>
      <c r="HZ53" s="180"/>
      <c r="IA53" s="180"/>
      <c r="IB53" s="180"/>
      <c r="IC53" s="180"/>
      <c r="ID53" s="180"/>
      <c r="IE53" s="180"/>
      <c r="IF53" s="180"/>
      <c r="IG53" s="180"/>
      <c r="IH53" s="180"/>
      <c r="II53" s="180"/>
      <c r="IJ53" s="180"/>
      <c r="IK53" s="180"/>
      <c r="IL53" s="180"/>
      <c r="IM53" s="180"/>
      <c r="IN53" s="180"/>
      <c r="IO53" s="180"/>
      <c r="IP53" s="180"/>
      <c r="IQ53" s="180"/>
      <c r="IR53" s="180"/>
      <c r="IS53" s="180"/>
      <c r="IT53" s="180"/>
      <c r="IU53" s="180"/>
      <c r="IV53" s="180"/>
      <c r="IW53" s="180"/>
      <c r="IX53" s="180"/>
      <c r="IY53" s="181">
        <v>3</v>
      </c>
      <c r="IZ53" s="182">
        <f>(TEXT(K53,"[m]")/60)*VLOOKUP(IY53,'Income Person-hours'!A$2:C$5,3,FALSE)</f>
        <v>0</v>
      </c>
      <c r="JA53" s="183"/>
      <c r="JB53" s="183"/>
      <c r="JC53" s="183"/>
      <c r="JD53" s="184">
        <f>SUM((TEXT(JA53,"[M]")/60)*'Income Person-hours'!$D$3,(TEXT(JB53,"[M]")/60)*'Income Person-hours'!$D$4,(TEXT(JC53,"[M]")/60)*'Income Person-hours'!$D$5)</f>
        <v>0</v>
      </c>
    </row>
    <row r="54" spans="1:16382" s="185" customFormat="1" ht="13.5">
      <c r="A54" s="172">
        <v>4.4000000000000004</v>
      </c>
      <c r="B54" s="186" t="s">
        <v>128</v>
      </c>
      <c r="C54" s="173" t="s">
        <v>103</v>
      </c>
      <c r="D54" s="189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1398/11/01</v>
      </c>
      <c r="E54" s="136">
        <f t="shared" si="25"/>
        <v>13981101</v>
      </c>
      <c r="F54" s="189" t="str">
        <f>IF(N54=0,J_SUBDAY(D54,1,1)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0,J_SUBDAY(J_ADDDAY(D54,N54,1)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1,J_SUBDAY(J_ADDDAY(D54,N54+1,1)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2,J_SUBDAY(J_ADDDAY(D54,N54+2,1),1,1),J_SUBDAY(J_ADDDAY(D54,N54+3,1),1,1)))))</f>
        <v>1398/11/08</v>
      </c>
      <c r="G54" s="139">
        <f t="shared" si="22"/>
        <v>13981108</v>
      </c>
      <c r="H54" s="175">
        <v>3</v>
      </c>
      <c r="I54" s="176">
        <v>4.3</v>
      </c>
      <c r="J54" s="174">
        <f>j_WEEKDAY(D54,2)</f>
        <v>3</v>
      </c>
      <c r="K54" s="143">
        <f t="shared" si="26"/>
        <v>0</v>
      </c>
      <c r="L54" s="177">
        <f t="shared" si="27"/>
        <v>8</v>
      </c>
      <c r="M54" s="178">
        <v>0</v>
      </c>
      <c r="N54" s="179">
        <v>7</v>
      </c>
      <c r="O54" s="144">
        <f t="shared" si="23"/>
        <v>0</v>
      </c>
      <c r="P54" s="144">
        <f>VALUE(J_normdate(J_ADDDAY($D54,$O54,1)))</f>
        <v>13981101</v>
      </c>
      <c r="Q54" s="142">
        <f t="shared" si="24"/>
        <v>8</v>
      </c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L54" s="180"/>
      <c r="AM54" s="180"/>
      <c r="AN54" s="180"/>
      <c r="AO54" s="180"/>
      <c r="AP54" s="180"/>
      <c r="AQ54" s="180"/>
      <c r="AR54" s="180"/>
      <c r="AS54" s="180"/>
      <c r="AT54" s="180"/>
      <c r="AU54" s="180"/>
      <c r="AV54" s="180"/>
      <c r="AW54" s="180"/>
      <c r="AX54" s="180"/>
      <c r="AY54" s="180"/>
      <c r="AZ54" s="180"/>
      <c r="BA54" s="180"/>
      <c r="BB54" s="180"/>
      <c r="BC54" s="180"/>
      <c r="BD54" s="180"/>
      <c r="BE54" s="180"/>
      <c r="BF54" s="180"/>
      <c r="BG54" s="180"/>
      <c r="BH54" s="180"/>
      <c r="BI54" s="180"/>
      <c r="BJ54" s="180"/>
      <c r="BK54" s="180"/>
      <c r="BL54" s="180"/>
      <c r="BM54" s="180"/>
      <c r="BN54" s="180"/>
      <c r="BO54" s="180"/>
      <c r="BP54" s="180"/>
      <c r="BQ54" s="180"/>
      <c r="BR54" s="180"/>
      <c r="BS54" s="180"/>
      <c r="BT54" s="180"/>
      <c r="BU54" s="180"/>
      <c r="BV54" s="180"/>
      <c r="BW54" s="180"/>
      <c r="BX54" s="180"/>
      <c r="BY54" s="180"/>
      <c r="BZ54" s="180"/>
      <c r="CA54" s="180"/>
      <c r="CB54" s="180"/>
      <c r="CC54" s="180"/>
      <c r="CD54" s="180"/>
      <c r="CE54" s="180"/>
      <c r="CF54" s="180"/>
      <c r="CG54" s="180"/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180"/>
      <c r="DI54" s="180"/>
      <c r="DJ54" s="180"/>
      <c r="DK54" s="180"/>
      <c r="DL54" s="180"/>
      <c r="DM54" s="180"/>
      <c r="DN54" s="180"/>
      <c r="DO54" s="180"/>
      <c r="DP54" s="180"/>
      <c r="DQ54" s="180"/>
      <c r="DR54" s="180"/>
      <c r="DS54" s="180"/>
      <c r="DT54" s="180"/>
      <c r="DU54" s="180"/>
      <c r="DV54" s="180"/>
      <c r="DW54" s="180"/>
      <c r="DX54" s="180"/>
      <c r="DY54" s="180"/>
      <c r="DZ54" s="180"/>
      <c r="EA54" s="180"/>
      <c r="EB54" s="180"/>
      <c r="EC54" s="180"/>
      <c r="ED54" s="180"/>
      <c r="EE54" s="180"/>
      <c r="EF54" s="180"/>
      <c r="EG54" s="180"/>
      <c r="EH54" s="180"/>
      <c r="EI54" s="180"/>
      <c r="EJ54" s="180"/>
      <c r="EK54" s="180"/>
      <c r="EL54" s="180"/>
      <c r="EM54" s="180"/>
      <c r="EN54" s="180"/>
      <c r="EO54" s="180"/>
      <c r="EP54" s="180"/>
      <c r="EQ54" s="180"/>
      <c r="ER54" s="180"/>
      <c r="ES54" s="180"/>
      <c r="ET54" s="180"/>
      <c r="EU54" s="180"/>
      <c r="EV54" s="180"/>
      <c r="EW54" s="180"/>
      <c r="EX54" s="180"/>
      <c r="EY54" s="180"/>
      <c r="EZ54" s="180"/>
      <c r="FA54" s="180"/>
      <c r="FB54" s="180"/>
      <c r="FC54" s="180"/>
      <c r="FD54" s="180"/>
      <c r="FE54" s="180"/>
      <c r="FF54" s="180"/>
      <c r="FG54" s="180"/>
      <c r="FH54" s="180"/>
      <c r="FI54" s="180"/>
      <c r="FJ54" s="180"/>
      <c r="FK54" s="180"/>
      <c r="FL54" s="180"/>
      <c r="FM54" s="180"/>
      <c r="FN54" s="180"/>
      <c r="FO54" s="180"/>
      <c r="FP54" s="180"/>
      <c r="FQ54" s="180"/>
      <c r="FR54" s="180"/>
      <c r="FS54" s="180"/>
      <c r="FT54" s="180"/>
      <c r="FU54" s="180"/>
      <c r="FV54" s="180"/>
      <c r="FW54" s="180"/>
      <c r="FX54" s="180"/>
      <c r="FY54" s="180"/>
      <c r="FZ54" s="180"/>
      <c r="GA54" s="180"/>
      <c r="GB54" s="180"/>
      <c r="GC54" s="180"/>
      <c r="GD54" s="180"/>
      <c r="GE54" s="180"/>
      <c r="GF54" s="180"/>
      <c r="GG54" s="180"/>
      <c r="GH54" s="180"/>
      <c r="GI54" s="180"/>
      <c r="GJ54" s="180"/>
      <c r="GK54" s="180"/>
      <c r="GL54" s="180"/>
      <c r="GM54" s="180"/>
      <c r="GN54" s="180"/>
      <c r="GO54" s="180"/>
      <c r="GP54" s="180"/>
      <c r="GQ54" s="180"/>
      <c r="GR54" s="180"/>
      <c r="GS54" s="180"/>
      <c r="GT54" s="180"/>
      <c r="GU54" s="180"/>
      <c r="GV54" s="180"/>
      <c r="GW54" s="180"/>
      <c r="GX54" s="180"/>
      <c r="GY54" s="180"/>
      <c r="GZ54" s="180"/>
      <c r="HA54" s="180"/>
      <c r="HB54" s="180"/>
      <c r="HC54" s="180"/>
      <c r="HD54" s="180"/>
      <c r="HE54" s="180"/>
      <c r="HF54" s="180"/>
      <c r="HG54" s="180"/>
      <c r="HH54" s="180"/>
      <c r="HI54" s="180"/>
      <c r="HJ54" s="180"/>
      <c r="HK54" s="180"/>
      <c r="HL54" s="180"/>
      <c r="HM54" s="180"/>
      <c r="HN54" s="180"/>
      <c r="HO54" s="180"/>
      <c r="HP54" s="180"/>
      <c r="HQ54" s="180"/>
      <c r="HR54" s="180"/>
      <c r="HS54" s="180"/>
      <c r="HT54" s="180"/>
      <c r="HU54" s="180"/>
      <c r="HV54" s="180"/>
      <c r="HW54" s="180"/>
      <c r="HX54" s="180"/>
      <c r="HY54" s="180"/>
      <c r="HZ54" s="180"/>
      <c r="IA54" s="180"/>
      <c r="IB54" s="180"/>
      <c r="IC54" s="180"/>
      <c r="ID54" s="180"/>
      <c r="IE54" s="180"/>
      <c r="IF54" s="180"/>
      <c r="IG54" s="180"/>
      <c r="IH54" s="180"/>
      <c r="II54" s="180"/>
      <c r="IJ54" s="180"/>
      <c r="IK54" s="180"/>
      <c r="IL54" s="180"/>
      <c r="IM54" s="180"/>
      <c r="IN54" s="180"/>
      <c r="IO54" s="180"/>
      <c r="IP54" s="180"/>
      <c r="IQ54" s="180"/>
      <c r="IR54" s="180"/>
      <c r="IS54" s="180"/>
      <c r="IT54" s="180"/>
      <c r="IU54" s="180"/>
      <c r="IV54" s="180"/>
      <c r="IW54" s="180"/>
      <c r="IX54" s="180"/>
      <c r="IY54" s="181">
        <v>3</v>
      </c>
      <c r="IZ54" s="182">
        <f>(TEXT(K54,"[m]")/60)*VLOOKUP(IY54,'Income Person-hours'!A$2:C$5,3,FALSE)</f>
        <v>0</v>
      </c>
      <c r="JA54" s="183"/>
      <c r="JB54" s="183"/>
      <c r="JC54" s="183"/>
      <c r="JD54" s="184">
        <f>SUM((TEXT(JA54,"[M]")/60)*'Income Person-hours'!$D$3,(TEXT(JB54,"[M]")/60)*'Income Person-hours'!$D$4,(TEXT(JC54,"[M]")/60)*'Income Person-hours'!$D$5)</f>
        <v>0</v>
      </c>
    </row>
    <row r="55" spans="1:16382" s="200" customFormat="1" ht="15.75" customHeight="1">
      <c r="A55" s="172">
        <v>4.5</v>
      </c>
      <c r="B55" s="186" t="s">
        <v>137</v>
      </c>
      <c r="C55" s="173" t="s">
        <v>103</v>
      </c>
      <c r="D55" s="196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1398/11/12</v>
      </c>
      <c r="E55" s="1">
        <f t="shared" si="25"/>
        <v>13981112</v>
      </c>
      <c r="F55" s="196" t="str">
        <f>IF(N55=0,J_SUBDAY(D55,1,1)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0,J_SUBDAY(J_ADDDAY(D55,N55,1)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1,J_SUBDAY(J_ADDDAY(D55,N55+1,1)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2,J_SUBDAY(J_ADDDAY(D55,N55+2,1),1,1),J_SUBDAY(J_ADDDAY(D55,N55+3,1),1,1)))))</f>
        <v>1398/11/15</v>
      </c>
      <c r="G55" s="2">
        <f t="shared" si="22"/>
        <v>13981115</v>
      </c>
      <c r="H55" s="175">
        <v>3</v>
      </c>
      <c r="I55" s="176">
        <v>4.4000000000000004</v>
      </c>
      <c r="J55" s="174">
        <f>j_WEEKDAY(D55,2)</f>
        <v>0</v>
      </c>
      <c r="K55" s="13">
        <f t="shared" si="26"/>
        <v>0</v>
      </c>
      <c r="L55" s="191">
        <f t="shared" si="27"/>
        <v>4</v>
      </c>
      <c r="M55" s="178">
        <v>0</v>
      </c>
      <c r="N55" s="179">
        <v>4</v>
      </c>
      <c r="O55" s="6">
        <f t="shared" si="23"/>
        <v>0</v>
      </c>
      <c r="P55" s="6">
        <f>VALUE(J_normdate(J_ADDDAY($D55,$O55,1)))</f>
        <v>13981112</v>
      </c>
      <c r="Q55" s="5">
        <f t="shared" si="24"/>
        <v>4</v>
      </c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2"/>
      <c r="BH55" s="192"/>
      <c r="BI55" s="192"/>
      <c r="BJ55" s="192"/>
      <c r="BK55" s="192"/>
      <c r="BL55" s="192"/>
      <c r="BM55" s="192"/>
      <c r="BN55" s="192"/>
      <c r="BO55" s="192"/>
      <c r="BP55" s="192"/>
      <c r="BQ55" s="192"/>
      <c r="BR55" s="192"/>
      <c r="BS55" s="192"/>
      <c r="BT55" s="192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192"/>
      <c r="CO55" s="192"/>
      <c r="CP55" s="192"/>
      <c r="CQ55" s="192"/>
      <c r="CR55" s="192"/>
      <c r="CS55" s="192"/>
      <c r="CT55" s="192"/>
      <c r="CU55" s="192"/>
      <c r="CV55" s="192"/>
      <c r="CW55" s="192"/>
      <c r="CX55" s="192"/>
      <c r="CY55" s="192"/>
      <c r="CZ55" s="192"/>
      <c r="DA55" s="192"/>
      <c r="DB55" s="192"/>
      <c r="DC55" s="192"/>
      <c r="DD55" s="192"/>
      <c r="DE55" s="192"/>
      <c r="DF55" s="192"/>
      <c r="DG55" s="192"/>
      <c r="DH55" s="192"/>
      <c r="DI55" s="192"/>
      <c r="DJ55" s="192"/>
      <c r="DK55" s="192"/>
      <c r="DL55" s="192"/>
      <c r="DM55" s="192"/>
      <c r="DN55" s="192"/>
      <c r="DO55" s="192"/>
      <c r="DP55" s="192"/>
      <c r="DQ55" s="192"/>
      <c r="DR55" s="192"/>
      <c r="DS55" s="192"/>
      <c r="DT55" s="192"/>
      <c r="DU55" s="192"/>
      <c r="DV55" s="192"/>
      <c r="DW55" s="192"/>
      <c r="DX55" s="192"/>
      <c r="DY55" s="192"/>
      <c r="DZ55" s="192"/>
      <c r="EA55" s="192"/>
      <c r="EB55" s="192"/>
      <c r="EC55" s="192"/>
      <c r="ED55" s="192"/>
      <c r="EE55" s="192"/>
      <c r="EF55" s="192"/>
      <c r="EG55" s="192"/>
      <c r="EH55" s="192"/>
      <c r="EI55" s="192"/>
      <c r="EJ55" s="192"/>
      <c r="EK55" s="192"/>
      <c r="EL55" s="192"/>
      <c r="EM55" s="192"/>
      <c r="EN55" s="192"/>
      <c r="EO55" s="192"/>
      <c r="EP55" s="192"/>
      <c r="EQ55" s="192"/>
      <c r="ER55" s="192"/>
      <c r="ES55" s="192"/>
      <c r="ET55" s="192"/>
      <c r="EU55" s="192"/>
      <c r="EV55" s="192"/>
      <c r="EW55" s="192"/>
      <c r="EX55" s="192"/>
      <c r="EY55" s="192"/>
      <c r="EZ55" s="192"/>
      <c r="FA55" s="192"/>
      <c r="FB55" s="192"/>
      <c r="FC55" s="192"/>
      <c r="FD55" s="192"/>
      <c r="FE55" s="192"/>
      <c r="FF55" s="192"/>
      <c r="FG55" s="192"/>
      <c r="FH55" s="192"/>
      <c r="FI55" s="192"/>
      <c r="FJ55" s="192"/>
      <c r="FK55" s="192"/>
      <c r="FL55" s="192"/>
      <c r="FM55" s="192"/>
      <c r="FN55" s="192"/>
      <c r="FO55" s="192"/>
      <c r="FP55" s="192"/>
      <c r="FQ55" s="192"/>
      <c r="FR55" s="192"/>
      <c r="FS55" s="192"/>
      <c r="FT55" s="192"/>
      <c r="FU55" s="192"/>
      <c r="FV55" s="192"/>
      <c r="FW55" s="192"/>
      <c r="FX55" s="192"/>
      <c r="FY55" s="192"/>
      <c r="FZ55" s="192"/>
      <c r="GA55" s="192"/>
      <c r="GB55" s="192"/>
      <c r="GC55" s="192"/>
      <c r="GD55" s="192"/>
      <c r="GE55" s="192"/>
      <c r="GF55" s="192"/>
      <c r="GG55" s="192"/>
      <c r="GH55" s="192"/>
      <c r="GI55" s="192"/>
      <c r="GJ55" s="192"/>
      <c r="GK55" s="192"/>
      <c r="GL55" s="192"/>
      <c r="GM55" s="192"/>
      <c r="GN55" s="192"/>
      <c r="GO55" s="192"/>
      <c r="GP55" s="192"/>
      <c r="GQ55" s="192"/>
      <c r="GR55" s="192"/>
      <c r="GS55" s="192"/>
      <c r="GT55" s="192"/>
      <c r="GU55" s="192"/>
      <c r="GV55" s="192"/>
      <c r="GW55" s="192"/>
      <c r="GX55" s="192"/>
      <c r="GY55" s="192"/>
      <c r="GZ55" s="192"/>
      <c r="HA55" s="192"/>
      <c r="HB55" s="192"/>
      <c r="HC55" s="192"/>
      <c r="HD55" s="192"/>
      <c r="HE55" s="192"/>
      <c r="HF55" s="192"/>
      <c r="HG55" s="192"/>
      <c r="HH55" s="192"/>
      <c r="HI55" s="192"/>
      <c r="HJ55" s="192"/>
      <c r="HK55" s="192"/>
      <c r="HL55" s="192"/>
      <c r="HM55" s="192"/>
      <c r="HN55" s="192"/>
      <c r="HO55" s="192"/>
      <c r="HP55" s="192"/>
      <c r="HQ55" s="192"/>
      <c r="HR55" s="192"/>
      <c r="HS55" s="192"/>
      <c r="HT55" s="192"/>
      <c r="HU55" s="192"/>
      <c r="HV55" s="192"/>
      <c r="HW55" s="192"/>
      <c r="HX55" s="192"/>
      <c r="HY55" s="192"/>
      <c r="HZ55" s="192"/>
      <c r="IA55" s="192"/>
      <c r="IB55" s="192"/>
      <c r="IC55" s="192"/>
      <c r="ID55" s="192"/>
      <c r="IE55" s="192"/>
      <c r="IF55" s="192"/>
      <c r="IG55" s="192"/>
      <c r="IH55" s="192"/>
      <c r="II55" s="192"/>
      <c r="IJ55" s="192"/>
      <c r="IK55" s="192"/>
      <c r="IL55" s="192"/>
      <c r="IM55" s="192"/>
      <c r="IN55" s="192"/>
      <c r="IO55" s="192"/>
      <c r="IP55" s="192"/>
      <c r="IQ55" s="192"/>
      <c r="IR55" s="192"/>
      <c r="IS55" s="192"/>
      <c r="IT55" s="192"/>
      <c r="IU55" s="192"/>
      <c r="IV55" s="192"/>
      <c r="IW55" s="192"/>
      <c r="IX55" s="192"/>
      <c r="IY55" s="181">
        <v>1</v>
      </c>
      <c r="IZ55" s="182">
        <f>(TEXT(K55,"[m]")/60)*VLOOKUP(IY55,'Income Person-hours'!A$2:C$5,3,FALSE)</f>
        <v>0</v>
      </c>
      <c r="JA55" s="198"/>
      <c r="JB55" s="198"/>
      <c r="JC55" s="198"/>
      <c r="JD55" s="199">
        <f>SUM((TEXT(JA55,"[M]")/60)*'Income Person-hours'!$D$3,(TEXT(JB55,"[M]")/60)*'Income Person-hours'!$D$4,(TEXT(JC55,"[M]")/60)*'Income Person-hours'!$D$5)</f>
        <v>0</v>
      </c>
    </row>
    <row r="56" spans="1:16382" s="285" customFormat="1" ht="13.5">
      <c r="A56" s="281">
        <v>5</v>
      </c>
      <c r="B56" s="268" t="s">
        <v>113</v>
      </c>
      <c r="C56" s="269"/>
      <c r="D56" s="270" t="str">
        <f>FDate(MIN(E57:E62))</f>
        <v>1398/10/02</v>
      </c>
      <c r="E56" s="136">
        <f t="shared" si="25"/>
        <v>13981002</v>
      </c>
      <c r="F56" s="270" t="str">
        <f>J_SUBDAY(J_ADDDAY(D56,L56,1),1,1)</f>
        <v>1398/11/30</v>
      </c>
      <c r="G56" s="139">
        <f t="shared" si="22"/>
        <v>13981130</v>
      </c>
      <c r="H56" s="282"/>
      <c r="I56" s="283"/>
      <c r="J56" s="270">
        <f>j_WEEKDAY(D56,2)</f>
        <v>2</v>
      </c>
      <c r="K56" s="140">
        <f>SUM(K57:K62)</f>
        <v>0</v>
      </c>
      <c r="L56" s="273">
        <f>J_DIFF(D56,FDate(MAX(G57:G62)))+1</f>
        <v>59</v>
      </c>
      <c r="M56" s="274">
        <f>IF(SUM(L57:L62)&lt;&gt;0,SUMPRODUCT(L57:L62,M57:M62)/SUM(L57:L62),0)</f>
        <v>3.125E-2</v>
      </c>
      <c r="N56" s="275">
        <f>IF(F56&gt;=D56,NETWORKDAYS.INTL(J_GregorianDate(D56,1),J_GregorianDate(F56,1),16,1)-SUMIFS(Holieday[ok],Holieday[date],CONCATENATE("&gt;","=",D56),Holieday[date],CONCATENATE("&lt;","=",F56))+SUMIFS(Holieday[Friday],Holieday[date],CONCATENATE("&gt;","=",D56),Holieday[date],CONCATENATE("&lt;","=",F56)),0)</f>
        <v>49</v>
      </c>
      <c r="O56" s="135">
        <f>ROUNDDOWN(M56*L56,0)</f>
        <v>1</v>
      </c>
      <c r="P56" s="135">
        <f>VALUE(J_normdate(J_ADDDAY($D56,$O56,1)))</f>
        <v>13981003</v>
      </c>
      <c r="Q56" s="138">
        <f>L56-O56</f>
        <v>58</v>
      </c>
      <c r="IY56" s="286"/>
      <c r="IZ56" s="287"/>
      <c r="JA56" s="288"/>
      <c r="JB56" s="288"/>
      <c r="JC56" s="288"/>
      <c r="JD56" s="289"/>
    </row>
    <row r="57" spans="1:16382" s="185" customFormat="1" ht="13.5">
      <c r="A57" s="172">
        <v>5.0999999999999996</v>
      </c>
      <c r="B57" s="210" t="s">
        <v>114</v>
      </c>
      <c r="C57" s="173" t="s">
        <v>72</v>
      </c>
      <c r="D57" s="296" t="str">
        <f>IF(OR(j_WEEKDAY(J_ADDDAY(VLOOKUP(I57,A:F,6,FALSE),H57,1),0)=6,SUMIFS(Holieday[ok],Holieday[date],J_ADDDAY(VLOOKUP(I57,A:F,6,FALSE),H57,1)))=FALSE(),J_ADDDAY(VLOOKUP(I57,A:F,6,FALSE),H57,1),IF(OR(j_WEEKDAY(J_ADDDAY(VLOOKUP(I57,A:F,6,FALSE),H57+1,1),0)=6,SUMIFS(Holieday[ok],Holieday[date],J_ADDDAY(VLOOKUP(I57,A:F,6,FALSE),H57+1,1)))=FALSE(),J_ADDDAY(VLOOKUP(I57,A:F,6,FALSE),H57+1,1),IF(OR(j_WEEKDAY(J_ADDDAY(VLOOKUP(I57,A:F,6,FALSE),H57+2,1),0)=6,SUMIFS(Holieday[ok],Holieday[date],J_ADDDAY(VLOOKUP(I57,A:F,6,FALSE),H57+2,1)))=FALSE(),J_ADDDAY(VLOOKUP(I57,A:F,6,FALSE),H57+2,1),IF(OR(j_WEEKDAY(J_ADDDAY(VLOOKUP(I57,A:F,6,FALSE),H57+3,1),0)=6,SUMIFS(Holieday[ok],Holieday[date],J_ADDDAY(VLOOKUP(I57,A:F,6,FALSE),H57+3,1)))=FALSE(),J_ADDDAY(VLOOKUP(I57,A:F,6,FALSE),H57+3,1),IF(OR(j_WEEKDAY(J_ADDDAY(VLOOKUP(I57,A:F,6,FALSE),H57+4,1),0)=6,SUMIFS(Holieday[ok],Holieday[date],J_ADDDAY(VLOOKUP(I57,A:F,6,FALSE),H57+4,1)))=FALSE(),J_ADDDAY(VLOOKUP(I57,A:F,6,FALSE),H57+4,1),J_ADDDAY(VLOOKUP(I57,A:F,6,FALSE),H57+5,1))))))</f>
        <v>1398/10/07</v>
      </c>
      <c r="E57" s="136">
        <f t="shared" si="25"/>
        <v>13981007</v>
      </c>
      <c r="F57" s="296" t="str">
        <f>IF(N57=0,J_SUBDAY(D57,1,1),IF((N57-NETWORKDAYS.INTL(J_GregorianDate(D57,1),J_GregorianDate(J_SUBDAY(J_ADDDAY(D57,N57,1),1,1),1),16,1)-SUMIFS(Holieday[ok],Holieday[date],CONCATENATE("&gt;","=",D57),Holieday[date],CONCATENATE("&lt;","=",J_SUBDAY(J_ADDDAY(D57,N57,1),1,1)))+SUMIFS(Holieday[Friday],Holieday[date],CONCATENATE("&gt;","=",D57),Holieday[date],CONCATENATE("&lt;","=",J_SUBDAY(J_ADDDAY(D57,N57,1),1,1))))=0,J_SUBDAY(J_ADDDAY(D57,N57,1),1,1),IF((N57-NETWORKDAYS.INTL(J_GregorianDate(D57,1),J_GregorianDate(J_SUBDAY(J_ADDDAY(D57,N57,1),1,1),1),16,1)-SUMIFS(Holieday[ok],Holieday[date],CONCATENATE("&gt;","=",D57),Holieday[date],CONCATENATE("&lt;","=",J_SUBDAY(J_ADDDAY(D57,N57,1),1,1)))+SUMIFS(Holieday[Friday],Holieday[date],CONCATENATE("&gt;","=",D57),Holieday[date],CONCATENATE("&lt;","=",J_SUBDAY(J_ADDDAY(D57,N57,1),1,1))))=1,J_SUBDAY(J_ADDDAY(D57,N57+1,1),1,1),IF((N57-NETWORKDAYS.INTL(J_GregorianDate(D57,1),J_GregorianDate(J_SUBDAY(J_ADDDAY(D57,N57,1),1,1),1),16,1)-SUMIFS(Holieday[ok],Holieday[date],CONCATENATE("&gt;","=",D57),Holieday[date],CONCATENATE("&lt;","=",J_SUBDAY(J_ADDDAY(D57,N57,1),1,1)))+SUMIFS(Holieday[Friday],Holieday[date],CONCATENATE("&gt;","=",D57),Holieday[date],CONCATENATE("&lt;","=",J_SUBDAY(J_ADDDAY(D57,N57,1),1,1))))=2,J_SUBDAY(J_ADDDAY(D57,N57+2,1),1,1),J_SUBDAY(J_ADDDAY(D57,N57+3,1),1,1)))))</f>
        <v>1398/10/23</v>
      </c>
      <c r="G57" s="139">
        <f t="shared" si="22"/>
        <v>13981023</v>
      </c>
      <c r="H57" s="175">
        <v>5</v>
      </c>
      <c r="I57" s="176">
        <v>1.1000000000000001</v>
      </c>
      <c r="J57" s="174">
        <f>j_WEEKDAY(D57,2)</f>
        <v>0</v>
      </c>
      <c r="K57" s="143">
        <f>SUM(JA57:JC57)</f>
        <v>0</v>
      </c>
      <c r="L57" s="177">
        <f t="shared" ref="L57:L62" si="28">J_DIFF(D57,F57)+1</f>
        <v>17</v>
      </c>
      <c r="M57" s="178">
        <v>0</v>
      </c>
      <c r="N57" s="179">
        <v>15</v>
      </c>
      <c r="O57" s="144">
        <f>ROUNDDOWN(M57*L57,0)</f>
        <v>0</v>
      </c>
      <c r="P57" s="144">
        <f>VALUE(J_normdate(J_ADDDAY($D57,$O57,1)))</f>
        <v>13981007</v>
      </c>
      <c r="Q57" s="142">
        <f>L57-O57</f>
        <v>17</v>
      </c>
      <c r="R57" s="180"/>
      <c r="S57" s="180"/>
      <c r="T57" s="180"/>
      <c r="U57" s="180"/>
      <c r="V57" s="180"/>
      <c r="W57" s="180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  <c r="AI57" s="180"/>
      <c r="AJ57" s="180"/>
      <c r="AK57" s="180"/>
      <c r="AL57" s="180"/>
      <c r="AM57" s="180"/>
      <c r="AN57" s="180"/>
      <c r="AO57" s="180"/>
      <c r="AP57" s="180"/>
      <c r="AQ57" s="180"/>
      <c r="AR57" s="180"/>
      <c r="AS57" s="180"/>
      <c r="AT57" s="180"/>
      <c r="AU57" s="180"/>
      <c r="AV57" s="180"/>
      <c r="AW57" s="180"/>
      <c r="AX57" s="180"/>
      <c r="AY57" s="180"/>
      <c r="AZ57" s="180"/>
      <c r="BA57" s="180"/>
      <c r="BB57" s="180"/>
      <c r="BC57" s="180"/>
      <c r="BD57" s="180"/>
      <c r="BE57" s="180"/>
      <c r="BF57" s="180"/>
      <c r="BG57" s="180"/>
      <c r="BH57" s="180"/>
      <c r="BI57" s="180"/>
      <c r="BJ57" s="180"/>
      <c r="BK57" s="180"/>
      <c r="BL57" s="180"/>
      <c r="BM57" s="180"/>
      <c r="BN57" s="180"/>
      <c r="BO57" s="180"/>
      <c r="BP57" s="180"/>
      <c r="BQ57" s="180"/>
      <c r="BR57" s="180"/>
      <c r="BS57" s="180"/>
      <c r="BT57" s="180"/>
      <c r="BU57" s="180"/>
      <c r="BV57" s="180"/>
      <c r="BW57" s="180"/>
      <c r="BX57" s="180"/>
      <c r="BY57" s="180"/>
      <c r="BZ57" s="180"/>
      <c r="CA57" s="180"/>
      <c r="CB57" s="180"/>
      <c r="CC57" s="180"/>
      <c r="CD57" s="180"/>
      <c r="CE57" s="180"/>
      <c r="CF57" s="180"/>
      <c r="CG57" s="180"/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180"/>
      <c r="DI57" s="180"/>
      <c r="DJ57" s="180"/>
      <c r="DK57" s="180"/>
      <c r="DL57" s="180"/>
      <c r="DM57" s="180"/>
      <c r="DN57" s="180"/>
      <c r="DO57" s="180"/>
      <c r="DP57" s="180"/>
      <c r="DQ57" s="180"/>
      <c r="DR57" s="180"/>
      <c r="DS57" s="180"/>
      <c r="DT57" s="180"/>
      <c r="DU57" s="180"/>
      <c r="DV57" s="180"/>
      <c r="DW57" s="180"/>
      <c r="DX57" s="180"/>
      <c r="DY57" s="180"/>
      <c r="DZ57" s="180"/>
      <c r="EA57" s="180"/>
      <c r="EB57" s="180"/>
      <c r="EC57" s="180"/>
      <c r="ED57" s="180"/>
      <c r="EE57" s="180"/>
      <c r="EF57" s="180"/>
      <c r="EG57" s="180"/>
      <c r="EH57" s="180"/>
      <c r="EI57" s="180"/>
      <c r="EJ57" s="180"/>
      <c r="EK57" s="180"/>
      <c r="EL57" s="180"/>
      <c r="EM57" s="180"/>
      <c r="EN57" s="180"/>
      <c r="EO57" s="180"/>
      <c r="EP57" s="180"/>
      <c r="EQ57" s="180"/>
      <c r="ER57" s="180"/>
      <c r="ES57" s="180"/>
      <c r="ET57" s="180"/>
      <c r="EU57" s="180"/>
      <c r="EV57" s="180"/>
      <c r="EW57" s="180"/>
      <c r="EX57" s="180"/>
      <c r="EY57" s="180"/>
      <c r="EZ57" s="180"/>
      <c r="FA57" s="180"/>
      <c r="FB57" s="180"/>
      <c r="FC57" s="180"/>
      <c r="FD57" s="180"/>
      <c r="FE57" s="180"/>
      <c r="FF57" s="180"/>
      <c r="FG57" s="180"/>
      <c r="FH57" s="180"/>
      <c r="FI57" s="180"/>
      <c r="FJ57" s="180"/>
      <c r="FK57" s="180"/>
      <c r="FL57" s="180"/>
      <c r="FM57" s="180"/>
      <c r="FN57" s="180"/>
      <c r="FO57" s="180"/>
      <c r="FP57" s="180"/>
      <c r="FQ57" s="180"/>
      <c r="FR57" s="180"/>
      <c r="FS57" s="180"/>
      <c r="FT57" s="180"/>
      <c r="FU57" s="180"/>
      <c r="FV57" s="180"/>
      <c r="FW57" s="180"/>
      <c r="FX57" s="180"/>
      <c r="FY57" s="180"/>
      <c r="FZ57" s="180"/>
      <c r="GA57" s="180"/>
      <c r="GB57" s="180"/>
      <c r="GC57" s="180"/>
      <c r="GD57" s="180"/>
      <c r="GE57" s="180"/>
      <c r="GF57" s="180"/>
      <c r="GG57" s="180"/>
      <c r="GH57" s="180"/>
      <c r="GI57" s="180"/>
      <c r="GJ57" s="180"/>
      <c r="GK57" s="180"/>
      <c r="GL57" s="180"/>
      <c r="GM57" s="180"/>
      <c r="GN57" s="180"/>
      <c r="GO57" s="180"/>
      <c r="GP57" s="180"/>
      <c r="GQ57" s="180"/>
      <c r="GR57" s="180"/>
      <c r="GS57" s="180"/>
      <c r="GT57" s="180"/>
      <c r="GU57" s="180"/>
      <c r="GV57" s="180"/>
      <c r="GW57" s="180"/>
      <c r="GX57" s="180"/>
      <c r="GY57" s="180"/>
      <c r="GZ57" s="180"/>
      <c r="HA57" s="180"/>
      <c r="HB57" s="180"/>
      <c r="HC57" s="180"/>
      <c r="HD57" s="180"/>
      <c r="HE57" s="180"/>
      <c r="HF57" s="180"/>
      <c r="HG57" s="180"/>
      <c r="HH57" s="180"/>
      <c r="HI57" s="180"/>
      <c r="HJ57" s="180"/>
      <c r="HK57" s="180"/>
      <c r="HL57" s="180"/>
      <c r="HM57" s="180"/>
      <c r="HN57" s="180"/>
      <c r="HO57" s="180"/>
      <c r="HP57" s="180"/>
      <c r="HQ57" s="180"/>
      <c r="HR57" s="180"/>
      <c r="HS57" s="180"/>
      <c r="HT57" s="180"/>
      <c r="HU57" s="180"/>
      <c r="HV57" s="180"/>
      <c r="HW57" s="180"/>
      <c r="HX57" s="180"/>
      <c r="HY57" s="180"/>
      <c r="HZ57" s="180"/>
      <c r="IA57" s="180"/>
      <c r="IB57" s="180"/>
      <c r="IC57" s="180"/>
      <c r="ID57" s="180"/>
      <c r="IE57" s="180"/>
      <c r="IF57" s="180"/>
      <c r="IG57" s="180"/>
      <c r="IH57" s="180"/>
      <c r="II57" s="180"/>
      <c r="IJ57" s="180"/>
      <c r="IK57" s="180"/>
      <c r="IL57" s="180"/>
      <c r="IM57" s="180"/>
      <c r="IN57" s="180"/>
      <c r="IO57" s="180"/>
      <c r="IP57" s="180"/>
      <c r="IQ57" s="180"/>
      <c r="IR57" s="180"/>
      <c r="IS57" s="180"/>
      <c r="IT57" s="180"/>
      <c r="IU57" s="180"/>
      <c r="IV57" s="180"/>
      <c r="IW57" s="180"/>
      <c r="IX57" s="180"/>
      <c r="IY57" s="181">
        <v>2</v>
      </c>
      <c r="IZ57" s="182">
        <f>(TEXT(K57,"[m]")/60)*VLOOKUP(IY57,'Income Person-hours'!A$2:C$5,3,FALSE)</f>
        <v>0</v>
      </c>
      <c r="JA57" s="183"/>
      <c r="JB57" s="183"/>
      <c r="JC57" s="183"/>
      <c r="JD57" s="184">
        <f>SUM((TEXT(JA57,"[M]")/60)*'Income Person-hours'!$D$3,(TEXT(JB57,"[M]")/60)*'Income Person-hours'!$D$4,(TEXT(JC57,"[M]")/60)*'Income Person-hours'!$D$5)</f>
        <v>0</v>
      </c>
    </row>
    <row r="58" spans="1:16382" s="185" customFormat="1" ht="16.5" customHeight="1">
      <c r="A58" s="172">
        <v>5.2</v>
      </c>
      <c r="B58" s="186" t="s">
        <v>115</v>
      </c>
      <c r="C58" s="173" t="s">
        <v>104</v>
      </c>
      <c r="D58" s="189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1398/10/02</v>
      </c>
      <c r="E58" s="136">
        <f t="shared" si="25"/>
        <v>13981002</v>
      </c>
      <c r="F58" s="296" t="str">
        <f>IF(N58=0,J_SUBDAY(D58,1,1)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0,J_SUBDAY(J_ADDDAY(D58,N58,1)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1,J_SUBDAY(J_ADDDAY(D58,N58+1,1)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2,J_SUBDAY(J_ADDDAY(D58,N58+2,1),1,1),J_SUBDAY(J_ADDDAY(D58,N58+3,1),1,1)))))</f>
        <v>1398/10/04</v>
      </c>
      <c r="G58" s="139">
        <f t="shared" si="22"/>
        <v>13981004</v>
      </c>
      <c r="H58" s="175">
        <v>1</v>
      </c>
      <c r="I58" s="176">
        <v>1.1000000000000001</v>
      </c>
      <c r="J58" s="174">
        <f>j_WEEKDAY(D58,2)</f>
        <v>2</v>
      </c>
      <c r="K58" s="143">
        <f>SUM(JA58:JC58)</f>
        <v>0</v>
      </c>
      <c r="L58" s="177">
        <f t="shared" si="28"/>
        <v>3</v>
      </c>
      <c r="M58" s="178">
        <v>1</v>
      </c>
      <c r="N58" s="179">
        <v>3</v>
      </c>
      <c r="O58" s="144">
        <f t="shared" ref="O58:O62" si="29">ROUNDDOWN(M58*L58,0)</f>
        <v>3</v>
      </c>
      <c r="P58" s="144">
        <f>VALUE(J_normdate(J_ADDDAY($D58,$O58,1)))</f>
        <v>13981005</v>
      </c>
      <c r="Q58" s="142">
        <f t="shared" ref="Q58:Q62" si="30">L58-O58</f>
        <v>0</v>
      </c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180"/>
      <c r="DI58" s="180"/>
      <c r="DJ58" s="180"/>
      <c r="DK58" s="180"/>
      <c r="DL58" s="180"/>
      <c r="DM58" s="180"/>
      <c r="DN58" s="180"/>
      <c r="DO58" s="180"/>
      <c r="DP58" s="180"/>
      <c r="DQ58" s="180"/>
      <c r="DR58" s="180"/>
      <c r="DS58" s="180"/>
      <c r="DT58" s="180"/>
      <c r="DU58" s="180"/>
      <c r="DV58" s="180"/>
      <c r="DW58" s="180"/>
      <c r="DX58" s="180"/>
      <c r="DY58" s="180"/>
      <c r="DZ58" s="180"/>
      <c r="EA58" s="180"/>
      <c r="EB58" s="180"/>
      <c r="EC58" s="180"/>
      <c r="ED58" s="180"/>
      <c r="EE58" s="180"/>
      <c r="EF58" s="180"/>
      <c r="EG58" s="180"/>
      <c r="EH58" s="180"/>
      <c r="EI58" s="180"/>
      <c r="EJ58" s="180"/>
      <c r="EK58" s="180"/>
      <c r="EL58" s="180"/>
      <c r="EM58" s="180"/>
      <c r="EN58" s="180"/>
      <c r="EO58" s="180"/>
      <c r="EP58" s="180"/>
      <c r="EQ58" s="180"/>
      <c r="ER58" s="180"/>
      <c r="ES58" s="180"/>
      <c r="ET58" s="180"/>
      <c r="EU58" s="180"/>
      <c r="EV58" s="180"/>
      <c r="EW58" s="180"/>
      <c r="EX58" s="180"/>
      <c r="EY58" s="180"/>
      <c r="EZ58" s="180"/>
      <c r="FA58" s="180"/>
      <c r="FB58" s="180"/>
      <c r="FC58" s="180"/>
      <c r="FD58" s="180"/>
      <c r="FE58" s="180"/>
      <c r="FF58" s="180"/>
      <c r="FG58" s="180"/>
      <c r="FH58" s="180"/>
      <c r="FI58" s="180"/>
      <c r="FJ58" s="180"/>
      <c r="FK58" s="180"/>
      <c r="FL58" s="180"/>
      <c r="FM58" s="180"/>
      <c r="FN58" s="180"/>
      <c r="FO58" s="180"/>
      <c r="FP58" s="180"/>
      <c r="FQ58" s="180"/>
      <c r="FR58" s="180"/>
      <c r="FS58" s="180"/>
      <c r="FT58" s="180"/>
      <c r="FU58" s="180"/>
      <c r="FV58" s="180"/>
      <c r="FW58" s="180"/>
      <c r="FX58" s="180"/>
      <c r="FY58" s="180"/>
      <c r="FZ58" s="180"/>
      <c r="GA58" s="180"/>
      <c r="GB58" s="180"/>
      <c r="GC58" s="180"/>
      <c r="GD58" s="180"/>
      <c r="GE58" s="180"/>
      <c r="GF58" s="180"/>
      <c r="GG58" s="180"/>
      <c r="GH58" s="180"/>
      <c r="GI58" s="180"/>
      <c r="GJ58" s="180"/>
      <c r="GK58" s="180"/>
      <c r="GL58" s="180"/>
      <c r="GM58" s="180"/>
      <c r="GN58" s="180"/>
      <c r="GO58" s="180"/>
      <c r="GP58" s="180"/>
      <c r="GQ58" s="180"/>
      <c r="GR58" s="180"/>
      <c r="GS58" s="180"/>
      <c r="GT58" s="180"/>
      <c r="GU58" s="180"/>
      <c r="GV58" s="180"/>
      <c r="GW58" s="180"/>
      <c r="GX58" s="180"/>
      <c r="GY58" s="180"/>
      <c r="GZ58" s="180"/>
      <c r="HA58" s="180"/>
      <c r="HB58" s="180"/>
      <c r="HC58" s="180"/>
      <c r="HD58" s="180"/>
      <c r="HE58" s="180"/>
      <c r="HF58" s="180"/>
      <c r="HG58" s="180"/>
      <c r="HH58" s="180"/>
      <c r="HI58" s="180"/>
      <c r="HJ58" s="180"/>
      <c r="HK58" s="180"/>
      <c r="HL58" s="180"/>
      <c r="HM58" s="180"/>
      <c r="HN58" s="180"/>
      <c r="HO58" s="180"/>
      <c r="HP58" s="180"/>
      <c r="HQ58" s="180"/>
      <c r="HR58" s="180"/>
      <c r="HS58" s="180"/>
      <c r="HT58" s="180"/>
      <c r="HU58" s="180"/>
      <c r="HV58" s="180"/>
      <c r="HW58" s="180"/>
      <c r="HX58" s="180"/>
      <c r="HY58" s="180"/>
      <c r="HZ58" s="180"/>
      <c r="IA58" s="180"/>
      <c r="IB58" s="180"/>
      <c r="IC58" s="180"/>
      <c r="ID58" s="180"/>
      <c r="IE58" s="180"/>
      <c r="IF58" s="180"/>
      <c r="IG58" s="180"/>
      <c r="IH58" s="180"/>
      <c r="II58" s="180"/>
      <c r="IJ58" s="180"/>
      <c r="IK58" s="180"/>
      <c r="IL58" s="180"/>
      <c r="IM58" s="180"/>
      <c r="IN58" s="180"/>
      <c r="IO58" s="180"/>
      <c r="IP58" s="180"/>
      <c r="IQ58" s="180"/>
      <c r="IR58" s="180"/>
      <c r="IS58" s="180"/>
      <c r="IT58" s="180"/>
      <c r="IU58" s="180"/>
      <c r="IV58" s="180"/>
      <c r="IW58" s="180"/>
      <c r="IX58" s="180"/>
      <c r="IY58" s="181">
        <v>2</v>
      </c>
      <c r="IZ58" s="182">
        <f>(TEXT(K58,"[m]")/60)*VLOOKUP(IY58,'Income Person-hours'!A$2:C$5,3,FALSE)</f>
        <v>0</v>
      </c>
      <c r="JA58" s="183"/>
      <c r="JB58" s="183"/>
      <c r="JC58" s="183"/>
      <c r="JD58" s="184">
        <f>SUM((TEXT(JA58,"[M]")/60)*'Income Person-hours'!$D$3,(TEXT(JB58,"[M]")/60)*'Income Person-hours'!$D$4,(TEXT(JC58,"[M]")/60)*'Income Person-hours'!$D$5)</f>
        <v>0</v>
      </c>
    </row>
    <row r="59" spans="1:16382" s="185" customFormat="1" ht="13.5">
      <c r="A59" s="197">
        <v>5.3</v>
      </c>
      <c r="B59" s="186" t="s">
        <v>116</v>
      </c>
      <c r="C59" s="173" t="s">
        <v>72</v>
      </c>
      <c r="D59" s="296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1398/10/05</v>
      </c>
      <c r="E59" s="136">
        <f t="shared" si="25"/>
        <v>13981005</v>
      </c>
      <c r="F59" s="296" t="str">
        <f>IF(N59=0,J_SUBDAY(D59,1,1)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0,J_SUBDAY(J_ADDDAY(D59,N59,1)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1,J_SUBDAY(J_ADDDAY(D59,N59+1,1)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2,J_SUBDAY(J_ADDDAY(D59,N59+2,1),1,1),J_SUBDAY(J_ADDDAY(D59,N59+3,1),1,1)))))</f>
        <v>1398/10/16</v>
      </c>
      <c r="G59" s="139">
        <f t="shared" si="22"/>
        <v>13981016</v>
      </c>
      <c r="H59" s="175">
        <v>1</v>
      </c>
      <c r="I59" s="176">
        <v>5.2</v>
      </c>
      <c r="J59" s="174">
        <f>j_WEEKDAY(D59,2)</f>
        <v>5</v>
      </c>
      <c r="K59" s="143">
        <f>SUM(JA59:JC59)</f>
        <v>0</v>
      </c>
      <c r="L59" s="177">
        <f t="shared" si="28"/>
        <v>12</v>
      </c>
      <c r="M59" s="178">
        <v>0</v>
      </c>
      <c r="N59" s="179">
        <v>10</v>
      </c>
      <c r="O59" s="144">
        <f t="shared" si="29"/>
        <v>0</v>
      </c>
      <c r="P59" s="144">
        <f>VALUE(J_normdate(J_ADDDAY($D59,$O59,1)))</f>
        <v>13981005</v>
      </c>
      <c r="Q59" s="142">
        <f t="shared" si="30"/>
        <v>12</v>
      </c>
      <c r="R59" s="180"/>
      <c r="S59" s="180"/>
      <c r="T59" s="180"/>
      <c r="U59" s="180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L59" s="180"/>
      <c r="AM59" s="180"/>
      <c r="AN59" s="180"/>
      <c r="AO59" s="180"/>
      <c r="AP59" s="180"/>
      <c r="AQ59" s="180"/>
      <c r="AR59" s="180"/>
      <c r="AS59" s="180"/>
      <c r="AT59" s="180"/>
      <c r="AU59" s="180"/>
      <c r="AV59" s="180"/>
      <c r="AW59" s="180"/>
      <c r="AX59" s="180"/>
      <c r="AY59" s="180"/>
      <c r="AZ59" s="180"/>
      <c r="BA59" s="180"/>
      <c r="BB59" s="180"/>
      <c r="BC59" s="180"/>
      <c r="BD59" s="180"/>
      <c r="BE59" s="180"/>
      <c r="BF59" s="180"/>
      <c r="BG59" s="180"/>
      <c r="BH59" s="180"/>
      <c r="BI59" s="180"/>
      <c r="BJ59" s="180"/>
      <c r="BK59" s="180"/>
      <c r="BL59" s="180"/>
      <c r="BM59" s="180"/>
      <c r="BN59" s="180"/>
      <c r="BO59" s="180"/>
      <c r="BP59" s="180"/>
      <c r="BQ59" s="180"/>
      <c r="BR59" s="180"/>
      <c r="BS59" s="180"/>
      <c r="BT59" s="180"/>
      <c r="BU59" s="180"/>
      <c r="BV59" s="180"/>
      <c r="BW59" s="180"/>
      <c r="BX59" s="180"/>
      <c r="BY59" s="180"/>
      <c r="BZ59" s="180"/>
      <c r="CA59" s="180"/>
      <c r="CB59" s="180"/>
      <c r="CC59" s="180"/>
      <c r="CD59" s="180"/>
      <c r="CE59" s="180"/>
      <c r="CF59" s="180"/>
      <c r="CG59" s="180"/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180"/>
      <c r="DI59" s="180"/>
      <c r="DJ59" s="180"/>
      <c r="DK59" s="180"/>
      <c r="DL59" s="180"/>
      <c r="DM59" s="180"/>
      <c r="DN59" s="180"/>
      <c r="DO59" s="180"/>
      <c r="DP59" s="180"/>
      <c r="DQ59" s="180"/>
      <c r="DR59" s="180"/>
      <c r="DS59" s="180"/>
      <c r="DT59" s="180"/>
      <c r="DU59" s="180"/>
      <c r="DV59" s="180"/>
      <c r="DW59" s="180"/>
      <c r="DX59" s="180"/>
      <c r="DY59" s="180"/>
      <c r="DZ59" s="180"/>
      <c r="EA59" s="180"/>
      <c r="EB59" s="180"/>
      <c r="EC59" s="180"/>
      <c r="ED59" s="180"/>
      <c r="EE59" s="180"/>
      <c r="EF59" s="180"/>
      <c r="EG59" s="180"/>
      <c r="EH59" s="180"/>
      <c r="EI59" s="180"/>
      <c r="EJ59" s="180"/>
      <c r="EK59" s="180"/>
      <c r="EL59" s="180"/>
      <c r="EM59" s="180"/>
      <c r="EN59" s="180"/>
      <c r="EO59" s="180"/>
      <c r="EP59" s="180"/>
      <c r="EQ59" s="180"/>
      <c r="ER59" s="180"/>
      <c r="ES59" s="180"/>
      <c r="ET59" s="180"/>
      <c r="EU59" s="180"/>
      <c r="EV59" s="180"/>
      <c r="EW59" s="180"/>
      <c r="EX59" s="180"/>
      <c r="EY59" s="180"/>
      <c r="EZ59" s="180"/>
      <c r="FA59" s="180"/>
      <c r="FB59" s="180"/>
      <c r="FC59" s="180"/>
      <c r="FD59" s="180"/>
      <c r="FE59" s="180"/>
      <c r="FF59" s="180"/>
      <c r="FG59" s="180"/>
      <c r="FH59" s="180"/>
      <c r="FI59" s="180"/>
      <c r="FJ59" s="180"/>
      <c r="FK59" s="180"/>
      <c r="FL59" s="180"/>
      <c r="FM59" s="180"/>
      <c r="FN59" s="180"/>
      <c r="FO59" s="180"/>
      <c r="FP59" s="180"/>
      <c r="FQ59" s="180"/>
      <c r="FR59" s="180"/>
      <c r="FS59" s="180"/>
      <c r="FT59" s="180"/>
      <c r="FU59" s="180"/>
      <c r="FV59" s="180"/>
      <c r="FW59" s="180"/>
      <c r="FX59" s="180"/>
      <c r="FY59" s="180"/>
      <c r="FZ59" s="180"/>
      <c r="GA59" s="180"/>
      <c r="GB59" s="180"/>
      <c r="GC59" s="180"/>
      <c r="GD59" s="180"/>
      <c r="GE59" s="180"/>
      <c r="GF59" s="180"/>
      <c r="GG59" s="180"/>
      <c r="GH59" s="180"/>
      <c r="GI59" s="180"/>
      <c r="GJ59" s="180"/>
      <c r="GK59" s="180"/>
      <c r="GL59" s="180"/>
      <c r="GM59" s="180"/>
      <c r="GN59" s="180"/>
      <c r="GO59" s="180"/>
      <c r="GP59" s="180"/>
      <c r="GQ59" s="180"/>
      <c r="GR59" s="180"/>
      <c r="GS59" s="180"/>
      <c r="GT59" s="180"/>
      <c r="GU59" s="180"/>
      <c r="GV59" s="180"/>
      <c r="GW59" s="180"/>
      <c r="GX59" s="180"/>
      <c r="GY59" s="180"/>
      <c r="GZ59" s="180"/>
      <c r="HA59" s="180"/>
      <c r="HB59" s="180"/>
      <c r="HC59" s="180"/>
      <c r="HD59" s="180"/>
      <c r="HE59" s="180"/>
      <c r="HF59" s="180"/>
      <c r="HG59" s="180"/>
      <c r="HH59" s="180"/>
      <c r="HI59" s="180"/>
      <c r="HJ59" s="180"/>
      <c r="HK59" s="180"/>
      <c r="HL59" s="180"/>
      <c r="HM59" s="180"/>
      <c r="HN59" s="180"/>
      <c r="HO59" s="180"/>
      <c r="HP59" s="180"/>
      <c r="HQ59" s="180"/>
      <c r="HR59" s="180"/>
      <c r="HS59" s="180"/>
      <c r="HT59" s="180"/>
      <c r="HU59" s="180"/>
      <c r="HV59" s="180"/>
      <c r="HW59" s="180"/>
      <c r="HX59" s="180"/>
      <c r="HY59" s="180"/>
      <c r="HZ59" s="180"/>
      <c r="IA59" s="180"/>
      <c r="IB59" s="180"/>
      <c r="IC59" s="180"/>
      <c r="ID59" s="180"/>
      <c r="IE59" s="180"/>
      <c r="IF59" s="180"/>
      <c r="IG59" s="180"/>
      <c r="IH59" s="180"/>
      <c r="II59" s="180"/>
      <c r="IJ59" s="180"/>
      <c r="IK59" s="180"/>
      <c r="IL59" s="180"/>
      <c r="IM59" s="180"/>
      <c r="IN59" s="180"/>
      <c r="IO59" s="180"/>
      <c r="IP59" s="180"/>
      <c r="IQ59" s="180"/>
      <c r="IR59" s="180"/>
      <c r="IS59" s="180"/>
      <c r="IT59" s="180"/>
      <c r="IU59" s="180"/>
      <c r="IV59" s="180"/>
      <c r="IW59" s="180"/>
      <c r="IX59" s="180"/>
      <c r="IY59" s="181">
        <v>3</v>
      </c>
      <c r="IZ59" s="182">
        <f>(TEXT(K59,"[m]")/60)*VLOOKUP(IY59,'Income Person-hours'!A$2:C$5,3,FALSE)</f>
        <v>0</v>
      </c>
      <c r="JA59" s="183"/>
      <c r="JB59" s="183"/>
      <c r="JC59" s="183"/>
      <c r="JD59" s="184">
        <f>SUM((TEXT(JA59,"[M]")/60)*'Income Person-hours'!$D$3,(TEXT(JB59,"[M]")/60)*'Income Person-hours'!$D$4,(TEXT(JC59,"[M]")/60)*'Income Person-hours'!$D$5)</f>
        <v>0</v>
      </c>
    </row>
    <row r="60" spans="1:16382" s="200" customFormat="1" ht="13.5">
      <c r="A60" s="172">
        <v>5.4</v>
      </c>
      <c r="B60" s="186" t="s">
        <v>113</v>
      </c>
      <c r="C60" s="173" t="s">
        <v>104</v>
      </c>
      <c r="D60" s="196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1398/10/17</v>
      </c>
      <c r="E60" s="1">
        <f t="shared" si="25"/>
        <v>13981017</v>
      </c>
      <c r="F60" s="196" t="str">
        <f>IF(N60=0,J_SUBDAY(D60,1,1)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0,J_SUBDAY(J_ADDDAY(D60,N60,1)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1,J_SUBDAY(J_ADDDAY(D60,N60+1,1)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2,J_SUBDAY(J_ADDDAY(D60,N60+2,1),1,1),J_SUBDAY(J_ADDDAY(D60,N60+3,1),1,1)))))</f>
        <v>1398/10/30</v>
      </c>
      <c r="G60" s="2">
        <f t="shared" si="22"/>
        <v>13981030</v>
      </c>
      <c r="H60" s="175">
        <v>1</v>
      </c>
      <c r="I60" s="176">
        <v>5.3</v>
      </c>
      <c r="J60" s="190">
        <f>j_WEEKDAY(D60,2)</f>
        <v>3</v>
      </c>
      <c r="K60" s="13">
        <f>SUM(JA60:JC60)</f>
        <v>0</v>
      </c>
      <c r="L60" s="191">
        <f t="shared" si="28"/>
        <v>14</v>
      </c>
      <c r="M60" s="178">
        <v>0</v>
      </c>
      <c r="N60" s="179">
        <v>12</v>
      </c>
      <c r="O60" s="6">
        <f t="shared" si="29"/>
        <v>0</v>
      </c>
      <c r="P60" s="6">
        <f>VALUE(J_normdate(J_ADDDAY($D60,$O60,1)))</f>
        <v>13981017</v>
      </c>
      <c r="Q60" s="5">
        <f t="shared" si="30"/>
        <v>14</v>
      </c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192"/>
      <c r="CO60" s="192"/>
      <c r="CP60" s="192"/>
      <c r="CQ60" s="192"/>
      <c r="CR60" s="192"/>
      <c r="CS60" s="192"/>
      <c r="CT60" s="192"/>
      <c r="CU60" s="192"/>
      <c r="CV60" s="192"/>
      <c r="CW60" s="192"/>
      <c r="CX60" s="192"/>
      <c r="CY60" s="192"/>
      <c r="CZ60" s="192"/>
      <c r="DA60" s="192"/>
      <c r="DB60" s="192"/>
      <c r="DC60" s="192"/>
      <c r="DD60" s="192"/>
      <c r="DE60" s="192"/>
      <c r="DF60" s="192"/>
      <c r="DG60" s="192"/>
      <c r="DH60" s="192"/>
      <c r="DI60" s="192"/>
      <c r="DJ60" s="192"/>
      <c r="DK60" s="192"/>
      <c r="DL60" s="192"/>
      <c r="DM60" s="192"/>
      <c r="DN60" s="192"/>
      <c r="DO60" s="192"/>
      <c r="DP60" s="192"/>
      <c r="DQ60" s="192"/>
      <c r="DR60" s="192"/>
      <c r="DS60" s="192"/>
      <c r="DT60" s="192"/>
      <c r="DU60" s="192"/>
      <c r="DV60" s="192"/>
      <c r="DW60" s="192"/>
      <c r="DX60" s="192"/>
      <c r="DY60" s="192"/>
      <c r="DZ60" s="192"/>
      <c r="EA60" s="192"/>
      <c r="EB60" s="192"/>
      <c r="EC60" s="192"/>
      <c r="ED60" s="192"/>
      <c r="EE60" s="192"/>
      <c r="EF60" s="192"/>
      <c r="EG60" s="192"/>
      <c r="EH60" s="192"/>
      <c r="EI60" s="192"/>
      <c r="EJ60" s="192"/>
      <c r="EK60" s="192"/>
      <c r="EL60" s="192"/>
      <c r="EM60" s="192"/>
      <c r="EN60" s="192"/>
      <c r="EO60" s="192"/>
      <c r="EP60" s="192"/>
      <c r="EQ60" s="192"/>
      <c r="ER60" s="192"/>
      <c r="ES60" s="192"/>
      <c r="ET60" s="192"/>
      <c r="EU60" s="192"/>
      <c r="EV60" s="192"/>
      <c r="EW60" s="192"/>
      <c r="EX60" s="192"/>
      <c r="EY60" s="192"/>
      <c r="EZ60" s="192"/>
      <c r="FA60" s="192"/>
      <c r="FB60" s="192"/>
      <c r="FC60" s="192"/>
      <c r="FD60" s="192"/>
      <c r="FE60" s="192"/>
      <c r="FF60" s="192"/>
      <c r="FG60" s="192"/>
      <c r="FH60" s="192"/>
      <c r="FI60" s="192"/>
      <c r="FJ60" s="192"/>
      <c r="FK60" s="192"/>
      <c r="FL60" s="192"/>
      <c r="FM60" s="192"/>
      <c r="FN60" s="192"/>
      <c r="FO60" s="192"/>
      <c r="FP60" s="192"/>
      <c r="FQ60" s="192"/>
      <c r="FR60" s="192"/>
      <c r="FS60" s="192"/>
      <c r="FT60" s="192"/>
      <c r="FU60" s="192"/>
      <c r="FV60" s="192"/>
      <c r="FW60" s="192"/>
      <c r="FX60" s="192"/>
      <c r="FY60" s="192"/>
      <c r="FZ60" s="192"/>
      <c r="GA60" s="192"/>
      <c r="GB60" s="192"/>
      <c r="GC60" s="192"/>
      <c r="GD60" s="192"/>
      <c r="GE60" s="192"/>
      <c r="GF60" s="192"/>
      <c r="GG60" s="192"/>
      <c r="GH60" s="192"/>
      <c r="GI60" s="192"/>
      <c r="GJ60" s="192"/>
      <c r="GK60" s="192"/>
      <c r="GL60" s="192"/>
      <c r="GM60" s="192"/>
      <c r="GN60" s="192"/>
      <c r="GO60" s="192"/>
      <c r="GP60" s="192"/>
      <c r="GQ60" s="192"/>
      <c r="GR60" s="192"/>
      <c r="GS60" s="192"/>
      <c r="GT60" s="192"/>
      <c r="GU60" s="192"/>
      <c r="GV60" s="192"/>
      <c r="GW60" s="192"/>
      <c r="GX60" s="192"/>
      <c r="GY60" s="192"/>
      <c r="GZ60" s="192"/>
      <c r="HA60" s="192"/>
      <c r="HB60" s="192"/>
      <c r="HC60" s="192"/>
      <c r="HD60" s="192"/>
      <c r="HE60" s="192"/>
      <c r="HF60" s="192"/>
      <c r="HG60" s="192"/>
      <c r="HH60" s="192"/>
      <c r="HI60" s="192"/>
      <c r="HJ60" s="192"/>
      <c r="HK60" s="192"/>
      <c r="HL60" s="192"/>
      <c r="HM60" s="192"/>
      <c r="HN60" s="192"/>
      <c r="HO60" s="192"/>
      <c r="HP60" s="192"/>
      <c r="HQ60" s="192"/>
      <c r="HR60" s="192"/>
      <c r="HS60" s="192"/>
      <c r="HT60" s="192"/>
      <c r="HU60" s="192"/>
      <c r="HV60" s="192"/>
      <c r="HW60" s="192"/>
      <c r="HX60" s="192"/>
      <c r="HY60" s="192"/>
      <c r="HZ60" s="192"/>
      <c r="IA60" s="192"/>
      <c r="IB60" s="192"/>
      <c r="IC60" s="192"/>
      <c r="ID60" s="192"/>
      <c r="IE60" s="192"/>
      <c r="IF60" s="192"/>
      <c r="IG60" s="192"/>
      <c r="IH60" s="192"/>
      <c r="II60" s="192"/>
      <c r="IJ60" s="192"/>
      <c r="IK60" s="192"/>
      <c r="IL60" s="192"/>
      <c r="IM60" s="192"/>
      <c r="IN60" s="192"/>
      <c r="IO60" s="192"/>
      <c r="IP60" s="192"/>
      <c r="IQ60" s="192"/>
      <c r="IR60" s="192"/>
      <c r="IS60" s="192"/>
      <c r="IT60" s="192"/>
      <c r="IU60" s="192"/>
      <c r="IV60" s="192"/>
      <c r="IW60" s="192"/>
      <c r="IX60" s="192"/>
      <c r="IY60" s="181">
        <v>3</v>
      </c>
      <c r="IZ60" s="182">
        <f>(TEXT(K60,"[m]")/60)*VLOOKUP(IY60,'Income Person-hours'!A$2:C$5,3,FALSE)</f>
        <v>0</v>
      </c>
      <c r="JA60" s="183"/>
      <c r="JB60" s="183"/>
      <c r="JC60" s="183"/>
      <c r="JD60" s="199">
        <f>SUM((TEXT(JA60,"[M]")/60)*'Income Person-hours'!$D$3,(TEXT(JB60,"[M]")/60)*'Income Person-hours'!$D$4,(TEXT(JC60,"[M]")/60)*'Income Person-hours'!$D$5)</f>
        <v>0</v>
      </c>
    </row>
    <row r="61" spans="1:16382" s="200" customFormat="1" ht="31.5" customHeight="1">
      <c r="A61" s="172">
        <v>5.5</v>
      </c>
      <c r="B61" s="186" t="s">
        <v>117</v>
      </c>
      <c r="C61" s="173" t="s">
        <v>72</v>
      </c>
      <c r="D61" s="196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1398/11/01</v>
      </c>
      <c r="E61" s="1">
        <f t="shared" si="25"/>
        <v>13981101</v>
      </c>
      <c r="F61" s="196" t="str">
        <f>IF(N61=0,J_SUBDAY(D61,1,1)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0,J_SUBDAY(J_ADDDAY(D61,N61,1)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1,J_SUBDAY(J_ADDDAY(D61,N61+1,1)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2,J_SUBDAY(J_ADDDAY(D61,N61+2,1),1,1),J_SUBDAY(J_ADDDAY(D61,N61+3,1),1,1)))))</f>
        <v>1398/11/06</v>
      </c>
      <c r="G61" s="2">
        <f t="shared" si="22"/>
        <v>13981106</v>
      </c>
      <c r="H61" s="175">
        <v>1</v>
      </c>
      <c r="I61" s="176">
        <v>5.4</v>
      </c>
      <c r="J61" s="190">
        <f>j_WEEKDAY(D61,2)</f>
        <v>3</v>
      </c>
      <c r="K61" s="13">
        <f t="shared" ref="K61:K62" si="31">SUM(JA61:JC61)</f>
        <v>0</v>
      </c>
      <c r="L61" s="191">
        <f t="shared" si="28"/>
        <v>6</v>
      </c>
      <c r="M61" s="178">
        <v>0</v>
      </c>
      <c r="N61" s="179">
        <v>5</v>
      </c>
      <c r="O61" s="6">
        <f t="shared" si="29"/>
        <v>0</v>
      </c>
      <c r="P61" s="6">
        <f>VALUE(J_normdate(J_ADDDAY($D61,$O61,1)))</f>
        <v>13981101</v>
      </c>
      <c r="Q61" s="5">
        <f t="shared" si="30"/>
        <v>6</v>
      </c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192"/>
      <c r="CO61" s="192"/>
      <c r="CP61" s="192"/>
      <c r="CQ61" s="192"/>
      <c r="CR61" s="192"/>
      <c r="CS61" s="192"/>
      <c r="CT61" s="192"/>
      <c r="CU61" s="192"/>
      <c r="CV61" s="192"/>
      <c r="CW61" s="192"/>
      <c r="CX61" s="192"/>
      <c r="CY61" s="192"/>
      <c r="CZ61" s="192"/>
      <c r="DA61" s="192"/>
      <c r="DB61" s="192"/>
      <c r="DC61" s="192"/>
      <c r="DD61" s="192"/>
      <c r="DE61" s="192"/>
      <c r="DF61" s="192"/>
      <c r="DG61" s="192"/>
      <c r="DH61" s="192"/>
      <c r="DI61" s="192"/>
      <c r="DJ61" s="192"/>
      <c r="DK61" s="192"/>
      <c r="DL61" s="192"/>
      <c r="DM61" s="192"/>
      <c r="DN61" s="192"/>
      <c r="DO61" s="192"/>
      <c r="DP61" s="192"/>
      <c r="DQ61" s="192"/>
      <c r="DR61" s="192"/>
      <c r="DS61" s="192"/>
      <c r="DT61" s="192"/>
      <c r="DU61" s="192"/>
      <c r="DV61" s="192"/>
      <c r="DW61" s="192"/>
      <c r="DX61" s="192"/>
      <c r="DY61" s="192"/>
      <c r="DZ61" s="192"/>
      <c r="EA61" s="192"/>
      <c r="EB61" s="192"/>
      <c r="EC61" s="192"/>
      <c r="ED61" s="192"/>
      <c r="EE61" s="192"/>
      <c r="EF61" s="192"/>
      <c r="EG61" s="192"/>
      <c r="EH61" s="192"/>
      <c r="EI61" s="192"/>
      <c r="EJ61" s="192"/>
      <c r="EK61" s="192"/>
      <c r="EL61" s="192"/>
      <c r="EM61" s="192"/>
      <c r="EN61" s="192"/>
      <c r="EO61" s="192"/>
      <c r="EP61" s="192"/>
      <c r="EQ61" s="192"/>
      <c r="ER61" s="192"/>
      <c r="ES61" s="192"/>
      <c r="ET61" s="192"/>
      <c r="EU61" s="192"/>
      <c r="EV61" s="192"/>
      <c r="EW61" s="192"/>
      <c r="EX61" s="192"/>
      <c r="EY61" s="192"/>
      <c r="EZ61" s="192"/>
      <c r="FA61" s="192"/>
      <c r="FB61" s="192"/>
      <c r="FC61" s="192"/>
      <c r="FD61" s="192"/>
      <c r="FE61" s="192"/>
      <c r="FF61" s="192"/>
      <c r="FG61" s="192"/>
      <c r="FH61" s="192"/>
      <c r="FI61" s="192"/>
      <c r="FJ61" s="192"/>
      <c r="FK61" s="192"/>
      <c r="FL61" s="192"/>
      <c r="FM61" s="192"/>
      <c r="FN61" s="192"/>
      <c r="FO61" s="192"/>
      <c r="FP61" s="192"/>
      <c r="FQ61" s="192"/>
      <c r="FR61" s="192"/>
      <c r="FS61" s="192"/>
      <c r="FT61" s="192"/>
      <c r="FU61" s="192"/>
      <c r="FV61" s="192"/>
      <c r="FW61" s="192"/>
      <c r="FX61" s="192"/>
      <c r="FY61" s="192"/>
      <c r="FZ61" s="192"/>
      <c r="GA61" s="192"/>
      <c r="GB61" s="192"/>
      <c r="GC61" s="192"/>
      <c r="GD61" s="192"/>
      <c r="GE61" s="192"/>
      <c r="GF61" s="192"/>
      <c r="GG61" s="192"/>
      <c r="GH61" s="192"/>
      <c r="GI61" s="192"/>
      <c r="GJ61" s="192"/>
      <c r="GK61" s="192"/>
      <c r="GL61" s="192"/>
      <c r="GM61" s="192"/>
      <c r="GN61" s="192"/>
      <c r="GO61" s="192"/>
      <c r="GP61" s="192"/>
      <c r="GQ61" s="192"/>
      <c r="GR61" s="192"/>
      <c r="GS61" s="192"/>
      <c r="GT61" s="192"/>
      <c r="GU61" s="192"/>
      <c r="GV61" s="192"/>
      <c r="GW61" s="192"/>
      <c r="GX61" s="192"/>
      <c r="GY61" s="192"/>
      <c r="GZ61" s="192"/>
      <c r="HA61" s="192"/>
      <c r="HB61" s="192"/>
      <c r="HC61" s="192"/>
      <c r="HD61" s="192"/>
      <c r="HE61" s="192"/>
      <c r="HF61" s="192"/>
      <c r="HG61" s="192"/>
      <c r="HH61" s="192"/>
      <c r="HI61" s="192"/>
      <c r="HJ61" s="192"/>
      <c r="HK61" s="192"/>
      <c r="HL61" s="192"/>
      <c r="HM61" s="192"/>
      <c r="HN61" s="192"/>
      <c r="HO61" s="192"/>
      <c r="HP61" s="192"/>
      <c r="HQ61" s="192"/>
      <c r="HR61" s="192"/>
      <c r="HS61" s="192"/>
      <c r="HT61" s="192"/>
      <c r="HU61" s="192"/>
      <c r="HV61" s="192"/>
      <c r="HW61" s="192"/>
      <c r="HX61" s="192"/>
      <c r="HY61" s="192"/>
      <c r="HZ61" s="192"/>
      <c r="IA61" s="192"/>
      <c r="IB61" s="192"/>
      <c r="IC61" s="192"/>
      <c r="ID61" s="192"/>
      <c r="IE61" s="192"/>
      <c r="IF61" s="192"/>
      <c r="IG61" s="192"/>
      <c r="IH61" s="192"/>
      <c r="II61" s="192"/>
      <c r="IJ61" s="192"/>
      <c r="IK61" s="192"/>
      <c r="IL61" s="192"/>
      <c r="IM61" s="192"/>
      <c r="IN61" s="192"/>
      <c r="IO61" s="192"/>
      <c r="IP61" s="192"/>
      <c r="IQ61" s="192"/>
      <c r="IR61" s="192"/>
      <c r="IS61" s="192"/>
      <c r="IT61" s="192"/>
      <c r="IU61" s="192"/>
      <c r="IV61" s="192"/>
      <c r="IW61" s="192"/>
      <c r="IX61" s="192"/>
      <c r="JA61" s="198"/>
      <c r="JB61" s="198"/>
      <c r="JC61" s="198"/>
      <c r="JD61" s="199">
        <f>SUM((TEXT(JA61,"[M]")/60)*'Income Person-hours'!$D$3,(TEXT(JB61,"[M]")/60)*'Income Person-hours'!$D$4,(TEXT(JC61,"[M]")/60)*'Income Person-hours'!$D$5)</f>
        <v>0</v>
      </c>
    </row>
    <row r="62" spans="1:16382" s="200" customFormat="1" ht="16.5" customHeight="1">
      <c r="A62" s="188">
        <v>5.6</v>
      </c>
      <c r="B62" s="186" t="s">
        <v>118</v>
      </c>
      <c r="C62" s="173" t="s">
        <v>72</v>
      </c>
      <c r="D62" s="196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1398/10/17</v>
      </c>
      <c r="E62" s="1">
        <f t="shared" si="25"/>
        <v>13981017</v>
      </c>
      <c r="F62" s="196" t="str">
        <f>IF(N62=0,J_SUBDAY(D62,1,1)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0,J_SUBDAY(J_ADDDAY(D62,N62,1)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1,J_SUBDAY(J_ADDDAY(D62,N62+1,1)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2,J_SUBDAY(J_ADDDAY(D62,N62+2,1),1,1),J_SUBDAY(J_ADDDAY(D62,N62+3,1),1,1)))))</f>
        <v>1398/11/30</v>
      </c>
      <c r="G62" s="2">
        <f t="shared" si="22"/>
        <v>13981130</v>
      </c>
      <c r="H62" s="175">
        <v>1</v>
      </c>
      <c r="I62" s="176">
        <v>5.3</v>
      </c>
      <c r="J62" s="190">
        <f>j_WEEKDAY(D62,2)</f>
        <v>3</v>
      </c>
      <c r="K62" s="13">
        <f t="shared" si="31"/>
        <v>0</v>
      </c>
      <c r="L62" s="191">
        <f t="shared" si="28"/>
        <v>44</v>
      </c>
      <c r="M62" s="178">
        <v>0</v>
      </c>
      <c r="N62" s="179">
        <v>41</v>
      </c>
      <c r="O62" s="6">
        <f t="shared" si="29"/>
        <v>0</v>
      </c>
      <c r="P62" s="6">
        <f>VALUE(J_normdate(J_ADDDAY($D62,$O62,1)))</f>
        <v>13981017</v>
      </c>
      <c r="Q62" s="5">
        <f t="shared" si="30"/>
        <v>44</v>
      </c>
      <c r="R62" s="192"/>
      <c r="S62" s="192"/>
      <c r="T62" s="192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192"/>
      <c r="CO62" s="192"/>
      <c r="CP62" s="192"/>
      <c r="CQ62" s="192"/>
      <c r="CR62" s="192"/>
      <c r="CS62" s="192"/>
      <c r="CT62" s="192"/>
      <c r="CU62" s="192"/>
      <c r="CV62" s="192"/>
      <c r="CW62" s="192"/>
      <c r="CX62" s="192"/>
      <c r="CY62" s="192"/>
      <c r="CZ62" s="192"/>
      <c r="DA62" s="192"/>
      <c r="DB62" s="192"/>
      <c r="DC62" s="192"/>
      <c r="DD62" s="192"/>
      <c r="DE62" s="192"/>
      <c r="DF62" s="192"/>
      <c r="DG62" s="192"/>
      <c r="DH62" s="192"/>
      <c r="DI62" s="192"/>
      <c r="DJ62" s="192"/>
      <c r="DK62" s="192"/>
      <c r="DL62" s="192"/>
      <c r="DM62" s="192"/>
      <c r="DN62" s="192"/>
      <c r="DO62" s="192"/>
      <c r="DP62" s="192"/>
      <c r="DQ62" s="192"/>
      <c r="DR62" s="192"/>
      <c r="DS62" s="192"/>
      <c r="DT62" s="192"/>
      <c r="DU62" s="192"/>
      <c r="DV62" s="192"/>
      <c r="DW62" s="192"/>
      <c r="DX62" s="192"/>
      <c r="DY62" s="192"/>
      <c r="DZ62" s="192"/>
      <c r="EA62" s="192"/>
      <c r="EB62" s="192"/>
      <c r="EC62" s="192"/>
      <c r="ED62" s="192"/>
      <c r="EE62" s="192"/>
      <c r="EF62" s="192"/>
      <c r="EG62" s="192"/>
      <c r="EH62" s="192"/>
      <c r="EI62" s="192"/>
      <c r="EJ62" s="192"/>
      <c r="EK62" s="192"/>
      <c r="EL62" s="192"/>
      <c r="EM62" s="192"/>
      <c r="EN62" s="192"/>
      <c r="EO62" s="192"/>
      <c r="EP62" s="192"/>
      <c r="EQ62" s="192"/>
      <c r="ER62" s="192"/>
      <c r="ES62" s="192"/>
      <c r="ET62" s="192"/>
      <c r="EU62" s="192"/>
      <c r="EV62" s="192"/>
      <c r="EW62" s="192"/>
      <c r="EX62" s="192"/>
      <c r="EY62" s="192"/>
      <c r="EZ62" s="192"/>
      <c r="FA62" s="192"/>
      <c r="FB62" s="192"/>
      <c r="FC62" s="192"/>
      <c r="FD62" s="192"/>
      <c r="FE62" s="192"/>
      <c r="FF62" s="192"/>
      <c r="FG62" s="192"/>
      <c r="FH62" s="192"/>
      <c r="FI62" s="192"/>
      <c r="FJ62" s="192"/>
      <c r="FK62" s="192"/>
      <c r="FL62" s="192"/>
      <c r="FM62" s="192"/>
      <c r="FN62" s="192"/>
      <c r="FO62" s="192"/>
      <c r="FP62" s="192"/>
      <c r="FQ62" s="192"/>
      <c r="FR62" s="192"/>
      <c r="FS62" s="192"/>
      <c r="FT62" s="192"/>
      <c r="FU62" s="192"/>
      <c r="FV62" s="192"/>
      <c r="FW62" s="192"/>
      <c r="FX62" s="192"/>
      <c r="FY62" s="192"/>
      <c r="FZ62" s="192"/>
      <c r="GA62" s="192"/>
      <c r="GB62" s="192"/>
      <c r="GC62" s="192"/>
      <c r="GD62" s="192"/>
      <c r="GE62" s="192"/>
      <c r="GF62" s="192"/>
      <c r="GG62" s="192"/>
      <c r="GH62" s="192"/>
      <c r="GI62" s="192"/>
      <c r="GJ62" s="192"/>
      <c r="GK62" s="192"/>
      <c r="GL62" s="192"/>
      <c r="GM62" s="192"/>
      <c r="GN62" s="192"/>
      <c r="GO62" s="192"/>
      <c r="GP62" s="192"/>
      <c r="GQ62" s="192"/>
      <c r="GR62" s="192"/>
      <c r="GS62" s="192"/>
      <c r="GT62" s="192"/>
      <c r="GU62" s="192"/>
      <c r="GV62" s="192"/>
      <c r="GW62" s="192"/>
      <c r="GX62" s="192"/>
      <c r="GY62" s="192"/>
      <c r="GZ62" s="192"/>
      <c r="HA62" s="192"/>
      <c r="HB62" s="192"/>
      <c r="HC62" s="192"/>
      <c r="HD62" s="192"/>
      <c r="HE62" s="192"/>
      <c r="HF62" s="192"/>
      <c r="HG62" s="192"/>
      <c r="HH62" s="192"/>
      <c r="HI62" s="192"/>
      <c r="HJ62" s="192"/>
      <c r="HK62" s="192"/>
      <c r="HL62" s="192"/>
      <c r="HM62" s="192"/>
      <c r="HN62" s="192"/>
      <c r="HO62" s="192"/>
      <c r="HP62" s="192"/>
      <c r="HQ62" s="192"/>
      <c r="HR62" s="192"/>
      <c r="HS62" s="192"/>
      <c r="HT62" s="192"/>
      <c r="HU62" s="192"/>
      <c r="HV62" s="192"/>
      <c r="HW62" s="192"/>
      <c r="HX62" s="192"/>
      <c r="HY62" s="192"/>
      <c r="HZ62" s="192"/>
      <c r="IA62" s="192"/>
      <c r="IB62" s="192"/>
      <c r="IC62" s="192"/>
      <c r="ID62" s="192"/>
      <c r="IE62" s="192"/>
      <c r="IF62" s="192"/>
      <c r="IG62" s="192"/>
      <c r="IH62" s="192"/>
      <c r="II62" s="192"/>
      <c r="IJ62" s="192"/>
      <c r="IK62" s="192"/>
      <c r="IL62" s="192"/>
      <c r="IM62" s="192"/>
      <c r="IN62" s="192"/>
      <c r="IO62" s="192"/>
      <c r="IP62" s="192"/>
      <c r="IQ62" s="192"/>
      <c r="IR62" s="192"/>
      <c r="IS62" s="192"/>
      <c r="IT62" s="192"/>
      <c r="IU62" s="192"/>
      <c r="IV62" s="192"/>
      <c r="IW62" s="192"/>
      <c r="IX62" s="192"/>
      <c r="JA62" s="183"/>
      <c r="JB62" s="183"/>
      <c r="JC62" s="183"/>
      <c r="JD62" s="199">
        <f>SUM((TEXT(JA62,"[M]")/60)*'Income Person-hours'!$D$3,(TEXT(JB62,"[M]")/60)*'Income Person-hours'!$D$4,(TEXT(JC62,"[M]")/60)*'Income Person-hours'!$D$5)</f>
        <v>0</v>
      </c>
    </row>
    <row r="63" spans="1:16382" s="285" customFormat="1" ht="35.25" customHeight="1">
      <c r="A63" s="281">
        <v>6</v>
      </c>
      <c r="B63" s="268" t="s">
        <v>106</v>
      </c>
      <c r="C63" s="269"/>
      <c r="D63" s="270" t="str">
        <f>FDate(MIN(E64:E66))</f>
        <v>1398/10/02</v>
      </c>
      <c r="E63" s="136">
        <f t="shared" ref="E63:E68" si="32">VALUE(J_normdate(D63))</f>
        <v>13981002</v>
      </c>
      <c r="F63" s="270" t="str">
        <f>J_SUBDAY(J_ADDDAY(D63,L63,1),1,1)</f>
        <v>1398/11/03</v>
      </c>
      <c r="G63" s="139">
        <f t="shared" ref="G63:G68" si="33">VALUE(J_normdate(F63))</f>
        <v>13981103</v>
      </c>
      <c r="H63" s="282"/>
      <c r="I63" s="283"/>
      <c r="J63" s="270">
        <f>j_WEEKDAY(D63,2)</f>
        <v>2</v>
      </c>
      <c r="K63" s="140">
        <f>SUM(K64:K66)</f>
        <v>0</v>
      </c>
      <c r="L63" s="273">
        <f>J_DIFF(D63,FDate(MAX(G64:G66)))+1</f>
        <v>32</v>
      </c>
      <c r="M63" s="274">
        <f>IF(SUM(L64:L66)&lt;&gt;0,SUMPRODUCT(L64:L66,M64:M66)/SUM(L64:L66),0)</f>
        <v>0</v>
      </c>
      <c r="N63" s="275">
        <f>IF(F63&gt;=D63,NETWORKDAYS.INTL(J_GregorianDate(D63,1),J_GregorianDate(F63,1),16,1)-SUMIFS(Holieday[ok],Holieday[date],CONCATENATE("&gt;","=",D63),Holieday[date],CONCATENATE("&lt;","=",F63))+SUMIFS(Holieday[Friday],Holieday[date],CONCATENATE("&gt;","=",D63),Holieday[date],CONCATENATE("&lt;","=",F63)),0)</f>
        <v>28</v>
      </c>
      <c r="O63" s="135">
        <f t="shared" ref="O63:O64" si="34">ROUNDDOWN(M63*L63,0)</f>
        <v>0</v>
      </c>
      <c r="P63" s="135">
        <f>VALUE(J_normdate(J_ADDDAY($D63,$O63,1)))</f>
        <v>13981002</v>
      </c>
      <c r="Q63" s="138">
        <f t="shared" ref="Q63:Q64" si="35">L63-O63</f>
        <v>32</v>
      </c>
      <c r="IY63" s="286"/>
      <c r="IZ63" s="287"/>
      <c r="JA63" s="288"/>
      <c r="JB63" s="288"/>
      <c r="JC63" s="288"/>
      <c r="JD63" s="289"/>
    </row>
    <row r="64" spans="1:16382" s="218" customFormat="1" ht="16.5" customHeight="1">
      <c r="A64" s="211">
        <v>6.1</v>
      </c>
      <c r="B64" s="186" t="s">
        <v>123</v>
      </c>
      <c r="C64" s="173" t="s">
        <v>72</v>
      </c>
      <c r="D64" s="189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1398/10/02</v>
      </c>
      <c r="E64" s="136">
        <f t="shared" si="32"/>
        <v>13981002</v>
      </c>
      <c r="F64" s="296" t="str">
        <f>IF(N64=0,J_SUBDAY(D64,1,1)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0,J_SUBDAY(J_ADDDAY(D64,N64,1)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1,J_SUBDAY(J_ADDDAY(D64,N64+1,1),1,1),IF((N64-NETWORKDAYS.INTL(J_GregorianDate(D64,1),J_GregorianDate(J_SUBDAY(J_ADDDAY(D64,N64,1),1,1),1),16,1)-SUMIFS(Holieday[ok],Holieday[date],CONCATENATE("&gt;","=",D64),Holieday[date],CONCATENATE("&lt;","=",J_SUBDAY(J_ADDDAY(D64,N64,1),1,1)))+SUMIFS(Holieday[Friday],Holieday[date],CONCATENATE("&gt;","=",D64),Holieday[date],CONCATENATE("&lt;","=",J_SUBDAY(J_ADDDAY(D64,N64,1),1,1))))=2,J_SUBDAY(J_ADDDAY(D64,N64+2,1),1,1),J_SUBDAY(J_ADDDAY(D64,N64+3,1),1,1)))))</f>
        <v>1398/10/15</v>
      </c>
      <c r="G64" s="139">
        <f t="shared" si="33"/>
        <v>13981015</v>
      </c>
      <c r="H64" s="175">
        <v>1</v>
      </c>
      <c r="I64" s="176">
        <v>1.1000000000000001</v>
      </c>
      <c r="J64" s="174">
        <f>j_WEEKDAY(D64,2)</f>
        <v>2</v>
      </c>
      <c r="K64" s="143">
        <f t="shared" ref="K64:K66" si="36">SUM(JA64:JC64)</f>
        <v>0</v>
      </c>
      <c r="L64" s="212">
        <f t="shared" ref="L64:L68" si="37">J_DIFF(D64,F64)+1</f>
        <v>14</v>
      </c>
      <c r="M64" s="213">
        <v>0</v>
      </c>
      <c r="N64" s="179">
        <v>12</v>
      </c>
      <c r="O64" s="144">
        <f t="shared" si="34"/>
        <v>0</v>
      </c>
      <c r="P64" s="144">
        <f>VALUE(J_normdate(J_ADDDAY($D64,$O64,1)))</f>
        <v>13981002</v>
      </c>
      <c r="Q64" s="142">
        <f t="shared" si="35"/>
        <v>14</v>
      </c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  <c r="AI64" s="180"/>
      <c r="AJ64" s="180"/>
      <c r="AK64" s="180"/>
      <c r="AL64" s="180"/>
      <c r="AM64" s="180"/>
      <c r="AN64" s="180"/>
      <c r="AO64" s="180"/>
      <c r="AP64" s="180"/>
      <c r="AQ64" s="180"/>
      <c r="AR64" s="180"/>
      <c r="AS64" s="180"/>
      <c r="AT64" s="180"/>
      <c r="AU64" s="180"/>
      <c r="AV64" s="180"/>
      <c r="AW64" s="180"/>
      <c r="AX64" s="180"/>
      <c r="AY64" s="180"/>
      <c r="AZ64" s="180"/>
      <c r="BA64" s="180"/>
      <c r="BB64" s="180"/>
      <c r="BC64" s="180"/>
      <c r="BD64" s="180"/>
      <c r="BE64" s="180"/>
      <c r="BF64" s="180"/>
      <c r="BG64" s="180"/>
      <c r="BH64" s="180"/>
      <c r="BI64" s="180"/>
      <c r="BJ64" s="180"/>
      <c r="BK64" s="180"/>
      <c r="BL64" s="180"/>
      <c r="BM64" s="180"/>
      <c r="BN64" s="180"/>
      <c r="BO64" s="180"/>
      <c r="BP64" s="180"/>
      <c r="BQ64" s="180"/>
      <c r="BR64" s="180"/>
      <c r="BS64" s="180"/>
      <c r="BT64" s="180"/>
      <c r="BU64" s="180"/>
      <c r="BV64" s="180"/>
      <c r="BW64" s="180"/>
      <c r="BX64" s="180"/>
      <c r="BY64" s="180"/>
      <c r="BZ64" s="180"/>
      <c r="CA64" s="180"/>
      <c r="CB64" s="180"/>
      <c r="CC64" s="180"/>
      <c r="CD64" s="180"/>
      <c r="CE64" s="180"/>
      <c r="CF64" s="180"/>
      <c r="CG64" s="180"/>
      <c r="CH64" s="180"/>
      <c r="CI64" s="180"/>
      <c r="CJ64" s="180"/>
      <c r="CK64" s="180"/>
      <c r="CL64" s="180"/>
      <c r="CM64" s="180"/>
      <c r="CN64" s="180"/>
      <c r="CO64" s="180"/>
      <c r="CP64" s="180"/>
      <c r="CQ64" s="180"/>
      <c r="CR64" s="180"/>
      <c r="CS64" s="180"/>
      <c r="CT64" s="180"/>
      <c r="CU64" s="180"/>
      <c r="CV64" s="180"/>
      <c r="CW64" s="180"/>
      <c r="CX64" s="180"/>
      <c r="CY64" s="180"/>
      <c r="CZ64" s="180"/>
      <c r="DA64" s="180"/>
      <c r="DB64" s="180"/>
      <c r="DC64" s="180"/>
      <c r="DD64" s="180"/>
      <c r="DE64" s="180"/>
      <c r="DF64" s="180"/>
      <c r="DG64" s="180"/>
      <c r="DH64" s="180"/>
      <c r="DI64" s="180"/>
      <c r="DJ64" s="180"/>
      <c r="DK64" s="180"/>
      <c r="DL64" s="180"/>
      <c r="DM64" s="180"/>
      <c r="DN64" s="180"/>
      <c r="DO64" s="180"/>
      <c r="DP64" s="180"/>
      <c r="DQ64" s="180"/>
      <c r="DR64" s="180"/>
      <c r="DS64" s="180"/>
      <c r="DT64" s="180"/>
      <c r="DU64" s="180"/>
      <c r="DV64" s="180"/>
      <c r="DW64" s="180"/>
      <c r="DX64" s="180"/>
      <c r="DY64" s="180"/>
      <c r="DZ64" s="180"/>
      <c r="EA64" s="180"/>
      <c r="EB64" s="180"/>
      <c r="EC64" s="180"/>
      <c r="ED64" s="180"/>
      <c r="EE64" s="180"/>
      <c r="EF64" s="180"/>
      <c r="EG64" s="180"/>
      <c r="EH64" s="180"/>
      <c r="EI64" s="180"/>
      <c r="EJ64" s="180"/>
      <c r="EK64" s="180"/>
      <c r="EL64" s="180"/>
      <c r="EM64" s="180"/>
      <c r="EN64" s="180"/>
      <c r="EO64" s="180"/>
      <c r="EP64" s="180"/>
      <c r="EQ64" s="180"/>
      <c r="ER64" s="180"/>
      <c r="ES64" s="180"/>
      <c r="ET64" s="180"/>
      <c r="EU64" s="180"/>
      <c r="EV64" s="180"/>
      <c r="EW64" s="180"/>
      <c r="EX64" s="180"/>
      <c r="EY64" s="180"/>
      <c r="EZ64" s="180"/>
      <c r="FA64" s="180"/>
      <c r="FB64" s="180"/>
      <c r="FC64" s="180"/>
      <c r="FD64" s="180"/>
      <c r="FE64" s="180"/>
      <c r="FF64" s="180"/>
      <c r="FG64" s="180"/>
      <c r="FH64" s="180"/>
      <c r="FI64" s="180"/>
      <c r="FJ64" s="180"/>
      <c r="FK64" s="180"/>
      <c r="FL64" s="180"/>
      <c r="FM64" s="180"/>
      <c r="FN64" s="180"/>
      <c r="FO64" s="180"/>
      <c r="FP64" s="180"/>
      <c r="FQ64" s="180"/>
      <c r="FR64" s="180"/>
      <c r="FS64" s="180"/>
      <c r="FT64" s="180"/>
      <c r="FU64" s="180"/>
      <c r="FV64" s="180"/>
      <c r="FW64" s="180"/>
      <c r="FX64" s="180"/>
      <c r="FY64" s="180"/>
      <c r="FZ64" s="180"/>
      <c r="GA64" s="180"/>
      <c r="GB64" s="180"/>
      <c r="GC64" s="180"/>
      <c r="GD64" s="180"/>
      <c r="GE64" s="180"/>
      <c r="GF64" s="180"/>
      <c r="GG64" s="180"/>
      <c r="GH64" s="180"/>
      <c r="GI64" s="180"/>
      <c r="GJ64" s="180"/>
      <c r="GK64" s="180"/>
      <c r="GL64" s="180"/>
      <c r="GM64" s="180"/>
      <c r="GN64" s="180"/>
      <c r="GO64" s="180"/>
      <c r="GP64" s="180"/>
      <c r="GQ64" s="180"/>
      <c r="GR64" s="180"/>
      <c r="GS64" s="180"/>
      <c r="GT64" s="180"/>
      <c r="GU64" s="180"/>
      <c r="GV64" s="180"/>
      <c r="GW64" s="180"/>
      <c r="GX64" s="180"/>
      <c r="GY64" s="180"/>
      <c r="GZ64" s="180"/>
      <c r="HA64" s="180"/>
      <c r="HB64" s="180"/>
      <c r="HC64" s="180"/>
      <c r="HD64" s="180"/>
      <c r="HE64" s="180"/>
      <c r="HF64" s="180"/>
      <c r="HG64" s="180"/>
      <c r="HH64" s="180"/>
      <c r="HI64" s="180"/>
      <c r="HJ64" s="180"/>
      <c r="HK64" s="180"/>
      <c r="HL64" s="180"/>
      <c r="HM64" s="180"/>
      <c r="HN64" s="180"/>
      <c r="HO64" s="180"/>
      <c r="HP64" s="180"/>
      <c r="HQ64" s="180"/>
      <c r="HR64" s="180"/>
      <c r="HS64" s="180"/>
      <c r="HT64" s="180"/>
      <c r="HU64" s="180"/>
      <c r="HV64" s="180"/>
      <c r="HW64" s="180"/>
      <c r="HX64" s="180"/>
      <c r="HY64" s="180"/>
      <c r="HZ64" s="180"/>
      <c r="IA64" s="180"/>
      <c r="IB64" s="180"/>
      <c r="IC64" s="180"/>
      <c r="ID64" s="180"/>
      <c r="IE64" s="180"/>
      <c r="IF64" s="180"/>
      <c r="IG64" s="180"/>
      <c r="IH64" s="180"/>
      <c r="II64" s="180"/>
      <c r="IJ64" s="180"/>
      <c r="IK64" s="180"/>
      <c r="IL64" s="180"/>
      <c r="IM64" s="180"/>
      <c r="IN64" s="180"/>
      <c r="IO64" s="180"/>
      <c r="IP64" s="180"/>
      <c r="IQ64" s="180"/>
      <c r="IR64" s="180"/>
      <c r="IS64" s="180"/>
      <c r="IT64" s="180"/>
      <c r="IU64" s="180"/>
      <c r="IV64" s="180"/>
      <c r="IW64" s="180"/>
      <c r="IX64" s="180"/>
      <c r="IY64" s="214">
        <v>1</v>
      </c>
      <c r="IZ64" s="214">
        <f>(TEXT(K64,"[m]")/60)*VLOOKUP(IY64,'Income Person-hours'!A$2:C$5,3,FALSE)</f>
        <v>0</v>
      </c>
      <c r="JA64" s="194"/>
      <c r="JB64" s="215"/>
      <c r="JC64" s="216"/>
      <c r="JD64" s="217">
        <f>SUM((TEXT(JA64,"[M]")/60)*'Income Person-hours'!$D$3,(TEXT(JB64,"[M]")/60)*'Income Person-hours'!$D$4,(TEXT(JC64,"[M]")/60)*'Income Person-hours'!$D$5)</f>
        <v>0</v>
      </c>
      <c r="JE64" s="180"/>
      <c r="JF64" s="180"/>
      <c r="JG64" s="180"/>
      <c r="JH64" s="180"/>
      <c r="JI64" s="180"/>
      <c r="JJ64" s="180"/>
      <c r="JK64" s="180"/>
      <c r="JL64" s="180"/>
      <c r="JM64" s="180"/>
      <c r="JN64" s="180"/>
      <c r="JO64" s="180"/>
      <c r="JP64" s="180"/>
      <c r="JQ64" s="180"/>
      <c r="JR64" s="180"/>
      <c r="JS64" s="180"/>
      <c r="JT64" s="180"/>
      <c r="JU64" s="180"/>
      <c r="JV64" s="180"/>
      <c r="JW64" s="180"/>
      <c r="JX64" s="180"/>
      <c r="JY64" s="180"/>
      <c r="JZ64" s="180"/>
      <c r="KA64" s="180"/>
      <c r="KB64" s="180"/>
      <c r="KC64" s="180"/>
      <c r="KD64" s="180"/>
      <c r="KE64" s="180"/>
      <c r="KF64" s="180"/>
      <c r="KG64" s="180"/>
      <c r="KH64" s="180"/>
      <c r="KI64" s="180"/>
      <c r="KJ64" s="180"/>
      <c r="KK64" s="180"/>
      <c r="KL64" s="180"/>
      <c r="KM64" s="180"/>
      <c r="KN64" s="180"/>
      <c r="KO64" s="180"/>
      <c r="KP64" s="180"/>
      <c r="KQ64" s="180"/>
      <c r="KR64" s="180"/>
      <c r="KS64" s="180"/>
      <c r="KT64" s="180"/>
      <c r="KU64" s="180"/>
      <c r="KV64" s="180"/>
      <c r="KW64" s="180"/>
      <c r="KX64" s="180"/>
      <c r="KY64" s="180"/>
      <c r="KZ64" s="180"/>
      <c r="LA64" s="180"/>
      <c r="LB64" s="180"/>
      <c r="LC64" s="180"/>
      <c r="LD64" s="180"/>
      <c r="LE64" s="180"/>
      <c r="LF64" s="180"/>
      <c r="LG64" s="180"/>
      <c r="LH64" s="180"/>
      <c r="LI64" s="180"/>
      <c r="LJ64" s="180"/>
      <c r="LK64" s="180"/>
      <c r="LL64" s="180"/>
      <c r="LM64" s="180"/>
      <c r="LN64" s="180"/>
      <c r="LO64" s="180"/>
      <c r="LP64" s="180"/>
      <c r="LQ64" s="180"/>
      <c r="LR64" s="180"/>
      <c r="LS64" s="180"/>
      <c r="LT64" s="180"/>
      <c r="LU64" s="180"/>
      <c r="LV64" s="180"/>
      <c r="LW64" s="180"/>
      <c r="LX64" s="180"/>
      <c r="LY64" s="180"/>
      <c r="LZ64" s="180"/>
      <c r="MA64" s="180"/>
      <c r="MB64" s="180"/>
      <c r="MC64" s="180"/>
      <c r="MD64" s="180"/>
      <c r="ME64" s="180"/>
      <c r="MF64" s="180"/>
      <c r="MG64" s="180"/>
      <c r="MH64" s="180"/>
      <c r="MI64" s="180"/>
      <c r="MJ64" s="180"/>
      <c r="MK64" s="180"/>
      <c r="ML64" s="180"/>
      <c r="MM64" s="180"/>
      <c r="MN64" s="180"/>
      <c r="MO64" s="180"/>
      <c r="MP64" s="180"/>
      <c r="MQ64" s="180"/>
      <c r="MR64" s="180"/>
      <c r="MS64" s="180"/>
      <c r="MT64" s="180"/>
      <c r="MU64" s="180"/>
      <c r="MV64" s="180"/>
      <c r="MW64" s="180"/>
      <c r="MX64" s="180"/>
      <c r="MY64" s="180"/>
      <c r="MZ64" s="180"/>
      <c r="NA64" s="180"/>
      <c r="NB64" s="180"/>
      <c r="NC64" s="180"/>
      <c r="ND64" s="180"/>
      <c r="NE64" s="180"/>
      <c r="NF64" s="180"/>
      <c r="NG64" s="180"/>
      <c r="NH64" s="180"/>
      <c r="NI64" s="180"/>
      <c r="NJ64" s="180"/>
      <c r="NK64" s="180"/>
      <c r="NL64" s="180"/>
      <c r="NM64" s="180"/>
      <c r="NN64" s="180"/>
      <c r="NO64" s="180"/>
      <c r="NP64" s="180"/>
      <c r="NQ64" s="180"/>
      <c r="NR64" s="180"/>
      <c r="NS64" s="180"/>
      <c r="NT64" s="180"/>
      <c r="NU64" s="180"/>
      <c r="NV64" s="180"/>
      <c r="NW64" s="180"/>
      <c r="NX64" s="180"/>
      <c r="NY64" s="180"/>
      <c r="NZ64" s="180"/>
      <c r="OA64" s="180"/>
      <c r="OB64" s="180"/>
      <c r="OC64" s="180"/>
      <c r="OD64" s="180"/>
      <c r="OE64" s="180"/>
      <c r="OF64" s="180"/>
      <c r="OG64" s="180"/>
      <c r="OH64" s="180"/>
      <c r="OI64" s="180"/>
      <c r="OJ64" s="180"/>
      <c r="OK64" s="180"/>
      <c r="OL64" s="180"/>
      <c r="OM64" s="180"/>
      <c r="ON64" s="180"/>
      <c r="OO64" s="180"/>
      <c r="OP64" s="180"/>
      <c r="OQ64" s="180"/>
      <c r="OR64" s="180"/>
      <c r="OS64" s="180"/>
      <c r="OT64" s="180"/>
      <c r="OU64" s="180"/>
      <c r="OV64" s="180"/>
      <c r="OW64" s="180"/>
      <c r="OX64" s="180"/>
      <c r="OY64" s="180"/>
      <c r="OZ64" s="180"/>
      <c r="PA64" s="180"/>
      <c r="PB64" s="180"/>
      <c r="PC64" s="180"/>
      <c r="PD64" s="180"/>
      <c r="PE64" s="180"/>
      <c r="PF64" s="180"/>
      <c r="PG64" s="180"/>
      <c r="PH64" s="180"/>
      <c r="PI64" s="180"/>
      <c r="PJ64" s="180"/>
      <c r="PK64" s="180"/>
      <c r="PL64" s="180"/>
      <c r="PM64" s="180"/>
      <c r="PN64" s="180"/>
      <c r="PO64" s="180"/>
      <c r="PP64" s="180"/>
      <c r="PQ64" s="180"/>
      <c r="PR64" s="180"/>
      <c r="PS64" s="180"/>
      <c r="PT64" s="180"/>
      <c r="PU64" s="180"/>
      <c r="PV64" s="180"/>
      <c r="PW64" s="180"/>
      <c r="PX64" s="180"/>
      <c r="PY64" s="180"/>
      <c r="PZ64" s="180"/>
      <c r="QA64" s="180"/>
      <c r="QB64" s="180"/>
      <c r="QC64" s="180"/>
      <c r="QD64" s="180"/>
      <c r="QE64" s="180"/>
      <c r="QF64" s="180"/>
      <c r="QG64" s="180"/>
      <c r="QH64" s="180"/>
      <c r="QI64" s="180"/>
      <c r="QJ64" s="180"/>
      <c r="QK64" s="180"/>
      <c r="QL64" s="180"/>
      <c r="QM64" s="180"/>
      <c r="QN64" s="180"/>
      <c r="QO64" s="180"/>
      <c r="QP64" s="180"/>
      <c r="QQ64" s="180"/>
      <c r="QR64" s="180"/>
      <c r="QS64" s="180"/>
      <c r="QT64" s="180"/>
      <c r="QU64" s="180"/>
      <c r="QV64" s="180"/>
      <c r="QW64" s="180"/>
      <c r="QX64" s="180"/>
      <c r="QY64" s="180"/>
      <c r="QZ64" s="180"/>
      <c r="RA64" s="180"/>
      <c r="RB64" s="180"/>
      <c r="RC64" s="180"/>
      <c r="RD64" s="180"/>
      <c r="RE64" s="180"/>
      <c r="RF64" s="180"/>
      <c r="RG64" s="180"/>
      <c r="RH64" s="180"/>
      <c r="RI64" s="180"/>
      <c r="RJ64" s="180"/>
      <c r="RK64" s="180"/>
      <c r="RL64" s="180"/>
      <c r="RM64" s="180"/>
      <c r="RN64" s="180"/>
      <c r="RO64" s="180"/>
      <c r="RP64" s="180"/>
      <c r="RQ64" s="180"/>
      <c r="RR64" s="180"/>
      <c r="RS64" s="180"/>
      <c r="RT64" s="180"/>
      <c r="RU64" s="180"/>
      <c r="RV64" s="180"/>
      <c r="RW64" s="180"/>
      <c r="RX64" s="180"/>
      <c r="RY64" s="180"/>
      <c r="RZ64" s="180"/>
      <c r="SA64" s="180"/>
      <c r="SB64" s="180"/>
      <c r="SC64" s="180"/>
      <c r="SD64" s="180"/>
      <c r="SE64" s="180"/>
      <c r="SF64" s="180"/>
      <c r="SG64" s="180"/>
      <c r="SH64" s="180"/>
      <c r="SI64" s="180"/>
      <c r="SJ64" s="180"/>
      <c r="SK64" s="180"/>
      <c r="SL64" s="180"/>
      <c r="SM64" s="180"/>
      <c r="SN64" s="180"/>
      <c r="SO64" s="180"/>
      <c r="SP64" s="180"/>
      <c r="SQ64" s="180"/>
      <c r="SR64" s="180"/>
      <c r="SS64" s="180"/>
      <c r="ST64" s="180"/>
      <c r="SU64" s="180"/>
      <c r="SV64" s="180"/>
      <c r="SW64" s="180"/>
      <c r="SX64" s="180"/>
      <c r="SY64" s="180"/>
      <c r="SZ64" s="180"/>
      <c r="TA64" s="180"/>
      <c r="TB64" s="180"/>
      <c r="TC64" s="180"/>
      <c r="TD64" s="180"/>
      <c r="TE64" s="180"/>
      <c r="TF64" s="180"/>
      <c r="TG64" s="180"/>
      <c r="TH64" s="180"/>
      <c r="TI64" s="180"/>
      <c r="TJ64" s="180"/>
      <c r="TK64" s="180"/>
      <c r="TL64" s="180"/>
      <c r="TM64" s="180"/>
      <c r="TN64" s="180"/>
      <c r="TO64" s="180"/>
      <c r="TP64" s="180"/>
      <c r="TQ64" s="180"/>
      <c r="TR64" s="180"/>
      <c r="TS64" s="180"/>
      <c r="TT64" s="180"/>
      <c r="TU64" s="180"/>
      <c r="TV64" s="180"/>
      <c r="TW64" s="180"/>
      <c r="TX64" s="180"/>
      <c r="TY64" s="180"/>
      <c r="TZ64" s="180"/>
      <c r="UA64" s="180"/>
      <c r="UB64" s="180"/>
      <c r="UC64" s="180"/>
      <c r="UD64" s="180"/>
      <c r="UE64" s="180"/>
      <c r="UF64" s="180"/>
      <c r="UG64" s="180"/>
      <c r="UH64" s="180"/>
      <c r="UI64" s="180"/>
      <c r="UJ64" s="180"/>
      <c r="UK64" s="180"/>
      <c r="UL64" s="180"/>
      <c r="UM64" s="180"/>
      <c r="UN64" s="180"/>
      <c r="UO64" s="180"/>
      <c r="UP64" s="180"/>
      <c r="UQ64" s="180"/>
      <c r="UR64" s="180"/>
      <c r="US64" s="180"/>
      <c r="UT64" s="180"/>
      <c r="UU64" s="180"/>
      <c r="UV64" s="180"/>
      <c r="UW64" s="180"/>
      <c r="UX64" s="180"/>
      <c r="UY64" s="180"/>
      <c r="UZ64" s="180"/>
      <c r="VA64" s="180"/>
      <c r="VB64" s="180"/>
      <c r="VC64" s="180"/>
      <c r="VD64" s="180"/>
      <c r="VE64" s="180"/>
      <c r="VF64" s="180"/>
      <c r="VG64" s="180"/>
      <c r="VH64" s="180"/>
      <c r="VI64" s="180"/>
      <c r="VJ64" s="180"/>
      <c r="VK64" s="180"/>
      <c r="VL64" s="180"/>
      <c r="VM64" s="180"/>
      <c r="VN64" s="180"/>
      <c r="VO64" s="180"/>
      <c r="VP64" s="180"/>
      <c r="VQ64" s="180"/>
      <c r="VR64" s="180"/>
      <c r="VS64" s="180"/>
      <c r="VT64" s="180"/>
      <c r="VU64" s="180"/>
      <c r="VV64" s="180"/>
      <c r="VW64" s="180"/>
      <c r="VX64" s="180"/>
      <c r="VY64" s="180"/>
      <c r="VZ64" s="180"/>
      <c r="WA64" s="180"/>
      <c r="WB64" s="180"/>
      <c r="WC64" s="180"/>
      <c r="WD64" s="180"/>
      <c r="WE64" s="180"/>
      <c r="WF64" s="180"/>
      <c r="WG64" s="180"/>
      <c r="WH64" s="180"/>
      <c r="WI64" s="180"/>
      <c r="WJ64" s="180"/>
      <c r="WK64" s="180"/>
      <c r="WL64" s="180"/>
      <c r="WM64" s="180"/>
      <c r="WN64" s="180"/>
      <c r="WO64" s="180"/>
      <c r="WP64" s="180"/>
      <c r="WQ64" s="180"/>
      <c r="WR64" s="180"/>
      <c r="WS64" s="180"/>
      <c r="WT64" s="180"/>
      <c r="WU64" s="180"/>
      <c r="WV64" s="180"/>
      <c r="WW64" s="180"/>
      <c r="WX64" s="180"/>
      <c r="WY64" s="180"/>
      <c r="WZ64" s="180"/>
      <c r="XA64" s="180"/>
      <c r="XB64" s="180"/>
      <c r="XC64" s="180"/>
      <c r="XD64" s="180"/>
      <c r="XE64" s="180"/>
      <c r="XF64" s="180"/>
      <c r="XG64" s="180"/>
      <c r="XH64" s="180"/>
      <c r="XI64" s="180"/>
      <c r="XJ64" s="180"/>
      <c r="XK64" s="180"/>
      <c r="XL64" s="180"/>
      <c r="XM64" s="180"/>
      <c r="XN64" s="180"/>
      <c r="XO64" s="180"/>
      <c r="XP64" s="180"/>
      <c r="XQ64" s="180"/>
      <c r="XR64" s="180"/>
      <c r="XS64" s="180"/>
      <c r="XT64" s="180"/>
      <c r="XU64" s="180"/>
      <c r="XV64" s="180"/>
      <c r="XW64" s="180"/>
      <c r="XX64" s="180"/>
      <c r="XY64" s="180"/>
      <c r="XZ64" s="180"/>
      <c r="YA64" s="180"/>
      <c r="YB64" s="180"/>
      <c r="YC64" s="180"/>
      <c r="YD64" s="180"/>
      <c r="YE64" s="180"/>
      <c r="YF64" s="180"/>
      <c r="YG64" s="180"/>
      <c r="YH64" s="180"/>
      <c r="YI64" s="180"/>
      <c r="YJ64" s="180"/>
      <c r="YK64" s="180"/>
      <c r="YL64" s="180"/>
      <c r="YM64" s="180"/>
      <c r="YN64" s="180"/>
      <c r="YO64" s="180"/>
      <c r="YP64" s="180"/>
      <c r="YQ64" s="180"/>
      <c r="YR64" s="180"/>
      <c r="YS64" s="180"/>
      <c r="YT64" s="180"/>
      <c r="YU64" s="180"/>
      <c r="YV64" s="180"/>
      <c r="YW64" s="180"/>
      <c r="YX64" s="180"/>
      <c r="YY64" s="180"/>
      <c r="YZ64" s="180"/>
      <c r="ZA64" s="180"/>
      <c r="ZB64" s="180"/>
      <c r="ZC64" s="180"/>
      <c r="ZD64" s="180"/>
      <c r="ZE64" s="180"/>
      <c r="ZF64" s="180"/>
      <c r="ZG64" s="180"/>
      <c r="ZH64" s="180"/>
      <c r="ZI64" s="180"/>
      <c r="ZJ64" s="180"/>
      <c r="ZK64" s="180"/>
      <c r="ZL64" s="180"/>
      <c r="ZM64" s="180"/>
      <c r="ZN64" s="180"/>
      <c r="ZO64" s="180"/>
      <c r="ZP64" s="180"/>
      <c r="ZQ64" s="180"/>
      <c r="ZR64" s="180"/>
      <c r="ZS64" s="180"/>
      <c r="ZT64" s="180"/>
      <c r="ZU64" s="180"/>
      <c r="ZV64" s="180"/>
      <c r="ZW64" s="180"/>
      <c r="ZX64" s="180"/>
      <c r="ZY64" s="180"/>
      <c r="ZZ64" s="180"/>
      <c r="AAA64" s="180"/>
      <c r="AAB64" s="180"/>
      <c r="AAC64" s="180"/>
      <c r="AAD64" s="180"/>
      <c r="AAE64" s="180"/>
      <c r="AAF64" s="180"/>
      <c r="AAG64" s="180"/>
      <c r="AAH64" s="180"/>
      <c r="AAI64" s="180"/>
      <c r="AAJ64" s="180"/>
      <c r="AAK64" s="180"/>
      <c r="AAL64" s="180"/>
      <c r="AAM64" s="180"/>
      <c r="AAN64" s="180"/>
      <c r="AAO64" s="180"/>
      <c r="AAP64" s="180"/>
      <c r="AAQ64" s="180"/>
      <c r="AAR64" s="180"/>
      <c r="AAS64" s="180"/>
      <c r="AAT64" s="180"/>
      <c r="AAU64" s="180"/>
      <c r="AAV64" s="180"/>
      <c r="AAW64" s="180"/>
      <c r="AAX64" s="180"/>
      <c r="AAY64" s="180"/>
      <c r="AAZ64" s="180"/>
      <c r="ABA64" s="180"/>
      <c r="ABB64" s="180"/>
      <c r="ABC64" s="180"/>
      <c r="ABD64" s="180"/>
      <c r="ABE64" s="180"/>
      <c r="ABF64" s="180"/>
      <c r="ABG64" s="180"/>
      <c r="ABH64" s="180"/>
      <c r="ABI64" s="180"/>
      <c r="ABJ64" s="180"/>
      <c r="ABK64" s="180"/>
      <c r="ABL64" s="180"/>
      <c r="ABM64" s="180"/>
      <c r="ABN64" s="180"/>
      <c r="ABO64" s="180"/>
      <c r="ABP64" s="180"/>
      <c r="ABQ64" s="180"/>
      <c r="ABR64" s="180"/>
      <c r="ABS64" s="180"/>
      <c r="ABT64" s="180"/>
      <c r="ABU64" s="180"/>
      <c r="ABV64" s="180"/>
      <c r="ABW64" s="180"/>
      <c r="ABX64" s="180"/>
      <c r="ABY64" s="180"/>
      <c r="ABZ64" s="180"/>
      <c r="ACA64" s="180"/>
      <c r="ACB64" s="180"/>
      <c r="ACC64" s="180"/>
      <c r="ACD64" s="180"/>
      <c r="ACE64" s="180"/>
      <c r="ACF64" s="180"/>
      <c r="ACG64" s="180"/>
      <c r="ACH64" s="180"/>
      <c r="ACI64" s="180"/>
      <c r="ACJ64" s="180"/>
      <c r="ACK64" s="180"/>
      <c r="ACL64" s="180"/>
      <c r="ACM64" s="180"/>
      <c r="ACN64" s="180"/>
      <c r="ACO64" s="180"/>
      <c r="ACP64" s="180"/>
      <c r="ACQ64" s="180"/>
      <c r="ACR64" s="180"/>
      <c r="ACS64" s="180"/>
      <c r="ACT64" s="180"/>
      <c r="ACU64" s="180"/>
      <c r="ACV64" s="180"/>
      <c r="ACW64" s="180"/>
      <c r="ACX64" s="180"/>
      <c r="ACY64" s="180"/>
      <c r="ACZ64" s="180"/>
      <c r="ADA64" s="180"/>
      <c r="ADB64" s="180"/>
      <c r="ADC64" s="180"/>
      <c r="ADD64" s="180"/>
      <c r="ADE64" s="180"/>
      <c r="ADF64" s="180"/>
      <c r="ADG64" s="180"/>
      <c r="ADH64" s="180"/>
      <c r="ADI64" s="180"/>
      <c r="ADJ64" s="180"/>
      <c r="ADK64" s="180"/>
      <c r="ADL64" s="180"/>
      <c r="ADM64" s="180"/>
      <c r="ADN64" s="180"/>
      <c r="ADO64" s="180"/>
      <c r="ADP64" s="180"/>
      <c r="ADQ64" s="180"/>
      <c r="ADR64" s="180"/>
      <c r="ADS64" s="180"/>
      <c r="ADT64" s="180"/>
      <c r="ADU64" s="180"/>
      <c r="ADV64" s="180"/>
      <c r="ADW64" s="180"/>
      <c r="ADX64" s="180"/>
      <c r="ADY64" s="180"/>
      <c r="ADZ64" s="180"/>
      <c r="AEA64" s="180"/>
      <c r="AEB64" s="180"/>
      <c r="AEC64" s="180"/>
      <c r="AED64" s="180"/>
      <c r="AEE64" s="180"/>
      <c r="AEF64" s="180"/>
      <c r="AEG64" s="180"/>
      <c r="AEH64" s="180"/>
      <c r="AEI64" s="180"/>
      <c r="AEJ64" s="180"/>
      <c r="AEK64" s="180"/>
      <c r="AEL64" s="180"/>
      <c r="AEM64" s="180"/>
      <c r="AEN64" s="180"/>
      <c r="AEO64" s="180"/>
      <c r="AEP64" s="180"/>
      <c r="AEQ64" s="180"/>
      <c r="AER64" s="180"/>
      <c r="AES64" s="180"/>
      <c r="AET64" s="180"/>
      <c r="AEU64" s="180"/>
      <c r="AEV64" s="180"/>
      <c r="AEW64" s="180"/>
      <c r="AEX64" s="180"/>
      <c r="AEY64" s="180"/>
      <c r="AEZ64" s="180"/>
      <c r="AFA64" s="180"/>
      <c r="AFB64" s="180"/>
      <c r="AFC64" s="180"/>
      <c r="AFD64" s="180"/>
      <c r="AFE64" s="180"/>
      <c r="AFF64" s="180"/>
      <c r="AFG64" s="180"/>
      <c r="AFH64" s="180"/>
      <c r="AFI64" s="180"/>
      <c r="AFJ64" s="180"/>
      <c r="AFK64" s="180"/>
      <c r="AFL64" s="180"/>
      <c r="AFM64" s="180"/>
      <c r="AFN64" s="180"/>
      <c r="AFO64" s="180"/>
      <c r="AFP64" s="180"/>
      <c r="AFQ64" s="180"/>
      <c r="AFR64" s="180"/>
      <c r="AFS64" s="180"/>
      <c r="AFT64" s="180"/>
      <c r="AFU64" s="180"/>
      <c r="AFV64" s="180"/>
      <c r="AFW64" s="180"/>
      <c r="AFX64" s="180"/>
      <c r="AFY64" s="180"/>
      <c r="AFZ64" s="180"/>
      <c r="AGA64" s="180"/>
      <c r="AGB64" s="180"/>
      <c r="AGC64" s="180"/>
      <c r="AGD64" s="180"/>
      <c r="AGE64" s="180"/>
      <c r="AGF64" s="180"/>
      <c r="AGG64" s="180"/>
      <c r="AGH64" s="180"/>
      <c r="AGI64" s="180"/>
      <c r="AGJ64" s="180"/>
      <c r="AGK64" s="180"/>
      <c r="AGL64" s="180"/>
      <c r="AGM64" s="180"/>
      <c r="AGN64" s="180"/>
      <c r="AGO64" s="180"/>
      <c r="AGP64" s="180"/>
      <c r="AGQ64" s="180"/>
      <c r="AGR64" s="180"/>
      <c r="AGS64" s="180"/>
      <c r="AGT64" s="180"/>
      <c r="AGU64" s="180"/>
      <c r="AGV64" s="180"/>
      <c r="AGW64" s="180"/>
      <c r="AGX64" s="180"/>
      <c r="AGY64" s="180"/>
      <c r="AGZ64" s="180"/>
      <c r="AHA64" s="180"/>
      <c r="AHB64" s="180"/>
      <c r="AHC64" s="180"/>
      <c r="AHD64" s="180"/>
      <c r="AHE64" s="180"/>
      <c r="AHF64" s="180"/>
      <c r="AHG64" s="180"/>
      <c r="AHH64" s="180"/>
      <c r="AHI64" s="180"/>
      <c r="AHJ64" s="180"/>
      <c r="AHK64" s="180"/>
      <c r="AHL64" s="180"/>
      <c r="AHM64" s="180"/>
      <c r="AHN64" s="180"/>
      <c r="AHO64" s="180"/>
      <c r="AHP64" s="180"/>
      <c r="AHQ64" s="180"/>
      <c r="AHR64" s="180"/>
      <c r="AHS64" s="180"/>
      <c r="AHT64" s="180"/>
      <c r="AHU64" s="180"/>
      <c r="AHV64" s="180"/>
      <c r="AHW64" s="180"/>
      <c r="AHX64" s="180"/>
      <c r="AHY64" s="180"/>
      <c r="AHZ64" s="180"/>
      <c r="AIA64" s="180"/>
      <c r="AIB64" s="180"/>
      <c r="AIC64" s="180"/>
      <c r="AID64" s="180"/>
      <c r="AIE64" s="180"/>
      <c r="AIF64" s="180"/>
      <c r="AIG64" s="180"/>
      <c r="AIH64" s="180"/>
      <c r="AII64" s="180"/>
      <c r="AIJ64" s="180"/>
      <c r="AIK64" s="180"/>
      <c r="AIL64" s="180"/>
      <c r="AIM64" s="180"/>
      <c r="AIN64" s="180"/>
      <c r="AIO64" s="180"/>
      <c r="AIP64" s="180"/>
      <c r="AIQ64" s="180"/>
      <c r="AIR64" s="180"/>
      <c r="AIS64" s="180"/>
      <c r="AIT64" s="180"/>
      <c r="AIU64" s="180"/>
      <c r="AIV64" s="180"/>
      <c r="AIW64" s="180"/>
      <c r="AIX64" s="180"/>
      <c r="AIY64" s="180"/>
      <c r="AIZ64" s="180"/>
      <c r="AJA64" s="180"/>
      <c r="AJB64" s="180"/>
      <c r="AJC64" s="180"/>
      <c r="AJD64" s="180"/>
      <c r="AJE64" s="180"/>
      <c r="AJF64" s="180"/>
      <c r="AJG64" s="180"/>
      <c r="AJH64" s="180"/>
      <c r="AJI64" s="180"/>
      <c r="AJJ64" s="180"/>
      <c r="AJK64" s="180"/>
      <c r="AJL64" s="180"/>
      <c r="AJM64" s="180"/>
      <c r="AJN64" s="180"/>
      <c r="AJO64" s="180"/>
      <c r="AJP64" s="180"/>
      <c r="AJQ64" s="180"/>
      <c r="AJR64" s="180"/>
      <c r="AJS64" s="180"/>
      <c r="AJT64" s="180"/>
      <c r="AJU64" s="180"/>
      <c r="AJV64" s="180"/>
      <c r="AJW64" s="180"/>
      <c r="AJX64" s="180"/>
      <c r="AJY64" s="180"/>
      <c r="AJZ64" s="180"/>
      <c r="AKA64" s="180"/>
      <c r="AKB64" s="180"/>
      <c r="AKC64" s="180"/>
      <c r="AKD64" s="180"/>
      <c r="AKE64" s="180"/>
      <c r="AKF64" s="180"/>
      <c r="AKG64" s="180"/>
      <c r="AKH64" s="180"/>
      <c r="AKI64" s="180"/>
      <c r="AKJ64" s="180"/>
      <c r="AKK64" s="180"/>
      <c r="AKL64" s="180"/>
      <c r="AKM64" s="180"/>
      <c r="AKN64" s="180"/>
      <c r="AKO64" s="180"/>
      <c r="AKP64" s="180"/>
      <c r="AKQ64" s="180"/>
      <c r="AKR64" s="180"/>
      <c r="AKS64" s="180"/>
      <c r="AKT64" s="180"/>
      <c r="AKU64" s="180"/>
      <c r="AKV64" s="180"/>
      <c r="AKW64" s="180"/>
      <c r="AKX64" s="180"/>
      <c r="AKY64" s="180"/>
      <c r="AKZ64" s="180"/>
      <c r="ALA64" s="180"/>
      <c r="ALB64" s="180"/>
      <c r="ALC64" s="180"/>
      <c r="ALD64" s="180"/>
      <c r="ALE64" s="180"/>
      <c r="ALF64" s="180"/>
      <c r="ALG64" s="180"/>
      <c r="ALH64" s="180"/>
      <c r="ALI64" s="180"/>
      <c r="ALJ64" s="180"/>
      <c r="ALK64" s="180"/>
      <c r="ALL64" s="180"/>
      <c r="ALM64" s="180"/>
      <c r="ALN64" s="180"/>
      <c r="ALO64" s="180"/>
      <c r="ALP64" s="180"/>
      <c r="ALQ64" s="180"/>
      <c r="ALR64" s="180"/>
      <c r="ALS64" s="180"/>
      <c r="ALT64" s="180"/>
      <c r="ALU64" s="180"/>
      <c r="ALV64" s="180"/>
      <c r="ALW64" s="180"/>
      <c r="ALX64" s="180"/>
      <c r="ALY64" s="180"/>
      <c r="ALZ64" s="180"/>
      <c r="AMA64" s="180"/>
      <c r="AMB64" s="180"/>
      <c r="AMC64" s="180"/>
      <c r="AMD64" s="180"/>
      <c r="AME64" s="180"/>
      <c r="AMF64" s="180"/>
      <c r="AMG64" s="180"/>
      <c r="AMH64" s="180"/>
      <c r="AMI64" s="180"/>
      <c r="AMJ64" s="180"/>
      <c r="AMK64" s="180"/>
      <c r="AML64" s="180"/>
      <c r="AMM64" s="180"/>
      <c r="AMN64" s="180"/>
      <c r="AMO64" s="180"/>
      <c r="AMP64" s="180"/>
      <c r="AMQ64" s="180"/>
      <c r="AMR64" s="180"/>
      <c r="AMS64" s="180"/>
      <c r="AMT64" s="180"/>
      <c r="AMU64" s="180"/>
      <c r="AMV64" s="180"/>
      <c r="AMW64" s="180"/>
      <c r="AMX64" s="180"/>
      <c r="AMY64" s="180"/>
      <c r="AMZ64" s="180"/>
      <c r="ANA64" s="180"/>
      <c r="ANB64" s="180"/>
      <c r="ANC64" s="180"/>
      <c r="AND64" s="180"/>
      <c r="ANE64" s="180"/>
      <c r="ANF64" s="180"/>
      <c r="ANG64" s="180"/>
      <c r="ANH64" s="180"/>
      <c r="ANI64" s="180"/>
      <c r="ANJ64" s="180"/>
      <c r="ANK64" s="180"/>
      <c r="ANL64" s="180"/>
      <c r="ANM64" s="180"/>
      <c r="ANN64" s="180"/>
      <c r="ANO64" s="180"/>
      <c r="ANP64" s="180"/>
      <c r="ANQ64" s="180"/>
      <c r="ANR64" s="180"/>
      <c r="ANS64" s="180"/>
      <c r="ANT64" s="180"/>
      <c r="ANU64" s="180"/>
      <c r="ANV64" s="180"/>
      <c r="ANW64" s="180"/>
      <c r="ANX64" s="180"/>
      <c r="ANY64" s="180"/>
      <c r="ANZ64" s="180"/>
      <c r="AOA64" s="180"/>
      <c r="AOB64" s="180"/>
      <c r="AOC64" s="180"/>
      <c r="AOD64" s="180"/>
      <c r="AOE64" s="180"/>
      <c r="AOF64" s="180"/>
      <c r="AOG64" s="180"/>
      <c r="AOH64" s="180"/>
      <c r="AOI64" s="180"/>
      <c r="AOJ64" s="180"/>
      <c r="AOK64" s="180"/>
      <c r="AOL64" s="180"/>
      <c r="AOM64" s="180"/>
      <c r="AON64" s="180"/>
      <c r="AOO64" s="180"/>
      <c r="AOP64" s="180"/>
      <c r="AOQ64" s="180"/>
      <c r="AOR64" s="180"/>
      <c r="AOS64" s="180"/>
      <c r="AOT64" s="180"/>
      <c r="AOU64" s="180"/>
      <c r="AOV64" s="180"/>
      <c r="AOW64" s="180"/>
      <c r="AOX64" s="180"/>
      <c r="AOY64" s="180"/>
      <c r="AOZ64" s="180"/>
      <c r="APA64" s="180"/>
      <c r="APB64" s="180"/>
      <c r="APC64" s="180"/>
      <c r="APD64" s="180"/>
      <c r="APE64" s="180"/>
      <c r="APF64" s="180"/>
      <c r="APG64" s="180"/>
      <c r="APH64" s="180"/>
      <c r="API64" s="180"/>
      <c r="APJ64" s="180"/>
      <c r="APK64" s="180"/>
      <c r="APL64" s="180"/>
      <c r="APM64" s="180"/>
      <c r="APN64" s="180"/>
      <c r="APO64" s="180"/>
      <c r="APP64" s="180"/>
      <c r="APQ64" s="180"/>
      <c r="APR64" s="180"/>
      <c r="APS64" s="180"/>
      <c r="APT64" s="180"/>
      <c r="APU64" s="180"/>
      <c r="APV64" s="180"/>
      <c r="APW64" s="180"/>
      <c r="APX64" s="180"/>
      <c r="APY64" s="180"/>
      <c r="APZ64" s="180"/>
      <c r="AQA64" s="180"/>
      <c r="AQB64" s="180"/>
      <c r="AQC64" s="180"/>
      <c r="AQD64" s="180"/>
      <c r="AQE64" s="180"/>
      <c r="AQF64" s="180"/>
      <c r="AQG64" s="180"/>
      <c r="AQH64" s="180"/>
      <c r="AQI64" s="180"/>
      <c r="AQJ64" s="180"/>
      <c r="AQK64" s="180"/>
      <c r="AQL64" s="180"/>
      <c r="AQM64" s="180"/>
      <c r="AQN64" s="180"/>
      <c r="AQO64" s="180"/>
      <c r="AQP64" s="180"/>
      <c r="AQQ64" s="180"/>
      <c r="AQR64" s="180"/>
      <c r="AQS64" s="180"/>
      <c r="AQT64" s="180"/>
      <c r="AQU64" s="180"/>
      <c r="AQV64" s="180"/>
      <c r="AQW64" s="180"/>
      <c r="AQX64" s="180"/>
      <c r="AQY64" s="180"/>
      <c r="AQZ64" s="180"/>
      <c r="ARA64" s="180"/>
      <c r="ARB64" s="180"/>
      <c r="ARC64" s="180"/>
      <c r="ARD64" s="180"/>
      <c r="ARE64" s="180"/>
      <c r="ARF64" s="180"/>
      <c r="ARG64" s="180"/>
      <c r="ARH64" s="180"/>
      <c r="ARI64" s="180"/>
      <c r="ARJ64" s="180"/>
      <c r="ARK64" s="180"/>
      <c r="ARL64" s="180"/>
      <c r="ARM64" s="180"/>
      <c r="ARN64" s="180"/>
      <c r="ARO64" s="180"/>
      <c r="ARP64" s="180"/>
      <c r="ARQ64" s="180"/>
      <c r="ARR64" s="180"/>
      <c r="ARS64" s="180"/>
      <c r="ART64" s="180"/>
      <c r="ARU64" s="180"/>
      <c r="ARV64" s="180"/>
      <c r="ARW64" s="180"/>
      <c r="ARX64" s="180"/>
      <c r="ARY64" s="180"/>
      <c r="ARZ64" s="180"/>
      <c r="ASA64" s="180"/>
      <c r="ASB64" s="180"/>
      <c r="ASC64" s="180"/>
      <c r="ASD64" s="180"/>
      <c r="ASE64" s="180"/>
      <c r="ASF64" s="180"/>
      <c r="ASG64" s="180"/>
      <c r="ASH64" s="180"/>
      <c r="ASI64" s="180"/>
      <c r="ASJ64" s="180"/>
      <c r="ASK64" s="180"/>
      <c r="ASL64" s="180"/>
      <c r="ASM64" s="180"/>
      <c r="ASN64" s="180"/>
      <c r="ASO64" s="180"/>
      <c r="ASP64" s="180"/>
      <c r="ASQ64" s="180"/>
      <c r="ASR64" s="180"/>
      <c r="ASS64" s="180"/>
      <c r="AST64" s="180"/>
      <c r="ASU64" s="180"/>
      <c r="ASV64" s="180"/>
      <c r="ASW64" s="180"/>
      <c r="ASX64" s="180"/>
      <c r="ASY64" s="180"/>
      <c r="ASZ64" s="180"/>
      <c r="ATA64" s="180"/>
      <c r="ATB64" s="180"/>
      <c r="ATC64" s="180"/>
      <c r="ATD64" s="180"/>
      <c r="ATE64" s="180"/>
      <c r="ATF64" s="180"/>
      <c r="ATG64" s="180"/>
      <c r="ATH64" s="180"/>
      <c r="ATI64" s="180"/>
      <c r="ATJ64" s="180"/>
      <c r="ATK64" s="180"/>
      <c r="ATL64" s="180"/>
      <c r="ATM64" s="180"/>
      <c r="ATN64" s="180"/>
      <c r="ATO64" s="180"/>
      <c r="ATP64" s="180"/>
      <c r="ATQ64" s="180"/>
      <c r="ATR64" s="180"/>
      <c r="ATS64" s="180"/>
      <c r="ATT64" s="180"/>
      <c r="ATU64" s="180"/>
      <c r="ATV64" s="180"/>
      <c r="ATW64" s="180"/>
      <c r="ATX64" s="180"/>
      <c r="ATY64" s="180"/>
      <c r="ATZ64" s="180"/>
      <c r="AUA64" s="180"/>
      <c r="AUB64" s="180"/>
      <c r="AUC64" s="180"/>
      <c r="AUD64" s="180"/>
      <c r="AUE64" s="180"/>
      <c r="AUF64" s="180"/>
      <c r="AUG64" s="180"/>
      <c r="AUH64" s="180"/>
      <c r="AUI64" s="180"/>
      <c r="AUJ64" s="180"/>
      <c r="AUK64" s="180"/>
      <c r="AUL64" s="180"/>
      <c r="AUM64" s="180"/>
      <c r="AUN64" s="180"/>
      <c r="AUO64" s="180"/>
      <c r="AUP64" s="180"/>
      <c r="AUQ64" s="180"/>
      <c r="AUR64" s="180"/>
      <c r="AUS64" s="180"/>
      <c r="AUT64" s="180"/>
      <c r="AUU64" s="180"/>
      <c r="AUV64" s="180"/>
      <c r="AUW64" s="180"/>
      <c r="AUX64" s="180"/>
      <c r="AUY64" s="180"/>
      <c r="AUZ64" s="180"/>
      <c r="AVA64" s="180"/>
      <c r="AVB64" s="180"/>
      <c r="AVC64" s="180"/>
      <c r="AVD64" s="180"/>
      <c r="AVE64" s="180"/>
      <c r="AVF64" s="180"/>
      <c r="AVG64" s="180"/>
      <c r="AVH64" s="180"/>
      <c r="AVI64" s="180"/>
      <c r="AVJ64" s="180"/>
      <c r="AVK64" s="180"/>
      <c r="AVL64" s="180"/>
      <c r="AVM64" s="180"/>
      <c r="AVN64" s="180"/>
      <c r="AVO64" s="180"/>
      <c r="AVP64" s="180"/>
      <c r="AVQ64" s="180"/>
      <c r="AVR64" s="180"/>
      <c r="AVS64" s="180"/>
      <c r="AVT64" s="180"/>
      <c r="AVU64" s="180"/>
      <c r="AVV64" s="180"/>
      <c r="AVW64" s="180"/>
      <c r="AVX64" s="180"/>
      <c r="AVY64" s="180"/>
      <c r="AVZ64" s="180"/>
      <c r="AWA64" s="180"/>
      <c r="AWB64" s="180"/>
      <c r="AWC64" s="180"/>
      <c r="AWD64" s="180"/>
      <c r="AWE64" s="180"/>
      <c r="AWF64" s="180"/>
      <c r="AWG64" s="180"/>
      <c r="AWH64" s="180"/>
      <c r="AWI64" s="180"/>
      <c r="AWJ64" s="180"/>
      <c r="AWK64" s="180"/>
      <c r="AWL64" s="180"/>
      <c r="AWM64" s="180"/>
      <c r="AWN64" s="180"/>
      <c r="AWO64" s="180"/>
      <c r="AWP64" s="180"/>
      <c r="AWQ64" s="180"/>
      <c r="AWR64" s="180"/>
      <c r="AWS64" s="180"/>
      <c r="AWT64" s="180"/>
      <c r="AWU64" s="180"/>
      <c r="AWV64" s="180"/>
      <c r="AWW64" s="180"/>
      <c r="AWX64" s="180"/>
      <c r="AWY64" s="180"/>
      <c r="AWZ64" s="180"/>
      <c r="AXA64" s="180"/>
      <c r="AXB64" s="180"/>
      <c r="AXC64" s="180"/>
      <c r="AXD64" s="180"/>
      <c r="AXE64" s="180"/>
      <c r="AXF64" s="180"/>
      <c r="AXG64" s="180"/>
      <c r="AXH64" s="180"/>
      <c r="AXI64" s="180"/>
      <c r="AXJ64" s="180"/>
      <c r="AXK64" s="180"/>
      <c r="AXL64" s="180"/>
      <c r="AXM64" s="180"/>
      <c r="AXN64" s="180"/>
      <c r="AXO64" s="180"/>
      <c r="AXP64" s="180"/>
      <c r="AXQ64" s="180"/>
      <c r="AXR64" s="180"/>
      <c r="AXS64" s="180"/>
      <c r="AXT64" s="180"/>
      <c r="AXU64" s="180"/>
      <c r="AXV64" s="180"/>
      <c r="AXW64" s="180"/>
      <c r="AXX64" s="180"/>
      <c r="AXY64" s="180"/>
      <c r="AXZ64" s="180"/>
      <c r="AYA64" s="180"/>
      <c r="AYB64" s="180"/>
      <c r="AYC64" s="180"/>
      <c r="AYD64" s="180"/>
      <c r="AYE64" s="180"/>
      <c r="AYF64" s="180"/>
      <c r="AYG64" s="180"/>
      <c r="AYH64" s="180"/>
      <c r="AYI64" s="180"/>
      <c r="AYJ64" s="180"/>
      <c r="AYK64" s="180"/>
      <c r="AYL64" s="180"/>
      <c r="AYM64" s="180"/>
      <c r="AYN64" s="180"/>
      <c r="AYO64" s="180"/>
      <c r="AYP64" s="180"/>
      <c r="AYQ64" s="180"/>
      <c r="AYR64" s="180"/>
      <c r="AYS64" s="180"/>
      <c r="AYT64" s="180"/>
      <c r="AYU64" s="180"/>
      <c r="AYV64" s="180"/>
      <c r="AYW64" s="180"/>
      <c r="AYX64" s="180"/>
      <c r="AYY64" s="180"/>
      <c r="AYZ64" s="180"/>
      <c r="AZA64" s="180"/>
      <c r="AZB64" s="180"/>
      <c r="AZC64" s="180"/>
      <c r="AZD64" s="180"/>
      <c r="AZE64" s="180"/>
      <c r="AZF64" s="180"/>
      <c r="AZG64" s="180"/>
      <c r="AZH64" s="180"/>
      <c r="AZI64" s="180"/>
      <c r="AZJ64" s="180"/>
      <c r="AZK64" s="180"/>
      <c r="AZL64" s="180"/>
      <c r="AZM64" s="180"/>
      <c r="AZN64" s="180"/>
      <c r="AZO64" s="180"/>
      <c r="AZP64" s="180"/>
      <c r="AZQ64" s="180"/>
      <c r="AZR64" s="180"/>
      <c r="AZS64" s="180"/>
      <c r="AZT64" s="180"/>
      <c r="AZU64" s="180"/>
      <c r="AZV64" s="180"/>
      <c r="AZW64" s="180"/>
      <c r="AZX64" s="180"/>
      <c r="AZY64" s="180"/>
      <c r="AZZ64" s="180"/>
      <c r="BAA64" s="180"/>
      <c r="BAB64" s="180"/>
      <c r="BAC64" s="180"/>
      <c r="BAD64" s="180"/>
      <c r="BAE64" s="180"/>
      <c r="BAF64" s="180"/>
      <c r="BAG64" s="180"/>
      <c r="BAH64" s="180"/>
      <c r="BAI64" s="180"/>
      <c r="BAJ64" s="180"/>
      <c r="BAK64" s="180"/>
      <c r="BAL64" s="180"/>
      <c r="BAM64" s="180"/>
      <c r="BAN64" s="180"/>
      <c r="BAO64" s="180"/>
      <c r="BAP64" s="180"/>
      <c r="BAQ64" s="180"/>
      <c r="BAR64" s="180"/>
      <c r="BAS64" s="180"/>
      <c r="BAT64" s="180"/>
      <c r="BAU64" s="180"/>
      <c r="BAV64" s="180"/>
      <c r="BAW64" s="180"/>
      <c r="BAX64" s="180"/>
      <c r="BAY64" s="180"/>
      <c r="BAZ64" s="180"/>
      <c r="BBA64" s="180"/>
      <c r="BBB64" s="180"/>
      <c r="BBC64" s="180"/>
      <c r="BBD64" s="180"/>
      <c r="BBE64" s="180"/>
      <c r="BBF64" s="180"/>
      <c r="BBG64" s="180"/>
      <c r="BBH64" s="180"/>
      <c r="BBI64" s="180"/>
      <c r="BBJ64" s="180"/>
      <c r="BBK64" s="180"/>
      <c r="BBL64" s="180"/>
      <c r="BBM64" s="180"/>
      <c r="BBN64" s="180"/>
      <c r="BBO64" s="180"/>
      <c r="BBP64" s="180"/>
      <c r="BBQ64" s="180"/>
      <c r="BBR64" s="180"/>
      <c r="BBS64" s="180"/>
      <c r="BBT64" s="180"/>
      <c r="BBU64" s="180"/>
      <c r="BBV64" s="180"/>
      <c r="BBW64" s="180"/>
      <c r="BBX64" s="180"/>
      <c r="BBY64" s="180"/>
      <c r="BBZ64" s="180"/>
      <c r="BCA64" s="180"/>
      <c r="BCB64" s="180"/>
      <c r="BCC64" s="180"/>
      <c r="BCD64" s="180"/>
      <c r="BCE64" s="180"/>
      <c r="BCF64" s="180"/>
      <c r="BCG64" s="180"/>
      <c r="BCH64" s="180"/>
      <c r="BCI64" s="180"/>
      <c r="BCJ64" s="180"/>
      <c r="BCK64" s="180"/>
      <c r="BCL64" s="180"/>
      <c r="BCM64" s="180"/>
      <c r="BCN64" s="180"/>
      <c r="BCO64" s="180"/>
      <c r="BCP64" s="180"/>
      <c r="BCQ64" s="180"/>
      <c r="BCR64" s="180"/>
      <c r="BCS64" s="180"/>
      <c r="BCT64" s="180"/>
      <c r="BCU64" s="180"/>
      <c r="BCV64" s="180"/>
      <c r="BCW64" s="180"/>
      <c r="BCX64" s="180"/>
      <c r="BCY64" s="180"/>
      <c r="BCZ64" s="180"/>
      <c r="BDA64" s="180"/>
      <c r="BDB64" s="180"/>
      <c r="BDC64" s="180"/>
      <c r="BDD64" s="180"/>
      <c r="BDE64" s="180"/>
      <c r="BDF64" s="180"/>
      <c r="BDG64" s="180"/>
      <c r="BDH64" s="180"/>
      <c r="BDI64" s="180"/>
      <c r="BDJ64" s="180"/>
      <c r="BDK64" s="180"/>
      <c r="BDL64" s="180"/>
      <c r="BDM64" s="180"/>
      <c r="BDN64" s="180"/>
      <c r="BDO64" s="180"/>
      <c r="BDP64" s="180"/>
      <c r="BDQ64" s="180"/>
      <c r="BDR64" s="180"/>
      <c r="BDS64" s="180"/>
      <c r="BDT64" s="180"/>
      <c r="BDU64" s="180"/>
      <c r="BDV64" s="180"/>
      <c r="BDW64" s="180"/>
      <c r="BDX64" s="180"/>
      <c r="BDY64" s="180"/>
      <c r="BDZ64" s="180"/>
      <c r="BEA64" s="180"/>
      <c r="BEB64" s="180"/>
      <c r="BEC64" s="180"/>
      <c r="BED64" s="180"/>
      <c r="BEE64" s="180"/>
      <c r="BEF64" s="180"/>
      <c r="BEG64" s="180"/>
      <c r="BEH64" s="180"/>
      <c r="BEI64" s="180"/>
      <c r="BEJ64" s="180"/>
      <c r="BEK64" s="180"/>
      <c r="BEL64" s="180"/>
      <c r="BEM64" s="180"/>
      <c r="BEN64" s="180"/>
      <c r="BEO64" s="180"/>
      <c r="BEP64" s="180"/>
      <c r="BEQ64" s="180"/>
      <c r="BER64" s="180"/>
      <c r="BES64" s="180"/>
      <c r="BET64" s="180"/>
      <c r="BEU64" s="180"/>
      <c r="BEV64" s="180"/>
      <c r="BEW64" s="180"/>
      <c r="BEX64" s="180"/>
      <c r="BEY64" s="180"/>
      <c r="BEZ64" s="180"/>
      <c r="BFA64" s="180"/>
      <c r="BFB64" s="180"/>
      <c r="BFC64" s="180"/>
      <c r="BFD64" s="180"/>
      <c r="BFE64" s="180"/>
      <c r="BFF64" s="180"/>
      <c r="BFG64" s="180"/>
      <c r="BFH64" s="180"/>
      <c r="BFI64" s="180"/>
      <c r="BFJ64" s="180"/>
      <c r="BFK64" s="180"/>
      <c r="BFL64" s="180"/>
      <c r="BFM64" s="180"/>
      <c r="BFN64" s="180"/>
      <c r="BFO64" s="180"/>
      <c r="BFP64" s="180"/>
      <c r="BFQ64" s="180"/>
      <c r="BFR64" s="180"/>
      <c r="BFS64" s="180"/>
      <c r="BFT64" s="180"/>
      <c r="BFU64" s="180"/>
      <c r="BFV64" s="180"/>
      <c r="BFW64" s="180"/>
      <c r="BFX64" s="180"/>
      <c r="BFY64" s="180"/>
      <c r="BFZ64" s="180"/>
      <c r="BGA64" s="180"/>
      <c r="BGB64" s="180"/>
      <c r="BGC64" s="180"/>
      <c r="BGD64" s="180"/>
      <c r="BGE64" s="180"/>
      <c r="BGF64" s="180"/>
      <c r="BGG64" s="180"/>
      <c r="BGH64" s="180"/>
      <c r="BGI64" s="180"/>
      <c r="BGJ64" s="180"/>
      <c r="BGK64" s="180"/>
      <c r="BGL64" s="180"/>
      <c r="BGM64" s="180"/>
      <c r="BGN64" s="180"/>
      <c r="BGO64" s="180"/>
      <c r="BGP64" s="180"/>
      <c r="BGQ64" s="180"/>
      <c r="BGR64" s="180"/>
      <c r="BGS64" s="180"/>
      <c r="BGT64" s="180"/>
      <c r="BGU64" s="180"/>
      <c r="BGV64" s="180"/>
      <c r="BGW64" s="180"/>
      <c r="BGX64" s="180"/>
      <c r="BGY64" s="180"/>
      <c r="BGZ64" s="180"/>
      <c r="BHA64" s="180"/>
      <c r="BHB64" s="180"/>
      <c r="BHC64" s="180"/>
      <c r="BHD64" s="180"/>
      <c r="BHE64" s="180"/>
      <c r="BHF64" s="180"/>
      <c r="BHG64" s="180"/>
      <c r="BHH64" s="180"/>
      <c r="BHI64" s="180"/>
      <c r="BHJ64" s="180"/>
      <c r="BHK64" s="180"/>
      <c r="BHL64" s="180"/>
      <c r="BHM64" s="180"/>
      <c r="BHN64" s="180"/>
      <c r="BHO64" s="180"/>
      <c r="BHP64" s="180"/>
      <c r="BHQ64" s="180"/>
      <c r="BHR64" s="180"/>
      <c r="BHS64" s="180"/>
      <c r="BHT64" s="180"/>
      <c r="BHU64" s="180"/>
      <c r="BHV64" s="180"/>
      <c r="BHW64" s="180"/>
      <c r="BHX64" s="180"/>
      <c r="BHY64" s="180"/>
      <c r="BHZ64" s="180"/>
      <c r="BIA64" s="180"/>
      <c r="BIB64" s="180"/>
      <c r="BIC64" s="180"/>
      <c r="BID64" s="180"/>
      <c r="BIE64" s="180"/>
      <c r="BIF64" s="180"/>
      <c r="BIG64" s="180"/>
      <c r="BIH64" s="180"/>
      <c r="BII64" s="180"/>
      <c r="BIJ64" s="180"/>
      <c r="BIK64" s="180"/>
      <c r="BIL64" s="180"/>
      <c r="BIM64" s="180"/>
      <c r="BIN64" s="180"/>
      <c r="BIO64" s="180"/>
      <c r="BIP64" s="180"/>
      <c r="BIQ64" s="180"/>
      <c r="BIR64" s="180"/>
      <c r="BIS64" s="180"/>
      <c r="BIT64" s="180"/>
      <c r="BIU64" s="180"/>
      <c r="BIV64" s="180"/>
      <c r="BIW64" s="180"/>
      <c r="BIX64" s="180"/>
      <c r="BIY64" s="180"/>
      <c r="BIZ64" s="180"/>
      <c r="BJA64" s="180"/>
      <c r="BJB64" s="180"/>
      <c r="BJC64" s="180"/>
      <c r="BJD64" s="180"/>
      <c r="BJE64" s="180"/>
      <c r="BJF64" s="180"/>
      <c r="BJG64" s="180"/>
      <c r="BJH64" s="180"/>
      <c r="BJI64" s="180"/>
      <c r="BJJ64" s="180"/>
      <c r="BJK64" s="180"/>
      <c r="BJL64" s="180"/>
      <c r="BJM64" s="180"/>
      <c r="BJN64" s="180"/>
      <c r="BJO64" s="180"/>
      <c r="BJP64" s="180"/>
      <c r="BJQ64" s="180"/>
      <c r="BJR64" s="180"/>
      <c r="BJS64" s="180"/>
      <c r="BJT64" s="180"/>
      <c r="BJU64" s="180"/>
      <c r="BJV64" s="180"/>
      <c r="BJW64" s="180"/>
      <c r="BJX64" s="180"/>
      <c r="BJY64" s="180"/>
      <c r="BJZ64" s="180"/>
      <c r="BKA64" s="180"/>
      <c r="BKB64" s="180"/>
      <c r="BKC64" s="180"/>
      <c r="BKD64" s="180"/>
      <c r="BKE64" s="180"/>
      <c r="BKF64" s="180"/>
      <c r="BKG64" s="180"/>
      <c r="BKH64" s="180"/>
      <c r="BKI64" s="180"/>
      <c r="BKJ64" s="180"/>
      <c r="BKK64" s="180"/>
      <c r="BKL64" s="180"/>
      <c r="BKM64" s="180"/>
      <c r="BKN64" s="180"/>
      <c r="BKO64" s="180"/>
      <c r="BKP64" s="180"/>
      <c r="BKQ64" s="180"/>
      <c r="BKR64" s="180"/>
      <c r="BKS64" s="180"/>
      <c r="BKT64" s="180"/>
      <c r="BKU64" s="180"/>
      <c r="BKV64" s="180"/>
      <c r="BKW64" s="180"/>
      <c r="BKX64" s="180"/>
      <c r="BKY64" s="180"/>
      <c r="BKZ64" s="180"/>
      <c r="BLA64" s="180"/>
      <c r="BLB64" s="180"/>
      <c r="BLC64" s="180"/>
      <c r="BLD64" s="180"/>
      <c r="BLE64" s="180"/>
      <c r="BLF64" s="180"/>
      <c r="BLG64" s="180"/>
      <c r="BLH64" s="180"/>
      <c r="BLI64" s="180"/>
      <c r="BLJ64" s="180"/>
      <c r="BLK64" s="180"/>
      <c r="BLL64" s="180"/>
      <c r="BLM64" s="180"/>
      <c r="BLN64" s="180"/>
      <c r="BLO64" s="180"/>
      <c r="BLP64" s="180"/>
      <c r="BLQ64" s="180"/>
      <c r="BLR64" s="180"/>
      <c r="BLS64" s="180"/>
      <c r="BLT64" s="180"/>
      <c r="BLU64" s="180"/>
      <c r="BLV64" s="180"/>
      <c r="BLW64" s="180"/>
      <c r="BLX64" s="180"/>
      <c r="BLY64" s="180"/>
      <c r="BLZ64" s="180"/>
      <c r="BMA64" s="180"/>
      <c r="BMB64" s="180"/>
      <c r="BMC64" s="180"/>
      <c r="BMD64" s="180"/>
      <c r="BME64" s="180"/>
      <c r="BMF64" s="180"/>
      <c r="BMG64" s="180"/>
      <c r="BMH64" s="180"/>
      <c r="BMI64" s="180"/>
      <c r="BMJ64" s="180"/>
      <c r="BMK64" s="180"/>
      <c r="BML64" s="180"/>
      <c r="BMM64" s="180"/>
      <c r="BMN64" s="180"/>
      <c r="BMO64" s="180"/>
      <c r="BMP64" s="180"/>
      <c r="BMQ64" s="180"/>
      <c r="BMR64" s="180"/>
      <c r="BMS64" s="180"/>
      <c r="BMT64" s="180"/>
      <c r="BMU64" s="180"/>
      <c r="BMV64" s="180"/>
      <c r="BMW64" s="180"/>
      <c r="BMX64" s="180"/>
      <c r="BMY64" s="180"/>
      <c r="BMZ64" s="180"/>
      <c r="BNA64" s="180"/>
      <c r="BNB64" s="180"/>
      <c r="BNC64" s="180"/>
      <c r="BND64" s="180"/>
      <c r="BNE64" s="180"/>
      <c r="BNF64" s="180"/>
      <c r="BNG64" s="180"/>
      <c r="BNH64" s="180"/>
      <c r="BNI64" s="180"/>
      <c r="BNJ64" s="180"/>
      <c r="BNK64" s="180"/>
      <c r="BNL64" s="180"/>
      <c r="BNM64" s="180"/>
      <c r="BNN64" s="180"/>
      <c r="BNO64" s="180"/>
      <c r="BNP64" s="180"/>
      <c r="BNQ64" s="180"/>
      <c r="BNR64" s="180"/>
      <c r="BNS64" s="180"/>
      <c r="BNT64" s="180"/>
      <c r="BNU64" s="180"/>
      <c r="BNV64" s="180"/>
      <c r="BNW64" s="180"/>
      <c r="BNX64" s="180"/>
      <c r="BNY64" s="180"/>
      <c r="BNZ64" s="180"/>
      <c r="BOA64" s="180"/>
      <c r="BOB64" s="180"/>
      <c r="BOC64" s="180"/>
      <c r="BOD64" s="180"/>
      <c r="BOE64" s="180"/>
      <c r="BOF64" s="180"/>
      <c r="BOG64" s="180"/>
      <c r="BOH64" s="180"/>
      <c r="BOI64" s="180"/>
      <c r="BOJ64" s="180"/>
      <c r="BOK64" s="180"/>
      <c r="BOL64" s="180"/>
      <c r="BOM64" s="180"/>
      <c r="BON64" s="180"/>
      <c r="BOO64" s="180"/>
      <c r="BOP64" s="180"/>
      <c r="BOQ64" s="180"/>
      <c r="BOR64" s="180"/>
      <c r="BOS64" s="180"/>
      <c r="BOT64" s="180"/>
      <c r="BOU64" s="180"/>
      <c r="BOV64" s="180"/>
      <c r="BOW64" s="180"/>
      <c r="BOX64" s="180"/>
      <c r="BOY64" s="180"/>
      <c r="BOZ64" s="180"/>
      <c r="BPA64" s="180"/>
      <c r="BPB64" s="180"/>
      <c r="BPC64" s="180"/>
      <c r="BPD64" s="180"/>
      <c r="BPE64" s="180"/>
      <c r="BPF64" s="180"/>
      <c r="BPG64" s="180"/>
      <c r="BPH64" s="180"/>
      <c r="BPI64" s="180"/>
      <c r="BPJ64" s="180"/>
      <c r="BPK64" s="180"/>
      <c r="BPL64" s="180"/>
      <c r="BPM64" s="180"/>
      <c r="BPN64" s="180"/>
      <c r="BPO64" s="180"/>
      <c r="BPP64" s="180"/>
      <c r="BPQ64" s="180"/>
      <c r="BPR64" s="180"/>
      <c r="BPS64" s="180"/>
      <c r="BPT64" s="180"/>
      <c r="BPU64" s="180"/>
      <c r="BPV64" s="180"/>
      <c r="BPW64" s="180"/>
      <c r="BPX64" s="180"/>
      <c r="BPY64" s="180"/>
      <c r="BPZ64" s="180"/>
      <c r="BQA64" s="180"/>
      <c r="BQB64" s="180"/>
      <c r="BQC64" s="180"/>
      <c r="BQD64" s="180"/>
      <c r="BQE64" s="180"/>
      <c r="BQF64" s="180"/>
      <c r="BQG64" s="180"/>
      <c r="BQH64" s="180"/>
      <c r="BQI64" s="180"/>
      <c r="BQJ64" s="180"/>
      <c r="BQK64" s="180"/>
      <c r="BQL64" s="180"/>
      <c r="BQM64" s="180"/>
      <c r="BQN64" s="180"/>
      <c r="BQO64" s="180"/>
      <c r="BQP64" s="180"/>
      <c r="BQQ64" s="180"/>
      <c r="BQR64" s="180"/>
      <c r="BQS64" s="180"/>
      <c r="BQT64" s="180"/>
      <c r="BQU64" s="180"/>
      <c r="BQV64" s="180"/>
      <c r="BQW64" s="180"/>
      <c r="BQX64" s="180"/>
      <c r="BQY64" s="180"/>
      <c r="BQZ64" s="180"/>
      <c r="BRA64" s="180"/>
      <c r="BRB64" s="180"/>
      <c r="BRC64" s="180"/>
      <c r="BRD64" s="180"/>
      <c r="BRE64" s="180"/>
      <c r="BRF64" s="180"/>
      <c r="BRG64" s="180"/>
      <c r="BRH64" s="180"/>
      <c r="BRI64" s="180"/>
      <c r="BRJ64" s="180"/>
      <c r="BRK64" s="180"/>
      <c r="BRL64" s="180"/>
      <c r="BRM64" s="180"/>
      <c r="BRN64" s="180"/>
      <c r="BRO64" s="180"/>
      <c r="BRP64" s="180"/>
      <c r="BRQ64" s="180"/>
      <c r="BRR64" s="180"/>
      <c r="BRS64" s="180"/>
      <c r="BRT64" s="180"/>
      <c r="BRU64" s="180"/>
      <c r="BRV64" s="180"/>
      <c r="BRW64" s="180"/>
      <c r="BRX64" s="180"/>
      <c r="BRY64" s="180"/>
      <c r="BRZ64" s="180"/>
      <c r="BSA64" s="180"/>
      <c r="BSB64" s="180"/>
      <c r="BSC64" s="180"/>
      <c r="BSD64" s="180"/>
      <c r="BSE64" s="180"/>
      <c r="BSF64" s="180"/>
      <c r="BSG64" s="180"/>
      <c r="BSH64" s="180"/>
      <c r="BSI64" s="180"/>
      <c r="BSJ64" s="180"/>
      <c r="BSK64" s="180"/>
      <c r="BSL64" s="180"/>
      <c r="BSM64" s="180"/>
      <c r="BSN64" s="180"/>
      <c r="BSO64" s="180"/>
      <c r="BSP64" s="180"/>
      <c r="BSQ64" s="180"/>
      <c r="BSR64" s="180"/>
      <c r="BSS64" s="180"/>
      <c r="BST64" s="180"/>
      <c r="BSU64" s="180"/>
      <c r="BSV64" s="180"/>
      <c r="BSW64" s="180"/>
      <c r="BSX64" s="180"/>
      <c r="BSY64" s="180"/>
      <c r="BSZ64" s="180"/>
      <c r="BTA64" s="180"/>
      <c r="BTB64" s="180"/>
      <c r="BTC64" s="180"/>
      <c r="BTD64" s="180"/>
      <c r="BTE64" s="180"/>
      <c r="BTF64" s="180"/>
      <c r="BTG64" s="180"/>
      <c r="BTH64" s="180"/>
      <c r="BTI64" s="180"/>
      <c r="BTJ64" s="180"/>
      <c r="BTK64" s="180"/>
      <c r="BTL64" s="180"/>
      <c r="BTM64" s="180"/>
      <c r="BTN64" s="180"/>
      <c r="BTO64" s="180"/>
      <c r="BTP64" s="180"/>
      <c r="BTQ64" s="180"/>
      <c r="BTR64" s="180"/>
      <c r="BTS64" s="180"/>
      <c r="BTT64" s="180"/>
      <c r="BTU64" s="180"/>
      <c r="BTV64" s="180"/>
      <c r="BTW64" s="180"/>
      <c r="BTX64" s="180"/>
      <c r="BTY64" s="180"/>
      <c r="BTZ64" s="180"/>
      <c r="BUA64" s="180"/>
      <c r="BUB64" s="180"/>
      <c r="BUC64" s="180"/>
      <c r="BUD64" s="180"/>
      <c r="BUE64" s="180"/>
      <c r="BUF64" s="180"/>
      <c r="BUG64" s="180"/>
      <c r="BUH64" s="180"/>
      <c r="BUI64" s="180"/>
      <c r="BUJ64" s="180"/>
      <c r="BUK64" s="180"/>
      <c r="BUL64" s="180"/>
      <c r="BUM64" s="180"/>
      <c r="BUN64" s="180"/>
      <c r="BUO64" s="180"/>
      <c r="BUP64" s="180"/>
      <c r="BUQ64" s="180"/>
      <c r="BUR64" s="180"/>
      <c r="BUS64" s="180"/>
      <c r="BUT64" s="180"/>
      <c r="BUU64" s="180"/>
      <c r="BUV64" s="180"/>
      <c r="BUW64" s="180"/>
      <c r="BUX64" s="180"/>
      <c r="BUY64" s="180"/>
      <c r="BUZ64" s="180"/>
      <c r="BVA64" s="180"/>
      <c r="BVB64" s="180"/>
      <c r="BVC64" s="180"/>
      <c r="BVD64" s="180"/>
      <c r="BVE64" s="180"/>
      <c r="BVF64" s="180"/>
      <c r="BVG64" s="180"/>
      <c r="BVH64" s="180"/>
      <c r="BVI64" s="180"/>
      <c r="BVJ64" s="180"/>
      <c r="BVK64" s="180"/>
      <c r="BVL64" s="180"/>
      <c r="BVM64" s="180"/>
      <c r="BVN64" s="180"/>
      <c r="BVO64" s="180"/>
      <c r="BVP64" s="180"/>
      <c r="BVQ64" s="180"/>
      <c r="BVR64" s="180"/>
      <c r="BVS64" s="180"/>
      <c r="BVT64" s="180"/>
      <c r="BVU64" s="180"/>
      <c r="BVV64" s="180"/>
      <c r="BVW64" s="180"/>
      <c r="BVX64" s="180"/>
      <c r="BVY64" s="180"/>
      <c r="BVZ64" s="180"/>
      <c r="BWA64" s="180"/>
      <c r="BWB64" s="180"/>
      <c r="BWC64" s="180"/>
      <c r="BWD64" s="180"/>
      <c r="BWE64" s="180"/>
      <c r="BWF64" s="180"/>
      <c r="BWG64" s="180"/>
      <c r="BWH64" s="180"/>
      <c r="BWI64" s="180"/>
      <c r="BWJ64" s="180"/>
      <c r="BWK64" s="180"/>
      <c r="BWL64" s="180"/>
      <c r="BWM64" s="180"/>
      <c r="BWN64" s="180"/>
      <c r="BWO64" s="180"/>
      <c r="BWP64" s="180"/>
      <c r="BWQ64" s="180"/>
      <c r="BWR64" s="180"/>
      <c r="BWS64" s="180"/>
      <c r="BWT64" s="180"/>
      <c r="BWU64" s="180"/>
      <c r="BWV64" s="180"/>
      <c r="BWW64" s="180"/>
      <c r="BWX64" s="180"/>
      <c r="BWY64" s="180"/>
      <c r="BWZ64" s="180"/>
      <c r="BXA64" s="180"/>
      <c r="BXB64" s="180"/>
      <c r="BXC64" s="180"/>
      <c r="BXD64" s="180"/>
      <c r="BXE64" s="180"/>
      <c r="BXF64" s="180"/>
      <c r="BXG64" s="180"/>
      <c r="BXH64" s="180"/>
      <c r="BXI64" s="180"/>
      <c r="BXJ64" s="180"/>
      <c r="BXK64" s="180"/>
      <c r="BXL64" s="180"/>
      <c r="BXM64" s="180"/>
      <c r="BXN64" s="180"/>
      <c r="BXO64" s="180"/>
      <c r="BXP64" s="180"/>
      <c r="BXQ64" s="180"/>
      <c r="BXR64" s="180"/>
      <c r="BXS64" s="180"/>
      <c r="BXT64" s="180"/>
      <c r="BXU64" s="180"/>
      <c r="BXV64" s="180"/>
      <c r="BXW64" s="180"/>
      <c r="BXX64" s="180"/>
      <c r="BXY64" s="180"/>
      <c r="BXZ64" s="180"/>
      <c r="BYA64" s="180"/>
      <c r="BYB64" s="180"/>
      <c r="BYC64" s="180"/>
      <c r="BYD64" s="180"/>
      <c r="BYE64" s="180"/>
      <c r="BYF64" s="180"/>
      <c r="BYG64" s="180"/>
      <c r="BYH64" s="180"/>
      <c r="BYI64" s="180"/>
      <c r="BYJ64" s="180"/>
      <c r="BYK64" s="180"/>
      <c r="BYL64" s="180"/>
      <c r="BYM64" s="180"/>
      <c r="BYN64" s="180"/>
      <c r="BYO64" s="180"/>
      <c r="BYP64" s="180"/>
      <c r="BYQ64" s="180"/>
      <c r="BYR64" s="180"/>
      <c r="BYS64" s="180"/>
      <c r="BYT64" s="180"/>
      <c r="BYU64" s="180"/>
      <c r="BYV64" s="180"/>
      <c r="BYW64" s="180"/>
      <c r="BYX64" s="180"/>
      <c r="BYY64" s="180"/>
      <c r="BYZ64" s="180"/>
      <c r="BZA64" s="180"/>
      <c r="BZB64" s="180"/>
      <c r="BZC64" s="180"/>
      <c r="BZD64" s="180"/>
      <c r="BZE64" s="180"/>
      <c r="BZF64" s="180"/>
      <c r="BZG64" s="180"/>
      <c r="BZH64" s="180"/>
      <c r="BZI64" s="180"/>
      <c r="BZJ64" s="180"/>
      <c r="BZK64" s="180"/>
      <c r="BZL64" s="180"/>
      <c r="BZM64" s="180"/>
      <c r="BZN64" s="180"/>
      <c r="BZO64" s="180"/>
      <c r="BZP64" s="180"/>
      <c r="BZQ64" s="180"/>
      <c r="BZR64" s="180"/>
      <c r="BZS64" s="180"/>
      <c r="BZT64" s="180"/>
      <c r="BZU64" s="180"/>
      <c r="BZV64" s="180"/>
      <c r="BZW64" s="180"/>
      <c r="BZX64" s="180"/>
      <c r="BZY64" s="180"/>
      <c r="BZZ64" s="180"/>
      <c r="CAA64" s="180"/>
      <c r="CAB64" s="180"/>
      <c r="CAC64" s="180"/>
      <c r="CAD64" s="180"/>
      <c r="CAE64" s="180"/>
      <c r="CAF64" s="180"/>
      <c r="CAG64" s="180"/>
      <c r="CAH64" s="180"/>
      <c r="CAI64" s="180"/>
      <c r="CAJ64" s="180"/>
      <c r="CAK64" s="180"/>
      <c r="CAL64" s="180"/>
      <c r="CAM64" s="180"/>
      <c r="CAN64" s="180"/>
      <c r="CAO64" s="180"/>
      <c r="CAP64" s="180"/>
      <c r="CAQ64" s="180"/>
      <c r="CAR64" s="180"/>
      <c r="CAS64" s="180"/>
      <c r="CAT64" s="180"/>
      <c r="CAU64" s="180"/>
      <c r="CAV64" s="180"/>
      <c r="CAW64" s="180"/>
      <c r="CAX64" s="180"/>
      <c r="CAY64" s="180"/>
      <c r="CAZ64" s="180"/>
      <c r="CBA64" s="180"/>
      <c r="CBB64" s="180"/>
      <c r="CBC64" s="180"/>
      <c r="CBD64" s="180"/>
      <c r="CBE64" s="180"/>
      <c r="CBF64" s="180"/>
      <c r="CBG64" s="180"/>
      <c r="CBH64" s="180"/>
      <c r="CBI64" s="180"/>
      <c r="CBJ64" s="180"/>
      <c r="CBK64" s="180"/>
      <c r="CBL64" s="180"/>
      <c r="CBM64" s="180"/>
      <c r="CBN64" s="180"/>
      <c r="CBO64" s="180"/>
      <c r="CBP64" s="180"/>
      <c r="CBQ64" s="180"/>
      <c r="CBR64" s="180"/>
      <c r="CBS64" s="180"/>
      <c r="CBT64" s="180"/>
      <c r="CBU64" s="180"/>
      <c r="CBV64" s="180"/>
      <c r="CBW64" s="180"/>
      <c r="CBX64" s="180"/>
      <c r="CBY64" s="180"/>
      <c r="CBZ64" s="180"/>
      <c r="CCA64" s="180"/>
      <c r="CCB64" s="180"/>
      <c r="CCC64" s="180"/>
      <c r="CCD64" s="180"/>
      <c r="CCE64" s="180"/>
      <c r="CCF64" s="180"/>
      <c r="CCG64" s="180"/>
      <c r="CCH64" s="180"/>
      <c r="CCI64" s="180"/>
      <c r="CCJ64" s="180"/>
      <c r="CCK64" s="180"/>
      <c r="CCL64" s="180"/>
      <c r="CCM64" s="180"/>
      <c r="CCN64" s="180"/>
      <c r="CCO64" s="180"/>
      <c r="CCP64" s="180"/>
      <c r="CCQ64" s="180"/>
      <c r="CCR64" s="180"/>
      <c r="CCS64" s="180"/>
      <c r="CCT64" s="180"/>
      <c r="CCU64" s="180"/>
      <c r="CCV64" s="180"/>
      <c r="CCW64" s="180"/>
      <c r="CCX64" s="180"/>
      <c r="CCY64" s="180"/>
      <c r="CCZ64" s="180"/>
      <c r="CDA64" s="180"/>
      <c r="CDB64" s="180"/>
      <c r="CDC64" s="180"/>
      <c r="CDD64" s="180"/>
      <c r="CDE64" s="180"/>
      <c r="CDF64" s="180"/>
      <c r="CDG64" s="180"/>
      <c r="CDH64" s="180"/>
      <c r="CDI64" s="180"/>
      <c r="CDJ64" s="180"/>
      <c r="CDK64" s="180"/>
      <c r="CDL64" s="180"/>
      <c r="CDM64" s="180"/>
      <c r="CDN64" s="180"/>
      <c r="CDO64" s="180"/>
      <c r="CDP64" s="180"/>
      <c r="CDQ64" s="180"/>
      <c r="CDR64" s="180"/>
      <c r="CDS64" s="180"/>
      <c r="CDT64" s="180"/>
      <c r="CDU64" s="180"/>
      <c r="CDV64" s="180"/>
      <c r="CDW64" s="180"/>
      <c r="CDX64" s="180"/>
      <c r="CDY64" s="180"/>
      <c r="CDZ64" s="180"/>
      <c r="CEA64" s="180"/>
      <c r="CEB64" s="180"/>
      <c r="CEC64" s="180"/>
      <c r="CED64" s="180"/>
      <c r="CEE64" s="180"/>
      <c r="CEF64" s="180"/>
      <c r="CEG64" s="180"/>
      <c r="CEH64" s="180"/>
      <c r="CEI64" s="180"/>
      <c r="CEJ64" s="180"/>
      <c r="CEK64" s="180"/>
      <c r="CEL64" s="180"/>
      <c r="CEM64" s="180"/>
      <c r="CEN64" s="180"/>
      <c r="CEO64" s="180"/>
      <c r="CEP64" s="180"/>
      <c r="CEQ64" s="180"/>
      <c r="CER64" s="180"/>
      <c r="CES64" s="180"/>
      <c r="CET64" s="180"/>
      <c r="CEU64" s="180"/>
      <c r="CEV64" s="180"/>
      <c r="CEW64" s="180"/>
      <c r="CEX64" s="180"/>
      <c r="CEY64" s="180"/>
      <c r="CEZ64" s="180"/>
      <c r="CFA64" s="180"/>
      <c r="CFB64" s="180"/>
      <c r="CFC64" s="180"/>
      <c r="CFD64" s="180"/>
      <c r="CFE64" s="180"/>
      <c r="CFF64" s="180"/>
      <c r="CFG64" s="180"/>
      <c r="CFH64" s="180"/>
      <c r="CFI64" s="180"/>
      <c r="CFJ64" s="180"/>
      <c r="CFK64" s="180"/>
      <c r="CFL64" s="180"/>
      <c r="CFM64" s="180"/>
      <c r="CFN64" s="180"/>
      <c r="CFO64" s="180"/>
      <c r="CFP64" s="180"/>
      <c r="CFQ64" s="180"/>
      <c r="CFR64" s="180"/>
      <c r="CFS64" s="180"/>
      <c r="CFT64" s="180"/>
      <c r="CFU64" s="180"/>
      <c r="CFV64" s="180"/>
      <c r="CFW64" s="180"/>
      <c r="CFX64" s="180"/>
      <c r="CFY64" s="180"/>
      <c r="CFZ64" s="180"/>
      <c r="CGA64" s="180"/>
      <c r="CGB64" s="180"/>
      <c r="CGC64" s="180"/>
      <c r="CGD64" s="180"/>
      <c r="CGE64" s="180"/>
      <c r="CGF64" s="180"/>
      <c r="CGG64" s="180"/>
      <c r="CGH64" s="180"/>
      <c r="CGI64" s="180"/>
      <c r="CGJ64" s="180"/>
      <c r="CGK64" s="180"/>
      <c r="CGL64" s="180"/>
      <c r="CGM64" s="180"/>
      <c r="CGN64" s="180"/>
      <c r="CGO64" s="180"/>
      <c r="CGP64" s="180"/>
      <c r="CGQ64" s="180"/>
      <c r="CGR64" s="180"/>
      <c r="CGS64" s="180"/>
      <c r="CGT64" s="180"/>
      <c r="CGU64" s="180"/>
      <c r="CGV64" s="180"/>
      <c r="CGW64" s="180"/>
      <c r="CGX64" s="180"/>
      <c r="CGY64" s="180"/>
      <c r="CGZ64" s="180"/>
      <c r="CHA64" s="180"/>
      <c r="CHB64" s="180"/>
      <c r="CHC64" s="180"/>
      <c r="CHD64" s="180"/>
      <c r="CHE64" s="180"/>
      <c r="CHF64" s="180"/>
      <c r="CHG64" s="180"/>
      <c r="CHH64" s="180"/>
      <c r="CHI64" s="180"/>
      <c r="CHJ64" s="180"/>
      <c r="CHK64" s="180"/>
      <c r="CHL64" s="180"/>
      <c r="CHM64" s="180"/>
      <c r="CHN64" s="180"/>
      <c r="CHO64" s="180"/>
      <c r="CHP64" s="180"/>
      <c r="CHQ64" s="180"/>
      <c r="CHR64" s="180"/>
      <c r="CHS64" s="180"/>
      <c r="CHT64" s="180"/>
      <c r="CHU64" s="180"/>
      <c r="CHV64" s="180"/>
      <c r="CHW64" s="180"/>
      <c r="CHX64" s="180"/>
      <c r="CHY64" s="180"/>
      <c r="CHZ64" s="180"/>
      <c r="CIA64" s="180"/>
      <c r="CIB64" s="180"/>
      <c r="CIC64" s="180"/>
      <c r="CID64" s="180"/>
      <c r="CIE64" s="180"/>
      <c r="CIF64" s="180"/>
      <c r="CIG64" s="180"/>
      <c r="CIH64" s="180"/>
      <c r="CII64" s="180"/>
      <c r="CIJ64" s="180"/>
      <c r="CIK64" s="180"/>
      <c r="CIL64" s="180"/>
      <c r="CIM64" s="180"/>
      <c r="CIN64" s="180"/>
      <c r="CIO64" s="180"/>
      <c r="CIP64" s="180"/>
      <c r="CIQ64" s="180"/>
      <c r="CIR64" s="180"/>
      <c r="CIS64" s="180"/>
      <c r="CIT64" s="180"/>
      <c r="CIU64" s="180"/>
      <c r="CIV64" s="180"/>
      <c r="CIW64" s="180"/>
      <c r="CIX64" s="180"/>
      <c r="CIY64" s="180"/>
      <c r="CIZ64" s="180"/>
      <c r="CJA64" s="180"/>
      <c r="CJB64" s="180"/>
      <c r="CJC64" s="180"/>
      <c r="CJD64" s="180"/>
      <c r="CJE64" s="180"/>
      <c r="CJF64" s="180"/>
      <c r="CJG64" s="180"/>
      <c r="CJH64" s="180"/>
      <c r="CJI64" s="180"/>
      <c r="CJJ64" s="180"/>
      <c r="CJK64" s="180"/>
      <c r="CJL64" s="180"/>
      <c r="CJM64" s="180"/>
      <c r="CJN64" s="180"/>
      <c r="CJO64" s="180"/>
      <c r="CJP64" s="180"/>
      <c r="CJQ64" s="180"/>
      <c r="CJR64" s="180"/>
      <c r="CJS64" s="180"/>
      <c r="CJT64" s="180"/>
      <c r="CJU64" s="180"/>
      <c r="CJV64" s="180"/>
      <c r="CJW64" s="180"/>
      <c r="CJX64" s="180"/>
      <c r="CJY64" s="180"/>
      <c r="CJZ64" s="180"/>
      <c r="CKA64" s="180"/>
      <c r="CKB64" s="180"/>
      <c r="CKC64" s="180"/>
      <c r="CKD64" s="180"/>
      <c r="CKE64" s="180"/>
      <c r="CKF64" s="180"/>
      <c r="CKG64" s="180"/>
      <c r="CKH64" s="180"/>
      <c r="CKI64" s="180"/>
      <c r="CKJ64" s="180"/>
      <c r="CKK64" s="180"/>
      <c r="CKL64" s="180"/>
      <c r="CKM64" s="180"/>
      <c r="CKN64" s="180"/>
      <c r="CKO64" s="180"/>
      <c r="CKP64" s="180"/>
      <c r="CKQ64" s="180"/>
      <c r="CKR64" s="180"/>
      <c r="CKS64" s="180"/>
      <c r="CKT64" s="180"/>
      <c r="CKU64" s="180"/>
      <c r="CKV64" s="180"/>
      <c r="CKW64" s="180"/>
      <c r="CKX64" s="180"/>
      <c r="CKY64" s="180"/>
      <c r="CKZ64" s="180"/>
      <c r="CLA64" s="180"/>
      <c r="CLB64" s="180"/>
      <c r="CLC64" s="180"/>
      <c r="CLD64" s="180"/>
      <c r="CLE64" s="180"/>
      <c r="CLF64" s="180"/>
      <c r="CLG64" s="180"/>
      <c r="CLH64" s="180"/>
      <c r="CLI64" s="180"/>
      <c r="CLJ64" s="180"/>
      <c r="CLK64" s="180"/>
      <c r="CLL64" s="180"/>
      <c r="CLM64" s="180"/>
      <c r="CLN64" s="180"/>
      <c r="CLO64" s="180"/>
      <c r="CLP64" s="180"/>
      <c r="CLQ64" s="180"/>
      <c r="CLR64" s="180"/>
      <c r="CLS64" s="180"/>
      <c r="CLT64" s="180"/>
      <c r="CLU64" s="180"/>
      <c r="CLV64" s="180"/>
      <c r="CLW64" s="180"/>
      <c r="CLX64" s="180"/>
      <c r="CLY64" s="180"/>
      <c r="CLZ64" s="180"/>
      <c r="CMA64" s="180"/>
      <c r="CMB64" s="180"/>
      <c r="CMC64" s="180"/>
      <c r="CMD64" s="180"/>
      <c r="CME64" s="180"/>
      <c r="CMF64" s="180"/>
      <c r="CMG64" s="180"/>
      <c r="CMH64" s="180"/>
      <c r="CMI64" s="180"/>
      <c r="CMJ64" s="180"/>
      <c r="CMK64" s="180"/>
      <c r="CML64" s="180"/>
      <c r="CMM64" s="180"/>
      <c r="CMN64" s="180"/>
      <c r="CMO64" s="180"/>
      <c r="CMP64" s="180"/>
      <c r="CMQ64" s="180"/>
      <c r="CMR64" s="180"/>
      <c r="CMS64" s="180"/>
      <c r="CMT64" s="180"/>
      <c r="CMU64" s="180"/>
      <c r="CMV64" s="180"/>
      <c r="CMW64" s="180"/>
      <c r="CMX64" s="180"/>
      <c r="CMY64" s="180"/>
      <c r="CMZ64" s="180"/>
      <c r="CNA64" s="180"/>
      <c r="CNB64" s="180"/>
      <c r="CNC64" s="180"/>
      <c r="CND64" s="180"/>
      <c r="CNE64" s="180"/>
      <c r="CNF64" s="180"/>
      <c r="CNG64" s="180"/>
      <c r="CNH64" s="180"/>
      <c r="CNI64" s="180"/>
      <c r="CNJ64" s="180"/>
      <c r="CNK64" s="180"/>
      <c r="CNL64" s="180"/>
      <c r="CNM64" s="180"/>
      <c r="CNN64" s="180"/>
      <c r="CNO64" s="180"/>
      <c r="CNP64" s="180"/>
      <c r="CNQ64" s="180"/>
      <c r="CNR64" s="180"/>
      <c r="CNS64" s="180"/>
      <c r="CNT64" s="180"/>
      <c r="CNU64" s="180"/>
      <c r="CNV64" s="180"/>
      <c r="CNW64" s="180"/>
      <c r="CNX64" s="180"/>
      <c r="CNY64" s="180"/>
      <c r="CNZ64" s="180"/>
      <c r="COA64" s="180"/>
      <c r="COB64" s="180"/>
      <c r="COC64" s="180"/>
      <c r="COD64" s="180"/>
      <c r="COE64" s="180"/>
      <c r="COF64" s="180"/>
      <c r="COG64" s="180"/>
      <c r="COH64" s="180"/>
      <c r="COI64" s="180"/>
      <c r="COJ64" s="180"/>
      <c r="COK64" s="180"/>
      <c r="COL64" s="180"/>
      <c r="COM64" s="180"/>
      <c r="CON64" s="180"/>
      <c r="COO64" s="180"/>
      <c r="COP64" s="180"/>
      <c r="COQ64" s="180"/>
      <c r="COR64" s="180"/>
      <c r="COS64" s="180"/>
      <c r="COT64" s="180"/>
      <c r="COU64" s="180"/>
      <c r="COV64" s="180"/>
      <c r="COW64" s="180"/>
      <c r="COX64" s="180"/>
      <c r="COY64" s="180"/>
      <c r="COZ64" s="180"/>
      <c r="CPA64" s="180"/>
      <c r="CPB64" s="180"/>
      <c r="CPC64" s="180"/>
      <c r="CPD64" s="180"/>
      <c r="CPE64" s="180"/>
      <c r="CPF64" s="180"/>
      <c r="CPG64" s="180"/>
      <c r="CPH64" s="180"/>
      <c r="CPI64" s="180"/>
      <c r="CPJ64" s="180"/>
      <c r="CPK64" s="180"/>
      <c r="CPL64" s="180"/>
      <c r="CPM64" s="180"/>
      <c r="CPN64" s="180"/>
      <c r="CPO64" s="180"/>
      <c r="CPP64" s="180"/>
      <c r="CPQ64" s="180"/>
      <c r="CPR64" s="180"/>
      <c r="CPS64" s="180"/>
      <c r="CPT64" s="180"/>
      <c r="CPU64" s="180"/>
      <c r="CPV64" s="180"/>
      <c r="CPW64" s="180"/>
      <c r="CPX64" s="180"/>
      <c r="CPY64" s="180"/>
      <c r="CPZ64" s="180"/>
      <c r="CQA64" s="180"/>
      <c r="CQB64" s="180"/>
      <c r="CQC64" s="180"/>
      <c r="CQD64" s="180"/>
      <c r="CQE64" s="180"/>
      <c r="CQF64" s="180"/>
      <c r="CQG64" s="180"/>
      <c r="CQH64" s="180"/>
      <c r="CQI64" s="180"/>
      <c r="CQJ64" s="180"/>
      <c r="CQK64" s="180"/>
      <c r="CQL64" s="180"/>
      <c r="CQM64" s="180"/>
      <c r="CQN64" s="180"/>
      <c r="CQO64" s="180"/>
      <c r="CQP64" s="180"/>
      <c r="CQQ64" s="180"/>
      <c r="CQR64" s="180"/>
      <c r="CQS64" s="180"/>
      <c r="CQT64" s="180"/>
      <c r="CQU64" s="180"/>
      <c r="CQV64" s="180"/>
      <c r="CQW64" s="180"/>
      <c r="CQX64" s="180"/>
      <c r="CQY64" s="180"/>
      <c r="CQZ64" s="180"/>
      <c r="CRA64" s="180"/>
      <c r="CRB64" s="180"/>
      <c r="CRC64" s="180"/>
      <c r="CRD64" s="180"/>
      <c r="CRE64" s="180"/>
      <c r="CRF64" s="180"/>
      <c r="CRG64" s="180"/>
      <c r="CRH64" s="180"/>
      <c r="CRI64" s="180"/>
      <c r="CRJ64" s="180"/>
      <c r="CRK64" s="180"/>
      <c r="CRL64" s="180"/>
      <c r="CRM64" s="180"/>
      <c r="CRN64" s="180"/>
      <c r="CRO64" s="180"/>
      <c r="CRP64" s="180"/>
      <c r="CRQ64" s="180"/>
      <c r="CRR64" s="180"/>
      <c r="CRS64" s="180"/>
      <c r="CRT64" s="180"/>
      <c r="CRU64" s="180"/>
      <c r="CRV64" s="180"/>
      <c r="CRW64" s="180"/>
      <c r="CRX64" s="180"/>
      <c r="CRY64" s="180"/>
      <c r="CRZ64" s="180"/>
      <c r="CSA64" s="180"/>
      <c r="CSB64" s="180"/>
      <c r="CSC64" s="180"/>
      <c r="CSD64" s="180"/>
      <c r="CSE64" s="180"/>
      <c r="CSF64" s="180"/>
      <c r="CSG64" s="180"/>
      <c r="CSH64" s="180"/>
      <c r="CSI64" s="180"/>
      <c r="CSJ64" s="180"/>
      <c r="CSK64" s="180"/>
      <c r="CSL64" s="180"/>
      <c r="CSM64" s="180"/>
      <c r="CSN64" s="180"/>
      <c r="CSO64" s="180"/>
      <c r="CSP64" s="180"/>
      <c r="CSQ64" s="180"/>
      <c r="CSR64" s="180"/>
      <c r="CSS64" s="180"/>
      <c r="CST64" s="180"/>
      <c r="CSU64" s="180"/>
      <c r="CSV64" s="180"/>
      <c r="CSW64" s="180"/>
      <c r="CSX64" s="180"/>
      <c r="CSY64" s="180"/>
      <c r="CSZ64" s="180"/>
      <c r="CTA64" s="180"/>
      <c r="CTB64" s="180"/>
      <c r="CTC64" s="180"/>
      <c r="CTD64" s="180"/>
      <c r="CTE64" s="180"/>
      <c r="CTF64" s="180"/>
      <c r="CTG64" s="180"/>
      <c r="CTH64" s="180"/>
      <c r="CTI64" s="180"/>
      <c r="CTJ64" s="180"/>
      <c r="CTK64" s="180"/>
      <c r="CTL64" s="180"/>
      <c r="CTM64" s="180"/>
      <c r="CTN64" s="180"/>
      <c r="CTO64" s="180"/>
      <c r="CTP64" s="180"/>
      <c r="CTQ64" s="180"/>
      <c r="CTR64" s="180"/>
      <c r="CTS64" s="180"/>
      <c r="CTT64" s="180"/>
      <c r="CTU64" s="180"/>
      <c r="CTV64" s="180"/>
      <c r="CTW64" s="180"/>
      <c r="CTX64" s="180"/>
      <c r="CTY64" s="180"/>
      <c r="CTZ64" s="180"/>
      <c r="CUA64" s="180"/>
      <c r="CUB64" s="180"/>
      <c r="CUC64" s="180"/>
      <c r="CUD64" s="180"/>
      <c r="CUE64" s="180"/>
      <c r="CUF64" s="180"/>
      <c r="CUG64" s="180"/>
      <c r="CUH64" s="180"/>
      <c r="CUI64" s="180"/>
      <c r="CUJ64" s="180"/>
      <c r="CUK64" s="180"/>
      <c r="CUL64" s="180"/>
      <c r="CUM64" s="180"/>
      <c r="CUN64" s="180"/>
      <c r="CUO64" s="180"/>
      <c r="CUP64" s="180"/>
      <c r="CUQ64" s="180"/>
      <c r="CUR64" s="180"/>
      <c r="CUS64" s="180"/>
      <c r="CUT64" s="180"/>
      <c r="CUU64" s="180"/>
      <c r="CUV64" s="180"/>
      <c r="CUW64" s="180"/>
      <c r="CUX64" s="180"/>
      <c r="CUY64" s="180"/>
      <c r="CUZ64" s="180"/>
      <c r="CVA64" s="180"/>
      <c r="CVB64" s="180"/>
      <c r="CVC64" s="180"/>
      <c r="CVD64" s="180"/>
      <c r="CVE64" s="180"/>
      <c r="CVF64" s="180"/>
      <c r="CVG64" s="180"/>
      <c r="CVH64" s="180"/>
      <c r="CVI64" s="180"/>
      <c r="CVJ64" s="180"/>
      <c r="CVK64" s="180"/>
      <c r="CVL64" s="180"/>
      <c r="CVM64" s="180"/>
      <c r="CVN64" s="180"/>
      <c r="CVO64" s="180"/>
      <c r="CVP64" s="180"/>
      <c r="CVQ64" s="180"/>
      <c r="CVR64" s="180"/>
      <c r="CVS64" s="180"/>
      <c r="CVT64" s="180"/>
      <c r="CVU64" s="180"/>
      <c r="CVV64" s="180"/>
      <c r="CVW64" s="180"/>
      <c r="CVX64" s="180"/>
      <c r="CVY64" s="180"/>
      <c r="CVZ64" s="180"/>
      <c r="CWA64" s="180"/>
      <c r="CWB64" s="180"/>
      <c r="CWC64" s="180"/>
      <c r="CWD64" s="180"/>
      <c r="CWE64" s="180"/>
      <c r="CWF64" s="180"/>
      <c r="CWG64" s="180"/>
      <c r="CWH64" s="180"/>
      <c r="CWI64" s="180"/>
      <c r="CWJ64" s="180"/>
      <c r="CWK64" s="180"/>
      <c r="CWL64" s="180"/>
      <c r="CWM64" s="180"/>
      <c r="CWN64" s="180"/>
      <c r="CWO64" s="180"/>
      <c r="CWP64" s="180"/>
      <c r="CWQ64" s="180"/>
      <c r="CWR64" s="180"/>
      <c r="CWS64" s="180"/>
      <c r="CWT64" s="180"/>
      <c r="CWU64" s="180"/>
      <c r="CWV64" s="180"/>
      <c r="CWW64" s="180"/>
      <c r="CWX64" s="180"/>
      <c r="CWY64" s="180"/>
      <c r="CWZ64" s="180"/>
      <c r="CXA64" s="180"/>
      <c r="CXB64" s="180"/>
      <c r="CXC64" s="180"/>
      <c r="CXD64" s="180"/>
      <c r="CXE64" s="180"/>
      <c r="CXF64" s="180"/>
      <c r="CXG64" s="180"/>
      <c r="CXH64" s="180"/>
      <c r="CXI64" s="180"/>
      <c r="CXJ64" s="180"/>
      <c r="CXK64" s="180"/>
      <c r="CXL64" s="180"/>
      <c r="CXM64" s="180"/>
      <c r="CXN64" s="180"/>
      <c r="CXO64" s="180"/>
      <c r="CXP64" s="180"/>
      <c r="CXQ64" s="180"/>
      <c r="CXR64" s="180"/>
      <c r="CXS64" s="180"/>
      <c r="CXT64" s="180"/>
      <c r="CXU64" s="180"/>
      <c r="CXV64" s="180"/>
      <c r="CXW64" s="180"/>
      <c r="CXX64" s="180"/>
      <c r="CXY64" s="180"/>
      <c r="CXZ64" s="180"/>
      <c r="CYA64" s="180"/>
      <c r="CYB64" s="180"/>
      <c r="CYC64" s="180"/>
      <c r="CYD64" s="180"/>
      <c r="CYE64" s="180"/>
      <c r="CYF64" s="180"/>
      <c r="CYG64" s="180"/>
      <c r="CYH64" s="180"/>
      <c r="CYI64" s="180"/>
      <c r="CYJ64" s="180"/>
      <c r="CYK64" s="180"/>
      <c r="CYL64" s="180"/>
      <c r="CYM64" s="180"/>
      <c r="CYN64" s="180"/>
      <c r="CYO64" s="180"/>
      <c r="CYP64" s="180"/>
      <c r="CYQ64" s="180"/>
      <c r="CYR64" s="180"/>
      <c r="CYS64" s="180"/>
      <c r="CYT64" s="180"/>
      <c r="CYU64" s="180"/>
      <c r="CYV64" s="180"/>
      <c r="CYW64" s="180"/>
      <c r="CYX64" s="180"/>
      <c r="CYY64" s="180"/>
      <c r="CYZ64" s="180"/>
      <c r="CZA64" s="180"/>
      <c r="CZB64" s="180"/>
      <c r="CZC64" s="180"/>
      <c r="CZD64" s="180"/>
      <c r="CZE64" s="180"/>
      <c r="CZF64" s="180"/>
      <c r="CZG64" s="180"/>
      <c r="CZH64" s="180"/>
      <c r="CZI64" s="180"/>
      <c r="CZJ64" s="180"/>
      <c r="CZK64" s="180"/>
      <c r="CZL64" s="180"/>
      <c r="CZM64" s="180"/>
      <c r="CZN64" s="180"/>
      <c r="CZO64" s="180"/>
      <c r="CZP64" s="180"/>
      <c r="CZQ64" s="180"/>
      <c r="CZR64" s="180"/>
      <c r="CZS64" s="180"/>
      <c r="CZT64" s="180"/>
      <c r="CZU64" s="180"/>
      <c r="CZV64" s="180"/>
      <c r="CZW64" s="180"/>
      <c r="CZX64" s="180"/>
      <c r="CZY64" s="180"/>
      <c r="CZZ64" s="180"/>
      <c r="DAA64" s="180"/>
      <c r="DAB64" s="180"/>
      <c r="DAC64" s="180"/>
      <c r="DAD64" s="180"/>
      <c r="DAE64" s="180"/>
      <c r="DAF64" s="180"/>
      <c r="DAG64" s="180"/>
      <c r="DAH64" s="180"/>
      <c r="DAI64" s="180"/>
      <c r="DAJ64" s="180"/>
      <c r="DAK64" s="180"/>
      <c r="DAL64" s="180"/>
      <c r="DAM64" s="180"/>
      <c r="DAN64" s="180"/>
      <c r="DAO64" s="180"/>
      <c r="DAP64" s="180"/>
      <c r="DAQ64" s="180"/>
      <c r="DAR64" s="180"/>
      <c r="DAS64" s="180"/>
      <c r="DAT64" s="180"/>
      <c r="DAU64" s="180"/>
      <c r="DAV64" s="180"/>
      <c r="DAW64" s="180"/>
      <c r="DAX64" s="180"/>
      <c r="DAY64" s="180"/>
      <c r="DAZ64" s="180"/>
      <c r="DBA64" s="180"/>
      <c r="DBB64" s="180"/>
      <c r="DBC64" s="180"/>
      <c r="DBD64" s="180"/>
      <c r="DBE64" s="180"/>
      <c r="DBF64" s="180"/>
      <c r="DBG64" s="180"/>
      <c r="DBH64" s="180"/>
      <c r="DBI64" s="180"/>
      <c r="DBJ64" s="180"/>
      <c r="DBK64" s="180"/>
      <c r="DBL64" s="180"/>
      <c r="DBM64" s="180"/>
      <c r="DBN64" s="180"/>
      <c r="DBO64" s="180"/>
      <c r="DBP64" s="180"/>
      <c r="DBQ64" s="180"/>
      <c r="DBR64" s="180"/>
      <c r="DBS64" s="180"/>
      <c r="DBT64" s="180"/>
      <c r="DBU64" s="180"/>
      <c r="DBV64" s="180"/>
      <c r="DBW64" s="180"/>
      <c r="DBX64" s="180"/>
      <c r="DBY64" s="180"/>
      <c r="DBZ64" s="180"/>
      <c r="DCA64" s="180"/>
      <c r="DCB64" s="180"/>
      <c r="DCC64" s="180"/>
      <c r="DCD64" s="180"/>
      <c r="DCE64" s="180"/>
      <c r="DCF64" s="180"/>
      <c r="DCG64" s="180"/>
      <c r="DCH64" s="180"/>
      <c r="DCI64" s="180"/>
      <c r="DCJ64" s="180"/>
      <c r="DCK64" s="180"/>
      <c r="DCL64" s="180"/>
      <c r="DCM64" s="180"/>
      <c r="DCN64" s="180"/>
      <c r="DCO64" s="180"/>
      <c r="DCP64" s="180"/>
      <c r="DCQ64" s="180"/>
      <c r="DCR64" s="180"/>
      <c r="DCS64" s="180"/>
      <c r="DCT64" s="180"/>
      <c r="DCU64" s="180"/>
      <c r="DCV64" s="180"/>
      <c r="DCW64" s="180"/>
      <c r="DCX64" s="180"/>
      <c r="DCY64" s="180"/>
      <c r="DCZ64" s="180"/>
      <c r="DDA64" s="180"/>
      <c r="DDB64" s="180"/>
      <c r="DDC64" s="180"/>
      <c r="DDD64" s="180"/>
      <c r="DDE64" s="180"/>
      <c r="DDF64" s="180"/>
      <c r="DDG64" s="180"/>
      <c r="DDH64" s="180"/>
      <c r="DDI64" s="180"/>
      <c r="DDJ64" s="180"/>
      <c r="DDK64" s="180"/>
      <c r="DDL64" s="180"/>
      <c r="DDM64" s="180"/>
      <c r="DDN64" s="180"/>
      <c r="DDO64" s="180"/>
      <c r="DDP64" s="180"/>
      <c r="DDQ64" s="180"/>
      <c r="DDR64" s="180"/>
      <c r="DDS64" s="180"/>
      <c r="DDT64" s="180"/>
      <c r="DDU64" s="180"/>
      <c r="DDV64" s="180"/>
      <c r="DDW64" s="180"/>
      <c r="DDX64" s="180"/>
      <c r="DDY64" s="180"/>
      <c r="DDZ64" s="180"/>
      <c r="DEA64" s="180"/>
      <c r="DEB64" s="180"/>
      <c r="DEC64" s="180"/>
      <c r="DED64" s="180"/>
      <c r="DEE64" s="180"/>
      <c r="DEF64" s="180"/>
      <c r="DEG64" s="180"/>
      <c r="DEH64" s="180"/>
      <c r="DEI64" s="180"/>
      <c r="DEJ64" s="180"/>
      <c r="DEK64" s="180"/>
      <c r="DEL64" s="180"/>
      <c r="DEM64" s="180"/>
      <c r="DEN64" s="180"/>
      <c r="DEO64" s="180"/>
      <c r="DEP64" s="180"/>
      <c r="DEQ64" s="180"/>
      <c r="DER64" s="180"/>
      <c r="DES64" s="180"/>
      <c r="DET64" s="180"/>
      <c r="DEU64" s="180"/>
      <c r="DEV64" s="180"/>
      <c r="DEW64" s="180"/>
      <c r="DEX64" s="180"/>
      <c r="DEY64" s="180"/>
      <c r="DEZ64" s="180"/>
      <c r="DFA64" s="180"/>
      <c r="DFB64" s="180"/>
      <c r="DFC64" s="180"/>
      <c r="DFD64" s="180"/>
      <c r="DFE64" s="180"/>
      <c r="DFF64" s="180"/>
      <c r="DFG64" s="180"/>
      <c r="DFH64" s="180"/>
      <c r="DFI64" s="180"/>
      <c r="DFJ64" s="180"/>
      <c r="DFK64" s="180"/>
      <c r="DFL64" s="180"/>
      <c r="DFM64" s="180"/>
      <c r="DFN64" s="180"/>
      <c r="DFO64" s="180"/>
      <c r="DFP64" s="180"/>
      <c r="DFQ64" s="180"/>
      <c r="DFR64" s="180"/>
      <c r="DFS64" s="180"/>
      <c r="DFT64" s="180"/>
      <c r="DFU64" s="180"/>
      <c r="DFV64" s="180"/>
      <c r="DFW64" s="180"/>
      <c r="DFX64" s="180"/>
      <c r="DFY64" s="180"/>
      <c r="DFZ64" s="180"/>
      <c r="DGA64" s="180"/>
      <c r="DGB64" s="180"/>
      <c r="DGC64" s="180"/>
      <c r="DGD64" s="180"/>
      <c r="DGE64" s="180"/>
      <c r="DGF64" s="180"/>
      <c r="DGG64" s="180"/>
      <c r="DGH64" s="180"/>
      <c r="DGI64" s="180"/>
      <c r="DGJ64" s="180"/>
      <c r="DGK64" s="180"/>
      <c r="DGL64" s="180"/>
      <c r="DGM64" s="180"/>
      <c r="DGN64" s="180"/>
      <c r="DGO64" s="180"/>
      <c r="DGP64" s="180"/>
      <c r="DGQ64" s="180"/>
      <c r="DGR64" s="180"/>
      <c r="DGS64" s="180"/>
      <c r="DGT64" s="180"/>
      <c r="DGU64" s="180"/>
      <c r="DGV64" s="180"/>
      <c r="DGW64" s="180"/>
      <c r="DGX64" s="180"/>
      <c r="DGY64" s="180"/>
      <c r="DGZ64" s="180"/>
      <c r="DHA64" s="180"/>
      <c r="DHB64" s="180"/>
      <c r="DHC64" s="180"/>
      <c r="DHD64" s="180"/>
      <c r="DHE64" s="180"/>
      <c r="DHF64" s="180"/>
      <c r="DHG64" s="180"/>
      <c r="DHH64" s="180"/>
      <c r="DHI64" s="180"/>
      <c r="DHJ64" s="180"/>
      <c r="DHK64" s="180"/>
      <c r="DHL64" s="180"/>
      <c r="DHM64" s="180"/>
      <c r="DHN64" s="180"/>
      <c r="DHO64" s="180"/>
      <c r="DHP64" s="180"/>
      <c r="DHQ64" s="180"/>
      <c r="DHR64" s="180"/>
      <c r="DHS64" s="180"/>
      <c r="DHT64" s="180"/>
      <c r="DHU64" s="180"/>
      <c r="DHV64" s="180"/>
      <c r="DHW64" s="180"/>
      <c r="DHX64" s="180"/>
      <c r="DHY64" s="180"/>
      <c r="DHZ64" s="180"/>
      <c r="DIA64" s="180"/>
      <c r="DIB64" s="180"/>
      <c r="DIC64" s="180"/>
      <c r="DID64" s="180"/>
      <c r="DIE64" s="180"/>
      <c r="DIF64" s="180"/>
      <c r="DIG64" s="180"/>
      <c r="DIH64" s="180"/>
      <c r="DII64" s="180"/>
      <c r="DIJ64" s="180"/>
      <c r="DIK64" s="180"/>
      <c r="DIL64" s="180"/>
      <c r="DIM64" s="180"/>
      <c r="DIN64" s="180"/>
      <c r="DIO64" s="180"/>
      <c r="DIP64" s="180"/>
      <c r="DIQ64" s="180"/>
      <c r="DIR64" s="180"/>
      <c r="DIS64" s="180"/>
      <c r="DIT64" s="180"/>
      <c r="DIU64" s="180"/>
      <c r="DIV64" s="180"/>
      <c r="DIW64" s="180"/>
      <c r="DIX64" s="180"/>
      <c r="DIY64" s="180"/>
      <c r="DIZ64" s="180"/>
      <c r="DJA64" s="180"/>
      <c r="DJB64" s="180"/>
      <c r="DJC64" s="180"/>
      <c r="DJD64" s="180"/>
      <c r="DJE64" s="180"/>
      <c r="DJF64" s="180"/>
      <c r="DJG64" s="180"/>
      <c r="DJH64" s="180"/>
      <c r="DJI64" s="180"/>
      <c r="DJJ64" s="180"/>
      <c r="DJK64" s="180"/>
      <c r="DJL64" s="180"/>
      <c r="DJM64" s="180"/>
      <c r="DJN64" s="180"/>
      <c r="DJO64" s="180"/>
      <c r="DJP64" s="180"/>
      <c r="DJQ64" s="180"/>
      <c r="DJR64" s="180"/>
      <c r="DJS64" s="180"/>
      <c r="DJT64" s="180"/>
      <c r="DJU64" s="180"/>
      <c r="DJV64" s="180"/>
      <c r="DJW64" s="180"/>
      <c r="DJX64" s="180"/>
      <c r="DJY64" s="180"/>
      <c r="DJZ64" s="180"/>
      <c r="DKA64" s="180"/>
      <c r="DKB64" s="180"/>
      <c r="DKC64" s="180"/>
      <c r="DKD64" s="180"/>
      <c r="DKE64" s="180"/>
      <c r="DKF64" s="180"/>
      <c r="DKG64" s="180"/>
      <c r="DKH64" s="180"/>
      <c r="DKI64" s="180"/>
      <c r="DKJ64" s="180"/>
      <c r="DKK64" s="180"/>
      <c r="DKL64" s="180"/>
      <c r="DKM64" s="180"/>
      <c r="DKN64" s="180"/>
      <c r="DKO64" s="180"/>
      <c r="DKP64" s="180"/>
      <c r="DKQ64" s="180"/>
      <c r="DKR64" s="180"/>
      <c r="DKS64" s="180"/>
      <c r="DKT64" s="180"/>
      <c r="DKU64" s="180"/>
      <c r="DKV64" s="180"/>
      <c r="DKW64" s="180"/>
      <c r="DKX64" s="180"/>
      <c r="DKY64" s="180"/>
      <c r="DKZ64" s="180"/>
      <c r="DLA64" s="180"/>
      <c r="DLB64" s="180"/>
      <c r="DLC64" s="180"/>
      <c r="DLD64" s="180"/>
      <c r="DLE64" s="180"/>
      <c r="DLF64" s="180"/>
      <c r="DLG64" s="180"/>
      <c r="DLH64" s="180"/>
      <c r="DLI64" s="180"/>
      <c r="DLJ64" s="180"/>
      <c r="DLK64" s="180"/>
      <c r="DLL64" s="180"/>
      <c r="DLM64" s="180"/>
      <c r="DLN64" s="180"/>
      <c r="DLO64" s="180"/>
      <c r="DLP64" s="180"/>
      <c r="DLQ64" s="180"/>
      <c r="DLR64" s="180"/>
      <c r="DLS64" s="180"/>
      <c r="DLT64" s="180"/>
      <c r="DLU64" s="180"/>
      <c r="DLV64" s="180"/>
      <c r="DLW64" s="180"/>
      <c r="DLX64" s="180"/>
      <c r="DLY64" s="180"/>
      <c r="DLZ64" s="180"/>
      <c r="DMA64" s="180"/>
      <c r="DMB64" s="180"/>
      <c r="DMC64" s="180"/>
      <c r="DMD64" s="180"/>
      <c r="DME64" s="180"/>
      <c r="DMF64" s="180"/>
      <c r="DMG64" s="180"/>
      <c r="DMH64" s="180"/>
      <c r="DMI64" s="180"/>
      <c r="DMJ64" s="180"/>
      <c r="DMK64" s="180"/>
      <c r="DML64" s="180"/>
      <c r="DMM64" s="180"/>
      <c r="DMN64" s="180"/>
      <c r="DMO64" s="180"/>
      <c r="DMP64" s="180"/>
      <c r="DMQ64" s="180"/>
      <c r="DMR64" s="180"/>
      <c r="DMS64" s="180"/>
      <c r="DMT64" s="180"/>
      <c r="DMU64" s="180"/>
      <c r="DMV64" s="180"/>
      <c r="DMW64" s="180"/>
      <c r="DMX64" s="180"/>
      <c r="DMY64" s="180"/>
      <c r="DMZ64" s="180"/>
      <c r="DNA64" s="180"/>
      <c r="DNB64" s="180"/>
      <c r="DNC64" s="180"/>
      <c r="DND64" s="180"/>
      <c r="DNE64" s="180"/>
      <c r="DNF64" s="180"/>
      <c r="DNG64" s="180"/>
      <c r="DNH64" s="180"/>
      <c r="DNI64" s="180"/>
      <c r="DNJ64" s="180"/>
      <c r="DNK64" s="180"/>
      <c r="DNL64" s="180"/>
      <c r="DNM64" s="180"/>
      <c r="DNN64" s="180"/>
      <c r="DNO64" s="180"/>
      <c r="DNP64" s="180"/>
      <c r="DNQ64" s="180"/>
      <c r="DNR64" s="180"/>
      <c r="DNS64" s="180"/>
      <c r="DNT64" s="180"/>
      <c r="DNU64" s="180"/>
      <c r="DNV64" s="180"/>
      <c r="DNW64" s="180"/>
      <c r="DNX64" s="180"/>
      <c r="DNY64" s="180"/>
      <c r="DNZ64" s="180"/>
      <c r="DOA64" s="180"/>
      <c r="DOB64" s="180"/>
      <c r="DOC64" s="180"/>
      <c r="DOD64" s="180"/>
      <c r="DOE64" s="180"/>
      <c r="DOF64" s="180"/>
      <c r="DOG64" s="180"/>
      <c r="DOH64" s="180"/>
      <c r="DOI64" s="180"/>
      <c r="DOJ64" s="180"/>
      <c r="DOK64" s="180"/>
      <c r="DOL64" s="180"/>
      <c r="DOM64" s="180"/>
      <c r="DON64" s="180"/>
      <c r="DOO64" s="180"/>
      <c r="DOP64" s="180"/>
      <c r="DOQ64" s="180"/>
      <c r="DOR64" s="180"/>
      <c r="DOS64" s="180"/>
      <c r="DOT64" s="180"/>
      <c r="DOU64" s="180"/>
      <c r="DOV64" s="180"/>
      <c r="DOW64" s="180"/>
      <c r="DOX64" s="180"/>
      <c r="DOY64" s="180"/>
      <c r="DOZ64" s="180"/>
      <c r="DPA64" s="180"/>
      <c r="DPB64" s="180"/>
      <c r="DPC64" s="180"/>
      <c r="DPD64" s="180"/>
      <c r="DPE64" s="180"/>
      <c r="DPF64" s="180"/>
      <c r="DPG64" s="180"/>
      <c r="DPH64" s="180"/>
      <c r="DPI64" s="180"/>
      <c r="DPJ64" s="180"/>
      <c r="DPK64" s="180"/>
      <c r="DPL64" s="180"/>
      <c r="DPM64" s="180"/>
      <c r="DPN64" s="180"/>
      <c r="DPO64" s="180"/>
      <c r="DPP64" s="180"/>
      <c r="DPQ64" s="180"/>
      <c r="DPR64" s="180"/>
      <c r="DPS64" s="180"/>
      <c r="DPT64" s="180"/>
      <c r="DPU64" s="180"/>
      <c r="DPV64" s="180"/>
      <c r="DPW64" s="180"/>
      <c r="DPX64" s="180"/>
      <c r="DPY64" s="180"/>
      <c r="DPZ64" s="180"/>
      <c r="DQA64" s="180"/>
      <c r="DQB64" s="180"/>
      <c r="DQC64" s="180"/>
      <c r="DQD64" s="180"/>
      <c r="DQE64" s="180"/>
      <c r="DQF64" s="180"/>
      <c r="DQG64" s="180"/>
      <c r="DQH64" s="180"/>
      <c r="DQI64" s="180"/>
      <c r="DQJ64" s="180"/>
      <c r="DQK64" s="180"/>
      <c r="DQL64" s="180"/>
      <c r="DQM64" s="180"/>
      <c r="DQN64" s="180"/>
      <c r="DQO64" s="180"/>
      <c r="DQP64" s="180"/>
      <c r="DQQ64" s="180"/>
      <c r="DQR64" s="180"/>
      <c r="DQS64" s="180"/>
      <c r="DQT64" s="180"/>
      <c r="DQU64" s="180"/>
      <c r="DQV64" s="180"/>
      <c r="DQW64" s="180"/>
      <c r="DQX64" s="180"/>
      <c r="DQY64" s="180"/>
      <c r="DQZ64" s="180"/>
      <c r="DRA64" s="180"/>
      <c r="DRB64" s="180"/>
      <c r="DRC64" s="180"/>
      <c r="DRD64" s="180"/>
      <c r="DRE64" s="180"/>
      <c r="DRF64" s="180"/>
      <c r="DRG64" s="180"/>
      <c r="DRH64" s="180"/>
      <c r="DRI64" s="180"/>
      <c r="DRJ64" s="180"/>
      <c r="DRK64" s="180"/>
      <c r="DRL64" s="180"/>
      <c r="DRM64" s="180"/>
      <c r="DRN64" s="180"/>
      <c r="DRO64" s="180"/>
      <c r="DRP64" s="180"/>
      <c r="DRQ64" s="180"/>
      <c r="DRR64" s="180"/>
      <c r="DRS64" s="180"/>
      <c r="DRT64" s="180"/>
      <c r="DRU64" s="180"/>
      <c r="DRV64" s="180"/>
      <c r="DRW64" s="180"/>
      <c r="DRX64" s="180"/>
      <c r="DRY64" s="180"/>
      <c r="DRZ64" s="180"/>
      <c r="DSA64" s="180"/>
      <c r="DSB64" s="180"/>
      <c r="DSC64" s="180"/>
      <c r="DSD64" s="180"/>
      <c r="DSE64" s="180"/>
      <c r="DSF64" s="180"/>
      <c r="DSG64" s="180"/>
      <c r="DSH64" s="180"/>
      <c r="DSI64" s="180"/>
      <c r="DSJ64" s="180"/>
      <c r="DSK64" s="180"/>
      <c r="DSL64" s="180"/>
      <c r="DSM64" s="180"/>
      <c r="DSN64" s="180"/>
      <c r="DSO64" s="180"/>
      <c r="DSP64" s="180"/>
      <c r="DSQ64" s="180"/>
      <c r="DSR64" s="180"/>
      <c r="DSS64" s="180"/>
      <c r="DST64" s="180"/>
      <c r="DSU64" s="180"/>
      <c r="DSV64" s="180"/>
      <c r="DSW64" s="180"/>
      <c r="DSX64" s="180"/>
      <c r="DSY64" s="180"/>
      <c r="DSZ64" s="180"/>
      <c r="DTA64" s="180"/>
      <c r="DTB64" s="180"/>
      <c r="DTC64" s="180"/>
      <c r="DTD64" s="180"/>
      <c r="DTE64" s="180"/>
      <c r="DTF64" s="180"/>
      <c r="DTG64" s="180"/>
      <c r="DTH64" s="180"/>
      <c r="DTI64" s="180"/>
      <c r="DTJ64" s="180"/>
      <c r="DTK64" s="180"/>
      <c r="DTL64" s="180"/>
      <c r="DTM64" s="180"/>
      <c r="DTN64" s="180"/>
      <c r="DTO64" s="180"/>
      <c r="DTP64" s="180"/>
      <c r="DTQ64" s="180"/>
      <c r="DTR64" s="180"/>
      <c r="DTS64" s="180"/>
      <c r="DTT64" s="180"/>
      <c r="DTU64" s="180"/>
      <c r="DTV64" s="180"/>
      <c r="DTW64" s="180"/>
      <c r="DTX64" s="180"/>
      <c r="DTY64" s="180"/>
      <c r="DTZ64" s="180"/>
      <c r="DUA64" s="180"/>
      <c r="DUB64" s="180"/>
      <c r="DUC64" s="180"/>
      <c r="DUD64" s="180"/>
      <c r="DUE64" s="180"/>
      <c r="DUF64" s="180"/>
      <c r="DUG64" s="180"/>
      <c r="DUH64" s="180"/>
      <c r="DUI64" s="180"/>
      <c r="DUJ64" s="180"/>
      <c r="DUK64" s="180"/>
      <c r="DUL64" s="180"/>
      <c r="DUM64" s="180"/>
      <c r="DUN64" s="180"/>
      <c r="DUO64" s="180"/>
      <c r="DUP64" s="180"/>
      <c r="DUQ64" s="180"/>
      <c r="DUR64" s="180"/>
      <c r="DUS64" s="180"/>
      <c r="DUT64" s="180"/>
      <c r="DUU64" s="180"/>
      <c r="DUV64" s="180"/>
      <c r="DUW64" s="180"/>
      <c r="DUX64" s="180"/>
      <c r="DUY64" s="180"/>
      <c r="DUZ64" s="180"/>
      <c r="DVA64" s="180"/>
      <c r="DVB64" s="180"/>
      <c r="DVC64" s="180"/>
      <c r="DVD64" s="180"/>
      <c r="DVE64" s="180"/>
      <c r="DVF64" s="180"/>
      <c r="DVG64" s="180"/>
      <c r="DVH64" s="180"/>
      <c r="DVI64" s="180"/>
      <c r="DVJ64" s="180"/>
      <c r="DVK64" s="180"/>
      <c r="DVL64" s="180"/>
      <c r="DVM64" s="180"/>
      <c r="DVN64" s="180"/>
      <c r="DVO64" s="180"/>
      <c r="DVP64" s="180"/>
      <c r="DVQ64" s="180"/>
      <c r="DVR64" s="180"/>
      <c r="DVS64" s="180"/>
      <c r="DVT64" s="180"/>
      <c r="DVU64" s="180"/>
      <c r="DVV64" s="180"/>
      <c r="DVW64" s="180"/>
      <c r="DVX64" s="180"/>
      <c r="DVY64" s="180"/>
      <c r="DVZ64" s="180"/>
      <c r="DWA64" s="180"/>
      <c r="DWB64" s="180"/>
      <c r="DWC64" s="180"/>
      <c r="DWD64" s="180"/>
      <c r="DWE64" s="180"/>
      <c r="DWF64" s="180"/>
      <c r="DWG64" s="180"/>
      <c r="DWH64" s="180"/>
      <c r="DWI64" s="180"/>
      <c r="DWJ64" s="180"/>
      <c r="DWK64" s="180"/>
      <c r="DWL64" s="180"/>
      <c r="DWM64" s="180"/>
      <c r="DWN64" s="180"/>
      <c r="DWO64" s="180"/>
      <c r="DWP64" s="180"/>
      <c r="DWQ64" s="180"/>
      <c r="DWR64" s="180"/>
      <c r="DWS64" s="180"/>
      <c r="DWT64" s="180"/>
      <c r="DWU64" s="180"/>
      <c r="DWV64" s="180"/>
      <c r="DWW64" s="180"/>
      <c r="DWX64" s="180"/>
      <c r="DWY64" s="180"/>
      <c r="DWZ64" s="180"/>
      <c r="DXA64" s="180"/>
      <c r="DXB64" s="180"/>
      <c r="DXC64" s="180"/>
      <c r="DXD64" s="180"/>
      <c r="DXE64" s="180"/>
      <c r="DXF64" s="180"/>
      <c r="DXG64" s="180"/>
      <c r="DXH64" s="180"/>
      <c r="DXI64" s="180"/>
      <c r="DXJ64" s="180"/>
      <c r="DXK64" s="180"/>
      <c r="DXL64" s="180"/>
      <c r="DXM64" s="180"/>
      <c r="DXN64" s="180"/>
      <c r="DXO64" s="180"/>
      <c r="DXP64" s="180"/>
      <c r="DXQ64" s="180"/>
      <c r="DXR64" s="180"/>
      <c r="DXS64" s="180"/>
      <c r="DXT64" s="180"/>
      <c r="DXU64" s="180"/>
      <c r="DXV64" s="180"/>
      <c r="DXW64" s="180"/>
      <c r="DXX64" s="180"/>
      <c r="DXY64" s="180"/>
      <c r="DXZ64" s="180"/>
      <c r="DYA64" s="180"/>
      <c r="DYB64" s="180"/>
      <c r="DYC64" s="180"/>
      <c r="DYD64" s="180"/>
      <c r="DYE64" s="180"/>
      <c r="DYF64" s="180"/>
      <c r="DYG64" s="180"/>
      <c r="DYH64" s="180"/>
      <c r="DYI64" s="180"/>
      <c r="DYJ64" s="180"/>
      <c r="DYK64" s="180"/>
      <c r="DYL64" s="180"/>
      <c r="DYM64" s="180"/>
      <c r="DYN64" s="180"/>
      <c r="DYO64" s="180"/>
      <c r="DYP64" s="180"/>
      <c r="DYQ64" s="180"/>
      <c r="DYR64" s="180"/>
      <c r="DYS64" s="180"/>
      <c r="DYT64" s="180"/>
      <c r="DYU64" s="180"/>
      <c r="DYV64" s="180"/>
      <c r="DYW64" s="180"/>
      <c r="DYX64" s="180"/>
      <c r="DYY64" s="180"/>
      <c r="DYZ64" s="180"/>
      <c r="DZA64" s="180"/>
      <c r="DZB64" s="180"/>
      <c r="DZC64" s="180"/>
      <c r="DZD64" s="180"/>
      <c r="DZE64" s="180"/>
      <c r="DZF64" s="180"/>
      <c r="DZG64" s="180"/>
      <c r="DZH64" s="180"/>
      <c r="DZI64" s="180"/>
      <c r="DZJ64" s="180"/>
      <c r="DZK64" s="180"/>
      <c r="DZL64" s="180"/>
      <c r="DZM64" s="180"/>
      <c r="DZN64" s="180"/>
      <c r="DZO64" s="180"/>
      <c r="DZP64" s="180"/>
      <c r="DZQ64" s="180"/>
      <c r="DZR64" s="180"/>
      <c r="DZS64" s="180"/>
      <c r="DZT64" s="180"/>
      <c r="DZU64" s="180"/>
      <c r="DZV64" s="180"/>
      <c r="DZW64" s="180"/>
      <c r="DZX64" s="180"/>
      <c r="DZY64" s="180"/>
      <c r="DZZ64" s="180"/>
      <c r="EAA64" s="180"/>
      <c r="EAB64" s="180"/>
      <c r="EAC64" s="180"/>
      <c r="EAD64" s="180"/>
      <c r="EAE64" s="180"/>
      <c r="EAF64" s="180"/>
      <c r="EAG64" s="180"/>
      <c r="EAH64" s="180"/>
      <c r="EAI64" s="180"/>
      <c r="EAJ64" s="180"/>
      <c r="EAK64" s="180"/>
      <c r="EAL64" s="180"/>
      <c r="EAM64" s="180"/>
      <c r="EAN64" s="180"/>
      <c r="EAO64" s="180"/>
      <c r="EAP64" s="180"/>
      <c r="EAQ64" s="180"/>
      <c r="EAR64" s="180"/>
      <c r="EAS64" s="180"/>
      <c r="EAT64" s="180"/>
      <c r="EAU64" s="180"/>
      <c r="EAV64" s="180"/>
      <c r="EAW64" s="180"/>
      <c r="EAX64" s="180"/>
      <c r="EAY64" s="180"/>
      <c r="EAZ64" s="180"/>
      <c r="EBA64" s="180"/>
      <c r="EBB64" s="180"/>
      <c r="EBC64" s="180"/>
      <c r="EBD64" s="180"/>
      <c r="EBE64" s="180"/>
      <c r="EBF64" s="180"/>
      <c r="EBG64" s="180"/>
      <c r="EBH64" s="180"/>
      <c r="EBI64" s="180"/>
      <c r="EBJ64" s="180"/>
      <c r="EBK64" s="180"/>
      <c r="EBL64" s="180"/>
      <c r="EBM64" s="180"/>
      <c r="EBN64" s="180"/>
      <c r="EBO64" s="180"/>
      <c r="EBP64" s="180"/>
      <c r="EBQ64" s="180"/>
      <c r="EBR64" s="180"/>
      <c r="EBS64" s="180"/>
      <c r="EBT64" s="180"/>
      <c r="EBU64" s="180"/>
      <c r="EBV64" s="180"/>
      <c r="EBW64" s="180"/>
      <c r="EBX64" s="180"/>
      <c r="EBY64" s="180"/>
      <c r="EBZ64" s="180"/>
      <c r="ECA64" s="180"/>
      <c r="ECB64" s="180"/>
      <c r="ECC64" s="180"/>
      <c r="ECD64" s="180"/>
      <c r="ECE64" s="180"/>
      <c r="ECF64" s="180"/>
      <c r="ECG64" s="180"/>
      <c r="ECH64" s="180"/>
      <c r="ECI64" s="180"/>
      <c r="ECJ64" s="180"/>
      <c r="ECK64" s="180"/>
      <c r="ECL64" s="180"/>
      <c r="ECM64" s="180"/>
      <c r="ECN64" s="180"/>
      <c r="ECO64" s="180"/>
      <c r="ECP64" s="180"/>
      <c r="ECQ64" s="180"/>
      <c r="ECR64" s="180"/>
      <c r="ECS64" s="180"/>
      <c r="ECT64" s="180"/>
      <c r="ECU64" s="180"/>
      <c r="ECV64" s="180"/>
      <c r="ECW64" s="180"/>
      <c r="ECX64" s="180"/>
      <c r="ECY64" s="180"/>
      <c r="ECZ64" s="180"/>
      <c r="EDA64" s="180"/>
      <c r="EDB64" s="180"/>
      <c r="EDC64" s="180"/>
      <c r="EDD64" s="180"/>
      <c r="EDE64" s="180"/>
      <c r="EDF64" s="180"/>
      <c r="EDG64" s="180"/>
      <c r="EDH64" s="180"/>
      <c r="EDI64" s="180"/>
      <c r="EDJ64" s="180"/>
      <c r="EDK64" s="180"/>
      <c r="EDL64" s="180"/>
      <c r="EDM64" s="180"/>
      <c r="EDN64" s="180"/>
      <c r="EDO64" s="180"/>
      <c r="EDP64" s="180"/>
      <c r="EDQ64" s="180"/>
      <c r="EDR64" s="180"/>
      <c r="EDS64" s="180"/>
      <c r="EDT64" s="180"/>
      <c r="EDU64" s="180"/>
      <c r="EDV64" s="180"/>
      <c r="EDW64" s="180"/>
      <c r="EDX64" s="180"/>
      <c r="EDY64" s="180"/>
      <c r="EDZ64" s="180"/>
      <c r="EEA64" s="180"/>
      <c r="EEB64" s="180"/>
      <c r="EEC64" s="180"/>
      <c r="EED64" s="180"/>
      <c r="EEE64" s="180"/>
      <c r="EEF64" s="180"/>
      <c r="EEG64" s="180"/>
      <c r="EEH64" s="180"/>
      <c r="EEI64" s="180"/>
      <c r="EEJ64" s="180"/>
      <c r="EEK64" s="180"/>
      <c r="EEL64" s="180"/>
      <c r="EEM64" s="180"/>
      <c r="EEN64" s="180"/>
      <c r="EEO64" s="180"/>
      <c r="EEP64" s="180"/>
      <c r="EEQ64" s="180"/>
      <c r="EER64" s="180"/>
      <c r="EES64" s="180"/>
      <c r="EET64" s="180"/>
      <c r="EEU64" s="180"/>
      <c r="EEV64" s="180"/>
      <c r="EEW64" s="180"/>
      <c r="EEX64" s="180"/>
      <c r="EEY64" s="180"/>
      <c r="EEZ64" s="180"/>
      <c r="EFA64" s="180"/>
      <c r="EFB64" s="180"/>
      <c r="EFC64" s="180"/>
      <c r="EFD64" s="180"/>
      <c r="EFE64" s="180"/>
      <c r="EFF64" s="180"/>
      <c r="EFG64" s="180"/>
      <c r="EFH64" s="180"/>
      <c r="EFI64" s="180"/>
      <c r="EFJ64" s="180"/>
      <c r="EFK64" s="180"/>
      <c r="EFL64" s="180"/>
      <c r="EFM64" s="180"/>
      <c r="EFN64" s="180"/>
      <c r="EFO64" s="180"/>
      <c r="EFP64" s="180"/>
      <c r="EFQ64" s="180"/>
      <c r="EFR64" s="180"/>
      <c r="EFS64" s="180"/>
      <c r="EFT64" s="180"/>
      <c r="EFU64" s="180"/>
      <c r="EFV64" s="180"/>
      <c r="EFW64" s="180"/>
      <c r="EFX64" s="180"/>
      <c r="EFY64" s="180"/>
      <c r="EFZ64" s="180"/>
      <c r="EGA64" s="180"/>
      <c r="EGB64" s="180"/>
      <c r="EGC64" s="180"/>
      <c r="EGD64" s="180"/>
      <c r="EGE64" s="180"/>
      <c r="EGF64" s="180"/>
      <c r="EGG64" s="180"/>
      <c r="EGH64" s="180"/>
      <c r="EGI64" s="180"/>
      <c r="EGJ64" s="180"/>
      <c r="EGK64" s="180"/>
      <c r="EGL64" s="180"/>
      <c r="EGM64" s="180"/>
      <c r="EGN64" s="180"/>
      <c r="EGO64" s="180"/>
      <c r="EGP64" s="180"/>
      <c r="EGQ64" s="180"/>
      <c r="EGR64" s="180"/>
      <c r="EGS64" s="180"/>
      <c r="EGT64" s="180"/>
      <c r="EGU64" s="180"/>
      <c r="EGV64" s="180"/>
      <c r="EGW64" s="180"/>
      <c r="EGX64" s="180"/>
      <c r="EGY64" s="180"/>
      <c r="EGZ64" s="180"/>
      <c r="EHA64" s="180"/>
      <c r="EHB64" s="180"/>
      <c r="EHC64" s="180"/>
      <c r="EHD64" s="180"/>
      <c r="EHE64" s="180"/>
      <c r="EHF64" s="180"/>
      <c r="EHG64" s="180"/>
      <c r="EHH64" s="180"/>
      <c r="EHI64" s="180"/>
      <c r="EHJ64" s="180"/>
      <c r="EHK64" s="180"/>
      <c r="EHL64" s="180"/>
      <c r="EHM64" s="180"/>
      <c r="EHN64" s="180"/>
      <c r="EHO64" s="180"/>
      <c r="EHP64" s="180"/>
      <c r="EHQ64" s="180"/>
      <c r="EHR64" s="180"/>
      <c r="EHS64" s="180"/>
      <c r="EHT64" s="180"/>
      <c r="EHU64" s="180"/>
      <c r="EHV64" s="180"/>
      <c r="EHW64" s="180"/>
      <c r="EHX64" s="180"/>
      <c r="EHY64" s="180"/>
      <c r="EHZ64" s="180"/>
      <c r="EIA64" s="180"/>
      <c r="EIB64" s="180"/>
      <c r="EIC64" s="180"/>
      <c r="EID64" s="180"/>
      <c r="EIE64" s="180"/>
      <c r="EIF64" s="180"/>
      <c r="EIG64" s="180"/>
      <c r="EIH64" s="180"/>
      <c r="EII64" s="180"/>
      <c r="EIJ64" s="180"/>
      <c r="EIK64" s="180"/>
      <c r="EIL64" s="180"/>
      <c r="EIM64" s="180"/>
      <c r="EIN64" s="180"/>
      <c r="EIO64" s="180"/>
      <c r="EIP64" s="180"/>
      <c r="EIQ64" s="180"/>
      <c r="EIR64" s="180"/>
      <c r="EIS64" s="180"/>
      <c r="EIT64" s="180"/>
      <c r="EIU64" s="180"/>
      <c r="EIV64" s="180"/>
      <c r="EIW64" s="180"/>
      <c r="EIX64" s="180"/>
      <c r="EIY64" s="180"/>
      <c r="EIZ64" s="180"/>
      <c r="EJA64" s="180"/>
      <c r="EJB64" s="180"/>
      <c r="EJC64" s="180"/>
      <c r="EJD64" s="180"/>
      <c r="EJE64" s="180"/>
      <c r="EJF64" s="180"/>
      <c r="EJG64" s="180"/>
      <c r="EJH64" s="180"/>
      <c r="EJI64" s="180"/>
      <c r="EJJ64" s="180"/>
      <c r="EJK64" s="180"/>
      <c r="EJL64" s="180"/>
      <c r="EJM64" s="180"/>
      <c r="EJN64" s="180"/>
      <c r="EJO64" s="180"/>
      <c r="EJP64" s="180"/>
      <c r="EJQ64" s="180"/>
      <c r="EJR64" s="180"/>
      <c r="EJS64" s="180"/>
      <c r="EJT64" s="180"/>
      <c r="EJU64" s="180"/>
      <c r="EJV64" s="180"/>
      <c r="EJW64" s="180"/>
      <c r="EJX64" s="180"/>
      <c r="EJY64" s="180"/>
      <c r="EJZ64" s="180"/>
      <c r="EKA64" s="180"/>
      <c r="EKB64" s="180"/>
      <c r="EKC64" s="180"/>
      <c r="EKD64" s="180"/>
      <c r="EKE64" s="180"/>
      <c r="EKF64" s="180"/>
      <c r="EKG64" s="180"/>
      <c r="EKH64" s="180"/>
      <c r="EKI64" s="180"/>
      <c r="EKJ64" s="180"/>
      <c r="EKK64" s="180"/>
      <c r="EKL64" s="180"/>
      <c r="EKM64" s="180"/>
      <c r="EKN64" s="180"/>
      <c r="EKO64" s="180"/>
      <c r="EKP64" s="180"/>
      <c r="EKQ64" s="180"/>
      <c r="EKR64" s="180"/>
      <c r="EKS64" s="180"/>
      <c r="EKT64" s="180"/>
      <c r="EKU64" s="180"/>
      <c r="EKV64" s="180"/>
      <c r="EKW64" s="180"/>
      <c r="EKX64" s="180"/>
      <c r="EKY64" s="180"/>
      <c r="EKZ64" s="180"/>
      <c r="ELA64" s="180"/>
      <c r="ELB64" s="180"/>
      <c r="ELC64" s="180"/>
      <c r="ELD64" s="180"/>
      <c r="ELE64" s="180"/>
      <c r="ELF64" s="180"/>
      <c r="ELG64" s="180"/>
      <c r="ELH64" s="180"/>
      <c r="ELI64" s="180"/>
      <c r="ELJ64" s="180"/>
      <c r="ELK64" s="180"/>
      <c r="ELL64" s="180"/>
      <c r="ELM64" s="180"/>
      <c r="ELN64" s="180"/>
      <c r="ELO64" s="180"/>
      <c r="ELP64" s="180"/>
      <c r="ELQ64" s="180"/>
      <c r="ELR64" s="180"/>
      <c r="ELS64" s="180"/>
      <c r="ELT64" s="180"/>
      <c r="ELU64" s="180"/>
      <c r="ELV64" s="180"/>
      <c r="ELW64" s="180"/>
      <c r="ELX64" s="180"/>
      <c r="ELY64" s="180"/>
      <c r="ELZ64" s="180"/>
      <c r="EMA64" s="180"/>
      <c r="EMB64" s="180"/>
      <c r="EMC64" s="180"/>
      <c r="EMD64" s="180"/>
      <c r="EME64" s="180"/>
      <c r="EMF64" s="180"/>
      <c r="EMG64" s="180"/>
      <c r="EMH64" s="180"/>
      <c r="EMI64" s="180"/>
      <c r="EMJ64" s="180"/>
      <c r="EMK64" s="180"/>
      <c r="EML64" s="180"/>
      <c r="EMM64" s="180"/>
      <c r="EMN64" s="180"/>
      <c r="EMO64" s="180"/>
      <c r="EMP64" s="180"/>
      <c r="EMQ64" s="180"/>
      <c r="EMR64" s="180"/>
      <c r="EMS64" s="180"/>
      <c r="EMT64" s="180"/>
      <c r="EMU64" s="180"/>
      <c r="EMV64" s="180"/>
      <c r="EMW64" s="180"/>
      <c r="EMX64" s="180"/>
      <c r="EMY64" s="180"/>
      <c r="EMZ64" s="180"/>
      <c r="ENA64" s="180"/>
      <c r="ENB64" s="180"/>
      <c r="ENC64" s="180"/>
      <c r="END64" s="180"/>
      <c r="ENE64" s="180"/>
      <c r="ENF64" s="180"/>
      <c r="ENG64" s="180"/>
      <c r="ENH64" s="180"/>
      <c r="ENI64" s="180"/>
      <c r="ENJ64" s="180"/>
      <c r="ENK64" s="180"/>
      <c r="ENL64" s="180"/>
      <c r="ENM64" s="180"/>
      <c r="ENN64" s="180"/>
      <c r="ENO64" s="180"/>
      <c r="ENP64" s="180"/>
      <c r="ENQ64" s="180"/>
      <c r="ENR64" s="180"/>
      <c r="ENS64" s="180"/>
      <c r="ENT64" s="180"/>
      <c r="ENU64" s="180"/>
      <c r="ENV64" s="180"/>
      <c r="ENW64" s="180"/>
      <c r="ENX64" s="180"/>
      <c r="ENY64" s="180"/>
      <c r="ENZ64" s="180"/>
      <c r="EOA64" s="180"/>
      <c r="EOB64" s="180"/>
      <c r="EOC64" s="180"/>
      <c r="EOD64" s="180"/>
      <c r="EOE64" s="180"/>
      <c r="EOF64" s="180"/>
      <c r="EOG64" s="180"/>
      <c r="EOH64" s="180"/>
      <c r="EOI64" s="180"/>
      <c r="EOJ64" s="180"/>
      <c r="EOK64" s="180"/>
      <c r="EOL64" s="180"/>
      <c r="EOM64" s="180"/>
      <c r="EON64" s="180"/>
      <c r="EOO64" s="180"/>
      <c r="EOP64" s="180"/>
      <c r="EOQ64" s="180"/>
      <c r="EOR64" s="180"/>
      <c r="EOS64" s="180"/>
      <c r="EOT64" s="180"/>
      <c r="EOU64" s="180"/>
      <c r="EOV64" s="180"/>
      <c r="EOW64" s="180"/>
      <c r="EOX64" s="180"/>
      <c r="EOY64" s="180"/>
      <c r="EOZ64" s="180"/>
      <c r="EPA64" s="180"/>
      <c r="EPB64" s="180"/>
      <c r="EPC64" s="180"/>
      <c r="EPD64" s="180"/>
      <c r="EPE64" s="180"/>
      <c r="EPF64" s="180"/>
      <c r="EPG64" s="180"/>
      <c r="EPH64" s="180"/>
      <c r="EPI64" s="180"/>
      <c r="EPJ64" s="180"/>
      <c r="EPK64" s="180"/>
      <c r="EPL64" s="180"/>
      <c r="EPM64" s="180"/>
      <c r="EPN64" s="180"/>
      <c r="EPO64" s="180"/>
      <c r="EPP64" s="180"/>
      <c r="EPQ64" s="180"/>
      <c r="EPR64" s="180"/>
      <c r="EPS64" s="180"/>
      <c r="EPT64" s="180"/>
      <c r="EPU64" s="180"/>
      <c r="EPV64" s="180"/>
      <c r="EPW64" s="180"/>
      <c r="EPX64" s="180"/>
      <c r="EPY64" s="180"/>
      <c r="EPZ64" s="180"/>
      <c r="EQA64" s="180"/>
      <c r="EQB64" s="180"/>
      <c r="EQC64" s="180"/>
      <c r="EQD64" s="180"/>
      <c r="EQE64" s="180"/>
      <c r="EQF64" s="180"/>
      <c r="EQG64" s="180"/>
      <c r="EQH64" s="180"/>
      <c r="EQI64" s="180"/>
      <c r="EQJ64" s="180"/>
      <c r="EQK64" s="180"/>
      <c r="EQL64" s="180"/>
      <c r="EQM64" s="180"/>
      <c r="EQN64" s="180"/>
      <c r="EQO64" s="180"/>
      <c r="EQP64" s="180"/>
      <c r="EQQ64" s="180"/>
      <c r="EQR64" s="180"/>
      <c r="EQS64" s="180"/>
      <c r="EQT64" s="180"/>
      <c r="EQU64" s="180"/>
      <c r="EQV64" s="180"/>
      <c r="EQW64" s="180"/>
      <c r="EQX64" s="180"/>
      <c r="EQY64" s="180"/>
      <c r="EQZ64" s="180"/>
      <c r="ERA64" s="180"/>
      <c r="ERB64" s="180"/>
      <c r="ERC64" s="180"/>
      <c r="ERD64" s="180"/>
      <c r="ERE64" s="180"/>
      <c r="ERF64" s="180"/>
      <c r="ERG64" s="180"/>
      <c r="ERH64" s="180"/>
      <c r="ERI64" s="180"/>
      <c r="ERJ64" s="180"/>
      <c r="ERK64" s="180"/>
      <c r="ERL64" s="180"/>
      <c r="ERM64" s="180"/>
      <c r="ERN64" s="180"/>
      <c r="ERO64" s="180"/>
      <c r="ERP64" s="180"/>
      <c r="ERQ64" s="180"/>
      <c r="ERR64" s="180"/>
      <c r="ERS64" s="180"/>
      <c r="ERT64" s="180"/>
      <c r="ERU64" s="180"/>
      <c r="ERV64" s="180"/>
      <c r="ERW64" s="180"/>
      <c r="ERX64" s="180"/>
      <c r="ERY64" s="180"/>
      <c r="ERZ64" s="180"/>
      <c r="ESA64" s="180"/>
      <c r="ESB64" s="180"/>
      <c r="ESC64" s="180"/>
      <c r="ESD64" s="180"/>
      <c r="ESE64" s="180"/>
      <c r="ESF64" s="180"/>
      <c r="ESG64" s="180"/>
      <c r="ESH64" s="180"/>
      <c r="ESI64" s="180"/>
      <c r="ESJ64" s="180"/>
      <c r="ESK64" s="180"/>
      <c r="ESL64" s="180"/>
      <c r="ESM64" s="180"/>
      <c r="ESN64" s="180"/>
      <c r="ESO64" s="180"/>
      <c r="ESP64" s="180"/>
      <c r="ESQ64" s="180"/>
      <c r="ESR64" s="180"/>
      <c r="ESS64" s="180"/>
      <c r="EST64" s="180"/>
      <c r="ESU64" s="180"/>
      <c r="ESV64" s="180"/>
      <c r="ESW64" s="180"/>
      <c r="ESX64" s="180"/>
      <c r="ESY64" s="180"/>
      <c r="ESZ64" s="180"/>
      <c r="ETA64" s="180"/>
      <c r="ETB64" s="180"/>
      <c r="ETC64" s="180"/>
      <c r="ETD64" s="180"/>
      <c r="ETE64" s="180"/>
      <c r="ETF64" s="180"/>
      <c r="ETG64" s="180"/>
      <c r="ETH64" s="180"/>
      <c r="ETI64" s="180"/>
      <c r="ETJ64" s="180"/>
      <c r="ETK64" s="180"/>
      <c r="ETL64" s="180"/>
      <c r="ETM64" s="180"/>
      <c r="ETN64" s="180"/>
      <c r="ETO64" s="180"/>
      <c r="ETP64" s="180"/>
      <c r="ETQ64" s="180"/>
      <c r="ETR64" s="180"/>
      <c r="ETS64" s="180"/>
      <c r="ETT64" s="180"/>
      <c r="ETU64" s="180"/>
      <c r="ETV64" s="180"/>
      <c r="ETW64" s="180"/>
      <c r="ETX64" s="180"/>
      <c r="ETY64" s="180"/>
      <c r="ETZ64" s="180"/>
      <c r="EUA64" s="180"/>
      <c r="EUB64" s="180"/>
      <c r="EUC64" s="180"/>
      <c r="EUD64" s="180"/>
      <c r="EUE64" s="180"/>
      <c r="EUF64" s="180"/>
      <c r="EUG64" s="180"/>
      <c r="EUH64" s="180"/>
      <c r="EUI64" s="180"/>
      <c r="EUJ64" s="180"/>
      <c r="EUK64" s="180"/>
      <c r="EUL64" s="180"/>
      <c r="EUM64" s="180"/>
      <c r="EUN64" s="180"/>
      <c r="EUO64" s="180"/>
      <c r="EUP64" s="180"/>
      <c r="EUQ64" s="180"/>
      <c r="EUR64" s="180"/>
      <c r="EUS64" s="180"/>
      <c r="EUT64" s="180"/>
      <c r="EUU64" s="180"/>
      <c r="EUV64" s="180"/>
      <c r="EUW64" s="180"/>
      <c r="EUX64" s="180"/>
      <c r="EUY64" s="180"/>
      <c r="EUZ64" s="180"/>
      <c r="EVA64" s="180"/>
      <c r="EVB64" s="180"/>
      <c r="EVC64" s="180"/>
      <c r="EVD64" s="180"/>
      <c r="EVE64" s="180"/>
      <c r="EVF64" s="180"/>
      <c r="EVG64" s="180"/>
      <c r="EVH64" s="180"/>
      <c r="EVI64" s="180"/>
      <c r="EVJ64" s="180"/>
      <c r="EVK64" s="180"/>
      <c r="EVL64" s="180"/>
      <c r="EVM64" s="180"/>
      <c r="EVN64" s="180"/>
      <c r="EVO64" s="180"/>
      <c r="EVP64" s="180"/>
      <c r="EVQ64" s="180"/>
      <c r="EVR64" s="180"/>
      <c r="EVS64" s="180"/>
      <c r="EVT64" s="180"/>
      <c r="EVU64" s="180"/>
      <c r="EVV64" s="180"/>
      <c r="EVW64" s="180"/>
      <c r="EVX64" s="180"/>
      <c r="EVY64" s="180"/>
      <c r="EVZ64" s="180"/>
      <c r="EWA64" s="180"/>
      <c r="EWB64" s="180"/>
      <c r="EWC64" s="180"/>
      <c r="EWD64" s="180"/>
      <c r="EWE64" s="180"/>
      <c r="EWF64" s="180"/>
      <c r="EWG64" s="180"/>
      <c r="EWH64" s="180"/>
      <c r="EWI64" s="180"/>
      <c r="EWJ64" s="180"/>
      <c r="EWK64" s="180"/>
      <c r="EWL64" s="180"/>
      <c r="EWM64" s="180"/>
      <c r="EWN64" s="180"/>
      <c r="EWO64" s="180"/>
      <c r="EWP64" s="180"/>
      <c r="EWQ64" s="180"/>
      <c r="EWR64" s="180"/>
      <c r="EWS64" s="180"/>
      <c r="EWT64" s="180"/>
      <c r="EWU64" s="180"/>
      <c r="EWV64" s="180"/>
      <c r="EWW64" s="180"/>
      <c r="EWX64" s="180"/>
      <c r="EWY64" s="180"/>
      <c r="EWZ64" s="180"/>
      <c r="EXA64" s="180"/>
      <c r="EXB64" s="180"/>
      <c r="EXC64" s="180"/>
      <c r="EXD64" s="180"/>
      <c r="EXE64" s="180"/>
      <c r="EXF64" s="180"/>
      <c r="EXG64" s="180"/>
      <c r="EXH64" s="180"/>
      <c r="EXI64" s="180"/>
      <c r="EXJ64" s="180"/>
      <c r="EXK64" s="180"/>
      <c r="EXL64" s="180"/>
      <c r="EXM64" s="180"/>
      <c r="EXN64" s="180"/>
      <c r="EXO64" s="180"/>
      <c r="EXP64" s="180"/>
      <c r="EXQ64" s="180"/>
      <c r="EXR64" s="180"/>
      <c r="EXS64" s="180"/>
      <c r="EXT64" s="180"/>
      <c r="EXU64" s="180"/>
      <c r="EXV64" s="180"/>
      <c r="EXW64" s="180"/>
      <c r="EXX64" s="180"/>
      <c r="EXY64" s="180"/>
      <c r="EXZ64" s="180"/>
      <c r="EYA64" s="180"/>
      <c r="EYB64" s="180"/>
      <c r="EYC64" s="180"/>
      <c r="EYD64" s="180"/>
      <c r="EYE64" s="180"/>
      <c r="EYF64" s="180"/>
      <c r="EYG64" s="180"/>
      <c r="EYH64" s="180"/>
      <c r="EYI64" s="180"/>
      <c r="EYJ64" s="180"/>
      <c r="EYK64" s="180"/>
      <c r="EYL64" s="180"/>
      <c r="EYM64" s="180"/>
      <c r="EYN64" s="180"/>
      <c r="EYO64" s="180"/>
      <c r="EYP64" s="180"/>
      <c r="EYQ64" s="180"/>
      <c r="EYR64" s="180"/>
      <c r="EYS64" s="180"/>
      <c r="EYT64" s="180"/>
      <c r="EYU64" s="180"/>
      <c r="EYV64" s="180"/>
      <c r="EYW64" s="180"/>
      <c r="EYX64" s="180"/>
      <c r="EYY64" s="180"/>
      <c r="EYZ64" s="180"/>
      <c r="EZA64" s="180"/>
      <c r="EZB64" s="180"/>
      <c r="EZC64" s="180"/>
      <c r="EZD64" s="180"/>
      <c r="EZE64" s="180"/>
      <c r="EZF64" s="180"/>
      <c r="EZG64" s="180"/>
      <c r="EZH64" s="180"/>
      <c r="EZI64" s="180"/>
      <c r="EZJ64" s="180"/>
      <c r="EZK64" s="180"/>
      <c r="EZL64" s="180"/>
      <c r="EZM64" s="180"/>
      <c r="EZN64" s="180"/>
      <c r="EZO64" s="180"/>
      <c r="EZP64" s="180"/>
      <c r="EZQ64" s="180"/>
      <c r="EZR64" s="180"/>
      <c r="EZS64" s="180"/>
      <c r="EZT64" s="180"/>
      <c r="EZU64" s="180"/>
      <c r="EZV64" s="180"/>
      <c r="EZW64" s="180"/>
      <c r="EZX64" s="180"/>
      <c r="EZY64" s="180"/>
      <c r="EZZ64" s="180"/>
      <c r="FAA64" s="180"/>
      <c r="FAB64" s="180"/>
      <c r="FAC64" s="180"/>
      <c r="FAD64" s="180"/>
      <c r="FAE64" s="180"/>
      <c r="FAF64" s="180"/>
      <c r="FAG64" s="180"/>
      <c r="FAH64" s="180"/>
      <c r="FAI64" s="180"/>
      <c r="FAJ64" s="180"/>
      <c r="FAK64" s="180"/>
      <c r="FAL64" s="180"/>
      <c r="FAM64" s="180"/>
      <c r="FAN64" s="180"/>
      <c r="FAO64" s="180"/>
      <c r="FAP64" s="180"/>
      <c r="FAQ64" s="180"/>
      <c r="FAR64" s="180"/>
      <c r="FAS64" s="180"/>
      <c r="FAT64" s="180"/>
      <c r="FAU64" s="180"/>
      <c r="FAV64" s="180"/>
      <c r="FAW64" s="180"/>
      <c r="FAX64" s="180"/>
      <c r="FAY64" s="180"/>
      <c r="FAZ64" s="180"/>
      <c r="FBA64" s="180"/>
      <c r="FBB64" s="180"/>
      <c r="FBC64" s="180"/>
      <c r="FBD64" s="180"/>
      <c r="FBE64" s="180"/>
      <c r="FBF64" s="180"/>
      <c r="FBG64" s="180"/>
      <c r="FBH64" s="180"/>
      <c r="FBI64" s="180"/>
      <c r="FBJ64" s="180"/>
      <c r="FBK64" s="180"/>
      <c r="FBL64" s="180"/>
      <c r="FBM64" s="180"/>
      <c r="FBN64" s="180"/>
      <c r="FBO64" s="180"/>
      <c r="FBP64" s="180"/>
      <c r="FBQ64" s="180"/>
      <c r="FBR64" s="180"/>
      <c r="FBS64" s="180"/>
      <c r="FBT64" s="180"/>
      <c r="FBU64" s="180"/>
      <c r="FBV64" s="180"/>
      <c r="FBW64" s="180"/>
      <c r="FBX64" s="180"/>
      <c r="FBY64" s="180"/>
      <c r="FBZ64" s="180"/>
      <c r="FCA64" s="180"/>
      <c r="FCB64" s="180"/>
      <c r="FCC64" s="180"/>
      <c r="FCD64" s="180"/>
      <c r="FCE64" s="180"/>
      <c r="FCF64" s="180"/>
      <c r="FCG64" s="180"/>
      <c r="FCH64" s="180"/>
      <c r="FCI64" s="180"/>
      <c r="FCJ64" s="180"/>
      <c r="FCK64" s="180"/>
      <c r="FCL64" s="180"/>
      <c r="FCM64" s="180"/>
      <c r="FCN64" s="180"/>
      <c r="FCO64" s="180"/>
      <c r="FCP64" s="180"/>
      <c r="FCQ64" s="180"/>
      <c r="FCR64" s="180"/>
      <c r="FCS64" s="180"/>
      <c r="FCT64" s="180"/>
      <c r="FCU64" s="180"/>
      <c r="FCV64" s="180"/>
      <c r="FCW64" s="180"/>
      <c r="FCX64" s="180"/>
      <c r="FCY64" s="180"/>
      <c r="FCZ64" s="180"/>
      <c r="FDA64" s="180"/>
      <c r="FDB64" s="180"/>
      <c r="FDC64" s="180"/>
      <c r="FDD64" s="180"/>
      <c r="FDE64" s="180"/>
      <c r="FDF64" s="180"/>
      <c r="FDG64" s="180"/>
      <c r="FDH64" s="180"/>
      <c r="FDI64" s="180"/>
      <c r="FDJ64" s="180"/>
      <c r="FDK64" s="180"/>
      <c r="FDL64" s="180"/>
      <c r="FDM64" s="180"/>
      <c r="FDN64" s="180"/>
      <c r="FDO64" s="180"/>
      <c r="FDP64" s="180"/>
      <c r="FDQ64" s="180"/>
      <c r="FDR64" s="180"/>
      <c r="FDS64" s="180"/>
      <c r="FDT64" s="180"/>
      <c r="FDU64" s="180"/>
      <c r="FDV64" s="180"/>
      <c r="FDW64" s="180"/>
      <c r="FDX64" s="180"/>
      <c r="FDY64" s="180"/>
      <c r="FDZ64" s="180"/>
      <c r="FEA64" s="180"/>
      <c r="FEB64" s="180"/>
      <c r="FEC64" s="180"/>
      <c r="FED64" s="180"/>
      <c r="FEE64" s="180"/>
      <c r="FEF64" s="180"/>
      <c r="FEG64" s="180"/>
      <c r="FEH64" s="180"/>
      <c r="FEI64" s="180"/>
      <c r="FEJ64" s="180"/>
      <c r="FEK64" s="180"/>
      <c r="FEL64" s="180"/>
      <c r="FEM64" s="180"/>
      <c r="FEN64" s="180"/>
      <c r="FEO64" s="180"/>
      <c r="FEP64" s="180"/>
      <c r="FEQ64" s="180"/>
      <c r="FER64" s="180"/>
      <c r="FES64" s="180"/>
      <c r="FET64" s="180"/>
      <c r="FEU64" s="180"/>
      <c r="FEV64" s="180"/>
      <c r="FEW64" s="180"/>
      <c r="FEX64" s="180"/>
      <c r="FEY64" s="180"/>
      <c r="FEZ64" s="180"/>
      <c r="FFA64" s="180"/>
      <c r="FFB64" s="180"/>
      <c r="FFC64" s="180"/>
      <c r="FFD64" s="180"/>
      <c r="FFE64" s="180"/>
      <c r="FFF64" s="180"/>
      <c r="FFG64" s="180"/>
      <c r="FFH64" s="180"/>
      <c r="FFI64" s="180"/>
      <c r="FFJ64" s="180"/>
      <c r="FFK64" s="180"/>
      <c r="FFL64" s="180"/>
      <c r="FFM64" s="180"/>
      <c r="FFN64" s="180"/>
      <c r="FFO64" s="180"/>
      <c r="FFP64" s="180"/>
      <c r="FFQ64" s="180"/>
      <c r="FFR64" s="180"/>
      <c r="FFS64" s="180"/>
      <c r="FFT64" s="180"/>
      <c r="FFU64" s="180"/>
      <c r="FFV64" s="180"/>
      <c r="FFW64" s="180"/>
      <c r="FFX64" s="180"/>
      <c r="FFY64" s="180"/>
      <c r="FFZ64" s="180"/>
      <c r="FGA64" s="180"/>
      <c r="FGB64" s="180"/>
      <c r="FGC64" s="180"/>
      <c r="FGD64" s="180"/>
      <c r="FGE64" s="180"/>
      <c r="FGF64" s="180"/>
      <c r="FGG64" s="180"/>
      <c r="FGH64" s="180"/>
      <c r="FGI64" s="180"/>
      <c r="FGJ64" s="180"/>
      <c r="FGK64" s="180"/>
      <c r="FGL64" s="180"/>
      <c r="FGM64" s="180"/>
      <c r="FGN64" s="180"/>
      <c r="FGO64" s="180"/>
      <c r="FGP64" s="180"/>
      <c r="FGQ64" s="180"/>
      <c r="FGR64" s="180"/>
      <c r="FGS64" s="180"/>
      <c r="FGT64" s="180"/>
      <c r="FGU64" s="180"/>
      <c r="FGV64" s="180"/>
      <c r="FGW64" s="180"/>
      <c r="FGX64" s="180"/>
      <c r="FGY64" s="180"/>
      <c r="FGZ64" s="180"/>
      <c r="FHA64" s="180"/>
      <c r="FHB64" s="180"/>
      <c r="FHC64" s="180"/>
      <c r="FHD64" s="180"/>
      <c r="FHE64" s="180"/>
      <c r="FHF64" s="180"/>
      <c r="FHG64" s="180"/>
      <c r="FHH64" s="180"/>
      <c r="FHI64" s="180"/>
      <c r="FHJ64" s="180"/>
      <c r="FHK64" s="180"/>
      <c r="FHL64" s="180"/>
      <c r="FHM64" s="180"/>
      <c r="FHN64" s="180"/>
      <c r="FHO64" s="180"/>
      <c r="FHP64" s="180"/>
      <c r="FHQ64" s="180"/>
      <c r="FHR64" s="180"/>
      <c r="FHS64" s="180"/>
      <c r="FHT64" s="180"/>
      <c r="FHU64" s="180"/>
      <c r="FHV64" s="180"/>
      <c r="FHW64" s="180"/>
      <c r="FHX64" s="180"/>
      <c r="FHY64" s="180"/>
      <c r="FHZ64" s="180"/>
      <c r="FIA64" s="180"/>
      <c r="FIB64" s="180"/>
      <c r="FIC64" s="180"/>
      <c r="FID64" s="180"/>
      <c r="FIE64" s="180"/>
      <c r="FIF64" s="180"/>
      <c r="FIG64" s="180"/>
      <c r="FIH64" s="180"/>
      <c r="FII64" s="180"/>
      <c r="FIJ64" s="180"/>
      <c r="FIK64" s="180"/>
      <c r="FIL64" s="180"/>
      <c r="FIM64" s="180"/>
      <c r="FIN64" s="180"/>
      <c r="FIO64" s="180"/>
      <c r="FIP64" s="180"/>
      <c r="FIQ64" s="180"/>
      <c r="FIR64" s="180"/>
      <c r="FIS64" s="180"/>
      <c r="FIT64" s="180"/>
      <c r="FIU64" s="180"/>
      <c r="FIV64" s="180"/>
      <c r="FIW64" s="180"/>
      <c r="FIX64" s="180"/>
      <c r="FIY64" s="180"/>
      <c r="FIZ64" s="180"/>
      <c r="FJA64" s="180"/>
      <c r="FJB64" s="180"/>
      <c r="FJC64" s="180"/>
      <c r="FJD64" s="180"/>
      <c r="FJE64" s="180"/>
      <c r="FJF64" s="180"/>
      <c r="FJG64" s="180"/>
      <c r="FJH64" s="180"/>
      <c r="FJI64" s="180"/>
      <c r="FJJ64" s="180"/>
      <c r="FJK64" s="180"/>
      <c r="FJL64" s="180"/>
      <c r="FJM64" s="180"/>
      <c r="FJN64" s="180"/>
      <c r="FJO64" s="180"/>
      <c r="FJP64" s="180"/>
      <c r="FJQ64" s="180"/>
      <c r="FJR64" s="180"/>
      <c r="FJS64" s="180"/>
      <c r="FJT64" s="180"/>
      <c r="FJU64" s="180"/>
      <c r="FJV64" s="180"/>
      <c r="FJW64" s="180"/>
      <c r="FJX64" s="180"/>
      <c r="FJY64" s="180"/>
      <c r="FJZ64" s="180"/>
      <c r="FKA64" s="180"/>
      <c r="FKB64" s="180"/>
      <c r="FKC64" s="180"/>
      <c r="FKD64" s="180"/>
      <c r="FKE64" s="180"/>
      <c r="FKF64" s="180"/>
      <c r="FKG64" s="180"/>
      <c r="FKH64" s="180"/>
      <c r="FKI64" s="180"/>
      <c r="FKJ64" s="180"/>
      <c r="FKK64" s="180"/>
      <c r="FKL64" s="180"/>
      <c r="FKM64" s="180"/>
      <c r="FKN64" s="180"/>
      <c r="FKO64" s="180"/>
      <c r="FKP64" s="180"/>
      <c r="FKQ64" s="180"/>
      <c r="FKR64" s="180"/>
      <c r="FKS64" s="180"/>
      <c r="FKT64" s="180"/>
      <c r="FKU64" s="180"/>
      <c r="FKV64" s="180"/>
      <c r="FKW64" s="180"/>
      <c r="FKX64" s="180"/>
      <c r="FKY64" s="180"/>
      <c r="FKZ64" s="180"/>
      <c r="FLA64" s="180"/>
      <c r="FLB64" s="180"/>
      <c r="FLC64" s="180"/>
      <c r="FLD64" s="180"/>
      <c r="FLE64" s="180"/>
      <c r="FLF64" s="180"/>
      <c r="FLG64" s="180"/>
      <c r="FLH64" s="180"/>
      <c r="FLI64" s="180"/>
      <c r="FLJ64" s="180"/>
      <c r="FLK64" s="180"/>
      <c r="FLL64" s="180"/>
      <c r="FLM64" s="180"/>
      <c r="FLN64" s="180"/>
      <c r="FLO64" s="180"/>
      <c r="FLP64" s="180"/>
      <c r="FLQ64" s="180"/>
      <c r="FLR64" s="180"/>
      <c r="FLS64" s="180"/>
      <c r="FLT64" s="180"/>
      <c r="FLU64" s="180"/>
      <c r="FLV64" s="180"/>
      <c r="FLW64" s="180"/>
      <c r="FLX64" s="180"/>
      <c r="FLY64" s="180"/>
      <c r="FLZ64" s="180"/>
      <c r="FMA64" s="180"/>
      <c r="FMB64" s="180"/>
      <c r="FMC64" s="180"/>
      <c r="FMD64" s="180"/>
      <c r="FME64" s="180"/>
      <c r="FMF64" s="180"/>
      <c r="FMG64" s="180"/>
      <c r="FMH64" s="180"/>
      <c r="FMI64" s="180"/>
      <c r="FMJ64" s="180"/>
      <c r="FMK64" s="180"/>
      <c r="FML64" s="180"/>
      <c r="FMM64" s="180"/>
      <c r="FMN64" s="180"/>
      <c r="FMO64" s="180"/>
      <c r="FMP64" s="180"/>
      <c r="FMQ64" s="180"/>
      <c r="FMR64" s="180"/>
      <c r="FMS64" s="180"/>
      <c r="FMT64" s="180"/>
      <c r="FMU64" s="180"/>
      <c r="FMV64" s="180"/>
      <c r="FMW64" s="180"/>
      <c r="FMX64" s="180"/>
      <c r="FMY64" s="180"/>
      <c r="FMZ64" s="180"/>
      <c r="FNA64" s="180"/>
      <c r="FNB64" s="180"/>
      <c r="FNC64" s="180"/>
      <c r="FND64" s="180"/>
      <c r="FNE64" s="180"/>
      <c r="FNF64" s="180"/>
      <c r="FNG64" s="180"/>
      <c r="FNH64" s="180"/>
      <c r="FNI64" s="180"/>
      <c r="FNJ64" s="180"/>
      <c r="FNK64" s="180"/>
      <c r="FNL64" s="180"/>
      <c r="FNM64" s="180"/>
      <c r="FNN64" s="180"/>
      <c r="FNO64" s="180"/>
      <c r="FNP64" s="180"/>
      <c r="FNQ64" s="180"/>
      <c r="FNR64" s="180"/>
      <c r="FNS64" s="180"/>
      <c r="FNT64" s="180"/>
      <c r="FNU64" s="180"/>
      <c r="FNV64" s="180"/>
      <c r="FNW64" s="180"/>
      <c r="FNX64" s="180"/>
      <c r="FNY64" s="180"/>
      <c r="FNZ64" s="180"/>
      <c r="FOA64" s="180"/>
      <c r="FOB64" s="180"/>
      <c r="FOC64" s="180"/>
      <c r="FOD64" s="180"/>
      <c r="FOE64" s="180"/>
      <c r="FOF64" s="180"/>
      <c r="FOG64" s="180"/>
      <c r="FOH64" s="180"/>
      <c r="FOI64" s="180"/>
      <c r="FOJ64" s="180"/>
      <c r="FOK64" s="180"/>
      <c r="FOL64" s="180"/>
      <c r="FOM64" s="180"/>
      <c r="FON64" s="180"/>
      <c r="FOO64" s="180"/>
      <c r="FOP64" s="180"/>
      <c r="FOQ64" s="180"/>
      <c r="FOR64" s="180"/>
      <c r="FOS64" s="180"/>
      <c r="FOT64" s="180"/>
      <c r="FOU64" s="180"/>
      <c r="FOV64" s="180"/>
      <c r="FOW64" s="180"/>
      <c r="FOX64" s="180"/>
      <c r="FOY64" s="180"/>
      <c r="FOZ64" s="180"/>
      <c r="FPA64" s="180"/>
      <c r="FPB64" s="180"/>
      <c r="FPC64" s="180"/>
      <c r="FPD64" s="180"/>
      <c r="FPE64" s="180"/>
      <c r="FPF64" s="180"/>
      <c r="FPG64" s="180"/>
      <c r="FPH64" s="180"/>
      <c r="FPI64" s="180"/>
      <c r="FPJ64" s="180"/>
      <c r="FPK64" s="180"/>
      <c r="FPL64" s="180"/>
      <c r="FPM64" s="180"/>
      <c r="FPN64" s="180"/>
      <c r="FPO64" s="180"/>
      <c r="FPP64" s="180"/>
      <c r="FPQ64" s="180"/>
      <c r="FPR64" s="180"/>
      <c r="FPS64" s="180"/>
      <c r="FPT64" s="180"/>
      <c r="FPU64" s="180"/>
      <c r="FPV64" s="180"/>
      <c r="FPW64" s="180"/>
      <c r="FPX64" s="180"/>
      <c r="FPY64" s="180"/>
      <c r="FPZ64" s="180"/>
      <c r="FQA64" s="180"/>
      <c r="FQB64" s="180"/>
      <c r="FQC64" s="180"/>
      <c r="FQD64" s="180"/>
      <c r="FQE64" s="180"/>
      <c r="FQF64" s="180"/>
      <c r="FQG64" s="180"/>
      <c r="FQH64" s="180"/>
      <c r="FQI64" s="180"/>
      <c r="FQJ64" s="180"/>
      <c r="FQK64" s="180"/>
      <c r="FQL64" s="180"/>
      <c r="FQM64" s="180"/>
      <c r="FQN64" s="180"/>
      <c r="FQO64" s="180"/>
      <c r="FQP64" s="180"/>
      <c r="FQQ64" s="180"/>
      <c r="FQR64" s="180"/>
      <c r="FQS64" s="180"/>
      <c r="FQT64" s="180"/>
      <c r="FQU64" s="180"/>
      <c r="FQV64" s="180"/>
      <c r="FQW64" s="180"/>
      <c r="FQX64" s="180"/>
      <c r="FQY64" s="180"/>
      <c r="FQZ64" s="180"/>
      <c r="FRA64" s="180"/>
      <c r="FRB64" s="180"/>
      <c r="FRC64" s="180"/>
      <c r="FRD64" s="180"/>
      <c r="FRE64" s="180"/>
      <c r="FRF64" s="180"/>
      <c r="FRG64" s="180"/>
      <c r="FRH64" s="180"/>
      <c r="FRI64" s="180"/>
      <c r="FRJ64" s="180"/>
      <c r="FRK64" s="180"/>
      <c r="FRL64" s="180"/>
      <c r="FRM64" s="180"/>
      <c r="FRN64" s="180"/>
      <c r="FRO64" s="180"/>
      <c r="FRP64" s="180"/>
      <c r="FRQ64" s="180"/>
      <c r="FRR64" s="180"/>
      <c r="FRS64" s="180"/>
      <c r="FRT64" s="180"/>
      <c r="FRU64" s="180"/>
      <c r="FRV64" s="180"/>
      <c r="FRW64" s="180"/>
      <c r="FRX64" s="180"/>
      <c r="FRY64" s="180"/>
      <c r="FRZ64" s="180"/>
      <c r="FSA64" s="180"/>
      <c r="FSB64" s="180"/>
      <c r="FSC64" s="180"/>
      <c r="FSD64" s="180"/>
      <c r="FSE64" s="180"/>
      <c r="FSF64" s="180"/>
      <c r="FSG64" s="180"/>
      <c r="FSH64" s="180"/>
      <c r="FSI64" s="180"/>
      <c r="FSJ64" s="180"/>
      <c r="FSK64" s="180"/>
      <c r="FSL64" s="180"/>
      <c r="FSM64" s="180"/>
      <c r="FSN64" s="180"/>
      <c r="FSO64" s="180"/>
      <c r="FSP64" s="180"/>
      <c r="FSQ64" s="180"/>
      <c r="FSR64" s="180"/>
      <c r="FSS64" s="180"/>
      <c r="FST64" s="180"/>
      <c r="FSU64" s="180"/>
      <c r="FSV64" s="180"/>
      <c r="FSW64" s="180"/>
      <c r="FSX64" s="180"/>
      <c r="FSY64" s="180"/>
      <c r="FSZ64" s="180"/>
      <c r="FTA64" s="180"/>
      <c r="FTB64" s="180"/>
      <c r="FTC64" s="180"/>
      <c r="FTD64" s="180"/>
      <c r="FTE64" s="180"/>
      <c r="FTF64" s="180"/>
      <c r="FTG64" s="180"/>
      <c r="FTH64" s="180"/>
      <c r="FTI64" s="180"/>
      <c r="FTJ64" s="180"/>
      <c r="FTK64" s="180"/>
      <c r="FTL64" s="180"/>
      <c r="FTM64" s="180"/>
      <c r="FTN64" s="180"/>
      <c r="FTO64" s="180"/>
      <c r="FTP64" s="180"/>
      <c r="FTQ64" s="180"/>
      <c r="FTR64" s="180"/>
      <c r="FTS64" s="180"/>
      <c r="FTT64" s="180"/>
      <c r="FTU64" s="180"/>
      <c r="FTV64" s="180"/>
      <c r="FTW64" s="180"/>
      <c r="FTX64" s="180"/>
      <c r="FTY64" s="180"/>
      <c r="FTZ64" s="180"/>
      <c r="FUA64" s="180"/>
      <c r="FUB64" s="180"/>
      <c r="FUC64" s="180"/>
      <c r="FUD64" s="180"/>
      <c r="FUE64" s="180"/>
      <c r="FUF64" s="180"/>
      <c r="FUG64" s="180"/>
      <c r="FUH64" s="180"/>
      <c r="FUI64" s="180"/>
      <c r="FUJ64" s="180"/>
      <c r="FUK64" s="180"/>
      <c r="FUL64" s="180"/>
      <c r="FUM64" s="180"/>
      <c r="FUN64" s="180"/>
      <c r="FUO64" s="180"/>
      <c r="FUP64" s="180"/>
      <c r="FUQ64" s="180"/>
      <c r="FUR64" s="180"/>
      <c r="FUS64" s="180"/>
      <c r="FUT64" s="180"/>
      <c r="FUU64" s="180"/>
      <c r="FUV64" s="180"/>
      <c r="FUW64" s="180"/>
      <c r="FUX64" s="180"/>
      <c r="FUY64" s="180"/>
      <c r="FUZ64" s="180"/>
      <c r="FVA64" s="180"/>
      <c r="FVB64" s="180"/>
      <c r="FVC64" s="180"/>
      <c r="FVD64" s="180"/>
      <c r="FVE64" s="180"/>
      <c r="FVF64" s="180"/>
      <c r="FVG64" s="180"/>
      <c r="FVH64" s="180"/>
      <c r="FVI64" s="180"/>
      <c r="FVJ64" s="180"/>
      <c r="FVK64" s="180"/>
      <c r="FVL64" s="180"/>
      <c r="FVM64" s="180"/>
      <c r="FVN64" s="180"/>
      <c r="FVO64" s="180"/>
      <c r="FVP64" s="180"/>
      <c r="FVQ64" s="180"/>
      <c r="FVR64" s="180"/>
      <c r="FVS64" s="180"/>
      <c r="FVT64" s="180"/>
      <c r="FVU64" s="180"/>
      <c r="FVV64" s="180"/>
      <c r="FVW64" s="180"/>
      <c r="FVX64" s="180"/>
      <c r="FVY64" s="180"/>
      <c r="FVZ64" s="180"/>
      <c r="FWA64" s="180"/>
      <c r="FWB64" s="180"/>
      <c r="FWC64" s="180"/>
      <c r="FWD64" s="180"/>
      <c r="FWE64" s="180"/>
      <c r="FWF64" s="180"/>
      <c r="FWG64" s="180"/>
      <c r="FWH64" s="180"/>
      <c r="FWI64" s="180"/>
      <c r="FWJ64" s="180"/>
      <c r="FWK64" s="180"/>
      <c r="FWL64" s="180"/>
      <c r="FWM64" s="180"/>
      <c r="FWN64" s="180"/>
      <c r="FWO64" s="180"/>
      <c r="FWP64" s="180"/>
      <c r="FWQ64" s="180"/>
      <c r="FWR64" s="180"/>
      <c r="FWS64" s="180"/>
      <c r="FWT64" s="180"/>
      <c r="FWU64" s="180"/>
      <c r="FWV64" s="180"/>
      <c r="FWW64" s="180"/>
      <c r="FWX64" s="180"/>
      <c r="FWY64" s="180"/>
      <c r="FWZ64" s="180"/>
      <c r="FXA64" s="180"/>
      <c r="FXB64" s="180"/>
      <c r="FXC64" s="180"/>
      <c r="FXD64" s="180"/>
      <c r="FXE64" s="180"/>
      <c r="FXF64" s="180"/>
      <c r="FXG64" s="180"/>
      <c r="FXH64" s="180"/>
      <c r="FXI64" s="180"/>
      <c r="FXJ64" s="180"/>
      <c r="FXK64" s="180"/>
      <c r="FXL64" s="180"/>
      <c r="FXM64" s="180"/>
      <c r="FXN64" s="180"/>
      <c r="FXO64" s="180"/>
      <c r="FXP64" s="180"/>
      <c r="FXQ64" s="180"/>
      <c r="FXR64" s="180"/>
      <c r="FXS64" s="180"/>
      <c r="FXT64" s="180"/>
      <c r="FXU64" s="180"/>
      <c r="FXV64" s="180"/>
      <c r="FXW64" s="180"/>
      <c r="FXX64" s="180"/>
      <c r="FXY64" s="180"/>
      <c r="FXZ64" s="180"/>
      <c r="FYA64" s="180"/>
      <c r="FYB64" s="180"/>
      <c r="FYC64" s="180"/>
      <c r="FYD64" s="180"/>
      <c r="FYE64" s="180"/>
      <c r="FYF64" s="180"/>
      <c r="FYG64" s="180"/>
      <c r="FYH64" s="180"/>
      <c r="FYI64" s="180"/>
      <c r="FYJ64" s="180"/>
      <c r="FYK64" s="180"/>
      <c r="FYL64" s="180"/>
      <c r="FYM64" s="180"/>
      <c r="FYN64" s="180"/>
      <c r="FYO64" s="180"/>
      <c r="FYP64" s="180"/>
      <c r="FYQ64" s="180"/>
      <c r="FYR64" s="180"/>
      <c r="FYS64" s="180"/>
      <c r="FYT64" s="180"/>
      <c r="FYU64" s="180"/>
      <c r="FYV64" s="180"/>
      <c r="FYW64" s="180"/>
      <c r="FYX64" s="180"/>
      <c r="FYY64" s="180"/>
      <c r="FYZ64" s="180"/>
      <c r="FZA64" s="180"/>
      <c r="FZB64" s="180"/>
      <c r="FZC64" s="180"/>
      <c r="FZD64" s="180"/>
      <c r="FZE64" s="180"/>
      <c r="FZF64" s="180"/>
      <c r="FZG64" s="180"/>
      <c r="FZH64" s="180"/>
      <c r="FZI64" s="180"/>
      <c r="FZJ64" s="180"/>
      <c r="FZK64" s="180"/>
      <c r="FZL64" s="180"/>
      <c r="FZM64" s="180"/>
      <c r="FZN64" s="180"/>
      <c r="FZO64" s="180"/>
      <c r="FZP64" s="180"/>
      <c r="FZQ64" s="180"/>
      <c r="FZR64" s="180"/>
      <c r="FZS64" s="180"/>
      <c r="FZT64" s="180"/>
      <c r="FZU64" s="180"/>
      <c r="FZV64" s="180"/>
      <c r="FZW64" s="180"/>
      <c r="FZX64" s="180"/>
      <c r="FZY64" s="180"/>
      <c r="FZZ64" s="180"/>
      <c r="GAA64" s="180"/>
      <c r="GAB64" s="180"/>
      <c r="GAC64" s="180"/>
      <c r="GAD64" s="180"/>
      <c r="GAE64" s="180"/>
      <c r="GAF64" s="180"/>
      <c r="GAG64" s="180"/>
      <c r="GAH64" s="180"/>
      <c r="GAI64" s="180"/>
      <c r="GAJ64" s="180"/>
      <c r="GAK64" s="180"/>
      <c r="GAL64" s="180"/>
      <c r="GAM64" s="180"/>
      <c r="GAN64" s="180"/>
      <c r="GAO64" s="180"/>
      <c r="GAP64" s="180"/>
      <c r="GAQ64" s="180"/>
      <c r="GAR64" s="180"/>
      <c r="GAS64" s="180"/>
      <c r="GAT64" s="180"/>
      <c r="GAU64" s="180"/>
      <c r="GAV64" s="180"/>
      <c r="GAW64" s="180"/>
      <c r="GAX64" s="180"/>
      <c r="GAY64" s="180"/>
      <c r="GAZ64" s="180"/>
      <c r="GBA64" s="180"/>
      <c r="GBB64" s="180"/>
      <c r="GBC64" s="180"/>
      <c r="GBD64" s="180"/>
      <c r="GBE64" s="180"/>
      <c r="GBF64" s="180"/>
      <c r="GBG64" s="180"/>
      <c r="GBH64" s="180"/>
      <c r="GBI64" s="180"/>
      <c r="GBJ64" s="180"/>
      <c r="GBK64" s="180"/>
      <c r="GBL64" s="180"/>
      <c r="GBM64" s="180"/>
      <c r="GBN64" s="180"/>
      <c r="GBO64" s="180"/>
      <c r="GBP64" s="180"/>
      <c r="GBQ64" s="180"/>
      <c r="GBR64" s="180"/>
      <c r="GBS64" s="180"/>
      <c r="GBT64" s="180"/>
      <c r="GBU64" s="180"/>
      <c r="GBV64" s="180"/>
      <c r="GBW64" s="180"/>
      <c r="GBX64" s="180"/>
      <c r="GBY64" s="180"/>
      <c r="GBZ64" s="180"/>
      <c r="GCA64" s="180"/>
      <c r="GCB64" s="180"/>
      <c r="GCC64" s="180"/>
      <c r="GCD64" s="180"/>
      <c r="GCE64" s="180"/>
      <c r="GCF64" s="180"/>
      <c r="GCG64" s="180"/>
      <c r="GCH64" s="180"/>
      <c r="GCI64" s="180"/>
      <c r="GCJ64" s="180"/>
      <c r="GCK64" s="180"/>
      <c r="GCL64" s="180"/>
      <c r="GCM64" s="180"/>
      <c r="GCN64" s="180"/>
      <c r="GCO64" s="180"/>
      <c r="GCP64" s="180"/>
      <c r="GCQ64" s="180"/>
      <c r="GCR64" s="180"/>
      <c r="GCS64" s="180"/>
      <c r="GCT64" s="180"/>
      <c r="GCU64" s="180"/>
      <c r="GCV64" s="180"/>
      <c r="GCW64" s="180"/>
      <c r="GCX64" s="180"/>
      <c r="GCY64" s="180"/>
      <c r="GCZ64" s="180"/>
      <c r="GDA64" s="180"/>
      <c r="GDB64" s="180"/>
      <c r="GDC64" s="180"/>
      <c r="GDD64" s="180"/>
      <c r="GDE64" s="180"/>
      <c r="GDF64" s="180"/>
      <c r="GDG64" s="180"/>
      <c r="GDH64" s="180"/>
      <c r="GDI64" s="180"/>
      <c r="GDJ64" s="180"/>
      <c r="GDK64" s="180"/>
      <c r="GDL64" s="180"/>
      <c r="GDM64" s="180"/>
      <c r="GDN64" s="180"/>
      <c r="GDO64" s="180"/>
      <c r="GDP64" s="180"/>
      <c r="GDQ64" s="180"/>
      <c r="GDR64" s="180"/>
      <c r="GDS64" s="180"/>
      <c r="GDT64" s="180"/>
      <c r="GDU64" s="180"/>
      <c r="GDV64" s="180"/>
      <c r="GDW64" s="180"/>
      <c r="GDX64" s="180"/>
      <c r="GDY64" s="180"/>
      <c r="GDZ64" s="180"/>
      <c r="GEA64" s="180"/>
      <c r="GEB64" s="180"/>
      <c r="GEC64" s="180"/>
      <c r="GED64" s="180"/>
      <c r="GEE64" s="180"/>
      <c r="GEF64" s="180"/>
      <c r="GEG64" s="180"/>
      <c r="GEH64" s="180"/>
      <c r="GEI64" s="180"/>
      <c r="GEJ64" s="180"/>
      <c r="GEK64" s="180"/>
      <c r="GEL64" s="180"/>
      <c r="GEM64" s="180"/>
      <c r="GEN64" s="180"/>
      <c r="GEO64" s="180"/>
      <c r="GEP64" s="180"/>
      <c r="GEQ64" s="180"/>
      <c r="GER64" s="180"/>
      <c r="GES64" s="180"/>
      <c r="GET64" s="180"/>
      <c r="GEU64" s="180"/>
      <c r="GEV64" s="180"/>
      <c r="GEW64" s="180"/>
      <c r="GEX64" s="180"/>
      <c r="GEY64" s="180"/>
      <c r="GEZ64" s="180"/>
      <c r="GFA64" s="180"/>
      <c r="GFB64" s="180"/>
      <c r="GFC64" s="180"/>
      <c r="GFD64" s="180"/>
      <c r="GFE64" s="180"/>
      <c r="GFF64" s="180"/>
      <c r="GFG64" s="180"/>
      <c r="GFH64" s="180"/>
      <c r="GFI64" s="180"/>
      <c r="GFJ64" s="180"/>
      <c r="GFK64" s="180"/>
      <c r="GFL64" s="180"/>
      <c r="GFM64" s="180"/>
      <c r="GFN64" s="180"/>
      <c r="GFO64" s="180"/>
      <c r="GFP64" s="180"/>
      <c r="GFQ64" s="180"/>
      <c r="GFR64" s="180"/>
      <c r="GFS64" s="180"/>
      <c r="GFT64" s="180"/>
      <c r="GFU64" s="180"/>
      <c r="GFV64" s="180"/>
      <c r="GFW64" s="180"/>
      <c r="GFX64" s="180"/>
      <c r="GFY64" s="180"/>
      <c r="GFZ64" s="180"/>
      <c r="GGA64" s="180"/>
      <c r="GGB64" s="180"/>
      <c r="GGC64" s="180"/>
      <c r="GGD64" s="180"/>
      <c r="GGE64" s="180"/>
      <c r="GGF64" s="180"/>
      <c r="GGG64" s="180"/>
      <c r="GGH64" s="180"/>
      <c r="GGI64" s="180"/>
      <c r="GGJ64" s="180"/>
      <c r="GGK64" s="180"/>
      <c r="GGL64" s="180"/>
      <c r="GGM64" s="180"/>
      <c r="GGN64" s="180"/>
      <c r="GGO64" s="180"/>
      <c r="GGP64" s="180"/>
      <c r="GGQ64" s="180"/>
      <c r="GGR64" s="180"/>
      <c r="GGS64" s="180"/>
      <c r="GGT64" s="180"/>
      <c r="GGU64" s="180"/>
      <c r="GGV64" s="180"/>
      <c r="GGW64" s="180"/>
      <c r="GGX64" s="180"/>
      <c r="GGY64" s="180"/>
      <c r="GGZ64" s="180"/>
      <c r="GHA64" s="180"/>
      <c r="GHB64" s="180"/>
      <c r="GHC64" s="180"/>
      <c r="GHD64" s="180"/>
      <c r="GHE64" s="180"/>
      <c r="GHF64" s="180"/>
      <c r="GHG64" s="180"/>
      <c r="GHH64" s="180"/>
      <c r="GHI64" s="180"/>
      <c r="GHJ64" s="180"/>
      <c r="GHK64" s="180"/>
      <c r="GHL64" s="180"/>
      <c r="GHM64" s="180"/>
      <c r="GHN64" s="180"/>
      <c r="GHO64" s="180"/>
      <c r="GHP64" s="180"/>
      <c r="GHQ64" s="180"/>
      <c r="GHR64" s="180"/>
      <c r="GHS64" s="180"/>
      <c r="GHT64" s="180"/>
      <c r="GHU64" s="180"/>
      <c r="GHV64" s="180"/>
      <c r="GHW64" s="180"/>
      <c r="GHX64" s="180"/>
      <c r="GHY64" s="180"/>
      <c r="GHZ64" s="180"/>
      <c r="GIA64" s="180"/>
      <c r="GIB64" s="180"/>
      <c r="GIC64" s="180"/>
      <c r="GID64" s="180"/>
      <c r="GIE64" s="180"/>
      <c r="GIF64" s="180"/>
      <c r="GIG64" s="180"/>
      <c r="GIH64" s="180"/>
      <c r="GII64" s="180"/>
      <c r="GIJ64" s="180"/>
      <c r="GIK64" s="180"/>
      <c r="GIL64" s="180"/>
      <c r="GIM64" s="180"/>
      <c r="GIN64" s="180"/>
      <c r="GIO64" s="180"/>
      <c r="GIP64" s="180"/>
      <c r="GIQ64" s="180"/>
      <c r="GIR64" s="180"/>
      <c r="GIS64" s="180"/>
      <c r="GIT64" s="180"/>
      <c r="GIU64" s="180"/>
      <c r="GIV64" s="180"/>
      <c r="GIW64" s="180"/>
      <c r="GIX64" s="180"/>
      <c r="GIY64" s="180"/>
      <c r="GIZ64" s="180"/>
      <c r="GJA64" s="180"/>
      <c r="GJB64" s="180"/>
      <c r="GJC64" s="180"/>
      <c r="GJD64" s="180"/>
      <c r="GJE64" s="180"/>
      <c r="GJF64" s="180"/>
      <c r="GJG64" s="180"/>
      <c r="GJH64" s="180"/>
      <c r="GJI64" s="180"/>
      <c r="GJJ64" s="180"/>
      <c r="GJK64" s="180"/>
      <c r="GJL64" s="180"/>
      <c r="GJM64" s="180"/>
      <c r="GJN64" s="180"/>
      <c r="GJO64" s="180"/>
      <c r="GJP64" s="180"/>
      <c r="GJQ64" s="180"/>
      <c r="GJR64" s="180"/>
      <c r="GJS64" s="180"/>
      <c r="GJT64" s="180"/>
      <c r="GJU64" s="180"/>
      <c r="GJV64" s="180"/>
      <c r="GJW64" s="180"/>
      <c r="GJX64" s="180"/>
      <c r="GJY64" s="180"/>
      <c r="GJZ64" s="180"/>
      <c r="GKA64" s="180"/>
      <c r="GKB64" s="180"/>
      <c r="GKC64" s="180"/>
      <c r="GKD64" s="180"/>
      <c r="GKE64" s="180"/>
      <c r="GKF64" s="180"/>
      <c r="GKG64" s="180"/>
      <c r="GKH64" s="180"/>
      <c r="GKI64" s="180"/>
      <c r="GKJ64" s="180"/>
      <c r="GKK64" s="180"/>
      <c r="GKL64" s="180"/>
      <c r="GKM64" s="180"/>
      <c r="GKN64" s="180"/>
      <c r="GKO64" s="180"/>
      <c r="GKP64" s="180"/>
      <c r="GKQ64" s="180"/>
      <c r="GKR64" s="180"/>
      <c r="GKS64" s="180"/>
      <c r="GKT64" s="180"/>
      <c r="GKU64" s="180"/>
      <c r="GKV64" s="180"/>
      <c r="GKW64" s="180"/>
      <c r="GKX64" s="180"/>
      <c r="GKY64" s="180"/>
      <c r="GKZ64" s="180"/>
      <c r="GLA64" s="180"/>
      <c r="GLB64" s="180"/>
      <c r="GLC64" s="180"/>
      <c r="GLD64" s="180"/>
      <c r="GLE64" s="180"/>
      <c r="GLF64" s="180"/>
      <c r="GLG64" s="180"/>
      <c r="GLH64" s="180"/>
      <c r="GLI64" s="180"/>
      <c r="GLJ64" s="180"/>
      <c r="GLK64" s="180"/>
      <c r="GLL64" s="180"/>
      <c r="GLM64" s="180"/>
      <c r="GLN64" s="180"/>
      <c r="GLO64" s="180"/>
      <c r="GLP64" s="180"/>
      <c r="GLQ64" s="180"/>
      <c r="GLR64" s="180"/>
      <c r="GLS64" s="180"/>
      <c r="GLT64" s="180"/>
      <c r="GLU64" s="180"/>
      <c r="GLV64" s="180"/>
      <c r="GLW64" s="180"/>
      <c r="GLX64" s="180"/>
      <c r="GLY64" s="180"/>
      <c r="GLZ64" s="180"/>
      <c r="GMA64" s="180"/>
      <c r="GMB64" s="180"/>
      <c r="GMC64" s="180"/>
      <c r="GMD64" s="180"/>
      <c r="GME64" s="180"/>
      <c r="GMF64" s="180"/>
      <c r="GMG64" s="180"/>
      <c r="GMH64" s="180"/>
      <c r="GMI64" s="180"/>
      <c r="GMJ64" s="180"/>
      <c r="GMK64" s="180"/>
      <c r="GML64" s="180"/>
      <c r="GMM64" s="180"/>
      <c r="GMN64" s="180"/>
      <c r="GMO64" s="180"/>
      <c r="GMP64" s="180"/>
      <c r="GMQ64" s="180"/>
      <c r="GMR64" s="180"/>
      <c r="GMS64" s="180"/>
      <c r="GMT64" s="180"/>
      <c r="GMU64" s="180"/>
      <c r="GMV64" s="180"/>
      <c r="GMW64" s="180"/>
      <c r="GMX64" s="180"/>
      <c r="GMY64" s="180"/>
      <c r="GMZ64" s="180"/>
      <c r="GNA64" s="180"/>
      <c r="GNB64" s="180"/>
      <c r="GNC64" s="180"/>
      <c r="GND64" s="180"/>
      <c r="GNE64" s="180"/>
      <c r="GNF64" s="180"/>
      <c r="GNG64" s="180"/>
      <c r="GNH64" s="180"/>
      <c r="GNI64" s="180"/>
      <c r="GNJ64" s="180"/>
      <c r="GNK64" s="180"/>
      <c r="GNL64" s="180"/>
      <c r="GNM64" s="180"/>
      <c r="GNN64" s="180"/>
      <c r="GNO64" s="180"/>
      <c r="GNP64" s="180"/>
      <c r="GNQ64" s="180"/>
      <c r="GNR64" s="180"/>
      <c r="GNS64" s="180"/>
      <c r="GNT64" s="180"/>
      <c r="GNU64" s="180"/>
      <c r="GNV64" s="180"/>
      <c r="GNW64" s="180"/>
      <c r="GNX64" s="180"/>
      <c r="GNY64" s="180"/>
      <c r="GNZ64" s="180"/>
      <c r="GOA64" s="180"/>
      <c r="GOB64" s="180"/>
      <c r="GOC64" s="180"/>
      <c r="GOD64" s="180"/>
      <c r="GOE64" s="180"/>
      <c r="GOF64" s="180"/>
      <c r="GOG64" s="180"/>
      <c r="GOH64" s="180"/>
      <c r="GOI64" s="180"/>
      <c r="GOJ64" s="180"/>
      <c r="GOK64" s="180"/>
      <c r="GOL64" s="180"/>
      <c r="GOM64" s="180"/>
      <c r="GON64" s="180"/>
      <c r="GOO64" s="180"/>
      <c r="GOP64" s="180"/>
      <c r="GOQ64" s="180"/>
      <c r="GOR64" s="180"/>
      <c r="GOS64" s="180"/>
      <c r="GOT64" s="180"/>
      <c r="GOU64" s="180"/>
      <c r="GOV64" s="180"/>
      <c r="GOW64" s="180"/>
      <c r="GOX64" s="180"/>
      <c r="GOY64" s="180"/>
      <c r="GOZ64" s="180"/>
      <c r="GPA64" s="180"/>
      <c r="GPB64" s="180"/>
      <c r="GPC64" s="180"/>
      <c r="GPD64" s="180"/>
      <c r="GPE64" s="180"/>
      <c r="GPF64" s="180"/>
      <c r="GPG64" s="180"/>
      <c r="GPH64" s="180"/>
      <c r="GPI64" s="180"/>
      <c r="GPJ64" s="180"/>
      <c r="GPK64" s="180"/>
      <c r="GPL64" s="180"/>
      <c r="GPM64" s="180"/>
      <c r="GPN64" s="180"/>
      <c r="GPO64" s="180"/>
      <c r="GPP64" s="180"/>
      <c r="GPQ64" s="180"/>
      <c r="GPR64" s="180"/>
      <c r="GPS64" s="180"/>
      <c r="GPT64" s="180"/>
      <c r="GPU64" s="180"/>
      <c r="GPV64" s="180"/>
      <c r="GPW64" s="180"/>
      <c r="GPX64" s="180"/>
      <c r="GPY64" s="180"/>
      <c r="GPZ64" s="180"/>
      <c r="GQA64" s="180"/>
      <c r="GQB64" s="180"/>
      <c r="GQC64" s="180"/>
      <c r="GQD64" s="180"/>
      <c r="GQE64" s="180"/>
      <c r="GQF64" s="180"/>
      <c r="GQG64" s="180"/>
      <c r="GQH64" s="180"/>
      <c r="GQI64" s="180"/>
      <c r="GQJ64" s="180"/>
      <c r="GQK64" s="180"/>
      <c r="GQL64" s="180"/>
      <c r="GQM64" s="180"/>
      <c r="GQN64" s="180"/>
      <c r="GQO64" s="180"/>
      <c r="GQP64" s="180"/>
      <c r="GQQ64" s="180"/>
      <c r="GQR64" s="180"/>
      <c r="GQS64" s="180"/>
      <c r="GQT64" s="180"/>
      <c r="GQU64" s="180"/>
      <c r="GQV64" s="180"/>
      <c r="GQW64" s="180"/>
      <c r="GQX64" s="180"/>
      <c r="GQY64" s="180"/>
      <c r="GQZ64" s="180"/>
      <c r="GRA64" s="180"/>
      <c r="GRB64" s="180"/>
      <c r="GRC64" s="180"/>
      <c r="GRD64" s="180"/>
      <c r="GRE64" s="180"/>
      <c r="GRF64" s="180"/>
      <c r="GRG64" s="180"/>
      <c r="GRH64" s="180"/>
      <c r="GRI64" s="180"/>
      <c r="GRJ64" s="180"/>
      <c r="GRK64" s="180"/>
      <c r="GRL64" s="180"/>
      <c r="GRM64" s="180"/>
      <c r="GRN64" s="180"/>
      <c r="GRO64" s="180"/>
      <c r="GRP64" s="180"/>
      <c r="GRQ64" s="180"/>
      <c r="GRR64" s="180"/>
      <c r="GRS64" s="180"/>
      <c r="GRT64" s="180"/>
      <c r="GRU64" s="180"/>
      <c r="GRV64" s="180"/>
      <c r="GRW64" s="180"/>
      <c r="GRX64" s="180"/>
      <c r="GRY64" s="180"/>
      <c r="GRZ64" s="180"/>
      <c r="GSA64" s="180"/>
      <c r="GSB64" s="180"/>
      <c r="GSC64" s="180"/>
      <c r="GSD64" s="180"/>
      <c r="GSE64" s="180"/>
      <c r="GSF64" s="180"/>
      <c r="GSG64" s="180"/>
      <c r="GSH64" s="180"/>
      <c r="GSI64" s="180"/>
      <c r="GSJ64" s="180"/>
      <c r="GSK64" s="180"/>
      <c r="GSL64" s="180"/>
      <c r="GSM64" s="180"/>
      <c r="GSN64" s="180"/>
      <c r="GSO64" s="180"/>
      <c r="GSP64" s="180"/>
      <c r="GSQ64" s="180"/>
      <c r="GSR64" s="180"/>
      <c r="GSS64" s="180"/>
      <c r="GST64" s="180"/>
      <c r="GSU64" s="180"/>
      <c r="GSV64" s="180"/>
      <c r="GSW64" s="180"/>
      <c r="GSX64" s="180"/>
      <c r="GSY64" s="180"/>
      <c r="GSZ64" s="180"/>
      <c r="GTA64" s="180"/>
      <c r="GTB64" s="180"/>
      <c r="GTC64" s="180"/>
      <c r="GTD64" s="180"/>
      <c r="GTE64" s="180"/>
      <c r="GTF64" s="180"/>
      <c r="GTG64" s="180"/>
      <c r="GTH64" s="180"/>
      <c r="GTI64" s="180"/>
      <c r="GTJ64" s="180"/>
      <c r="GTK64" s="180"/>
      <c r="GTL64" s="180"/>
      <c r="GTM64" s="180"/>
      <c r="GTN64" s="180"/>
      <c r="GTO64" s="180"/>
      <c r="GTP64" s="180"/>
      <c r="GTQ64" s="180"/>
      <c r="GTR64" s="180"/>
      <c r="GTS64" s="180"/>
      <c r="GTT64" s="180"/>
      <c r="GTU64" s="180"/>
      <c r="GTV64" s="180"/>
      <c r="GTW64" s="180"/>
      <c r="GTX64" s="180"/>
      <c r="GTY64" s="180"/>
      <c r="GTZ64" s="180"/>
      <c r="GUA64" s="180"/>
      <c r="GUB64" s="180"/>
      <c r="GUC64" s="180"/>
      <c r="GUD64" s="180"/>
      <c r="GUE64" s="180"/>
      <c r="GUF64" s="180"/>
      <c r="GUG64" s="180"/>
      <c r="GUH64" s="180"/>
      <c r="GUI64" s="180"/>
      <c r="GUJ64" s="180"/>
      <c r="GUK64" s="180"/>
      <c r="GUL64" s="180"/>
      <c r="GUM64" s="180"/>
      <c r="GUN64" s="180"/>
      <c r="GUO64" s="180"/>
      <c r="GUP64" s="180"/>
      <c r="GUQ64" s="180"/>
      <c r="GUR64" s="180"/>
      <c r="GUS64" s="180"/>
      <c r="GUT64" s="180"/>
      <c r="GUU64" s="180"/>
      <c r="GUV64" s="180"/>
      <c r="GUW64" s="180"/>
      <c r="GUX64" s="180"/>
      <c r="GUY64" s="180"/>
      <c r="GUZ64" s="180"/>
      <c r="GVA64" s="180"/>
      <c r="GVB64" s="180"/>
      <c r="GVC64" s="180"/>
      <c r="GVD64" s="180"/>
      <c r="GVE64" s="180"/>
      <c r="GVF64" s="180"/>
      <c r="GVG64" s="180"/>
      <c r="GVH64" s="180"/>
      <c r="GVI64" s="180"/>
      <c r="GVJ64" s="180"/>
      <c r="GVK64" s="180"/>
      <c r="GVL64" s="180"/>
      <c r="GVM64" s="180"/>
      <c r="GVN64" s="180"/>
      <c r="GVO64" s="180"/>
      <c r="GVP64" s="180"/>
      <c r="GVQ64" s="180"/>
      <c r="GVR64" s="180"/>
      <c r="GVS64" s="180"/>
      <c r="GVT64" s="180"/>
      <c r="GVU64" s="180"/>
      <c r="GVV64" s="180"/>
      <c r="GVW64" s="180"/>
      <c r="GVX64" s="180"/>
      <c r="GVY64" s="180"/>
      <c r="GVZ64" s="180"/>
      <c r="GWA64" s="180"/>
      <c r="GWB64" s="180"/>
      <c r="GWC64" s="180"/>
      <c r="GWD64" s="180"/>
      <c r="GWE64" s="180"/>
      <c r="GWF64" s="180"/>
      <c r="GWG64" s="180"/>
      <c r="GWH64" s="180"/>
      <c r="GWI64" s="180"/>
      <c r="GWJ64" s="180"/>
      <c r="GWK64" s="180"/>
      <c r="GWL64" s="180"/>
      <c r="GWM64" s="180"/>
      <c r="GWN64" s="180"/>
      <c r="GWO64" s="180"/>
      <c r="GWP64" s="180"/>
      <c r="GWQ64" s="180"/>
      <c r="GWR64" s="180"/>
      <c r="GWS64" s="180"/>
      <c r="GWT64" s="180"/>
      <c r="GWU64" s="180"/>
      <c r="GWV64" s="180"/>
      <c r="GWW64" s="180"/>
      <c r="GWX64" s="180"/>
      <c r="GWY64" s="180"/>
      <c r="GWZ64" s="180"/>
      <c r="GXA64" s="180"/>
      <c r="GXB64" s="180"/>
      <c r="GXC64" s="180"/>
      <c r="GXD64" s="180"/>
      <c r="GXE64" s="180"/>
      <c r="GXF64" s="180"/>
      <c r="GXG64" s="180"/>
      <c r="GXH64" s="180"/>
      <c r="GXI64" s="180"/>
      <c r="GXJ64" s="180"/>
      <c r="GXK64" s="180"/>
      <c r="GXL64" s="180"/>
      <c r="GXM64" s="180"/>
      <c r="GXN64" s="180"/>
      <c r="GXO64" s="180"/>
      <c r="GXP64" s="180"/>
      <c r="GXQ64" s="180"/>
      <c r="GXR64" s="180"/>
      <c r="GXS64" s="180"/>
      <c r="GXT64" s="180"/>
      <c r="GXU64" s="180"/>
      <c r="GXV64" s="180"/>
      <c r="GXW64" s="180"/>
      <c r="GXX64" s="180"/>
      <c r="GXY64" s="180"/>
      <c r="GXZ64" s="180"/>
      <c r="GYA64" s="180"/>
      <c r="GYB64" s="180"/>
      <c r="GYC64" s="180"/>
      <c r="GYD64" s="180"/>
      <c r="GYE64" s="180"/>
      <c r="GYF64" s="180"/>
      <c r="GYG64" s="180"/>
      <c r="GYH64" s="180"/>
      <c r="GYI64" s="180"/>
      <c r="GYJ64" s="180"/>
      <c r="GYK64" s="180"/>
      <c r="GYL64" s="180"/>
      <c r="GYM64" s="180"/>
      <c r="GYN64" s="180"/>
      <c r="GYO64" s="180"/>
      <c r="GYP64" s="180"/>
      <c r="GYQ64" s="180"/>
      <c r="GYR64" s="180"/>
      <c r="GYS64" s="180"/>
      <c r="GYT64" s="180"/>
      <c r="GYU64" s="180"/>
      <c r="GYV64" s="180"/>
      <c r="GYW64" s="180"/>
      <c r="GYX64" s="180"/>
      <c r="GYY64" s="180"/>
      <c r="GYZ64" s="180"/>
      <c r="GZA64" s="180"/>
      <c r="GZB64" s="180"/>
      <c r="GZC64" s="180"/>
      <c r="GZD64" s="180"/>
      <c r="GZE64" s="180"/>
      <c r="GZF64" s="180"/>
      <c r="GZG64" s="180"/>
      <c r="GZH64" s="180"/>
      <c r="GZI64" s="180"/>
      <c r="GZJ64" s="180"/>
      <c r="GZK64" s="180"/>
      <c r="GZL64" s="180"/>
      <c r="GZM64" s="180"/>
      <c r="GZN64" s="180"/>
      <c r="GZO64" s="180"/>
      <c r="GZP64" s="180"/>
      <c r="GZQ64" s="180"/>
      <c r="GZR64" s="180"/>
      <c r="GZS64" s="180"/>
      <c r="GZT64" s="180"/>
      <c r="GZU64" s="180"/>
      <c r="GZV64" s="180"/>
      <c r="GZW64" s="180"/>
      <c r="GZX64" s="180"/>
      <c r="GZY64" s="180"/>
      <c r="GZZ64" s="180"/>
      <c r="HAA64" s="180"/>
      <c r="HAB64" s="180"/>
      <c r="HAC64" s="180"/>
      <c r="HAD64" s="180"/>
      <c r="HAE64" s="180"/>
      <c r="HAF64" s="180"/>
      <c r="HAG64" s="180"/>
      <c r="HAH64" s="180"/>
      <c r="HAI64" s="180"/>
      <c r="HAJ64" s="180"/>
      <c r="HAK64" s="180"/>
      <c r="HAL64" s="180"/>
      <c r="HAM64" s="180"/>
      <c r="HAN64" s="180"/>
      <c r="HAO64" s="180"/>
      <c r="HAP64" s="180"/>
      <c r="HAQ64" s="180"/>
      <c r="HAR64" s="180"/>
      <c r="HAS64" s="180"/>
      <c r="HAT64" s="180"/>
      <c r="HAU64" s="180"/>
      <c r="HAV64" s="180"/>
      <c r="HAW64" s="180"/>
      <c r="HAX64" s="180"/>
      <c r="HAY64" s="180"/>
      <c r="HAZ64" s="180"/>
      <c r="HBA64" s="180"/>
      <c r="HBB64" s="180"/>
      <c r="HBC64" s="180"/>
      <c r="HBD64" s="180"/>
      <c r="HBE64" s="180"/>
      <c r="HBF64" s="180"/>
      <c r="HBG64" s="180"/>
      <c r="HBH64" s="180"/>
      <c r="HBI64" s="180"/>
      <c r="HBJ64" s="180"/>
      <c r="HBK64" s="180"/>
      <c r="HBL64" s="180"/>
      <c r="HBM64" s="180"/>
      <c r="HBN64" s="180"/>
      <c r="HBO64" s="180"/>
      <c r="HBP64" s="180"/>
      <c r="HBQ64" s="180"/>
      <c r="HBR64" s="180"/>
      <c r="HBS64" s="180"/>
      <c r="HBT64" s="180"/>
      <c r="HBU64" s="180"/>
      <c r="HBV64" s="180"/>
      <c r="HBW64" s="180"/>
      <c r="HBX64" s="180"/>
      <c r="HBY64" s="180"/>
      <c r="HBZ64" s="180"/>
      <c r="HCA64" s="180"/>
      <c r="HCB64" s="180"/>
      <c r="HCC64" s="180"/>
      <c r="HCD64" s="180"/>
      <c r="HCE64" s="180"/>
      <c r="HCF64" s="180"/>
      <c r="HCG64" s="180"/>
      <c r="HCH64" s="180"/>
      <c r="HCI64" s="180"/>
      <c r="HCJ64" s="180"/>
      <c r="HCK64" s="180"/>
      <c r="HCL64" s="180"/>
      <c r="HCM64" s="180"/>
      <c r="HCN64" s="180"/>
      <c r="HCO64" s="180"/>
      <c r="HCP64" s="180"/>
      <c r="HCQ64" s="180"/>
      <c r="HCR64" s="180"/>
      <c r="HCS64" s="180"/>
      <c r="HCT64" s="180"/>
      <c r="HCU64" s="180"/>
      <c r="HCV64" s="180"/>
      <c r="HCW64" s="180"/>
      <c r="HCX64" s="180"/>
      <c r="HCY64" s="180"/>
      <c r="HCZ64" s="180"/>
      <c r="HDA64" s="180"/>
      <c r="HDB64" s="180"/>
      <c r="HDC64" s="180"/>
      <c r="HDD64" s="180"/>
      <c r="HDE64" s="180"/>
      <c r="HDF64" s="180"/>
      <c r="HDG64" s="180"/>
      <c r="HDH64" s="180"/>
      <c r="HDI64" s="180"/>
      <c r="HDJ64" s="180"/>
      <c r="HDK64" s="180"/>
      <c r="HDL64" s="180"/>
      <c r="HDM64" s="180"/>
      <c r="HDN64" s="180"/>
      <c r="HDO64" s="180"/>
      <c r="HDP64" s="180"/>
      <c r="HDQ64" s="180"/>
      <c r="HDR64" s="180"/>
      <c r="HDS64" s="180"/>
      <c r="HDT64" s="180"/>
      <c r="HDU64" s="180"/>
      <c r="HDV64" s="180"/>
      <c r="HDW64" s="180"/>
      <c r="HDX64" s="180"/>
      <c r="HDY64" s="180"/>
      <c r="HDZ64" s="180"/>
      <c r="HEA64" s="180"/>
      <c r="HEB64" s="180"/>
      <c r="HEC64" s="180"/>
      <c r="HED64" s="180"/>
      <c r="HEE64" s="180"/>
      <c r="HEF64" s="180"/>
      <c r="HEG64" s="180"/>
      <c r="HEH64" s="180"/>
      <c r="HEI64" s="180"/>
      <c r="HEJ64" s="180"/>
      <c r="HEK64" s="180"/>
      <c r="HEL64" s="180"/>
      <c r="HEM64" s="180"/>
      <c r="HEN64" s="180"/>
      <c r="HEO64" s="180"/>
      <c r="HEP64" s="180"/>
      <c r="HEQ64" s="180"/>
      <c r="HER64" s="180"/>
      <c r="HES64" s="180"/>
      <c r="HET64" s="180"/>
      <c r="HEU64" s="180"/>
      <c r="HEV64" s="180"/>
      <c r="HEW64" s="180"/>
      <c r="HEX64" s="180"/>
      <c r="HEY64" s="180"/>
      <c r="HEZ64" s="180"/>
      <c r="HFA64" s="180"/>
      <c r="HFB64" s="180"/>
      <c r="HFC64" s="180"/>
      <c r="HFD64" s="180"/>
      <c r="HFE64" s="180"/>
      <c r="HFF64" s="180"/>
      <c r="HFG64" s="180"/>
      <c r="HFH64" s="180"/>
      <c r="HFI64" s="180"/>
      <c r="HFJ64" s="180"/>
      <c r="HFK64" s="180"/>
      <c r="HFL64" s="180"/>
      <c r="HFM64" s="180"/>
      <c r="HFN64" s="180"/>
      <c r="HFO64" s="180"/>
      <c r="HFP64" s="180"/>
      <c r="HFQ64" s="180"/>
      <c r="HFR64" s="180"/>
      <c r="HFS64" s="180"/>
      <c r="HFT64" s="180"/>
      <c r="HFU64" s="180"/>
      <c r="HFV64" s="180"/>
      <c r="HFW64" s="180"/>
      <c r="HFX64" s="180"/>
      <c r="HFY64" s="180"/>
      <c r="HFZ64" s="180"/>
      <c r="HGA64" s="180"/>
      <c r="HGB64" s="180"/>
      <c r="HGC64" s="180"/>
      <c r="HGD64" s="180"/>
      <c r="HGE64" s="180"/>
      <c r="HGF64" s="180"/>
      <c r="HGG64" s="180"/>
      <c r="HGH64" s="180"/>
      <c r="HGI64" s="180"/>
      <c r="HGJ64" s="180"/>
      <c r="HGK64" s="180"/>
      <c r="HGL64" s="180"/>
      <c r="HGM64" s="180"/>
      <c r="HGN64" s="180"/>
      <c r="HGO64" s="180"/>
      <c r="HGP64" s="180"/>
      <c r="HGQ64" s="180"/>
      <c r="HGR64" s="180"/>
      <c r="HGS64" s="180"/>
      <c r="HGT64" s="180"/>
      <c r="HGU64" s="180"/>
      <c r="HGV64" s="180"/>
      <c r="HGW64" s="180"/>
      <c r="HGX64" s="180"/>
      <c r="HGY64" s="180"/>
      <c r="HGZ64" s="180"/>
      <c r="HHA64" s="180"/>
      <c r="HHB64" s="180"/>
      <c r="HHC64" s="180"/>
      <c r="HHD64" s="180"/>
      <c r="HHE64" s="180"/>
      <c r="HHF64" s="180"/>
      <c r="HHG64" s="180"/>
      <c r="HHH64" s="180"/>
      <c r="HHI64" s="180"/>
      <c r="HHJ64" s="180"/>
      <c r="HHK64" s="180"/>
      <c r="HHL64" s="180"/>
      <c r="HHM64" s="180"/>
      <c r="HHN64" s="180"/>
      <c r="HHO64" s="180"/>
      <c r="HHP64" s="180"/>
      <c r="HHQ64" s="180"/>
      <c r="HHR64" s="180"/>
      <c r="HHS64" s="180"/>
      <c r="HHT64" s="180"/>
      <c r="HHU64" s="180"/>
      <c r="HHV64" s="180"/>
      <c r="HHW64" s="180"/>
      <c r="HHX64" s="180"/>
      <c r="HHY64" s="180"/>
      <c r="HHZ64" s="180"/>
      <c r="HIA64" s="180"/>
      <c r="HIB64" s="180"/>
      <c r="HIC64" s="180"/>
      <c r="HID64" s="180"/>
      <c r="HIE64" s="180"/>
      <c r="HIF64" s="180"/>
      <c r="HIG64" s="180"/>
      <c r="HIH64" s="180"/>
      <c r="HII64" s="180"/>
      <c r="HIJ64" s="180"/>
      <c r="HIK64" s="180"/>
      <c r="HIL64" s="180"/>
      <c r="HIM64" s="180"/>
      <c r="HIN64" s="180"/>
      <c r="HIO64" s="180"/>
      <c r="HIP64" s="180"/>
      <c r="HIQ64" s="180"/>
      <c r="HIR64" s="180"/>
      <c r="HIS64" s="180"/>
      <c r="HIT64" s="180"/>
      <c r="HIU64" s="180"/>
      <c r="HIV64" s="180"/>
      <c r="HIW64" s="180"/>
      <c r="HIX64" s="180"/>
      <c r="HIY64" s="180"/>
      <c r="HIZ64" s="180"/>
      <c r="HJA64" s="180"/>
      <c r="HJB64" s="180"/>
      <c r="HJC64" s="180"/>
      <c r="HJD64" s="180"/>
      <c r="HJE64" s="180"/>
      <c r="HJF64" s="180"/>
      <c r="HJG64" s="180"/>
      <c r="HJH64" s="180"/>
      <c r="HJI64" s="180"/>
      <c r="HJJ64" s="180"/>
      <c r="HJK64" s="180"/>
      <c r="HJL64" s="180"/>
      <c r="HJM64" s="180"/>
      <c r="HJN64" s="180"/>
      <c r="HJO64" s="180"/>
      <c r="HJP64" s="180"/>
      <c r="HJQ64" s="180"/>
      <c r="HJR64" s="180"/>
      <c r="HJS64" s="180"/>
      <c r="HJT64" s="180"/>
      <c r="HJU64" s="180"/>
      <c r="HJV64" s="180"/>
      <c r="HJW64" s="180"/>
      <c r="HJX64" s="180"/>
      <c r="HJY64" s="180"/>
      <c r="HJZ64" s="180"/>
      <c r="HKA64" s="180"/>
      <c r="HKB64" s="180"/>
      <c r="HKC64" s="180"/>
      <c r="HKD64" s="180"/>
      <c r="HKE64" s="180"/>
      <c r="HKF64" s="180"/>
      <c r="HKG64" s="180"/>
      <c r="HKH64" s="180"/>
      <c r="HKI64" s="180"/>
      <c r="HKJ64" s="180"/>
      <c r="HKK64" s="180"/>
      <c r="HKL64" s="180"/>
      <c r="HKM64" s="180"/>
      <c r="HKN64" s="180"/>
      <c r="HKO64" s="180"/>
      <c r="HKP64" s="180"/>
      <c r="HKQ64" s="180"/>
      <c r="HKR64" s="180"/>
      <c r="HKS64" s="180"/>
      <c r="HKT64" s="180"/>
      <c r="HKU64" s="180"/>
      <c r="HKV64" s="180"/>
      <c r="HKW64" s="180"/>
      <c r="HKX64" s="180"/>
      <c r="HKY64" s="180"/>
      <c r="HKZ64" s="180"/>
      <c r="HLA64" s="180"/>
      <c r="HLB64" s="180"/>
      <c r="HLC64" s="180"/>
      <c r="HLD64" s="180"/>
      <c r="HLE64" s="180"/>
      <c r="HLF64" s="180"/>
      <c r="HLG64" s="180"/>
      <c r="HLH64" s="180"/>
      <c r="HLI64" s="180"/>
      <c r="HLJ64" s="180"/>
      <c r="HLK64" s="180"/>
      <c r="HLL64" s="180"/>
      <c r="HLM64" s="180"/>
      <c r="HLN64" s="180"/>
      <c r="HLO64" s="180"/>
      <c r="HLP64" s="180"/>
      <c r="HLQ64" s="180"/>
      <c r="HLR64" s="180"/>
      <c r="HLS64" s="180"/>
      <c r="HLT64" s="180"/>
      <c r="HLU64" s="180"/>
      <c r="HLV64" s="180"/>
      <c r="HLW64" s="180"/>
      <c r="HLX64" s="180"/>
      <c r="HLY64" s="180"/>
      <c r="HLZ64" s="180"/>
      <c r="HMA64" s="180"/>
      <c r="HMB64" s="180"/>
      <c r="HMC64" s="180"/>
      <c r="HMD64" s="180"/>
      <c r="HME64" s="180"/>
      <c r="HMF64" s="180"/>
      <c r="HMG64" s="180"/>
      <c r="HMH64" s="180"/>
      <c r="HMI64" s="180"/>
      <c r="HMJ64" s="180"/>
      <c r="HMK64" s="180"/>
      <c r="HML64" s="180"/>
      <c r="HMM64" s="180"/>
      <c r="HMN64" s="180"/>
      <c r="HMO64" s="180"/>
      <c r="HMP64" s="180"/>
      <c r="HMQ64" s="180"/>
      <c r="HMR64" s="180"/>
      <c r="HMS64" s="180"/>
      <c r="HMT64" s="180"/>
      <c r="HMU64" s="180"/>
      <c r="HMV64" s="180"/>
      <c r="HMW64" s="180"/>
      <c r="HMX64" s="180"/>
      <c r="HMY64" s="180"/>
      <c r="HMZ64" s="180"/>
      <c r="HNA64" s="180"/>
      <c r="HNB64" s="180"/>
      <c r="HNC64" s="180"/>
      <c r="HND64" s="180"/>
      <c r="HNE64" s="180"/>
      <c r="HNF64" s="180"/>
      <c r="HNG64" s="180"/>
      <c r="HNH64" s="180"/>
      <c r="HNI64" s="180"/>
      <c r="HNJ64" s="180"/>
      <c r="HNK64" s="180"/>
      <c r="HNL64" s="180"/>
      <c r="HNM64" s="180"/>
      <c r="HNN64" s="180"/>
      <c r="HNO64" s="180"/>
      <c r="HNP64" s="180"/>
      <c r="HNQ64" s="180"/>
      <c r="HNR64" s="180"/>
      <c r="HNS64" s="180"/>
      <c r="HNT64" s="180"/>
      <c r="HNU64" s="180"/>
      <c r="HNV64" s="180"/>
      <c r="HNW64" s="180"/>
      <c r="HNX64" s="180"/>
      <c r="HNY64" s="180"/>
      <c r="HNZ64" s="180"/>
      <c r="HOA64" s="180"/>
      <c r="HOB64" s="180"/>
      <c r="HOC64" s="180"/>
      <c r="HOD64" s="180"/>
      <c r="HOE64" s="180"/>
      <c r="HOF64" s="180"/>
      <c r="HOG64" s="180"/>
      <c r="HOH64" s="180"/>
      <c r="HOI64" s="180"/>
      <c r="HOJ64" s="180"/>
      <c r="HOK64" s="180"/>
      <c r="HOL64" s="180"/>
      <c r="HOM64" s="180"/>
      <c r="HON64" s="180"/>
      <c r="HOO64" s="180"/>
      <c r="HOP64" s="180"/>
      <c r="HOQ64" s="180"/>
      <c r="HOR64" s="180"/>
      <c r="HOS64" s="180"/>
      <c r="HOT64" s="180"/>
      <c r="HOU64" s="180"/>
      <c r="HOV64" s="180"/>
      <c r="HOW64" s="180"/>
      <c r="HOX64" s="180"/>
      <c r="HOY64" s="180"/>
      <c r="HOZ64" s="180"/>
      <c r="HPA64" s="180"/>
      <c r="HPB64" s="180"/>
      <c r="HPC64" s="180"/>
      <c r="HPD64" s="180"/>
      <c r="HPE64" s="180"/>
      <c r="HPF64" s="180"/>
      <c r="HPG64" s="180"/>
      <c r="HPH64" s="180"/>
      <c r="HPI64" s="180"/>
      <c r="HPJ64" s="180"/>
      <c r="HPK64" s="180"/>
      <c r="HPL64" s="180"/>
      <c r="HPM64" s="180"/>
      <c r="HPN64" s="180"/>
      <c r="HPO64" s="180"/>
      <c r="HPP64" s="180"/>
      <c r="HPQ64" s="180"/>
      <c r="HPR64" s="180"/>
      <c r="HPS64" s="180"/>
      <c r="HPT64" s="180"/>
      <c r="HPU64" s="180"/>
      <c r="HPV64" s="180"/>
      <c r="HPW64" s="180"/>
      <c r="HPX64" s="180"/>
      <c r="HPY64" s="180"/>
      <c r="HPZ64" s="180"/>
      <c r="HQA64" s="180"/>
      <c r="HQB64" s="180"/>
      <c r="HQC64" s="180"/>
      <c r="HQD64" s="180"/>
      <c r="HQE64" s="180"/>
      <c r="HQF64" s="180"/>
      <c r="HQG64" s="180"/>
      <c r="HQH64" s="180"/>
      <c r="HQI64" s="180"/>
      <c r="HQJ64" s="180"/>
      <c r="HQK64" s="180"/>
      <c r="HQL64" s="180"/>
      <c r="HQM64" s="180"/>
      <c r="HQN64" s="180"/>
      <c r="HQO64" s="180"/>
      <c r="HQP64" s="180"/>
      <c r="HQQ64" s="180"/>
      <c r="HQR64" s="180"/>
      <c r="HQS64" s="180"/>
      <c r="HQT64" s="180"/>
      <c r="HQU64" s="180"/>
      <c r="HQV64" s="180"/>
      <c r="HQW64" s="180"/>
      <c r="HQX64" s="180"/>
      <c r="HQY64" s="180"/>
      <c r="HQZ64" s="180"/>
      <c r="HRA64" s="180"/>
      <c r="HRB64" s="180"/>
      <c r="HRC64" s="180"/>
      <c r="HRD64" s="180"/>
      <c r="HRE64" s="180"/>
      <c r="HRF64" s="180"/>
      <c r="HRG64" s="180"/>
      <c r="HRH64" s="180"/>
      <c r="HRI64" s="180"/>
      <c r="HRJ64" s="180"/>
      <c r="HRK64" s="180"/>
      <c r="HRL64" s="180"/>
      <c r="HRM64" s="180"/>
      <c r="HRN64" s="180"/>
      <c r="HRO64" s="180"/>
      <c r="HRP64" s="180"/>
      <c r="HRQ64" s="180"/>
      <c r="HRR64" s="180"/>
      <c r="HRS64" s="180"/>
      <c r="HRT64" s="180"/>
      <c r="HRU64" s="180"/>
      <c r="HRV64" s="180"/>
      <c r="HRW64" s="180"/>
      <c r="HRX64" s="180"/>
      <c r="HRY64" s="180"/>
      <c r="HRZ64" s="180"/>
      <c r="HSA64" s="180"/>
      <c r="HSB64" s="180"/>
      <c r="HSC64" s="180"/>
      <c r="HSD64" s="180"/>
      <c r="HSE64" s="180"/>
      <c r="HSF64" s="180"/>
      <c r="HSG64" s="180"/>
      <c r="HSH64" s="180"/>
      <c r="HSI64" s="180"/>
      <c r="HSJ64" s="180"/>
      <c r="HSK64" s="180"/>
      <c r="HSL64" s="180"/>
      <c r="HSM64" s="180"/>
      <c r="HSN64" s="180"/>
      <c r="HSO64" s="180"/>
      <c r="HSP64" s="180"/>
      <c r="HSQ64" s="180"/>
      <c r="HSR64" s="180"/>
      <c r="HSS64" s="180"/>
      <c r="HST64" s="180"/>
      <c r="HSU64" s="180"/>
      <c r="HSV64" s="180"/>
      <c r="HSW64" s="180"/>
      <c r="HSX64" s="180"/>
      <c r="HSY64" s="180"/>
      <c r="HSZ64" s="180"/>
      <c r="HTA64" s="180"/>
      <c r="HTB64" s="180"/>
      <c r="HTC64" s="180"/>
      <c r="HTD64" s="180"/>
      <c r="HTE64" s="180"/>
      <c r="HTF64" s="180"/>
      <c r="HTG64" s="180"/>
      <c r="HTH64" s="180"/>
      <c r="HTI64" s="180"/>
      <c r="HTJ64" s="180"/>
      <c r="HTK64" s="180"/>
      <c r="HTL64" s="180"/>
      <c r="HTM64" s="180"/>
      <c r="HTN64" s="180"/>
      <c r="HTO64" s="180"/>
      <c r="HTP64" s="180"/>
      <c r="HTQ64" s="180"/>
      <c r="HTR64" s="180"/>
      <c r="HTS64" s="180"/>
      <c r="HTT64" s="180"/>
      <c r="HTU64" s="180"/>
      <c r="HTV64" s="180"/>
      <c r="HTW64" s="180"/>
      <c r="HTX64" s="180"/>
      <c r="HTY64" s="180"/>
      <c r="HTZ64" s="180"/>
      <c r="HUA64" s="180"/>
      <c r="HUB64" s="180"/>
      <c r="HUC64" s="180"/>
      <c r="HUD64" s="180"/>
      <c r="HUE64" s="180"/>
      <c r="HUF64" s="180"/>
      <c r="HUG64" s="180"/>
      <c r="HUH64" s="180"/>
      <c r="HUI64" s="180"/>
      <c r="HUJ64" s="180"/>
      <c r="HUK64" s="180"/>
      <c r="HUL64" s="180"/>
      <c r="HUM64" s="180"/>
      <c r="HUN64" s="180"/>
      <c r="HUO64" s="180"/>
      <c r="HUP64" s="180"/>
      <c r="HUQ64" s="180"/>
      <c r="HUR64" s="180"/>
      <c r="HUS64" s="180"/>
      <c r="HUT64" s="180"/>
      <c r="HUU64" s="180"/>
      <c r="HUV64" s="180"/>
      <c r="HUW64" s="180"/>
      <c r="HUX64" s="180"/>
      <c r="HUY64" s="180"/>
      <c r="HUZ64" s="180"/>
      <c r="HVA64" s="180"/>
      <c r="HVB64" s="180"/>
      <c r="HVC64" s="180"/>
      <c r="HVD64" s="180"/>
      <c r="HVE64" s="180"/>
      <c r="HVF64" s="180"/>
      <c r="HVG64" s="180"/>
      <c r="HVH64" s="180"/>
      <c r="HVI64" s="180"/>
      <c r="HVJ64" s="180"/>
      <c r="HVK64" s="180"/>
      <c r="HVL64" s="180"/>
      <c r="HVM64" s="180"/>
      <c r="HVN64" s="180"/>
      <c r="HVO64" s="180"/>
      <c r="HVP64" s="180"/>
      <c r="HVQ64" s="180"/>
      <c r="HVR64" s="180"/>
      <c r="HVS64" s="180"/>
      <c r="HVT64" s="180"/>
      <c r="HVU64" s="180"/>
      <c r="HVV64" s="180"/>
      <c r="HVW64" s="180"/>
      <c r="HVX64" s="180"/>
      <c r="HVY64" s="180"/>
      <c r="HVZ64" s="180"/>
      <c r="HWA64" s="180"/>
      <c r="HWB64" s="180"/>
      <c r="HWC64" s="180"/>
      <c r="HWD64" s="180"/>
      <c r="HWE64" s="180"/>
      <c r="HWF64" s="180"/>
      <c r="HWG64" s="180"/>
      <c r="HWH64" s="180"/>
      <c r="HWI64" s="180"/>
      <c r="HWJ64" s="180"/>
      <c r="HWK64" s="180"/>
      <c r="HWL64" s="180"/>
      <c r="HWM64" s="180"/>
      <c r="HWN64" s="180"/>
      <c r="HWO64" s="180"/>
      <c r="HWP64" s="180"/>
      <c r="HWQ64" s="180"/>
      <c r="HWR64" s="180"/>
      <c r="HWS64" s="180"/>
      <c r="HWT64" s="180"/>
      <c r="HWU64" s="180"/>
      <c r="HWV64" s="180"/>
      <c r="HWW64" s="180"/>
      <c r="HWX64" s="180"/>
      <c r="HWY64" s="180"/>
      <c r="HWZ64" s="180"/>
      <c r="HXA64" s="180"/>
      <c r="HXB64" s="180"/>
      <c r="HXC64" s="180"/>
      <c r="HXD64" s="180"/>
      <c r="HXE64" s="180"/>
      <c r="HXF64" s="180"/>
      <c r="HXG64" s="180"/>
      <c r="HXH64" s="180"/>
      <c r="HXI64" s="180"/>
      <c r="HXJ64" s="180"/>
      <c r="HXK64" s="180"/>
      <c r="HXL64" s="180"/>
      <c r="HXM64" s="180"/>
      <c r="HXN64" s="180"/>
      <c r="HXO64" s="180"/>
      <c r="HXP64" s="180"/>
      <c r="HXQ64" s="180"/>
      <c r="HXR64" s="180"/>
      <c r="HXS64" s="180"/>
      <c r="HXT64" s="180"/>
      <c r="HXU64" s="180"/>
      <c r="HXV64" s="180"/>
      <c r="HXW64" s="180"/>
      <c r="HXX64" s="180"/>
      <c r="HXY64" s="180"/>
      <c r="HXZ64" s="180"/>
      <c r="HYA64" s="180"/>
      <c r="HYB64" s="180"/>
      <c r="HYC64" s="180"/>
      <c r="HYD64" s="180"/>
      <c r="HYE64" s="180"/>
      <c r="HYF64" s="180"/>
      <c r="HYG64" s="180"/>
      <c r="HYH64" s="180"/>
      <c r="HYI64" s="180"/>
      <c r="HYJ64" s="180"/>
      <c r="HYK64" s="180"/>
      <c r="HYL64" s="180"/>
      <c r="HYM64" s="180"/>
      <c r="HYN64" s="180"/>
      <c r="HYO64" s="180"/>
      <c r="HYP64" s="180"/>
      <c r="HYQ64" s="180"/>
      <c r="HYR64" s="180"/>
      <c r="HYS64" s="180"/>
      <c r="HYT64" s="180"/>
      <c r="HYU64" s="180"/>
      <c r="HYV64" s="180"/>
      <c r="HYW64" s="180"/>
      <c r="HYX64" s="180"/>
      <c r="HYY64" s="180"/>
      <c r="HYZ64" s="180"/>
      <c r="HZA64" s="180"/>
      <c r="HZB64" s="180"/>
      <c r="HZC64" s="180"/>
      <c r="HZD64" s="180"/>
      <c r="HZE64" s="180"/>
      <c r="HZF64" s="180"/>
      <c r="HZG64" s="180"/>
      <c r="HZH64" s="180"/>
      <c r="HZI64" s="180"/>
      <c r="HZJ64" s="180"/>
      <c r="HZK64" s="180"/>
      <c r="HZL64" s="180"/>
      <c r="HZM64" s="180"/>
      <c r="HZN64" s="180"/>
      <c r="HZO64" s="180"/>
      <c r="HZP64" s="180"/>
      <c r="HZQ64" s="180"/>
      <c r="HZR64" s="180"/>
      <c r="HZS64" s="180"/>
      <c r="HZT64" s="180"/>
      <c r="HZU64" s="180"/>
      <c r="HZV64" s="180"/>
      <c r="HZW64" s="180"/>
      <c r="HZX64" s="180"/>
      <c r="HZY64" s="180"/>
      <c r="HZZ64" s="180"/>
      <c r="IAA64" s="180"/>
      <c r="IAB64" s="180"/>
      <c r="IAC64" s="180"/>
      <c r="IAD64" s="180"/>
      <c r="IAE64" s="180"/>
      <c r="IAF64" s="180"/>
      <c r="IAG64" s="180"/>
      <c r="IAH64" s="180"/>
      <c r="IAI64" s="180"/>
      <c r="IAJ64" s="180"/>
      <c r="IAK64" s="180"/>
      <c r="IAL64" s="180"/>
      <c r="IAM64" s="180"/>
      <c r="IAN64" s="180"/>
      <c r="IAO64" s="180"/>
      <c r="IAP64" s="180"/>
      <c r="IAQ64" s="180"/>
      <c r="IAR64" s="180"/>
      <c r="IAS64" s="180"/>
      <c r="IAT64" s="180"/>
      <c r="IAU64" s="180"/>
      <c r="IAV64" s="180"/>
      <c r="IAW64" s="180"/>
      <c r="IAX64" s="180"/>
      <c r="IAY64" s="180"/>
      <c r="IAZ64" s="180"/>
      <c r="IBA64" s="180"/>
      <c r="IBB64" s="180"/>
      <c r="IBC64" s="180"/>
      <c r="IBD64" s="180"/>
      <c r="IBE64" s="180"/>
      <c r="IBF64" s="180"/>
      <c r="IBG64" s="180"/>
      <c r="IBH64" s="180"/>
      <c r="IBI64" s="180"/>
      <c r="IBJ64" s="180"/>
      <c r="IBK64" s="180"/>
      <c r="IBL64" s="180"/>
      <c r="IBM64" s="180"/>
      <c r="IBN64" s="180"/>
      <c r="IBO64" s="180"/>
      <c r="IBP64" s="180"/>
      <c r="IBQ64" s="180"/>
      <c r="IBR64" s="180"/>
      <c r="IBS64" s="180"/>
      <c r="IBT64" s="180"/>
      <c r="IBU64" s="180"/>
      <c r="IBV64" s="180"/>
      <c r="IBW64" s="180"/>
      <c r="IBX64" s="180"/>
      <c r="IBY64" s="180"/>
      <c r="IBZ64" s="180"/>
      <c r="ICA64" s="180"/>
      <c r="ICB64" s="180"/>
      <c r="ICC64" s="180"/>
      <c r="ICD64" s="180"/>
      <c r="ICE64" s="180"/>
      <c r="ICF64" s="180"/>
      <c r="ICG64" s="180"/>
      <c r="ICH64" s="180"/>
      <c r="ICI64" s="180"/>
      <c r="ICJ64" s="180"/>
      <c r="ICK64" s="180"/>
      <c r="ICL64" s="180"/>
      <c r="ICM64" s="180"/>
      <c r="ICN64" s="180"/>
      <c r="ICO64" s="180"/>
      <c r="ICP64" s="180"/>
      <c r="ICQ64" s="180"/>
      <c r="ICR64" s="180"/>
      <c r="ICS64" s="180"/>
      <c r="ICT64" s="180"/>
      <c r="ICU64" s="180"/>
      <c r="ICV64" s="180"/>
      <c r="ICW64" s="180"/>
      <c r="ICX64" s="180"/>
      <c r="ICY64" s="180"/>
      <c r="ICZ64" s="180"/>
      <c r="IDA64" s="180"/>
      <c r="IDB64" s="180"/>
      <c r="IDC64" s="180"/>
      <c r="IDD64" s="180"/>
      <c r="IDE64" s="180"/>
      <c r="IDF64" s="180"/>
      <c r="IDG64" s="180"/>
      <c r="IDH64" s="180"/>
      <c r="IDI64" s="180"/>
      <c r="IDJ64" s="180"/>
      <c r="IDK64" s="180"/>
      <c r="IDL64" s="180"/>
      <c r="IDM64" s="180"/>
      <c r="IDN64" s="180"/>
      <c r="IDO64" s="180"/>
      <c r="IDP64" s="180"/>
      <c r="IDQ64" s="180"/>
      <c r="IDR64" s="180"/>
      <c r="IDS64" s="180"/>
      <c r="IDT64" s="180"/>
      <c r="IDU64" s="180"/>
      <c r="IDV64" s="180"/>
      <c r="IDW64" s="180"/>
      <c r="IDX64" s="180"/>
      <c r="IDY64" s="180"/>
      <c r="IDZ64" s="180"/>
      <c r="IEA64" s="180"/>
      <c r="IEB64" s="180"/>
      <c r="IEC64" s="180"/>
      <c r="IED64" s="180"/>
      <c r="IEE64" s="180"/>
      <c r="IEF64" s="180"/>
      <c r="IEG64" s="180"/>
      <c r="IEH64" s="180"/>
      <c r="IEI64" s="180"/>
      <c r="IEJ64" s="180"/>
      <c r="IEK64" s="180"/>
      <c r="IEL64" s="180"/>
      <c r="IEM64" s="180"/>
      <c r="IEN64" s="180"/>
      <c r="IEO64" s="180"/>
      <c r="IEP64" s="180"/>
      <c r="IEQ64" s="180"/>
      <c r="IER64" s="180"/>
      <c r="IES64" s="180"/>
      <c r="IET64" s="180"/>
      <c r="IEU64" s="180"/>
      <c r="IEV64" s="180"/>
      <c r="IEW64" s="180"/>
      <c r="IEX64" s="180"/>
      <c r="IEY64" s="180"/>
      <c r="IEZ64" s="180"/>
      <c r="IFA64" s="180"/>
      <c r="IFB64" s="180"/>
      <c r="IFC64" s="180"/>
      <c r="IFD64" s="180"/>
      <c r="IFE64" s="180"/>
      <c r="IFF64" s="180"/>
      <c r="IFG64" s="180"/>
      <c r="IFH64" s="180"/>
      <c r="IFI64" s="180"/>
      <c r="IFJ64" s="180"/>
      <c r="IFK64" s="180"/>
      <c r="IFL64" s="180"/>
      <c r="IFM64" s="180"/>
      <c r="IFN64" s="180"/>
      <c r="IFO64" s="180"/>
      <c r="IFP64" s="180"/>
      <c r="IFQ64" s="180"/>
      <c r="IFR64" s="180"/>
      <c r="IFS64" s="180"/>
      <c r="IFT64" s="180"/>
      <c r="IFU64" s="180"/>
      <c r="IFV64" s="180"/>
      <c r="IFW64" s="180"/>
      <c r="IFX64" s="180"/>
      <c r="IFY64" s="180"/>
      <c r="IFZ64" s="180"/>
      <c r="IGA64" s="180"/>
      <c r="IGB64" s="180"/>
      <c r="IGC64" s="180"/>
      <c r="IGD64" s="180"/>
      <c r="IGE64" s="180"/>
      <c r="IGF64" s="180"/>
      <c r="IGG64" s="180"/>
      <c r="IGH64" s="180"/>
      <c r="IGI64" s="180"/>
      <c r="IGJ64" s="180"/>
      <c r="IGK64" s="180"/>
      <c r="IGL64" s="180"/>
      <c r="IGM64" s="180"/>
      <c r="IGN64" s="180"/>
      <c r="IGO64" s="180"/>
      <c r="IGP64" s="180"/>
      <c r="IGQ64" s="180"/>
      <c r="IGR64" s="180"/>
      <c r="IGS64" s="180"/>
      <c r="IGT64" s="180"/>
      <c r="IGU64" s="180"/>
      <c r="IGV64" s="180"/>
      <c r="IGW64" s="180"/>
      <c r="IGX64" s="180"/>
      <c r="IGY64" s="180"/>
      <c r="IGZ64" s="180"/>
      <c r="IHA64" s="180"/>
      <c r="IHB64" s="180"/>
      <c r="IHC64" s="180"/>
      <c r="IHD64" s="180"/>
      <c r="IHE64" s="180"/>
      <c r="IHF64" s="180"/>
      <c r="IHG64" s="180"/>
      <c r="IHH64" s="180"/>
      <c r="IHI64" s="180"/>
      <c r="IHJ64" s="180"/>
      <c r="IHK64" s="180"/>
      <c r="IHL64" s="180"/>
      <c r="IHM64" s="180"/>
      <c r="IHN64" s="180"/>
      <c r="IHO64" s="180"/>
      <c r="IHP64" s="180"/>
      <c r="IHQ64" s="180"/>
      <c r="IHR64" s="180"/>
      <c r="IHS64" s="180"/>
      <c r="IHT64" s="180"/>
      <c r="IHU64" s="180"/>
      <c r="IHV64" s="180"/>
      <c r="IHW64" s="180"/>
      <c r="IHX64" s="180"/>
      <c r="IHY64" s="180"/>
      <c r="IHZ64" s="180"/>
      <c r="IIA64" s="180"/>
      <c r="IIB64" s="180"/>
      <c r="IIC64" s="180"/>
      <c r="IID64" s="180"/>
      <c r="IIE64" s="180"/>
      <c r="IIF64" s="180"/>
      <c r="IIG64" s="180"/>
      <c r="IIH64" s="180"/>
      <c r="III64" s="180"/>
      <c r="IIJ64" s="180"/>
      <c r="IIK64" s="180"/>
      <c r="IIL64" s="180"/>
      <c r="IIM64" s="180"/>
      <c r="IIN64" s="180"/>
      <c r="IIO64" s="180"/>
      <c r="IIP64" s="180"/>
      <c r="IIQ64" s="180"/>
      <c r="IIR64" s="180"/>
      <c r="IIS64" s="180"/>
      <c r="IIT64" s="180"/>
      <c r="IIU64" s="180"/>
      <c r="IIV64" s="180"/>
      <c r="IIW64" s="180"/>
      <c r="IIX64" s="180"/>
      <c r="IIY64" s="180"/>
      <c r="IIZ64" s="180"/>
      <c r="IJA64" s="180"/>
      <c r="IJB64" s="180"/>
      <c r="IJC64" s="180"/>
      <c r="IJD64" s="180"/>
      <c r="IJE64" s="180"/>
      <c r="IJF64" s="180"/>
      <c r="IJG64" s="180"/>
      <c r="IJH64" s="180"/>
      <c r="IJI64" s="180"/>
      <c r="IJJ64" s="180"/>
      <c r="IJK64" s="180"/>
      <c r="IJL64" s="180"/>
      <c r="IJM64" s="180"/>
      <c r="IJN64" s="180"/>
      <c r="IJO64" s="180"/>
      <c r="IJP64" s="180"/>
      <c r="IJQ64" s="180"/>
      <c r="IJR64" s="180"/>
      <c r="IJS64" s="180"/>
      <c r="IJT64" s="180"/>
      <c r="IJU64" s="180"/>
      <c r="IJV64" s="180"/>
      <c r="IJW64" s="180"/>
      <c r="IJX64" s="180"/>
      <c r="IJY64" s="180"/>
      <c r="IJZ64" s="180"/>
      <c r="IKA64" s="180"/>
      <c r="IKB64" s="180"/>
      <c r="IKC64" s="180"/>
      <c r="IKD64" s="180"/>
      <c r="IKE64" s="180"/>
      <c r="IKF64" s="180"/>
      <c r="IKG64" s="180"/>
      <c r="IKH64" s="180"/>
      <c r="IKI64" s="180"/>
      <c r="IKJ64" s="180"/>
      <c r="IKK64" s="180"/>
      <c r="IKL64" s="180"/>
      <c r="IKM64" s="180"/>
      <c r="IKN64" s="180"/>
      <c r="IKO64" s="180"/>
      <c r="IKP64" s="180"/>
      <c r="IKQ64" s="180"/>
      <c r="IKR64" s="180"/>
      <c r="IKS64" s="180"/>
      <c r="IKT64" s="180"/>
      <c r="IKU64" s="180"/>
      <c r="IKV64" s="180"/>
      <c r="IKW64" s="180"/>
      <c r="IKX64" s="180"/>
      <c r="IKY64" s="180"/>
      <c r="IKZ64" s="180"/>
      <c r="ILA64" s="180"/>
      <c r="ILB64" s="180"/>
      <c r="ILC64" s="180"/>
      <c r="ILD64" s="180"/>
      <c r="ILE64" s="180"/>
      <c r="ILF64" s="180"/>
      <c r="ILG64" s="180"/>
      <c r="ILH64" s="180"/>
      <c r="ILI64" s="180"/>
      <c r="ILJ64" s="180"/>
      <c r="ILK64" s="180"/>
      <c r="ILL64" s="180"/>
      <c r="ILM64" s="180"/>
      <c r="ILN64" s="180"/>
      <c r="ILO64" s="180"/>
      <c r="ILP64" s="180"/>
      <c r="ILQ64" s="180"/>
      <c r="ILR64" s="180"/>
      <c r="ILS64" s="180"/>
      <c r="ILT64" s="180"/>
      <c r="ILU64" s="180"/>
      <c r="ILV64" s="180"/>
      <c r="ILW64" s="180"/>
      <c r="ILX64" s="180"/>
      <c r="ILY64" s="180"/>
      <c r="ILZ64" s="180"/>
      <c r="IMA64" s="180"/>
      <c r="IMB64" s="180"/>
      <c r="IMC64" s="180"/>
      <c r="IMD64" s="180"/>
      <c r="IME64" s="180"/>
      <c r="IMF64" s="180"/>
      <c r="IMG64" s="180"/>
      <c r="IMH64" s="180"/>
      <c r="IMI64" s="180"/>
      <c r="IMJ64" s="180"/>
      <c r="IMK64" s="180"/>
      <c r="IML64" s="180"/>
      <c r="IMM64" s="180"/>
      <c r="IMN64" s="180"/>
      <c r="IMO64" s="180"/>
      <c r="IMP64" s="180"/>
      <c r="IMQ64" s="180"/>
      <c r="IMR64" s="180"/>
      <c r="IMS64" s="180"/>
      <c r="IMT64" s="180"/>
      <c r="IMU64" s="180"/>
      <c r="IMV64" s="180"/>
      <c r="IMW64" s="180"/>
      <c r="IMX64" s="180"/>
      <c r="IMY64" s="180"/>
      <c r="IMZ64" s="180"/>
      <c r="INA64" s="180"/>
      <c r="INB64" s="180"/>
      <c r="INC64" s="180"/>
      <c r="IND64" s="180"/>
      <c r="INE64" s="180"/>
      <c r="INF64" s="180"/>
      <c r="ING64" s="180"/>
      <c r="INH64" s="180"/>
      <c r="INI64" s="180"/>
      <c r="INJ64" s="180"/>
      <c r="INK64" s="180"/>
      <c r="INL64" s="180"/>
      <c r="INM64" s="180"/>
      <c r="INN64" s="180"/>
      <c r="INO64" s="180"/>
      <c r="INP64" s="180"/>
      <c r="INQ64" s="180"/>
      <c r="INR64" s="180"/>
      <c r="INS64" s="180"/>
      <c r="INT64" s="180"/>
      <c r="INU64" s="180"/>
      <c r="INV64" s="180"/>
      <c r="INW64" s="180"/>
      <c r="INX64" s="180"/>
      <c r="INY64" s="180"/>
      <c r="INZ64" s="180"/>
      <c r="IOA64" s="180"/>
      <c r="IOB64" s="180"/>
      <c r="IOC64" s="180"/>
      <c r="IOD64" s="180"/>
      <c r="IOE64" s="180"/>
      <c r="IOF64" s="180"/>
      <c r="IOG64" s="180"/>
      <c r="IOH64" s="180"/>
      <c r="IOI64" s="180"/>
      <c r="IOJ64" s="180"/>
      <c r="IOK64" s="180"/>
      <c r="IOL64" s="180"/>
      <c r="IOM64" s="180"/>
      <c r="ION64" s="180"/>
      <c r="IOO64" s="180"/>
      <c r="IOP64" s="180"/>
      <c r="IOQ64" s="180"/>
      <c r="IOR64" s="180"/>
      <c r="IOS64" s="180"/>
      <c r="IOT64" s="180"/>
      <c r="IOU64" s="180"/>
      <c r="IOV64" s="180"/>
      <c r="IOW64" s="180"/>
      <c r="IOX64" s="180"/>
      <c r="IOY64" s="180"/>
      <c r="IOZ64" s="180"/>
      <c r="IPA64" s="180"/>
      <c r="IPB64" s="180"/>
      <c r="IPC64" s="180"/>
      <c r="IPD64" s="180"/>
      <c r="IPE64" s="180"/>
      <c r="IPF64" s="180"/>
      <c r="IPG64" s="180"/>
      <c r="IPH64" s="180"/>
      <c r="IPI64" s="180"/>
      <c r="IPJ64" s="180"/>
      <c r="IPK64" s="180"/>
      <c r="IPL64" s="180"/>
      <c r="IPM64" s="180"/>
      <c r="IPN64" s="180"/>
      <c r="IPO64" s="180"/>
      <c r="IPP64" s="180"/>
      <c r="IPQ64" s="180"/>
      <c r="IPR64" s="180"/>
      <c r="IPS64" s="180"/>
      <c r="IPT64" s="180"/>
      <c r="IPU64" s="180"/>
      <c r="IPV64" s="180"/>
      <c r="IPW64" s="180"/>
      <c r="IPX64" s="180"/>
      <c r="IPY64" s="180"/>
      <c r="IPZ64" s="180"/>
      <c r="IQA64" s="180"/>
      <c r="IQB64" s="180"/>
      <c r="IQC64" s="180"/>
      <c r="IQD64" s="180"/>
      <c r="IQE64" s="180"/>
      <c r="IQF64" s="180"/>
      <c r="IQG64" s="180"/>
      <c r="IQH64" s="180"/>
      <c r="IQI64" s="180"/>
      <c r="IQJ64" s="180"/>
      <c r="IQK64" s="180"/>
      <c r="IQL64" s="180"/>
      <c r="IQM64" s="180"/>
      <c r="IQN64" s="180"/>
      <c r="IQO64" s="180"/>
      <c r="IQP64" s="180"/>
      <c r="IQQ64" s="180"/>
      <c r="IQR64" s="180"/>
      <c r="IQS64" s="180"/>
      <c r="IQT64" s="180"/>
      <c r="IQU64" s="180"/>
      <c r="IQV64" s="180"/>
      <c r="IQW64" s="180"/>
      <c r="IQX64" s="180"/>
      <c r="IQY64" s="180"/>
      <c r="IQZ64" s="180"/>
      <c r="IRA64" s="180"/>
      <c r="IRB64" s="180"/>
      <c r="IRC64" s="180"/>
      <c r="IRD64" s="180"/>
      <c r="IRE64" s="180"/>
      <c r="IRF64" s="180"/>
      <c r="IRG64" s="180"/>
      <c r="IRH64" s="180"/>
      <c r="IRI64" s="180"/>
      <c r="IRJ64" s="180"/>
      <c r="IRK64" s="180"/>
      <c r="IRL64" s="180"/>
      <c r="IRM64" s="180"/>
      <c r="IRN64" s="180"/>
      <c r="IRO64" s="180"/>
      <c r="IRP64" s="180"/>
      <c r="IRQ64" s="180"/>
      <c r="IRR64" s="180"/>
      <c r="IRS64" s="180"/>
      <c r="IRT64" s="180"/>
      <c r="IRU64" s="180"/>
      <c r="IRV64" s="180"/>
      <c r="IRW64" s="180"/>
      <c r="IRX64" s="180"/>
      <c r="IRY64" s="180"/>
      <c r="IRZ64" s="180"/>
      <c r="ISA64" s="180"/>
      <c r="ISB64" s="180"/>
      <c r="ISC64" s="180"/>
      <c r="ISD64" s="180"/>
      <c r="ISE64" s="180"/>
      <c r="ISF64" s="180"/>
      <c r="ISG64" s="180"/>
      <c r="ISH64" s="180"/>
      <c r="ISI64" s="180"/>
      <c r="ISJ64" s="180"/>
      <c r="ISK64" s="180"/>
      <c r="ISL64" s="180"/>
      <c r="ISM64" s="180"/>
      <c r="ISN64" s="180"/>
      <c r="ISO64" s="180"/>
      <c r="ISP64" s="180"/>
      <c r="ISQ64" s="180"/>
      <c r="ISR64" s="180"/>
      <c r="ISS64" s="180"/>
      <c r="IST64" s="180"/>
      <c r="ISU64" s="180"/>
      <c r="ISV64" s="180"/>
      <c r="ISW64" s="180"/>
      <c r="ISX64" s="180"/>
      <c r="ISY64" s="180"/>
      <c r="ISZ64" s="180"/>
      <c r="ITA64" s="180"/>
      <c r="ITB64" s="180"/>
      <c r="ITC64" s="180"/>
      <c r="ITD64" s="180"/>
      <c r="ITE64" s="180"/>
      <c r="ITF64" s="180"/>
      <c r="ITG64" s="180"/>
      <c r="ITH64" s="180"/>
      <c r="ITI64" s="180"/>
      <c r="ITJ64" s="180"/>
      <c r="ITK64" s="180"/>
      <c r="ITL64" s="180"/>
      <c r="ITM64" s="180"/>
      <c r="ITN64" s="180"/>
      <c r="ITO64" s="180"/>
      <c r="ITP64" s="180"/>
      <c r="ITQ64" s="180"/>
      <c r="ITR64" s="180"/>
      <c r="ITS64" s="180"/>
      <c r="ITT64" s="180"/>
      <c r="ITU64" s="180"/>
      <c r="ITV64" s="180"/>
      <c r="ITW64" s="180"/>
      <c r="ITX64" s="180"/>
      <c r="ITY64" s="180"/>
      <c r="ITZ64" s="180"/>
      <c r="IUA64" s="180"/>
      <c r="IUB64" s="180"/>
      <c r="IUC64" s="180"/>
      <c r="IUD64" s="180"/>
      <c r="IUE64" s="180"/>
      <c r="IUF64" s="180"/>
      <c r="IUG64" s="180"/>
      <c r="IUH64" s="180"/>
      <c r="IUI64" s="180"/>
      <c r="IUJ64" s="180"/>
      <c r="IUK64" s="180"/>
      <c r="IUL64" s="180"/>
      <c r="IUM64" s="180"/>
      <c r="IUN64" s="180"/>
      <c r="IUO64" s="180"/>
      <c r="IUP64" s="180"/>
      <c r="IUQ64" s="180"/>
      <c r="IUR64" s="180"/>
      <c r="IUS64" s="180"/>
      <c r="IUT64" s="180"/>
      <c r="IUU64" s="180"/>
      <c r="IUV64" s="180"/>
      <c r="IUW64" s="180"/>
      <c r="IUX64" s="180"/>
      <c r="IUY64" s="180"/>
      <c r="IUZ64" s="180"/>
      <c r="IVA64" s="180"/>
      <c r="IVB64" s="180"/>
      <c r="IVC64" s="180"/>
      <c r="IVD64" s="180"/>
      <c r="IVE64" s="180"/>
      <c r="IVF64" s="180"/>
      <c r="IVG64" s="180"/>
      <c r="IVH64" s="180"/>
      <c r="IVI64" s="180"/>
      <c r="IVJ64" s="180"/>
      <c r="IVK64" s="180"/>
      <c r="IVL64" s="180"/>
      <c r="IVM64" s="180"/>
      <c r="IVN64" s="180"/>
      <c r="IVO64" s="180"/>
      <c r="IVP64" s="180"/>
      <c r="IVQ64" s="180"/>
      <c r="IVR64" s="180"/>
      <c r="IVS64" s="180"/>
      <c r="IVT64" s="180"/>
      <c r="IVU64" s="180"/>
      <c r="IVV64" s="180"/>
      <c r="IVW64" s="180"/>
      <c r="IVX64" s="180"/>
      <c r="IVY64" s="180"/>
      <c r="IVZ64" s="180"/>
      <c r="IWA64" s="180"/>
      <c r="IWB64" s="180"/>
      <c r="IWC64" s="180"/>
      <c r="IWD64" s="180"/>
      <c r="IWE64" s="180"/>
      <c r="IWF64" s="180"/>
      <c r="IWG64" s="180"/>
      <c r="IWH64" s="180"/>
      <c r="IWI64" s="180"/>
      <c r="IWJ64" s="180"/>
      <c r="IWK64" s="180"/>
      <c r="IWL64" s="180"/>
      <c r="IWM64" s="180"/>
      <c r="IWN64" s="180"/>
      <c r="IWO64" s="180"/>
      <c r="IWP64" s="180"/>
      <c r="IWQ64" s="180"/>
      <c r="IWR64" s="180"/>
      <c r="IWS64" s="180"/>
      <c r="IWT64" s="180"/>
      <c r="IWU64" s="180"/>
      <c r="IWV64" s="180"/>
      <c r="IWW64" s="180"/>
      <c r="IWX64" s="180"/>
      <c r="IWY64" s="180"/>
      <c r="IWZ64" s="180"/>
      <c r="IXA64" s="180"/>
      <c r="IXB64" s="180"/>
      <c r="IXC64" s="180"/>
      <c r="IXD64" s="180"/>
      <c r="IXE64" s="180"/>
      <c r="IXF64" s="180"/>
      <c r="IXG64" s="180"/>
      <c r="IXH64" s="180"/>
      <c r="IXI64" s="180"/>
      <c r="IXJ64" s="180"/>
      <c r="IXK64" s="180"/>
      <c r="IXL64" s="180"/>
      <c r="IXM64" s="180"/>
      <c r="IXN64" s="180"/>
      <c r="IXO64" s="180"/>
      <c r="IXP64" s="180"/>
      <c r="IXQ64" s="180"/>
      <c r="IXR64" s="180"/>
      <c r="IXS64" s="180"/>
      <c r="IXT64" s="180"/>
      <c r="IXU64" s="180"/>
      <c r="IXV64" s="180"/>
      <c r="IXW64" s="180"/>
      <c r="IXX64" s="180"/>
      <c r="IXY64" s="180"/>
      <c r="IXZ64" s="180"/>
      <c r="IYA64" s="180"/>
      <c r="IYB64" s="180"/>
      <c r="IYC64" s="180"/>
      <c r="IYD64" s="180"/>
      <c r="IYE64" s="180"/>
      <c r="IYF64" s="180"/>
      <c r="IYG64" s="180"/>
      <c r="IYH64" s="180"/>
      <c r="IYI64" s="180"/>
      <c r="IYJ64" s="180"/>
      <c r="IYK64" s="180"/>
      <c r="IYL64" s="180"/>
      <c r="IYM64" s="180"/>
      <c r="IYN64" s="180"/>
      <c r="IYO64" s="180"/>
      <c r="IYP64" s="180"/>
      <c r="IYQ64" s="180"/>
      <c r="IYR64" s="180"/>
      <c r="IYS64" s="180"/>
      <c r="IYT64" s="180"/>
      <c r="IYU64" s="180"/>
      <c r="IYV64" s="180"/>
      <c r="IYW64" s="180"/>
      <c r="IYX64" s="180"/>
      <c r="IYY64" s="180"/>
      <c r="IYZ64" s="180"/>
      <c r="IZA64" s="180"/>
      <c r="IZB64" s="180"/>
      <c r="IZC64" s="180"/>
      <c r="IZD64" s="180"/>
      <c r="IZE64" s="180"/>
      <c r="IZF64" s="180"/>
      <c r="IZG64" s="180"/>
      <c r="IZH64" s="180"/>
      <c r="IZI64" s="180"/>
      <c r="IZJ64" s="180"/>
      <c r="IZK64" s="180"/>
      <c r="IZL64" s="180"/>
      <c r="IZM64" s="180"/>
      <c r="IZN64" s="180"/>
      <c r="IZO64" s="180"/>
      <c r="IZP64" s="180"/>
      <c r="IZQ64" s="180"/>
      <c r="IZR64" s="180"/>
      <c r="IZS64" s="180"/>
      <c r="IZT64" s="180"/>
      <c r="IZU64" s="180"/>
      <c r="IZV64" s="180"/>
      <c r="IZW64" s="180"/>
      <c r="IZX64" s="180"/>
      <c r="IZY64" s="180"/>
      <c r="IZZ64" s="180"/>
      <c r="JAA64" s="180"/>
      <c r="JAB64" s="180"/>
      <c r="JAC64" s="180"/>
      <c r="JAD64" s="180"/>
      <c r="JAE64" s="180"/>
      <c r="JAF64" s="180"/>
      <c r="JAG64" s="180"/>
      <c r="JAH64" s="180"/>
      <c r="JAI64" s="180"/>
      <c r="JAJ64" s="180"/>
      <c r="JAK64" s="180"/>
      <c r="JAL64" s="180"/>
      <c r="JAM64" s="180"/>
      <c r="JAN64" s="180"/>
      <c r="JAO64" s="180"/>
      <c r="JAP64" s="180"/>
      <c r="JAQ64" s="180"/>
      <c r="JAR64" s="180"/>
      <c r="JAS64" s="180"/>
      <c r="JAT64" s="180"/>
      <c r="JAU64" s="180"/>
      <c r="JAV64" s="180"/>
      <c r="JAW64" s="180"/>
      <c r="JAX64" s="180"/>
      <c r="JAY64" s="180"/>
      <c r="JAZ64" s="180"/>
      <c r="JBA64" s="180"/>
      <c r="JBB64" s="180"/>
      <c r="JBC64" s="180"/>
      <c r="JBD64" s="180"/>
      <c r="JBE64" s="180"/>
      <c r="JBF64" s="180"/>
      <c r="JBG64" s="180"/>
      <c r="JBH64" s="180"/>
      <c r="JBI64" s="180"/>
      <c r="JBJ64" s="180"/>
      <c r="JBK64" s="180"/>
      <c r="JBL64" s="180"/>
      <c r="JBM64" s="180"/>
      <c r="JBN64" s="180"/>
      <c r="JBO64" s="180"/>
      <c r="JBP64" s="180"/>
      <c r="JBQ64" s="180"/>
      <c r="JBR64" s="180"/>
      <c r="JBS64" s="180"/>
      <c r="JBT64" s="180"/>
      <c r="JBU64" s="180"/>
      <c r="JBV64" s="180"/>
      <c r="JBW64" s="180"/>
      <c r="JBX64" s="180"/>
      <c r="JBY64" s="180"/>
      <c r="JBZ64" s="180"/>
      <c r="JCA64" s="180"/>
      <c r="JCB64" s="180"/>
      <c r="JCC64" s="180"/>
      <c r="JCD64" s="180"/>
      <c r="JCE64" s="180"/>
      <c r="JCF64" s="180"/>
      <c r="JCG64" s="180"/>
      <c r="JCH64" s="180"/>
      <c r="JCI64" s="180"/>
      <c r="JCJ64" s="180"/>
      <c r="JCK64" s="180"/>
      <c r="JCL64" s="180"/>
      <c r="JCM64" s="180"/>
      <c r="JCN64" s="180"/>
      <c r="JCO64" s="180"/>
      <c r="JCP64" s="180"/>
      <c r="JCQ64" s="180"/>
      <c r="JCR64" s="180"/>
      <c r="JCS64" s="180"/>
      <c r="JCT64" s="180"/>
      <c r="JCU64" s="180"/>
      <c r="JCV64" s="180"/>
      <c r="JCW64" s="180"/>
      <c r="JCX64" s="180"/>
      <c r="JCY64" s="180"/>
      <c r="JCZ64" s="180"/>
      <c r="JDA64" s="180"/>
      <c r="JDB64" s="180"/>
      <c r="JDC64" s="180"/>
      <c r="JDD64" s="180"/>
      <c r="JDE64" s="180"/>
      <c r="JDF64" s="180"/>
      <c r="JDG64" s="180"/>
      <c r="JDH64" s="180"/>
      <c r="JDI64" s="180"/>
      <c r="JDJ64" s="180"/>
      <c r="JDK64" s="180"/>
      <c r="JDL64" s="180"/>
      <c r="JDM64" s="180"/>
      <c r="JDN64" s="180"/>
      <c r="JDO64" s="180"/>
      <c r="JDP64" s="180"/>
      <c r="JDQ64" s="180"/>
      <c r="JDR64" s="180"/>
      <c r="JDS64" s="180"/>
      <c r="JDT64" s="180"/>
      <c r="JDU64" s="180"/>
      <c r="JDV64" s="180"/>
      <c r="JDW64" s="180"/>
      <c r="JDX64" s="180"/>
      <c r="JDY64" s="180"/>
      <c r="JDZ64" s="180"/>
      <c r="JEA64" s="180"/>
      <c r="JEB64" s="180"/>
      <c r="JEC64" s="180"/>
      <c r="JED64" s="180"/>
      <c r="JEE64" s="180"/>
      <c r="JEF64" s="180"/>
      <c r="JEG64" s="180"/>
      <c r="JEH64" s="180"/>
      <c r="JEI64" s="180"/>
      <c r="JEJ64" s="180"/>
      <c r="JEK64" s="180"/>
      <c r="JEL64" s="180"/>
      <c r="JEM64" s="180"/>
      <c r="JEN64" s="180"/>
      <c r="JEO64" s="180"/>
      <c r="JEP64" s="180"/>
      <c r="JEQ64" s="180"/>
      <c r="JER64" s="180"/>
      <c r="JES64" s="180"/>
      <c r="JET64" s="180"/>
      <c r="JEU64" s="180"/>
      <c r="JEV64" s="180"/>
      <c r="JEW64" s="180"/>
      <c r="JEX64" s="180"/>
      <c r="JEY64" s="180"/>
      <c r="JEZ64" s="180"/>
      <c r="JFA64" s="180"/>
      <c r="JFB64" s="180"/>
      <c r="JFC64" s="180"/>
      <c r="JFD64" s="180"/>
      <c r="JFE64" s="180"/>
      <c r="JFF64" s="180"/>
      <c r="JFG64" s="180"/>
      <c r="JFH64" s="180"/>
      <c r="JFI64" s="180"/>
      <c r="JFJ64" s="180"/>
      <c r="JFK64" s="180"/>
      <c r="JFL64" s="180"/>
      <c r="JFM64" s="180"/>
      <c r="JFN64" s="180"/>
      <c r="JFO64" s="180"/>
      <c r="JFP64" s="180"/>
      <c r="JFQ64" s="180"/>
      <c r="JFR64" s="180"/>
      <c r="JFS64" s="180"/>
      <c r="JFT64" s="180"/>
      <c r="JFU64" s="180"/>
      <c r="JFV64" s="180"/>
      <c r="JFW64" s="180"/>
      <c r="JFX64" s="180"/>
      <c r="JFY64" s="180"/>
      <c r="JFZ64" s="180"/>
      <c r="JGA64" s="180"/>
      <c r="JGB64" s="180"/>
      <c r="JGC64" s="180"/>
      <c r="JGD64" s="180"/>
      <c r="JGE64" s="180"/>
      <c r="JGF64" s="180"/>
      <c r="JGG64" s="180"/>
      <c r="JGH64" s="180"/>
      <c r="JGI64" s="180"/>
      <c r="JGJ64" s="180"/>
      <c r="JGK64" s="180"/>
      <c r="JGL64" s="180"/>
      <c r="JGM64" s="180"/>
      <c r="JGN64" s="180"/>
      <c r="JGO64" s="180"/>
      <c r="JGP64" s="180"/>
      <c r="JGQ64" s="180"/>
      <c r="JGR64" s="180"/>
      <c r="JGS64" s="180"/>
      <c r="JGT64" s="180"/>
      <c r="JGU64" s="180"/>
      <c r="JGV64" s="180"/>
      <c r="JGW64" s="180"/>
      <c r="JGX64" s="180"/>
      <c r="JGY64" s="180"/>
      <c r="JGZ64" s="180"/>
      <c r="JHA64" s="180"/>
      <c r="JHB64" s="180"/>
      <c r="JHC64" s="180"/>
      <c r="JHD64" s="180"/>
      <c r="JHE64" s="180"/>
      <c r="JHF64" s="180"/>
      <c r="JHG64" s="180"/>
      <c r="JHH64" s="180"/>
      <c r="JHI64" s="180"/>
      <c r="JHJ64" s="180"/>
      <c r="JHK64" s="180"/>
      <c r="JHL64" s="180"/>
      <c r="JHM64" s="180"/>
      <c r="JHN64" s="180"/>
      <c r="JHO64" s="180"/>
      <c r="JHP64" s="180"/>
      <c r="JHQ64" s="180"/>
      <c r="JHR64" s="180"/>
      <c r="JHS64" s="180"/>
      <c r="JHT64" s="180"/>
      <c r="JHU64" s="180"/>
      <c r="JHV64" s="180"/>
      <c r="JHW64" s="180"/>
      <c r="JHX64" s="180"/>
      <c r="JHY64" s="180"/>
      <c r="JHZ64" s="180"/>
      <c r="JIA64" s="180"/>
      <c r="JIB64" s="180"/>
      <c r="JIC64" s="180"/>
      <c r="JID64" s="180"/>
      <c r="JIE64" s="180"/>
      <c r="JIF64" s="180"/>
      <c r="JIG64" s="180"/>
      <c r="JIH64" s="180"/>
      <c r="JII64" s="180"/>
      <c r="JIJ64" s="180"/>
      <c r="JIK64" s="180"/>
      <c r="JIL64" s="180"/>
      <c r="JIM64" s="180"/>
      <c r="JIN64" s="180"/>
      <c r="JIO64" s="180"/>
      <c r="JIP64" s="180"/>
      <c r="JIQ64" s="180"/>
      <c r="JIR64" s="180"/>
      <c r="JIS64" s="180"/>
      <c r="JIT64" s="180"/>
      <c r="JIU64" s="180"/>
      <c r="JIV64" s="180"/>
      <c r="JIW64" s="180"/>
      <c r="JIX64" s="180"/>
      <c r="JIY64" s="180"/>
      <c r="JIZ64" s="180"/>
      <c r="JJA64" s="180"/>
      <c r="JJB64" s="180"/>
      <c r="JJC64" s="180"/>
      <c r="JJD64" s="180"/>
      <c r="JJE64" s="180"/>
      <c r="JJF64" s="180"/>
      <c r="JJG64" s="180"/>
      <c r="JJH64" s="180"/>
      <c r="JJI64" s="180"/>
      <c r="JJJ64" s="180"/>
      <c r="JJK64" s="180"/>
      <c r="JJL64" s="180"/>
      <c r="JJM64" s="180"/>
      <c r="JJN64" s="180"/>
      <c r="JJO64" s="180"/>
      <c r="JJP64" s="180"/>
      <c r="JJQ64" s="180"/>
      <c r="JJR64" s="180"/>
      <c r="JJS64" s="180"/>
      <c r="JJT64" s="180"/>
      <c r="JJU64" s="180"/>
      <c r="JJV64" s="180"/>
      <c r="JJW64" s="180"/>
      <c r="JJX64" s="180"/>
      <c r="JJY64" s="180"/>
      <c r="JJZ64" s="180"/>
      <c r="JKA64" s="180"/>
      <c r="JKB64" s="180"/>
      <c r="JKC64" s="180"/>
      <c r="JKD64" s="180"/>
      <c r="JKE64" s="180"/>
      <c r="JKF64" s="180"/>
      <c r="JKG64" s="180"/>
      <c r="JKH64" s="180"/>
      <c r="JKI64" s="180"/>
      <c r="JKJ64" s="180"/>
      <c r="JKK64" s="180"/>
      <c r="JKL64" s="180"/>
      <c r="JKM64" s="180"/>
      <c r="JKN64" s="180"/>
      <c r="JKO64" s="180"/>
      <c r="JKP64" s="180"/>
      <c r="JKQ64" s="180"/>
      <c r="JKR64" s="180"/>
      <c r="JKS64" s="180"/>
      <c r="JKT64" s="180"/>
      <c r="JKU64" s="180"/>
      <c r="JKV64" s="180"/>
      <c r="JKW64" s="180"/>
      <c r="JKX64" s="180"/>
      <c r="JKY64" s="180"/>
      <c r="JKZ64" s="180"/>
      <c r="JLA64" s="180"/>
      <c r="JLB64" s="180"/>
      <c r="JLC64" s="180"/>
      <c r="JLD64" s="180"/>
      <c r="JLE64" s="180"/>
      <c r="JLF64" s="180"/>
      <c r="JLG64" s="180"/>
      <c r="JLH64" s="180"/>
      <c r="JLI64" s="180"/>
      <c r="JLJ64" s="180"/>
      <c r="JLK64" s="180"/>
      <c r="JLL64" s="180"/>
      <c r="JLM64" s="180"/>
      <c r="JLN64" s="180"/>
      <c r="JLO64" s="180"/>
      <c r="JLP64" s="180"/>
      <c r="JLQ64" s="180"/>
      <c r="JLR64" s="180"/>
      <c r="JLS64" s="180"/>
      <c r="JLT64" s="180"/>
      <c r="JLU64" s="180"/>
      <c r="JLV64" s="180"/>
      <c r="JLW64" s="180"/>
      <c r="JLX64" s="180"/>
      <c r="JLY64" s="180"/>
      <c r="JLZ64" s="180"/>
      <c r="JMA64" s="180"/>
      <c r="JMB64" s="180"/>
      <c r="JMC64" s="180"/>
      <c r="JMD64" s="180"/>
      <c r="JME64" s="180"/>
      <c r="JMF64" s="180"/>
      <c r="JMG64" s="180"/>
      <c r="JMH64" s="180"/>
      <c r="JMI64" s="180"/>
      <c r="JMJ64" s="180"/>
      <c r="JMK64" s="180"/>
      <c r="JML64" s="180"/>
      <c r="JMM64" s="180"/>
      <c r="JMN64" s="180"/>
      <c r="JMO64" s="180"/>
      <c r="JMP64" s="180"/>
      <c r="JMQ64" s="180"/>
      <c r="JMR64" s="180"/>
      <c r="JMS64" s="180"/>
      <c r="JMT64" s="180"/>
      <c r="JMU64" s="180"/>
      <c r="JMV64" s="180"/>
      <c r="JMW64" s="180"/>
      <c r="JMX64" s="180"/>
      <c r="JMY64" s="180"/>
      <c r="JMZ64" s="180"/>
      <c r="JNA64" s="180"/>
      <c r="JNB64" s="180"/>
      <c r="JNC64" s="180"/>
      <c r="JND64" s="180"/>
      <c r="JNE64" s="180"/>
      <c r="JNF64" s="180"/>
      <c r="JNG64" s="180"/>
      <c r="JNH64" s="180"/>
      <c r="JNI64" s="180"/>
      <c r="JNJ64" s="180"/>
      <c r="JNK64" s="180"/>
      <c r="JNL64" s="180"/>
      <c r="JNM64" s="180"/>
      <c r="JNN64" s="180"/>
      <c r="JNO64" s="180"/>
      <c r="JNP64" s="180"/>
      <c r="JNQ64" s="180"/>
      <c r="JNR64" s="180"/>
      <c r="JNS64" s="180"/>
      <c r="JNT64" s="180"/>
      <c r="JNU64" s="180"/>
      <c r="JNV64" s="180"/>
      <c r="JNW64" s="180"/>
      <c r="JNX64" s="180"/>
      <c r="JNY64" s="180"/>
      <c r="JNZ64" s="180"/>
      <c r="JOA64" s="180"/>
      <c r="JOB64" s="180"/>
      <c r="JOC64" s="180"/>
      <c r="JOD64" s="180"/>
      <c r="JOE64" s="180"/>
      <c r="JOF64" s="180"/>
      <c r="JOG64" s="180"/>
      <c r="JOH64" s="180"/>
      <c r="JOI64" s="180"/>
      <c r="JOJ64" s="180"/>
      <c r="JOK64" s="180"/>
      <c r="JOL64" s="180"/>
      <c r="JOM64" s="180"/>
      <c r="JON64" s="180"/>
      <c r="JOO64" s="180"/>
      <c r="JOP64" s="180"/>
      <c r="JOQ64" s="180"/>
      <c r="JOR64" s="180"/>
      <c r="JOS64" s="180"/>
      <c r="JOT64" s="180"/>
      <c r="JOU64" s="180"/>
      <c r="JOV64" s="180"/>
      <c r="JOW64" s="180"/>
      <c r="JOX64" s="180"/>
      <c r="JOY64" s="180"/>
      <c r="JOZ64" s="180"/>
      <c r="JPA64" s="180"/>
      <c r="JPB64" s="180"/>
      <c r="JPC64" s="180"/>
      <c r="JPD64" s="180"/>
      <c r="JPE64" s="180"/>
      <c r="JPF64" s="180"/>
      <c r="JPG64" s="180"/>
      <c r="JPH64" s="180"/>
      <c r="JPI64" s="180"/>
      <c r="JPJ64" s="180"/>
      <c r="JPK64" s="180"/>
      <c r="JPL64" s="180"/>
      <c r="JPM64" s="180"/>
      <c r="JPN64" s="180"/>
      <c r="JPO64" s="180"/>
      <c r="JPP64" s="180"/>
      <c r="JPQ64" s="180"/>
      <c r="JPR64" s="180"/>
      <c r="JPS64" s="180"/>
      <c r="JPT64" s="180"/>
      <c r="JPU64" s="180"/>
      <c r="JPV64" s="180"/>
      <c r="JPW64" s="180"/>
      <c r="JPX64" s="180"/>
      <c r="JPY64" s="180"/>
      <c r="JPZ64" s="180"/>
      <c r="JQA64" s="180"/>
      <c r="JQB64" s="180"/>
      <c r="JQC64" s="180"/>
      <c r="JQD64" s="180"/>
      <c r="JQE64" s="180"/>
      <c r="JQF64" s="180"/>
      <c r="JQG64" s="180"/>
      <c r="JQH64" s="180"/>
      <c r="JQI64" s="180"/>
      <c r="JQJ64" s="180"/>
      <c r="JQK64" s="180"/>
      <c r="JQL64" s="180"/>
      <c r="JQM64" s="180"/>
      <c r="JQN64" s="180"/>
      <c r="JQO64" s="180"/>
      <c r="JQP64" s="180"/>
      <c r="JQQ64" s="180"/>
      <c r="JQR64" s="180"/>
      <c r="JQS64" s="180"/>
      <c r="JQT64" s="180"/>
      <c r="JQU64" s="180"/>
      <c r="JQV64" s="180"/>
      <c r="JQW64" s="180"/>
      <c r="JQX64" s="180"/>
      <c r="JQY64" s="180"/>
      <c r="JQZ64" s="180"/>
      <c r="JRA64" s="180"/>
      <c r="JRB64" s="180"/>
      <c r="JRC64" s="180"/>
      <c r="JRD64" s="180"/>
      <c r="JRE64" s="180"/>
      <c r="JRF64" s="180"/>
      <c r="JRG64" s="180"/>
      <c r="JRH64" s="180"/>
      <c r="JRI64" s="180"/>
      <c r="JRJ64" s="180"/>
      <c r="JRK64" s="180"/>
      <c r="JRL64" s="180"/>
      <c r="JRM64" s="180"/>
      <c r="JRN64" s="180"/>
      <c r="JRO64" s="180"/>
      <c r="JRP64" s="180"/>
      <c r="JRQ64" s="180"/>
      <c r="JRR64" s="180"/>
      <c r="JRS64" s="180"/>
      <c r="JRT64" s="180"/>
      <c r="JRU64" s="180"/>
      <c r="JRV64" s="180"/>
      <c r="JRW64" s="180"/>
      <c r="JRX64" s="180"/>
      <c r="JRY64" s="180"/>
      <c r="JRZ64" s="180"/>
      <c r="JSA64" s="180"/>
      <c r="JSB64" s="180"/>
      <c r="JSC64" s="180"/>
      <c r="JSD64" s="180"/>
      <c r="JSE64" s="180"/>
      <c r="JSF64" s="180"/>
      <c r="JSG64" s="180"/>
      <c r="JSH64" s="180"/>
      <c r="JSI64" s="180"/>
      <c r="JSJ64" s="180"/>
      <c r="JSK64" s="180"/>
      <c r="JSL64" s="180"/>
      <c r="JSM64" s="180"/>
      <c r="JSN64" s="180"/>
      <c r="JSO64" s="180"/>
      <c r="JSP64" s="180"/>
      <c r="JSQ64" s="180"/>
      <c r="JSR64" s="180"/>
      <c r="JSS64" s="180"/>
      <c r="JST64" s="180"/>
      <c r="JSU64" s="180"/>
      <c r="JSV64" s="180"/>
      <c r="JSW64" s="180"/>
      <c r="JSX64" s="180"/>
      <c r="JSY64" s="180"/>
      <c r="JSZ64" s="180"/>
      <c r="JTA64" s="180"/>
      <c r="JTB64" s="180"/>
      <c r="JTC64" s="180"/>
      <c r="JTD64" s="180"/>
      <c r="JTE64" s="180"/>
      <c r="JTF64" s="180"/>
      <c r="JTG64" s="180"/>
      <c r="JTH64" s="180"/>
      <c r="JTI64" s="180"/>
      <c r="JTJ64" s="180"/>
      <c r="JTK64" s="180"/>
      <c r="JTL64" s="180"/>
      <c r="JTM64" s="180"/>
      <c r="JTN64" s="180"/>
      <c r="JTO64" s="180"/>
      <c r="JTP64" s="180"/>
      <c r="JTQ64" s="180"/>
      <c r="JTR64" s="180"/>
      <c r="JTS64" s="180"/>
      <c r="JTT64" s="180"/>
      <c r="JTU64" s="180"/>
      <c r="JTV64" s="180"/>
      <c r="JTW64" s="180"/>
      <c r="JTX64" s="180"/>
      <c r="JTY64" s="180"/>
      <c r="JTZ64" s="180"/>
      <c r="JUA64" s="180"/>
      <c r="JUB64" s="180"/>
      <c r="JUC64" s="180"/>
      <c r="JUD64" s="180"/>
      <c r="JUE64" s="180"/>
      <c r="JUF64" s="180"/>
      <c r="JUG64" s="180"/>
      <c r="JUH64" s="180"/>
      <c r="JUI64" s="180"/>
      <c r="JUJ64" s="180"/>
      <c r="JUK64" s="180"/>
      <c r="JUL64" s="180"/>
      <c r="JUM64" s="180"/>
      <c r="JUN64" s="180"/>
      <c r="JUO64" s="180"/>
      <c r="JUP64" s="180"/>
      <c r="JUQ64" s="180"/>
      <c r="JUR64" s="180"/>
      <c r="JUS64" s="180"/>
      <c r="JUT64" s="180"/>
      <c r="JUU64" s="180"/>
      <c r="JUV64" s="180"/>
      <c r="JUW64" s="180"/>
      <c r="JUX64" s="180"/>
      <c r="JUY64" s="180"/>
      <c r="JUZ64" s="180"/>
      <c r="JVA64" s="180"/>
      <c r="JVB64" s="180"/>
      <c r="JVC64" s="180"/>
      <c r="JVD64" s="180"/>
      <c r="JVE64" s="180"/>
      <c r="JVF64" s="180"/>
      <c r="JVG64" s="180"/>
      <c r="JVH64" s="180"/>
      <c r="JVI64" s="180"/>
      <c r="JVJ64" s="180"/>
      <c r="JVK64" s="180"/>
      <c r="JVL64" s="180"/>
      <c r="JVM64" s="180"/>
      <c r="JVN64" s="180"/>
      <c r="JVO64" s="180"/>
      <c r="JVP64" s="180"/>
      <c r="JVQ64" s="180"/>
      <c r="JVR64" s="180"/>
      <c r="JVS64" s="180"/>
      <c r="JVT64" s="180"/>
      <c r="JVU64" s="180"/>
      <c r="JVV64" s="180"/>
      <c r="JVW64" s="180"/>
      <c r="JVX64" s="180"/>
      <c r="JVY64" s="180"/>
      <c r="JVZ64" s="180"/>
      <c r="JWA64" s="180"/>
      <c r="JWB64" s="180"/>
      <c r="JWC64" s="180"/>
      <c r="JWD64" s="180"/>
      <c r="JWE64" s="180"/>
      <c r="JWF64" s="180"/>
      <c r="JWG64" s="180"/>
      <c r="JWH64" s="180"/>
      <c r="JWI64" s="180"/>
      <c r="JWJ64" s="180"/>
      <c r="JWK64" s="180"/>
      <c r="JWL64" s="180"/>
      <c r="JWM64" s="180"/>
      <c r="JWN64" s="180"/>
      <c r="JWO64" s="180"/>
      <c r="JWP64" s="180"/>
      <c r="JWQ64" s="180"/>
      <c r="JWR64" s="180"/>
      <c r="JWS64" s="180"/>
      <c r="JWT64" s="180"/>
      <c r="JWU64" s="180"/>
      <c r="JWV64" s="180"/>
      <c r="JWW64" s="180"/>
      <c r="JWX64" s="180"/>
      <c r="JWY64" s="180"/>
      <c r="JWZ64" s="180"/>
      <c r="JXA64" s="180"/>
      <c r="JXB64" s="180"/>
      <c r="JXC64" s="180"/>
      <c r="JXD64" s="180"/>
      <c r="JXE64" s="180"/>
      <c r="JXF64" s="180"/>
      <c r="JXG64" s="180"/>
      <c r="JXH64" s="180"/>
      <c r="JXI64" s="180"/>
      <c r="JXJ64" s="180"/>
      <c r="JXK64" s="180"/>
      <c r="JXL64" s="180"/>
      <c r="JXM64" s="180"/>
      <c r="JXN64" s="180"/>
      <c r="JXO64" s="180"/>
      <c r="JXP64" s="180"/>
      <c r="JXQ64" s="180"/>
      <c r="JXR64" s="180"/>
      <c r="JXS64" s="180"/>
      <c r="JXT64" s="180"/>
      <c r="JXU64" s="180"/>
      <c r="JXV64" s="180"/>
      <c r="JXW64" s="180"/>
      <c r="JXX64" s="180"/>
      <c r="JXY64" s="180"/>
      <c r="JXZ64" s="180"/>
      <c r="JYA64" s="180"/>
      <c r="JYB64" s="180"/>
      <c r="JYC64" s="180"/>
      <c r="JYD64" s="180"/>
      <c r="JYE64" s="180"/>
      <c r="JYF64" s="180"/>
      <c r="JYG64" s="180"/>
      <c r="JYH64" s="180"/>
      <c r="JYI64" s="180"/>
      <c r="JYJ64" s="180"/>
      <c r="JYK64" s="180"/>
      <c r="JYL64" s="180"/>
      <c r="JYM64" s="180"/>
      <c r="JYN64" s="180"/>
      <c r="JYO64" s="180"/>
      <c r="JYP64" s="180"/>
      <c r="JYQ64" s="180"/>
      <c r="JYR64" s="180"/>
      <c r="JYS64" s="180"/>
      <c r="JYT64" s="180"/>
      <c r="JYU64" s="180"/>
      <c r="JYV64" s="180"/>
      <c r="JYW64" s="180"/>
      <c r="JYX64" s="180"/>
      <c r="JYY64" s="180"/>
      <c r="JYZ64" s="180"/>
      <c r="JZA64" s="180"/>
      <c r="JZB64" s="180"/>
      <c r="JZC64" s="180"/>
      <c r="JZD64" s="180"/>
      <c r="JZE64" s="180"/>
      <c r="JZF64" s="180"/>
      <c r="JZG64" s="180"/>
      <c r="JZH64" s="180"/>
      <c r="JZI64" s="180"/>
      <c r="JZJ64" s="180"/>
      <c r="JZK64" s="180"/>
      <c r="JZL64" s="180"/>
      <c r="JZM64" s="180"/>
      <c r="JZN64" s="180"/>
      <c r="JZO64" s="180"/>
      <c r="JZP64" s="180"/>
      <c r="JZQ64" s="180"/>
      <c r="JZR64" s="180"/>
      <c r="JZS64" s="180"/>
      <c r="JZT64" s="180"/>
      <c r="JZU64" s="180"/>
      <c r="JZV64" s="180"/>
      <c r="JZW64" s="180"/>
      <c r="JZX64" s="180"/>
      <c r="JZY64" s="180"/>
      <c r="JZZ64" s="180"/>
      <c r="KAA64" s="180"/>
      <c r="KAB64" s="180"/>
      <c r="KAC64" s="180"/>
      <c r="KAD64" s="180"/>
      <c r="KAE64" s="180"/>
      <c r="KAF64" s="180"/>
      <c r="KAG64" s="180"/>
      <c r="KAH64" s="180"/>
      <c r="KAI64" s="180"/>
      <c r="KAJ64" s="180"/>
      <c r="KAK64" s="180"/>
      <c r="KAL64" s="180"/>
      <c r="KAM64" s="180"/>
      <c r="KAN64" s="180"/>
      <c r="KAO64" s="180"/>
      <c r="KAP64" s="180"/>
      <c r="KAQ64" s="180"/>
      <c r="KAR64" s="180"/>
      <c r="KAS64" s="180"/>
      <c r="KAT64" s="180"/>
      <c r="KAU64" s="180"/>
      <c r="KAV64" s="180"/>
      <c r="KAW64" s="180"/>
      <c r="KAX64" s="180"/>
      <c r="KAY64" s="180"/>
      <c r="KAZ64" s="180"/>
      <c r="KBA64" s="180"/>
      <c r="KBB64" s="180"/>
      <c r="KBC64" s="180"/>
      <c r="KBD64" s="180"/>
      <c r="KBE64" s="180"/>
      <c r="KBF64" s="180"/>
      <c r="KBG64" s="180"/>
      <c r="KBH64" s="180"/>
      <c r="KBI64" s="180"/>
      <c r="KBJ64" s="180"/>
      <c r="KBK64" s="180"/>
      <c r="KBL64" s="180"/>
      <c r="KBM64" s="180"/>
      <c r="KBN64" s="180"/>
      <c r="KBO64" s="180"/>
      <c r="KBP64" s="180"/>
      <c r="KBQ64" s="180"/>
      <c r="KBR64" s="180"/>
      <c r="KBS64" s="180"/>
      <c r="KBT64" s="180"/>
      <c r="KBU64" s="180"/>
      <c r="KBV64" s="180"/>
      <c r="KBW64" s="180"/>
      <c r="KBX64" s="180"/>
      <c r="KBY64" s="180"/>
      <c r="KBZ64" s="180"/>
      <c r="KCA64" s="180"/>
      <c r="KCB64" s="180"/>
      <c r="KCC64" s="180"/>
      <c r="KCD64" s="180"/>
      <c r="KCE64" s="180"/>
      <c r="KCF64" s="180"/>
      <c r="KCG64" s="180"/>
      <c r="KCH64" s="180"/>
      <c r="KCI64" s="180"/>
      <c r="KCJ64" s="180"/>
      <c r="KCK64" s="180"/>
      <c r="KCL64" s="180"/>
      <c r="KCM64" s="180"/>
      <c r="KCN64" s="180"/>
      <c r="KCO64" s="180"/>
      <c r="KCP64" s="180"/>
      <c r="KCQ64" s="180"/>
      <c r="KCR64" s="180"/>
      <c r="KCS64" s="180"/>
      <c r="KCT64" s="180"/>
      <c r="KCU64" s="180"/>
      <c r="KCV64" s="180"/>
      <c r="KCW64" s="180"/>
      <c r="KCX64" s="180"/>
      <c r="KCY64" s="180"/>
      <c r="KCZ64" s="180"/>
      <c r="KDA64" s="180"/>
      <c r="KDB64" s="180"/>
      <c r="KDC64" s="180"/>
      <c r="KDD64" s="180"/>
      <c r="KDE64" s="180"/>
      <c r="KDF64" s="180"/>
      <c r="KDG64" s="180"/>
      <c r="KDH64" s="180"/>
      <c r="KDI64" s="180"/>
      <c r="KDJ64" s="180"/>
      <c r="KDK64" s="180"/>
      <c r="KDL64" s="180"/>
      <c r="KDM64" s="180"/>
      <c r="KDN64" s="180"/>
      <c r="KDO64" s="180"/>
      <c r="KDP64" s="180"/>
      <c r="KDQ64" s="180"/>
      <c r="KDR64" s="180"/>
      <c r="KDS64" s="180"/>
      <c r="KDT64" s="180"/>
      <c r="KDU64" s="180"/>
      <c r="KDV64" s="180"/>
      <c r="KDW64" s="180"/>
      <c r="KDX64" s="180"/>
      <c r="KDY64" s="180"/>
      <c r="KDZ64" s="180"/>
      <c r="KEA64" s="180"/>
      <c r="KEB64" s="180"/>
      <c r="KEC64" s="180"/>
      <c r="KED64" s="180"/>
      <c r="KEE64" s="180"/>
      <c r="KEF64" s="180"/>
      <c r="KEG64" s="180"/>
      <c r="KEH64" s="180"/>
      <c r="KEI64" s="180"/>
      <c r="KEJ64" s="180"/>
      <c r="KEK64" s="180"/>
      <c r="KEL64" s="180"/>
      <c r="KEM64" s="180"/>
      <c r="KEN64" s="180"/>
      <c r="KEO64" s="180"/>
      <c r="KEP64" s="180"/>
      <c r="KEQ64" s="180"/>
      <c r="KER64" s="180"/>
      <c r="KES64" s="180"/>
      <c r="KET64" s="180"/>
      <c r="KEU64" s="180"/>
      <c r="KEV64" s="180"/>
      <c r="KEW64" s="180"/>
      <c r="KEX64" s="180"/>
      <c r="KEY64" s="180"/>
      <c r="KEZ64" s="180"/>
      <c r="KFA64" s="180"/>
      <c r="KFB64" s="180"/>
      <c r="KFC64" s="180"/>
      <c r="KFD64" s="180"/>
      <c r="KFE64" s="180"/>
      <c r="KFF64" s="180"/>
      <c r="KFG64" s="180"/>
      <c r="KFH64" s="180"/>
      <c r="KFI64" s="180"/>
      <c r="KFJ64" s="180"/>
      <c r="KFK64" s="180"/>
      <c r="KFL64" s="180"/>
      <c r="KFM64" s="180"/>
      <c r="KFN64" s="180"/>
      <c r="KFO64" s="180"/>
      <c r="KFP64" s="180"/>
      <c r="KFQ64" s="180"/>
      <c r="KFR64" s="180"/>
      <c r="KFS64" s="180"/>
      <c r="KFT64" s="180"/>
      <c r="KFU64" s="180"/>
      <c r="KFV64" s="180"/>
      <c r="KFW64" s="180"/>
      <c r="KFX64" s="180"/>
      <c r="KFY64" s="180"/>
      <c r="KFZ64" s="180"/>
      <c r="KGA64" s="180"/>
      <c r="KGB64" s="180"/>
      <c r="KGC64" s="180"/>
      <c r="KGD64" s="180"/>
      <c r="KGE64" s="180"/>
      <c r="KGF64" s="180"/>
      <c r="KGG64" s="180"/>
      <c r="KGH64" s="180"/>
      <c r="KGI64" s="180"/>
      <c r="KGJ64" s="180"/>
      <c r="KGK64" s="180"/>
      <c r="KGL64" s="180"/>
      <c r="KGM64" s="180"/>
      <c r="KGN64" s="180"/>
      <c r="KGO64" s="180"/>
      <c r="KGP64" s="180"/>
      <c r="KGQ64" s="180"/>
      <c r="KGR64" s="180"/>
      <c r="KGS64" s="180"/>
      <c r="KGT64" s="180"/>
      <c r="KGU64" s="180"/>
      <c r="KGV64" s="180"/>
      <c r="KGW64" s="180"/>
      <c r="KGX64" s="180"/>
      <c r="KGY64" s="180"/>
      <c r="KGZ64" s="180"/>
      <c r="KHA64" s="180"/>
      <c r="KHB64" s="180"/>
      <c r="KHC64" s="180"/>
      <c r="KHD64" s="180"/>
      <c r="KHE64" s="180"/>
      <c r="KHF64" s="180"/>
      <c r="KHG64" s="180"/>
      <c r="KHH64" s="180"/>
      <c r="KHI64" s="180"/>
      <c r="KHJ64" s="180"/>
      <c r="KHK64" s="180"/>
      <c r="KHL64" s="180"/>
      <c r="KHM64" s="180"/>
      <c r="KHN64" s="180"/>
      <c r="KHO64" s="180"/>
      <c r="KHP64" s="180"/>
      <c r="KHQ64" s="180"/>
      <c r="KHR64" s="180"/>
      <c r="KHS64" s="180"/>
      <c r="KHT64" s="180"/>
      <c r="KHU64" s="180"/>
      <c r="KHV64" s="180"/>
      <c r="KHW64" s="180"/>
      <c r="KHX64" s="180"/>
      <c r="KHY64" s="180"/>
      <c r="KHZ64" s="180"/>
      <c r="KIA64" s="180"/>
      <c r="KIB64" s="180"/>
      <c r="KIC64" s="180"/>
      <c r="KID64" s="180"/>
      <c r="KIE64" s="180"/>
      <c r="KIF64" s="180"/>
      <c r="KIG64" s="180"/>
      <c r="KIH64" s="180"/>
      <c r="KII64" s="180"/>
      <c r="KIJ64" s="180"/>
      <c r="KIK64" s="180"/>
      <c r="KIL64" s="180"/>
      <c r="KIM64" s="180"/>
      <c r="KIN64" s="180"/>
      <c r="KIO64" s="180"/>
      <c r="KIP64" s="180"/>
      <c r="KIQ64" s="180"/>
      <c r="KIR64" s="180"/>
      <c r="KIS64" s="180"/>
      <c r="KIT64" s="180"/>
      <c r="KIU64" s="180"/>
      <c r="KIV64" s="180"/>
      <c r="KIW64" s="180"/>
      <c r="KIX64" s="180"/>
      <c r="KIY64" s="180"/>
      <c r="KIZ64" s="180"/>
      <c r="KJA64" s="180"/>
      <c r="KJB64" s="180"/>
      <c r="KJC64" s="180"/>
      <c r="KJD64" s="180"/>
      <c r="KJE64" s="180"/>
      <c r="KJF64" s="180"/>
      <c r="KJG64" s="180"/>
      <c r="KJH64" s="180"/>
      <c r="KJI64" s="180"/>
      <c r="KJJ64" s="180"/>
      <c r="KJK64" s="180"/>
      <c r="KJL64" s="180"/>
      <c r="KJM64" s="180"/>
      <c r="KJN64" s="180"/>
      <c r="KJO64" s="180"/>
      <c r="KJP64" s="180"/>
      <c r="KJQ64" s="180"/>
      <c r="KJR64" s="180"/>
      <c r="KJS64" s="180"/>
      <c r="KJT64" s="180"/>
      <c r="KJU64" s="180"/>
      <c r="KJV64" s="180"/>
      <c r="KJW64" s="180"/>
      <c r="KJX64" s="180"/>
      <c r="KJY64" s="180"/>
      <c r="KJZ64" s="180"/>
      <c r="KKA64" s="180"/>
      <c r="KKB64" s="180"/>
      <c r="KKC64" s="180"/>
      <c r="KKD64" s="180"/>
      <c r="KKE64" s="180"/>
      <c r="KKF64" s="180"/>
      <c r="KKG64" s="180"/>
      <c r="KKH64" s="180"/>
      <c r="KKI64" s="180"/>
      <c r="KKJ64" s="180"/>
      <c r="KKK64" s="180"/>
      <c r="KKL64" s="180"/>
      <c r="KKM64" s="180"/>
      <c r="KKN64" s="180"/>
      <c r="KKO64" s="180"/>
      <c r="KKP64" s="180"/>
      <c r="KKQ64" s="180"/>
      <c r="KKR64" s="180"/>
      <c r="KKS64" s="180"/>
      <c r="KKT64" s="180"/>
      <c r="KKU64" s="180"/>
      <c r="KKV64" s="180"/>
      <c r="KKW64" s="180"/>
      <c r="KKX64" s="180"/>
      <c r="KKY64" s="180"/>
      <c r="KKZ64" s="180"/>
      <c r="KLA64" s="180"/>
      <c r="KLB64" s="180"/>
      <c r="KLC64" s="180"/>
      <c r="KLD64" s="180"/>
      <c r="KLE64" s="180"/>
      <c r="KLF64" s="180"/>
      <c r="KLG64" s="180"/>
      <c r="KLH64" s="180"/>
      <c r="KLI64" s="180"/>
      <c r="KLJ64" s="180"/>
      <c r="KLK64" s="180"/>
      <c r="KLL64" s="180"/>
      <c r="KLM64" s="180"/>
      <c r="KLN64" s="180"/>
      <c r="KLO64" s="180"/>
      <c r="KLP64" s="180"/>
      <c r="KLQ64" s="180"/>
      <c r="KLR64" s="180"/>
      <c r="KLS64" s="180"/>
      <c r="KLT64" s="180"/>
      <c r="KLU64" s="180"/>
      <c r="KLV64" s="180"/>
      <c r="KLW64" s="180"/>
      <c r="KLX64" s="180"/>
      <c r="KLY64" s="180"/>
      <c r="KLZ64" s="180"/>
      <c r="KMA64" s="180"/>
      <c r="KMB64" s="180"/>
      <c r="KMC64" s="180"/>
      <c r="KMD64" s="180"/>
      <c r="KME64" s="180"/>
      <c r="KMF64" s="180"/>
      <c r="KMG64" s="180"/>
      <c r="KMH64" s="180"/>
      <c r="KMI64" s="180"/>
      <c r="KMJ64" s="180"/>
      <c r="KMK64" s="180"/>
      <c r="KML64" s="180"/>
      <c r="KMM64" s="180"/>
      <c r="KMN64" s="180"/>
      <c r="KMO64" s="180"/>
      <c r="KMP64" s="180"/>
      <c r="KMQ64" s="180"/>
      <c r="KMR64" s="180"/>
      <c r="KMS64" s="180"/>
      <c r="KMT64" s="180"/>
      <c r="KMU64" s="180"/>
      <c r="KMV64" s="180"/>
      <c r="KMW64" s="180"/>
      <c r="KMX64" s="180"/>
      <c r="KMY64" s="180"/>
      <c r="KMZ64" s="180"/>
      <c r="KNA64" s="180"/>
      <c r="KNB64" s="180"/>
      <c r="KNC64" s="180"/>
      <c r="KND64" s="180"/>
      <c r="KNE64" s="180"/>
      <c r="KNF64" s="180"/>
      <c r="KNG64" s="180"/>
      <c r="KNH64" s="180"/>
      <c r="KNI64" s="180"/>
      <c r="KNJ64" s="180"/>
      <c r="KNK64" s="180"/>
      <c r="KNL64" s="180"/>
      <c r="KNM64" s="180"/>
      <c r="KNN64" s="180"/>
      <c r="KNO64" s="180"/>
      <c r="KNP64" s="180"/>
      <c r="KNQ64" s="180"/>
      <c r="KNR64" s="180"/>
      <c r="KNS64" s="180"/>
      <c r="KNT64" s="180"/>
      <c r="KNU64" s="180"/>
      <c r="KNV64" s="180"/>
      <c r="KNW64" s="180"/>
      <c r="KNX64" s="180"/>
      <c r="KNY64" s="180"/>
      <c r="KNZ64" s="180"/>
      <c r="KOA64" s="180"/>
      <c r="KOB64" s="180"/>
      <c r="KOC64" s="180"/>
      <c r="KOD64" s="180"/>
      <c r="KOE64" s="180"/>
      <c r="KOF64" s="180"/>
      <c r="KOG64" s="180"/>
      <c r="KOH64" s="180"/>
      <c r="KOI64" s="180"/>
      <c r="KOJ64" s="180"/>
      <c r="KOK64" s="180"/>
      <c r="KOL64" s="180"/>
      <c r="KOM64" s="180"/>
      <c r="KON64" s="180"/>
      <c r="KOO64" s="180"/>
      <c r="KOP64" s="180"/>
      <c r="KOQ64" s="180"/>
      <c r="KOR64" s="180"/>
      <c r="KOS64" s="180"/>
      <c r="KOT64" s="180"/>
      <c r="KOU64" s="180"/>
      <c r="KOV64" s="180"/>
      <c r="KOW64" s="180"/>
      <c r="KOX64" s="180"/>
      <c r="KOY64" s="180"/>
      <c r="KOZ64" s="180"/>
      <c r="KPA64" s="180"/>
      <c r="KPB64" s="180"/>
      <c r="KPC64" s="180"/>
      <c r="KPD64" s="180"/>
      <c r="KPE64" s="180"/>
      <c r="KPF64" s="180"/>
      <c r="KPG64" s="180"/>
      <c r="KPH64" s="180"/>
      <c r="KPI64" s="180"/>
      <c r="KPJ64" s="180"/>
      <c r="KPK64" s="180"/>
      <c r="KPL64" s="180"/>
      <c r="KPM64" s="180"/>
      <c r="KPN64" s="180"/>
      <c r="KPO64" s="180"/>
      <c r="KPP64" s="180"/>
      <c r="KPQ64" s="180"/>
      <c r="KPR64" s="180"/>
      <c r="KPS64" s="180"/>
      <c r="KPT64" s="180"/>
      <c r="KPU64" s="180"/>
      <c r="KPV64" s="180"/>
      <c r="KPW64" s="180"/>
      <c r="KPX64" s="180"/>
      <c r="KPY64" s="180"/>
      <c r="KPZ64" s="180"/>
      <c r="KQA64" s="180"/>
      <c r="KQB64" s="180"/>
      <c r="KQC64" s="180"/>
      <c r="KQD64" s="180"/>
      <c r="KQE64" s="180"/>
      <c r="KQF64" s="180"/>
      <c r="KQG64" s="180"/>
      <c r="KQH64" s="180"/>
      <c r="KQI64" s="180"/>
      <c r="KQJ64" s="180"/>
      <c r="KQK64" s="180"/>
      <c r="KQL64" s="180"/>
      <c r="KQM64" s="180"/>
      <c r="KQN64" s="180"/>
      <c r="KQO64" s="180"/>
      <c r="KQP64" s="180"/>
      <c r="KQQ64" s="180"/>
      <c r="KQR64" s="180"/>
      <c r="KQS64" s="180"/>
      <c r="KQT64" s="180"/>
      <c r="KQU64" s="180"/>
      <c r="KQV64" s="180"/>
      <c r="KQW64" s="180"/>
      <c r="KQX64" s="180"/>
      <c r="KQY64" s="180"/>
      <c r="KQZ64" s="180"/>
      <c r="KRA64" s="180"/>
      <c r="KRB64" s="180"/>
      <c r="KRC64" s="180"/>
      <c r="KRD64" s="180"/>
      <c r="KRE64" s="180"/>
      <c r="KRF64" s="180"/>
      <c r="KRG64" s="180"/>
      <c r="KRH64" s="180"/>
      <c r="KRI64" s="180"/>
      <c r="KRJ64" s="180"/>
      <c r="KRK64" s="180"/>
      <c r="KRL64" s="180"/>
      <c r="KRM64" s="180"/>
      <c r="KRN64" s="180"/>
      <c r="KRO64" s="180"/>
      <c r="KRP64" s="180"/>
      <c r="KRQ64" s="180"/>
      <c r="KRR64" s="180"/>
      <c r="KRS64" s="180"/>
      <c r="KRT64" s="180"/>
      <c r="KRU64" s="180"/>
      <c r="KRV64" s="180"/>
      <c r="KRW64" s="180"/>
      <c r="KRX64" s="180"/>
      <c r="KRY64" s="180"/>
      <c r="KRZ64" s="180"/>
      <c r="KSA64" s="180"/>
      <c r="KSB64" s="180"/>
      <c r="KSC64" s="180"/>
      <c r="KSD64" s="180"/>
      <c r="KSE64" s="180"/>
      <c r="KSF64" s="180"/>
      <c r="KSG64" s="180"/>
      <c r="KSH64" s="180"/>
      <c r="KSI64" s="180"/>
      <c r="KSJ64" s="180"/>
      <c r="KSK64" s="180"/>
      <c r="KSL64" s="180"/>
      <c r="KSM64" s="180"/>
      <c r="KSN64" s="180"/>
      <c r="KSO64" s="180"/>
      <c r="KSP64" s="180"/>
      <c r="KSQ64" s="180"/>
      <c r="KSR64" s="180"/>
      <c r="KSS64" s="180"/>
      <c r="KST64" s="180"/>
      <c r="KSU64" s="180"/>
      <c r="KSV64" s="180"/>
      <c r="KSW64" s="180"/>
      <c r="KSX64" s="180"/>
      <c r="KSY64" s="180"/>
      <c r="KSZ64" s="180"/>
      <c r="KTA64" s="180"/>
      <c r="KTB64" s="180"/>
      <c r="KTC64" s="180"/>
      <c r="KTD64" s="180"/>
      <c r="KTE64" s="180"/>
      <c r="KTF64" s="180"/>
      <c r="KTG64" s="180"/>
      <c r="KTH64" s="180"/>
      <c r="KTI64" s="180"/>
      <c r="KTJ64" s="180"/>
      <c r="KTK64" s="180"/>
      <c r="KTL64" s="180"/>
      <c r="KTM64" s="180"/>
      <c r="KTN64" s="180"/>
      <c r="KTO64" s="180"/>
      <c r="KTP64" s="180"/>
      <c r="KTQ64" s="180"/>
      <c r="KTR64" s="180"/>
      <c r="KTS64" s="180"/>
      <c r="KTT64" s="180"/>
      <c r="KTU64" s="180"/>
      <c r="KTV64" s="180"/>
      <c r="KTW64" s="180"/>
      <c r="KTX64" s="180"/>
      <c r="KTY64" s="180"/>
      <c r="KTZ64" s="180"/>
      <c r="KUA64" s="180"/>
      <c r="KUB64" s="180"/>
      <c r="KUC64" s="180"/>
      <c r="KUD64" s="180"/>
      <c r="KUE64" s="180"/>
      <c r="KUF64" s="180"/>
      <c r="KUG64" s="180"/>
      <c r="KUH64" s="180"/>
      <c r="KUI64" s="180"/>
      <c r="KUJ64" s="180"/>
      <c r="KUK64" s="180"/>
      <c r="KUL64" s="180"/>
      <c r="KUM64" s="180"/>
      <c r="KUN64" s="180"/>
      <c r="KUO64" s="180"/>
      <c r="KUP64" s="180"/>
      <c r="KUQ64" s="180"/>
      <c r="KUR64" s="180"/>
      <c r="KUS64" s="180"/>
      <c r="KUT64" s="180"/>
      <c r="KUU64" s="180"/>
      <c r="KUV64" s="180"/>
      <c r="KUW64" s="180"/>
      <c r="KUX64" s="180"/>
      <c r="KUY64" s="180"/>
      <c r="KUZ64" s="180"/>
      <c r="KVA64" s="180"/>
      <c r="KVB64" s="180"/>
      <c r="KVC64" s="180"/>
      <c r="KVD64" s="180"/>
      <c r="KVE64" s="180"/>
      <c r="KVF64" s="180"/>
      <c r="KVG64" s="180"/>
      <c r="KVH64" s="180"/>
      <c r="KVI64" s="180"/>
      <c r="KVJ64" s="180"/>
      <c r="KVK64" s="180"/>
      <c r="KVL64" s="180"/>
      <c r="KVM64" s="180"/>
      <c r="KVN64" s="180"/>
      <c r="KVO64" s="180"/>
      <c r="KVP64" s="180"/>
      <c r="KVQ64" s="180"/>
      <c r="KVR64" s="180"/>
      <c r="KVS64" s="180"/>
      <c r="KVT64" s="180"/>
      <c r="KVU64" s="180"/>
      <c r="KVV64" s="180"/>
      <c r="KVW64" s="180"/>
      <c r="KVX64" s="180"/>
      <c r="KVY64" s="180"/>
      <c r="KVZ64" s="180"/>
      <c r="KWA64" s="180"/>
      <c r="KWB64" s="180"/>
      <c r="KWC64" s="180"/>
      <c r="KWD64" s="180"/>
      <c r="KWE64" s="180"/>
      <c r="KWF64" s="180"/>
      <c r="KWG64" s="180"/>
      <c r="KWH64" s="180"/>
      <c r="KWI64" s="180"/>
      <c r="KWJ64" s="180"/>
      <c r="KWK64" s="180"/>
      <c r="KWL64" s="180"/>
      <c r="KWM64" s="180"/>
      <c r="KWN64" s="180"/>
      <c r="KWO64" s="180"/>
      <c r="KWP64" s="180"/>
      <c r="KWQ64" s="180"/>
      <c r="KWR64" s="180"/>
      <c r="KWS64" s="180"/>
      <c r="KWT64" s="180"/>
      <c r="KWU64" s="180"/>
      <c r="KWV64" s="180"/>
      <c r="KWW64" s="180"/>
      <c r="KWX64" s="180"/>
      <c r="KWY64" s="180"/>
      <c r="KWZ64" s="180"/>
      <c r="KXA64" s="180"/>
      <c r="KXB64" s="180"/>
      <c r="KXC64" s="180"/>
      <c r="KXD64" s="180"/>
      <c r="KXE64" s="180"/>
      <c r="KXF64" s="180"/>
      <c r="KXG64" s="180"/>
      <c r="KXH64" s="180"/>
      <c r="KXI64" s="180"/>
      <c r="KXJ64" s="180"/>
      <c r="KXK64" s="180"/>
      <c r="KXL64" s="180"/>
      <c r="KXM64" s="180"/>
      <c r="KXN64" s="180"/>
      <c r="KXO64" s="180"/>
      <c r="KXP64" s="180"/>
      <c r="KXQ64" s="180"/>
      <c r="KXR64" s="180"/>
      <c r="KXS64" s="180"/>
      <c r="KXT64" s="180"/>
      <c r="KXU64" s="180"/>
      <c r="KXV64" s="180"/>
      <c r="KXW64" s="180"/>
      <c r="KXX64" s="180"/>
      <c r="KXY64" s="180"/>
      <c r="KXZ64" s="180"/>
      <c r="KYA64" s="180"/>
      <c r="KYB64" s="180"/>
      <c r="KYC64" s="180"/>
      <c r="KYD64" s="180"/>
      <c r="KYE64" s="180"/>
      <c r="KYF64" s="180"/>
      <c r="KYG64" s="180"/>
      <c r="KYH64" s="180"/>
      <c r="KYI64" s="180"/>
      <c r="KYJ64" s="180"/>
      <c r="KYK64" s="180"/>
      <c r="KYL64" s="180"/>
      <c r="KYM64" s="180"/>
      <c r="KYN64" s="180"/>
      <c r="KYO64" s="180"/>
      <c r="KYP64" s="180"/>
      <c r="KYQ64" s="180"/>
      <c r="KYR64" s="180"/>
      <c r="KYS64" s="180"/>
      <c r="KYT64" s="180"/>
      <c r="KYU64" s="180"/>
      <c r="KYV64" s="180"/>
      <c r="KYW64" s="180"/>
      <c r="KYX64" s="180"/>
      <c r="KYY64" s="180"/>
      <c r="KYZ64" s="180"/>
      <c r="KZA64" s="180"/>
      <c r="KZB64" s="180"/>
      <c r="KZC64" s="180"/>
      <c r="KZD64" s="180"/>
      <c r="KZE64" s="180"/>
      <c r="KZF64" s="180"/>
      <c r="KZG64" s="180"/>
      <c r="KZH64" s="180"/>
      <c r="KZI64" s="180"/>
      <c r="KZJ64" s="180"/>
      <c r="KZK64" s="180"/>
      <c r="KZL64" s="180"/>
      <c r="KZM64" s="180"/>
      <c r="KZN64" s="180"/>
      <c r="KZO64" s="180"/>
      <c r="KZP64" s="180"/>
      <c r="KZQ64" s="180"/>
      <c r="KZR64" s="180"/>
      <c r="KZS64" s="180"/>
      <c r="KZT64" s="180"/>
      <c r="KZU64" s="180"/>
      <c r="KZV64" s="180"/>
      <c r="KZW64" s="180"/>
      <c r="KZX64" s="180"/>
      <c r="KZY64" s="180"/>
      <c r="KZZ64" s="180"/>
      <c r="LAA64" s="180"/>
      <c r="LAB64" s="180"/>
      <c r="LAC64" s="180"/>
      <c r="LAD64" s="180"/>
      <c r="LAE64" s="180"/>
      <c r="LAF64" s="180"/>
      <c r="LAG64" s="180"/>
      <c r="LAH64" s="180"/>
      <c r="LAI64" s="180"/>
      <c r="LAJ64" s="180"/>
      <c r="LAK64" s="180"/>
      <c r="LAL64" s="180"/>
      <c r="LAM64" s="180"/>
      <c r="LAN64" s="180"/>
      <c r="LAO64" s="180"/>
      <c r="LAP64" s="180"/>
      <c r="LAQ64" s="180"/>
      <c r="LAR64" s="180"/>
      <c r="LAS64" s="180"/>
      <c r="LAT64" s="180"/>
      <c r="LAU64" s="180"/>
      <c r="LAV64" s="180"/>
      <c r="LAW64" s="180"/>
      <c r="LAX64" s="180"/>
      <c r="LAY64" s="180"/>
      <c r="LAZ64" s="180"/>
      <c r="LBA64" s="180"/>
      <c r="LBB64" s="180"/>
      <c r="LBC64" s="180"/>
      <c r="LBD64" s="180"/>
      <c r="LBE64" s="180"/>
      <c r="LBF64" s="180"/>
      <c r="LBG64" s="180"/>
      <c r="LBH64" s="180"/>
      <c r="LBI64" s="180"/>
      <c r="LBJ64" s="180"/>
      <c r="LBK64" s="180"/>
      <c r="LBL64" s="180"/>
      <c r="LBM64" s="180"/>
      <c r="LBN64" s="180"/>
      <c r="LBO64" s="180"/>
      <c r="LBP64" s="180"/>
      <c r="LBQ64" s="180"/>
      <c r="LBR64" s="180"/>
      <c r="LBS64" s="180"/>
      <c r="LBT64" s="180"/>
      <c r="LBU64" s="180"/>
      <c r="LBV64" s="180"/>
      <c r="LBW64" s="180"/>
      <c r="LBX64" s="180"/>
      <c r="LBY64" s="180"/>
      <c r="LBZ64" s="180"/>
      <c r="LCA64" s="180"/>
      <c r="LCB64" s="180"/>
      <c r="LCC64" s="180"/>
      <c r="LCD64" s="180"/>
      <c r="LCE64" s="180"/>
      <c r="LCF64" s="180"/>
      <c r="LCG64" s="180"/>
      <c r="LCH64" s="180"/>
      <c r="LCI64" s="180"/>
      <c r="LCJ64" s="180"/>
      <c r="LCK64" s="180"/>
      <c r="LCL64" s="180"/>
      <c r="LCM64" s="180"/>
      <c r="LCN64" s="180"/>
      <c r="LCO64" s="180"/>
      <c r="LCP64" s="180"/>
      <c r="LCQ64" s="180"/>
      <c r="LCR64" s="180"/>
      <c r="LCS64" s="180"/>
      <c r="LCT64" s="180"/>
      <c r="LCU64" s="180"/>
      <c r="LCV64" s="180"/>
      <c r="LCW64" s="180"/>
      <c r="LCX64" s="180"/>
      <c r="LCY64" s="180"/>
      <c r="LCZ64" s="180"/>
      <c r="LDA64" s="180"/>
      <c r="LDB64" s="180"/>
      <c r="LDC64" s="180"/>
      <c r="LDD64" s="180"/>
      <c r="LDE64" s="180"/>
      <c r="LDF64" s="180"/>
      <c r="LDG64" s="180"/>
      <c r="LDH64" s="180"/>
      <c r="LDI64" s="180"/>
      <c r="LDJ64" s="180"/>
      <c r="LDK64" s="180"/>
      <c r="LDL64" s="180"/>
      <c r="LDM64" s="180"/>
      <c r="LDN64" s="180"/>
      <c r="LDO64" s="180"/>
      <c r="LDP64" s="180"/>
      <c r="LDQ64" s="180"/>
      <c r="LDR64" s="180"/>
      <c r="LDS64" s="180"/>
      <c r="LDT64" s="180"/>
      <c r="LDU64" s="180"/>
      <c r="LDV64" s="180"/>
      <c r="LDW64" s="180"/>
      <c r="LDX64" s="180"/>
      <c r="LDY64" s="180"/>
      <c r="LDZ64" s="180"/>
      <c r="LEA64" s="180"/>
      <c r="LEB64" s="180"/>
      <c r="LEC64" s="180"/>
      <c r="LED64" s="180"/>
      <c r="LEE64" s="180"/>
      <c r="LEF64" s="180"/>
      <c r="LEG64" s="180"/>
      <c r="LEH64" s="180"/>
      <c r="LEI64" s="180"/>
      <c r="LEJ64" s="180"/>
      <c r="LEK64" s="180"/>
      <c r="LEL64" s="180"/>
      <c r="LEM64" s="180"/>
      <c r="LEN64" s="180"/>
      <c r="LEO64" s="180"/>
      <c r="LEP64" s="180"/>
      <c r="LEQ64" s="180"/>
      <c r="LER64" s="180"/>
      <c r="LES64" s="180"/>
      <c r="LET64" s="180"/>
      <c r="LEU64" s="180"/>
      <c r="LEV64" s="180"/>
      <c r="LEW64" s="180"/>
      <c r="LEX64" s="180"/>
      <c r="LEY64" s="180"/>
      <c r="LEZ64" s="180"/>
      <c r="LFA64" s="180"/>
      <c r="LFB64" s="180"/>
      <c r="LFC64" s="180"/>
      <c r="LFD64" s="180"/>
      <c r="LFE64" s="180"/>
      <c r="LFF64" s="180"/>
      <c r="LFG64" s="180"/>
      <c r="LFH64" s="180"/>
      <c r="LFI64" s="180"/>
      <c r="LFJ64" s="180"/>
      <c r="LFK64" s="180"/>
      <c r="LFL64" s="180"/>
      <c r="LFM64" s="180"/>
      <c r="LFN64" s="180"/>
      <c r="LFO64" s="180"/>
      <c r="LFP64" s="180"/>
      <c r="LFQ64" s="180"/>
      <c r="LFR64" s="180"/>
      <c r="LFS64" s="180"/>
      <c r="LFT64" s="180"/>
      <c r="LFU64" s="180"/>
      <c r="LFV64" s="180"/>
      <c r="LFW64" s="180"/>
      <c r="LFX64" s="180"/>
      <c r="LFY64" s="180"/>
      <c r="LFZ64" s="180"/>
      <c r="LGA64" s="180"/>
      <c r="LGB64" s="180"/>
      <c r="LGC64" s="180"/>
      <c r="LGD64" s="180"/>
      <c r="LGE64" s="180"/>
      <c r="LGF64" s="180"/>
      <c r="LGG64" s="180"/>
      <c r="LGH64" s="180"/>
      <c r="LGI64" s="180"/>
      <c r="LGJ64" s="180"/>
      <c r="LGK64" s="180"/>
      <c r="LGL64" s="180"/>
      <c r="LGM64" s="180"/>
      <c r="LGN64" s="180"/>
      <c r="LGO64" s="180"/>
      <c r="LGP64" s="180"/>
      <c r="LGQ64" s="180"/>
      <c r="LGR64" s="180"/>
      <c r="LGS64" s="180"/>
      <c r="LGT64" s="180"/>
      <c r="LGU64" s="180"/>
      <c r="LGV64" s="180"/>
      <c r="LGW64" s="180"/>
      <c r="LGX64" s="180"/>
      <c r="LGY64" s="180"/>
      <c r="LGZ64" s="180"/>
      <c r="LHA64" s="180"/>
      <c r="LHB64" s="180"/>
      <c r="LHC64" s="180"/>
      <c r="LHD64" s="180"/>
      <c r="LHE64" s="180"/>
      <c r="LHF64" s="180"/>
      <c r="LHG64" s="180"/>
      <c r="LHH64" s="180"/>
      <c r="LHI64" s="180"/>
      <c r="LHJ64" s="180"/>
      <c r="LHK64" s="180"/>
      <c r="LHL64" s="180"/>
      <c r="LHM64" s="180"/>
      <c r="LHN64" s="180"/>
      <c r="LHO64" s="180"/>
      <c r="LHP64" s="180"/>
      <c r="LHQ64" s="180"/>
      <c r="LHR64" s="180"/>
      <c r="LHS64" s="180"/>
      <c r="LHT64" s="180"/>
      <c r="LHU64" s="180"/>
      <c r="LHV64" s="180"/>
      <c r="LHW64" s="180"/>
      <c r="LHX64" s="180"/>
      <c r="LHY64" s="180"/>
      <c r="LHZ64" s="180"/>
      <c r="LIA64" s="180"/>
      <c r="LIB64" s="180"/>
      <c r="LIC64" s="180"/>
      <c r="LID64" s="180"/>
      <c r="LIE64" s="180"/>
      <c r="LIF64" s="180"/>
      <c r="LIG64" s="180"/>
      <c r="LIH64" s="180"/>
      <c r="LII64" s="180"/>
      <c r="LIJ64" s="180"/>
      <c r="LIK64" s="180"/>
      <c r="LIL64" s="180"/>
      <c r="LIM64" s="180"/>
      <c r="LIN64" s="180"/>
      <c r="LIO64" s="180"/>
      <c r="LIP64" s="180"/>
      <c r="LIQ64" s="180"/>
      <c r="LIR64" s="180"/>
      <c r="LIS64" s="180"/>
      <c r="LIT64" s="180"/>
      <c r="LIU64" s="180"/>
      <c r="LIV64" s="180"/>
      <c r="LIW64" s="180"/>
      <c r="LIX64" s="180"/>
      <c r="LIY64" s="180"/>
      <c r="LIZ64" s="180"/>
      <c r="LJA64" s="180"/>
      <c r="LJB64" s="180"/>
      <c r="LJC64" s="180"/>
      <c r="LJD64" s="180"/>
      <c r="LJE64" s="180"/>
      <c r="LJF64" s="180"/>
      <c r="LJG64" s="180"/>
      <c r="LJH64" s="180"/>
      <c r="LJI64" s="180"/>
      <c r="LJJ64" s="180"/>
      <c r="LJK64" s="180"/>
      <c r="LJL64" s="180"/>
      <c r="LJM64" s="180"/>
      <c r="LJN64" s="180"/>
      <c r="LJO64" s="180"/>
      <c r="LJP64" s="180"/>
      <c r="LJQ64" s="180"/>
      <c r="LJR64" s="180"/>
      <c r="LJS64" s="180"/>
      <c r="LJT64" s="180"/>
      <c r="LJU64" s="180"/>
      <c r="LJV64" s="180"/>
      <c r="LJW64" s="180"/>
      <c r="LJX64" s="180"/>
      <c r="LJY64" s="180"/>
      <c r="LJZ64" s="180"/>
      <c r="LKA64" s="180"/>
      <c r="LKB64" s="180"/>
      <c r="LKC64" s="180"/>
      <c r="LKD64" s="180"/>
      <c r="LKE64" s="180"/>
      <c r="LKF64" s="180"/>
      <c r="LKG64" s="180"/>
      <c r="LKH64" s="180"/>
      <c r="LKI64" s="180"/>
      <c r="LKJ64" s="180"/>
      <c r="LKK64" s="180"/>
      <c r="LKL64" s="180"/>
      <c r="LKM64" s="180"/>
      <c r="LKN64" s="180"/>
      <c r="LKO64" s="180"/>
      <c r="LKP64" s="180"/>
      <c r="LKQ64" s="180"/>
      <c r="LKR64" s="180"/>
      <c r="LKS64" s="180"/>
      <c r="LKT64" s="180"/>
      <c r="LKU64" s="180"/>
      <c r="LKV64" s="180"/>
      <c r="LKW64" s="180"/>
      <c r="LKX64" s="180"/>
      <c r="LKY64" s="180"/>
      <c r="LKZ64" s="180"/>
      <c r="LLA64" s="180"/>
      <c r="LLB64" s="180"/>
      <c r="LLC64" s="180"/>
      <c r="LLD64" s="180"/>
      <c r="LLE64" s="180"/>
      <c r="LLF64" s="180"/>
      <c r="LLG64" s="180"/>
      <c r="LLH64" s="180"/>
      <c r="LLI64" s="180"/>
      <c r="LLJ64" s="180"/>
      <c r="LLK64" s="180"/>
      <c r="LLL64" s="180"/>
      <c r="LLM64" s="180"/>
      <c r="LLN64" s="180"/>
      <c r="LLO64" s="180"/>
      <c r="LLP64" s="180"/>
      <c r="LLQ64" s="180"/>
      <c r="LLR64" s="180"/>
      <c r="LLS64" s="180"/>
      <c r="LLT64" s="180"/>
      <c r="LLU64" s="180"/>
      <c r="LLV64" s="180"/>
      <c r="LLW64" s="180"/>
      <c r="LLX64" s="180"/>
      <c r="LLY64" s="180"/>
      <c r="LLZ64" s="180"/>
      <c r="LMA64" s="180"/>
      <c r="LMB64" s="180"/>
      <c r="LMC64" s="180"/>
      <c r="LMD64" s="180"/>
      <c r="LME64" s="180"/>
      <c r="LMF64" s="180"/>
      <c r="LMG64" s="180"/>
      <c r="LMH64" s="180"/>
      <c r="LMI64" s="180"/>
      <c r="LMJ64" s="180"/>
      <c r="LMK64" s="180"/>
      <c r="LML64" s="180"/>
      <c r="LMM64" s="180"/>
      <c r="LMN64" s="180"/>
      <c r="LMO64" s="180"/>
      <c r="LMP64" s="180"/>
      <c r="LMQ64" s="180"/>
      <c r="LMR64" s="180"/>
      <c r="LMS64" s="180"/>
      <c r="LMT64" s="180"/>
      <c r="LMU64" s="180"/>
      <c r="LMV64" s="180"/>
      <c r="LMW64" s="180"/>
      <c r="LMX64" s="180"/>
      <c r="LMY64" s="180"/>
      <c r="LMZ64" s="180"/>
      <c r="LNA64" s="180"/>
      <c r="LNB64" s="180"/>
      <c r="LNC64" s="180"/>
      <c r="LND64" s="180"/>
      <c r="LNE64" s="180"/>
      <c r="LNF64" s="180"/>
      <c r="LNG64" s="180"/>
      <c r="LNH64" s="180"/>
      <c r="LNI64" s="180"/>
      <c r="LNJ64" s="180"/>
      <c r="LNK64" s="180"/>
      <c r="LNL64" s="180"/>
      <c r="LNM64" s="180"/>
      <c r="LNN64" s="180"/>
      <c r="LNO64" s="180"/>
      <c r="LNP64" s="180"/>
      <c r="LNQ64" s="180"/>
      <c r="LNR64" s="180"/>
      <c r="LNS64" s="180"/>
      <c r="LNT64" s="180"/>
      <c r="LNU64" s="180"/>
      <c r="LNV64" s="180"/>
      <c r="LNW64" s="180"/>
      <c r="LNX64" s="180"/>
      <c r="LNY64" s="180"/>
      <c r="LNZ64" s="180"/>
      <c r="LOA64" s="180"/>
      <c r="LOB64" s="180"/>
      <c r="LOC64" s="180"/>
      <c r="LOD64" s="180"/>
      <c r="LOE64" s="180"/>
      <c r="LOF64" s="180"/>
      <c r="LOG64" s="180"/>
      <c r="LOH64" s="180"/>
      <c r="LOI64" s="180"/>
      <c r="LOJ64" s="180"/>
      <c r="LOK64" s="180"/>
      <c r="LOL64" s="180"/>
      <c r="LOM64" s="180"/>
      <c r="LON64" s="180"/>
      <c r="LOO64" s="180"/>
      <c r="LOP64" s="180"/>
      <c r="LOQ64" s="180"/>
      <c r="LOR64" s="180"/>
      <c r="LOS64" s="180"/>
      <c r="LOT64" s="180"/>
      <c r="LOU64" s="180"/>
      <c r="LOV64" s="180"/>
      <c r="LOW64" s="180"/>
      <c r="LOX64" s="180"/>
      <c r="LOY64" s="180"/>
      <c r="LOZ64" s="180"/>
      <c r="LPA64" s="180"/>
      <c r="LPB64" s="180"/>
      <c r="LPC64" s="180"/>
      <c r="LPD64" s="180"/>
      <c r="LPE64" s="180"/>
      <c r="LPF64" s="180"/>
      <c r="LPG64" s="180"/>
      <c r="LPH64" s="180"/>
      <c r="LPI64" s="180"/>
      <c r="LPJ64" s="180"/>
      <c r="LPK64" s="180"/>
      <c r="LPL64" s="180"/>
      <c r="LPM64" s="180"/>
      <c r="LPN64" s="180"/>
      <c r="LPO64" s="180"/>
      <c r="LPP64" s="180"/>
      <c r="LPQ64" s="180"/>
      <c r="LPR64" s="180"/>
      <c r="LPS64" s="180"/>
      <c r="LPT64" s="180"/>
      <c r="LPU64" s="180"/>
      <c r="LPV64" s="180"/>
      <c r="LPW64" s="180"/>
      <c r="LPX64" s="180"/>
      <c r="LPY64" s="180"/>
      <c r="LPZ64" s="180"/>
      <c r="LQA64" s="180"/>
      <c r="LQB64" s="180"/>
      <c r="LQC64" s="180"/>
      <c r="LQD64" s="180"/>
      <c r="LQE64" s="180"/>
      <c r="LQF64" s="180"/>
      <c r="LQG64" s="180"/>
      <c r="LQH64" s="180"/>
      <c r="LQI64" s="180"/>
      <c r="LQJ64" s="180"/>
      <c r="LQK64" s="180"/>
      <c r="LQL64" s="180"/>
      <c r="LQM64" s="180"/>
      <c r="LQN64" s="180"/>
      <c r="LQO64" s="180"/>
      <c r="LQP64" s="180"/>
      <c r="LQQ64" s="180"/>
      <c r="LQR64" s="180"/>
      <c r="LQS64" s="180"/>
      <c r="LQT64" s="180"/>
      <c r="LQU64" s="180"/>
      <c r="LQV64" s="180"/>
      <c r="LQW64" s="180"/>
      <c r="LQX64" s="180"/>
      <c r="LQY64" s="180"/>
      <c r="LQZ64" s="180"/>
      <c r="LRA64" s="180"/>
      <c r="LRB64" s="180"/>
      <c r="LRC64" s="180"/>
      <c r="LRD64" s="180"/>
      <c r="LRE64" s="180"/>
      <c r="LRF64" s="180"/>
      <c r="LRG64" s="180"/>
      <c r="LRH64" s="180"/>
      <c r="LRI64" s="180"/>
      <c r="LRJ64" s="180"/>
      <c r="LRK64" s="180"/>
      <c r="LRL64" s="180"/>
      <c r="LRM64" s="180"/>
      <c r="LRN64" s="180"/>
      <c r="LRO64" s="180"/>
      <c r="LRP64" s="180"/>
      <c r="LRQ64" s="180"/>
      <c r="LRR64" s="180"/>
      <c r="LRS64" s="180"/>
      <c r="LRT64" s="180"/>
      <c r="LRU64" s="180"/>
      <c r="LRV64" s="180"/>
      <c r="LRW64" s="180"/>
      <c r="LRX64" s="180"/>
      <c r="LRY64" s="180"/>
      <c r="LRZ64" s="180"/>
      <c r="LSA64" s="180"/>
      <c r="LSB64" s="180"/>
      <c r="LSC64" s="180"/>
      <c r="LSD64" s="180"/>
      <c r="LSE64" s="180"/>
      <c r="LSF64" s="180"/>
      <c r="LSG64" s="180"/>
      <c r="LSH64" s="180"/>
      <c r="LSI64" s="180"/>
      <c r="LSJ64" s="180"/>
      <c r="LSK64" s="180"/>
      <c r="LSL64" s="180"/>
      <c r="LSM64" s="180"/>
      <c r="LSN64" s="180"/>
      <c r="LSO64" s="180"/>
      <c r="LSP64" s="180"/>
      <c r="LSQ64" s="180"/>
      <c r="LSR64" s="180"/>
      <c r="LSS64" s="180"/>
      <c r="LST64" s="180"/>
      <c r="LSU64" s="180"/>
      <c r="LSV64" s="180"/>
      <c r="LSW64" s="180"/>
      <c r="LSX64" s="180"/>
      <c r="LSY64" s="180"/>
      <c r="LSZ64" s="180"/>
      <c r="LTA64" s="180"/>
      <c r="LTB64" s="180"/>
      <c r="LTC64" s="180"/>
      <c r="LTD64" s="180"/>
      <c r="LTE64" s="180"/>
      <c r="LTF64" s="180"/>
      <c r="LTG64" s="180"/>
      <c r="LTH64" s="180"/>
      <c r="LTI64" s="180"/>
      <c r="LTJ64" s="180"/>
      <c r="LTK64" s="180"/>
      <c r="LTL64" s="180"/>
      <c r="LTM64" s="180"/>
      <c r="LTN64" s="180"/>
      <c r="LTO64" s="180"/>
      <c r="LTP64" s="180"/>
      <c r="LTQ64" s="180"/>
      <c r="LTR64" s="180"/>
      <c r="LTS64" s="180"/>
      <c r="LTT64" s="180"/>
      <c r="LTU64" s="180"/>
      <c r="LTV64" s="180"/>
      <c r="LTW64" s="180"/>
      <c r="LTX64" s="180"/>
      <c r="LTY64" s="180"/>
      <c r="LTZ64" s="180"/>
      <c r="LUA64" s="180"/>
      <c r="LUB64" s="180"/>
      <c r="LUC64" s="180"/>
      <c r="LUD64" s="180"/>
      <c r="LUE64" s="180"/>
      <c r="LUF64" s="180"/>
      <c r="LUG64" s="180"/>
      <c r="LUH64" s="180"/>
      <c r="LUI64" s="180"/>
      <c r="LUJ64" s="180"/>
      <c r="LUK64" s="180"/>
      <c r="LUL64" s="180"/>
      <c r="LUM64" s="180"/>
      <c r="LUN64" s="180"/>
      <c r="LUO64" s="180"/>
      <c r="LUP64" s="180"/>
      <c r="LUQ64" s="180"/>
      <c r="LUR64" s="180"/>
      <c r="LUS64" s="180"/>
      <c r="LUT64" s="180"/>
      <c r="LUU64" s="180"/>
      <c r="LUV64" s="180"/>
      <c r="LUW64" s="180"/>
      <c r="LUX64" s="180"/>
      <c r="LUY64" s="180"/>
      <c r="LUZ64" s="180"/>
      <c r="LVA64" s="180"/>
      <c r="LVB64" s="180"/>
      <c r="LVC64" s="180"/>
      <c r="LVD64" s="180"/>
      <c r="LVE64" s="180"/>
      <c r="LVF64" s="180"/>
      <c r="LVG64" s="180"/>
      <c r="LVH64" s="180"/>
      <c r="LVI64" s="180"/>
      <c r="LVJ64" s="180"/>
      <c r="LVK64" s="180"/>
      <c r="LVL64" s="180"/>
      <c r="LVM64" s="180"/>
      <c r="LVN64" s="180"/>
      <c r="LVO64" s="180"/>
      <c r="LVP64" s="180"/>
      <c r="LVQ64" s="180"/>
      <c r="LVR64" s="180"/>
      <c r="LVS64" s="180"/>
      <c r="LVT64" s="180"/>
      <c r="LVU64" s="180"/>
      <c r="LVV64" s="180"/>
      <c r="LVW64" s="180"/>
      <c r="LVX64" s="180"/>
      <c r="LVY64" s="180"/>
      <c r="LVZ64" s="180"/>
      <c r="LWA64" s="180"/>
      <c r="LWB64" s="180"/>
      <c r="LWC64" s="180"/>
      <c r="LWD64" s="180"/>
      <c r="LWE64" s="180"/>
      <c r="LWF64" s="180"/>
      <c r="LWG64" s="180"/>
      <c r="LWH64" s="180"/>
      <c r="LWI64" s="180"/>
      <c r="LWJ64" s="180"/>
      <c r="LWK64" s="180"/>
      <c r="LWL64" s="180"/>
      <c r="LWM64" s="180"/>
      <c r="LWN64" s="180"/>
      <c r="LWO64" s="180"/>
      <c r="LWP64" s="180"/>
      <c r="LWQ64" s="180"/>
      <c r="LWR64" s="180"/>
      <c r="LWS64" s="180"/>
      <c r="LWT64" s="180"/>
      <c r="LWU64" s="180"/>
      <c r="LWV64" s="180"/>
      <c r="LWW64" s="180"/>
      <c r="LWX64" s="180"/>
      <c r="LWY64" s="180"/>
      <c r="LWZ64" s="180"/>
      <c r="LXA64" s="180"/>
      <c r="LXB64" s="180"/>
      <c r="LXC64" s="180"/>
      <c r="LXD64" s="180"/>
      <c r="LXE64" s="180"/>
      <c r="LXF64" s="180"/>
      <c r="LXG64" s="180"/>
      <c r="LXH64" s="180"/>
      <c r="LXI64" s="180"/>
      <c r="LXJ64" s="180"/>
      <c r="LXK64" s="180"/>
      <c r="LXL64" s="180"/>
      <c r="LXM64" s="180"/>
      <c r="LXN64" s="180"/>
      <c r="LXO64" s="180"/>
      <c r="LXP64" s="180"/>
      <c r="LXQ64" s="180"/>
      <c r="LXR64" s="180"/>
      <c r="LXS64" s="180"/>
      <c r="LXT64" s="180"/>
      <c r="LXU64" s="180"/>
      <c r="LXV64" s="180"/>
      <c r="LXW64" s="180"/>
      <c r="LXX64" s="180"/>
      <c r="LXY64" s="180"/>
      <c r="LXZ64" s="180"/>
      <c r="LYA64" s="180"/>
      <c r="LYB64" s="180"/>
      <c r="LYC64" s="180"/>
      <c r="LYD64" s="180"/>
      <c r="LYE64" s="180"/>
      <c r="LYF64" s="180"/>
      <c r="LYG64" s="180"/>
      <c r="LYH64" s="180"/>
      <c r="LYI64" s="180"/>
      <c r="LYJ64" s="180"/>
      <c r="LYK64" s="180"/>
      <c r="LYL64" s="180"/>
      <c r="LYM64" s="180"/>
      <c r="LYN64" s="180"/>
      <c r="LYO64" s="180"/>
      <c r="LYP64" s="180"/>
      <c r="LYQ64" s="180"/>
      <c r="LYR64" s="180"/>
      <c r="LYS64" s="180"/>
      <c r="LYT64" s="180"/>
      <c r="LYU64" s="180"/>
      <c r="LYV64" s="180"/>
      <c r="LYW64" s="180"/>
      <c r="LYX64" s="180"/>
      <c r="LYY64" s="180"/>
      <c r="LYZ64" s="180"/>
      <c r="LZA64" s="180"/>
      <c r="LZB64" s="180"/>
      <c r="LZC64" s="180"/>
      <c r="LZD64" s="180"/>
      <c r="LZE64" s="180"/>
      <c r="LZF64" s="180"/>
      <c r="LZG64" s="180"/>
      <c r="LZH64" s="180"/>
      <c r="LZI64" s="180"/>
      <c r="LZJ64" s="180"/>
      <c r="LZK64" s="180"/>
      <c r="LZL64" s="180"/>
      <c r="LZM64" s="180"/>
      <c r="LZN64" s="180"/>
      <c r="LZO64" s="180"/>
      <c r="LZP64" s="180"/>
      <c r="LZQ64" s="180"/>
      <c r="LZR64" s="180"/>
      <c r="LZS64" s="180"/>
      <c r="LZT64" s="180"/>
      <c r="LZU64" s="180"/>
      <c r="LZV64" s="180"/>
      <c r="LZW64" s="180"/>
      <c r="LZX64" s="180"/>
      <c r="LZY64" s="180"/>
      <c r="LZZ64" s="180"/>
      <c r="MAA64" s="180"/>
      <c r="MAB64" s="180"/>
      <c r="MAC64" s="180"/>
      <c r="MAD64" s="180"/>
      <c r="MAE64" s="180"/>
      <c r="MAF64" s="180"/>
      <c r="MAG64" s="180"/>
      <c r="MAH64" s="180"/>
      <c r="MAI64" s="180"/>
      <c r="MAJ64" s="180"/>
      <c r="MAK64" s="180"/>
      <c r="MAL64" s="180"/>
      <c r="MAM64" s="180"/>
      <c r="MAN64" s="180"/>
      <c r="MAO64" s="180"/>
      <c r="MAP64" s="180"/>
      <c r="MAQ64" s="180"/>
      <c r="MAR64" s="180"/>
      <c r="MAS64" s="180"/>
      <c r="MAT64" s="180"/>
      <c r="MAU64" s="180"/>
      <c r="MAV64" s="180"/>
      <c r="MAW64" s="180"/>
      <c r="MAX64" s="180"/>
      <c r="MAY64" s="180"/>
      <c r="MAZ64" s="180"/>
      <c r="MBA64" s="180"/>
      <c r="MBB64" s="180"/>
      <c r="MBC64" s="180"/>
      <c r="MBD64" s="180"/>
      <c r="MBE64" s="180"/>
      <c r="MBF64" s="180"/>
      <c r="MBG64" s="180"/>
      <c r="MBH64" s="180"/>
      <c r="MBI64" s="180"/>
      <c r="MBJ64" s="180"/>
      <c r="MBK64" s="180"/>
      <c r="MBL64" s="180"/>
      <c r="MBM64" s="180"/>
      <c r="MBN64" s="180"/>
      <c r="MBO64" s="180"/>
      <c r="MBP64" s="180"/>
      <c r="MBQ64" s="180"/>
      <c r="MBR64" s="180"/>
      <c r="MBS64" s="180"/>
      <c r="MBT64" s="180"/>
      <c r="MBU64" s="180"/>
      <c r="MBV64" s="180"/>
      <c r="MBW64" s="180"/>
      <c r="MBX64" s="180"/>
      <c r="MBY64" s="180"/>
      <c r="MBZ64" s="180"/>
      <c r="MCA64" s="180"/>
      <c r="MCB64" s="180"/>
      <c r="MCC64" s="180"/>
      <c r="MCD64" s="180"/>
      <c r="MCE64" s="180"/>
      <c r="MCF64" s="180"/>
      <c r="MCG64" s="180"/>
      <c r="MCH64" s="180"/>
      <c r="MCI64" s="180"/>
      <c r="MCJ64" s="180"/>
      <c r="MCK64" s="180"/>
      <c r="MCL64" s="180"/>
      <c r="MCM64" s="180"/>
      <c r="MCN64" s="180"/>
      <c r="MCO64" s="180"/>
      <c r="MCP64" s="180"/>
      <c r="MCQ64" s="180"/>
      <c r="MCR64" s="180"/>
      <c r="MCS64" s="180"/>
      <c r="MCT64" s="180"/>
      <c r="MCU64" s="180"/>
      <c r="MCV64" s="180"/>
      <c r="MCW64" s="180"/>
      <c r="MCX64" s="180"/>
      <c r="MCY64" s="180"/>
      <c r="MCZ64" s="180"/>
      <c r="MDA64" s="180"/>
      <c r="MDB64" s="180"/>
      <c r="MDC64" s="180"/>
      <c r="MDD64" s="180"/>
      <c r="MDE64" s="180"/>
      <c r="MDF64" s="180"/>
      <c r="MDG64" s="180"/>
      <c r="MDH64" s="180"/>
      <c r="MDI64" s="180"/>
      <c r="MDJ64" s="180"/>
      <c r="MDK64" s="180"/>
      <c r="MDL64" s="180"/>
      <c r="MDM64" s="180"/>
      <c r="MDN64" s="180"/>
      <c r="MDO64" s="180"/>
      <c r="MDP64" s="180"/>
      <c r="MDQ64" s="180"/>
      <c r="MDR64" s="180"/>
      <c r="MDS64" s="180"/>
      <c r="MDT64" s="180"/>
      <c r="MDU64" s="180"/>
      <c r="MDV64" s="180"/>
      <c r="MDW64" s="180"/>
      <c r="MDX64" s="180"/>
      <c r="MDY64" s="180"/>
      <c r="MDZ64" s="180"/>
      <c r="MEA64" s="180"/>
      <c r="MEB64" s="180"/>
      <c r="MEC64" s="180"/>
      <c r="MED64" s="180"/>
      <c r="MEE64" s="180"/>
      <c r="MEF64" s="180"/>
      <c r="MEG64" s="180"/>
      <c r="MEH64" s="180"/>
      <c r="MEI64" s="180"/>
      <c r="MEJ64" s="180"/>
      <c r="MEK64" s="180"/>
      <c r="MEL64" s="180"/>
      <c r="MEM64" s="180"/>
      <c r="MEN64" s="180"/>
      <c r="MEO64" s="180"/>
      <c r="MEP64" s="180"/>
      <c r="MEQ64" s="180"/>
      <c r="MER64" s="180"/>
      <c r="MES64" s="180"/>
      <c r="MET64" s="180"/>
      <c r="MEU64" s="180"/>
      <c r="MEV64" s="180"/>
      <c r="MEW64" s="180"/>
      <c r="MEX64" s="180"/>
      <c r="MEY64" s="180"/>
      <c r="MEZ64" s="180"/>
      <c r="MFA64" s="180"/>
      <c r="MFB64" s="180"/>
      <c r="MFC64" s="180"/>
      <c r="MFD64" s="180"/>
      <c r="MFE64" s="180"/>
      <c r="MFF64" s="180"/>
      <c r="MFG64" s="180"/>
      <c r="MFH64" s="180"/>
      <c r="MFI64" s="180"/>
      <c r="MFJ64" s="180"/>
      <c r="MFK64" s="180"/>
      <c r="MFL64" s="180"/>
      <c r="MFM64" s="180"/>
      <c r="MFN64" s="180"/>
      <c r="MFO64" s="180"/>
      <c r="MFP64" s="180"/>
      <c r="MFQ64" s="180"/>
      <c r="MFR64" s="180"/>
      <c r="MFS64" s="180"/>
      <c r="MFT64" s="180"/>
      <c r="MFU64" s="180"/>
      <c r="MFV64" s="180"/>
      <c r="MFW64" s="180"/>
      <c r="MFX64" s="180"/>
      <c r="MFY64" s="180"/>
      <c r="MFZ64" s="180"/>
      <c r="MGA64" s="180"/>
      <c r="MGB64" s="180"/>
      <c r="MGC64" s="180"/>
      <c r="MGD64" s="180"/>
      <c r="MGE64" s="180"/>
      <c r="MGF64" s="180"/>
      <c r="MGG64" s="180"/>
      <c r="MGH64" s="180"/>
      <c r="MGI64" s="180"/>
      <c r="MGJ64" s="180"/>
      <c r="MGK64" s="180"/>
      <c r="MGL64" s="180"/>
      <c r="MGM64" s="180"/>
      <c r="MGN64" s="180"/>
      <c r="MGO64" s="180"/>
      <c r="MGP64" s="180"/>
      <c r="MGQ64" s="180"/>
      <c r="MGR64" s="180"/>
      <c r="MGS64" s="180"/>
      <c r="MGT64" s="180"/>
      <c r="MGU64" s="180"/>
      <c r="MGV64" s="180"/>
      <c r="MGW64" s="180"/>
      <c r="MGX64" s="180"/>
      <c r="MGY64" s="180"/>
      <c r="MGZ64" s="180"/>
      <c r="MHA64" s="180"/>
      <c r="MHB64" s="180"/>
      <c r="MHC64" s="180"/>
      <c r="MHD64" s="180"/>
      <c r="MHE64" s="180"/>
      <c r="MHF64" s="180"/>
      <c r="MHG64" s="180"/>
      <c r="MHH64" s="180"/>
      <c r="MHI64" s="180"/>
      <c r="MHJ64" s="180"/>
      <c r="MHK64" s="180"/>
      <c r="MHL64" s="180"/>
      <c r="MHM64" s="180"/>
      <c r="MHN64" s="180"/>
      <c r="MHO64" s="180"/>
      <c r="MHP64" s="180"/>
      <c r="MHQ64" s="180"/>
      <c r="MHR64" s="180"/>
      <c r="MHS64" s="180"/>
      <c r="MHT64" s="180"/>
      <c r="MHU64" s="180"/>
      <c r="MHV64" s="180"/>
      <c r="MHW64" s="180"/>
      <c r="MHX64" s="180"/>
      <c r="MHY64" s="180"/>
      <c r="MHZ64" s="180"/>
      <c r="MIA64" s="180"/>
      <c r="MIB64" s="180"/>
      <c r="MIC64" s="180"/>
      <c r="MID64" s="180"/>
      <c r="MIE64" s="180"/>
      <c r="MIF64" s="180"/>
      <c r="MIG64" s="180"/>
      <c r="MIH64" s="180"/>
      <c r="MII64" s="180"/>
      <c r="MIJ64" s="180"/>
      <c r="MIK64" s="180"/>
      <c r="MIL64" s="180"/>
      <c r="MIM64" s="180"/>
      <c r="MIN64" s="180"/>
      <c r="MIO64" s="180"/>
      <c r="MIP64" s="180"/>
      <c r="MIQ64" s="180"/>
      <c r="MIR64" s="180"/>
      <c r="MIS64" s="180"/>
      <c r="MIT64" s="180"/>
      <c r="MIU64" s="180"/>
      <c r="MIV64" s="180"/>
      <c r="MIW64" s="180"/>
      <c r="MIX64" s="180"/>
      <c r="MIY64" s="180"/>
      <c r="MIZ64" s="180"/>
      <c r="MJA64" s="180"/>
      <c r="MJB64" s="180"/>
      <c r="MJC64" s="180"/>
      <c r="MJD64" s="180"/>
      <c r="MJE64" s="180"/>
      <c r="MJF64" s="180"/>
      <c r="MJG64" s="180"/>
      <c r="MJH64" s="180"/>
      <c r="MJI64" s="180"/>
      <c r="MJJ64" s="180"/>
      <c r="MJK64" s="180"/>
      <c r="MJL64" s="180"/>
      <c r="MJM64" s="180"/>
      <c r="MJN64" s="180"/>
      <c r="MJO64" s="180"/>
      <c r="MJP64" s="180"/>
      <c r="MJQ64" s="180"/>
      <c r="MJR64" s="180"/>
      <c r="MJS64" s="180"/>
      <c r="MJT64" s="180"/>
      <c r="MJU64" s="180"/>
      <c r="MJV64" s="180"/>
      <c r="MJW64" s="180"/>
      <c r="MJX64" s="180"/>
      <c r="MJY64" s="180"/>
      <c r="MJZ64" s="180"/>
      <c r="MKA64" s="180"/>
      <c r="MKB64" s="180"/>
      <c r="MKC64" s="180"/>
      <c r="MKD64" s="180"/>
      <c r="MKE64" s="180"/>
      <c r="MKF64" s="180"/>
      <c r="MKG64" s="180"/>
      <c r="MKH64" s="180"/>
      <c r="MKI64" s="180"/>
      <c r="MKJ64" s="180"/>
      <c r="MKK64" s="180"/>
      <c r="MKL64" s="180"/>
      <c r="MKM64" s="180"/>
      <c r="MKN64" s="180"/>
      <c r="MKO64" s="180"/>
      <c r="MKP64" s="180"/>
      <c r="MKQ64" s="180"/>
      <c r="MKR64" s="180"/>
      <c r="MKS64" s="180"/>
      <c r="MKT64" s="180"/>
      <c r="MKU64" s="180"/>
      <c r="MKV64" s="180"/>
      <c r="MKW64" s="180"/>
      <c r="MKX64" s="180"/>
      <c r="MKY64" s="180"/>
      <c r="MKZ64" s="180"/>
      <c r="MLA64" s="180"/>
      <c r="MLB64" s="180"/>
      <c r="MLC64" s="180"/>
      <c r="MLD64" s="180"/>
      <c r="MLE64" s="180"/>
      <c r="MLF64" s="180"/>
      <c r="MLG64" s="180"/>
      <c r="MLH64" s="180"/>
      <c r="MLI64" s="180"/>
      <c r="MLJ64" s="180"/>
      <c r="MLK64" s="180"/>
      <c r="MLL64" s="180"/>
      <c r="MLM64" s="180"/>
      <c r="MLN64" s="180"/>
      <c r="MLO64" s="180"/>
      <c r="MLP64" s="180"/>
      <c r="MLQ64" s="180"/>
      <c r="MLR64" s="180"/>
      <c r="MLS64" s="180"/>
      <c r="MLT64" s="180"/>
      <c r="MLU64" s="180"/>
      <c r="MLV64" s="180"/>
      <c r="MLW64" s="180"/>
      <c r="MLX64" s="180"/>
      <c r="MLY64" s="180"/>
      <c r="MLZ64" s="180"/>
      <c r="MMA64" s="180"/>
      <c r="MMB64" s="180"/>
      <c r="MMC64" s="180"/>
      <c r="MMD64" s="180"/>
      <c r="MME64" s="180"/>
      <c r="MMF64" s="180"/>
      <c r="MMG64" s="180"/>
      <c r="MMH64" s="180"/>
      <c r="MMI64" s="180"/>
      <c r="MMJ64" s="180"/>
      <c r="MMK64" s="180"/>
      <c r="MML64" s="180"/>
      <c r="MMM64" s="180"/>
      <c r="MMN64" s="180"/>
      <c r="MMO64" s="180"/>
      <c r="MMP64" s="180"/>
      <c r="MMQ64" s="180"/>
      <c r="MMR64" s="180"/>
      <c r="MMS64" s="180"/>
      <c r="MMT64" s="180"/>
      <c r="MMU64" s="180"/>
      <c r="MMV64" s="180"/>
      <c r="MMW64" s="180"/>
      <c r="MMX64" s="180"/>
      <c r="MMY64" s="180"/>
      <c r="MMZ64" s="180"/>
      <c r="MNA64" s="180"/>
      <c r="MNB64" s="180"/>
      <c r="MNC64" s="180"/>
      <c r="MND64" s="180"/>
      <c r="MNE64" s="180"/>
      <c r="MNF64" s="180"/>
      <c r="MNG64" s="180"/>
      <c r="MNH64" s="180"/>
      <c r="MNI64" s="180"/>
      <c r="MNJ64" s="180"/>
      <c r="MNK64" s="180"/>
      <c r="MNL64" s="180"/>
      <c r="MNM64" s="180"/>
      <c r="MNN64" s="180"/>
      <c r="MNO64" s="180"/>
      <c r="MNP64" s="180"/>
      <c r="MNQ64" s="180"/>
      <c r="MNR64" s="180"/>
      <c r="MNS64" s="180"/>
      <c r="MNT64" s="180"/>
      <c r="MNU64" s="180"/>
      <c r="MNV64" s="180"/>
      <c r="MNW64" s="180"/>
      <c r="MNX64" s="180"/>
      <c r="MNY64" s="180"/>
      <c r="MNZ64" s="180"/>
      <c r="MOA64" s="180"/>
      <c r="MOB64" s="180"/>
      <c r="MOC64" s="180"/>
      <c r="MOD64" s="180"/>
      <c r="MOE64" s="180"/>
      <c r="MOF64" s="180"/>
      <c r="MOG64" s="180"/>
      <c r="MOH64" s="180"/>
      <c r="MOI64" s="180"/>
      <c r="MOJ64" s="180"/>
      <c r="MOK64" s="180"/>
      <c r="MOL64" s="180"/>
      <c r="MOM64" s="180"/>
      <c r="MON64" s="180"/>
      <c r="MOO64" s="180"/>
      <c r="MOP64" s="180"/>
      <c r="MOQ64" s="180"/>
      <c r="MOR64" s="180"/>
      <c r="MOS64" s="180"/>
      <c r="MOT64" s="180"/>
      <c r="MOU64" s="180"/>
      <c r="MOV64" s="180"/>
      <c r="MOW64" s="180"/>
      <c r="MOX64" s="180"/>
      <c r="MOY64" s="180"/>
      <c r="MOZ64" s="180"/>
      <c r="MPA64" s="180"/>
      <c r="MPB64" s="180"/>
      <c r="MPC64" s="180"/>
      <c r="MPD64" s="180"/>
      <c r="MPE64" s="180"/>
      <c r="MPF64" s="180"/>
      <c r="MPG64" s="180"/>
      <c r="MPH64" s="180"/>
      <c r="MPI64" s="180"/>
      <c r="MPJ64" s="180"/>
      <c r="MPK64" s="180"/>
      <c r="MPL64" s="180"/>
      <c r="MPM64" s="180"/>
      <c r="MPN64" s="180"/>
      <c r="MPO64" s="180"/>
      <c r="MPP64" s="180"/>
      <c r="MPQ64" s="180"/>
      <c r="MPR64" s="180"/>
      <c r="MPS64" s="180"/>
      <c r="MPT64" s="180"/>
      <c r="MPU64" s="180"/>
      <c r="MPV64" s="180"/>
      <c r="MPW64" s="180"/>
      <c r="MPX64" s="180"/>
      <c r="MPY64" s="180"/>
      <c r="MPZ64" s="180"/>
      <c r="MQA64" s="180"/>
      <c r="MQB64" s="180"/>
      <c r="MQC64" s="180"/>
      <c r="MQD64" s="180"/>
      <c r="MQE64" s="180"/>
      <c r="MQF64" s="180"/>
      <c r="MQG64" s="180"/>
      <c r="MQH64" s="180"/>
      <c r="MQI64" s="180"/>
      <c r="MQJ64" s="180"/>
      <c r="MQK64" s="180"/>
      <c r="MQL64" s="180"/>
      <c r="MQM64" s="180"/>
      <c r="MQN64" s="180"/>
      <c r="MQO64" s="180"/>
      <c r="MQP64" s="180"/>
      <c r="MQQ64" s="180"/>
      <c r="MQR64" s="180"/>
      <c r="MQS64" s="180"/>
      <c r="MQT64" s="180"/>
      <c r="MQU64" s="180"/>
      <c r="MQV64" s="180"/>
      <c r="MQW64" s="180"/>
      <c r="MQX64" s="180"/>
      <c r="MQY64" s="180"/>
      <c r="MQZ64" s="180"/>
      <c r="MRA64" s="180"/>
      <c r="MRB64" s="180"/>
      <c r="MRC64" s="180"/>
      <c r="MRD64" s="180"/>
      <c r="MRE64" s="180"/>
      <c r="MRF64" s="180"/>
      <c r="MRG64" s="180"/>
      <c r="MRH64" s="180"/>
      <c r="MRI64" s="180"/>
      <c r="MRJ64" s="180"/>
      <c r="MRK64" s="180"/>
      <c r="MRL64" s="180"/>
      <c r="MRM64" s="180"/>
      <c r="MRN64" s="180"/>
      <c r="MRO64" s="180"/>
      <c r="MRP64" s="180"/>
      <c r="MRQ64" s="180"/>
      <c r="MRR64" s="180"/>
      <c r="MRS64" s="180"/>
      <c r="MRT64" s="180"/>
      <c r="MRU64" s="180"/>
      <c r="MRV64" s="180"/>
      <c r="MRW64" s="180"/>
      <c r="MRX64" s="180"/>
      <c r="MRY64" s="180"/>
      <c r="MRZ64" s="180"/>
      <c r="MSA64" s="180"/>
      <c r="MSB64" s="180"/>
      <c r="MSC64" s="180"/>
      <c r="MSD64" s="180"/>
      <c r="MSE64" s="180"/>
      <c r="MSF64" s="180"/>
      <c r="MSG64" s="180"/>
      <c r="MSH64" s="180"/>
      <c r="MSI64" s="180"/>
      <c r="MSJ64" s="180"/>
      <c r="MSK64" s="180"/>
      <c r="MSL64" s="180"/>
      <c r="MSM64" s="180"/>
      <c r="MSN64" s="180"/>
      <c r="MSO64" s="180"/>
      <c r="MSP64" s="180"/>
      <c r="MSQ64" s="180"/>
      <c r="MSR64" s="180"/>
      <c r="MSS64" s="180"/>
      <c r="MST64" s="180"/>
      <c r="MSU64" s="180"/>
      <c r="MSV64" s="180"/>
      <c r="MSW64" s="180"/>
      <c r="MSX64" s="180"/>
      <c r="MSY64" s="180"/>
      <c r="MSZ64" s="180"/>
      <c r="MTA64" s="180"/>
      <c r="MTB64" s="180"/>
      <c r="MTC64" s="180"/>
      <c r="MTD64" s="180"/>
      <c r="MTE64" s="180"/>
      <c r="MTF64" s="180"/>
      <c r="MTG64" s="180"/>
      <c r="MTH64" s="180"/>
      <c r="MTI64" s="180"/>
      <c r="MTJ64" s="180"/>
      <c r="MTK64" s="180"/>
      <c r="MTL64" s="180"/>
      <c r="MTM64" s="180"/>
      <c r="MTN64" s="180"/>
      <c r="MTO64" s="180"/>
      <c r="MTP64" s="180"/>
      <c r="MTQ64" s="180"/>
      <c r="MTR64" s="180"/>
      <c r="MTS64" s="180"/>
      <c r="MTT64" s="180"/>
      <c r="MTU64" s="180"/>
      <c r="MTV64" s="180"/>
      <c r="MTW64" s="180"/>
      <c r="MTX64" s="180"/>
      <c r="MTY64" s="180"/>
      <c r="MTZ64" s="180"/>
      <c r="MUA64" s="180"/>
      <c r="MUB64" s="180"/>
      <c r="MUC64" s="180"/>
      <c r="MUD64" s="180"/>
      <c r="MUE64" s="180"/>
      <c r="MUF64" s="180"/>
      <c r="MUG64" s="180"/>
      <c r="MUH64" s="180"/>
      <c r="MUI64" s="180"/>
      <c r="MUJ64" s="180"/>
      <c r="MUK64" s="180"/>
      <c r="MUL64" s="180"/>
      <c r="MUM64" s="180"/>
      <c r="MUN64" s="180"/>
      <c r="MUO64" s="180"/>
      <c r="MUP64" s="180"/>
      <c r="MUQ64" s="180"/>
      <c r="MUR64" s="180"/>
      <c r="MUS64" s="180"/>
      <c r="MUT64" s="180"/>
      <c r="MUU64" s="180"/>
      <c r="MUV64" s="180"/>
      <c r="MUW64" s="180"/>
      <c r="MUX64" s="180"/>
      <c r="MUY64" s="180"/>
      <c r="MUZ64" s="180"/>
      <c r="MVA64" s="180"/>
      <c r="MVB64" s="180"/>
      <c r="MVC64" s="180"/>
      <c r="MVD64" s="180"/>
      <c r="MVE64" s="180"/>
      <c r="MVF64" s="180"/>
      <c r="MVG64" s="180"/>
      <c r="MVH64" s="180"/>
      <c r="MVI64" s="180"/>
      <c r="MVJ64" s="180"/>
      <c r="MVK64" s="180"/>
      <c r="MVL64" s="180"/>
      <c r="MVM64" s="180"/>
      <c r="MVN64" s="180"/>
      <c r="MVO64" s="180"/>
      <c r="MVP64" s="180"/>
      <c r="MVQ64" s="180"/>
      <c r="MVR64" s="180"/>
      <c r="MVS64" s="180"/>
      <c r="MVT64" s="180"/>
      <c r="MVU64" s="180"/>
      <c r="MVV64" s="180"/>
      <c r="MVW64" s="180"/>
      <c r="MVX64" s="180"/>
      <c r="MVY64" s="180"/>
      <c r="MVZ64" s="180"/>
      <c r="MWA64" s="180"/>
      <c r="MWB64" s="180"/>
      <c r="MWC64" s="180"/>
      <c r="MWD64" s="180"/>
      <c r="MWE64" s="180"/>
      <c r="MWF64" s="180"/>
      <c r="MWG64" s="180"/>
      <c r="MWH64" s="180"/>
      <c r="MWI64" s="180"/>
      <c r="MWJ64" s="180"/>
      <c r="MWK64" s="180"/>
      <c r="MWL64" s="180"/>
      <c r="MWM64" s="180"/>
      <c r="MWN64" s="180"/>
      <c r="MWO64" s="180"/>
      <c r="MWP64" s="180"/>
      <c r="MWQ64" s="180"/>
      <c r="MWR64" s="180"/>
      <c r="MWS64" s="180"/>
      <c r="MWT64" s="180"/>
      <c r="MWU64" s="180"/>
      <c r="MWV64" s="180"/>
      <c r="MWW64" s="180"/>
      <c r="MWX64" s="180"/>
      <c r="MWY64" s="180"/>
      <c r="MWZ64" s="180"/>
      <c r="MXA64" s="180"/>
      <c r="MXB64" s="180"/>
      <c r="MXC64" s="180"/>
      <c r="MXD64" s="180"/>
      <c r="MXE64" s="180"/>
      <c r="MXF64" s="180"/>
      <c r="MXG64" s="180"/>
      <c r="MXH64" s="180"/>
      <c r="MXI64" s="180"/>
      <c r="MXJ64" s="180"/>
      <c r="MXK64" s="180"/>
      <c r="MXL64" s="180"/>
      <c r="MXM64" s="180"/>
      <c r="MXN64" s="180"/>
      <c r="MXO64" s="180"/>
      <c r="MXP64" s="180"/>
      <c r="MXQ64" s="180"/>
      <c r="MXR64" s="180"/>
      <c r="MXS64" s="180"/>
      <c r="MXT64" s="180"/>
      <c r="MXU64" s="180"/>
      <c r="MXV64" s="180"/>
      <c r="MXW64" s="180"/>
      <c r="MXX64" s="180"/>
      <c r="MXY64" s="180"/>
      <c r="MXZ64" s="180"/>
      <c r="MYA64" s="180"/>
      <c r="MYB64" s="180"/>
      <c r="MYC64" s="180"/>
      <c r="MYD64" s="180"/>
      <c r="MYE64" s="180"/>
      <c r="MYF64" s="180"/>
      <c r="MYG64" s="180"/>
      <c r="MYH64" s="180"/>
      <c r="MYI64" s="180"/>
      <c r="MYJ64" s="180"/>
      <c r="MYK64" s="180"/>
      <c r="MYL64" s="180"/>
      <c r="MYM64" s="180"/>
      <c r="MYN64" s="180"/>
      <c r="MYO64" s="180"/>
      <c r="MYP64" s="180"/>
      <c r="MYQ64" s="180"/>
      <c r="MYR64" s="180"/>
      <c r="MYS64" s="180"/>
      <c r="MYT64" s="180"/>
      <c r="MYU64" s="180"/>
      <c r="MYV64" s="180"/>
      <c r="MYW64" s="180"/>
      <c r="MYX64" s="180"/>
      <c r="MYY64" s="180"/>
      <c r="MYZ64" s="180"/>
      <c r="MZA64" s="180"/>
      <c r="MZB64" s="180"/>
      <c r="MZC64" s="180"/>
      <c r="MZD64" s="180"/>
      <c r="MZE64" s="180"/>
      <c r="MZF64" s="180"/>
      <c r="MZG64" s="180"/>
      <c r="MZH64" s="180"/>
      <c r="MZI64" s="180"/>
      <c r="MZJ64" s="180"/>
      <c r="MZK64" s="180"/>
      <c r="MZL64" s="180"/>
      <c r="MZM64" s="180"/>
      <c r="MZN64" s="180"/>
      <c r="MZO64" s="180"/>
      <c r="MZP64" s="180"/>
      <c r="MZQ64" s="180"/>
      <c r="MZR64" s="180"/>
      <c r="MZS64" s="180"/>
      <c r="MZT64" s="180"/>
      <c r="MZU64" s="180"/>
      <c r="MZV64" s="180"/>
      <c r="MZW64" s="180"/>
      <c r="MZX64" s="180"/>
      <c r="MZY64" s="180"/>
      <c r="MZZ64" s="180"/>
      <c r="NAA64" s="180"/>
      <c r="NAB64" s="180"/>
      <c r="NAC64" s="180"/>
      <c r="NAD64" s="180"/>
      <c r="NAE64" s="180"/>
      <c r="NAF64" s="180"/>
      <c r="NAG64" s="180"/>
      <c r="NAH64" s="180"/>
      <c r="NAI64" s="180"/>
      <c r="NAJ64" s="180"/>
      <c r="NAK64" s="180"/>
      <c r="NAL64" s="180"/>
      <c r="NAM64" s="180"/>
      <c r="NAN64" s="180"/>
      <c r="NAO64" s="180"/>
      <c r="NAP64" s="180"/>
      <c r="NAQ64" s="180"/>
      <c r="NAR64" s="180"/>
      <c r="NAS64" s="180"/>
      <c r="NAT64" s="180"/>
      <c r="NAU64" s="180"/>
      <c r="NAV64" s="180"/>
      <c r="NAW64" s="180"/>
      <c r="NAX64" s="180"/>
      <c r="NAY64" s="180"/>
      <c r="NAZ64" s="180"/>
      <c r="NBA64" s="180"/>
      <c r="NBB64" s="180"/>
      <c r="NBC64" s="180"/>
      <c r="NBD64" s="180"/>
      <c r="NBE64" s="180"/>
      <c r="NBF64" s="180"/>
      <c r="NBG64" s="180"/>
      <c r="NBH64" s="180"/>
      <c r="NBI64" s="180"/>
      <c r="NBJ64" s="180"/>
      <c r="NBK64" s="180"/>
      <c r="NBL64" s="180"/>
      <c r="NBM64" s="180"/>
      <c r="NBN64" s="180"/>
      <c r="NBO64" s="180"/>
      <c r="NBP64" s="180"/>
      <c r="NBQ64" s="180"/>
      <c r="NBR64" s="180"/>
      <c r="NBS64" s="180"/>
      <c r="NBT64" s="180"/>
      <c r="NBU64" s="180"/>
      <c r="NBV64" s="180"/>
      <c r="NBW64" s="180"/>
      <c r="NBX64" s="180"/>
      <c r="NBY64" s="180"/>
      <c r="NBZ64" s="180"/>
      <c r="NCA64" s="180"/>
      <c r="NCB64" s="180"/>
      <c r="NCC64" s="180"/>
      <c r="NCD64" s="180"/>
      <c r="NCE64" s="180"/>
      <c r="NCF64" s="180"/>
      <c r="NCG64" s="180"/>
      <c r="NCH64" s="180"/>
      <c r="NCI64" s="180"/>
      <c r="NCJ64" s="180"/>
      <c r="NCK64" s="180"/>
      <c r="NCL64" s="180"/>
      <c r="NCM64" s="180"/>
      <c r="NCN64" s="180"/>
      <c r="NCO64" s="180"/>
      <c r="NCP64" s="180"/>
      <c r="NCQ64" s="180"/>
      <c r="NCR64" s="180"/>
      <c r="NCS64" s="180"/>
      <c r="NCT64" s="180"/>
      <c r="NCU64" s="180"/>
      <c r="NCV64" s="180"/>
      <c r="NCW64" s="180"/>
      <c r="NCX64" s="180"/>
      <c r="NCY64" s="180"/>
      <c r="NCZ64" s="180"/>
      <c r="NDA64" s="180"/>
      <c r="NDB64" s="180"/>
      <c r="NDC64" s="180"/>
      <c r="NDD64" s="180"/>
      <c r="NDE64" s="180"/>
      <c r="NDF64" s="180"/>
      <c r="NDG64" s="180"/>
      <c r="NDH64" s="180"/>
      <c r="NDI64" s="180"/>
      <c r="NDJ64" s="180"/>
      <c r="NDK64" s="180"/>
      <c r="NDL64" s="180"/>
      <c r="NDM64" s="180"/>
      <c r="NDN64" s="180"/>
      <c r="NDO64" s="180"/>
      <c r="NDP64" s="180"/>
      <c r="NDQ64" s="180"/>
      <c r="NDR64" s="180"/>
      <c r="NDS64" s="180"/>
      <c r="NDT64" s="180"/>
      <c r="NDU64" s="180"/>
      <c r="NDV64" s="180"/>
      <c r="NDW64" s="180"/>
      <c r="NDX64" s="180"/>
      <c r="NDY64" s="180"/>
      <c r="NDZ64" s="180"/>
      <c r="NEA64" s="180"/>
      <c r="NEB64" s="180"/>
      <c r="NEC64" s="180"/>
      <c r="NED64" s="180"/>
      <c r="NEE64" s="180"/>
      <c r="NEF64" s="180"/>
      <c r="NEG64" s="180"/>
      <c r="NEH64" s="180"/>
      <c r="NEI64" s="180"/>
      <c r="NEJ64" s="180"/>
      <c r="NEK64" s="180"/>
      <c r="NEL64" s="180"/>
      <c r="NEM64" s="180"/>
      <c r="NEN64" s="180"/>
      <c r="NEO64" s="180"/>
      <c r="NEP64" s="180"/>
      <c r="NEQ64" s="180"/>
      <c r="NER64" s="180"/>
      <c r="NES64" s="180"/>
      <c r="NET64" s="180"/>
      <c r="NEU64" s="180"/>
      <c r="NEV64" s="180"/>
      <c r="NEW64" s="180"/>
      <c r="NEX64" s="180"/>
      <c r="NEY64" s="180"/>
      <c r="NEZ64" s="180"/>
      <c r="NFA64" s="180"/>
      <c r="NFB64" s="180"/>
      <c r="NFC64" s="180"/>
      <c r="NFD64" s="180"/>
      <c r="NFE64" s="180"/>
      <c r="NFF64" s="180"/>
      <c r="NFG64" s="180"/>
      <c r="NFH64" s="180"/>
      <c r="NFI64" s="180"/>
      <c r="NFJ64" s="180"/>
      <c r="NFK64" s="180"/>
      <c r="NFL64" s="180"/>
      <c r="NFM64" s="180"/>
      <c r="NFN64" s="180"/>
      <c r="NFO64" s="180"/>
      <c r="NFP64" s="180"/>
      <c r="NFQ64" s="180"/>
      <c r="NFR64" s="180"/>
      <c r="NFS64" s="180"/>
      <c r="NFT64" s="180"/>
      <c r="NFU64" s="180"/>
      <c r="NFV64" s="180"/>
      <c r="NFW64" s="180"/>
      <c r="NFX64" s="180"/>
      <c r="NFY64" s="180"/>
      <c r="NFZ64" s="180"/>
      <c r="NGA64" s="180"/>
      <c r="NGB64" s="180"/>
      <c r="NGC64" s="180"/>
      <c r="NGD64" s="180"/>
      <c r="NGE64" s="180"/>
      <c r="NGF64" s="180"/>
      <c r="NGG64" s="180"/>
      <c r="NGH64" s="180"/>
      <c r="NGI64" s="180"/>
      <c r="NGJ64" s="180"/>
      <c r="NGK64" s="180"/>
      <c r="NGL64" s="180"/>
      <c r="NGM64" s="180"/>
      <c r="NGN64" s="180"/>
      <c r="NGO64" s="180"/>
      <c r="NGP64" s="180"/>
      <c r="NGQ64" s="180"/>
      <c r="NGR64" s="180"/>
      <c r="NGS64" s="180"/>
      <c r="NGT64" s="180"/>
      <c r="NGU64" s="180"/>
      <c r="NGV64" s="180"/>
      <c r="NGW64" s="180"/>
      <c r="NGX64" s="180"/>
      <c r="NGY64" s="180"/>
      <c r="NGZ64" s="180"/>
      <c r="NHA64" s="180"/>
      <c r="NHB64" s="180"/>
      <c r="NHC64" s="180"/>
      <c r="NHD64" s="180"/>
      <c r="NHE64" s="180"/>
      <c r="NHF64" s="180"/>
      <c r="NHG64" s="180"/>
      <c r="NHH64" s="180"/>
      <c r="NHI64" s="180"/>
      <c r="NHJ64" s="180"/>
      <c r="NHK64" s="180"/>
      <c r="NHL64" s="180"/>
      <c r="NHM64" s="180"/>
      <c r="NHN64" s="180"/>
      <c r="NHO64" s="180"/>
      <c r="NHP64" s="180"/>
      <c r="NHQ64" s="180"/>
      <c r="NHR64" s="180"/>
      <c r="NHS64" s="180"/>
      <c r="NHT64" s="180"/>
      <c r="NHU64" s="180"/>
      <c r="NHV64" s="180"/>
      <c r="NHW64" s="180"/>
      <c r="NHX64" s="180"/>
      <c r="NHY64" s="180"/>
      <c r="NHZ64" s="180"/>
      <c r="NIA64" s="180"/>
      <c r="NIB64" s="180"/>
      <c r="NIC64" s="180"/>
      <c r="NID64" s="180"/>
      <c r="NIE64" s="180"/>
      <c r="NIF64" s="180"/>
      <c r="NIG64" s="180"/>
      <c r="NIH64" s="180"/>
      <c r="NII64" s="180"/>
      <c r="NIJ64" s="180"/>
      <c r="NIK64" s="180"/>
      <c r="NIL64" s="180"/>
      <c r="NIM64" s="180"/>
      <c r="NIN64" s="180"/>
      <c r="NIO64" s="180"/>
      <c r="NIP64" s="180"/>
      <c r="NIQ64" s="180"/>
      <c r="NIR64" s="180"/>
      <c r="NIS64" s="180"/>
      <c r="NIT64" s="180"/>
      <c r="NIU64" s="180"/>
      <c r="NIV64" s="180"/>
      <c r="NIW64" s="180"/>
      <c r="NIX64" s="180"/>
      <c r="NIY64" s="180"/>
      <c r="NIZ64" s="180"/>
      <c r="NJA64" s="180"/>
      <c r="NJB64" s="180"/>
      <c r="NJC64" s="180"/>
      <c r="NJD64" s="180"/>
      <c r="NJE64" s="180"/>
      <c r="NJF64" s="180"/>
      <c r="NJG64" s="180"/>
      <c r="NJH64" s="180"/>
      <c r="NJI64" s="180"/>
      <c r="NJJ64" s="180"/>
      <c r="NJK64" s="180"/>
      <c r="NJL64" s="180"/>
      <c r="NJM64" s="180"/>
      <c r="NJN64" s="180"/>
      <c r="NJO64" s="180"/>
      <c r="NJP64" s="180"/>
      <c r="NJQ64" s="180"/>
      <c r="NJR64" s="180"/>
      <c r="NJS64" s="180"/>
      <c r="NJT64" s="180"/>
      <c r="NJU64" s="180"/>
      <c r="NJV64" s="180"/>
      <c r="NJW64" s="180"/>
      <c r="NJX64" s="180"/>
      <c r="NJY64" s="180"/>
      <c r="NJZ64" s="180"/>
      <c r="NKA64" s="180"/>
      <c r="NKB64" s="180"/>
      <c r="NKC64" s="180"/>
      <c r="NKD64" s="180"/>
      <c r="NKE64" s="180"/>
      <c r="NKF64" s="180"/>
      <c r="NKG64" s="180"/>
      <c r="NKH64" s="180"/>
      <c r="NKI64" s="180"/>
      <c r="NKJ64" s="180"/>
      <c r="NKK64" s="180"/>
      <c r="NKL64" s="180"/>
      <c r="NKM64" s="180"/>
      <c r="NKN64" s="180"/>
      <c r="NKO64" s="180"/>
      <c r="NKP64" s="180"/>
      <c r="NKQ64" s="180"/>
      <c r="NKR64" s="180"/>
      <c r="NKS64" s="180"/>
      <c r="NKT64" s="180"/>
      <c r="NKU64" s="180"/>
      <c r="NKV64" s="180"/>
      <c r="NKW64" s="180"/>
      <c r="NKX64" s="180"/>
      <c r="NKY64" s="180"/>
      <c r="NKZ64" s="180"/>
      <c r="NLA64" s="180"/>
      <c r="NLB64" s="180"/>
      <c r="NLC64" s="180"/>
      <c r="NLD64" s="180"/>
      <c r="NLE64" s="180"/>
      <c r="NLF64" s="180"/>
      <c r="NLG64" s="180"/>
      <c r="NLH64" s="180"/>
      <c r="NLI64" s="180"/>
      <c r="NLJ64" s="180"/>
      <c r="NLK64" s="180"/>
      <c r="NLL64" s="180"/>
      <c r="NLM64" s="180"/>
      <c r="NLN64" s="180"/>
      <c r="NLO64" s="180"/>
      <c r="NLP64" s="180"/>
      <c r="NLQ64" s="180"/>
      <c r="NLR64" s="180"/>
      <c r="NLS64" s="180"/>
      <c r="NLT64" s="180"/>
      <c r="NLU64" s="180"/>
      <c r="NLV64" s="180"/>
      <c r="NLW64" s="180"/>
      <c r="NLX64" s="180"/>
      <c r="NLY64" s="180"/>
      <c r="NLZ64" s="180"/>
      <c r="NMA64" s="180"/>
      <c r="NMB64" s="180"/>
      <c r="NMC64" s="180"/>
      <c r="NMD64" s="180"/>
      <c r="NME64" s="180"/>
      <c r="NMF64" s="180"/>
      <c r="NMG64" s="180"/>
      <c r="NMH64" s="180"/>
      <c r="NMI64" s="180"/>
      <c r="NMJ64" s="180"/>
      <c r="NMK64" s="180"/>
      <c r="NML64" s="180"/>
      <c r="NMM64" s="180"/>
      <c r="NMN64" s="180"/>
      <c r="NMO64" s="180"/>
      <c r="NMP64" s="180"/>
      <c r="NMQ64" s="180"/>
      <c r="NMR64" s="180"/>
      <c r="NMS64" s="180"/>
      <c r="NMT64" s="180"/>
      <c r="NMU64" s="180"/>
      <c r="NMV64" s="180"/>
      <c r="NMW64" s="180"/>
      <c r="NMX64" s="180"/>
      <c r="NMY64" s="180"/>
      <c r="NMZ64" s="180"/>
      <c r="NNA64" s="180"/>
      <c r="NNB64" s="180"/>
      <c r="NNC64" s="180"/>
      <c r="NND64" s="180"/>
      <c r="NNE64" s="180"/>
      <c r="NNF64" s="180"/>
      <c r="NNG64" s="180"/>
      <c r="NNH64" s="180"/>
      <c r="NNI64" s="180"/>
      <c r="NNJ64" s="180"/>
      <c r="NNK64" s="180"/>
      <c r="NNL64" s="180"/>
      <c r="NNM64" s="180"/>
      <c r="NNN64" s="180"/>
      <c r="NNO64" s="180"/>
      <c r="NNP64" s="180"/>
      <c r="NNQ64" s="180"/>
      <c r="NNR64" s="180"/>
      <c r="NNS64" s="180"/>
      <c r="NNT64" s="180"/>
      <c r="NNU64" s="180"/>
      <c r="NNV64" s="180"/>
      <c r="NNW64" s="180"/>
      <c r="NNX64" s="180"/>
      <c r="NNY64" s="180"/>
      <c r="NNZ64" s="180"/>
      <c r="NOA64" s="180"/>
      <c r="NOB64" s="180"/>
      <c r="NOC64" s="180"/>
      <c r="NOD64" s="180"/>
      <c r="NOE64" s="180"/>
      <c r="NOF64" s="180"/>
      <c r="NOG64" s="180"/>
      <c r="NOH64" s="180"/>
      <c r="NOI64" s="180"/>
      <c r="NOJ64" s="180"/>
      <c r="NOK64" s="180"/>
      <c r="NOL64" s="180"/>
      <c r="NOM64" s="180"/>
      <c r="NON64" s="180"/>
      <c r="NOO64" s="180"/>
      <c r="NOP64" s="180"/>
      <c r="NOQ64" s="180"/>
      <c r="NOR64" s="180"/>
      <c r="NOS64" s="180"/>
      <c r="NOT64" s="180"/>
      <c r="NOU64" s="180"/>
      <c r="NOV64" s="180"/>
      <c r="NOW64" s="180"/>
      <c r="NOX64" s="180"/>
      <c r="NOY64" s="180"/>
      <c r="NOZ64" s="180"/>
      <c r="NPA64" s="180"/>
      <c r="NPB64" s="180"/>
      <c r="NPC64" s="180"/>
      <c r="NPD64" s="180"/>
      <c r="NPE64" s="180"/>
      <c r="NPF64" s="180"/>
      <c r="NPG64" s="180"/>
      <c r="NPH64" s="180"/>
      <c r="NPI64" s="180"/>
      <c r="NPJ64" s="180"/>
      <c r="NPK64" s="180"/>
      <c r="NPL64" s="180"/>
      <c r="NPM64" s="180"/>
      <c r="NPN64" s="180"/>
      <c r="NPO64" s="180"/>
      <c r="NPP64" s="180"/>
      <c r="NPQ64" s="180"/>
      <c r="NPR64" s="180"/>
      <c r="NPS64" s="180"/>
      <c r="NPT64" s="180"/>
      <c r="NPU64" s="180"/>
      <c r="NPV64" s="180"/>
      <c r="NPW64" s="180"/>
      <c r="NPX64" s="180"/>
      <c r="NPY64" s="180"/>
      <c r="NPZ64" s="180"/>
      <c r="NQA64" s="180"/>
      <c r="NQB64" s="180"/>
      <c r="NQC64" s="180"/>
      <c r="NQD64" s="180"/>
      <c r="NQE64" s="180"/>
      <c r="NQF64" s="180"/>
      <c r="NQG64" s="180"/>
      <c r="NQH64" s="180"/>
      <c r="NQI64" s="180"/>
      <c r="NQJ64" s="180"/>
      <c r="NQK64" s="180"/>
      <c r="NQL64" s="180"/>
      <c r="NQM64" s="180"/>
      <c r="NQN64" s="180"/>
      <c r="NQO64" s="180"/>
      <c r="NQP64" s="180"/>
      <c r="NQQ64" s="180"/>
      <c r="NQR64" s="180"/>
      <c r="NQS64" s="180"/>
      <c r="NQT64" s="180"/>
      <c r="NQU64" s="180"/>
      <c r="NQV64" s="180"/>
      <c r="NQW64" s="180"/>
      <c r="NQX64" s="180"/>
      <c r="NQY64" s="180"/>
      <c r="NQZ64" s="180"/>
      <c r="NRA64" s="180"/>
      <c r="NRB64" s="180"/>
      <c r="NRC64" s="180"/>
      <c r="NRD64" s="180"/>
      <c r="NRE64" s="180"/>
      <c r="NRF64" s="180"/>
      <c r="NRG64" s="180"/>
      <c r="NRH64" s="180"/>
      <c r="NRI64" s="180"/>
      <c r="NRJ64" s="180"/>
      <c r="NRK64" s="180"/>
      <c r="NRL64" s="180"/>
      <c r="NRM64" s="180"/>
      <c r="NRN64" s="180"/>
      <c r="NRO64" s="180"/>
      <c r="NRP64" s="180"/>
      <c r="NRQ64" s="180"/>
      <c r="NRR64" s="180"/>
      <c r="NRS64" s="180"/>
      <c r="NRT64" s="180"/>
      <c r="NRU64" s="180"/>
      <c r="NRV64" s="180"/>
      <c r="NRW64" s="180"/>
      <c r="NRX64" s="180"/>
      <c r="NRY64" s="180"/>
      <c r="NRZ64" s="180"/>
      <c r="NSA64" s="180"/>
      <c r="NSB64" s="180"/>
      <c r="NSC64" s="180"/>
      <c r="NSD64" s="180"/>
      <c r="NSE64" s="180"/>
      <c r="NSF64" s="180"/>
      <c r="NSG64" s="180"/>
      <c r="NSH64" s="180"/>
      <c r="NSI64" s="180"/>
      <c r="NSJ64" s="180"/>
      <c r="NSK64" s="180"/>
      <c r="NSL64" s="180"/>
      <c r="NSM64" s="180"/>
      <c r="NSN64" s="180"/>
      <c r="NSO64" s="180"/>
      <c r="NSP64" s="180"/>
      <c r="NSQ64" s="180"/>
      <c r="NSR64" s="180"/>
      <c r="NSS64" s="180"/>
      <c r="NST64" s="180"/>
      <c r="NSU64" s="180"/>
      <c r="NSV64" s="180"/>
      <c r="NSW64" s="180"/>
      <c r="NSX64" s="180"/>
      <c r="NSY64" s="180"/>
      <c r="NSZ64" s="180"/>
      <c r="NTA64" s="180"/>
      <c r="NTB64" s="180"/>
      <c r="NTC64" s="180"/>
      <c r="NTD64" s="180"/>
      <c r="NTE64" s="180"/>
      <c r="NTF64" s="180"/>
      <c r="NTG64" s="180"/>
      <c r="NTH64" s="180"/>
      <c r="NTI64" s="180"/>
      <c r="NTJ64" s="180"/>
      <c r="NTK64" s="180"/>
      <c r="NTL64" s="180"/>
      <c r="NTM64" s="180"/>
      <c r="NTN64" s="180"/>
      <c r="NTO64" s="180"/>
      <c r="NTP64" s="180"/>
      <c r="NTQ64" s="180"/>
      <c r="NTR64" s="180"/>
      <c r="NTS64" s="180"/>
      <c r="NTT64" s="180"/>
      <c r="NTU64" s="180"/>
      <c r="NTV64" s="180"/>
      <c r="NTW64" s="180"/>
      <c r="NTX64" s="180"/>
      <c r="NTY64" s="180"/>
      <c r="NTZ64" s="180"/>
      <c r="NUA64" s="180"/>
      <c r="NUB64" s="180"/>
      <c r="NUC64" s="180"/>
      <c r="NUD64" s="180"/>
      <c r="NUE64" s="180"/>
      <c r="NUF64" s="180"/>
      <c r="NUG64" s="180"/>
      <c r="NUH64" s="180"/>
      <c r="NUI64" s="180"/>
      <c r="NUJ64" s="180"/>
      <c r="NUK64" s="180"/>
      <c r="NUL64" s="180"/>
      <c r="NUM64" s="180"/>
      <c r="NUN64" s="180"/>
      <c r="NUO64" s="180"/>
      <c r="NUP64" s="180"/>
      <c r="NUQ64" s="180"/>
      <c r="NUR64" s="180"/>
      <c r="NUS64" s="180"/>
      <c r="NUT64" s="180"/>
      <c r="NUU64" s="180"/>
      <c r="NUV64" s="180"/>
      <c r="NUW64" s="180"/>
      <c r="NUX64" s="180"/>
      <c r="NUY64" s="180"/>
      <c r="NUZ64" s="180"/>
      <c r="NVA64" s="180"/>
      <c r="NVB64" s="180"/>
      <c r="NVC64" s="180"/>
      <c r="NVD64" s="180"/>
      <c r="NVE64" s="180"/>
      <c r="NVF64" s="180"/>
      <c r="NVG64" s="180"/>
      <c r="NVH64" s="180"/>
      <c r="NVI64" s="180"/>
      <c r="NVJ64" s="180"/>
      <c r="NVK64" s="180"/>
      <c r="NVL64" s="180"/>
      <c r="NVM64" s="180"/>
      <c r="NVN64" s="180"/>
      <c r="NVO64" s="180"/>
      <c r="NVP64" s="180"/>
      <c r="NVQ64" s="180"/>
      <c r="NVR64" s="180"/>
      <c r="NVS64" s="180"/>
      <c r="NVT64" s="180"/>
      <c r="NVU64" s="180"/>
      <c r="NVV64" s="180"/>
      <c r="NVW64" s="180"/>
      <c r="NVX64" s="180"/>
      <c r="NVY64" s="180"/>
      <c r="NVZ64" s="180"/>
      <c r="NWA64" s="180"/>
      <c r="NWB64" s="180"/>
      <c r="NWC64" s="180"/>
      <c r="NWD64" s="180"/>
      <c r="NWE64" s="180"/>
      <c r="NWF64" s="180"/>
      <c r="NWG64" s="180"/>
      <c r="NWH64" s="180"/>
      <c r="NWI64" s="180"/>
      <c r="NWJ64" s="180"/>
      <c r="NWK64" s="180"/>
      <c r="NWL64" s="180"/>
      <c r="NWM64" s="180"/>
      <c r="NWN64" s="180"/>
      <c r="NWO64" s="180"/>
      <c r="NWP64" s="180"/>
      <c r="NWQ64" s="180"/>
      <c r="NWR64" s="180"/>
      <c r="NWS64" s="180"/>
      <c r="NWT64" s="180"/>
      <c r="NWU64" s="180"/>
      <c r="NWV64" s="180"/>
      <c r="NWW64" s="180"/>
      <c r="NWX64" s="180"/>
      <c r="NWY64" s="180"/>
      <c r="NWZ64" s="180"/>
      <c r="NXA64" s="180"/>
      <c r="NXB64" s="180"/>
      <c r="NXC64" s="180"/>
      <c r="NXD64" s="180"/>
      <c r="NXE64" s="180"/>
      <c r="NXF64" s="180"/>
      <c r="NXG64" s="180"/>
      <c r="NXH64" s="180"/>
      <c r="NXI64" s="180"/>
      <c r="NXJ64" s="180"/>
      <c r="NXK64" s="180"/>
      <c r="NXL64" s="180"/>
      <c r="NXM64" s="180"/>
      <c r="NXN64" s="180"/>
      <c r="NXO64" s="180"/>
      <c r="NXP64" s="180"/>
      <c r="NXQ64" s="180"/>
      <c r="NXR64" s="180"/>
      <c r="NXS64" s="180"/>
      <c r="NXT64" s="180"/>
      <c r="NXU64" s="180"/>
      <c r="NXV64" s="180"/>
      <c r="NXW64" s="180"/>
      <c r="NXX64" s="180"/>
      <c r="NXY64" s="180"/>
      <c r="NXZ64" s="180"/>
      <c r="NYA64" s="180"/>
      <c r="NYB64" s="180"/>
      <c r="NYC64" s="180"/>
      <c r="NYD64" s="180"/>
      <c r="NYE64" s="180"/>
      <c r="NYF64" s="180"/>
      <c r="NYG64" s="180"/>
      <c r="NYH64" s="180"/>
      <c r="NYI64" s="180"/>
      <c r="NYJ64" s="180"/>
      <c r="NYK64" s="180"/>
      <c r="NYL64" s="180"/>
      <c r="NYM64" s="180"/>
      <c r="NYN64" s="180"/>
      <c r="NYO64" s="180"/>
      <c r="NYP64" s="180"/>
      <c r="NYQ64" s="180"/>
      <c r="NYR64" s="180"/>
      <c r="NYS64" s="180"/>
      <c r="NYT64" s="180"/>
      <c r="NYU64" s="180"/>
      <c r="NYV64" s="180"/>
      <c r="NYW64" s="180"/>
      <c r="NYX64" s="180"/>
      <c r="NYY64" s="180"/>
      <c r="NYZ64" s="180"/>
      <c r="NZA64" s="180"/>
      <c r="NZB64" s="180"/>
      <c r="NZC64" s="180"/>
      <c r="NZD64" s="180"/>
      <c r="NZE64" s="180"/>
      <c r="NZF64" s="180"/>
      <c r="NZG64" s="180"/>
      <c r="NZH64" s="180"/>
      <c r="NZI64" s="180"/>
      <c r="NZJ64" s="180"/>
      <c r="NZK64" s="180"/>
      <c r="NZL64" s="180"/>
      <c r="NZM64" s="180"/>
      <c r="NZN64" s="180"/>
      <c r="NZO64" s="180"/>
      <c r="NZP64" s="180"/>
      <c r="NZQ64" s="180"/>
      <c r="NZR64" s="180"/>
      <c r="NZS64" s="180"/>
      <c r="NZT64" s="180"/>
      <c r="NZU64" s="180"/>
      <c r="NZV64" s="180"/>
      <c r="NZW64" s="180"/>
      <c r="NZX64" s="180"/>
      <c r="NZY64" s="180"/>
      <c r="NZZ64" s="180"/>
      <c r="OAA64" s="180"/>
      <c r="OAB64" s="180"/>
      <c r="OAC64" s="180"/>
      <c r="OAD64" s="180"/>
      <c r="OAE64" s="180"/>
      <c r="OAF64" s="180"/>
      <c r="OAG64" s="180"/>
      <c r="OAH64" s="180"/>
      <c r="OAI64" s="180"/>
      <c r="OAJ64" s="180"/>
      <c r="OAK64" s="180"/>
      <c r="OAL64" s="180"/>
      <c r="OAM64" s="180"/>
      <c r="OAN64" s="180"/>
      <c r="OAO64" s="180"/>
      <c r="OAP64" s="180"/>
      <c r="OAQ64" s="180"/>
      <c r="OAR64" s="180"/>
      <c r="OAS64" s="180"/>
      <c r="OAT64" s="180"/>
      <c r="OAU64" s="180"/>
      <c r="OAV64" s="180"/>
      <c r="OAW64" s="180"/>
      <c r="OAX64" s="180"/>
      <c r="OAY64" s="180"/>
      <c r="OAZ64" s="180"/>
      <c r="OBA64" s="180"/>
      <c r="OBB64" s="180"/>
      <c r="OBC64" s="180"/>
      <c r="OBD64" s="180"/>
      <c r="OBE64" s="180"/>
      <c r="OBF64" s="180"/>
      <c r="OBG64" s="180"/>
      <c r="OBH64" s="180"/>
      <c r="OBI64" s="180"/>
      <c r="OBJ64" s="180"/>
      <c r="OBK64" s="180"/>
      <c r="OBL64" s="180"/>
      <c r="OBM64" s="180"/>
      <c r="OBN64" s="180"/>
      <c r="OBO64" s="180"/>
      <c r="OBP64" s="180"/>
      <c r="OBQ64" s="180"/>
      <c r="OBR64" s="180"/>
      <c r="OBS64" s="180"/>
      <c r="OBT64" s="180"/>
      <c r="OBU64" s="180"/>
      <c r="OBV64" s="180"/>
      <c r="OBW64" s="180"/>
      <c r="OBX64" s="180"/>
      <c r="OBY64" s="180"/>
      <c r="OBZ64" s="180"/>
      <c r="OCA64" s="180"/>
      <c r="OCB64" s="180"/>
      <c r="OCC64" s="180"/>
      <c r="OCD64" s="180"/>
      <c r="OCE64" s="180"/>
      <c r="OCF64" s="180"/>
      <c r="OCG64" s="180"/>
      <c r="OCH64" s="180"/>
      <c r="OCI64" s="180"/>
      <c r="OCJ64" s="180"/>
      <c r="OCK64" s="180"/>
      <c r="OCL64" s="180"/>
      <c r="OCM64" s="180"/>
      <c r="OCN64" s="180"/>
      <c r="OCO64" s="180"/>
      <c r="OCP64" s="180"/>
      <c r="OCQ64" s="180"/>
      <c r="OCR64" s="180"/>
      <c r="OCS64" s="180"/>
      <c r="OCT64" s="180"/>
      <c r="OCU64" s="180"/>
      <c r="OCV64" s="180"/>
      <c r="OCW64" s="180"/>
      <c r="OCX64" s="180"/>
      <c r="OCY64" s="180"/>
      <c r="OCZ64" s="180"/>
      <c r="ODA64" s="180"/>
      <c r="ODB64" s="180"/>
      <c r="ODC64" s="180"/>
      <c r="ODD64" s="180"/>
      <c r="ODE64" s="180"/>
      <c r="ODF64" s="180"/>
      <c r="ODG64" s="180"/>
      <c r="ODH64" s="180"/>
      <c r="ODI64" s="180"/>
      <c r="ODJ64" s="180"/>
      <c r="ODK64" s="180"/>
      <c r="ODL64" s="180"/>
      <c r="ODM64" s="180"/>
      <c r="ODN64" s="180"/>
      <c r="ODO64" s="180"/>
      <c r="ODP64" s="180"/>
      <c r="ODQ64" s="180"/>
      <c r="ODR64" s="180"/>
      <c r="ODS64" s="180"/>
      <c r="ODT64" s="180"/>
      <c r="ODU64" s="180"/>
      <c r="ODV64" s="180"/>
      <c r="ODW64" s="180"/>
      <c r="ODX64" s="180"/>
      <c r="ODY64" s="180"/>
      <c r="ODZ64" s="180"/>
      <c r="OEA64" s="180"/>
      <c r="OEB64" s="180"/>
      <c r="OEC64" s="180"/>
      <c r="OED64" s="180"/>
      <c r="OEE64" s="180"/>
      <c r="OEF64" s="180"/>
      <c r="OEG64" s="180"/>
      <c r="OEH64" s="180"/>
      <c r="OEI64" s="180"/>
      <c r="OEJ64" s="180"/>
      <c r="OEK64" s="180"/>
      <c r="OEL64" s="180"/>
      <c r="OEM64" s="180"/>
      <c r="OEN64" s="180"/>
      <c r="OEO64" s="180"/>
      <c r="OEP64" s="180"/>
      <c r="OEQ64" s="180"/>
      <c r="OER64" s="180"/>
      <c r="OES64" s="180"/>
      <c r="OET64" s="180"/>
      <c r="OEU64" s="180"/>
      <c r="OEV64" s="180"/>
      <c r="OEW64" s="180"/>
      <c r="OEX64" s="180"/>
      <c r="OEY64" s="180"/>
      <c r="OEZ64" s="180"/>
      <c r="OFA64" s="180"/>
      <c r="OFB64" s="180"/>
      <c r="OFC64" s="180"/>
      <c r="OFD64" s="180"/>
      <c r="OFE64" s="180"/>
      <c r="OFF64" s="180"/>
      <c r="OFG64" s="180"/>
      <c r="OFH64" s="180"/>
      <c r="OFI64" s="180"/>
      <c r="OFJ64" s="180"/>
      <c r="OFK64" s="180"/>
      <c r="OFL64" s="180"/>
      <c r="OFM64" s="180"/>
      <c r="OFN64" s="180"/>
      <c r="OFO64" s="180"/>
      <c r="OFP64" s="180"/>
      <c r="OFQ64" s="180"/>
      <c r="OFR64" s="180"/>
      <c r="OFS64" s="180"/>
      <c r="OFT64" s="180"/>
      <c r="OFU64" s="180"/>
      <c r="OFV64" s="180"/>
      <c r="OFW64" s="180"/>
      <c r="OFX64" s="180"/>
      <c r="OFY64" s="180"/>
      <c r="OFZ64" s="180"/>
      <c r="OGA64" s="180"/>
      <c r="OGB64" s="180"/>
      <c r="OGC64" s="180"/>
      <c r="OGD64" s="180"/>
      <c r="OGE64" s="180"/>
      <c r="OGF64" s="180"/>
      <c r="OGG64" s="180"/>
      <c r="OGH64" s="180"/>
      <c r="OGI64" s="180"/>
      <c r="OGJ64" s="180"/>
      <c r="OGK64" s="180"/>
      <c r="OGL64" s="180"/>
      <c r="OGM64" s="180"/>
      <c r="OGN64" s="180"/>
      <c r="OGO64" s="180"/>
      <c r="OGP64" s="180"/>
      <c r="OGQ64" s="180"/>
      <c r="OGR64" s="180"/>
      <c r="OGS64" s="180"/>
      <c r="OGT64" s="180"/>
      <c r="OGU64" s="180"/>
      <c r="OGV64" s="180"/>
      <c r="OGW64" s="180"/>
      <c r="OGX64" s="180"/>
      <c r="OGY64" s="180"/>
      <c r="OGZ64" s="180"/>
      <c r="OHA64" s="180"/>
      <c r="OHB64" s="180"/>
      <c r="OHC64" s="180"/>
      <c r="OHD64" s="180"/>
      <c r="OHE64" s="180"/>
      <c r="OHF64" s="180"/>
      <c r="OHG64" s="180"/>
      <c r="OHH64" s="180"/>
      <c r="OHI64" s="180"/>
      <c r="OHJ64" s="180"/>
      <c r="OHK64" s="180"/>
      <c r="OHL64" s="180"/>
      <c r="OHM64" s="180"/>
      <c r="OHN64" s="180"/>
      <c r="OHO64" s="180"/>
      <c r="OHP64" s="180"/>
      <c r="OHQ64" s="180"/>
      <c r="OHR64" s="180"/>
      <c r="OHS64" s="180"/>
      <c r="OHT64" s="180"/>
      <c r="OHU64" s="180"/>
      <c r="OHV64" s="180"/>
      <c r="OHW64" s="180"/>
      <c r="OHX64" s="180"/>
      <c r="OHY64" s="180"/>
      <c r="OHZ64" s="180"/>
      <c r="OIA64" s="180"/>
      <c r="OIB64" s="180"/>
      <c r="OIC64" s="180"/>
      <c r="OID64" s="180"/>
      <c r="OIE64" s="180"/>
      <c r="OIF64" s="180"/>
      <c r="OIG64" s="180"/>
      <c r="OIH64" s="180"/>
      <c r="OII64" s="180"/>
      <c r="OIJ64" s="180"/>
      <c r="OIK64" s="180"/>
      <c r="OIL64" s="180"/>
      <c r="OIM64" s="180"/>
      <c r="OIN64" s="180"/>
      <c r="OIO64" s="180"/>
      <c r="OIP64" s="180"/>
      <c r="OIQ64" s="180"/>
      <c r="OIR64" s="180"/>
      <c r="OIS64" s="180"/>
      <c r="OIT64" s="180"/>
      <c r="OIU64" s="180"/>
      <c r="OIV64" s="180"/>
      <c r="OIW64" s="180"/>
      <c r="OIX64" s="180"/>
      <c r="OIY64" s="180"/>
      <c r="OIZ64" s="180"/>
      <c r="OJA64" s="180"/>
      <c r="OJB64" s="180"/>
      <c r="OJC64" s="180"/>
      <c r="OJD64" s="180"/>
      <c r="OJE64" s="180"/>
      <c r="OJF64" s="180"/>
      <c r="OJG64" s="180"/>
      <c r="OJH64" s="180"/>
      <c r="OJI64" s="180"/>
      <c r="OJJ64" s="180"/>
      <c r="OJK64" s="180"/>
      <c r="OJL64" s="180"/>
      <c r="OJM64" s="180"/>
      <c r="OJN64" s="180"/>
      <c r="OJO64" s="180"/>
      <c r="OJP64" s="180"/>
      <c r="OJQ64" s="180"/>
      <c r="OJR64" s="180"/>
      <c r="OJS64" s="180"/>
      <c r="OJT64" s="180"/>
      <c r="OJU64" s="180"/>
      <c r="OJV64" s="180"/>
      <c r="OJW64" s="180"/>
      <c r="OJX64" s="180"/>
      <c r="OJY64" s="180"/>
      <c r="OJZ64" s="180"/>
      <c r="OKA64" s="180"/>
      <c r="OKB64" s="180"/>
      <c r="OKC64" s="180"/>
      <c r="OKD64" s="180"/>
      <c r="OKE64" s="180"/>
      <c r="OKF64" s="180"/>
      <c r="OKG64" s="180"/>
      <c r="OKH64" s="180"/>
      <c r="OKI64" s="180"/>
      <c r="OKJ64" s="180"/>
      <c r="OKK64" s="180"/>
      <c r="OKL64" s="180"/>
      <c r="OKM64" s="180"/>
      <c r="OKN64" s="180"/>
      <c r="OKO64" s="180"/>
      <c r="OKP64" s="180"/>
      <c r="OKQ64" s="180"/>
      <c r="OKR64" s="180"/>
      <c r="OKS64" s="180"/>
      <c r="OKT64" s="180"/>
      <c r="OKU64" s="180"/>
      <c r="OKV64" s="180"/>
      <c r="OKW64" s="180"/>
      <c r="OKX64" s="180"/>
      <c r="OKY64" s="180"/>
      <c r="OKZ64" s="180"/>
      <c r="OLA64" s="180"/>
      <c r="OLB64" s="180"/>
      <c r="OLC64" s="180"/>
      <c r="OLD64" s="180"/>
      <c r="OLE64" s="180"/>
      <c r="OLF64" s="180"/>
      <c r="OLG64" s="180"/>
      <c r="OLH64" s="180"/>
      <c r="OLI64" s="180"/>
      <c r="OLJ64" s="180"/>
      <c r="OLK64" s="180"/>
      <c r="OLL64" s="180"/>
      <c r="OLM64" s="180"/>
      <c r="OLN64" s="180"/>
      <c r="OLO64" s="180"/>
      <c r="OLP64" s="180"/>
      <c r="OLQ64" s="180"/>
      <c r="OLR64" s="180"/>
      <c r="OLS64" s="180"/>
      <c r="OLT64" s="180"/>
      <c r="OLU64" s="180"/>
      <c r="OLV64" s="180"/>
      <c r="OLW64" s="180"/>
      <c r="OLX64" s="180"/>
      <c r="OLY64" s="180"/>
      <c r="OLZ64" s="180"/>
      <c r="OMA64" s="180"/>
      <c r="OMB64" s="180"/>
      <c r="OMC64" s="180"/>
      <c r="OMD64" s="180"/>
      <c r="OME64" s="180"/>
      <c r="OMF64" s="180"/>
      <c r="OMG64" s="180"/>
      <c r="OMH64" s="180"/>
      <c r="OMI64" s="180"/>
      <c r="OMJ64" s="180"/>
      <c r="OMK64" s="180"/>
      <c r="OML64" s="180"/>
      <c r="OMM64" s="180"/>
      <c r="OMN64" s="180"/>
      <c r="OMO64" s="180"/>
      <c r="OMP64" s="180"/>
      <c r="OMQ64" s="180"/>
      <c r="OMR64" s="180"/>
      <c r="OMS64" s="180"/>
      <c r="OMT64" s="180"/>
      <c r="OMU64" s="180"/>
      <c r="OMV64" s="180"/>
      <c r="OMW64" s="180"/>
      <c r="OMX64" s="180"/>
      <c r="OMY64" s="180"/>
      <c r="OMZ64" s="180"/>
      <c r="ONA64" s="180"/>
      <c r="ONB64" s="180"/>
      <c r="ONC64" s="180"/>
      <c r="OND64" s="180"/>
      <c r="ONE64" s="180"/>
      <c r="ONF64" s="180"/>
      <c r="ONG64" s="180"/>
      <c r="ONH64" s="180"/>
      <c r="ONI64" s="180"/>
      <c r="ONJ64" s="180"/>
      <c r="ONK64" s="180"/>
      <c r="ONL64" s="180"/>
      <c r="ONM64" s="180"/>
      <c r="ONN64" s="180"/>
      <c r="ONO64" s="180"/>
      <c r="ONP64" s="180"/>
      <c r="ONQ64" s="180"/>
      <c r="ONR64" s="180"/>
      <c r="ONS64" s="180"/>
      <c r="ONT64" s="180"/>
      <c r="ONU64" s="180"/>
      <c r="ONV64" s="180"/>
      <c r="ONW64" s="180"/>
      <c r="ONX64" s="180"/>
      <c r="ONY64" s="180"/>
      <c r="ONZ64" s="180"/>
      <c r="OOA64" s="180"/>
      <c r="OOB64" s="180"/>
      <c r="OOC64" s="180"/>
      <c r="OOD64" s="180"/>
      <c r="OOE64" s="180"/>
      <c r="OOF64" s="180"/>
      <c r="OOG64" s="180"/>
      <c r="OOH64" s="180"/>
      <c r="OOI64" s="180"/>
      <c r="OOJ64" s="180"/>
      <c r="OOK64" s="180"/>
      <c r="OOL64" s="180"/>
      <c r="OOM64" s="180"/>
      <c r="OON64" s="180"/>
      <c r="OOO64" s="180"/>
      <c r="OOP64" s="180"/>
      <c r="OOQ64" s="180"/>
      <c r="OOR64" s="180"/>
      <c r="OOS64" s="180"/>
      <c r="OOT64" s="180"/>
      <c r="OOU64" s="180"/>
      <c r="OOV64" s="180"/>
      <c r="OOW64" s="180"/>
      <c r="OOX64" s="180"/>
      <c r="OOY64" s="180"/>
      <c r="OOZ64" s="180"/>
      <c r="OPA64" s="180"/>
      <c r="OPB64" s="180"/>
      <c r="OPC64" s="180"/>
      <c r="OPD64" s="180"/>
      <c r="OPE64" s="180"/>
      <c r="OPF64" s="180"/>
      <c r="OPG64" s="180"/>
      <c r="OPH64" s="180"/>
      <c r="OPI64" s="180"/>
      <c r="OPJ64" s="180"/>
      <c r="OPK64" s="180"/>
      <c r="OPL64" s="180"/>
      <c r="OPM64" s="180"/>
      <c r="OPN64" s="180"/>
      <c r="OPO64" s="180"/>
      <c r="OPP64" s="180"/>
      <c r="OPQ64" s="180"/>
      <c r="OPR64" s="180"/>
      <c r="OPS64" s="180"/>
      <c r="OPT64" s="180"/>
      <c r="OPU64" s="180"/>
      <c r="OPV64" s="180"/>
      <c r="OPW64" s="180"/>
      <c r="OPX64" s="180"/>
      <c r="OPY64" s="180"/>
      <c r="OPZ64" s="180"/>
      <c r="OQA64" s="180"/>
      <c r="OQB64" s="180"/>
      <c r="OQC64" s="180"/>
      <c r="OQD64" s="180"/>
      <c r="OQE64" s="180"/>
      <c r="OQF64" s="180"/>
      <c r="OQG64" s="180"/>
      <c r="OQH64" s="180"/>
      <c r="OQI64" s="180"/>
      <c r="OQJ64" s="180"/>
      <c r="OQK64" s="180"/>
      <c r="OQL64" s="180"/>
      <c r="OQM64" s="180"/>
      <c r="OQN64" s="180"/>
      <c r="OQO64" s="180"/>
      <c r="OQP64" s="180"/>
      <c r="OQQ64" s="180"/>
      <c r="OQR64" s="180"/>
      <c r="OQS64" s="180"/>
      <c r="OQT64" s="180"/>
      <c r="OQU64" s="180"/>
      <c r="OQV64" s="180"/>
      <c r="OQW64" s="180"/>
      <c r="OQX64" s="180"/>
      <c r="OQY64" s="180"/>
      <c r="OQZ64" s="180"/>
      <c r="ORA64" s="180"/>
      <c r="ORB64" s="180"/>
      <c r="ORC64" s="180"/>
      <c r="ORD64" s="180"/>
      <c r="ORE64" s="180"/>
      <c r="ORF64" s="180"/>
      <c r="ORG64" s="180"/>
      <c r="ORH64" s="180"/>
      <c r="ORI64" s="180"/>
      <c r="ORJ64" s="180"/>
      <c r="ORK64" s="180"/>
      <c r="ORL64" s="180"/>
      <c r="ORM64" s="180"/>
      <c r="ORN64" s="180"/>
      <c r="ORO64" s="180"/>
      <c r="ORP64" s="180"/>
      <c r="ORQ64" s="180"/>
      <c r="ORR64" s="180"/>
      <c r="ORS64" s="180"/>
      <c r="ORT64" s="180"/>
      <c r="ORU64" s="180"/>
      <c r="ORV64" s="180"/>
      <c r="ORW64" s="180"/>
      <c r="ORX64" s="180"/>
      <c r="ORY64" s="180"/>
      <c r="ORZ64" s="180"/>
      <c r="OSA64" s="180"/>
      <c r="OSB64" s="180"/>
      <c r="OSC64" s="180"/>
      <c r="OSD64" s="180"/>
      <c r="OSE64" s="180"/>
      <c r="OSF64" s="180"/>
      <c r="OSG64" s="180"/>
      <c r="OSH64" s="180"/>
      <c r="OSI64" s="180"/>
      <c r="OSJ64" s="180"/>
      <c r="OSK64" s="180"/>
      <c r="OSL64" s="180"/>
      <c r="OSM64" s="180"/>
      <c r="OSN64" s="180"/>
      <c r="OSO64" s="180"/>
      <c r="OSP64" s="180"/>
      <c r="OSQ64" s="180"/>
      <c r="OSR64" s="180"/>
      <c r="OSS64" s="180"/>
      <c r="OST64" s="180"/>
      <c r="OSU64" s="180"/>
      <c r="OSV64" s="180"/>
      <c r="OSW64" s="180"/>
      <c r="OSX64" s="180"/>
      <c r="OSY64" s="180"/>
      <c r="OSZ64" s="180"/>
      <c r="OTA64" s="180"/>
      <c r="OTB64" s="180"/>
      <c r="OTC64" s="180"/>
      <c r="OTD64" s="180"/>
      <c r="OTE64" s="180"/>
      <c r="OTF64" s="180"/>
      <c r="OTG64" s="180"/>
      <c r="OTH64" s="180"/>
      <c r="OTI64" s="180"/>
      <c r="OTJ64" s="180"/>
      <c r="OTK64" s="180"/>
      <c r="OTL64" s="180"/>
      <c r="OTM64" s="180"/>
      <c r="OTN64" s="180"/>
      <c r="OTO64" s="180"/>
      <c r="OTP64" s="180"/>
      <c r="OTQ64" s="180"/>
      <c r="OTR64" s="180"/>
      <c r="OTS64" s="180"/>
      <c r="OTT64" s="180"/>
      <c r="OTU64" s="180"/>
      <c r="OTV64" s="180"/>
      <c r="OTW64" s="180"/>
      <c r="OTX64" s="180"/>
      <c r="OTY64" s="180"/>
      <c r="OTZ64" s="180"/>
      <c r="OUA64" s="180"/>
      <c r="OUB64" s="180"/>
      <c r="OUC64" s="180"/>
      <c r="OUD64" s="180"/>
      <c r="OUE64" s="180"/>
      <c r="OUF64" s="180"/>
      <c r="OUG64" s="180"/>
      <c r="OUH64" s="180"/>
      <c r="OUI64" s="180"/>
      <c r="OUJ64" s="180"/>
      <c r="OUK64" s="180"/>
      <c r="OUL64" s="180"/>
      <c r="OUM64" s="180"/>
      <c r="OUN64" s="180"/>
      <c r="OUO64" s="180"/>
      <c r="OUP64" s="180"/>
      <c r="OUQ64" s="180"/>
      <c r="OUR64" s="180"/>
      <c r="OUS64" s="180"/>
      <c r="OUT64" s="180"/>
      <c r="OUU64" s="180"/>
      <c r="OUV64" s="180"/>
      <c r="OUW64" s="180"/>
      <c r="OUX64" s="180"/>
      <c r="OUY64" s="180"/>
      <c r="OUZ64" s="180"/>
      <c r="OVA64" s="180"/>
      <c r="OVB64" s="180"/>
      <c r="OVC64" s="180"/>
      <c r="OVD64" s="180"/>
      <c r="OVE64" s="180"/>
      <c r="OVF64" s="180"/>
      <c r="OVG64" s="180"/>
      <c r="OVH64" s="180"/>
      <c r="OVI64" s="180"/>
      <c r="OVJ64" s="180"/>
      <c r="OVK64" s="180"/>
      <c r="OVL64" s="180"/>
      <c r="OVM64" s="180"/>
      <c r="OVN64" s="180"/>
      <c r="OVO64" s="180"/>
      <c r="OVP64" s="180"/>
      <c r="OVQ64" s="180"/>
      <c r="OVR64" s="180"/>
      <c r="OVS64" s="180"/>
      <c r="OVT64" s="180"/>
      <c r="OVU64" s="180"/>
      <c r="OVV64" s="180"/>
      <c r="OVW64" s="180"/>
      <c r="OVX64" s="180"/>
      <c r="OVY64" s="180"/>
      <c r="OVZ64" s="180"/>
      <c r="OWA64" s="180"/>
      <c r="OWB64" s="180"/>
      <c r="OWC64" s="180"/>
      <c r="OWD64" s="180"/>
      <c r="OWE64" s="180"/>
      <c r="OWF64" s="180"/>
      <c r="OWG64" s="180"/>
      <c r="OWH64" s="180"/>
      <c r="OWI64" s="180"/>
      <c r="OWJ64" s="180"/>
      <c r="OWK64" s="180"/>
      <c r="OWL64" s="180"/>
      <c r="OWM64" s="180"/>
      <c r="OWN64" s="180"/>
      <c r="OWO64" s="180"/>
      <c r="OWP64" s="180"/>
      <c r="OWQ64" s="180"/>
      <c r="OWR64" s="180"/>
      <c r="OWS64" s="180"/>
      <c r="OWT64" s="180"/>
      <c r="OWU64" s="180"/>
      <c r="OWV64" s="180"/>
      <c r="OWW64" s="180"/>
      <c r="OWX64" s="180"/>
      <c r="OWY64" s="180"/>
      <c r="OWZ64" s="180"/>
      <c r="OXA64" s="180"/>
      <c r="OXB64" s="180"/>
      <c r="OXC64" s="180"/>
      <c r="OXD64" s="180"/>
      <c r="OXE64" s="180"/>
      <c r="OXF64" s="180"/>
      <c r="OXG64" s="180"/>
      <c r="OXH64" s="180"/>
      <c r="OXI64" s="180"/>
      <c r="OXJ64" s="180"/>
      <c r="OXK64" s="180"/>
      <c r="OXL64" s="180"/>
      <c r="OXM64" s="180"/>
      <c r="OXN64" s="180"/>
      <c r="OXO64" s="180"/>
      <c r="OXP64" s="180"/>
      <c r="OXQ64" s="180"/>
      <c r="OXR64" s="180"/>
      <c r="OXS64" s="180"/>
      <c r="OXT64" s="180"/>
      <c r="OXU64" s="180"/>
      <c r="OXV64" s="180"/>
      <c r="OXW64" s="180"/>
      <c r="OXX64" s="180"/>
      <c r="OXY64" s="180"/>
      <c r="OXZ64" s="180"/>
      <c r="OYA64" s="180"/>
      <c r="OYB64" s="180"/>
      <c r="OYC64" s="180"/>
      <c r="OYD64" s="180"/>
      <c r="OYE64" s="180"/>
      <c r="OYF64" s="180"/>
      <c r="OYG64" s="180"/>
      <c r="OYH64" s="180"/>
      <c r="OYI64" s="180"/>
      <c r="OYJ64" s="180"/>
      <c r="OYK64" s="180"/>
      <c r="OYL64" s="180"/>
      <c r="OYM64" s="180"/>
      <c r="OYN64" s="180"/>
      <c r="OYO64" s="180"/>
      <c r="OYP64" s="180"/>
      <c r="OYQ64" s="180"/>
      <c r="OYR64" s="180"/>
      <c r="OYS64" s="180"/>
      <c r="OYT64" s="180"/>
      <c r="OYU64" s="180"/>
      <c r="OYV64" s="180"/>
      <c r="OYW64" s="180"/>
      <c r="OYX64" s="180"/>
      <c r="OYY64" s="180"/>
      <c r="OYZ64" s="180"/>
      <c r="OZA64" s="180"/>
      <c r="OZB64" s="180"/>
      <c r="OZC64" s="180"/>
      <c r="OZD64" s="180"/>
      <c r="OZE64" s="180"/>
      <c r="OZF64" s="180"/>
      <c r="OZG64" s="180"/>
      <c r="OZH64" s="180"/>
      <c r="OZI64" s="180"/>
      <c r="OZJ64" s="180"/>
      <c r="OZK64" s="180"/>
      <c r="OZL64" s="180"/>
      <c r="OZM64" s="180"/>
      <c r="OZN64" s="180"/>
      <c r="OZO64" s="180"/>
      <c r="OZP64" s="180"/>
      <c r="OZQ64" s="180"/>
      <c r="OZR64" s="180"/>
      <c r="OZS64" s="180"/>
      <c r="OZT64" s="180"/>
      <c r="OZU64" s="180"/>
      <c r="OZV64" s="180"/>
      <c r="OZW64" s="180"/>
      <c r="OZX64" s="180"/>
      <c r="OZY64" s="180"/>
      <c r="OZZ64" s="180"/>
      <c r="PAA64" s="180"/>
      <c r="PAB64" s="180"/>
      <c r="PAC64" s="180"/>
      <c r="PAD64" s="180"/>
      <c r="PAE64" s="180"/>
      <c r="PAF64" s="180"/>
      <c r="PAG64" s="180"/>
      <c r="PAH64" s="180"/>
      <c r="PAI64" s="180"/>
      <c r="PAJ64" s="180"/>
      <c r="PAK64" s="180"/>
      <c r="PAL64" s="180"/>
      <c r="PAM64" s="180"/>
      <c r="PAN64" s="180"/>
      <c r="PAO64" s="180"/>
      <c r="PAP64" s="180"/>
      <c r="PAQ64" s="180"/>
      <c r="PAR64" s="180"/>
      <c r="PAS64" s="180"/>
      <c r="PAT64" s="180"/>
      <c r="PAU64" s="180"/>
      <c r="PAV64" s="180"/>
      <c r="PAW64" s="180"/>
      <c r="PAX64" s="180"/>
      <c r="PAY64" s="180"/>
      <c r="PAZ64" s="180"/>
      <c r="PBA64" s="180"/>
      <c r="PBB64" s="180"/>
      <c r="PBC64" s="180"/>
      <c r="PBD64" s="180"/>
      <c r="PBE64" s="180"/>
      <c r="PBF64" s="180"/>
      <c r="PBG64" s="180"/>
      <c r="PBH64" s="180"/>
      <c r="PBI64" s="180"/>
      <c r="PBJ64" s="180"/>
      <c r="PBK64" s="180"/>
      <c r="PBL64" s="180"/>
      <c r="PBM64" s="180"/>
      <c r="PBN64" s="180"/>
      <c r="PBO64" s="180"/>
      <c r="PBP64" s="180"/>
      <c r="PBQ64" s="180"/>
      <c r="PBR64" s="180"/>
      <c r="PBS64" s="180"/>
      <c r="PBT64" s="180"/>
      <c r="PBU64" s="180"/>
      <c r="PBV64" s="180"/>
      <c r="PBW64" s="180"/>
      <c r="PBX64" s="180"/>
      <c r="PBY64" s="180"/>
      <c r="PBZ64" s="180"/>
      <c r="PCA64" s="180"/>
      <c r="PCB64" s="180"/>
      <c r="PCC64" s="180"/>
      <c r="PCD64" s="180"/>
      <c r="PCE64" s="180"/>
      <c r="PCF64" s="180"/>
      <c r="PCG64" s="180"/>
      <c r="PCH64" s="180"/>
      <c r="PCI64" s="180"/>
      <c r="PCJ64" s="180"/>
      <c r="PCK64" s="180"/>
      <c r="PCL64" s="180"/>
      <c r="PCM64" s="180"/>
      <c r="PCN64" s="180"/>
      <c r="PCO64" s="180"/>
      <c r="PCP64" s="180"/>
      <c r="PCQ64" s="180"/>
      <c r="PCR64" s="180"/>
      <c r="PCS64" s="180"/>
      <c r="PCT64" s="180"/>
      <c r="PCU64" s="180"/>
      <c r="PCV64" s="180"/>
      <c r="PCW64" s="180"/>
      <c r="PCX64" s="180"/>
      <c r="PCY64" s="180"/>
      <c r="PCZ64" s="180"/>
      <c r="PDA64" s="180"/>
      <c r="PDB64" s="180"/>
      <c r="PDC64" s="180"/>
      <c r="PDD64" s="180"/>
      <c r="PDE64" s="180"/>
      <c r="PDF64" s="180"/>
      <c r="PDG64" s="180"/>
      <c r="PDH64" s="180"/>
      <c r="PDI64" s="180"/>
      <c r="PDJ64" s="180"/>
      <c r="PDK64" s="180"/>
      <c r="PDL64" s="180"/>
      <c r="PDM64" s="180"/>
      <c r="PDN64" s="180"/>
      <c r="PDO64" s="180"/>
      <c r="PDP64" s="180"/>
      <c r="PDQ64" s="180"/>
      <c r="PDR64" s="180"/>
      <c r="PDS64" s="180"/>
      <c r="PDT64" s="180"/>
      <c r="PDU64" s="180"/>
      <c r="PDV64" s="180"/>
      <c r="PDW64" s="180"/>
      <c r="PDX64" s="180"/>
      <c r="PDY64" s="180"/>
      <c r="PDZ64" s="180"/>
      <c r="PEA64" s="180"/>
      <c r="PEB64" s="180"/>
      <c r="PEC64" s="180"/>
      <c r="PED64" s="180"/>
      <c r="PEE64" s="180"/>
      <c r="PEF64" s="180"/>
      <c r="PEG64" s="180"/>
      <c r="PEH64" s="180"/>
      <c r="PEI64" s="180"/>
      <c r="PEJ64" s="180"/>
      <c r="PEK64" s="180"/>
      <c r="PEL64" s="180"/>
      <c r="PEM64" s="180"/>
      <c r="PEN64" s="180"/>
      <c r="PEO64" s="180"/>
      <c r="PEP64" s="180"/>
      <c r="PEQ64" s="180"/>
      <c r="PER64" s="180"/>
      <c r="PES64" s="180"/>
      <c r="PET64" s="180"/>
      <c r="PEU64" s="180"/>
      <c r="PEV64" s="180"/>
      <c r="PEW64" s="180"/>
      <c r="PEX64" s="180"/>
      <c r="PEY64" s="180"/>
      <c r="PEZ64" s="180"/>
      <c r="PFA64" s="180"/>
      <c r="PFB64" s="180"/>
      <c r="PFC64" s="180"/>
      <c r="PFD64" s="180"/>
      <c r="PFE64" s="180"/>
      <c r="PFF64" s="180"/>
      <c r="PFG64" s="180"/>
      <c r="PFH64" s="180"/>
      <c r="PFI64" s="180"/>
      <c r="PFJ64" s="180"/>
      <c r="PFK64" s="180"/>
      <c r="PFL64" s="180"/>
      <c r="PFM64" s="180"/>
      <c r="PFN64" s="180"/>
      <c r="PFO64" s="180"/>
      <c r="PFP64" s="180"/>
      <c r="PFQ64" s="180"/>
      <c r="PFR64" s="180"/>
      <c r="PFS64" s="180"/>
      <c r="PFT64" s="180"/>
      <c r="PFU64" s="180"/>
      <c r="PFV64" s="180"/>
      <c r="PFW64" s="180"/>
      <c r="PFX64" s="180"/>
      <c r="PFY64" s="180"/>
      <c r="PFZ64" s="180"/>
      <c r="PGA64" s="180"/>
      <c r="PGB64" s="180"/>
      <c r="PGC64" s="180"/>
      <c r="PGD64" s="180"/>
      <c r="PGE64" s="180"/>
      <c r="PGF64" s="180"/>
      <c r="PGG64" s="180"/>
      <c r="PGH64" s="180"/>
      <c r="PGI64" s="180"/>
      <c r="PGJ64" s="180"/>
      <c r="PGK64" s="180"/>
      <c r="PGL64" s="180"/>
      <c r="PGM64" s="180"/>
      <c r="PGN64" s="180"/>
      <c r="PGO64" s="180"/>
      <c r="PGP64" s="180"/>
      <c r="PGQ64" s="180"/>
      <c r="PGR64" s="180"/>
      <c r="PGS64" s="180"/>
      <c r="PGT64" s="180"/>
      <c r="PGU64" s="180"/>
      <c r="PGV64" s="180"/>
      <c r="PGW64" s="180"/>
      <c r="PGX64" s="180"/>
      <c r="PGY64" s="180"/>
      <c r="PGZ64" s="180"/>
      <c r="PHA64" s="180"/>
      <c r="PHB64" s="180"/>
      <c r="PHC64" s="180"/>
      <c r="PHD64" s="180"/>
      <c r="PHE64" s="180"/>
      <c r="PHF64" s="180"/>
      <c r="PHG64" s="180"/>
      <c r="PHH64" s="180"/>
      <c r="PHI64" s="180"/>
      <c r="PHJ64" s="180"/>
      <c r="PHK64" s="180"/>
      <c r="PHL64" s="180"/>
      <c r="PHM64" s="180"/>
      <c r="PHN64" s="180"/>
      <c r="PHO64" s="180"/>
      <c r="PHP64" s="180"/>
      <c r="PHQ64" s="180"/>
      <c r="PHR64" s="180"/>
      <c r="PHS64" s="180"/>
      <c r="PHT64" s="180"/>
      <c r="PHU64" s="180"/>
      <c r="PHV64" s="180"/>
      <c r="PHW64" s="180"/>
      <c r="PHX64" s="180"/>
      <c r="PHY64" s="180"/>
      <c r="PHZ64" s="180"/>
      <c r="PIA64" s="180"/>
      <c r="PIB64" s="180"/>
      <c r="PIC64" s="180"/>
      <c r="PID64" s="180"/>
      <c r="PIE64" s="180"/>
      <c r="PIF64" s="180"/>
      <c r="PIG64" s="180"/>
      <c r="PIH64" s="180"/>
      <c r="PII64" s="180"/>
      <c r="PIJ64" s="180"/>
      <c r="PIK64" s="180"/>
      <c r="PIL64" s="180"/>
      <c r="PIM64" s="180"/>
      <c r="PIN64" s="180"/>
      <c r="PIO64" s="180"/>
      <c r="PIP64" s="180"/>
      <c r="PIQ64" s="180"/>
      <c r="PIR64" s="180"/>
      <c r="PIS64" s="180"/>
      <c r="PIT64" s="180"/>
      <c r="PIU64" s="180"/>
      <c r="PIV64" s="180"/>
      <c r="PIW64" s="180"/>
      <c r="PIX64" s="180"/>
      <c r="PIY64" s="180"/>
      <c r="PIZ64" s="180"/>
      <c r="PJA64" s="180"/>
      <c r="PJB64" s="180"/>
      <c r="PJC64" s="180"/>
      <c r="PJD64" s="180"/>
      <c r="PJE64" s="180"/>
      <c r="PJF64" s="180"/>
      <c r="PJG64" s="180"/>
      <c r="PJH64" s="180"/>
      <c r="PJI64" s="180"/>
      <c r="PJJ64" s="180"/>
      <c r="PJK64" s="180"/>
      <c r="PJL64" s="180"/>
      <c r="PJM64" s="180"/>
      <c r="PJN64" s="180"/>
      <c r="PJO64" s="180"/>
      <c r="PJP64" s="180"/>
      <c r="PJQ64" s="180"/>
      <c r="PJR64" s="180"/>
      <c r="PJS64" s="180"/>
      <c r="PJT64" s="180"/>
      <c r="PJU64" s="180"/>
      <c r="PJV64" s="180"/>
      <c r="PJW64" s="180"/>
      <c r="PJX64" s="180"/>
      <c r="PJY64" s="180"/>
      <c r="PJZ64" s="180"/>
      <c r="PKA64" s="180"/>
      <c r="PKB64" s="180"/>
      <c r="PKC64" s="180"/>
      <c r="PKD64" s="180"/>
      <c r="PKE64" s="180"/>
      <c r="PKF64" s="180"/>
      <c r="PKG64" s="180"/>
      <c r="PKH64" s="180"/>
      <c r="PKI64" s="180"/>
      <c r="PKJ64" s="180"/>
      <c r="PKK64" s="180"/>
      <c r="PKL64" s="180"/>
      <c r="PKM64" s="180"/>
      <c r="PKN64" s="180"/>
      <c r="PKO64" s="180"/>
      <c r="PKP64" s="180"/>
      <c r="PKQ64" s="180"/>
      <c r="PKR64" s="180"/>
      <c r="PKS64" s="180"/>
      <c r="PKT64" s="180"/>
      <c r="PKU64" s="180"/>
      <c r="PKV64" s="180"/>
      <c r="PKW64" s="180"/>
      <c r="PKX64" s="180"/>
      <c r="PKY64" s="180"/>
      <c r="PKZ64" s="180"/>
      <c r="PLA64" s="180"/>
      <c r="PLB64" s="180"/>
      <c r="PLC64" s="180"/>
      <c r="PLD64" s="180"/>
      <c r="PLE64" s="180"/>
      <c r="PLF64" s="180"/>
      <c r="PLG64" s="180"/>
      <c r="PLH64" s="180"/>
      <c r="PLI64" s="180"/>
      <c r="PLJ64" s="180"/>
      <c r="PLK64" s="180"/>
      <c r="PLL64" s="180"/>
      <c r="PLM64" s="180"/>
      <c r="PLN64" s="180"/>
      <c r="PLO64" s="180"/>
      <c r="PLP64" s="180"/>
      <c r="PLQ64" s="180"/>
      <c r="PLR64" s="180"/>
      <c r="PLS64" s="180"/>
      <c r="PLT64" s="180"/>
      <c r="PLU64" s="180"/>
      <c r="PLV64" s="180"/>
      <c r="PLW64" s="180"/>
      <c r="PLX64" s="180"/>
      <c r="PLY64" s="180"/>
      <c r="PLZ64" s="180"/>
      <c r="PMA64" s="180"/>
      <c r="PMB64" s="180"/>
      <c r="PMC64" s="180"/>
      <c r="PMD64" s="180"/>
      <c r="PME64" s="180"/>
      <c r="PMF64" s="180"/>
      <c r="PMG64" s="180"/>
      <c r="PMH64" s="180"/>
      <c r="PMI64" s="180"/>
      <c r="PMJ64" s="180"/>
      <c r="PMK64" s="180"/>
      <c r="PML64" s="180"/>
      <c r="PMM64" s="180"/>
      <c r="PMN64" s="180"/>
      <c r="PMO64" s="180"/>
      <c r="PMP64" s="180"/>
      <c r="PMQ64" s="180"/>
      <c r="PMR64" s="180"/>
      <c r="PMS64" s="180"/>
      <c r="PMT64" s="180"/>
      <c r="PMU64" s="180"/>
      <c r="PMV64" s="180"/>
      <c r="PMW64" s="180"/>
      <c r="PMX64" s="180"/>
      <c r="PMY64" s="180"/>
      <c r="PMZ64" s="180"/>
      <c r="PNA64" s="180"/>
      <c r="PNB64" s="180"/>
      <c r="PNC64" s="180"/>
      <c r="PND64" s="180"/>
      <c r="PNE64" s="180"/>
      <c r="PNF64" s="180"/>
      <c r="PNG64" s="180"/>
      <c r="PNH64" s="180"/>
      <c r="PNI64" s="180"/>
      <c r="PNJ64" s="180"/>
      <c r="PNK64" s="180"/>
      <c r="PNL64" s="180"/>
      <c r="PNM64" s="180"/>
      <c r="PNN64" s="180"/>
      <c r="PNO64" s="180"/>
      <c r="PNP64" s="180"/>
      <c r="PNQ64" s="180"/>
      <c r="PNR64" s="180"/>
      <c r="PNS64" s="180"/>
      <c r="PNT64" s="180"/>
      <c r="PNU64" s="180"/>
      <c r="PNV64" s="180"/>
      <c r="PNW64" s="180"/>
      <c r="PNX64" s="180"/>
      <c r="PNY64" s="180"/>
      <c r="PNZ64" s="180"/>
      <c r="POA64" s="180"/>
      <c r="POB64" s="180"/>
      <c r="POC64" s="180"/>
      <c r="POD64" s="180"/>
      <c r="POE64" s="180"/>
      <c r="POF64" s="180"/>
      <c r="POG64" s="180"/>
      <c r="POH64" s="180"/>
      <c r="POI64" s="180"/>
      <c r="POJ64" s="180"/>
      <c r="POK64" s="180"/>
      <c r="POL64" s="180"/>
      <c r="POM64" s="180"/>
      <c r="PON64" s="180"/>
      <c r="POO64" s="180"/>
      <c r="POP64" s="180"/>
      <c r="POQ64" s="180"/>
      <c r="POR64" s="180"/>
      <c r="POS64" s="180"/>
      <c r="POT64" s="180"/>
      <c r="POU64" s="180"/>
      <c r="POV64" s="180"/>
      <c r="POW64" s="180"/>
      <c r="POX64" s="180"/>
      <c r="POY64" s="180"/>
      <c r="POZ64" s="180"/>
      <c r="PPA64" s="180"/>
      <c r="PPB64" s="180"/>
      <c r="PPC64" s="180"/>
      <c r="PPD64" s="180"/>
      <c r="PPE64" s="180"/>
      <c r="PPF64" s="180"/>
      <c r="PPG64" s="180"/>
      <c r="PPH64" s="180"/>
      <c r="PPI64" s="180"/>
      <c r="PPJ64" s="180"/>
      <c r="PPK64" s="180"/>
      <c r="PPL64" s="180"/>
      <c r="PPM64" s="180"/>
      <c r="PPN64" s="180"/>
      <c r="PPO64" s="180"/>
      <c r="PPP64" s="180"/>
      <c r="PPQ64" s="180"/>
      <c r="PPR64" s="180"/>
      <c r="PPS64" s="180"/>
      <c r="PPT64" s="180"/>
      <c r="PPU64" s="180"/>
      <c r="PPV64" s="180"/>
      <c r="PPW64" s="180"/>
      <c r="PPX64" s="180"/>
      <c r="PPY64" s="180"/>
      <c r="PPZ64" s="180"/>
      <c r="PQA64" s="180"/>
      <c r="PQB64" s="180"/>
      <c r="PQC64" s="180"/>
      <c r="PQD64" s="180"/>
      <c r="PQE64" s="180"/>
      <c r="PQF64" s="180"/>
      <c r="PQG64" s="180"/>
      <c r="PQH64" s="180"/>
      <c r="PQI64" s="180"/>
      <c r="PQJ64" s="180"/>
      <c r="PQK64" s="180"/>
      <c r="PQL64" s="180"/>
      <c r="PQM64" s="180"/>
      <c r="PQN64" s="180"/>
      <c r="PQO64" s="180"/>
      <c r="PQP64" s="180"/>
      <c r="PQQ64" s="180"/>
      <c r="PQR64" s="180"/>
      <c r="PQS64" s="180"/>
      <c r="PQT64" s="180"/>
      <c r="PQU64" s="180"/>
      <c r="PQV64" s="180"/>
      <c r="PQW64" s="180"/>
      <c r="PQX64" s="180"/>
      <c r="PQY64" s="180"/>
      <c r="PQZ64" s="180"/>
      <c r="PRA64" s="180"/>
      <c r="PRB64" s="180"/>
      <c r="PRC64" s="180"/>
      <c r="PRD64" s="180"/>
      <c r="PRE64" s="180"/>
      <c r="PRF64" s="180"/>
      <c r="PRG64" s="180"/>
      <c r="PRH64" s="180"/>
      <c r="PRI64" s="180"/>
      <c r="PRJ64" s="180"/>
      <c r="PRK64" s="180"/>
      <c r="PRL64" s="180"/>
      <c r="PRM64" s="180"/>
      <c r="PRN64" s="180"/>
      <c r="PRO64" s="180"/>
      <c r="PRP64" s="180"/>
      <c r="PRQ64" s="180"/>
      <c r="PRR64" s="180"/>
      <c r="PRS64" s="180"/>
      <c r="PRT64" s="180"/>
      <c r="PRU64" s="180"/>
      <c r="PRV64" s="180"/>
      <c r="PRW64" s="180"/>
      <c r="PRX64" s="180"/>
      <c r="PRY64" s="180"/>
      <c r="PRZ64" s="180"/>
      <c r="PSA64" s="180"/>
      <c r="PSB64" s="180"/>
      <c r="PSC64" s="180"/>
      <c r="PSD64" s="180"/>
      <c r="PSE64" s="180"/>
      <c r="PSF64" s="180"/>
      <c r="PSG64" s="180"/>
      <c r="PSH64" s="180"/>
      <c r="PSI64" s="180"/>
      <c r="PSJ64" s="180"/>
      <c r="PSK64" s="180"/>
      <c r="PSL64" s="180"/>
      <c r="PSM64" s="180"/>
      <c r="PSN64" s="180"/>
      <c r="PSO64" s="180"/>
      <c r="PSP64" s="180"/>
      <c r="PSQ64" s="180"/>
      <c r="PSR64" s="180"/>
      <c r="PSS64" s="180"/>
      <c r="PST64" s="180"/>
      <c r="PSU64" s="180"/>
      <c r="PSV64" s="180"/>
      <c r="PSW64" s="180"/>
      <c r="PSX64" s="180"/>
      <c r="PSY64" s="180"/>
      <c r="PSZ64" s="180"/>
      <c r="PTA64" s="180"/>
      <c r="PTB64" s="180"/>
      <c r="PTC64" s="180"/>
      <c r="PTD64" s="180"/>
      <c r="PTE64" s="180"/>
      <c r="PTF64" s="180"/>
      <c r="PTG64" s="180"/>
      <c r="PTH64" s="180"/>
      <c r="PTI64" s="180"/>
      <c r="PTJ64" s="180"/>
      <c r="PTK64" s="180"/>
      <c r="PTL64" s="180"/>
      <c r="PTM64" s="180"/>
      <c r="PTN64" s="180"/>
      <c r="PTO64" s="180"/>
      <c r="PTP64" s="180"/>
      <c r="PTQ64" s="180"/>
      <c r="PTR64" s="180"/>
      <c r="PTS64" s="180"/>
      <c r="PTT64" s="180"/>
      <c r="PTU64" s="180"/>
      <c r="PTV64" s="180"/>
      <c r="PTW64" s="180"/>
      <c r="PTX64" s="180"/>
      <c r="PTY64" s="180"/>
      <c r="PTZ64" s="180"/>
      <c r="PUA64" s="180"/>
      <c r="PUB64" s="180"/>
      <c r="PUC64" s="180"/>
      <c r="PUD64" s="180"/>
      <c r="PUE64" s="180"/>
      <c r="PUF64" s="180"/>
      <c r="PUG64" s="180"/>
      <c r="PUH64" s="180"/>
      <c r="PUI64" s="180"/>
      <c r="PUJ64" s="180"/>
      <c r="PUK64" s="180"/>
      <c r="PUL64" s="180"/>
      <c r="PUM64" s="180"/>
      <c r="PUN64" s="180"/>
      <c r="PUO64" s="180"/>
      <c r="PUP64" s="180"/>
      <c r="PUQ64" s="180"/>
      <c r="PUR64" s="180"/>
      <c r="PUS64" s="180"/>
      <c r="PUT64" s="180"/>
      <c r="PUU64" s="180"/>
      <c r="PUV64" s="180"/>
      <c r="PUW64" s="180"/>
      <c r="PUX64" s="180"/>
      <c r="PUY64" s="180"/>
      <c r="PUZ64" s="180"/>
      <c r="PVA64" s="180"/>
      <c r="PVB64" s="180"/>
      <c r="PVC64" s="180"/>
      <c r="PVD64" s="180"/>
      <c r="PVE64" s="180"/>
      <c r="PVF64" s="180"/>
      <c r="PVG64" s="180"/>
      <c r="PVH64" s="180"/>
      <c r="PVI64" s="180"/>
      <c r="PVJ64" s="180"/>
      <c r="PVK64" s="180"/>
      <c r="PVL64" s="180"/>
      <c r="PVM64" s="180"/>
      <c r="PVN64" s="180"/>
      <c r="PVO64" s="180"/>
      <c r="PVP64" s="180"/>
      <c r="PVQ64" s="180"/>
      <c r="PVR64" s="180"/>
      <c r="PVS64" s="180"/>
      <c r="PVT64" s="180"/>
      <c r="PVU64" s="180"/>
      <c r="PVV64" s="180"/>
      <c r="PVW64" s="180"/>
      <c r="PVX64" s="180"/>
      <c r="PVY64" s="180"/>
      <c r="PVZ64" s="180"/>
      <c r="PWA64" s="180"/>
      <c r="PWB64" s="180"/>
      <c r="PWC64" s="180"/>
      <c r="PWD64" s="180"/>
      <c r="PWE64" s="180"/>
      <c r="PWF64" s="180"/>
      <c r="PWG64" s="180"/>
      <c r="PWH64" s="180"/>
      <c r="PWI64" s="180"/>
      <c r="PWJ64" s="180"/>
      <c r="PWK64" s="180"/>
      <c r="PWL64" s="180"/>
      <c r="PWM64" s="180"/>
      <c r="PWN64" s="180"/>
      <c r="PWO64" s="180"/>
      <c r="PWP64" s="180"/>
      <c r="PWQ64" s="180"/>
      <c r="PWR64" s="180"/>
      <c r="PWS64" s="180"/>
      <c r="PWT64" s="180"/>
      <c r="PWU64" s="180"/>
      <c r="PWV64" s="180"/>
      <c r="PWW64" s="180"/>
      <c r="PWX64" s="180"/>
      <c r="PWY64" s="180"/>
      <c r="PWZ64" s="180"/>
      <c r="PXA64" s="180"/>
      <c r="PXB64" s="180"/>
      <c r="PXC64" s="180"/>
      <c r="PXD64" s="180"/>
      <c r="PXE64" s="180"/>
      <c r="PXF64" s="180"/>
      <c r="PXG64" s="180"/>
      <c r="PXH64" s="180"/>
      <c r="PXI64" s="180"/>
      <c r="PXJ64" s="180"/>
      <c r="PXK64" s="180"/>
      <c r="PXL64" s="180"/>
      <c r="PXM64" s="180"/>
      <c r="PXN64" s="180"/>
      <c r="PXO64" s="180"/>
      <c r="PXP64" s="180"/>
      <c r="PXQ64" s="180"/>
      <c r="PXR64" s="180"/>
      <c r="PXS64" s="180"/>
      <c r="PXT64" s="180"/>
      <c r="PXU64" s="180"/>
      <c r="PXV64" s="180"/>
      <c r="PXW64" s="180"/>
      <c r="PXX64" s="180"/>
      <c r="PXY64" s="180"/>
      <c r="PXZ64" s="180"/>
      <c r="PYA64" s="180"/>
      <c r="PYB64" s="180"/>
      <c r="PYC64" s="180"/>
      <c r="PYD64" s="180"/>
      <c r="PYE64" s="180"/>
      <c r="PYF64" s="180"/>
      <c r="PYG64" s="180"/>
      <c r="PYH64" s="180"/>
      <c r="PYI64" s="180"/>
      <c r="PYJ64" s="180"/>
      <c r="PYK64" s="180"/>
      <c r="PYL64" s="180"/>
      <c r="PYM64" s="180"/>
      <c r="PYN64" s="180"/>
      <c r="PYO64" s="180"/>
      <c r="PYP64" s="180"/>
      <c r="PYQ64" s="180"/>
      <c r="PYR64" s="180"/>
      <c r="PYS64" s="180"/>
      <c r="PYT64" s="180"/>
      <c r="PYU64" s="180"/>
      <c r="PYV64" s="180"/>
      <c r="PYW64" s="180"/>
      <c r="PYX64" s="180"/>
      <c r="PYY64" s="180"/>
      <c r="PYZ64" s="180"/>
      <c r="PZA64" s="180"/>
      <c r="PZB64" s="180"/>
      <c r="PZC64" s="180"/>
      <c r="PZD64" s="180"/>
      <c r="PZE64" s="180"/>
      <c r="PZF64" s="180"/>
      <c r="PZG64" s="180"/>
      <c r="PZH64" s="180"/>
      <c r="PZI64" s="180"/>
      <c r="PZJ64" s="180"/>
      <c r="PZK64" s="180"/>
      <c r="PZL64" s="180"/>
      <c r="PZM64" s="180"/>
      <c r="PZN64" s="180"/>
      <c r="PZO64" s="180"/>
      <c r="PZP64" s="180"/>
      <c r="PZQ64" s="180"/>
      <c r="PZR64" s="180"/>
      <c r="PZS64" s="180"/>
      <c r="PZT64" s="180"/>
      <c r="PZU64" s="180"/>
      <c r="PZV64" s="180"/>
      <c r="PZW64" s="180"/>
      <c r="PZX64" s="180"/>
      <c r="PZY64" s="180"/>
      <c r="PZZ64" s="180"/>
      <c r="QAA64" s="180"/>
      <c r="QAB64" s="180"/>
      <c r="QAC64" s="180"/>
      <c r="QAD64" s="180"/>
      <c r="QAE64" s="180"/>
      <c r="QAF64" s="180"/>
      <c r="QAG64" s="180"/>
      <c r="QAH64" s="180"/>
      <c r="QAI64" s="180"/>
      <c r="QAJ64" s="180"/>
      <c r="QAK64" s="180"/>
      <c r="QAL64" s="180"/>
      <c r="QAM64" s="180"/>
      <c r="QAN64" s="180"/>
      <c r="QAO64" s="180"/>
      <c r="QAP64" s="180"/>
      <c r="QAQ64" s="180"/>
      <c r="QAR64" s="180"/>
      <c r="QAS64" s="180"/>
      <c r="QAT64" s="180"/>
      <c r="QAU64" s="180"/>
      <c r="QAV64" s="180"/>
      <c r="QAW64" s="180"/>
      <c r="QAX64" s="180"/>
      <c r="QAY64" s="180"/>
      <c r="QAZ64" s="180"/>
      <c r="QBA64" s="180"/>
      <c r="QBB64" s="180"/>
      <c r="QBC64" s="180"/>
      <c r="QBD64" s="180"/>
      <c r="QBE64" s="180"/>
      <c r="QBF64" s="180"/>
      <c r="QBG64" s="180"/>
      <c r="QBH64" s="180"/>
      <c r="QBI64" s="180"/>
      <c r="QBJ64" s="180"/>
      <c r="QBK64" s="180"/>
      <c r="QBL64" s="180"/>
      <c r="QBM64" s="180"/>
      <c r="QBN64" s="180"/>
      <c r="QBO64" s="180"/>
      <c r="QBP64" s="180"/>
      <c r="QBQ64" s="180"/>
      <c r="QBR64" s="180"/>
      <c r="QBS64" s="180"/>
      <c r="QBT64" s="180"/>
      <c r="QBU64" s="180"/>
      <c r="QBV64" s="180"/>
      <c r="QBW64" s="180"/>
      <c r="QBX64" s="180"/>
      <c r="QBY64" s="180"/>
      <c r="QBZ64" s="180"/>
      <c r="QCA64" s="180"/>
      <c r="QCB64" s="180"/>
      <c r="QCC64" s="180"/>
      <c r="QCD64" s="180"/>
      <c r="QCE64" s="180"/>
      <c r="QCF64" s="180"/>
      <c r="QCG64" s="180"/>
      <c r="QCH64" s="180"/>
      <c r="QCI64" s="180"/>
      <c r="QCJ64" s="180"/>
      <c r="QCK64" s="180"/>
      <c r="QCL64" s="180"/>
      <c r="QCM64" s="180"/>
      <c r="QCN64" s="180"/>
      <c r="QCO64" s="180"/>
      <c r="QCP64" s="180"/>
      <c r="QCQ64" s="180"/>
      <c r="QCR64" s="180"/>
      <c r="QCS64" s="180"/>
      <c r="QCT64" s="180"/>
      <c r="QCU64" s="180"/>
      <c r="QCV64" s="180"/>
      <c r="QCW64" s="180"/>
      <c r="QCX64" s="180"/>
      <c r="QCY64" s="180"/>
      <c r="QCZ64" s="180"/>
      <c r="QDA64" s="180"/>
      <c r="QDB64" s="180"/>
      <c r="QDC64" s="180"/>
      <c r="QDD64" s="180"/>
      <c r="QDE64" s="180"/>
      <c r="QDF64" s="180"/>
      <c r="QDG64" s="180"/>
      <c r="QDH64" s="180"/>
      <c r="QDI64" s="180"/>
      <c r="QDJ64" s="180"/>
      <c r="QDK64" s="180"/>
      <c r="QDL64" s="180"/>
      <c r="QDM64" s="180"/>
      <c r="QDN64" s="180"/>
      <c r="QDO64" s="180"/>
      <c r="QDP64" s="180"/>
      <c r="QDQ64" s="180"/>
      <c r="QDR64" s="180"/>
      <c r="QDS64" s="180"/>
      <c r="QDT64" s="180"/>
      <c r="QDU64" s="180"/>
      <c r="QDV64" s="180"/>
      <c r="QDW64" s="180"/>
      <c r="QDX64" s="180"/>
      <c r="QDY64" s="180"/>
      <c r="QDZ64" s="180"/>
      <c r="QEA64" s="180"/>
      <c r="QEB64" s="180"/>
      <c r="QEC64" s="180"/>
      <c r="QED64" s="180"/>
      <c r="QEE64" s="180"/>
      <c r="QEF64" s="180"/>
      <c r="QEG64" s="180"/>
      <c r="QEH64" s="180"/>
      <c r="QEI64" s="180"/>
      <c r="QEJ64" s="180"/>
      <c r="QEK64" s="180"/>
      <c r="QEL64" s="180"/>
      <c r="QEM64" s="180"/>
      <c r="QEN64" s="180"/>
      <c r="QEO64" s="180"/>
      <c r="QEP64" s="180"/>
      <c r="QEQ64" s="180"/>
      <c r="QER64" s="180"/>
      <c r="QES64" s="180"/>
      <c r="QET64" s="180"/>
      <c r="QEU64" s="180"/>
      <c r="QEV64" s="180"/>
      <c r="QEW64" s="180"/>
      <c r="QEX64" s="180"/>
      <c r="QEY64" s="180"/>
      <c r="QEZ64" s="180"/>
      <c r="QFA64" s="180"/>
      <c r="QFB64" s="180"/>
      <c r="QFC64" s="180"/>
      <c r="QFD64" s="180"/>
      <c r="QFE64" s="180"/>
      <c r="QFF64" s="180"/>
      <c r="QFG64" s="180"/>
      <c r="QFH64" s="180"/>
      <c r="QFI64" s="180"/>
      <c r="QFJ64" s="180"/>
      <c r="QFK64" s="180"/>
      <c r="QFL64" s="180"/>
      <c r="QFM64" s="180"/>
      <c r="QFN64" s="180"/>
      <c r="QFO64" s="180"/>
      <c r="QFP64" s="180"/>
      <c r="QFQ64" s="180"/>
      <c r="QFR64" s="180"/>
      <c r="QFS64" s="180"/>
      <c r="QFT64" s="180"/>
      <c r="QFU64" s="180"/>
      <c r="QFV64" s="180"/>
      <c r="QFW64" s="180"/>
      <c r="QFX64" s="180"/>
      <c r="QFY64" s="180"/>
      <c r="QFZ64" s="180"/>
      <c r="QGA64" s="180"/>
      <c r="QGB64" s="180"/>
      <c r="QGC64" s="180"/>
      <c r="QGD64" s="180"/>
      <c r="QGE64" s="180"/>
      <c r="QGF64" s="180"/>
      <c r="QGG64" s="180"/>
      <c r="QGH64" s="180"/>
      <c r="QGI64" s="180"/>
      <c r="QGJ64" s="180"/>
      <c r="QGK64" s="180"/>
      <c r="QGL64" s="180"/>
      <c r="QGM64" s="180"/>
      <c r="QGN64" s="180"/>
      <c r="QGO64" s="180"/>
      <c r="QGP64" s="180"/>
      <c r="QGQ64" s="180"/>
      <c r="QGR64" s="180"/>
      <c r="QGS64" s="180"/>
      <c r="QGT64" s="180"/>
      <c r="QGU64" s="180"/>
      <c r="QGV64" s="180"/>
      <c r="QGW64" s="180"/>
      <c r="QGX64" s="180"/>
      <c r="QGY64" s="180"/>
      <c r="QGZ64" s="180"/>
      <c r="QHA64" s="180"/>
      <c r="QHB64" s="180"/>
      <c r="QHC64" s="180"/>
      <c r="QHD64" s="180"/>
      <c r="QHE64" s="180"/>
      <c r="QHF64" s="180"/>
      <c r="QHG64" s="180"/>
      <c r="QHH64" s="180"/>
      <c r="QHI64" s="180"/>
      <c r="QHJ64" s="180"/>
      <c r="QHK64" s="180"/>
      <c r="QHL64" s="180"/>
      <c r="QHM64" s="180"/>
      <c r="QHN64" s="180"/>
      <c r="QHO64" s="180"/>
      <c r="QHP64" s="180"/>
      <c r="QHQ64" s="180"/>
      <c r="QHR64" s="180"/>
      <c r="QHS64" s="180"/>
      <c r="QHT64" s="180"/>
      <c r="QHU64" s="180"/>
      <c r="QHV64" s="180"/>
      <c r="QHW64" s="180"/>
      <c r="QHX64" s="180"/>
      <c r="QHY64" s="180"/>
      <c r="QHZ64" s="180"/>
      <c r="QIA64" s="180"/>
      <c r="QIB64" s="180"/>
      <c r="QIC64" s="180"/>
      <c r="QID64" s="180"/>
      <c r="QIE64" s="180"/>
      <c r="QIF64" s="180"/>
      <c r="QIG64" s="180"/>
      <c r="QIH64" s="180"/>
      <c r="QII64" s="180"/>
      <c r="QIJ64" s="180"/>
      <c r="QIK64" s="180"/>
      <c r="QIL64" s="180"/>
      <c r="QIM64" s="180"/>
      <c r="QIN64" s="180"/>
      <c r="QIO64" s="180"/>
      <c r="QIP64" s="180"/>
      <c r="QIQ64" s="180"/>
      <c r="QIR64" s="180"/>
      <c r="QIS64" s="180"/>
      <c r="QIT64" s="180"/>
      <c r="QIU64" s="180"/>
      <c r="QIV64" s="180"/>
      <c r="QIW64" s="180"/>
      <c r="QIX64" s="180"/>
      <c r="QIY64" s="180"/>
      <c r="QIZ64" s="180"/>
      <c r="QJA64" s="180"/>
      <c r="QJB64" s="180"/>
      <c r="QJC64" s="180"/>
      <c r="QJD64" s="180"/>
      <c r="QJE64" s="180"/>
      <c r="QJF64" s="180"/>
      <c r="QJG64" s="180"/>
      <c r="QJH64" s="180"/>
      <c r="QJI64" s="180"/>
      <c r="QJJ64" s="180"/>
      <c r="QJK64" s="180"/>
      <c r="QJL64" s="180"/>
      <c r="QJM64" s="180"/>
      <c r="QJN64" s="180"/>
      <c r="QJO64" s="180"/>
      <c r="QJP64" s="180"/>
      <c r="QJQ64" s="180"/>
      <c r="QJR64" s="180"/>
      <c r="QJS64" s="180"/>
      <c r="QJT64" s="180"/>
      <c r="QJU64" s="180"/>
      <c r="QJV64" s="180"/>
      <c r="QJW64" s="180"/>
      <c r="QJX64" s="180"/>
      <c r="QJY64" s="180"/>
      <c r="QJZ64" s="180"/>
      <c r="QKA64" s="180"/>
      <c r="QKB64" s="180"/>
      <c r="QKC64" s="180"/>
      <c r="QKD64" s="180"/>
      <c r="QKE64" s="180"/>
      <c r="QKF64" s="180"/>
      <c r="QKG64" s="180"/>
      <c r="QKH64" s="180"/>
      <c r="QKI64" s="180"/>
      <c r="QKJ64" s="180"/>
      <c r="QKK64" s="180"/>
      <c r="QKL64" s="180"/>
      <c r="QKM64" s="180"/>
      <c r="QKN64" s="180"/>
      <c r="QKO64" s="180"/>
      <c r="QKP64" s="180"/>
      <c r="QKQ64" s="180"/>
      <c r="QKR64" s="180"/>
      <c r="QKS64" s="180"/>
      <c r="QKT64" s="180"/>
      <c r="QKU64" s="180"/>
      <c r="QKV64" s="180"/>
      <c r="QKW64" s="180"/>
      <c r="QKX64" s="180"/>
      <c r="QKY64" s="180"/>
      <c r="QKZ64" s="180"/>
      <c r="QLA64" s="180"/>
      <c r="QLB64" s="180"/>
      <c r="QLC64" s="180"/>
      <c r="QLD64" s="180"/>
      <c r="QLE64" s="180"/>
      <c r="QLF64" s="180"/>
      <c r="QLG64" s="180"/>
      <c r="QLH64" s="180"/>
      <c r="QLI64" s="180"/>
      <c r="QLJ64" s="180"/>
      <c r="QLK64" s="180"/>
      <c r="QLL64" s="180"/>
      <c r="QLM64" s="180"/>
      <c r="QLN64" s="180"/>
      <c r="QLO64" s="180"/>
      <c r="QLP64" s="180"/>
      <c r="QLQ64" s="180"/>
      <c r="QLR64" s="180"/>
      <c r="QLS64" s="180"/>
      <c r="QLT64" s="180"/>
      <c r="QLU64" s="180"/>
      <c r="QLV64" s="180"/>
      <c r="QLW64" s="180"/>
      <c r="QLX64" s="180"/>
      <c r="QLY64" s="180"/>
      <c r="QLZ64" s="180"/>
      <c r="QMA64" s="180"/>
      <c r="QMB64" s="180"/>
      <c r="QMC64" s="180"/>
      <c r="QMD64" s="180"/>
      <c r="QME64" s="180"/>
      <c r="QMF64" s="180"/>
      <c r="QMG64" s="180"/>
      <c r="QMH64" s="180"/>
      <c r="QMI64" s="180"/>
      <c r="QMJ64" s="180"/>
      <c r="QMK64" s="180"/>
      <c r="QML64" s="180"/>
      <c r="QMM64" s="180"/>
      <c r="QMN64" s="180"/>
      <c r="QMO64" s="180"/>
      <c r="QMP64" s="180"/>
      <c r="QMQ64" s="180"/>
      <c r="QMR64" s="180"/>
      <c r="QMS64" s="180"/>
      <c r="QMT64" s="180"/>
      <c r="QMU64" s="180"/>
      <c r="QMV64" s="180"/>
      <c r="QMW64" s="180"/>
      <c r="QMX64" s="180"/>
      <c r="QMY64" s="180"/>
      <c r="QMZ64" s="180"/>
      <c r="QNA64" s="180"/>
      <c r="QNB64" s="180"/>
      <c r="QNC64" s="180"/>
      <c r="QND64" s="180"/>
      <c r="QNE64" s="180"/>
      <c r="QNF64" s="180"/>
      <c r="QNG64" s="180"/>
      <c r="QNH64" s="180"/>
      <c r="QNI64" s="180"/>
      <c r="QNJ64" s="180"/>
      <c r="QNK64" s="180"/>
      <c r="QNL64" s="180"/>
      <c r="QNM64" s="180"/>
      <c r="QNN64" s="180"/>
      <c r="QNO64" s="180"/>
      <c r="QNP64" s="180"/>
      <c r="QNQ64" s="180"/>
      <c r="QNR64" s="180"/>
      <c r="QNS64" s="180"/>
      <c r="QNT64" s="180"/>
      <c r="QNU64" s="180"/>
      <c r="QNV64" s="180"/>
      <c r="QNW64" s="180"/>
      <c r="QNX64" s="180"/>
      <c r="QNY64" s="180"/>
      <c r="QNZ64" s="180"/>
      <c r="QOA64" s="180"/>
      <c r="QOB64" s="180"/>
      <c r="QOC64" s="180"/>
      <c r="QOD64" s="180"/>
      <c r="QOE64" s="180"/>
      <c r="QOF64" s="180"/>
      <c r="QOG64" s="180"/>
      <c r="QOH64" s="180"/>
      <c r="QOI64" s="180"/>
      <c r="QOJ64" s="180"/>
      <c r="QOK64" s="180"/>
      <c r="QOL64" s="180"/>
      <c r="QOM64" s="180"/>
      <c r="QON64" s="180"/>
      <c r="QOO64" s="180"/>
      <c r="QOP64" s="180"/>
      <c r="QOQ64" s="180"/>
      <c r="QOR64" s="180"/>
      <c r="QOS64" s="180"/>
      <c r="QOT64" s="180"/>
      <c r="QOU64" s="180"/>
      <c r="QOV64" s="180"/>
      <c r="QOW64" s="180"/>
      <c r="QOX64" s="180"/>
      <c r="QOY64" s="180"/>
      <c r="QOZ64" s="180"/>
      <c r="QPA64" s="180"/>
      <c r="QPB64" s="180"/>
      <c r="QPC64" s="180"/>
      <c r="QPD64" s="180"/>
      <c r="QPE64" s="180"/>
      <c r="QPF64" s="180"/>
      <c r="QPG64" s="180"/>
      <c r="QPH64" s="180"/>
      <c r="QPI64" s="180"/>
      <c r="QPJ64" s="180"/>
      <c r="QPK64" s="180"/>
      <c r="QPL64" s="180"/>
      <c r="QPM64" s="180"/>
      <c r="QPN64" s="180"/>
      <c r="QPO64" s="180"/>
      <c r="QPP64" s="180"/>
      <c r="QPQ64" s="180"/>
      <c r="QPR64" s="180"/>
      <c r="QPS64" s="180"/>
      <c r="QPT64" s="180"/>
      <c r="QPU64" s="180"/>
      <c r="QPV64" s="180"/>
      <c r="QPW64" s="180"/>
      <c r="QPX64" s="180"/>
      <c r="QPY64" s="180"/>
      <c r="QPZ64" s="180"/>
      <c r="QQA64" s="180"/>
      <c r="QQB64" s="180"/>
      <c r="QQC64" s="180"/>
      <c r="QQD64" s="180"/>
      <c r="QQE64" s="180"/>
      <c r="QQF64" s="180"/>
      <c r="QQG64" s="180"/>
      <c r="QQH64" s="180"/>
      <c r="QQI64" s="180"/>
      <c r="QQJ64" s="180"/>
      <c r="QQK64" s="180"/>
      <c r="QQL64" s="180"/>
      <c r="QQM64" s="180"/>
      <c r="QQN64" s="180"/>
      <c r="QQO64" s="180"/>
      <c r="QQP64" s="180"/>
      <c r="QQQ64" s="180"/>
      <c r="QQR64" s="180"/>
      <c r="QQS64" s="180"/>
      <c r="QQT64" s="180"/>
      <c r="QQU64" s="180"/>
      <c r="QQV64" s="180"/>
      <c r="QQW64" s="180"/>
      <c r="QQX64" s="180"/>
      <c r="QQY64" s="180"/>
      <c r="QQZ64" s="180"/>
      <c r="QRA64" s="180"/>
      <c r="QRB64" s="180"/>
      <c r="QRC64" s="180"/>
      <c r="QRD64" s="180"/>
      <c r="QRE64" s="180"/>
      <c r="QRF64" s="180"/>
      <c r="QRG64" s="180"/>
      <c r="QRH64" s="180"/>
      <c r="QRI64" s="180"/>
      <c r="QRJ64" s="180"/>
      <c r="QRK64" s="180"/>
      <c r="QRL64" s="180"/>
      <c r="QRM64" s="180"/>
      <c r="QRN64" s="180"/>
      <c r="QRO64" s="180"/>
      <c r="QRP64" s="180"/>
      <c r="QRQ64" s="180"/>
      <c r="QRR64" s="180"/>
      <c r="QRS64" s="180"/>
      <c r="QRT64" s="180"/>
      <c r="QRU64" s="180"/>
      <c r="QRV64" s="180"/>
      <c r="QRW64" s="180"/>
      <c r="QRX64" s="180"/>
      <c r="QRY64" s="180"/>
      <c r="QRZ64" s="180"/>
      <c r="QSA64" s="180"/>
      <c r="QSB64" s="180"/>
      <c r="QSC64" s="180"/>
      <c r="QSD64" s="180"/>
      <c r="QSE64" s="180"/>
      <c r="QSF64" s="180"/>
      <c r="QSG64" s="180"/>
      <c r="QSH64" s="180"/>
      <c r="QSI64" s="180"/>
      <c r="QSJ64" s="180"/>
      <c r="QSK64" s="180"/>
      <c r="QSL64" s="180"/>
      <c r="QSM64" s="180"/>
      <c r="QSN64" s="180"/>
      <c r="QSO64" s="180"/>
      <c r="QSP64" s="180"/>
      <c r="QSQ64" s="180"/>
      <c r="QSR64" s="180"/>
      <c r="QSS64" s="180"/>
      <c r="QST64" s="180"/>
      <c r="QSU64" s="180"/>
      <c r="QSV64" s="180"/>
      <c r="QSW64" s="180"/>
      <c r="QSX64" s="180"/>
      <c r="QSY64" s="180"/>
      <c r="QSZ64" s="180"/>
      <c r="QTA64" s="180"/>
      <c r="QTB64" s="180"/>
      <c r="QTC64" s="180"/>
      <c r="QTD64" s="180"/>
      <c r="QTE64" s="180"/>
      <c r="QTF64" s="180"/>
      <c r="QTG64" s="180"/>
      <c r="QTH64" s="180"/>
      <c r="QTI64" s="180"/>
      <c r="QTJ64" s="180"/>
      <c r="QTK64" s="180"/>
      <c r="QTL64" s="180"/>
      <c r="QTM64" s="180"/>
      <c r="QTN64" s="180"/>
      <c r="QTO64" s="180"/>
      <c r="QTP64" s="180"/>
      <c r="QTQ64" s="180"/>
      <c r="QTR64" s="180"/>
      <c r="QTS64" s="180"/>
      <c r="QTT64" s="180"/>
      <c r="QTU64" s="180"/>
      <c r="QTV64" s="180"/>
      <c r="QTW64" s="180"/>
      <c r="QTX64" s="180"/>
      <c r="QTY64" s="180"/>
      <c r="QTZ64" s="180"/>
      <c r="QUA64" s="180"/>
      <c r="QUB64" s="180"/>
      <c r="QUC64" s="180"/>
      <c r="QUD64" s="180"/>
      <c r="QUE64" s="180"/>
      <c r="QUF64" s="180"/>
      <c r="QUG64" s="180"/>
      <c r="QUH64" s="180"/>
      <c r="QUI64" s="180"/>
      <c r="QUJ64" s="180"/>
      <c r="QUK64" s="180"/>
      <c r="QUL64" s="180"/>
      <c r="QUM64" s="180"/>
      <c r="QUN64" s="180"/>
      <c r="QUO64" s="180"/>
      <c r="QUP64" s="180"/>
      <c r="QUQ64" s="180"/>
      <c r="QUR64" s="180"/>
      <c r="QUS64" s="180"/>
      <c r="QUT64" s="180"/>
      <c r="QUU64" s="180"/>
      <c r="QUV64" s="180"/>
      <c r="QUW64" s="180"/>
      <c r="QUX64" s="180"/>
      <c r="QUY64" s="180"/>
      <c r="QUZ64" s="180"/>
      <c r="QVA64" s="180"/>
      <c r="QVB64" s="180"/>
      <c r="QVC64" s="180"/>
      <c r="QVD64" s="180"/>
      <c r="QVE64" s="180"/>
      <c r="QVF64" s="180"/>
      <c r="QVG64" s="180"/>
      <c r="QVH64" s="180"/>
      <c r="QVI64" s="180"/>
      <c r="QVJ64" s="180"/>
      <c r="QVK64" s="180"/>
      <c r="QVL64" s="180"/>
      <c r="QVM64" s="180"/>
      <c r="QVN64" s="180"/>
      <c r="QVO64" s="180"/>
      <c r="QVP64" s="180"/>
      <c r="QVQ64" s="180"/>
      <c r="QVR64" s="180"/>
      <c r="QVS64" s="180"/>
      <c r="QVT64" s="180"/>
      <c r="QVU64" s="180"/>
      <c r="QVV64" s="180"/>
      <c r="QVW64" s="180"/>
      <c r="QVX64" s="180"/>
      <c r="QVY64" s="180"/>
      <c r="QVZ64" s="180"/>
      <c r="QWA64" s="180"/>
      <c r="QWB64" s="180"/>
      <c r="QWC64" s="180"/>
      <c r="QWD64" s="180"/>
      <c r="QWE64" s="180"/>
      <c r="QWF64" s="180"/>
      <c r="QWG64" s="180"/>
      <c r="QWH64" s="180"/>
      <c r="QWI64" s="180"/>
      <c r="QWJ64" s="180"/>
      <c r="QWK64" s="180"/>
      <c r="QWL64" s="180"/>
      <c r="QWM64" s="180"/>
      <c r="QWN64" s="180"/>
      <c r="QWO64" s="180"/>
      <c r="QWP64" s="180"/>
      <c r="QWQ64" s="180"/>
      <c r="QWR64" s="180"/>
      <c r="QWS64" s="180"/>
      <c r="QWT64" s="180"/>
      <c r="QWU64" s="180"/>
      <c r="QWV64" s="180"/>
      <c r="QWW64" s="180"/>
      <c r="QWX64" s="180"/>
      <c r="QWY64" s="180"/>
      <c r="QWZ64" s="180"/>
      <c r="QXA64" s="180"/>
      <c r="QXB64" s="180"/>
      <c r="QXC64" s="180"/>
      <c r="QXD64" s="180"/>
      <c r="QXE64" s="180"/>
      <c r="QXF64" s="180"/>
      <c r="QXG64" s="180"/>
      <c r="QXH64" s="180"/>
      <c r="QXI64" s="180"/>
      <c r="QXJ64" s="180"/>
      <c r="QXK64" s="180"/>
      <c r="QXL64" s="180"/>
      <c r="QXM64" s="180"/>
      <c r="QXN64" s="180"/>
      <c r="QXO64" s="180"/>
      <c r="QXP64" s="180"/>
      <c r="QXQ64" s="180"/>
      <c r="QXR64" s="180"/>
      <c r="QXS64" s="180"/>
      <c r="QXT64" s="180"/>
      <c r="QXU64" s="180"/>
      <c r="QXV64" s="180"/>
      <c r="QXW64" s="180"/>
      <c r="QXX64" s="180"/>
      <c r="QXY64" s="180"/>
      <c r="QXZ64" s="180"/>
      <c r="QYA64" s="180"/>
      <c r="QYB64" s="180"/>
      <c r="QYC64" s="180"/>
      <c r="QYD64" s="180"/>
      <c r="QYE64" s="180"/>
      <c r="QYF64" s="180"/>
      <c r="QYG64" s="180"/>
      <c r="QYH64" s="180"/>
      <c r="QYI64" s="180"/>
      <c r="QYJ64" s="180"/>
      <c r="QYK64" s="180"/>
      <c r="QYL64" s="180"/>
      <c r="QYM64" s="180"/>
      <c r="QYN64" s="180"/>
      <c r="QYO64" s="180"/>
      <c r="QYP64" s="180"/>
      <c r="QYQ64" s="180"/>
      <c r="QYR64" s="180"/>
      <c r="QYS64" s="180"/>
      <c r="QYT64" s="180"/>
      <c r="QYU64" s="180"/>
      <c r="QYV64" s="180"/>
      <c r="QYW64" s="180"/>
      <c r="QYX64" s="180"/>
      <c r="QYY64" s="180"/>
      <c r="QYZ64" s="180"/>
      <c r="QZA64" s="180"/>
      <c r="QZB64" s="180"/>
      <c r="QZC64" s="180"/>
      <c r="QZD64" s="180"/>
      <c r="QZE64" s="180"/>
      <c r="QZF64" s="180"/>
      <c r="QZG64" s="180"/>
      <c r="QZH64" s="180"/>
      <c r="QZI64" s="180"/>
      <c r="QZJ64" s="180"/>
      <c r="QZK64" s="180"/>
      <c r="QZL64" s="180"/>
      <c r="QZM64" s="180"/>
      <c r="QZN64" s="180"/>
      <c r="QZO64" s="180"/>
      <c r="QZP64" s="180"/>
      <c r="QZQ64" s="180"/>
      <c r="QZR64" s="180"/>
      <c r="QZS64" s="180"/>
      <c r="QZT64" s="180"/>
      <c r="QZU64" s="180"/>
      <c r="QZV64" s="180"/>
      <c r="QZW64" s="180"/>
      <c r="QZX64" s="180"/>
      <c r="QZY64" s="180"/>
      <c r="QZZ64" s="180"/>
      <c r="RAA64" s="180"/>
      <c r="RAB64" s="180"/>
      <c r="RAC64" s="180"/>
      <c r="RAD64" s="180"/>
      <c r="RAE64" s="180"/>
      <c r="RAF64" s="180"/>
      <c r="RAG64" s="180"/>
      <c r="RAH64" s="180"/>
      <c r="RAI64" s="180"/>
      <c r="RAJ64" s="180"/>
      <c r="RAK64" s="180"/>
      <c r="RAL64" s="180"/>
      <c r="RAM64" s="180"/>
      <c r="RAN64" s="180"/>
      <c r="RAO64" s="180"/>
      <c r="RAP64" s="180"/>
      <c r="RAQ64" s="180"/>
      <c r="RAR64" s="180"/>
      <c r="RAS64" s="180"/>
      <c r="RAT64" s="180"/>
      <c r="RAU64" s="180"/>
      <c r="RAV64" s="180"/>
      <c r="RAW64" s="180"/>
      <c r="RAX64" s="180"/>
      <c r="RAY64" s="180"/>
      <c r="RAZ64" s="180"/>
      <c r="RBA64" s="180"/>
      <c r="RBB64" s="180"/>
      <c r="RBC64" s="180"/>
      <c r="RBD64" s="180"/>
      <c r="RBE64" s="180"/>
      <c r="RBF64" s="180"/>
      <c r="RBG64" s="180"/>
      <c r="RBH64" s="180"/>
      <c r="RBI64" s="180"/>
      <c r="RBJ64" s="180"/>
      <c r="RBK64" s="180"/>
      <c r="RBL64" s="180"/>
      <c r="RBM64" s="180"/>
      <c r="RBN64" s="180"/>
      <c r="RBO64" s="180"/>
      <c r="RBP64" s="180"/>
      <c r="RBQ64" s="180"/>
      <c r="RBR64" s="180"/>
      <c r="RBS64" s="180"/>
      <c r="RBT64" s="180"/>
      <c r="RBU64" s="180"/>
      <c r="RBV64" s="180"/>
      <c r="RBW64" s="180"/>
      <c r="RBX64" s="180"/>
      <c r="RBY64" s="180"/>
      <c r="RBZ64" s="180"/>
      <c r="RCA64" s="180"/>
      <c r="RCB64" s="180"/>
      <c r="RCC64" s="180"/>
      <c r="RCD64" s="180"/>
      <c r="RCE64" s="180"/>
      <c r="RCF64" s="180"/>
      <c r="RCG64" s="180"/>
      <c r="RCH64" s="180"/>
      <c r="RCI64" s="180"/>
      <c r="RCJ64" s="180"/>
      <c r="RCK64" s="180"/>
      <c r="RCL64" s="180"/>
      <c r="RCM64" s="180"/>
      <c r="RCN64" s="180"/>
      <c r="RCO64" s="180"/>
      <c r="RCP64" s="180"/>
      <c r="RCQ64" s="180"/>
      <c r="RCR64" s="180"/>
      <c r="RCS64" s="180"/>
      <c r="RCT64" s="180"/>
      <c r="RCU64" s="180"/>
      <c r="RCV64" s="180"/>
      <c r="RCW64" s="180"/>
      <c r="RCX64" s="180"/>
      <c r="RCY64" s="180"/>
      <c r="RCZ64" s="180"/>
      <c r="RDA64" s="180"/>
      <c r="RDB64" s="180"/>
      <c r="RDC64" s="180"/>
      <c r="RDD64" s="180"/>
      <c r="RDE64" s="180"/>
      <c r="RDF64" s="180"/>
      <c r="RDG64" s="180"/>
      <c r="RDH64" s="180"/>
      <c r="RDI64" s="180"/>
      <c r="RDJ64" s="180"/>
      <c r="RDK64" s="180"/>
      <c r="RDL64" s="180"/>
      <c r="RDM64" s="180"/>
      <c r="RDN64" s="180"/>
      <c r="RDO64" s="180"/>
      <c r="RDP64" s="180"/>
      <c r="RDQ64" s="180"/>
      <c r="RDR64" s="180"/>
      <c r="RDS64" s="180"/>
      <c r="RDT64" s="180"/>
      <c r="RDU64" s="180"/>
      <c r="RDV64" s="180"/>
      <c r="RDW64" s="180"/>
      <c r="RDX64" s="180"/>
      <c r="RDY64" s="180"/>
      <c r="RDZ64" s="180"/>
      <c r="REA64" s="180"/>
      <c r="REB64" s="180"/>
      <c r="REC64" s="180"/>
      <c r="RED64" s="180"/>
      <c r="REE64" s="180"/>
      <c r="REF64" s="180"/>
      <c r="REG64" s="180"/>
      <c r="REH64" s="180"/>
      <c r="REI64" s="180"/>
      <c r="REJ64" s="180"/>
      <c r="REK64" s="180"/>
      <c r="REL64" s="180"/>
      <c r="REM64" s="180"/>
      <c r="REN64" s="180"/>
      <c r="REO64" s="180"/>
      <c r="REP64" s="180"/>
      <c r="REQ64" s="180"/>
      <c r="RER64" s="180"/>
      <c r="RES64" s="180"/>
      <c r="RET64" s="180"/>
      <c r="REU64" s="180"/>
      <c r="REV64" s="180"/>
      <c r="REW64" s="180"/>
      <c r="REX64" s="180"/>
      <c r="REY64" s="180"/>
      <c r="REZ64" s="180"/>
      <c r="RFA64" s="180"/>
      <c r="RFB64" s="180"/>
      <c r="RFC64" s="180"/>
      <c r="RFD64" s="180"/>
      <c r="RFE64" s="180"/>
      <c r="RFF64" s="180"/>
      <c r="RFG64" s="180"/>
      <c r="RFH64" s="180"/>
      <c r="RFI64" s="180"/>
      <c r="RFJ64" s="180"/>
      <c r="RFK64" s="180"/>
      <c r="RFL64" s="180"/>
      <c r="RFM64" s="180"/>
      <c r="RFN64" s="180"/>
      <c r="RFO64" s="180"/>
      <c r="RFP64" s="180"/>
      <c r="RFQ64" s="180"/>
      <c r="RFR64" s="180"/>
      <c r="RFS64" s="180"/>
      <c r="RFT64" s="180"/>
      <c r="RFU64" s="180"/>
      <c r="RFV64" s="180"/>
      <c r="RFW64" s="180"/>
      <c r="RFX64" s="180"/>
      <c r="RFY64" s="180"/>
      <c r="RFZ64" s="180"/>
      <c r="RGA64" s="180"/>
      <c r="RGB64" s="180"/>
      <c r="RGC64" s="180"/>
      <c r="RGD64" s="180"/>
      <c r="RGE64" s="180"/>
      <c r="RGF64" s="180"/>
      <c r="RGG64" s="180"/>
      <c r="RGH64" s="180"/>
      <c r="RGI64" s="180"/>
      <c r="RGJ64" s="180"/>
      <c r="RGK64" s="180"/>
      <c r="RGL64" s="180"/>
      <c r="RGM64" s="180"/>
      <c r="RGN64" s="180"/>
      <c r="RGO64" s="180"/>
      <c r="RGP64" s="180"/>
      <c r="RGQ64" s="180"/>
      <c r="RGR64" s="180"/>
      <c r="RGS64" s="180"/>
      <c r="RGT64" s="180"/>
      <c r="RGU64" s="180"/>
      <c r="RGV64" s="180"/>
      <c r="RGW64" s="180"/>
      <c r="RGX64" s="180"/>
      <c r="RGY64" s="180"/>
      <c r="RGZ64" s="180"/>
      <c r="RHA64" s="180"/>
      <c r="RHB64" s="180"/>
      <c r="RHC64" s="180"/>
      <c r="RHD64" s="180"/>
      <c r="RHE64" s="180"/>
      <c r="RHF64" s="180"/>
      <c r="RHG64" s="180"/>
      <c r="RHH64" s="180"/>
      <c r="RHI64" s="180"/>
      <c r="RHJ64" s="180"/>
      <c r="RHK64" s="180"/>
      <c r="RHL64" s="180"/>
      <c r="RHM64" s="180"/>
      <c r="RHN64" s="180"/>
      <c r="RHO64" s="180"/>
      <c r="RHP64" s="180"/>
      <c r="RHQ64" s="180"/>
      <c r="RHR64" s="180"/>
      <c r="RHS64" s="180"/>
      <c r="RHT64" s="180"/>
      <c r="RHU64" s="180"/>
      <c r="RHV64" s="180"/>
      <c r="RHW64" s="180"/>
      <c r="RHX64" s="180"/>
      <c r="RHY64" s="180"/>
      <c r="RHZ64" s="180"/>
      <c r="RIA64" s="180"/>
      <c r="RIB64" s="180"/>
      <c r="RIC64" s="180"/>
      <c r="RID64" s="180"/>
      <c r="RIE64" s="180"/>
      <c r="RIF64" s="180"/>
      <c r="RIG64" s="180"/>
      <c r="RIH64" s="180"/>
      <c r="RII64" s="180"/>
      <c r="RIJ64" s="180"/>
      <c r="RIK64" s="180"/>
      <c r="RIL64" s="180"/>
      <c r="RIM64" s="180"/>
      <c r="RIN64" s="180"/>
      <c r="RIO64" s="180"/>
      <c r="RIP64" s="180"/>
      <c r="RIQ64" s="180"/>
      <c r="RIR64" s="180"/>
      <c r="RIS64" s="180"/>
      <c r="RIT64" s="180"/>
      <c r="RIU64" s="180"/>
      <c r="RIV64" s="180"/>
      <c r="RIW64" s="180"/>
      <c r="RIX64" s="180"/>
      <c r="RIY64" s="180"/>
      <c r="RIZ64" s="180"/>
      <c r="RJA64" s="180"/>
      <c r="RJB64" s="180"/>
      <c r="RJC64" s="180"/>
      <c r="RJD64" s="180"/>
      <c r="RJE64" s="180"/>
      <c r="RJF64" s="180"/>
      <c r="RJG64" s="180"/>
      <c r="RJH64" s="180"/>
      <c r="RJI64" s="180"/>
      <c r="RJJ64" s="180"/>
      <c r="RJK64" s="180"/>
      <c r="RJL64" s="180"/>
      <c r="RJM64" s="180"/>
      <c r="RJN64" s="180"/>
      <c r="RJO64" s="180"/>
      <c r="RJP64" s="180"/>
      <c r="RJQ64" s="180"/>
      <c r="RJR64" s="180"/>
      <c r="RJS64" s="180"/>
      <c r="RJT64" s="180"/>
      <c r="RJU64" s="180"/>
      <c r="RJV64" s="180"/>
      <c r="RJW64" s="180"/>
      <c r="RJX64" s="180"/>
      <c r="RJY64" s="180"/>
      <c r="RJZ64" s="180"/>
      <c r="RKA64" s="180"/>
      <c r="RKB64" s="180"/>
      <c r="RKC64" s="180"/>
      <c r="RKD64" s="180"/>
      <c r="RKE64" s="180"/>
      <c r="RKF64" s="180"/>
      <c r="RKG64" s="180"/>
      <c r="RKH64" s="180"/>
      <c r="RKI64" s="180"/>
      <c r="RKJ64" s="180"/>
      <c r="RKK64" s="180"/>
      <c r="RKL64" s="180"/>
      <c r="RKM64" s="180"/>
      <c r="RKN64" s="180"/>
      <c r="RKO64" s="180"/>
      <c r="RKP64" s="180"/>
      <c r="RKQ64" s="180"/>
      <c r="RKR64" s="180"/>
      <c r="RKS64" s="180"/>
      <c r="RKT64" s="180"/>
      <c r="RKU64" s="180"/>
      <c r="RKV64" s="180"/>
      <c r="RKW64" s="180"/>
      <c r="RKX64" s="180"/>
      <c r="RKY64" s="180"/>
      <c r="RKZ64" s="180"/>
      <c r="RLA64" s="180"/>
      <c r="RLB64" s="180"/>
      <c r="RLC64" s="180"/>
      <c r="RLD64" s="180"/>
      <c r="RLE64" s="180"/>
      <c r="RLF64" s="180"/>
      <c r="RLG64" s="180"/>
      <c r="RLH64" s="180"/>
      <c r="RLI64" s="180"/>
      <c r="RLJ64" s="180"/>
      <c r="RLK64" s="180"/>
      <c r="RLL64" s="180"/>
      <c r="RLM64" s="180"/>
      <c r="RLN64" s="180"/>
      <c r="RLO64" s="180"/>
      <c r="RLP64" s="180"/>
      <c r="RLQ64" s="180"/>
      <c r="RLR64" s="180"/>
      <c r="RLS64" s="180"/>
      <c r="RLT64" s="180"/>
      <c r="RLU64" s="180"/>
      <c r="RLV64" s="180"/>
      <c r="RLW64" s="180"/>
      <c r="RLX64" s="180"/>
      <c r="RLY64" s="180"/>
      <c r="RLZ64" s="180"/>
      <c r="RMA64" s="180"/>
      <c r="RMB64" s="180"/>
      <c r="RMC64" s="180"/>
      <c r="RMD64" s="180"/>
      <c r="RME64" s="180"/>
      <c r="RMF64" s="180"/>
      <c r="RMG64" s="180"/>
      <c r="RMH64" s="180"/>
      <c r="RMI64" s="180"/>
      <c r="RMJ64" s="180"/>
      <c r="RMK64" s="180"/>
      <c r="RML64" s="180"/>
      <c r="RMM64" s="180"/>
      <c r="RMN64" s="180"/>
      <c r="RMO64" s="180"/>
      <c r="RMP64" s="180"/>
      <c r="RMQ64" s="180"/>
      <c r="RMR64" s="180"/>
      <c r="RMS64" s="180"/>
      <c r="RMT64" s="180"/>
      <c r="RMU64" s="180"/>
      <c r="RMV64" s="180"/>
      <c r="RMW64" s="180"/>
      <c r="RMX64" s="180"/>
      <c r="RMY64" s="180"/>
      <c r="RMZ64" s="180"/>
      <c r="RNA64" s="180"/>
      <c r="RNB64" s="180"/>
      <c r="RNC64" s="180"/>
      <c r="RND64" s="180"/>
      <c r="RNE64" s="180"/>
      <c r="RNF64" s="180"/>
      <c r="RNG64" s="180"/>
      <c r="RNH64" s="180"/>
      <c r="RNI64" s="180"/>
      <c r="RNJ64" s="180"/>
      <c r="RNK64" s="180"/>
      <c r="RNL64" s="180"/>
      <c r="RNM64" s="180"/>
      <c r="RNN64" s="180"/>
      <c r="RNO64" s="180"/>
      <c r="RNP64" s="180"/>
      <c r="RNQ64" s="180"/>
      <c r="RNR64" s="180"/>
      <c r="RNS64" s="180"/>
      <c r="RNT64" s="180"/>
      <c r="RNU64" s="180"/>
      <c r="RNV64" s="180"/>
      <c r="RNW64" s="180"/>
      <c r="RNX64" s="180"/>
      <c r="RNY64" s="180"/>
      <c r="RNZ64" s="180"/>
      <c r="ROA64" s="180"/>
      <c r="ROB64" s="180"/>
      <c r="ROC64" s="180"/>
      <c r="ROD64" s="180"/>
      <c r="ROE64" s="180"/>
      <c r="ROF64" s="180"/>
      <c r="ROG64" s="180"/>
      <c r="ROH64" s="180"/>
      <c r="ROI64" s="180"/>
      <c r="ROJ64" s="180"/>
      <c r="ROK64" s="180"/>
      <c r="ROL64" s="180"/>
      <c r="ROM64" s="180"/>
      <c r="RON64" s="180"/>
      <c r="ROO64" s="180"/>
      <c r="ROP64" s="180"/>
      <c r="ROQ64" s="180"/>
      <c r="ROR64" s="180"/>
      <c r="ROS64" s="180"/>
      <c r="ROT64" s="180"/>
      <c r="ROU64" s="180"/>
      <c r="ROV64" s="180"/>
      <c r="ROW64" s="180"/>
      <c r="ROX64" s="180"/>
      <c r="ROY64" s="180"/>
      <c r="ROZ64" s="180"/>
      <c r="RPA64" s="180"/>
      <c r="RPB64" s="180"/>
      <c r="RPC64" s="180"/>
      <c r="RPD64" s="180"/>
      <c r="RPE64" s="180"/>
      <c r="RPF64" s="180"/>
      <c r="RPG64" s="180"/>
      <c r="RPH64" s="180"/>
      <c r="RPI64" s="180"/>
      <c r="RPJ64" s="180"/>
      <c r="RPK64" s="180"/>
      <c r="RPL64" s="180"/>
      <c r="RPM64" s="180"/>
      <c r="RPN64" s="180"/>
      <c r="RPO64" s="180"/>
      <c r="RPP64" s="180"/>
      <c r="RPQ64" s="180"/>
      <c r="RPR64" s="180"/>
      <c r="RPS64" s="180"/>
      <c r="RPT64" s="180"/>
      <c r="RPU64" s="180"/>
      <c r="RPV64" s="180"/>
      <c r="RPW64" s="180"/>
      <c r="RPX64" s="180"/>
      <c r="RPY64" s="180"/>
      <c r="RPZ64" s="180"/>
      <c r="RQA64" s="180"/>
      <c r="RQB64" s="180"/>
      <c r="RQC64" s="180"/>
      <c r="RQD64" s="180"/>
      <c r="RQE64" s="180"/>
      <c r="RQF64" s="180"/>
      <c r="RQG64" s="180"/>
      <c r="RQH64" s="180"/>
      <c r="RQI64" s="180"/>
      <c r="RQJ64" s="180"/>
      <c r="RQK64" s="180"/>
      <c r="RQL64" s="180"/>
      <c r="RQM64" s="180"/>
      <c r="RQN64" s="180"/>
      <c r="RQO64" s="180"/>
      <c r="RQP64" s="180"/>
      <c r="RQQ64" s="180"/>
      <c r="RQR64" s="180"/>
      <c r="RQS64" s="180"/>
      <c r="RQT64" s="180"/>
      <c r="RQU64" s="180"/>
      <c r="RQV64" s="180"/>
      <c r="RQW64" s="180"/>
      <c r="RQX64" s="180"/>
      <c r="RQY64" s="180"/>
      <c r="RQZ64" s="180"/>
      <c r="RRA64" s="180"/>
      <c r="RRB64" s="180"/>
      <c r="RRC64" s="180"/>
      <c r="RRD64" s="180"/>
      <c r="RRE64" s="180"/>
      <c r="RRF64" s="180"/>
      <c r="RRG64" s="180"/>
      <c r="RRH64" s="180"/>
      <c r="RRI64" s="180"/>
      <c r="RRJ64" s="180"/>
      <c r="RRK64" s="180"/>
      <c r="RRL64" s="180"/>
      <c r="RRM64" s="180"/>
      <c r="RRN64" s="180"/>
      <c r="RRO64" s="180"/>
      <c r="RRP64" s="180"/>
      <c r="RRQ64" s="180"/>
      <c r="RRR64" s="180"/>
      <c r="RRS64" s="180"/>
      <c r="RRT64" s="180"/>
      <c r="RRU64" s="180"/>
      <c r="RRV64" s="180"/>
      <c r="RRW64" s="180"/>
      <c r="RRX64" s="180"/>
      <c r="RRY64" s="180"/>
      <c r="RRZ64" s="180"/>
      <c r="RSA64" s="180"/>
      <c r="RSB64" s="180"/>
      <c r="RSC64" s="180"/>
      <c r="RSD64" s="180"/>
      <c r="RSE64" s="180"/>
      <c r="RSF64" s="180"/>
      <c r="RSG64" s="180"/>
      <c r="RSH64" s="180"/>
      <c r="RSI64" s="180"/>
      <c r="RSJ64" s="180"/>
      <c r="RSK64" s="180"/>
      <c r="RSL64" s="180"/>
      <c r="RSM64" s="180"/>
      <c r="RSN64" s="180"/>
      <c r="RSO64" s="180"/>
      <c r="RSP64" s="180"/>
      <c r="RSQ64" s="180"/>
      <c r="RSR64" s="180"/>
      <c r="RSS64" s="180"/>
      <c r="RST64" s="180"/>
      <c r="RSU64" s="180"/>
      <c r="RSV64" s="180"/>
      <c r="RSW64" s="180"/>
      <c r="RSX64" s="180"/>
      <c r="RSY64" s="180"/>
      <c r="RSZ64" s="180"/>
      <c r="RTA64" s="180"/>
      <c r="RTB64" s="180"/>
      <c r="RTC64" s="180"/>
      <c r="RTD64" s="180"/>
      <c r="RTE64" s="180"/>
      <c r="RTF64" s="180"/>
      <c r="RTG64" s="180"/>
      <c r="RTH64" s="180"/>
      <c r="RTI64" s="180"/>
      <c r="RTJ64" s="180"/>
      <c r="RTK64" s="180"/>
      <c r="RTL64" s="180"/>
      <c r="RTM64" s="180"/>
      <c r="RTN64" s="180"/>
      <c r="RTO64" s="180"/>
      <c r="RTP64" s="180"/>
      <c r="RTQ64" s="180"/>
      <c r="RTR64" s="180"/>
      <c r="RTS64" s="180"/>
      <c r="RTT64" s="180"/>
      <c r="RTU64" s="180"/>
      <c r="RTV64" s="180"/>
      <c r="RTW64" s="180"/>
      <c r="RTX64" s="180"/>
      <c r="RTY64" s="180"/>
      <c r="RTZ64" s="180"/>
      <c r="RUA64" s="180"/>
      <c r="RUB64" s="180"/>
      <c r="RUC64" s="180"/>
      <c r="RUD64" s="180"/>
      <c r="RUE64" s="180"/>
      <c r="RUF64" s="180"/>
      <c r="RUG64" s="180"/>
      <c r="RUH64" s="180"/>
      <c r="RUI64" s="180"/>
      <c r="RUJ64" s="180"/>
      <c r="RUK64" s="180"/>
      <c r="RUL64" s="180"/>
      <c r="RUM64" s="180"/>
      <c r="RUN64" s="180"/>
      <c r="RUO64" s="180"/>
      <c r="RUP64" s="180"/>
      <c r="RUQ64" s="180"/>
      <c r="RUR64" s="180"/>
      <c r="RUS64" s="180"/>
      <c r="RUT64" s="180"/>
      <c r="RUU64" s="180"/>
      <c r="RUV64" s="180"/>
      <c r="RUW64" s="180"/>
      <c r="RUX64" s="180"/>
      <c r="RUY64" s="180"/>
      <c r="RUZ64" s="180"/>
      <c r="RVA64" s="180"/>
      <c r="RVB64" s="180"/>
      <c r="RVC64" s="180"/>
      <c r="RVD64" s="180"/>
      <c r="RVE64" s="180"/>
      <c r="RVF64" s="180"/>
      <c r="RVG64" s="180"/>
      <c r="RVH64" s="180"/>
      <c r="RVI64" s="180"/>
      <c r="RVJ64" s="180"/>
      <c r="RVK64" s="180"/>
      <c r="RVL64" s="180"/>
      <c r="RVM64" s="180"/>
      <c r="RVN64" s="180"/>
      <c r="RVO64" s="180"/>
      <c r="RVP64" s="180"/>
      <c r="RVQ64" s="180"/>
      <c r="RVR64" s="180"/>
      <c r="RVS64" s="180"/>
      <c r="RVT64" s="180"/>
      <c r="RVU64" s="180"/>
      <c r="RVV64" s="180"/>
      <c r="RVW64" s="180"/>
      <c r="RVX64" s="180"/>
      <c r="RVY64" s="180"/>
      <c r="RVZ64" s="180"/>
      <c r="RWA64" s="180"/>
      <c r="RWB64" s="180"/>
      <c r="RWC64" s="180"/>
      <c r="RWD64" s="180"/>
      <c r="RWE64" s="180"/>
      <c r="RWF64" s="180"/>
      <c r="RWG64" s="180"/>
      <c r="RWH64" s="180"/>
      <c r="RWI64" s="180"/>
      <c r="RWJ64" s="180"/>
      <c r="RWK64" s="180"/>
      <c r="RWL64" s="180"/>
      <c r="RWM64" s="180"/>
      <c r="RWN64" s="180"/>
      <c r="RWO64" s="180"/>
      <c r="RWP64" s="180"/>
      <c r="RWQ64" s="180"/>
      <c r="RWR64" s="180"/>
      <c r="RWS64" s="180"/>
      <c r="RWT64" s="180"/>
      <c r="RWU64" s="180"/>
      <c r="RWV64" s="180"/>
      <c r="RWW64" s="180"/>
      <c r="RWX64" s="180"/>
      <c r="RWY64" s="180"/>
      <c r="RWZ64" s="180"/>
      <c r="RXA64" s="180"/>
      <c r="RXB64" s="180"/>
      <c r="RXC64" s="180"/>
      <c r="RXD64" s="180"/>
      <c r="RXE64" s="180"/>
      <c r="RXF64" s="180"/>
      <c r="RXG64" s="180"/>
      <c r="RXH64" s="180"/>
      <c r="RXI64" s="180"/>
      <c r="RXJ64" s="180"/>
      <c r="RXK64" s="180"/>
      <c r="RXL64" s="180"/>
      <c r="RXM64" s="180"/>
      <c r="RXN64" s="180"/>
      <c r="RXO64" s="180"/>
      <c r="RXP64" s="180"/>
      <c r="RXQ64" s="180"/>
      <c r="RXR64" s="180"/>
      <c r="RXS64" s="180"/>
      <c r="RXT64" s="180"/>
      <c r="RXU64" s="180"/>
      <c r="RXV64" s="180"/>
      <c r="RXW64" s="180"/>
      <c r="RXX64" s="180"/>
      <c r="RXY64" s="180"/>
      <c r="RXZ64" s="180"/>
      <c r="RYA64" s="180"/>
      <c r="RYB64" s="180"/>
      <c r="RYC64" s="180"/>
      <c r="RYD64" s="180"/>
      <c r="RYE64" s="180"/>
      <c r="RYF64" s="180"/>
      <c r="RYG64" s="180"/>
      <c r="RYH64" s="180"/>
      <c r="RYI64" s="180"/>
      <c r="RYJ64" s="180"/>
      <c r="RYK64" s="180"/>
      <c r="RYL64" s="180"/>
      <c r="RYM64" s="180"/>
      <c r="RYN64" s="180"/>
      <c r="RYO64" s="180"/>
      <c r="RYP64" s="180"/>
      <c r="RYQ64" s="180"/>
      <c r="RYR64" s="180"/>
      <c r="RYS64" s="180"/>
      <c r="RYT64" s="180"/>
      <c r="RYU64" s="180"/>
      <c r="RYV64" s="180"/>
      <c r="RYW64" s="180"/>
      <c r="RYX64" s="180"/>
      <c r="RYY64" s="180"/>
      <c r="RYZ64" s="180"/>
      <c r="RZA64" s="180"/>
      <c r="RZB64" s="180"/>
      <c r="RZC64" s="180"/>
      <c r="RZD64" s="180"/>
      <c r="RZE64" s="180"/>
      <c r="RZF64" s="180"/>
      <c r="RZG64" s="180"/>
      <c r="RZH64" s="180"/>
      <c r="RZI64" s="180"/>
      <c r="RZJ64" s="180"/>
      <c r="RZK64" s="180"/>
      <c r="RZL64" s="180"/>
      <c r="RZM64" s="180"/>
      <c r="RZN64" s="180"/>
      <c r="RZO64" s="180"/>
      <c r="RZP64" s="180"/>
      <c r="RZQ64" s="180"/>
      <c r="RZR64" s="180"/>
      <c r="RZS64" s="180"/>
      <c r="RZT64" s="180"/>
      <c r="RZU64" s="180"/>
      <c r="RZV64" s="180"/>
      <c r="RZW64" s="180"/>
      <c r="RZX64" s="180"/>
      <c r="RZY64" s="180"/>
      <c r="RZZ64" s="180"/>
      <c r="SAA64" s="180"/>
      <c r="SAB64" s="180"/>
      <c r="SAC64" s="180"/>
      <c r="SAD64" s="180"/>
      <c r="SAE64" s="180"/>
      <c r="SAF64" s="180"/>
      <c r="SAG64" s="180"/>
      <c r="SAH64" s="180"/>
      <c r="SAI64" s="180"/>
      <c r="SAJ64" s="180"/>
      <c r="SAK64" s="180"/>
      <c r="SAL64" s="180"/>
      <c r="SAM64" s="180"/>
      <c r="SAN64" s="180"/>
      <c r="SAO64" s="180"/>
      <c r="SAP64" s="180"/>
      <c r="SAQ64" s="180"/>
      <c r="SAR64" s="180"/>
      <c r="SAS64" s="180"/>
      <c r="SAT64" s="180"/>
      <c r="SAU64" s="180"/>
      <c r="SAV64" s="180"/>
      <c r="SAW64" s="180"/>
      <c r="SAX64" s="180"/>
      <c r="SAY64" s="180"/>
      <c r="SAZ64" s="180"/>
      <c r="SBA64" s="180"/>
      <c r="SBB64" s="180"/>
      <c r="SBC64" s="180"/>
      <c r="SBD64" s="180"/>
      <c r="SBE64" s="180"/>
      <c r="SBF64" s="180"/>
      <c r="SBG64" s="180"/>
      <c r="SBH64" s="180"/>
      <c r="SBI64" s="180"/>
      <c r="SBJ64" s="180"/>
      <c r="SBK64" s="180"/>
      <c r="SBL64" s="180"/>
      <c r="SBM64" s="180"/>
      <c r="SBN64" s="180"/>
      <c r="SBO64" s="180"/>
      <c r="SBP64" s="180"/>
      <c r="SBQ64" s="180"/>
      <c r="SBR64" s="180"/>
      <c r="SBS64" s="180"/>
      <c r="SBT64" s="180"/>
      <c r="SBU64" s="180"/>
      <c r="SBV64" s="180"/>
      <c r="SBW64" s="180"/>
      <c r="SBX64" s="180"/>
      <c r="SBY64" s="180"/>
      <c r="SBZ64" s="180"/>
      <c r="SCA64" s="180"/>
      <c r="SCB64" s="180"/>
      <c r="SCC64" s="180"/>
      <c r="SCD64" s="180"/>
      <c r="SCE64" s="180"/>
      <c r="SCF64" s="180"/>
      <c r="SCG64" s="180"/>
      <c r="SCH64" s="180"/>
      <c r="SCI64" s="180"/>
      <c r="SCJ64" s="180"/>
      <c r="SCK64" s="180"/>
      <c r="SCL64" s="180"/>
      <c r="SCM64" s="180"/>
      <c r="SCN64" s="180"/>
      <c r="SCO64" s="180"/>
      <c r="SCP64" s="180"/>
      <c r="SCQ64" s="180"/>
      <c r="SCR64" s="180"/>
      <c r="SCS64" s="180"/>
      <c r="SCT64" s="180"/>
      <c r="SCU64" s="180"/>
      <c r="SCV64" s="180"/>
      <c r="SCW64" s="180"/>
      <c r="SCX64" s="180"/>
      <c r="SCY64" s="180"/>
      <c r="SCZ64" s="180"/>
      <c r="SDA64" s="180"/>
      <c r="SDB64" s="180"/>
      <c r="SDC64" s="180"/>
      <c r="SDD64" s="180"/>
      <c r="SDE64" s="180"/>
      <c r="SDF64" s="180"/>
      <c r="SDG64" s="180"/>
      <c r="SDH64" s="180"/>
      <c r="SDI64" s="180"/>
      <c r="SDJ64" s="180"/>
      <c r="SDK64" s="180"/>
      <c r="SDL64" s="180"/>
      <c r="SDM64" s="180"/>
      <c r="SDN64" s="180"/>
      <c r="SDO64" s="180"/>
      <c r="SDP64" s="180"/>
      <c r="SDQ64" s="180"/>
      <c r="SDR64" s="180"/>
      <c r="SDS64" s="180"/>
      <c r="SDT64" s="180"/>
      <c r="SDU64" s="180"/>
      <c r="SDV64" s="180"/>
      <c r="SDW64" s="180"/>
      <c r="SDX64" s="180"/>
      <c r="SDY64" s="180"/>
      <c r="SDZ64" s="180"/>
      <c r="SEA64" s="180"/>
      <c r="SEB64" s="180"/>
      <c r="SEC64" s="180"/>
      <c r="SED64" s="180"/>
      <c r="SEE64" s="180"/>
      <c r="SEF64" s="180"/>
      <c r="SEG64" s="180"/>
      <c r="SEH64" s="180"/>
      <c r="SEI64" s="180"/>
      <c r="SEJ64" s="180"/>
      <c r="SEK64" s="180"/>
      <c r="SEL64" s="180"/>
      <c r="SEM64" s="180"/>
      <c r="SEN64" s="180"/>
      <c r="SEO64" s="180"/>
      <c r="SEP64" s="180"/>
      <c r="SEQ64" s="180"/>
      <c r="SER64" s="180"/>
      <c r="SES64" s="180"/>
      <c r="SET64" s="180"/>
      <c r="SEU64" s="180"/>
      <c r="SEV64" s="180"/>
      <c r="SEW64" s="180"/>
      <c r="SEX64" s="180"/>
      <c r="SEY64" s="180"/>
      <c r="SEZ64" s="180"/>
      <c r="SFA64" s="180"/>
      <c r="SFB64" s="180"/>
      <c r="SFC64" s="180"/>
      <c r="SFD64" s="180"/>
      <c r="SFE64" s="180"/>
      <c r="SFF64" s="180"/>
      <c r="SFG64" s="180"/>
      <c r="SFH64" s="180"/>
      <c r="SFI64" s="180"/>
      <c r="SFJ64" s="180"/>
      <c r="SFK64" s="180"/>
      <c r="SFL64" s="180"/>
      <c r="SFM64" s="180"/>
      <c r="SFN64" s="180"/>
      <c r="SFO64" s="180"/>
      <c r="SFP64" s="180"/>
      <c r="SFQ64" s="180"/>
      <c r="SFR64" s="180"/>
      <c r="SFS64" s="180"/>
      <c r="SFT64" s="180"/>
      <c r="SFU64" s="180"/>
      <c r="SFV64" s="180"/>
      <c r="SFW64" s="180"/>
      <c r="SFX64" s="180"/>
      <c r="SFY64" s="180"/>
      <c r="SFZ64" s="180"/>
      <c r="SGA64" s="180"/>
      <c r="SGB64" s="180"/>
      <c r="SGC64" s="180"/>
      <c r="SGD64" s="180"/>
      <c r="SGE64" s="180"/>
      <c r="SGF64" s="180"/>
      <c r="SGG64" s="180"/>
      <c r="SGH64" s="180"/>
      <c r="SGI64" s="180"/>
      <c r="SGJ64" s="180"/>
      <c r="SGK64" s="180"/>
      <c r="SGL64" s="180"/>
      <c r="SGM64" s="180"/>
      <c r="SGN64" s="180"/>
      <c r="SGO64" s="180"/>
      <c r="SGP64" s="180"/>
      <c r="SGQ64" s="180"/>
      <c r="SGR64" s="180"/>
      <c r="SGS64" s="180"/>
      <c r="SGT64" s="180"/>
      <c r="SGU64" s="180"/>
      <c r="SGV64" s="180"/>
      <c r="SGW64" s="180"/>
      <c r="SGX64" s="180"/>
      <c r="SGY64" s="180"/>
      <c r="SGZ64" s="180"/>
      <c r="SHA64" s="180"/>
      <c r="SHB64" s="180"/>
      <c r="SHC64" s="180"/>
      <c r="SHD64" s="180"/>
      <c r="SHE64" s="180"/>
      <c r="SHF64" s="180"/>
      <c r="SHG64" s="180"/>
      <c r="SHH64" s="180"/>
      <c r="SHI64" s="180"/>
      <c r="SHJ64" s="180"/>
      <c r="SHK64" s="180"/>
      <c r="SHL64" s="180"/>
      <c r="SHM64" s="180"/>
      <c r="SHN64" s="180"/>
      <c r="SHO64" s="180"/>
      <c r="SHP64" s="180"/>
      <c r="SHQ64" s="180"/>
      <c r="SHR64" s="180"/>
      <c r="SHS64" s="180"/>
      <c r="SHT64" s="180"/>
      <c r="SHU64" s="180"/>
      <c r="SHV64" s="180"/>
      <c r="SHW64" s="180"/>
      <c r="SHX64" s="180"/>
      <c r="SHY64" s="180"/>
      <c r="SHZ64" s="180"/>
      <c r="SIA64" s="180"/>
      <c r="SIB64" s="180"/>
      <c r="SIC64" s="180"/>
      <c r="SID64" s="180"/>
      <c r="SIE64" s="180"/>
      <c r="SIF64" s="180"/>
      <c r="SIG64" s="180"/>
      <c r="SIH64" s="180"/>
      <c r="SII64" s="180"/>
      <c r="SIJ64" s="180"/>
      <c r="SIK64" s="180"/>
      <c r="SIL64" s="180"/>
      <c r="SIM64" s="180"/>
      <c r="SIN64" s="180"/>
      <c r="SIO64" s="180"/>
      <c r="SIP64" s="180"/>
      <c r="SIQ64" s="180"/>
      <c r="SIR64" s="180"/>
      <c r="SIS64" s="180"/>
      <c r="SIT64" s="180"/>
      <c r="SIU64" s="180"/>
      <c r="SIV64" s="180"/>
      <c r="SIW64" s="180"/>
      <c r="SIX64" s="180"/>
      <c r="SIY64" s="180"/>
      <c r="SIZ64" s="180"/>
      <c r="SJA64" s="180"/>
      <c r="SJB64" s="180"/>
      <c r="SJC64" s="180"/>
      <c r="SJD64" s="180"/>
      <c r="SJE64" s="180"/>
      <c r="SJF64" s="180"/>
      <c r="SJG64" s="180"/>
      <c r="SJH64" s="180"/>
      <c r="SJI64" s="180"/>
      <c r="SJJ64" s="180"/>
      <c r="SJK64" s="180"/>
      <c r="SJL64" s="180"/>
      <c r="SJM64" s="180"/>
      <c r="SJN64" s="180"/>
      <c r="SJO64" s="180"/>
      <c r="SJP64" s="180"/>
      <c r="SJQ64" s="180"/>
      <c r="SJR64" s="180"/>
      <c r="SJS64" s="180"/>
      <c r="SJT64" s="180"/>
      <c r="SJU64" s="180"/>
      <c r="SJV64" s="180"/>
      <c r="SJW64" s="180"/>
      <c r="SJX64" s="180"/>
      <c r="SJY64" s="180"/>
      <c r="SJZ64" s="180"/>
      <c r="SKA64" s="180"/>
      <c r="SKB64" s="180"/>
      <c r="SKC64" s="180"/>
      <c r="SKD64" s="180"/>
      <c r="SKE64" s="180"/>
      <c r="SKF64" s="180"/>
      <c r="SKG64" s="180"/>
      <c r="SKH64" s="180"/>
      <c r="SKI64" s="180"/>
      <c r="SKJ64" s="180"/>
      <c r="SKK64" s="180"/>
      <c r="SKL64" s="180"/>
      <c r="SKM64" s="180"/>
      <c r="SKN64" s="180"/>
      <c r="SKO64" s="180"/>
      <c r="SKP64" s="180"/>
      <c r="SKQ64" s="180"/>
      <c r="SKR64" s="180"/>
      <c r="SKS64" s="180"/>
      <c r="SKT64" s="180"/>
      <c r="SKU64" s="180"/>
      <c r="SKV64" s="180"/>
      <c r="SKW64" s="180"/>
      <c r="SKX64" s="180"/>
      <c r="SKY64" s="180"/>
      <c r="SKZ64" s="180"/>
      <c r="SLA64" s="180"/>
      <c r="SLB64" s="180"/>
      <c r="SLC64" s="180"/>
      <c r="SLD64" s="180"/>
      <c r="SLE64" s="180"/>
      <c r="SLF64" s="180"/>
      <c r="SLG64" s="180"/>
      <c r="SLH64" s="180"/>
      <c r="SLI64" s="180"/>
      <c r="SLJ64" s="180"/>
      <c r="SLK64" s="180"/>
      <c r="SLL64" s="180"/>
      <c r="SLM64" s="180"/>
      <c r="SLN64" s="180"/>
      <c r="SLO64" s="180"/>
      <c r="SLP64" s="180"/>
      <c r="SLQ64" s="180"/>
      <c r="SLR64" s="180"/>
      <c r="SLS64" s="180"/>
      <c r="SLT64" s="180"/>
      <c r="SLU64" s="180"/>
      <c r="SLV64" s="180"/>
      <c r="SLW64" s="180"/>
      <c r="SLX64" s="180"/>
      <c r="SLY64" s="180"/>
      <c r="SLZ64" s="180"/>
      <c r="SMA64" s="180"/>
      <c r="SMB64" s="180"/>
      <c r="SMC64" s="180"/>
      <c r="SMD64" s="180"/>
      <c r="SME64" s="180"/>
      <c r="SMF64" s="180"/>
      <c r="SMG64" s="180"/>
      <c r="SMH64" s="180"/>
      <c r="SMI64" s="180"/>
      <c r="SMJ64" s="180"/>
      <c r="SMK64" s="180"/>
      <c r="SML64" s="180"/>
      <c r="SMM64" s="180"/>
      <c r="SMN64" s="180"/>
      <c r="SMO64" s="180"/>
      <c r="SMP64" s="180"/>
      <c r="SMQ64" s="180"/>
      <c r="SMR64" s="180"/>
      <c r="SMS64" s="180"/>
      <c r="SMT64" s="180"/>
      <c r="SMU64" s="180"/>
      <c r="SMV64" s="180"/>
      <c r="SMW64" s="180"/>
      <c r="SMX64" s="180"/>
      <c r="SMY64" s="180"/>
      <c r="SMZ64" s="180"/>
      <c r="SNA64" s="180"/>
      <c r="SNB64" s="180"/>
      <c r="SNC64" s="180"/>
      <c r="SND64" s="180"/>
      <c r="SNE64" s="180"/>
      <c r="SNF64" s="180"/>
      <c r="SNG64" s="180"/>
      <c r="SNH64" s="180"/>
      <c r="SNI64" s="180"/>
      <c r="SNJ64" s="180"/>
      <c r="SNK64" s="180"/>
      <c r="SNL64" s="180"/>
      <c r="SNM64" s="180"/>
      <c r="SNN64" s="180"/>
      <c r="SNO64" s="180"/>
      <c r="SNP64" s="180"/>
      <c r="SNQ64" s="180"/>
      <c r="SNR64" s="180"/>
      <c r="SNS64" s="180"/>
      <c r="SNT64" s="180"/>
      <c r="SNU64" s="180"/>
      <c r="SNV64" s="180"/>
      <c r="SNW64" s="180"/>
      <c r="SNX64" s="180"/>
      <c r="SNY64" s="180"/>
      <c r="SNZ64" s="180"/>
      <c r="SOA64" s="180"/>
      <c r="SOB64" s="180"/>
      <c r="SOC64" s="180"/>
      <c r="SOD64" s="180"/>
      <c r="SOE64" s="180"/>
      <c r="SOF64" s="180"/>
      <c r="SOG64" s="180"/>
      <c r="SOH64" s="180"/>
      <c r="SOI64" s="180"/>
      <c r="SOJ64" s="180"/>
      <c r="SOK64" s="180"/>
      <c r="SOL64" s="180"/>
      <c r="SOM64" s="180"/>
      <c r="SON64" s="180"/>
      <c r="SOO64" s="180"/>
      <c r="SOP64" s="180"/>
      <c r="SOQ64" s="180"/>
      <c r="SOR64" s="180"/>
      <c r="SOS64" s="180"/>
      <c r="SOT64" s="180"/>
      <c r="SOU64" s="180"/>
      <c r="SOV64" s="180"/>
      <c r="SOW64" s="180"/>
      <c r="SOX64" s="180"/>
      <c r="SOY64" s="180"/>
      <c r="SOZ64" s="180"/>
      <c r="SPA64" s="180"/>
      <c r="SPB64" s="180"/>
      <c r="SPC64" s="180"/>
      <c r="SPD64" s="180"/>
      <c r="SPE64" s="180"/>
      <c r="SPF64" s="180"/>
      <c r="SPG64" s="180"/>
      <c r="SPH64" s="180"/>
      <c r="SPI64" s="180"/>
      <c r="SPJ64" s="180"/>
      <c r="SPK64" s="180"/>
      <c r="SPL64" s="180"/>
      <c r="SPM64" s="180"/>
      <c r="SPN64" s="180"/>
      <c r="SPO64" s="180"/>
      <c r="SPP64" s="180"/>
      <c r="SPQ64" s="180"/>
      <c r="SPR64" s="180"/>
      <c r="SPS64" s="180"/>
      <c r="SPT64" s="180"/>
      <c r="SPU64" s="180"/>
      <c r="SPV64" s="180"/>
      <c r="SPW64" s="180"/>
      <c r="SPX64" s="180"/>
      <c r="SPY64" s="180"/>
      <c r="SPZ64" s="180"/>
      <c r="SQA64" s="180"/>
      <c r="SQB64" s="180"/>
      <c r="SQC64" s="180"/>
      <c r="SQD64" s="180"/>
      <c r="SQE64" s="180"/>
      <c r="SQF64" s="180"/>
      <c r="SQG64" s="180"/>
      <c r="SQH64" s="180"/>
      <c r="SQI64" s="180"/>
      <c r="SQJ64" s="180"/>
      <c r="SQK64" s="180"/>
      <c r="SQL64" s="180"/>
      <c r="SQM64" s="180"/>
      <c r="SQN64" s="180"/>
      <c r="SQO64" s="180"/>
      <c r="SQP64" s="180"/>
      <c r="SQQ64" s="180"/>
      <c r="SQR64" s="180"/>
      <c r="SQS64" s="180"/>
      <c r="SQT64" s="180"/>
      <c r="SQU64" s="180"/>
      <c r="SQV64" s="180"/>
      <c r="SQW64" s="180"/>
      <c r="SQX64" s="180"/>
      <c r="SQY64" s="180"/>
      <c r="SQZ64" s="180"/>
      <c r="SRA64" s="180"/>
      <c r="SRB64" s="180"/>
      <c r="SRC64" s="180"/>
      <c r="SRD64" s="180"/>
      <c r="SRE64" s="180"/>
      <c r="SRF64" s="180"/>
      <c r="SRG64" s="180"/>
      <c r="SRH64" s="180"/>
      <c r="SRI64" s="180"/>
      <c r="SRJ64" s="180"/>
      <c r="SRK64" s="180"/>
      <c r="SRL64" s="180"/>
      <c r="SRM64" s="180"/>
      <c r="SRN64" s="180"/>
      <c r="SRO64" s="180"/>
      <c r="SRP64" s="180"/>
      <c r="SRQ64" s="180"/>
      <c r="SRR64" s="180"/>
      <c r="SRS64" s="180"/>
      <c r="SRT64" s="180"/>
      <c r="SRU64" s="180"/>
      <c r="SRV64" s="180"/>
      <c r="SRW64" s="180"/>
      <c r="SRX64" s="180"/>
      <c r="SRY64" s="180"/>
      <c r="SRZ64" s="180"/>
      <c r="SSA64" s="180"/>
      <c r="SSB64" s="180"/>
      <c r="SSC64" s="180"/>
      <c r="SSD64" s="180"/>
      <c r="SSE64" s="180"/>
      <c r="SSF64" s="180"/>
      <c r="SSG64" s="180"/>
      <c r="SSH64" s="180"/>
      <c r="SSI64" s="180"/>
      <c r="SSJ64" s="180"/>
      <c r="SSK64" s="180"/>
      <c r="SSL64" s="180"/>
      <c r="SSM64" s="180"/>
      <c r="SSN64" s="180"/>
      <c r="SSO64" s="180"/>
      <c r="SSP64" s="180"/>
      <c r="SSQ64" s="180"/>
      <c r="SSR64" s="180"/>
      <c r="SSS64" s="180"/>
      <c r="SST64" s="180"/>
      <c r="SSU64" s="180"/>
      <c r="SSV64" s="180"/>
      <c r="SSW64" s="180"/>
      <c r="SSX64" s="180"/>
      <c r="SSY64" s="180"/>
      <c r="SSZ64" s="180"/>
      <c r="STA64" s="180"/>
      <c r="STB64" s="180"/>
      <c r="STC64" s="180"/>
      <c r="STD64" s="180"/>
      <c r="STE64" s="180"/>
      <c r="STF64" s="180"/>
      <c r="STG64" s="180"/>
      <c r="STH64" s="180"/>
      <c r="STI64" s="180"/>
      <c r="STJ64" s="180"/>
      <c r="STK64" s="180"/>
      <c r="STL64" s="180"/>
      <c r="STM64" s="180"/>
      <c r="STN64" s="180"/>
      <c r="STO64" s="180"/>
      <c r="STP64" s="180"/>
      <c r="STQ64" s="180"/>
      <c r="STR64" s="180"/>
      <c r="STS64" s="180"/>
      <c r="STT64" s="180"/>
      <c r="STU64" s="180"/>
      <c r="STV64" s="180"/>
      <c r="STW64" s="180"/>
      <c r="STX64" s="180"/>
      <c r="STY64" s="180"/>
      <c r="STZ64" s="180"/>
      <c r="SUA64" s="180"/>
      <c r="SUB64" s="180"/>
      <c r="SUC64" s="180"/>
      <c r="SUD64" s="180"/>
      <c r="SUE64" s="180"/>
      <c r="SUF64" s="180"/>
      <c r="SUG64" s="180"/>
      <c r="SUH64" s="180"/>
      <c r="SUI64" s="180"/>
      <c r="SUJ64" s="180"/>
      <c r="SUK64" s="180"/>
      <c r="SUL64" s="180"/>
      <c r="SUM64" s="180"/>
      <c r="SUN64" s="180"/>
      <c r="SUO64" s="180"/>
      <c r="SUP64" s="180"/>
      <c r="SUQ64" s="180"/>
      <c r="SUR64" s="180"/>
      <c r="SUS64" s="180"/>
      <c r="SUT64" s="180"/>
      <c r="SUU64" s="180"/>
      <c r="SUV64" s="180"/>
      <c r="SUW64" s="180"/>
      <c r="SUX64" s="180"/>
      <c r="SUY64" s="180"/>
      <c r="SUZ64" s="180"/>
      <c r="SVA64" s="180"/>
      <c r="SVB64" s="180"/>
      <c r="SVC64" s="180"/>
      <c r="SVD64" s="180"/>
      <c r="SVE64" s="180"/>
      <c r="SVF64" s="180"/>
      <c r="SVG64" s="180"/>
      <c r="SVH64" s="180"/>
      <c r="SVI64" s="180"/>
      <c r="SVJ64" s="180"/>
      <c r="SVK64" s="180"/>
      <c r="SVL64" s="180"/>
      <c r="SVM64" s="180"/>
      <c r="SVN64" s="180"/>
      <c r="SVO64" s="180"/>
      <c r="SVP64" s="180"/>
      <c r="SVQ64" s="180"/>
      <c r="SVR64" s="180"/>
      <c r="SVS64" s="180"/>
      <c r="SVT64" s="180"/>
      <c r="SVU64" s="180"/>
      <c r="SVV64" s="180"/>
      <c r="SVW64" s="180"/>
      <c r="SVX64" s="180"/>
      <c r="SVY64" s="180"/>
      <c r="SVZ64" s="180"/>
      <c r="SWA64" s="180"/>
      <c r="SWB64" s="180"/>
      <c r="SWC64" s="180"/>
      <c r="SWD64" s="180"/>
      <c r="SWE64" s="180"/>
      <c r="SWF64" s="180"/>
      <c r="SWG64" s="180"/>
      <c r="SWH64" s="180"/>
      <c r="SWI64" s="180"/>
      <c r="SWJ64" s="180"/>
      <c r="SWK64" s="180"/>
      <c r="SWL64" s="180"/>
      <c r="SWM64" s="180"/>
      <c r="SWN64" s="180"/>
      <c r="SWO64" s="180"/>
      <c r="SWP64" s="180"/>
      <c r="SWQ64" s="180"/>
      <c r="SWR64" s="180"/>
      <c r="SWS64" s="180"/>
      <c r="SWT64" s="180"/>
      <c r="SWU64" s="180"/>
      <c r="SWV64" s="180"/>
      <c r="SWW64" s="180"/>
      <c r="SWX64" s="180"/>
      <c r="SWY64" s="180"/>
      <c r="SWZ64" s="180"/>
      <c r="SXA64" s="180"/>
      <c r="SXB64" s="180"/>
      <c r="SXC64" s="180"/>
      <c r="SXD64" s="180"/>
      <c r="SXE64" s="180"/>
      <c r="SXF64" s="180"/>
      <c r="SXG64" s="180"/>
      <c r="SXH64" s="180"/>
      <c r="SXI64" s="180"/>
      <c r="SXJ64" s="180"/>
      <c r="SXK64" s="180"/>
      <c r="SXL64" s="180"/>
      <c r="SXM64" s="180"/>
      <c r="SXN64" s="180"/>
      <c r="SXO64" s="180"/>
      <c r="SXP64" s="180"/>
      <c r="SXQ64" s="180"/>
      <c r="SXR64" s="180"/>
      <c r="SXS64" s="180"/>
      <c r="SXT64" s="180"/>
      <c r="SXU64" s="180"/>
      <c r="SXV64" s="180"/>
      <c r="SXW64" s="180"/>
      <c r="SXX64" s="180"/>
      <c r="SXY64" s="180"/>
      <c r="SXZ64" s="180"/>
      <c r="SYA64" s="180"/>
      <c r="SYB64" s="180"/>
      <c r="SYC64" s="180"/>
      <c r="SYD64" s="180"/>
      <c r="SYE64" s="180"/>
      <c r="SYF64" s="180"/>
      <c r="SYG64" s="180"/>
      <c r="SYH64" s="180"/>
      <c r="SYI64" s="180"/>
      <c r="SYJ64" s="180"/>
      <c r="SYK64" s="180"/>
      <c r="SYL64" s="180"/>
      <c r="SYM64" s="180"/>
      <c r="SYN64" s="180"/>
      <c r="SYO64" s="180"/>
      <c r="SYP64" s="180"/>
      <c r="SYQ64" s="180"/>
      <c r="SYR64" s="180"/>
      <c r="SYS64" s="180"/>
      <c r="SYT64" s="180"/>
      <c r="SYU64" s="180"/>
      <c r="SYV64" s="180"/>
      <c r="SYW64" s="180"/>
      <c r="SYX64" s="180"/>
      <c r="SYY64" s="180"/>
      <c r="SYZ64" s="180"/>
      <c r="SZA64" s="180"/>
      <c r="SZB64" s="180"/>
      <c r="SZC64" s="180"/>
      <c r="SZD64" s="180"/>
      <c r="SZE64" s="180"/>
      <c r="SZF64" s="180"/>
      <c r="SZG64" s="180"/>
      <c r="SZH64" s="180"/>
      <c r="SZI64" s="180"/>
      <c r="SZJ64" s="180"/>
      <c r="SZK64" s="180"/>
      <c r="SZL64" s="180"/>
      <c r="SZM64" s="180"/>
      <c r="SZN64" s="180"/>
      <c r="SZO64" s="180"/>
      <c r="SZP64" s="180"/>
      <c r="SZQ64" s="180"/>
      <c r="SZR64" s="180"/>
      <c r="SZS64" s="180"/>
      <c r="SZT64" s="180"/>
      <c r="SZU64" s="180"/>
      <c r="SZV64" s="180"/>
      <c r="SZW64" s="180"/>
      <c r="SZX64" s="180"/>
      <c r="SZY64" s="180"/>
      <c r="SZZ64" s="180"/>
      <c r="TAA64" s="180"/>
      <c r="TAB64" s="180"/>
      <c r="TAC64" s="180"/>
      <c r="TAD64" s="180"/>
      <c r="TAE64" s="180"/>
      <c r="TAF64" s="180"/>
      <c r="TAG64" s="180"/>
      <c r="TAH64" s="180"/>
      <c r="TAI64" s="180"/>
      <c r="TAJ64" s="180"/>
      <c r="TAK64" s="180"/>
      <c r="TAL64" s="180"/>
      <c r="TAM64" s="180"/>
      <c r="TAN64" s="180"/>
      <c r="TAO64" s="180"/>
      <c r="TAP64" s="180"/>
      <c r="TAQ64" s="180"/>
      <c r="TAR64" s="180"/>
      <c r="TAS64" s="180"/>
      <c r="TAT64" s="180"/>
      <c r="TAU64" s="180"/>
      <c r="TAV64" s="180"/>
      <c r="TAW64" s="180"/>
      <c r="TAX64" s="180"/>
      <c r="TAY64" s="180"/>
      <c r="TAZ64" s="180"/>
      <c r="TBA64" s="180"/>
      <c r="TBB64" s="180"/>
      <c r="TBC64" s="180"/>
      <c r="TBD64" s="180"/>
      <c r="TBE64" s="180"/>
      <c r="TBF64" s="180"/>
      <c r="TBG64" s="180"/>
      <c r="TBH64" s="180"/>
      <c r="TBI64" s="180"/>
      <c r="TBJ64" s="180"/>
      <c r="TBK64" s="180"/>
      <c r="TBL64" s="180"/>
      <c r="TBM64" s="180"/>
      <c r="TBN64" s="180"/>
      <c r="TBO64" s="180"/>
      <c r="TBP64" s="180"/>
      <c r="TBQ64" s="180"/>
      <c r="TBR64" s="180"/>
      <c r="TBS64" s="180"/>
      <c r="TBT64" s="180"/>
      <c r="TBU64" s="180"/>
      <c r="TBV64" s="180"/>
      <c r="TBW64" s="180"/>
      <c r="TBX64" s="180"/>
      <c r="TBY64" s="180"/>
      <c r="TBZ64" s="180"/>
      <c r="TCA64" s="180"/>
      <c r="TCB64" s="180"/>
      <c r="TCC64" s="180"/>
      <c r="TCD64" s="180"/>
      <c r="TCE64" s="180"/>
      <c r="TCF64" s="180"/>
      <c r="TCG64" s="180"/>
      <c r="TCH64" s="180"/>
      <c r="TCI64" s="180"/>
      <c r="TCJ64" s="180"/>
      <c r="TCK64" s="180"/>
      <c r="TCL64" s="180"/>
      <c r="TCM64" s="180"/>
      <c r="TCN64" s="180"/>
      <c r="TCO64" s="180"/>
      <c r="TCP64" s="180"/>
      <c r="TCQ64" s="180"/>
      <c r="TCR64" s="180"/>
      <c r="TCS64" s="180"/>
      <c r="TCT64" s="180"/>
      <c r="TCU64" s="180"/>
      <c r="TCV64" s="180"/>
      <c r="TCW64" s="180"/>
      <c r="TCX64" s="180"/>
      <c r="TCY64" s="180"/>
      <c r="TCZ64" s="180"/>
      <c r="TDA64" s="180"/>
      <c r="TDB64" s="180"/>
      <c r="TDC64" s="180"/>
      <c r="TDD64" s="180"/>
      <c r="TDE64" s="180"/>
      <c r="TDF64" s="180"/>
      <c r="TDG64" s="180"/>
      <c r="TDH64" s="180"/>
      <c r="TDI64" s="180"/>
      <c r="TDJ64" s="180"/>
      <c r="TDK64" s="180"/>
      <c r="TDL64" s="180"/>
      <c r="TDM64" s="180"/>
      <c r="TDN64" s="180"/>
      <c r="TDO64" s="180"/>
      <c r="TDP64" s="180"/>
      <c r="TDQ64" s="180"/>
      <c r="TDR64" s="180"/>
      <c r="TDS64" s="180"/>
      <c r="TDT64" s="180"/>
      <c r="TDU64" s="180"/>
      <c r="TDV64" s="180"/>
      <c r="TDW64" s="180"/>
      <c r="TDX64" s="180"/>
      <c r="TDY64" s="180"/>
      <c r="TDZ64" s="180"/>
      <c r="TEA64" s="180"/>
      <c r="TEB64" s="180"/>
      <c r="TEC64" s="180"/>
      <c r="TED64" s="180"/>
      <c r="TEE64" s="180"/>
      <c r="TEF64" s="180"/>
      <c r="TEG64" s="180"/>
      <c r="TEH64" s="180"/>
      <c r="TEI64" s="180"/>
      <c r="TEJ64" s="180"/>
      <c r="TEK64" s="180"/>
      <c r="TEL64" s="180"/>
      <c r="TEM64" s="180"/>
      <c r="TEN64" s="180"/>
      <c r="TEO64" s="180"/>
      <c r="TEP64" s="180"/>
      <c r="TEQ64" s="180"/>
      <c r="TER64" s="180"/>
      <c r="TES64" s="180"/>
      <c r="TET64" s="180"/>
      <c r="TEU64" s="180"/>
      <c r="TEV64" s="180"/>
      <c r="TEW64" s="180"/>
      <c r="TEX64" s="180"/>
      <c r="TEY64" s="180"/>
      <c r="TEZ64" s="180"/>
      <c r="TFA64" s="180"/>
      <c r="TFB64" s="180"/>
      <c r="TFC64" s="180"/>
      <c r="TFD64" s="180"/>
      <c r="TFE64" s="180"/>
      <c r="TFF64" s="180"/>
      <c r="TFG64" s="180"/>
      <c r="TFH64" s="180"/>
      <c r="TFI64" s="180"/>
      <c r="TFJ64" s="180"/>
      <c r="TFK64" s="180"/>
      <c r="TFL64" s="180"/>
      <c r="TFM64" s="180"/>
      <c r="TFN64" s="180"/>
      <c r="TFO64" s="180"/>
      <c r="TFP64" s="180"/>
      <c r="TFQ64" s="180"/>
      <c r="TFR64" s="180"/>
      <c r="TFS64" s="180"/>
      <c r="TFT64" s="180"/>
      <c r="TFU64" s="180"/>
      <c r="TFV64" s="180"/>
      <c r="TFW64" s="180"/>
      <c r="TFX64" s="180"/>
      <c r="TFY64" s="180"/>
      <c r="TFZ64" s="180"/>
      <c r="TGA64" s="180"/>
      <c r="TGB64" s="180"/>
      <c r="TGC64" s="180"/>
      <c r="TGD64" s="180"/>
      <c r="TGE64" s="180"/>
      <c r="TGF64" s="180"/>
      <c r="TGG64" s="180"/>
      <c r="TGH64" s="180"/>
      <c r="TGI64" s="180"/>
      <c r="TGJ64" s="180"/>
      <c r="TGK64" s="180"/>
      <c r="TGL64" s="180"/>
      <c r="TGM64" s="180"/>
      <c r="TGN64" s="180"/>
      <c r="TGO64" s="180"/>
      <c r="TGP64" s="180"/>
      <c r="TGQ64" s="180"/>
      <c r="TGR64" s="180"/>
      <c r="TGS64" s="180"/>
      <c r="TGT64" s="180"/>
      <c r="TGU64" s="180"/>
      <c r="TGV64" s="180"/>
      <c r="TGW64" s="180"/>
      <c r="TGX64" s="180"/>
      <c r="TGY64" s="180"/>
      <c r="TGZ64" s="180"/>
      <c r="THA64" s="180"/>
      <c r="THB64" s="180"/>
      <c r="THC64" s="180"/>
      <c r="THD64" s="180"/>
      <c r="THE64" s="180"/>
      <c r="THF64" s="180"/>
      <c r="THG64" s="180"/>
      <c r="THH64" s="180"/>
      <c r="THI64" s="180"/>
      <c r="THJ64" s="180"/>
      <c r="THK64" s="180"/>
      <c r="THL64" s="180"/>
      <c r="THM64" s="180"/>
      <c r="THN64" s="180"/>
      <c r="THO64" s="180"/>
      <c r="THP64" s="180"/>
      <c r="THQ64" s="180"/>
      <c r="THR64" s="180"/>
      <c r="THS64" s="180"/>
      <c r="THT64" s="180"/>
      <c r="THU64" s="180"/>
      <c r="THV64" s="180"/>
      <c r="THW64" s="180"/>
      <c r="THX64" s="180"/>
      <c r="THY64" s="180"/>
      <c r="THZ64" s="180"/>
      <c r="TIA64" s="180"/>
      <c r="TIB64" s="180"/>
      <c r="TIC64" s="180"/>
      <c r="TID64" s="180"/>
      <c r="TIE64" s="180"/>
      <c r="TIF64" s="180"/>
      <c r="TIG64" s="180"/>
      <c r="TIH64" s="180"/>
      <c r="TII64" s="180"/>
      <c r="TIJ64" s="180"/>
      <c r="TIK64" s="180"/>
      <c r="TIL64" s="180"/>
      <c r="TIM64" s="180"/>
      <c r="TIN64" s="180"/>
      <c r="TIO64" s="180"/>
      <c r="TIP64" s="180"/>
      <c r="TIQ64" s="180"/>
      <c r="TIR64" s="180"/>
      <c r="TIS64" s="180"/>
      <c r="TIT64" s="180"/>
      <c r="TIU64" s="180"/>
      <c r="TIV64" s="180"/>
      <c r="TIW64" s="180"/>
      <c r="TIX64" s="180"/>
      <c r="TIY64" s="180"/>
      <c r="TIZ64" s="180"/>
      <c r="TJA64" s="180"/>
      <c r="TJB64" s="180"/>
      <c r="TJC64" s="180"/>
      <c r="TJD64" s="180"/>
      <c r="TJE64" s="180"/>
      <c r="TJF64" s="180"/>
      <c r="TJG64" s="180"/>
      <c r="TJH64" s="180"/>
      <c r="TJI64" s="180"/>
      <c r="TJJ64" s="180"/>
      <c r="TJK64" s="180"/>
      <c r="TJL64" s="180"/>
      <c r="TJM64" s="180"/>
      <c r="TJN64" s="180"/>
      <c r="TJO64" s="180"/>
      <c r="TJP64" s="180"/>
      <c r="TJQ64" s="180"/>
      <c r="TJR64" s="180"/>
      <c r="TJS64" s="180"/>
      <c r="TJT64" s="180"/>
      <c r="TJU64" s="180"/>
      <c r="TJV64" s="180"/>
      <c r="TJW64" s="180"/>
      <c r="TJX64" s="180"/>
      <c r="TJY64" s="180"/>
      <c r="TJZ64" s="180"/>
      <c r="TKA64" s="180"/>
      <c r="TKB64" s="180"/>
      <c r="TKC64" s="180"/>
      <c r="TKD64" s="180"/>
      <c r="TKE64" s="180"/>
      <c r="TKF64" s="180"/>
      <c r="TKG64" s="180"/>
      <c r="TKH64" s="180"/>
      <c r="TKI64" s="180"/>
      <c r="TKJ64" s="180"/>
      <c r="TKK64" s="180"/>
      <c r="TKL64" s="180"/>
      <c r="TKM64" s="180"/>
      <c r="TKN64" s="180"/>
      <c r="TKO64" s="180"/>
      <c r="TKP64" s="180"/>
      <c r="TKQ64" s="180"/>
      <c r="TKR64" s="180"/>
      <c r="TKS64" s="180"/>
      <c r="TKT64" s="180"/>
      <c r="TKU64" s="180"/>
      <c r="TKV64" s="180"/>
      <c r="TKW64" s="180"/>
      <c r="TKX64" s="180"/>
      <c r="TKY64" s="180"/>
      <c r="TKZ64" s="180"/>
      <c r="TLA64" s="180"/>
      <c r="TLB64" s="180"/>
      <c r="TLC64" s="180"/>
      <c r="TLD64" s="180"/>
      <c r="TLE64" s="180"/>
      <c r="TLF64" s="180"/>
      <c r="TLG64" s="180"/>
      <c r="TLH64" s="180"/>
      <c r="TLI64" s="180"/>
      <c r="TLJ64" s="180"/>
      <c r="TLK64" s="180"/>
      <c r="TLL64" s="180"/>
      <c r="TLM64" s="180"/>
      <c r="TLN64" s="180"/>
      <c r="TLO64" s="180"/>
      <c r="TLP64" s="180"/>
      <c r="TLQ64" s="180"/>
      <c r="TLR64" s="180"/>
      <c r="TLS64" s="180"/>
      <c r="TLT64" s="180"/>
      <c r="TLU64" s="180"/>
      <c r="TLV64" s="180"/>
      <c r="TLW64" s="180"/>
      <c r="TLX64" s="180"/>
      <c r="TLY64" s="180"/>
      <c r="TLZ64" s="180"/>
      <c r="TMA64" s="180"/>
      <c r="TMB64" s="180"/>
      <c r="TMC64" s="180"/>
      <c r="TMD64" s="180"/>
      <c r="TME64" s="180"/>
      <c r="TMF64" s="180"/>
      <c r="TMG64" s="180"/>
      <c r="TMH64" s="180"/>
      <c r="TMI64" s="180"/>
      <c r="TMJ64" s="180"/>
      <c r="TMK64" s="180"/>
      <c r="TML64" s="180"/>
      <c r="TMM64" s="180"/>
      <c r="TMN64" s="180"/>
      <c r="TMO64" s="180"/>
      <c r="TMP64" s="180"/>
      <c r="TMQ64" s="180"/>
      <c r="TMR64" s="180"/>
      <c r="TMS64" s="180"/>
      <c r="TMT64" s="180"/>
      <c r="TMU64" s="180"/>
      <c r="TMV64" s="180"/>
      <c r="TMW64" s="180"/>
      <c r="TMX64" s="180"/>
      <c r="TMY64" s="180"/>
      <c r="TMZ64" s="180"/>
      <c r="TNA64" s="180"/>
      <c r="TNB64" s="180"/>
      <c r="TNC64" s="180"/>
      <c r="TND64" s="180"/>
      <c r="TNE64" s="180"/>
      <c r="TNF64" s="180"/>
      <c r="TNG64" s="180"/>
      <c r="TNH64" s="180"/>
      <c r="TNI64" s="180"/>
      <c r="TNJ64" s="180"/>
      <c r="TNK64" s="180"/>
      <c r="TNL64" s="180"/>
      <c r="TNM64" s="180"/>
      <c r="TNN64" s="180"/>
      <c r="TNO64" s="180"/>
      <c r="TNP64" s="180"/>
      <c r="TNQ64" s="180"/>
      <c r="TNR64" s="180"/>
      <c r="TNS64" s="180"/>
      <c r="TNT64" s="180"/>
      <c r="TNU64" s="180"/>
      <c r="TNV64" s="180"/>
      <c r="TNW64" s="180"/>
      <c r="TNX64" s="180"/>
      <c r="TNY64" s="180"/>
      <c r="TNZ64" s="180"/>
      <c r="TOA64" s="180"/>
      <c r="TOB64" s="180"/>
      <c r="TOC64" s="180"/>
      <c r="TOD64" s="180"/>
      <c r="TOE64" s="180"/>
      <c r="TOF64" s="180"/>
      <c r="TOG64" s="180"/>
      <c r="TOH64" s="180"/>
      <c r="TOI64" s="180"/>
      <c r="TOJ64" s="180"/>
      <c r="TOK64" s="180"/>
      <c r="TOL64" s="180"/>
      <c r="TOM64" s="180"/>
      <c r="TON64" s="180"/>
      <c r="TOO64" s="180"/>
      <c r="TOP64" s="180"/>
      <c r="TOQ64" s="180"/>
      <c r="TOR64" s="180"/>
      <c r="TOS64" s="180"/>
      <c r="TOT64" s="180"/>
      <c r="TOU64" s="180"/>
      <c r="TOV64" s="180"/>
      <c r="TOW64" s="180"/>
      <c r="TOX64" s="180"/>
      <c r="TOY64" s="180"/>
      <c r="TOZ64" s="180"/>
      <c r="TPA64" s="180"/>
      <c r="TPB64" s="180"/>
      <c r="TPC64" s="180"/>
      <c r="TPD64" s="180"/>
      <c r="TPE64" s="180"/>
      <c r="TPF64" s="180"/>
      <c r="TPG64" s="180"/>
      <c r="TPH64" s="180"/>
      <c r="TPI64" s="180"/>
      <c r="TPJ64" s="180"/>
      <c r="TPK64" s="180"/>
      <c r="TPL64" s="180"/>
      <c r="TPM64" s="180"/>
      <c r="TPN64" s="180"/>
      <c r="TPO64" s="180"/>
      <c r="TPP64" s="180"/>
      <c r="TPQ64" s="180"/>
      <c r="TPR64" s="180"/>
      <c r="TPS64" s="180"/>
      <c r="TPT64" s="180"/>
      <c r="TPU64" s="180"/>
      <c r="TPV64" s="180"/>
      <c r="TPW64" s="180"/>
      <c r="TPX64" s="180"/>
      <c r="TPY64" s="180"/>
      <c r="TPZ64" s="180"/>
      <c r="TQA64" s="180"/>
      <c r="TQB64" s="180"/>
      <c r="TQC64" s="180"/>
      <c r="TQD64" s="180"/>
      <c r="TQE64" s="180"/>
      <c r="TQF64" s="180"/>
      <c r="TQG64" s="180"/>
      <c r="TQH64" s="180"/>
      <c r="TQI64" s="180"/>
      <c r="TQJ64" s="180"/>
      <c r="TQK64" s="180"/>
      <c r="TQL64" s="180"/>
      <c r="TQM64" s="180"/>
      <c r="TQN64" s="180"/>
      <c r="TQO64" s="180"/>
      <c r="TQP64" s="180"/>
      <c r="TQQ64" s="180"/>
      <c r="TQR64" s="180"/>
      <c r="TQS64" s="180"/>
      <c r="TQT64" s="180"/>
      <c r="TQU64" s="180"/>
      <c r="TQV64" s="180"/>
      <c r="TQW64" s="180"/>
      <c r="TQX64" s="180"/>
      <c r="TQY64" s="180"/>
      <c r="TQZ64" s="180"/>
      <c r="TRA64" s="180"/>
      <c r="TRB64" s="180"/>
      <c r="TRC64" s="180"/>
      <c r="TRD64" s="180"/>
      <c r="TRE64" s="180"/>
      <c r="TRF64" s="180"/>
      <c r="TRG64" s="180"/>
      <c r="TRH64" s="180"/>
      <c r="TRI64" s="180"/>
      <c r="TRJ64" s="180"/>
      <c r="TRK64" s="180"/>
      <c r="TRL64" s="180"/>
      <c r="TRM64" s="180"/>
      <c r="TRN64" s="180"/>
      <c r="TRO64" s="180"/>
      <c r="TRP64" s="180"/>
      <c r="TRQ64" s="180"/>
      <c r="TRR64" s="180"/>
      <c r="TRS64" s="180"/>
      <c r="TRT64" s="180"/>
      <c r="TRU64" s="180"/>
      <c r="TRV64" s="180"/>
      <c r="TRW64" s="180"/>
      <c r="TRX64" s="180"/>
      <c r="TRY64" s="180"/>
      <c r="TRZ64" s="180"/>
      <c r="TSA64" s="180"/>
      <c r="TSB64" s="180"/>
      <c r="TSC64" s="180"/>
      <c r="TSD64" s="180"/>
      <c r="TSE64" s="180"/>
      <c r="TSF64" s="180"/>
      <c r="TSG64" s="180"/>
      <c r="TSH64" s="180"/>
      <c r="TSI64" s="180"/>
      <c r="TSJ64" s="180"/>
      <c r="TSK64" s="180"/>
      <c r="TSL64" s="180"/>
      <c r="TSM64" s="180"/>
      <c r="TSN64" s="180"/>
      <c r="TSO64" s="180"/>
      <c r="TSP64" s="180"/>
      <c r="TSQ64" s="180"/>
      <c r="TSR64" s="180"/>
      <c r="TSS64" s="180"/>
      <c r="TST64" s="180"/>
      <c r="TSU64" s="180"/>
      <c r="TSV64" s="180"/>
      <c r="TSW64" s="180"/>
      <c r="TSX64" s="180"/>
      <c r="TSY64" s="180"/>
      <c r="TSZ64" s="180"/>
      <c r="TTA64" s="180"/>
      <c r="TTB64" s="180"/>
      <c r="TTC64" s="180"/>
      <c r="TTD64" s="180"/>
      <c r="TTE64" s="180"/>
      <c r="TTF64" s="180"/>
      <c r="TTG64" s="180"/>
      <c r="TTH64" s="180"/>
      <c r="TTI64" s="180"/>
      <c r="TTJ64" s="180"/>
      <c r="TTK64" s="180"/>
      <c r="TTL64" s="180"/>
      <c r="TTM64" s="180"/>
      <c r="TTN64" s="180"/>
      <c r="TTO64" s="180"/>
      <c r="TTP64" s="180"/>
      <c r="TTQ64" s="180"/>
      <c r="TTR64" s="180"/>
      <c r="TTS64" s="180"/>
      <c r="TTT64" s="180"/>
      <c r="TTU64" s="180"/>
      <c r="TTV64" s="180"/>
      <c r="TTW64" s="180"/>
      <c r="TTX64" s="180"/>
      <c r="TTY64" s="180"/>
      <c r="TTZ64" s="180"/>
      <c r="TUA64" s="180"/>
      <c r="TUB64" s="180"/>
      <c r="TUC64" s="180"/>
      <c r="TUD64" s="180"/>
      <c r="TUE64" s="180"/>
      <c r="TUF64" s="180"/>
      <c r="TUG64" s="180"/>
      <c r="TUH64" s="180"/>
      <c r="TUI64" s="180"/>
      <c r="TUJ64" s="180"/>
      <c r="TUK64" s="180"/>
      <c r="TUL64" s="180"/>
      <c r="TUM64" s="180"/>
      <c r="TUN64" s="180"/>
      <c r="TUO64" s="180"/>
      <c r="TUP64" s="180"/>
      <c r="TUQ64" s="180"/>
      <c r="TUR64" s="180"/>
      <c r="TUS64" s="180"/>
      <c r="TUT64" s="180"/>
      <c r="TUU64" s="180"/>
      <c r="TUV64" s="180"/>
      <c r="TUW64" s="180"/>
      <c r="TUX64" s="180"/>
      <c r="TUY64" s="180"/>
      <c r="TUZ64" s="180"/>
      <c r="TVA64" s="180"/>
      <c r="TVB64" s="180"/>
      <c r="TVC64" s="180"/>
      <c r="TVD64" s="180"/>
      <c r="TVE64" s="180"/>
      <c r="TVF64" s="180"/>
      <c r="TVG64" s="180"/>
      <c r="TVH64" s="180"/>
      <c r="TVI64" s="180"/>
      <c r="TVJ64" s="180"/>
      <c r="TVK64" s="180"/>
      <c r="TVL64" s="180"/>
      <c r="TVM64" s="180"/>
      <c r="TVN64" s="180"/>
      <c r="TVO64" s="180"/>
      <c r="TVP64" s="180"/>
      <c r="TVQ64" s="180"/>
      <c r="TVR64" s="180"/>
      <c r="TVS64" s="180"/>
      <c r="TVT64" s="180"/>
      <c r="TVU64" s="180"/>
      <c r="TVV64" s="180"/>
      <c r="TVW64" s="180"/>
      <c r="TVX64" s="180"/>
      <c r="TVY64" s="180"/>
      <c r="TVZ64" s="180"/>
      <c r="TWA64" s="180"/>
      <c r="TWB64" s="180"/>
      <c r="TWC64" s="180"/>
      <c r="TWD64" s="180"/>
      <c r="TWE64" s="180"/>
      <c r="TWF64" s="180"/>
      <c r="TWG64" s="180"/>
      <c r="TWH64" s="180"/>
      <c r="TWI64" s="180"/>
      <c r="TWJ64" s="180"/>
      <c r="TWK64" s="180"/>
      <c r="TWL64" s="180"/>
      <c r="TWM64" s="180"/>
      <c r="TWN64" s="180"/>
      <c r="TWO64" s="180"/>
      <c r="TWP64" s="180"/>
      <c r="TWQ64" s="180"/>
      <c r="TWR64" s="180"/>
      <c r="TWS64" s="180"/>
      <c r="TWT64" s="180"/>
      <c r="TWU64" s="180"/>
      <c r="TWV64" s="180"/>
      <c r="TWW64" s="180"/>
      <c r="TWX64" s="180"/>
      <c r="TWY64" s="180"/>
      <c r="TWZ64" s="180"/>
      <c r="TXA64" s="180"/>
      <c r="TXB64" s="180"/>
      <c r="TXC64" s="180"/>
      <c r="TXD64" s="180"/>
      <c r="TXE64" s="180"/>
      <c r="TXF64" s="180"/>
      <c r="TXG64" s="180"/>
      <c r="TXH64" s="180"/>
      <c r="TXI64" s="180"/>
      <c r="TXJ64" s="180"/>
      <c r="TXK64" s="180"/>
      <c r="TXL64" s="180"/>
      <c r="TXM64" s="180"/>
      <c r="TXN64" s="180"/>
      <c r="TXO64" s="180"/>
      <c r="TXP64" s="180"/>
      <c r="TXQ64" s="180"/>
      <c r="TXR64" s="180"/>
      <c r="TXS64" s="180"/>
      <c r="TXT64" s="180"/>
      <c r="TXU64" s="180"/>
      <c r="TXV64" s="180"/>
      <c r="TXW64" s="180"/>
      <c r="TXX64" s="180"/>
      <c r="TXY64" s="180"/>
      <c r="TXZ64" s="180"/>
      <c r="TYA64" s="180"/>
      <c r="TYB64" s="180"/>
      <c r="TYC64" s="180"/>
      <c r="TYD64" s="180"/>
      <c r="TYE64" s="180"/>
      <c r="TYF64" s="180"/>
      <c r="TYG64" s="180"/>
      <c r="TYH64" s="180"/>
      <c r="TYI64" s="180"/>
      <c r="TYJ64" s="180"/>
      <c r="TYK64" s="180"/>
      <c r="TYL64" s="180"/>
      <c r="TYM64" s="180"/>
      <c r="TYN64" s="180"/>
      <c r="TYO64" s="180"/>
      <c r="TYP64" s="180"/>
      <c r="TYQ64" s="180"/>
      <c r="TYR64" s="180"/>
      <c r="TYS64" s="180"/>
      <c r="TYT64" s="180"/>
      <c r="TYU64" s="180"/>
      <c r="TYV64" s="180"/>
      <c r="TYW64" s="180"/>
      <c r="TYX64" s="180"/>
      <c r="TYY64" s="180"/>
      <c r="TYZ64" s="180"/>
      <c r="TZA64" s="180"/>
      <c r="TZB64" s="180"/>
      <c r="TZC64" s="180"/>
      <c r="TZD64" s="180"/>
      <c r="TZE64" s="180"/>
      <c r="TZF64" s="180"/>
      <c r="TZG64" s="180"/>
      <c r="TZH64" s="180"/>
      <c r="TZI64" s="180"/>
      <c r="TZJ64" s="180"/>
      <c r="TZK64" s="180"/>
      <c r="TZL64" s="180"/>
      <c r="TZM64" s="180"/>
      <c r="TZN64" s="180"/>
      <c r="TZO64" s="180"/>
      <c r="TZP64" s="180"/>
      <c r="TZQ64" s="180"/>
      <c r="TZR64" s="180"/>
      <c r="TZS64" s="180"/>
      <c r="TZT64" s="180"/>
      <c r="TZU64" s="180"/>
      <c r="TZV64" s="180"/>
      <c r="TZW64" s="180"/>
      <c r="TZX64" s="180"/>
      <c r="TZY64" s="180"/>
      <c r="TZZ64" s="180"/>
      <c r="UAA64" s="180"/>
      <c r="UAB64" s="180"/>
      <c r="UAC64" s="180"/>
      <c r="UAD64" s="180"/>
      <c r="UAE64" s="180"/>
      <c r="UAF64" s="180"/>
      <c r="UAG64" s="180"/>
      <c r="UAH64" s="180"/>
      <c r="UAI64" s="180"/>
      <c r="UAJ64" s="180"/>
      <c r="UAK64" s="180"/>
      <c r="UAL64" s="180"/>
      <c r="UAM64" s="180"/>
      <c r="UAN64" s="180"/>
      <c r="UAO64" s="180"/>
      <c r="UAP64" s="180"/>
      <c r="UAQ64" s="180"/>
      <c r="UAR64" s="180"/>
      <c r="UAS64" s="180"/>
      <c r="UAT64" s="180"/>
      <c r="UAU64" s="180"/>
      <c r="UAV64" s="180"/>
      <c r="UAW64" s="180"/>
      <c r="UAX64" s="180"/>
      <c r="UAY64" s="180"/>
      <c r="UAZ64" s="180"/>
      <c r="UBA64" s="180"/>
      <c r="UBB64" s="180"/>
      <c r="UBC64" s="180"/>
      <c r="UBD64" s="180"/>
      <c r="UBE64" s="180"/>
      <c r="UBF64" s="180"/>
      <c r="UBG64" s="180"/>
      <c r="UBH64" s="180"/>
      <c r="UBI64" s="180"/>
      <c r="UBJ64" s="180"/>
      <c r="UBK64" s="180"/>
      <c r="UBL64" s="180"/>
      <c r="UBM64" s="180"/>
      <c r="UBN64" s="180"/>
      <c r="UBO64" s="180"/>
      <c r="UBP64" s="180"/>
      <c r="UBQ64" s="180"/>
      <c r="UBR64" s="180"/>
      <c r="UBS64" s="180"/>
      <c r="UBT64" s="180"/>
      <c r="UBU64" s="180"/>
      <c r="UBV64" s="180"/>
      <c r="UBW64" s="180"/>
      <c r="UBX64" s="180"/>
      <c r="UBY64" s="180"/>
      <c r="UBZ64" s="180"/>
      <c r="UCA64" s="180"/>
      <c r="UCB64" s="180"/>
      <c r="UCC64" s="180"/>
      <c r="UCD64" s="180"/>
      <c r="UCE64" s="180"/>
      <c r="UCF64" s="180"/>
      <c r="UCG64" s="180"/>
      <c r="UCH64" s="180"/>
      <c r="UCI64" s="180"/>
      <c r="UCJ64" s="180"/>
      <c r="UCK64" s="180"/>
      <c r="UCL64" s="180"/>
      <c r="UCM64" s="180"/>
      <c r="UCN64" s="180"/>
      <c r="UCO64" s="180"/>
      <c r="UCP64" s="180"/>
      <c r="UCQ64" s="180"/>
      <c r="UCR64" s="180"/>
      <c r="UCS64" s="180"/>
      <c r="UCT64" s="180"/>
      <c r="UCU64" s="180"/>
      <c r="UCV64" s="180"/>
      <c r="UCW64" s="180"/>
      <c r="UCX64" s="180"/>
      <c r="UCY64" s="180"/>
      <c r="UCZ64" s="180"/>
      <c r="UDA64" s="180"/>
      <c r="UDB64" s="180"/>
      <c r="UDC64" s="180"/>
      <c r="UDD64" s="180"/>
      <c r="UDE64" s="180"/>
      <c r="UDF64" s="180"/>
      <c r="UDG64" s="180"/>
      <c r="UDH64" s="180"/>
      <c r="UDI64" s="180"/>
      <c r="UDJ64" s="180"/>
      <c r="UDK64" s="180"/>
      <c r="UDL64" s="180"/>
      <c r="UDM64" s="180"/>
      <c r="UDN64" s="180"/>
      <c r="UDO64" s="180"/>
      <c r="UDP64" s="180"/>
      <c r="UDQ64" s="180"/>
      <c r="UDR64" s="180"/>
      <c r="UDS64" s="180"/>
      <c r="UDT64" s="180"/>
      <c r="UDU64" s="180"/>
      <c r="UDV64" s="180"/>
      <c r="UDW64" s="180"/>
      <c r="UDX64" s="180"/>
      <c r="UDY64" s="180"/>
      <c r="UDZ64" s="180"/>
      <c r="UEA64" s="180"/>
      <c r="UEB64" s="180"/>
      <c r="UEC64" s="180"/>
      <c r="UED64" s="180"/>
      <c r="UEE64" s="180"/>
      <c r="UEF64" s="180"/>
      <c r="UEG64" s="180"/>
      <c r="UEH64" s="180"/>
      <c r="UEI64" s="180"/>
      <c r="UEJ64" s="180"/>
      <c r="UEK64" s="180"/>
      <c r="UEL64" s="180"/>
      <c r="UEM64" s="180"/>
      <c r="UEN64" s="180"/>
      <c r="UEO64" s="180"/>
      <c r="UEP64" s="180"/>
      <c r="UEQ64" s="180"/>
      <c r="UER64" s="180"/>
      <c r="UES64" s="180"/>
      <c r="UET64" s="180"/>
      <c r="UEU64" s="180"/>
      <c r="UEV64" s="180"/>
      <c r="UEW64" s="180"/>
      <c r="UEX64" s="180"/>
      <c r="UEY64" s="180"/>
      <c r="UEZ64" s="180"/>
      <c r="UFA64" s="180"/>
      <c r="UFB64" s="180"/>
      <c r="UFC64" s="180"/>
      <c r="UFD64" s="180"/>
      <c r="UFE64" s="180"/>
      <c r="UFF64" s="180"/>
      <c r="UFG64" s="180"/>
      <c r="UFH64" s="180"/>
      <c r="UFI64" s="180"/>
      <c r="UFJ64" s="180"/>
      <c r="UFK64" s="180"/>
      <c r="UFL64" s="180"/>
      <c r="UFM64" s="180"/>
      <c r="UFN64" s="180"/>
      <c r="UFO64" s="180"/>
      <c r="UFP64" s="180"/>
      <c r="UFQ64" s="180"/>
      <c r="UFR64" s="180"/>
      <c r="UFS64" s="180"/>
      <c r="UFT64" s="180"/>
      <c r="UFU64" s="180"/>
      <c r="UFV64" s="180"/>
      <c r="UFW64" s="180"/>
      <c r="UFX64" s="180"/>
      <c r="UFY64" s="180"/>
      <c r="UFZ64" s="180"/>
      <c r="UGA64" s="180"/>
      <c r="UGB64" s="180"/>
      <c r="UGC64" s="180"/>
      <c r="UGD64" s="180"/>
      <c r="UGE64" s="180"/>
      <c r="UGF64" s="180"/>
      <c r="UGG64" s="180"/>
      <c r="UGH64" s="180"/>
      <c r="UGI64" s="180"/>
      <c r="UGJ64" s="180"/>
      <c r="UGK64" s="180"/>
      <c r="UGL64" s="180"/>
      <c r="UGM64" s="180"/>
      <c r="UGN64" s="180"/>
      <c r="UGO64" s="180"/>
      <c r="UGP64" s="180"/>
      <c r="UGQ64" s="180"/>
      <c r="UGR64" s="180"/>
      <c r="UGS64" s="180"/>
      <c r="UGT64" s="180"/>
      <c r="UGU64" s="180"/>
      <c r="UGV64" s="180"/>
      <c r="UGW64" s="180"/>
      <c r="UGX64" s="180"/>
      <c r="UGY64" s="180"/>
      <c r="UGZ64" s="180"/>
      <c r="UHA64" s="180"/>
      <c r="UHB64" s="180"/>
      <c r="UHC64" s="180"/>
      <c r="UHD64" s="180"/>
      <c r="UHE64" s="180"/>
      <c r="UHF64" s="180"/>
      <c r="UHG64" s="180"/>
      <c r="UHH64" s="180"/>
      <c r="UHI64" s="180"/>
      <c r="UHJ64" s="180"/>
      <c r="UHK64" s="180"/>
      <c r="UHL64" s="180"/>
      <c r="UHM64" s="180"/>
      <c r="UHN64" s="180"/>
      <c r="UHO64" s="180"/>
      <c r="UHP64" s="180"/>
      <c r="UHQ64" s="180"/>
      <c r="UHR64" s="180"/>
      <c r="UHS64" s="180"/>
      <c r="UHT64" s="180"/>
      <c r="UHU64" s="180"/>
      <c r="UHV64" s="180"/>
      <c r="UHW64" s="180"/>
      <c r="UHX64" s="180"/>
      <c r="UHY64" s="180"/>
      <c r="UHZ64" s="180"/>
      <c r="UIA64" s="180"/>
      <c r="UIB64" s="180"/>
      <c r="UIC64" s="180"/>
      <c r="UID64" s="180"/>
      <c r="UIE64" s="180"/>
      <c r="UIF64" s="180"/>
      <c r="UIG64" s="180"/>
      <c r="UIH64" s="180"/>
      <c r="UII64" s="180"/>
      <c r="UIJ64" s="180"/>
      <c r="UIK64" s="180"/>
      <c r="UIL64" s="180"/>
      <c r="UIM64" s="180"/>
      <c r="UIN64" s="180"/>
      <c r="UIO64" s="180"/>
      <c r="UIP64" s="180"/>
      <c r="UIQ64" s="180"/>
      <c r="UIR64" s="180"/>
      <c r="UIS64" s="180"/>
      <c r="UIT64" s="180"/>
      <c r="UIU64" s="180"/>
      <c r="UIV64" s="180"/>
      <c r="UIW64" s="180"/>
      <c r="UIX64" s="180"/>
      <c r="UIY64" s="180"/>
      <c r="UIZ64" s="180"/>
      <c r="UJA64" s="180"/>
      <c r="UJB64" s="180"/>
      <c r="UJC64" s="180"/>
      <c r="UJD64" s="180"/>
      <c r="UJE64" s="180"/>
      <c r="UJF64" s="180"/>
      <c r="UJG64" s="180"/>
      <c r="UJH64" s="180"/>
      <c r="UJI64" s="180"/>
      <c r="UJJ64" s="180"/>
      <c r="UJK64" s="180"/>
      <c r="UJL64" s="180"/>
      <c r="UJM64" s="180"/>
      <c r="UJN64" s="180"/>
      <c r="UJO64" s="180"/>
      <c r="UJP64" s="180"/>
      <c r="UJQ64" s="180"/>
      <c r="UJR64" s="180"/>
      <c r="UJS64" s="180"/>
      <c r="UJT64" s="180"/>
      <c r="UJU64" s="180"/>
      <c r="UJV64" s="180"/>
      <c r="UJW64" s="180"/>
      <c r="UJX64" s="180"/>
      <c r="UJY64" s="180"/>
      <c r="UJZ64" s="180"/>
      <c r="UKA64" s="180"/>
      <c r="UKB64" s="180"/>
      <c r="UKC64" s="180"/>
      <c r="UKD64" s="180"/>
      <c r="UKE64" s="180"/>
      <c r="UKF64" s="180"/>
      <c r="UKG64" s="180"/>
      <c r="UKH64" s="180"/>
      <c r="UKI64" s="180"/>
      <c r="UKJ64" s="180"/>
      <c r="UKK64" s="180"/>
      <c r="UKL64" s="180"/>
      <c r="UKM64" s="180"/>
      <c r="UKN64" s="180"/>
      <c r="UKO64" s="180"/>
      <c r="UKP64" s="180"/>
      <c r="UKQ64" s="180"/>
      <c r="UKR64" s="180"/>
      <c r="UKS64" s="180"/>
      <c r="UKT64" s="180"/>
      <c r="UKU64" s="180"/>
      <c r="UKV64" s="180"/>
      <c r="UKW64" s="180"/>
      <c r="UKX64" s="180"/>
      <c r="UKY64" s="180"/>
      <c r="UKZ64" s="180"/>
      <c r="ULA64" s="180"/>
      <c r="ULB64" s="180"/>
      <c r="ULC64" s="180"/>
      <c r="ULD64" s="180"/>
      <c r="ULE64" s="180"/>
      <c r="ULF64" s="180"/>
      <c r="ULG64" s="180"/>
      <c r="ULH64" s="180"/>
      <c r="ULI64" s="180"/>
      <c r="ULJ64" s="180"/>
      <c r="ULK64" s="180"/>
      <c r="ULL64" s="180"/>
      <c r="ULM64" s="180"/>
      <c r="ULN64" s="180"/>
      <c r="ULO64" s="180"/>
      <c r="ULP64" s="180"/>
      <c r="ULQ64" s="180"/>
      <c r="ULR64" s="180"/>
      <c r="ULS64" s="180"/>
      <c r="ULT64" s="180"/>
      <c r="ULU64" s="180"/>
      <c r="ULV64" s="180"/>
      <c r="ULW64" s="180"/>
      <c r="ULX64" s="180"/>
      <c r="ULY64" s="180"/>
      <c r="ULZ64" s="180"/>
      <c r="UMA64" s="180"/>
      <c r="UMB64" s="180"/>
      <c r="UMC64" s="180"/>
      <c r="UMD64" s="180"/>
      <c r="UME64" s="180"/>
      <c r="UMF64" s="180"/>
      <c r="UMG64" s="180"/>
      <c r="UMH64" s="180"/>
      <c r="UMI64" s="180"/>
      <c r="UMJ64" s="180"/>
      <c r="UMK64" s="180"/>
      <c r="UML64" s="180"/>
      <c r="UMM64" s="180"/>
      <c r="UMN64" s="180"/>
      <c r="UMO64" s="180"/>
      <c r="UMP64" s="180"/>
      <c r="UMQ64" s="180"/>
      <c r="UMR64" s="180"/>
      <c r="UMS64" s="180"/>
      <c r="UMT64" s="180"/>
      <c r="UMU64" s="180"/>
      <c r="UMV64" s="180"/>
      <c r="UMW64" s="180"/>
      <c r="UMX64" s="180"/>
      <c r="UMY64" s="180"/>
      <c r="UMZ64" s="180"/>
      <c r="UNA64" s="180"/>
      <c r="UNB64" s="180"/>
      <c r="UNC64" s="180"/>
      <c r="UND64" s="180"/>
      <c r="UNE64" s="180"/>
      <c r="UNF64" s="180"/>
      <c r="UNG64" s="180"/>
      <c r="UNH64" s="180"/>
      <c r="UNI64" s="180"/>
      <c r="UNJ64" s="180"/>
      <c r="UNK64" s="180"/>
      <c r="UNL64" s="180"/>
      <c r="UNM64" s="180"/>
      <c r="UNN64" s="180"/>
      <c r="UNO64" s="180"/>
      <c r="UNP64" s="180"/>
      <c r="UNQ64" s="180"/>
      <c r="UNR64" s="180"/>
      <c r="UNS64" s="180"/>
      <c r="UNT64" s="180"/>
      <c r="UNU64" s="180"/>
      <c r="UNV64" s="180"/>
      <c r="UNW64" s="180"/>
      <c r="UNX64" s="180"/>
      <c r="UNY64" s="180"/>
      <c r="UNZ64" s="180"/>
      <c r="UOA64" s="180"/>
      <c r="UOB64" s="180"/>
      <c r="UOC64" s="180"/>
      <c r="UOD64" s="180"/>
      <c r="UOE64" s="180"/>
      <c r="UOF64" s="180"/>
      <c r="UOG64" s="180"/>
      <c r="UOH64" s="180"/>
      <c r="UOI64" s="180"/>
      <c r="UOJ64" s="180"/>
      <c r="UOK64" s="180"/>
      <c r="UOL64" s="180"/>
      <c r="UOM64" s="180"/>
      <c r="UON64" s="180"/>
      <c r="UOO64" s="180"/>
      <c r="UOP64" s="180"/>
      <c r="UOQ64" s="180"/>
      <c r="UOR64" s="180"/>
      <c r="UOS64" s="180"/>
      <c r="UOT64" s="180"/>
      <c r="UOU64" s="180"/>
      <c r="UOV64" s="180"/>
      <c r="UOW64" s="180"/>
      <c r="UOX64" s="180"/>
      <c r="UOY64" s="180"/>
      <c r="UOZ64" s="180"/>
      <c r="UPA64" s="180"/>
      <c r="UPB64" s="180"/>
      <c r="UPC64" s="180"/>
      <c r="UPD64" s="180"/>
      <c r="UPE64" s="180"/>
      <c r="UPF64" s="180"/>
      <c r="UPG64" s="180"/>
      <c r="UPH64" s="180"/>
      <c r="UPI64" s="180"/>
      <c r="UPJ64" s="180"/>
      <c r="UPK64" s="180"/>
      <c r="UPL64" s="180"/>
      <c r="UPM64" s="180"/>
      <c r="UPN64" s="180"/>
      <c r="UPO64" s="180"/>
      <c r="UPP64" s="180"/>
      <c r="UPQ64" s="180"/>
      <c r="UPR64" s="180"/>
      <c r="UPS64" s="180"/>
      <c r="UPT64" s="180"/>
      <c r="UPU64" s="180"/>
      <c r="UPV64" s="180"/>
      <c r="UPW64" s="180"/>
      <c r="UPX64" s="180"/>
      <c r="UPY64" s="180"/>
      <c r="UPZ64" s="180"/>
      <c r="UQA64" s="180"/>
      <c r="UQB64" s="180"/>
      <c r="UQC64" s="180"/>
      <c r="UQD64" s="180"/>
      <c r="UQE64" s="180"/>
      <c r="UQF64" s="180"/>
      <c r="UQG64" s="180"/>
      <c r="UQH64" s="180"/>
      <c r="UQI64" s="180"/>
      <c r="UQJ64" s="180"/>
      <c r="UQK64" s="180"/>
      <c r="UQL64" s="180"/>
      <c r="UQM64" s="180"/>
      <c r="UQN64" s="180"/>
      <c r="UQO64" s="180"/>
      <c r="UQP64" s="180"/>
      <c r="UQQ64" s="180"/>
      <c r="UQR64" s="180"/>
      <c r="UQS64" s="180"/>
      <c r="UQT64" s="180"/>
      <c r="UQU64" s="180"/>
      <c r="UQV64" s="180"/>
      <c r="UQW64" s="180"/>
      <c r="UQX64" s="180"/>
      <c r="UQY64" s="180"/>
      <c r="UQZ64" s="180"/>
      <c r="URA64" s="180"/>
      <c r="URB64" s="180"/>
      <c r="URC64" s="180"/>
      <c r="URD64" s="180"/>
      <c r="URE64" s="180"/>
      <c r="URF64" s="180"/>
      <c r="URG64" s="180"/>
      <c r="URH64" s="180"/>
      <c r="URI64" s="180"/>
      <c r="URJ64" s="180"/>
      <c r="URK64" s="180"/>
      <c r="URL64" s="180"/>
      <c r="URM64" s="180"/>
      <c r="URN64" s="180"/>
      <c r="URO64" s="180"/>
      <c r="URP64" s="180"/>
      <c r="URQ64" s="180"/>
      <c r="URR64" s="180"/>
      <c r="URS64" s="180"/>
      <c r="URT64" s="180"/>
      <c r="URU64" s="180"/>
      <c r="URV64" s="180"/>
      <c r="URW64" s="180"/>
      <c r="URX64" s="180"/>
      <c r="URY64" s="180"/>
      <c r="URZ64" s="180"/>
      <c r="USA64" s="180"/>
      <c r="USB64" s="180"/>
      <c r="USC64" s="180"/>
      <c r="USD64" s="180"/>
      <c r="USE64" s="180"/>
      <c r="USF64" s="180"/>
      <c r="USG64" s="180"/>
      <c r="USH64" s="180"/>
      <c r="USI64" s="180"/>
      <c r="USJ64" s="180"/>
      <c r="USK64" s="180"/>
      <c r="USL64" s="180"/>
      <c r="USM64" s="180"/>
      <c r="USN64" s="180"/>
      <c r="USO64" s="180"/>
      <c r="USP64" s="180"/>
      <c r="USQ64" s="180"/>
      <c r="USR64" s="180"/>
      <c r="USS64" s="180"/>
      <c r="UST64" s="180"/>
      <c r="USU64" s="180"/>
      <c r="USV64" s="180"/>
      <c r="USW64" s="180"/>
      <c r="USX64" s="180"/>
      <c r="USY64" s="180"/>
      <c r="USZ64" s="180"/>
      <c r="UTA64" s="180"/>
      <c r="UTB64" s="180"/>
      <c r="UTC64" s="180"/>
      <c r="UTD64" s="180"/>
      <c r="UTE64" s="180"/>
      <c r="UTF64" s="180"/>
      <c r="UTG64" s="180"/>
      <c r="UTH64" s="180"/>
      <c r="UTI64" s="180"/>
      <c r="UTJ64" s="180"/>
      <c r="UTK64" s="180"/>
      <c r="UTL64" s="180"/>
      <c r="UTM64" s="180"/>
      <c r="UTN64" s="180"/>
      <c r="UTO64" s="180"/>
      <c r="UTP64" s="180"/>
      <c r="UTQ64" s="180"/>
      <c r="UTR64" s="180"/>
      <c r="UTS64" s="180"/>
      <c r="UTT64" s="180"/>
      <c r="UTU64" s="180"/>
      <c r="UTV64" s="180"/>
      <c r="UTW64" s="180"/>
      <c r="UTX64" s="180"/>
      <c r="UTY64" s="180"/>
      <c r="UTZ64" s="180"/>
      <c r="UUA64" s="180"/>
      <c r="UUB64" s="180"/>
      <c r="UUC64" s="180"/>
      <c r="UUD64" s="180"/>
      <c r="UUE64" s="180"/>
      <c r="UUF64" s="180"/>
      <c r="UUG64" s="180"/>
      <c r="UUH64" s="180"/>
      <c r="UUI64" s="180"/>
      <c r="UUJ64" s="180"/>
      <c r="UUK64" s="180"/>
      <c r="UUL64" s="180"/>
      <c r="UUM64" s="180"/>
      <c r="UUN64" s="180"/>
      <c r="UUO64" s="180"/>
      <c r="UUP64" s="180"/>
      <c r="UUQ64" s="180"/>
      <c r="UUR64" s="180"/>
      <c r="UUS64" s="180"/>
      <c r="UUT64" s="180"/>
      <c r="UUU64" s="180"/>
      <c r="UUV64" s="180"/>
      <c r="UUW64" s="180"/>
      <c r="UUX64" s="180"/>
      <c r="UUY64" s="180"/>
      <c r="UUZ64" s="180"/>
      <c r="UVA64" s="180"/>
      <c r="UVB64" s="180"/>
      <c r="UVC64" s="180"/>
      <c r="UVD64" s="180"/>
      <c r="UVE64" s="180"/>
      <c r="UVF64" s="180"/>
      <c r="UVG64" s="180"/>
      <c r="UVH64" s="180"/>
      <c r="UVI64" s="180"/>
      <c r="UVJ64" s="180"/>
      <c r="UVK64" s="180"/>
      <c r="UVL64" s="180"/>
      <c r="UVM64" s="180"/>
      <c r="UVN64" s="180"/>
      <c r="UVO64" s="180"/>
      <c r="UVP64" s="180"/>
      <c r="UVQ64" s="180"/>
      <c r="UVR64" s="180"/>
      <c r="UVS64" s="180"/>
      <c r="UVT64" s="180"/>
      <c r="UVU64" s="180"/>
      <c r="UVV64" s="180"/>
      <c r="UVW64" s="180"/>
      <c r="UVX64" s="180"/>
      <c r="UVY64" s="180"/>
      <c r="UVZ64" s="180"/>
      <c r="UWA64" s="180"/>
      <c r="UWB64" s="180"/>
      <c r="UWC64" s="180"/>
      <c r="UWD64" s="180"/>
      <c r="UWE64" s="180"/>
      <c r="UWF64" s="180"/>
      <c r="UWG64" s="180"/>
      <c r="UWH64" s="180"/>
      <c r="UWI64" s="180"/>
      <c r="UWJ64" s="180"/>
      <c r="UWK64" s="180"/>
      <c r="UWL64" s="180"/>
      <c r="UWM64" s="180"/>
      <c r="UWN64" s="180"/>
      <c r="UWO64" s="180"/>
      <c r="UWP64" s="180"/>
      <c r="UWQ64" s="180"/>
      <c r="UWR64" s="180"/>
      <c r="UWS64" s="180"/>
      <c r="UWT64" s="180"/>
      <c r="UWU64" s="180"/>
      <c r="UWV64" s="180"/>
      <c r="UWW64" s="180"/>
      <c r="UWX64" s="180"/>
      <c r="UWY64" s="180"/>
      <c r="UWZ64" s="180"/>
      <c r="UXA64" s="180"/>
      <c r="UXB64" s="180"/>
      <c r="UXC64" s="180"/>
      <c r="UXD64" s="180"/>
      <c r="UXE64" s="180"/>
      <c r="UXF64" s="180"/>
      <c r="UXG64" s="180"/>
      <c r="UXH64" s="180"/>
      <c r="UXI64" s="180"/>
      <c r="UXJ64" s="180"/>
      <c r="UXK64" s="180"/>
      <c r="UXL64" s="180"/>
      <c r="UXM64" s="180"/>
      <c r="UXN64" s="180"/>
      <c r="UXO64" s="180"/>
      <c r="UXP64" s="180"/>
      <c r="UXQ64" s="180"/>
      <c r="UXR64" s="180"/>
      <c r="UXS64" s="180"/>
      <c r="UXT64" s="180"/>
      <c r="UXU64" s="180"/>
      <c r="UXV64" s="180"/>
      <c r="UXW64" s="180"/>
      <c r="UXX64" s="180"/>
      <c r="UXY64" s="180"/>
      <c r="UXZ64" s="180"/>
      <c r="UYA64" s="180"/>
      <c r="UYB64" s="180"/>
      <c r="UYC64" s="180"/>
      <c r="UYD64" s="180"/>
      <c r="UYE64" s="180"/>
      <c r="UYF64" s="180"/>
      <c r="UYG64" s="180"/>
      <c r="UYH64" s="180"/>
      <c r="UYI64" s="180"/>
      <c r="UYJ64" s="180"/>
      <c r="UYK64" s="180"/>
      <c r="UYL64" s="180"/>
      <c r="UYM64" s="180"/>
      <c r="UYN64" s="180"/>
      <c r="UYO64" s="180"/>
      <c r="UYP64" s="180"/>
      <c r="UYQ64" s="180"/>
      <c r="UYR64" s="180"/>
      <c r="UYS64" s="180"/>
      <c r="UYT64" s="180"/>
      <c r="UYU64" s="180"/>
      <c r="UYV64" s="180"/>
      <c r="UYW64" s="180"/>
      <c r="UYX64" s="180"/>
      <c r="UYY64" s="180"/>
      <c r="UYZ64" s="180"/>
      <c r="UZA64" s="180"/>
      <c r="UZB64" s="180"/>
      <c r="UZC64" s="180"/>
      <c r="UZD64" s="180"/>
      <c r="UZE64" s="180"/>
      <c r="UZF64" s="180"/>
      <c r="UZG64" s="180"/>
      <c r="UZH64" s="180"/>
      <c r="UZI64" s="180"/>
      <c r="UZJ64" s="180"/>
      <c r="UZK64" s="180"/>
      <c r="UZL64" s="180"/>
      <c r="UZM64" s="180"/>
      <c r="UZN64" s="180"/>
      <c r="UZO64" s="180"/>
      <c r="UZP64" s="180"/>
      <c r="UZQ64" s="180"/>
      <c r="UZR64" s="180"/>
      <c r="UZS64" s="180"/>
      <c r="UZT64" s="180"/>
      <c r="UZU64" s="180"/>
      <c r="UZV64" s="180"/>
      <c r="UZW64" s="180"/>
      <c r="UZX64" s="180"/>
      <c r="UZY64" s="180"/>
      <c r="UZZ64" s="180"/>
      <c r="VAA64" s="180"/>
      <c r="VAB64" s="180"/>
      <c r="VAC64" s="180"/>
      <c r="VAD64" s="180"/>
      <c r="VAE64" s="180"/>
      <c r="VAF64" s="180"/>
      <c r="VAG64" s="180"/>
      <c r="VAH64" s="180"/>
      <c r="VAI64" s="180"/>
      <c r="VAJ64" s="180"/>
      <c r="VAK64" s="180"/>
      <c r="VAL64" s="180"/>
      <c r="VAM64" s="180"/>
      <c r="VAN64" s="180"/>
      <c r="VAO64" s="180"/>
      <c r="VAP64" s="180"/>
      <c r="VAQ64" s="180"/>
      <c r="VAR64" s="180"/>
      <c r="VAS64" s="180"/>
      <c r="VAT64" s="180"/>
      <c r="VAU64" s="180"/>
      <c r="VAV64" s="180"/>
      <c r="VAW64" s="180"/>
      <c r="VAX64" s="180"/>
      <c r="VAY64" s="180"/>
      <c r="VAZ64" s="180"/>
      <c r="VBA64" s="180"/>
      <c r="VBB64" s="180"/>
      <c r="VBC64" s="180"/>
      <c r="VBD64" s="180"/>
      <c r="VBE64" s="180"/>
      <c r="VBF64" s="180"/>
      <c r="VBG64" s="180"/>
      <c r="VBH64" s="180"/>
      <c r="VBI64" s="180"/>
      <c r="VBJ64" s="180"/>
      <c r="VBK64" s="180"/>
      <c r="VBL64" s="180"/>
      <c r="VBM64" s="180"/>
      <c r="VBN64" s="180"/>
      <c r="VBO64" s="180"/>
      <c r="VBP64" s="180"/>
      <c r="VBQ64" s="180"/>
      <c r="VBR64" s="180"/>
      <c r="VBS64" s="180"/>
      <c r="VBT64" s="180"/>
      <c r="VBU64" s="180"/>
      <c r="VBV64" s="180"/>
      <c r="VBW64" s="180"/>
      <c r="VBX64" s="180"/>
      <c r="VBY64" s="180"/>
      <c r="VBZ64" s="180"/>
      <c r="VCA64" s="180"/>
      <c r="VCB64" s="180"/>
      <c r="VCC64" s="180"/>
      <c r="VCD64" s="180"/>
      <c r="VCE64" s="180"/>
      <c r="VCF64" s="180"/>
      <c r="VCG64" s="180"/>
      <c r="VCH64" s="180"/>
      <c r="VCI64" s="180"/>
      <c r="VCJ64" s="180"/>
      <c r="VCK64" s="180"/>
      <c r="VCL64" s="180"/>
      <c r="VCM64" s="180"/>
      <c r="VCN64" s="180"/>
      <c r="VCO64" s="180"/>
      <c r="VCP64" s="180"/>
      <c r="VCQ64" s="180"/>
      <c r="VCR64" s="180"/>
      <c r="VCS64" s="180"/>
      <c r="VCT64" s="180"/>
      <c r="VCU64" s="180"/>
      <c r="VCV64" s="180"/>
      <c r="VCW64" s="180"/>
      <c r="VCX64" s="180"/>
      <c r="VCY64" s="180"/>
      <c r="VCZ64" s="180"/>
      <c r="VDA64" s="180"/>
      <c r="VDB64" s="180"/>
      <c r="VDC64" s="180"/>
      <c r="VDD64" s="180"/>
      <c r="VDE64" s="180"/>
      <c r="VDF64" s="180"/>
      <c r="VDG64" s="180"/>
      <c r="VDH64" s="180"/>
      <c r="VDI64" s="180"/>
      <c r="VDJ64" s="180"/>
      <c r="VDK64" s="180"/>
      <c r="VDL64" s="180"/>
      <c r="VDM64" s="180"/>
      <c r="VDN64" s="180"/>
      <c r="VDO64" s="180"/>
      <c r="VDP64" s="180"/>
      <c r="VDQ64" s="180"/>
      <c r="VDR64" s="180"/>
      <c r="VDS64" s="180"/>
      <c r="VDT64" s="180"/>
      <c r="VDU64" s="180"/>
      <c r="VDV64" s="180"/>
      <c r="VDW64" s="180"/>
      <c r="VDX64" s="180"/>
      <c r="VDY64" s="180"/>
      <c r="VDZ64" s="180"/>
      <c r="VEA64" s="180"/>
      <c r="VEB64" s="180"/>
      <c r="VEC64" s="180"/>
      <c r="VED64" s="180"/>
      <c r="VEE64" s="180"/>
      <c r="VEF64" s="180"/>
      <c r="VEG64" s="180"/>
      <c r="VEH64" s="180"/>
      <c r="VEI64" s="180"/>
      <c r="VEJ64" s="180"/>
      <c r="VEK64" s="180"/>
      <c r="VEL64" s="180"/>
      <c r="VEM64" s="180"/>
      <c r="VEN64" s="180"/>
      <c r="VEO64" s="180"/>
      <c r="VEP64" s="180"/>
      <c r="VEQ64" s="180"/>
      <c r="VER64" s="180"/>
      <c r="VES64" s="180"/>
      <c r="VET64" s="180"/>
      <c r="VEU64" s="180"/>
      <c r="VEV64" s="180"/>
      <c r="VEW64" s="180"/>
      <c r="VEX64" s="180"/>
      <c r="VEY64" s="180"/>
      <c r="VEZ64" s="180"/>
      <c r="VFA64" s="180"/>
      <c r="VFB64" s="180"/>
      <c r="VFC64" s="180"/>
      <c r="VFD64" s="180"/>
      <c r="VFE64" s="180"/>
      <c r="VFF64" s="180"/>
      <c r="VFG64" s="180"/>
      <c r="VFH64" s="180"/>
      <c r="VFI64" s="180"/>
      <c r="VFJ64" s="180"/>
      <c r="VFK64" s="180"/>
      <c r="VFL64" s="180"/>
      <c r="VFM64" s="180"/>
      <c r="VFN64" s="180"/>
      <c r="VFO64" s="180"/>
      <c r="VFP64" s="180"/>
      <c r="VFQ64" s="180"/>
      <c r="VFR64" s="180"/>
      <c r="VFS64" s="180"/>
      <c r="VFT64" s="180"/>
      <c r="VFU64" s="180"/>
      <c r="VFV64" s="180"/>
      <c r="VFW64" s="180"/>
      <c r="VFX64" s="180"/>
      <c r="VFY64" s="180"/>
      <c r="VFZ64" s="180"/>
      <c r="VGA64" s="180"/>
      <c r="VGB64" s="180"/>
      <c r="VGC64" s="180"/>
      <c r="VGD64" s="180"/>
      <c r="VGE64" s="180"/>
      <c r="VGF64" s="180"/>
      <c r="VGG64" s="180"/>
      <c r="VGH64" s="180"/>
      <c r="VGI64" s="180"/>
      <c r="VGJ64" s="180"/>
      <c r="VGK64" s="180"/>
      <c r="VGL64" s="180"/>
      <c r="VGM64" s="180"/>
      <c r="VGN64" s="180"/>
      <c r="VGO64" s="180"/>
      <c r="VGP64" s="180"/>
      <c r="VGQ64" s="180"/>
      <c r="VGR64" s="180"/>
      <c r="VGS64" s="180"/>
      <c r="VGT64" s="180"/>
      <c r="VGU64" s="180"/>
      <c r="VGV64" s="180"/>
      <c r="VGW64" s="180"/>
      <c r="VGX64" s="180"/>
      <c r="VGY64" s="180"/>
      <c r="VGZ64" s="180"/>
      <c r="VHA64" s="180"/>
      <c r="VHB64" s="180"/>
      <c r="VHC64" s="180"/>
      <c r="VHD64" s="180"/>
      <c r="VHE64" s="180"/>
      <c r="VHF64" s="180"/>
      <c r="VHG64" s="180"/>
      <c r="VHH64" s="180"/>
      <c r="VHI64" s="180"/>
      <c r="VHJ64" s="180"/>
      <c r="VHK64" s="180"/>
      <c r="VHL64" s="180"/>
      <c r="VHM64" s="180"/>
      <c r="VHN64" s="180"/>
      <c r="VHO64" s="180"/>
      <c r="VHP64" s="180"/>
      <c r="VHQ64" s="180"/>
      <c r="VHR64" s="180"/>
      <c r="VHS64" s="180"/>
      <c r="VHT64" s="180"/>
      <c r="VHU64" s="180"/>
      <c r="VHV64" s="180"/>
      <c r="VHW64" s="180"/>
      <c r="VHX64" s="180"/>
      <c r="VHY64" s="180"/>
      <c r="VHZ64" s="180"/>
      <c r="VIA64" s="180"/>
      <c r="VIB64" s="180"/>
      <c r="VIC64" s="180"/>
      <c r="VID64" s="180"/>
      <c r="VIE64" s="180"/>
      <c r="VIF64" s="180"/>
      <c r="VIG64" s="180"/>
      <c r="VIH64" s="180"/>
      <c r="VII64" s="180"/>
      <c r="VIJ64" s="180"/>
      <c r="VIK64" s="180"/>
      <c r="VIL64" s="180"/>
      <c r="VIM64" s="180"/>
      <c r="VIN64" s="180"/>
      <c r="VIO64" s="180"/>
      <c r="VIP64" s="180"/>
      <c r="VIQ64" s="180"/>
      <c r="VIR64" s="180"/>
      <c r="VIS64" s="180"/>
      <c r="VIT64" s="180"/>
      <c r="VIU64" s="180"/>
      <c r="VIV64" s="180"/>
      <c r="VIW64" s="180"/>
      <c r="VIX64" s="180"/>
      <c r="VIY64" s="180"/>
      <c r="VIZ64" s="180"/>
      <c r="VJA64" s="180"/>
      <c r="VJB64" s="180"/>
      <c r="VJC64" s="180"/>
      <c r="VJD64" s="180"/>
      <c r="VJE64" s="180"/>
      <c r="VJF64" s="180"/>
      <c r="VJG64" s="180"/>
      <c r="VJH64" s="180"/>
      <c r="VJI64" s="180"/>
      <c r="VJJ64" s="180"/>
      <c r="VJK64" s="180"/>
      <c r="VJL64" s="180"/>
      <c r="VJM64" s="180"/>
      <c r="VJN64" s="180"/>
      <c r="VJO64" s="180"/>
      <c r="VJP64" s="180"/>
      <c r="VJQ64" s="180"/>
      <c r="VJR64" s="180"/>
      <c r="VJS64" s="180"/>
      <c r="VJT64" s="180"/>
      <c r="VJU64" s="180"/>
      <c r="VJV64" s="180"/>
      <c r="VJW64" s="180"/>
      <c r="VJX64" s="180"/>
      <c r="VJY64" s="180"/>
      <c r="VJZ64" s="180"/>
      <c r="VKA64" s="180"/>
      <c r="VKB64" s="180"/>
      <c r="VKC64" s="180"/>
      <c r="VKD64" s="180"/>
      <c r="VKE64" s="180"/>
      <c r="VKF64" s="180"/>
      <c r="VKG64" s="180"/>
      <c r="VKH64" s="180"/>
      <c r="VKI64" s="180"/>
      <c r="VKJ64" s="180"/>
      <c r="VKK64" s="180"/>
      <c r="VKL64" s="180"/>
      <c r="VKM64" s="180"/>
      <c r="VKN64" s="180"/>
      <c r="VKO64" s="180"/>
      <c r="VKP64" s="180"/>
      <c r="VKQ64" s="180"/>
      <c r="VKR64" s="180"/>
      <c r="VKS64" s="180"/>
      <c r="VKT64" s="180"/>
      <c r="VKU64" s="180"/>
      <c r="VKV64" s="180"/>
      <c r="VKW64" s="180"/>
      <c r="VKX64" s="180"/>
      <c r="VKY64" s="180"/>
      <c r="VKZ64" s="180"/>
      <c r="VLA64" s="180"/>
      <c r="VLB64" s="180"/>
      <c r="VLC64" s="180"/>
      <c r="VLD64" s="180"/>
      <c r="VLE64" s="180"/>
      <c r="VLF64" s="180"/>
      <c r="VLG64" s="180"/>
      <c r="VLH64" s="180"/>
      <c r="VLI64" s="180"/>
      <c r="VLJ64" s="180"/>
      <c r="VLK64" s="180"/>
      <c r="VLL64" s="180"/>
      <c r="VLM64" s="180"/>
      <c r="VLN64" s="180"/>
      <c r="VLO64" s="180"/>
      <c r="VLP64" s="180"/>
      <c r="VLQ64" s="180"/>
      <c r="VLR64" s="180"/>
      <c r="VLS64" s="180"/>
      <c r="VLT64" s="180"/>
      <c r="VLU64" s="180"/>
      <c r="VLV64" s="180"/>
      <c r="VLW64" s="180"/>
      <c r="VLX64" s="180"/>
      <c r="VLY64" s="180"/>
      <c r="VLZ64" s="180"/>
      <c r="VMA64" s="180"/>
      <c r="VMB64" s="180"/>
      <c r="VMC64" s="180"/>
      <c r="VMD64" s="180"/>
      <c r="VME64" s="180"/>
      <c r="VMF64" s="180"/>
      <c r="VMG64" s="180"/>
      <c r="VMH64" s="180"/>
      <c r="VMI64" s="180"/>
      <c r="VMJ64" s="180"/>
      <c r="VMK64" s="180"/>
      <c r="VML64" s="180"/>
      <c r="VMM64" s="180"/>
      <c r="VMN64" s="180"/>
      <c r="VMO64" s="180"/>
      <c r="VMP64" s="180"/>
      <c r="VMQ64" s="180"/>
      <c r="VMR64" s="180"/>
      <c r="VMS64" s="180"/>
      <c r="VMT64" s="180"/>
      <c r="VMU64" s="180"/>
      <c r="VMV64" s="180"/>
      <c r="VMW64" s="180"/>
      <c r="VMX64" s="180"/>
      <c r="VMY64" s="180"/>
      <c r="VMZ64" s="180"/>
      <c r="VNA64" s="180"/>
      <c r="VNB64" s="180"/>
      <c r="VNC64" s="180"/>
      <c r="VND64" s="180"/>
      <c r="VNE64" s="180"/>
      <c r="VNF64" s="180"/>
      <c r="VNG64" s="180"/>
      <c r="VNH64" s="180"/>
      <c r="VNI64" s="180"/>
      <c r="VNJ64" s="180"/>
      <c r="VNK64" s="180"/>
      <c r="VNL64" s="180"/>
      <c r="VNM64" s="180"/>
      <c r="VNN64" s="180"/>
      <c r="VNO64" s="180"/>
      <c r="VNP64" s="180"/>
      <c r="VNQ64" s="180"/>
      <c r="VNR64" s="180"/>
      <c r="VNS64" s="180"/>
      <c r="VNT64" s="180"/>
      <c r="VNU64" s="180"/>
      <c r="VNV64" s="180"/>
      <c r="VNW64" s="180"/>
      <c r="VNX64" s="180"/>
      <c r="VNY64" s="180"/>
      <c r="VNZ64" s="180"/>
      <c r="VOA64" s="180"/>
      <c r="VOB64" s="180"/>
      <c r="VOC64" s="180"/>
      <c r="VOD64" s="180"/>
      <c r="VOE64" s="180"/>
      <c r="VOF64" s="180"/>
      <c r="VOG64" s="180"/>
      <c r="VOH64" s="180"/>
      <c r="VOI64" s="180"/>
      <c r="VOJ64" s="180"/>
      <c r="VOK64" s="180"/>
      <c r="VOL64" s="180"/>
      <c r="VOM64" s="180"/>
      <c r="VON64" s="180"/>
      <c r="VOO64" s="180"/>
      <c r="VOP64" s="180"/>
      <c r="VOQ64" s="180"/>
      <c r="VOR64" s="180"/>
      <c r="VOS64" s="180"/>
      <c r="VOT64" s="180"/>
      <c r="VOU64" s="180"/>
      <c r="VOV64" s="180"/>
      <c r="VOW64" s="180"/>
      <c r="VOX64" s="180"/>
      <c r="VOY64" s="180"/>
      <c r="VOZ64" s="180"/>
      <c r="VPA64" s="180"/>
      <c r="VPB64" s="180"/>
      <c r="VPC64" s="180"/>
      <c r="VPD64" s="180"/>
      <c r="VPE64" s="180"/>
      <c r="VPF64" s="180"/>
      <c r="VPG64" s="180"/>
      <c r="VPH64" s="180"/>
      <c r="VPI64" s="180"/>
      <c r="VPJ64" s="180"/>
      <c r="VPK64" s="180"/>
      <c r="VPL64" s="180"/>
      <c r="VPM64" s="180"/>
      <c r="VPN64" s="180"/>
      <c r="VPO64" s="180"/>
      <c r="VPP64" s="180"/>
      <c r="VPQ64" s="180"/>
      <c r="VPR64" s="180"/>
      <c r="VPS64" s="180"/>
      <c r="VPT64" s="180"/>
      <c r="VPU64" s="180"/>
      <c r="VPV64" s="180"/>
      <c r="VPW64" s="180"/>
      <c r="VPX64" s="180"/>
      <c r="VPY64" s="180"/>
      <c r="VPZ64" s="180"/>
      <c r="VQA64" s="180"/>
      <c r="VQB64" s="180"/>
      <c r="VQC64" s="180"/>
      <c r="VQD64" s="180"/>
      <c r="VQE64" s="180"/>
      <c r="VQF64" s="180"/>
      <c r="VQG64" s="180"/>
      <c r="VQH64" s="180"/>
      <c r="VQI64" s="180"/>
      <c r="VQJ64" s="180"/>
      <c r="VQK64" s="180"/>
      <c r="VQL64" s="180"/>
      <c r="VQM64" s="180"/>
      <c r="VQN64" s="180"/>
      <c r="VQO64" s="180"/>
      <c r="VQP64" s="180"/>
      <c r="VQQ64" s="180"/>
      <c r="VQR64" s="180"/>
      <c r="VQS64" s="180"/>
      <c r="VQT64" s="180"/>
      <c r="VQU64" s="180"/>
      <c r="VQV64" s="180"/>
      <c r="VQW64" s="180"/>
      <c r="VQX64" s="180"/>
      <c r="VQY64" s="180"/>
      <c r="VQZ64" s="180"/>
      <c r="VRA64" s="180"/>
      <c r="VRB64" s="180"/>
      <c r="VRC64" s="180"/>
      <c r="VRD64" s="180"/>
      <c r="VRE64" s="180"/>
      <c r="VRF64" s="180"/>
      <c r="VRG64" s="180"/>
      <c r="VRH64" s="180"/>
      <c r="VRI64" s="180"/>
      <c r="VRJ64" s="180"/>
      <c r="VRK64" s="180"/>
      <c r="VRL64" s="180"/>
      <c r="VRM64" s="180"/>
      <c r="VRN64" s="180"/>
      <c r="VRO64" s="180"/>
      <c r="VRP64" s="180"/>
      <c r="VRQ64" s="180"/>
      <c r="VRR64" s="180"/>
      <c r="VRS64" s="180"/>
      <c r="VRT64" s="180"/>
      <c r="VRU64" s="180"/>
      <c r="VRV64" s="180"/>
      <c r="VRW64" s="180"/>
      <c r="VRX64" s="180"/>
      <c r="VRY64" s="180"/>
      <c r="VRZ64" s="180"/>
      <c r="VSA64" s="180"/>
      <c r="VSB64" s="180"/>
      <c r="VSC64" s="180"/>
      <c r="VSD64" s="180"/>
      <c r="VSE64" s="180"/>
      <c r="VSF64" s="180"/>
      <c r="VSG64" s="180"/>
      <c r="VSH64" s="180"/>
      <c r="VSI64" s="180"/>
      <c r="VSJ64" s="180"/>
      <c r="VSK64" s="180"/>
      <c r="VSL64" s="180"/>
      <c r="VSM64" s="180"/>
      <c r="VSN64" s="180"/>
      <c r="VSO64" s="180"/>
      <c r="VSP64" s="180"/>
      <c r="VSQ64" s="180"/>
      <c r="VSR64" s="180"/>
      <c r="VSS64" s="180"/>
      <c r="VST64" s="180"/>
      <c r="VSU64" s="180"/>
      <c r="VSV64" s="180"/>
      <c r="VSW64" s="180"/>
      <c r="VSX64" s="180"/>
      <c r="VSY64" s="180"/>
      <c r="VSZ64" s="180"/>
      <c r="VTA64" s="180"/>
      <c r="VTB64" s="180"/>
      <c r="VTC64" s="180"/>
      <c r="VTD64" s="180"/>
      <c r="VTE64" s="180"/>
      <c r="VTF64" s="180"/>
      <c r="VTG64" s="180"/>
      <c r="VTH64" s="180"/>
      <c r="VTI64" s="180"/>
      <c r="VTJ64" s="180"/>
      <c r="VTK64" s="180"/>
      <c r="VTL64" s="180"/>
      <c r="VTM64" s="180"/>
      <c r="VTN64" s="180"/>
      <c r="VTO64" s="180"/>
      <c r="VTP64" s="180"/>
      <c r="VTQ64" s="180"/>
      <c r="VTR64" s="180"/>
      <c r="VTS64" s="180"/>
      <c r="VTT64" s="180"/>
      <c r="VTU64" s="180"/>
      <c r="VTV64" s="180"/>
      <c r="VTW64" s="180"/>
      <c r="VTX64" s="180"/>
      <c r="VTY64" s="180"/>
      <c r="VTZ64" s="180"/>
      <c r="VUA64" s="180"/>
      <c r="VUB64" s="180"/>
      <c r="VUC64" s="180"/>
      <c r="VUD64" s="180"/>
      <c r="VUE64" s="180"/>
      <c r="VUF64" s="180"/>
      <c r="VUG64" s="180"/>
      <c r="VUH64" s="180"/>
      <c r="VUI64" s="180"/>
      <c r="VUJ64" s="180"/>
      <c r="VUK64" s="180"/>
      <c r="VUL64" s="180"/>
      <c r="VUM64" s="180"/>
      <c r="VUN64" s="180"/>
      <c r="VUO64" s="180"/>
      <c r="VUP64" s="180"/>
      <c r="VUQ64" s="180"/>
      <c r="VUR64" s="180"/>
      <c r="VUS64" s="180"/>
      <c r="VUT64" s="180"/>
      <c r="VUU64" s="180"/>
      <c r="VUV64" s="180"/>
      <c r="VUW64" s="180"/>
      <c r="VUX64" s="180"/>
      <c r="VUY64" s="180"/>
      <c r="VUZ64" s="180"/>
      <c r="VVA64" s="180"/>
      <c r="VVB64" s="180"/>
      <c r="VVC64" s="180"/>
      <c r="VVD64" s="180"/>
      <c r="VVE64" s="180"/>
      <c r="VVF64" s="180"/>
      <c r="VVG64" s="180"/>
      <c r="VVH64" s="180"/>
      <c r="VVI64" s="180"/>
      <c r="VVJ64" s="180"/>
      <c r="VVK64" s="180"/>
      <c r="VVL64" s="180"/>
      <c r="VVM64" s="180"/>
      <c r="VVN64" s="180"/>
      <c r="VVO64" s="180"/>
      <c r="VVP64" s="180"/>
      <c r="VVQ64" s="180"/>
      <c r="VVR64" s="180"/>
      <c r="VVS64" s="180"/>
      <c r="VVT64" s="180"/>
      <c r="VVU64" s="180"/>
      <c r="VVV64" s="180"/>
      <c r="VVW64" s="180"/>
      <c r="VVX64" s="180"/>
      <c r="VVY64" s="180"/>
      <c r="VVZ64" s="180"/>
      <c r="VWA64" s="180"/>
      <c r="VWB64" s="180"/>
      <c r="VWC64" s="180"/>
      <c r="VWD64" s="180"/>
      <c r="VWE64" s="180"/>
      <c r="VWF64" s="180"/>
      <c r="VWG64" s="180"/>
      <c r="VWH64" s="180"/>
      <c r="VWI64" s="180"/>
      <c r="VWJ64" s="180"/>
      <c r="VWK64" s="180"/>
      <c r="VWL64" s="180"/>
      <c r="VWM64" s="180"/>
      <c r="VWN64" s="180"/>
      <c r="VWO64" s="180"/>
      <c r="VWP64" s="180"/>
      <c r="VWQ64" s="180"/>
      <c r="VWR64" s="180"/>
      <c r="VWS64" s="180"/>
      <c r="VWT64" s="180"/>
      <c r="VWU64" s="180"/>
      <c r="VWV64" s="180"/>
      <c r="VWW64" s="180"/>
      <c r="VWX64" s="180"/>
      <c r="VWY64" s="180"/>
      <c r="VWZ64" s="180"/>
      <c r="VXA64" s="180"/>
      <c r="VXB64" s="180"/>
      <c r="VXC64" s="180"/>
      <c r="VXD64" s="180"/>
      <c r="VXE64" s="180"/>
      <c r="VXF64" s="180"/>
      <c r="VXG64" s="180"/>
      <c r="VXH64" s="180"/>
      <c r="VXI64" s="180"/>
      <c r="VXJ64" s="180"/>
      <c r="VXK64" s="180"/>
      <c r="VXL64" s="180"/>
      <c r="VXM64" s="180"/>
      <c r="VXN64" s="180"/>
      <c r="VXO64" s="180"/>
      <c r="VXP64" s="180"/>
      <c r="VXQ64" s="180"/>
      <c r="VXR64" s="180"/>
      <c r="VXS64" s="180"/>
      <c r="VXT64" s="180"/>
      <c r="VXU64" s="180"/>
      <c r="VXV64" s="180"/>
      <c r="VXW64" s="180"/>
      <c r="VXX64" s="180"/>
      <c r="VXY64" s="180"/>
      <c r="VXZ64" s="180"/>
      <c r="VYA64" s="180"/>
      <c r="VYB64" s="180"/>
      <c r="VYC64" s="180"/>
      <c r="VYD64" s="180"/>
      <c r="VYE64" s="180"/>
      <c r="VYF64" s="180"/>
      <c r="VYG64" s="180"/>
      <c r="VYH64" s="180"/>
      <c r="VYI64" s="180"/>
      <c r="VYJ64" s="180"/>
      <c r="VYK64" s="180"/>
      <c r="VYL64" s="180"/>
      <c r="VYM64" s="180"/>
      <c r="VYN64" s="180"/>
      <c r="VYO64" s="180"/>
      <c r="VYP64" s="180"/>
      <c r="VYQ64" s="180"/>
      <c r="VYR64" s="180"/>
      <c r="VYS64" s="180"/>
      <c r="VYT64" s="180"/>
      <c r="VYU64" s="180"/>
      <c r="VYV64" s="180"/>
      <c r="VYW64" s="180"/>
      <c r="VYX64" s="180"/>
      <c r="VYY64" s="180"/>
      <c r="VYZ64" s="180"/>
      <c r="VZA64" s="180"/>
      <c r="VZB64" s="180"/>
      <c r="VZC64" s="180"/>
      <c r="VZD64" s="180"/>
      <c r="VZE64" s="180"/>
      <c r="VZF64" s="180"/>
      <c r="VZG64" s="180"/>
      <c r="VZH64" s="180"/>
      <c r="VZI64" s="180"/>
      <c r="VZJ64" s="180"/>
      <c r="VZK64" s="180"/>
      <c r="VZL64" s="180"/>
      <c r="VZM64" s="180"/>
      <c r="VZN64" s="180"/>
      <c r="VZO64" s="180"/>
      <c r="VZP64" s="180"/>
      <c r="VZQ64" s="180"/>
      <c r="VZR64" s="180"/>
      <c r="VZS64" s="180"/>
      <c r="VZT64" s="180"/>
      <c r="VZU64" s="180"/>
      <c r="VZV64" s="180"/>
      <c r="VZW64" s="180"/>
      <c r="VZX64" s="180"/>
      <c r="VZY64" s="180"/>
      <c r="VZZ64" s="180"/>
      <c r="WAA64" s="180"/>
      <c r="WAB64" s="180"/>
      <c r="WAC64" s="180"/>
      <c r="WAD64" s="180"/>
      <c r="WAE64" s="180"/>
      <c r="WAF64" s="180"/>
      <c r="WAG64" s="180"/>
      <c r="WAH64" s="180"/>
      <c r="WAI64" s="180"/>
      <c r="WAJ64" s="180"/>
      <c r="WAK64" s="180"/>
      <c r="WAL64" s="180"/>
      <c r="WAM64" s="180"/>
      <c r="WAN64" s="180"/>
      <c r="WAO64" s="180"/>
      <c r="WAP64" s="180"/>
      <c r="WAQ64" s="180"/>
      <c r="WAR64" s="180"/>
      <c r="WAS64" s="180"/>
      <c r="WAT64" s="180"/>
      <c r="WAU64" s="180"/>
      <c r="WAV64" s="180"/>
      <c r="WAW64" s="180"/>
      <c r="WAX64" s="180"/>
      <c r="WAY64" s="180"/>
      <c r="WAZ64" s="180"/>
      <c r="WBA64" s="180"/>
      <c r="WBB64" s="180"/>
      <c r="WBC64" s="180"/>
      <c r="WBD64" s="180"/>
      <c r="WBE64" s="180"/>
      <c r="WBF64" s="180"/>
      <c r="WBG64" s="180"/>
      <c r="WBH64" s="180"/>
      <c r="WBI64" s="180"/>
      <c r="WBJ64" s="180"/>
      <c r="WBK64" s="180"/>
      <c r="WBL64" s="180"/>
      <c r="WBM64" s="180"/>
      <c r="WBN64" s="180"/>
      <c r="WBO64" s="180"/>
      <c r="WBP64" s="180"/>
      <c r="WBQ64" s="180"/>
      <c r="WBR64" s="180"/>
      <c r="WBS64" s="180"/>
      <c r="WBT64" s="180"/>
      <c r="WBU64" s="180"/>
      <c r="WBV64" s="180"/>
      <c r="WBW64" s="180"/>
      <c r="WBX64" s="180"/>
      <c r="WBY64" s="180"/>
      <c r="WBZ64" s="180"/>
      <c r="WCA64" s="180"/>
      <c r="WCB64" s="180"/>
      <c r="WCC64" s="180"/>
      <c r="WCD64" s="180"/>
      <c r="WCE64" s="180"/>
      <c r="WCF64" s="180"/>
      <c r="WCG64" s="180"/>
      <c r="WCH64" s="180"/>
      <c r="WCI64" s="180"/>
      <c r="WCJ64" s="180"/>
      <c r="WCK64" s="180"/>
      <c r="WCL64" s="180"/>
      <c r="WCM64" s="180"/>
      <c r="WCN64" s="180"/>
      <c r="WCO64" s="180"/>
      <c r="WCP64" s="180"/>
      <c r="WCQ64" s="180"/>
      <c r="WCR64" s="180"/>
      <c r="WCS64" s="180"/>
      <c r="WCT64" s="180"/>
      <c r="WCU64" s="180"/>
      <c r="WCV64" s="180"/>
      <c r="WCW64" s="180"/>
      <c r="WCX64" s="180"/>
      <c r="WCY64" s="180"/>
      <c r="WCZ64" s="180"/>
      <c r="WDA64" s="180"/>
      <c r="WDB64" s="180"/>
      <c r="WDC64" s="180"/>
      <c r="WDD64" s="180"/>
      <c r="WDE64" s="180"/>
      <c r="WDF64" s="180"/>
      <c r="WDG64" s="180"/>
      <c r="WDH64" s="180"/>
      <c r="WDI64" s="180"/>
      <c r="WDJ64" s="180"/>
      <c r="WDK64" s="180"/>
      <c r="WDL64" s="180"/>
      <c r="WDM64" s="180"/>
      <c r="WDN64" s="180"/>
      <c r="WDO64" s="180"/>
      <c r="WDP64" s="180"/>
      <c r="WDQ64" s="180"/>
      <c r="WDR64" s="180"/>
      <c r="WDS64" s="180"/>
      <c r="WDT64" s="180"/>
      <c r="WDU64" s="180"/>
      <c r="WDV64" s="180"/>
      <c r="WDW64" s="180"/>
      <c r="WDX64" s="180"/>
      <c r="WDY64" s="180"/>
      <c r="WDZ64" s="180"/>
      <c r="WEA64" s="180"/>
      <c r="WEB64" s="180"/>
      <c r="WEC64" s="180"/>
      <c r="WED64" s="180"/>
      <c r="WEE64" s="180"/>
      <c r="WEF64" s="180"/>
      <c r="WEG64" s="180"/>
      <c r="WEH64" s="180"/>
      <c r="WEI64" s="180"/>
      <c r="WEJ64" s="180"/>
      <c r="WEK64" s="180"/>
      <c r="WEL64" s="180"/>
      <c r="WEM64" s="180"/>
      <c r="WEN64" s="180"/>
      <c r="WEO64" s="180"/>
      <c r="WEP64" s="180"/>
      <c r="WEQ64" s="180"/>
      <c r="WER64" s="180"/>
      <c r="WES64" s="180"/>
      <c r="WET64" s="180"/>
      <c r="WEU64" s="180"/>
      <c r="WEV64" s="180"/>
      <c r="WEW64" s="180"/>
      <c r="WEX64" s="180"/>
      <c r="WEY64" s="180"/>
      <c r="WEZ64" s="180"/>
      <c r="WFA64" s="180"/>
      <c r="WFB64" s="180"/>
      <c r="WFC64" s="180"/>
      <c r="WFD64" s="180"/>
      <c r="WFE64" s="180"/>
      <c r="WFF64" s="180"/>
      <c r="WFG64" s="180"/>
      <c r="WFH64" s="180"/>
      <c r="WFI64" s="180"/>
      <c r="WFJ64" s="180"/>
      <c r="WFK64" s="180"/>
      <c r="WFL64" s="180"/>
      <c r="WFM64" s="180"/>
      <c r="WFN64" s="180"/>
      <c r="WFO64" s="180"/>
      <c r="WFP64" s="180"/>
      <c r="WFQ64" s="180"/>
      <c r="WFR64" s="180"/>
      <c r="WFS64" s="180"/>
      <c r="WFT64" s="180"/>
      <c r="WFU64" s="180"/>
      <c r="WFV64" s="180"/>
      <c r="WFW64" s="180"/>
      <c r="WFX64" s="180"/>
      <c r="WFY64" s="180"/>
      <c r="WFZ64" s="180"/>
      <c r="WGA64" s="180"/>
      <c r="WGB64" s="180"/>
      <c r="WGC64" s="180"/>
      <c r="WGD64" s="180"/>
      <c r="WGE64" s="180"/>
      <c r="WGF64" s="180"/>
      <c r="WGG64" s="180"/>
      <c r="WGH64" s="180"/>
      <c r="WGI64" s="180"/>
      <c r="WGJ64" s="180"/>
      <c r="WGK64" s="180"/>
      <c r="WGL64" s="180"/>
      <c r="WGM64" s="180"/>
      <c r="WGN64" s="180"/>
      <c r="WGO64" s="180"/>
      <c r="WGP64" s="180"/>
      <c r="WGQ64" s="180"/>
      <c r="WGR64" s="180"/>
      <c r="WGS64" s="180"/>
      <c r="WGT64" s="180"/>
      <c r="WGU64" s="180"/>
      <c r="WGV64" s="180"/>
      <c r="WGW64" s="180"/>
      <c r="WGX64" s="180"/>
      <c r="WGY64" s="180"/>
      <c r="WGZ64" s="180"/>
      <c r="WHA64" s="180"/>
      <c r="WHB64" s="180"/>
      <c r="WHC64" s="180"/>
      <c r="WHD64" s="180"/>
      <c r="WHE64" s="180"/>
      <c r="WHF64" s="180"/>
      <c r="WHG64" s="180"/>
      <c r="WHH64" s="180"/>
      <c r="WHI64" s="180"/>
      <c r="WHJ64" s="180"/>
      <c r="WHK64" s="180"/>
      <c r="WHL64" s="180"/>
      <c r="WHM64" s="180"/>
      <c r="WHN64" s="180"/>
      <c r="WHO64" s="180"/>
      <c r="WHP64" s="180"/>
      <c r="WHQ64" s="180"/>
      <c r="WHR64" s="180"/>
      <c r="WHS64" s="180"/>
      <c r="WHT64" s="180"/>
      <c r="WHU64" s="180"/>
      <c r="WHV64" s="180"/>
      <c r="WHW64" s="180"/>
      <c r="WHX64" s="180"/>
      <c r="WHY64" s="180"/>
      <c r="WHZ64" s="180"/>
      <c r="WIA64" s="180"/>
      <c r="WIB64" s="180"/>
      <c r="WIC64" s="180"/>
      <c r="WID64" s="180"/>
      <c r="WIE64" s="180"/>
      <c r="WIF64" s="180"/>
      <c r="WIG64" s="180"/>
      <c r="WIH64" s="180"/>
      <c r="WII64" s="180"/>
      <c r="WIJ64" s="180"/>
      <c r="WIK64" s="180"/>
      <c r="WIL64" s="180"/>
      <c r="WIM64" s="180"/>
      <c r="WIN64" s="180"/>
      <c r="WIO64" s="180"/>
      <c r="WIP64" s="180"/>
      <c r="WIQ64" s="180"/>
      <c r="WIR64" s="180"/>
      <c r="WIS64" s="180"/>
      <c r="WIT64" s="180"/>
      <c r="WIU64" s="180"/>
      <c r="WIV64" s="180"/>
      <c r="WIW64" s="180"/>
      <c r="WIX64" s="180"/>
      <c r="WIY64" s="180"/>
      <c r="WIZ64" s="180"/>
      <c r="WJA64" s="180"/>
      <c r="WJB64" s="180"/>
      <c r="WJC64" s="180"/>
      <c r="WJD64" s="180"/>
      <c r="WJE64" s="180"/>
      <c r="WJF64" s="180"/>
      <c r="WJG64" s="180"/>
      <c r="WJH64" s="180"/>
      <c r="WJI64" s="180"/>
      <c r="WJJ64" s="180"/>
      <c r="WJK64" s="180"/>
      <c r="WJL64" s="180"/>
      <c r="WJM64" s="180"/>
      <c r="WJN64" s="180"/>
      <c r="WJO64" s="180"/>
      <c r="WJP64" s="180"/>
      <c r="WJQ64" s="180"/>
      <c r="WJR64" s="180"/>
      <c r="WJS64" s="180"/>
      <c r="WJT64" s="180"/>
      <c r="WJU64" s="180"/>
      <c r="WJV64" s="180"/>
      <c r="WJW64" s="180"/>
      <c r="WJX64" s="180"/>
      <c r="WJY64" s="180"/>
      <c r="WJZ64" s="180"/>
      <c r="WKA64" s="180"/>
      <c r="WKB64" s="180"/>
      <c r="WKC64" s="180"/>
      <c r="WKD64" s="180"/>
      <c r="WKE64" s="180"/>
      <c r="WKF64" s="180"/>
      <c r="WKG64" s="180"/>
      <c r="WKH64" s="180"/>
      <c r="WKI64" s="180"/>
      <c r="WKJ64" s="180"/>
      <c r="WKK64" s="180"/>
      <c r="WKL64" s="180"/>
      <c r="WKM64" s="180"/>
      <c r="WKN64" s="180"/>
      <c r="WKO64" s="180"/>
      <c r="WKP64" s="180"/>
      <c r="WKQ64" s="180"/>
      <c r="WKR64" s="180"/>
      <c r="WKS64" s="180"/>
      <c r="WKT64" s="180"/>
      <c r="WKU64" s="180"/>
      <c r="WKV64" s="180"/>
      <c r="WKW64" s="180"/>
      <c r="WKX64" s="180"/>
      <c r="WKY64" s="180"/>
      <c r="WKZ64" s="180"/>
      <c r="WLA64" s="180"/>
      <c r="WLB64" s="180"/>
      <c r="WLC64" s="180"/>
      <c r="WLD64" s="180"/>
      <c r="WLE64" s="180"/>
      <c r="WLF64" s="180"/>
      <c r="WLG64" s="180"/>
      <c r="WLH64" s="180"/>
      <c r="WLI64" s="180"/>
      <c r="WLJ64" s="180"/>
      <c r="WLK64" s="180"/>
      <c r="WLL64" s="180"/>
      <c r="WLM64" s="180"/>
      <c r="WLN64" s="180"/>
      <c r="WLO64" s="180"/>
      <c r="WLP64" s="180"/>
      <c r="WLQ64" s="180"/>
      <c r="WLR64" s="180"/>
      <c r="WLS64" s="180"/>
      <c r="WLT64" s="180"/>
      <c r="WLU64" s="180"/>
      <c r="WLV64" s="180"/>
      <c r="WLW64" s="180"/>
      <c r="WLX64" s="180"/>
      <c r="WLY64" s="180"/>
      <c r="WLZ64" s="180"/>
      <c r="WMA64" s="180"/>
      <c r="WMB64" s="180"/>
      <c r="WMC64" s="180"/>
      <c r="WMD64" s="180"/>
      <c r="WME64" s="180"/>
      <c r="WMF64" s="180"/>
      <c r="WMG64" s="180"/>
      <c r="WMH64" s="180"/>
      <c r="WMI64" s="180"/>
      <c r="WMJ64" s="180"/>
      <c r="WMK64" s="180"/>
      <c r="WML64" s="180"/>
      <c r="WMM64" s="180"/>
      <c r="WMN64" s="180"/>
      <c r="WMO64" s="180"/>
      <c r="WMP64" s="180"/>
      <c r="WMQ64" s="180"/>
      <c r="WMR64" s="180"/>
      <c r="WMS64" s="180"/>
      <c r="WMT64" s="180"/>
      <c r="WMU64" s="180"/>
      <c r="WMV64" s="180"/>
      <c r="WMW64" s="180"/>
      <c r="WMX64" s="180"/>
      <c r="WMY64" s="180"/>
      <c r="WMZ64" s="180"/>
      <c r="WNA64" s="180"/>
      <c r="WNB64" s="180"/>
      <c r="WNC64" s="180"/>
      <c r="WND64" s="180"/>
      <c r="WNE64" s="180"/>
      <c r="WNF64" s="180"/>
      <c r="WNG64" s="180"/>
      <c r="WNH64" s="180"/>
      <c r="WNI64" s="180"/>
      <c r="WNJ64" s="180"/>
      <c r="WNK64" s="180"/>
      <c r="WNL64" s="180"/>
      <c r="WNM64" s="180"/>
      <c r="WNN64" s="180"/>
      <c r="WNO64" s="180"/>
      <c r="WNP64" s="180"/>
      <c r="WNQ64" s="180"/>
      <c r="WNR64" s="180"/>
      <c r="WNS64" s="180"/>
      <c r="WNT64" s="180"/>
      <c r="WNU64" s="180"/>
      <c r="WNV64" s="180"/>
      <c r="WNW64" s="180"/>
      <c r="WNX64" s="180"/>
      <c r="WNY64" s="180"/>
      <c r="WNZ64" s="180"/>
      <c r="WOA64" s="180"/>
      <c r="WOB64" s="180"/>
      <c r="WOC64" s="180"/>
      <c r="WOD64" s="180"/>
      <c r="WOE64" s="180"/>
      <c r="WOF64" s="180"/>
      <c r="WOG64" s="180"/>
      <c r="WOH64" s="180"/>
      <c r="WOI64" s="180"/>
      <c r="WOJ64" s="180"/>
      <c r="WOK64" s="180"/>
      <c r="WOL64" s="180"/>
      <c r="WOM64" s="180"/>
      <c r="WON64" s="180"/>
      <c r="WOO64" s="180"/>
      <c r="WOP64" s="180"/>
      <c r="WOQ64" s="180"/>
      <c r="WOR64" s="180"/>
      <c r="WOS64" s="180"/>
      <c r="WOT64" s="180"/>
      <c r="WOU64" s="180"/>
      <c r="WOV64" s="180"/>
      <c r="WOW64" s="180"/>
      <c r="WOX64" s="180"/>
      <c r="WOY64" s="180"/>
      <c r="WOZ64" s="180"/>
      <c r="WPA64" s="180"/>
      <c r="WPB64" s="180"/>
      <c r="WPC64" s="180"/>
      <c r="WPD64" s="180"/>
      <c r="WPE64" s="180"/>
      <c r="WPF64" s="180"/>
      <c r="WPG64" s="180"/>
      <c r="WPH64" s="180"/>
      <c r="WPI64" s="180"/>
      <c r="WPJ64" s="180"/>
      <c r="WPK64" s="180"/>
      <c r="WPL64" s="180"/>
      <c r="WPM64" s="180"/>
      <c r="WPN64" s="180"/>
      <c r="WPO64" s="180"/>
      <c r="WPP64" s="180"/>
      <c r="WPQ64" s="180"/>
      <c r="WPR64" s="180"/>
      <c r="WPS64" s="180"/>
      <c r="WPT64" s="180"/>
      <c r="WPU64" s="180"/>
      <c r="WPV64" s="180"/>
      <c r="WPW64" s="180"/>
      <c r="WPX64" s="180"/>
      <c r="WPY64" s="180"/>
      <c r="WPZ64" s="180"/>
      <c r="WQA64" s="180"/>
      <c r="WQB64" s="180"/>
      <c r="WQC64" s="180"/>
      <c r="WQD64" s="180"/>
      <c r="WQE64" s="180"/>
      <c r="WQF64" s="180"/>
      <c r="WQG64" s="180"/>
      <c r="WQH64" s="180"/>
      <c r="WQI64" s="180"/>
      <c r="WQJ64" s="180"/>
      <c r="WQK64" s="180"/>
      <c r="WQL64" s="180"/>
      <c r="WQM64" s="180"/>
      <c r="WQN64" s="180"/>
      <c r="WQO64" s="180"/>
      <c r="WQP64" s="180"/>
      <c r="WQQ64" s="180"/>
      <c r="WQR64" s="180"/>
      <c r="WQS64" s="180"/>
      <c r="WQT64" s="180"/>
      <c r="WQU64" s="180"/>
      <c r="WQV64" s="180"/>
      <c r="WQW64" s="180"/>
      <c r="WQX64" s="180"/>
      <c r="WQY64" s="180"/>
      <c r="WQZ64" s="180"/>
      <c r="WRA64" s="180"/>
      <c r="WRB64" s="180"/>
      <c r="WRC64" s="180"/>
      <c r="WRD64" s="180"/>
      <c r="WRE64" s="180"/>
      <c r="WRF64" s="180"/>
      <c r="WRG64" s="180"/>
      <c r="WRH64" s="180"/>
      <c r="WRI64" s="180"/>
      <c r="WRJ64" s="180"/>
      <c r="WRK64" s="180"/>
      <c r="WRL64" s="180"/>
      <c r="WRM64" s="180"/>
      <c r="WRN64" s="180"/>
      <c r="WRO64" s="180"/>
      <c r="WRP64" s="180"/>
      <c r="WRQ64" s="180"/>
      <c r="WRR64" s="180"/>
      <c r="WRS64" s="180"/>
      <c r="WRT64" s="180"/>
      <c r="WRU64" s="180"/>
      <c r="WRV64" s="180"/>
      <c r="WRW64" s="180"/>
      <c r="WRX64" s="180"/>
      <c r="WRY64" s="180"/>
      <c r="WRZ64" s="180"/>
      <c r="WSA64" s="180"/>
      <c r="WSB64" s="180"/>
      <c r="WSC64" s="180"/>
      <c r="WSD64" s="180"/>
      <c r="WSE64" s="180"/>
      <c r="WSF64" s="180"/>
      <c r="WSG64" s="180"/>
      <c r="WSH64" s="180"/>
      <c r="WSI64" s="180"/>
      <c r="WSJ64" s="180"/>
      <c r="WSK64" s="180"/>
      <c r="WSL64" s="180"/>
      <c r="WSM64" s="180"/>
      <c r="WSN64" s="180"/>
      <c r="WSO64" s="180"/>
      <c r="WSP64" s="180"/>
      <c r="WSQ64" s="180"/>
      <c r="WSR64" s="180"/>
      <c r="WSS64" s="180"/>
      <c r="WST64" s="180"/>
      <c r="WSU64" s="180"/>
      <c r="WSV64" s="180"/>
      <c r="WSW64" s="180"/>
      <c r="WSX64" s="180"/>
      <c r="WSY64" s="180"/>
      <c r="WSZ64" s="180"/>
      <c r="WTA64" s="180"/>
      <c r="WTB64" s="180"/>
      <c r="WTC64" s="180"/>
      <c r="WTD64" s="180"/>
      <c r="WTE64" s="180"/>
      <c r="WTF64" s="180"/>
      <c r="WTG64" s="180"/>
      <c r="WTH64" s="180"/>
      <c r="WTI64" s="180"/>
      <c r="WTJ64" s="180"/>
      <c r="WTK64" s="180"/>
      <c r="WTL64" s="180"/>
      <c r="WTM64" s="180"/>
      <c r="WTN64" s="180"/>
      <c r="WTO64" s="180"/>
      <c r="WTP64" s="180"/>
      <c r="WTQ64" s="180"/>
      <c r="WTR64" s="180"/>
      <c r="WTS64" s="180"/>
      <c r="WTT64" s="180"/>
      <c r="WTU64" s="180"/>
      <c r="WTV64" s="180"/>
      <c r="WTW64" s="180"/>
      <c r="WTX64" s="180"/>
      <c r="WTY64" s="180"/>
      <c r="WTZ64" s="180"/>
      <c r="WUA64" s="180"/>
      <c r="WUB64" s="180"/>
      <c r="WUC64" s="180"/>
      <c r="WUD64" s="180"/>
      <c r="WUE64" s="180"/>
      <c r="WUF64" s="180"/>
      <c r="WUG64" s="180"/>
      <c r="WUH64" s="180"/>
      <c r="WUI64" s="180"/>
      <c r="WUJ64" s="180"/>
      <c r="WUK64" s="180"/>
      <c r="WUL64" s="180"/>
      <c r="WUM64" s="180"/>
      <c r="WUN64" s="180"/>
      <c r="WUO64" s="180"/>
      <c r="WUP64" s="180"/>
      <c r="WUQ64" s="180"/>
      <c r="WUR64" s="180"/>
      <c r="WUS64" s="180"/>
      <c r="WUT64" s="180"/>
      <c r="WUU64" s="180"/>
      <c r="WUV64" s="180"/>
      <c r="WUW64" s="180"/>
      <c r="WUX64" s="180"/>
      <c r="WUY64" s="180"/>
      <c r="WUZ64" s="180"/>
      <c r="WVA64" s="180"/>
      <c r="WVB64" s="180"/>
      <c r="WVC64" s="180"/>
      <c r="WVD64" s="180"/>
      <c r="WVE64" s="180"/>
      <c r="WVF64" s="180"/>
      <c r="WVG64" s="180"/>
      <c r="WVH64" s="180"/>
      <c r="WVI64" s="180"/>
      <c r="WVJ64" s="180"/>
      <c r="WVK64" s="180"/>
      <c r="WVL64" s="180"/>
      <c r="WVM64" s="180"/>
      <c r="WVN64" s="180"/>
      <c r="WVO64" s="180"/>
      <c r="WVP64" s="180"/>
      <c r="WVQ64" s="180"/>
      <c r="WVR64" s="180"/>
      <c r="WVS64" s="180"/>
      <c r="WVT64" s="180"/>
      <c r="WVU64" s="180"/>
      <c r="WVV64" s="180"/>
      <c r="WVW64" s="180"/>
      <c r="WVX64" s="180"/>
      <c r="WVY64" s="180"/>
      <c r="WVZ64" s="180"/>
      <c r="WWA64" s="180"/>
      <c r="WWB64" s="180"/>
      <c r="WWC64" s="180"/>
      <c r="WWD64" s="180"/>
      <c r="WWE64" s="180"/>
      <c r="WWF64" s="180"/>
      <c r="WWG64" s="180"/>
      <c r="WWH64" s="180"/>
      <c r="WWI64" s="180"/>
      <c r="WWJ64" s="180"/>
      <c r="WWK64" s="180"/>
      <c r="WWL64" s="180"/>
      <c r="WWM64" s="180"/>
      <c r="WWN64" s="180"/>
      <c r="WWO64" s="180"/>
      <c r="WWP64" s="180"/>
      <c r="WWQ64" s="180"/>
      <c r="WWR64" s="180"/>
      <c r="WWS64" s="180"/>
      <c r="WWT64" s="180"/>
      <c r="WWU64" s="180"/>
      <c r="WWV64" s="180"/>
      <c r="WWW64" s="180"/>
      <c r="WWX64" s="180"/>
      <c r="WWY64" s="180"/>
      <c r="WWZ64" s="180"/>
      <c r="WXA64" s="180"/>
      <c r="WXB64" s="180"/>
      <c r="WXC64" s="180"/>
      <c r="WXD64" s="180"/>
      <c r="WXE64" s="180"/>
      <c r="WXF64" s="180"/>
      <c r="WXG64" s="180"/>
      <c r="WXH64" s="180"/>
      <c r="WXI64" s="180"/>
      <c r="WXJ64" s="180"/>
      <c r="WXK64" s="180"/>
      <c r="WXL64" s="180"/>
      <c r="WXM64" s="180"/>
      <c r="WXN64" s="180"/>
      <c r="WXO64" s="180"/>
      <c r="WXP64" s="180"/>
      <c r="WXQ64" s="180"/>
      <c r="WXR64" s="180"/>
      <c r="WXS64" s="180"/>
      <c r="WXT64" s="180"/>
      <c r="WXU64" s="180"/>
      <c r="WXV64" s="180"/>
      <c r="WXW64" s="180"/>
      <c r="WXX64" s="180"/>
      <c r="WXY64" s="180"/>
      <c r="WXZ64" s="180"/>
      <c r="WYA64" s="180"/>
      <c r="WYB64" s="180"/>
      <c r="WYC64" s="180"/>
      <c r="WYD64" s="180"/>
      <c r="WYE64" s="180"/>
      <c r="WYF64" s="180"/>
      <c r="WYG64" s="180"/>
      <c r="WYH64" s="180"/>
      <c r="WYI64" s="180"/>
      <c r="WYJ64" s="180"/>
      <c r="WYK64" s="180"/>
      <c r="WYL64" s="180"/>
      <c r="WYM64" s="180"/>
      <c r="WYN64" s="180"/>
      <c r="WYO64" s="180"/>
      <c r="WYP64" s="180"/>
      <c r="WYQ64" s="180"/>
      <c r="WYR64" s="180"/>
      <c r="WYS64" s="180"/>
      <c r="WYT64" s="180"/>
      <c r="WYU64" s="180"/>
      <c r="WYV64" s="180"/>
      <c r="WYW64" s="180"/>
      <c r="WYX64" s="180"/>
      <c r="WYY64" s="180"/>
      <c r="WYZ64" s="180"/>
      <c r="WZA64" s="180"/>
      <c r="WZB64" s="180"/>
      <c r="WZC64" s="180"/>
      <c r="WZD64" s="180"/>
      <c r="WZE64" s="180"/>
      <c r="WZF64" s="180"/>
      <c r="WZG64" s="180"/>
      <c r="WZH64" s="180"/>
      <c r="WZI64" s="180"/>
      <c r="WZJ64" s="180"/>
      <c r="WZK64" s="180"/>
      <c r="WZL64" s="180"/>
      <c r="WZM64" s="180"/>
      <c r="WZN64" s="180"/>
      <c r="WZO64" s="180"/>
      <c r="WZP64" s="180"/>
      <c r="WZQ64" s="180"/>
      <c r="WZR64" s="180"/>
      <c r="WZS64" s="180"/>
      <c r="WZT64" s="180"/>
      <c r="WZU64" s="180"/>
      <c r="WZV64" s="180"/>
      <c r="WZW64" s="180"/>
      <c r="WZX64" s="180"/>
      <c r="WZY64" s="180"/>
      <c r="WZZ64" s="180"/>
      <c r="XAA64" s="180"/>
      <c r="XAB64" s="180"/>
      <c r="XAC64" s="180"/>
      <c r="XAD64" s="180"/>
      <c r="XAE64" s="180"/>
      <c r="XAF64" s="180"/>
      <c r="XAG64" s="180"/>
      <c r="XAH64" s="180"/>
      <c r="XAI64" s="180"/>
      <c r="XAJ64" s="180"/>
      <c r="XAK64" s="180"/>
      <c r="XAL64" s="180"/>
      <c r="XAM64" s="180"/>
      <c r="XAN64" s="180"/>
      <c r="XAO64" s="180"/>
      <c r="XAP64" s="180"/>
      <c r="XAQ64" s="180"/>
      <c r="XAR64" s="180"/>
      <c r="XAS64" s="180"/>
      <c r="XAT64" s="180"/>
      <c r="XAU64" s="180"/>
      <c r="XAV64" s="180"/>
      <c r="XAW64" s="180"/>
      <c r="XAX64" s="180"/>
      <c r="XAY64" s="180"/>
      <c r="XAZ64" s="180"/>
      <c r="XBA64" s="180"/>
      <c r="XBB64" s="180"/>
      <c r="XBC64" s="180"/>
      <c r="XBD64" s="180"/>
      <c r="XBE64" s="180"/>
      <c r="XBF64" s="180"/>
      <c r="XBG64" s="180"/>
      <c r="XBH64" s="180"/>
      <c r="XBI64" s="180"/>
      <c r="XBJ64" s="180"/>
      <c r="XBK64" s="180"/>
      <c r="XBL64" s="180"/>
      <c r="XBM64" s="180"/>
      <c r="XBN64" s="180"/>
      <c r="XBO64" s="180"/>
      <c r="XBP64" s="180"/>
      <c r="XBQ64" s="180"/>
      <c r="XBR64" s="180"/>
      <c r="XBS64" s="180"/>
      <c r="XBT64" s="180"/>
      <c r="XBU64" s="180"/>
      <c r="XBV64" s="180"/>
      <c r="XBW64" s="180"/>
      <c r="XBX64" s="180"/>
      <c r="XBY64" s="180"/>
      <c r="XBZ64" s="180"/>
      <c r="XCA64" s="180"/>
      <c r="XCB64" s="180"/>
      <c r="XCC64" s="180"/>
      <c r="XCD64" s="180"/>
      <c r="XCE64" s="180"/>
      <c r="XCF64" s="180"/>
      <c r="XCG64" s="180"/>
      <c r="XCH64" s="180"/>
      <c r="XCI64" s="180"/>
      <c r="XCJ64" s="180"/>
      <c r="XCK64" s="180"/>
      <c r="XCL64" s="180"/>
      <c r="XCM64" s="180"/>
      <c r="XCN64" s="180"/>
      <c r="XCO64" s="180"/>
      <c r="XCP64" s="180"/>
      <c r="XCQ64" s="180"/>
      <c r="XCR64" s="180"/>
      <c r="XCS64" s="180"/>
      <c r="XCT64" s="180"/>
      <c r="XCU64" s="180"/>
      <c r="XCV64" s="180"/>
      <c r="XCW64" s="180"/>
      <c r="XCX64" s="180"/>
      <c r="XCY64" s="180"/>
      <c r="XCZ64" s="180"/>
      <c r="XDA64" s="180"/>
      <c r="XDB64" s="180"/>
      <c r="XDC64" s="180"/>
      <c r="XDD64" s="180"/>
      <c r="XDE64" s="180"/>
      <c r="XDF64" s="180"/>
      <c r="XDG64" s="180"/>
      <c r="XDH64" s="180"/>
      <c r="XDI64" s="180"/>
      <c r="XDJ64" s="180"/>
      <c r="XDK64" s="180"/>
      <c r="XDL64" s="180"/>
      <c r="XDM64" s="180"/>
      <c r="XDN64" s="180"/>
      <c r="XDO64" s="180"/>
      <c r="XDP64" s="180"/>
      <c r="XDQ64" s="180"/>
      <c r="XDR64" s="180"/>
      <c r="XDS64" s="180"/>
      <c r="XDT64" s="180"/>
      <c r="XDU64" s="180"/>
      <c r="XDV64" s="180"/>
      <c r="XDW64" s="180"/>
      <c r="XDX64" s="180"/>
      <c r="XDY64" s="180"/>
      <c r="XDZ64" s="180"/>
      <c r="XEA64" s="180"/>
      <c r="XEB64" s="180"/>
      <c r="XEC64" s="180"/>
      <c r="XED64" s="180"/>
      <c r="XEE64" s="180"/>
      <c r="XEF64" s="180"/>
      <c r="XEG64" s="180"/>
      <c r="XEH64" s="180"/>
      <c r="XEI64" s="180"/>
      <c r="XEJ64" s="180"/>
      <c r="XEK64" s="180"/>
      <c r="XEL64" s="180"/>
      <c r="XEM64" s="180"/>
      <c r="XEN64" s="180"/>
      <c r="XEO64" s="180"/>
      <c r="XEP64" s="180"/>
      <c r="XEQ64" s="180"/>
      <c r="XER64" s="180"/>
      <c r="XES64" s="180"/>
      <c r="XET64" s="180"/>
      <c r="XEU64" s="180"/>
      <c r="XEV64" s="180"/>
      <c r="XEW64" s="180"/>
      <c r="XEX64" s="180"/>
      <c r="XEY64" s="180"/>
      <c r="XEZ64" s="180"/>
      <c r="XFA64" s="180"/>
      <c r="XFB64" s="180"/>
    </row>
    <row r="65" spans="1:264 16383:16384" s="180" customFormat="1" ht="16.5" customHeight="1">
      <c r="A65" s="211">
        <v>6.2</v>
      </c>
      <c r="B65" s="186" t="s">
        <v>127</v>
      </c>
      <c r="C65" s="173" t="s">
        <v>104</v>
      </c>
      <c r="D65" s="189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1398/10/16</v>
      </c>
      <c r="E65" s="136">
        <f t="shared" si="32"/>
        <v>13981016</v>
      </c>
      <c r="F65" s="189" t="str">
        <f>IF(N65=0,J_SUBDAY(D65,1,1)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0,J_SUBDAY(J_ADDDAY(D65,N65,1)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1,J_SUBDAY(J_ADDDAY(D65,N65+1,1)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2,J_SUBDAY(J_ADDDAY(D65,N65+2,1),1,1),J_SUBDAY(J_ADDDAY(D65,N65+3,1),1,1)))))</f>
        <v>1398/10/24</v>
      </c>
      <c r="G65" s="139">
        <f t="shared" si="33"/>
        <v>13981024</v>
      </c>
      <c r="H65" s="175">
        <v>1</v>
      </c>
      <c r="I65" s="176">
        <v>6.1</v>
      </c>
      <c r="J65" s="174">
        <f>j_WEEKDAY(D65,2)</f>
        <v>2</v>
      </c>
      <c r="K65" s="143">
        <f t="shared" si="36"/>
        <v>0</v>
      </c>
      <c r="L65" s="212">
        <f t="shared" si="37"/>
        <v>9</v>
      </c>
      <c r="M65" s="213">
        <v>0</v>
      </c>
      <c r="N65" s="179">
        <v>8</v>
      </c>
      <c r="O65" s="144">
        <f t="shared" ref="O65:O66" si="38">ROUNDDOWN(M65*L65,0)</f>
        <v>0</v>
      </c>
      <c r="P65" s="144">
        <f>VALUE(J_normdate(J_ADDDAY($D65,$O65,1)))</f>
        <v>13981016</v>
      </c>
      <c r="Q65" s="142">
        <f t="shared" ref="Q65:Q66" si="39">L65-O65</f>
        <v>9</v>
      </c>
      <c r="IY65" s="192">
        <v>2</v>
      </c>
      <c r="IZ65" s="192">
        <f>(TEXT(K65,"[m]")/60)*VLOOKUP(IY65,'Income Person-hours'!A$2:C$5,3,FALSE)</f>
        <v>0</v>
      </c>
      <c r="JA65" s="173"/>
      <c r="JB65" s="219"/>
      <c r="JC65" s="216"/>
      <c r="JD65" s="217">
        <f>SUM((TEXT(JA65,"[M]")/60)*'Income Person-hours'!$D$3,(TEXT(JB65,"[M]")/60)*'Income Person-hours'!$D$4,(TEXT(JC65,"[M]")/60)*'Income Person-hours'!$D$5)</f>
        <v>0</v>
      </c>
    </row>
    <row r="66" spans="1:264 16383:16384" s="180" customFormat="1" ht="16.5" customHeight="1">
      <c r="A66" s="211">
        <v>6.3</v>
      </c>
      <c r="B66" s="186" t="s">
        <v>110</v>
      </c>
      <c r="C66" s="173" t="s">
        <v>104</v>
      </c>
      <c r="D66" s="189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1398/10/25</v>
      </c>
      <c r="E66" s="136">
        <f t="shared" si="32"/>
        <v>13981025</v>
      </c>
      <c r="F66" s="189" t="str">
        <f>IF(N66=0,J_SUBDAY(D66,1,1)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0,J_SUBDAY(J_ADDDAY(D66,N66,1)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1,J_SUBDAY(J_ADDDAY(D66,N66+1,1)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2,J_SUBDAY(J_ADDDAY(D66,N66+2,1),1,1),J_SUBDAY(J_ADDDAY(D66,N66+3,1),1,1)))))</f>
        <v>1398/11/03</v>
      </c>
      <c r="G66" s="139">
        <f t="shared" si="33"/>
        <v>13981103</v>
      </c>
      <c r="H66" s="175">
        <v>1</v>
      </c>
      <c r="I66" s="176">
        <v>6.2</v>
      </c>
      <c r="J66" s="174">
        <f>j_WEEKDAY(D66,2)</f>
        <v>4</v>
      </c>
      <c r="K66" s="143">
        <f t="shared" si="36"/>
        <v>0</v>
      </c>
      <c r="L66" s="212">
        <f t="shared" si="37"/>
        <v>9</v>
      </c>
      <c r="M66" s="213">
        <v>0</v>
      </c>
      <c r="N66" s="179">
        <v>8</v>
      </c>
      <c r="O66" s="144">
        <f t="shared" si="38"/>
        <v>0</v>
      </c>
      <c r="P66" s="144">
        <f>VALUE(J_normdate(J_ADDDAY($D66,$O66,1)))</f>
        <v>13981025</v>
      </c>
      <c r="Q66" s="142">
        <f t="shared" si="39"/>
        <v>9</v>
      </c>
      <c r="IY66" s="192">
        <v>3</v>
      </c>
      <c r="IZ66" s="192">
        <f>(TEXT(K66,"[m]")/60)*VLOOKUP(IY66,'Income Person-hours'!A$2:C$5,3,FALSE)</f>
        <v>0</v>
      </c>
      <c r="JA66" s="173"/>
      <c r="JB66" s="219"/>
      <c r="JC66" s="173"/>
      <c r="JD66" s="217">
        <f>SUM((TEXT(JA66,"[M]")/60)*'Income Person-hours'!$D$3,(TEXT(JB66,"[M]")/60)*'Income Person-hours'!$D$4,(TEXT(JC66,"[M]")/60)*'Income Person-hours'!$D$5)</f>
        <v>0</v>
      </c>
    </row>
    <row r="67" spans="1:264 16383:16384" s="180" customFormat="1" ht="13.5">
      <c r="A67" s="188">
        <v>6.4</v>
      </c>
      <c r="B67" s="186" t="s">
        <v>166</v>
      </c>
      <c r="C67" s="173" t="s">
        <v>72</v>
      </c>
      <c r="D67" s="189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1398/10/02</v>
      </c>
      <c r="E67" s="136">
        <f t="shared" si="32"/>
        <v>13981002</v>
      </c>
      <c r="F67" s="189" t="str">
        <f>IF(N67=0,J_SUBDAY(D67,1,1)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0,J_SUBDAY(J_ADDDAY(D67,N67,1)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1,J_SUBDAY(J_ADDDAY(D67,N67+1,1)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2,J_SUBDAY(J_ADDDAY(D67,N67+2,1),1,1),J_SUBDAY(J_ADDDAY(D67,N67+3,1),1,1)))))</f>
        <v>1398/10/18</v>
      </c>
      <c r="G67" s="139">
        <f t="shared" si="33"/>
        <v>13981018</v>
      </c>
      <c r="H67" s="175">
        <v>1</v>
      </c>
      <c r="I67" s="176">
        <v>1.1000000000000001</v>
      </c>
      <c r="J67" s="174">
        <f>j_WEEKDAY(D67,2)</f>
        <v>2</v>
      </c>
      <c r="K67" s="143"/>
      <c r="L67" s="212">
        <f t="shared" si="37"/>
        <v>17</v>
      </c>
      <c r="M67" s="213">
        <v>0</v>
      </c>
      <c r="N67" s="179">
        <v>15</v>
      </c>
      <c r="O67" s="144"/>
      <c r="P67" s="144"/>
      <c r="Q67" s="142"/>
      <c r="IY67" s="192"/>
      <c r="IZ67" s="192"/>
      <c r="JA67" s="173"/>
      <c r="JB67" s="219"/>
      <c r="JC67" s="173"/>
      <c r="JD67" s="217"/>
    </row>
    <row r="68" spans="1:264 16383:16384" s="180" customFormat="1" ht="13.5">
      <c r="A68" s="211" t="s">
        <v>167</v>
      </c>
      <c r="B68" s="186" t="s">
        <v>168</v>
      </c>
      <c r="C68" s="173" t="s">
        <v>104</v>
      </c>
      <c r="D68" s="189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1398/10/19</v>
      </c>
      <c r="E68" s="136">
        <f t="shared" si="32"/>
        <v>13981019</v>
      </c>
      <c r="F68" s="189" t="str">
        <f>IF(N68=0,J_SUBDAY(D68,1,1)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0,J_SUBDAY(J_ADDDAY(D68,N68,1)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1,J_SUBDAY(J_ADDDAY(D68,N68+1,1)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2,J_SUBDAY(J_ADDDAY(D68,N68+2,1),1,1),J_SUBDAY(J_ADDDAY(D68,N68+3,1),1,1)))))</f>
        <v>1398/10/30</v>
      </c>
      <c r="G68" s="139">
        <f t="shared" si="33"/>
        <v>13981030</v>
      </c>
      <c r="H68" s="175">
        <v>1</v>
      </c>
      <c r="I68" s="176">
        <v>6.4</v>
      </c>
      <c r="J68" s="174">
        <f>j_WEEKDAY(D68,2)</f>
        <v>5</v>
      </c>
      <c r="K68" s="143"/>
      <c r="L68" s="212">
        <f t="shared" si="37"/>
        <v>12</v>
      </c>
      <c r="M68" s="213">
        <v>0</v>
      </c>
      <c r="N68" s="179">
        <v>10</v>
      </c>
      <c r="O68" s="144"/>
      <c r="P68" s="144"/>
      <c r="Q68" s="142"/>
      <c r="IY68" s="192"/>
      <c r="IZ68" s="192"/>
      <c r="JA68" s="173"/>
      <c r="JB68" s="219"/>
      <c r="JC68" s="173"/>
      <c r="JD68" s="217"/>
    </row>
    <row r="69" spans="1:264 16383:16384" s="276" customFormat="1" ht="13.5">
      <c r="A69" s="267">
        <v>7</v>
      </c>
      <c r="B69" s="290" t="s">
        <v>68</v>
      </c>
      <c r="C69" s="291"/>
      <c r="D69" s="270" t="str">
        <f>FDate(MIN(E70:E71))</f>
        <v>1398/11/12</v>
      </c>
      <c r="E69" s="136">
        <f t="shared" ref="E69:E77" si="40">VALUE(J_normdate(D69))</f>
        <v>13981112</v>
      </c>
      <c r="F69" s="270" t="str">
        <f>J_SUBDAY(J_ADDDAY(D69,L69,1),1,1)</f>
        <v>1398/11/15</v>
      </c>
      <c r="G69" s="139">
        <f t="shared" ref="G69:G77" si="41">VALUE(J_normdate(F69))</f>
        <v>13981115</v>
      </c>
      <c r="H69" s="282"/>
      <c r="I69" s="283"/>
      <c r="J69" s="270">
        <f>j_WEEKDAY(D69,2)</f>
        <v>0</v>
      </c>
      <c r="K69" s="140">
        <f>SUM(K70:K71)</f>
        <v>0</v>
      </c>
      <c r="L69" s="273">
        <f>J_DIFF(D69,FDate(MAX(G70:G71)))+1</f>
        <v>4</v>
      </c>
      <c r="M69" s="274">
        <f>IF(SUM(L70:L71)&lt;&gt;0,SUMPRODUCT(L70:L71,M70:M71)/SUM(L70:L71),0)</f>
        <v>0</v>
      </c>
      <c r="N69" s="275">
        <f>IF(F69&gt;=D69,NETWORKDAYS.INTL(J_GregorianDate(D69,1),J_GregorianDate(F69,1),16,1)-SUMIFS(Holieday[ok],Holieday[date],CONCATENATE("&gt;","=",D69),Holieday[date],CONCATENATE("&lt;","=",F69))+SUMIFS(Holieday[Friday],Holieday[date],CONCATENATE("&gt;","=",D69),Holieday[date],CONCATENATE("&lt;","=",F69)),0)</f>
        <v>4</v>
      </c>
      <c r="O69" s="135">
        <f t="shared" ref="O69" si="42">ROUNDDOWN(M69*L69,0)</f>
        <v>0</v>
      </c>
      <c r="P69" s="135">
        <f>VALUE(J_normdate(J_ADDDAY($D69,$O69,1)))</f>
        <v>13981112</v>
      </c>
      <c r="Q69" s="138">
        <f t="shared" ref="Q69" si="43">L69-O69</f>
        <v>4</v>
      </c>
      <c r="R69" s="285"/>
      <c r="IY69" s="292"/>
      <c r="IZ69" s="292"/>
      <c r="JA69" s="279"/>
      <c r="JB69" s="293"/>
      <c r="XFC69" s="294"/>
      <c r="XFD69" s="294"/>
    </row>
    <row r="70" spans="1:264 16383:16384" s="141" customFormat="1" ht="13.5">
      <c r="A70" s="188">
        <v>7.1</v>
      </c>
      <c r="B70" s="186" t="s">
        <v>109</v>
      </c>
      <c r="C70" s="173" t="s">
        <v>103</v>
      </c>
      <c r="D70" s="189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1398/11/12</v>
      </c>
      <c r="E70" s="136">
        <f t="shared" si="40"/>
        <v>13981112</v>
      </c>
      <c r="F70" s="189" t="str">
        <f>IF(N70=0,J_SUBDAY(D70,1,1)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0,J_SUBDAY(J_ADDDAY(D70,N70,1)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1,J_SUBDAY(J_ADDDAY(D70,N70+1,1),1,1),IF((N70-NETWORKDAYS.INTL(J_GregorianDate(D70,1),J_GregorianDate(J_SUBDAY(J_ADDDAY(D70,N70,1),1,1),1),16,1)-SUMIFS(Holieday[ok],Holieday[date],CONCATENATE("&gt;","=",D70),Holieday[date],CONCATENATE("&lt;","=",J_SUBDAY(J_ADDDAY(D70,N70,1),1,1)))+SUMIFS(Holieday[Friday],Holieday[date],CONCATENATE("&gt;","=",D70),Holieday[date],CONCATENATE("&lt;","=",J_SUBDAY(J_ADDDAY(D70,N70,1),1,1))))=2,J_SUBDAY(J_ADDDAY(D70,N70+2,1),1,1),J_SUBDAY(J_ADDDAY(D70,N70+3,1),1,1)))))</f>
        <v>1398/11/12</v>
      </c>
      <c r="G70" s="139">
        <f t="shared" si="41"/>
        <v>13981112</v>
      </c>
      <c r="H70" s="175">
        <v>1</v>
      </c>
      <c r="I70" s="176">
        <v>3.22</v>
      </c>
      <c r="J70" s="174">
        <f>j_WEEKDAY(D70,2)</f>
        <v>0</v>
      </c>
      <c r="K70" s="143">
        <f t="shared" ref="K70:K71" si="44">SUM(JA70:JC70)</f>
        <v>0</v>
      </c>
      <c r="L70" s="212">
        <f t="shared" ref="L70:L75" si="45">J_DIFF(D70,F70)+1</f>
        <v>1</v>
      </c>
      <c r="M70" s="213">
        <v>0</v>
      </c>
      <c r="N70" s="179">
        <v>1</v>
      </c>
      <c r="O70" s="144">
        <f t="shared" ref="O70" si="46">ROUNDDOWN(M70*L70,0)</f>
        <v>0</v>
      </c>
      <c r="P70" s="144">
        <f>VALUE(J_normdate(J_ADDDAY($D70,$O70,1)))</f>
        <v>13981112</v>
      </c>
      <c r="Q70" s="142">
        <f t="shared" ref="Q70" si="47">L70-O70</f>
        <v>1</v>
      </c>
      <c r="R70" s="180"/>
      <c r="IY70" s="4"/>
      <c r="IZ70" s="4"/>
      <c r="JA70" s="90"/>
      <c r="JB70" s="171"/>
      <c r="JC70" s="90"/>
      <c r="JD70" s="170">
        <f>SUM((TEXT(JA70,"[M]")/60)*'Income Person-hours'!$D$3,(TEXT(JB70,"[M]")/60)*'Income Person-hours'!$D$4,(TEXT(JC70,"[M]")/60)*'Income Person-hours'!$D$5)</f>
        <v>0</v>
      </c>
    </row>
    <row r="71" spans="1:264 16383:16384" s="159" customFormat="1" ht="39.75" customHeight="1">
      <c r="A71" s="197">
        <v>7.2</v>
      </c>
      <c r="B71" s="186" t="s">
        <v>169</v>
      </c>
      <c r="C71" s="173" t="s">
        <v>72</v>
      </c>
      <c r="D71" s="189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1398/11/13</v>
      </c>
      <c r="E71" s="136">
        <f t="shared" si="40"/>
        <v>13981113</v>
      </c>
      <c r="F71" s="189" t="str">
        <f>IF(N71=0,J_SUBDAY(D71,1,1)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0,J_SUBDAY(J_ADDDAY(D71,N71,1)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1,J_SUBDAY(J_ADDDAY(D71,N71+1,1)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2,J_SUBDAY(J_ADDDAY(D71,N71+2,1),1,1),J_SUBDAY(J_ADDDAY(D71,N71+3,1),1,1)))))</f>
        <v>1398/11/15</v>
      </c>
      <c r="G71" s="139">
        <f t="shared" si="41"/>
        <v>13981115</v>
      </c>
      <c r="H71" s="175">
        <v>1</v>
      </c>
      <c r="I71" s="176">
        <v>7.1</v>
      </c>
      <c r="J71" s="174">
        <f>j_WEEKDAY(D71,2)</f>
        <v>1</v>
      </c>
      <c r="K71" s="143">
        <f t="shared" si="44"/>
        <v>0</v>
      </c>
      <c r="L71" s="177">
        <f t="shared" si="45"/>
        <v>3</v>
      </c>
      <c r="M71" s="178">
        <v>0</v>
      </c>
      <c r="N71" s="179">
        <v>3</v>
      </c>
      <c r="O71" s="144">
        <f t="shared" ref="O71" si="48">ROUNDDOWN(M71*L71,0)</f>
        <v>0</v>
      </c>
      <c r="P71" s="144">
        <f>VALUE(J_normdate(J_ADDDAY($D71,$O71,1)))</f>
        <v>13981113</v>
      </c>
      <c r="Q71" s="142">
        <f t="shared" ref="Q71" si="49">L71-O71</f>
        <v>3</v>
      </c>
      <c r="R71" s="180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CA71" s="141"/>
      <c r="CB71" s="141"/>
      <c r="CC71" s="141"/>
      <c r="CD71" s="141"/>
      <c r="CE71" s="141"/>
      <c r="CF71" s="141"/>
      <c r="CG71" s="141"/>
      <c r="CH71" s="141"/>
      <c r="CI71" s="141"/>
      <c r="CJ71" s="141"/>
      <c r="CK71" s="141"/>
      <c r="CL71" s="141"/>
      <c r="CM71" s="141"/>
      <c r="CN71" s="141"/>
      <c r="CO71" s="141"/>
      <c r="CP71" s="141"/>
      <c r="CQ71" s="141"/>
      <c r="CR71" s="141"/>
      <c r="CS71" s="141"/>
      <c r="CT71" s="141"/>
      <c r="CU71" s="141"/>
      <c r="CV71" s="141"/>
      <c r="CW71" s="141"/>
      <c r="CX71" s="141"/>
      <c r="CY71" s="141"/>
      <c r="CZ71" s="141"/>
      <c r="DA71" s="141"/>
      <c r="DB71" s="141"/>
      <c r="DC71" s="141"/>
      <c r="DD71" s="141"/>
      <c r="DE71" s="141"/>
      <c r="DF71" s="141"/>
      <c r="DG71" s="141"/>
      <c r="DH71" s="141"/>
      <c r="DI71" s="141"/>
      <c r="DJ71" s="141"/>
      <c r="DK71" s="141"/>
      <c r="DL71" s="141"/>
      <c r="DM71" s="141"/>
      <c r="DN71" s="141"/>
      <c r="DO71" s="141"/>
      <c r="DP71" s="141"/>
      <c r="DQ71" s="141"/>
      <c r="DR71" s="141"/>
      <c r="DS71" s="141"/>
      <c r="DT71" s="141"/>
      <c r="DU71" s="141"/>
      <c r="DV71" s="141"/>
      <c r="DW71" s="141"/>
      <c r="DX71" s="141"/>
      <c r="DY71" s="141"/>
      <c r="DZ71" s="141"/>
      <c r="EA71" s="141"/>
      <c r="EB71" s="141"/>
      <c r="EC71" s="141"/>
      <c r="ED71" s="141"/>
      <c r="EE71" s="141"/>
      <c r="EF71" s="141"/>
      <c r="EG71" s="141"/>
      <c r="EH71" s="141"/>
      <c r="EI71" s="141"/>
      <c r="EJ71" s="141"/>
      <c r="EK71" s="141"/>
      <c r="EL71" s="141"/>
      <c r="EM71" s="141"/>
      <c r="EN71" s="141"/>
      <c r="EO71" s="141"/>
      <c r="EP71" s="141"/>
      <c r="EQ71" s="141"/>
      <c r="ER71" s="141"/>
      <c r="ES71" s="141"/>
      <c r="ET71" s="141"/>
      <c r="EU71" s="141"/>
      <c r="EV71" s="141"/>
      <c r="EW71" s="141"/>
      <c r="EX71" s="141"/>
      <c r="EY71" s="141"/>
      <c r="EZ71" s="141"/>
      <c r="FA71" s="141"/>
      <c r="FB71" s="141"/>
      <c r="FC71" s="141"/>
      <c r="FD71" s="141"/>
      <c r="FE71" s="141"/>
      <c r="FF71" s="141"/>
      <c r="FG71" s="141"/>
      <c r="FH71" s="141"/>
      <c r="FI71" s="141"/>
      <c r="FJ71" s="141"/>
      <c r="FK71" s="141"/>
      <c r="FL71" s="141"/>
      <c r="FM71" s="141"/>
      <c r="FN71" s="141"/>
      <c r="FO71" s="141"/>
      <c r="FP71" s="141"/>
      <c r="FQ71" s="141"/>
      <c r="FR71" s="141"/>
      <c r="FS71" s="141"/>
      <c r="FT71" s="141"/>
      <c r="FU71" s="141"/>
      <c r="FV71" s="141"/>
      <c r="FW71" s="141"/>
      <c r="FX71" s="141"/>
      <c r="FY71" s="141"/>
      <c r="FZ71" s="141"/>
      <c r="GA71" s="141"/>
      <c r="GB71" s="141"/>
      <c r="GC71" s="141"/>
      <c r="GD71" s="141"/>
      <c r="GE71" s="141"/>
      <c r="GF71" s="141"/>
      <c r="GG71" s="141"/>
      <c r="GH71" s="141"/>
      <c r="GI71" s="141"/>
      <c r="GJ71" s="141"/>
      <c r="GK71" s="141"/>
      <c r="GL71" s="141"/>
      <c r="GM71" s="141"/>
      <c r="GN71" s="141"/>
      <c r="GO71" s="141"/>
      <c r="GP71" s="141"/>
      <c r="GQ71" s="141"/>
      <c r="GR71" s="141"/>
      <c r="GS71" s="141"/>
      <c r="GT71" s="141"/>
      <c r="GU71" s="141"/>
      <c r="GV71" s="141"/>
      <c r="GW71" s="141"/>
      <c r="GX71" s="141"/>
      <c r="GY71" s="141"/>
      <c r="GZ71" s="141"/>
      <c r="HA71" s="141"/>
      <c r="HB71" s="141"/>
      <c r="HC71" s="141"/>
      <c r="HD71" s="141"/>
      <c r="HE71" s="141"/>
      <c r="HF71" s="141"/>
      <c r="HG71" s="141"/>
      <c r="HH71" s="141"/>
      <c r="HI71" s="141"/>
      <c r="HJ71" s="141"/>
      <c r="HK71" s="141"/>
      <c r="HL71" s="141"/>
      <c r="HM71" s="141"/>
      <c r="HN71" s="141"/>
      <c r="HO71" s="141"/>
      <c r="HP71" s="141"/>
      <c r="HQ71" s="141"/>
      <c r="HR71" s="141"/>
      <c r="HS71" s="141"/>
      <c r="HT71" s="141"/>
      <c r="HU71" s="141"/>
      <c r="HV71" s="141"/>
      <c r="HW71" s="141"/>
      <c r="HX71" s="141"/>
      <c r="HY71" s="141"/>
      <c r="HZ71" s="141"/>
      <c r="IA71" s="141"/>
      <c r="IB71" s="141"/>
      <c r="IC71" s="141"/>
      <c r="ID71" s="141"/>
      <c r="IE71" s="141"/>
      <c r="IF71" s="141"/>
      <c r="IG71" s="141"/>
      <c r="IH71" s="141"/>
      <c r="II71" s="141"/>
      <c r="IJ71" s="141"/>
      <c r="IK71" s="141"/>
      <c r="IL71" s="141"/>
      <c r="IM71" s="141"/>
      <c r="IN71" s="141"/>
      <c r="IO71" s="141"/>
      <c r="IP71" s="141"/>
      <c r="IQ71" s="141"/>
      <c r="IR71" s="141"/>
      <c r="IS71" s="141"/>
      <c r="IT71" s="141"/>
      <c r="IU71" s="141"/>
      <c r="IV71" s="141"/>
      <c r="IW71" s="141"/>
      <c r="IX71" s="141"/>
      <c r="IY71" s="7"/>
      <c r="IZ71" s="7"/>
      <c r="JA71" s="92"/>
      <c r="JB71" s="94"/>
      <c r="JC71" s="93"/>
      <c r="JD71" s="160">
        <f>SUM((TEXT(JA71,"[M]")/60)*'Income Person-hours'!$D$3,(TEXT(JB71,"[M]")/60)*'Income Person-hours'!$D$4,(TEXT(JC71,"[M]")/60)*'Income Person-hours'!$D$5)</f>
        <v>0</v>
      </c>
    </row>
    <row r="72" spans="1:264 16383:16384" ht="15">
      <c r="A72" s="197">
        <v>7.3</v>
      </c>
      <c r="B72" s="186" t="s">
        <v>170</v>
      </c>
      <c r="C72" s="173" t="s">
        <v>72</v>
      </c>
      <c r="D72" s="189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1398/11/16</v>
      </c>
      <c r="E72" s="136">
        <f t="shared" si="40"/>
        <v>13981116</v>
      </c>
      <c r="F72" s="189" t="str">
        <f>IF(N72=0,J_SUBDAY(D72,1,1)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0,J_SUBDAY(J_ADDDAY(D72,N72,1)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1,J_SUBDAY(J_ADDDAY(D72,N72+1,1)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2,J_SUBDAY(J_ADDDAY(D72,N72+2,1),1,1),J_SUBDAY(J_ADDDAY(D72,N72+3,1),1,1)))))</f>
        <v>1398/11/26</v>
      </c>
      <c r="G72" s="139">
        <f t="shared" si="41"/>
        <v>13981126</v>
      </c>
      <c r="H72" s="175">
        <v>1</v>
      </c>
      <c r="I72" s="176">
        <v>7.2</v>
      </c>
      <c r="J72" s="174">
        <f>j_WEEKDAY(D72,2)</f>
        <v>4</v>
      </c>
      <c r="L72" s="177">
        <f t="shared" si="45"/>
        <v>11</v>
      </c>
      <c r="M72" s="178">
        <v>0</v>
      </c>
      <c r="N72" s="179">
        <v>10</v>
      </c>
    </row>
    <row r="73" spans="1:264 16383:16384" ht="30" customHeight="1">
      <c r="A73" s="303">
        <v>7.4</v>
      </c>
      <c r="B73" s="304" t="s">
        <v>171</v>
      </c>
      <c r="C73" s="173" t="s">
        <v>104</v>
      </c>
      <c r="D73" s="189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1398/11/27</v>
      </c>
      <c r="E73" s="136">
        <f t="shared" si="40"/>
        <v>13981127</v>
      </c>
      <c r="F73" s="189" t="str">
        <f>IF(N73=0,J_SUBDAY(D73,1,1)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0,J_SUBDAY(J_ADDDAY(D73,N73,1)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1,J_SUBDAY(J_ADDDAY(D73,N73+1,1)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2,J_SUBDAY(J_ADDDAY(D73,N73+2,1),1,1),J_SUBDAY(J_ADDDAY(D73,N73+3,1),1,1)))))</f>
        <v>1398/12/13</v>
      </c>
      <c r="G73" s="139">
        <f t="shared" si="41"/>
        <v>13981213</v>
      </c>
      <c r="H73" s="175">
        <v>1</v>
      </c>
      <c r="I73" s="176">
        <v>7.3</v>
      </c>
      <c r="J73" s="174">
        <f>j_WEEKDAY(D73,2)</f>
        <v>1</v>
      </c>
      <c r="L73" s="177">
        <f t="shared" si="45"/>
        <v>17</v>
      </c>
      <c r="M73" s="178">
        <v>0</v>
      </c>
      <c r="N73" s="179">
        <v>15</v>
      </c>
    </row>
    <row r="74" spans="1:264 16383:16384" ht="15">
      <c r="A74" s="303">
        <v>7.5</v>
      </c>
      <c r="B74" s="304" t="s">
        <v>172</v>
      </c>
      <c r="D74" s="189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1398/12/14</v>
      </c>
      <c r="E74" s="136">
        <f t="shared" si="40"/>
        <v>13981214</v>
      </c>
      <c r="F74" s="189" t="str">
        <f>IF(N74=0,J_SUBDAY(D74,1,1)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0,J_SUBDAY(J_ADDDAY(D74,N74,1)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1,J_SUBDAY(J_ADDDAY(D74,N74+1,1)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2,J_SUBDAY(J_ADDDAY(D74,N74+2,1),1,1),J_SUBDAY(J_ADDDAY(D74,N74+3,1),1,1)))))</f>
        <v>1398/12/18</v>
      </c>
      <c r="G74" s="139">
        <f t="shared" si="41"/>
        <v>13981218</v>
      </c>
      <c r="H74" s="175">
        <v>1</v>
      </c>
      <c r="I74" s="176">
        <v>7.4</v>
      </c>
      <c r="J74" s="174">
        <f>j_WEEKDAY(D74,2)</f>
        <v>4</v>
      </c>
      <c r="L74" s="177">
        <f>J_DIFF(D74,F74)+1</f>
        <v>5</v>
      </c>
      <c r="M74" s="178">
        <v>0</v>
      </c>
      <c r="N74" s="179">
        <v>5</v>
      </c>
    </row>
    <row r="75" spans="1:264 16383:16384" ht="15">
      <c r="A75" s="303">
        <v>7.6</v>
      </c>
      <c r="B75" s="304" t="s">
        <v>173</v>
      </c>
      <c r="D75" s="189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1398/12/19</v>
      </c>
      <c r="E75" s="136">
        <f t="shared" si="40"/>
        <v>13981219</v>
      </c>
      <c r="F75" s="189" t="str">
        <f>IF(N75=0,J_SUBDAY(D75,1,1)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0,J_SUBDAY(J_ADDDAY(D75,N75,1)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1,J_SUBDAY(J_ADDDAY(D75,N75+1,1)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2,J_SUBDAY(J_ADDDAY(D75,N75+2,1),1,1),J_SUBDAY(J_ADDDAY(D75,N75+3,1),1,1)))))</f>
        <v>1398/12/24</v>
      </c>
      <c r="G75" s="139">
        <f t="shared" si="41"/>
        <v>13981224</v>
      </c>
      <c r="H75" s="175">
        <v>1</v>
      </c>
      <c r="I75" s="176">
        <v>7.5</v>
      </c>
      <c r="J75" s="174">
        <f>j_WEEKDAY(D75,2)</f>
        <v>2</v>
      </c>
      <c r="L75" s="177">
        <f t="shared" si="45"/>
        <v>6</v>
      </c>
      <c r="M75" s="178">
        <v>0</v>
      </c>
      <c r="N75" s="179">
        <v>5</v>
      </c>
    </row>
    <row r="76" spans="1:264 16383:16384" s="276" customFormat="1" ht="13.5">
      <c r="A76" s="267">
        <v>8</v>
      </c>
      <c r="B76" s="290" t="s">
        <v>68</v>
      </c>
      <c r="C76" s="291"/>
      <c r="D76" s="270" t="str">
        <f>FDate(MIN(E77:E77))</f>
        <v>1398/12/25</v>
      </c>
      <c r="E76" s="136">
        <f t="shared" si="40"/>
        <v>13981225</v>
      </c>
      <c r="F76" s="189" t="str">
        <f>J_SUBDAY(J_ADDDAY(D76,L76,1),1,1)</f>
        <v>1398/12/26</v>
      </c>
      <c r="G76" s="139">
        <f t="shared" si="41"/>
        <v>13981226</v>
      </c>
      <c r="H76" s="282"/>
      <c r="I76" s="283"/>
      <c r="J76" s="270">
        <f>j_WEEKDAY(D76,2)</f>
        <v>1</v>
      </c>
      <c r="K76" s="140"/>
      <c r="L76" s="273">
        <f>J_DIFF(D76,FDate(MAX(G77:G77)))+1</f>
        <v>2</v>
      </c>
      <c r="M76" s="274">
        <f>IF(SUM(L77:L77)&lt;&gt;0,SUMPRODUCT(L77:L77,M77:M77)/SUM(L77:L77),0)</f>
        <v>0</v>
      </c>
      <c r="N76" s="275">
        <f>IF(F76&gt;=D76,NETWORKDAYS.INTL(J_GregorianDate(D76,1),J_GregorianDate(F76,1),16,1)-SUMIFS(Holieday[ok],Holieday[date],CONCATENATE("&gt;","=",D76),Holieday[date],CONCATENATE("&lt;","=",F76))+SUMIFS(Holieday[Friday],Holieday[date],CONCATENATE("&gt;","=",D76),Holieday[date],CONCATENATE("&lt;","=",F76)),0)</f>
        <v>2</v>
      </c>
      <c r="O76" s="135"/>
      <c r="P76" s="135"/>
      <c r="Q76" s="138"/>
      <c r="R76" s="285"/>
      <c r="IY76" s="292"/>
      <c r="IZ76" s="292"/>
      <c r="JA76" s="279"/>
      <c r="JB76" s="293"/>
      <c r="XFC76" s="294"/>
      <c r="XFD76" s="294"/>
    </row>
    <row r="77" spans="1:264 16383:16384" ht="15">
      <c r="A77" s="303">
        <v>8.1999999999999993</v>
      </c>
      <c r="B77" s="304" t="s">
        <v>73</v>
      </c>
      <c r="C77" s="173" t="s">
        <v>103</v>
      </c>
      <c r="D77" s="189" t="str">
        <f>IF(OR(j_WEEKDAY(J_ADDDAY(VLOOKUP(I77,A:F,6,FALSE),H77,1),0)=6,SUMIFS(Holieday[ok],Holieday[date],J_ADDDAY(VLOOKUP(I77,A:F,6,FALSE),H77,1)))=FALSE(),J_ADDDAY(VLOOKUP(I77,A:F,6,FALSE),H77,1),IF(OR(j_WEEKDAY(J_ADDDAY(VLOOKUP(I77,A:F,6,FALSE),H77+1,1),0)=6,SUMIFS(Holieday[ok],Holieday[date],J_ADDDAY(VLOOKUP(I77,A:F,6,FALSE),H77+1,1)))=FALSE(),J_ADDDAY(VLOOKUP(I77,A:F,6,FALSE),H77+1,1),IF(OR(j_WEEKDAY(J_ADDDAY(VLOOKUP(I77,A:F,6,FALSE),H77+2,1),0)=6,SUMIFS(Holieday[ok],Holieday[date],J_ADDDAY(VLOOKUP(I77,A:F,6,FALSE),H77+2,1)))=FALSE(),J_ADDDAY(VLOOKUP(I77,A:F,6,FALSE),H77+2,1),IF(OR(j_WEEKDAY(J_ADDDAY(VLOOKUP(I77,A:F,6,FALSE),H77+3,1),0)=6,SUMIFS(Holieday[ok],Holieday[date],J_ADDDAY(VLOOKUP(I77,A:F,6,FALSE),H77+3,1)))=FALSE(),J_ADDDAY(VLOOKUP(I77,A:F,6,FALSE),H77+3,1),IF(OR(j_WEEKDAY(J_ADDDAY(VLOOKUP(I77,A:F,6,FALSE),H77+4,1),0)=6,SUMIFS(Holieday[ok],Holieday[date],J_ADDDAY(VLOOKUP(I77,A:F,6,FALSE),H77+4,1)))=FALSE(),J_ADDDAY(VLOOKUP(I77,A:F,6,FALSE),H77+4,1),J_ADDDAY(VLOOKUP(I77,A:F,6,FALSE),H77+5,1))))))</f>
        <v>1398/12/25</v>
      </c>
      <c r="E77" s="136">
        <f t="shared" si="40"/>
        <v>13981225</v>
      </c>
      <c r="F77" s="189" t="str">
        <f>IF(N77=0,J_SUBDAY(D77,1,1)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0,J_SUBDAY(J_ADDDAY(D77,N77,1)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1,J_SUBDAY(J_ADDDAY(D77,N77+1,1)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2,J_SUBDAY(J_ADDDAY(D77,N77+2,1),1,1),J_SUBDAY(J_ADDDAY(D77,N77+3,1),1,1)))))</f>
        <v>1398/12/26</v>
      </c>
      <c r="G77" s="139">
        <f t="shared" si="41"/>
        <v>13981226</v>
      </c>
      <c r="H77" s="175">
        <v>1</v>
      </c>
      <c r="I77" s="176">
        <v>7.6</v>
      </c>
      <c r="J77" s="174">
        <f>j_WEEKDAY(D77,2)</f>
        <v>1</v>
      </c>
      <c r="L77" s="177">
        <f>J_DIFF(D77,F77)+1</f>
        <v>2</v>
      </c>
      <c r="M77" s="178">
        <v>0</v>
      </c>
      <c r="N77" s="179">
        <v>2</v>
      </c>
    </row>
    <row r="78" spans="1:264 16383:16384" ht="16.5">
      <c r="A78" s="303"/>
      <c r="B78" s="304"/>
    </row>
    <row r="79" spans="1:264 16383:16384" ht="188.25">
      <c r="B79" s="236" t="s">
        <v>131</v>
      </c>
    </row>
  </sheetData>
  <sheetProtection selectLockedCells="1"/>
  <mergeCells count="50"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HZ6:ID6"/>
    <mergeCell ref="GQ6:GU6"/>
    <mergeCell ref="GV6:GZ6"/>
    <mergeCell ref="HA6:HE6"/>
    <mergeCell ref="HF6:HJ6"/>
    <mergeCell ref="HK6:HO6"/>
    <mergeCell ref="HP6:HT6"/>
  </mergeCells>
  <phoneticPr fontId="2" type="noConversion"/>
  <conditionalFormatting sqref="S10:IX16 P63:IX63 P69:IX69 S51:IX68 S70:IX71 S18:IX49 P76:IX76 P153:IS153">
    <cfRule type="expression" dxfId="8" priority="208" stopIfTrue="1">
      <formula>P$4=$D$3</formula>
    </cfRule>
    <cfRule type="expression" dxfId="7" priority="209" stopIfTrue="1">
      <formula>AND(P$4&gt;=$E10,P$4&lt;$P10)</formula>
    </cfRule>
    <cfRule type="expression" dxfId="6" priority="210" stopIfTrue="1">
      <formula>AND(P$4&gt;=$E10,P$4&lt;=$G10)</formula>
    </cfRule>
  </conditionalFormatting>
  <conditionalFormatting sqref="S9:IX9 S17:IX17 R30:IW30 S50:IX50 S56:IX56 P63:IX63 P69:IX69 P76:IX76 S85:IS85 S93:IS93 R106:IS106 S127:IS127 S133:IS133 P140:IS140 P146:IS146 P153:IS153">
    <cfRule type="expression" dxfId="5" priority="226" stopIfTrue="1">
      <formula>P$4=$D$3</formula>
    </cfRule>
    <cfRule type="expression" dxfId="4" priority="227" stopIfTrue="1">
      <formula>AND(P$4&gt;=$E9,P$4&lt;$P9)</formula>
    </cfRule>
    <cfRule type="expression" dxfId="3" priority="228" stopIfTrue="1">
      <formula>AND(P$4&gt;=$E9,P$4&lt;=$G9)</formula>
    </cfRule>
  </conditionalFormatting>
  <conditionalFormatting sqref="S8:IX8 S84:IS84">
    <cfRule type="expression" dxfId="2" priority="271">
      <formula>S$4=$D$3</formula>
    </cfRule>
    <cfRule type="expression" dxfId="1" priority="272">
      <formula>AND(S$4&gt;=$E8,S$4&lt;$P8)</formula>
    </cfRule>
    <cfRule type="expression" dxfId="0" priority="273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4.25"/>
  <cols>
    <col min="1" max="1" width="8" style="22" bestFit="1" customWidth="1"/>
    <col min="2" max="2" width="18.5703125" style="22" bestFit="1" customWidth="1"/>
    <col min="3" max="3" width="12.140625" style="23" bestFit="1" customWidth="1"/>
    <col min="4" max="4" width="17.5703125" style="32" bestFit="1" customWidth="1"/>
    <col min="5" max="5" width="5.42578125" style="22" bestFit="1" customWidth="1"/>
    <col min="6" max="6" width="17.5703125" style="22" bestFit="1" customWidth="1"/>
    <col min="7" max="7" width="21.140625" style="56" bestFit="1" customWidth="1"/>
    <col min="8" max="8" width="9.140625" style="46"/>
    <col min="9" max="9" width="14.85546875" style="46" bestFit="1" customWidth="1"/>
    <col min="10" max="16384" width="9.140625" style="22"/>
  </cols>
  <sheetData>
    <row r="1" spans="1:14">
      <c r="A1" s="312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بانک اقتصاد نوین</v>
      </c>
      <c r="B1" s="312"/>
      <c r="C1" s="312"/>
      <c r="D1" s="312"/>
      <c r="E1" s="312"/>
      <c r="F1" s="312"/>
      <c r="G1" s="312"/>
    </row>
    <row r="2" spans="1:14">
      <c r="A2" s="42" t="s">
        <v>46</v>
      </c>
      <c r="B2" s="320" t="s">
        <v>45</v>
      </c>
      <c r="C2" s="321"/>
      <c r="D2" s="322" t="s">
        <v>47</v>
      </c>
      <c r="E2" s="323"/>
      <c r="F2" s="44" t="s">
        <v>70</v>
      </c>
      <c r="G2" s="42" t="s">
        <v>62</v>
      </c>
    </row>
    <row r="3" spans="1:14">
      <c r="A3" s="42">
        <v>1</v>
      </c>
      <c r="B3" s="320" t="s">
        <v>48</v>
      </c>
      <c r="C3" s="321"/>
      <c r="D3" s="324">
        <v>1200000</v>
      </c>
      <c r="E3" s="325"/>
      <c r="F3" s="166">
        <v>137600000</v>
      </c>
      <c r="G3" s="60">
        <f>D3*128</f>
        <v>153600000</v>
      </c>
    </row>
    <row r="4" spans="1:14">
      <c r="A4" s="42">
        <v>2</v>
      </c>
      <c r="B4" s="320" t="s">
        <v>49</v>
      </c>
      <c r="C4" s="321"/>
      <c r="D4" s="324">
        <v>916000</v>
      </c>
      <c r="E4" s="325"/>
      <c r="F4" s="166">
        <v>115200000</v>
      </c>
      <c r="G4" s="60">
        <f>D4*128</f>
        <v>117248000</v>
      </c>
    </row>
    <row r="5" spans="1:14">
      <c r="A5" s="42">
        <v>3</v>
      </c>
      <c r="B5" s="320" t="s">
        <v>50</v>
      </c>
      <c r="C5" s="321"/>
      <c r="D5" s="324">
        <v>555000</v>
      </c>
      <c r="E5" s="325"/>
      <c r="F5" s="166">
        <v>87900000</v>
      </c>
      <c r="G5" s="60">
        <f>D5*128</f>
        <v>71040000</v>
      </c>
    </row>
    <row r="7" spans="1:14">
      <c r="A7" s="313" t="str">
        <f>CONCATENATE("گزارش مدیریتی ",GanttChart!B8)</f>
        <v>گزارش مدیریتی طراحی و پیاده سازی پورتال اینترنتی و زیر پورتال های بانک اقتصاد نوین</v>
      </c>
      <c r="B7" s="313"/>
      <c r="C7" s="313"/>
      <c r="D7" s="313"/>
      <c r="E7" s="313"/>
      <c r="F7" s="313"/>
      <c r="G7" s="313"/>
    </row>
    <row r="8" spans="1:14">
      <c r="A8" s="314" t="s">
        <v>52</v>
      </c>
      <c r="B8" s="315"/>
      <c r="C8" s="39" t="s">
        <v>53</v>
      </c>
      <c r="D8" s="83" t="str">
        <f>D2</f>
        <v>هزینه نفر ساعت</v>
      </c>
      <c r="E8" s="35" t="s">
        <v>54</v>
      </c>
      <c r="F8" s="84" t="str">
        <f>F2</f>
        <v>هزینه نفر ماه (قرارداد)</v>
      </c>
      <c r="G8" s="61" t="str">
        <f>G2</f>
        <v>هزینه نفر ماه (ماه * 128)</v>
      </c>
      <c r="H8" s="45"/>
      <c r="I8" s="45"/>
      <c r="J8" s="14"/>
      <c r="M8" s="33"/>
      <c r="N8" s="8"/>
    </row>
    <row r="9" spans="1:14">
      <c r="A9" s="38">
        <v>1</v>
      </c>
      <c r="B9" s="39" t="str">
        <f>VLOOKUP(A9,A2:D5,2,FALSE)</f>
        <v>مدیریت پروژه</v>
      </c>
      <c r="C9" s="36">
        <f>SUM(GanttChart!JA:JA)</f>
        <v>0</v>
      </c>
      <c r="D9" s="40">
        <f>(TEXT(C9,"[M]")/60)*VLOOKUP(A9,'Income Person-hours'!$A$2:$G$5,4,FALSE)</f>
        <v>0</v>
      </c>
      <c r="E9" s="37">
        <f>ROUNDUP((TEXT(C9,"[m]")/60)/160,1)</f>
        <v>0</v>
      </c>
      <c r="F9" s="41">
        <f>VLOOKUP(A9,'Income Person-hours'!$A$2:$G$5,6,FALSE)*E9</f>
        <v>0</v>
      </c>
      <c r="G9" s="58">
        <f>VLOOKUP(A9,'Income Person-hours'!$A$2:$G$5,7,FALSE)*E9</f>
        <v>0</v>
      </c>
      <c r="H9" s="45"/>
      <c r="I9" s="45"/>
      <c r="J9" s="14"/>
      <c r="M9" s="34"/>
      <c r="N9" s="34"/>
    </row>
    <row r="10" spans="1:14">
      <c r="A10" s="38">
        <v>2</v>
      </c>
      <c r="B10" s="39" t="str">
        <f>VLOOKUP(A10,A3:D6,2,FALSE)</f>
        <v>کارشناس ارشد تحلیل</v>
      </c>
      <c r="C10" s="36">
        <f>SUM(GanttChart!JB:JB)</f>
        <v>0</v>
      </c>
      <c r="D10" s="40">
        <f>(TEXT(C10,"[M]")/60)*VLOOKUP(A10,'Income Person-hours'!$A$2:$G$5,4,FALSE)</f>
        <v>0</v>
      </c>
      <c r="E10" s="37">
        <f>ROUNDUP((TEXT(C10,"[m]")/60)/160,1)</f>
        <v>0</v>
      </c>
      <c r="F10" s="41">
        <f>VLOOKUP(A10,'Income Person-hours'!$A$2:$G$5,6,FALSE)*E10</f>
        <v>0</v>
      </c>
      <c r="G10" s="58">
        <f>VLOOKUP(A10,'Income Person-hours'!$A$2:$G$5,7,FALSE)*E10</f>
        <v>0</v>
      </c>
      <c r="H10" s="45"/>
      <c r="I10" s="85"/>
      <c r="J10" s="14"/>
      <c r="M10" s="34"/>
      <c r="N10" s="34"/>
    </row>
    <row r="11" spans="1:14">
      <c r="A11" s="38">
        <v>3</v>
      </c>
      <c r="B11" s="39" t="str">
        <f>VLOOKUP(A11,A4:D8,2,FALSE)</f>
        <v>کارشناس توسعه و پیاده سازی</v>
      </c>
      <c r="C11" s="36">
        <f>SUM(GanttChart!JC:JC)</f>
        <v>0</v>
      </c>
      <c r="D11" s="40">
        <f>(TEXT(C11,"[M]")/60)*VLOOKUP(A11,'Income Person-hours'!$A$2:$G$5,4,FALSE)</f>
        <v>0</v>
      </c>
      <c r="E11" s="37">
        <f>ROUNDUP((TEXT(C11,"[m]")/60)/160,1)</f>
        <v>0</v>
      </c>
      <c r="F11" s="41">
        <f>VLOOKUP(A11,'Income Person-hours'!$A$2:$G$5,6,FALSE)*E11</f>
        <v>0</v>
      </c>
      <c r="G11" s="58">
        <f>VLOOKUP(A11,'Income Person-hours'!$A$2:$G$5,7,FALSE)*E11</f>
        <v>0</v>
      </c>
      <c r="H11" s="47"/>
      <c r="I11" s="45"/>
      <c r="J11" s="14"/>
      <c r="M11" s="34"/>
      <c r="N11" s="34"/>
    </row>
    <row r="12" spans="1:14" ht="15">
      <c r="A12" s="316" t="s">
        <v>51</v>
      </c>
      <c r="B12" s="317"/>
      <c r="C12" s="48">
        <f>SUM(C9:C11)</f>
        <v>0</v>
      </c>
      <c r="D12" s="49">
        <f>SUM(D9:D11)</f>
        <v>0</v>
      </c>
      <c r="E12" s="50">
        <f>SUM(E9:E11)</f>
        <v>0</v>
      </c>
      <c r="F12" s="49">
        <f>SUM(F9:F11)</f>
        <v>0</v>
      </c>
      <c r="G12" s="59">
        <f>SUM(G9:G11)</f>
        <v>0</v>
      </c>
      <c r="H12" s="45"/>
      <c r="I12" s="45"/>
      <c r="J12" s="14"/>
      <c r="M12" s="33"/>
      <c r="N12" s="33"/>
    </row>
    <row r="13" spans="1:14" ht="15">
      <c r="A13" s="318" t="s">
        <v>57</v>
      </c>
      <c r="B13" s="318"/>
      <c r="C13" s="51" t="str">
        <f>GanttChart!D8</f>
        <v>1398/10/01</v>
      </c>
      <c r="D13" s="319" t="s">
        <v>58</v>
      </c>
      <c r="E13" s="319"/>
      <c r="F13" s="52" t="str">
        <f>GanttChart!F8</f>
        <v>1398/12/26</v>
      </c>
      <c r="G13" s="57" t="s">
        <v>63</v>
      </c>
    </row>
    <row r="14" spans="1:14" ht="15">
      <c r="A14" s="42" t="s">
        <v>59</v>
      </c>
      <c r="B14" s="53" t="str">
        <f>CONCATENATE(GanttChart!L8," روز ")</f>
        <v xml:space="preserve">86 روز </v>
      </c>
      <c r="C14" s="43" t="s">
        <v>60</v>
      </c>
      <c r="D14" s="53" t="str">
        <f>CONCATENATE(GanttChart!N8," روز کاری")</f>
        <v>71 روز کاری</v>
      </c>
      <c r="E14" s="42" t="s">
        <v>61</v>
      </c>
      <c r="F14" s="53" t="str">
        <f>CONCATENATE(ROUND(GanttChart!L8/7,0)," هفته")</f>
        <v>12 هفته</v>
      </c>
      <c r="G14" s="53" t="str">
        <f>CONCATENATE(ROUNDUP((TEXT(C12,"[M]")/60)/6,0)," نفر روز")</f>
        <v>0 نفر روز</v>
      </c>
    </row>
    <row r="15" spans="1:14">
      <c r="C15" s="86"/>
    </row>
    <row r="17" spans="2:2" ht="15">
      <c r="B17" s="55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34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35"/>
      <c r="H3" s="337"/>
      <c r="I3" s="339"/>
      <c r="J3" s="3"/>
      <c r="K3" s="3"/>
      <c r="L3" s="3"/>
      <c r="M3" s="3"/>
      <c r="N3" s="3"/>
      <c r="O3" s="3"/>
    </row>
    <row r="4" spans="1:15" ht="14.25" hidden="1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IFERROR(VLOOKUP($A4,GanttChart!$A:$JD,261,FALSE),0)</f>
        <v>0</v>
      </c>
      <c r="E4" s="68">
        <f>IFERROR(VLOOKUP($A4,GanttChart!$A:$JD,262,FALSE),0)</f>
        <v>0</v>
      </c>
      <c r="F4" s="68">
        <f>IFERROR(VLOOKUP($A4,GanttChart!$A:$JD,263,FALSE),0)</f>
        <v>0</v>
      </c>
      <c r="G4" s="69">
        <f>IFERROR(VLOOKUP($A4,GanttChart!$A:$JD,264,FALSE),0)</f>
        <v>0</v>
      </c>
      <c r="H4" s="167"/>
      <c r="I4" s="69">
        <f>G4-(H4*G4)</f>
        <v>0</v>
      </c>
      <c r="J4" s="3"/>
      <c r="K4" s="3"/>
      <c r="L4" s="3"/>
      <c r="M4" s="3"/>
      <c r="N4" s="3"/>
      <c r="O4" s="3"/>
    </row>
    <row r="5" spans="1:15" ht="14.25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167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167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167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167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>
      <c r="A9" s="62">
        <v>1.5</v>
      </c>
      <c r="B9" s="62"/>
      <c r="C9" s="67" t="str">
        <f>IFERROR(VLOOKUP($A9,GanttChart!$A:$JD,2,FALSE),"خطا")</f>
        <v>جلسه دوم پروژه (بررسی نیازمندی های کارفرما و وضع جاری)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167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>
      <c r="A10" s="62">
        <v>1.6</v>
      </c>
      <c r="B10" s="62"/>
      <c r="C10" s="67" t="str">
        <f>IFERROR(VLOOKUP($A10,GanttChart!$A:$JD,2,FALSE),"خطا")</f>
        <v>جلسه سوم(تحویل پروژه)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167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>
      <c r="A11" s="62">
        <v>1.7</v>
      </c>
      <c r="B11" s="62"/>
      <c r="C11" s="67" t="str">
        <f>IFERROR(VLOOKUP($A11,GanttChart!$A:$JD,2,FALSE),"خطا")</f>
        <v>جلسه چهارم (هماهنگی جهت بهره برداری از پروژه)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167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>
      <c r="A12" s="62">
        <v>1.8</v>
      </c>
      <c r="B12" s="62"/>
      <c r="C12" s="67" t="str">
        <f>IFERROR(VLOOKUP($A12,GanttChart!$A:$JD,2,FALSE),"خطا")</f>
        <v>خطا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167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167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167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167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167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167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167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167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167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167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167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167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167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167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 hidden="1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IFERROR(VLOOKUP($A26,GanttChart!$A:$JD,261,FALSE),0)</f>
        <v>0</v>
      </c>
      <c r="E26" s="68">
        <f>IFERROR(VLOOKUP($A26,GanttChart!$A:$JD,262,FALSE),0)</f>
        <v>0</v>
      </c>
      <c r="F26" s="68">
        <f>IFERROR(VLOOKUP($A26,GanttChart!$A:$JD,263,FALSE),0)</f>
        <v>0</v>
      </c>
      <c r="G26" s="69">
        <f>IFERROR(VLOOKUP($A26,GanttChart!$A:$JD,264,FALSE),0)</f>
        <v>0</v>
      </c>
      <c r="H26" s="167"/>
      <c r="I26" s="69">
        <f t="shared" si="0"/>
        <v>0</v>
      </c>
      <c r="J26" s="3"/>
      <c r="K26" s="3"/>
      <c r="L26" s="3"/>
      <c r="M26" s="3"/>
      <c r="N26" s="3"/>
      <c r="O26" s="3"/>
    </row>
    <row r="27" spans="1:15" ht="22.5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167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167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167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167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167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167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167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22.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 (در طول قرارداد)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167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167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33.75" hidden="1">
      <c r="A36" s="62">
        <v>2.11</v>
      </c>
      <c r="B36" s="62"/>
      <c r="C36" s="67" t="str">
        <f>IFERROR(VLOOKUP($A36,GanttChart!$A:$JD,2,FALSE),"خطا")</f>
        <v>تامين و آماده سازي شبکه و زيرساخت سخت افزاری و نرم افزاری مورد نياز (سرور  تست) توسط کارفرما منطبق بر مشخصات سرور اصلی و در بستر همسان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167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آماده سازی محیط تست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167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تحویل سرور تست  به کارفرما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167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167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167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167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167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167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167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167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167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167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 hidden="1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IFERROR(VLOOKUP($A48,GanttChart!$A:$JD,261,FALSE),0)</f>
        <v>0</v>
      </c>
      <c r="E48" s="68">
        <f>IFERROR(VLOOKUP($A48,GanttChart!$A:$JD,262,FALSE),0)</f>
        <v>0</v>
      </c>
      <c r="F48" s="68">
        <f>IFERROR(VLOOKUP($A48,GanttChart!$A:$JD,263,FALSE),0)</f>
        <v>0</v>
      </c>
      <c r="G48" s="69">
        <f>IFERROR(VLOOKUP($A48,GanttChart!$A:$JD,264,FALSE),0)</f>
        <v>0</v>
      </c>
      <c r="H48" s="167"/>
      <c r="I48" s="69">
        <f t="shared" si="0"/>
        <v>0</v>
      </c>
      <c r="J48" s="3"/>
      <c r="K48" s="3"/>
      <c r="L48" s="3"/>
      <c r="M48" s="3"/>
      <c r="N48" s="3"/>
      <c r="O48" s="3"/>
    </row>
    <row r="49" spans="1:15" ht="14.25">
      <c r="A49" s="62">
        <v>3.1</v>
      </c>
      <c r="B49" s="62"/>
      <c r="C49" s="67" t="str">
        <f>IFERROR(VLOOKUP($A49,GanttChart!$A:$JD,2,FALSE),"خطا")</f>
        <v>خطا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167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22.5" hidden="1">
      <c r="A50" s="62">
        <v>3.2</v>
      </c>
      <c r="B50" s="62"/>
      <c r="C50" s="67" t="str">
        <f>IFERROR(VLOOKUP($A50,GanttChart!$A:$JD,2,FALSE),"خطا")</f>
        <v>مطالعه اسناد ارائه ساختار محتوا و بررسی طرح های گرافیکی  ارسالی از سوی کارفرما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167"/>
      <c r="I50" s="69">
        <f t="shared" si="0"/>
        <v>0</v>
      </c>
    </row>
    <row r="51" spans="1:15" ht="22.5">
      <c r="A51" s="62">
        <v>3.3</v>
      </c>
      <c r="B51" s="62"/>
      <c r="C51" s="67" t="str">
        <f>IFERROR(VLOOKUP($A51,GanttChart!$A:$JD,2,FALSE),"خطا")</f>
        <v>تدوین سند شناخت وضع جاری (وب سایت اینترنتی فارسی و انگلیسی و زیر پورتال ویژه همکاران)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167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خطا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167"/>
      <c r="I52" s="69">
        <f t="shared" si="0"/>
        <v>0</v>
      </c>
    </row>
    <row r="53" spans="1:15" ht="14.25">
      <c r="A53" s="62">
        <v>3.5</v>
      </c>
      <c r="B53" s="62"/>
      <c r="C53" s="67" t="str">
        <f>IFERROR(VLOOKUP($A53,GanttChart!$A:$JD,2,FALSE),"خطا")</f>
        <v>جمع بندی نيازمنديهای فرايند شناخت و تدوین سند معماری محتوا (تدریجی)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167"/>
      <c r="I53" s="69">
        <f t="shared" si="0"/>
        <v>0</v>
      </c>
    </row>
    <row r="54" spans="1:15" ht="14.25">
      <c r="A54" s="62">
        <v>3.6</v>
      </c>
      <c r="B54" s="62"/>
      <c r="C54" s="67" t="str">
        <f>IFERROR(VLOOKUP($A54,GanttChart!$A:$JD,2,FALSE),"خطا")</f>
        <v xml:space="preserve"> بررسی و تایید مستند معماری محتوا توسط کارفرما (تدریجی)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167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پیاده سازی نمای گرافیکی نسخه فارسی بانک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167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پیاده سازی صفحه ایستا معرفی بانک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167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>پیاده سازی صفحه ایستا دعوت به همکاری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167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پیاده سازی صفحه ایستا مدارس بانک اقتصاد نوین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167"/>
      <c r="I58" s="69">
        <f t="shared" si="0"/>
        <v>0</v>
      </c>
    </row>
    <row r="59" spans="1:15" ht="14.25" hidden="1">
      <c r="A59" s="62">
        <v>3.12</v>
      </c>
      <c r="B59" s="62"/>
      <c r="C59" s="67" t="str">
        <f>IFERROR(VLOOKUP($A59,GanttChart!$A:$JD,2,FALSE),"خطا")</f>
        <v>پیاده سازی صفحه ایستا اعتبارات اسنادی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167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پیاده سازی صفحه ایستا سامانه های موبایلی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167"/>
      <c r="I60" s="69">
        <f t="shared" si="0"/>
        <v>0</v>
      </c>
    </row>
    <row r="61" spans="1:15" ht="14.25" hidden="1">
      <c r="A61" s="62">
        <v>3.14</v>
      </c>
      <c r="B61" s="62"/>
      <c r="C61" s="67" t="str">
        <f>IFERROR(VLOOKUP($A61,GanttChart!$A:$JD,2,FALSE),"خطا")</f>
        <v>پیاده سازی صفحه ایستا کارت های بانکی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167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پیاده سازی صفحه ایستا اطلاعات تماس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167"/>
      <c r="I62" s="69">
        <f t="shared" si="0"/>
        <v>0</v>
      </c>
    </row>
    <row r="63" spans="1:15" ht="14.25" hidden="1">
      <c r="A63" s="62">
        <v>3.16</v>
      </c>
      <c r="B63" s="62"/>
      <c r="C63" s="67" t="str">
        <f>IFERROR(VLOOKUP($A63,GanttChart!$A:$JD,2,FALSE),"خطا")</f>
        <v>پیاده سازی صفحه ایستا طرح صبا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167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پیاده سازی صفحه ایستا طرح کوشان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167"/>
      <c r="I64" s="69">
        <f t="shared" si="0"/>
        <v>0</v>
      </c>
    </row>
    <row r="65" spans="1:9" ht="14.25" hidden="1">
      <c r="A65" s="62">
        <v>3.18</v>
      </c>
      <c r="B65" s="62"/>
      <c r="C65" s="67" t="str">
        <f>IFERROR(VLOOKUP($A65,GanttChart!$A:$JD,2,FALSE),"خطا")</f>
        <v>پیاده سازی صفحه ایستا جشنواره حساب های قرض الحسته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167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>پیاده سازی صفحه ورودی ویژه همکاران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167"/>
      <c r="I66" s="69">
        <f t="shared" si="0"/>
        <v>0</v>
      </c>
    </row>
    <row r="67" spans="1:9" ht="14.25" hidden="1">
      <c r="A67" s="62">
        <v>3.21</v>
      </c>
      <c r="B67" s="62"/>
      <c r="C67" s="67" t="str">
        <f>IFERROR(VLOOKUP($A67,GanttChart!$A:$JD,2,FALSE),"خطا")</f>
        <v>پیاده سازی نمای گرافیکی نسخه انگلیسی بانک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167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تحویل اقدامات پیاده سازی نمای گرافیکی بانک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167"/>
      <c r="I68" s="69">
        <f t="shared" si="0"/>
        <v>0</v>
      </c>
    </row>
    <row r="69" spans="1:9" ht="14.25" hidden="1">
      <c r="A69" s="62">
        <v>3.23</v>
      </c>
      <c r="B69" s="62"/>
      <c r="C69" s="67" t="str">
        <f>IFERROR(VLOOKUP($A69,GanttChart!$A:$JD,2,FALSE),"خطا")</f>
        <v>خطا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167"/>
      <c r="I69" s="69">
        <f t="shared" si="0"/>
        <v>0</v>
      </c>
    </row>
    <row r="70" spans="1:9" ht="14.25" hidden="1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IFERROR(VLOOKUP($A70,GanttChart!$A:$JD,261,FALSE),0)</f>
        <v>0</v>
      </c>
      <c r="E70" s="68">
        <f>IFERROR(VLOOKUP($A70,GanttChart!$A:$JD,262,FALSE),0)</f>
        <v>0</v>
      </c>
      <c r="F70" s="68">
        <f>IFERROR(VLOOKUP($A70,GanttChart!$A:$JD,263,FALSE),0)</f>
        <v>0</v>
      </c>
      <c r="G70" s="69">
        <f>IFERROR(VLOOKUP($A70,GanttChart!$A:$JD,264,FALSE),0)</f>
        <v>0</v>
      </c>
      <c r="H70" s="167"/>
      <c r="I70" s="69">
        <f t="shared" si="0"/>
        <v>0</v>
      </c>
    </row>
    <row r="71" spans="1:9" ht="14.25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167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167"/>
      <c r="I72" s="69">
        <f t="shared" si="0"/>
        <v>0</v>
      </c>
    </row>
    <row r="73" spans="1:9" ht="14.25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167"/>
      <c r="I73" s="69">
        <f t="shared" si="0"/>
        <v>0</v>
      </c>
    </row>
    <row r="74" spans="1:9" ht="14.25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167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دسته سرويس هاي تخصصي بانکی (6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167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خطا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167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167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167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167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167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167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167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167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167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167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167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167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167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167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167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167"/>
      <c r="I91" s="69">
        <f t="shared" si="0"/>
        <v>0</v>
      </c>
    </row>
    <row r="92" spans="1:12" ht="14.25" hidden="1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IFERROR(VLOOKUP($A92,GanttChart!$A:$JD,261,FALSE),0)</f>
        <v>0</v>
      </c>
      <c r="E92" s="68">
        <f>IFERROR(VLOOKUP($A92,GanttChart!$A:$JD,262,FALSE),0)</f>
        <v>0</v>
      </c>
      <c r="F92" s="68">
        <f>IFERROR(VLOOKUP($A92,GanttChart!$A:$JD,263,FALSE),0)</f>
        <v>0</v>
      </c>
      <c r="G92" s="69">
        <f>IFERROR(VLOOKUP($A92,GanttChart!$A:$JD,264,FALSE),0)</f>
        <v>0</v>
      </c>
      <c r="H92" s="167"/>
      <c r="I92" s="69">
        <f t="shared" si="0"/>
        <v>0</v>
      </c>
    </row>
    <row r="93" spans="1:12" ht="14.25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167"/>
      <c r="I93" s="69">
        <f t="shared" si="0"/>
        <v>0</v>
      </c>
      <c r="K93" s="66"/>
      <c r="L93" s="72"/>
    </row>
    <row r="94" spans="1:12" ht="14.25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167"/>
      <c r="I94" s="69">
        <f t="shared" si="0"/>
        <v>0</v>
      </c>
    </row>
    <row r="95" spans="1:12" ht="14.25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167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167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167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167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167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167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167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167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167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167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167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167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167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167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167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167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167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167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167"/>
      <c r="I113" s="69">
        <f t="shared" si="0"/>
        <v>0</v>
      </c>
    </row>
    <row r="114" spans="1:9" ht="14.25" hidden="1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IFERROR(VLOOKUP($A114,GanttChart!$A:$JD,261,FALSE),0)</f>
        <v>0</v>
      </c>
      <c r="E114" s="68">
        <f>IFERROR(VLOOKUP($A114,GanttChart!$A:$JD,262,FALSE),0)</f>
        <v>0</v>
      </c>
      <c r="F114" s="68">
        <f>IFERROR(VLOOKUP($A114,GanttChart!$A:$JD,263,FALSE),0)</f>
        <v>0</v>
      </c>
      <c r="G114" s="69">
        <f>IFERROR(VLOOKUP($A114,GanttChart!$A:$JD,264,FALSE),0)</f>
        <v>0</v>
      </c>
      <c r="H114" s="167"/>
      <c r="I114" s="69">
        <f t="shared" si="0"/>
        <v>0</v>
      </c>
    </row>
    <row r="115" spans="1:9" ht="22.5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167"/>
      <c r="I115" s="69">
        <f t="shared" si="0"/>
        <v>0</v>
      </c>
    </row>
    <row r="116" spans="1:9" ht="14.25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167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167"/>
      <c r="I117" s="69">
        <f t="shared" si="0"/>
        <v>0</v>
      </c>
    </row>
    <row r="118" spans="1:9" ht="14.25">
      <c r="A118" s="62">
        <v>6.4</v>
      </c>
      <c r="C118" s="67" t="str">
        <f>IFERROR(VLOOKUP($A118,GanttChart!$A:$JD,2,FALSE),"خطا")</f>
        <v>ارائه دسترسی به وب سرویس استعلام ضمانت و شبا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167"/>
      <c r="I118" s="69">
        <f t="shared" si="0"/>
        <v>0</v>
      </c>
    </row>
    <row r="119" spans="1:9" ht="14.25">
      <c r="A119" s="62">
        <v>6.5</v>
      </c>
      <c r="C119" s="67" t="str">
        <f>IFERROR(VLOOKUP($A119,GanttChart!$A:$JD,2,FALSE),"خطا")</f>
        <v>خطا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167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167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167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167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167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167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167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167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167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167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167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167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167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167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167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167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167"/>
      <c r="I135" s="69">
        <f t="shared" si="0"/>
        <v>0</v>
      </c>
    </row>
    <row r="136" spans="1:9" ht="14.25" hidden="1">
      <c r="A136" s="62">
        <v>7</v>
      </c>
      <c r="C136" s="67" t="str">
        <f>IFERROR(VLOOKUP($A136,GanttChart!$A:$JD,2,FALSE),"خطا")</f>
        <v>تحویل نهايي دستاوردهای پروژه</v>
      </c>
      <c r="D136" s="68">
        <f>IFERROR(VLOOKUP($A136,GanttChart!$A:$JD,261,FALSE),0)</f>
        <v>0</v>
      </c>
      <c r="E136" s="68">
        <f>IFERROR(VLOOKUP($A136,GanttChart!$A:$JD,262,FALSE),0)</f>
        <v>0</v>
      </c>
      <c r="F136" s="68">
        <f>IFERROR(VLOOKUP($A136,GanttChart!$A:$JD,263,FALSE),0)</f>
        <v>0</v>
      </c>
      <c r="G136" s="69">
        <f>IFERROR(VLOOKUP($A136,GanttChart!$A:$JD,264,FALSE),0)</f>
        <v>0</v>
      </c>
      <c r="H136" s="167"/>
      <c r="I136" s="69">
        <f t="shared" si="0"/>
        <v>0</v>
      </c>
    </row>
    <row r="137" spans="1:9" ht="14.25">
      <c r="A137" s="62">
        <v>7.1</v>
      </c>
      <c r="C137" s="67" t="str">
        <f>IFERROR(VLOOKUP($A137,GanttChart!$A:$JD,2,FALSE),"خطا")</f>
        <v>تنظیم و امضاء صورت جلسه تحویل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167"/>
      <c r="I137" s="69">
        <f t="shared" si="0"/>
        <v>0</v>
      </c>
    </row>
    <row r="138" spans="1:9" ht="22.5">
      <c r="A138" s="62">
        <v>7.2</v>
      </c>
      <c r="C138" s="67" t="str">
        <f>IFERROR(VLOOKUP($A138,GanttChart!$A:$JD,2,FALSE),"خطا")</f>
        <v>انجام اقدامات پیکربندی امنیتی در سطح WAF  و قرار گیری سرور در محیط عملیاتی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167"/>
      <c r="I138" s="69">
        <f t="shared" si="0"/>
        <v>0</v>
      </c>
    </row>
    <row r="139" spans="1:9" ht="14.25">
      <c r="A139" s="62">
        <v>7.3</v>
      </c>
      <c r="C139" s="67" t="str">
        <f>IFERROR(VLOOKUP($A139,GanttChart!$A:$JD,2,FALSE),"خطا")</f>
        <v>اجرای تست امنیت و ارائه گزارش مربوطه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167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رفع اشکالات گزارش شده در سطح نرم افزار بر روی سرور اصلی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167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تست مجدد سامانه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167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تایید امنیت سامانه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167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167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167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167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167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167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167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167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167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167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167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167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167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167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167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167"/>
      <c r="I157" s="69">
        <f t="shared" si="0"/>
        <v>0</v>
      </c>
    </row>
    <row r="158" spans="1:9" ht="14.25" hidden="1">
      <c r="A158" s="62">
        <v>8</v>
      </c>
      <c r="C158" s="67" t="str">
        <f>IFERROR(VLOOKUP($A158,GanttChart!$A:$JD,2,FALSE),"خطا")</f>
        <v>تحویل نهايي دستاوردهای پروژه</v>
      </c>
      <c r="D158" s="68">
        <f>IFERROR(VLOOKUP($A158,GanttChart!$A:$JD,261,FALSE),0)</f>
        <v>0</v>
      </c>
      <c r="E158" s="68">
        <f>IFERROR(VLOOKUP($A158,GanttChart!$A:$JD,262,FALSE),0)</f>
        <v>0</v>
      </c>
      <c r="F158" s="68">
        <f>IFERROR(VLOOKUP($A158,GanttChart!$A:$JD,263,FALSE),0)</f>
        <v>0</v>
      </c>
      <c r="G158" s="69">
        <f>IFERROR(VLOOKUP($A158,GanttChart!$A:$JD,264,FALSE),0)</f>
        <v>0</v>
      </c>
      <c r="H158" s="167"/>
      <c r="I158" s="69">
        <f t="shared" si="0"/>
        <v>0</v>
      </c>
    </row>
    <row r="159" spans="1:9" ht="14.25">
      <c r="A159" s="62">
        <v>8.1</v>
      </c>
      <c r="C159" s="67" t="str">
        <f>IFERROR(VLOOKUP($A159,GanttChart!$A:$JD,2,FALSE),"خطا")</f>
        <v>خطا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167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انتقال پورتال به دامنه اصلی کارفرما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167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167"/>
      <c r="I161" s="69">
        <f t="shared" ref="I161:I179" si="1">G161-(H161*G161)</f>
        <v>0</v>
      </c>
    </row>
    <row r="162" spans="1:9" ht="14.25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167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167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167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167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167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167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167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167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167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167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167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167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167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167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167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167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167"/>
      <c r="I178" s="69">
        <f t="shared" si="1"/>
        <v>0</v>
      </c>
    </row>
    <row r="179" spans="1:9" ht="14.25" hidden="1">
      <c r="A179" s="73">
        <v>8.23</v>
      </c>
      <c r="C179" s="67" t="str">
        <f>IFERROR(VLOOKUP($A179,GanttChart!$A:$JD,2,FALSE),"خطا")</f>
        <v>خطا</v>
      </c>
      <c r="D179" s="68">
        <f>IFERROR(VLOOKUP($A179,GanttChart!$A:$JD,261,FALSE),0)</f>
        <v>0</v>
      </c>
      <c r="E179" s="68">
        <f>IFERROR(VLOOKUP($A179,GanttChart!$A:$JD,262,FALSE),0)</f>
        <v>0</v>
      </c>
      <c r="F179" s="68">
        <f>IFERROR(VLOOKUP($A179,GanttChart!$A:$JD,263,FALSE),0)</f>
        <v>0</v>
      </c>
      <c r="G179" s="69">
        <f>IFERROR(VLOOKUP($A179,GanttChart!$A:$JD,264,FALSE),0)</f>
        <v>0</v>
      </c>
      <c r="H179" s="167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SUM(D4:D179)</f>
        <v>0</v>
      </c>
      <c r="E180" s="80">
        <f t="shared" ref="E180:I180" si="2">SUM(E4:E179)</f>
        <v>0</v>
      </c>
      <c r="F180" s="80">
        <f t="shared" si="2"/>
        <v>0</v>
      </c>
      <c r="G180" s="76">
        <f t="shared" si="2"/>
        <v>0</v>
      </c>
      <c r="H180" s="81"/>
      <c r="I180" s="76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40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41"/>
      <c r="H3" s="337"/>
      <c r="I3" s="339"/>
      <c r="J3" s="3"/>
      <c r="K3" s="3"/>
      <c r="L3" s="3"/>
      <c r="M3" s="3"/>
      <c r="N3" s="3"/>
      <c r="O3" s="3"/>
    </row>
    <row r="4" spans="1:15" ht="14.25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SUM(D5:D25)</f>
        <v>0</v>
      </c>
      <c r="E4" s="68">
        <f>SUM(E5:E25)</f>
        <v>0</v>
      </c>
      <c r="F4" s="68">
        <f>SUM(F5:F25)</f>
        <v>0</v>
      </c>
      <c r="G4" s="69">
        <f>SUM(G5:G25)</f>
        <v>0</v>
      </c>
      <c r="H4" s="167">
        <v>1</v>
      </c>
      <c r="I4" s="69">
        <f>G4-(H4*G4)</f>
        <v>0</v>
      </c>
      <c r="J4" s="3"/>
      <c r="K4" s="3"/>
      <c r="L4" s="3"/>
      <c r="M4" s="3"/>
      <c r="N4" s="3"/>
      <c r="O4" s="3"/>
    </row>
    <row r="5" spans="1:15" ht="14.25" hidden="1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70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 hidden="1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70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 hidden="1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70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 hidden="1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70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 hidden="1">
      <c r="A9" s="62">
        <v>1.5</v>
      </c>
      <c r="B9" s="62"/>
      <c r="C9" s="67" t="str">
        <f>IFERROR(VLOOKUP($A9,GanttChart!$A:$JD,2,FALSE),"خطا")</f>
        <v>جلسه دوم پروژه (بررسی نیازمندی های کارفرما و وضع جاری)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70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 hidden="1">
      <c r="A10" s="62">
        <v>1.6</v>
      </c>
      <c r="B10" s="62"/>
      <c r="C10" s="67" t="str">
        <f>IFERROR(VLOOKUP($A10,GanttChart!$A:$JD,2,FALSE),"خطا")</f>
        <v>جلسه سوم(تحویل پروژه)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70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 hidden="1">
      <c r="A11" s="62">
        <v>1.7</v>
      </c>
      <c r="B11" s="62"/>
      <c r="C11" s="67" t="str">
        <f>IFERROR(VLOOKUP($A11,GanttChart!$A:$JD,2,FALSE),"خطا")</f>
        <v>جلسه چهارم (هماهنگی جهت بهره برداری از پروژه)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70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 hidden="1">
      <c r="A12" s="62">
        <v>1.8</v>
      </c>
      <c r="B12" s="62"/>
      <c r="C12" s="67" t="str">
        <f>IFERROR(VLOOKUP($A12,GanttChart!$A:$JD,2,FALSE),"خطا")</f>
        <v>خطا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70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70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70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70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70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70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70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70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70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70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70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70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70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70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SUM(D27:D47)</f>
        <v>0</v>
      </c>
      <c r="E26" s="68">
        <f>SUM(E27:E47)</f>
        <v>0</v>
      </c>
      <c r="F26" s="68">
        <f>SUM(F27:F47)</f>
        <v>0</v>
      </c>
      <c r="G26" s="69">
        <f>SUM(G27:G47)</f>
        <v>0</v>
      </c>
      <c r="H26" s="167" t="e">
        <f>1-J26/G26</f>
        <v>#DIV/0!</v>
      </c>
      <c r="I26" s="69" t="e">
        <f t="shared" si="0"/>
        <v>#DIV/0!</v>
      </c>
      <c r="J26" s="89">
        <v>12000000</v>
      </c>
      <c r="K26" s="87"/>
      <c r="L26" s="88"/>
      <c r="M26" s="3"/>
      <c r="N26" s="3"/>
      <c r="O26" s="3"/>
    </row>
    <row r="27" spans="1:15" ht="22.5" hidden="1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70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 hidden="1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70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 hidden="1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70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 hidden="1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70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70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 hidden="1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70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70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22.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 (در طول قرارداد)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70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70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33.75" hidden="1">
      <c r="A36" s="62">
        <v>2.11</v>
      </c>
      <c r="B36" s="62"/>
      <c r="C36" s="67" t="str">
        <f>IFERROR(VLOOKUP($A36,GanttChart!$A:$JD,2,FALSE),"خطا")</f>
        <v>تامين و آماده سازي شبکه و زيرساخت سخت افزاری و نرم افزاری مورد نياز (سرور  تست) توسط کارفرما منطبق بر مشخصات سرور اصلی و در بستر همسان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70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آماده سازی محیط تست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70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تحویل سرور تست  به کارفرما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70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70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70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70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70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70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70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70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70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70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SUM(D49:D69)</f>
        <v>0</v>
      </c>
      <c r="E48" s="68">
        <f>SUM(E49:E69)</f>
        <v>0</v>
      </c>
      <c r="F48" s="68">
        <f>SUM(F49:F69)</f>
        <v>0</v>
      </c>
      <c r="G48" s="69">
        <f>SUM(G49:G69)</f>
        <v>0</v>
      </c>
      <c r="H48" s="167" t="e">
        <f>1-J48/G48</f>
        <v>#DIV/0!</v>
      </c>
      <c r="I48" s="69" t="e">
        <f t="shared" si="0"/>
        <v>#DIV/0!</v>
      </c>
      <c r="J48" s="89">
        <v>16000000</v>
      </c>
      <c r="K48" s="3"/>
      <c r="L48" s="3"/>
      <c r="M48" s="3"/>
      <c r="N48" s="3"/>
      <c r="O48" s="3"/>
    </row>
    <row r="49" spans="1:15" ht="14.25" hidden="1">
      <c r="A49" s="62">
        <v>3.1</v>
      </c>
      <c r="B49" s="62"/>
      <c r="C49" s="67" t="str">
        <f>IFERROR(VLOOKUP($A49,GanttChart!$A:$JD,2,FALSE),"خطا")</f>
        <v>خطا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70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22.5" hidden="1">
      <c r="A50" s="62">
        <v>3.2</v>
      </c>
      <c r="B50" s="62"/>
      <c r="C50" s="67" t="str">
        <f>IFERROR(VLOOKUP($A50,GanttChart!$A:$JD,2,FALSE),"خطا")</f>
        <v>مطالعه اسناد ارائه ساختار محتوا و بررسی طرح های گرافیکی  ارسالی از سوی کارفرما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70"/>
      <c r="I50" s="69">
        <f t="shared" si="0"/>
        <v>0</v>
      </c>
    </row>
    <row r="51" spans="1:15" ht="22.5" hidden="1">
      <c r="A51" s="62">
        <v>3.3</v>
      </c>
      <c r="B51" s="62"/>
      <c r="C51" s="67" t="str">
        <f>IFERROR(VLOOKUP($A51,GanttChart!$A:$JD,2,FALSE),"خطا")</f>
        <v>تدوین سند شناخت وضع جاری (وب سایت اینترنتی فارسی و انگلیسی و زیر پورتال ویژه همکاران)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70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خطا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70"/>
      <c r="I52" s="69">
        <f t="shared" si="0"/>
        <v>0</v>
      </c>
    </row>
    <row r="53" spans="1:15" ht="14.25" hidden="1">
      <c r="A53" s="62">
        <v>3.5</v>
      </c>
      <c r="B53" s="62"/>
      <c r="C53" s="67" t="str">
        <f>IFERROR(VLOOKUP($A53,GanttChart!$A:$JD,2,FALSE),"خطا")</f>
        <v>جمع بندی نيازمنديهای فرايند شناخت و تدوین سند معماری محتوا (تدریجی)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70"/>
      <c r="I53" s="69">
        <f t="shared" si="0"/>
        <v>0</v>
      </c>
    </row>
    <row r="54" spans="1:15" ht="14.25" hidden="1">
      <c r="A54" s="62">
        <v>3.6</v>
      </c>
      <c r="B54" s="62"/>
      <c r="C54" s="67" t="str">
        <f>IFERROR(VLOOKUP($A54,GanttChart!$A:$JD,2,FALSE),"خطا")</f>
        <v xml:space="preserve"> بررسی و تایید مستند معماری محتوا توسط کارفرما (تدریجی)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70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پیاده سازی نمای گرافیکی نسخه فارسی بانک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70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پیاده سازی صفحه ایستا معرفی بانک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70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>پیاده سازی صفحه ایستا دعوت به همکاری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70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پیاده سازی صفحه ایستا مدارس بانک اقتصاد نوین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70"/>
      <c r="I58" s="69">
        <f t="shared" si="0"/>
        <v>0</v>
      </c>
    </row>
    <row r="59" spans="1:15" ht="14.25" hidden="1">
      <c r="A59" s="62">
        <v>3.12</v>
      </c>
      <c r="B59" s="62"/>
      <c r="C59" s="67" t="str">
        <f>IFERROR(VLOOKUP($A59,GanttChart!$A:$JD,2,FALSE),"خطا")</f>
        <v>پیاده سازی صفحه ایستا اعتبارات اسنادی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70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پیاده سازی صفحه ایستا سامانه های موبایلی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70"/>
      <c r="I60" s="69">
        <f t="shared" si="0"/>
        <v>0</v>
      </c>
    </row>
    <row r="61" spans="1:15" ht="14.25" hidden="1">
      <c r="A61" s="62">
        <v>3.14</v>
      </c>
      <c r="B61" s="62"/>
      <c r="C61" s="67" t="str">
        <f>IFERROR(VLOOKUP($A61,GanttChart!$A:$JD,2,FALSE),"خطا")</f>
        <v>پیاده سازی صفحه ایستا کارت های بانکی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70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پیاده سازی صفحه ایستا اطلاعات تماس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70"/>
      <c r="I62" s="69">
        <f t="shared" si="0"/>
        <v>0</v>
      </c>
    </row>
    <row r="63" spans="1:15" ht="14.25" hidden="1">
      <c r="A63" s="62">
        <v>3.16</v>
      </c>
      <c r="B63" s="62"/>
      <c r="C63" s="67" t="str">
        <f>IFERROR(VLOOKUP($A63,GanttChart!$A:$JD,2,FALSE),"خطا")</f>
        <v>پیاده سازی صفحه ایستا طرح صبا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70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پیاده سازی صفحه ایستا طرح کوشان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70"/>
      <c r="I64" s="69">
        <f t="shared" si="0"/>
        <v>0</v>
      </c>
    </row>
    <row r="65" spans="1:9" ht="14.25" hidden="1">
      <c r="A65" s="62">
        <v>3.18</v>
      </c>
      <c r="B65" s="62"/>
      <c r="C65" s="67" t="str">
        <f>IFERROR(VLOOKUP($A65,GanttChart!$A:$JD,2,FALSE),"خطا")</f>
        <v>پیاده سازی صفحه ایستا جشنواره حساب های قرض الحسته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70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>پیاده سازی صفحه ورودی ویژه همکاران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70"/>
      <c r="I66" s="69">
        <f t="shared" si="0"/>
        <v>0</v>
      </c>
    </row>
    <row r="67" spans="1:9" ht="14.25" hidden="1">
      <c r="A67" s="62">
        <v>3.21</v>
      </c>
      <c r="B67" s="62"/>
      <c r="C67" s="67" t="str">
        <f>IFERROR(VLOOKUP($A67,GanttChart!$A:$JD,2,FALSE),"خطا")</f>
        <v>پیاده سازی نمای گرافیکی نسخه انگلیسی بانک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70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تحویل اقدامات پیاده سازی نمای گرافیکی بانک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70"/>
      <c r="I68" s="69">
        <f t="shared" si="0"/>
        <v>0</v>
      </c>
    </row>
    <row r="69" spans="1:9" ht="14.25" hidden="1">
      <c r="A69" s="62">
        <v>3.23</v>
      </c>
      <c r="B69" s="62"/>
      <c r="C69" s="67" t="str">
        <f>IFERROR(VLOOKUP($A69,GanttChart!$A:$JD,2,FALSE),"خطا")</f>
        <v>خطا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70"/>
      <c r="I69" s="69">
        <f t="shared" si="0"/>
        <v>0</v>
      </c>
    </row>
    <row r="70" spans="1:9" ht="14.25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SUM(D71:D91)</f>
        <v>0</v>
      </c>
      <c r="E70" s="68">
        <f>SUM(E71:E91)</f>
        <v>0</v>
      </c>
      <c r="F70" s="68">
        <f>SUM(F71:F91)</f>
        <v>0</v>
      </c>
      <c r="G70" s="69">
        <f>SUM(G71:G91)</f>
        <v>0</v>
      </c>
      <c r="H70" s="167"/>
      <c r="I70" s="69">
        <f t="shared" si="0"/>
        <v>0</v>
      </c>
    </row>
    <row r="71" spans="1:9" ht="14.25" hidden="1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70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70"/>
      <c r="I72" s="69">
        <f t="shared" si="0"/>
        <v>0</v>
      </c>
    </row>
    <row r="73" spans="1:9" ht="14.25" hidden="1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70"/>
      <c r="I73" s="69">
        <f t="shared" si="0"/>
        <v>0</v>
      </c>
    </row>
    <row r="74" spans="1:9" ht="14.25" hidden="1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70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دسته سرويس هاي تخصصي بانکی (6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70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خطا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70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70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70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70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70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70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70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70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70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70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70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70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70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70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70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70"/>
      <c r="I91" s="69">
        <f t="shared" si="0"/>
        <v>0</v>
      </c>
    </row>
    <row r="92" spans="1:12" ht="14.25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SUM(D93:D113)</f>
        <v>0</v>
      </c>
      <c r="E92" s="68">
        <f>SUM(E93:E113)</f>
        <v>0</v>
      </c>
      <c r="F92" s="68">
        <f>SUM(F93:F113)</f>
        <v>0</v>
      </c>
      <c r="G92" s="69">
        <f>SUM(G93:G113)</f>
        <v>0</v>
      </c>
      <c r="H92" s="167"/>
      <c r="I92" s="69">
        <f t="shared" si="0"/>
        <v>0</v>
      </c>
    </row>
    <row r="93" spans="1:12" ht="14.25" hidden="1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70"/>
      <c r="I93" s="69">
        <f t="shared" si="0"/>
        <v>0</v>
      </c>
      <c r="K93" s="66"/>
      <c r="L93" s="72"/>
    </row>
    <row r="94" spans="1:12" ht="14.25" hidden="1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70"/>
      <c r="I94" s="69">
        <f t="shared" si="0"/>
        <v>0</v>
      </c>
    </row>
    <row r="95" spans="1:12" ht="14.25" hidden="1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70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70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70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70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70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70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70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70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70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70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70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70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70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70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70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70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70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70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70"/>
      <c r="I113" s="69">
        <f t="shared" si="0"/>
        <v>0</v>
      </c>
    </row>
    <row r="114" spans="1:9" ht="14.25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SUM(D115:D135)</f>
        <v>0</v>
      </c>
      <c r="E114" s="68">
        <f>SUM(E115:E135)</f>
        <v>0</v>
      </c>
      <c r="F114" s="68">
        <f>SUM(F115:F135)</f>
        <v>0</v>
      </c>
      <c r="G114" s="69">
        <f>SUM(G115:G135)</f>
        <v>0</v>
      </c>
      <c r="H114" s="167"/>
      <c r="I114" s="69">
        <f t="shared" si="0"/>
        <v>0</v>
      </c>
    </row>
    <row r="115" spans="1:9" ht="22.5" hidden="1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70"/>
      <c r="I115" s="69">
        <f t="shared" si="0"/>
        <v>0</v>
      </c>
    </row>
    <row r="116" spans="1:9" ht="14.25" hidden="1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70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70"/>
      <c r="I117" s="69">
        <f t="shared" si="0"/>
        <v>0</v>
      </c>
    </row>
    <row r="118" spans="1:9" ht="14.25" hidden="1">
      <c r="A118" s="62">
        <v>6.4</v>
      </c>
      <c r="C118" s="67" t="str">
        <f>IFERROR(VLOOKUP($A118,GanttChart!$A:$JD,2,FALSE),"خطا")</f>
        <v>ارائه دسترسی به وب سرویس استعلام ضمانت و شبا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70"/>
      <c r="I118" s="69">
        <f t="shared" si="0"/>
        <v>0</v>
      </c>
    </row>
    <row r="119" spans="1:9" ht="14.25" hidden="1">
      <c r="A119" s="62">
        <v>6.5</v>
      </c>
      <c r="C119" s="67" t="str">
        <f>IFERROR(VLOOKUP($A119,GanttChart!$A:$JD,2,FALSE),"خطا")</f>
        <v>خطا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70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70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70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70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70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70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70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70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70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70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70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70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70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70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70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70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70"/>
      <c r="I135" s="69">
        <f t="shared" si="0"/>
        <v>0</v>
      </c>
    </row>
    <row r="136" spans="1:9" ht="14.25">
      <c r="A136" s="62">
        <v>7</v>
      </c>
      <c r="C136" s="67" t="str">
        <f>IFERROR(VLOOKUP($A136,GanttChart!$A:$JD,2,FALSE),"خطا")</f>
        <v>تحویل نهايي دستاوردهای پروژه</v>
      </c>
      <c r="D136" s="68">
        <f>SUM(D137:D157)</f>
        <v>0</v>
      </c>
      <c r="E136" s="68">
        <f>SUM(E137:E157)</f>
        <v>0</v>
      </c>
      <c r="F136" s="68">
        <f>SUM(F137:F157)</f>
        <v>0</v>
      </c>
      <c r="G136" s="69">
        <f>SUM(G137:G157)</f>
        <v>0</v>
      </c>
      <c r="H136" s="167">
        <v>1</v>
      </c>
      <c r="I136" s="69">
        <f t="shared" si="0"/>
        <v>0</v>
      </c>
    </row>
    <row r="137" spans="1:9" ht="14.25" hidden="1">
      <c r="A137" s="62">
        <v>7.1</v>
      </c>
      <c r="C137" s="67" t="str">
        <f>IFERROR(VLOOKUP($A137,GanttChart!$A:$JD,2,FALSE),"خطا")</f>
        <v>تنظیم و امضاء صورت جلسه تحویل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70"/>
      <c r="I137" s="69">
        <f t="shared" si="0"/>
        <v>0</v>
      </c>
    </row>
    <row r="138" spans="1:9" ht="22.5" hidden="1">
      <c r="A138" s="62">
        <v>7.2</v>
      </c>
      <c r="C138" s="67" t="str">
        <f>IFERROR(VLOOKUP($A138,GanttChart!$A:$JD,2,FALSE),"خطا")</f>
        <v>انجام اقدامات پیکربندی امنیتی در سطح WAF  و قرار گیری سرور در محیط عملیاتی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70"/>
      <c r="I138" s="69">
        <f t="shared" si="0"/>
        <v>0</v>
      </c>
    </row>
    <row r="139" spans="1:9" ht="14.25" hidden="1">
      <c r="A139" s="62">
        <v>7.3</v>
      </c>
      <c r="C139" s="67" t="str">
        <f>IFERROR(VLOOKUP($A139,GanttChart!$A:$JD,2,FALSE),"خطا")</f>
        <v>اجرای تست امنیت و ارائه گزارش مربوطه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70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رفع اشکالات گزارش شده در سطح نرم افزار بر روی سرور اصلی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70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تست مجدد سامانه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70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تایید امنیت سامانه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70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70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70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70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70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70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70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70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70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70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70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70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70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70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70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70"/>
      <c r="I157" s="69">
        <f t="shared" si="0"/>
        <v>0</v>
      </c>
    </row>
    <row r="158" spans="1:9" ht="14.25">
      <c r="A158" s="62">
        <v>8</v>
      </c>
      <c r="C158" s="67" t="str">
        <f>IFERROR(VLOOKUP($A158,GanttChart!$A:$JD,2,FALSE),"خطا")</f>
        <v>تحویل نهايي دستاوردهای پروژه</v>
      </c>
      <c r="D158" s="68">
        <f>SUM(D159:D179)</f>
        <v>0</v>
      </c>
      <c r="E158" s="68">
        <f>SUM(E159:E179)</f>
        <v>0</v>
      </c>
      <c r="F158" s="68">
        <f>SUM(F159:F179)</f>
        <v>0</v>
      </c>
      <c r="G158" s="69">
        <f>SUM(G159:G179)</f>
        <v>0</v>
      </c>
      <c r="H158" s="167">
        <v>1</v>
      </c>
      <c r="I158" s="69">
        <f t="shared" si="0"/>
        <v>0</v>
      </c>
    </row>
    <row r="159" spans="1:9" ht="14.25" hidden="1">
      <c r="A159" s="62">
        <v>8.1</v>
      </c>
      <c r="C159" s="67" t="str">
        <f>IFERROR(VLOOKUP($A159,GanttChart!$A:$JD,2,FALSE),"خطا")</f>
        <v>خطا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70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انتقال پورتال به دامنه اصلی کارفرما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70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74"/>
      <c r="I161" s="69">
        <f t="shared" ref="I161:I179" si="1">G161-(H161*G161)</f>
        <v>0</v>
      </c>
    </row>
    <row r="162" spans="1:9" ht="14.25" hidden="1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74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74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74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74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74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74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74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74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74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74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74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74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74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74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74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74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74"/>
      <c r="I178" s="69">
        <f t="shared" si="1"/>
        <v>0</v>
      </c>
    </row>
    <row r="179" spans="1:9" ht="14.25" hidden="1">
      <c r="A179" s="73">
        <v>8.23</v>
      </c>
      <c r="C179" s="77" t="str">
        <f>IFERROR(VLOOKUP($A179,GanttChart!$A:$JD,2,FALSE),"خطا")</f>
        <v>خطا</v>
      </c>
      <c r="D179" s="78">
        <f>IFERROR(VLOOKUP($A179,GanttChart!$A:$JD,261,FALSE),0)</f>
        <v>0</v>
      </c>
      <c r="E179" s="78">
        <f>IFERROR(VLOOKUP($A179,GanttChart!$A:$JD,262,FALSE),0)</f>
        <v>0</v>
      </c>
      <c r="F179" s="78">
        <f>IFERROR(VLOOKUP($A179,GanttChart!$A:$JD,263,FALSE),0)</f>
        <v>0</v>
      </c>
      <c r="G179" s="75">
        <f>IFERROR(VLOOKUP($A179,GanttChart!$A:$JD,264,FALSE),0)</f>
        <v>0</v>
      </c>
      <c r="H179" s="74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SUM(D4,D26,D48,D70,D92,D114,D136,D158)</f>
        <v>0</v>
      </c>
      <c r="E180" s="80">
        <f>SUM(E4,E26,E48,E70,E92,F114,F136,F158)</f>
        <v>0</v>
      </c>
      <c r="F180" s="80">
        <f>SUM(F4,F26,F48,F70,F92,F114,F136,F158)</f>
        <v>0</v>
      </c>
      <c r="G180" s="76">
        <f>SUM(G4,G26,G48,G70,G92,G114,G136,G158)</f>
        <v>0</v>
      </c>
      <c r="H180" s="81"/>
      <c r="I180" s="76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5">
      <c r="A1" s="9" t="s">
        <v>34</v>
      </c>
      <c r="B1" s="9" t="s">
        <v>38</v>
      </c>
      <c r="C1" s="9" t="s">
        <v>37</v>
      </c>
      <c r="D1" s="9" t="s">
        <v>35</v>
      </c>
      <c r="E1" s="9" t="s">
        <v>36</v>
      </c>
      <c r="F1" s="9" t="s">
        <v>11</v>
      </c>
    </row>
    <row r="2" spans="1:6" ht="15">
      <c r="A2" s="10" t="s">
        <v>75</v>
      </c>
      <c r="B2" s="10" t="str">
        <f t="shared" ref="B2:B27" si="0">LEFT(A2,4)</f>
        <v>1398</v>
      </c>
      <c r="C2" s="10" t="str">
        <f t="shared" ref="C2:C27" si="1">MID(A2,6,2)</f>
        <v>01</v>
      </c>
      <c r="D2" s="10">
        <v>1</v>
      </c>
      <c r="E2" s="9" t="str">
        <f>IF(j_WEEKDAY(A2)=6,1,"")</f>
        <v/>
      </c>
      <c r="F2" s="11" t="s">
        <v>12</v>
      </c>
    </row>
    <row r="3" spans="1:6" ht="15">
      <c r="A3" s="10" t="s">
        <v>76</v>
      </c>
      <c r="B3" s="10" t="str">
        <f t="shared" si="0"/>
        <v>1398</v>
      </c>
      <c r="C3" s="10" t="str">
        <f t="shared" si="1"/>
        <v>01</v>
      </c>
      <c r="D3" s="10">
        <v>1</v>
      </c>
      <c r="E3" s="9">
        <f>IF(j_WEEKDAY(A3)=6,1,"")</f>
        <v>1</v>
      </c>
      <c r="F3" s="11" t="s">
        <v>12</v>
      </c>
    </row>
    <row r="4" spans="1:6" ht="15">
      <c r="A4" s="10" t="s">
        <v>77</v>
      </c>
      <c r="B4" s="10" t="str">
        <f t="shared" si="0"/>
        <v>1398</v>
      </c>
      <c r="C4" s="10" t="str">
        <f t="shared" si="1"/>
        <v>01</v>
      </c>
      <c r="D4" s="10">
        <v>1</v>
      </c>
      <c r="E4" s="9" t="str">
        <f>IF(j_WEEKDAY(A4)=6,1,"")</f>
        <v/>
      </c>
      <c r="F4" s="11" t="s">
        <v>12</v>
      </c>
    </row>
    <row r="5" spans="1:6" ht="15">
      <c r="A5" s="10" t="s">
        <v>78</v>
      </c>
      <c r="B5" s="10" t="str">
        <f t="shared" si="0"/>
        <v>1398</v>
      </c>
      <c r="C5" s="10" t="str">
        <f t="shared" si="1"/>
        <v>01</v>
      </c>
      <c r="D5" s="10">
        <v>1</v>
      </c>
      <c r="E5" s="9" t="str">
        <f>IF(j_WEEKDAY(A5)=6,1,"")</f>
        <v/>
      </c>
      <c r="F5" s="11" t="s">
        <v>12</v>
      </c>
    </row>
    <row r="6" spans="1:6" ht="15">
      <c r="A6" s="10" t="s">
        <v>79</v>
      </c>
      <c r="B6" s="10" t="str">
        <f t="shared" si="0"/>
        <v>1398</v>
      </c>
      <c r="C6" s="10" t="str">
        <f t="shared" si="1"/>
        <v>01</v>
      </c>
      <c r="D6" s="10">
        <v>1</v>
      </c>
      <c r="E6" s="9" t="str">
        <f>IF(j_WEEKDAY(A6)=6,1,"")</f>
        <v/>
      </c>
      <c r="F6" s="11" t="s">
        <v>13</v>
      </c>
    </row>
    <row r="7" spans="1:6" ht="15">
      <c r="A7" s="10" t="s">
        <v>80</v>
      </c>
      <c r="B7" s="10" t="str">
        <f t="shared" si="0"/>
        <v>1398</v>
      </c>
      <c r="C7" s="10" t="str">
        <f t="shared" si="1"/>
        <v>01</v>
      </c>
      <c r="D7" s="10">
        <v>1</v>
      </c>
      <c r="E7" s="9" t="str">
        <f>IF(j_WEEKDAY(A7)=6,1,"")</f>
        <v/>
      </c>
      <c r="F7" s="11" t="s">
        <v>14</v>
      </c>
    </row>
    <row r="8" spans="1:6" ht="15">
      <c r="A8" s="10" t="s">
        <v>85</v>
      </c>
      <c r="B8" s="10" t="str">
        <f t="shared" si="0"/>
        <v>1398</v>
      </c>
      <c r="C8" s="10" t="str">
        <f t="shared" si="1"/>
        <v>01</v>
      </c>
      <c r="D8" s="10">
        <v>1</v>
      </c>
      <c r="E8" s="9" t="str">
        <f>IF(j_WEEKDAY(A8)=6,1,"")</f>
        <v/>
      </c>
      <c r="F8" s="11" t="s">
        <v>19</v>
      </c>
    </row>
    <row r="9" spans="1:6" ht="15">
      <c r="A9" s="10" t="s">
        <v>86</v>
      </c>
      <c r="B9" s="10" t="str">
        <f t="shared" si="0"/>
        <v>1398</v>
      </c>
      <c r="C9" s="10" t="str">
        <f t="shared" si="1"/>
        <v>02</v>
      </c>
      <c r="D9" s="10">
        <v>1</v>
      </c>
      <c r="E9" s="9" t="str">
        <f>IF(j_WEEKDAY(A9)=6,1,"")</f>
        <v/>
      </c>
      <c r="F9" s="12" t="s">
        <v>20</v>
      </c>
    </row>
    <row r="10" spans="1:6" ht="15">
      <c r="A10" s="10" t="s">
        <v>87</v>
      </c>
      <c r="B10" s="10" t="str">
        <f t="shared" si="0"/>
        <v>1398</v>
      </c>
      <c r="C10" s="10" t="str">
        <f t="shared" si="1"/>
        <v>03</v>
      </c>
      <c r="D10" s="10">
        <v>1</v>
      </c>
      <c r="E10" s="9" t="str">
        <f>IF(j_WEEKDAY(A10)=6,1,"")</f>
        <v/>
      </c>
      <c r="F10" s="11" t="s">
        <v>21</v>
      </c>
    </row>
    <row r="11" spans="1:6" ht="15">
      <c r="A11" s="10" t="s">
        <v>81</v>
      </c>
      <c r="B11" s="10" t="str">
        <f t="shared" si="0"/>
        <v>1398</v>
      </c>
      <c r="C11" s="10" t="str">
        <f t="shared" si="1"/>
        <v>03</v>
      </c>
      <c r="D11" s="10">
        <v>1</v>
      </c>
      <c r="E11" s="9" t="str">
        <f>IF(j_WEEKDAY(A11)=6,1,"")</f>
        <v/>
      </c>
      <c r="F11" s="11" t="s">
        <v>17</v>
      </c>
    </row>
    <row r="12" spans="1:6" ht="15">
      <c r="A12" s="10" t="s">
        <v>82</v>
      </c>
      <c r="B12" s="10" t="str">
        <f t="shared" si="0"/>
        <v>1398</v>
      </c>
      <c r="C12" s="10" t="str">
        <f t="shared" si="1"/>
        <v>03</v>
      </c>
      <c r="D12" s="10">
        <v>1</v>
      </c>
      <c r="E12" s="9" t="str">
        <f>IF(j_WEEKDAY(A12)=6,1,"")</f>
        <v/>
      </c>
      <c r="F12" s="11" t="s">
        <v>18</v>
      </c>
    </row>
    <row r="13" spans="1:6" ht="15">
      <c r="A13" s="10" t="s">
        <v>88</v>
      </c>
      <c r="B13" s="10" t="str">
        <f t="shared" si="0"/>
        <v>1398</v>
      </c>
      <c r="C13" s="10" t="str">
        <f t="shared" si="1"/>
        <v>03</v>
      </c>
      <c r="D13" s="10">
        <v>1</v>
      </c>
      <c r="E13" s="9" t="str">
        <f>IF(j_WEEKDAY(A13)=6,1,"")</f>
        <v/>
      </c>
      <c r="F13" s="11" t="s">
        <v>22</v>
      </c>
    </row>
    <row r="14" spans="1:6" ht="15">
      <c r="A14" s="10" t="s">
        <v>89</v>
      </c>
      <c r="B14" s="10" t="str">
        <f t="shared" si="0"/>
        <v>1398</v>
      </c>
      <c r="C14" s="10" t="str">
        <f t="shared" si="1"/>
        <v>04</v>
      </c>
      <c r="D14" s="10">
        <v>1</v>
      </c>
      <c r="E14" s="9" t="str">
        <f>IF(j_WEEKDAY(A14)=6,1,"")</f>
        <v/>
      </c>
      <c r="F14" s="11" t="s">
        <v>23</v>
      </c>
    </row>
    <row r="15" spans="1:6" ht="15">
      <c r="A15" s="10" t="s">
        <v>90</v>
      </c>
      <c r="B15" s="10" t="str">
        <f t="shared" si="0"/>
        <v>1398</v>
      </c>
      <c r="C15" s="10" t="str">
        <f t="shared" si="1"/>
        <v>05</v>
      </c>
      <c r="D15" s="10">
        <v>1</v>
      </c>
      <c r="E15" s="9" t="str">
        <f>IF(j_WEEKDAY(A15)=6,1,"")</f>
        <v/>
      </c>
      <c r="F15" s="11" t="s">
        <v>24</v>
      </c>
    </row>
    <row r="16" spans="1:6" ht="15">
      <c r="A16" s="10" t="s">
        <v>91</v>
      </c>
      <c r="B16" s="10" t="str">
        <f t="shared" si="0"/>
        <v>1398</v>
      </c>
      <c r="C16" s="10" t="str">
        <f t="shared" si="1"/>
        <v>05</v>
      </c>
      <c r="D16" s="10">
        <v>1</v>
      </c>
      <c r="E16" s="9" t="str">
        <f>IF(j_WEEKDAY(A16)=6,1,"")</f>
        <v/>
      </c>
      <c r="F16" s="11" t="s">
        <v>25</v>
      </c>
    </row>
    <row r="17" spans="1:6" ht="15">
      <c r="A17" s="10" t="s">
        <v>92</v>
      </c>
      <c r="B17" s="10" t="str">
        <f t="shared" si="0"/>
        <v>1398</v>
      </c>
      <c r="C17" s="10" t="str">
        <f t="shared" si="1"/>
        <v>06</v>
      </c>
      <c r="D17" s="10">
        <v>1</v>
      </c>
      <c r="E17" s="9" t="str">
        <f>IF(j_WEEKDAY(A17)=6,1,"")</f>
        <v/>
      </c>
      <c r="F17" s="11" t="s">
        <v>26</v>
      </c>
    </row>
    <row r="18" spans="1:6" ht="15">
      <c r="A18" s="10" t="s">
        <v>93</v>
      </c>
      <c r="B18" s="10" t="str">
        <f t="shared" si="0"/>
        <v>1398</v>
      </c>
      <c r="C18" s="10" t="str">
        <f t="shared" si="1"/>
        <v>06</v>
      </c>
      <c r="D18" s="10">
        <v>1</v>
      </c>
      <c r="E18" s="9" t="str">
        <f>IF(j_WEEKDAY(A18)=6,1,"")</f>
        <v/>
      </c>
      <c r="F18" s="11" t="s">
        <v>27</v>
      </c>
    </row>
    <row r="19" spans="1:6" ht="15">
      <c r="A19" s="10" t="s">
        <v>94</v>
      </c>
      <c r="B19" s="10" t="str">
        <f t="shared" si="0"/>
        <v>1398</v>
      </c>
      <c r="C19" s="10" t="str">
        <f t="shared" si="1"/>
        <v>07</v>
      </c>
      <c r="D19" s="10">
        <v>1</v>
      </c>
      <c r="E19" s="9" t="str">
        <f>IF(j_WEEKDAY(A19)=6,1,"")</f>
        <v/>
      </c>
      <c r="F19" s="11" t="s">
        <v>28</v>
      </c>
    </row>
    <row r="20" spans="1:6" ht="15">
      <c r="A20" s="10" t="s">
        <v>95</v>
      </c>
      <c r="B20" s="10" t="str">
        <f t="shared" si="0"/>
        <v>1398</v>
      </c>
      <c r="C20" s="10" t="str">
        <f t="shared" si="1"/>
        <v>08</v>
      </c>
      <c r="D20" s="10">
        <v>1</v>
      </c>
      <c r="E20" s="9" t="str">
        <f>IF(j_WEEKDAY(A20)=6,1,"")</f>
        <v/>
      </c>
      <c r="F20" s="11" t="s">
        <v>29</v>
      </c>
    </row>
    <row r="21" spans="1:6" ht="15">
      <c r="A21" s="10" t="s">
        <v>96</v>
      </c>
      <c r="B21" s="10" t="str">
        <f t="shared" si="0"/>
        <v>1398</v>
      </c>
      <c r="C21" s="10" t="str">
        <f t="shared" si="1"/>
        <v>08</v>
      </c>
      <c r="D21" s="10">
        <v>1</v>
      </c>
      <c r="E21" s="9" t="str">
        <f>IF(j_WEEKDAY(A21)=6,1,"")</f>
        <v/>
      </c>
      <c r="F21" s="11" t="s">
        <v>30</v>
      </c>
    </row>
    <row r="22" spans="1:6" ht="15">
      <c r="A22" s="10" t="s">
        <v>97</v>
      </c>
      <c r="B22" s="10" t="str">
        <f t="shared" si="0"/>
        <v>1398</v>
      </c>
      <c r="C22" s="10" t="str">
        <f t="shared" si="1"/>
        <v>08</v>
      </c>
      <c r="D22" s="10">
        <v>1</v>
      </c>
      <c r="E22" s="9" t="str">
        <f>IF(j_WEEKDAY(A22)=6,1,"")</f>
        <v/>
      </c>
      <c r="F22" s="11" t="s">
        <v>98</v>
      </c>
    </row>
    <row r="23" spans="1:6" ht="15">
      <c r="A23" s="10" t="s">
        <v>99</v>
      </c>
      <c r="B23" s="10" t="str">
        <f t="shared" si="0"/>
        <v>1398</v>
      </c>
      <c r="C23" s="10" t="str">
        <f t="shared" si="1"/>
        <v>08</v>
      </c>
      <c r="D23" s="10">
        <v>1</v>
      </c>
      <c r="E23" s="9">
        <f>IF(j_WEEKDAY(A23)=6,1,"")</f>
        <v>1</v>
      </c>
      <c r="F23" s="11" t="s">
        <v>31</v>
      </c>
    </row>
    <row r="24" spans="1:6" ht="15">
      <c r="A24" s="10" t="s">
        <v>100</v>
      </c>
      <c r="B24" s="10" t="str">
        <f t="shared" si="0"/>
        <v>1398</v>
      </c>
      <c r="C24" s="10" t="str">
        <f t="shared" si="1"/>
        <v>11</v>
      </c>
      <c r="D24" s="10">
        <v>1</v>
      </c>
      <c r="E24" s="9" t="str">
        <f>IF(j_WEEKDAY(A24)=6,1,"")</f>
        <v/>
      </c>
      <c r="F24" s="11" t="s">
        <v>15</v>
      </c>
    </row>
    <row r="25" spans="1:6" ht="15">
      <c r="A25" s="10" t="s">
        <v>83</v>
      </c>
      <c r="B25" s="10" t="str">
        <f t="shared" si="0"/>
        <v>1398</v>
      </c>
      <c r="C25" s="10" t="str">
        <f t="shared" si="1"/>
        <v>11</v>
      </c>
      <c r="D25" s="10">
        <v>1</v>
      </c>
      <c r="E25" s="9" t="str">
        <f>IF(j_WEEKDAY(A25)=6,1,"")</f>
        <v/>
      </c>
      <c r="F25" s="11" t="s">
        <v>32</v>
      </c>
    </row>
    <row r="26" spans="1:6" ht="15">
      <c r="A26" s="10" t="s">
        <v>101</v>
      </c>
      <c r="B26" s="10" t="str">
        <f t="shared" si="0"/>
        <v>1398</v>
      </c>
      <c r="C26" s="10" t="str">
        <f t="shared" si="1"/>
        <v>12</v>
      </c>
      <c r="D26" s="10">
        <v>1</v>
      </c>
      <c r="E26" s="9" t="str">
        <f>IF(j_WEEKDAY(A26)=6,1,"")</f>
        <v/>
      </c>
      <c r="F26" s="11" t="s">
        <v>16</v>
      </c>
    </row>
    <row r="27" spans="1:6" ht="15">
      <c r="A27" s="10" t="s">
        <v>84</v>
      </c>
      <c r="B27" s="10" t="str">
        <f t="shared" si="0"/>
        <v>1398</v>
      </c>
      <c r="C27" s="10" t="str">
        <f t="shared" si="1"/>
        <v>12</v>
      </c>
      <c r="D27" s="10">
        <v>1</v>
      </c>
      <c r="E27" s="9" t="str">
        <f>IF(j_WEEKDAY(A27)=6,1,"")</f>
        <v/>
      </c>
      <c r="F27" s="11" t="s">
        <v>33</v>
      </c>
    </row>
    <row r="28" spans="1:6" ht="15">
      <c r="A28" s="168" t="s">
        <v>51</v>
      </c>
      <c r="B28" s="168"/>
      <c r="C28" s="168"/>
      <c r="D28" s="168">
        <f>SUBTOTAL(109,Holieday[ok])</f>
        <v>26</v>
      </c>
      <c r="E28" s="168">
        <f>SUBTOTAL(109,Holieday[Friday])</f>
        <v>2</v>
      </c>
      <c r="F28" s="169"/>
    </row>
    <row r="29" spans="1:6" ht="15">
      <c r="A29" s="10"/>
      <c r="B29" s="10" t="str">
        <f t="shared" ref="B29:B54" si="2">LEFT(A29,4)</f>
        <v/>
      </c>
      <c r="C29" s="10" t="str">
        <f t="shared" ref="C29:C54" si="3">MID(A29,6,2)</f>
        <v/>
      </c>
      <c r="D29" s="10"/>
      <c r="E29" s="9"/>
      <c r="F29" s="11"/>
    </row>
    <row r="30" spans="1:6" ht="15">
      <c r="A30" s="10"/>
      <c r="B30" s="10" t="str">
        <f t="shared" si="2"/>
        <v/>
      </c>
      <c r="C30" s="10" t="str">
        <f t="shared" si="3"/>
        <v/>
      </c>
      <c r="D30" s="10"/>
      <c r="E30" s="9"/>
      <c r="F30" s="11"/>
    </row>
    <row r="31" spans="1:6" ht="15">
      <c r="A31" s="10"/>
      <c r="B31" s="10" t="str">
        <f t="shared" si="2"/>
        <v/>
      </c>
      <c r="C31" s="10" t="str">
        <f t="shared" si="3"/>
        <v/>
      </c>
      <c r="D31" s="10"/>
      <c r="E31" s="9"/>
      <c r="F31" s="11"/>
    </row>
    <row r="32" spans="1:6" ht="15">
      <c r="A32" s="10"/>
      <c r="B32" s="10" t="str">
        <f t="shared" si="2"/>
        <v/>
      </c>
      <c r="C32" s="10" t="str">
        <f t="shared" si="3"/>
        <v/>
      </c>
      <c r="D32" s="10"/>
      <c r="E32" s="9"/>
      <c r="F32" s="11"/>
    </row>
    <row r="33" spans="1:6" ht="15">
      <c r="A33" s="10"/>
      <c r="B33" s="10" t="str">
        <f t="shared" si="2"/>
        <v/>
      </c>
      <c r="C33" s="10" t="str">
        <f t="shared" si="3"/>
        <v/>
      </c>
      <c r="D33" s="10"/>
      <c r="E33" s="9"/>
      <c r="F33" s="11"/>
    </row>
    <row r="34" spans="1:6" ht="15">
      <c r="A34" s="10"/>
      <c r="B34" s="10" t="str">
        <f t="shared" si="2"/>
        <v/>
      </c>
      <c r="C34" s="10" t="str">
        <f t="shared" si="3"/>
        <v/>
      </c>
      <c r="D34" s="10"/>
      <c r="E34" s="9"/>
      <c r="F34" s="11"/>
    </row>
    <row r="35" spans="1:6" ht="15">
      <c r="A35" s="10"/>
      <c r="B35" s="10" t="str">
        <f t="shared" si="2"/>
        <v/>
      </c>
      <c r="C35" s="10" t="str">
        <f t="shared" si="3"/>
        <v/>
      </c>
      <c r="D35" s="10"/>
      <c r="E35" s="9"/>
      <c r="F35" s="11"/>
    </row>
    <row r="36" spans="1:6" ht="15">
      <c r="A36" s="10"/>
      <c r="B36" s="10" t="str">
        <f t="shared" si="2"/>
        <v/>
      </c>
      <c r="C36" s="10" t="str">
        <f t="shared" si="3"/>
        <v/>
      </c>
      <c r="D36" s="10"/>
      <c r="E36" s="9"/>
      <c r="F36" s="11"/>
    </row>
    <row r="37" spans="1:6" ht="15">
      <c r="A37" s="10"/>
      <c r="B37" s="10" t="str">
        <f t="shared" si="2"/>
        <v/>
      </c>
      <c r="C37" s="10" t="str">
        <f t="shared" si="3"/>
        <v/>
      </c>
      <c r="D37" s="10"/>
      <c r="E37" s="9"/>
      <c r="F37" s="11"/>
    </row>
    <row r="38" spans="1:6" ht="15">
      <c r="A38" s="10"/>
      <c r="B38" s="10" t="str">
        <f t="shared" si="2"/>
        <v/>
      </c>
      <c r="C38" s="10" t="str">
        <f t="shared" si="3"/>
        <v/>
      </c>
      <c r="D38" s="10"/>
      <c r="E38" s="9"/>
      <c r="F38" s="11"/>
    </row>
    <row r="39" spans="1:6" ht="15">
      <c r="A39" s="10"/>
      <c r="B39" s="10" t="str">
        <f t="shared" si="2"/>
        <v/>
      </c>
      <c r="C39" s="10" t="str">
        <f t="shared" si="3"/>
        <v/>
      </c>
      <c r="D39" s="10"/>
      <c r="E39" s="9"/>
      <c r="F39" s="11"/>
    </row>
    <row r="40" spans="1:6" ht="15">
      <c r="A40" s="10"/>
      <c r="B40" s="10" t="str">
        <f t="shared" si="2"/>
        <v/>
      </c>
      <c r="C40" s="10" t="str">
        <f t="shared" si="3"/>
        <v/>
      </c>
      <c r="D40" s="10"/>
      <c r="E40" s="9"/>
      <c r="F40" s="11"/>
    </row>
    <row r="41" spans="1:6" ht="15">
      <c r="A41" s="10"/>
      <c r="B41" s="10" t="str">
        <f t="shared" si="2"/>
        <v/>
      </c>
      <c r="C41" s="10" t="str">
        <f t="shared" si="3"/>
        <v/>
      </c>
      <c r="D41" s="10"/>
      <c r="E41" s="9"/>
      <c r="F41" s="11"/>
    </row>
    <row r="42" spans="1:6" ht="15">
      <c r="A42" s="10"/>
      <c r="B42" s="10" t="str">
        <f t="shared" si="2"/>
        <v/>
      </c>
      <c r="C42" s="10" t="str">
        <f t="shared" si="3"/>
        <v/>
      </c>
      <c r="D42" s="10"/>
      <c r="E42" s="9"/>
      <c r="F42" s="11"/>
    </row>
    <row r="43" spans="1:6" ht="15">
      <c r="A43" s="10"/>
      <c r="B43" s="10" t="str">
        <f t="shared" si="2"/>
        <v/>
      </c>
      <c r="C43" s="10" t="str">
        <f t="shared" si="3"/>
        <v/>
      </c>
      <c r="D43" s="10"/>
      <c r="E43" s="9"/>
      <c r="F43" s="11"/>
    </row>
    <row r="44" spans="1:6" ht="15">
      <c r="A44" s="10"/>
      <c r="B44" s="10" t="str">
        <f t="shared" si="2"/>
        <v/>
      </c>
      <c r="C44" s="10" t="str">
        <f t="shared" si="3"/>
        <v/>
      </c>
      <c r="D44" s="10"/>
      <c r="E44" s="9"/>
      <c r="F44" s="11"/>
    </row>
    <row r="45" spans="1:6" ht="15">
      <c r="A45" s="10"/>
      <c r="B45" s="10" t="str">
        <f t="shared" si="2"/>
        <v/>
      </c>
      <c r="C45" s="10" t="str">
        <f t="shared" si="3"/>
        <v/>
      </c>
      <c r="D45" s="10"/>
      <c r="E45" s="9"/>
      <c r="F45" s="11"/>
    </row>
    <row r="46" spans="1:6" ht="15">
      <c r="A46" s="10"/>
      <c r="B46" s="10" t="str">
        <f t="shared" si="2"/>
        <v/>
      </c>
      <c r="C46" s="10" t="str">
        <f t="shared" si="3"/>
        <v/>
      </c>
      <c r="D46" s="10"/>
      <c r="E46" s="9"/>
      <c r="F46" s="11"/>
    </row>
    <row r="47" spans="1:6" ht="15">
      <c r="A47" s="10"/>
      <c r="B47" s="10" t="str">
        <f t="shared" si="2"/>
        <v/>
      </c>
      <c r="C47" s="10" t="str">
        <f t="shared" si="3"/>
        <v/>
      </c>
      <c r="D47" s="10"/>
      <c r="E47" s="9"/>
      <c r="F47" s="11"/>
    </row>
    <row r="48" spans="1:6" ht="15">
      <c r="A48" s="10"/>
      <c r="B48" s="10" t="str">
        <f t="shared" si="2"/>
        <v/>
      </c>
      <c r="C48" s="10" t="str">
        <f t="shared" si="3"/>
        <v/>
      </c>
      <c r="D48" s="10"/>
      <c r="E48" s="9"/>
      <c r="F48" s="11"/>
    </row>
    <row r="49" spans="1:6" ht="15">
      <c r="A49" s="10"/>
      <c r="B49" s="10" t="str">
        <f t="shared" si="2"/>
        <v/>
      </c>
      <c r="C49" s="10" t="str">
        <f t="shared" si="3"/>
        <v/>
      </c>
      <c r="D49" s="10"/>
      <c r="E49" s="9"/>
      <c r="F49" s="11"/>
    </row>
    <row r="50" spans="1:6" ht="15">
      <c r="A50" s="10"/>
      <c r="B50" s="10" t="str">
        <f t="shared" si="2"/>
        <v/>
      </c>
      <c r="C50" s="10" t="str">
        <f t="shared" si="3"/>
        <v/>
      </c>
      <c r="D50" s="10"/>
      <c r="E50" s="9"/>
      <c r="F50" s="11"/>
    </row>
    <row r="51" spans="1:6" ht="15">
      <c r="A51" s="10"/>
      <c r="B51" s="10" t="str">
        <f t="shared" si="2"/>
        <v/>
      </c>
      <c r="C51" s="10" t="str">
        <f t="shared" si="3"/>
        <v/>
      </c>
      <c r="D51" s="10"/>
      <c r="E51" s="9"/>
      <c r="F51" s="11"/>
    </row>
    <row r="52" spans="1:6" ht="15">
      <c r="A52" s="10"/>
      <c r="B52" s="10" t="str">
        <f t="shared" si="2"/>
        <v/>
      </c>
      <c r="C52" s="10" t="str">
        <f t="shared" si="3"/>
        <v/>
      </c>
      <c r="D52" s="10"/>
      <c r="E52" s="9"/>
      <c r="F52" s="11"/>
    </row>
    <row r="53" spans="1:6" ht="15">
      <c r="A53" s="10"/>
      <c r="B53" s="10" t="str">
        <f t="shared" si="2"/>
        <v/>
      </c>
      <c r="C53" s="10" t="str">
        <f t="shared" si="3"/>
        <v/>
      </c>
      <c r="D53" s="10"/>
      <c r="E53" s="9"/>
      <c r="F53" s="11"/>
    </row>
    <row r="54" spans="1:6" ht="15">
      <c r="A54" s="10"/>
      <c r="B54" s="10" t="str">
        <f t="shared" si="2"/>
        <v/>
      </c>
      <c r="C54" s="10" t="str">
        <f t="shared" si="3"/>
        <v/>
      </c>
      <c r="D54" s="10"/>
      <c r="E54" s="9"/>
      <c r="F54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2020-01-08T06:59:31Z</cp:lastPrinted>
  <dcterms:created xsi:type="dcterms:W3CDTF">2006-11-11T15:27:14Z</dcterms:created>
  <dcterms:modified xsi:type="dcterms:W3CDTF">2020-02-10T15:16:31Z</dcterms:modified>
  <cp:category>gant</cp:category>
</cp:coreProperties>
</file>