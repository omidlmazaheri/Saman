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ak\Desktop\New folder (3)\"/>
    </mc:Choice>
  </mc:AlternateContent>
  <bookViews>
    <workbookView showSheetTabs="0" xWindow="0" yWindow="0" windowWidth="11595" windowHeight="4635"/>
  </bookViews>
  <sheets>
    <sheet name="GanttChart" sheetId="8" r:id="rId1"/>
    <sheet name="Income Person-hours" sheetId="10" r:id="rId2"/>
    <sheet name="Report 1" sheetId="14" r:id="rId3"/>
    <sheet name="Report 2" sheetId="13" r:id="rId4"/>
    <sheet name="Holidays" sheetId="9" r:id="rId5"/>
  </sheets>
  <functionGroups builtInGroupCount="18"/>
  <definedNames>
    <definedName name="_xlnm._FilterDatabase" localSheetId="0" hidden="1">GanttChart!$A$8:$Q$79</definedName>
    <definedName name="_xlnm._FilterDatabase" localSheetId="2" hidden="1">'Report 1'!$A$2:$I$180</definedName>
    <definedName name="_xlnm._FilterDatabase" localSheetId="3" hidden="1">'Report 2'!$A$1:$I$180</definedName>
    <definedName name="a" localSheetId="0">GanttChart!$B$1:$GA$79</definedName>
    <definedName name="_xlnm.Print_Area" localSheetId="0">GanttChart!$A$1:$DI$79</definedName>
    <definedName name="_xlnm.Print_Area" localSheetId="2">'Report 1'!$B$1:$I$180</definedName>
    <definedName name="_xlnm.Print_Area" localSheetId="3">'Report 2'!$B$1:$I$180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68" i="8" l="1"/>
  <c r="K69" i="8"/>
  <c r="K73" i="8"/>
  <c r="K74" i="8"/>
  <c r="K75" i="8"/>
  <c r="K76" i="8"/>
  <c r="JD72" i="8"/>
  <c r="K72" i="8"/>
  <c r="JD71" i="8"/>
  <c r="K71" i="8"/>
  <c r="K27" i="8"/>
  <c r="K28" i="8"/>
  <c r="K29" i="8"/>
  <c r="K70" i="8" l="1"/>
  <c r="IL16" i="8"/>
  <c r="IH16" i="8"/>
  <c r="E16" i="8"/>
  <c r="IR15" i="8" l="1"/>
  <c r="IN15" i="8"/>
  <c r="IX14" i="8"/>
  <c r="E14" i="8"/>
  <c r="E15" i="8"/>
  <c r="IT14" i="8" l="1"/>
  <c r="C3" i="8"/>
  <c r="B1" i="8" l="1"/>
  <c r="E17" i="9"/>
  <c r="E4" i="9"/>
  <c r="E16" i="9"/>
  <c r="E11" i="9"/>
  <c r="E21" i="9"/>
  <c r="E6" i="9"/>
  <c r="E19" i="9"/>
  <c r="E20" i="9"/>
  <c r="E12" i="9"/>
  <c r="E25" i="9"/>
  <c r="E2" i="9"/>
  <c r="E15" i="9"/>
  <c r="E8" i="8"/>
  <c r="E7" i="9"/>
  <c r="E13" i="9"/>
  <c r="E23" i="9"/>
  <c r="E14" i="9"/>
  <c r="E26" i="9"/>
  <c r="E8" i="9"/>
  <c r="E10" i="9"/>
  <c r="E27" i="9"/>
  <c r="E22" i="9"/>
  <c r="E5" i="9"/>
  <c r="E24" i="9"/>
  <c r="E9" i="9"/>
  <c r="E18" i="9"/>
  <c r="E3" i="9"/>
  <c r="K19" i="8" l="1"/>
  <c r="K18" i="8"/>
  <c r="K10" i="8"/>
  <c r="D3" i="8"/>
  <c r="D28" i="9" l="1"/>
  <c r="C5" i="14" l="1"/>
  <c r="C6" i="14"/>
  <c r="C7" i="14"/>
  <c r="C8" i="14"/>
  <c r="C9" i="14"/>
  <c r="C10" i="14"/>
  <c r="C11" i="14"/>
  <c r="C12" i="14"/>
  <c r="C27" i="14"/>
  <c r="C28" i="14"/>
  <c r="C29" i="14"/>
  <c r="C30" i="14"/>
  <c r="C32" i="14"/>
  <c r="C49" i="14"/>
  <c r="C51" i="14"/>
  <c r="C53" i="14"/>
  <c r="C54" i="14"/>
  <c r="C71" i="14"/>
  <c r="C73" i="14"/>
  <c r="C74" i="14"/>
  <c r="C93" i="14"/>
  <c r="C94" i="14"/>
  <c r="C95" i="14"/>
  <c r="C115" i="14"/>
  <c r="C116" i="14"/>
  <c r="C118" i="14"/>
  <c r="C119" i="14"/>
  <c r="C137" i="14"/>
  <c r="C138" i="14"/>
  <c r="C139" i="14"/>
  <c r="C159" i="14"/>
  <c r="C16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31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50" i="14"/>
  <c r="C52" i="14"/>
  <c r="C55" i="14"/>
  <c r="C56" i="14"/>
  <c r="C57" i="14"/>
  <c r="C58" i="14"/>
  <c r="C59" i="14"/>
  <c r="C60" i="14"/>
  <c r="C61" i="14"/>
  <c r="C62" i="14"/>
  <c r="C63" i="14"/>
  <c r="C64" i="14"/>
  <c r="C65" i="14"/>
  <c r="C66" i="14"/>
  <c r="C67" i="14"/>
  <c r="C68" i="14"/>
  <c r="C69" i="14"/>
  <c r="C70" i="14"/>
  <c r="C72" i="14"/>
  <c r="C75" i="14"/>
  <c r="C76" i="14"/>
  <c r="C77" i="14"/>
  <c r="C78" i="14"/>
  <c r="C79" i="14"/>
  <c r="C80" i="14"/>
  <c r="C81" i="14"/>
  <c r="C82" i="14"/>
  <c r="C83" i="14"/>
  <c r="C84" i="14"/>
  <c r="C85" i="14"/>
  <c r="C86" i="14"/>
  <c r="C87" i="14"/>
  <c r="C88" i="14"/>
  <c r="C89" i="14"/>
  <c r="C90" i="14"/>
  <c r="C91" i="14"/>
  <c r="C92" i="14"/>
  <c r="C96" i="14"/>
  <c r="C97" i="14"/>
  <c r="C98" i="14"/>
  <c r="C99" i="14"/>
  <c r="C100" i="14"/>
  <c r="C101" i="14"/>
  <c r="C102" i="14"/>
  <c r="C103" i="14"/>
  <c r="C104" i="14"/>
  <c r="C105" i="14"/>
  <c r="C106" i="14"/>
  <c r="C107" i="14"/>
  <c r="C108" i="14"/>
  <c r="C109" i="14"/>
  <c r="C110" i="14"/>
  <c r="C111" i="14"/>
  <c r="C112" i="14"/>
  <c r="C113" i="14"/>
  <c r="C114" i="14"/>
  <c r="C117" i="14"/>
  <c r="C120" i="14"/>
  <c r="C121" i="14"/>
  <c r="C122" i="14"/>
  <c r="C123" i="14"/>
  <c r="C124" i="14"/>
  <c r="C125" i="14"/>
  <c r="C126" i="14"/>
  <c r="C127" i="14"/>
  <c r="C128" i="14"/>
  <c r="C129" i="14"/>
  <c r="C130" i="14"/>
  <c r="C131" i="14"/>
  <c r="C132" i="14"/>
  <c r="C133" i="14"/>
  <c r="C134" i="14"/>
  <c r="C135" i="14"/>
  <c r="C136" i="14"/>
  <c r="C140" i="14"/>
  <c r="C141" i="14"/>
  <c r="C142" i="14"/>
  <c r="C143" i="14"/>
  <c r="C144" i="14"/>
  <c r="C145" i="14"/>
  <c r="C146" i="14"/>
  <c r="C147" i="14"/>
  <c r="C148" i="14"/>
  <c r="C149" i="14"/>
  <c r="C150" i="14"/>
  <c r="C151" i="14"/>
  <c r="C152" i="14"/>
  <c r="C153" i="14"/>
  <c r="C154" i="14"/>
  <c r="C155" i="14"/>
  <c r="C156" i="14"/>
  <c r="C157" i="14"/>
  <c r="C158" i="14"/>
  <c r="C160" i="14"/>
  <c r="C161" i="14"/>
  <c r="C163" i="14"/>
  <c r="C164" i="14"/>
  <c r="C165" i="14"/>
  <c r="C166" i="14"/>
  <c r="C167" i="14"/>
  <c r="C168" i="14"/>
  <c r="C169" i="14"/>
  <c r="C170" i="14"/>
  <c r="C171" i="14"/>
  <c r="C172" i="14"/>
  <c r="C173" i="14"/>
  <c r="C174" i="14"/>
  <c r="C175" i="14"/>
  <c r="C176" i="14"/>
  <c r="C177" i="14"/>
  <c r="C178" i="14"/>
  <c r="C179" i="14"/>
  <c r="A7" i="10" l="1"/>
  <c r="A1" i="10"/>
  <c r="G8" i="10"/>
  <c r="F8" i="10"/>
  <c r="D8" i="10"/>
  <c r="D5" i="14"/>
  <c r="E5" i="14"/>
  <c r="F5" i="14"/>
  <c r="D6" i="14"/>
  <c r="E6" i="14"/>
  <c r="F6" i="14"/>
  <c r="D7" i="14"/>
  <c r="E7" i="14"/>
  <c r="F7" i="14"/>
  <c r="D8" i="14"/>
  <c r="E8" i="14"/>
  <c r="F8" i="14"/>
  <c r="D9" i="14"/>
  <c r="E9" i="14"/>
  <c r="F9" i="14"/>
  <c r="D10" i="14"/>
  <c r="E10" i="14"/>
  <c r="F10" i="14"/>
  <c r="D11" i="14"/>
  <c r="E11" i="14"/>
  <c r="F11" i="14"/>
  <c r="D12" i="14"/>
  <c r="E12" i="14"/>
  <c r="F12" i="14"/>
  <c r="D13" i="14"/>
  <c r="E13" i="14"/>
  <c r="F13" i="14"/>
  <c r="D14" i="14"/>
  <c r="E14" i="14"/>
  <c r="F14" i="14"/>
  <c r="D15" i="14"/>
  <c r="E15" i="14"/>
  <c r="F15" i="14"/>
  <c r="D16" i="14"/>
  <c r="E16" i="14"/>
  <c r="F16" i="14"/>
  <c r="D17" i="14"/>
  <c r="E17" i="14"/>
  <c r="F17" i="14"/>
  <c r="D18" i="14"/>
  <c r="E18" i="14"/>
  <c r="F18" i="14"/>
  <c r="D19" i="14"/>
  <c r="E19" i="14"/>
  <c r="F19" i="14"/>
  <c r="D20" i="14"/>
  <c r="E20" i="14"/>
  <c r="F20" i="14"/>
  <c r="D21" i="14"/>
  <c r="E21" i="14"/>
  <c r="F21" i="14"/>
  <c r="D22" i="14"/>
  <c r="E22" i="14"/>
  <c r="F22" i="14"/>
  <c r="D23" i="14"/>
  <c r="E23" i="14"/>
  <c r="F23" i="14"/>
  <c r="D24" i="14"/>
  <c r="E24" i="14"/>
  <c r="F24" i="14"/>
  <c r="D25" i="14"/>
  <c r="E25" i="14"/>
  <c r="F25" i="14"/>
  <c r="D26" i="14"/>
  <c r="E26" i="14"/>
  <c r="F26" i="14"/>
  <c r="G26" i="14"/>
  <c r="I26" i="14" s="1"/>
  <c r="D27" i="14"/>
  <c r="E27" i="14"/>
  <c r="F27" i="14"/>
  <c r="D28" i="14"/>
  <c r="E28" i="14"/>
  <c r="F28" i="14"/>
  <c r="D29" i="14"/>
  <c r="E29" i="14"/>
  <c r="F29" i="14"/>
  <c r="D30" i="14"/>
  <c r="E30" i="14"/>
  <c r="F30" i="14"/>
  <c r="D31" i="14"/>
  <c r="E31" i="14"/>
  <c r="F31" i="14"/>
  <c r="D32" i="14"/>
  <c r="E32" i="14"/>
  <c r="F32" i="14"/>
  <c r="D33" i="14"/>
  <c r="E33" i="14"/>
  <c r="F33" i="14"/>
  <c r="D34" i="14"/>
  <c r="E34" i="14"/>
  <c r="F34" i="14"/>
  <c r="D35" i="14"/>
  <c r="E35" i="14"/>
  <c r="F35" i="14"/>
  <c r="D36" i="14"/>
  <c r="E36" i="14"/>
  <c r="F36" i="14"/>
  <c r="D37" i="14"/>
  <c r="E37" i="14"/>
  <c r="F37" i="14"/>
  <c r="D38" i="14"/>
  <c r="E38" i="14"/>
  <c r="F38" i="14"/>
  <c r="D39" i="14"/>
  <c r="E39" i="14"/>
  <c r="F39" i="14"/>
  <c r="D40" i="14"/>
  <c r="E40" i="14"/>
  <c r="F40" i="14"/>
  <c r="D41" i="14"/>
  <c r="E41" i="14"/>
  <c r="F41" i="14"/>
  <c r="D42" i="14"/>
  <c r="E42" i="14"/>
  <c r="F42" i="14"/>
  <c r="D43" i="14"/>
  <c r="E43" i="14"/>
  <c r="F43" i="14"/>
  <c r="D44" i="14"/>
  <c r="E44" i="14"/>
  <c r="F44" i="14"/>
  <c r="D45" i="14"/>
  <c r="E45" i="14"/>
  <c r="F45" i="14"/>
  <c r="G45" i="14"/>
  <c r="I45" i="14" s="1"/>
  <c r="D46" i="14"/>
  <c r="E46" i="14"/>
  <c r="F46" i="14"/>
  <c r="G46" i="14"/>
  <c r="I46" i="14" s="1"/>
  <c r="D47" i="14"/>
  <c r="E47" i="14"/>
  <c r="F47" i="14"/>
  <c r="G47" i="14"/>
  <c r="I47" i="14" s="1"/>
  <c r="D48" i="14"/>
  <c r="E48" i="14"/>
  <c r="F48" i="14"/>
  <c r="G48" i="14"/>
  <c r="I48" i="14" s="1"/>
  <c r="D49" i="14"/>
  <c r="E49" i="14"/>
  <c r="F49" i="14"/>
  <c r="D50" i="14"/>
  <c r="E50" i="14"/>
  <c r="F50" i="14"/>
  <c r="D51" i="14"/>
  <c r="E51" i="14"/>
  <c r="F51" i="14"/>
  <c r="D52" i="14"/>
  <c r="E52" i="14"/>
  <c r="F52" i="14"/>
  <c r="D53" i="14"/>
  <c r="E53" i="14"/>
  <c r="F53" i="14"/>
  <c r="D54" i="14"/>
  <c r="E54" i="14"/>
  <c r="F54" i="14"/>
  <c r="D55" i="14"/>
  <c r="E55" i="14"/>
  <c r="F55" i="14"/>
  <c r="D56" i="14"/>
  <c r="E56" i="14"/>
  <c r="F56" i="14"/>
  <c r="D57" i="14"/>
  <c r="E57" i="14"/>
  <c r="F57" i="14"/>
  <c r="D58" i="14"/>
  <c r="E58" i="14"/>
  <c r="F58" i="14"/>
  <c r="D59" i="14"/>
  <c r="E59" i="14"/>
  <c r="F59" i="14"/>
  <c r="D60" i="14"/>
  <c r="E60" i="14"/>
  <c r="F60" i="14"/>
  <c r="D61" i="14"/>
  <c r="E61" i="14"/>
  <c r="F61" i="14"/>
  <c r="D62" i="14"/>
  <c r="E62" i="14"/>
  <c r="F62" i="14"/>
  <c r="D63" i="14"/>
  <c r="E63" i="14"/>
  <c r="F63" i="14"/>
  <c r="D64" i="14"/>
  <c r="E64" i="14"/>
  <c r="F64" i="14"/>
  <c r="D65" i="14"/>
  <c r="E65" i="14"/>
  <c r="F65" i="14"/>
  <c r="D66" i="14"/>
  <c r="E66" i="14"/>
  <c r="F66" i="14"/>
  <c r="D67" i="14"/>
  <c r="E67" i="14"/>
  <c r="F67" i="14"/>
  <c r="D68" i="14"/>
  <c r="E68" i="14"/>
  <c r="F68" i="14"/>
  <c r="D69" i="14"/>
  <c r="E69" i="14"/>
  <c r="F69" i="14"/>
  <c r="D70" i="14"/>
  <c r="E70" i="14"/>
  <c r="F70" i="14"/>
  <c r="G70" i="14"/>
  <c r="I70" i="14" s="1"/>
  <c r="D71" i="14"/>
  <c r="E71" i="14"/>
  <c r="F71" i="14"/>
  <c r="D72" i="14"/>
  <c r="E72" i="14"/>
  <c r="F72" i="14"/>
  <c r="D73" i="14"/>
  <c r="E73" i="14"/>
  <c r="F73" i="14"/>
  <c r="D74" i="14"/>
  <c r="E74" i="14"/>
  <c r="F74" i="14"/>
  <c r="D75" i="14"/>
  <c r="E75" i="14"/>
  <c r="F75" i="14"/>
  <c r="D76" i="14"/>
  <c r="E76" i="14"/>
  <c r="F76" i="14"/>
  <c r="D77" i="14"/>
  <c r="E77" i="14"/>
  <c r="F77" i="14"/>
  <c r="D78" i="14"/>
  <c r="E78" i="14"/>
  <c r="F78" i="14"/>
  <c r="D79" i="14"/>
  <c r="E79" i="14"/>
  <c r="F79" i="14"/>
  <c r="D80" i="14"/>
  <c r="E80" i="14"/>
  <c r="F80" i="14"/>
  <c r="D81" i="14"/>
  <c r="E81" i="14"/>
  <c r="F81" i="14"/>
  <c r="D82" i="14"/>
  <c r="E82" i="14"/>
  <c r="F82" i="14"/>
  <c r="D83" i="14"/>
  <c r="E83" i="14"/>
  <c r="F83" i="14"/>
  <c r="D84" i="14"/>
  <c r="E84" i="14"/>
  <c r="F84" i="14"/>
  <c r="D85" i="14"/>
  <c r="E85" i="14"/>
  <c r="F85" i="14"/>
  <c r="D86" i="14"/>
  <c r="E86" i="14"/>
  <c r="F86" i="14"/>
  <c r="D87" i="14"/>
  <c r="E87" i="14"/>
  <c r="F87" i="14"/>
  <c r="D88" i="14"/>
  <c r="E88" i="14"/>
  <c r="F88" i="14"/>
  <c r="D89" i="14"/>
  <c r="E89" i="14"/>
  <c r="F89" i="14"/>
  <c r="D90" i="14"/>
  <c r="E90" i="14"/>
  <c r="F90" i="14"/>
  <c r="D91" i="14"/>
  <c r="E91" i="14"/>
  <c r="F91" i="14"/>
  <c r="D92" i="14"/>
  <c r="E92" i="14"/>
  <c r="F92" i="14"/>
  <c r="G92" i="14"/>
  <c r="I92" i="14" s="1"/>
  <c r="D93" i="14"/>
  <c r="E93" i="14"/>
  <c r="F93" i="14"/>
  <c r="D94" i="14"/>
  <c r="E94" i="14"/>
  <c r="F94" i="14"/>
  <c r="D95" i="14"/>
  <c r="E95" i="14"/>
  <c r="F95" i="14"/>
  <c r="D96" i="14"/>
  <c r="E96" i="14"/>
  <c r="F96" i="14"/>
  <c r="D97" i="14"/>
  <c r="E97" i="14"/>
  <c r="F97" i="14"/>
  <c r="D98" i="14"/>
  <c r="E98" i="14"/>
  <c r="F98" i="14"/>
  <c r="D99" i="14"/>
  <c r="E99" i="14"/>
  <c r="F99" i="14"/>
  <c r="D100" i="14"/>
  <c r="E100" i="14"/>
  <c r="F100" i="14"/>
  <c r="D101" i="14"/>
  <c r="E101" i="14"/>
  <c r="F101" i="14"/>
  <c r="D102" i="14"/>
  <c r="E102" i="14"/>
  <c r="F102" i="14"/>
  <c r="D103" i="14"/>
  <c r="E103" i="14"/>
  <c r="F103" i="14"/>
  <c r="D104" i="14"/>
  <c r="E104" i="14"/>
  <c r="F104" i="14"/>
  <c r="D105" i="14"/>
  <c r="E105" i="14"/>
  <c r="F105" i="14"/>
  <c r="D106" i="14"/>
  <c r="E106" i="14"/>
  <c r="F106" i="14"/>
  <c r="D107" i="14"/>
  <c r="E107" i="14"/>
  <c r="F107" i="14"/>
  <c r="D108" i="14"/>
  <c r="E108" i="14"/>
  <c r="F108" i="14"/>
  <c r="D109" i="14"/>
  <c r="E109" i="14"/>
  <c r="F109" i="14"/>
  <c r="D110" i="14"/>
  <c r="E110" i="14"/>
  <c r="F110" i="14"/>
  <c r="D111" i="14"/>
  <c r="E111" i="14"/>
  <c r="F111" i="14"/>
  <c r="D112" i="14"/>
  <c r="E112" i="14"/>
  <c r="F112" i="14"/>
  <c r="D113" i="14"/>
  <c r="E113" i="14"/>
  <c r="F113" i="14"/>
  <c r="D114" i="14"/>
  <c r="E114" i="14"/>
  <c r="F114" i="14"/>
  <c r="G114" i="14"/>
  <c r="I114" i="14" s="1"/>
  <c r="D115" i="14"/>
  <c r="E115" i="14"/>
  <c r="F115" i="14"/>
  <c r="D116" i="14"/>
  <c r="E116" i="14"/>
  <c r="F116" i="14"/>
  <c r="D117" i="14"/>
  <c r="E117" i="14"/>
  <c r="F117" i="14"/>
  <c r="D118" i="14"/>
  <c r="E118" i="14"/>
  <c r="F118" i="14"/>
  <c r="D119" i="14"/>
  <c r="E119" i="14"/>
  <c r="F119" i="14"/>
  <c r="D120" i="14"/>
  <c r="E120" i="14"/>
  <c r="F120" i="14"/>
  <c r="D121" i="14"/>
  <c r="E121" i="14"/>
  <c r="F121" i="14"/>
  <c r="D122" i="14"/>
  <c r="E122" i="14"/>
  <c r="F122" i="14"/>
  <c r="D123" i="14"/>
  <c r="E123" i="14"/>
  <c r="F123" i="14"/>
  <c r="D124" i="14"/>
  <c r="E124" i="14"/>
  <c r="F124" i="14"/>
  <c r="D125" i="14"/>
  <c r="E125" i="14"/>
  <c r="F125" i="14"/>
  <c r="D126" i="14"/>
  <c r="E126" i="14"/>
  <c r="F126" i="14"/>
  <c r="D127" i="14"/>
  <c r="E127" i="14"/>
  <c r="F127" i="14"/>
  <c r="D128" i="14"/>
  <c r="E128" i="14"/>
  <c r="F128" i="14"/>
  <c r="D129" i="14"/>
  <c r="E129" i="14"/>
  <c r="F129" i="14"/>
  <c r="D130" i="14"/>
  <c r="E130" i="14"/>
  <c r="F130" i="14"/>
  <c r="D131" i="14"/>
  <c r="E131" i="14"/>
  <c r="F131" i="14"/>
  <c r="D132" i="14"/>
  <c r="E132" i="14"/>
  <c r="F132" i="14"/>
  <c r="D133" i="14"/>
  <c r="E133" i="14"/>
  <c r="F133" i="14"/>
  <c r="D134" i="14"/>
  <c r="E134" i="14"/>
  <c r="F134" i="14"/>
  <c r="D135" i="14"/>
  <c r="E135" i="14"/>
  <c r="F135" i="14"/>
  <c r="D136" i="14"/>
  <c r="E136" i="14"/>
  <c r="F136" i="14"/>
  <c r="G136" i="14"/>
  <c r="I136" i="14" s="1"/>
  <c r="D137" i="14"/>
  <c r="E137" i="14"/>
  <c r="F137" i="14"/>
  <c r="D138" i="14"/>
  <c r="E138" i="14"/>
  <c r="F138" i="14"/>
  <c r="D139" i="14"/>
  <c r="E139" i="14"/>
  <c r="F139" i="14"/>
  <c r="D140" i="14"/>
  <c r="E140" i="14"/>
  <c r="F140" i="14"/>
  <c r="D141" i="14"/>
  <c r="E141" i="14"/>
  <c r="F141" i="14"/>
  <c r="D142" i="14"/>
  <c r="E142" i="14"/>
  <c r="F142" i="14"/>
  <c r="D143" i="14"/>
  <c r="E143" i="14"/>
  <c r="F143" i="14"/>
  <c r="D144" i="14"/>
  <c r="E144" i="14"/>
  <c r="F144" i="14"/>
  <c r="D145" i="14"/>
  <c r="E145" i="14"/>
  <c r="F145" i="14"/>
  <c r="D146" i="14"/>
  <c r="E146" i="14"/>
  <c r="F146" i="14"/>
  <c r="D147" i="14"/>
  <c r="E147" i="14"/>
  <c r="F147" i="14"/>
  <c r="D148" i="14"/>
  <c r="E148" i="14"/>
  <c r="F148" i="14"/>
  <c r="D149" i="14"/>
  <c r="E149" i="14"/>
  <c r="F149" i="14"/>
  <c r="D150" i="14"/>
  <c r="E150" i="14"/>
  <c r="F150" i="14"/>
  <c r="D151" i="14"/>
  <c r="E151" i="14"/>
  <c r="F151" i="14"/>
  <c r="D152" i="14"/>
  <c r="E152" i="14"/>
  <c r="F152" i="14"/>
  <c r="D153" i="14"/>
  <c r="E153" i="14"/>
  <c r="F153" i="14"/>
  <c r="D154" i="14"/>
  <c r="E154" i="14"/>
  <c r="F154" i="14"/>
  <c r="D155" i="14"/>
  <c r="E155" i="14"/>
  <c r="F155" i="14"/>
  <c r="D156" i="14"/>
  <c r="E156" i="14"/>
  <c r="F156" i="14"/>
  <c r="D157" i="14"/>
  <c r="E157" i="14"/>
  <c r="F157" i="14"/>
  <c r="D158" i="14"/>
  <c r="E158" i="14"/>
  <c r="F158" i="14"/>
  <c r="G158" i="14"/>
  <c r="I158" i="14" s="1"/>
  <c r="D159" i="14"/>
  <c r="E159" i="14"/>
  <c r="F159" i="14"/>
  <c r="D160" i="14"/>
  <c r="E160" i="14"/>
  <c r="F160" i="14"/>
  <c r="D161" i="14"/>
  <c r="E161" i="14"/>
  <c r="F161" i="14"/>
  <c r="D162" i="14"/>
  <c r="E162" i="14"/>
  <c r="F162" i="14"/>
  <c r="D163" i="14"/>
  <c r="E163" i="14"/>
  <c r="F163" i="14"/>
  <c r="D164" i="14"/>
  <c r="E164" i="14"/>
  <c r="F164" i="14"/>
  <c r="D165" i="14"/>
  <c r="E165" i="14"/>
  <c r="F165" i="14"/>
  <c r="G165" i="14"/>
  <c r="I165" i="14" s="1"/>
  <c r="D166" i="14"/>
  <c r="E166" i="14"/>
  <c r="F166" i="14"/>
  <c r="G166" i="14"/>
  <c r="I166" i="14" s="1"/>
  <c r="D167" i="14"/>
  <c r="E167" i="14"/>
  <c r="F167" i="14"/>
  <c r="G167" i="14"/>
  <c r="I167" i="14" s="1"/>
  <c r="D168" i="14"/>
  <c r="E168" i="14"/>
  <c r="F168" i="14"/>
  <c r="D169" i="14"/>
  <c r="E169" i="14"/>
  <c r="F169" i="14"/>
  <c r="D170" i="14"/>
  <c r="E170" i="14"/>
  <c r="F170" i="14"/>
  <c r="D171" i="14"/>
  <c r="E171" i="14"/>
  <c r="F171" i="14"/>
  <c r="D172" i="14"/>
  <c r="E172" i="14"/>
  <c r="F172" i="14"/>
  <c r="D173" i="14"/>
  <c r="E173" i="14"/>
  <c r="F173" i="14"/>
  <c r="D174" i="14"/>
  <c r="E174" i="14"/>
  <c r="F174" i="14"/>
  <c r="D175" i="14"/>
  <c r="E175" i="14"/>
  <c r="F175" i="14"/>
  <c r="D176" i="14"/>
  <c r="E176" i="14"/>
  <c r="F176" i="14"/>
  <c r="D177" i="14"/>
  <c r="E177" i="14"/>
  <c r="F177" i="14"/>
  <c r="D178" i="14"/>
  <c r="E178" i="14"/>
  <c r="F178" i="14"/>
  <c r="D179" i="14"/>
  <c r="E179" i="14"/>
  <c r="F179" i="14"/>
  <c r="D4" i="14"/>
  <c r="E4" i="14"/>
  <c r="F4" i="14"/>
  <c r="G4" i="14"/>
  <c r="C4" i="14"/>
  <c r="B1" i="14"/>
  <c r="D27" i="13"/>
  <c r="E27" i="13"/>
  <c r="F27" i="13"/>
  <c r="D28" i="13"/>
  <c r="E28" i="13"/>
  <c r="F28" i="13"/>
  <c r="D29" i="13"/>
  <c r="E29" i="13"/>
  <c r="F29" i="13"/>
  <c r="D30" i="13"/>
  <c r="E30" i="13"/>
  <c r="F30" i="13"/>
  <c r="D31" i="13"/>
  <c r="E31" i="13"/>
  <c r="F31" i="13"/>
  <c r="D32" i="13"/>
  <c r="E32" i="13"/>
  <c r="F32" i="13"/>
  <c r="D33" i="13"/>
  <c r="E33" i="13"/>
  <c r="F33" i="13"/>
  <c r="D34" i="13"/>
  <c r="E34" i="13"/>
  <c r="F34" i="13"/>
  <c r="D35" i="13"/>
  <c r="E35" i="13"/>
  <c r="F35" i="13"/>
  <c r="D36" i="13"/>
  <c r="E36" i="13"/>
  <c r="F36" i="13"/>
  <c r="D37" i="13"/>
  <c r="E37" i="13"/>
  <c r="F37" i="13"/>
  <c r="D38" i="13"/>
  <c r="E38" i="13"/>
  <c r="F38" i="13"/>
  <c r="D39" i="13"/>
  <c r="E39" i="13"/>
  <c r="F39" i="13"/>
  <c r="D40" i="13"/>
  <c r="E40" i="13"/>
  <c r="F40" i="13"/>
  <c r="D41" i="13"/>
  <c r="E41" i="13"/>
  <c r="F41" i="13"/>
  <c r="D42" i="13"/>
  <c r="E42" i="13"/>
  <c r="F42" i="13"/>
  <c r="D43" i="13"/>
  <c r="E43" i="13"/>
  <c r="F43" i="13"/>
  <c r="D44" i="13"/>
  <c r="E44" i="13"/>
  <c r="F44" i="13"/>
  <c r="D45" i="13"/>
  <c r="E45" i="13"/>
  <c r="F45" i="13"/>
  <c r="G45" i="13"/>
  <c r="I45" i="13" s="1"/>
  <c r="D46" i="13"/>
  <c r="E46" i="13"/>
  <c r="F46" i="13"/>
  <c r="G46" i="13"/>
  <c r="I46" i="13" s="1"/>
  <c r="D47" i="13"/>
  <c r="E47" i="13"/>
  <c r="F47" i="13"/>
  <c r="G47" i="13"/>
  <c r="I47" i="13" s="1"/>
  <c r="D49" i="13"/>
  <c r="E49" i="13"/>
  <c r="F49" i="13"/>
  <c r="D50" i="13"/>
  <c r="E50" i="13"/>
  <c r="F50" i="13"/>
  <c r="D51" i="13"/>
  <c r="E51" i="13"/>
  <c r="F51" i="13"/>
  <c r="D52" i="13"/>
  <c r="E52" i="13"/>
  <c r="F52" i="13"/>
  <c r="D53" i="13"/>
  <c r="E53" i="13"/>
  <c r="F53" i="13"/>
  <c r="D54" i="13"/>
  <c r="E54" i="13"/>
  <c r="F54" i="13"/>
  <c r="D55" i="13"/>
  <c r="E55" i="13"/>
  <c r="F55" i="13"/>
  <c r="D56" i="13"/>
  <c r="E56" i="13"/>
  <c r="F56" i="13"/>
  <c r="D57" i="13"/>
  <c r="E57" i="13"/>
  <c r="F57" i="13"/>
  <c r="D58" i="13"/>
  <c r="E58" i="13"/>
  <c r="F58" i="13"/>
  <c r="D59" i="13"/>
  <c r="E59" i="13"/>
  <c r="F59" i="13"/>
  <c r="D60" i="13"/>
  <c r="E60" i="13"/>
  <c r="F60" i="13"/>
  <c r="D61" i="13"/>
  <c r="E61" i="13"/>
  <c r="F61" i="13"/>
  <c r="D62" i="13"/>
  <c r="E62" i="13"/>
  <c r="F62" i="13"/>
  <c r="D63" i="13"/>
  <c r="E63" i="13"/>
  <c r="F63" i="13"/>
  <c r="D64" i="13"/>
  <c r="E64" i="13"/>
  <c r="F64" i="13"/>
  <c r="D65" i="13"/>
  <c r="E65" i="13"/>
  <c r="F65" i="13"/>
  <c r="D66" i="13"/>
  <c r="E66" i="13"/>
  <c r="F66" i="13"/>
  <c r="D67" i="13"/>
  <c r="E67" i="13"/>
  <c r="F67" i="13"/>
  <c r="D68" i="13"/>
  <c r="E68" i="13"/>
  <c r="F68" i="13"/>
  <c r="D69" i="13"/>
  <c r="E69" i="13"/>
  <c r="F69" i="13"/>
  <c r="D71" i="13"/>
  <c r="E71" i="13"/>
  <c r="F71" i="13"/>
  <c r="D72" i="13"/>
  <c r="E72" i="13"/>
  <c r="F72" i="13"/>
  <c r="D73" i="13"/>
  <c r="E73" i="13"/>
  <c r="F73" i="13"/>
  <c r="D74" i="13"/>
  <c r="E74" i="13"/>
  <c r="F74" i="13"/>
  <c r="D75" i="13"/>
  <c r="E75" i="13"/>
  <c r="F75" i="13"/>
  <c r="D76" i="13"/>
  <c r="E76" i="13"/>
  <c r="F76" i="13"/>
  <c r="D77" i="13"/>
  <c r="E77" i="13"/>
  <c r="F77" i="13"/>
  <c r="D78" i="13"/>
  <c r="E78" i="13"/>
  <c r="F78" i="13"/>
  <c r="D79" i="13"/>
  <c r="E79" i="13"/>
  <c r="F79" i="13"/>
  <c r="D80" i="13"/>
  <c r="E80" i="13"/>
  <c r="F80" i="13"/>
  <c r="D81" i="13"/>
  <c r="E81" i="13"/>
  <c r="F81" i="13"/>
  <c r="D82" i="13"/>
  <c r="E82" i="13"/>
  <c r="F82" i="13"/>
  <c r="D83" i="13"/>
  <c r="E83" i="13"/>
  <c r="F83" i="13"/>
  <c r="D84" i="13"/>
  <c r="E84" i="13"/>
  <c r="F84" i="13"/>
  <c r="D85" i="13"/>
  <c r="E85" i="13"/>
  <c r="F85" i="13"/>
  <c r="D86" i="13"/>
  <c r="E86" i="13"/>
  <c r="F86" i="13"/>
  <c r="D87" i="13"/>
  <c r="E87" i="13"/>
  <c r="F87" i="13"/>
  <c r="D88" i="13"/>
  <c r="E88" i="13"/>
  <c r="F88" i="13"/>
  <c r="D89" i="13"/>
  <c r="E89" i="13"/>
  <c r="F89" i="13"/>
  <c r="D90" i="13"/>
  <c r="E90" i="13"/>
  <c r="F90" i="13"/>
  <c r="D91" i="13"/>
  <c r="E91" i="13"/>
  <c r="F91" i="13"/>
  <c r="D93" i="13"/>
  <c r="E93" i="13"/>
  <c r="F93" i="13"/>
  <c r="D94" i="13"/>
  <c r="E94" i="13"/>
  <c r="F94" i="13"/>
  <c r="D95" i="13"/>
  <c r="E95" i="13"/>
  <c r="F95" i="13"/>
  <c r="D96" i="13"/>
  <c r="E96" i="13"/>
  <c r="F96" i="13"/>
  <c r="D97" i="13"/>
  <c r="E97" i="13"/>
  <c r="F97" i="13"/>
  <c r="D98" i="13"/>
  <c r="E98" i="13"/>
  <c r="F98" i="13"/>
  <c r="D99" i="13"/>
  <c r="E99" i="13"/>
  <c r="F99" i="13"/>
  <c r="D100" i="13"/>
  <c r="E100" i="13"/>
  <c r="F100" i="13"/>
  <c r="D101" i="13"/>
  <c r="E101" i="13"/>
  <c r="F101" i="13"/>
  <c r="D102" i="13"/>
  <c r="E102" i="13"/>
  <c r="F102" i="13"/>
  <c r="D103" i="13"/>
  <c r="E103" i="13"/>
  <c r="F103" i="13"/>
  <c r="D104" i="13"/>
  <c r="E104" i="13"/>
  <c r="F104" i="13"/>
  <c r="D105" i="13"/>
  <c r="E105" i="13"/>
  <c r="F105" i="13"/>
  <c r="D106" i="13"/>
  <c r="E106" i="13"/>
  <c r="F106" i="13"/>
  <c r="D107" i="13"/>
  <c r="E107" i="13"/>
  <c r="F107" i="13"/>
  <c r="D108" i="13"/>
  <c r="E108" i="13"/>
  <c r="F108" i="13"/>
  <c r="D109" i="13"/>
  <c r="E109" i="13"/>
  <c r="F109" i="13"/>
  <c r="D110" i="13"/>
  <c r="E110" i="13"/>
  <c r="F110" i="13"/>
  <c r="D111" i="13"/>
  <c r="E111" i="13"/>
  <c r="F111" i="13"/>
  <c r="D112" i="13"/>
  <c r="E112" i="13"/>
  <c r="F112" i="13"/>
  <c r="D113" i="13"/>
  <c r="E113" i="13"/>
  <c r="F113" i="13"/>
  <c r="D115" i="13"/>
  <c r="E115" i="13"/>
  <c r="F115" i="13"/>
  <c r="D116" i="13"/>
  <c r="E116" i="13"/>
  <c r="F116" i="13"/>
  <c r="D117" i="13"/>
  <c r="E117" i="13"/>
  <c r="F117" i="13"/>
  <c r="D118" i="13"/>
  <c r="E118" i="13"/>
  <c r="F118" i="13"/>
  <c r="D119" i="13"/>
  <c r="E119" i="13"/>
  <c r="F119" i="13"/>
  <c r="D120" i="13"/>
  <c r="E120" i="13"/>
  <c r="F120" i="13"/>
  <c r="D121" i="13"/>
  <c r="E121" i="13"/>
  <c r="F121" i="13"/>
  <c r="D122" i="13"/>
  <c r="E122" i="13"/>
  <c r="F122" i="13"/>
  <c r="D123" i="13"/>
  <c r="E123" i="13"/>
  <c r="F123" i="13"/>
  <c r="D124" i="13"/>
  <c r="E124" i="13"/>
  <c r="F124" i="13"/>
  <c r="D125" i="13"/>
  <c r="E125" i="13"/>
  <c r="F125" i="13"/>
  <c r="D126" i="13"/>
  <c r="E126" i="13"/>
  <c r="F126" i="13"/>
  <c r="D127" i="13"/>
  <c r="E127" i="13"/>
  <c r="F127" i="13"/>
  <c r="D128" i="13"/>
  <c r="E128" i="13"/>
  <c r="F128" i="13"/>
  <c r="D129" i="13"/>
  <c r="E129" i="13"/>
  <c r="F129" i="13"/>
  <c r="D130" i="13"/>
  <c r="E130" i="13"/>
  <c r="F130" i="13"/>
  <c r="D131" i="13"/>
  <c r="E131" i="13"/>
  <c r="F131" i="13"/>
  <c r="D132" i="13"/>
  <c r="E132" i="13"/>
  <c r="F132" i="13"/>
  <c r="D133" i="13"/>
  <c r="E133" i="13"/>
  <c r="F133" i="13"/>
  <c r="D134" i="13"/>
  <c r="E134" i="13"/>
  <c r="F134" i="13"/>
  <c r="D135" i="13"/>
  <c r="E135" i="13"/>
  <c r="F135" i="13"/>
  <c r="D137" i="13"/>
  <c r="E137" i="13"/>
  <c r="F137" i="13"/>
  <c r="D138" i="13"/>
  <c r="E138" i="13"/>
  <c r="F138" i="13"/>
  <c r="D139" i="13"/>
  <c r="E139" i="13"/>
  <c r="F139" i="13"/>
  <c r="D140" i="13"/>
  <c r="E140" i="13"/>
  <c r="F140" i="13"/>
  <c r="D141" i="13"/>
  <c r="E141" i="13"/>
  <c r="F141" i="13"/>
  <c r="D142" i="13"/>
  <c r="E142" i="13"/>
  <c r="F142" i="13"/>
  <c r="D143" i="13"/>
  <c r="E143" i="13"/>
  <c r="F143" i="13"/>
  <c r="D144" i="13"/>
  <c r="E144" i="13"/>
  <c r="F144" i="13"/>
  <c r="D145" i="13"/>
  <c r="E145" i="13"/>
  <c r="F145" i="13"/>
  <c r="D146" i="13"/>
  <c r="E146" i="13"/>
  <c r="F146" i="13"/>
  <c r="D147" i="13"/>
  <c r="E147" i="13"/>
  <c r="F147" i="13"/>
  <c r="D148" i="13"/>
  <c r="E148" i="13"/>
  <c r="F148" i="13"/>
  <c r="D149" i="13"/>
  <c r="E149" i="13"/>
  <c r="F149" i="13"/>
  <c r="D150" i="13"/>
  <c r="E150" i="13"/>
  <c r="F150" i="13"/>
  <c r="D151" i="13"/>
  <c r="E151" i="13"/>
  <c r="F151" i="13"/>
  <c r="D152" i="13"/>
  <c r="E152" i="13"/>
  <c r="F152" i="13"/>
  <c r="D153" i="13"/>
  <c r="E153" i="13"/>
  <c r="F153" i="13"/>
  <c r="D154" i="13"/>
  <c r="E154" i="13"/>
  <c r="F154" i="13"/>
  <c r="D155" i="13"/>
  <c r="E155" i="13"/>
  <c r="F155" i="13"/>
  <c r="D156" i="13"/>
  <c r="E156" i="13"/>
  <c r="F156" i="13"/>
  <c r="D157" i="13"/>
  <c r="E157" i="13"/>
  <c r="F157" i="13"/>
  <c r="D159" i="13"/>
  <c r="E159" i="13"/>
  <c r="F159" i="13"/>
  <c r="D160" i="13"/>
  <c r="E160" i="13"/>
  <c r="F160" i="13"/>
  <c r="D161" i="13"/>
  <c r="E161" i="13"/>
  <c r="F161" i="13"/>
  <c r="D162" i="13"/>
  <c r="E162" i="13"/>
  <c r="F162" i="13"/>
  <c r="D163" i="13"/>
  <c r="E163" i="13"/>
  <c r="F163" i="13"/>
  <c r="D164" i="13"/>
  <c r="E164" i="13"/>
  <c r="F164" i="13"/>
  <c r="D165" i="13"/>
  <c r="E165" i="13"/>
  <c r="F165" i="13"/>
  <c r="G165" i="13"/>
  <c r="I165" i="13" s="1"/>
  <c r="D166" i="13"/>
  <c r="E166" i="13"/>
  <c r="F166" i="13"/>
  <c r="G166" i="13"/>
  <c r="I166" i="13" s="1"/>
  <c r="D167" i="13"/>
  <c r="E167" i="13"/>
  <c r="F167" i="13"/>
  <c r="G167" i="13"/>
  <c r="I167" i="13" s="1"/>
  <c r="D168" i="13"/>
  <c r="E168" i="13"/>
  <c r="F168" i="13"/>
  <c r="D169" i="13"/>
  <c r="E169" i="13"/>
  <c r="F169" i="13"/>
  <c r="D170" i="13"/>
  <c r="E170" i="13"/>
  <c r="F170" i="13"/>
  <c r="D171" i="13"/>
  <c r="E171" i="13"/>
  <c r="F171" i="13"/>
  <c r="D172" i="13"/>
  <c r="E172" i="13"/>
  <c r="F172" i="13"/>
  <c r="D173" i="13"/>
  <c r="E173" i="13"/>
  <c r="F173" i="13"/>
  <c r="D174" i="13"/>
  <c r="E174" i="13"/>
  <c r="F174" i="13"/>
  <c r="D175" i="13"/>
  <c r="E175" i="13"/>
  <c r="F175" i="13"/>
  <c r="D176" i="13"/>
  <c r="E176" i="13"/>
  <c r="F176" i="13"/>
  <c r="D177" i="13"/>
  <c r="E177" i="13"/>
  <c r="F177" i="13"/>
  <c r="D178" i="13"/>
  <c r="E178" i="13"/>
  <c r="F178" i="13"/>
  <c r="D179" i="13"/>
  <c r="E179" i="13"/>
  <c r="F179" i="13"/>
  <c r="D6" i="13"/>
  <c r="E6" i="13"/>
  <c r="F6" i="13"/>
  <c r="D7" i="13"/>
  <c r="E7" i="13"/>
  <c r="F7" i="13"/>
  <c r="D8" i="13"/>
  <c r="E8" i="13"/>
  <c r="F8" i="13"/>
  <c r="D9" i="13"/>
  <c r="E9" i="13"/>
  <c r="F9" i="13"/>
  <c r="D10" i="13"/>
  <c r="E10" i="13"/>
  <c r="F10" i="13"/>
  <c r="D11" i="13"/>
  <c r="E11" i="13"/>
  <c r="F11" i="13"/>
  <c r="D12" i="13"/>
  <c r="E12" i="13"/>
  <c r="F12" i="13"/>
  <c r="D13" i="13"/>
  <c r="E13" i="13"/>
  <c r="F13" i="13"/>
  <c r="D14" i="13"/>
  <c r="E14" i="13"/>
  <c r="F14" i="13"/>
  <c r="D15" i="13"/>
  <c r="E15" i="13"/>
  <c r="F15" i="13"/>
  <c r="D16" i="13"/>
  <c r="E16" i="13"/>
  <c r="F16" i="13"/>
  <c r="D17" i="13"/>
  <c r="E17" i="13"/>
  <c r="F17" i="13"/>
  <c r="D18" i="13"/>
  <c r="E18" i="13"/>
  <c r="F18" i="13"/>
  <c r="D19" i="13"/>
  <c r="E19" i="13"/>
  <c r="F19" i="13"/>
  <c r="D20" i="13"/>
  <c r="E20" i="13"/>
  <c r="F20" i="13"/>
  <c r="D21" i="13"/>
  <c r="E21" i="13"/>
  <c r="F21" i="13"/>
  <c r="D22" i="13"/>
  <c r="E22" i="13"/>
  <c r="F22" i="13"/>
  <c r="D23" i="13"/>
  <c r="E23" i="13"/>
  <c r="F23" i="13"/>
  <c r="D24" i="13"/>
  <c r="E24" i="13"/>
  <c r="F24" i="13"/>
  <c r="D25" i="13"/>
  <c r="E25" i="13"/>
  <c r="F25" i="13"/>
  <c r="F5" i="13"/>
  <c r="E5" i="13"/>
  <c r="D5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4" i="13"/>
  <c r="B1" i="13"/>
  <c r="E180" i="14" l="1"/>
  <c r="I4" i="14"/>
  <c r="F180" i="14"/>
  <c r="D180" i="14"/>
  <c r="D136" i="13"/>
  <c r="D92" i="13"/>
  <c r="D48" i="13"/>
  <c r="F136" i="13"/>
  <c r="F92" i="13"/>
  <c r="F48" i="13"/>
  <c r="F4" i="13"/>
  <c r="E158" i="13"/>
  <c r="E136" i="13"/>
  <c r="E114" i="13"/>
  <c r="E92" i="13"/>
  <c r="E70" i="13"/>
  <c r="E48" i="13"/>
  <c r="E26" i="13"/>
  <c r="F158" i="13"/>
  <c r="D158" i="13"/>
  <c r="F114" i="13"/>
  <c r="D114" i="13"/>
  <c r="F70" i="13"/>
  <c r="D70" i="13"/>
  <c r="F26" i="13"/>
  <c r="D26" i="13"/>
  <c r="D4" i="13"/>
  <c r="E4" i="13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D180" i="13" l="1"/>
  <c r="E180" i="13"/>
  <c r="F180" i="13"/>
  <c r="K25" i="8"/>
  <c r="K26" i="8"/>
  <c r="K37" i="8"/>
  <c r="K39" i="8"/>
  <c r="K43" i="8"/>
  <c r="K45" i="8"/>
  <c r="K48" i="8"/>
  <c r="K49" i="8"/>
  <c r="K50" i="8"/>
  <c r="K56" i="8"/>
  <c r="K62" i="8"/>
  <c r="K63" i="8"/>
  <c r="JD79" i="8"/>
  <c r="JD78" i="8"/>
  <c r="JD66" i="8"/>
  <c r="JD67" i="8"/>
  <c r="JD65" i="8"/>
  <c r="JD61" i="8"/>
  <c r="JD62" i="8"/>
  <c r="JD63" i="8"/>
  <c r="JD53" i="8"/>
  <c r="JD54" i="8"/>
  <c r="JD55" i="8"/>
  <c r="JD56" i="8"/>
  <c r="JD52" i="8"/>
  <c r="JD36" i="8"/>
  <c r="JD37" i="8"/>
  <c r="JD39" i="8"/>
  <c r="JD43" i="8"/>
  <c r="JD45" i="8"/>
  <c r="JD48" i="8"/>
  <c r="JD49" i="8"/>
  <c r="JD50" i="8"/>
  <c r="G24" i="14" l="1"/>
  <c r="I24" i="14" s="1"/>
  <c r="G24" i="13"/>
  <c r="I24" i="13" s="1"/>
  <c r="G20" i="14"/>
  <c r="I20" i="14" s="1"/>
  <c r="G20" i="13"/>
  <c r="I20" i="13" s="1"/>
  <c r="G16" i="14"/>
  <c r="I16" i="14" s="1"/>
  <c r="G16" i="13"/>
  <c r="I16" i="13" s="1"/>
  <c r="G38" i="14"/>
  <c r="I38" i="14" s="1"/>
  <c r="G38" i="13"/>
  <c r="I38" i="13" s="1"/>
  <c r="G43" i="14"/>
  <c r="I43" i="14" s="1"/>
  <c r="G43" i="13"/>
  <c r="I43" i="13" s="1"/>
  <c r="G66" i="14"/>
  <c r="I66" i="14" s="1"/>
  <c r="G66" i="13"/>
  <c r="I66" i="13" s="1"/>
  <c r="G62" i="14"/>
  <c r="I62" i="14" s="1"/>
  <c r="G62" i="13"/>
  <c r="I62" i="13" s="1"/>
  <c r="G58" i="14"/>
  <c r="I58" i="14" s="1"/>
  <c r="G58" i="13"/>
  <c r="I58" i="13" s="1"/>
  <c r="G91" i="14"/>
  <c r="I91" i="14" s="1"/>
  <c r="G91" i="13"/>
  <c r="I91" i="13" s="1"/>
  <c r="G89" i="14"/>
  <c r="I89" i="14" s="1"/>
  <c r="G89" i="13"/>
  <c r="I89" i="13" s="1"/>
  <c r="G87" i="14"/>
  <c r="I87" i="14" s="1"/>
  <c r="G87" i="13"/>
  <c r="I87" i="13" s="1"/>
  <c r="G85" i="14"/>
  <c r="I85" i="14" s="1"/>
  <c r="G85" i="13"/>
  <c r="I85" i="13" s="1"/>
  <c r="G83" i="14"/>
  <c r="I83" i="14" s="1"/>
  <c r="G83" i="13"/>
  <c r="I83" i="13" s="1"/>
  <c r="G81" i="14"/>
  <c r="I81" i="14" s="1"/>
  <c r="G81" i="13"/>
  <c r="I81" i="13" s="1"/>
  <c r="G79" i="14"/>
  <c r="I79" i="14" s="1"/>
  <c r="G79" i="13"/>
  <c r="I79" i="13" s="1"/>
  <c r="G77" i="14"/>
  <c r="I77" i="14" s="1"/>
  <c r="G77" i="13"/>
  <c r="I77" i="13" s="1"/>
  <c r="G75" i="14"/>
  <c r="I75" i="14" s="1"/>
  <c r="G75" i="13"/>
  <c r="I75" i="13" s="1"/>
  <c r="G112" i="14"/>
  <c r="I112" i="14" s="1"/>
  <c r="G112" i="13"/>
  <c r="I112" i="13" s="1"/>
  <c r="G110" i="14"/>
  <c r="I110" i="14" s="1"/>
  <c r="G110" i="13"/>
  <c r="I110" i="13" s="1"/>
  <c r="G108" i="14"/>
  <c r="I108" i="14" s="1"/>
  <c r="G108" i="13"/>
  <c r="I108" i="13" s="1"/>
  <c r="G106" i="14"/>
  <c r="I106" i="14" s="1"/>
  <c r="G106" i="13"/>
  <c r="I106" i="13" s="1"/>
  <c r="G104" i="14"/>
  <c r="I104" i="14" s="1"/>
  <c r="G104" i="13"/>
  <c r="I104" i="13" s="1"/>
  <c r="G102" i="14"/>
  <c r="I102" i="14" s="1"/>
  <c r="G102" i="13"/>
  <c r="I102" i="13" s="1"/>
  <c r="G100" i="14"/>
  <c r="I100" i="14" s="1"/>
  <c r="G100" i="13"/>
  <c r="I100" i="13" s="1"/>
  <c r="G98" i="14"/>
  <c r="I98" i="14" s="1"/>
  <c r="G98" i="13"/>
  <c r="I98" i="13" s="1"/>
  <c r="G96" i="14"/>
  <c r="I96" i="14" s="1"/>
  <c r="G96" i="13"/>
  <c r="I96" i="13" s="1"/>
  <c r="G135" i="14"/>
  <c r="I135" i="14" s="1"/>
  <c r="G135" i="13"/>
  <c r="I135" i="13" s="1"/>
  <c r="G133" i="14"/>
  <c r="I133" i="14" s="1"/>
  <c r="G133" i="13"/>
  <c r="I133" i="13" s="1"/>
  <c r="G131" i="14"/>
  <c r="I131" i="14" s="1"/>
  <c r="G131" i="13"/>
  <c r="I131" i="13" s="1"/>
  <c r="G129" i="14"/>
  <c r="I129" i="14" s="1"/>
  <c r="G129" i="13"/>
  <c r="I129" i="13" s="1"/>
  <c r="G127" i="14"/>
  <c r="I127" i="14" s="1"/>
  <c r="G127" i="13"/>
  <c r="I127" i="13" s="1"/>
  <c r="G125" i="14"/>
  <c r="I125" i="14" s="1"/>
  <c r="G125" i="13"/>
  <c r="I125" i="13" s="1"/>
  <c r="G123" i="14"/>
  <c r="I123" i="14" s="1"/>
  <c r="G123" i="13"/>
  <c r="I123" i="13" s="1"/>
  <c r="G121" i="14"/>
  <c r="I121" i="14" s="1"/>
  <c r="G121" i="13"/>
  <c r="I121" i="13" s="1"/>
  <c r="G157" i="14"/>
  <c r="I157" i="14" s="1"/>
  <c r="G157" i="13"/>
  <c r="I157" i="13" s="1"/>
  <c r="G155" i="14"/>
  <c r="I155" i="14" s="1"/>
  <c r="G155" i="13"/>
  <c r="I155" i="13" s="1"/>
  <c r="G153" i="14"/>
  <c r="I153" i="14" s="1"/>
  <c r="G153" i="13"/>
  <c r="I153" i="13" s="1"/>
  <c r="G151" i="14"/>
  <c r="I151" i="14" s="1"/>
  <c r="G151" i="13"/>
  <c r="I151" i="13" s="1"/>
  <c r="G149" i="14"/>
  <c r="I149" i="14" s="1"/>
  <c r="G149" i="13"/>
  <c r="I149" i="13" s="1"/>
  <c r="G147" i="14"/>
  <c r="I147" i="14" s="1"/>
  <c r="G147" i="13"/>
  <c r="I147" i="13" s="1"/>
  <c r="G145" i="14"/>
  <c r="I145" i="14" s="1"/>
  <c r="G145" i="13"/>
  <c r="I145" i="13" s="1"/>
  <c r="G143" i="14"/>
  <c r="I143" i="14" s="1"/>
  <c r="G143" i="13"/>
  <c r="I143" i="13" s="1"/>
  <c r="G141" i="14"/>
  <c r="I141" i="14" s="1"/>
  <c r="G141" i="13"/>
  <c r="I141" i="13" s="1"/>
  <c r="G179" i="14"/>
  <c r="I179" i="14" s="1"/>
  <c r="G179" i="13"/>
  <c r="I179" i="13" s="1"/>
  <c r="G177" i="14"/>
  <c r="I177" i="14" s="1"/>
  <c r="G177" i="13"/>
  <c r="I177" i="13" s="1"/>
  <c r="G175" i="14"/>
  <c r="I175" i="14" s="1"/>
  <c r="G175" i="13"/>
  <c r="I175" i="13" s="1"/>
  <c r="G173" i="14"/>
  <c r="I173" i="14" s="1"/>
  <c r="G173" i="13"/>
  <c r="I173" i="13" s="1"/>
  <c r="G171" i="14"/>
  <c r="I171" i="14" s="1"/>
  <c r="G171" i="13"/>
  <c r="I171" i="13" s="1"/>
  <c r="G169" i="14"/>
  <c r="I169" i="14" s="1"/>
  <c r="G169" i="13"/>
  <c r="I169" i="13" s="1"/>
  <c r="G163" i="14"/>
  <c r="I163" i="14" s="1"/>
  <c r="G163" i="13"/>
  <c r="I163" i="13" s="1"/>
  <c r="G161" i="14"/>
  <c r="I161" i="14" s="1"/>
  <c r="G161" i="13"/>
  <c r="I161" i="13" s="1"/>
  <c r="G22" i="14"/>
  <c r="I22" i="14" s="1"/>
  <c r="G22" i="13"/>
  <c r="I22" i="13" s="1"/>
  <c r="G18" i="14"/>
  <c r="I18" i="14" s="1"/>
  <c r="G18" i="13"/>
  <c r="I18" i="13" s="1"/>
  <c r="G14" i="14"/>
  <c r="I14" i="14" s="1"/>
  <c r="G14" i="13"/>
  <c r="I14" i="13" s="1"/>
  <c r="G41" i="14"/>
  <c r="I41" i="14" s="1"/>
  <c r="G41" i="13"/>
  <c r="I41" i="13" s="1"/>
  <c r="G68" i="14"/>
  <c r="I68" i="14" s="1"/>
  <c r="G68" i="13"/>
  <c r="I68" i="13" s="1"/>
  <c r="G64" i="14"/>
  <c r="I64" i="14" s="1"/>
  <c r="G64" i="13"/>
  <c r="I64" i="13" s="1"/>
  <c r="G60" i="14"/>
  <c r="I60" i="14" s="1"/>
  <c r="G60" i="13"/>
  <c r="I60" i="13" s="1"/>
  <c r="G56" i="14"/>
  <c r="I56" i="14" s="1"/>
  <c r="G56" i="13"/>
  <c r="I56" i="13" s="1"/>
  <c r="G25" i="14"/>
  <c r="I25" i="14" s="1"/>
  <c r="G25" i="13"/>
  <c r="I25" i="13" s="1"/>
  <c r="G23" i="14"/>
  <c r="I23" i="14" s="1"/>
  <c r="G23" i="13"/>
  <c r="I23" i="13" s="1"/>
  <c r="G21" i="14"/>
  <c r="I21" i="14" s="1"/>
  <c r="G21" i="13"/>
  <c r="I21" i="13" s="1"/>
  <c r="G19" i="14"/>
  <c r="I19" i="14" s="1"/>
  <c r="G19" i="13"/>
  <c r="I19" i="13" s="1"/>
  <c r="G17" i="14"/>
  <c r="I17" i="14" s="1"/>
  <c r="G17" i="13"/>
  <c r="I17" i="13" s="1"/>
  <c r="G15" i="14"/>
  <c r="I15" i="14" s="1"/>
  <c r="G15" i="13"/>
  <c r="I15" i="13" s="1"/>
  <c r="G13" i="14"/>
  <c r="I13" i="14" s="1"/>
  <c r="G13" i="13"/>
  <c r="I13" i="13" s="1"/>
  <c r="G37" i="14"/>
  <c r="I37" i="14" s="1"/>
  <c r="G37" i="13"/>
  <c r="I37" i="13" s="1"/>
  <c r="G44" i="14"/>
  <c r="I44" i="14" s="1"/>
  <c r="G44" i="13"/>
  <c r="I44" i="13" s="1"/>
  <c r="G42" i="14"/>
  <c r="I42" i="14" s="1"/>
  <c r="G42" i="13"/>
  <c r="I42" i="13" s="1"/>
  <c r="G40" i="14"/>
  <c r="I40" i="14" s="1"/>
  <c r="G40" i="13"/>
  <c r="I40" i="13" s="1"/>
  <c r="G69" i="14"/>
  <c r="I69" i="14" s="1"/>
  <c r="G69" i="13"/>
  <c r="I69" i="13" s="1"/>
  <c r="G67" i="14"/>
  <c r="I67" i="14" s="1"/>
  <c r="G67" i="13"/>
  <c r="I67" i="13" s="1"/>
  <c r="G65" i="14"/>
  <c r="I65" i="14" s="1"/>
  <c r="G65" i="13"/>
  <c r="I65" i="13" s="1"/>
  <c r="G63" i="14"/>
  <c r="I63" i="14" s="1"/>
  <c r="G63" i="13"/>
  <c r="I63" i="13" s="1"/>
  <c r="G61" i="14"/>
  <c r="I61" i="14" s="1"/>
  <c r="G61" i="13"/>
  <c r="I61" i="13" s="1"/>
  <c r="G59" i="14"/>
  <c r="I59" i="14" s="1"/>
  <c r="G59" i="13"/>
  <c r="I59" i="13" s="1"/>
  <c r="G57" i="14"/>
  <c r="I57" i="14" s="1"/>
  <c r="G57" i="13"/>
  <c r="I57" i="13" s="1"/>
  <c r="G55" i="14"/>
  <c r="I55" i="14" s="1"/>
  <c r="G55" i="13"/>
  <c r="I55" i="13" s="1"/>
  <c r="G90" i="14"/>
  <c r="I90" i="14" s="1"/>
  <c r="G90" i="13"/>
  <c r="I90" i="13" s="1"/>
  <c r="G88" i="14"/>
  <c r="I88" i="14" s="1"/>
  <c r="G88" i="13"/>
  <c r="I88" i="13" s="1"/>
  <c r="G86" i="14"/>
  <c r="I86" i="14" s="1"/>
  <c r="G86" i="13"/>
  <c r="I86" i="13" s="1"/>
  <c r="G84" i="14"/>
  <c r="I84" i="14" s="1"/>
  <c r="G84" i="13"/>
  <c r="I84" i="13" s="1"/>
  <c r="G82" i="14"/>
  <c r="I82" i="14" s="1"/>
  <c r="G82" i="13"/>
  <c r="I82" i="13" s="1"/>
  <c r="G80" i="14"/>
  <c r="I80" i="14" s="1"/>
  <c r="G80" i="13"/>
  <c r="I80" i="13" s="1"/>
  <c r="G78" i="14"/>
  <c r="I78" i="14" s="1"/>
  <c r="G78" i="13"/>
  <c r="I78" i="13" s="1"/>
  <c r="G76" i="14"/>
  <c r="I76" i="14" s="1"/>
  <c r="G76" i="13"/>
  <c r="I76" i="13" s="1"/>
  <c r="G113" i="14"/>
  <c r="I113" i="14" s="1"/>
  <c r="G113" i="13"/>
  <c r="I113" i="13" s="1"/>
  <c r="G111" i="14"/>
  <c r="I111" i="14" s="1"/>
  <c r="G111" i="13"/>
  <c r="I111" i="13" s="1"/>
  <c r="G109" i="14"/>
  <c r="I109" i="14" s="1"/>
  <c r="G109" i="13"/>
  <c r="I109" i="13" s="1"/>
  <c r="G107" i="14"/>
  <c r="I107" i="14" s="1"/>
  <c r="G107" i="13"/>
  <c r="I107" i="13" s="1"/>
  <c r="G105" i="14"/>
  <c r="I105" i="14" s="1"/>
  <c r="G105" i="13"/>
  <c r="I105" i="13" s="1"/>
  <c r="G103" i="14"/>
  <c r="I103" i="14" s="1"/>
  <c r="G103" i="13"/>
  <c r="I103" i="13" s="1"/>
  <c r="G101" i="14"/>
  <c r="I101" i="14" s="1"/>
  <c r="G101" i="13"/>
  <c r="I101" i="13" s="1"/>
  <c r="G99" i="14"/>
  <c r="I99" i="14" s="1"/>
  <c r="G99" i="13"/>
  <c r="I99" i="13" s="1"/>
  <c r="G97" i="14"/>
  <c r="I97" i="14" s="1"/>
  <c r="G97" i="13"/>
  <c r="I97" i="13" s="1"/>
  <c r="G134" i="14"/>
  <c r="I134" i="14" s="1"/>
  <c r="G134" i="13"/>
  <c r="I134" i="13" s="1"/>
  <c r="G132" i="14"/>
  <c r="I132" i="14" s="1"/>
  <c r="G132" i="13"/>
  <c r="I132" i="13" s="1"/>
  <c r="G130" i="14"/>
  <c r="I130" i="14" s="1"/>
  <c r="G130" i="13"/>
  <c r="I130" i="13" s="1"/>
  <c r="G128" i="14"/>
  <c r="I128" i="14" s="1"/>
  <c r="G128" i="13"/>
  <c r="I128" i="13" s="1"/>
  <c r="G126" i="14"/>
  <c r="I126" i="14" s="1"/>
  <c r="G126" i="13"/>
  <c r="I126" i="13" s="1"/>
  <c r="G124" i="14"/>
  <c r="I124" i="14" s="1"/>
  <c r="G124" i="13"/>
  <c r="I124" i="13" s="1"/>
  <c r="G122" i="14"/>
  <c r="I122" i="14" s="1"/>
  <c r="G122" i="13"/>
  <c r="I122" i="13" s="1"/>
  <c r="G120" i="14"/>
  <c r="I120" i="14" s="1"/>
  <c r="G120" i="13"/>
  <c r="I120" i="13" s="1"/>
  <c r="G156" i="14"/>
  <c r="I156" i="14" s="1"/>
  <c r="G156" i="13"/>
  <c r="I156" i="13" s="1"/>
  <c r="G154" i="14"/>
  <c r="I154" i="14" s="1"/>
  <c r="G154" i="13"/>
  <c r="I154" i="13" s="1"/>
  <c r="G152" i="14"/>
  <c r="I152" i="14" s="1"/>
  <c r="G152" i="13"/>
  <c r="I152" i="13" s="1"/>
  <c r="G150" i="14"/>
  <c r="I150" i="14" s="1"/>
  <c r="G150" i="13"/>
  <c r="I150" i="13" s="1"/>
  <c r="G148" i="14"/>
  <c r="I148" i="14" s="1"/>
  <c r="G148" i="13"/>
  <c r="I148" i="13" s="1"/>
  <c r="G146" i="14"/>
  <c r="I146" i="14" s="1"/>
  <c r="G146" i="13"/>
  <c r="I146" i="13" s="1"/>
  <c r="G144" i="14"/>
  <c r="I144" i="14" s="1"/>
  <c r="G144" i="13"/>
  <c r="I144" i="13" s="1"/>
  <c r="G142" i="14"/>
  <c r="I142" i="14" s="1"/>
  <c r="G142" i="13"/>
  <c r="I142" i="13" s="1"/>
  <c r="G140" i="14"/>
  <c r="I140" i="14" s="1"/>
  <c r="G140" i="13"/>
  <c r="I140" i="13" s="1"/>
  <c r="G178" i="14"/>
  <c r="I178" i="14" s="1"/>
  <c r="G178" i="13"/>
  <c r="I178" i="13" s="1"/>
  <c r="G176" i="14"/>
  <c r="I176" i="14" s="1"/>
  <c r="G176" i="13"/>
  <c r="I176" i="13" s="1"/>
  <c r="G174" i="14"/>
  <c r="I174" i="14" s="1"/>
  <c r="G174" i="13"/>
  <c r="I174" i="13" s="1"/>
  <c r="G172" i="14"/>
  <c r="I172" i="14" s="1"/>
  <c r="G172" i="13"/>
  <c r="I172" i="13" s="1"/>
  <c r="G170" i="14"/>
  <c r="I170" i="14" s="1"/>
  <c r="G170" i="13"/>
  <c r="I170" i="13" s="1"/>
  <c r="G168" i="14"/>
  <c r="I168" i="14" s="1"/>
  <c r="G168" i="13"/>
  <c r="I168" i="13" s="1"/>
  <c r="G164" i="14"/>
  <c r="I164" i="14" s="1"/>
  <c r="G164" i="13"/>
  <c r="I164" i="13" s="1"/>
  <c r="G160" i="14"/>
  <c r="I160" i="14" s="1"/>
  <c r="G160" i="13"/>
  <c r="I160" i="13" s="1"/>
  <c r="G138" i="14"/>
  <c r="I138" i="14" s="1"/>
  <c r="G138" i="13"/>
  <c r="I138" i="13" s="1"/>
  <c r="G71" i="13"/>
  <c r="G71" i="14"/>
  <c r="I71" i="14" s="1"/>
  <c r="G74" i="14"/>
  <c r="I74" i="14" s="1"/>
  <c r="G74" i="13"/>
  <c r="I74" i="13" s="1"/>
  <c r="G72" i="14"/>
  <c r="I72" i="14" s="1"/>
  <c r="G72" i="13"/>
  <c r="I72" i="13" s="1"/>
  <c r="G115" i="13"/>
  <c r="G115" i="14"/>
  <c r="I115" i="14" s="1"/>
  <c r="G118" i="14"/>
  <c r="I118" i="14" s="1"/>
  <c r="G118" i="13"/>
  <c r="I118" i="13" s="1"/>
  <c r="G116" i="14"/>
  <c r="I116" i="14" s="1"/>
  <c r="G116" i="13"/>
  <c r="I116" i="13" s="1"/>
  <c r="G162" i="14"/>
  <c r="I162" i="14" s="1"/>
  <c r="G162" i="13"/>
  <c r="I162" i="13" s="1"/>
  <c r="G54" i="14"/>
  <c r="I54" i="14" s="1"/>
  <c r="G54" i="13"/>
  <c r="I54" i="13" s="1"/>
  <c r="G73" i="13"/>
  <c r="I73" i="13" s="1"/>
  <c r="G73" i="14"/>
  <c r="I73" i="14" s="1"/>
  <c r="G119" i="13"/>
  <c r="I119" i="13" s="1"/>
  <c r="G119" i="14"/>
  <c r="I119" i="14" s="1"/>
  <c r="G117" i="13"/>
  <c r="I117" i="13" s="1"/>
  <c r="G117" i="14"/>
  <c r="I117" i="14" s="1"/>
  <c r="G137" i="13"/>
  <c r="G137" i="14"/>
  <c r="I137" i="14" s="1"/>
  <c r="G139" i="13"/>
  <c r="I139" i="13" s="1"/>
  <c r="G139" i="14"/>
  <c r="I139" i="14" s="1"/>
  <c r="G159" i="13"/>
  <c r="G159" i="14"/>
  <c r="I159" i="14" s="1"/>
  <c r="K79" i="8"/>
  <c r="K78" i="8"/>
  <c r="K67" i="8"/>
  <c r="K66" i="8"/>
  <c r="K65" i="8"/>
  <c r="K13" i="8"/>
  <c r="K12" i="8"/>
  <c r="K11" i="8"/>
  <c r="K24" i="8"/>
  <c r="K23" i="8"/>
  <c r="K22" i="8"/>
  <c r="K21" i="8"/>
  <c r="K20" i="8"/>
  <c r="K36" i="8"/>
  <c r="K35" i="8"/>
  <c r="K34" i="8"/>
  <c r="K33" i="8"/>
  <c r="K32" i="8"/>
  <c r="K31" i="8"/>
  <c r="K55" i="8"/>
  <c r="K54" i="8"/>
  <c r="K53" i="8"/>
  <c r="K52" i="8"/>
  <c r="K77" i="8" l="1"/>
  <c r="I159" i="13"/>
  <c r="G158" i="13"/>
  <c r="I158" i="13" s="1"/>
  <c r="I137" i="13"/>
  <c r="G136" i="13"/>
  <c r="I136" i="13" s="1"/>
  <c r="I115" i="13"/>
  <c r="G114" i="13"/>
  <c r="I114" i="13" s="1"/>
  <c r="I71" i="13"/>
  <c r="G70" i="13"/>
  <c r="I70" i="13" s="1"/>
  <c r="JD13" i="8"/>
  <c r="G10" i="14" l="1"/>
  <c r="I10" i="14" s="1"/>
  <c r="G10" i="13"/>
  <c r="I10" i="13" s="1"/>
  <c r="G8" i="14"/>
  <c r="I8" i="14" s="1"/>
  <c r="G8" i="13"/>
  <c r="I8" i="13" s="1"/>
  <c r="G11" i="13"/>
  <c r="I11" i="13" s="1"/>
  <c r="G11" i="14"/>
  <c r="I11" i="14" s="1"/>
  <c r="G9" i="13"/>
  <c r="I9" i="13" s="1"/>
  <c r="G9" i="14"/>
  <c r="I9" i="14" s="1"/>
  <c r="JD60" i="8"/>
  <c r="JD59" i="8"/>
  <c r="JD58" i="8"/>
  <c r="JD35" i="8"/>
  <c r="JD34" i="8"/>
  <c r="JD33" i="8"/>
  <c r="JD32" i="8"/>
  <c r="JD31" i="8"/>
  <c r="JD26" i="8"/>
  <c r="JD25" i="8"/>
  <c r="JD24" i="8"/>
  <c r="JD23" i="8"/>
  <c r="JD22" i="8"/>
  <c r="JD21" i="8"/>
  <c r="JD20" i="8"/>
  <c r="JD19" i="8"/>
  <c r="JD18" i="8"/>
  <c r="JD12" i="8"/>
  <c r="JD11" i="8"/>
  <c r="JD10" i="8"/>
  <c r="G34" i="14" l="1"/>
  <c r="I34" i="14" s="1"/>
  <c r="G34" i="13"/>
  <c r="I34" i="13" s="1"/>
  <c r="G36" i="14"/>
  <c r="I36" i="14" s="1"/>
  <c r="G36" i="13"/>
  <c r="I36" i="13" s="1"/>
  <c r="G33" i="14"/>
  <c r="I33" i="14" s="1"/>
  <c r="G33" i="13"/>
  <c r="I33" i="13" s="1"/>
  <c r="G35" i="14"/>
  <c r="I35" i="14" s="1"/>
  <c r="G35" i="13"/>
  <c r="I35" i="13" s="1"/>
  <c r="G39" i="14"/>
  <c r="I39" i="14" s="1"/>
  <c r="G39" i="13"/>
  <c r="I39" i="13" s="1"/>
  <c r="G6" i="14"/>
  <c r="I6" i="14" s="1"/>
  <c r="G6" i="13"/>
  <c r="I6" i="13" s="1"/>
  <c r="G12" i="14"/>
  <c r="I12" i="14" s="1"/>
  <c r="G12" i="13"/>
  <c r="I12" i="13" s="1"/>
  <c r="G28" i="14"/>
  <c r="I28" i="14" s="1"/>
  <c r="G28" i="13"/>
  <c r="I28" i="13" s="1"/>
  <c r="G30" i="14"/>
  <c r="I30" i="14" s="1"/>
  <c r="G30" i="13"/>
  <c r="I30" i="13" s="1"/>
  <c r="G32" i="14"/>
  <c r="I32" i="14" s="1"/>
  <c r="G32" i="13"/>
  <c r="I32" i="13" s="1"/>
  <c r="G49" i="13"/>
  <c r="G49" i="14"/>
  <c r="I49" i="14" s="1"/>
  <c r="G51" i="13"/>
  <c r="I51" i="13" s="1"/>
  <c r="G51" i="14"/>
  <c r="I51" i="14" s="1"/>
  <c r="G53" i="13"/>
  <c r="I53" i="13" s="1"/>
  <c r="G53" i="14"/>
  <c r="I53" i="14" s="1"/>
  <c r="G94" i="14"/>
  <c r="I94" i="14" s="1"/>
  <c r="G94" i="13"/>
  <c r="I94" i="13" s="1"/>
  <c r="G5" i="14"/>
  <c r="G5" i="13"/>
  <c r="G7" i="13"/>
  <c r="I7" i="13" s="1"/>
  <c r="G7" i="14"/>
  <c r="I7" i="14" s="1"/>
  <c r="G27" i="13"/>
  <c r="G27" i="14"/>
  <c r="I27" i="14" s="1"/>
  <c r="G29" i="13"/>
  <c r="I29" i="13" s="1"/>
  <c r="G29" i="14"/>
  <c r="I29" i="14" s="1"/>
  <c r="G31" i="13"/>
  <c r="I31" i="13" s="1"/>
  <c r="G31" i="14"/>
  <c r="I31" i="14" s="1"/>
  <c r="G50" i="14"/>
  <c r="I50" i="14" s="1"/>
  <c r="G50" i="13"/>
  <c r="I50" i="13" s="1"/>
  <c r="G52" i="14"/>
  <c r="I52" i="14" s="1"/>
  <c r="G52" i="13"/>
  <c r="I52" i="13" s="1"/>
  <c r="G93" i="13"/>
  <c r="G93" i="14"/>
  <c r="I93" i="14" s="1"/>
  <c r="G95" i="13"/>
  <c r="I95" i="13" s="1"/>
  <c r="G95" i="14"/>
  <c r="I95" i="14" s="1"/>
  <c r="G4" i="10"/>
  <c r="G5" i="10"/>
  <c r="G3" i="10"/>
  <c r="C13" i="10"/>
  <c r="K61" i="8"/>
  <c r="E28" i="9" l="1"/>
  <c r="I5" i="13"/>
  <c r="G4" i="13"/>
  <c r="I93" i="13"/>
  <c r="G92" i="13"/>
  <c r="I92" i="13" s="1"/>
  <c r="I27" i="13"/>
  <c r="G26" i="13"/>
  <c r="I5" i="14"/>
  <c r="I180" i="14" s="1"/>
  <c r="G180" i="14"/>
  <c r="I49" i="13"/>
  <c r="G48" i="13"/>
  <c r="K60" i="8"/>
  <c r="C9" i="10"/>
  <c r="H48" i="13" l="1"/>
  <c r="I48" i="13" s="1"/>
  <c r="H26" i="13"/>
  <c r="I26" i="13" s="1"/>
  <c r="G180" i="13"/>
  <c r="I4" i="13"/>
  <c r="E9" i="10"/>
  <c r="D9" i="10"/>
  <c r="B10" i="10"/>
  <c r="B11" i="10"/>
  <c r="B9" i="10"/>
  <c r="I180" i="13" l="1"/>
  <c r="G9" i="10"/>
  <c r="F9" i="10"/>
  <c r="D9" i="8" l="1"/>
  <c r="D10" i="8" s="1"/>
  <c r="E9" i="8"/>
  <c r="J9" i="8"/>
  <c r="IZ56" i="8" l="1"/>
  <c r="IZ24" i="8"/>
  <c r="IZ25" i="8"/>
  <c r="IZ26" i="8"/>
  <c r="IZ21" i="8"/>
  <c r="IZ22" i="8"/>
  <c r="IZ23" i="8"/>
  <c r="IZ61" i="8" l="1"/>
  <c r="IZ60" i="8"/>
  <c r="IZ36" i="8"/>
  <c r="IZ35" i="8"/>
  <c r="IZ34" i="8"/>
  <c r="IZ33" i="8"/>
  <c r="IZ32" i="8"/>
  <c r="IZ31" i="8"/>
  <c r="IZ20" i="8"/>
  <c r="IZ19" i="8"/>
  <c r="IZ18" i="8"/>
  <c r="IZ13" i="8"/>
  <c r="IZ12" i="8"/>
  <c r="IZ11" i="8"/>
  <c r="IZ10" i="8"/>
  <c r="K30" i="8" l="1"/>
  <c r="K17" i="8"/>
  <c r="K9" i="8"/>
  <c r="K59" i="8" l="1"/>
  <c r="IZ59" i="8" s="1"/>
  <c r="K58" i="8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IZ58" i="8" l="1"/>
  <c r="K57" i="8"/>
  <c r="C10" i="10"/>
  <c r="E10" i="8"/>
  <c r="J10" i="8"/>
  <c r="F10" i="8"/>
  <c r="E10" i="10" l="1"/>
  <c r="D10" i="10"/>
  <c r="IZ52" i="8"/>
  <c r="IZ65" i="8"/>
  <c r="IZ53" i="8"/>
  <c r="IZ66" i="8"/>
  <c r="G10" i="8"/>
  <c r="D18" i="8"/>
  <c r="L10" i="8"/>
  <c r="D11" i="8"/>
  <c r="O10" i="8" l="1"/>
  <c r="G10" i="10"/>
  <c r="F10" i="10"/>
  <c r="IZ54" i="8"/>
  <c r="IZ67" i="8"/>
  <c r="J18" i="8"/>
  <c r="E18" i="8"/>
  <c r="J11" i="8"/>
  <c r="P10" i="8"/>
  <c r="F11" i="8"/>
  <c r="E11" i="8"/>
  <c r="F18" i="8"/>
  <c r="Q10" i="8" l="1"/>
  <c r="K64" i="8"/>
  <c r="IZ55" i="8"/>
  <c r="C11" i="10"/>
  <c r="L11" i="8"/>
  <c r="G18" i="8"/>
  <c r="L18" i="8"/>
  <c r="D12" i="8"/>
  <c r="G11" i="8"/>
  <c r="D19" i="8"/>
  <c r="O11" i="8" l="1"/>
  <c r="E11" i="10"/>
  <c r="D11" i="10"/>
  <c r="D12" i="10" s="1"/>
  <c r="K51" i="8"/>
  <c r="K8" i="8" s="1"/>
  <c r="C12" i="10"/>
  <c r="G14" i="10" s="1"/>
  <c r="E19" i="8"/>
  <c r="F19" i="8"/>
  <c r="E12" i="8"/>
  <c r="J12" i="8"/>
  <c r="P11" i="8"/>
  <c r="F12" i="8"/>
  <c r="Q11" i="8" l="1"/>
  <c r="G11" i="10"/>
  <c r="G12" i="10" s="1"/>
  <c r="F11" i="10"/>
  <c r="F12" i="10" s="1"/>
  <c r="E12" i="10"/>
  <c r="L12" i="8"/>
  <c r="D13" i="8"/>
  <c r="D52" i="8"/>
  <c r="D20" i="8"/>
  <c r="G19" i="8"/>
  <c r="G12" i="8"/>
  <c r="L19" i="8"/>
  <c r="D31" i="8"/>
  <c r="O12" i="8" l="1"/>
  <c r="F13" i="8"/>
  <c r="E13" i="8"/>
  <c r="P12" i="8"/>
  <c r="F20" i="8"/>
  <c r="D58" i="8"/>
  <c r="F31" i="8"/>
  <c r="J20" i="8"/>
  <c r="E52" i="8"/>
  <c r="J13" i="8"/>
  <c r="J31" i="8"/>
  <c r="E20" i="8"/>
  <c r="J52" i="8"/>
  <c r="E31" i="8"/>
  <c r="F52" i="8"/>
  <c r="O18" i="8" l="1"/>
  <c r="Q12" i="8"/>
  <c r="D14" i="8"/>
  <c r="L31" i="8"/>
  <c r="G52" i="8"/>
  <c r="G31" i="8"/>
  <c r="G13" i="8"/>
  <c r="L13" i="8"/>
  <c r="D21" i="8"/>
  <c r="P18" i="8"/>
  <c r="L52" i="8"/>
  <c r="G20" i="8"/>
  <c r="J58" i="8"/>
  <c r="L20" i="8"/>
  <c r="E58" i="8"/>
  <c r="F58" i="8"/>
  <c r="D32" i="8"/>
  <c r="O13" i="8" l="1"/>
  <c r="Q13" i="8" s="1"/>
  <c r="O52" i="8"/>
  <c r="Q52" i="8" s="1"/>
  <c r="Q18" i="8"/>
  <c r="J21" i="8"/>
  <c r="E21" i="8"/>
  <c r="L58" i="8"/>
  <c r="P13" i="8"/>
  <c r="P52" i="8"/>
  <c r="F21" i="8"/>
  <c r="D59" i="8"/>
  <c r="J32" i="8"/>
  <c r="E32" i="8"/>
  <c r="F14" i="8"/>
  <c r="G58" i="8"/>
  <c r="F32" i="8"/>
  <c r="O19" i="8" l="1"/>
  <c r="J59" i="8"/>
  <c r="G32" i="8"/>
  <c r="L14" i="8"/>
  <c r="L32" i="8"/>
  <c r="E59" i="8"/>
  <c r="L21" i="8"/>
  <c r="F59" i="8"/>
  <c r="D22" i="8"/>
  <c r="D15" i="8"/>
  <c r="G21" i="8"/>
  <c r="O21" i="8" l="1"/>
  <c r="Q21" i="8" s="1"/>
  <c r="Q19" i="8"/>
  <c r="O20" i="8"/>
  <c r="D60" i="8"/>
  <c r="J22" i="8"/>
  <c r="E22" i="8"/>
  <c r="F15" i="8"/>
  <c r="L59" i="8"/>
  <c r="P21" i="8"/>
  <c r="F22" i="8"/>
  <c r="G59" i="8"/>
  <c r="L15" i="8"/>
  <c r="Q20" i="8" l="1"/>
  <c r="F60" i="8"/>
  <c r="J60" i="8"/>
  <c r="P20" i="8"/>
  <c r="L22" i="8"/>
  <c r="D23" i="8"/>
  <c r="G22" i="8"/>
  <c r="E60" i="8"/>
  <c r="P19" i="8"/>
  <c r="O22" i="8" l="1"/>
  <c r="Q22" i="8" s="1"/>
  <c r="L60" i="8"/>
  <c r="D24" i="8"/>
  <c r="J23" i="8"/>
  <c r="E24" i="8"/>
  <c r="G60" i="8"/>
  <c r="F23" i="8"/>
  <c r="G23" i="8" s="1"/>
  <c r="L23" i="8"/>
  <c r="E23" i="8"/>
  <c r="J24" i="8"/>
  <c r="O23" i="8" l="1"/>
  <c r="Q23" i="8" s="1"/>
  <c r="D25" i="8"/>
  <c r="D61" i="8"/>
  <c r="F24" i="8"/>
  <c r="G24" i="8" s="1"/>
  <c r="L24" i="8"/>
  <c r="P23" i="8"/>
  <c r="O24" i="8" l="1"/>
  <c r="Q24" i="8" s="1"/>
  <c r="E61" i="8"/>
  <c r="E25" i="8"/>
  <c r="J61" i="8"/>
  <c r="J25" i="8"/>
  <c r="F25" i="8"/>
  <c r="L25" i="8" s="1"/>
  <c r="F61" i="8"/>
  <c r="L61" i="8" s="1"/>
  <c r="G25" i="8"/>
  <c r="G61" i="8"/>
  <c r="O25" i="8" l="1"/>
  <c r="Q25" i="8" s="1"/>
  <c r="O31" i="8"/>
  <c r="D62" i="8"/>
  <c r="P31" i="8"/>
  <c r="E62" i="8"/>
  <c r="P24" i="8"/>
  <c r="P22" i="8"/>
  <c r="P25" i="8"/>
  <c r="F62" i="8"/>
  <c r="J62" i="8"/>
  <c r="O32" i="8" l="1"/>
  <c r="O61" i="8"/>
  <c r="O60" i="8"/>
  <c r="O59" i="8"/>
  <c r="O58" i="8"/>
  <c r="Q31" i="8"/>
  <c r="L62" i="8"/>
  <c r="P60" i="8"/>
  <c r="P58" i="8"/>
  <c r="G62" i="8"/>
  <c r="P59" i="8"/>
  <c r="P32" i="8"/>
  <c r="P61" i="8"/>
  <c r="O62" i="8" l="1"/>
  <c r="Q62" i="8" s="1"/>
  <c r="Q59" i="8"/>
  <c r="Q61" i="8"/>
  <c r="O33" i="8"/>
  <c r="O34" i="8"/>
  <c r="Q58" i="8"/>
  <c r="Q60" i="8"/>
  <c r="Q32" i="8"/>
  <c r="P62" i="8"/>
  <c r="Q34" i="8" l="1"/>
  <c r="Q33" i="8"/>
  <c r="D63" i="8"/>
  <c r="D53" i="8"/>
  <c r="F63" i="8"/>
  <c r="E63" i="8"/>
  <c r="J53" i="8"/>
  <c r="L63" i="8"/>
  <c r="D65" i="8"/>
  <c r="E65" i="8" s="1"/>
  <c r="J65" i="8"/>
  <c r="D33" i="8"/>
  <c r="P33" i="8" s="1"/>
  <c r="J63" i="8"/>
  <c r="E33" i="8"/>
  <c r="F33" i="8"/>
  <c r="J33" i="8"/>
  <c r="G63" i="8"/>
  <c r="S5" i="8"/>
  <c r="O63" i="8" l="1"/>
  <c r="Q63" i="8" s="1"/>
  <c r="S4" i="8"/>
  <c r="F53" i="8"/>
  <c r="F65" i="8"/>
  <c r="G33" i="8"/>
  <c r="G53" i="8"/>
  <c r="P63" i="8"/>
  <c r="E53" i="8"/>
  <c r="L65" i="8"/>
  <c r="D34" i="8"/>
  <c r="F34" i="8"/>
  <c r="L53" i="8"/>
  <c r="G65" i="8"/>
  <c r="J34" i="8"/>
  <c r="T5" i="8"/>
  <c r="S6" i="8"/>
  <c r="U5" i="8"/>
  <c r="E34" i="8"/>
  <c r="P34" i="8"/>
  <c r="O65" i="8" l="1"/>
  <c r="O53" i="8"/>
  <c r="T4" i="8"/>
  <c r="U4" i="8"/>
  <c r="D54" i="8"/>
  <c r="P65" i="8"/>
  <c r="G34" i="8"/>
  <c r="P53" i="8"/>
  <c r="E54" i="8"/>
  <c r="L9" i="8"/>
  <c r="D66" i="8"/>
  <c r="F54" i="8"/>
  <c r="G54" i="8" s="1"/>
  <c r="D35" i="8"/>
  <c r="E66" i="8"/>
  <c r="J54" i="8"/>
  <c r="F35" i="8"/>
  <c r="L35" i="8" s="1"/>
  <c r="G35" i="8"/>
  <c r="V5" i="8"/>
  <c r="W5" i="8"/>
  <c r="J35" i="8"/>
  <c r="E35" i="8"/>
  <c r="V4" i="8" l="1"/>
  <c r="Q53" i="8"/>
  <c r="Q65" i="8"/>
  <c r="O35" i="8"/>
  <c r="Q35" i="8" s="1"/>
  <c r="W4" i="8"/>
  <c r="F66" i="8"/>
  <c r="L54" i="8"/>
  <c r="D55" i="8"/>
  <c r="F9" i="8"/>
  <c r="E55" i="8"/>
  <c r="P35" i="8"/>
  <c r="J55" i="8"/>
  <c r="D68" i="8"/>
  <c r="J66" i="8"/>
  <c r="D36" i="8"/>
  <c r="X5" i="8"/>
  <c r="L66" i="8"/>
  <c r="G66" i="8"/>
  <c r="F68" i="8"/>
  <c r="E68" i="8"/>
  <c r="J68" i="8"/>
  <c r="E36" i="8"/>
  <c r="J36" i="8"/>
  <c r="G68" i="8"/>
  <c r="L68" i="8"/>
  <c r="O66" i="8" l="1"/>
  <c r="O68" i="8"/>
  <c r="Q68" i="8" s="1"/>
  <c r="O54" i="8"/>
  <c r="Q54" i="8" s="1"/>
  <c r="M57" i="8"/>
  <c r="X4" i="8"/>
  <c r="D69" i="8"/>
  <c r="G9" i="8"/>
  <c r="P66" i="8"/>
  <c r="D67" i="8"/>
  <c r="P68" i="8"/>
  <c r="F55" i="8"/>
  <c r="N9" i="8"/>
  <c r="D57" i="8"/>
  <c r="J57" i="8"/>
  <c r="F36" i="8"/>
  <c r="G55" i="8"/>
  <c r="P54" i="8"/>
  <c r="L57" i="8"/>
  <c r="E57" i="8"/>
  <c r="X6" i="8"/>
  <c r="Y5" i="8"/>
  <c r="J69" i="8"/>
  <c r="F69" i="8"/>
  <c r="E69" i="8"/>
  <c r="F67" i="8"/>
  <c r="J67" i="8"/>
  <c r="E67" i="8"/>
  <c r="L36" i="8"/>
  <c r="G36" i="8"/>
  <c r="G69" i="8"/>
  <c r="L69" i="8"/>
  <c r="G67" i="8"/>
  <c r="L67" i="8"/>
  <c r="O67" i="8" l="1"/>
  <c r="O69" i="8"/>
  <c r="Q66" i="8"/>
  <c r="O36" i="8"/>
  <c r="Q36" i="8" s="1"/>
  <c r="O57" i="8"/>
  <c r="Q57" i="8" s="1"/>
  <c r="Y4" i="8"/>
  <c r="P67" i="8"/>
  <c r="L55" i="8"/>
  <c r="D56" i="8"/>
  <c r="F57" i="8"/>
  <c r="P57" i="8"/>
  <c r="E56" i="8"/>
  <c r="J56" i="8"/>
  <c r="P69" i="8"/>
  <c r="P36" i="8"/>
  <c r="D37" i="8"/>
  <c r="E37" i="8" s="1"/>
  <c r="D16" i="8"/>
  <c r="G57" i="8"/>
  <c r="F56" i="8"/>
  <c r="F37" i="8"/>
  <c r="L56" i="8"/>
  <c r="G37" i="8"/>
  <c r="Z5" i="8"/>
  <c r="L37" i="8"/>
  <c r="Q69" i="8" l="1"/>
  <c r="Q67" i="8"/>
  <c r="O55" i="8"/>
  <c r="O37" i="8"/>
  <c r="Q37" i="8" s="1"/>
  <c r="O56" i="8"/>
  <c r="Q56" i="8" s="1"/>
  <c r="Z4" i="8"/>
  <c r="D38" i="8"/>
  <c r="F16" i="8"/>
  <c r="P37" i="8"/>
  <c r="P56" i="8"/>
  <c r="L16" i="8"/>
  <c r="J37" i="8"/>
  <c r="G56" i="8"/>
  <c r="P55" i="8"/>
  <c r="N57" i="8"/>
  <c r="D64" i="8"/>
  <c r="E64" i="8"/>
  <c r="AA5" i="8"/>
  <c r="F38" i="8"/>
  <c r="J38" i="8"/>
  <c r="L64" i="8"/>
  <c r="J64" i="8"/>
  <c r="L38" i="8"/>
  <c r="M51" i="8" l="1"/>
  <c r="Q55" i="8"/>
  <c r="M64" i="8"/>
  <c r="O64" i="8" s="1"/>
  <c r="M9" i="8"/>
  <c r="AA4" i="8"/>
  <c r="D39" i="8"/>
  <c r="F64" i="8"/>
  <c r="D49" i="8"/>
  <c r="J49" i="8"/>
  <c r="D51" i="8"/>
  <c r="J51" i="8" s="1"/>
  <c r="E51" i="8"/>
  <c r="P64" i="8"/>
  <c r="E49" i="8"/>
  <c r="AB5" i="8"/>
  <c r="E39" i="8"/>
  <c r="J39" i="8"/>
  <c r="F39" i="8"/>
  <c r="L39" i="8"/>
  <c r="G39" i="8"/>
  <c r="O39" i="8" l="1"/>
  <c r="O9" i="8"/>
  <c r="Q9" i="8" s="1"/>
  <c r="Q64" i="8"/>
  <c r="AB4" i="8"/>
  <c r="P39" i="8"/>
  <c r="F49" i="8"/>
  <c r="G64" i="8"/>
  <c r="G49" i="8"/>
  <c r="D40" i="8"/>
  <c r="P9" i="8"/>
  <c r="L51" i="8"/>
  <c r="N64" i="8"/>
  <c r="F51" i="8"/>
  <c r="G51" i="8"/>
  <c r="AC5" i="8"/>
  <c r="AC6" i="8"/>
  <c r="AD5" i="8"/>
  <c r="AE5" i="8"/>
  <c r="AF5" i="8" s="1"/>
  <c r="AG5" i="8"/>
  <c r="AH5" i="8" s="1"/>
  <c r="AH6" i="8" s="1"/>
  <c r="AI5" i="8"/>
  <c r="AJ5" i="8"/>
  <c r="AK5" i="8" s="1"/>
  <c r="AL5" i="8"/>
  <c r="AM5" i="8" s="1"/>
  <c r="J40" i="8"/>
  <c r="F40" i="8"/>
  <c r="L40" i="8"/>
  <c r="Q39" i="8" l="1"/>
  <c r="AL4" i="8"/>
  <c r="AK4" i="8"/>
  <c r="AJ4" i="8"/>
  <c r="AI4" i="8"/>
  <c r="AH4" i="8"/>
  <c r="AG4" i="8"/>
  <c r="AF4" i="8"/>
  <c r="AE4" i="8"/>
  <c r="AD4" i="8"/>
  <c r="AC4" i="8"/>
  <c r="O51" i="8"/>
  <c r="AM4" i="8"/>
  <c r="D41" i="8"/>
  <c r="N51" i="8"/>
  <c r="P51" i="8"/>
  <c r="D50" i="8"/>
  <c r="J50" i="8" s="1"/>
  <c r="L49" i="8"/>
  <c r="E50" i="8"/>
  <c r="AN5" i="8"/>
  <c r="AO5" i="8"/>
  <c r="AM6" i="8"/>
  <c r="F41" i="8"/>
  <c r="J41" i="8"/>
  <c r="L41" i="8"/>
  <c r="AN4" i="8" l="1"/>
  <c r="O49" i="8"/>
  <c r="Q51" i="8"/>
  <c r="AO4" i="8"/>
  <c r="D42" i="8"/>
  <c r="F50" i="8"/>
  <c r="P49" i="8"/>
  <c r="G50" i="8"/>
  <c r="AP5" i="8"/>
  <c r="AQ5" i="8"/>
  <c r="J42" i="8"/>
  <c r="F42" i="8"/>
  <c r="L42" i="8"/>
  <c r="AQ4" i="8" l="1"/>
  <c r="AP4" i="8"/>
  <c r="Q49" i="8"/>
  <c r="D43" i="8"/>
  <c r="L50" i="8"/>
  <c r="AR5" i="8"/>
  <c r="AS5" i="8" s="1"/>
  <c r="AR6" i="8"/>
  <c r="AT5" i="8"/>
  <c r="AU5" i="8" s="1"/>
  <c r="AV5" i="8" s="1"/>
  <c r="F43" i="8"/>
  <c r="J43" i="8"/>
  <c r="E43" i="8"/>
  <c r="L43" i="8"/>
  <c r="G43" i="8"/>
  <c r="O43" i="8" l="1"/>
  <c r="AU4" i="8"/>
  <c r="AT4" i="8"/>
  <c r="AS4" i="8"/>
  <c r="O50" i="8"/>
  <c r="AR4" i="8"/>
  <c r="AV4" i="8"/>
  <c r="P43" i="8"/>
  <c r="P50" i="8"/>
  <c r="D44" i="8"/>
  <c r="AW5" i="8"/>
  <c r="AW6" i="8" s="1"/>
  <c r="J44" i="8"/>
  <c r="F44" i="8"/>
  <c r="L44" i="8"/>
  <c r="Q43" i="8" l="1"/>
  <c r="Q50" i="8"/>
  <c r="AW4" i="8"/>
  <c r="D45" i="8"/>
  <c r="AX5" i="8"/>
  <c r="F45" i="8"/>
  <c r="E45" i="8"/>
  <c r="J45" i="8"/>
  <c r="L45" i="8"/>
  <c r="G45" i="8"/>
  <c r="O45" i="8" l="1"/>
  <c r="Q45" i="8"/>
  <c r="AX4" i="8"/>
  <c r="P45" i="8"/>
  <c r="D46" i="8"/>
  <c r="D78" i="8"/>
  <c r="J78" i="8"/>
  <c r="E78" i="8"/>
  <c r="F78" i="8"/>
  <c r="AY5" i="8"/>
  <c r="AZ5" i="8" s="1"/>
  <c r="F46" i="8"/>
  <c r="J46" i="8"/>
  <c r="G78" i="8"/>
  <c r="L78" i="8"/>
  <c r="BA5" i="8"/>
  <c r="L46" i="8"/>
  <c r="BB5" i="8"/>
  <c r="BC5" i="8"/>
  <c r="BB6" i="8"/>
  <c r="BD5" i="8"/>
  <c r="BE5" i="8" s="1"/>
  <c r="BF5" i="8"/>
  <c r="BG5" i="8"/>
  <c r="BH5" i="8"/>
  <c r="BG6" i="8"/>
  <c r="BI5" i="8"/>
  <c r="BJ5" i="8" s="1"/>
  <c r="BK5" i="8"/>
  <c r="BL5" i="8"/>
  <c r="BM5" i="8"/>
  <c r="BL6" i="8"/>
  <c r="BN5" i="8"/>
  <c r="BO5" i="8" s="1"/>
  <c r="BP5" i="8"/>
  <c r="BQ5" i="8"/>
  <c r="BR5" i="8"/>
  <c r="BQ6" i="8"/>
  <c r="BS5" i="8"/>
  <c r="BT5" i="8" s="1"/>
  <c r="BU5" i="8"/>
  <c r="BV5" i="8"/>
  <c r="BW5" i="8"/>
  <c r="BV6" i="8"/>
  <c r="BX5" i="8"/>
  <c r="BY5" i="8" s="1"/>
  <c r="BZ5" i="8"/>
  <c r="CA5" i="8"/>
  <c r="CB5" i="8"/>
  <c r="CA6" i="8"/>
  <c r="CC5" i="8"/>
  <c r="CD5" i="8" s="1"/>
  <c r="CE5" i="8"/>
  <c r="CF5" i="8"/>
  <c r="CG5" i="8"/>
  <c r="CF6" i="8"/>
  <c r="CH5" i="8"/>
  <c r="CI5" i="8" s="1"/>
  <c r="CJ5" i="8"/>
  <c r="CK5" i="8"/>
  <c r="CL5" i="8"/>
  <c r="CK6" i="8"/>
  <c r="CM5" i="8"/>
  <c r="CN5" i="8" s="1"/>
  <c r="CO5" i="8"/>
  <c r="CP5" i="8"/>
  <c r="CQ5" i="8"/>
  <c r="CP6" i="8"/>
  <c r="CR5" i="8"/>
  <c r="CS5" i="8" s="1"/>
  <c r="CT5" i="8"/>
  <c r="CU5" i="8"/>
  <c r="CV5" i="8"/>
  <c r="CU6" i="8"/>
  <c r="CW5" i="8"/>
  <c r="CX5" i="8" s="1"/>
  <c r="CY5" i="8"/>
  <c r="CZ5" i="8"/>
  <c r="DA5" i="8"/>
  <c r="CZ6" i="8"/>
  <c r="DB5" i="8"/>
  <c r="DC5" i="8" s="1"/>
  <c r="DD5" i="8"/>
  <c r="DE5" i="8"/>
  <c r="DF5" i="8"/>
  <c r="DE6" i="8"/>
  <c r="DG5" i="8"/>
  <c r="DH5" i="8" s="1"/>
  <c r="DI5" i="8"/>
  <c r="DJ5" i="8"/>
  <c r="DK5" i="8"/>
  <c r="DJ6" i="8"/>
  <c r="DL5" i="8"/>
  <c r="DM5" i="8" s="1"/>
  <c r="DN5" i="8"/>
  <c r="DO5" i="8"/>
  <c r="DP5" i="8"/>
  <c r="DO6" i="8"/>
  <c r="DQ5" i="8"/>
  <c r="DR5" i="8" s="1"/>
  <c r="DS5" i="8"/>
  <c r="DT5" i="8"/>
  <c r="DU5" i="8"/>
  <c r="DT6" i="8"/>
  <c r="DV5" i="8"/>
  <c r="DW5" i="8" s="1"/>
  <c r="DX5" i="8"/>
  <c r="DY5" i="8"/>
  <c r="DZ5" i="8"/>
  <c r="DY6" i="8"/>
  <c r="EA5" i="8"/>
  <c r="EB5" i="8" s="1"/>
  <c r="EC5" i="8"/>
  <c r="ED5" i="8"/>
  <c r="EE5" i="8"/>
  <c r="ED6" i="8"/>
  <c r="EF5" i="8"/>
  <c r="EG5" i="8" s="1"/>
  <c r="EH5" i="8"/>
  <c r="EI5" i="8"/>
  <c r="EJ5" i="8"/>
  <c r="EI6" i="8"/>
  <c r="EK5" i="8"/>
  <c r="EL5" i="8" s="1"/>
  <c r="EM5" i="8"/>
  <c r="EN5" i="8"/>
  <c r="EO5" i="8"/>
  <c r="EN6" i="8"/>
  <c r="EP5" i="8"/>
  <c r="EQ5" i="8" s="1"/>
  <c r="ER5" i="8"/>
  <c r="ES5" i="8"/>
  <c r="ET5" i="8"/>
  <c r="ES6" i="8"/>
  <c r="EU5" i="8"/>
  <c r="EV5" i="8" s="1"/>
  <c r="EW5" i="8"/>
  <c r="EX5" i="8"/>
  <c r="EY5" i="8"/>
  <c r="EX6" i="8"/>
  <c r="EZ5" i="8"/>
  <c r="FA5" i="8" s="1"/>
  <c r="FB5" i="8"/>
  <c r="FC5" i="8"/>
  <c r="FD5" i="8"/>
  <c r="FC6" i="8"/>
  <c r="FE5" i="8"/>
  <c r="FF5" i="8" s="1"/>
  <c r="FG5" i="8"/>
  <c r="FH5" i="8"/>
  <c r="FI5" i="8"/>
  <c r="FH6" i="8"/>
  <c r="FJ5" i="8"/>
  <c r="FK5" i="8" s="1"/>
  <c r="FL5" i="8"/>
  <c r="FM5" i="8"/>
  <c r="FN5" i="8"/>
  <c r="FM6" i="8"/>
  <c r="FO5" i="8"/>
  <c r="FP5" i="8" s="1"/>
  <c r="FQ5" i="8"/>
  <c r="FR5" i="8"/>
  <c r="FS5" i="8"/>
  <c r="FR6" i="8"/>
  <c r="FT5" i="8"/>
  <c r="FU5" i="8" s="1"/>
  <c r="FV5" i="8"/>
  <c r="FW5" i="8"/>
  <c r="FX5" i="8"/>
  <c r="FW6" i="8"/>
  <c r="FY5" i="8"/>
  <c r="FZ5" i="8" s="1"/>
  <c r="GA5" i="8"/>
  <c r="GB5" i="8"/>
  <c r="GC5" i="8"/>
  <c r="GB6" i="8"/>
  <c r="GD5" i="8"/>
  <c r="GE5" i="8" s="1"/>
  <c r="GF5" i="8"/>
  <c r="GG5" i="8"/>
  <c r="GH5" i="8"/>
  <c r="GG6" i="8"/>
  <c r="GI5" i="8"/>
  <c r="GJ5" i="8" s="1"/>
  <c r="GK5" i="8"/>
  <c r="GL5" i="8"/>
  <c r="GM5" i="8"/>
  <c r="GL6" i="8"/>
  <c r="GN5" i="8"/>
  <c r="GO5" i="8" s="1"/>
  <c r="GP5" i="8"/>
  <c r="GQ5" i="8"/>
  <c r="GR5" i="8"/>
  <c r="GQ6" i="8"/>
  <c r="GS5" i="8"/>
  <c r="GT5" i="8" s="1"/>
  <c r="GU5" i="8"/>
  <c r="GV5" i="8"/>
  <c r="GW5" i="8"/>
  <c r="GV6" i="8"/>
  <c r="GX5" i="8"/>
  <c r="GY5" i="8" s="1"/>
  <c r="GZ5" i="8"/>
  <c r="HA5" i="8"/>
  <c r="HB5" i="8"/>
  <c r="HA6" i="8"/>
  <c r="HC5" i="8"/>
  <c r="HD5" i="8" s="1"/>
  <c r="HE5" i="8"/>
  <c r="HF5" i="8"/>
  <c r="HG5" i="8"/>
  <c r="HF6" i="8"/>
  <c r="HH5" i="8"/>
  <c r="HI5" i="8" s="1"/>
  <c r="HJ5" i="8"/>
  <c r="HK5" i="8"/>
  <c r="HL5" i="8"/>
  <c r="HK6" i="8"/>
  <c r="HM5" i="8"/>
  <c r="HN5" i="8" s="1"/>
  <c r="HO5" i="8"/>
  <c r="HP5" i="8"/>
  <c r="HQ5" i="8"/>
  <c r="HP6" i="8"/>
  <c r="HR5" i="8"/>
  <c r="HS5" i="8" s="1"/>
  <c r="HT5" i="8"/>
  <c r="HU5" i="8"/>
  <c r="HV5" i="8"/>
  <c r="HU6" i="8"/>
  <c r="HW5" i="8"/>
  <c r="HX5" i="8" s="1"/>
  <c r="HY5" i="8"/>
  <c r="HZ5" i="8"/>
  <c r="IA5" i="8"/>
  <c r="HZ6" i="8"/>
  <c r="IB5" i="8"/>
  <c r="IC5" i="8" s="1"/>
  <c r="ID5" i="8"/>
  <c r="IE5" i="8"/>
  <c r="IF5" i="8"/>
  <c r="IE6" i="8"/>
  <c r="IG5" i="8"/>
  <c r="IH5" i="8"/>
  <c r="II5" i="8"/>
  <c r="IJ5" i="8"/>
  <c r="IJ6" i="8"/>
  <c r="IK5" i="8"/>
  <c r="IL5" i="8"/>
  <c r="IM5" i="8"/>
  <c r="IL4" i="8" l="1"/>
  <c r="IK4" i="8"/>
  <c r="IJ4" i="8"/>
  <c r="II4" i="8"/>
  <c r="IH4" i="8"/>
  <c r="IG4" i="8"/>
  <c r="IF4" i="8"/>
  <c r="IE4" i="8"/>
  <c r="ID4" i="8"/>
  <c r="IC4" i="8"/>
  <c r="IA4" i="8"/>
  <c r="HZ4" i="8"/>
  <c r="HY4" i="8"/>
  <c r="HX4" i="8"/>
  <c r="HV4" i="8"/>
  <c r="HU4" i="8"/>
  <c r="HT4" i="8"/>
  <c r="HS4" i="8"/>
  <c r="HQ4" i="8"/>
  <c r="HP4" i="8"/>
  <c r="HO4" i="8"/>
  <c r="HN4" i="8"/>
  <c r="HL4" i="8"/>
  <c r="HK4" i="8"/>
  <c r="HJ4" i="8"/>
  <c r="HI4" i="8"/>
  <c r="HG4" i="8"/>
  <c r="HF4" i="8"/>
  <c r="HE4" i="8"/>
  <c r="HD4" i="8"/>
  <c r="HB4" i="8"/>
  <c r="HA4" i="8"/>
  <c r="GZ4" i="8"/>
  <c r="GY4" i="8"/>
  <c r="GW4" i="8"/>
  <c r="GV4" i="8"/>
  <c r="GU4" i="8"/>
  <c r="GT4" i="8"/>
  <c r="GR4" i="8"/>
  <c r="GQ4" i="8"/>
  <c r="GP4" i="8"/>
  <c r="GO4" i="8"/>
  <c r="GM4" i="8"/>
  <c r="GL4" i="8"/>
  <c r="GK4" i="8"/>
  <c r="GJ4" i="8"/>
  <c r="GH4" i="8"/>
  <c r="GG4" i="8"/>
  <c r="GF4" i="8"/>
  <c r="GE4" i="8"/>
  <c r="GC4" i="8"/>
  <c r="GB4" i="8"/>
  <c r="GA4" i="8"/>
  <c r="FZ4" i="8"/>
  <c r="FX4" i="8"/>
  <c r="FW4" i="8"/>
  <c r="FV4" i="8"/>
  <c r="FU4" i="8"/>
  <c r="FS4" i="8"/>
  <c r="FR4" i="8"/>
  <c r="FQ4" i="8"/>
  <c r="FP4" i="8"/>
  <c r="FN4" i="8"/>
  <c r="FM4" i="8"/>
  <c r="FL4" i="8"/>
  <c r="FK4" i="8"/>
  <c r="FI4" i="8"/>
  <c r="FH4" i="8"/>
  <c r="FG4" i="8"/>
  <c r="FF4" i="8"/>
  <c r="FD4" i="8"/>
  <c r="FC4" i="8"/>
  <c r="FB4" i="8"/>
  <c r="FA4" i="8"/>
  <c r="EY4" i="8"/>
  <c r="EX4" i="8"/>
  <c r="EW4" i="8"/>
  <c r="EV4" i="8"/>
  <c r="ET4" i="8"/>
  <c r="ES4" i="8"/>
  <c r="ER4" i="8"/>
  <c r="EQ4" i="8"/>
  <c r="EO4" i="8"/>
  <c r="EN4" i="8"/>
  <c r="EM4" i="8"/>
  <c r="EL4" i="8"/>
  <c r="EJ4" i="8"/>
  <c r="EI4" i="8"/>
  <c r="EH4" i="8"/>
  <c r="EG4" i="8"/>
  <c r="EE4" i="8"/>
  <c r="ED4" i="8"/>
  <c r="EC4" i="8"/>
  <c r="EB4" i="8"/>
  <c r="DZ4" i="8"/>
  <c r="DY4" i="8"/>
  <c r="DX4" i="8"/>
  <c r="DW4" i="8"/>
  <c r="DU4" i="8"/>
  <c r="DT4" i="8"/>
  <c r="DS4" i="8"/>
  <c r="DR4" i="8"/>
  <c r="DP4" i="8"/>
  <c r="DO4" i="8"/>
  <c r="DN4" i="8"/>
  <c r="DM4" i="8"/>
  <c r="DK4" i="8"/>
  <c r="DJ4" i="8"/>
  <c r="DI4" i="8"/>
  <c r="DH4" i="8"/>
  <c r="DF4" i="8"/>
  <c r="DE4" i="8"/>
  <c r="DD4" i="8"/>
  <c r="DC4" i="8"/>
  <c r="DA4" i="8"/>
  <c r="CZ4" i="8"/>
  <c r="CY4" i="8"/>
  <c r="CX4" i="8"/>
  <c r="CV4" i="8"/>
  <c r="CU4" i="8"/>
  <c r="CT4" i="8"/>
  <c r="CS4" i="8"/>
  <c r="CQ4" i="8"/>
  <c r="CP4" i="8"/>
  <c r="CO4" i="8"/>
  <c r="CN4" i="8"/>
  <c r="CL4" i="8"/>
  <c r="CK4" i="8"/>
  <c r="CJ4" i="8"/>
  <c r="CI4" i="8"/>
  <c r="CG4" i="8"/>
  <c r="CF4" i="8"/>
  <c r="CE4" i="8"/>
  <c r="CD4" i="8"/>
  <c r="CB4" i="8"/>
  <c r="CA4" i="8"/>
  <c r="BZ4" i="8"/>
  <c r="BY4" i="8"/>
  <c r="BW4" i="8"/>
  <c r="BV4" i="8"/>
  <c r="BU4" i="8"/>
  <c r="BT4" i="8"/>
  <c r="BR4" i="8"/>
  <c r="BQ4" i="8"/>
  <c r="BP4" i="8"/>
  <c r="BO4" i="8"/>
  <c r="BM4" i="8"/>
  <c r="BL4" i="8"/>
  <c r="BK4" i="8"/>
  <c r="BJ4" i="8"/>
  <c r="BH4" i="8"/>
  <c r="BG4" i="8"/>
  <c r="BF4" i="8"/>
  <c r="BE4" i="8"/>
  <c r="BC4" i="8"/>
  <c r="BB4" i="8"/>
  <c r="BA4" i="8"/>
  <c r="AZ4" i="8"/>
  <c r="IM4" i="8"/>
  <c r="HW4" i="8"/>
  <c r="HM4" i="8"/>
  <c r="HC4" i="8"/>
  <c r="GS4" i="8"/>
  <c r="GI4" i="8"/>
  <c r="FY4" i="8"/>
  <c r="FO4" i="8"/>
  <c r="FE4" i="8"/>
  <c r="EU4" i="8"/>
  <c r="EK4" i="8"/>
  <c r="EA4" i="8"/>
  <c r="DQ4" i="8"/>
  <c r="DG4" i="8"/>
  <c r="CW4" i="8"/>
  <c r="CM4" i="8"/>
  <c r="CC4" i="8"/>
  <c r="BS4" i="8"/>
  <c r="BI4" i="8"/>
  <c r="AY4" i="8"/>
  <c r="IB4" i="8"/>
  <c r="HR4" i="8"/>
  <c r="HH4" i="8"/>
  <c r="GX4" i="8"/>
  <c r="GN4" i="8"/>
  <c r="GD4" i="8"/>
  <c r="FT4" i="8"/>
  <c r="FJ4" i="8"/>
  <c r="EZ4" i="8"/>
  <c r="EP4" i="8"/>
  <c r="EF4" i="8"/>
  <c r="DV4" i="8"/>
  <c r="DL4" i="8"/>
  <c r="DB4" i="8"/>
  <c r="CR4" i="8"/>
  <c r="CH4" i="8"/>
  <c r="BX4" i="8"/>
  <c r="BN4" i="8"/>
  <c r="BD4" i="8"/>
  <c r="O78" i="8"/>
  <c r="D47" i="8"/>
  <c r="P78" i="8"/>
  <c r="IN5" i="8"/>
  <c r="J47" i="8"/>
  <c r="F47" i="8"/>
  <c r="L47" i="8"/>
  <c r="IN4" i="8" l="1"/>
  <c r="Q78" i="8"/>
  <c r="O8" i="8"/>
  <c r="P8" i="8"/>
  <c r="D71" i="8"/>
  <c r="J71" i="8"/>
  <c r="D48" i="8"/>
  <c r="F71" i="8"/>
  <c r="E71" i="8"/>
  <c r="G71" i="8"/>
  <c r="IO5" i="8"/>
  <c r="J48" i="8"/>
  <c r="F48" i="8"/>
  <c r="E48" i="8"/>
  <c r="L71" i="8"/>
  <c r="IO6" i="8"/>
  <c r="IP5" i="8"/>
  <c r="G48" i="8"/>
  <c r="L48" i="8"/>
  <c r="IQ5" i="8"/>
  <c r="IR5" i="8"/>
  <c r="IS5" i="8"/>
  <c r="IT5" i="8"/>
  <c r="IT6" i="8"/>
  <c r="IU5" i="8"/>
  <c r="IV5" i="8"/>
  <c r="IW5" i="8"/>
  <c r="IW4" i="8" l="1"/>
  <c r="IX5" i="8"/>
  <c r="IV4" i="8"/>
  <c r="IU4" i="8"/>
  <c r="C5" i="8"/>
  <c r="IS4" i="8"/>
  <c r="IR4" i="8"/>
  <c r="IQ4" i="8"/>
  <c r="O48" i="8"/>
  <c r="M30" i="8"/>
  <c r="IP4" i="8"/>
  <c r="IO4" i="8"/>
  <c r="IT4" i="8"/>
  <c r="O71" i="8"/>
  <c r="Q71" i="8" s="1"/>
  <c r="P48" i="8"/>
  <c r="D30" i="8"/>
  <c r="P71" i="8"/>
  <c r="D72" i="8"/>
  <c r="L30" i="8"/>
  <c r="E30" i="8"/>
  <c r="J30" i="8"/>
  <c r="F72" i="8"/>
  <c r="J72" i="8"/>
  <c r="E72" i="8"/>
  <c r="F30" i="8"/>
  <c r="G72" i="8"/>
  <c r="L72" i="8"/>
  <c r="G30" i="8"/>
  <c r="O72" i="8" l="1"/>
  <c r="M70" i="8"/>
  <c r="O30" i="8"/>
  <c r="Q48" i="8"/>
  <c r="P72" i="8"/>
  <c r="D70" i="8"/>
  <c r="N30" i="8"/>
  <c r="D73" i="8"/>
  <c r="P30" i="8"/>
  <c r="L70" i="8"/>
  <c r="E70" i="8"/>
  <c r="J70" i="8"/>
  <c r="E73" i="8"/>
  <c r="F73" i="8"/>
  <c r="J73" i="8"/>
  <c r="F70" i="8"/>
  <c r="G73" i="8"/>
  <c r="L73" i="8"/>
  <c r="G70" i="8"/>
  <c r="O73" i="8" l="1"/>
  <c r="Q70" i="8"/>
  <c r="O70" i="8"/>
  <c r="Q30" i="8"/>
  <c r="Q72" i="8"/>
  <c r="P73" i="8"/>
  <c r="D74" i="8"/>
  <c r="P70" i="8"/>
  <c r="N70" i="8"/>
  <c r="F74" i="8"/>
  <c r="J74" i="8"/>
  <c r="E74" i="8"/>
  <c r="G74" i="8"/>
  <c r="L74" i="8"/>
  <c r="O74" i="8" l="1"/>
  <c r="Q73" i="8"/>
  <c r="P74" i="8"/>
  <c r="D75" i="8"/>
  <c r="E75" i="8"/>
  <c r="F75" i="8"/>
  <c r="J75" i="8"/>
  <c r="G75" i="8"/>
  <c r="L75" i="8"/>
  <c r="O75" i="8" l="1"/>
  <c r="Q74" i="8"/>
  <c r="P75" i="8"/>
  <c r="D76" i="8"/>
  <c r="J76" i="8"/>
  <c r="F76" i="8"/>
  <c r="E76" i="8"/>
  <c r="G76" i="8"/>
  <c r="L76" i="8"/>
  <c r="O76" i="8" l="1"/>
  <c r="Q75" i="8"/>
  <c r="P76" i="8"/>
  <c r="D79" i="8"/>
  <c r="F79" i="8"/>
  <c r="E79" i="8"/>
  <c r="J79" i="8"/>
  <c r="G79" i="8"/>
  <c r="L79" i="8"/>
  <c r="M77" i="8" l="1"/>
  <c r="O79" i="8"/>
  <c r="Q76" i="8"/>
  <c r="D77" i="8"/>
  <c r="P79" i="8"/>
  <c r="L77" i="8"/>
  <c r="D26" i="8"/>
  <c r="J77" i="8"/>
  <c r="E77" i="8"/>
  <c r="F26" i="8"/>
  <c r="E26" i="8"/>
  <c r="J26" i="8"/>
  <c r="G26" i="8"/>
  <c r="L26" i="8"/>
  <c r="O26" i="8" l="1"/>
  <c r="Q79" i="8"/>
  <c r="O77" i="8"/>
  <c r="D17" i="8"/>
  <c r="F77" i="8"/>
  <c r="P77" i="8"/>
  <c r="P26" i="8"/>
  <c r="D27" i="8"/>
  <c r="J17" i="8"/>
  <c r="E17" i="8"/>
  <c r="G77" i="8"/>
  <c r="J27" i="8"/>
  <c r="F27" i="8"/>
  <c r="E27" i="8"/>
  <c r="G27" i="8"/>
  <c r="L27" i="8"/>
  <c r="O27" i="8" l="1"/>
  <c r="M17" i="8"/>
  <c r="Q26" i="8"/>
  <c r="Q77" i="8"/>
  <c r="P27" i="8"/>
  <c r="L17" i="8"/>
  <c r="N77" i="8"/>
  <c r="D28" i="8"/>
  <c r="J28" i="8"/>
  <c r="F28" i="8"/>
  <c r="E28" i="8"/>
  <c r="G28" i="8"/>
  <c r="L28" i="8"/>
  <c r="O28" i="8" l="1"/>
  <c r="M8" i="8"/>
  <c r="O17" i="8"/>
  <c r="Q27" i="8"/>
  <c r="P28" i="8"/>
  <c r="F17" i="8"/>
  <c r="D29" i="8"/>
  <c r="P17" i="8"/>
  <c r="G17" i="8"/>
  <c r="J29" i="8"/>
  <c r="F29" i="8"/>
  <c r="E29" i="8"/>
  <c r="G29" i="8"/>
  <c r="L29" i="8"/>
  <c r="O29" i="8" l="1"/>
  <c r="Q17" i="8"/>
  <c r="Q28" i="8"/>
  <c r="P29" i="8"/>
  <c r="N17" i="8"/>
  <c r="L8" i="8"/>
  <c r="F14" i="10" l="1"/>
  <c r="Q8" i="8"/>
  <c r="B14" i="10"/>
  <c r="Q29" i="8"/>
  <c r="F8" i="8"/>
  <c r="G8" i="8"/>
  <c r="F13" i="10" l="1"/>
  <c r="N8" i="8"/>
  <c r="D14" i="10" l="1"/>
</calcChain>
</file>

<file path=xl/sharedStrings.xml><?xml version="1.0" encoding="utf-8"?>
<sst xmlns="http://schemas.openxmlformats.org/spreadsheetml/2006/main" count="255" uniqueCount="174">
  <si>
    <t>WBS</t>
  </si>
  <si>
    <t>شروع</t>
  </si>
  <si>
    <t>پایان</t>
  </si>
  <si>
    <t>مدت دوره (روز)</t>
  </si>
  <si>
    <t>% تکمیل</t>
  </si>
  <si>
    <t>روزهای کاری</t>
  </si>
  <si>
    <t>روزهای مانده</t>
  </si>
  <si>
    <t>مدیر پروژه</t>
  </si>
  <si>
    <t>وظیفه</t>
  </si>
  <si>
    <t>شخص</t>
  </si>
  <si>
    <t>میزان کار انجام شده (روز)</t>
  </si>
  <si>
    <t>مناسبت</t>
  </si>
  <si>
    <t>عید نوروز</t>
  </si>
  <si>
    <t>روز جمهوري اسلامي ايران</t>
  </si>
  <si>
    <t>جشن سيزده بدر</t>
  </si>
  <si>
    <t>شهادت حضرت فاطمه زهرا سلام الله عليها </t>
  </si>
  <si>
    <t>ولادت امام علي عليه السلام</t>
  </si>
  <si>
    <t>رحلت حضرت امام خميني</t>
  </si>
  <si>
    <t>قيام 15 خرداد</t>
  </si>
  <si>
    <t>مبعث رسول اكرم </t>
  </si>
  <si>
    <t>ولادت حضرت قائم عجل الله تعالي فرجه و جشن نيمه شعبان </t>
  </si>
  <si>
    <t>شهادت حضرت علي عليه السلام</t>
  </si>
  <si>
    <t>تعطيل به مناسبت عيد سعيد فطر</t>
  </si>
  <si>
    <t>شهادت امام جعفر صادق عليه السلام</t>
  </si>
  <si>
    <t>عيد سعيد قربان</t>
  </si>
  <si>
    <t>عيد سعيد غدير خم</t>
  </si>
  <si>
    <t>تاسوعاي حسيني</t>
  </si>
  <si>
    <t>عاشوراي حسيني</t>
  </si>
  <si>
    <t>اربعين حسيني</t>
  </si>
  <si>
    <t>رحلت رسول اكرم؛شهادت امام حسن مجتبي عليه السلام</t>
  </si>
  <si>
    <t>شهادت امام رضا عليه السلام </t>
  </si>
  <si>
    <t>ميلاد رسول اكرم و امام جعفر صادق عليه السلام</t>
  </si>
  <si>
    <t>پيروزي انقلاب اسلامي</t>
  </si>
  <si>
    <t>روز ملي شدن صنعت نفت ايران</t>
  </si>
  <si>
    <t>date</t>
  </si>
  <si>
    <t>ok</t>
  </si>
  <si>
    <t>Friday</t>
  </si>
  <si>
    <t>month</t>
  </si>
  <si>
    <t>year</t>
  </si>
  <si>
    <t>0</t>
  </si>
  <si>
    <t>روز شروع فعالیت(روز هفته)</t>
  </si>
  <si>
    <t>تعداد روز بعد از فعالیت</t>
  </si>
  <si>
    <t>پیش نیاز فعالیت</t>
  </si>
  <si>
    <t>میزان ساعت مورد نیاز</t>
  </si>
  <si>
    <t>میزان روزهای پیشرفت کار</t>
  </si>
  <si>
    <t>نوع تخصص</t>
  </si>
  <si>
    <t>کد تخصص</t>
  </si>
  <si>
    <t>هزینه نفر ساعت</t>
  </si>
  <si>
    <t>مدیریت پروژه</t>
  </si>
  <si>
    <t>کارشناس ارشد تحلیل</t>
  </si>
  <si>
    <t>کارشناس توسعه و پیاده سازی</t>
  </si>
  <si>
    <t>مجموع</t>
  </si>
  <si>
    <t>گزارش هزینه پروژه</t>
  </si>
  <si>
    <t>نفر / ساعت</t>
  </si>
  <si>
    <t>نفر / ماه</t>
  </si>
  <si>
    <t>کارشناس ارشد تحلیل و طراحی</t>
  </si>
  <si>
    <t>کارشناس پیاده سازی و توسعه سرویس</t>
  </si>
  <si>
    <t>شروع پروژه</t>
  </si>
  <si>
    <t>خاتمه پروژه</t>
  </si>
  <si>
    <t>مدت پروژه</t>
  </si>
  <si>
    <t>تعداد روز کاری</t>
  </si>
  <si>
    <t xml:space="preserve">طی </t>
  </si>
  <si>
    <t>هزینه نفر ماه (ماه * 128)</t>
  </si>
  <si>
    <t>میزان نفر روز (هر روز 6 ساعت)</t>
  </si>
  <si>
    <t>شرح خدمات</t>
  </si>
  <si>
    <t>نیروی انسانی به تفکیک</t>
  </si>
  <si>
    <t>بهای تمام شده خدمات</t>
  </si>
  <si>
    <t>مبلغ قابل پرداخت</t>
  </si>
  <si>
    <t>تحویل نهايي دستاوردهای پروژه</t>
  </si>
  <si>
    <t>میزان تخفیف (همکاری ویژه)</t>
  </si>
  <si>
    <t>هزینه نفر ماه (قرارداد)</t>
  </si>
  <si>
    <t>هفته در حال نمایش :</t>
  </si>
  <si>
    <t>کارفرما</t>
  </si>
  <si>
    <t>انتقال پورتال به دامنه اصلی کارفرما</t>
  </si>
  <si>
    <t xml:space="preserve">ارائه سند نيازمنديهاي شبکه و سخت افزار سرور و نرم افزار های مورد نیاز به کارفرما </t>
  </si>
  <si>
    <t>1398/01/01</t>
  </si>
  <si>
    <t>1398/01/02</t>
  </si>
  <si>
    <t>1398/01/03</t>
  </si>
  <si>
    <t>1398/01/04</t>
  </si>
  <si>
    <t>1398/01/12</t>
  </si>
  <si>
    <t>1398/01/13</t>
  </si>
  <si>
    <t>1398/03/14</t>
  </si>
  <si>
    <t>1398/03/15</t>
  </si>
  <si>
    <t>1398/11/22</t>
  </si>
  <si>
    <t>1398/12/29</t>
  </si>
  <si>
    <t>1398/01/14</t>
  </si>
  <si>
    <t>1398/02/01</t>
  </si>
  <si>
    <t>1398/03/05</t>
  </si>
  <si>
    <t>1398/03/16</t>
  </si>
  <si>
    <t>1398/04/08</t>
  </si>
  <si>
    <t>1398/05/21</t>
  </si>
  <si>
    <t>1398/05/29</t>
  </si>
  <si>
    <t>1398/06/18</t>
  </si>
  <si>
    <t>1398/06/19</t>
  </si>
  <si>
    <t>1398/07/27</t>
  </si>
  <si>
    <t>1398/08/05</t>
  </si>
  <si>
    <t>1398/08/07</t>
  </si>
  <si>
    <t>1398/08/15</t>
  </si>
  <si>
    <t>شهادت امام حسن عسکری علیه السلام</t>
  </si>
  <si>
    <t>1398/08/24</t>
  </si>
  <si>
    <t>1398/11/09</t>
  </si>
  <si>
    <t>1398/12/18</t>
  </si>
  <si>
    <t>مصطفی ابراهیمی مطلق</t>
  </si>
  <si>
    <t>مشترک</t>
  </si>
  <si>
    <t>پیمانکار</t>
  </si>
  <si>
    <t>معرفی مدیر پروژه کارفرما به پیمانکار</t>
  </si>
  <si>
    <t>اقدامات اجرایی پیکربندی، مدیریت و کاربرد نرم افزار</t>
  </si>
  <si>
    <t>ارائه طرح آموزش و برنامه زمانبندی و مکانی برگزاری جلسات آموزشی</t>
  </si>
  <si>
    <t>مدیریت، برنامه ریزی مالی و کنترل پیشرفت پروژه</t>
  </si>
  <si>
    <t>تنظیم و امضاء صورت جلسه تحویل پروژه</t>
  </si>
  <si>
    <t>پیکربندی ماژول های پست الکترونیک و پیام کوتاه  بر روی سرویس دهنده های پست الکترونیک و پیام کوتاه کارفرما</t>
  </si>
  <si>
    <t>استقرار زيرساخت  وآماده سازی  زیر ساخت نرم افزاری سامان سوئیت</t>
  </si>
  <si>
    <t>کانورت مکانیزه اطلاعات</t>
  </si>
  <si>
    <t>اعلام ماژول های محتوایی کارفرما</t>
  </si>
  <si>
    <t>ارایه فایل های اکسل ماژول های محتوایی اعلام شده از طرف کارفرما</t>
  </si>
  <si>
    <t>تکمیل و ارسال اطلاعات</t>
  </si>
  <si>
    <t>تصحیح محتوای درج شده به صورت مکانیزه در زیر ساخت جدید</t>
  </si>
  <si>
    <t>تکمیل محتوای درج شده در وب سایت قبلی حد فاصل زمان انتقال اطلاعات در پورتال جدید</t>
  </si>
  <si>
    <t>ارائه دسترسی راه دور به سرور از طریق (ssh) با حق دسترسی مدیریت</t>
  </si>
  <si>
    <t>نصب و پیکربندی سرور پورتال و زیر ساخت نرم افزاری پایه آن</t>
  </si>
  <si>
    <t>جمع بندی نيازمنديهای فرايند شناخت و تدوین سند معماری محتوا (تدریجی)</t>
  </si>
  <si>
    <t>معرفی نمایندگان کارفرما به تفکیک سطوح کاربری دارای دانش و مهارت های پیش نیاز آموزش نرم افزار</t>
  </si>
  <si>
    <t>ارائه خدمات آموزش</t>
  </si>
  <si>
    <t>اعلام نام های کاربری و حقوق دسترسی مورد نیاز هر یک از کاربران و اطلاعات مورد نیاز جهت تنظیم</t>
  </si>
  <si>
    <t>معرفی مدیر پروژه پیمانکار به کارفرما پس از ابلاغ قرارداد</t>
  </si>
  <si>
    <t>نصب و پیکربندی نرم افزار سامان سوئیت و سایر نرم افزاری های موضوع قرارداد بر روی سرور</t>
  </si>
  <si>
    <t>ارائه خدمات اجرایی موضوع قرارداد</t>
  </si>
  <si>
    <t>تعریف و اعطای حق دسترسی به کاربران و گروه های کاربری اعلام شده</t>
  </si>
  <si>
    <t>برگزاری جلسات آموزش  راهبری و مدیریتی  (9 ساعت)</t>
  </si>
  <si>
    <t>برگزاری جلسات آموزش کاربری(9 ساعت)</t>
  </si>
  <si>
    <t xml:space="preserve"> بررسی و تایید مستند معماری محتوا توسط کارفرما (تدریجی)</t>
  </si>
  <si>
    <r>
      <t>تهيه برنامه زمانبندي msp  و گ</t>
    </r>
    <r>
      <rPr>
        <b/>
        <sz val="8"/>
        <rFont val="B Nazanin"/>
        <charset val="178"/>
      </rPr>
      <t>انت چارت</t>
    </r>
    <r>
      <rPr>
        <sz val="8"/>
        <rFont val="B Nazanin"/>
        <charset val="178"/>
      </rPr>
      <t xml:space="preserve"> اجرايي پروژه</t>
    </r>
  </si>
  <si>
    <r>
      <t xml:space="preserve">تنظیم روال های تهیه </t>
    </r>
    <r>
      <rPr>
        <b/>
        <sz val="8"/>
        <rFont val="B Nazanin"/>
        <charset val="178"/>
      </rPr>
      <t>نسخه پشتیبان</t>
    </r>
    <r>
      <rPr>
        <sz val="8"/>
        <rFont val="B Nazanin"/>
        <charset val="178"/>
      </rPr>
      <t xml:space="preserve"> دوره ای از نرم افزار سامان سوئیت</t>
    </r>
  </si>
  <si>
    <t>طراحی و پیاده سازی پورتال اینترنتی و زیر پورتال های بانک اقتصاد نوین</t>
  </si>
  <si>
    <t>1398/10/01</t>
  </si>
  <si>
    <t>جلسه اول پروژه (معارفه)</t>
  </si>
  <si>
    <t xml:space="preserve">تامين و آماده سازي شبکه و زيرساخت سخت افزاری و نرم افزاری مورد نياز (سرور  اصلی) توسط کارفرما </t>
  </si>
  <si>
    <t>تحویل نرم افزار نصب شده مطابق با مجوزهای جدول الف قرارداد بر روی سرور کارفرما به کارفرما</t>
  </si>
  <si>
    <t>مطالعه اسناد ارائه ساختار محتوا و بررسی طرح های گرافیکی  ارسالی از سوی کارفرما</t>
  </si>
  <si>
    <t>ارائه ساختار محتوا و طرح های گرافیکی نسخه فارسی</t>
  </si>
  <si>
    <t>ارائه ساختار محتوا و طرح های گرافیکی نسخه انگلیسی</t>
  </si>
  <si>
    <t>پیاده سازی نمای گرافیکی نسخه فارسی بانک</t>
  </si>
  <si>
    <t>پیاده سازی صفحه ایستا معرفی بانک</t>
  </si>
  <si>
    <t>پیاده سازی صفحه ایستا دعوت به همکاری</t>
  </si>
  <si>
    <t>تدوین سند شناخت وضع جاری (وب سایت اینترنتی فارسی و انگلیسی و زیر پورتال ویژه همکاران)</t>
  </si>
  <si>
    <t>پیاده سازی صفحه ایستا مدارس بانک اقتصاد نوین</t>
  </si>
  <si>
    <t>پیاده سازی صفحه ایستا اعتبارات اسنادی</t>
  </si>
  <si>
    <t>پیاده سازی صفحه ایستا سامانه های موبایلی</t>
  </si>
  <si>
    <t>پیاده سازی صفحه ایستا کارت های بانکی</t>
  </si>
  <si>
    <t>پیاده سازی صفحه ایستا اطلاعات تماس</t>
  </si>
  <si>
    <t>پیاده سازی صفحه ورودی ویژه همکاران</t>
  </si>
  <si>
    <t>پیاده سازی نمای گرافیکی نسخه انگلیسی بانک</t>
  </si>
  <si>
    <t>تحویل اقدامات پیاده سازی نمای گرافیکی بانک</t>
  </si>
  <si>
    <t>برگزاری جلسات آموزش راهبر زیر پورتال  (6 ساعت)</t>
  </si>
  <si>
    <t>تهیه و نگهداری نسخه های پشتیبان نرم افزار سامان سوئیت (در طول قرارداد)</t>
  </si>
  <si>
    <t>پیاده سازی صفحه ایستا طرح صبا</t>
  </si>
  <si>
    <t>پیاده سازی صفحه ایستا طرح کوشان</t>
  </si>
  <si>
    <t>پیاده سازی صفحه ایستا جشنواره حساب های قرض الحسته</t>
  </si>
  <si>
    <t>آماده سازی محیط تست</t>
  </si>
  <si>
    <t>تامين و آماده سازي شبکه و زيرساخت سخت افزاری و نرم افزاری مورد نياز (سرور  تست) توسط کارفرما منطبق بر مشخصات سرور اصلی و در بستر همسان</t>
  </si>
  <si>
    <t>تحویل سرور تست  به کارفرما</t>
  </si>
  <si>
    <t>اقدامات تست امنیت زیر ساخت نرم افزاری استقرار یافته</t>
  </si>
  <si>
    <t>تنظیم و امضاء صورت جلسه اقدامات اجرایی پروژه</t>
  </si>
  <si>
    <t>ارائه دسترسی به وب سرویس استعلام ضمانت و شبا</t>
  </si>
  <si>
    <t>تنظیم ماژول های استعلام ضمانت نامه و شبا</t>
  </si>
  <si>
    <t>اجرای تست امنیت و ارائه گزارش مربوطه</t>
  </si>
  <si>
    <t>تست مجدد سامانه</t>
  </si>
  <si>
    <t>تایید امنیت سامانه</t>
  </si>
  <si>
    <t>رفع اشکالات گزارش شده در سطح نرم افزار بر روی سرور اصلی</t>
  </si>
  <si>
    <t>انجام اقدامات پیکربندی امنیتی در سطح WAF  و قرار گیری سرور در محیط عملیاتی</t>
  </si>
  <si>
    <t>جلسه دوم پروژه (بررسی نیازمندی های کارفرما و وضع جاری)</t>
  </si>
  <si>
    <t>جلسه سوم (تحویل پروژه)</t>
  </si>
  <si>
    <t>جلسه چهارم (هماهنگی جهت بهره برداری از پروژه)</t>
  </si>
  <si>
    <t>تحویل سرور اصلی به کارفرما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</si>
</sst>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-&quot;ريال&quot;* #,##0.00_-;_-&quot;ريال&quot;* #,##0.00\-;_-&quot;ريال&quot;* &quot;-&quot;??_-;_-@_-"/>
    <numFmt numFmtId="165" formatCode="[h]:mm"/>
    <numFmt numFmtId="166" formatCode="_-[$ريال-429]* #,##0_-;_-[$ريال-429]* #,##0\-;_-[$ريال-429]* &quot;-&quot;??_-;_-@_-"/>
    <numFmt numFmtId="167" formatCode="_-&quot;ريال&quot;* #,##0_-;_-&quot;ريال&quot;* #,##0\-;_-&quot;ريال&quot;* &quot;-&quot;??_-;_-@_-"/>
    <numFmt numFmtId="168" formatCode="0.0"/>
    <numFmt numFmtId="169" formatCode="&quot;ريال&quot;#,##0_-"/>
    <numFmt numFmtId="170" formatCode="[$-F800]dddd\,\ mmmm\ dd\,\ yyyy"/>
  </numFmts>
  <fonts count="32">
    <font>
      <sz val="10"/>
      <name val="Arial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8"/>
      <name val="B Koodak"/>
      <charset val="178"/>
    </font>
    <font>
      <b/>
      <sz val="14"/>
      <color indexed="16"/>
      <name val="B Koodak"/>
      <charset val="178"/>
    </font>
    <font>
      <sz val="10"/>
      <name val="B Koodak"/>
      <charset val="178"/>
    </font>
    <font>
      <sz val="9"/>
      <name val="B Koodak"/>
      <charset val="178"/>
    </font>
    <font>
      <b/>
      <sz val="8"/>
      <name val="B Koodak"/>
      <charset val="178"/>
    </font>
    <font>
      <sz val="8.6"/>
      <name val="B Koodak"/>
      <charset val="178"/>
    </font>
    <font>
      <sz val="11"/>
      <color theme="1"/>
      <name val="Calibri"/>
      <family val="2"/>
      <scheme val="minor"/>
    </font>
    <font>
      <sz val="12"/>
      <color theme="1"/>
      <name val="B Mitra"/>
      <charset val="178"/>
    </font>
    <font>
      <sz val="11"/>
      <color theme="1"/>
      <name val="B Mitra"/>
      <charset val="178"/>
    </font>
    <font>
      <sz val="11"/>
      <name val="B Koodak"/>
      <charset val="178"/>
    </font>
    <font>
      <sz val="10"/>
      <name val="Arial"/>
      <family val="2"/>
    </font>
    <font>
      <sz val="8"/>
      <color theme="0"/>
      <name val="B Koodak"/>
      <charset val="178"/>
    </font>
    <font>
      <sz val="11"/>
      <name val="B Mitra"/>
      <charset val="178"/>
    </font>
    <font>
      <b/>
      <sz val="11"/>
      <name val="B Koodak"/>
      <charset val="178"/>
    </font>
    <font>
      <b/>
      <sz val="11"/>
      <name val="B Mitra"/>
      <charset val="178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charset val="178"/>
      <scheme val="minor"/>
    </font>
    <font>
      <b/>
      <sz val="8"/>
      <name val="B Nazanin"/>
      <charset val="178"/>
    </font>
    <font>
      <sz val="8"/>
      <name val="B Nazanin"/>
      <charset val="178"/>
    </font>
    <font>
      <sz val="11"/>
      <name val="B Nazanin"/>
      <charset val="178"/>
    </font>
    <font>
      <sz val="9"/>
      <name val="B Nazanin"/>
      <charset val="178"/>
    </font>
    <font>
      <sz val="10"/>
      <name val="B Nazanin"/>
      <charset val="178"/>
    </font>
    <font>
      <u/>
      <sz val="10"/>
      <color indexed="12"/>
      <name val="B Nazanin"/>
      <charset val="178"/>
    </font>
    <font>
      <b/>
      <sz val="14"/>
      <color indexed="16"/>
      <name val="B Nazanin"/>
      <charset val="178"/>
    </font>
    <font>
      <sz val="9"/>
      <color theme="0"/>
      <name val="B Nazanin"/>
      <charset val="178"/>
    </font>
    <font>
      <b/>
      <sz val="11"/>
      <color indexed="16"/>
      <name val="B Nazanin"/>
      <charset val="178"/>
    </font>
    <font>
      <u/>
      <sz val="8"/>
      <color indexed="12"/>
      <name val="B Nazanin"/>
      <charset val="178"/>
    </font>
    <font>
      <sz val="6"/>
      <name val="B Nazanin"/>
      <charset val="178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CFFCC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55"/>
      </left>
      <right/>
      <top/>
      <bottom style="medium">
        <color indexed="64"/>
      </bottom>
      <diagonal/>
    </border>
    <border>
      <left/>
      <right style="thin">
        <color indexed="55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22"/>
      </top>
      <bottom/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0" fontId="10" fillId="0" borderId="0"/>
    <xf numFmtId="164" fontId="14" fillId="0" borderId="0" applyFont="0" applyFill="0" applyBorder="0" applyAlignment="0" applyProtection="0"/>
    <xf numFmtId="0" fontId="10" fillId="0" borderId="0"/>
    <xf numFmtId="0" fontId="19" fillId="0" borderId="0" applyNumberFormat="0" applyFill="0" applyBorder="0" applyAlignment="0" applyProtection="0"/>
    <xf numFmtId="0" fontId="20" fillId="0" borderId="0"/>
  </cellStyleXfs>
  <cellXfs count="342">
    <xf numFmtId="0" fontId="0" fillId="0" borderId="0" xfId="0"/>
    <xf numFmtId="0" fontId="4" fillId="2" borderId="2" xfId="0" applyFont="1" applyFill="1" applyBorder="1"/>
    <xf numFmtId="1" fontId="4" fillId="2" borderId="2" xfId="0" applyNumberFormat="1" applyFont="1" applyFill="1" applyBorder="1"/>
    <xf numFmtId="0" fontId="4" fillId="0" borderId="2" xfId="0" applyFont="1" applyFill="1" applyBorder="1" applyAlignment="1">
      <alignment wrapText="1"/>
    </xf>
    <xf numFmtId="0" fontId="4" fillId="0" borderId="2" xfId="0" applyFont="1" applyFill="1" applyBorder="1"/>
    <xf numFmtId="1" fontId="4" fillId="0" borderId="2" xfId="0" applyNumberFormat="1" applyFont="1" applyFill="1" applyBorder="1" applyAlignment="1">
      <alignment horizontal="center"/>
    </xf>
    <xf numFmtId="1" fontId="4" fillId="0" borderId="2" xfId="2" applyNumberFormat="1" applyFont="1" applyFill="1" applyBorder="1" applyAlignment="1">
      <alignment horizontal="center"/>
    </xf>
    <xf numFmtId="0" fontId="4" fillId="0" borderId="2" xfId="0" applyFont="1" applyBorder="1"/>
    <xf numFmtId="0" fontId="4" fillId="0" borderId="0" xfId="0" applyFont="1"/>
    <xf numFmtId="0" fontId="11" fillId="0" borderId="0" xfId="3" applyFont="1" applyFill="1" applyAlignment="1">
      <alignment horizontal="center" vertical="center"/>
    </xf>
    <xf numFmtId="0" fontId="11" fillId="0" borderId="0" xfId="3" applyNumberFormat="1" applyFont="1" applyFill="1" applyAlignment="1">
      <alignment horizontal="center" vertical="center"/>
    </xf>
    <xf numFmtId="0" fontId="11" fillId="0" borderId="0" xfId="3" applyFont="1" applyFill="1" applyAlignment="1">
      <alignment horizontal="right" vertical="center"/>
    </xf>
    <xf numFmtId="0" fontId="12" fillId="0" borderId="0" xfId="3" applyFont="1" applyFill="1" applyAlignment="1">
      <alignment horizontal="right" vertical="center"/>
    </xf>
    <xf numFmtId="165" fontId="4" fillId="0" borderId="2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0" borderId="0" xfId="0" applyFont="1" applyFill="1" applyBorder="1" applyAlignment="1">
      <alignment horizontal="center" vertical="center" textRotation="90"/>
    </xf>
    <xf numFmtId="0" fontId="4" fillId="0" borderId="0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16" fillId="0" borderId="0" xfId="0" applyFont="1"/>
    <xf numFmtId="166" fontId="16" fillId="0" borderId="0" xfId="4" applyNumberFormat="1" applyFont="1"/>
    <xf numFmtId="166" fontId="4" fillId="0" borderId="2" xfId="4" applyNumberFormat="1" applyFont="1" applyBorder="1" applyAlignment="1">
      <alignment horizontal="center" vertical="center"/>
    </xf>
    <xf numFmtId="167" fontId="6" fillId="0" borderId="0" xfId="4" applyNumberFormat="1" applyFont="1" applyAlignment="1">
      <alignment horizontal="center" vertical="center"/>
    </xf>
    <xf numFmtId="167" fontId="6" fillId="0" borderId="0" xfId="4" applyNumberFormat="1" applyFont="1" applyFill="1" applyBorder="1" applyAlignment="1">
      <alignment horizontal="center" vertical="center"/>
    </xf>
    <xf numFmtId="167" fontId="6" fillId="2" borderId="0" xfId="4" applyNumberFormat="1" applyFont="1" applyFill="1" applyAlignment="1">
      <alignment horizontal="center" vertical="center"/>
    </xf>
    <xf numFmtId="167" fontId="6" fillId="0" borderId="0" xfId="4" applyNumberFormat="1" applyFont="1" applyFill="1" applyBorder="1" applyAlignment="1">
      <alignment horizontal="center" vertical="center" textRotation="90"/>
    </xf>
    <xf numFmtId="167" fontId="4" fillId="0" borderId="0" xfId="4" applyNumberFormat="1" applyFont="1" applyFill="1" applyBorder="1" applyAlignment="1">
      <alignment horizontal="center" vertical="center"/>
    </xf>
    <xf numFmtId="167" fontId="4" fillId="2" borderId="2" xfId="4" applyNumberFormat="1" applyFont="1" applyFill="1" applyBorder="1" applyAlignment="1">
      <alignment horizontal="center" vertical="center"/>
    </xf>
    <xf numFmtId="167" fontId="4" fillId="0" borderId="2" xfId="4" applyNumberFormat="1" applyFont="1" applyBorder="1" applyAlignment="1">
      <alignment horizontal="center" vertical="center"/>
    </xf>
    <xf numFmtId="167" fontId="16" fillId="0" borderId="0" xfId="4" applyNumberFormat="1" applyFont="1"/>
    <xf numFmtId="0" fontId="4" fillId="0" borderId="0" xfId="0" applyFont="1" applyAlignment="1"/>
    <xf numFmtId="167" fontId="4" fillId="0" borderId="0" xfId="4" applyNumberFormat="1" applyFont="1" applyAlignment="1"/>
    <xf numFmtId="10" fontId="4" fillId="0" borderId="5" xfId="0" applyNumberFormat="1" applyFont="1" applyBorder="1" applyAlignment="1">
      <alignment horizontal="center"/>
    </xf>
    <xf numFmtId="165" fontId="16" fillId="0" borderId="5" xfId="0" applyNumberFormat="1" applyFont="1" applyBorder="1" applyAlignment="1">
      <alignment horizontal="center"/>
    </xf>
    <xf numFmtId="168" fontId="4" fillId="0" borderId="5" xfId="2" applyNumberFormat="1" applyFont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4" fillId="0" borderId="5" xfId="0" applyFont="1" applyBorder="1" applyAlignment="1">
      <alignment horizontal="center"/>
    </xf>
    <xf numFmtId="167" fontId="4" fillId="0" borderId="5" xfId="4" applyNumberFormat="1" applyFont="1" applyFill="1" applyBorder="1" applyAlignment="1">
      <alignment horizontal="center"/>
    </xf>
    <xf numFmtId="167" fontId="4" fillId="0" borderId="5" xfId="4" applyNumberFormat="1" applyFont="1" applyBorder="1" applyAlignment="1">
      <alignment horizontal="center"/>
    </xf>
    <xf numFmtId="0" fontId="16" fillId="0" borderId="5" xfId="0" applyFont="1" applyBorder="1" applyAlignment="1">
      <alignment horizontal="center"/>
    </xf>
    <xf numFmtId="166" fontId="16" fillId="0" borderId="5" xfId="4" applyNumberFormat="1" applyFont="1" applyBorder="1" applyAlignment="1">
      <alignment horizontal="center"/>
    </xf>
    <xf numFmtId="167" fontId="16" fillId="0" borderId="5" xfId="4" applyNumberFormat="1" applyFont="1" applyBorder="1" applyAlignment="1">
      <alignment horizontal="center"/>
    </xf>
    <xf numFmtId="2" fontId="4" fillId="0" borderId="0" xfId="0" applyNumberFormat="1" applyFont="1"/>
    <xf numFmtId="2" fontId="16" fillId="0" borderId="0" xfId="0" applyNumberFormat="1" applyFont="1"/>
    <xf numFmtId="1" fontId="4" fillId="0" borderId="0" xfId="0" applyNumberFormat="1" applyFont="1"/>
    <xf numFmtId="165" fontId="18" fillId="0" borderId="10" xfId="0" applyNumberFormat="1" applyFont="1" applyBorder="1" applyAlignment="1">
      <alignment horizontal="center"/>
    </xf>
    <xf numFmtId="167" fontId="17" fillId="0" borderId="10" xfId="0" applyNumberFormat="1" applyFont="1" applyBorder="1" applyAlignment="1">
      <alignment horizontal="center"/>
    </xf>
    <xf numFmtId="168" fontId="17" fillId="0" borderId="10" xfId="2" applyNumberFormat="1" applyFont="1" applyBorder="1" applyAlignment="1">
      <alignment horizontal="center"/>
    </xf>
    <xf numFmtId="1" fontId="18" fillId="0" borderId="5" xfId="4" applyNumberFormat="1" applyFont="1" applyBorder="1" applyAlignment="1">
      <alignment horizontal="center" vertical="center"/>
    </xf>
    <xf numFmtId="1" fontId="18" fillId="0" borderId="5" xfId="0" applyNumberFormat="1" applyFont="1" applyBorder="1" applyAlignment="1">
      <alignment horizontal="center" vertical="center"/>
    </xf>
    <xf numFmtId="1" fontId="18" fillId="0" borderId="5" xfId="0" applyNumberFormat="1" applyFont="1" applyBorder="1" applyAlignment="1">
      <alignment horizontal="center" readingOrder="2"/>
    </xf>
    <xf numFmtId="167" fontId="4" fillId="0" borderId="2" xfId="4" applyNumberFormat="1" applyFont="1" applyBorder="1" applyAlignment="1">
      <alignment horizontal="center" readingOrder="2"/>
    </xf>
    <xf numFmtId="1" fontId="18" fillId="0" borderId="0" xfId="0" applyNumberFormat="1" applyFont="1" applyBorder="1" applyAlignment="1">
      <alignment horizontal="center" readingOrder="2"/>
    </xf>
    <xf numFmtId="164" fontId="16" fillId="0" borderId="0" xfId="4" applyFont="1"/>
    <xf numFmtId="164" fontId="16" fillId="0" borderId="5" xfId="4" applyFont="1" applyBorder="1"/>
    <xf numFmtId="167" fontId="4" fillId="0" borderId="5" xfId="4" applyNumberFormat="1" applyFont="1" applyBorder="1"/>
    <xf numFmtId="167" fontId="17" fillId="0" borderId="5" xfId="4" applyNumberFormat="1" applyFont="1" applyBorder="1"/>
    <xf numFmtId="166" fontId="16" fillId="0" borderId="5" xfId="0" applyNumberFormat="1" applyFont="1" applyBorder="1" applyAlignment="1"/>
    <xf numFmtId="164" fontId="4" fillId="0" borderId="5" xfId="4" applyFont="1" applyBorder="1" applyAlignment="1">
      <alignment horizontal="center"/>
    </xf>
    <xf numFmtId="0" fontId="4" fillId="0" borderId="2" xfId="0" applyFont="1" applyFill="1" applyBorder="1" applyAlignment="1">
      <alignment horizontal="center" wrapText="1"/>
    </xf>
    <xf numFmtId="0" fontId="0" fillId="0" borderId="0" xfId="0" applyAlignment="1">
      <alignment horizontal="right"/>
    </xf>
    <xf numFmtId="165" fontId="0" fillId="0" borderId="0" xfId="0" applyNumberFormat="1"/>
    <xf numFmtId="169" fontId="0" fillId="0" borderId="0" xfId="0" applyNumberFormat="1" applyAlignment="1">
      <alignment horizontal="center" readingOrder="2"/>
    </xf>
    <xf numFmtId="9" fontId="0" fillId="0" borderId="0" xfId="2" applyFont="1"/>
    <xf numFmtId="0" fontId="4" fillId="0" borderId="14" xfId="0" applyFont="1" applyFill="1" applyBorder="1" applyAlignment="1">
      <alignment horizontal="right" wrapText="1"/>
    </xf>
    <xf numFmtId="165" fontId="6" fillId="0" borderId="14" xfId="0" applyNumberFormat="1" applyFont="1" applyFill="1" applyBorder="1" applyAlignment="1">
      <alignment horizontal="center" vertical="center" wrapText="1"/>
    </xf>
    <xf numFmtId="166" fontId="16" fillId="0" borderId="14" xfId="4" applyNumberFormat="1" applyFont="1" applyBorder="1" applyAlignment="1">
      <alignment horizontal="center" vertical="center"/>
    </xf>
    <xf numFmtId="9" fontId="4" fillId="0" borderId="5" xfId="2" applyFont="1" applyFill="1" applyBorder="1" applyAlignment="1">
      <alignment horizontal="center" vertical="center" wrapText="1"/>
    </xf>
    <xf numFmtId="165" fontId="4" fillId="0" borderId="15" xfId="0" applyNumberFormat="1" applyFont="1" applyFill="1" applyBorder="1" applyAlignment="1">
      <alignment horizontal="center" vertical="center" textRotation="90" wrapText="1"/>
    </xf>
    <xf numFmtId="167" fontId="0" fillId="0" borderId="0" xfId="0" applyNumberFormat="1"/>
    <xf numFmtId="0" fontId="4" fillId="0" borderId="0" xfId="0" applyFont="1" applyFill="1" applyBorder="1" applyAlignment="1">
      <alignment horizontal="center" wrapText="1"/>
    </xf>
    <xf numFmtId="9" fontId="4" fillId="0" borderId="0" xfId="2" applyFont="1" applyFill="1" applyBorder="1" applyAlignment="1">
      <alignment horizontal="center" vertical="center" wrapText="1"/>
    </xf>
    <xf numFmtId="166" fontId="16" fillId="0" borderId="16" xfId="4" applyNumberFormat="1" applyFont="1" applyBorder="1" applyAlignment="1">
      <alignment horizontal="center" vertical="center"/>
    </xf>
    <xf numFmtId="167" fontId="17" fillId="0" borderId="5" xfId="0" applyNumberFormat="1" applyFont="1" applyBorder="1" applyAlignment="1">
      <alignment horizontal="center"/>
    </xf>
    <xf numFmtId="0" fontId="4" fillId="0" borderId="16" xfId="0" applyFont="1" applyFill="1" applyBorder="1" applyAlignment="1">
      <alignment horizontal="right" wrapText="1"/>
    </xf>
    <xf numFmtId="165" fontId="6" fillId="0" borderId="16" xfId="0" applyNumberFormat="1" applyFont="1" applyFill="1" applyBorder="1" applyAlignment="1">
      <alignment horizontal="center" vertical="center" wrapText="1"/>
    </xf>
    <xf numFmtId="0" fontId="17" fillId="0" borderId="5" xfId="0" applyFont="1" applyFill="1" applyBorder="1" applyAlignment="1">
      <alignment horizontal="right" wrapText="1"/>
    </xf>
    <xf numFmtId="165" fontId="6" fillId="0" borderId="5" xfId="0" applyNumberFormat="1" applyFont="1" applyFill="1" applyBorder="1" applyAlignment="1">
      <alignment horizontal="center" vertical="center" wrapText="1"/>
    </xf>
    <xf numFmtId="165" fontId="0" fillId="0" borderId="5" xfId="0" applyNumberFormat="1" applyBorder="1"/>
    <xf numFmtId="0" fontId="15" fillId="0" borderId="0" xfId="0" applyFont="1" applyFill="1" applyBorder="1" applyAlignment="1">
      <alignment horizontal="center" wrapText="1"/>
    </xf>
    <xf numFmtId="166" fontId="4" fillId="0" borderId="5" xfId="0" applyNumberFormat="1" applyFont="1" applyBorder="1" applyAlignment="1">
      <alignment horizontal="center"/>
    </xf>
    <xf numFmtId="167" fontId="4" fillId="0" borderId="5" xfId="0" applyNumberFormat="1" applyFont="1" applyBorder="1" applyAlignment="1">
      <alignment horizontal="center"/>
    </xf>
    <xf numFmtId="170" fontId="4" fillId="0" borderId="0" xfId="0" applyNumberFormat="1" applyFont="1"/>
    <xf numFmtId="49" fontId="16" fillId="0" borderId="0" xfId="4" applyNumberFormat="1" applyFont="1"/>
    <xf numFmtId="9" fontId="4" fillId="0" borderId="2" xfId="2" applyFont="1" applyFill="1" applyBorder="1" applyAlignment="1">
      <alignment wrapText="1"/>
    </xf>
    <xf numFmtId="9" fontId="4" fillId="0" borderId="2" xfId="0" applyNumberFormat="1" applyFont="1" applyFill="1" applyBorder="1" applyAlignment="1">
      <alignment wrapText="1"/>
    </xf>
    <xf numFmtId="0" fontId="15" fillId="0" borderId="2" xfId="0" applyFont="1" applyFill="1" applyBorder="1" applyAlignment="1">
      <alignment wrapText="1"/>
    </xf>
    <xf numFmtId="0" fontId="4" fillId="0" borderId="2" xfId="0" applyFont="1" applyFill="1" applyBorder="1" applyProtection="1">
      <protection locked="0"/>
    </xf>
    <xf numFmtId="165" fontId="4" fillId="0" borderId="2" xfId="0" applyNumberFormat="1" applyFont="1" applyBorder="1" applyAlignment="1" applyProtection="1">
      <alignment horizontal="center" vertical="center"/>
      <protection locked="0"/>
    </xf>
    <xf numFmtId="0" fontId="4" fillId="0" borderId="2" xfId="0" applyFont="1" applyBorder="1" applyProtection="1">
      <protection locked="0"/>
    </xf>
    <xf numFmtId="20" fontId="4" fillId="0" borderId="2" xfId="0" applyNumberFormat="1" applyFont="1" applyBorder="1" applyProtection="1">
      <protection locked="0"/>
    </xf>
    <xf numFmtId="165" fontId="4" fillId="0" borderId="2" xfId="0" applyNumberFormat="1" applyFont="1" applyBorder="1" applyProtection="1">
      <protection locked="0"/>
    </xf>
    <xf numFmtId="0" fontId="5" fillId="2" borderId="0" xfId="0" applyFont="1" applyFill="1" applyAlignment="1" applyProtection="1">
      <alignment vertical="center"/>
    </xf>
    <xf numFmtId="165" fontId="5" fillId="0" borderId="0" xfId="0" applyNumberFormat="1" applyFont="1" applyFill="1" applyAlignment="1" applyProtection="1">
      <alignment horizontal="center" vertical="center"/>
    </xf>
    <xf numFmtId="0" fontId="6" fillId="0" borderId="0" xfId="0" applyFont="1" applyProtection="1"/>
    <xf numFmtId="0" fontId="6" fillId="0" borderId="0" xfId="0" applyFont="1" applyFill="1" applyBorder="1" applyProtection="1"/>
    <xf numFmtId="0" fontId="6" fillId="0" borderId="0" xfId="0" applyFont="1" applyBorder="1" applyAlignment="1" applyProtection="1">
      <alignment horizontal="left"/>
    </xf>
    <xf numFmtId="0" fontId="6" fillId="0" borderId="0" xfId="0" applyNumberFormat="1" applyFont="1" applyBorder="1" applyAlignment="1" applyProtection="1">
      <alignment horizontal="left"/>
    </xf>
    <xf numFmtId="165" fontId="6" fillId="0" borderId="0" xfId="0" applyNumberFormat="1" applyFont="1" applyBorder="1" applyAlignment="1" applyProtection="1">
      <alignment horizontal="center"/>
    </xf>
    <xf numFmtId="0" fontId="6" fillId="0" borderId="0" xfId="0" applyFont="1" applyAlignment="1" applyProtection="1"/>
    <xf numFmtId="14" fontId="4" fillId="0" borderId="0" xfId="0" applyNumberFormat="1" applyFont="1" applyBorder="1" applyAlignment="1" applyProtection="1">
      <alignment horizontal="left"/>
    </xf>
    <xf numFmtId="14" fontId="7" fillId="0" borderId="0" xfId="0" applyNumberFormat="1" applyFont="1" applyBorder="1" applyAlignment="1" applyProtection="1">
      <alignment horizontal="left"/>
    </xf>
    <xf numFmtId="165" fontId="7" fillId="0" borderId="0" xfId="0" applyNumberFormat="1" applyFont="1" applyBorder="1" applyAlignment="1" applyProtection="1">
      <alignment horizontal="center"/>
    </xf>
    <xf numFmtId="0" fontId="6" fillId="0" borderId="0" xfId="0" applyFont="1" applyAlignment="1" applyProtection="1">
      <alignment horizontal="right"/>
    </xf>
    <xf numFmtId="14" fontId="4" fillId="0" borderId="0" xfId="0" applyNumberFormat="1" applyFont="1" applyBorder="1" applyAlignment="1" applyProtection="1">
      <alignment horizontal="center"/>
    </xf>
    <xf numFmtId="14" fontId="4" fillId="0" borderId="0" xfId="0" applyNumberFormat="1" applyFont="1" applyAlignment="1" applyProtection="1">
      <alignment horizontal="left"/>
    </xf>
    <xf numFmtId="0" fontId="4" fillId="0" borderId="0" xfId="0" applyNumberFormat="1" applyFont="1" applyAlignment="1" applyProtection="1">
      <alignment horizontal="left"/>
    </xf>
    <xf numFmtId="14" fontId="13" fillId="0" borderId="0" xfId="0" applyNumberFormat="1" applyFont="1" applyAlignment="1" applyProtection="1">
      <alignment horizontal="center"/>
    </xf>
    <xf numFmtId="165" fontId="4" fillId="0" borderId="0" xfId="0" applyNumberFormat="1" applyFont="1" applyBorder="1" applyAlignment="1" applyProtection="1">
      <alignment horizontal="center"/>
    </xf>
    <xf numFmtId="0" fontId="6" fillId="0" borderId="17" xfId="0" applyFont="1" applyBorder="1" applyAlignment="1" applyProtection="1">
      <alignment horizontal="right" indent="1"/>
    </xf>
    <xf numFmtId="14" fontId="6" fillId="0" borderId="0" xfId="0" applyNumberFormat="1" applyFont="1" applyBorder="1" applyAlignment="1" applyProtection="1">
      <alignment horizontal="left"/>
    </xf>
    <xf numFmtId="14" fontId="6" fillId="0" borderId="0" xfId="0" applyNumberFormat="1" applyFont="1" applyBorder="1" applyAlignment="1" applyProtection="1">
      <alignment horizontal="center"/>
    </xf>
    <xf numFmtId="0" fontId="6" fillId="0" borderId="0" xfId="0" applyNumberFormat="1" applyFont="1" applyAlignment="1" applyProtection="1">
      <alignment horizontal="right"/>
    </xf>
    <xf numFmtId="14" fontId="6" fillId="0" borderId="0" xfId="0" applyNumberFormat="1" applyFont="1" applyFill="1" applyProtection="1"/>
    <xf numFmtId="0" fontId="8" fillId="0" borderId="1" xfId="0" applyFont="1" applyBorder="1" applyAlignment="1" applyProtection="1">
      <alignment horizontal="center"/>
    </xf>
    <xf numFmtId="165" fontId="8" fillId="0" borderId="1" xfId="0" applyNumberFormat="1" applyFont="1" applyBorder="1" applyAlignment="1" applyProtection="1">
      <alignment horizontal="center" textRotation="90"/>
    </xf>
    <xf numFmtId="0" fontId="6" fillId="0" borderId="1" xfId="0" applyFont="1" applyBorder="1" applyAlignment="1" applyProtection="1">
      <alignment horizontal="center" textRotation="90"/>
    </xf>
    <xf numFmtId="0" fontId="9" fillId="0" borderId="1" xfId="0" applyFont="1" applyBorder="1" applyAlignment="1" applyProtection="1">
      <alignment horizontal="center" textRotation="90"/>
    </xf>
    <xf numFmtId="0" fontId="4" fillId="0" borderId="1" xfId="0" applyFont="1" applyBorder="1" applyAlignment="1" applyProtection="1">
      <alignment horizontal="center" textRotation="90"/>
    </xf>
    <xf numFmtId="0" fontId="6" fillId="0" borderId="1" xfId="0" applyFont="1" applyBorder="1" applyAlignment="1" applyProtection="1"/>
    <xf numFmtId="49" fontId="4" fillId="0" borderId="0" xfId="0" applyNumberFormat="1" applyFont="1" applyFill="1" applyBorder="1" applyProtection="1"/>
    <xf numFmtId="0" fontId="4" fillId="0" borderId="0" xfId="0" applyFont="1" applyFill="1" applyBorder="1" applyAlignment="1" applyProtection="1">
      <alignment horizontal="right" indent="1"/>
    </xf>
    <xf numFmtId="0" fontId="4" fillId="0" borderId="0" xfId="0" applyFont="1" applyFill="1" applyBorder="1" applyProtection="1"/>
    <xf numFmtId="0" fontId="4" fillId="0" borderId="0" xfId="0" applyFont="1" applyFill="1" applyBorder="1" applyAlignment="1" applyProtection="1">
      <alignment horizontal="center"/>
    </xf>
    <xf numFmtId="0" fontId="4" fillId="0" borderId="0" xfId="0" applyNumberFormat="1" applyFont="1" applyFill="1" applyBorder="1" applyProtection="1"/>
    <xf numFmtId="0" fontId="13" fillId="0" borderId="0" xfId="0" applyFont="1" applyFill="1" applyBorder="1" applyAlignment="1" applyProtection="1">
      <alignment horizontal="center"/>
    </xf>
    <xf numFmtId="165" fontId="4" fillId="0" borderId="0" xfId="0" applyNumberFormat="1" applyFont="1" applyFill="1" applyBorder="1" applyAlignment="1" applyProtection="1">
      <alignment horizontal="center"/>
    </xf>
    <xf numFmtId="0" fontId="4" fillId="6" borderId="2" xfId="0" applyFont="1" applyFill="1" applyBorder="1" applyProtection="1"/>
    <xf numFmtId="1" fontId="4" fillId="6" borderId="2" xfId="0" applyNumberFormat="1" applyFont="1" applyFill="1" applyBorder="1" applyAlignment="1" applyProtection="1">
      <alignment horizontal="center"/>
    </xf>
    <xf numFmtId="1" fontId="4" fillId="6" borderId="2" xfId="0" applyNumberFormat="1" applyFont="1" applyFill="1" applyBorder="1" applyProtection="1"/>
    <xf numFmtId="165" fontId="4" fillId="6" borderId="2" xfId="0" applyNumberFormat="1" applyFont="1" applyFill="1" applyBorder="1" applyAlignment="1" applyProtection="1">
      <alignment horizontal="center"/>
    </xf>
    <xf numFmtId="1" fontId="4" fillId="6" borderId="2" xfId="2" applyNumberFormat="1" applyFont="1" applyFill="1" applyBorder="1" applyAlignment="1" applyProtection="1">
      <alignment horizontal="center"/>
    </xf>
    <xf numFmtId="1" fontId="4" fillId="5" borderId="2" xfId="2" applyNumberFormat="1" applyFont="1" applyFill="1" applyBorder="1" applyAlignment="1" applyProtection="1">
      <alignment horizontal="center"/>
    </xf>
    <xf numFmtId="0" fontId="4" fillId="2" borderId="2" xfId="0" applyFont="1" applyFill="1" applyBorder="1" applyProtection="1"/>
    <xf numFmtId="0" fontId="4" fillId="2" borderId="2" xfId="0" applyFont="1" applyFill="1" applyBorder="1" applyAlignment="1" applyProtection="1">
      <alignment horizontal="center"/>
    </xf>
    <xf numFmtId="1" fontId="4" fillId="2" borderId="2" xfId="0" applyNumberFormat="1" applyFont="1" applyFill="1" applyBorder="1" applyAlignment="1" applyProtection="1">
      <alignment horizontal="center"/>
    </xf>
    <xf numFmtId="1" fontId="4" fillId="2" borderId="2" xfId="0" applyNumberFormat="1" applyFont="1" applyFill="1" applyBorder="1" applyProtection="1"/>
    <xf numFmtId="165" fontId="4" fillId="2" borderId="2" xfId="0" applyNumberFormat="1" applyFont="1" applyFill="1" applyBorder="1" applyAlignment="1" applyProtection="1">
      <alignment horizontal="center"/>
    </xf>
    <xf numFmtId="0" fontId="4" fillId="0" borderId="2" xfId="0" applyFont="1" applyFill="1" applyBorder="1" applyProtection="1"/>
    <xf numFmtId="1" fontId="4" fillId="0" borderId="2" xfId="0" applyNumberFormat="1" applyFont="1" applyFill="1" applyBorder="1" applyAlignment="1" applyProtection="1">
      <alignment horizontal="center"/>
    </xf>
    <xf numFmtId="165" fontId="4" fillId="0" borderId="2" xfId="0" applyNumberFormat="1" applyFont="1" applyFill="1" applyBorder="1" applyAlignment="1" applyProtection="1">
      <alignment horizontal="center"/>
    </xf>
    <xf numFmtId="1" fontId="4" fillId="0" borderId="2" xfId="2" applyNumberFormat="1" applyFont="1" applyFill="1" applyBorder="1" applyAlignment="1" applyProtection="1">
      <alignment horizontal="center"/>
    </xf>
    <xf numFmtId="165" fontId="6" fillId="0" borderId="0" xfId="0" applyNumberFormat="1" applyFont="1" applyAlignment="1" applyProtection="1">
      <alignment horizontal="center" vertical="center"/>
    </xf>
    <xf numFmtId="167" fontId="6" fillId="0" borderId="0" xfId="4" applyNumberFormat="1" applyFont="1" applyAlignment="1" applyProtection="1">
      <alignment horizontal="center" readingOrder="2"/>
    </xf>
    <xf numFmtId="165" fontId="6" fillId="0" borderId="0" xfId="0" applyNumberFormat="1" applyFont="1" applyFill="1" applyBorder="1" applyAlignment="1" applyProtection="1">
      <alignment horizontal="center" vertical="center"/>
    </xf>
    <xf numFmtId="167" fontId="6" fillId="0" borderId="0" xfId="4" applyNumberFormat="1" applyFont="1" applyFill="1" applyBorder="1" applyAlignment="1" applyProtection="1">
      <alignment horizontal="center" readingOrder="2"/>
    </xf>
    <xf numFmtId="165" fontId="6" fillId="2" borderId="0" xfId="0" applyNumberFormat="1" applyFont="1" applyFill="1" applyAlignment="1" applyProtection="1">
      <alignment horizontal="center" vertical="center"/>
    </xf>
    <xf numFmtId="167" fontId="6" fillId="2" borderId="0" xfId="4" applyNumberFormat="1" applyFont="1" applyFill="1" applyAlignment="1" applyProtection="1">
      <alignment horizontal="center" readingOrder="2"/>
    </xf>
    <xf numFmtId="0" fontId="6" fillId="2" borderId="0" xfId="0" applyFont="1" applyFill="1" applyProtection="1"/>
    <xf numFmtId="165" fontId="4" fillId="0" borderId="0" xfId="0" applyNumberFormat="1" applyFont="1" applyFill="1" applyBorder="1" applyAlignment="1" applyProtection="1">
      <alignment horizontal="center" vertical="center" textRotation="90"/>
    </xf>
    <xf numFmtId="0" fontId="6" fillId="0" borderId="0" xfId="0" applyFont="1" applyFill="1" applyBorder="1" applyAlignment="1" applyProtection="1"/>
    <xf numFmtId="165" fontId="4" fillId="0" borderId="0" xfId="0" applyNumberFormat="1" applyFont="1" applyFill="1" applyBorder="1" applyAlignment="1" applyProtection="1">
      <alignment horizontal="center" vertical="center"/>
    </xf>
    <xf numFmtId="167" fontId="4" fillId="0" borderId="0" xfId="4" applyNumberFormat="1" applyFont="1" applyFill="1" applyBorder="1" applyAlignment="1" applyProtection="1">
      <alignment horizontal="center" readingOrder="2"/>
    </xf>
    <xf numFmtId="165" fontId="4" fillId="2" borderId="2" xfId="0" applyNumberFormat="1" applyFont="1" applyFill="1" applyBorder="1" applyAlignment="1" applyProtection="1">
      <alignment horizontal="center" vertical="center"/>
    </xf>
    <xf numFmtId="167" fontId="4" fillId="2" borderId="2" xfId="4" applyNumberFormat="1" applyFont="1" applyFill="1" applyBorder="1" applyAlignment="1" applyProtection="1">
      <alignment horizontal="center" readingOrder="2"/>
    </xf>
    <xf numFmtId="167" fontId="16" fillId="0" borderId="0" xfId="4" applyNumberFormat="1" applyFont="1" applyBorder="1" applyAlignment="1" applyProtection="1">
      <alignment horizontal="center" readingOrder="2"/>
    </xf>
    <xf numFmtId="0" fontId="4" fillId="0" borderId="2" xfId="0" applyFont="1" applyBorder="1" applyProtection="1"/>
    <xf numFmtId="167" fontId="4" fillId="0" borderId="2" xfId="4" applyNumberFormat="1" applyFont="1" applyBorder="1" applyAlignment="1" applyProtection="1">
      <alignment horizontal="center" readingOrder="2"/>
    </xf>
    <xf numFmtId="0" fontId="6" fillId="0" borderId="0" xfId="0" applyFont="1" applyAlignment="1" applyProtection="1">
      <alignment horizontal="right" indent="1"/>
    </xf>
    <xf numFmtId="0" fontId="6" fillId="0" borderId="0" xfId="0" applyFont="1" applyAlignment="1" applyProtection="1">
      <alignment horizontal="center"/>
    </xf>
    <xf numFmtId="0" fontId="6" fillId="0" borderId="0" xfId="0" applyNumberFormat="1" applyFont="1" applyProtection="1"/>
    <xf numFmtId="0" fontId="13" fillId="0" borderId="0" xfId="0" applyFont="1" applyAlignment="1" applyProtection="1">
      <alignment horizontal="center"/>
    </xf>
    <xf numFmtId="165" fontId="6" fillId="0" borderId="0" xfId="0" applyNumberFormat="1" applyFont="1" applyAlignment="1" applyProtection="1">
      <alignment horizontal="center"/>
    </xf>
    <xf numFmtId="167" fontId="16" fillId="0" borderId="5" xfId="4" applyNumberFormat="1" applyFont="1" applyBorder="1" applyAlignment="1" applyProtection="1">
      <alignment horizontal="center"/>
      <protection locked="0"/>
    </xf>
    <xf numFmtId="9" fontId="4" fillId="0" borderId="5" xfId="2" applyFont="1" applyFill="1" applyBorder="1" applyAlignment="1" applyProtection="1">
      <alignment horizontal="center" vertical="center" wrapText="1"/>
      <protection locked="0"/>
    </xf>
    <xf numFmtId="0" fontId="11" fillId="0" borderId="0" xfId="0" applyNumberFormat="1" applyFont="1" applyFill="1" applyBorder="1" applyAlignment="1" applyProtection="1">
      <alignment horizontal="center" vertical="center"/>
    </xf>
    <xf numFmtId="0" fontId="11" fillId="0" borderId="0" xfId="0" applyNumberFormat="1" applyFont="1" applyFill="1" applyBorder="1" applyAlignment="1" applyProtection="1">
      <alignment horizontal="right" vertical="center"/>
    </xf>
    <xf numFmtId="167" fontId="4" fillId="0" borderId="2" xfId="4" applyNumberFormat="1" applyFont="1" applyFill="1" applyBorder="1" applyAlignment="1" applyProtection="1">
      <alignment horizontal="center" readingOrder="2"/>
    </xf>
    <xf numFmtId="165" fontId="4" fillId="0" borderId="2" xfId="0" applyNumberFormat="1" applyFont="1" applyFill="1" applyBorder="1" applyProtection="1">
      <protection locked="0"/>
    </xf>
    <xf numFmtId="49" fontId="22" fillId="0" borderId="2" xfId="0" applyNumberFormat="1" applyFont="1" applyBorder="1" applyAlignment="1" applyProtection="1">
      <alignment horizontal="left"/>
    </xf>
    <xf numFmtId="0" fontId="22" fillId="0" borderId="2" xfId="0" applyFont="1" applyFill="1" applyBorder="1" applyProtection="1">
      <protection locked="0"/>
    </xf>
    <xf numFmtId="1" fontId="22" fillId="0" borderId="2" xfId="0" applyNumberFormat="1" applyFont="1" applyFill="1" applyBorder="1" applyAlignment="1" applyProtection="1">
      <alignment horizontal="center"/>
    </xf>
    <xf numFmtId="1" fontId="22" fillId="0" borderId="2" xfId="0" applyNumberFormat="1" applyFont="1" applyFill="1" applyBorder="1" applyProtection="1">
      <protection locked="0"/>
    </xf>
    <xf numFmtId="0" fontId="22" fillId="0" borderId="2" xfId="0" applyNumberFormat="1" applyFont="1" applyFill="1" applyBorder="1" applyProtection="1">
      <protection locked="0"/>
    </xf>
    <xf numFmtId="1" fontId="22" fillId="3" borderId="2" xfId="0" applyNumberFormat="1" applyFont="1" applyFill="1" applyBorder="1" applyAlignment="1" applyProtection="1">
      <alignment horizontal="center"/>
    </xf>
    <xf numFmtId="9" fontId="22" fillId="3" borderId="2" xfId="2" applyFont="1" applyFill="1" applyBorder="1" applyAlignment="1" applyProtection="1">
      <alignment horizontal="center"/>
      <protection locked="0"/>
    </xf>
    <xf numFmtId="1" fontId="22" fillId="0" borderId="2" xfId="0" applyNumberFormat="1" applyFont="1" applyFill="1" applyBorder="1" applyAlignment="1" applyProtection="1">
      <alignment horizontal="center"/>
      <protection locked="0"/>
    </xf>
    <xf numFmtId="0" fontId="22" fillId="0" borderId="2" xfId="0" applyFont="1" applyFill="1" applyBorder="1" applyProtection="1"/>
    <xf numFmtId="0" fontId="22" fillId="0" borderId="2" xfId="0" applyFont="1" applyBorder="1" applyAlignment="1">
      <alignment horizontal="center" vertical="center"/>
    </xf>
    <xf numFmtId="167" fontId="22" fillId="0" borderId="2" xfId="4" applyNumberFormat="1" applyFont="1" applyBorder="1" applyAlignment="1">
      <alignment horizontal="center" vertical="center"/>
    </xf>
    <xf numFmtId="165" fontId="22" fillId="0" borderId="2" xfId="0" applyNumberFormat="1" applyFont="1" applyBorder="1" applyAlignment="1" applyProtection="1">
      <alignment horizontal="center" vertical="center"/>
      <protection locked="0"/>
    </xf>
    <xf numFmtId="167" fontId="22" fillId="0" borderId="2" xfId="4" applyNumberFormat="1" applyFont="1" applyBorder="1" applyAlignment="1" applyProtection="1">
      <alignment horizontal="center" readingOrder="2"/>
    </xf>
    <xf numFmtId="0" fontId="22" fillId="0" borderId="2" xfId="0" applyFont="1" applyBorder="1" applyProtection="1"/>
    <xf numFmtId="0" fontId="22" fillId="0" borderId="2" xfId="0" applyFont="1" applyFill="1" applyBorder="1" applyAlignment="1" applyProtection="1">
      <alignment horizontal="right" wrapText="1" indent="1"/>
      <protection locked="0"/>
    </xf>
    <xf numFmtId="0" fontId="8" fillId="0" borderId="2" xfId="0" applyFont="1" applyBorder="1" applyProtection="1"/>
    <xf numFmtId="0" fontId="22" fillId="0" borderId="2" xfId="0" applyNumberFormat="1" applyFont="1" applyFill="1" applyBorder="1" applyAlignment="1" applyProtection="1">
      <alignment horizontal="left"/>
    </xf>
    <xf numFmtId="1" fontId="22" fillId="0" borderId="2" xfId="0" applyNumberFormat="1" applyFont="1" applyFill="1" applyBorder="1" applyProtection="1"/>
    <xf numFmtId="1" fontId="22" fillId="0" borderId="2" xfId="0" applyNumberFormat="1" applyFont="1" applyFill="1" applyBorder="1" applyAlignment="1">
      <alignment horizontal="center"/>
    </xf>
    <xf numFmtId="1" fontId="22" fillId="3" borderId="2" xfId="0" applyNumberFormat="1" applyFont="1" applyFill="1" applyBorder="1" applyAlignment="1">
      <alignment horizontal="center"/>
    </xf>
    <xf numFmtId="0" fontId="22" fillId="0" borderId="2" xfId="0" applyFont="1" applyFill="1" applyBorder="1"/>
    <xf numFmtId="0" fontId="22" fillId="0" borderId="2" xfId="0" applyFont="1" applyFill="1" applyBorder="1" applyAlignment="1">
      <alignment horizontal="center" vertical="center"/>
    </xf>
    <xf numFmtId="165" fontId="22" fillId="0" borderId="2" xfId="0" applyNumberFormat="1" applyFont="1" applyFill="1" applyBorder="1" applyAlignment="1" applyProtection="1">
      <alignment horizontal="center" vertical="center"/>
      <protection locked="0"/>
    </xf>
    <xf numFmtId="167" fontId="22" fillId="0" borderId="2" xfId="4" applyNumberFormat="1" applyFont="1" applyFill="1" applyBorder="1" applyAlignment="1">
      <alignment horizontal="center" readingOrder="2"/>
    </xf>
    <xf numFmtId="1" fontId="22" fillId="0" borderId="2" xfId="0" applyNumberFormat="1" applyFont="1" applyFill="1" applyBorder="1"/>
    <xf numFmtId="0" fontId="22" fillId="0" borderId="2" xfId="0" applyNumberFormat="1" applyFont="1" applyBorder="1" applyAlignment="1" applyProtection="1">
      <alignment horizontal="left"/>
    </xf>
    <xf numFmtId="0" fontId="22" fillId="0" borderId="2" xfId="0" applyFont="1" applyBorder="1" applyProtection="1">
      <protection locked="0"/>
    </xf>
    <xf numFmtId="167" fontId="22" fillId="0" borderId="2" xfId="4" applyNumberFormat="1" applyFont="1" applyBorder="1" applyAlignment="1">
      <alignment horizontal="center" readingOrder="2"/>
    </xf>
    <xf numFmtId="0" fontId="22" fillId="0" borderId="2" xfId="0" applyFont="1" applyBorder="1"/>
    <xf numFmtId="0" fontId="22" fillId="0" borderId="2" xfId="0" applyNumberFormat="1" applyFont="1" applyBorder="1" applyAlignment="1">
      <alignment horizontal="left"/>
    </xf>
    <xf numFmtId="0" fontId="22" fillId="0" borderId="2" xfId="0" applyNumberFormat="1" applyFont="1" applyFill="1" applyBorder="1" applyAlignment="1">
      <alignment horizontal="left"/>
    </xf>
    <xf numFmtId="1" fontId="22" fillId="10" borderId="2" xfId="0" applyNumberFormat="1" applyFont="1" applyFill="1" applyBorder="1" applyAlignment="1">
      <alignment horizontal="center"/>
    </xf>
    <xf numFmtId="49" fontId="22" fillId="2" borderId="2" xfId="0" applyNumberFormat="1" applyFont="1" applyFill="1" applyBorder="1" applyAlignment="1" applyProtection="1">
      <alignment horizontal="left"/>
    </xf>
    <xf numFmtId="0" fontId="22" fillId="2" borderId="2" xfId="0" applyFont="1" applyFill="1" applyBorder="1" applyAlignment="1" applyProtection="1">
      <alignment horizontal="right" wrapText="1" indent="1"/>
      <protection locked="0"/>
    </xf>
    <xf numFmtId="0" fontId="22" fillId="2" borderId="2" xfId="0" applyFont="1" applyFill="1" applyBorder="1" applyProtection="1">
      <protection locked="0"/>
    </xf>
    <xf numFmtId="1" fontId="22" fillId="2" borderId="2" xfId="0" applyNumberFormat="1" applyFont="1" applyFill="1" applyBorder="1" applyProtection="1">
      <protection locked="0"/>
    </xf>
    <xf numFmtId="0" fontId="22" fillId="2" borderId="2" xfId="0" applyNumberFormat="1" applyFont="1" applyFill="1" applyBorder="1" applyProtection="1">
      <protection locked="0"/>
    </xf>
    <xf numFmtId="1" fontId="22" fillId="2" borderId="2" xfId="0" applyNumberFormat="1" applyFont="1" applyFill="1" applyBorder="1" applyAlignment="1" applyProtection="1">
      <alignment horizontal="center"/>
    </xf>
    <xf numFmtId="1" fontId="22" fillId="4" borderId="2" xfId="0" applyNumberFormat="1" applyFont="1" applyFill="1" applyBorder="1" applyAlignment="1" applyProtection="1">
      <alignment horizontal="center"/>
    </xf>
    <xf numFmtId="9" fontId="22" fillId="4" borderId="2" xfId="2" applyFont="1" applyFill="1" applyBorder="1" applyAlignment="1" applyProtection="1">
      <alignment horizontal="center"/>
    </xf>
    <xf numFmtId="1" fontId="22" fillId="5" borderId="2" xfId="0" applyNumberFormat="1" applyFont="1" applyFill="1" applyBorder="1" applyAlignment="1" applyProtection="1">
      <alignment horizontal="center"/>
    </xf>
    <xf numFmtId="0" fontId="22" fillId="0" borderId="2" xfId="0" applyFont="1" applyBorder="1" applyAlignment="1" applyProtection="1">
      <alignment horizontal="right" indent="1"/>
    </xf>
    <xf numFmtId="49" fontId="22" fillId="0" borderId="2" xfId="0" applyNumberFormat="1" applyFont="1" applyFill="1" applyBorder="1" applyAlignment="1" applyProtection="1">
      <alignment horizontal="left"/>
    </xf>
    <xf numFmtId="1" fontId="22" fillId="10" borderId="2" xfId="0" applyNumberFormat="1" applyFont="1" applyFill="1" applyBorder="1" applyAlignment="1" applyProtection="1">
      <alignment horizontal="center"/>
    </xf>
    <xf numFmtId="9" fontId="22" fillId="10" borderId="2" xfId="2" applyFont="1" applyFill="1" applyBorder="1" applyAlignment="1" applyProtection="1">
      <alignment horizontal="center"/>
      <protection locked="0"/>
    </xf>
    <xf numFmtId="165" fontId="22" fillId="0" borderId="2" xfId="0" applyNumberFormat="1" applyFont="1" applyFill="1" applyBorder="1" applyAlignment="1">
      <alignment horizontal="center" vertical="center"/>
    </xf>
    <xf numFmtId="165" fontId="22" fillId="0" borderId="2" xfId="4" applyNumberFormat="1" applyFont="1" applyFill="1" applyBorder="1" applyAlignment="1" applyProtection="1">
      <alignment horizontal="center" readingOrder="2"/>
      <protection locked="0"/>
    </xf>
    <xf numFmtId="20" fontId="22" fillId="0" borderId="2" xfId="0" applyNumberFormat="1" applyFont="1" applyFill="1" applyBorder="1" applyProtection="1">
      <protection locked="0"/>
    </xf>
    <xf numFmtId="167" fontId="22" fillId="0" borderId="2" xfId="4" applyNumberFormat="1" applyFont="1" applyFill="1" applyBorder="1" applyAlignment="1" applyProtection="1">
      <alignment horizontal="center" readingOrder="2"/>
    </xf>
    <xf numFmtId="0" fontId="22" fillId="0" borderId="0" xfId="0" applyFont="1" applyFill="1" applyBorder="1" applyProtection="1"/>
    <xf numFmtId="165" fontId="22" fillId="0" borderId="2" xfId="0" applyNumberFormat="1" applyFont="1" applyFill="1" applyBorder="1" applyProtection="1">
      <protection locked="0"/>
    </xf>
    <xf numFmtId="49" fontId="22" fillId="6" borderId="0" xfId="0" applyNumberFormat="1" applyFont="1" applyFill="1" applyBorder="1" applyProtection="1"/>
    <xf numFmtId="0" fontId="22" fillId="6" borderId="0" xfId="0" applyFont="1" applyFill="1" applyBorder="1" applyAlignment="1" applyProtection="1">
      <alignment horizontal="right" indent="1"/>
      <protection locked="0"/>
    </xf>
    <xf numFmtId="0" fontId="22" fillId="6" borderId="0" xfId="0" applyFont="1" applyFill="1" applyBorder="1" applyProtection="1">
      <protection locked="0"/>
    </xf>
    <xf numFmtId="0" fontId="22" fillId="6" borderId="0" xfId="0" applyFont="1" applyFill="1" applyBorder="1" applyAlignment="1" applyProtection="1">
      <alignment horizontal="center"/>
      <protection locked="0"/>
    </xf>
    <xf numFmtId="1" fontId="22" fillId="6" borderId="2" xfId="0" applyNumberFormat="1" applyFont="1" applyFill="1" applyBorder="1" applyAlignment="1" applyProtection="1">
      <alignment horizontal="center"/>
    </xf>
    <xf numFmtId="1" fontId="22" fillId="6" borderId="2" xfId="0" applyNumberFormat="1" applyFont="1" applyFill="1" applyBorder="1" applyProtection="1">
      <protection locked="0"/>
    </xf>
    <xf numFmtId="0" fontId="22" fillId="6" borderId="2" xfId="0" applyNumberFormat="1" applyFont="1" applyFill="1" applyBorder="1" applyProtection="1">
      <protection locked="0"/>
    </xf>
    <xf numFmtId="1" fontId="23" fillId="6" borderId="2" xfId="0" applyNumberFormat="1" applyFont="1" applyFill="1" applyBorder="1" applyAlignment="1" applyProtection="1">
      <alignment horizontal="center"/>
    </xf>
    <xf numFmtId="1" fontId="22" fillId="7" borderId="2" xfId="0" applyNumberFormat="1" applyFont="1" applyFill="1" applyBorder="1" applyAlignment="1" applyProtection="1">
      <alignment horizontal="center"/>
    </xf>
    <xf numFmtId="9" fontId="22" fillId="7" borderId="2" xfId="2" applyFont="1" applyFill="1" applyBorder="1" applyAlignment="1" applyProtection="1">
      <alignment horizontal="center"/>
    </xf>
    <xf numFmtId="1" fontId="22" fillId="6" borderId="2" xfId="0" applyNumberFormat="1" applyFont="1" applyFill="1" applyBorder="1" applyAlignment="1" applyProtection="1">
      <alignment horizontal="center"/>
      <protection locked="0"/>
    </xf>
    <xf numFmtId="0" fontId="22" fillId="6" borderId="0" xfId="0" applyFont="1" applyFill="1" applyBorder="1" applyProtection="1"/>
    <xf numFmtId="0" fontId="22" fillId="6" borderId="0" xfId="0" applyFont="1" applyFill="1" applyBorder="1" applyAlignment="1">
      <alignment horizontal="center" vertical="center"/>
    </xf>
    <xf numFmtId="167" fontId="22" fillId="6" borderId="0" xfId="4" applyNumberFormat="1" applyFont="1" applyFill="1" applyBorder="1" applyAlignment="1">
      <alignment horizontal="center" vertical="center"/>
    </xf>
    <xf numFmtId="165" fontId="22" fillId="6" borderId="0" xfId="0" applyNumberFormat="1" applyFont="1" applyFill="1" applyBorder="1" applyAlignment="1" applyProtection="1">
      <alignment horizontal="center" vertical="center"/>
    </xf>
    <xf numFmtId="167" fontId="22" fillId="6" borderId="0" xfId="4" applyNumberFormat="1" applyFont="1" applyFill="1" applyBorder="1" applyAlignment="1" applyProtection="1">
      <alignment horizontal="center" readingOrder="2"/>
    </xf>
    <xf numFmtId="0" fontId="24" fillId="0" borderId="0" xfId="0" applyFont="1" applyAlignment="1" applyProtection="1">
      <alignment horizontal="right" wrapText="1" indent="1"/>
    </xf>
    <xf numFmtId="0" fontId="26" fillId="0" borderId="0" xfId="1" applyFont="1" applyFill="1" applyAlignment="1" applyProtection="1">
      <alignment horizontal="center" vertical="center"/>
    </xf>
    <xf numFmtId="0" fontId="27" fillId="2" borderId="0" xfId="0" applyFont="1" applyFill="1" applyAlignment="1" applyProtection="1">
      <alignment horizontal="right" vertical="center" indent="1"/>
    </xf>
    <xf numFmtId="0" fontId="27" fillId="2" borderId="0" xfId="0" applyFont="1" applyFill="1" applyAlignment="1" applyProtection="1">
      <alignment vertical="center"/>
    </xf>
    <xf numFmtId="0" fontId="27" fillId="2" borderId="0" xfId="0" applyFont="1" applyFill="1" applyAlignment="1" applyProtection="1">
      <alignment horizontal="center" vertical="center"/>
    </xf>
    <xf numFmtId="0" fontId="25" fillId="0" borderId="0" xfId="0" applyFont="1" applyFill="1" applyBorder="1" applyProtection="1"/>
    <xf numFmtId="0" fontId="25" fillId="0" borderId="17" xfId="0" applyFont="1" applyBorder="1" applyAlignment="1" applyProtection="1">
      <alignment horizontal="right"/>
    </xf>
    <xf numFmtId="0" fontId="25" fillId="0" borderId="18" xfId="0" applyFont="1" applyBorder="1" applyAlignment="1" applyProtection="1">
      <alignment horizontal="right"/>
    </xf>
    <xf numFmtId="14" fontId="21" fillId="0" borderId="0" xfId="0" applyNumberFormat="1" applyFont="1" applyBorder="1" applyAlignment="1" applyProtection="1">
      <alignment horizontal="left"/>
    </xf>
    <xf numFmtId="14" fontId="28" fillId="0" borderId="0" xfId="0" applyNumberFormat="1" applyFont="1" applyFill="1" applyBorder="1" applyAlignment="1" applyProtection="1">
      <alignment horizontal="left"/>
    </xf>
    <xf numFmtId="14" fontId="24" fillId="0" borderId="0" xfId="0" applyNumberFormat="1" applyFont="1" applyBorder="1" applyAlignment="1" applyProtection="1">
      <alignment horizontal="center"/>
    </xf>
    <xf numFmtId="0" fontId="27" fillId="2" borderId="0" xfId="0" applyNumberFormat="1" applyFont="1" applyFill="1" applyAlignment="1" applyProtection="1">
      <alignment vertical="center"/>
    </xf>
    <xf numFmtId="0" fontId="29" fillId="2" borderId="0" xfId="0" applyFont="1" applyFill="1" applyAlignment="1" applyProtection="1">
      <alignment horizontal="center" vertical="center"/>
    </xf>
    <xf numFmtId="0" fontId="25" fillId="0" borderId="0" xfId="0" applyFont="1" applyBorder="1" applyAlignment="1" applyProtection="1">
      <alignment horizontal="left"/>
    </xf>
    <xf numFmtId="0" fontId="25" fillId="0" borderId="0" xfId="0" applyNumberFormat="1" applyFont="1" applyBorder="1" applyAlignment="1" applyProtection="1">
      <alignment horizontal="left"/>
    </xf>
    <xf numFmtId="0" fontId="23" fillId="0" borderId="0" xfId="0" applyFont="1" applyBorder="1" applyAlignment="1" applyProtection="1">
      <alignment horizontal="center"/>
    </xf>
    <xf numFmtId="14" fontId="24" fillId="0" borderId="0" xfId="0" applyNumberFormat="1" applyFont="1" applyBorder="1" applyAlignment="1" applyProtection="1">
      <alignment horizontal="left"/>
    </xf>
    <xf numFmtId="0" fontId="24" fillId="0" borderId="0" xfId="0" applyNumberFormat="1" applyFont="1" applyBorder="1" applyAlignment="1" applyProtection="1">
      <alignment horizontal="left"/>
    </xf>
    <xf numFmtId="14" fontId="23" fillId="0" borderId="0" xfId="0" applyNumberFormat="1" applyFont="1" applyBorder="1" applyAlignment="1" applyProtection="1">
      <alignment horizontal="center"/>
    </xf>
    <xf numFmtId="0" fontId="27" fillId="9" borderId="0" xfId="0" applyFont="1" applyFill="1" applyAlignment="1" applyProtection="1">
      <alignment vertical="center"/>
    </xf>
    <xf numFmtId="0" fontId="30" fillId="0" borderId="0" xfId="1" applyFont="1" applyFill="1" applyAlignment="1" applyProtection="1">
      <alignment horizontal="right"/>
    </xf>
    <xf numFmtId="0" fontId="31" fillId="0" borderId="0" xfId="0" applyFont="1" applyFill="1" applyProtection="1"/>
    <xf numFmtId="0" fontId="25" fillId="0" borderId="0" xfId="0" applyFont="1" applyAlignment="1" applyProtection="1"/>
    <xf numFmtId="0" fontId="25" fillId="0" borderId="0" xfId="0" applyFont="1" applyProtection="1"/>
    <xf numFmtId="0" fontId="21" fillId="0" borderId="1" xfId="0" applyFont="1" applyFill="1" applyBorder="1" applyAlignment="1" applyProtection="1">
      <alignment horizontal="center"/>
    </xf>
    <xf numFmtId="0" fontId="21" fillId="0" borderId="1" xfId="0" applyFont="1" applyBorder="1" applyAlignment="1" applyProtection="1">
      <alignment horizontal="right" indent="1"/>
    </xf>
    <xf numFmtId="0" fontId="21" fillId="0" borderId="1" xfId="0" applyFont="1" applyBorder="1" applyAlignment="1" applyProtection="1">
      <alignment horizontal="center"/>
    </xf>
    <xf numFmtId="0" fontId="21" fillId="0" borderId="1" xfId="0" applyFont="1" applyBorder="1" applyAlignment="1" applyProtection="1">
      <alignment horizontal="center" textRotation="90"/>
    </xf>
    <xf numFmtId="0" fontId="21" fillId="0" borderId="1" xfId="0" applyNumberFormat="1" applyFont="1" applyBorder="1" applyAlignment="1" applyProtection="1">
      <alignment horizontal="center" textRotation="90"/>
    </xf>
    <xf numFmtId="0" fontId="25" fillId="0" borderId="1" xfId="0" applyFont="1" applyBorder="1" applyAlignment="1" applyProtection="1">
      <alignment horizontal="center" textRotation="90" wrapText="1"/>
    </xf>
    <xf numFmtId="0" fontId="25" fillId="0" borderId="1" xfId="0" applyFont="1" applyBorder="1" applyAlignment="1" applyProtection="1">
      <alignment horizontal="center" textRotation="90"/>
    </xf>
    <xf numFmtId="0" fontId="21" fillId="2" borderId="2" xfId="0" applyNumberFormat="1" applyFont="1" applyFill="1" applyBorder="1" applyAlignment="1" applyProtection="1">
      <alignment horizontal="left"/>
    </xf>
    <xf numFmtId="0" fontId="21" fillId="2" borderId="2" xfId="0" applyFont="1" applyFill="1" applyBorder="1" applyAlignment="1" applyProtection="1">
      <alignment horizontal="right" wrapText="1" indent="1"/>
      <protection locked="0"/>
    </xf>
    <xf numFmtId="0" fontId="21" fillId="2" borderId="2" xfId="0" applyFont="1" applyFill="1" applyBorder="1" applyProtection="1">
      <protection locked="0"/>
    </xf>
    <xf numFmtId="1" fontId="21" fillId="2" borderId="2" xfId="0" applyNumberFormat="1" applyFont="1" applyFill="1" applyBorder="1" applyAlignment="1" applyProtection="1">
      <alignment horizontal="center"/>
    </xf>
    <xf numFmtId="1" fontId="21" fillId="8" borderId="2" xfId="0" applyNumberFormat="1" applyFont="1" applyFill="1" applyBorder="1" applyProtection="1">
      <protection locked="0"/>
    </xf>
    <xf numFmtId="0" fontId="21" fillId="8" borderId="2" xfId="0" applyNumberFormat="1" applyFont="1" applyFill="1" applyBorder="1" applyProtection="1">
      <protection locked="0"/>
    </xf>
    <xf numFmtId="1" fontId="21" fillId="4" borderId="2" xfId="0" applyNumberFormat="1" applyFont="1" applyFill="1" applyBorder="1" applyAlignment="1" applyProtection="1">
      <alignment horizontal="center"/>
    </xf>
    <xf numFmtId="9" fontId="21" fillId="4" borderId="2" xfId="2" applyFont="1" applyFill="1" applyBorder="1" applyAlignment="1" applyProtection="1">
      <alignment horizontal="center"/>
    </xf>
    <xf numFmtId="1" fontId="21" fillId="5" borderId="2" xfId="0" applyNumberFormat="1" applyFont="1" applyFill="1" applyBorder="1" applyAlignment="1" applyProtection="1">
      <alignment horizontal="center"/>
    </xf>
    <xf numFmtId="0" fontId="8" fillId="2" borderId="2" xfId="0" applyFont="1" applyFill="1" applyBorder="1" applyProtection="1"/>
    <xf numFmtId="0" fontId="8" fillId="2" borderId="2" xfId="0" applyFont="1" applyFill="1" applyBorder="1" applyAlignment="1">
      <alignment horizontal="center" vertical="center"/>
    </xf>
    <xf numFmtId="167" fontId="8" fillId="2" borderId="2" xfId="4" applyNumberFormat="1" applyFont="1" applyFill="1" applyBorder="1" applyAlignment="1">
      <alignment horizontal="center" vertical="center"/>
    </xf>
    <xf numFmtId="165" fontId="8" fillId="2" borderId="2" xfId="0" applyNumberFormat="1" applyFont="1" applyFill="1" applyBorder="1" applyAlignment="1" applyProtection="1">
      <alignment horizontal="center" vertical="center"/>
    </xf>
    <xf numFmtId="167" fontId="8" fillId="2" borderId="2" xfId="4" applyNumberFormat="1" applyFont="1" applyFill="1" applyBorder="1" applyAlignment="1" applyProtection="1">
      <alignment horizontal="center" readingOrder="2"/>
    </xf>
    <xf numFmtId="49" fontId="21" fillId="2" borderId="2" xfId="0" applyNumberFormat="1" applyFont="1" applyFill="1" applyBorder="1" applyAlignment="1" applyProtection="1">
      <alignment horizontal="left"/>
    </xf>
    <xf numFmtId="1" fontId="21" fillId="2" borderId="2" xfId="0" applyNumberFormat="1" applyFont="1" applyFill="1" applyBorder="1" applyProtection="1">
      <protection locked="0"/>
    </xf>
    <xf numFmtId="0" fontId="21" fillId="2" borderId="2" xfId="0" applyNumberFormat="1" applyFont="1" applyFill="1" applyBorder="1" applyProtection="1">
      <protection locked="0"/>
    </xf>
    <xf numFmtId="1" fontId="21" fillId="2" borderId="2" xfId="0" applyNumberFormat="1" applyFont="1" applyFill="1" applyBorder="1" applyProtection="1"/>
    <xf numFmtId="0" fontId="21" fillId="2" borderId="2" xfId="0" applyFont="1" applyFill="1" applyBorder="1" applyProtection="1"/>
    <xf numFmtId="0" fontId="21" fillId="2" borderId="2" xfId="0" applyFont="1" applyFill="1" applyBorder="1" applyAlignment="1">
      <alignment horizontal="center" vertical="center"/>
    </xf>
    <xf numFmtId="167" fontId="21" fillId="2" borderId="2" xfId="4" applyNumberFormat="1" applyFont="1" applyFill="1" applyBorder="1" applyAlignment="1">
      <alignment horizontal="center" vertical="center"/>
    </xf>
    <xf numFmtId="165" fontId="21" fillId="2" borderId="2" xfId="0" applyNumberFormat="1" applyFont="1" applyFill="1" applyBorder="1" applyAlignment="1" applyProtection="1">
      <alignment horizontal="center" vertical="center"/>
    </xf>
    <xf numFmtId="167" fontId="21" fillId="2" borderId="2" xfId="4" applyNumberFormat="1" applyFont="1" applyFill="1" applyBorder="1" applyAlignment="1" applyProtection="1">
      <alignment horizontal="center" readingOrder="2"/>
    </xf>
    <xf numFmtId="0" fontId="21" fillId="8" borderId="2" xfId="0" applyFont="1" applyFill="1" applyBorder="1" applyAlignment="1" applyProtection="1">
      <alignment horizontal="right" wrapText="1" indent="1"/>
      <protection locked="0"/>
    </xf>
    <xf numFmtId="0" fontId="21" fillId="8" borderId="2" xfId="0" applyFont="1" applyFill="1" applyBorder="1" applyProtection="1">
      <protection locked="0"/>
    </xf>
    <xf numFmtId="165" fontId="8" fillId="2" borderId="2" xfId="0" applyNumberFormat="1" applyFont="1" applyFill="1" applyBorder="1" applyAlignment="1">
      <alignment horizontal="center" vertical="center"/>
    </xf>
    <xf numFmtId="165" fontId="8" fillId="2" borderId="2" xfId="4" applyNumberFormat="1" applyFont="1" applyFill="1" applyBorder="1" applyAlignment="1" applyProtection="1">
      <alignment horizontal="center" readingOrder="2"/>
    </xf>
    <xf numFmtId="1" fontId="8" fillId="2" borderId="2" xfId="0" applyNumberFormat="1" applyFont="1" applyFill="1" applyBorder="1" applyAlignment="1" applyProtection="1">
      <alignment horizontal="center"/>
    </xf>
    <xf numFmtId="0" fontId="22" fillId="0" borderId="2" xfId="0" applyFont="1" applyFill="1" applyBorder="1" applyAlignment="1" applyProtection="1">
      <alignment horizontal="left"/>
    </xf>
    <xf numFmtId="1" fontId="22" fillId="0" borderId="2" xfId="0" applyNumberFormat="1" applyFont="1" applyFill="1" applyBorder="1" applyAlignment="1" applyProtection="1">
      <alignment horizontal="left"/>
    </xf>
    <xf numFmtId="1" fontId="21" fillId="2" borderId="2" xfId="0" applyNumberFormat="1" applyFont="1" applyFill="1" applyBorder="1" applyAlignment="1" applyProtection="1">
      <alignment horizontal="left" readingOrder="1"/>
    </xf>
    <xf numFmtId="1" fontId="21" fillId="2" borderId="2" xfId="0" applyNumberFormat="1" applyFont="1" applyFill="1" applyBorder="1" applyAlignment="1" applyProtection="1">
      <alignment horizontal="left"/>
    </xf>
    <xf numFmtId="1" fontId="22" fillId="0" borderId="2" xfId="0" applyNumberFormat="1" applyFont="1" applyFill="1" applyBorder="1" applyAlignment="1">
      <alignment horizontal="left"/>
    </xf>
    <xf numFmtId="1" fontId="22" fillId="2" borderId="2" xfId="0" applyNumberFormat="1" applyFont="1" applyFill="1" applyBorder="1" applyAlignment="1" applyProtection="1">
      <alignment horizontal="left"/>
    </xf>
    <xf numFmtId="0" fontId="22" fillId="2" borderId="2" xfId="0" applyFont="1" applyFill="1" applyBorder="1" applyAlignment="1" applyProtection="1">
      <alignment horizontal="left"/>
    </xf>
    <xf numFmtId="0" fontId="22" fillId="0" borderId="2" xfId="0" applyFont="1" applyFill="1" applyBorder="1" applyAlignment="1">
      <alignment horizontal="left"/>
    </xf>
    <xf numFmtId="14" fontId="6" fillId="0" borderId="0" xfId="0" applyNumberFormat="1" applyFont="1" applyBorder="1" applyAlignment="1" applyProtection="1">
      <alignment horizontal="center"/>
    </xf>
    <xf numFmtId="0" fontId="25" fillId="0" borderId="0" xfId="0" applyFont="1" applyBorder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14" fontId="4" fillId="0" borderId="3" xfId="0" applyNumberFormat="1" applyFont="1" applyBorder="1" applyAlignment="1" applyProtection="1">
      <alignment horizontal="center" textRotation="90"/>
    </xf>
    <xf numFmtId="0" fontId="4" fillId="0" borderId="1" xfId="0" applyFont="1" applyBorder="1" applyAlignment="1" applyProtection="1">
      <alignment horizontal="center" textRotation="90"/>
    </xf>
    <xf numFmtId="0" fontId="4" fillId="0" borderId="4" xfId="0" applyFont="1" applyBorder="1" applyAlignment="1" applyProtection="1">
      <alignment horizontal="center" textRotation="90"/>
    </xf>
    <xf numFmtId="0" fontId="16" fillId="0" borderId="5" xfId="0" applyFont="1" applyBorder="1" applyAlignment="1">
      <alignment horizontal="center"/>
    </xf>
    <xf numFmtId="0" fontId="16" fillId="0" borderId="17" xfId="0" applyFont="1" applyBorder="1" applyAlignment="1">
      <alignment horizontal="center"/>
    </xf>
    <xf numFmtId="0" fontId="4" fillId="0" borderId="6" xfId="0" applyFont="1" applyFill="1" applyBorder="1" applyAlignment="1">
      <alignment horizontal="center"/>
    </xf>
    <xf numFmtId="0" fontId="4" fillId="0" borderId="7" xfId="0" applyFont="1" applyFill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6" fillId="0" borderId="5" xfId="0" applyFont="1" applyBorder="1" applyAlignment="1">
      <alignment horizontal="center" vertical="center"/>
    </xf>
    <xf numFmtId="167" fontId="16" fillId="0" borderId="5" xfId="4" applyNumberFormat="1" applyFont="1" applyBorder="1" applyAlignment="1">
      <alignment horizontal="center" vertical="center"/>
    </xf>
    <xf numFmtId="0" fontId="16" fillId="0" borderId="6" xfId="0" applyFont="1" applyBorder="1" applyAlignment="1">
      <alignment horizontal="center"/>
    </xf>
    <xf numFmtId="0" fontId="16" fillId="0" borderId="7" xfId="0" applyFont="1" applyBorder="1" applyAlignment="1">
      <alignment horizontal="center"/>
    </xf>
    <xf numFmtId="166" fontId="16" fillId="0" borderId="6" xfId="4" applyNumberFormat="1" applyFont="1" applyBorder="1" applyAlignment="1">
      <alignment horizontal="center"/>
    </xf>
    <xf numFmtId="166" fontId="16" fillId="0" borderId="7" xfId="4" applyNumberFormat="1" applyFont="1" applyBorder="1" applyAlignment="1">
      <alignment horizontal="center"/>
    </xf>
    <xf numFmtId="166" fontId="16" fillId="0" borderId="6" xfId="4" applyNumberFormat="1" applyFont="1" applyBorder="1" applyAlignment="1" applyProtection="1">
      <alignment horizontal="center"/>
      <protection locked="0"/>
    </xf>
    <xf numFmtId="166" fontId="16" fillId="0" borderId="7" xfId="4" applyNumberFormat="1" applyFont="1" applyBorder="1" applyAlignment="1" applyProtection="1">
      <alignment horizontal="center"/>
      <protection locked="0"/>
    </xf>
    <xf numFmtId="165" fontId="18" fillId="0" borderId="2" xfId="0" applyNumberFormat="1" applyFont="1" applyFill="1" applyBorder="1" applyAlignment="1">
      <alignment horizontal="center" vertical="center" wrapText="1"/>
    </xf>
    <xf numFmtId="165" fontId="18" fillId="0" borderId="1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4" fillId="0" borderId="13" xfId="0" applyFont="1" applyFill="1" applyBorder="1" applyAlignment="1">
      <alignment horizontal="center" vertical="center" wrapText="1"/>
    </xf>
    <xf numFmtId="0" fontId="4" fillId="0" borderId="14" xfId="0" applyFont="1" applyFill="1" applyBorder="1" applyAlignment="1">
      <alignment horizontal="center" vertical="center" wrapText="1"/>
    </xf>
    <xf numFmtId="165" fontId="4" fillId="0" borderId="15" xfId="0" applyNumberFormat="1" applyFont="1" applyFill="1" applyBorder="1" applyAlignment="1">
      <alignment horizontal="center" wrapText="1"/>
    </xf>
    <xf numFmtId="169" fontId="4" fillId="0" borderId="13" xfId="0" applyNumberFormat="1" applyFont="1" applyFill="1" applyBorder="1" applyAlignment="1" applyProtection="1">
      <alignment horizontal="center" vertical="center" textRotation="90" wrapText="1" readingOrder="2"/>
      <protection locked="0"/>
    </xf>
    <xf numFmtId="169" fontId="4" fillId="0" borderId="14" xfId="0" applyNumberFormat="1" applyFont="1" applyFill="1" applyBorder="1" applyAlignment="1" applyProtection="1">
      <alignment horizontal="center" vertical="center" textRotation="90" wrapText="1" readingOrder="2"/>
      <protection locked="0"/>
    </xf>
    <xf numFmtId="9" fontId="4" fillId="0" borderId="13" xfId="2" applyFont="1" applyFill="1" applyBorder="1" applyAlignment="1">
      <alignment horizontal="center" vertical="center" textRotation="90" wrapText="1"/>
    </xf>
    <xf numFmtId="9" fontId="4" fillId="0" borderId="14" xfId="2" applyFont="1" applyFill="1" applyBorder="1" applyAlignment="1">
      <alignment horizontal="center" vertical="center" textRotation="90" wrapText="1"/>
    </xf>
    <xf numFmtId="0" fontId="4" fillId="0" borderId="13" xfId="0" applyFont="1" applyFill="1" applyBorder="1" applyAlignment="1">
      <alignment horizontal="center" vertical="center" textRotation="90" wrapText="1"/>
    </xf>
    <xf numFmtId="0" fontId="4" fillId="0" borderId="14" xfId="0" applyFont="1" applyFill="1" applyBorder="1" applyAlignment="1">
      <alignment horizontal="center" vertical="center" textRotation="90" wrapText="1"/>
    </xf>
    <xf numFmtId="169" fontId="4" fillId="0" borderId="13" xfId="0" applyNumberFormat="1" applyFont="1" applyFill="1" applyBorder="1" applyAlignment="1">
      <alignment horizontal="center" vertical="center" textRotation="90" wrapText="1" readingOrder="2"/>
    </xf>
    <xf numFmtId="169" fontId="4" fillId="0" borderId="14" xfId="0" applyNumberFormat="1" applyFont="1" applyFill="1" applyBorder="1" applyAlignment="1">
      <alignment horizontal="center" vertical="center" textRotation="90" wrapText="1" readingOrder="2"/>
    </xf>
  </cellXfs>
  <cellStyles count="8">
    <cellStyle name="Currency" xfId="4" builtinId="4"/>
    <cellStyle name="Hyperlink" xfId="1" builtinId="8"/>
    <cellStyle name="Normal" xfId="0" builtinId="0"/>
    <cellStyle name="Normal 2" xfId="3"/>
    <cellStyle name="Normal 2 2" xfId="7"/>
    <cellStyle name="Percent" xfId="2" builtinId="5"/>
    <cellStyle name="فراپیوند 2" xfId="6"/>
    <cellStyle name="معمولی 2" xfId="5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>
          <bgColor theme="1" tint="0.24994659260841701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indexed="63"/>
        </patternFill>
      </fill>
    </dxf>
    <dxf>
      <fill>
        <patternFill>
          <bgColor indexed="4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99FF99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AEAEA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D7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C0C0C0"/>
      <rgbColor rgb="00003366"/>
      <rgbColor rgb="00339966"/>
      <rgbColor rgb="00003300"/>
      <rgbColor rgb="00333300"/>
      <rgbColor rgb="00993300"/>
      <rgbColor rgb="00993366"/>
      <rgbColor rgb="00333399"/>
      <rgbColor rgb="005F5F5F"/>
    </indexedColors>
    <mruColors>
      <color rgb="FF99FF99"/>
      <color rgb="FF66FF66"/>
      <color rgb="FF99FF66"/>
      <color rgb="FF00FF00"/>
      <color rgb="FFEAEAEA"/>
      <color rgb="FFC0C0C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croll" dx="16" fmlaLink="$R$5" horiz="1" max="100" page="4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171450</xdr:colOff>
          <xdr:row>3</xdr:row>
          <xdr:rowOff>209550</xdr:rowOff>
        </xdr:from>
        <xdr:to>
          <xdr:col>132</xdr:col>
          <xdr:colOff>0</xdr:colOff>
          <xdr:row>4</xdr:row>
          <xdr:rowOff>180975</xdr:rowOff>
        </xdr:to>
        <xdr:sp macro="" textlink="">
          <xdr:nvSpPr>
            <xdr:cNvPr id="6145" name="Scroll Bar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xmlns="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Holieday" displayName="Holieday" ref="A1:F28" totalsRowCount="1" headerRowDxfId="13" dataDxfId="12" headerRowCellStyle="Normal 2" dataCellStyle="Normal 2">
  <autoFilter ref="A1:F27"/>
  <tableColumns count="6">
    <tableColumn id="1" name="date" totalsRowLabel="مجموع" dataDxfId="11" totalsRowDxfId="10" dataCellStyle="Normal 2"/>
    <tableColumn id="2" name="year" dataDxfId="9" totalsRowDxfId="8" dataCellStyle="Normal 2">
      <calculatedColumnFormula>LEFT(A2,4)</calculatedColumnFormula>
    </tableColumn>
    <tableColumn id="6" name="month" dataDxfId="7" totalsRowDxfId="6" dataCellStyle="Normal 2">
      <calculatedColumnFormula>MID(A2,6,2)</calculatedColumnFormula>
    </tableColumn>
    <tableColumn id="3" name="ok" totalsRowFunction="sum" dataDxfId="5" totalsRowDxfId="4" dataCellStyle="Normal 2"/>
    <tableColumn id="4" name="Friday" totalsRowFunction="sum" dataDxfId="3" totalsRowDxfId="2" dataCellStyle="Normal 2"/>
    <tableColumn id="5" name="مناسبت" dataDxfId="1" totalsRow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ورقه1">
    <tabColor rgb="FF92D050"/>
  </sheetPr>
  <dimension ref="A1:XFD82"/>
  <sheetViews>
    <sheetView showGridLines="0" rightToLeft="1" tabSelected="1" topLeftCell="A58" zoomScale="118" zoomScaleNormal="118" workbookViewId="0">
      <selection activeCell="S6" sqref="S6:W6"/>
    </sheetView>
  </sheetViews>
  <sheetFormatPr defaultColWidth="9.140625" defaultRowHeight="14.25"/>
  <cols>
    <col min="1" max="1" width="4.42578125" style="98" bestFit="1" customWidth="1"/>
    <col min="2" max="2" width="75.85546875" style="161" customWidth="1"/>
    <col min="3" max="3" width="8.7109375" style="97" customWidth="1"/>
    <col min="4" max="4" width="9.85546875" style="162" customWidth="1"/>
    <col min="5" max="5" width="7.85546875" style="97" hidden="1" customWidth="1"/>
    <col min="6" max="6" width="9.28515625" style="162" customWidth="1"/>
    <col min="7" max="7" width="7.85546875" style="97" hidden="1" customWidth="1"/>
    <col min="8" max="8" width="4.7109375" style="97" hidden="1" customWidth="1"/>
    <col min="9" max="9" width="4.42578125" style="163" hidden="1" customWidth="1"/>
    <col min="10" max="10" width="5.28515625" style="164" hidden="1" customWidth="1"/>
    <col min="11" max="11" width="6.7109375" style="165" hidden="1" customWidth="1"/>
    <col min="12" max="12" width="7" style="97" bestFit="1" customWidth="1"/>
    <col min="13" max="13" width="9" style="97" customWidth="1"/>
    <col min="14" max="14" width="3.5703125" style="97" hidden="1" customWidth="1"/>
    <col min="15" max="15" width="3.85546875" style="97" hidden="1" customWidth="1"/>
    <col min="16" max="16" width="7.85546875" style="97" hidden="1" customWidth="1"/>
    <col min="17" max="17" width="5.85546875" style="97" hidden="1" customWidth="1"/>
    <col min="18" max="18" width="2.7109375" style="97" customWidth="1"/>
    <col min="19" max="234" width="0.42578125" style="97" customWidth="1"/>
    <col min="235" max="258" width="0.42578125" style="98" customWidth="1"/>
    <col min="259" max="259" width="4.42578125" style="16" customWidth="1"/>
    <col min="260" max="260" width="20.7109375" style="26" customWidth="1"/>
    <col min="261" max="261" width="4.7109375" style="147" bestFit="1" customWidth="1"/>
    <col min="262" max="263" width="5.5703125" style="147" bestFit="1" customWidth="1"/>
    <col min="264" max="264" width="20.5703125" style="148" customWidth="1"/>
    <col min="265" max="16384" width="9.140625" style="98"/>
  </cols>
  <sheetData>
    <row r="1" spans="1:264" s="97" customFormat="1" ht="22.5">
      <c r="A1" s="240"/>
      <c r="B1" s="241" t="str">
        <f>CONCATENATE("برنامه زمانبندی ",B8)</f>
        <v>برنامه زمانبندی طراحی و پیاده سازی پورتال اینترنتی و زیر پورتال های بانک اقتصاد نوین</v>
      </c>
      <c r="C1" s="242"/>
      <c r="D1" s="243"/>
      <c r="E1" s="95"/>
      <c r="F1" s="243"/>
      <c r="G1" s="95"/>
      <c r="H1" s="242"/>
      <c r="I1" s="250"/>
      <c r="J1" s="251"/>
      <c r="K1" s="96"/>
      <c r="L1" s="258"/>
      <c r="M1" s="259"/>
      <c r="N1" s="260"/>
      <c r="IY1" s="15"/>
      <c r="IZ1" s="25"/>
      <c r="JA1" s="145"/>
      <c r="JB1" s="145"/>
      <c r="JC1" s="145"/>
      <c r="JD1" s="146"/>
    </row>
    <row r="2" spans="1:264" ht="18">
      <c r="A2" s="244"/>
      <c r="B2" s="245" t="s">
        <v>7</v>
      </c>
      <c r="C2" s="307" t="s">
        <v>102</v>
      </c>
      <c r="D2" s="307"/>
      <c r="E2" s="308"/>
      <c r="F2" s="307"/>
      <c r="G2" s="99"/>
      <c r="H2" s="252"/>
      <c r="I2" s="253"/>
      <c r="J2" s="254"/>
      <c r="K2" s="101"/>
      <c r="L2" s="261"/>
      <c r="M2" s="261"/>
      <c r="N2" s="262"/>
    </row>
    <row r="3" spans="1:264" ht="18">
      <c r="A3" s="244"/>
      <c r="B3" s="246"/>
      <c r="C3" s="247" t="str">
        <f ca="1">J_TODAY(1)</f>
        <v>1398/10/14</v>
      </c>
      <c r="D3" s="248">
        <f ca="1">VALUE(J_normdate(C3))</f>
        <v>13981014</v>
      </c>
      <c r="E3" s="104"/>
      <c r="F3" s="249"/>
      <c r="G3" s="104"/>
      <c r="H3" s="255"/>
      <c r="I3" s="256"/>
      <c r="J3" s="257"/>
      <c r="K3" s="105"/>
      <c r="L3" s="261"/>
      <c r="M3" s="261"/>
      <c r="N3" s="262"/>
    </row>
    <row r="4" spans="1:264">
      <c r="B4" s="106"/>
      <c r="C4" s="103"/>
      <c r="D4" s="103"/>
      <c r="E4" s="103"/>
      <c r="F4" s="107"/>
      <c r="G4" s="108"/>
      <c r="H4" s="108"/>
      <c r="I4" s="109"/>
      <c r="J4" s="110"/>
      <c r="K4" s="111"/>
      <c r="L4" s="102"/>
      <c r="M4" s="102"/>
      <c r="S4" s="97" t="e">
        <f t="shared" ref="S4:CD4" ca="1" si="0">VALUE(S5)</f>
        <v>#VALUE!</v>
      </c>
      <c r="T4" s="97" t="e">
        <f t="shared" ca="1" si="0"/>
        <v>#VALUE!</v>
      </c>
      <c r="U4" s="97" t="e">
        <f t="shared" ca="1" si="0"/>
        <v>#VALUE!</v>
      </c>
      <c r="V4" s="97" t="e">
        <f t="shared" ca="1" si="0"/>
        <v>#VALUE!</v>
      </c>
      <c r="W4" s="97" t="e">
        <f t="shared" ca="1" si="0"/>
        <v>#VALUE!</v>
      </c>
      <c r="X4" s="97" t="e">
        <f t="shared" ca="1" si="0"/>
        <v>#VALUE!</v>
      </c>
      <c r="Y4" s="97" t="e">
        <f t="shared" ca="1" si="0"/>
        <v>#VALUE!</v>
      </c>
      <c r="Z4" s="97" t="e">
        <f t="shared" ca="1" si="0"/>
        <v>#VALUE!</v>
      </c>
      <c r="AA4" s="97" t="e">
        <f t="shared" ca="1" si="0"/>
        <v>#VALUE!</v>
      </c>
      <c r="AB4" s="97" t="e">
        <f t="shared" ca="1" si="0"/>
        <v>#VALUE!</v>
      </c>
      <c r="AC4" s="97" t="e">
        <f t="shared" ca="1" si="0"/>
        <v>#VALUE!</v>
      </c>
      <c r="AD4" s="97" t="e">
        <f t="shared" ca="1" si="0"/>
        <v>#VALUE!</v>
      </c>
      <c r="AE4" s="97" t="e">
        <f t="shared" ca="1" si="0"/>
        <v>#VALUE!</v>
      </c>
      <c r="AF4" s="97" t="e">
        <f t="shared" ca="1" si="0"/>
        <v>#VALUE!</v>
      </c>
      <c r="AG4" s="97" t="e">
        <f t="shared" ca="1" si="0"/>
        <v>#VALUE!</v>
      </c>
      <c r="AH4" s="97" t="e">
        <f t="shared" ca="1" si="0"/>
        <v>#VALUE!</v>
      </c>
      <c r="AI4" s="97" t="e">
        <f t="shared" ca="1" si="0"/>
        <v>#VALUE!</v>
      </c>
      <c r="AJ4" s="97" t="e">
        <f t="shared" ca="1" si="0"/>
        <v>#VALUE!</v>
      </c>
      <c r="AK4" s="97" t="e">
        <f t="shared" ca="1" si="0"/>
        <v>#VALUE!</v>
      </c>
      <c r="AL4" s="97" t="e">
        <f t="shared" ca="1" si="0"/>
        <v>#VALUE!</v>
      </c>
      <c r="AM4" s="97" t="e">
        <f t="shared" ca="1" si="0"/>
        <v>#VALUE!</v>
      </c>
      <c r="AN4" s="97" t="e">
        <f t="shared" ca="1" si="0"/>
        <v>#VALUE!</v>
      </c>
      <c r="AO4" s="97" t="e">
        <f t="shared" ca="1" si="0"/>
        <v>#VALUE!</v>
      </c>
      <c r="AP4" s="97" t="e">
        <f t="shared" ca="1" si="0"/>
        <v>#VALUE!</v>
      </c>
      <c r="AQ4" s="97" t="e">
        <f t="shared" ca="1" si="0"/>
        <v>#VALUE!</v>
      </c>
      <c r="AR4" s="97" t="e">
        <f t="shared" ca="1" si="0"/>
        <v>#VALUE!</v>
      </c>
      <c r="AS4" s="97" t="e">
        <f t="shared" ca="1" si="0"/>
        <v>#VALUE!</v>
      </c>
      <c r="AT4" s="97" t="e">
        <f t="shared" ca="1" si="0"/>
        <v>#VALUE!</v>
      </c>
      <c r="AU4" s="97" t="e">
        <f t="shared" ca="1" si="0"/>
        <v>#VALUE!</v>
      </c>
      <c r="AV4" s="97" t="e">
        <f t="shared" ca="1" si="0"/>
        <v>#VALUE!</v>
      </c>
      <c r="AW4" s="97" t="e">
        <f t="shared" ca="1" si="0"/>
        <v>#VALUE!</v>
      </c>
      <c r="AX4" s="97" t="e">
        <f t="shared" ca="1" si="0"/>
        <v>#VALUE!</v>
      </c>
      <c r="AY4" s="97" t="e">
        <f t="shared" ca="1" si="0"/>
        <v>#VALUE!</v>
      </c>
      <c r="AZ4" s="97" t="e">
        <f t="shared" ca="1" si="0"/>
        <v>#VALUE!</v>
      </c>
      <c r="BA4" s="97" t="e">
        <f t="shared" ca="1" si="0"/>
        <v>#VALUE!</v>
      </c>
      <c r="BB4" s="97" t="e">
        <f t="shared" ca="1" si="0"/>
        <v>#VALUE!</v>
      </c>
      <c r="BC4" s="97" t="e">
        <f t="shared" ca="1" si="0"/>
        <v>#VALUE!</v>
      </c>
      <c r="BD4" s="97" t="e">
        <f t="shared" ca="1" si="0"/>
        <v>#VALUE!</v>
      </c>
      <c r="BE4" s="97" t="e">
        <f t="shared" ca="1" si="0"/>
        <v>#VALUE!</v>
      </c>
      <c r="BF4" s="97" t="e">
        <f t="shared" ca="1" si="0"/>
        <v>#VALUE!</v>
      </c>
      <c r="BG4" s="97" t="e">
        <f t="shared" ca="1" si="0"/>
        <v>#VALUE!</v>
      </c>
      <c r="BH4" s="97" t="e">
        <f t="shared" ca="1" si="0"/>
        <v>#VALUE!</v>
      </c>
      <c r="BI4" s="97" t="e">
        <f t="shared" ca="1" si="0"/>
        <v>#VALUE!</v>
      </c>
      <c r="BJ4" s="97" t="e">
        <f t="shared" ca="1" si="0"/>
        <v>#VALUE!</v>
      </c>
      <c r="BK4" s="97" t="e">
        <f t="shared" ca="1" si="0"/>
        <v>#VALUE!</v>
      </c>
      <c r="BL4" s="97" t="e">
        <f t="shared" ca="1" si="0"/>
        <v>#VALUE!</v>
      </c>
      <c r="BM4" s="97" t="e">
        <f t="shared" ca="1" si="0"/>
        <v>#VALUE!</v>
      </c>
      <c r="BN4" s="97" t="e">
        <f t="shared" ca="1" si="0"/>
        <v>#VALUE!</v>
      </c>
      <c r="BO4" s="97" t="e">
        <f t="shared" ca="1" si="0"/>
        <v>#VALUE!</v>
      </c>
      <c r="BP4" s="97" t="e">
        <f t="shared" ca="1" si="0"/>
        <v>#VALUE!</v>
      </c>
      <c r="BQ4" s="97" t="e">
        <f t="shared" ca="1" si="0"/>
        <v>#VALUE!</v>
      </c>
      <c r="BR4" s="97" t="e">
        <f t="shared" ca="1" si="0"/>
        <v>#VALUE!</v>
      </c>
      <c r="BS4" s="97" t="e">
        <f t="shared" ca="1" si="0"/>
        <v>#VALUE!</v>
      </c>
      <c r="BT4" s="97" t="e">
        <f t="shared" ca="1" si="0"/>
        <v>#VALUE!</v>
      </c>
      <c r="BU4" s="97" t="e">
        <f t="shared" ca="1" si="0"/>
        <v>#VALUE!</v>
      </c>
      <c r="BV4" s="97" t="e">
        <f t="shared" ca="1" si="0"/>
        <v>#VALUE!</v>
      </c>
      <c r="BW4" s="97" t="e">
        <f t="shared" ca="1" si="0"/>
        <v>#VALUE!</v>
      </c>
      <c r="BX4" s="97" t="e">
        <f t="shared" ca="1" si="0"/>
        <v>#VALUE!</v>
      </c>
      <c r="BY4" s="97" t="e">
        <f t="shared" ca="1" si="0"/>
        <v>#VALUE!</v>
      </c>
      <c r="BZ4" s="97" t="e">
        <f t="shared" ca="1" si="0"/>
        <v>#VALUE!</v>
      </c>
      <c r="CA4" s="97" t="e">
        <f t="shared" ca="1" si="0"/>
        <v>#VALUE!</v>
      </c>
      <c r="CB4" s="97" t="e">
        <f t="shared" ca="1" si="0"/>
        <v>#VALUE!</v>
      </c>
      <c r="CC4" s="97" t="e">
        <f t="shared" ca="1" si="0"/>
        <v>#VALUE!</v>
      </c>
      <c r="CD4" s="97" t="e">
        <f t="shared" ca="1" si="0"/>
        <v>#VALUE!</v>
      </c>
      <c r="CE4" s="97" t="e">
        <f t="shared" ref="CE4:EP4" ca="1" si="1">VALUE(CE5)</f>
        <v>#VALUE!</v>
      </c>
      <c r="CF4" s="97" t="e">
        <f t="shared" ca="1" si="1"/>
        <v>#VALUE!</v>
      </c>
      <c r="CG4" s="97" t="e">
        <f t="shared" ca="1" si="1"/>
        <v>#VALUE!</v>
      </c>
      <c r="CH4" s="97" t="e">
        <f t="shared" ca="1" si="1"/>
        <v>#VALUE!</v>
      </c>
      <c r="CI4" s="97" t="e">
        <f t="shared" ca="1" si="1"/>
        <v>#VALUE!</v>
      </c>
      <c r="CJ4" s="97" t="e">
        <f t="shared" ca="1" si="1"/>
        <v>#VALUE!</v>
      </c>
      <c r="CK4" s="97" t="e">
        <f t="shared" ca="1" si="1"/>
        <v>#VALUE!</v>
      </c>
      <c r="CL4" s="97" t="e">
        <f t="shared" ca="1" si="1"/>
        <v>#VALUE!</v>
      </c>
      <c r="CM4" s="97" t="e">
        <f t="shared" ca="1" si="1"/>
        <v>#VALUE!</v>
      </c>
      <c r="CN4" s="97" t="e">
        <f t="shared" ca="1" si="1"/>
        <v>#VALUE!</v>
      </c>
      <c r="CO4" s="97" t="e">
        <f t="shared" ca="1" si="1"/>
        <v>#VALUE!</v>
      </c>
      <c r="CP4" s="97" t="e">
        <f t="shared" ca="1" si="1"/>
        <v>#VALUE!</v>
      </c>
      <c r="CQ4" s="97" t="e">
        <f t="shared" ca="1" si="1"/>
        <v>#VALUE!</v>
      </c>
      <c r="CR4" s="97" t="e">
        <f t="shared" ca="1" si="1"/>
        <v>#VALUE!</v>
      </c>
      <c r="CS4" s="97" t="e">
        <f t="shared" ca="1" si="1"/>
        <v>#VALUE!</v>
      </c>
      <c r="CT4" s="97" t="e">
        <f t="shared" ca="1" si="1"/>
        <v>#VALUE!</v>
      </c>
      <c r="CU4" s="97" t="e">
        <f t="shared" ca="1" si="1"/>
        <v>#VALUE!</v>
      </c>
      <c r="CV4" s="97" t="e">
        <f t="shared" ca="1" si="1"/>
        <v>#VALUE!</v>
      </c>
      <c r="CW4" s="97" t="e">
        <f t="shared" ca="1" si="1"/>
        <v>#VALUE!</v>
      </c>
      <c r="CX4" s="97" t="e">
        <f t="shared" ca="1" si="1"/>
        <v>#VALUE!</v>
      </c>
      <c r="CY4" s="97" t="e">
        <f t="shared" ca="1" si="1"/>
        <v>#VALUE!</v>
      </c>
      <c r="CZ4" s="97" t="e">
        <f t="shared" ca="1" si="1"/>
        <v>#VALUE!</v>
      </c>
      <c r="DA4" s="97" t="e">
        <f t="shared" ca="1" si="1"/>
        <v>#VALUE!</v>
      </c>
      <c r="DB4" s="97" t="e">
        <f t="shared" ca="1" si="1"/>
        <v>#VALUE!</v>
      </c>
      <c r="DC4" s="97" t="e">
        <f t="shared" ca="1" si="1"/>
        <v>#VALUE!</v>
      </c>
      <c r="DD4" s="97" t="e">
        <f t="shared" ca="1" si="1"/>
        <v>#VALUE!</v>
      </c>
      <c r="DE4" s="97" t="e">
        <f t="shared" ca="1" si="1"/>
        <v>#VALUE!</v>
      </c>
      <c r="DF4" s="97" t="e">
        <f t="shared" ca="1" si="1"/>
        <v>#VALUE!</v>
      </c>
      <c r="DG4" s="97" t="e">
        <f t="shared" ca="1" si="1"/>
        <v>#VALUE!</v>
      </c>
      <c r="DH4" s="97" t="e">
        <f t="shared" ca="1" si="1"/>
        <v>#VALUE!</v>
      </c>
      <c r="DI4" s="97" t="e">
        <f t="shared" ca="1" si="1"/>
        <v>#VALUE!</v>
      </c>
      <c r="DJ4" s="97" t="e">
        <f t="shared" ca="1" si="1"/>
        <v>#VALUE!</v>
      </c>
      <c r="DK4" s="97" t="e">
        <f t="shared" ca="1" si="1"/>
        <v>#VALUE!</v>
      </c>
      <c r="DL4" s="97" t="e">
        <f t="shared" ca="1" si="1"/>
        <v>#VALUE!</v>
      </c>
      <c r="DM4" s="97" t="e">
        <f t="shared" ca="1" si="1"/>
        <v>#VALUE!</v>
      </c>
      <c r="DN4" s="97" t="e">
        <f t="shared" ca="1" si="1"/>
        <v>#VALUE!</v>
      </c>
      <c r="DO4" s="97" t="e">
        <f t="shared" ca="1" si="1"/>
        <v>#VALUE!</v>
      </c>
      <c r="DP4" s="97" t="e">
        <f t="shared" ca="1" si="1"/>
        <v>#VALUE!</v>
      </c>
      <c r="DQ4" s="97" t="e">
        <f t="shared" ca="1" si="1"/>
        <v>#VALUE!</v>
      </c>
      <c r="DR4" s="97" t="e">
        <f t="shared" ca="1" si="1"/>
        <v>#VALUE!</v>
      </c>
      <c r="DS4" s="97" t="e">
        <f t="shared" ca="1" si="1"/>
        <v>#VALUE!</v>
      </c>
      <c r="DT4" s="97" t="e">
        <f t="shared" ca="1" si="1"/>
        <v>#VALUE!</v>
      </c>
      <c r="DU4" s="97" t="e">
        <f t="shared" ca="1" si="1"/>
        <v>#VALUE!</v>
      </c>
      <c r="DV4" s="97" t="e">
        <f t="shared" ca="1" si="1"/>
        <v>#VALUE!</v>
      </c>
      <c r="DW4" s="97" t="e">
        <f t="shared" ca="1" si="1"/>
        <v>#VALUE!</v>
      </c>
      <c r="DX4" s="97" t="e">
        <f t="shared" ca="1" si="1"/>
        <v>#VALUE!</v>
      </c>
      <c r="DY4" s="97" t="e">
        <f t="shared" ca="1" si="1"/>
        <v>#VALUE!</v>
      </c>
      <c r="DZ4" s="97" t="e">
        <f t="shared" ca="1" si="1"/>
        <v>#VALUE!</v>
      </c>
      <c r="EA4" s="97" t="e">
        <f t="shared" ca="1" si="1"/>
        <v>#VALUE!</v>
      </c>
      <c r="EB4" s="97" t="e">
        <f t="shared" ca="1" si="1"/>
        <v>#VALUE!</v>
      </c>
      <c r="EC4" s="97" t="e">
        <f t="shared" ca="1" si="1"/>
        <v>#VALUE!</v>
      </c>
      <c r="ED4" s="97" t="e">
        <f t="shared" ca="1" si="1"/>
        <v>#VALUE!</v>
      </c>
      <c r="EE4" s="97" t="e">
        <f t="shared" ca="1" si="1"/>
        <v>#VALUE!</v>
      </c>
      <c r="EF4" s="97" t="e">
        <f t="shared" ca="1" si="1"/>
        <v>#VALUE!</v>
      </c>
      <c r="EG4" s="97" t="e">
        <f t="shared" ca="1" si="1"/>
        <v>#VALUE!</v>
      </c>
      <c r="EH4" s="97" t="e">
        <f t="shared" ca="1" si="1"/>
        <v>#VALUE!</v>
      </c>
      <c r="EI4" s="97" t="e">
        <f t="shared" ca="1" si="1"/>
        <v>#VALUE!</v>
      </c>
      <c r="EJ4" s="97" t="e">
        <f t="shared" ca="1" si="1"/>
        <v>#VALUE!</v>
      </c>
      <c r="EK4" s="97" t="e">
        <f t="shared" ca="1" si="1"/>
        <v>#VALUE!</v>
      </c>
      <c r="EL4" s="97" t="e">
        <f t="shared" ca="1" si="1"/>
        <v>#VALUE!</v>
      </c>
      <c r="EM4" s="97" t="e">
        <f t="shared" ca="1" si="1"/>
        <v>#VALUE!</v>
      </c>
      <c r="EN4" s="97" t="e">
        <f t="shared" ca="1" si="1"/>
        <v>#VALUE!</v>
      </c>
      <c r="EO4" s="97" t="e">
        <f t="shared" ca="1" si="1"/>
        <v>#VALUE!</v>
      </c>
      <c r="EP4" s="97" t="e">
        <f t="shared" ca="1" si="1"/>
        <v>#VALUE!</v>
      </c>
      <c r="EQ4" s="97" t="e">
        <f t="shared" ref="EQ4:HB4" ca="1" si="2">VALUE(EQ5)</f>
        <v>#VALUE!</v>
      </c>
      <c r="ER4" s="97" t="e">
        <f t="shared" ca="1" si="2"/>
        <v>#VALUE!</v>
      </c>
      <c r="ES4" s="97" t="e">
        <f t="shared" ca="1" si="2"/>
        <v>#VALUE!</v>
      </c>
      <c r="ET4" s="97" t="e">
        <f t="shared" ca="1" si="2"/>
        <v>#VALUE!</v>
      </c>
      <c r="EU4" s="97" t="e">
        <f t="shared" ca="1" si="2"/>
        <v>#VALUE!</v>
      </c>
      <c r="EV4" s="97" t="e">
        <f t="shared" ca="1" si="2"/>
        <v>#VALUE!</v>
      </c>
      <c r="EW4" s="97" t="e">
        <f t="shared" ca="1" si="2"/>
        <v>#VALUE!</v>
      </c>
      <c r="EX4" s="97" t="e">
        <f t="shared" ca="1" si="2"/>
        <v>#VALUE!</v>
      </c>
      <c r="EY4" s="97" t="e">
        <f t="shared" ca="1" si="2"/>
        <v>#VALUE!</v>
      </c>
      <c r="EZ4" s="97" t="e">
        <f t="shared" ca="1" si="2"/>
        <v>#VALUE!</v>
      </c>
      <c r="FA4" s="97" t="e">
        <f t="shared" ca="1" si="2"/>
        <v>#VALUE!</v>
      </c>
      <c r="FB4" s="97" t="e">
        <f t="shared" ca="1" si="2"/>
        <v>#VALUE!</v>
      </c>
      <c r="FC4" s="97" t="e">
        <f t="shared" ca="1" si="2"/>
        <v>#VALUE!</v>
      </c>
      <c r="FD4" s="97" t="e">
        <f t="shared" ca="1" si="2"/>
        <v>#VALUE!</v>
      </c>
      <c r="FE4" s="97" t="e">
        <f t="shared" ca="1" si="2"/>
        <v>#VALUE!</v>
      </c>
      <c r="FF4" s="97" t="e">
        <f t="shared" ca="1" si="2"/>
        <v>#VALUE!</v>
      </c>
      <c r="FG4" s="97" t="e">
        <f t="shared" ca="1" si="2"/>
        <v>#VALUE!</v>
      </c>
      <c r="FH4" s="97" t="e">
        <f t="shared" ca="1" si="2"/>
        <v>#VALUE!</v>
      </c>
      <c r="FI4" s="97" t="e">
        <f t="shared" ca="1" si="2"/>
        <v>#VALUE!</v>
      </c>
      <c r="FJ4" s="97" t="e">
        <f t="shared" ca="1" si="2"/>
        <v>#VALUE!</v>
      </c>
      <c r="FK4" s="97" t="e">
        <f t="shared" ca="1" si="2"/>
        <v>#VALUE!</v>
      </c>
      <c r="FL4" s="97" t="e">
        <f t="shared" ca="1" si="2"/>
        <v>#VALUE!</v>
      </c>
      <c r="FM4" s="97" t="e">
        <f t="shared" ca="1" si="2"/>
        <v>#VALUE!</v>
      </c>
      <c r="FN4" s="97" t="e">
        <f t="shared" ca="1" si="2"/>
        <v>#VALUE!</v>
      </c>
      <c r="FO4" s="97" t="e">
        <f t="shared" ca="1" si="2"/>
        <v>#VALUE!</v>
      </c>
      <c r="FP4" s="97" t="e">
        <f t="shared" ca="1" si="2"/>
        <v>#VALUE!</v>
      </c>
      <c r="FQ4" s="97" t="e">
        <f t="shared" ca="1" si="2"/>
        <v>#VALUE!</v>
      </c>
      <c r="FR4" s="97" t="e">
        <f t="shared" ca="1" si="2"/>
        <v>#VALUE!</v>
      </c>
      <c r="FS4" s="97" t="e">
        <f t="shared" ca="1" si="2"/>
        <v>#VALUE!</v>
      </c>
      <c r="FT4" s="97" t="e">
        <f t="shared" ca="1" si="2"/>
        <v>#VALUE!</v>
      </c>
      <c r="FU4" s="97" t="e">
        <f t="shared" ca="1" si="2"/>
        <v>#VALUE!</v>
      </c>
      <c r="FV4" s="97" t="e">
        <f t="shared" ca="1" si="2"/>
        <v>#VALUE!</v>
      </c>
      <c r="FW4" s="97" t="e">
        <f t="shared" ca="1" si="2"/>
        <v>#VALUE!</v>
      </c>
      <c r="FX4" s="97" t="e">
        <f t="shared" ca="1" si="2"/>
        <v>#VALUE!</v>
      </c>
      <c r="FY4" s="97" t="e">
        <f t="shared" ca="1" si="2"/>
        <v>#VALUE!</v>
      </c>
      <c r="FZ4" s="97" t="e">
        <f t="shared" ca="1" si="2"/>
        <v>#VALUE!</v>
      </c>
      <c r="GA4" s="97" t="e">
        <f t="shared" ca="1" si="2"/>
        <v>#VALUE!</v>
      </c>
      <c r="GB4" s="97" t="e">
        <f t="shared" ca="1" si="2"/>
        <v>#VALUE!</v>
      </c>
      <c r="GC4" s="97" t="e">
        <f t="shared" ca="1" si="2"/>
        <v>#VALUE!</v>
      </c>
      <c r="GD4" s="97" t="e">
        <f t="shared" ca="1" si="2"/>
        <v>#VALUE!</v>
      </c>
      <c r="GE4" s="97" t="e">
        <f t="shared" ca="1" si="2"/>
        <v>#VALUE!</v>
      </c>
      <c r="GF4" s="97" t="e">
        <f t="shared" ca="1" si="2"/>
        <v>#VALUE!</v>
      </c>
      <c r="GG4" s="97" t="e">
        <f t="shared" ca="1" si="2"/>
        <v>#VALUE!</v>
      </c>
      <c r="GH4" s="97" t="e">
        <f t="shared" ca="1" si="2"/>
        <v>#VALUE!</v>
      </c>
      <c r="GI4" s="97" t="e">
        <f t="shared" ca="1" si="2"/>
        <v>#VALUE!</v>
      </c>
      <c r="GJ4" s="97" t="e">
        <f t="shared" ca="1" si="2"/>
        <v>#VALUE!</v>
      </c>
      <c r="GK4" s="97" t="e">
        <f t="shared" ca="1" si="2"/>
        <v>#VALUE!</v>
      </c>
      <c r="GL4" s="97" t="e">
        <f t="shared" ca="1" si="2"/>
        <v>#VALUE!</v>
      </c>
      <c r="GM4" s="97" t="e">
        <f t="shared" ca="1" si="2"/>
        <v>#VALUE!</v>
      </c>
      <c r="GN4" s="97" t="e">
        <f t="shared" ca="1" si="2"/>
        <v>#VALUE!</v>
      </c>
      <c r="GO4" s="97" t="e">
        <f t="shared" ca="1" si="2"/>
        <v>#VALUE!</v>
      </c>
      <c r="GP4" s="97" t="e">
        <f t="shared" ca="1" si="2"/>
        <v>#VALUE!</v>
      </c>
      <c r="GQ4" s="97" t="e">
        <f t="shared" ca="1" si="2"/>
        <v>#VALUE!</v>
      </c>
      <c r="GR4" s="97" t="e">
        <f t="shared" ca="1" si="2"/>
        <v>#VALUE!</v>
      </c>
      <c r="GS4" s="97" t="e">
        <f t="shared" ca="1" si="2"/>
        <v>#VALUE!</v>
      </c>
      <c r="GT4" s="97" t="e">
        <f t="shared" ca="1" si="2"/>
        <v>#VALUE!</v>
      </c>
      <c r="GU4" s="97" t="e">
        <f t="shared" ca="1" si="2"/>
        <v>#VALUE!</v>
      </c>
      <c r="GV4" s="97" t="e">
        <f t="shared" ca="1" si="2"/>
        <v>#VALUE!</v>
      </c>
      <c r="GW4" s="97" t="e">
        <f t="shared" ca="1" si="2"/>
        <v>#VALUE!</v>
      </c>
      <c r="GX4" s="97" t="e">
        <f t="shared" ca="1" si="2"/>
        <v>#VALUE!</v>
      </c>
      <c r="GY4" s="97" t="e">
        <f t="shared" ca="1" si="2"/>
        <v>#VALUE!</v>
      </c>
      <c r="GZ4" s="97" t="e">
        <f t="shared" ca="1" si="2"/>
        <v>#VALUE!</v>
      </c>
      <c r="HA4" s="97" t="e">
        <f t="shared" ca="1" si="2"/>
        <v>#VALUE!</v>
      </c>
      <c r="HB4" s="97" t="e">
        <f t="shared" ca="1" si="2"/>
        <v>#VALUE!</v>
      </c>
      <c r="HC4" s="97" t="e">
        <f t="shared" ref="HC4:IW4" ca="1" si="3">VALUE(HC5)</f>
        <v>#VALUE!</v>
      </c>
      <c r="HD4" s="97" t="e">
        <f t="shared" ca="1" si="3"/>
        <v>#VALUE!</v>
      </c>
      <c r="HE4" s="97" t="e">
        <f t="shared" ca="1" si="3"/>
        <v>#VALUE!</v>
      </c>
      <c r="HF4" s="97" t="e">
        <f t="shared" ca="1" si="3"/>
        <v>#VALUE!</v>
      </c>
      <c r="HG4" s="97" t="e">
        <f t="shared" ca="1" si="3"/>
        <v>#VALUE!</v>
      </c>
      <c r="HH4" s="97" t="e">
        <f t="shared" ca="1" si="3"/>
        <v>#VALUE!</v>
      </c>
      <c r="HI4" s="97" t="e">
        <f t="shared" ca="1" si="3"/>
        <v>#VALUE!</v>
      </c>
      <c r="HJ4" s="97" t="e">
        <f t="shared" ca="1" si="3"/>
        <v>#VALUE!</v>
      </c>
      <c r="HK4" s="97" t="e">
        <f t="shared" ca="1" si="3"/>
        <v>#VALUE!</v>
      </c>
      <c r="HL4" s="97" t="e">
        <f t="shared" ca="1" si="3"/>
        <v>#VALUE!</v>
      </c>
      <c r="HM4" s="97" t="e">
        <f t="shared" ca="1" si="3"/>
        <v>#VALUE!</v>
      </c>
      <c r="HN4" s="97" t="e">
        <f t="shared" ca="1" si="3"/>
        <v>#VALUE!</v>
      </c>
      <c r="HO4" s="97" t="e">
        <f t="shared" ca="1" si="3"/>
        <v>#VALUE!</v>
      </c>
      <c r="HP4" s="97" t="e">
        <f t="shared" ca="1" si="3"/>
        <v>#VALUE!</v>
      </c>
      <c r="HQ4" s="97" t="e">
        <f t="shared" ca="1" si="3"/>
        <v>#VALUE!</v>
      </c>
      <c r="HR4" s="97" t="e">
        <f t="shared" ca="1" si="3"/>
        <v>#VALUE!</v>
      </c>
      <c r="HS4" s="97" t="e">
        <f t="shared" ca="1" si="3"/>
        <v>#VALUE!</v>
      </c>
      <c r="HT4" s="97" t="e">
        <f t="shared" ca="1" si="3"/>
        <v>#VALUE!</v>
      </c>
      <c r="HU4" s="97" t="e">
        <f t="shared" ca="1" si="3"/>
        <v>#VALUE!</v>
      </c>
      <c r="HV4" s="97" t="e">
        <f t="shared" ca="1" si="3"/>
        <v>#VALUE!</v>
      </c>
      <c r="HW4" s="97" t="e">
        <f t="shared" ca="1" si="3"/>
        <v>#VALUE!</v>
      </c>
      <c r="HX4" s="97" t="e">
        <f t="shared" ca="1" si="3"/>
        <v>#VALUE!</v>
      </c>
      <c r="HY4" s="97" t="e">
        <f t="shared" ca="1" si="3"/>
        <v>#VALUE!</v>
      </c>
      <c r="HZ4" s="97" t="e">
        <f t="shared" ca="1" si="3"/>
        <v>#VALUE!</v>
      </c>
      <c r="IA4" s="97" t="e">
        <f t="shared" ca="1" si="3"/>
        <v>#VALUE!</v>
      </c>
      <c r="IB4" s="97" t="e">
        <f t="shared" ca="1" si="3"/>
        <v>#VALUE!</v>
      </c>
      <c r="IC4" s="97" t="e">
        <f t="shared" ca="1" si="3"/>
        <v>#VALUE!</v>
      </c>
      <c r="ID4" s="97" t="e">
        <f t="shared" ca="1" si="3"/>
        <v>#VALUE!</v>
      </c>
      <c r="IE4" s="97" t="e">
        <f t="shared" ca="1" si="3"/>
        <v>#VALUE!</v>
      </c>
      <c r="IF4" s="97" t="e">
        <f t="shared" ca="1" si="3"/>
        <v>#VALUE!</v>
      </c>
      <c r="IG4" s="97" t="e">
        <f t="shared" ca="1" si="3"/>
        <v>#VALUE!</v>
      </c>
      <c r="IH4" s="97" t="e">
        <f t="shared" ca="1" si="3"/>
        <v>#VALUE!</v>
      </c>
      <c r="II4" s="97" t="e">
        <f t="shared" ca="1" si="3"/>
        <v>#VALUE!</v>
      </c>
      <c r="IJ4" s="97" t="e">
        <f t="shared" ca="1" si="3"/>
        <v>#VALUE!</v>
      </c>
      <c r="IK4" s="97" t="e">
        <f t="shared" ca="1" si="3"/>
        <v>#VALUE!</v>
      </c>
      <c r="IL4" s="97" t="e">
        <f t="shared" ca="1" si="3"/>
        <v>#VALUE!</v>
      </c>
      <c r="IM4" s="97" t="e">
        <f t="shared" ca="1" si="3"/>
        <v>#VALUE!</v>
      </c>
      <c r="IN4" s="97" t="e">
        <f t="shared" ca="1" si="3"/>
        <v>#VALUE!</v>
      </c>
      <c r="IO4" s="97" t="e">
        <f t="shared" ca="1" si="3"/>
        <v>#VALUE!</v>
      </c>
      <c r="IP4" s="97" t="e">
        <f t="shared" ca="1" si="3"/>
        <v>#VALUE!</v>
      </c>
      <c r="IQ4" s="97" t="e">
        <f t="shared" ca="1" si="3"/>
        <v>#VALUE!</v>
      </c>
      <c r="IR4" s="97" t="e">
        <f t="shared" ca="1" si="3"/>
        <v>#VALUE!</v>
      </c>
      <c r="IS4" s="97" t="e">
        <f t="shared" ca="1" si="3"/>
        <v>#VALUE!</v>
      </c>
      <c r="IT4" s="97" t="e">
        <f t="shared" ca="1" si="3"/>
        <v>#VALUE!</v>
      </c>
      <c r="IU4" s="97" t="e">
        <f t="shared" ca="1" si="3"/>
        <v>#VALUE!</v>
      </c>
      <c r="IV4" s="97" t="e">
        <f t="shared" ca="1" si="3"/>
        <v>#VALUE!</v>
      </c>
      <c r="IW4" s="97" t="e">
        <f t="shared" ca="1" si="3"/>
        <v>#VALUE!</v>
      </c>
    </row>
    <row r="5" spans="1:264" s="151" customFormat="1" ht="12.75">
      <c r="A5" s="98"/>
      <c r="B5" s="112" t="s">
        <v>71</v>
      </c>
      <c r="C5" s="306" t="e">
        <f ca="1">S6&amp;" - "&amp;IT6</f>
        <v>#VALUE!</v>
      </c>
      <c r="D5" s="306"/>
      <c r="E5" s="306"/>
      <c r="F5" s="306"/>
      <c r="G5" s="306"/>
      <c r="H5" s="306"/>
      <c r="I5" s="100"/>
      <c r="J5" s="114"/>
      <c r="K5" s="101"/>
      <c r="L5" s="113"/>
      <c r="M5" s="102"/>
      <c r="N5" s="97"/>
      <c r="O5" s="102"/>
      <c r="P5" s="102"/>
      <c r="Q5" s="97"/>
      <c r="R5" s="115">
        <v>0</v>
      </c>
      <c r="S5" s="116" t="e">
        <f ca="1">J_normdate(J_ADDDAY(J_SUBDAY(FDate(MIN(OFFSET(E6,0,0,500,1))),j_WEEKDAY(FDate(MIN(OFFSET(E6,0,0,500,1))),0),1),7*R5,1))</f>
        <v>#VALUE!</v>
      </c>
      <c r="T5" s="116" t="e">
        <f ca="1">J_normdate(J_ADDDAY(FDate(S5),1,1))</f>
        <v>#VALUE!</v>
      </c>
      <c r="U5" s="116" t="e">
        <f ca="1">J_normdate(J_ADDDAY(FDate(T5),1,1))</f>
        <v>#VALUE!</v>
      </c>
      <c r="V5" s="116" t="e">
        <f ca="1">J_normdate(J_ADDDAY(FDate(U5),1,1))</f>
        <v>#VALUE!</v>
      </c>
      <c r="W5" s="116" t="e">
        <f ca="1">J_normdate(J_ADDDAY(FDate(V5),1,1))</f>
        <v>#VALUE!</v>
      </c>
      <c r="X5" s="116" t="e">
        <f ca="1">J_normdate(J_ADDDAY(FDate(W5),1,1))</f>
        <v>#VALUE!</v>
      </c>
      <c r="Y5" s="116" t="e">
        <f ca="1">J_normdate(J_ADDDAY(FDate(X5),1,1))</f>
        <v>#VALUE!</v>
      </c>
      <c r="Z5" s="116" t="e">
        <f ca="1">J_normdate(J_ADDDAY(FDate(Y5),1,1))</f>
        <v>#VALUE!</v>
      </c>
      <c r="AA5" s="116" t="e">
        <f ca="1">J_normdate(J_ADDDAY(FDate(Z5),1,1))</f>
        <v>#VALUE!</v>
      </c>
      <c r="AB5" s="116" t="e">
        <f ca="1">J_normdate(J_ADDDAY(FDate(AA5),1,1))</f>
        <v>#VALUE!</v>
      </c>
      <c r="AC5" s="116" t="e">
        <f ca="1">J_normdate(J_ADDDAY(FDate(AB5),1,1))</f>
        <v>#VALUE!</v>
      </c>
      <c r="AD5" s="116" t="e">
        <f ca="1">J_normdate(J_ADDDAY(FDate(AC5),1,1))</f>
        <v>#VALUE!</v>
      </c>
      <c r="AE5" s="116" t="e">
        <f ca="1">J_normdate(J_ADDDAY(FDate(AD5),1,1))</f>
        <v>#VALUE!</v>
      </c>
      <c r="AF5" s="116" t="e">
        <f ca="1">J_normdate(J_ADDDAY(FDate(AE5),1,1))</f>
        <v>#VALUE!</v>
      </c>
      <c r="AG5" s="116" t="e">
        <f ca="1">J_normdate(J_ADDDAY(FDate(AF5),1,1))</f>
        <v>#VALUE!</v>
      </c>
      <c r="AH5" s="116" t="e">
        <f ca="1">J_normdate(J_ADDDAY(FDate(AG5),1,1))</f>
        <v>#VALUE!</v>
      </c>
      <c r="AI5" s="116" t="e">
        <f ca="1">J_normdate(J_ADDDAY(FDate(AH5),1,1))</f>
        <v>#VALUE!</v>
      </c>
      <c r="AJ5" s="116" t="e">
        <f ca="1">J_normdate(J_ADDDAY(FDate(AI5),1,1))</f>
        <v>#VALUE!</v>
      </c>
      <c r="AK5" s="116" t="e">
        <f ca="1">J_normdate(J_ADDDAY(FDate(AJ5),1,1))</f>
        <v>#VALUE!</v>
      </c>
      <c r="AL5" s="116" t="e">
        <f ca="1">J_normdate(J_ADDDAY(FDate(AK5),1,1))</f>
        <v>#VALUE!</v>
      </c>
      <c r="AM5" s="116" t="e">
        <f ca="1">J_normdate(J_ADDDAY(FDate(AL5),1,1))</f>
        <v>#VALUE!</v>
      </c>
      <c r="AN5" s="116" t="e">
        <f ca="1">J_normdate(J_ADDDAY(FDate(AM5),1,1))</f>
        <v>#VALUE!</v>
      </c>
      <c r="AO5" s="116" t="e">
        <f ca="1">J_normdate(J_ADDDAY(FDate(AN5),1,1))</f>
        <v>#VALUE!</v>
      </c>
      <c r="AP5" s="116" t="e">
        <f ca="1">J_normdate(J_ADDDAY(FDate(AO5),1,1))</f>
        <v>#VALUE!</v>
      </c>
      <c r="AQ5" s="116" t="e">
        <f ca="1">J_normdate(J_ADDDAY(FDate(AP5),1,1))</f>
        <v>#VALUE!</v>
      </c>
      <c r="AR5" s="116" t="e">
        <f ca="1">J_normdate(J_ADDDAY(FDate(AQ5),1,1))</f>
        <v>#VALUE!</v>
      </c>
      <c r="AS5" s="116" t="e">
        <f ca="1">J_normdate(J_ADDDAY(FDate(AR5),1,1))</f>
        <v>#VALUE!</v>
      </c>
      <c r="AT5" s="116" t="e">
        <f ca="1">J_normdate(J_ADDDAY(FDate(AS5),1,1))</f>
        <v>#VALUE!</v>
      </c>
      <c r="AU5" s="116" t="e">
        <f ca="1">J_normdate(J_ADDDAY(FDate(AT5),1,1))</f>
        <v>#VALUE!</v>
      </c>
      <c r="AV5" s="116" t="e">
        <f ca="1">J_normdate(J_ADDDAY(FDate(AU5),1,1))</f>
        <v>#VALUE!</v>
      </c>
      <c r="AW5" s="116" t="e">
        <f ca="1">J_normdate(J_ADDDAY(FDate(AV5),1,1))</f>
        <v>#VALUE!</v>
      </c>
      <c r="AX5" s="116" t="e">
        <f ca="1">J_normdate(J_ADDDAY(FDate(AW5),1,1))</f>
        <v>#VALUE!</v>
      </c>
      <c r="AY5" s="116" t="e">
        <f ca="1">J_normdate(J_ADDDAY(FDate(AX5),1,1))</f>
        <v>#VALUE!</v>
      </c>
      <c r="AZ5" s="116" t="e">
        <f ca="1">J_normdate(J_ADDDAY(FDate(AY5),1,1))</f>
        <v>#VALUE!</v>
      </c>
      <c r="BA5" s="116" t="e">
        <f ca="1">J_normdate(J_ADDDAY(FDate(AZ5),1,1))</f>
        <v>#VALUE!</v>
      </c>
      <c r="BB5" s="116" t="e">
        <f ca="1">J_normdate(J_ADDDAY(FDate(BA5),1,1))</f>
        <v>#VALUE!</v>
      </c>
      <c r="BC5" s="116" t="e">
        <f ca="1">J_normdate(J_ADDDAY(FDate(BB5),1,1))</f>
        <v>#VALUE!</v>
      </c>
      <c r="BD5" s="116" t="e">
        <f ca="1">J_normdate(J_ADDDAY(FDate(BC5),1,1))</f>
        <v>#VALUE!</v>
      </c>
      <c r="BE5" s="116" t="e">
        <f ca="1">J_normdate(J_ADDDAY(FDate(BD5),1,1))</f>
        <v>#VALUE!</v>
      </c>
      <c r="BF5" s="116" t="e">
        <f ca="1">J_normdate(J_ADDDAY(FDate(BE5),1,1))</f>
        <v>#VALUE!</v>
      </c>
      <c r="BG5" s="116" t="e">
        <f ca="1">J_normdate(J_ADDDAY(FDate(BF5),1,1))</f>
        <v>#VALUE!</v>
      </c>
      <c r="BH5" s="116" t="e">
        <f ca="1">J_normdate(J_ADDDAY(FDate(BG5),1,1))</f>
        <v>#VALUE!</v>
      </c>
      <c r="BI5" s="116" t="e">
        <f ca="1">J_normdate(J_ADDDAY(FDate(BH5),1,1))</f>
        <v>#VALUE!</v>
      </c>
      <c r="BJ5" s="116" t="e">
        <f ca="1">J_normdate(J_ADDDAY(FDate(BI5),1,1))</f>
        <v>#VALUE!</v>
      </c>
      <c r="BK5" s="116" t="e">
        <f ca="1">J_normdate(J_ADDDAY(FDate(BJ5),1,1))</f>
        <v>#VALUE!</v>
      </c>
      <c r="BL5" s="116" t="e">
        <f ca="1">J_normdate(J_ADDDAY(FDate(BK5),1,1))</f>
        <v>#VALUE!</v>
      </c>
      <c r="BM5" s="116" t="e">
        <f ca="1">J_normdate(J_ADDDAY(FDate(BL5),1,1))</f>
        <v>#VALUE!</v>
      </c>
      <c r="BN5" s="116" t="e">
        <f ca="1">J_normdate(J_ADDDAY(FDate(BM5),1,1))</f>
        <v>#VALUE!</v>
      </c>
      <c r="BO5" s="116" t="e">
        <f ca="1">J_normdate(J_ADDDAY(FDate(BN5),1,1))</f>
        <v>#VALUE!</v>
      </c>
      <c r="BP5" s="116" t="e">
        <f ca="1">J_normdate(J_ADDDAY(FDate(BO5),1,1))</f>
        <v>#VALUE!</v>
      </c>
      <c r="BQ5" s="116" t="e">
        <f ca="1">J_normdate(J_ADDDAY(FDate(BP5),1,1))</f>
        <v>#VALUE!</v>
      </c>
      <c r="BR5" s="116" t="e">
        <f ca="1">J_normdate(J_ADDDAY(FDate(BQ5),1,1))</f>
        <v>#VALUE!</v>
      </c>
      <c r="BS5" s="116" t="e">
        <f ca="1">J_normdate(J_ADDDAY(FDate(BR5),1,1))</f>
        <v>#VALUE!</v>
      </c>
      <c r="BT5" s="116" t="e">
        <f ca="1">J_normdate(J_ADDDAY(FDate(BS5),1,1))</f>
        <v>#VALUE!</v>
      </c>
      <c r="BU5" s="116" t="e">
        <f ca="1">J_normdate(J_ADDDAY(FDate(BT5),1,1))</f>
        <v>#VALUE!</v>
      </c>
      <c r="BV5" s="116" t="e">
        <f ca="1">J_normdate(J_ADDDAY(FDate(BU5),1,1))</f>
        <v>#VALUE!</v>
      </c>
      <c r="BW5" s="116" t="e">
        <f ca="1">J_normdate(J_ADDDAY(FDate(BV5),1,1))</f>
        <v>#VALUE!</v>
      </c>
      <c r="BX5" s="116" t="e">
        <f ca="1">J_normdate(J_ADDDAY(FDate(BW5),1,1))</f>
        <v>#VALUE!</v>
      </c>
      <c r="BY5" s="116" t="e">
        <f ca="1">J_normdate(J_ADDDAY(FDate(BX5),1,1))</f>
        <v>#VALUE!</v>
      </c>
      <c r="BZ5" s="116" t="e">
        <f ca="1">J_normdate(J_ADDDAY(FDate(BY5),1,1))</f>
        <v>#VALUE!</v>
      </c>
      <c r="CA5" s="116" t="e">
        <f ca="1">J_normdate(J_ADDDAY(FDate(BZ5),1,1))</f>
        <v>#VALUE!</v>
      </c>
      <c r="CB5" s="116" t="e">
        <f ca="1">J_normdate(J_ADDDAY(FDate(CA5),1,1))</f>
        <v>#VALUE!</v>
      </c>
      <c r="CC5" s="116" t="e">
        <f ca="1">J_normdate(J_ADDDAY(FDate(CB5),1,1))</f>
        <v>#VALUE!</v>
      </c>
      <c r="CD5" s="116" t="e">
        <f ca="1">J_normdate(J_ADDDAY(FDate(CC5),1,1))</f>
        <v>#VALUE!</v>
      </c>
      <c r="CE5" s="116" t="e">
        <f ca="1">J_normdate(J_ADDDAY(FDate(CD5),1,1))</f>
        <v>#VALUE!</v>
      </c>
      <c r="CF5" s="116" t="e">
        <f ca="1">J_normdate(J_ADDDAY(FDate(CE5),1,1))</f>
        <v>#VALUE!</v>
      </c>
      <c r="CG5" s="116" t="e">
        <f ca="1">J_normdate(J_ADDDAY(FDate(CF5),1,1))</f>
        <v>#VALUE!</v>
      </c>
      <c r="CH5" s="116" t="e">
        <f ca="1">J_normdate(J_ADDDAY(FDate(CG5),1,1))</f>
        <v>#VALUE!</v>
      </c>
      <c r="CI5" s="116" t="e">
        <f ca="1">J_normdate(J_ADDDAY(FDate(CH5),1,1))</f>
        <v>#VALUE!</v>
      </c>
      <c r="CJ5" s="116" t="e">
        <f ca="1">J_normdate(J_ADDDAY(FDate(CI5),1,1))</f>
        <v>#VALUE!</v>
      </c>
      <c r="CK5" s="116" t="e">
        <f ca="1">J_normdate(J_ADDDAY(FDate(CJ5),1,1))</f>
        <v>#VALUE!</v>
      </c>
      <c r="CL5" s="116" t="e">
        <f ca="1">J_normdate(J_ADDDAY(FDate(CK5),1,1))</f>
        <v>#VALUE!</v>
      </c>
      <c r="CM5" s="116" t="e">
        <f ca="1">J_normdate(J_ADDDAY(FDate(CL5),1,1))</f>
        <v>#VALUE!</v>
      </c>
      <c r="CN5" s="116" t="e">
        <f ca="1">J_normdate(J_ADDDAY(FDate(CM5),1,1))</f>
        <v>#VALUE!</v>
      </c>
      <c r="CO5" s="116" t="e">
        <f ca="1">J_normdate(J_ADDDAY(FDate(CN5),1,1))</f>
        <v>#VALUE!</v>
      </c>
      <c r="CP5" s="116" t="e">
        <f ca="1">J_normdate(J_ADDDAY(FDate(CO5),1,1))</f>
        <v>#VALUE!</v>
      </c>
      <c r="CQ5" s="116" t="e">
        <f ca="1">J_normdate(J_ADDDAY(FDate(CP5),1,1))</f>
        <v>#VALUE!</v>
      </c>
      <c r="CR5" s="116" t="e">
        <f ca="1">J_normdate(J_ADDDAY(FDate(CQ5),1,1))</f>
        <v>#VALUE!</v>
      </c>
      <c r="CS5" s="116" t="e">
        <f ca="1">J_normdate(J_ADDDAY(FDate(CR5),1,1))</f>
        <v>#VALUE!</v>
      </c>
      <c r="CT5" s="116" t="e">
        <f ca="1">J_normdate(J_ADDDAY(FDate(CS5),1,1))</f>
        <v>#VALUE!</v>
      </c>
      <c r="CU5" s="116" t="e">
        <f ca="1">J_normdate(J_ADDDAY(FDate(CT5),1,1))</f>
        <v>#VALUE!</v>
      </c>
      <c r="CV5" s="116" t="e">
        <f ca="1">J_normdate(J_ADDDAY(FDate(CU5),1,1))</f>
        <v>#VALUE!</v>
      </c>
      <c r="CW5" s="116" t="e">
        <f ca="1">J_normdate(J_ADDDAY(FDate(CV5),1,1))</f>
        <v>#VALUE!</v>
      </c>
      <c r="CX5" s="116" t="e">
        <f ca="1">J_normdate(J_ADDDAY(FDate(CW5),1,1))</f>
        <v>#VALUE!</v>
      </c>
      <c r="CY5" s="116" t="e">
        <f ca="1">J_normdate(J_ADDDAY(FDate(CX5),1,1))</f>
        <v>#VALUE!</v>
      </c>
      <c r="CZ5" s="116" t="e">
        <f ca="1">J_normdate(J_ADDDAY(FDate(CY5),1,1))</f>
        <v>#VALUE!</v>
      </c>
      <c r="DA5" s="116" t="e">
        <f ca="1">J_normdate(J_ADDDAY(FDate(CZ5),1,1))</f>
        <v>#VALUE!</v>
      </c>
      <c r="DB5" s="116" t="e">
        <f ca="1">J_normdate(J_ADDDAY(FDate(DA5),1,1))</f>
        <v>#VALUE!</v>
      </c>
      <c r="DC5" s="116" t="e">
        <f ca="1">J_normdate(J_ADDDAY(FDate(DB5),1,1))</f>
        <v>#VALUE!</v>
      </c>
      <c r="DD5" s="116" t="e">
        <f ca="1">J_normdate(J_ADDDAY(FDate(DC5),1,1))</f>
        <v>#VALUE!</v>
      </c>
      <c r="DE5" s="116" t="e">
        <f ca="1">J_normdate(J_ADDDAY(FDate(DD5),1,1))</f>
        <v>#VALUE!</v>
      </c>
      <c r="DF5" s="116" t="e">
        <f ca="1">J_normdate(J_ADDDAY(FDate(DE5),1,1))</f>
        <v>#VALUE!</v>
      </c>
      <c r="DG5" s="116" t="e">
        <f ca="1">J_normdate(J_ADDDAY(FDate(DF5),1,1))</f>
        <v>#VALUE!</v>
      </c>
      <c r="DH5" s="116" t="e">
        <f ca="1">J_normdate(J_ADDDAY(FDate(DG5),1,1))</f>
        <v>#VALUE!</v>
      </c>
      <c r="DI5" s="116" t="e">
        <f ca="1">J_normdate(J_ADDDAY(FDate(DH5),1,1))</f>
        <v>#VALUE!</v>
      </c>
      <c r="DJ5" s="116" t="e">
        <f ca="1">J_normdate(J_ADDDAY(FDate(DI5),1,1))</f>
        <v>#VALUE!</v>
      </c>
      <c r="DK5" s="116" t="e">
        <f ca="1">J_normdate(J_ADDDAY(FDate(DJ5),1,1))</f>
        <v>#VALUE!</v>
      </c>
      <c r="DL5" s="116" t="e">
        <f ca="1">J_normdate(J_ADDDAY(FDate(DK5),1,1))</f>
        <v>#VALUE!</v>
      </c>
      <c r="DM5" s="116" t="e">
        <f ca="1">J_normdate(J_ADDDAY(FDate(DL5),1,1))</f>
        <v>#VALUE!</v>
      </c>
      <c r="DN5" s="116" t="e">
        <f ca="1">J_normdate(J_ADDDAY(FDate(DM5),1,1))</f>
        <v>#VALUE!</v>
      </c>
      <c r="DO5" s="116" t="e">
        <f ca="1">J_normdate(J_ADDDAY(FDate(DN5),1,1))</f>
        <v>#VALUE!</v>
      </c>
      <c r="DP5" s="116" t="e">
        <f ca="1">J_normdate(J_ADDDAY(FDate(DO5),1,1))</f>
        <v>#VALUE!</v>
      </c>
      <c r="DQ5" s="116" t="e">
        <f ca="1">J_normdate(J_ADDDAY(FDate(DP5),1,1))</f>
        <v>#VALUE!</v>
      </c>
      <c r="DR5" s="116" t="e">
        <f ca="1">J_normdate(J_ADDDAY(FDate(DQ5),1,1))</f>
        <v>#VALUE!</v>
      </c>
      <c r="DS5" s="116" t="e">
        <f ca="1">J_normdate(J_ADDDAY(FDate(DR5),1,1))</f>
        <v>#VALUE!</v>
      </c>
      <c r="DT5" s="116" t="e">
        <f ca="1">J_normdate(J_ADDDAY(FDate(DS5),1,1))</f>
        <v>#VALUE!</v>
      </c>
      <c r="DU5" s="116" t="e">
        <f ca="1">J_normdate(J_ADDDAY(FDate(DT5),1,1))</f>
        <v>#VALUE!</v>
      </c>
      <c r="DV5" s="116" t="e">
        <f ca="1">J_normdate(J_ADDDAY(FDate(DU5),1,1))</f>
        <v>#VALUE!</v>
      </c>
      <c r="DW5" s="116" t="e">
        <f ca="1">J_normdate(J_ADDDAY(FDate(DV5),1,1))</f>
        <v>#VALUE!</v>
      </c>
      <c r="DX5" s="116" t="e">
        <f ca="1">J_normdate(J_ADDDAY(FDate(DW5),1,1))</f>
        <v>#VALUE!</v>
      </c>
      <c r="DY5" s="116" t="e">
        <f ca="1">J_normdate(J_ADDDAY(FDate(DX5),1,1))</f>
        <v>#VALUE!</v>
      </c>
      <c r="DZ5" s="116" t="e">
        <f ca="1">J_normdate(J_ADDDAY(FDate(DY5),1,1))</f>
        <v>#VALUE!</v>
      </c>
      <c r="EA5" s="116" t="e">
        <f ca="1">J_normdate(J_ADDDAY(FDate(DZ5),1,1))</f>
        <v>#VALUE!</v>
      </c>
      <c r="EB5" s="116" t="e">
        <f ca="1">J_normdate(J_ADDDAY(FDate(EA5),1,1))</f>
        <v>#VALUE!</v>
      </c>
      <c r="EC5" s="116" t="e">
        <f ca="1">J_normdate(J_ADDDAY(FDate(EB5),1,1))</f>
        <v>#VALUE!</v>
      </c>
      <c r="ED5" s="116" t="e">
        <f ca="1">J_normdate(J_ADDDAY(FDate(EC5),1,1))</f>
        <v>#VALUE!</v>
      </c>
      <c r="EE5" s="116" t="e">
        <f ca="1">J_normdate(J_ADDDAY(FDate(ED5),1,1))</f>
        <v>#VALUE!</v>
      </c>
      <c r="EF5" s="116" t="e">
        <f ca="1">J_normdate(J_ADDDAY(FDate(EE5),1,1))</f>
        <v>#VALUE!</v>
      </c>
      <c r="EG5" s="116" t="e">
        <f ca="1">J_normdate(J_ADDDAY(FDate(EF5),1,1))</f>
        <v>#VALUE!</v>
      </c>
      <c r="EH5" s="116" t="e">
        <f ca="1">J_normdate(J_ADDDAY(FDate(EG5),1,1))</f>
        <v>#VALUE!</v>
      </c>
      <c r="EI5" s="116" t="e">
        <f ca="1">J_normdate(J_ADDDAY(FDate(EH5),1,1))</f>
        <v>#VALUE!</v>
      </c>
      <c r="EJ5" s="116" t="e">
        <f ca="1">J_normdate(J_ADDDAY(FDate(EI5),1,1))</f>
        <v>#VALUE!</v>
      </c>
      <c r="EK5" s="116" t="e">
        <f ca="1">J_normdate(J_ADDDAY(FDate(EJ5),1,1))</f>
        <v>#VALUE!</v>
      </c>
      <c r="EL5" s="116" t="e">
        <f ca="1">J_normdate(J_ADDDAY(FDate(EK5),1,1))</f>
        <v>#VALUE!</v>
      </c>
      <c r="EM5" s="116" t="e">
        <f ca="1">J_normdate(J_ADDDAY(FDate(EL5),1,1))</f>
        <v>#VALUE!</v>
      </c>
      <c r="EN5" s="116" t="e">
        <f ca="1">J_normdate(J_ADDDAY(FDate(EM5),1,1))</f>
        <v>#VALUE!</v>
      </c>
      <c r="EO5" s="116" t="e">
        <f ca="1">J_normdate(J_ADDDAY(FDate(EN5),1,1))</f>
        <v>#VALUE!</v>
      </c>
      <c r="EP5" s="116" t="e">
        <f ca="1">J_normdate(J_ADDDAY(FDate(EO5),1,1))</f>
        <v>#VALUE!</v>
      </c>
      <c r="EQ5" s="116" t="e">
        <f ca="1">J_normdate(J_ADDDAY(FDate(EP5),1,1))</f>
        <v>#VALUE!</v>
      </c>
      <c r="ER5" s="116" t="e">
        <f ca="1">J_normdate(J_ADDDAY(FDate(EQ5),1,1))</f>
        <v>#VALUE!</v>
      </c>
      <c r="ES5" s="116" t="e">
        <f ca="1">J_normdate(J_ADDDAY(FDate(ER5),1,1))</f>
        <v>#VALUE!</v>
      </c>
      <c r="ET5" s="116" t="e">
        <f ca="1">J_normdate(J_ADDDAY(FDate(ES5),1,1))</f>
        <v>#VALUE!</v>
      </c>
      <c r="EU5" s="116" t="e">
        <f ca="1">J_normdate(J_ADDDAY(FDate(ET5),1,1))</f>
        <v>#VALUE!</v>
      </c>
      <c r="EV5" s="116" t="e">
        <f ca="1">J_normdate(J_ADDDAY(FDate(EU5),1,1))</f>
        <v>#VALUE!</v>
      </c>
      <c r="EW5" s="116" t="e">
        <f ca="1">J_normdate(J_ADDDAY(FDate(EV5),1,1))</f>
        <v>#VALUE!</v>
      </c>
      <c r="EX5" s="116" t="e">
        <f ca="1">J_normdate(J_ADDDAY(FDate(EW5),1,1))</f>
        <v>#VALUE!</v>
      </c>
      <c r="EY5" s="116" t="e">
        <f ca="1">J_normdate(J_ADDDAY(FDate(EX5),1,1))</f>
        <v>#VALUE!</v>
      </c>
      <c r="EZ5" s="116" t="e">
        <f ca="1">J_normdate(J_ADDDAY(FDate(EY5),1,1))</f>
        <v>#VALUE!</v>
      </c>
      <c r="FA5" s="116" t="e">
        <f ca="1">J_normdate(J_ADDDAY(FDate(EZ5),1,1))</f>
        <v>#VALUE!</v>
      </c>
      <c r="FB5" s="116" t="e">
        <f ca="1">J_normdate(J_ADDDAY(FDate(FA5),1,1))</f>
        <v>#VALUE!</v>
      </c>
      <c r="FC5" s="116" t="e">
        <f ca="1">J_normdate(J_ADDDAY(FDate(FB5),1,1))</f>
        <v>#VALUE!</v>
      </c>
      <c r="FD5" s="116" t="e">
        <f ca="1">J_normdate(J_ADDDAY(FDate(FC5),1,1))</f>
        <v>#VALUE!</v>
      </c>
      <c r="FE5" s="116" t="e">
        <f ca="1">J_normdate(J_ADDDAY(FDate(FD5),1,1))</f>
        <v>#VALUE!</v>
      </c>
      <c r="FF5" s="116" t="e">
        <f ca="1">J_normdate(J_ADDDAY(FDate(FE5),1,1))</f>
        <v>#VALUE!</v>
      </c>
      <c r="FG5" s="116" t="e">
        <f ca="1">J_normdate(J_ADDDAY(FDate(FF5),1,1))</f>
        <v>#VALUE!</v>
      </c>
      <c r="FH5" s="116" t="e">
        <f ca="1">J_normdate(J_ADDDAY(FDate(FG5),1,1))</f>
        <v>#VALUE!</v>
      </c>
      <c r="FI5" s="116" t="e">
        <f ca="1">J_normdate(J_ADDDAY(FDate(FH5),1,1))</f>
        <v>#VALUE!</v>
      </c>
      <c r="FJ5" s="116" t="e">
        <f ca="1">J_normdate(J_ADDDAY(FDate(FI5),1,1))</f>
        <v>#VALUE!</v>
      </c>
      <c r="FK5" s="116" t="e">
        <f ca="1">J_normdate(J_ADDDAY(FDate(FJ5),1,1))</f>
        <v>#VALUE!</v>
      </c>
      <c r="FL5" s="116" t="e">
        <f ca="1">J_normdate(J_ADDDAY(FDate(FK5),1,1))</f>
        <v>#VALUE!</v>
      </c>
      <c r="FM5" s="116" t="e">
        <f ca="1">J_normdate(J_ADDDAY(FDate(FL5),1,1))</f>
        <v>#VALUE!</v>
      </c>
      <c r="FN5" s="116" t="e">
        <f ca="1">J_normdate(J_ADDDAY(FDate(FM5),1,1))</f>
        <v>#VALUE!</v>
      </c>
      <c r="FO5" s="116" t="e">
        <f ca="1">J_normdate(J_ADDDAY(FDate(FN5),1,1))</f>
        <v>#VALUE!</v>
      </c>
      <c r="FP5" s="116" t="e">
        <f ca="1">J_normdate(J_ADDDAY(FDate(FO5),1,1))</f>
        <v>#VALUE!</v>
      </c>
      <c r="FQ5" s="116" t="e">
        <f ca="1">J_normdate(J_ADDDAY(FDate(FP5),1,1))</f>
        <v>#VALUE!</v>
      </c>
      <c r="FR5" s="116" t="e">
        <f ca="1">J_normdate(J_ADDDAY(FDate(FQ5),1,1))</f>
        <v>#VALUE!</v>
      </c>
      <c r="FS5" s="116" t="e">
        <f ca="1">J_normdate(J_ADDDAY(FDate(FR5),1,1))</f>
        <v>#VALUE!</v>
      </c>
      <c r="FT5" s="116" t="e">
        <f ca="1">J_normdate(J_ADDDAY(FDate(FS5),1,1))</f>
        <v>#VALUE!</v>
      </c>
      <c r="FU5" s="116" t="e">
        <f ca="1">J_normdate(J_ADDDAY(FDate(FT5),1,1))</f>
        <v>#VALUE!</v>
      </c>
      <c r="FV5" s="116" t="e">
        <f ca="1">J_normdate(J_ADDDAY(FDate(FU5),1,1))</f>
        <v>#VALUE!</v>
      </c>
      <c r="FW5" s="116" t="e">
        <f ca="1">J_normdate(J_ADDDAY(FDate(FV5),1,1))</f>
        <v>#VALUE!</v>
      </c>
      <c r="FX5" s="116" t="e">
        <f ca="1">J_normdate(J_ADDDAY(FDate(FW5),1,1))</f>
        <v>#VALUE!</v>
      </c>
      <c r="FY5" s="116" t="e">
        <f ca="1">J_normdate(J_ADDDAY(FDate(FX5),1,1))</f>
        <v>#VALUE!</v>
      </c>
      <c r="FZ5" s="116" t="e">
        <f ca="1">J_normdate(J_ADDDAY(FDate(FY5),1,1))</f>
        <v>#VALUE!</v>
      </c>
      <c r="GA5" s="116" t="e">
        <f ca="1">J_normdate(J_ADDDAY(FDate(FZ5),1,1))</f>
        <v>#VALUE!</v>
      </c>
      <c r="GB5" s="116" t="e">
        <f ca="1">J_normdate(J_ADDDAY(FDate(GA5),1,1))</f>
        <v>#VALUE!</v>
      </c>
      <c r="GC5" s="116" t="e">
        <f ca="1">J_normdate(J_ADDDAY(FDate(GB5),1,1))</f>
        <v>#VALUE!</v>
      </c>
      <c r="GD5" s="116" t="e">
        <f ca="1">J_normdate(J_ADDDAY(FDate(GC5),1,1))</f>
        <v>#VALUE!</v>
      </c>
      <c r="GE5" s="116" t="e">
        <f ca="1">J_normdate(J_ADDDAY(FDate(GD5),1,1))</f>
        <v>#VALUE!</v>
      </c>
      <c r="GF5" s="116" t="e">
        <f ca="1">J_normdate(J_ADDDAY(FDate(GE5),1,1))</f>
        <v>#VALUE!</v>
      </c>
      <c r="GG5" s="116" t="e">
        <f ca="1">J_normdate(J_ADDDAY(FDate(GF5),1,1))</f>
        <v>#VALUE!</v>
      </c>
      <c r="GH5" s="116" t="e">
        <f ca="1">J_normdate(J_ADDDAY(FDate(GG5),1,1))</f>
        <v>#VALUE!</v>
      </c>
      <c r="GI5" s="116" t="e">
        <f ca="1">J_normdate(J_ADDDAY(FDate(GH5),1,1))</f>
        <v>#VALUE!</v>
      </c>
      <c r="GJ5" s="116" t="e">
        <f ca="1">J_normdate(J_ADDDAY(FDate(GI5),1,1))</f>
        <v>#VALUE!</v>
      </c>
      <c r="GK5" s="116" t="e">
        <f ca="1">J_normdate(J_ADDDAY(FDate(GJ5),1,1))</f>
        <v>#VALUE!</v>
      </c>
      <c r="GL5" s="116" t="e">
        <f ca="1">J_normdate(J_ADDDAY(FDate(GK5),1,1))</f>
        <v>#VALUE!</v>
      </c>
      <c r="GM5" s="116" t="e">
        <f ca="1">J_normdate(J_ADDDAY(FDate(GL5),1,1))</f>
        <v>#VALUE!</v>
      </c>
      <c r="GN5" s="116" t="e">
        <f ca="1">J_normdate(J_ADDDAY(FDate(GM5),1,1))</f>
        <v>#VALUE!</v>
      </c>
      <c r="GO5" s="116" t="e">
        <f ca="1">J_normdate(J_ADDDAY(FDate(GN5),1,1))</f>
        <v>#VALUE!</v>
      </c>
      <c r="GP5" s="116" t="e">
        <f ca="1">J_normdate(J_ADDDAY(FDate(GO5),1,1))</f>
        <v>#VALUE!</v>
      </c>
      <c r="GQ5" s="116" t="e">
        <f ca="1">J_normdate(J_ADDDAY(FDate(GP5),1,1))</f>
        <v>#VALUE!</v>
      </c>
      <c r="GR5" s="116" t="e">
        <f ca="1">J_normdate(J_ADDDAY(FDate(GQ5),1,1))</f>
        <v>#VALUE!</v>
      </c>
      <c r="GS5" s="116" t="e">
        <f ca="1">J_normdate(J_ADDDAY(FDate(GR5),1,1))</f>
        <v>#VALUE!</v>
      </c>
      <c r="GT5" s="116" t="e">
        <f ca="1">J_normdate(J_ADDDAY(FDate(GS5),1,1))</f>
        <v>#VALUE!</v>
      </c>
      <c r="GU5" s="116" t="e">
        <f ca="1">J_normdate(J_ADDDAY(FDate(GT5),1,1))</f>
        <v>#VALUE!</v>
      </c>
      <c r="GV5" s="116" t="e">
        <f ca="1">J_normdate(J_ADDDAY(FDate(GU5),1,1))</f>
        <v>#VALUE!</v>
      </c>
      <c r="GW5" s="116" t="e">
        <f ca="1">J_normdate(J_ADDDAY(FDate(GV5),1,1))</f>
        <v>#VALUE!</v>
      </c>
      <c r="GX5" s="116" t="e">
        <f ca="1">J_normdate(J_ADDDAY(FDate(GW5),1,1))</f>
        <v>#VALUE!</v>
      </c>
      <c r="GY5" s="116" t="e">
        <f ca="1">J_normdate(J_ADDDAY(FDate(GX5),1,1))</f>
        <v>#VALUE!</v>
      </c>
      <c r="GZ5" s="116" t="e">
        <f ca="1">J_normdate(J_ADDDAY(FDate(GY5),1,1))</f>
        <v>#VALUE!</v>
      </c>
      <c r="HA5" s="116" t="e">
        <f ca="1">J_normdate(J_ADDDAY(FDate(GZ5),1,1))</f>
        <v>#VALUE!</v>
      </c>
      <c r="HB5" s="116" t="e">
        <f ca="1">J_normdate(J_ADDDAY(FDate(HA5),1,1))</f>
        <v>#VALUE!</v>
      </c>
      <c r="HC5" s="116" t="e">
        <f ca="1">J_normdate(J_ADDDAY(FDate(HB5),1,1))</f>
        <v>#VALUE!</v>
      </c>
      <c r="HD5" s="116" t="e">
        <f ca="1">J_normdate(J_ADDDAY(FDate(HC5),1,1))</f>
        <v>#VALUE!</v>
      </c>
      <c r="HE5" s="116" t="e">
        <f ca="1">J_normdate(J_ADDDAY(FDate(HD5),1,1))</f>
        <v>#VALUE!</v>
      </c>
      <c r="HF5" s="116" t="e">
        <f ca="1">J_normdate(J_ADDDAY(FDate(HE5),1,1))</f>
        <v>#VALUE!</v>
      </c>
      <c r="HG5" s="116" t="e">
        <f ca="1">J_normdate(J_ADDDAY(FDate(HF5),1,1))</f>
        <v>#VALUE!</v>
      </c>
      <c r="HH5" s="116" t="e">
        <f ca="1">J_normdate(J_ADDDAY(FDate(HG5),1,1))</f>
        <v>#VALUE!</v>
      </c>
      <c r="HI5" s="116" t="e">
        <f ca="1">J_normdate(J_ADDDAY(FDate(HH5),1,1))</f>
        <v>#VALUE!</v>
      </c>
      <c r="HJ5" s="116" t="e">
        <f ca="1">J_normdate(J_ADDDAY(FDate(HI5),1,1))</f>
        <v>#VALUE!</v>
      </c>
      <c r="HK5" s="116" t="e">
        <f ca="1">J_normdate(J_ADDDAY(FDate(HJ5),1,1))</f>
        <v>#VALUE!</v>
      </c>
      <c r="HL5" s="116" t="e">
        <f ca="1">J_normdate(J_ADDDAY(FDate(HK5),1,1))</f>
        <v>#VALUE!</v>
      </c>
      <c r="HM5" s="116" t="e">
        <f ca="1">J_normdate(J_ADDDAY(FDate(HL5),1,1))</f>
        <v>#VALUE!</v>
      </c>
      <c r="HN5" s="116" t="e">
        <f ca="1">J_normdate(J_ADDDAY(FDate(HM5),1,1))</f>
        <v>#VALUE!</v>
      </c>
      <c r="HO5" s="116" t="e">
        <f ca="1">J_normdate(J_ADDDAY(FDate(HN5),1,1))</f>
        <v>#VALUE!</v>
      </c>
      <c r="HP5" s="116" t="e">
        <f ca="1">J_normdate(J_ADDDAY(FDate(HO5),1,1))</f>
        <v>#VALUE!</v>
      </c>
      <c r="HQ5" s="116" t="e">
        <f ca="1">J_normdate(J_ADDDAY(FDate(HP5),1,1))</f>
        <v>#VALUE!</v>
      </c>
      <c r="HR5" s="116" t="e">
        <f ca="1">J_normdate(J_ADDDAY(FDate(HQ5),1,1))</f>
        <v>#VALUE!</v>
      </c>
      <c r="HS5" s="116" t="e">
        <f ca="1">J_normdate(J_ADDDAY(FDate(HR5),1,1))</f>
        <v>#VALUE!</v>
      </c>
      <c r="HT5" s="116" t="e">
        <f ca="1">J_normdate(J_ADDDAY(FDate(HS5),1,1))</f>
        <v>#VALUE!</v>
      </c>
      <c r="HU5" s="116" t="e">
        <f ca="1">J_normdate(J_ADDDAY(FDate(HT5),1,1))</f>
        <v>#VALUE!</v>
      </c>
      <c r="HV5" s="116" t="e">
        <f ca="1">J_normdate(J_ADDDAY(FDate(HU5),1,1))</f>
        <v>#VALUE!</v>
      </c>
      <c r="HW5" s="116" t="e">
        <f ca="1">J_normdate(J_ADDDAY(FDate(HV5),1,1))</f>
        <v>#VALUE!</v>
      </c>
      <c r="HX5" s="116" t="e">
        <f ca="1">J_normdate(J_ADDDAY(FDate(HW5),1,1))</f>
        <v>#VALUE!</v>
      </c>
      <c r="HY5" s="116" t="e">
        <f ca="1">J_normdate(J_ADDDAY(FDate(HX5),1,1))</f>
        <v>#VALUE!</v>
      </c>
      <c r="HZ5" s="116" t="e">
        <f ca="1">J_normdate(J_ADDDAY(FDate(HY5),1,1))</f>
        <v>#VALUE!</v>
      </c>
      <c r="IA5" s="116" t="e">
        <f ca="1">J_normdate(J_ADDDAY(FDate(HZ5),1,1))</f>
        <v>#VALUE!</v>
      </c>
      <c r="IB5" s="116" t="e">
        <f ca="1">J_normdate(J_ADDDAY(FDate(IA5),1,1))</f>
        <v>#VALUE!</v>
      </c>
      <c r="IC5" s="116" t="e">
        <f ca="1">J_normdate(J_ADDDAY(FDate(IB5),1,1))</f>
        <v>#VALUE!</v>
      </c>
      <c r="ID5" s="116" t="e">
        <f ca="1">J_normdate(J_ADDDAY(FDate(IC5),1,1))</f>
        <v>#VALUE!</v>
      </c>
      <c r="IE5" s="116" t="e">
        <f ca="1">J_normdate(J_ADDDAY(FDate(ID5),1,1))</f>
        <v>#VALUE!</v>
      </c>
      <c r="IF5" s="116" t="e">
        <f ca="1">J_normdate(J_ADDDAY(FDate(IE5),1,1))</f>
        <v>#VALUE!</v>
      </c>
      <c r="IG5" s="116" t="e">
        <f ca="1">J_normdate(J_ADDDAY(FDate(IF5),1,1))</f>
        <v>#VALUE!</v>
      </c>
      <c r="IH5" s="116" t="e">
        <f ca="1">J_normdate(J_ADDDAY(FDate(IG5),1,1))</f>
        <v>#VALUE!</v>
      </c>
      <c r="II5" s="116" t="e">
        <f ca="1">J_normdate(J_ADDDAY(FDate(IH5),1,1))</f>
        <v>#VALUE!</v>
      </c>
      <c r="IJ5" s="116" t="e">
        <f ca="1">J_normdate(J_ADDDAY(FDate(II5),1,1))</f>
        <v>#VALUE!</v>
      </c>
      <c r="IK5" s="116" t="e">
        <f ca="1">J_normdate(J_ADDDAY(FDate(IJ5),1,1))</f>
        <v>#VALUE!</v>
      </c>
      <c r="IL5" s="116" t="e">
        <f ca="1">J_normdate(J_ADDDAY(FDate(IK5),1,1))</f>
        <v>#VALUE!</v>
      </c>
      <c r="IM5" s="116" t="e">
        <f ca="1">J_normdate(J_ADDDAY(FDate(IL5),1,1))</f>
        <v>#VALUE!</v>
      </c>
      <c r="IN5" s="116" t="e">
        <f ca="1">J_normdate(J_ADDDAY(FDate(IM5),1,1))</f>
        <v>#VALUE!</v>
      </c>
      <c r="IO5" s="116" t="e">
        <f ca="1">J_normdate(J_ADDDAY(FDate(IN5),1,1))</f>
        <v>#VALUE!</v>
      </c>
      <c r="IP5" s="116" t="e">
        <f ca="1">J_normdate(J_ADDDAY(FDate(IO5),1,1))</f>
        <v>#VALUE!</v>
      </c>
      <c r="IQ5" s="116" t="e">
        <f ca="1">J_normdate(J_ADDDAY(FDate(IP5),1,1))</f>
        <v>#VALUE!</v>
      </c>
      <c r="IR5" s="116" t="e">
        <f ca="1">J_normdate(J_ADDDAY(FDate(IQ5),1,1))</f>
        <v>#VALUE!</v>
      </c>
      <c r="IS5" s="116" t="e">
        <f ca="1">J_normdate(J_ADDDAY(FDate(IR5),1,1))</f>
        <v>#VALUE!</v>
      </c>
      <c r="IT5" s="116" t="e">
        <f ca="1">J_normdate(J_ADDDAY(FDate(IS5),1,1))</f>
        <v>#VALUE!</v>
      </c>
      <c r="IU5" s="116" t="e">
        <f ca="1">J_normdate(J_ADDDAY(FDate(IT5),1,1))</f>
        <v>#VALUE!</v>
      </c>
      <c r="IV5" s="116" t="e">
        <f ca="1">J_normdate(J_ADDDAY(FDate(IU5),1,1))</f>
        <v>#VALUE!</v>
      </c>
      <c r="IW5" s="116" t="e">
        <f ca="1">J_normdate(J_ADDDAY(FDate(IV5),1,1))</f>
        <v>#VALUE!</v>
      </c>
      <c r="IX5" s="116" t="e">
        <f ca="1">IW5+1</f>
        <v>#VALUE!</v>
      </c>
      <c r="IY5" s="17"/>
      <c r="IZ5" s="27"/>
      <c r="JA5" s="149"/>
      <c r="JB5" s="149"/>
      <c r="JC5" s="149"/>
      <c r="JD5" s="150"/>
    </row>
    <row r="6" spans="1:264" s="153" customFormat="1" ht="81.75" customHeight="1" thickBot="1">
      <c r="A6" s="263" t="s">
        <v>0</v>
      </c>
      <c r="B6" s="264" t="s">
        <v>8</v>
      </c>
      <c r="C6" s="265" t="s">
        <v>9</v>
      </c>
      <c r="D6" s="265" t="s">
        <v>1</v>
      </c>
      <c r="E6" s="117" t="s">
        <v>1</v>
      </c>
      <c r="F6" s="265" t="s">
        <v>2</v>
      </c>
      <c r="G6" s="117" t="s">
        <v>2</v>
      </c>
      <c r="H6" s="266" t="s">
        <v>41</v>
      </c>
      <c r="I6" s="267" t="s">
        <v>42</v>
      </c>
      <c r="J6" s="266" t="s">
        <v>40</v>
      </c>
      <c r="K6" s="118" t="s">
        <v>43</v>
      </c>
      <c r="L6" s="268" t="s">
        <v>3</v>
      </c>
      <c r="M6" s="269" t="s">
        <v>4</v>
      </c>
      <c r="N6" s="268" t="s">
        <v>5</v>
      </c>
      <c r="O6" s="120" t="s">
        <v>10</v>
      </c>
      <c r="P6" s="121" t="s">
        <v>44</v>
      </c>
      <c r="Q6" s="119" t="s">
        <v>6</v>
      </c>
      <c r="R6" s="122"/>
      <c r="S6" s="309" t="e">
        <f ca="1">FDate(S5)</f>
        <v>#VALUE!</v>
      </c>
      <c r="T6" s="310"/>
      <c r="U6" s="310"/>
      <c r="V6" s="310"/>
      <c r="W6" s="311"/>
      <c r="X6" s="309" t="e">
        <f ca="1">FDate(X5)</f>
        <v>#VALUE!</v>
      </c>
      <c r="Y6" s="310"/>
      <c r="Z6" s="310"/>
      <c r="AA6" s="310"/>
      <c r="AB6" s="311"/>
      <c r="AC6" s="309" t="e">
        <f ca="1">FDate(AC5)</f>
        <v>#VALUE!</v>
      </c>
      <c r="AD6" s="310"/>
      <c r="AE6" s="310"/>
      <c r="AF6" s="310"/>
      <c r="AG6" s="311"/>
      <c r="AH6" s="309" t="e">
        <f ca="1">FDate(AH5)</f>
        <v>#VALUE!</v>
      </c>
      <c r="AI6" s="310"/>
      <c r="AJ6" s="310"/>
      <c r="AK6" s="310"/>
      <c r="AL6" s="311"/>
      <c r="AM6" s="309" t="e">
        <f ca="1">FDate(AM5)</f>
        <v>#VALUE!</v>
      </c>
      <c r="AN6" s="310"/>
      <c r="AO6" s="310"/>
      <c r="AP6" s="310"/>
      <c r="AQ6" s="311"/>
      <c r="AR6" s="309" t="e">
        <f ca="1">FDate(AR5)</f>
        <v>#VALUE!</v>
      </c>
      <c r="AS6" s="310"/>
      <c r="AT6" s="310"/>
      <c r="AU6" s="310"/>
      <c r="AV6" s="311"/>
      <c r="AW6" s="309" t="e">
        <f ca="1">FDate(AW5)</f>
        <v>#VALUE!</v>
      </c>
      <c r="AX6" s="310"/>
      <c r="AY6" s="310"/>
      <c r="AZ6" s="310"/>
      <c r="BA6" s="311"/>
      <c r="BB6" s="309" t="e">
        <f ca="1">FDate(BB5)</f>
        <v>#VALUE!</v>
      </c>
      <c r="BC6" s="310"/>
      <c r="BD6" s="310"/>
      <c r="BE6" s="310"/>
      <c r="BF6" s="311"/>
      <c r="BG6" s="309" t="e">
        <f ca="1">FDate(BG5)</f>
        <v>#VALUE!</v>
      </c>
      <c r="BH6" s="310"/>
      <c r="BI6" s="310"/>
      <c r="BJ6" s="310"/>
      <c r="BK6" s="311"/>
      <c r="BL6" s="309" t="e">
        <f ca="1">FDate(BL5)</f>
        <v>#VALUE!</v>
      </c>
      <c r="BM6" s="310"/>
      <c r="BN6" s="310"/>
      <c r="BO6" s="310"/>
      <c r="BP6" s="311"/>
      <c r="BQ6" s="309" t="e">
        <f ca="1">FDate(BQ5)</f>
        <v>#VALUE!</v>
      </c>
      <c r="BR6" s="310"/>
      <c r="BS6" s="310"/>
      <c r="BT6" s="310"/>
      <c r="BU6" s="311"/>
      <c r="BV6" s="309" t="e">
        <f ca="1">FDate(BV5)</f>
        <v>#VALUE!</v>
      </c>
      <c r="BW6" s="310"/>
      <c r="BX6" s="310"/>
      <c r="BY6" s="310"/>
      <c r="BZ6" s="311"/>
      <c r="CA6" s="309" t="e">
        <f ca="1">FDate(CA5)</f>
        <v>#VALUE!</v>
      </c>
      <c r="CB6" s="310"/>
      <c r="CC6" s="310"/>
      <c r="CD6" s="310"/>
      <c r="CE6" s="311"/>
      <c r="CF6" s="309" t="e">
        <f ca="1">FDate(CF5)</f>
        <v>#VALUE!</v>
      </c>
      <c r="CG6" s="310"/>
      <c r="CH6" s="310"/>
      <c r="CI6" s="310"/>
      <c r="CJ6" s="311"/>
      <c r="CK6" s="309" t="e">
        <f ca="1">FDate(CK5)</f>
        <v>#VALUE!</v>
      </c>
      <c r="CL6" s="310"/>
      <c r="CM6" s="310"/>
      <c r="CN6" s="310"/>
      <c r="CO6" s="311"/>
      <c r="CP6" s="309" t="e">
        <f ca="1">FDate(CP5)</f>
        <v>#VALUE!</v>
      </c>
      <c r="CQ6" s="310"/>
      <c r="CR6" s="310"/>
      <c r="CS6" s="310"/>
      <c r="CT6" s="311"/>
      <c r="CU6" s="309" t="e">
        <f ca="1">FDate(CU5)</f>
        <v>#VALUE!</v>
      </c>
      <c r="CV6" s="310"/>
      <c r="CW6" s="310"/>
      <c r="CX6" s="310"/>
      <c r="CY6" s="311"/>
      <c r="CZ6" s="309" t="e">
        <f ca="1">FDate(CZ5)</f>
        <v>#VALUE!</v>
      </c>
      <c r="DA6" s="310"/>
      <c r="DB6" s="310"/>
      <c r="DC6" s="310"/>
      <c r="DD6" s="311"/>
      <c r="DE6" s="309" t="e">
        <f ca="1">FDate(DE5)</f>
        <v>#VALUE!</v>
      </c>
      <c r="DF6" s="310"/>
      <c r="DG6" s="310"/>
      <c r="DH6" s="310"/>
      <c r="DI6" s="311"/>
      <c r="DJ6" s="309" t="e">
        <f ca="1">FDate(DJ5)</f>
        <v>#VALUE!</v>
      </c>
      <c r="DK6" s="310"/>
      <c r="DL6" s="310"/>
      <c r="DM6" s="310"/>
      <c r="DN6" s="311"/>
      <c r="DO6" s="309" t="e">
        <f ca="1">FDate(DO5)</f>
        <v>#VALUE!</v>
      </c>
      <c r="DP6" s="310"/>
      <c r="DQ6" s="310"/>
      <c r="DR6" s="310"/>
      <c r="DS6" s="311"/>
      <c r="DT6" s="309" t="e">
        <f ca="1">FDate(DT5)</f>
        <v>#VALUE!</v>
      </c>
      <c r="DU6" s="310"/>
      <c r="DV6" s="310"/>
      <c r="DW6" s="310"/>
      <c r="DX6" s="311"/>
      <c r="DY6" s="309" t="e">
        <f ca="1">FDate(DY5)</f>
        <v>#VALUE!</v>
      </c>
      <c r="DZ6" s="310"/>
      <c r="EA6" s="310"/>
      <c r="EB6" s="310"/>
      <c r="EC6" s="311"/>
      <c r="ED6" s="309" t="e">
        <f ca="1">FDate(ED5)</f>
        <v>#VALUE!</v>
      </c>
      <c r="EE6" s="310"/>
      <c r="EF6" s="310"/>
      <c r="EG6" s="310"/>
      <c r="EH6" s="311"/>
      <c r="EI6" s="309" t="e">
        <f ca="1">FDate(EI5)</f>
        <v>#VALUE!</v>
      </c>
      <c r="EJ6" s="310"/>
      <c r="EK6" s="310"/>
      <c r="EL6" s="310"/>
      <c r="EM6" s="311"/>
      <c r="EN6" s="309" t="e">
        <f ca="1">FDate(EN5)</f>
        <v>#VALUE!</v>
      </c>
      <c r="EO6" s="310"/>
      <c r="EP6" s="310"/>
      <c r="EQ6" s="310"/>
      <c r="ER6" s="311"/>
      <c r="ES6" s="309" t="e">
        <f ca="1">FDate(ES5)</f>
        <v>#VALUE!</v>
      </c>
      <c r="ET6" s="310"/>
      <c r="EU6" s="310"/>
      <c r="EV6" s="310"/>
      <c r="EW6" s="311"/>
      <c r="EX6" s="309" t="e">
        <f ca="1">FDate(EX5)</f>
        <v>#VALUE!</v>
      </c>
      <c r="EY6" s="310"/>
      <c r="EZ6" s="310"/>
      <c r="FA6" s="310"/>
      <c r="FB6" s="311"/>
      <c r="FC6" s="309" t="e">
        <f ca="1">FDate(FC5)</f>
        <v>#VALUE!</v>
      </c>
      <c r="FD6" s="310"/>
      <c r="FE6" s="310"/>
      <c r="FF6" s="310"/>
      <c r="FG6" s="311"/>
      <c r="FH6" s="309" t="e">
        <f ca="1">FDate(FH5)</f>
        <v>#VALUE!</v>
      </c>
      <c r="FI6" s="310"/>
      <c r="FJ6" s="310"/>
      <c r="FK6" s="310"/>
      <c r="FL6" s="311"/>
      <c r="FM6" s="309" t="e">
        <f ca="1">FDate(FM5)</f>
        <v>#VALUE!</v>
      </c>
      <c r="FN6" s="310"/>
      <c r="FO6" s="310"/>
      <c r="FP6" s="310"/>
      <c r="FQ6" s="311"/>
      <c r="FR6" s="309" t="e">
        <f ca="1">FDate(FR5)</f>
        <v>#VALUE!</v>
      </c>
      <c r="FS6" s="310"/>
      <c r="FT6" s="310"/>
      <c r="FU6" s="310"/>
      <c r="FV6" s="311"/>
      <c r="FW6" s="309" t="e">
        <f ca="1">FDate(FW5)</f>
        <v>#VALUE!</v>
      </c>
      <c r="FX6" s="310"/>
      <c r="FY6" s="310"/>
      <c r="FZ6" s="310"/>
      <c r="GA6" s="311"/>
      <c r="GB6" s="309" t="e">
        <f ca="1">FDate(GB5)</f>
        <v>#VALUE!</v>
      </c>
      <c r="GC6" s="310"/>
      <c r="GD6" s="310"/>
      <c r="GE6" s="310"/>
      <c r="GF6" s="311"/>
      <c r="GG6" s="309" t="e">
        <f ca="1">FDate(GG5)</f>
        <v>#VALUE!</v>
      </c>
      <c r="GH6" s="310"/>
      <c r="GI6" s="310"/>
      <c r="GJ6" s="310"/>
      <c r="GK6" s="311"/>
      <c r="GL6" s="309" t="e">
        <f ca="1">FDate(GL5)</f>
        <v>#VALUE!</v>
      </c>
      <c r="GM6" s="310"/>
      <c r="GN6" s="310"/>
      <c r="GO6" s="310"/>
      <c r="GP6" s="311"/>
      <c r="GQ6" s="309" t="e">
        <f ca="1">FDate(GQ5)</f>
        <v>#VALUE!</v>
      </c>
      <c r="GR6" s="310"/>
      <c r="GS6" s="310"/>
      <c r="GT6" s="310"/>
      <c r="GU6" s="311"/>
      <c r="GV6" s="309" t="e">
        <f ca="1">FDate(GV5)</f>
        <v>#VALUE!</v>
      </c>
      <c r="GW6" s="310"/>
      <c r="GX6" s="310"/>
      <c r="GY6" s="310"/>
      <c r="GZ6" s="311"/>
      <c r="HA6" s="309" t="e">
        <f ca="1">FDate(HA5)</f>
        <v>#VALUE!</v>
      </c>
      <c r="HB6" s="310"/>
      <c r="HC6" s="310"/>
      <c r="HD6" s="310"/>
      <c r="HE6" s="311"/>
      <c r="HF6" s="309" t="e">
        <f ca="1">FDate(HF5)</f>
        <v>#VALUE!</v>
      </c>
      <c r="HG6" s="310"/>
      <c r="HH6" s="310"/>
      <c r="HI6" s="310"/>
      <c r="HJ6" s="311"/>
      <c r="HK6" s="309" t="e">
        <f ca="1">FDate(HK5)</f>
        <v>#VALUE!</v>
      </c>
      <c r="HL6" s="310"/>
      <c r="HM6" s="310"/>
      <c r="HN6" s="310"/>
      <c r="HO6" s="311"/>
      <c r="HP6" s="309" t="e">
        <f ca="1">FDate(HP5)</f>
        <v>#VALUE!</v>
      </c>
      <c r="HQ6" s="310"/>
      <c r="HR6" s="310"/>
      <c r="HS6" s="310"/>
      <c r="HT6" s="311"/>
      <c r="HU6" s="309" t="e">
        <f ca="1">FDate(HU5)</f>
        <v>#VALUE!</v>
      </c>
      <c r="HV6" s="310"/>
      <c r="HW6" s="310"/>
      <c r="HX6" s="310"/>
      <c r="HY6" s="311"/>
      <c r="HZ6" s="309" t="e">
        <f ca="1">FDate(HZ5)</f>
        <v>#VALUE!</v>
      </c>
      <c r="IA6" s="310"/>
      <c r="IB6" s="310"/>
      <c r="IC6" s="310"/>
      <c r="ID6" s="311"/>
      <c r="IE6" s="309" t="e">
        <f ca="1">FDate(IE5)</f>
        <v>#VALUE!</v>
      </c>
      <c r="IF6" s="310"/>
      <c r="IG6" s="310"/>
      <c r="IH6" s="310"/>
      <c r="II6" s="311"/>
      <c r="IJ6" s="309" t="e">
        <f ca="1">FDate(IJ5)</f>
        <v>#VALUE!</v>
      </c>
      <c r="IK6" s="310"/>
      <c r="IL6" s="310"/>
      <c r="IM6" s="310"/>
      <c r="IN6" s="311"/>
      <c r="IO6" s="309" t="e">
        <f ca="1">FDate(IO5)</f>
        <v>#VALUE!</v>
      </c>
      <c r="IP6" s="310"/>
      <c r="IQ6" s="310"/>
      <c r="IR6" s="310"/>
      <c r="IS6" s="311"/>
      <c r="IT6" s="309" t="e">
        <f ca="1">FDate(IT5)</f>
        <v>#VALUE!</v>
      </c>
      <c r="IU6" s="310"/>
      <c r="IV6" s="310"/>
      <c r="IW6" s="310"/>
      <c r="IX6" s="311"/>
      <c r="IY6" s="18"/>
      <c r="IZ6" s="28"/>
      <c r="JA6" s="152" t="s">
        <v>7</v>
      </c>
      <c r="JB6" s="152" t="s">
        <v>55</v>
      </c>
      <c r="JC6" s="152" t="s">
        <v>56</v>
      </c>
      <c r="JD6" s="148"/>
    </row>
    <row r="7" spans="1:264" s="125" customFormat="1">
      <c r="A7" s="123"/>
      <c r="B7" s="124"/>
      <c r="D7" s="126"/>
      <c r="F7" s="126"/>
      <c r="I7" s="127"/>
      <c r="J7" s="128"/>
      <c r="K7" s="129"/>
      <c r="L7" s="127"/>
      <c r="N7" s="127"/>
      <c r="IY7" s="19"/>
      <c r="IZ7" s="29"/>
      <c r="JA7" s="154"/>
      <c r="JB7" s="154"/>
      <c r="JC7" s="154"/>
      <c r="JD7" s="155"/>
    </row>
    <row r="8" spans="1:264" s="234" customFormat="1" ht="18">
      <c r="A8" s="223" t="s">
        <v>39</v>
      </c>
      <c r="B8" s="224" t="s">
        <v>133</v>
      </c>
      <c r="C8" s="225"/>
      <c r="D8" s="226" t="s">
        <v>134</v>
      </c>
      <c r="E8" s="130">
        <f t="shared" ref="E8:E25" si="4">VALUE(J_normdate(D8))</f>
        <v>13981001</v>
      </c>
      <c r="F8" s="227" t="str">
        <f>J_SUBDAY(J_ADDDAY(D8,L8,1),1,1)</f>
        <v>1399/01/02</v>
      </c>
      <c r="G8" s="132">
        <f t="shared" ref="G8:G25" si="5">VALUE(J_normdate(F8))</f>
        <v>13990102</v>
      </c>
      <c r="H8" s="228"/>
      <c r="I8" s="229"/>
      <c r="J8" s="230"/>
      <c r="K8" s="133" t="e">
        <f>SUM(K9,K17,K30,K51,K57,K64,#REF!)</f>
        <v>#REF!</v>
      </c>
      <c r="L8" s="231">
        <f>J_DIFF(D8,FDate(MAX(G9:G9704)))+1</f>
        <v>91</v>
      </c>
      <c r="M8" s="232">
        <f>(L9*M9+L17*M17+L30*M30+L51*M51+L57*M57+L64*M64+L77*M77)/SUM(L9,L17,L30,L51,L57,L64,L77)</f>
        <v>9.9322312913204674E-2</v>
      </c>
      <c r="N8" s="233">
        <f>NETWORKDAYS.INTL(J_GregorianDate(D8,1),J_GregorianDate(F8,1),16,1)-SUMIFS(Holieday[ok],Holieday[date],CONCATENATE("&gt;","=",D8),Holieday[date],CONCATENATE("&lt;","=",F8))+SUMIFS(Holieday[Friday],Holieday[date],CONCATENATE("&gt;","=",D8),Holieday[date],CONCATENATE("&lt;","=",F8))</f>
        <v>74</v>
      </c>
      <c r="O8" s="134" t="e">
        <f>SUM(O9,O17,O30,O51,O57,O64,O77,#REF!,#REF!,#REF!)</f>
        <v>#REF!</v>
      </c>
      <c r="P8" s="135" t="e">
        <f>VALUE(J_normdate(J_ADDDAY($D8,$O8,1)))</f>
        <v>#VALUE!</v>
      </c>
      <c r="Q8" s="131" t="e">
        <f t="shared" ref="Q8:Q13" si="6">L8-O8</f>
        <v>#REF!</v>
      </c>
      <c r="IY8" s="235"/>
      <c r="IZ8" s="236"/>
      <c r="JA8" s="237"/>
      <c r="JB8" s="237"/>
      <c r="JC8" s="237"/>
      <c r="JD8" s="238"/>
    </row>
    <row r="9" spans="1:264" s="136" customFormat="1" ht="13.5">
      <c r="A9" s="204">
        <v>1</v>
      </c>
      <c r="B9" s="205" t="s">
        <v>108</v>
      </c>
      <c r="C9" s="206"/>
      <c r="D9" s="304" t="str">
        <f>D8</f>
        <v>1398/10/01</v>
      </c>
      <c r="E9" s="136">
        <f t="shared" si="4"/>
        <v>13981001</v>
      </c>
      <c r="F9" s="303" t="str">
        <f>J_SUBDAY(J_ADDDAY(D9,L9,1),1,1)</f>
        <v>1398/10/16</v>
      </c>
      <c r="G9" s="139">
        <f t="shared" si="5"/>
        <v>13981016</v>
      </c>
      <c r="H9" s="207"/>
      <c r="I9" s="208"/>
      <c r="J9" s="209">
        <f>j_WEEKDAY(D9,2)</f>
        <v>1</v>
      </c>
      <c r="K9" s="140">
        <f>SUM(K10:K16)</f>
        <v>3</v>
      </c>
      <c r="L9" s="210">
        <f>J_DIFF(D9,FDate(MAX(G10:G16)))+1</f>
        <v>16</v>
      </c>
      <c r="M9" s="211">
        <f>IF(SUM(L10:L16)&lt;&gt;0,SUMPRODUCT(L10:L16,M10:M16)/SUM(L10:L16),0)</f>
        <v>0.20833333333333334</v>
      </c>
      <c r="N9" s="212">
        <f>IF(F9&gt;=D9,NETWORKDAYS.INTL(J_GregorianDate(D9,1),J_GregorianDate(F9,1),16,1)-SUMIFS(Holieday[ok],Holieday[date],CONCATENATE("&gt;","=",D9),Holieday[date],CONCATENATE("&lt;","=",F9))+SUMIFS(Holieday[Friday],Holieday[date],CONCATENATE("&gt;","=",D9),Holieday[date],CONCATENATE("&lt;","=",F9)),0)</f>
        <v>14</v>
      </c>
      <c r="O9" s="135">
        <f>ROUNDDOWN(M9*L9,0)</f>
        <v>3</v>
      </c>
      <c r="P9" s="135">
        <f>VALUE(J_normdate(J_ADDDAY($D9,$O9,1)))</f>
        <v>13981004</v>
      </c>
      <c r="Q9" s="138">
        <f t="shared" si="6"/>
        <v>13</v>
      </c>
      <c r="IY9" s="20"/>
      <c r="IZ9" s="30"/>
      <c r="JA9" s="156"/>
      <c r="JB9" s="156"/>
      <c r="JC9" s="156"/>
      <c r="JD9" s="157"/>
    </row>
    <row r="10" spans="1:264" s="159" customFormat="1" ht="16.5">
      <c r="A10" s="172">
        <v>1.1000000000000001</v>
      </c>
      <c r="B10" s="186" t="s">
        <v>131</v>
      </c>
      <c r="C10" s="173" t="s">
        <v>104</v>
      </c>
      <c r="D10" s="298" t="str">
        <f>D9</f>
        <v>1398/10/01</v>
      </c>
      <c r="E10" s="136">
        <f t="shared" si="4"/>
        <v>13981001</v>
      </c>
      <c r="F10" s="299" t="str">
        <f>IF(N10=0,J_SUBDAY(D10,1,1),IF((N10-(NETWORKDAYS.INTL(J_GregorianDate(D10,1),J_GregorianDate(J_SUBDAY(J_ADDDAY(D10,N10,1),1,1),1),16,1)))+SUMIFS(Holieday[ok],Holieday[date],CONCATENATE("&gt;","=",D10),Holieday[date],CONCATENATE("&lt;","=",J_SUBDAY(J_ADDDAY(D10,N10,1),1,1)))-SUMIFS(Holieday[Friday],Holieday[date],CONCATENATE("&gt;","=",D10),Holieday[date],CONCATENATE("&lt;","=",J_SUBDAY(J_ADDDAY(D10,N10,1),1,1)))=0,J_SUBDAY(J_ADDDAY(D10,N10,1),1,1),IF((N10+1-(NETWORKDAYS.INTL(J_GregorianDate(D10,1),J_GregorianDate(J_SUBDAY(J_ADDDAY(D10,N10+1,1),1,1),1),16,1)))+SUMIFS(Holieday[ok],Holieday[date],CONCATENATE("&gt;","=",D10),Holieday[date],CONCATENATE("&lt;","=",J_SUBDAY(J_ADDDAY(D10,N10+1,1),1,1)))-SUMIFS(Holieday[Friday],Holieday[date],CONCATENATE("&gt;","=",D10),Holieday[date],CONCATENATE("&lt;","=",J_SUBDAY(J_ADDDAY(D10,N10+1,1),1,1)))=1,J_SUBDAY(J_ADDDAY(D10,N10+1,1),1,1),IF((N10+2-(NETWORKDAYS.INTL(J_GregorianDate(D10,1),J_GregorianDate(J_SUBDAY(J_ADDDAY(D10,N10+2,1),1,1),1),16,1)))+SUMIFS(Holieday[ok],Holieday[date],CONCATENATE("&gt;","=",D10),Holieday[date],CONCATENATE("&lt;","=",J_SUBDAY(J_ADDDAY(D10,N10+2,1),1,1)))-SUMIFS(Holieday[Friday],Holieday[date],CONCATENATE("&gt;","=",D10),Holieday[date],CONCATENATE("&lt;","=",J_SUBDAY(J_ADDDAY(D10,N10+2,1),1,1)))=2,J_SUBDAY(J_ADDDAY(D10,N10+2,1),1,1),IF((N10+3-(NETWORKDAYS.INTL(J_GregorianDate(D10,1),J_GregorianDate(J_SUBDAY(J_ADDDAY(D10,N10+3,1),1,1),1),16,1)))+SUMIFS(Holieday[ok],Holieday[date],CONCATENATE("&gt;","=",D10),Holieday[date],CONCATENATE("&lt;","=",J_SUBDAY(J_ADDDAY(D10,N10+3,1),1,1)))-SUMIFS(Holieday[Friday],Holieday[date],CONCATENATE("&gt;","=",D10),Holieday[date],CONCATENATE("&lt;","=",J_SUBDAY(J_ADDDAY(D10,N10+3,1),1,1)))=3,J_SUBDAY(J_ADDDAY(D10,N10+3,1),1,1),IF((N10+4-(NETWORKDAYS.INTL(J_GregorianDate(D10,1),J_GregorianDate(J_SUBDAY(J_ADDDAY(D10,N10+4,1),1,1),1),16,1)))+SUMIFS(Holieday[ok],Holieday[date],CONCATENATE("&gt;","=",D10),Holieday[date],CONCATENATE("&lt;","=",J_SUBDAY(J_ADDDAY(D10,N10+4,1),1,1)))-SUMIFS(Holieday[Friday],Holieday[date],CONCATENATE("&gt;","=",D10),Holieday[date],CONCATENATE("&lt;","=",J_SUBDAY(J_ADDDAY(D10,N10+4,1),1,1)))=4,J_SUBDAY(J_ADDDAY(D10,N10+4,1),1,1),IF((N10+5-(NETWORKDAYS.INTL(J_GregorianDate(D10,1),J_GregorianDate(J_SUBDAY(J_ADDDAY(D10,N10+5,1),1,1),1),16,1)))+SUMIFS(Holieday[ok],Holieday[date],CONCATENATE("&gt;","=",D10),Holieday[date],CONCATENATE("&lt;","=",J_SUBDAY(J_ADDDAY(D10,N10+5,1),1,1)))-SUMIFS(Holieday[Friday],Holieday[date],CONCATENATE("&gt;","=",D10),Holieday[date],CONCATENATE("&lt;","=",J_SUBDAY(J_ADDDAY(D10,N10+5,1),1,1)))=5,J_SUBDAY(J_ADDDAY(D10,N10+5,1),1,1),J_SUBDAY(J_ADDDAY(D10,N10+6,1),1,1))))))))</f>
        <v>1398/10/01</v>
      </c>
      <c r="G10" s="139">
        <f t="shared" si="5"/>
        <v>13981001</v>
      </c>
      <c r="H10" s="175"/>
      <c r="I10" s="176">
        <v>1</v>
      </c>
      <c r="J10" s="174">
        <f>j_WEEKDAY(D10,2)</f>
        <v>1</v>
      </c>
      <c r="K10" s="143">
        <f t="shared" ref="K10:K13" si="7">SUM(JA10:JC10)</f>
        <v>0</v>
      </c>
      <c r="L10" s="177">
        <f t="shared" ref="L10:L16" si="8">J_DIFF(D10,F10)+1</f>
        <v>1</v>
      </c>
      <c r="M10" s="178">
        <v>1</v>
      </c>
      <c r="N10" s="179">
        <v>1</v>
      </c>
      <c r="O10" s="144">
        <f>ROUNDDOWN(M10*L10,0)</f>
        <v>1</v>
      </c>
      <c r="P10" s="144">
        <f>VALUE(J_normdate(J_ADDDAY($D10,$O10,1)))</f>
        <v>13981002</v>
      </c>
      <c r="Q10" s="142">
        <f t="shared" si="6"/>
        <v>0</v>
      </c>
      <c r="R10" s="141"/>
      <c r="S10" s="141"/>
      <c r="T10" s="141"/>
      <c r="U10" s="141"/>
      <c r="V10" s="141"/>
      <c r="W10" s="141"/>
      <c r="X10" s="141"/>
      <c r="Y10" s="141"/>
      <c r="Z10" s="141"/>
      <c r="AA10" s="141"/>
      <c r="AB10" s="141"/>
      <c r="AC10" s="141"/>
      <c r="AD10" s="141"/>
      <c r="AE10" s="141"/>
      <c r="AF10" s="141"/>
      <c r="AG10" s="141"/>
      <c r="AH10" s="141"/>
      <c r="AI10" s="141"/>
      <c r="AJ10" s="141"/>
      <c r="AK10" s="141"/>
      <c r="AL10" s="141"/>
      <c r="AM10" s="141"/>
      <c r="AN10" s="141"/>
      <c r="AO10" s="141"/>
      <c r="AP10" s="141"/>
      <c r="AQ10" s="141"/>
      <c r="AR10" s="141"/>
      <c r="AS10" s="141"/>
      <c r="AT10" s="141"/>
      <c r="AU10" s="141"/>
      <c r="AV10" s="141"/>
      <c r="AW10" s="141"/>
      <c r="AX10" s="141"/>
      <c r="AY10" s="141"/>
      <c r="AZ10" s="141"/>
      <c r="BA10" s="141"/>
      <c r="BB10" s="141"/>
      <c r="BC10" s="141"/>
      <c r="BD10" s="141"/>
      <c r="BE10" s="141"/>
      <c r="BF10" s="141"/>
      <c r="BG10" s="141"/>
      <c r="BH10" s="141"/>
      <c r="BI10" s="141"/>
      <c r="BJ10" s="141"/>
      <c r="BK10" s="141"/>
      <c r="BL10" s="141"/>
      <c r="BM10" s="141"/>
      <c r="BN10" s="141"/>
      <c r="BO10" s="141"/>
      <c r="BP10" s="141"/>
      <c r="BQ10" s="141"/>
      <c r="BR10" s="141"/>
      <c r="BS10" s="141"/>
      <c r="BT10" s="141"/>
      <c r="BU10" s="141"/>
      <c r="BV10" s="141"/>
      <c r="BW10" s="141"/>
      <c r="BX10" s="141"/>
      <c r="BY10" s="141"/>
      <c r="BZ10" s="141"/>
      <c r="CA10" s="141"/>
      <c r="CB10" s="141"/>
      <c r="CC10" s="141"/>
      <c r="CD10" s="141"/>
      <c r="CE10" s="141"/>
      <c r="CF10" s="141"/>
      <c r="CG10" s="141"/>
      <c r="CH10" s="141"/>
      <c r="CI10" s="141"/>
      <c r="CJ10" s="141"/>
      <c r="CK10" s="141"/>
      <c r="CL10" s="141"/>
      <c r="CM10" s="141"/>
      <c r="CN10" s="141"/>
      <c r="CO10" s="141"/>
      <c r="CP10" s="141"/>
      <c r="CQ10" s="141"/>
      <c r="CR10" s="141"/>
      <c r="CS10" s="141"/>
      <c r="CT10" s="141"/>
      <c r="CU10" s="141"/>
      <c r="CV10" s="141"/>
      <c r="CW10" s="141"/>
      <c r="CX10" s="141"/>
      <c r="CY10" s="141"/>
      <c r="CZ10" s="141"/>
      <c r="DA10" s="141"/>
      <c r="DB10" s="141"/>
      <c r="DC10" s="141"/>
      <c r="DD10" s="141"/>
      <c r="DE10" s="141"/>
      <c r="DF10" s="141"/>
      <c r="DG10" s="141"/>
      <c r="DH10" s="141"/>
      <c r="DI10" s="141"/>
      <c r="DJ10" s="141"/>
      <c r="DK10" s="141"/>
      <c r="DL10" s="141"/>
      <c r="DM10" s="141"/>
      <c r="DN10" s="141"/>
      <c r="DO10" s="141"/>
      <c r="DP10" s="141"/>
      <c r="DQ10" s="141"/>
      <c r="DR10" s="141"/>
      <c r="DS10" s="141"/>
      <c r="DT10" s="141"/>
      <c r="DU10" s="141"/>
      <c r="DV10" s="141"/>
      <c r="DW10" s="141"/>
      <c r="DX10" s="141"/>
      <c r="DY10" s="141"/>
      <c r="DZ10" s="141"/>
      <c r="EA10" s="141"/>
      <c r="EB10" s="141"/>
      <c r="EC10" s="141"/>
      <c r="ED10" s="141"/>
      <c r="EE10" s="141"/>
      <c r="EF10" s="141"/>
      <c r="EG10" s="141"/>
      <c r="EH10" s="141"/>
      <c r="EI10" s="141"/>
      <c r="EJ10" s="141"/>
      <c r="EK10" s="141"/>
      <c r="EL10" s="141"/>
      <c r="EM10" s="141"/>
      <c r="EN10" s="141"/>
      <c r="EO10" s="141"/>
      <c r="EP10" s="141"/>
      <c r="EQ10" s="141"/>
      <c r="ER10" s="141"/>
      <c r="ES10" s="141"/>
      <c r="ET10" s="141"/>
      <c r="EU10" s="141"/>
      <c r="EV10" s="141"/>
      <c r="EW10" s="141"/>
      <c r="EX10" s="141"/>
      <c r="EY10" s="141"/>
      <c r="EZ10" s="141"/>
      <c r="FA10" s="141"/>
      <c r="FB10" s="141"/>
      <c r="FC10" s="141"/>
      <c r="FD10" s="141"/>
      <c r="FE10" s="141"/>
      <c r="FF10" s="141"/>
      <c r="FG10" s="141"/>
      <c r="FH10" s="141"/>
      <c r="FI10" s="141"/>
      <c r="FJ10" s="141"/>
      <c r="FK10" s="141"/>
      <c r="FL10" s="141"/>
      <c r="FM10" s="141"/>
      <c r="FN10" s="141"/>
      <c r="FO10" s="141"/>
      <c r="FP10" s="141"/>
      <c r="FQ10" s="141"/>
      <c r="FR10" s="141"/>
      <c r="FS10" s="141"/>
      <c r="FT10" s="141"/>
      <c r="FU10" s="141"/>
      <c r="FV10" s="141"/>
      <c r="FW10" s="141"/>
      <c r="FX10" s="141"/>
      <c r="FY10" s="141"/>
      <c r="FZ10" s="141"/>
      <c r="GA10" s="141"/>
      <c r="GB10" s="141"/>
      <c r="GC10" s="141"/>
      <c r="GD10" s="141"/>
      <c r="GE10" s="141"/>
      <c r="GF10" s="141"/>
      <c r="GG10" s="141"/>
      <c r="GH10" s="141"/>
      <c r="GI10" s="141"/>
      <c r="GJ10" s="141"/>
      <c r="GK10" s="141"/>
      <c r="GL10" s="141"/>
      <c r="GM10" s="141"/>
      <c r="GN10" s="141"/>
      <c r="GO10" s="141"/>
      <c r="GP10" s="141"/>
      <c r="GQ10" s="141"/>
      <c r="GR10" s="141"/>
      <c r="GS10" s="141"/>
      <c r="GT10" s="141"/>
      <c r="GU10" s="141"/>
      <c r="GV10" s="141"/>
      <c r="GW10" s="141"/>
      <c r="GX10" s="141"/>
      <c r="GY10" s="141"/>
      <c r="GZ10" s="141"/>
      <c r="HA10" s="141"/>
      <c r="HB10" s="141"/>
      <c r="HC10" s="141"/>
      <c r="HD10" s="141"/>
      <c r="HE10" s="141"/>
      <c r="HF10" s="141"/>
      <c r="HG10" s="141"/>
      <c r="HH10" s="141"/>
      <c r="HI10" s="141"/>
      <c r="HJ10" s="141"/>
      <c r="HK10" s="141"/>
      <c r="HL10" s="141"/>
      <c r="HM10" s="141"/>
      <c r="HN10" s="141"/>
      <c r="HO10" s="141"/>
      <c r="HP10" s="141"/>
      <c r="HQ10" s="141"/>
      <c r="HR10" s="141"/>
      <c r="HS10" s="141"/>
      <c r="HT10" s="141"/>
      <c r="HU10" s="141"/>
      <c r="HV10" s="141"/>
      <c r="HW10" s="141"/>
      <c r="HX10" s="141"/>
      <c r="HY10" s="141"/>
      <c r="HZ10" s="141"/>
      <c r="IA10" s="141"/>
      <c r="IB10" s="141"/>
      <c r="IC10" s="141"/>
      <c r="ID10" s="141"/>
      <c r="IE10" s="141"/>
      <c r="IF10" s="141"/>
      <c r="IG10" s="141"/>
      <c r="IH10" s="141"/>
      <c r="II10" s="141"/>
      <c r="IJ10" s="141"/>
      <c r="IK10" s="141"/>
      <c r="IL10" s="141"/>
      <c r="IM10" s="141"/>
      <c r="IN10" s="141"/>
      <c r="IO10" s="141"/>
      <c r="IP10" s="141"/>
      <c r="IQ10" s="141"/>
      <c r="IR10" s="141"/>
      <c r="IS10" s="141"/>
      <c r="IT10" s="141"/>
      <c r="IU10" s="141"/>
      <c r="IV10" s="141"/>
      <c r="IW10" s="141"/>
      <c r="IX10" s="141"/>
      <c r="IY10" s="21">
        <v>1</v>
      </c>
      <c r="IZ10" s="31">
        <f>(TEXT(K10,"[m]")/60)*VLOOKUP(IY10,'Income Person-hours'!A$2:C$5,3,FALSE)</f>
        <v>0</v>
      </c>
      <c r="JA10" s="91"/>
      <c r="JB10" s="91"/>
      <c r="JC10" s="91"/>
      <c r="JD10" s="158">
        <f>SUM((TEXT(JA10,"[M]")/60)*'Income Person-hours'!$D$3,(TEXT(JB10,"[M]")/60)*'Income Person-hours'!$D$4,(TEXT(JC10,"[M]")/60)*'Income Person-hours'!$D$5)</f>
        <v>0</v>
      </c>
    </row>
    <row r="11" spans="1:264" s="159" customFormat="1" ht="13.5">
      <c r="A11" s="172">
        <v>1.2</v>
      </c>
      <c r="B11" s="186" t="s">
        <v>124</v>
      </c>
      <c r="C11" s="173" t="s">
        <v>104</v>
      </c>
      <c r="D11" s="298" t="str">
        <f>IF(OR(j_WEEKDAY(J_ADDDAY(VLOOKUP(I11,A:F,6,FALSE),H11,1),0)=6,SUMIFS(Holieday[ok],Holieday[date],J_ADDDAY(VLOOKUP(I11,A:F,6,FALSE),H11,1)))=FALSE(),J_ADDDAY(VLOOKUP(I11,A:F,6,FALSE),H11,1),IF(OR(j_WEEKDAY(J_ADDDAY(VLOOKUP(I11,A:F,6,FALSE),H11+1,1),0)=6,SUMIFS(Holieday[ok],Holieday[date],J_ADDDAY(VLOOKUP(I11,A:F,6,FALSE),H11+1,1)))=FALSE(),J_ADDDAY(VLOOKUP(I11,A:F,6,FALSE),H11+1,1),IF(OR(j_WEEKDAY(J_ADDDAY(VLOOKUP(I11,A:F,6,FALSE),H11+2,1),0)=6,SUMIFS(Holieday[ok],Holieday[date],J_ADDDAY(VLOOKUP(I11,A:F,6,FALSE),H11+2,1)))=FALSE(),J_ADDDAY(VLOOKUP(I11,A:F,6,FALSE),H11+2,1),IF(OR(j_WEEKDAY(J_ADDDAY(VLOOKUP(I11,A:F,6,FALSE),H11+3,1),0)=6,SUMIFS(Holieday[ok],Holieday[date],J_ADDDAY(VLOOKUP(I11,A:F,6,FALSE),H11+3,1)))=FALSE(),J_ADDDAY(VLOOKUP(I11,A:F,6,FALSE),H11+3,1),IF(OR(j_WEEKDAY(J_ADDDAY(VLOOKUP(I11,A:F,6,FALSE),H11+4,1),0)=6,SUMIFS(Holieday[ok],Holieday[date],J_ADDDAY(VLOOKUP(I11,A:F,6,FALSE),H11+4,1)))=FALSE(),J_ADDDAY(VLOOKUP(I11,A:F,6,FALSE),H11+4,1),J_ADDDAY(VLOOKUP(I11,A:F,6,FALSE),H11+5,1))))))</f>
        <v>1398/10/01</v>
      </c>
      <c r="E11" s="136">
        <f t="shared" si="4"/>
        <v>13981001</v>
      </c>
      <c r="F11" s="299" t="str">
        <f>IF(N11=0,J_SUBDAY(D11,1,1),IF((N11-(NETWORKDAYS.INTL(J_GregorianDate(D11,1),J_GregorianDate(J_SUBDAY(J_ADDDAY(D11,N11,1),1,1),1),16,1)))+SUMIFS(Holieday[ok],Holieday[date],CONCATENATE("&gt;","=",D11),Holieday[date],CONCATENATE("&lt;","=",J_SUBDAY(J_ADDDAY(D11,N11,1),1,1)))-SUMIFS(Holieday[Friday],Holieday[date],CONCATENATE("&gt;","=",D11),Holieday[date],CONCATENATE("&lt;","=",J_SUBDAY(J_ADDDAY(D11,N11,1),1,1)))=0,J_SUBDAY(J_ADDDAY(D11,N11,1),1,1),IF((N11+1-(NETWORKDAYS.INTL(J_GregorianDate(D11,1),J_GregorianDate(J_SUBDAY(J_ADDDAY(D11,N11+1,1),1,1),1),16,1)))+SUMIFS(Holieday[ok],Holieday[date],CONCATENATE("&gt;","=",D11),Holieday[date],CONCATENATE("&lt;","=",J_SUBDAY(J_ADDDAY(D11,N11+1,1),1,1)))-SUMIFS(Holieday[Friday],Holieday[date],CONCATENATE("&gt;","=",D11),Holieday[date],CONCATENATE("&lt;","=",J_SUBDAY(J_ADDDAY(D11,N11+1,1),1,1)))=1,J_SUBDAY(J_ADDDAY(D11,N11+1,1),1,1),IF((N11+2-(NETWORKDAYS.INTL(J_GregorianDate(D11,1),J_GregorianDate(J_SUBDAY(J_ADDDAY(D11,N11+2,1),1,1),1),16,1)))+SUMIFS(Holieday[ok],Holieday[date],CONCATENATE("&gt;","=",D11),Holieday[date],CONCATENATE("&lt;","=",J_SUBDAY(J_ADDDAY(D11,N11+2,1),1,1)))-SUMIFS(Holieday[Friday],Holieday[date],CONCATENATE("&gt;","=",D11),Holieday[date],CONCATENATE("&lt;","=",J_SUBDAY(J_ADDDAY(D11,N11+2,1),1,1)))=2,J_SUBDAY(J_ADDDAY(D11,N11+2,1),1,1),IF((N11+3-(NETWORKDAYS.INTL(J_GregorianDate(D11,1),J_GregorianDate(J_SUBDAY(J_ADDDAY(D11,N11+3,1),1,1),1),16,1)))+SUMIFS(Holieday[ok],Holieday[date],CONCATENATE("&gt;","=",D11),Holieday[date],CONCATENATE("&lt;","=",J_SUBDAY(J_ADDDAY(D11,N11+3,1),1,1)))-SUMIFS(Holieday[Friday],Holieday[date],CONCATENATE("&gt;","=",D11),Holieday[date],CONCATENATE("&lt;","=",J_SUBDAY(J_ADDDAY(D11,N11+3,1),1,1)))=3,J_SUBDAY(J_ADDDAY(D11,N11+3,1),1,1),IF((N11+4-(NETWORKDAYS.INTL(J_GregorianDate(D11,1),J_GregorianDate(J_SUBDAY(J_ADDDAY(D11,N11+4,1),1,1),1),16,1)))+SUMIFS(Holieday[ok],Holieday[date],CONCATENATE("&gt;","=",D11),Holieday[date],CONCATENATE("&lt;","=",J_SUBDAY(J_ADDDAY(D11,N11+4,1),1,1)))-SUMIFS(Holieday[Friday],Holieday[date],CONCATENATE("&gt;","=",D11),Holieday[date],CONCATENATE("&lt;","=",J_SUBDAY(J_ADDDAY(D11,N11+4,1),1,1)))=4,J_SUBDAY(J_ADDDAY(D11,N11+4,1),1,1),IF((N11+5-(NETWORKDAYS.INTL(J_GregorianDate(D11,1),J_GregorianDate(J_SUBDAY(J_ADDDAY(D11,N11+5,1),1,1),1),16,1)))+SUMIFS(Holieday[ok],Holieday[date],CONCATENATE("&gt;","=",D11),Holieday[date],CONCATENATE("&lt;","=",J_SUBDAY(J_ADDDAY(D11,N11+5,1),1,1)))-SUMIFS(Holieday[Friday],Holieday[date],CONCATENATE("&gt;","=",D11),Holieday[date],CONCATENATE("&lt;","=",J_SUBDAY(J_ADDDAY(D11,N11+5,1),1,1)))=5,J_SUBDAY(J_ADDDAY(D11,N11+5,1),1,1),J_SUBDAY(J_ADDDAY(D11,N11+6,1),1,1))))))))</f>
        <v>1398/10/03</v>
      </c>
      <c r="G11" s="139">
        <f t="shared" si="5"/>
        <v>13981003</v>
      </c>
      <c r="H11" s="175"/>
      <c r="I11" s="176">
        <v>1.1000000000000001</v>
      </c>
      <c r="J11" s="174">
        <f>j_WEEKDAY(D11,2)</f>
        <v>1</v>
      </c>
      <c r="K11" s="143">
        <f t="shared" si="7"/>
        <v>0</v>
      </c>
      <c r="L11" s="177">
        <f t="shared" si="8"/>
        <v>3</v>
      </c>
      <c r="M11" s="178">
        <v>1</v>
      </c>
      <c r="N11" s="179">
        <v>3</v>
      </c>
      <c r="O11" s="144">
        <f>ROUNDDOWN(M11*L11,0)</f>
        <v>3</v>
      </c>
      <c r="P11" s="144">
        <f>VALUE(J_normdate(J_ADDDAY($D11,$O11,1)))</f>
        <v>13981004</v>
      </c>
      <c r="Q11" s="142">
        <f t="shared" si="6"/>
        <v>0</v>
      </c>
      <c r="R11" s="141"/>
      <c r="S11" s="141"/>
      <c r="T11" s="141"/>
      <c r="U11" s="141"/>
      <c r="V11" s="141"/>
      <c r="W11" s="141"/>
      <c r="X11" s="141"/>
      <c r="Y11" s="141"/>
      <c r="Z11" s="141"/>
      <c r="AA11" s="141"/>
      <c r="AB11" s="141"/>
      <c r="AC11" s="141"/>
      <c r="AD11" s="141"/>
      <c r="AE11" s="141"/>
      <c r="AF11" s="141"/>
      <c r="AG11" s="141"/>
      <c r="AH11" s="141"/>
      <c r="AI11" s="141"/>
      <c r="AJ11" s="141"/>
      <c r="AK11" s="141"/>
      <c r="AL11" s="141"/>
      <c r="AM11" s="141"/>
      <c r="AN11" s="141"/>
      <c r="AO11" s="141"/>
      <c r="AP11" s="141"/>
      <c r="AQ11" s="141"/>
      <c r="AR11" s="141"/>
      <c r="AS11" s="141"/>
      <c r="AT11" s="141"/>
      <c r="AU11" s="141"/>
      <c r="AV11" s="141"/>
      <c r="AW11" s="141"/>
      <c r="AX11" s="141"/>
      <c r="AY11" s="141"/>
      <c r="AZ11" s="141"/>
      <c r="BA11" s="141"/>
      <c r="BB11" s="141"/>
      <c r="BC11" s="141"/>
      <c r="BD11" s="141"/>
      <c r="BE11" s="141"/>
      <c r="BF11" s="141"/>
      <c r="BG11" s="141"/>
      <c r="BH11" s="141"/>
      <c r="BI11" s="141"/>
      <c r="BJ11" s="141"/>
      <c r="BK11" s="141"/>
      <c r="BL11" s="141"/>
      <c r="BM11" s="141"/>
      <c r="BN11" s="141"/>
      <c r="BO11" s="141"/>
      <c r="BP11" s="141"/>
      <c r="BQ11" s="141"/>
      <c r="BR11" s="141"/>
      <c r="BS11" s="141"/>
      <c r="BT11" s="141"/>
      <c r="BU11" s="141"/>
      <c r="BV11" s="141"/>
      <c r="BW11" s="141"/>
      <c r="BX11" s="141"/>
      <c r="BY11" s="141"/>
      <c r="BZ11" s="141"/>
      <c r="CA11" s="141"/>
      <c r="CB11" s="141"/>
      <c r="CC11" s="141"/>
      <c r="CD11" s="141"/>
      <c r="CE11" s="141"/>
      <c r="CF11" s="141"/>
      <c r="CG11" s="141"/>
      <c r="CH11" s="141"/>
      <c r="CI11" s="141"/>
      <c r="CJ11" s="141"/>
      <c r="CK11" s="141"/>
      <c r="CL11" s="141"/>
      <c r="CM11" s="141"/>
      <c r="CN11" s="141"/>
      <c r="CO11" s="141"/>
      <c r="CP11" s="141"/>
      <c r="CQ11" s="141"/>
      <c r="CR11" s="141"/>
      <c r="CS11" s="141"/>
      <c r="CT11" s="141"/>
      <c r="CU11" s="141"/>
      <c r="CV11" s="141"/>
      <c r="CW11" s="141"/>
      <c r="CX11" s="141"/>
      <c r="CY11" s="141"/>
      <c r="CZ11" s="141"/>
      <c r="DA11" s="141"/>
      <c r="DB11" s="141"/>
      <c r="DC11" s="141"/>
      <c r="DD11" s="141"/>
      <c r="DE11" s="141"/>
      <c r="DF11" s="141"/>
      <c r="DG11" s="141"/>
      <c r="DH11" s="141"/>
      <c r="DI11" s="141"/>
      <c r="DJ11" s="141"/>
      <c r="DK11" s="141"/>
      <c r="DL11" s="141"/>
      <c r="DM11" s="141"/>
      <c r="DN11" s="141"/>
      <c r="DO11" s="141"/>
      <c r="DP11" s="141"/>
      <c r="DQ11" s="141"/>
      <c r="DR11" s="141"/>
      <c r="DS11" s="141"/>
      <c r="DT11" s="141"/>
      <c r="DU11" s="141"/>
      <c r="DV11" s="141"/>
      <c r="DW11" s="141"/>
      <c r="DX11" s="141"/>
      <c r="DY11" s="141"/>
      <c r="DZ11" s="141"/>
      <c r="EA11" s="141"/>
      <c r="EB11" s="141"/>
      <c r="EC11" s="141"/>
      <c r="ED11" s="141"/>
      <c r="EE11" s="141"/>
      <c r="EF11" s="141"/>
      <c r="EG11" s="141"/>
      <c r="EH11" s="141"/>
      <c r="EI11" s="141"/>
      <c r="EJ11" s="141"/>
      <c r="EK11" s="141"/>
      <c r="EL11" s="141"/>
      <c r="EM11" s="141"/>
      <c r="EN11" s="141"/>
      <c r="EO11" s="141"/>
      <c r="EP11" s="141"/>
      <c r="EQ11" s="141"/>
      <c r="ER11" s="141"/>
      <c r="ES11" s="141"/>
      <c r="ET11" s="141"/>
      <c r="EU11" s="141"/>
      <c r="EV11" s="141"/>
      <c r="EW11" s="141"/>
      <c r="EX11" s="141"/>
      <c r="EY11" s="141"/>
      <c r="EZ11" s="141"/>
      <c r="FA11" s="141"/>
      <c r="FB11" s="141"/>
      <c r="FC11" s="141"/>
      <c r="FD11" s="141"/>
      <c r="FE11" s="141"/>
      <c r="FF11" s="141"/>
      <c r="FG11" s="141"/>
      <c r="FH11" s="141"/>
      <c r="FI11" s="141"/>
      <c r="FJ11" s="141"/>
      <c r="FK11" s="141"/>
      <c r="FL11" s="141"/>
      <c r="FM11" s="141"/>
      <c r="FN11" s="141"/>
      <c r="FO11" s="141"/>
      <c r="FP11" s="141"/>
      <c r="FQ11" s="141"/>
      <c r="FR11" s="141"/>
      <c r="FS11" s="141"/>
      <c r="FT11" s="141"/>
      <c r="FU11" s="141"/>
      <c r="FV11" s="141"/>
      <c r="FW11" s="141"/>
      <c r="FX11" s="141"/>
      <c r="FY11" s="141"/>
      <c r="FZ11" s="141"/>
      <c r="GA11" s="141"/>
      <c r="GB11" s="141"/>
      <c r="GC11" s="141"/>
      <c r="GD11" s="141"/>
      <c r="GE11" s="141"/>
      <c r="GF11" s="141"/>
      <c r="GG11" s="141"/>
      <c r="GH11" s="141"/>
      <c r="GI11" s="141"/>
      <c r="GJ11" s="141"/>
      <c r="GK11" s="141"/>
      <c r="GL11" s="141"/>
      <c r="GM11" s="141"/>
      <c r="GN11" s="141"/>
      <c r="GO11" s="141"/>
      <c r="GP11" s="141"/>
      <c r="GQ11" s="141"/>
      <c r="GR11" s="141"/>
      <c r="GS11" s="141"/>
      <c r="GT11" s="141"/>
      <c r="GU11" s="141"/>
      <c r="GV11" s="141"/>
      <c r="GW11" s="141"/>
      <c r="GX11" s="141"/>
      <c r="GY11" s="141"/>
      <c r="GZ11" s="141"/>
      <c r="HA11" s="141"/>
      <c r="HB11" s="141"/>
      <c r="HC11" s="141"/>
      <c r="HD11" s="141"/>
      <c r="HE11" s="141"/>
      <c r="HF11" s="141"/>
      <c r="HG11" s="141"/>
      <c r="HH11" s="141"/>
      <c r="HI11" s="141"/>
      <c r="HJ11" s="141"/>
      <c r="HK11" s="141"/>
      <c r="HL11" s="141"/>
      <c r="HM11" s="141"/>
      <c r="HN11" s="141"/>
      <c r="HO11" s="141"/>
      <c r="HP11" s="141"/>
      <c r="HQ11" s="141"/>
      <c r="HR11" s="141"/>
      <c r="HS11" s="141"/>
      <c r="HT11" s="141"/>
      <c r="HU11" s="141"/>
      <c r="HV11" s="141"/>
      <c r="HW11" s="141"/>
      <c r="HX11" s="141"/>
      <c r="HY11" s="141"/>
      <c r="HZ11" s="141"/>
      <c r="IA11" s="141"/>
      <c r="IB11" s="141"/>
      <c r="IC11" s="141"/>
      <c r="ID11" s="141"/>
      <c r="IE11" s="141"/>
      <c r="IF11" s="141"/>
      <c r="IG11" s="141"/>
      <c r="IH11" s="141"/>
      <c r="II11" s="141"/>
      <c r="IJ11" s="141"/>
      <c r="IK11" s="141"/>
      <c r="IL11" s="141"/>
      <c r="IM11" s="141"/>
      <c r="IN11" s="141"/>
      <c r="IO11" s="141"/>
      <c r="IP11" s="141"/>
      <c r="IQ11" s="141"/>
      <c r="IR11" s="141"/>
      <c r="IS11" s="141"/>
      <c r="IT11" s="141"/>
      <c r="IU11" s="141"/>
      <c r="IV11" s="141"/>
      <c r="IW11" s="141"/>
      <c r="IX11" s="141"/>
      <c r="IY11" s="21">
        <v>2</v>
      </c>
      <c r="IZ11" s="31">
        <f>(TEXT(K11,"[m]")/60)*VLOOKUP(IY11,'Income Person-hours'!A$2:C$5,3,FALSE)</f>
        <v>0</v>
      </c>
      <c r="JA11" s="91"/>
      <c r="JB11" s="91"/>
      <c r="JC11" s="91"/>
      <c r="JD11" s="160">
        <f>SUM((TEXT(JA11,"[M]")/60)*'Income Person-hours'!$D$3,(TEXT(JB11,"[M]")/60)*'Income Person-hours'!$D$4,(TEXT(JC11,"[M]")/60)*'Income Person-hours'!$D$5)</f>
        <v>0</v>
      </c>
    </row>
    <row r="12" spans="1:264" s="159" customFormat="1" ht="13.5">
      <c r="A12" s="172">
        <v>1.3</v>
      </c>
      <c r="B12" s="186" t="s">
        <v>105</v>
      </c>
      <c r="C12" s="173" t="s">
        <v>72</v>
      </c>
      <c r="D12" s="298" t="str">
        <f>IF(OR(j_WEEKDAY(J_ADDDAY(VLOOKUP(I12,A:F,6,FALSE),H12,1),0)=6,SUMIFS(Holieday[ok],Holieday[date],J_ADDDAY(VLOOKUP(I12,A:F,6,FALSE),H12,1)))=FALSE(),J_ADDDAY(VLOOKUP(I12,A:F,6,FALSE),H12,1),IF(OR(j_WEEKDAY(J_ADDDAY(VLOOKUP(I12,A:F,6,FALSE),H12+1,1),0)=6,SUMIFS(Holieday[ok],Holieday[date],J_ADDDAY(VLOOKUP(I12,A:F,6,FALSE),H12+1,1)))=FALSE(),J_ADDDAY(VLOOKUP(I12,A:F,6,FALSE),H12+1,1),IF(OR(j_WEEKDAY(J_ADDDAY(VLOOKUP(I12,A:F,6,FALSE),H12+2,1),0)=6,SUMIFS(Holieday[ok],Holieday[date],J_ADDDAY(VLOOKUP(I12,A:F,6,FALSE),H12+2,1)))=FALSE(),J_ADDDAY(VLOOKUP(I12,A:F,6,FALSE),H12+2,1),IF(OR(j_WEEKDAY(J_ADDDAY(VLOOKUP(I12,A:F,6,FALSE),H12+3,1),0)=6,SUMIFS(Holieday[ok],Holieday[date],J_ADDDAY(VLOOKUP(I12,A:F,6,FALSE),H12+3,1)))=FALSE(),J_ADDDAY(VLOOKUP(I12,A:F,6,FALSE),H12+3,1),IF(OR(j_WEEKDAY(J_ADDDAY(VLOOKUP(I12,A:F,6,FALSE),H12+4,1),0)=6,SUMIFS(Holieday[ok],Holieday[date],J_ADDDAY(VLOOKUP(I12,A:F,6,FALSE),H12+4,1)))=FALSE(),J_ADDDAY(VLOOKUP(I12,A:F,6,FALSE),H12+4,1),J_ADDDAY(VLOOKUP(I12,A:F,6,FALSE),H12+5,1))))))</f>
        <v>1398/10/01</v>
      </c>
      <c r="E12" s="136">
        <f t="shared" si="4"/>
        <v>13981001</v>
      </c>
      <c r="F12" s="299" t="str">
        <f>IF(N12=0,J_SUBDAY(D12,1,1),IF((N12-(NETWORKDAYS.INTL(J_GregorianDate(D12,1),J_GregorianDate(J_SUBDAY(J_ADDDAY(D12,N12,1),1,1),1),16,1)))+SUMIFS(Holieday[ok],Holieday[date],CONCATENATE("&gt;","=",D12),Holieday[date],CONCATENATE("&lt;","=",J_SUBDAY(J_ADDDAY(D12,N12,1),1,1)))-SUMIFS(Holieday[Friday],Holieday[date],CONCATENATE("&gt;","=",D12),Holieday[date],CONCATENATE("&lt;","=",J_SUBDAY(J_ADDDAY(D12,N12,1),1,1)))=0,J_SUBDAY(J_ADDDAY(D12,N12,1),1,1),IF((N12+1-(NETWORKDAYS.INTL(J_GregorianDate(D12,1),J_GregorianDate(J_SUBDAY(J_ADDDAY(D12,N12+1,1),1,1),1),16,1)))+SUMIFS(Holieday[ok],Holieday[date],CONCATENATE("&gt;","=",D12),Holieday[date],CONCATENATE("&lt;","=",J_SUBDAY(J_ADDDAY(D12,N12+1,1),1,1)))-SUMIFS(Holieday[Friday],Holieday[date],CONCATENATE("&gt;","=",D12),Holieday[date],CONCATENATE("&lt;","=",J_SUBDAY(J_ADDDAY(D12,N12+1,1),1,1)))=1,J_SUBDAY(J_ADDDAY(D12,N12+1,1),1,1),IF((N12+2-(NETWORKDAYS.INTL(J_GregorianDate(D12,1),J_GregorianDate(J_SUBDAY(J_ADDDAY(D12,N12+2,1),1,1),1),16,1)))+SUMIFS(Holieday[ok],Holieday[date],CONCATENATE("&gt;","=",D12),Holieday[date],CONCATENATE("&lt;","=",J_SUBDAY(J_ADDDAY(D12,N12+2,1),1,1)))-SUMIFS(Holieday[Friday],Holieday[date],CONCATENATE("&gt;","=",D12),Holieday[date],CONCATENATE("&lt;","=",J_SUBDAY(J_ADDDAY(D12,N12+2,1),1,1)))=2,J_SUBDAY(J_ADDDAY(D12,N12+2,1),1,1),IF((N12+3-(NETWORKDAYS.INTL(J_GregorianDate(D12,1),J_GregorianDate(J_SUBDAY(J_ADDDAY(D12,N12+3,1),1,1),1),16,1)))+SUMIFS(Holieday[ok],Holieday[date],CONCATENATE("&gt;","=",D12),Holieday[date],CONCATENATE("&lt;","=",J_SUBDAY(J_ADDDAY(D12,N12+3,1),1,1)))-SUMIFS(Holieday[Friday],Holieday[date],CONCATENATE("&gt;","=",D12),Holieday[date],CONCATENATE("&lt;","=",J_SUBDAY(J_ADDDAY(D12,N12+3,1),1,1)))=3,J_SUBDAY(J_ADDDAY(D12,N12+3,1),1,1),IF((N12+4-(NETWORKDAYS.INTL(J_GregorianDate(D12,1),J_GregorianDate(J_SUBDAY(J_ADDDAY(D12,N12+4,1),1,1),1),16,1)))+SUMIFS(Holieday[ok],Holieday[date],CONCATENATE("&gt;","=",D12),Holieday[date],CONCATENATE("&lt;","=",J_SUBDAY(J_ADDDAY(D12,N12+4,1),1,1)))-SUMIFS(Holieday[Friday],Holieday[date],CONCATENATE("&gt;","=",D12),Holieday[date],CONCATENATE("&lt;","=",J_SUBDAY(J_ADDDAY(D12,N12+4,1),1,1)))=4,J_SUBDAY(J_ADDDAY(D12,N12+4,1),1,1),IF((N12+5-(NETWORKDAYS.INTL(J_GregorianDate(D12,1),J_GregorianDate(J_SUBDAY(J_ADDDAY(D12,N12+5,1),1,1),1),16,1)))+SUMIFS(Holieday[ok],Holieday[date],CONCATENATE("&gt;","=",D12),Holieday[date],CONCATENATE("&lt;","=",J_SUBDAY(J_ADDDAY(D12,N12+5,1),1,1)))-SUMIFS(Holieday[Friday],Holieday[date],CONCATENATE("&gt;","=",D12),Holieday[date],CONCATENATE("&lt;","=",J_SUBDAY(J_ADDDAY(D12,N12+5,1),1,1)))=5,J_SUBDAY(J_ADDDAY(D12,N12+5,1),1,1),J_SUBDAY(J_ADDDAY(D12,N12+6,1),1,1))))))))</f>
        <v>1398/10/16</v>
      </c>
      <c r="G12" s="139">
        <f t="shared" si="5"/>
        <v>13981016</v>
      </c>
      <c r="H12" s="175"/>
      <c r="I12" s="176">
        <v>1.1000000000000001</v>
      </c>
      <c r="J12" s="174">
        <f>j_WEEKDAY(D12,2)</f>
        <v>1</v>
      </c>
      <c r="K12" s="143">
        <f t="shared" si="7"/>
        <v>0</v>
      </c>
      <c r="L12" s="177">
        <f t="shared" si="8"/>
        <v>16</v>
      </c>
      <c r="M12" s="178">
        <v>0</v>
      </c>
      <c r="N12" s="179">
        <v>14</v>
      </c>
      <c r="O12" s="144">
        <f>ROUNDDOWN(M12*L12,0)</f>
        <v>0</v>
      </c>
      <c r="P12" s="144">
        <f>VALUE(J_normdate(J_ADDDAY($D12,$O12,1)))</f>
        <v>13981001</v>
      </c>
      <c r="Q12" s="142">
        <f t="shared" si="6"/>
        <v>16</v>
      </c>
      <c r="R12" s="141"/>
      <c r="S12" s="141"/>
      <c r="T12" s="141"/>
      <c r="U12" s="141"/>
      <c r="V12" s="141"/>
      <c r="W12" s="141"/>
      <c r="X12" s="141"/>
      <c r="Y12" s="141"/>
      <c r="Z12" s="141"/>
      <c r="AA12" s="141"/>
      <c r="AB12" s="141"/>
      <c r="AC12" s="141"/>
      <c r="AD12" s="141"/>
      <c r="AE12" s="141"/>
      <c r="AF12" s="141"/>
      <c r="AG12" s="141"/>
      <c r="AH12" s="141"/>
      <c r="AI12" s="141"/>
      <c r="AJ12" s="141"/>
      <c r="AK12" s="141"/>
      <c r="AL12" s="141"/>
      <c r="AM12" s="141"/>
      <c r="AN12" s="141"/>
      <c r="AO12" s="141"/>
      <c r="AP12" s="141"/>
      <c r="AQ12" s="141"/>
      <c r="AR12" s="141"/>
      <c r="AS12" s="141"/>
      <c r="AT12" s="141"/>
      <c r="AU12" s="141"/>
      <c r="AV12" s="141"/>
      <c r="AW12" s="141"/>
      <c r="AX12" s="141"/>
      <c r="AY12" s="141"/>
      <c r="AZ12" s="141"/>
      <c r="BA12" s="141"/>
      <c r="BB12" s="141"/>
      <c r="BC12" s="141"/>
      <c r="BD12" s="141"/>
      <c r="BE12" s="141"/>
      <c r="BF12" s="141"/>
      <c r="BG12" s="141"/>
      <c r="BH12" s="141"/>
      <c r="BI12" s="141"/>
      <c r="BJ12" s="141"/>
      <c r="BK12" s="141"/>
      <c r="BL12" s="141"/>
      <c r="BM12" s="141"/>
      <c r="BN12" s="141"/>
      <c r="BO12" s="141"/>
      <c r="BP12" s="141"/>
      <c r="BQ12" s="141"/>
      <c r="BR12" s="141"/>
      <c r="BS12" s="141"/>
      <c r="BT12" s="141"/>
      <c r="BU12" s="141"/>
      <c r="BV12" s="141"/>
      <c r="BW12" s="141"/>
      <c r="BX12" s="141"/>
      <c r="BY12" s="141"/>
      <c r="BZ12" s="141"/>
      <c r="CA12" s="141"/>
      <c r="CB12" s="141"/>
      <c r="CC12" s="141"/>
      <c r="CD12" s="141"/>
      <c r="CE12" s="141"/>
      <c r="CF12" s="141"/>
      <c r="CG12" s="141"/>
      <c r="CH12" s="141"/>
      <c r="CI12" s="141"/>
      <c r="CJ12" s="141"/>
      <c r="CK12" s="141"/>
      <c r="CL12" s="141"/>
      <c r="CM12" s="141"/>
      <c r="CN12" s="141"/>
      <c r="CO12" s="141"/>
      <c r="CP12" s="141"/>
      <c r="CQ12" s="141"/>
      <c r="CR12" s="141"/>
      <c r="CS12" s="141"/>
      <c r="CT12" s="141"/>
      <c r="CU12" s="141"/>
      <c r="CV12" s="141"/>
      <c r="CW12" s="141"/>
      <c r="CX12" s="141"/>
      <c r="CY12" s="141"/>
      <c r="CZ12" s="141"/>
      <c r="DA12" s="141"/>
      <c r="DB12" s="141"/>
      <c r="DC12" s="141"/>
      <c r="DD12" s="141"/>
      <c r="DE12" s="141"/>
      <c r="DF12" s="141"/>
      <c r="DG12" s="141"/>
      <c r="DH12" s="141"/>
      <c r="DI12" s="141"/>
      <c r="DJ12" s="141"/>
      <c r="DK12" s="141"/>
      <c r="DL12" s="141"/>
      <c r="DM12" s="141"/>
      <c r="DN12" s="141"/>
      <c r="DO12" s="141"/>
      <c r="DP12" s="141"/>
      <c r="DQ12" s="141"/>
      <c r="DR12" s="141"/>
      <c r="DS12" s="141"/>
      <c r="DT12" s="141"/>
      <c r="DU12" s="141"/>
      <c r="DV12" s="141"/>
      <c r="DW12" s="141"/>
      <c r="DX12" s="141"/>
      <c r="DY12" s="141"/>
      <c r="DZ12" s="141"/>
      <c r="EA12" s="141"/>
      <c r="EB12" s="141"/>
      <c r="EC12" s="141"/>
      <c r="ED12" s="141"/>
      <c r="EE12" s="141"/>
      <c r="EF12" s="141"/>
      <c r="EG12" s="141"/>
      <c r="EH12" s="141"/>
      <c r="EI12" s="141"/>
      <c r="EJ12" s="141"/>
      <c r="EK12" s="141"/>
      <c r="EL12" s="141"/>
      <c r="EM12" s="141"/>
      <c r="EN12" s="141"/>
      <c r="EO12" s="141"/>
      <c r="EP12" s="141"/>
      <c r="EQ12" s="141"/>
      <c r="ER12" s="141"/>
      <c r="ES12" s="141"/>
      <c r="ET12" s="141"/>
      <c r="EU12" s="141"/>
      <c r="EV12" s="141"/>
      <c r="EW12" s="141"/>
      <c r="EX12" s="141"/>
      <c r="EY12" s="141"/>
      <c r="EZ12" s="141"/>
      <c r="FA12" s="141"/>
      <c r="FB12" s="141"/>
      <c r="FC12" s="141"/>
      <c r="FD12" s="141"/>
      <c r="FE12" s="141"/>
      <c r="FF12" s="141"/>
      <c r="FG12" s="141"/>
      <c r="FH12" s="141"/>
      <c r="FI12" s="141"/>
      <c r="FJ12" s="141"/>
      <c r="FK12" s="141"/>
      <c r="FL12" s="141"/>
      <c r="FM12" s="141"/>
      <c r="FN12" s="141"/>
      <c r="FO12" s="141"/>
      <c r="FP12" s="141"/>
      <c r="FQ12" s="141"/>
      <c r="FR12" s="141"/>
      <c r="FS12" s="141"/>
      <c r="FT12" s="141"/>
      <c r="FU12" s="141"/>
      <c r="FV12" s="141"/>
      <c r="FW12" s="141"/>
      <c r="FX12" s="141"/>
      <c r="FY12" s="141"/>
      <c r="FZ12" s="141"/>
      <c r="GA12" s="141"/>
      <c r="GB12" s="141"/>
      <c r="GC12" s="141"/>
      <c r="GD12" s="141"/>
      <c r="GE12" s="141"/>
      <c r="GF12" s="141"/>
      <c r="GG12" s="141"/>
      <c r="GH12" s="141"/>
      <c r="GI12" s="141"/>
      <c r="GJ12" s="141"/>
      <c r="GK12" s="141"/>
      <c r="GL12" s="141"/>
      <c r="GM12" s="141"/>
      <c r="GN12" s="141"/>
      <c r="GO12" s="141"/>
      <c r="GP12" s="141"/>
      <c r="GQ12" s="141"/>
      <c r="GR12" s="141"/>
      <c r="GS12" s="141"/>
      <c r="GT12" s="141"/>
      <c r="GU12" s="141"/>
      <c r="GV12" s="141"/>
      <c r="GW12" s="141"/>
      <c r="GX12" s="141"/>
      <c r="GY12" s="141"/>
      <c r="GZ12" s="141"/>
      <c r="HA12" s="141"/>
      <c r="HB12" s="141"/>
      <c r="HC12" s="141"/>
      <c r="HD12" s="141"/>
      <c r="HE12" s="141"/>
      <c r="HF12" s="141"/>
      <c r="HG12" s="141"/>
      <c r="HH12" s="141"/>
      <c r="HI12" s="141"/>
      <c r="HJ12" s="141"/>
      <c r="HK12" s="141"/>
      <c r="HL12" s="141"/>
      <c r="HM12" s="141"/>
      <c r="HN12" s="141"/>
      <c r="HO12" s="141"/>
      <c r="HP12" s="141"/>
      <c r="HQ12" s="141"/>
      <c r="HR12" s="141"/>
      <c r="HS12" s="141"/>
      <c r="HT12" s="141"/>
      <c r="HU12" s="141"/>
      <c r="HV12" s="141"/>
      <c r="HW12" s="141"/>
      <c r="HX12" s="141"/>
      <c r="HY12" s="141"/>
      <c r="HZ12" s="141"/>
      <c r="IA12" s="141"/>
      <c r="IB12" s="141"/>
      <c r="IC12" s="141"/>
      <c r="ID12" s="141"/>
      <c r="IE12" s="141"/>
      <c r="IF12" s="141"/>
      <c r="IG12" s="141"/>
      <c r="IH12" s="141"/>
      <c r="II12" s="141"/>
      <c r="IJ12" s="141"/>
      <c r="IK12" s="141"/>
      <c r="IL12" s="141"/>
      <c r="IM12" s="141"/>
      <c r="IN12" s="141"/>
      <c r="IO12" s="141"/>
      <c r="IP12" s="141"/>
      <c r="IQ12" s="141"/>
      <c r="IR12" s="141"/>
      <c r="IS12" s="141"/>
      <c r="IT12" s="141"/>
      <c r="IU12" s="141"/>
      <c r="IV12" s="141"/>
      <c r="IW12" s="141"/>
      <c r="IX12" s="141"/>
      <c r="IY12" s="21">
        <v>2</v>
      </c>
      <c r="IZ12" s="31">
        <f>(TEXT(K12,"[m]")/60)*VLOOKUP(IY12,'Income Person-hours'!A$2:C$5,3,FALSE)</f>
        <v>0</v>
      </c>
      <c r="JA12" s="91"/>
      <c r="JB12" s="91"/>
      <c r="JC12" s="91"/>
      <c r="JD12" s="160">
        <f>SUM((TEXT(JA12,"[M]")/60)*'Income Person-hours'!$D$3,(TEXT(JB12,"[M]")/60)*'Income Person-hours'!$D$4,(TEXT(JC12,"[M]")/60)*'Income Person-hours'!$D$5)</f>
        <v>0</v>
      </c>
    </row>
    <row r="13" spans="1:264" s="159" customFormat="1" ht="13.5">
      <c r="A13" s="172">
        <v>1.4</v>
      </c>
      <c r="B13" s="186" t="s">
        <v>135</v>
      </c>
      <c r="C13" s="173" t="s">
        <v>103</v>
      </c>
      <c r="D13" s="180" t="str">
        <f>IF(OR(j_WEEKDAY(J_ADDDAY(VLOOKUP(I13,A:F,6,FALSE),H13,1),0)=6,SUMIFS(Holieday[ok],Holieday[date],J_ADDDAY(VLOOKUP(I13,A:F,6,FALSE),H13,1)))=FALSE(),J_ADDDAY(VLOOKUP(I13,A:F,6,FALSE),H13,1),IF(OR(j_WEEKDAY(J_ADDDAY(VLOOKUP(I13,A:F,6,FALSE),H13+1,1),0)=6,SUMIFS(Holieday[ok],Holieday[date],J_ADDDAY(VLOOKUP(I13,A:F,6,FALSE),H13+1,1)))=FALSE(),J_ADDDAY(VLOOKUP(I13,A:F,6,FALSE),H13+1,1),IF(OR(j_WEEKDAY(J_ADDDAY(VLOOKUP(I13,A:F,6,FALSE),H13+2,1),0)=6,SUMIFS(Holieday[ok],Holieday[date],J_ADDDAY(VLOOKUP(I13,A:F,6,FALSE),H13+2,1)))=FALSE(),J_ADDDAY(VLOOKUP(I13,A:F,6,FALSE),H13+2,1),IF(OR(j_WEEKDAY(J_ADDDAY(VLOOKUP(I13,A:F,6,FALSE),H13+3,1),0)=6,SUMIFS(Holieday[ok],Holieday[date],J_ADDDAY(VLOOKUP(I13,A:F,6,FALSE),H13+3,1)))=FALSE(),J_ADDDAY(VLOOKUP(I13,A:F,6,FALSE),H13+3,1),IF(OR(j_WEEKDAY(J_ADDDAY(VLOOKUP(I13,A:F,6,FALSE),H13+4,1),0)=6,SUMIFS(Holieday[ok],Holieday[date],J_ADDDAY(VLOOKUP(I13,A:F,6,FALSE),H13+4,1)))=FALSE(),J_ADDDAY(VLOOKUP(I13,A:F,6,FALSE),H13+4,1),J_ADDDAY(VLOOKUP(I13,A:F,6,FALSE),H13+5,1))))))</f>
        <v>1398/09/26</v>
      </c>
      <c r="E13" s="136">
        <f t="shared" si="4"/>
        <v>13980926</v>
      </c>
      <c r="F13" s="189" t="str">
        <f>IF(N13=0,J_SUBDAY(D13,1,1),IF((N13-(NETWORKDAYS.INTL(J_GregorianDate(D13,1),J_GregorianDate(J_SUBDAY(J_ADDDAY(D13,N13,1),1,1),1),16,1)))+SUMIFS(Holieday[ok],Holieday[date],CONCATENATE("&gt;","=",D13),Holieday[date],CONCATENATE("&lt;","=",J_SUBDAY(J_ADDDAY(D13,N13,1),1,1)))-SUMIFS(Holieday[Friday],Holieday[date],CONCATENATE("&gt;","=",D13),Holieday[date],CONCATENATE("&lt;","=",J_SUBDAY(J_ADDDAY(D13,N13,1),1,1)))=0,J_SUBDAY(J_ADDDAY(D13,N13,1),1,1),IF((N13+1-(NETWORKDAYS.INTL(J_GregorianDate(D13,1),J_GregorianDate(J_SUBDAY(J_ADDDAY(D13,N13+1,1),1,1),1),16,1)))+SUMIFS(Holieday[ok],Holieday[date],CONCATENATE("&gt;","=",D13),Holieday[date],CONCATENATE("&lt;","=",J_SUBDAY(J_ADDDAY(D13,N13+1,1),1,1)))-SUMIFS(Holieday[Friday],Holieday[date],CONCATENATE("&gt;","=",D13),Holieday[date],CONCATENATE("&lt;","=",J_SUBDAY(J_ADDDAY(D13,N13+1,1),1,1)))=1,J_SUBDAY(J_ADDDAY(D13,N13+1,1),1,1),IF((N13+2-(NETWORKDAYS.INTL(J_GregorianDate(D13,1),J_GregorianDate(J_SUBDAY(J_ADDDAY(D13,N13+2,1),1,1),1),16,1)))+SUMIFS(Holieday[ok],Holieday[date],CONCATENATE("&gt;","=",D13),Holieday[date],CONCATENATE("&lt;","=",J_SUBDAY(J_ADDDAY(D13,N13+2,1),1,1)))-SUMIFS(Holieday[Friday],Holieday[date],CONCATENATE("&gt;","=",D13),Holieday[date],CONCATENATE("&lt;","=",J_SUBDAY(J_ADDDAY(D13,N13+2,1),1,1)))=2,J_SUBDAY(J_ADDDAY(D13,N13+2,1),1,1),IF((N13+3-(NETWORKDAYS.INTL(J_GregorianDate(D13,1),J_GregorianDate(J_SUBDAY(J_ADDDAY(D13,N13+3,1),1,1),1),16,1)))+SUMIFS(Holieday[ok],Holieday[date],CONCATENATE("&gt;","=",D13),Holieday[date],CONCATENATE("&lt;","=",J_SUBDAY(J_ADDDAY(D13,N13+3,1),1,1)))-SUMIFS(Holieday[Friday],Holieday[date],CONCATENATE("&gt;","=",D13),Holieday[date],CONCATENATE("&lt;","=",J_SUBDAY(J_ADDDAY(D13,N13+3,1),1,1)))=3,J_SUBDAY(J_ADDDAY(D13,N13+3,1),1,1),IF((N13+4-(NETWORKDAYS.INTL(J_GregorianDate(D13,1),J_GregorianDate(J_SUBDAY(J_ADDDAY(D13,N13+4,1),1,1),1),16,1)))+SUMIFS(Holieday[ok],Holieday[date],CONCATENATE("&gt;","=",D13),Holieday[date],CONCATENATE("&lt;","=",J_SUBDAY(J_ADDDAY(D13,N13+4,1),1,1)))-SUMIFS(Holieday[Friday],Holieday[date],CONCATENATE("&gt;","=",D13),Holieday[date],CONCATENATE("&lt;","=",J_SUBDAY(J_ADDDAY(D13,N13+4,1),1,1)))=4,J_SUBDAY(J_ADDDAY(D13,N13+4,1),1,1),IF((N13+5-(NETWORKDAYS.INTL(J_GregorianDate(D13,1),J_GregorianDate(J_SUBDAY(J_ADDDAY(D13,N13+5,1),1,1),1),16,1)))+SUMIFS(Holieday[ok],Holieday[date],CONCATENATE("&gt;","=",D13),Holieday[date],CONCATENATE("&lt;","=",J_SUBDAY(J_ADDDAY(D13,N13+5,1),1,1)))-SUMIFS(Holieday[Friday],Holieday[date],CONCATENATE("&gt;","=",D13),Holieday[date],CONCATENATE("&lt;","=",J_SUBDAY(J_ADDDAY(D13,N13+5,1),1,1)))=5,J_SUBDAY(J_ADDDAY(D13,N13+5,1),1,1),J_SUBDAY(J_ADDDAY(D13,N13+6,1),1,1))))))))</f>
        <v>1398/09/26</v>
      </c>
      <c r="G13" s="139">
        <f t="shared" si="5"/>
        <v>13980926</v>
      </c>
      <c r="H13" s="175">
        <v>-5</v>
      </c>
      <c r="I13" s="176">
        <v>1.1000000000000001</v>
      </c>
      <c r="J13" s="174">
        <f>j_WEEKDAY(D13,2)</f>
        <v>3</v>
      </c>
      <c r="K13" s="143">
        <f t="shared" si="7"/>
        <v>0</v>
      </c>
      <c r="L13" s="177">
        <f t="shared" si="8"/>
        <v>1</v>
      </c>
      <c r="M13" s="178">
        <v>1</v>
      </c>
      <c r="N13" s="179">
        <v>1</v>
      </c>
      <c r="O13" s="144">
        <f>ROUNDDOWN(M13*L13,0)</f>
        <v>1</v>
      </c>
      <c r="P13" s="144">
        <f>VALUE(J_normdate(J_ADDDAY($D13,$O13,1)))</f>
        <v>13980927</v>
      </c>
      <c r="Q13" s="142">
        <f t="shared" si="6"/>
        <v>0</v>
      </c>
      <c r="R13" s="141"/>
      <c r="S13" s="141"/>
      <c r="T13" s="141"/>
      <c r="U13" s="141"/>
      <c r="V13" s="141"/>
      <c r="W13" s="141"/>
      <c r="X13" s="141"/>
      <c r="Y13" s="141"/>
      <c r="Z13" s="141"/>
      <c r="AA13" s="141"/>
      <c r="AB13" s="141"/>
      <c r="AC13" s="141"/>
      <c r="AD13" s="141"/>
      <c r="AE13" s="141"/>
      <c r="AF13" s="141"/>
      <c r="AG13" s="141"/>
      <c r="AH13" s="141"/>
      <c r="AI13" s="141"/>
      <c r="AJ13" s="141"/>
      <c r="AK13" s="141"/>
      <c r="AL13" s="141"/>
      <c r="AM13" s="141"/>
      <c r="AN13" s="141"/>
      <c r="AO13" s="141"/>
      <c r="AP13" s="141"/>
      <c r="AQ13" s="141"/>
      <c r="AR13" s="141"/>
      <c r="AS13" s="141"/>
      <c r="AT13" s="141"/>
      <c r="AU13" s="141"/>
      <c r="AV13" s="141"/>
      <c r="AW13" s="141"/>
      <c r="AX13" s="141"/>
      <c r="AY13" s="141"/>
      <c r="AZ13" s="141"/>
      <c r="BA13" s="141"/>
      <c r="BB13" s="141"/>
      <c r="BC13" s="141"/>
      <c r="BD13" s="141"/>
      <c r="BE13" s="141"/>
      <c r="BF13" s="141"/>
      <c r="BG13" s="141"/>
      <c r="BH13" s="141"/>
      <c r="BI13" s="141"/>
      <c r="BJ13" s="141"/>
      <c r="BK13" s="141"/>
      <c r="BL13" s="141"/>
      <c r="BM13" s="141"/>
      <c r="BN13" s="141"/>
      <c r="BO13" s="141"/>
      <c r="BP13" s="141"/>
      <c r="BQ13" s="141"/>
      <c r="BR13" s="141"/>
      <c r="BS13" s="141"/>
      <c r="BT13" s="141"/>
      <c r="BU13" s="141"/>
      <c r="BV13" s="141"/>
      <c r="BW13" s="141"/>
      <c r="BX13" s="141"/>
      <c r="BY13" s="141"/>
      <c r="BZ13" s="141"/>
      <c r="CA13" s="141"/>
      <c r="CB13" s="141"/>
      <c r="CC13" s="141"/>
      <c r="CD13" s="141"/>
      <c r="CE13" s="141"/>
      <c r="CF13" s="141"/>
      <c r="CG13" s="141"/>
      <c r="CH13" s="141"/>
      <c r="CI13" s="141"/>
      <c r="CJ13" s="141"/>
      <c r="CK13" s="141"/>
      <c r="CL13" s="141"/>
      <c r="CM13" s="141"/>
      <c r="CN13" s="141"/>
      <c r="CO13" s="141"/>
      <c r="CP13" s="141"/>
      <c r="CQ13" s="141"/>
      <c r="CR13" s="141"/>
      <c r="CS13" s="141"/>
      <c r="CT13" s="141"/>
      <c r="CU13" s="141"/>
      <c r="CV13" s="141"/>
      <c r="CW13" s="141"/>
      <c r="CX13" s="141"/>
      <c r="CY13" s="141"/>
      <c r="CZ13" s="141"/>
      <c r="DA13" s="141"/>
      <c r="DB13" s="141"/>
      <c r="DC13" s="141"/>
      <c r="DD13" s="141"/>
      <c r="DE13" s="141"/>
      <c r="DF13" s="141"/>
      <c r="DG13" s="141"/>
      <c r="DH13" s="141"/>
      <c r="DI13" s="141"/>
      <c r="DJ13" s="141"/>
      <c r="DK13" s="141"/>
      <c r="DL13" s="141"/>
      <c r="DM13" s="141"/>
      <c r="DN13" s="141"/>
      <c r="DO13" s="141"/>
      <c r="DP13" s="141"/>
      <c r="DQ13" s="141"/>
      <c r="DR13" s="141"/>
      <c r="DS13" s="141"/>
      <c r="DT13" s="141"/>
      <c r="DU13" s="141"/>
      <c r="DV13" s="141"/>
      <c r="DW13" s="141"/>
      <c r="DX13" s="141"/>
      <c r="DY13" s="141"/>
      <c r="DZ13" s="141"/>
      <c r="EA13" s="141"/>
      <c r="EB13" s="141"/>
      <c r="EC13" s="141"/>
      <c r="ED13" s="141"/>
      <c r="EE13" s="141"/>
      <c r="EF13" s="141"/>
      <c r="EG13" s="141"/>
      <c r="EH13" s="141"/>
      <c r="EI13" s="141"/>
      <c r="EJ13" s="141"/>
      <c r="EK13" s="141"/>
      <c r="EL13" s="141"/>
      <c r="EM13" s="141"/>
      <c r="EN13" s="141"/>
      <c r="EO13" s="141"/>
      <c r="EP13" s="141"/>
      <c r="EQ13" s="141"/>
      <c r="ER13" s="141"/>
      <c r="ES13" s="141"/>
      <c r="ET13" s="141"/>
      <c r="EU13" s="141"/>
      <c r="EV13" s="141"/>
      <c r="EW13" s="141"/>
      <c r="EX13" s="141"/>
      <c r="EY13" s="141"/>
      <c r="EZ13" s="141"/>
      <c r="FA13" s="141"/>
      <c r="FB13" s="141"/>
      <c r="FC13" s="141"/>
      <c r="FD13" s="141"/>
      <c r="FE13" s="141"/>
      <c r="FF13" s="141"/>
      <c r="FG13" s="141"/>
      <c r="FH13" s="141"/>
      <c r="FI13" s="141"/>
      <c r="FJ13" s="141"/>
      <c r="FK13" s="141"/>
      <c r="FL13" s="141"/>
      <c r="FM13" s="141"/>
      <c r="FN13" s="141"/>
      <c r="FO13" s="141"/>
      <c r="FP13" s="141"/>
      <c r="FQ13" s="141"/>
      <c r="FR13" s="141"/>
      <c r="FS13" s="141"/>
      <c r="FT13" s="141"/>
      <c r="FU13" s="141"/>
      <c r="FV13" s="141"/>
      <c r="FW13" s="141"/>
      <c r="FX13" s="141"/>
      <c r="FY13" s="141"/>
      <c r="FZ13" s="141"/>
      <c r="GA13" s="141"/>
      <c r="GB13" s="141"/>
      <c r="GC13" s="141"/>
      <c r="GD13" s="141"/>
      <c r="GE13" s="141"/>
      <c r="GF13" s="141"/>
      <c r="GG13" s="141"/>
      <c r="GH13" s="141"/>
      <c r="GI13" s="141"/>
      <c r="GJ13" s="141"/>
      <c r="GK13" s="141"/>
      <c r="GL13" s="141"/>
      <c r="GM13" s="141"/>
      <c r="GN13" s="141"/>
      <c r="GO13" s="141"/>
      <c r="GP13" s="141"/>
      <c r="GQ13" s="141"/>
      <c r="GR13" s="141"/>
      <c r="GS13" s="141"/>
      <c r="GT13" s="141"/>
      <c r="GU13" s="141"/>
      <c r="GV13" s="141"/>
      <c r="GW13" s="141"/>
      <c r="GX13" s="141"/>
      <c r="GY13" s="141"/>
      <c r="GZ13" s="141"/>
      <c r="HA13" s="141"/>
      <c r="HB13" s="141"/>
      <c r="HC13" s="141"/>
      <c r="HD13" s="141"/>
      <c r="HE13" s="141"/>
      <c r="HF13" s="141"/>
      <c r="HG13" s="141"/>
      <c r="HH13" s="141"/>
      <c r="HI13" s="141"/>
      <c r="HJ13" s="141"/>
      <c r="HK13" s="141"/>
      <c r="HL13" s="141"/>
      <c r="HM13" s="141"/>
      <c r="HN13" s="141"/>
      <c r="HO13" s="141"/>
      <c r="HP13" s="141"/>
      <c r="HQ13" s="141"/>
      <c r="HR13" s="141"/>
      <c r="HS13" s="141"/>
      <c r="HT13" s="141"/>
      <c r="HU13" s="141"/>
      <c r="HV13" s="141"/>
      <c r="HW13" s="141"/>
      <c r="HX13" s="141"/>
      <c r="HY13" s="141"/>
      <c r="HZ13" s="141"/>
      <c r="IA13" s="141"/>
      <c r="IB13" s="141"/>
      <c r="IC13" s="141"/>
      <c r="ID13" s="141"/>
      <c r="IE13" s="141"/>
      <c r="IF13" s="141"/>
      <c r="IG13" s="141"/>
      <c r="IH13" s="141"/>
      <c r="II13" s="141"/>
      <c r="IJ13" s="141"/>
      <c r="IK13" s="141"/>
      <c r="IL13" s="141"/>
      <c r="IM13" s="141"/>
      <c r="IN13" s="141"/>
      <c r="IO13" s="141"/>
      <c r="IP13" s="141"/>
      <c r="IQ13" s="141"/>
      <c r="IR13" s="141"/>
      <c r="IS13" s="141"/>
      <c r="IT13" s="141"/>
      <c r="IU13" s="141"/>
      <c r="IV13" s="141"/>
      <c r="IW13" s="141"/>
      <c r="IX13" s="141"/>
      <c r="IY13" s="21">
        <v>1</v>
      </c>
      <c r="IZ13" s="31">
        <f>(TEXT(K13,"[m]")/60)*VLOOKUP(IY13,'Income Person-hours'!A$2:C$5,3,FALSE)</f>
        <v>0</v>
      </c>
      <c r="JA13" s="91"/>
      <c r="JB13" s="91"/>
      <c r="JC13" s="91"/>
      <c r="JD13" s="160">
        <f>SUM((TEXT(JA13,"[M]")/60)*'Income Person-hours'!$D$3,(TEXT(JB13,"[M]")/60)*'Income Person-hours'!$D$4,(TEXT(JC13,"[M]")/60)*'Income Person-hours'!$D$5)</f>
        <v>0</v>
      </c>
    </row>
    <row r="14" spans="1:264" s="159" customFormat="1" ht="13.5">
      <c r="A14" s="197">
        <v>1.5</v>
      </c>
      <c r="B14" s="186" t="s">
        <v>170</v>
      </c>
      <c r="C14" s="173" t="s">
        <v>103</v>
      </c>
      <c r="D14" s="180" t="str">
        <f>IF(OR(j_WEEKDAY(J_ADDDAY(VLOOKUP(I14,A:F,6,FALSE),H14,1),0)=6,SUMIFS(Holieday[ok],Holieday[date],J_ADDDAY(VLOOKUP(I14,A:F,6,FALSE),H14,1)))=FALSE(),J_ADDDAY(VLOOKUP(I14,A:F,6,FALSE),H14,1),IF(OR(j_WEEKDAY(J_ADDDAY(VLOOKUP(I14,A:F,6,FALSE),H14+1,1),0)=6,SUMIFS(Holieday[ok],Holieday[date],J_ADDDAY(VLOOKUP(I14,A:F,6,FALSE),H14+1,1)))=FALSE(),J_ADDDAY(VLOOKUP(I14,A:F,6,FALSE),H14+1,1),IF(OR(j_WEEKDAY(J_ADDDAY(VLOOKUP(I14,A:F,6,FALSE),H14+2,1),0)=6,SUMIFS(Holieday[ok],Holieday[date],J_ADDDAY(VLOOKUP(I14,A:F,6,FALSE),H14+2,1)))=FALSE(),J_ADDDAY(VLOOKUP(I14,A:F,6,FALSE),H14+2,1),IF(OR(j_WEEKDAY(J_ADDDAY(VLOOKUP(I14,A:F,6,FALSE),H14+3,1),0)=6,SUMIFS(Holieday[ok],Holieday[date],J_ADDDAY(VLOOKUP(I14,A:F,6,FALSE),H14+3,1)))=FALSE(),J_ADDDAY(VLOOKUP(I14,A:F,6,FALSE),H14+3,1),IF(OR(j_WEEKDAY(J_ADDDAY(VLOOKUP(I14,A:F,6,FALSE),H14+4,1),0)=6,SUMIFS(Holieday[ok],Holieday[date],J_ADDDAY(VLOOKUP(I14,A:F,6,FALSE),H14+4,1)))=FALSE(),J_ADDDAY(VLOOKUP(I14,A:F,6,FALSE),H14+4,1),J_ADDDAY(VLOOKUP(I14,A:F,6,FALSE),H14+5,1))))))</f>
        <v>1398/10/17</v>
      </c>
      <c r="E14" s="136" t="e">
        <f>IF(M14=0,J_SUBDAY(C14,1,1),IF((M14-(NETWORKDAYS.INTL(J_GregorianDate(C14,1),J_GregorianDate(J_SUBDAY(J_ADDDAY(C14,M14,1),1,1),1),16,1)))+SUMIFS(Holieday[ok],Holieday[date],CONCATENATE("&gt;","=",C14),Holieday[date],CONCATENATE("&lt;","=",J_SUBDAY(J_ADDDAY(C14,M14,1),1,1)))-SUMIFS(Holieday[Friday],Holieday[date],CONCATENATE("&gt;","=",C14),Holieday[date],CONCATENATE("&lt;","=",J_SUBDAY(J_ADDDAY(C14,M14,1),1,1)))=0,J_SUBDAY(J_ADDDAY(C14,M14,1),1,1),IF((M14+1-(NETWORKDAYS.INTL(J_GregorianDate(C14,1),J_GregorianDate(J_SUBDAY(J_ADDDAY(C14,M14+1,1),1,1),1),16,1)))+SUMIFS(Holieday[ok],Holieday[date],CONCATENATE("&gt;","=",C14),Holieday[date],CONCATENATE("&lt;","=",J_SUBDAY(J_ADDDAY(C14,M14+1,1),1,1)))-SUMIFS(Holieday[Friday],Holieday[date],CONCATENATE("&gt;","=",C14),Holieday[date],CONCATENATE("&lt;","=",J_SUBDAY(J_ADDDAY(C14,M14+1,1),1,1)))=1,J_SUBDAY(J_ADDDAY(C14,M14+1,1),1,1),IF((M14+2-(NETWORKDAYS.INTL(J_GregorianDate(C14,1),J_GregorianDate(J_SUBDAY(J_ADDDAY(C14,M14+2,1),1,1),1),16,1)))+SUMIFS(Holieday[ok],Holieday[date],CONCATENATE("&gt;","=",C14),Holieday[date],CONCATENATE("&lt;","=",J_SUBDAY(J_ADDDAY(C14,M14+2,1),1,1)))-SUMIFS(Holieday[Friday],Holieday[date],CONCATENATE("&gt;","=",C14),Holieday[date],CONCATENATE("&lt;","=",J_SUBDAY(J_ADDDAY(C14,M14+2,1),1,1)))=2,J_SUBDAY(J_ADDDAY(C14,M14+2,1),1,1),IF((M14+3-(NETWORKDAYS.INTL(J_GregorianDate(C14,1),J_GregorianDate(J_SUBDAY(J_ADDDAY(C14,M14+3,1),1,1),1),16,1)))+SUMIFS(Holieday[ok],Holieday[date],CONCATENATE("&gt;","=",C14),Holieday[date],CONCATENATE("&lt;","=",J_SUBDAY(J_ADDDAY(C14,M14+3,1),1,1)))-SUMIFS(Holieday[Friday],Holieday[date],CONCATENATE("&gt;","=",C14),Holieday[date],CONCATENATE("&lt;","=",J_SUBDAY(J_ADDDAY(C14,M14+3,1),1,1)))=3,J_SUBDAY(J_ADDDAY(C14,M14+3,1),1,1),IF((M14+4-(NETWORKDAYS.INTL(J_GregorianDate(C14,1),J_GregorianDate(J_SUBDAY(J_ADDDAY(C14,M14+4,1),1,1),1),16,1)))+SUMIFS(Holieday[ok],Holieday[date],CONCATENATE("&gt;","=",C14),Holieday[date],CONCATENATE("&lt;","=",J_SUBDAY(J_ADDDAY(C14,M14+4,1),1,1)))-SUMIFS(Holieday[Friday],Holieday[date],CONCATENATE("&gt;","=",C14),Holieday[date],CONCATENATE("&lt;","=",J_SUBDAY(J_ADDDAY(C14,M14+4,1),1,1)))=4,J_SUBDAY(J_ADDDAY(C14,M14+4,1),1,1),IF((M14+5-(NETWORKDAYS.INTL(J_GregorianDate(C14,1),J_GregorianDate(J_SUBDAY(J_ADDDAY(C14,M14+5,1),1,1),1),16,1)))+SUMIFS(Holieday[ok],Holieday[date],CONCATENATE("&gt;","=",C14),Holieday[date],CONCATENATE("&lt;","=",J_SUBDAY(J_ADDDAY(C14,M14+5,1),1,1)))-SUMIFS(Holieday[Friday],Holieday[date],CONCATENATE("&gt;","=",C14),Holieday[date],CONCATENATE("&lt;","=",J_SUBDAY(J_ADDDAY(C14,M14+5,1),1,1)))=5,J_SUBDAY(J_ADDDAY(C14,M14+5,1),1,1),J_SUBDAY(J_ADDDAY(C14,M14+6,1),1,1))))))))</f>
        <v>#VALUE!</v>
      </c>
      <c r="F14" s="189" t="str">
        <f>IF(N14=0,J_SUBDAY(D14,1,1),IF((N14-(NETWORKDAYS.INTL(J_GregorianDate(D14,1),J_GregorianDate(J_SUBDAY(J_ADDDAY(D14,N14,1),1,1),1),16,1)))+SUMIFS(Holieday[ok],Holieday[date],CONCATENATE("&gt;","=",D14),Holieday[date],CONCATENATE("&lt;","=",J_SUBDAY(J_ADDDAY(D14,N14,1),1,1)))-SUMIFS(Holieday[Friday],Holieday[date],CONCATENATE("&gt;","=",D14),Holieday[date],CONCATENATE("&lt;","=",J_SUBDAY(J_ADDDAY(D14,N14,1),1,1)))=0,J_SUBDAY(J_ADDDAY(D14,N14,1),1,1),IF((N14+1-(NETWORKDAYS.INTL(J_GregorianDate(D14,1),J_GregorianDate(J_SUBDAY(J_ADDDAY(D14,N14+1,1),1,1),1),16,1)))+SUMIFS(Holieday[ok],Holieday[date],CONCATENATE("&gt;","=",D14),Holieday[date],CONCATENATE("&lt;","=",J_SUBDAY(J_ADDDAY(D14,N14+1,1),1,1)))-SUMIFS(Holieday[Friday],Holieday[date],CONCATENATE("&gt;","=",D14),Holieday[date],CONCATENATE("&lt;","=",J_SUBDAY(J_ADDDAY(D14,N14+1,1),1,1)))=1,J_SUBDAY(J_ADDDAY(D14,N14+1,1),1,1),IF((N14+2-(NETWORKDAYS.INTL(J_GregorianDate(D14,1),J_GregorianDate(J_SUBDAY(J_ADDDAY(D14,N14+2,1),1,1),1),16,1)))+SUMIFS(Holieday[ok],Holieday[date],CONCATENATE("&gt;","=",D14),Holieday[date],CONCATENATE("&lt;","=",J_SUBDAY(J_ADDDAY(D14,N14+2,1),1,1)))-SUMIFS(Holieday[Friday],Holieday[date],CONCATENATE("&gt;","=",D14),Holieday[date],CONCATENATE("&lt;","=",J_SUBDAY(J_ADDDAY(D14,N14+2,1),1,1)))=2,J_SUBDAY(J_ADDDAY(D14,N14+2,1),1,1),IF((N14+3-(NETWORKDAYS.INTL(J_GregorianDate(D14,1),J_GregorianDate(J_SUBDAY(J_ADDDAY(D14,N14+3,1),1,1),1),16,1)))+SUMIFS(Holieday[ok],Holieday[date],CONCATENATE("&gt;","=",D14),Holieday[date],CONCATENATE("&lt;","=",J_SUBDAY(J_ADDDAY(D14,N14+3,1),1,1)))-SUMIFS(Holieday[Friday],Holieday[date],CONCATENATE("&gt;","=",D14),Holieday[date],CONCATENATE("&lt;","=",J_SUBDAY(J_ADDDAY(D14,N14+3,1),1,1)))=3,J_SUBDAY(J_ADDDAY(D14,N14+3,1),1,1),IF((N14+4-(NETWORKDAYS.INTL(J_GregorianDate(D14,1),J_GregorianDate(J_SUBDAY(J_ADDDAY(D14,N14+4,1),1,1),1),16,1)))+SUMIFS(Holieday[ok],Holieday[date],CONCATENATE("&gt;","=",D14),Holieday[date],CONCATENATE("&lt;","=",J_SUBDAY(J_ADDDAY(D14,N14+4,1),1,1)))-SUMIFS(Holieday[Friday],Holieday[date],CONCATENATE("&gt;","=",D14),Holieday[date],CONCATENATE("&lt;","=",J_SUBDAY(J_ADDDAY(D14,N14+4,1),1,1)))=4,J_SUBDAY(J_ADDDAY(D14,N14+4,1),1,1),IF((N14+5-(NETWORKDAYS.INTL(J_GregorianDate(D14,1),J_GregorianDate(J_SUBDAY(J_ADDDAY(D14,N14+5,1),1,1),1),16,1)))+SUMIFS(Holieday[ok],Holieday[date],CONCATENATE("&gt;","=",D14),Holieday[date],CONCATENATE("&lt;","=",J_SUBDAY(J_ADDDAY(D14,N14+5,1),1,1)))-SUMIFS(Holieday[Friday],Holieday[date],CONCATENATE("&gt;","=",D14),Holieday[date],CONCATENATE("&lt;","=",J_SUBDAY(J_ADDDAY(D14,N14+5,1),1,1)))=5,J_SUBDAY(J_ADDDAY(D14,N14+5,1),1,1),J_SUBDAY(J_ADDDAY(D14,N14+6,1),1,1))))))))</f>
        <v>1398/10/17</v>
      </c>
      <c r="G14" s="139">
        <v>1.1000000000000001</v>
      </c>
      <c r="H14" s="175">
        <v>21</v>
      </c>
      <c r="I14" s="176">
        <v>1.4</v>
      </c>
      <c r="J14" s="174">
        <v>1</v>
      </c>
      <c r="K14" s="143">
        <v>1</v>
      </c>
      <c r="L14" s="177">
        <f t="shared" si="8"/>
        <v>1</v>
      </c>
      <c r="M14" s="178">
        <v>0</v>
      </c>
      <c r="N14" s="179">
        <v>1</v>
      </c>
      <c r="O14" s="144"/>
      <c r="P14" s="144"/>
      <c r="Q14" s="142"/>
      <c r="R14" s="141"/>
      <c r="S14" s="141"/>
      <c r="T14" s="141"/>
      <c r="U14" s="141"/>
      <c r="V14" s="141"/>
      <c r="W14" s="141"/>
      <c r="X14" s="141"/>
      <c r="Y14" s="141"/>
      <c r="Z14" s="141"/>
      <c r="AA14" s="141"/>
      <c r="AB14" s="141"/>
      <c r="AC14" s="141"/>
      <c r="AD14" s="141"/>
      <c r="AE14" s="141"/>
      <c r="AF14" s="141"/>
      <c r="AG14" s="141"/>
      <c r="AH14" s="141"/>
      <c r="AI14" s="141"/>
      <c r="AJ14" s="141"/>
      <c r="AK14" s="141"/>
      <c r="AL14" s="141"/>
      <c r="AM14" s="141"/>
      <c r="AN14" s="141"/>
      <c r="AO14" s="141"/>
      <c r="AP14" s="141"/>
      <c r="AQ14" s="141"/>
      <c r="AR14" s="141"/>
      <c r="AS14" s="141"/>
      <c r="AT14" s="141"/>
      <c r="AU14" s="141"/>
      <c r="AV14" s="141"/>
      <c r="AW14" s="141"/>
      <c r="AX14" s="141"/>
      <c r="AY14" s="141"/>
      <c r="AZ14" s="141"/>
      <c r="BA14" s="141"/>
      <c r="BB14" s="141"/>
      <c r="BC14" s="141"/>
      <c r="BD14" s="141"/>
      <c r="BE14" s="141"/>
      <c r="BF14" s="141"/>
      <c r="BG14" s="141"/>
      <c r="BH14" s="141"/>
      <c r="BI14" s="141"/>
      <c r="BJ14" s="141"/>
      <c r="BK14" s="141"/>
      <c r="BL14" s="141"/>
      <c r="BM14" s="141"/>
      <c r="BN14" s="141"/>
      <c r="BO14" s="141"/>
      <c r="BP14" s="141"/>
      <c r="BQ14" s="141"/>
      <c r="BR14" s="141"/>
      <c r="BS14" s="141"/>
      <c r="BT14" s="141"/>
      <c r="BU14" s="141"/>
      <c r="BV14" s="141"/>
      <c r="BW14" s="141"/>
      <c r="BX14" s="141"/>
      <c r="BY14" s="141"/>
      <c r="BZ14" s="141"/>
      <c r="CA14" s="141"/>
      <c r="CB14" s="141"/>
      <c r="CC14" s="141"/>
      <c r="CD14" s="141"/>
      <c r="CE14" s="141"/>
      <c r="CF14" s="141"/>
      <c r="CG14" s="141"/>
      <c r="CH14" s="141"/>
      <c r="CI14" s="141"/>
      <c r="CJ14" s="141"/>
      <c r="CK14" s="141"/>
      <c r="CL14" s="141"/>
      <c r="CM14" s="141"/>
      <c r="CN14" s="141"/>
      <c r="CO14" s="141"/>
      <c r="CP14" s="141"/>
      <c r="CQ14" s="141"/>
      <c r="CR14" s="141"/>
      <c r="CS14" s="141"/>
      <c r="CT14" s="141"/>
      <c r="CU14" s="141"/>
      <c r="CV14" s="141"/>
      <c r="CW14" s="141"/>
      <c r="CX14" s="141"/>
      <c r="CY14" s="141"/>
      <c r="CZ14" s="141"/>
      <c r="DA14" s="141"/>
      <c r="DB14" s="141"/>
      <c r="DC14" s="141"/>
      <c r="DD14" s="141"/>
      <c r="DE14" s="141"/>
      <c r="DF14" s="141"/>
      <c r="DG14" s="141"/>
      <c r="DH14" s="141"/>
      <c r="DI14" s="141"/>
      <c r="DJ14" s="141"/>
      <c r="DK14" s="141"/>
      <c r="DL14" s="141"/>
      <c r="DM14" s="141"/>
      <c r="DN14" s="141"/>
      <c r="DO14" s="141"/>
      <c r="DP14" s="141"/>
      <c r="DQ14" s="141"/>
      <c r="DR14" s="141"/>
      <c r="DS14" s="141"/>
      <c r="DT14" s="141"/>
      <c r="DU14" s="141"/>
      <c r="DV14" s="141"/>
      <c r="DW14" s="141"/>
      <c r="DX14" s="141"/>
      <c r="DY14" s="141"/>
      <c r="DZ14" s="141"/>
      <c r="EA14" s="141"/>
      <c r="EB14" s="141"/>
      <c r="EC14" s="141"/>
      <c r="ED14" s="141"/>
      <c r="EE14" s="141"/>
      <c r="EF14" s="141"/>
      <c r="EG14" s="141"/>
      <c r="EH14" s="141"/>
      <c r="EI14" s="141"/>
      <c r="EJ14" s="141"/>
      <c r="EK14" s="141"/>
      <c r="EL14" s="141"/>
      <c r="EM14" s="141"/>
      <c r="EN14" s="141"/>
      <c r="EO14" s="141"/>
      <c r="EP14" s="141"/>
      <c r="EQ14" s="141"/>
      <c r="ER14" s="141"/>
      <c r="ES14" s="141"/>
      <c r="ET14" s="141"/>
      <c r="EU14" s="141"/>
      <c r="EV14" s="141"/>
      <c r="EW14" s="141"/>
      <c r="EX14" s="141"/>
      <c r="EY14" s="141"/>
      <c r="EZ14" s="141"/>
      <c r="FA14" s="141"/>
      <c r="FB14" s="141"/>
      <c r="FC14" s="141"/>
      <c r="FD14" s="141"/>
      <c r="FE14" s="141"/>
      <c r="FF14" s="141"/>
      <c r="FG14" s="141"/>
      <c r="FH14" s="141"/>
      <c r="FI14" s="141"/>
      <c r="FJ14" s="141"/>
      <c r="FK14" s="141"/>
      <c r="FL14" s="141"/>
      <c r="FM14" s="141"/>
      <c r="FN14" s="141"/>
      <c r="FO14" s="141"/>
      <c r="FP14" s="141"/>
      <c r="FQ14" s="141"/>
      <c r="FR14" s="141"/>
      <c r="FS14" s="141"/>
      <c r="FT14" s="141"/>
      <c r="FU14" s="141"/>
      <c r="FV14" s="141"/>
      <c r="FW14" s="141"/>
      <c r="FX14" s="141"/>
      <c r="FY14" s="141"/>
      <c r="FZ14" s="141"/>
      <c r="GA14" s="141"/>
      <c r="GB14" s="141"/>
      <c r="GC14" s="141"/>
      <c r="GD14" s="141"/>
      <c r="GE14" s="141"/>
      <c r="GF14" s="141"/>
      <c r="GG14" s="141"/>
      <c r="GH14" s="141"/>
      <c r="GI14" s="141"/>
      <c r="GJ14" s="141"/>
      <c r="GK14" s="141"/>
      <c r="GL14" s="141"/>
      <c r="GM14" s="141"/>
      <c r="GN14" s="141"/>
      <c r="GO14" s="141"/>
      <c r="GP14" s="141"/>
      <c r="GQ14" s="141"/>
      <c r="GR14" s="141"/>
      <c r="GS14" s="141"/>
      <c r="GT14" s="141"/>
      <c r="GU14" s="141"/>
      <c r="GV14" s="141"/>
      <c r="GW14" s="141"/>
      <c r="GX14" s="141"/>
      <c r="GY14" s="141"/>
      <c r="GZ14" s="141"/>
      <c r="HA14" s="141"/>
      <c r="HB14" s="141"/>
      <c r="HC14" s="141"/>
      <c r="HD14" s="141"/>
      <c r="HE14" s="141"/>
      <c r="HF14" s="141"/>
      <c r="HG14" s="141"/>
      <c r="HH14" s="141"/>
      <c r="HI14" s="141"/>
      <c r="HJ14" s="141"/>
      <c r="HK14" s="141"/>
      <c r="HL14" s="141"/>
      <c r="HM14" s="141"/>
      <c r="HN14" s="141"/>
      <c r="HO14" s="141"/>
      <c r="HP14" s="141"/>
      <c r="HQ14" s="141"/>
      <c r="HR14" s="141"/>
      <c r="HS14" s="141"/>
      <c r="HT14" s="141"/>
      <c r="HU14" s="141"/>
      <c r="HV14" s="141"/>
      <c r="HW14" s="141"/>
      <c r="HX14" s="141"/>
      <c r="HY14" s="141"/>
      <c r="HZ14" s="141"/>
      <c r="IA14" s="141"/>
      <c r="IB14" s="141"/>
      <c r="IC14" s="141"/>
      <c r="ID14" s="141"/>
      <c r="IE14" s="141"/>
      <c r="IF14" s="141"/>
      <c r="IG14" s="141"/>
      <c r="IH14" s="141"/>
      <c r="II14" s="141"/>
      <c r="IJ14" s="141"/>
      <c r="IK14" s="141"/>
      <c r="IL14" s="141"/>
      <c r="IM14" s="141"/>
      <c r="IN14" s="141"/>
      <c r="IO14" s="141"/>
      <c r="IP14" s="141"/>
      <c r="IQ14" s="141"/>
      <c r="IR14" s="141"/>
      <c r="IS14" s="141">
        <v>1</v>
      </c>
      <c r="IT14" s="141" t="e">
        <f>(TEXT(E14,"[m]")/60)*VLOOKUP(IS14,'Income Person-hours'!#REF!,3,FALSE)</f>
        <v>#VALUE!</v>
      </c>
      <c r="IU14" s="141"/>
      <c r="IV14" s="141"/>
      <c r="IW14" s="141"/>
      <c r="IX14" s="141">
        <f>SUM((TEXT(IU14,"[M]")/60)*'Income Person-hours'!$D$3,(TEXT(IV14,"[M]")/60)*'Income Person-hours'!$D$4,(TEXT(IW14,"[M]")/60)*'Income Person-hours'!$D$5)</f>
        <v>0</v>
      </c>
      <c r="IY14" s="21"/>
      <c r="IZ14" s="31"/>
      <c r="JA14" s="91"/>
      <c r="JB14" s="91"/>
      <c r="JC14" s="91"/>
      <c r="JD14" s="160"/>
    </row>
    <row r="15" spans="1:264" s="159" customFormat="1" ht="13.5">
      <c r="A15" s="197">
        <v>1.6</v>
      </c>
      <c r="B15" s="186" t="s">
        <v>171</v>
      </c>
      <c r="C15" s="173" t="s">
        <v>103</v>
      </c>
      <c r="D15" s="180" t="str">
        <f>IF(OR(j_WEEKDAY(J_ADDDAY(VLOOKUP(I15,A:F,6,FALSE),H15,1),0)=6,SUMIFS(Holieday[ok],Holieday[date],J_ADDDAY(VLOOKUP(I15,A:F,6,FALSE),H15,1)))=FALSE(),J_ADDDAY(VLOOKUP(I15,A:F,6,FALSE),H15,1),IF(OR(j_WEEKDAY(J_ADDDAY(VLOOKUP(I15,A:F,6,FALSE),H15+1,1),0)=6,SUMIFS(Holieday[ok],Holieday[date],J_ADDDAY(VLOOKUP(I15,A:F,6,FALSE),H15+1,1)))=FALSE(),J_ADDDAY(VLOOKUP(I15,A:F,6,FALSE),H15+1,1),IF(OR(j_WEEKDAY(J_ADDDAY(VLOOKUP(I15,A:F,6,FALSE),H15+2,1),0)=6,SUMIFS(Holieday[ok],Holieday[date],J_ADDDAY(VLOOKUP(I15,A:F,6,FALSE),H15+2,1)))=FALSE(),J_ADDDAY(VLOOKUP(I15,A:F,6,FALSE),H15+2,1),IF(OR(j_WEEKDAY(J_ADDDAY(VLOOKUP(I15,A:F,6,FALSE),H15+3,1),0)=6,SUMIFS(Holieday[ok],Holieday[date],J_ADDDAY(VLOOKUP(I15,A:F,6,FALSE),H15+3,1)))=FALSE(),J_ADDDAY(VLOOKUP(I15,A:F,6,FALSE),H15+3,1),IF(OR(j_WEEKDAY(J_ADDDAY(VLOOKUP(I15,A:F,6,FALSE),H15+4,1),0)=6,SUMIFS(Holieday[ok],Holieday[date],J_ADDDAY(VLOOKUP(I15,A:F,6,FALSE),H15+4,1)))=FALSE(),J_ADDDAY(VLOOKUP(I15,A:F,6,FALSE),H15+4,1),J_ADDDAY(VLOOKUP(I15,A:F,6,FALSE),H15+5,1))))))</f>
        <v>1398/10/21</v>
      </c>
      <c r="E15" s="136" t="e">
        <f>IF(M15=0,J_SUBDAY(C15,1,1),IF((M15-(NETWORKDAYS.INTL(J_GregorianDate(C15,1),J_GregorianDate(J_SUBDAY(J_ADDDAY(C15,M15,1),1,1),1),16,1)))+SUMIFS(Holieday[ok],Holieday[date],CONCATENATE("&gt;","=",C15),Holieday[date],CONCATENATE("&lt;","=",J_SUBDAY(J_ADDDAY(C15,M15,1),1,1)))-SUMIFS(Holieday[Friday],Holieday[date],CONCATENATE("&gt;","=",C15),Holieday[date],CONCATENATE("&lt;","=",J_SUBDAY(J_ADDDAY(C15,M15,1),1,1)))=0,J_SUBDAY(J_ADDDAY(C15,M15,1),1,1),IF((M15+1-(NETWORKDAYS.INTL(J_GregorianDate(C15,1),J_GregorianDate(J_SUBDAY(J_ADDDAY(C15,M15+1,1),1,1),1),16,1)))+SUMIFS(Holieday[ok],Holieday[date],CONCATENATE("&gt;","=",C15),Holieday[date],CONCATENATE("&lt;","=",J_SUBDAY(J_ADDDAY(C15,M15+1,1),1,1)))-SUMIFS(Holieday[Friday],Holieday[date],CONCATENATE("&gt;","=",C15),Holieday[date],CONCATENATE("&lt;","=",J_SUBDAY(J_ADDDAY(C15,M15+1,1),1,1)))=1,J_SUBDAY(J_ADDDAY(C15,M15+1,1),1,1),IF((M15+2-(NETWORKDAYS.INTL(J_GregorianDate(C15,1),J_GregorianDate(J_SUBDAY(J_ADDDAY(C15,M15+2,1),1,1),1),16,1)))+SUMIFS(Holieday[ok],Holieday[date],CONCATENATE("&gt;","=",C15),Holieday[date],CONCATENATE("&lt;","=",J_SUBDAY(J_ADDDAY(C15,M15+2,1),1,1)))-SUMIFS(Holieday[Friday],Holieday[date],CONCATENATE("&gt;","=",C15),Holieday[date],CONCATENATE("&lt;","=",J_SUBDAY(J_ADDDAY(C15,M15+2,1),1,1)))=2,J_SUBDAY(J_ADDDAY(C15,M15+2,1),1,1),IF((M15+3-(NETWORKDAYS.INTL(J_GregorianDate(C15,1),J_GregorianDate(J_SUBDAY(J_ADDDAY(C15,M15+3,1),1,1),1),16,1)))+SUMIFS(Holieday[ok],Holieday[date],CONCATENATE("&gt;","=",C15),Holieday[date],CONCATENATE("&lt;","=",J_SUBDAY(J_ADDDAY(C15,M15+3,1),1,1)))-SUMIFS(Holieday[Friday],Holieday[date],CONCATENATE("&gt;","=",C15),Holieday[date],CONCATENATE("&lt;","=",J_SUBDAY(J_ADDDAY(C15,M15+3,1),1,1)))=3,J_SUBDAY(J_ADDDAY(C15,M15+3,1),1,1),IF((M15+4-(NETWORKDAYS.INTL(J_GregorianDate(C15,1),J_GregorianDate(J_SUBDAY(J_ADDDAY(C15,M15+4,1),1,1),1),16,1)))+SUMIFS(Holieday[ok],Holieday[date],CONCATENATE("&gt;","=",C15),Holieday[date],CONCATENATE("&lt;","=",J_SUBDAY(J_ADDDAY(C15,M15+4,1),1,1)))-SUMIFS(Holieday[Friday],Holieday[date],CONCATENATE("&gt;","=",C15),Holieday[date],CONCATENATE("&lt;","=",J_SUBDAY(J_ADDDAY(C15,M15+4,1),1,1)))=4,J_SUBDAY(J_ADDDAY(C15,M15+4,1),1,1),IF((M15+5-(NETWORKDAYS.INTL(J_GregorianDate(C15,1),J_GregorianDate(J_SUBDAY(J_ADDDAY(C15,M15+5,1),1,1),1),16,1)))+SUMIFS(Holieday[ok],Holieday[date],CONCATENATE("&gt;","=",C15),Holieday[date],CONCATENATE("&lt;","=",J_SUBDAY(J_ADDDAY(C15,M15+5,1),1,1)))-SUMIFS(Holieday[Friday],Holieday[date],CONCATENATE("&gt;","=",C15),Holieday[date],CONCATENATE("&lt;","=",J_SUBDAY(J_ADDDAY(C15,M15+5,1),1,1)))=5,J_SUBDAY(J_ADDDAY(C15,M15+5,1),1,1),J_SUBDAY(J_ADDDAY(C15,M15+6,1),1,1))))))))</f>
        <v>#VALUE!</v>
      </c>
      <c r="F15" s="189" t="str">
        <f>IF(N15=0,J_SUBDAY(D15,1,1),IF((N15-(NETWORKDAYS.INTL(J_GregorianDate(D15,1),J_GregorianDate(J_SUBDAY(J_ADDDAY(D15,N15,1),1,1),1),16,1)))+SUMIFS(Holieday[ok],Holieday[date],CONCATENATE("&gt;","=",D15),Holieday[date],CONCATENATE("&lt;","=",J_SUBDAY(J_ADDDAY(D15,N15,1),1,1)))-SUMIFS(Holieday[Friday],Holieday[date],CONCATENATE("&gt;","=",D15),Holieday[date],CONCATENATE("&lt;","=",J_SUBDAY(J_ADDDAY(D15,N15,1),1,1)))=0,J_SUBDAY(J_ADDDAY(D15,N15,1),1,1),IF((N15+1-(NETWORKDAYS.INTL(J_GregorianDate(D15,1),J_GregorianDate(J_SUBDAY(J_ADDDAY(D15,N15+1,1),1,1),1),16,1)))+SUMIFS(Holieday[ok],Holieday[date],CONCATENATE("&gt;","=",D15),Holieday[date],CONCATENATE("&lt;","=",J_SUBDAY(J_ADDDAY(D15,N15+1,1),1,1)))-SUMIFS(Holieday[Friday],Holieday[date],CONCATENATE("&gt;","=",D15),Holieday[date],CONCATENATE("&lt;","=",J_SUBDAY(J_ADDDAY(D15,N15+1,1),1,1)))=1,J_SUBDAY(J_ADDDAY(D15,N15+1,1),1,1),IF((N15+2-(NETWORKDAYS.INTL(J_GregorianDate(D15,1),J_GregorianDate(J_SUBDAY(J_ADDDAY(D15,N15+2,1),1,1),1),16,1)))+SUMIFS(Holieday[ok],Holieday[date],CONCATENATE("&gt;","=",D15),Holieday[date],CONCATENATE("&lt;","=",J_SUBDAY(J_ADDDAY(D15,N15+2,1),1,1)))-SUMIFS(Holieday[Friday],Holieday[date],CONCATENATE("&gt;","=",D15),Holieday[date],CONCATENATE("&lt;","=",J_SUBDAY(J_ADDDAY(D15,N15+2,1),1,1)))=2,J_SUBDAY(J_ADDDAY(D15,N15+2,1),1,1),IF((N15+3-(NETWORKDAYS.INTL(J_GregorianDate(D15,1),J_GregorianDate(J_SUBDAY(J_ADDDAY(D15,N15+3,1),1,1),1),16,1)))+SUMIFS(Holieday[ok],Holieday[date],CONCATENATE("&gt;","=",D15),Holieday[date],CONCATENATE("&lt;","=",J_SUBDAY(J_ADDDAY(D15,N15+3,1),1,1)))-SUMIFS(Holieday[Friday],Holieday[date],CONCATENATE("&gt;","=",D15),Holieday[date],CONCATENATE("&lt;","=",J_SUBDAY(J_ADDDAY(D15,N15+3,1),1,1)))=3,J_SUBDAY(J_ADDDAY(D15,N15+3,1),1,1),IF((N15+4-(NETWORKDAYS.INTL(J_GregorianDate(D15,1),J_GregorianDate(J_SUBDAY(J_ADDDAY(D15,N15+4,1),1,1),1),16,1)))+SUMIFS(Holieday[ok],Holieday[date],CONCATENATE("&gt;","=",D15),Holieday[date],CONCATENATE("&lt;","=",J_SUBDAY(J_ADDDAY(D15,N15+4,1),1,1)))-SUMIFS(Holieday[Friday],Holieday[date],CONCATENATE("&gt;","=",D15),Holieday[date],CONCATENATE("&lt;","=",J_SUBDAY(J_ADDDAY(D15,N15+4,1),1,1)))=4,J_SUBDAY(J_ADDDAY(D15,N15+4,1),1,1),IF((N15+5-(NETWORKDAYS.INTL(J_GregorianDate(D15,1),J_GregorianDate(J_SUBDAY(J_ADDDAY(D15,N15+5,1),1,1),1),16,1)))+SUMIFS(Holieday[ok],Holieday[date],CONCATENATE("&gt;","=",D15),Holieday[date],CONCATENATE("&lt;","=",J_SUBDAY(J_ADDDAY(D15,N15+5,1),1,1)))-SUMIFS(Holieday[Friday],Holieday[date],CONCATENATE("&gt;","=",D15),Holieday[date],CONCATENATE("&lt;","=",J_SUBDAY(J_ADDDAY(D15,N15+5,1),1,1)))=5,J_SUBDAY(J_ADDDAY(D15,N15+5,1),1,1),J_SUBDAY(J_ADDDAY(D15,N15+6,1),1,1))))))))</f>
        <v>1398/10/21</v>
      </c>
      <c r="G15" s="139">
        <v>1.4</v>
      </c>
      <c r="H15" s="175">
        <v>3</v>
      </c>
      <c r="I15" s="176">
        <v>1.5</v>
      </c>
      <c r="J15" s="174">
        <v>1</v>
      </c>
      <c r="K15" s="143">
        <v>1</v>
      </c>
      <c r="L15" s="177">
        <f t="shared" si="8"/>
        <v>1</v>
      </c>
      <c r="M15" s="178">
        <v>0</v>
      </c>
      <c r="N15" s="179">
        <v>1</v>
      </c>
      <c r="O15" s="144"/>
      <c r="P15" s="144"/>
      <c r="Q15" s="142"/>
      <c r="R15" s="141"/>
      <c r="S15" s="141"/>
      <c r="T15" s="141"/>
      <c r="U15" s="141"/>
      <c r="V15" s="141"/>
      <c r="W15" s="141"/>
      <c r="X15" s="141"/>
      <c r="Y15" s="141"/>
      <c r="Z15" s="141"/>
      <c r="AA15" s="141"/>
      <c r="AB15" s="141"/>
      <c r="AC15" s="141"/>
      <c r="AD15" s="141"/>
      <c r="AE15" s="141"/>
      <c r="AF15" s="141"/>
      <c r="AG15" s="141"/>
      <c r="AH15" s="141"/>
      <c r="AI15" s="141"/>
      <c r="AJ15" s="141"/>
      <c r="AK15" s="141"/>
      <c r="AL15" s="141"/>
      <c r="AM15" s="141"/>
      <c r="AN15" s="141"/>
      <c r="AO15" s="141"/>
      <c r="AP15" s="141"/>
      <c r="AQ15" s="141"/>
      <c r="AR15" s="141"/>
      <c r="AS15" s="141"/>
      <c r="AT15" s="141"/>
      <c r="AU15" s="141"/>
      <c r="AV15" s="141"/>
      <c r="AW15" s="141"/>
      <c r="AX15" s="141"/>
      <c r="AY15" s="141"/>
      <c r="AZ15" s="141"/>
      <c r="BA15" s="141"/>
      <c r="BB15" s="141"/>
      <c r="BC15" s="141"/>
      <c r="BD15" s="141"/>
      <c r="BE15" s="141"/>
      <c r="BF15" s="141"/>
      <c r="BG15" s="141"/>
      <c r="BH15" s="141"/>
      <c r="BI15" s="141"/>
      <c r="BJ15" s="141"/>
      <c r="BK15" s="141"/>
      <c r="BL15" s="141"/>
      <c r="BM15" s="141"/>
      <c r="BN15" s="141"/>
      <c r="BO15" s="141"/>
      <c r="BP15" s="141"/>
      <c r="BQ15" s="141"/>
      <c r="BR15" s="141"/>
      <c r="BS15" s="141"/>
      <c r="BT15" s="141"/>
      <c r="BU15" s="141"/>
      <c r="BV15" s="141"/>
      <c r="BW15" s="141"/>
      <c r="BX15" s="141"/>
      <c r="BY15" s="141"/>
      <c r="BZ15" s="141"/>
      <c r="CA15" s="141"/>
      <c r="CB15" s="141"/>
      <c r="CC15" s="141"/>
      <c r="CD15" s="141"/>
      <c r="CE15" s="141"/>
      <c r="CF15" s="141"/>
      <c r="CG15" s="141"/>
      <c r="CH15" s="141"/>
      <c r="CI15" s="141"/>
      <c r="CJ15" s="141"/>
      <c r="CK15" s="141"/>
      <c r="CL15" s="141"/>
      <c r="CM15" s="141"/>
      <c r="CN15" s="141"/>
      <c r="CO15" s="141"/>
      <c r="CP15" s="141"/>
      <c r="CQ15" s="141"/>
      <c r="CR15" s="141"/>
      <c r="CS15" s="141"/>
      <c r="CT15" s="141"/>
      <c r="CU15" s="141"/>
      <c r="CV15" s="141"/>
      <c r="CW15" s="141"/>
      <c r="CX15" s="141"/>
      <c r="CY15" s="141"/>
      <c r="CZ15" s="141"/>
      <c r="DA15" s="141"/>
      <c r="DB15" s="141"/>
      <c r="DC15" s="141"/>
      <c r="DD15" s="141"/>
      <c r="DE15" s="141"/>
      <c r="DF15" s="141"/>
      <c r="DG15" s="141"/>
      <c r="DH15" s="141"/>
      <c r="DI15" s="141"/>
      <c r="DJ15" s="141"/>
      <c r="DK15" s="141"/>
      <c r="DL15" s="141"/>
      <c r="DM15" s="141"/>
      <c r="DN15" s="141"/>
      <c r="DO15" s="141"/>
      <c r="DP15" s="141"/>
      <c r="DQ15" s="141"/>
      <c r="DR15" s="141"/>
      <c r="DS15" s="141"/>
      <c r="DT15" s="141"/>
      <c r="DU15" s="141"/>
      <c r="DV15" s="141"/>
      <c r="DW15" s="141"/>
      <c r="DX15" s="141"/>
      <c r="DY15" s="141"/>
      <c r="DZ15" s="141"/>
      <c r="EA15" s="141"/>
      <c r="EB15" s="141"/>
      <c r="EC15" s="141"/>
      <c r="ED15" s="141"/>
      <c r="EE15" s="141"/>
      <c r="EF15" s="141"/>
      <c r="EG15" s="141"/>
      <c r="EH15" s="141"/>
      <c r="EI15" s="141"/>
      <c r="EJ15" s="141"/>
      <c r="EK15" s="141"/>
      <c r="EL15" s="141"/>
      <c r="EM15" s="141"/>
      <c r="EN15" s="141"/>
      <c r="EO15" s="141"/>
      <c r="EP15" s="141"/>
      <c r="EQ15" s="141"/>
      <c r="ER15" s="141"/>
      <c r="ES15" s="141"/>
      <c r="ET15" s="141"/>
      <c r="EU15" s="141"/>
      <c r="EV15" s="141"/>
      <c r="EW15" s="141"/>
      <c r="EX15" s="141"/>
      <c r="EY15" s="141"/>
      <c r="EZ15" s="141"/>
      <c r="FA15" s="141"/>
      <c r="FB15" s="141"/>
      <c r="FC15" s="141"/>
      <c r="FD15" s="141"/>
      <c r="FE15" s="141"/>
      <c r="FF15" s="141"/>
      <c r="FG15" s="141"/>
      <c r="FH15" s="141"/>
      <c r="FI15" s="141"/>
      <c r="FJ15" s="141"/>
      <c r="FK15" s="141"/>
      <c r="FL15" s="141"/>
      <c r="FM15" s="141"/>
      <c r="FN15" s="141"/>
      <c r="FO15" s="141"/>
      <c r="FP15" s="141"/>
      <c r="FQ15" s="141"/>
      <c r="FR15" s="141"/>
      <c r="FS15" s="141"/>
      <c r="FT15" s="141"/>
      <c r="FU15" s="141"/>
      <c r="FV15" s="141"/>
      <c r="FW15" s="141"/>
      <c r="FX15" s="141"/>
      <c r="FY15" s="141"/>
      <c r="FZ15" s="141"/>
      <c r="GA15" s="141"/>
      <c r="GB15" s="141"/>
      <c r="GC15" s="141"/>
      <c r="GD15" s="141"/>
      <c r="GE15" s="141"/>
      <c r="GF15" s="141"/>
      <c r="GG15" s="141"/>
      <c r="GH15" s="141"/>
      <c r="GI15" s="141"/>
      <c r="GJ15" s="141"/>
      <c r="GK15" s="141"/>
      <c r="GL15" s="141"/>
      <c r="GM15" s="141"/>
      <c r="GN15" s="141"/>
      <c r="GO15" s="141"/>
      <c r="GP15" s="141"/>
      <c r="GQ15" s="141"/>
      <c r="GR15" s="141"/>
      <c r="GS15" s="141"/>
      <c r="GT15" s="141"/>
      <c r="GU15" s="141"/>
      <c r="GV15" s="141"/>
      <c r="GW15" s="141"/>
      <c r="GX15" s="141"/>
      <c r="GY15" s="141"/>
      <c r="GZ15" s="141"/>
      <c r="HA15" s="141"/>
      <c r="HB15" s="141"/>
      <c r="HC15" s="141"/>
      <c r="HD15" s="141"/>
      <c r="HE15" s="141"/>
      <c r="HF15" s="141"/>
      <c r="HG15" s="141"/>
      <c r="HH15" s="141"/>
      <c r="HI15" s="141"/>
      <c r="HJ15" s="141"/>
      <c r="HK15" s="141"/>
      <c r="HL15" s="141"/>
      <c r="HM15" s="141"/>
      <c r="HN15" s="141"/>
      <c r="HO15" s="141"/>
      <c r="HP15" s="141"/>
      <c r="HQ15" s="141"/>
      <c r="HR15" s="141"/>
      <c r="HS15" s="141"/>
      <c r="HT15" s="141"/>
      <c r="HU15" s="141"/>
      <c r="HV15" s="141"/>
      <c r="HW15" s="141"/>
      <c r="HX15" s="141"/>
      <c r="HY15" s="141"/>
      <c r="HZ15" s="141"/>
      <c r="IA15" s="141"/>
      <c r="IB15" s="141"/>
      <c r="IC15" s="141"/>
      <c r="ID15" s="141"/>
      <c r="IE15" s="141"/>
      <c r="IF15" s="141"/>
      <c r="IG15" s="141"/>
      <c r="IH15" s="141"/>
      <c r="II15" s="141"/>
      <c r="IJ15" s="141"/>
      <c r="IK15" s="141"/>
      <c r="IL15" s="141"/>
      <c r="IM15" s="141">
        <v>1</v>
      </c>
      <c r="IN15" s="141" t="e">
        <f>(TEXT(#REF!,"[m]")/60)*VLOOKUP(IM15,'Income Person-hours'!#REF!,3,FALSE)</f>
        <v>#REF!</v>
      </c>
      <c r="IO15" s="141"/>
      <c r="IP15" s="141"/>
      <c r="IQ15" s="141"/>
      <c r="IR15" s="141">
        <f>SUM((TEXT(IO15,"[M]")/60)*'Income Person-hours'!$D$3,(TEXT(IP15,"[M]")/60)*'Income Person-hours'!$D$4,(TEXT(IQ15,"[M]")/60)*'Income Person-hours'!$D$5)</f>
        <v>0</v>
      </c>
      <c r="IS15" s="141"/>
      <c r="IT15" s="141"/>
      <c r="IU15" s="141"/>
      <c r="IV15" s="141"/>
      <c r="IW15" s="141"/>
      <c r="IX15" s="141"/>
      <c r="IY15" s="21"/>
      <c r="IZ15" s="31"/>
      <c r="JA15" s="91"/>
      <c r="JB15" s="91"/>
      <c r="JC15" s="91"/>
      <c r="JD15" s="160"/>
    </row>
    <row r="16" spans="1:264" s="159" customFormat="1" ht="13.5">
      <c r="A16" s="197">
        <v>1.7</v>
      </c>
      <c r="B16" s="186" t="s">
        <v>172</v>
      </c>
      <c r="C16" s="173" t="s">
        <v>103</v>
      </c>
      <c r="D16" s="180" t="str">
        <f>IF(OR(j_WEEKDAY(J_ADDDAY(VLOOKUP(I16,A:F,6,FALSE),H16,1),0)=6,SUMIFS(Holieday[ok],Holieday[date],J_ADDDAY(VLOOKUP(I16,A:F,6,FALSE),H16,1)))=FALSE(),J_ADDDAY(VLOOKUP(I16,A:F,6,FALSE),H16,1),IF(OR(j_WEEKDAY(J_ADDDAY(VLOOKUP(I16,A:F,6,FALSE),H16+1,1),0)=6,SUMIFS(Holieday[ok],Holieday[date],J_ADDDAY(VLOOKUP(I16,A:F,6,FALSE),H16+1,1)))=FALSE(),J_ADDDAY(VLOOKUP(I16,A:F,6,FALSE),H16+1,1),IF(OR(j_WEEKDAY(J_ADDDAY(VLOOKUP(I16,A:F,6,FALSE),H16+2,1),0)=6,SUMIFS(Holieday[ok],Holieday[date],J_ADDDAY(VLOOKUP(I16,A:F,6,FALSE),H16+2,1)))=FALSE(),J_ADDDAY(VLOOKUP(I16,A:F,6,FALSE),H16+2,1),IF(OR(j_WEEKDAY(J_ADDDAY(VLOOKUP(I16,A:F,6,FALSE),H16+3,1),0)=6,SUMIFS(Holieday[ok],Holieday[date],J_ADDDAY(VLOOKUP(I16,A:F,6,FALSE),H16+3,1)))=FALSE(),J_ADDDAY(VLOOKUP(I16,A:F,6,FALSE),H16+3,1),IF(OR(j_WEEKDAY(J_ADDDAY(VLOOKUP(I16,A:F,6,FALSE),H16+4,1),0)=6,SUMIFS(Holieday[ok],Holieday[date],J_ADDDAY(VLOOKUP(I16,A:F,6,FALSE),H16+4,1)))=FALSE(),J_ADDDAY(VLOOKUP(I16,A:F,6,FALSE),H16+4,1),J_ADDDAY(VLOOKUP(I16,A:F,6,FALSE),H16+5,1))))))</f>
        <v>1398/11/01</v>
      </c>
      <c r="E16" s="136" t="e">
        <f>IF(M16=0,J_SUBDAY(C16,1,1),IF((M16-(NETWORKDAYS.INTL(J_GregorianDate(C16,1),J_GregorianDate(J_SUBDAY(J_ADDDAY(C16,M16,1),1,1),1),16,1)))+SUMIFS(Holieday[ok],Holieday[date],CONCATENATE("&gt;","=",C16),Holieday[date],CONCATENATE("&lt;","=",J_SUBDAY(J_ADDDAY(C16,M16,1),1,1)))-SUMIFS(Holieday[Friday],Holieday[date],CONCATENATE("&gt;","=",C16),Holieday[date],CONCATENATE("&lt;","=",J_SUBDAY(J_ADDDAY(C16,M16,1),1,1)))=0,J_SUBDAY(J_ADDDAY(C16,M16,1),1,1),IF((M16+1-(NETWORKDAYS.INTL(J_GregorianDate(C16,1),J_GregorianDate(J_SUBDAY(J_ADDDAY(C16,M16+1,1),1,1),1),16,1)))+SUMIFS(Holieday[ok],Holieday[date],CONCATENATE("&gt;","=",C16),Holieday[date],CONCATENATE("&lt;","=",J_SUBDAY(J_ADDDAY(C16,M16+1,1),1,1)))-SUMIFS(Holieday[Friday],Holieday[date],CONCATENATE("&gt;","=",C16),Holieday[date],CONCATENATE("&lt;","=",J_SUBDAY(J_ADDDAY(C16,M16+1,1),1,1)))=1,J_SUBDAY(J_ADDDAY(C16,M16+1,1),1,1),IF((M16+2-(NETWORKDAYS.INTL(J_GregorianDate(C16,1),J_GregorianDate(J_SUBDAY(J_ADDDAY(C16,M16+2,1),1,1),1),16,1)))+SUMIFS(Holieday[ok],Holieday[date],CONCATENATE("&gt;","=",C16),Holieday[date],CONCATENATE("&lt;","=",J_SUBDAY(J_ADDDAY(C16,M16+2,1),1,1)))-SUMIFS(Holieday[Friday],Holieday[date],CONCATENATE("&gt;","=",C16),Holieday[date],CONCATENATE("&lt;","=",J_SUBDAY(J_ADDDAY(C16,M16+2,1),1,1)))=2,J_SUBDAY(J_ADDDAY(C16,M16+2,1),1,1),IF((M16+3-(NETWORKDAYS.INTL(J_GregorianDate(C16,1),J_GregorianDate(J_SUBDAY(J_ADDDAY(C16,M16+3,1),1,1),1),16,1)))+SUMIFS(Holieday[ok],Holieday[date],CONCATENATE("&gt;","=",C16),Holieday[date],CONCATENATE("&lt;","=",J_SUBDAY(J_ADDDAY(C16,M16+3,1),1,1)))-SUMIFS(Holieday[Friday],Holieday[date],CONCATENATE("&gt;","=",C16),Holieday[date],CONCATENATE("&lt;","=",J_SUBDAY(J_ADDDAY(C16,M16+3,1),1,1)))=3,J_SUBDAY(J_ADDDAY(C16,M16+3,1),1,1),IF((M16+4-(NETWORKDAYS.INTL(J_GregorianDate(C16,1),J_GregorianDate(J_SUBDAY(J_ADDDAY(C16,M16+4,1),1,1),1),16,1)))+SUMIFS(Holieday[ok],Holieday[date],CONCATENATE("&gt;","=",C16),Holieday[date],CONCATENATE("&lt;","=",J_SUBDAY(J_ADDDAY(C16,M16+4,1),1,1)))-SUMIFS(Holieday[Friday],Holieday[date],CONCATENATE("&gt;","=",C16),Holieday[date],CONCATENATE("&lt;","=",J_SUBDAY(J_ADDDAY(C16,M16+4,1),1,1)))=4,J_SUBDAY(J_ADDDAY(C16,M16+4,1),1,1),IF((M16+5-(NETWORKDAYS.INTL(J_GregorianDate(C16,1),J_GregorianDate(J_SUBDAY(J_ADDDAY(C16,M16+5,1),1,1),1),16,1)))+SUMIFS(Holieday[ok],Holieday[date],CONCATENATE("&gt;","=",C16),Holieday[date],CONCATENATE("&lt;","=",J_SUBDAY(J_ADDDAY(C16,M16+5,1),1,1)))-SUMIFS(Holieday[Friday],Holieday[date],CONCATENATE("&gt;","=",C16),Holieday[date],CONCATENATE("&lt;","=",J_SUBDAY(J_ADDDAY(C16,M16+5,1),1,1)))=5,J_SUBDAY(J_ADDDAY(C16,M16+5,1),1,1),J_SUBDAY(J_ADDDAY(C16,M16+6,1),1,1))))))))</f>
        <v>#VALUE!</v>
      </c>
      <c r="F16" s="189" t="str">
        <f>IF(N16=0,J_SUBDAY(D16,1,1),IF((N16-(NETWORKDAYS.INTL(J_GregorianDate(D16,1),J_GregorianDate(J_SUBDAY(J_ADDDAY(D16,N16,1),1,1),1),16,1)))+SUMIFS(Holieday[ok],Holieday[date],CONCATENATE("&gt;","=",D16),Holieday[date],CONCATENATE("&lt;","=",J_SUBDAY(J_ADDDAY(D16,N16,1),1,1)))-SUMIFS(Holieday[Friday],Holieday[date],CONCATENATE("&gt;","=",D16),Holieday[date],CONCATENATE("&lt;","=",J_SUBDAY(J_ADDDAY(D16,N16,1),1,1)))=0,J_SUBDAY(J_ADDDAY(D16,N16,1),1,1),IF((N16+1-(NETWORKDAYS.INTL(J_GregorianDate(D16,1),J_GregorianDate(J_SUBDAY(J_ADDDAY(D16,N16+1,1),1,1),1),16,1)))+SUMIFS(Holieday[ok],Holieday[date],CONCATENATE("&gt;","=",D16),Holieday[date],CONCATENATE("&lt;","=",J_SUBDAY(J_ADDDAY(D16,N16+1,1),1,1)))-SUMIFS(Holieday[Friday],Holieday[date],CONCATENATE("&gt;","=",D16),Holieday[date],CONCATENATE("&lt;","=",J_SUBDAY(J_ADDDAY(D16,N16+1,1),1,1)))=1,J_SUBDAY(J_ADDDAY(D16,N16+1,1),1,1),IF((N16+2-(NETWORKDAYS.INTL(J_GregorianDate(D16,1),J_GregorianDate(J_SUBDAY(J_ADDDAY(D16,N16+2,1),1,1),1),16,1)))+SUMIFS(Holieday[ok],Holieday[date],CONCATENATE("&gt;","=",D16),Holieday[date],CONCATENATE("&lt;","=",J_SUBDAY(J_ADDDAY(D16,N16+2,1),1,1)))-SUMIFS(Holieday[Friday],Holieday[date],CONCATENATE("&gt;","=",D16),Holieday[date],CONCATENATE("&lt;","=",J_SUBDAY(J_ADDDAY(D16,N16+2,1),1,1)))=2,J_SUBDAY(J_ADDDAY(D16,N16+2,1),1,1),IF((N16+3-(NETWORKDAYS.INTL(J_GregorianDate(D16,1),J_GregorianDate(J_SUBDAY(J_ADDDAY(D16,N16+3,1),1,1),1),16,1)))+SUMIFS(Holieday[ok],Holieday[date],CONCATENATE("&gt;","=",D16),Holieday[date],CONCATENATE("&lt;","=",J_SUBDAY(J_ADDDAY(D16,N16+3,1),1,1)))-SUMIFS(Holieday[Friday],Holieday[date],CONCATENATE("&gt;","=",D16),Holieday[date],CONCATENATE("&lt;","=",J_SUBDAY(J_ADDDAY(D16,N16+3,1),1,1)))=3,J_SUBDAY(J_ADDDAY(D16,N16+3,1),1,1),IF((N16+4-(NETWORKDAYS.INTL(J_GregorianDate(D16,1),J_GregorianDate(J_SUBDAY(J_ADDDAY(D16,N16+4,1),1,1),1),16,1)))+SUMIFS(Holieday[ok],Holieday[date],CONCATENATE("&gt;","=",D16),Holieday[date],CONCATENATE("&lt;","=",J_SUBDAY(J_ADDDAY(D16,N16+4,1),1,1)))-SUMIFS(Holieday[Friday],Holieday[date],CONCATENATE("&gt;","=",D16),Holieday[date],CONCATENATE("&lt;","=",J_SUBDAY(J_ADDDAY(D16,N16+4,1),1,1)))=4,J_SUBDAY(J_ADDDAY(D16,N16+4,1),1,1),IF((N16+5-(NETWORKDAYS.INTL(J_GregorianDate(D16,1),J_GregorianDate(J_SUBDAY(J_ADDDAY(D16,N16+5,1),1,1),1),16,1)))+SUMIFS(Holieday[ok],Holieday[date],CONCATENATE("&gt;","=",D16),Holieday[date],CONCATENATE("&lt;","=",J_SUBDAY(J_ADDDAY(D16,N16+5,1),1,1)))-SUMIFS(Holieday[Friday],Holieday[date],CONCATENATE("&gt;","=",D16),Holieday[date],CONCATENATE("&lt;","=",J_SUBDAY(J_ADDDAY(D16,N16+5,1),1,1)))=5,J_SUBDAY(J_ADDDAY(D16,N16+5,1),1,1),J_SUBDAY(J_ADDDAY(D16,N16+6,1),1,1))))))))</f>
        <v>1398/11/01</v>
      </c>
      <c r="G16" s="139">
        <v>1.5</v>
      </c>
      <c r="H16" s="175">
        <v>10</v>
      </c>
      <c r="I16" s="176">
        <v>1.6</v>
      </c>
      <c r="J16" s="174">
        <v>1</v>
      </c>
      <c r="K16" s="143">
        <v>1</v>
      </c>
      <c r="L16" s="177">
        <f t="shared" si="8"/>
        <v>1</v>
      </c>
      <c r="M16" s="178">
        <v>0</v>
      </c>
      <c r="N16" s="179">
        <v>1</v>
      </c>
      <c r="O16" s="144"/>
      <c r="P16" s="144"/>
      <c r="Q16" s="142"/>
      <c r="R16" s="141"/>
      <c r="S16" s="141"/>
      <c r="T16" s="141"/>
      <c r="U16" s="141"/>
      <c r="V16" s="141"/>
      <c r="W16" s="141"/>
      <c r="X16" s="141"/>
      <c r="Y16" s="141"/>
      <c r="Z16" s="141"/>
      <c r="AA16" s="141"/>
      <c r="AB16" s="141"/>
      <c r="AC16" s="141"/>
      <c r="AD16" s="141"/>
      <c r="AE16" s="141"/>
      <c r="AF16" s="141"/>
      <c r="AG16" s="141"/>
      <c r="AH16" s="141"/>
      <c r="AI16" s="141"/>
      <c r="AJ16" s="141"/>
      <c r="AK16" s="141"/>
      <c r="AL16" s="141"/>
      <c r="AM16" s="141"/>
      <c r="AN16" s="141"/>
      <c r="AO16" s="141"/>
      <c r="AP16" s="141"/>
      <c r="AQ16" s="141"/>
      <c r="AR16" s="141"/>
      <c r="AS16" s="141"/>
      <c r="AT16" s="141"/>
      <c r="AU16" s="141"/>
      <c r="AV16" s="141"/>
      <c r="AW16" s="141"/>
      <c r="AX16" s="141"/>
      <c r="AY16" s="141"/>
      <c r="AZ16" s="141"/>
      <c r="BA16" s="141"/>
      <c r="BB16" s="141"/>
      <c r="BC16" s="141"/>
      <c r="BD16" s="141"/>
      <c r="BE16" s="141"/>
      <c r="BF16" s="141"/>
      <c r="BG16" s="141"/>
      <c r="BH16" s="141"/>
      <c r="BI16" s="141"/>
      <c r="BJ16" s="141"/>
      <c r="BK16" s="141"/>
      <c r="BL16" s="141"/>
      <c r="BM16" s="141"/>
      <c r="BN16" s="141"/>
      <c r="BO16" s="141"/>
      <c r="BP16" s="141"/>
      <c r="BQ16" s="141"/>
      <c r="BR16" s="141"/>
      <c r="BS16" s="141"/>
      <c r="BT16" s="141"/>
      <c r="BU16" s="141"/>
      <c r="BV16" s="141"/>
      <c r="BW16" s="141"/>
      <c r="BX16" s="141"/>
      <c r="BY16" s="141"/>
      <c r="BZ16" s="141"/>
      <c r="CA16" s="141"/>
      <c r="CB16" s="141"/>
      <c r="CC16" s="141"/>
      <c r="CD16" s="141"/>
      <c r="CE16" s="141"/>
      <c r="CF16" s="141"/>
      <c r="CG16" s="141"/>
      <c r="CH16" s="141"/>
      <c r="CI16" s="141"/>
      <c r="CJ16" s="141"/>
      <c r="CK16" s="141"/>
      <c r="CL16" s="141"/>
      <c r="CM16" s="141"/>
      <c r="CN16" s="141"/>
      <c r="CO16" s="141"/>
      <c r="CP16" s="141"/>
      <c r="CQ16" s="141"/>
      <c r="CR16" s="141"/>
      <c r="CS16" s="141"/>
      <c r="CT16" s="141"/>
      <c r="CU16" s="141"/>
      <c r="CV16" s="141"/>
      <c r="CW16" s="141"/>
      <c r="CX16" s="141"/>
      <c r="CY16" s="141"/>
      <c r="CZ16" s="141"/>
      <c r="DA16" s="141"/>
      <c r="DB16" s="141"/>
      <c r="DC16" s="141"/>
      <c r="DD16" s="141"/>
      <c r="DE16" s="141"/>
      <c r="DF16" s="141"/>
      <c r="DG16" s="141"/>
      <c r="DH16" s="141"/>
      <c r="DI16" s="141"/>
      <c r="DJ16" s="141"/>
      <c r="DK16" s="141"/>
      <c r="DL16" s="141"/>
      <c r="DM16" s="141"/>
      <c r="DN16" s="141"/>
      <c r="DO16" s="141"/>
      <c r="DP16" s="141"/>
      <c r="DQ16" s="141"/>
      <c r="DR16" s="141"/>
      <c r="DS16" s="141"/>
      <c r="DT16" s="141"/>
      <c r="DU16" s="141"/>
      <c r="DV16" s="141"/>
      <c r="DW16" s="141"/>
      <c r="DX16" s="141"/>
      <c r="DY16" s="141"/>
      <c r="DZ16" s="141"/>
      <c r="EA16" s="141"/>
      <c r="EB16" s="141"/>
      <c r="EC16" s="141"/>
      <c r="ED16" s="141"/>
      <c r="EE16" s="141"/>
      <c r="EF16" s="141"/>
      <c r="EG16" s="141"/>
      <c r="EH16" s="141"/>
      <c r="EI16" s="141"/>
      <c r="EJ16" s="141"/>
      <c r="EK16" s="141"/>
      <c r="EL16" s="141"/>
      <c r="EM16" s="141"/>
      <c r="EN16" s="141"/>
      <c r="EO16" s="141"/>
      <c r="EP16" s="141"/>
      <c r="EQ16" s="141"/>
      <c r="ER16" s="141"/>
      <c r="ES16" s="141"/>
      <c r="ET16" s="141"/>
      <c r="EU16" s="141"/>
      <c r="EV16" s="141"/>
      <c r="EW16" s="141"/>
      <c r="EX16" s="141"/>
      <c r="EY16" s="141"/>
      <c r="EZ16" s="141"/>
      <c r="FA16" s="141"/>
      <c r="FB16" s="141"/>
      <c r="FC16" s="141"/>
      <c r="FD16" s="141"/>
      <c r="FE16" s="141"/>
      <c r="FF16" s="141"/>
      <c r="FG16" s="141"/>
      <c r="FH16" s="141"/>
      <c r="FI16" s="141"/>
      <c r="FJ16" s="141"/>
      <c r="FK16" s="141"/>
      <c r="FL16" s="141"/>
      <c r="FM16" s="141"/>
      <c r="FN16" s="141"/>
      <c r="FO16" s="141"/>
      <c r="FP16" s="141"/>
      <c r="FQ16" s="141"/>
      <c r="FR16" s="141"/>
      <c r="FS16" s="141"/>
      <c r="FT16" s="141"/>
      <c r="FU16" s="141"/>
      <c r="FV16" s="141"/>
      <c r="FW16" s="141"/>
      <c r="FX16" s="141"/>
      <c r="FY16" s="141"/>
      <c r="FZ16" s="141"/>
      <c r="GA16" s="141"/>
      <c r="GB16" s="141"/>
      <c r="GC16" s="141"/>
      <c r="GD16" s="141"/>
      <c r="GE16" s="141"/>
      <c r="GF16" s="141"/>
      <c r="GG16" s="141"/>
      <c r="GH16" s="141"/>
      <c r="GI16" s="141"/>
      <c r="GJ16" s="141"/>
      <c r="GK16" s="141"/>
      <c r="GL16" s="141"/>
      <c r="GM16" s="141"/>
      <c r="GN16" s="141"/>
      <c r="GO16" s="141"/>
      <c r="GP16" s="141"/>
      <c r="GQ16" s="141"/>
      <c r="GR16" s="141"/>
      <c r="GS16" s="141"/>
      <c r="GT16" s="141"/>
      <c r="GU16" s="141"/>
      <c r="GV16" s="141"/>
      <c r="GW16" s="141"/>
      <c r="GX16" s="141"/>
      <c r="GY16" s="141"/>
      <c r="GZ16" s="141"/>
      <c r="HA16" s="141"/>
      <c r="HB16" s="141"/>
      <c r="HC16" s="141"/>
      <c r="HD16" s="141"/>
      <c r="HE16" s="141"/>
      <c r="HF16" s="141"/>
      <c r="HG16" s="141"/>
      <c r="HH16" s="141"/>
      <c r="HI16" s="141"/>
      <c r="HJ16" s="141"/>
      <c r="HK16" s="141"/>
      <c r="HL16" s="141"/>
      <c r="HM16" s="141"/>
      <c r="HN16" s="141"/>
      <c r="HO16" s="141"/>
      <c r="HP16" s="141"/>
      <c r="HQ16" s="141"/>
      <c r="HR16" s="141"/>
      <c r="HS16" s="141"/>
      <c r="HT16" s="141"/>
      <c r="HU16" s="141"/>
      <c r="HV16" s="141"/>
      <c r="HW16" s="141"/>
      <c r="HX16" s="141"/>
      <c r="HY16" s="141"/>
      <c r="HZ16" s="141"/>
      <c r="IA16" s="141"/>
      <c r="IB16" s="141"/>
      <c r="IC16" s="141"/>
      <c r="ID16" s="141"/>
      <c r="IE16" s="141"/>
      <c r="IF16" s="141"/>
      <c r="IG16" s="141">
        <v>1</v>
      </c>
      <c r="IH16" s="141" t="e">
        <f>(TEXT(#REF!,"[m]")/60)*VLOOKUP(IG16,'Income Person-hours'!#REF!,3,FALSE)</f>
        <v>#REF!</v>
      </c>
      <c r="II16" s="141"/>
      <c r="IJ16" s="141"/>
      <c r="IK16" s="141"/>
      <c r="IL16" s="141">
        <f>SUM((TEXT(II16,"[M]")/60)*'Income Person-hours'!$D$3,(TEXT(IJ16,"[M]")/60)*'Income Person-hours'!$D$4,(TEXT(IK16,"[M]")/60)*'Income Person-hours'!$D$5)</f>
        <v>0</v>
      </c>
      <c r="IM16" s="141"/>
      <c r="IN16" s="141"/>
      <c r="IO16" s="141"/>
      <c r="IP16" s="141"/>
      <c r="IQ16" s="141"/>
      <c r="IR16" s="141"/>
      <c r="IS16" s="141"/>
      <c r="IT16" s="141"/>
      <c r="IU16" s="141"/>
      <c r="IV16" s="141"/>
      <c r="IW16" s="141"/>
      <c r="IX16" s="141"/>
      <c r="IY16" s="21"/>
      <c r="IZ16" s="31"/>
      <c r="JA16" s="91"/>
      <c r="JB16" s="91"/>
      <c r="JC16" s="91"/>
      <c r="JD16" s="160"/>
    </row>
    <row r="17" spans="1:16384" s="279" customFormat="1" ht="13.5">
      <c r="A17" s="284">
        <v>2</v>
      </c>
      <c r="B17" s="271" t="s">
        <v>111</v>
      </c>
      <c r="C17" s="272"/>
      <c r="D17" s="273" t="str">
        <f>FDate(MIN(E18:E26))</f>
        <v>1398/10/01</v>
      </c>
      <c r="E17" s="136">
        <f t="shared" si="4"/>
        <v>13981001</v>
      </c>
      <c r="F17" s="301" t="str">
        <f>J_SUBDAY(J_ADDDAY(D17,L17,1),1,1)</f>
        <v>1398/12/26</v>
      </c>
      <c r="G17" s="139">
        <f t="shared" si="5"/>
        <v>13981226</v>
      </c>
      <c r="H17" s="285"/>
      <c r="I17" s="286"/>
      <c r="J17" s="273">
        <f>j_WEEKDAY(D17,2)</f>
        <v>1</v>
      </c>
      <c r="K17" s="140">
        <f>SUM(K18:K26)</f>
        <v>0</v>
      </c>
      <c r="L17" s="276">
        <f>J_DIFF(D17,FDate(MAX(G18:G27)))+1</f>
        <v>86</v>
      </c>
      <c r="M17" s="277">
        <f>IF(SUM(L18:L27)&lt;&gt;0,SUMPRODUCT(L18:L27,M18:M27)/SUM(L18:L27),0)</f>
        <v>3.5714285714285712E-2</v>
      </c>
      <c r="N17" s="278">
        <f>IF(F17&gt;=D17,NETWORKDAYS.INTL(J_GregorianDate(D17,1),J_GregorianDate(F17,1),16,1)-SUMIFS(Holieday[ok],Holieday[date],CONCATENATE("&gt;","=",D17),Holieday[date],CONCATENATE("&lt;","=",F17))+SUMIFS(Holieday[Friday],Holieday[date],CONCATENATE("&gt;","=",D17),Holieday[date],CONCATENATE("&lt;","=",F17)),0)</f>
        <v>71</v>
      </c>
      <c r="O17" s="135">
        <f>ROUNDDOWN(M17*L17,0)</f>
        <v>3</v>
      </c>
      <c r="P17" s="135">
        <f>VALUE(J_normdate(J_ADDDAY($D17,$O17,1)))</f>
        <v>13981004</v>
      </c>
      <c r="Q17" s="138">
        <f>L17-O17</f>
        <v>83</v>
      </c>
      <c r="IY17" s="280"/>
      <c r="IZ17" s="281"/>
      <c r="JA17" s="282"/>
      <c r="JB17" s="282"/>
      <c r="JC17" s="282"/>
      <c r="JD17" s="283"/>
    </row>
    <row r="18" spans="1:16384" s="159" customFormat="1" ht="13.5">
      <c r="A18" s="197">
        <v>2.1</v>
      </c>
      <c r="B18" s="186" t="s">
        <v>74</v>
      </c>
      <c r="C18" s="173" t="s">
        <v>104</v>
      </c>
      <c r="D18" s="299" t="str">
        <f>IF(OR(j_WEEKDAY(J_ADDDAY(VLOOKUP(I18,A:F,6,FALSE),H18,1),0)=6,SUMIFS(Holieday[ok],Holieday[date],J_ADDDAY(VLOOKUP(I18,A:F,6,FALSE),H18,1)))=FALSE(),J_ADDDAY(VLOOKUP(I18,A:F,6,FALSE),H18,1),IF(OR(j_WEEKDAY(J_ADDDAY(VLOOKUP(I18,A:F,6,FALSE),H18+1,1),0)=6,SUMIFS(Holieday[ok],Holieday[date],J_ADDDAY(VLOOKUP(I18,A:F,6,FALSE),H18+1,1)))=FALSE(),J_ADDDAY(VLOOKUP(I18,A:F,6,FALSE),H18+1,1),IF(OR(j_WEEKDAY(J_ADDDAY(VLOOKUP(I18,A:F,6,FALSE),H18+2,1),0)=6,SUMIFS(Holieday[ok],Holieday[date],J_ADDDAY(VLOOKUP(I18,A:F,6,FALSE),H18+2,1)))=FALSE(),J_ADDDAY(VLOOKUP(I18,A:F,6,FALSE),H18+2,1),IF(OR(j_WEEKDAY(J_ADDDAY(VLOOKUP(I18,A:F,6,FALSE),H18+3,1),0)=6,SUMIFS(Holieday[ok],Holieday[date],J_ADDDAY(VLOOKUP(I18,A:F,6,FALSE),H18+3,1)))=FALSE(),J_ADDDAY(VLOOKUP(I18,A:F,6,FALSE),H18+3,1),IF(OR(j_WEEKDAY(J_ADDDAY(VLOOKUP(I18,A:F,6,FALSE),H18+4,1),0)=6,SUMIFS(Holieday[ok],Holieday[date],J_ADDDAY(VLOOKUP(I18,A:F,6,FALSE),H18+4,1)))=FALSE(),J_ADDDAY(VLOOKUP(I18,A:F,6,FALSE),H18+4,1),J_ADDDAY(VLOOKUP(I18,A:F,6,FALSE),H18+5,1))))))</f>
        <v>1398/10/01</v>
      </c>
      <c r="E18" s="136">
        <f t="shared" si="4"/>
        <v>13981001</v>
      </c>
      <c r="F18" s="299" t="str">
        <f>IF(N18=0,J_SUBDAY(D18,1,1),IF((N18-(NETWORKDAYS.INTL(J_GregorianDate(D18,1),J_GregorianDate(J_SUBDAY(J_ADDDAY(D18,N18,1),1,1),1),16,1)))+SUMIFS(Holieday[ok],Holieday[date],CONCATENATE("&gt;","=",D18),Holieday[date],CONCATENATE("&lt;","=",J_SUBDAY(J_ADDDAY(D18,N18,1),1,1)))-SUMIFS(Holieday[Friday],Holieday[date],CONCATENATE("&gt;","=",D18),Holieday[date],CONCATENATE("&lt;","=",J_SUBDAY(J_ADDDAY(D18,N18,1),1,1)))=0,J_SUBDAY(J_ADDDAY(D18,N18,1),1,1),IF((N18+1-(NETWORKDAYS.INTL(J_GregorianDate(D18,1),J_GregorianDate(J_SUBDAY(J_ADDDAY(D18,N18+1,1),1,1),1),16,1)))+SUMIFS(Holieday[ok],Holieday[date],CONCATENATE("&gt;","=",D18),Holieday[date],CONCATENATE("&lt;","=",J_SUBDAY(J_ADDDAY(D18,N18+1,1),1,1)))-SUMIFS(Holieday[Friday],Holieday[date],CONCATENATE("&gt;","=",D18),Holieday[date],CONCATENATE("&lt;","=",J_SUBDAY(J_ADDDAY(D18,N18+1,1),1,1)))=1,J_SUBDAY(J_ADDDAY(D18,N18+1,1),1,1),IF((N18+2-(NETWORKDAYS.INTL(J_GregorianDate(D18,1),J_GregorianDate(J_SUBDAY(J_ADDDAY(D18,N18+2,1),1,1),1),16,1)))+SUMIFS(Holieday[ok],Holieday[date],CONCATENATE("&gt;","=",D18),Holieday[date],CONCATENATE("&lt;","=",J_SUBDAY(J_ADDDAY(D18,N18+2,1),1,1)))-SUMIFS(Holieday[Friday],Holieday[date],CONCATENATE("&gt;","=",D18),Holieday[date],CONCATENATE("&lt;","=",J_SUBDAY(J_ADDDAY(D18,N18+2,1),1,1)))=2,J_SUBDAY(J_ADDDAY(D18,N18+2,1),1,1),IF((N18+3-(NETWORKDAYS.INTL(J_GregorianDate(D18,1),J_GregorianDate(J_SUBDAY(J_ADDDAY(D18,N18+3,1),1,1),1),16,1)))+SUMIFS(Holieday[ok],Holieday[date],CONCATENATE("&gt;","=",D18),Holieday[date],CONCATENATE("&lt;","=",J_SUBDAY(J_ADDDAY(D18,N18+3,1),1,1)))-SUMIFS(Holieday[Friday],Holieday[date],CONCATENATE("&gt;","=",D18),Holieday[date],CONCATENATE("&lt;","=",J_SUBDAY(J_ADDDAY(D18,N18+3,1),1,1)))=3,J_SUBDAY(J_ADDDAY(D18,N18+3,1),1,1),IF((N18+4-(NETWORKDAYS.INTL(J_GregorianDate(D18,1),J_GregorianDate(J_SUBDAY(J_ADDDAY(D18,N18+4,1),1,1),1),16,1)))+SUMIFS(Holieday[ok],Holieday[date],CONCATENATE("&gt;","=",D18),Holieday[date],CONCATENATE("&lt;","=",J_SUBDAY(J_ADDDAY(D18,N18+4,1),1,1)))-SUMIFS(Holieday[Friday],Holieday[date],CONCATENATE("&gt;","=",D18),Holieday[date],CONCATENATE("&lt;","=",J_SUBDAY(J_ADDDAY(D18,N18+4,1),1,1)))=4,J_SUBDAY(J_ADDDAY(D18,N18+4,1),1,1),IF((N18+5-(NETWORKDAYS.INTL(J_GregorianDate(D18,1),J_GregorianDate(J_SUBDAY(J_ADDDAY(D18,N18+5,1),1,1),1),16,1)))+SUMIFS(Holieday[ok],Holieday[date],CONCATENATE("&gt;","=",D18),Holieday[date],CONCATENATE("&lt;","=",J_SUBDAY(J_ADDDAY(D18,N18+5,1),1,1)))-SUMIFS(Holieday[Friday],Holieday[date],CONCATENATE("&gt;","=",D18),Holieday[date],CONCATENATE("&lt;","=",J_SUBDAY(J_ADDDAY(D18,N18+5,1),1,1)))=5,J_SUBDAY(J_ADDDAY(D18,N18+5,1),1,1),J_SUBDAY(J_ADDDAY(D18,N18+6,1),1,1))))))))</f>
        <v>1398/10/01</v>
      </c>
      <c r="G18" s="139">
        <f t="shared" si="5"/>
        <v>13981001</v>
      </c>
      <c r="H18" s="175"/>
      <c r="I18" s="176">
        <v>1.1000000000000001</v>
      </c>
      <c r="J18" s="174">
        <f>j_WEEKDAY(D18,2)</f>
        <v>1</v>
      </c>
      <c r="K18" s="143">
        <f t="shared" ref="K18:K29" si="9">SUM(JA18:JC18)</f>
        <v>0</v>
      </c>
      <c r="L18" s="177">
        <f t="shared" ref="L18:L26" si="10">J_DIFF(D18,F18)+1</f>
        <v>1</v>
      </c>
      <c r="M18" s="178">
        <v>1</v>
      </c>
      <c r="N18" s="179">
        <v>1</v>
      </c>
      <c r="O18" s="144">
        <f>ROUNDDOWN(M18*L18,0)</f>
        <v>1</v>
      </c>
      <c r="P18" s="144">
        <f>VALUE(J_normdate(J_ADDDAY($D18,$O18,1)))</f>
        <v>13981002</v>
      </c>
      <c r="Q18" s="142">
        <f>L18-O18</f>
        <v>0</v>
      </c>
      <c r="R18" s="141"/>
      <c r="S18" s="141"/>
      <c r="T18" s="141"/>
      <c r="U18" s="141"/>
      <c r="V18" s="141"/>
      <c r="W18" s="141"/>
      <c r="X18" s="141"/>
      <c r="Y18" s="141"/>
      <c r="Z18" s="141"/>
      <c r="AA18" s="141"/>
      <c r="AB18" s="141"/>
      <c r="AC18" s="141"/>
      <c r="AD18" s="141"/>
      <c r="AE18" s="141"/>
      <c r="AF18" s="141"/>
      <c r="AG18" s="141"/>
      <c r="AH18" s="141"/>
      <c r="AI18" s="141"/>
      <c r="AJ18" s="141"/>
      <c r="AK18" s="141"/>
      <c r="AL18" s="141"/>
      <c r="AM18" s="141"/>
      <c r="AN18" s="141"/>
      <c r="AO18" s="141"/>
      <c r="AP18" s="141"/>
      <c r="AQ18" s="141"/>
      <c r="AR18" s="141"/>
      <c r="AS18" s="141"/>
      <c r="AT18" s="141"/>
      <c r="AU18" s="141"/>
      <c r="AV18" s="141"/>
      <c r="AW18" s="141"/>
      <c r="AX18" s="141"/>
      <c r="AY18" s="141"/>
      <c r="AZ18" s="141"/>
      <c r="BA18" s="141"/>
      <c r="BB18" s="141"/>
      <c r="BC18" s="141"/>
      <c r="BD18" s="141"/>
      <c r="BE18" s="141"/>
      <c r="BF18" s="141"/>
      <c r="BG18" s="141"/>
      <c r="BH18" s="141"/>
      <c r="BI18" s="141"/>
      <c r="BJ18" s="141"/>
      <c r="BK18" s="141"/>
      <c r="BL18" s="141"/>
      <c r="BM18" s="141"/>
      <c r="BN18" s="141"/>
      <c r="BO18" s="141"/>
      <c r="BP18" s="141"/>
      <c r="BQ18" s="141"/>
      <c r="BR18" s="141"/>
      <c r="BS18" s="141"/>
      <c r="BT18" s="141"/>
      <c r="BU18" s="141"/>
      <c r="BV18" s="141"/>
      <c r="BW18" s="141"/>
      <c r="BX18" s="141"/>
      <c r="BY18" s="141"/>
      <c r="BZ18" s="141"/>
      <c r="CA18" s="141"/>
      <c r="CB18" s="141"/>
      <c r="CC18" s="141"/>
      <c r="CD18" s="141"/>
      <c r="CE18" s="141"/>
      <c r="CF18" s="141"/>
      <c r="CG18" s="141"/>
      <c r="CH18" s="141"/>
      <c r="CI18" s="141"/>
      <c r="CJ18" s="141"/>
      <c r="CK18" s="141"/>
      <c r="CL18" s="141"/>
      <c r="CM18" s="141"/>
      <c r="CN18" s="141"/>
      <c r="CO18" s="141"/>
      <c r="CP18" s="141"/>
      <c r="CQ18" s="141"/>
      <c r="CR18" s="141"/>
      <c r="CS18" s="141"/>
      <c r="CT18" s="141"/>
      <c r="CU18" s="141"/>
      <c r="CV18" s="141"/>
      <c r="CW18" s="141"/>
      <c r="CX18" s="141"/>
      <c r="CY18" s="141"/>
      <c r="CZ18" s="141"/>
      <c r="DA18" s="141"/>
      <c r="DB18" s="141"/>
      <c r="DC18" s="141"/>
      <c r="DD18" s="141"/>
      <c r="DE18" s="141"/>
      <c r="DF18" s="141"/>
      <c r="DG18" s="141"/>
      <c r="DH18" s="141"/>
      <c r="DI18" s="141"/>
      <c r="DJ18" s="141"/>
      <c r="DK18" s="141"/>
      <c r="DL18" s="141"/>
      <c r="DM18" s="141"/>
      <c r="DN18" s="141"/>
      <c r="DO18" s="141"/>
      <c r="DP18" s="141"/>
      <c r="DQ18" s="141"/>
      <c r="DR18" s="141"/>
      <c r="DS18" s="141"/>
      <c r="DT18" s="141"/>
      <c r="DU18" s="141"/>
      <c r="DV18" s="141"/>
      <c r="DW18" s="141"/>
      <c r="DX18" s="141"/>
      <c r="DY18" s="141"/>
      <c r="DZ18" s="141"/>
      <c r="EA18" s="141"/>
      <c r="EB18" s="141"/>
      <c r="EC18" s="141"/>
      <c r="ED18" s="141"/>
      <c r="EE18" s="141"/>
      <c r="EF18" s="141"/>
      <c r="EG18" s="141"/>
      <c r="EH18" s="141"/>
      <c r="EI18" s="141"/>
      <c r="EJ18" s="141"/>
      <c r="EK18" s="141"/>
      <c r="EL18" s="141"/>
      <c r="EM18" s="141"/>
      <c r="EN18" s="141"/>
      <c r="EO18" s="141"/>
      <c r="EP18" s="141"/>
      <c r="EQ18" s="141"/>
      <c r="ER18" s="141"/>
      <c r="ES18" s="141"/>
      <c r="ET18" s="141"/>
      <c r="EU18" s="141"/>
      <c r="EV18" s="141"/>
      <c r="EW18" s="141"/>
      <c r="EX18" s="141"/>
      <c r="EY18" s="141"/>
      <c r="EZ18" s="141"/>
      <c r="FA18" s="141"/>
      <c r="FB18" s="141"/>
      <c r="FC18" s="141"/>
      <c r="FD18" s="141"/>
      <c r="FE18" s="141"/>
      <c r="FF18" s="141"/>
      <c r="FG18" s="141"/>
      <c r="FH18" s="141"/>
      <c r="FI18" s="141"/>
      <c r="FJ18" s="141"/>
      <c r="FK18" s="141"/>
      <c r="FL18" s="141"/>
      <c r="FM18" s="141"/>
      <c r="FN18" s="141"/>
      <c r="FO18" s="141"/>
      <c r="FP18" s="141"/>
      <c r="FQ18" s="141"/>
      <c r="FR18" s="141"/>
      <c r="FS18" s="141"/>
      <c r="FT18" s="141"/>
      <c r="FU18" s="141"/>
      <c r="FV18" s="141"/>
      <c r="FW18" s="141"/>
      <c r="FX18" s="141"/>
      <c r="FY18" s="141"/>
      <c r="FZ18" s="141"/>
      <c r="GA18" s="141"/>
      <c r="GB18" s="141"/>
      <c r="GC18" s="141"/>
      <c r="GD18" s="141"/>
      <c r="GE18" s="141"/>
      <c r="GF18" s="141"/>
      <c r="GG18" s="141"/>
      <c r="GH18" s="141"/>
      <c r="GI18" s="141"/>
      <c r="GJ18" s="141"/>
      <c r="GK18" s="141"/>
      <c r="GL18" s="141"/>
      <c r="GM18" s="141"/>
      <c r="GN18" s="141"/>
      <c r="GO18" s="141"/>
      <c r="GP18" s="141"/>
      <c r="GQ18" s="141"/>
      <c r="GR18" s="141"/>
      <c r="GS18" s="141"/>
      <c r="GT18" s="141"/>
      <c r="GU18" s="141"/>
      <c r="GV18" s="141"/>
      <c r="GW18" s="141"/>
      <c r="GX18" s="141"/>
      <c r="GY18" s="141"/>
      <c r="GZ18" s="141"/>
      <c r="HA18" s="141"/>
      <c r="HB18" s="141"/>
      <c r="HC18" s="141"/>
      <c r="HD18" s="141"/>
      <c r="HE18" s="141"/>
      <c r="HF18" s="141"/>
      <c r="HG18" s="141"/>
      <c r="HH18" s="141"/>
      <c r="HI18" s="141"/>
      <c r="HJ18" s="141"/>
      <c r="HK18" s="141"/>
      <c r="HL18" s="141"/>
      <c r="HM18" s="141"/>
      <c r="HN18" s="141"/>
      <c r="HO18" s="141"/>
      <c r="HP18" s="141"/>
      <c r="HQ18" s="141"/>
      <c r="HR18" s="141"/>
      <c r="HS18" s="141"/>
      <c r="HT18" s="141"/>
      <c r="HU18" s="141"/>
      <c r="HV18" s="141"/>
      <c r="HW18" s="141"/>
      <c r="HX18" s="141"/>
      <c r="HY18" s="141"/>
      <c r="HZ18" s="141"/>
      <c r="IA18" s="141"/>
      <c r="IB18" s="141"/>
      <c r="IC18" s="141"/>
      <c r="ID18" s="141"/>
      <c r="IE18" s="141"/>
      <c r="IF18" s="141"/>
      <c r="IG18" s="141"/>
      <c r="IH18" s="141"/>
      <c r="II18" s="141"/>
      <c r="IJ18" s="141"/>
      <c r="IK18" s="141"/>
      <c r="IL18" s="141"/>
      <c r="IM18" s="141"/>
      <c r="IN18" s="141"/>
      <c r="IO18" s="141"/>
      <c r="IP18" s="141"/>
      <c r="IQ18" s="141"/>
      <c r="IR18" s="141"/>
      <c r="IS18" s="141"/>
      <c r="IT18" s="141"/>
      <c r="IU18" s="141"/>
      <c r="IV18" s="141"/>
      <c r="IW18" s="141"/>
      <c r="IX18" s="141"/>
      <c r="IY18" s="21">
        <v>1</v>
      </c>
      <c r="IZ18" s="31">
        <f>(TEXT(K18,"[m]")/60)*VLOOKUP(IY18,'Income Person-hours'!A$2:C$5,3,FALSE)</f>
        <v>0</v>
      </c>
      <c r="JA18" s="91"/>
      <c r="JB18" s="91"/>
      <c r="JC18" s="91"/>
      <c r="JD18" s="160">
        <f>SUM((TEXT(JA18,"[M]")/60)*'Income Person-hours'!$D$3,(TEXT(JB18,"[M]")/60)*'Income Person-hours'!$D$4,(TEXT(JC18,"[M]")/60)*'Income Person-hours'!$D$5)</f>
        <v>0</v>
      </c>
    </row>
    <row r="19" spans="1:16384" s="159" customFormat="1" ht="13.5">
      <c r="A19" s="197">
        <v>2.2000000000000002</v>
      </c>
      <c r="B19" s="186" t="s">
        <v>136</v>
      </c>
      <c r="C19" s="173" t="s">
        <v>72</v>
      </c>
      <c r="D19" s="299" t="str">
        <f>IF(OR(j_WEEKDAY(J_ADDDAY(VLOOKUP(I19,A:F,6,FALSE),H19,1),0)=6,SUMIFS(Holieday[ok],Holieday[date],J_ADDDAY(VLOOKUP(I19,A:F,6,FALSE),H19,1)))=FALSE(),J_ADDDAY(VLOOKUP(I19,A:F,6,FALSE),H19,1),IF(OR(j_WEEKDAY(J_ADDDAY(VLOOKUP(I19,A:F,6,FALSE),H19+1,1),0)=6,SUMIFS(Holieday[ok],Holieday[date],J_ADDDAY(VLOOKUP(I19,A:F,6,FALSE),H19+1,1)))=FALSE(),J_ADDDAY(VLOOKUP(I19,A:F,6,FALSE),H19+1,1),IF(OR(j_WEEKDAY(J_ADDDAY(VLOOKUP(I19,A:F,6,FALSE),H19+2,1),0)=6,SUMIFS(Holieday[ok],Holieday[date],J_ADDDAY(VLOOKUP(I19,A:F,6,FALSE),H19+2,1)))=FALSE(),J_ADDDAY(VLOOKUP(I19,A:F,6,FALSE),H19+2,1),IF(OR(j_WEEKDAY(J_ADDDAY(VLOOKUP(I19,A:F,6,FALSE),H19+3,1),0)=6,SUMIFS(Holieday[ok],Holieday[date],J_ADDDAY(VLOOKUP(I19,A:F,6,FALSE),H19+3,1)))=FALSE(),J_ADDDAY(VLOOKUP(I19,A:F,6,FALSE),H19+3,1),IF(OR(j_WEEKDAY(J_ADDDAY(VLOOKUP(I19,A:F,6,FALSE),H19+4,1),0)=6,SUMIFS(Holieday[ok],Holieday[date],J_ADDDAY(VLOOKUP(I19,A:F,6,FALSE),H19+4,1)))=FALSE(),J_ADDDAY(VLOOKUP(I19,A:F,6,FALSE),H19+4,1),J_ADDDAY(VLOOKUP(I19,A:F,6,FALSE),H19+5,1))))))</f>
        <v>1398/10/01</v>
      </c>
      <c r="E19" s="136">
        <f t="shared" si="4"/>
        <v>13981001</v>
      </c>
      <c r="F19" s="299" t="str">
        <f>IF(N19=0,J_SUBDAY(D19,1,1),IF((N19-(NETWORKDAYS.INTL(J_GregorianDate(D19,1),J_GregorianDate(J_SUBDAY(J_ADDDAY(D19,N19,1),1,1),1),16,1)))+SUMIFS(Holieday[ok],Holieday[date],CONCATENATE("&gt;","=",D19),Holieday[date],CONCATENATE("&lt;","=",J_SUBDAY(J_ADDDAY(D19,N19,1),1,1)))-SUMIFS(Holieday[Friday],Holieday[date],CONCATENATE("&gt;","=",D19),Holieday[date],CONCATENATE("&lt;","=",J_SUBDAY(J_ADDDAY(D19,N19,1),1,1)))=0,J_SUBDAY(J_ADDDAY(D19,N19,1),1,1),IF((N19+1-(NETWORKDAYS.INTL(J_GregorianDate(D19,1),J_GregorianDate(J_SUBDAY(J_ADDDAY(D19,N19+1,1),1,1),1),16,1)))+SUMIFS(Holieday[ok],Holieday[date],CONCATENATE("&gt;","=",D19),Holieday[date],CONCATENATE("&lt;","=",J_SUBDAY(J_ADDDAY(D19,N19+1,1),1,1)))-SUMIFS(Holieday[Friday],Holieday[date],CONCATENATE("&gt;","=",D19),Holieday[date],CONCATENATE("&lt;","=",J_SUBDAY(J_ADDDAY(D19,N19+1,1),1,1)))=1,J_SUBDAY(J_ADDDAY(D19,N19+1,1),1,1),IF((N19+2-(NETWORKDAYS.INTL(J_GregorianDate(D19,1),J_GregorianDate(J_SUBDAY(J_ADDDAY(D19,N19+2,1),1,1),1),16,1)))+SUMIFS(Holieday[ok],Holieday[date],CONCATENATE("&gt;","=",D19),Holieday[date],CONCATENATE("&lt;","=",J_SUBDAY(J_ADDDAY(D19,N19+2,1),1,1)))-SUMIFS(Holieday[Friday],Holieday[date],CONCATENATE("&gt;","=",D19),Holieday[date],CONCATENATE("&lt;","=",J_SUBDAY(J_ADDDAY(D19,N19+2,1),1,1)))=2,J_SUBDAY(J_ADDDAY(D19,N19+2,1),1,1),IF((N19+3-(NETWORKDAYS.INTL(J_GregorianDate(D19,1),J_GregorianDate(J_SUBDAY(J_ADDDAY(D19,N19+3,1),1,1),1),16,1)))+SUMIFS(Holieday[ok],Holieday[date],CONCATENATE("&gt;","=",D19),Holieday[date],CONCATENATE("&lt;","=",J_SUBDAY(J_ADDDAY(D19,N19+3,1),1,1)))-SUMIFS(Holieday[Friday],Holieday[date],CONCATENATE("&gt;","=",D19),Holieday[date],CONCATENATE("&lt;","=",J_SUBDAY(J_ADDDAY(D19,N19+3,1),1,1)))=3,J_SUBDAY(J_ADDDAY(D19,N19+3,1),1,1),IF((N19+4-(NETWORKDAYS.INTL(J_GregorianDate(D19,1),J_GregorianDate(J_SUBDAY(J_ADDDAY(D19,N19+4,1),1,1),1),16,1)))+SUMIFS(Holieday[ok],Holieday[date],CONCATENATE("&gt;","=",D19),Holieday[date],CONCATENATE("&lt;","=",J_SUBDAY(J_ADDDAY(D19,N19+4,1),1,1)))-SUMIFS(Holieday[Friday],Holieday[date],CONCATENATE("&gt;","=",D19),Holieday[date],CONCATENATE("&lt;","=",J_SUBDAY(J_ADDDAY(D19,N19+4,1),1,1)))=4,J_SUBDAY(J_ADDDAY(D19,N19+4,1),1,1),IF((N19+5-(NETWORKDAYS.INTL(J_GregorianDate(D19,1),J_GregorianDate(J_SUBDAY(J_ADDDAY(D19,N19+5,1),1,1),1),16,1)))+SUMIFS(Holieday[ok],Holieday[date],CONCATENATE("&gt;","=",D19),Holieday[date],CONCATENATE("&lt;","=",J_SUBDAY(J_ADDDAY(D19,N19+5,1),1,1)))-SUMIFS(Holieday[Friday],Holieday[date],CONCATENATE("&gt;","=",D19),Holieday[date],CONCATENATE("&lt;","=",J_SUBDAY(J_ADDDAY(D19,N19+5,1),1,1)))=5,J_SUBDAY(J_ADDDAY(D19,N19+5,1),1,1),J_SUBDAY(J_ADDDAY(D19,N19+6,1),1,1))))))))</f>
        <v>1398/10/16</v>
      </c>
      <c r="G19" s="139">
        <f t="shared" si="5"/>
        <v>13981016</v>
      </c>
      <c r="H19" s="175"/>
      <c r="I19" s="176">
        <v>2.1</v>
      </c>
      <c r="J19" s="174">
        <v>1</v>
      </c>
      <c r="K19" s="143">
        <f t="shared" si="9"/>
        <v>0</v>
      </c>
      <c r="L19" s="177">
        <f t="shared" si="10"/>
        <v>16</v>
      </c>
      <c r="M19" s="178">
        <v>0</v>
      </c>
      <c r="N19" s="179">
        <v>14</v>
      </c>
      <c r="O19" s="144">
        <f t="shared" ref="O19:O26" si="11">ROUNDDOWN(M19*L19,0)</f>
        <v>0</v>
      </c>
      <c r="P19" s="144">
        <f>VALUE(J_normdate(J_ADDDAY($D19,$O19,1)))</f>
        <v>13981001</v>
      </c>
      <c r="Q19" s="142">
        <f t="shared" ref="Q19:Q50" si="12">L19-O19</f>
        <v>16</v>
      </c>
      <c r="R19" s="141"/>
      <c r="S19" s="141"/>
      <c r="T19" s="141"/>
      <c r="U19" s="141"/>
      <c r="V19" s="141"/>
      <c r="W19" s="141"/>
      <c r="X19" s="141"/>
      <c r="Y19" s="141"/>
      <c r="Z19" s="141"/>
      <c r="AA19" s="141"/>
      <c r="AB19" s="141"/>
      <c r="AC19" s="141"/>
      <c r="AD19" s="141"/>
      <c r="AE19" s="141"/>
      <c r="AF19" s="141"/>
      <c r="AG19" s="141"/>
      <c r="AH19" s="141"/>
      <c r="AI19" s="141"/>
      <c r="AJ19" s="141"/>
      <c r="AK19" s="141"/>
      <c r="AL19" s="141"/>
      <c r="AM19" s="141"/>
      <c r="AN19" s="141"/>
      <c r="AO19" s="141"/>
      <c r="AP19" s="141"/>
      <c r="AQ19" s="141"/>
      <c r="AR19" s="141"/>
      <c r="AS19" s="141"/>
      <c r="AT19" s="141"/>
      <c r="AU19" s="141"/>
      <c r="AV19" s="141"/>
      <c r="AW19" s="141"/>
      <c r="AX19" s="141"/>
      <c r="AY19" s="141"/>
      <c r="AZ19" s="141"/>
      <c r="BA19" s="141"/>
      <c r="BB19" s="141"/>
      <c r="BC19" s="141"/>
      <c r="BD19" s="141"/>
      <c r="BE19" s="141"/>
      <c r="BF19" s="141"/>
      <c r="BG19" s="141"/>
      <c r="BH19" s="141"/>
      <c r="BI19" s="141"/>
      <c r="BJ19" s="141"/>
      <c r="BK19" s="141"/>
      <c r="BL19" s="141"/>
      <c r="BM19" s="141"/>
      <c r="BN19" s="141"/>
      <c r="BO19" s="141"/>
      <c r="BP19" s="141"/>
      <c r="BQ19" s="141"/>
      <c r="BR19" s="141"/>
      <c r="BS19" s="141"/>
      <c r="BT19" s="141"/>
      <c r="BU19" s="141"/>
      <c r="BV19" s="141"/>
      <c r="BW19" s="141"/>
      <c r="BX19" s="141"/>
      <c r="BY19" s="141"/>
      <c r="BZ19" s="141"/>
      <c r="CA19" s="141"/>
      <c r="CB19" s="141"/>
      <c r="CC19" s="141"/>
      <c r="CD19" s="141"/>
      <c r="CE19" s="141"/>
      <c r="CF19" s="141"/>
      <c r="CG19" s="141"/>
      <c r="CH19" s="141"/>
      <c r="CI19" s="141"/>
      <c r="CJ19" s="141"/>
      <c r="CK19" s="141"/>
      <c r="CL19" s="141"/>
      <c r="CM19" s="141"/>
      <c r="CN19" s="141"/>
      <c r="CO19" s="141"/>
      <c r="CP19" s="141"/>
      <c r="CQ19" s="141"/>
      <c r="CR19" s="141"/>
      <c r="CS19" s="141"/>
      <c r="CT19" s="141"/>
      <c r="CU19" s="141"/>
      <c r="CV19" s="141"/>
      <c r="CW19" s="141"/>
      <c r="CX19" s="141"/>
      <c r="CY19" s="141"/>
      <c r="CZ19" s="141"/>
      <c r="DA19" s="141"/>
      <c r="DB19" s="141"/>
      <c r="DC19" s="141"/>
      <c r="DD19" s="141"/>
      <c r="DE19" s="141"/>
      <c r="DF19" s="141"/>
      <c r="DG19" s="141"/>
      <c r="DH19" s="141"/>
      <c r="DI19" s="141"/>
      <c r="DJ19" s="141"/>
      <c r="DK19" s="141"/>
      <c r="DL19" s="141"/>
      <c r="DM19" s="141"/>
      <c r="DN19" s="141"/>
      <c r="DO19" s="141"/>
      <c r="DP19" s="141"/>
      <c r="DQ19" s="141"/>
      <c r="DR19" s="141"/>
      <c r="DS19" s="141"/>
      <c r="DT19" s="141"/>
      <c r="DU19" s="141"/>
      <c r="DV19" s="141"/>
      <c r="DW19" s="141"/>
      <c r="DX19" s="141"/>
      <c r="DY19" s="141"/>
      <c r="DZ19" s="141"/>
      <c r="EA19" s="141"/>
      <c r="EB19" s="141"/>
      <c r="EC19" s="141"/>
      <c r="ED19" s="141"/>
      <c r="EE19" s="141"/>
      <c r="EF19" s="141"/>
      <c r="EG19" s="141"/>
      <c r="EH19" s="141"/>
      <c r="EI19" s="141"/>
      <c r="EJ19" s="141"/>
      <c r="EK19" s="141"/>
      <c r="EL19" s="141"/>
      <c r="EM19" s="141"/>
      <c r="EN19" s="141"/>
      <c r="EO19" s="141"/>
      <c r="EP19" s="141"/>
      <c r="EQ19" s="141"/>
      <c r="ER19" s="141"/>
      <c r="ES19" s="141"/>
      <c r="ET19" s="141"/>
      <c r="EU19" s="141"/>
      <c r="EV19" s="141"/>
      <c r="EW19" s="141"/>
      <c r="EX19" s="141"/>
      <c r="EY19" s="141"/>
      <c r="EZ19" s="141"/>
      <c r="FA19" s="141"/>
      <c r="FB19" s="141"/>
      <c r="FC19" s="141"/>
      <c r="FD19" s="141"/>
      <c r="FE19" s="141"/>
      <c r="FF19" s="141"/>
      <c r="FG19" s="141"/>
      <c r="FH19" s="141"/>
      <c r="FI19" s="141"/>
      <c r="FJ19" s="141"/>
      <c r="FK19" s="141"/>
      <c r="FL19" s="141"/>
      <c r="FM19" s="141"/>
      <c r="FN19" s="141"/>
      <c r="FO19" s="141"/>
      <c r="FP19" s="141"/>
      <c r="FQ19" s="141"/>
      <c r="FR19" s="141"/>
      <c r="FS19" s="141"/>
      <c r="FT19" s="141"/>
      <c r="FU19" s="141"/>
      <c r="FV19" s="141"/>
      <c r="FW19" s="141"/>
      <c r="FX19" s="141"/>
      <c r="FY19" s="141"/>
      <c r="FZ19" s="141"/>
      <c r="GA19" s="141"/>
      <c r="GB19" s="141"/>
      <c r="GC19" s="141"/>
      <c r="GD19" s="141"/>
      <c r="GE19" s="141"/>
      <c r="GF19" s="141"/>
      <c r="GG19" s="141"/>
      <c r="GH19" s="141"/>
      <c r="GI19" s="141"/>
      <c r="GJ19" s="141"/>
      <c r="GK19" s="141"/>
      <c r="GL19" s="141"/>
      <c r="GM19" s="141"/>
      <c r="GN19" s="141"/>
      <c r="GO19" s="141"/>
      <c r="GP19" s="141"/>
      <c r="GQ19" s="141"/>
      <c r="GR19" s="141"/>
      <c r="GS19" s="141"/>
      <c r="GT19" s="141"/>
      <c r="GU19" s="141"/>
      <c r="GV19" s="141"/>
      <c r="GW19" s="141"/>
      <c r="GX19" s="141"/>
      <c r="GY19" s="141"/>
      <c r="GZ19" s="141"/>
      <c r="HA19" s="141"/>
      <c r="HB19" s="141"/>
      <c r="HC19" s="141"/>
      <c r="HD19" s="141"/>
      <c r="HE19" s="141"/>
      <c r="HF19" s="141"/>
      <c r="HG19" s="141"/>
      <c r="HH19" s="141"/>
      <c r="HI19" s="141"/>
      <c r="HJ19" s="141"/>
      <c r="HK19" s="141"/>
      <c r="HL19" s="141"/>
      <c r="HM19" s="141"/>
      <c r="HN19" s="141"/>
      <c r="HO19" s="141"/>
      <c r="HP19" s="141"/>
      <c r="HQ19" s="141"/>
      <c r="HR19" s="141"/>
      <c r="HS19" s="141"/>
      <c r="HT19" s="141"/>
      <c r="HU19" s="141"/>
      <c r="HV19" s="141"/>
      <c r="HW19" s="141"/>
      <c r="HX19" s="141"/>
      <c r="HY19" s="141"/>
      <c r="HZ19" s="141"/>
      <c r="IA19" s="141"/>
      <c r="IB19" s="141"/>
      <c r="IC19" s="141"/>
      <c r="ID19" s="141"/>
      <c r="IE19" s="141"/>
      <c r="IF19" s="141"/>
      <c r="IG19" s="141"/>
      <c r="IH19" s="141"/>
      <c r="II19" s="141"/>
      <c r="IJ19" s="141"/>
      <c r="IK19" s="141"/>
      <c r="IL19" s="141"/>
      <c r="IM19" s="141"/>
      <c r="IN19" s="141"/>
      <c r="IO19" s="141"/>
      <c r="IP19" s="141"/>
      <c r="IQ19" s="141"/>
      <c r="IR19" s="141"/>
      <c r="IS19" s="141"/>
      <c r="IT19" s="141"/>
      <c r="IU19" s="141"/>
      <c r="IV19" s="141"/>
      <c r="IW19" s="141"/>
      <c r="IX19" s="141"/>
      <c r="IY19" s="21">
        <v>1</v>
      </c>
      <c r="IZ19" s="31">
        <f>(TEXT(K19,"[m]")/60)*VLOOKUP(IY19,'Income Person-hours'!A$2:C$5,3,FALSE)</f>
        <v>0</v>
      </c>
      <c r="JA19" s="91"/>
      <c r="JB19" s="91"/>
      <c r="JC19" s="91"/>
      <c r="JD19" s="160">
        <f>SUM((TEXT(JA19,"[M]")/60)*'Income Person-hours'!$D$3,(TEXT(JB19,"[M]")/60)*'Income Person-hours'!$D$4,(TEXT(JC19,"[M]")/60)*'Income Person-hours'!$D$5)</f>
        <v>0</v>
      </c>
    </row>
    <row r="20" spans="1:16384" s="159" customFormat="1" ht="13.5">
      <c r="A20" s="197">
        <v>2.2999999999999998</v>
      </c>
      <c r="B20" s="186" t="s">
        <v>118</v>
      </c>
      <c r="C20" s="173" t="s">
        <v>72</v>
      </c>
      <c r="D20" s="298" t="str">
        <f>IF(OR(j_WEEKDAY(J_ADDDAY(VLOOKUP(I20,A:F,6,FALSE),H20,1),0)=6,SUMIFS(Holieday[ok],Holieday[date],J_ADDDAY(VLOOKUP(I20,A:F,6,FALSE),H20,1)))=FALSE(),J_ADDDAY(VLOOKUP(I20,A:F,6,FALSE),H20,1),IF(OR(j_WEEKDAY(J_ADDDAY(VLOOKUP(I20,A:F,6,FALSE),H20+1,1),0)=6,SUMIFS(Holieday[ok],Holieday[date],J_ADDDAY(VLOOKUP(I20,A:F,6,FALSE),H20+1,1)))=FALSE(),J_ADDDAY(VLOOKUP(I20,A:F,6,FALSE),H20+1,1),IF(OR(j_WEEKDAY(J_ADDDAY(VLOOKUP(I20,A:F,6,FALSE),H20+2,1),0)=6,SUMIFS(Holieday[ok],Holieday[date],J_ADDDAY(VLOOKUP(I20,A:F,6,FALSE),H20+2,1)))=FALSE(),J_ADDDAY(VLOOKUP(I20,A:F,6,FALSE),H20+2,1),IF(OR(j_WEEKDAY(J_ADDDAY(VLOOKUP(I20,A:F,6,FALSE),H20+3,1),0)=6,SUMIFS(Holieday[ok],Holieday[date],J_ADDDAY(VLOOKUP(I20,A:F,6,FALSE),H20+3,1)))=FALSE(),J_ADDDAY(VLOOKUP(I20,A:F,6,FALSE),H20+3,1),IF(OR(j_WEEKDAY(J_ADDDAY(VLOOKUP(I20,A:F,6,FALSE),H20+4,1),0)=6,SUMIFS(Holieday[ok],Holieday[date],J_ADDDAY(VLOOKUP(I20,A:F,6,FALSE),H20+4,1)))=FALSE(),J_ADDDAY(VLOOKUP(I20,A:F,6,FALSE),H20+4,1),J_ADDDAY(VLOOKUP(I20,A:F,6,FALSE),H20+5,1))))))</f>
        <v>1398/10/16</v>
      </c>
      <c r="E20" s="136">
        <f t="shared" si="4"/>
        <v>13981016</v>
      </c>
      <c r="F20" s="299" t="str">
        <f>IF(N20=0,J_SUBDAY(D20,1,1),IF((N20-(NETWORKDAYS.INTL(J_GregorianDate(D20,1),J_GregorianDate(J_SUBDAY(J_ADDDAY(D20,N20,1),1,1),1),16,1)))+SUMIFS(Holieday[ok],Holieday[date],CONCATENATE("&gt;","=",D20),Holieday[date],CONCATENATE("&lt;","=",J_SUBDAY(J_ADDDAY(D20,N20,1),1,1)))-SUMIFS(Holieday[Friday],Holieday[date],CONCATENATE("&gt;","=",D20),Holieday[date],CONCATENATE("&lt;","=",J_SUBDAY(J_ADDDAY(D20,N20,1),1,1)))=0,J_SUBDAY(J_ADDDAY(D20,N20,1),1,1),IF((N20+1-(NETWORKDAYS.INTL(J_GregorianDate(D20,1),J_GregorianDate(J_SUBDAY(J_ADDDAY(D20,N20+1,1),1,1),1),16,1)))+SUMIFS(Holieday[ok],Holieday[date],CONCATENATE("&gt;","=",D20),Holieday[date],CONCATENATE("&lt;","=",J_SUBDAY(J_ADDDAY(D20,N20+1,1),1,1)))-SUMIFS(Holieday[Friday],Holieday[date],CONCATENATE("&gt;","=",D20),Holieday[date],CONCATENATE("&lt;","=",J_SUBDAY(J_ADDDAY(D20,N20+1,1),1,1)))=1,J_SUBDAY(J_ADDDAY(D20,N20+1,1),1,1),IF((N20+2-(NETWORKDAYS.INTL(J_GregorianDate(D20,1),J_GregorianDate(J_SUBDAY(J_ADDDAY(D20,N20+2,1),1,1),1),16,1)))+SUMIFS(Holieday[ok],Holieday[date],CONCATENATE("&gt;","=",D20),Holieday[date],CONCATENATE("&lt;","=",J_SUBDAY(J_ADDDAY(D20,N20+2,1),1,1)))-SUMIFS(Holieday[Friday],Holieday[date],CONCATENATE("&gt;","=",D20),Holieday[date],CONCATENATE("&lt;","=",J_SUBDAY(J_ADDDAY(D20,N20+2,1),1,1)))=2,J_SUBDAY(J_ADDDAY(D20,N20+2,1),1,1),IF((N20+3-(NETWORKDAYS.INTL(J_GregorianDate(D20,1),J_GregorianDate(J_SUBDAY(J_ADDDAY(D20,N20+3,1),1,1),1),16,1)))+SUMIFS(Holieday[ok],Holieday[date],CONCATENATE("&gt;","=",D20),Holieday[date],CONCATENATE("&lt;","=",J_SUBDAY(J_ADDDAY(D20,N20+3,1),1,1)))-SUMIFS(Holieday[Friday],Holieday[date],CONCATENATE("&gt;","=",D20),Holieday[date],CONCATENATE("&lt;","=",J_SUBDAY(J_ADDDAY(D20,N20+3,1),1,1)))=3,J_SUBDAY(J_ADDDAY(D20,N20+3,1),1,1),IF((N20+4-(NETWORKDAYS.INTL(J_GregorianDate(D20,1),J_GregorianDate(J_SUBDAY(J_ADDDAY(D20,N20+4,1),1,1),1),16,1)))+SUMIFS(Holieday[ok],Holieday[date],CONCATENATE("&gt;","=",D20),Holieday[date],CONCATENATE("&lt;","=",J_SUBDAY(J_ADDDAY(D20,N20+4,1),1,1)))-SUMIFS(Holieday[Friday],Holieday[date],CONCATENATE("&gt;","=",D20),Holieday[date],CONCATENATE("&lt;","=",J_SUBDAY(J_ADDDAY(D20,N20+4,1),1,1)))=4,J_SUBDAY(J_ADDDAY(D20,N20+4,1),1,1),IF((N20+5-(NETWORKDAYS.INTL(J_GregorianDate(D20,1),J_GregorianDate(J_SUBDAY(J_ADDDAY(D20,N20+5,1),1,1),1),16,1)))+SUMIFS(Holieday[ok],Holieday[date],CONCATENATE("&gt;","=",D20),Holieday[date],CONCATENATE("&lt;","=",J_SUBDAY(J_ADDDAY(D20,N20+5,1),1,1)))-SUMIFS(Holieday[Friday],Holieday[date],CONCATENATE("&gt;","=",D20),Holieday[date],CONCATENATE("&lt;","=",J_SUBDAY(J_ADDDAY(D20,N20+5,1),1,1)))=5,J_SUBDAY(J_ADDDAY(D20,N20+5,1),1,1),J_SUBDAY(J_ADDDAY(D20,N20+6,1),1,1))))))))</f>
        <v>1398/10/16</v>
      </c>
      <c r="G20" s="139">
        <f t="shared" si="5"/>
        <v>13981016</v>
      </c>
      <c r="H20" s="175"/>
      <c r="I20" s="176">
        <v>2.2000000000000002</v>
      </c>
      <c r="J20" s="174">
        <f>j_WEEKDAY(D20,2)</f>
        <v>2</v>
      </c>
      <c r="K20" s="143">
        <f t="shared" si="9"/>
        <v>0</v>
      </c>
      <c r="L20" s="177">
        <f t="shared" si="10"/>
        <v>1</v>
      </c>
      <c r="M20" s="178">
        <v>0</v>
      </c>
      <c r="N20" s="179">
        <v>1</v>
      </c>
      <c r="O20" s="144">
        <f t="shared" si="11"/>
        <v>0</v>
      </c>
      <c r="P20" s="144">
        <f>VALUE(J_normdate(J_ADDDAY($D20,$O20,1)))</f>
        <v>13981016</v>
      </c>
      <c r="Q20" s="142">
        <f t="shared" si="12"/>
        <v>1</v>
      </c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  <c r="AC20" s="141"/>
      <c r="AD20" s="141"/>
      <c r="AE20" s="141"/>
      <c r="AF20" s="141"/>
      <c r="AG20" s="141"/>
      <c r="AH20" s="141"/>
      <c r="AI20" s="141"/>
      <c r="AJ20" s="141"/>
      <c r="AK20" s="141"/>
      <c r="AL20" s="141"/>
      <c r="AM20" s="141"/>
      <c r="AN20" s="141"/>
      <c r="AO20" s="141"/>
      <c r="AP20" s="141"/>
      <c r="AQ20" s="141"/>
      <c r="AR20" s="141"/>
      <c r="AS20" s="141"/>
      <c r="AT20" s="141"/>
      <c r="AU20" s="141"/>
      <c r="AV20" s="141"/>
      <c r="AW20" s="141"/>
      <c r="AX20" s="141"/>
      <c r="AY20" s="141"/>
      <c r="AZ20" s="141"/>
      <c r="BA20" s="141"/>
      <c r="BB20" s="141"/>
      <c r="BC20" s="141"/>
      <c r="BD20" s="141"/>
      <c r="BE20" s="141"/>
      <c r="BF20" s="141"/>
      <c r="BG20" s="141"/>
      <c r="BH20" s="141"/>
      <c r="BI20" s="141"/>
      <c r="BJ20" s="141"/>
      <c r="BK20" s="141"/>
      <c r="BL20" s="141"/>
      <c r="BM20" s="141"/>
      <c r="BN20" s="141"/>
      <c r="BO20" s="141"/>
      <c r="BP20" s="141"/>
      <c r="BQ20" s="141"/>
      <c r="BR20" s="141"/>
      <c r="BS20" s="141"/>
      <c r="BT20" s="141"/>
      <c r="BU20" s="141"/>
      <c r="BV20" s="141"/>
      <c r="BW20" s="141"/>
      <c r="BX20" s="141"/>
      <c r="BY20" s="141"/>
      <c r="BZ20" s="141"/>
      <c r="CA20" s="141"/>
      <c r="CB20" s="141"/>
      <c r="CC20" s="141"/>
      <c r="CD20" s="141"/>
      <c r="CE20" s="141"/>
      <c r="CF20" s="141"/>
      <c r="CG20" s="141"/>
      <c r="CH20" s="141"/>
      <c r="CI20" s="141"/>
      <c r="CJ20" s="141"/>
      <c r="CK20" s="141"/>
      <c r="CL20" s="141"/>
      <c r="CM20" s="141"/>
      <c r="CN20" s="141"/>
      <c r="CO20" s="141"/>
      <c r="CP20" s="141"/>
      <c r="CQ20" s="141"/>
      <c r="CR20" s="141"/>
      <c r="CS20" s="141"/>
      <c r="CT20" s="141"/>
      <c r="CU20" s="141"/>
      <c r="CV20" s="141"/>
      <c r="CW20" s="141"/>
      <c r="CX20" s="141"/>
      <c r="CY20" s="141"/>
      <c r="CZ20" s="141"/>
      <c r="DA20" s="141"/>
      <c r="DB20" s="141"/>
      <c r="DC20" s="141"/>
      <c r="DD20" s="141"/>
      <c r="DE20" s="141"/>
      <c r="DF20" s="141"/>
      <c r="DG20" s="141"/>
      <c r="DH20" s="141"/>
      <c r="DI20" s="141"/>
      <c r="DJ20" s="141"/>
      <c r="DK20" s="141"/>
      <c r="DL20" s="141"/>
      <c r="DM20" s="141"/>
      <c r="DN20" s="141"/>
      <c r="DO20" s="141"/>
      <c r="DP20" s="141"/>
      <c r="DQ20" s="141"/>
      <c r="DR20" s="141"/>
      <c r="DS20" s="141"/>
      <c r="DT20" s="141"/>
      <c r="DU20" s="141"/>
      <c r="DV20" s="141"/>
      <c r="DW20" s="141"/>
      <c r="DX20" s="141"/>
      <c r="DY20" s="141"/>
      <c r="DZ20" s="141"/>
      <c r="EA20" s="141"/>
      <c r="EB20" s="141"/>
      <c r="EC20" s="141"/>
      <c r="ED20" s="141"/>
      <c r="EE20" s="141"/>
      <c r="EF20" s="141"/>
      <c r="EG20" s="141"/>
      <c r="EH20" s="141"/>
      <c r="EI20" s="141"/>
      <c r="EJ20" s="141"/>
      <c r="EK20" s="141"/>
      <c r="EL20" s="141"/>
      <c r="EM20" s="141"/>
      <c r="EN20" s="141"/>
      <c r="EO20" s="141"/>
      <c r="EP20" s="141"/>
      <c r="EQ20" s="141"/>
      <c r="ER20" s="141"/>
      <c r="ES20" s="141"/>
      <c r="ET20" s="141"/>
      <c r="EU20" s="141"/>
      <c r="EV20" s="141"/>
      <c r="EW20" s="141"/>
      <c r="EX20" s="141"/>
      <c r="EY20" s="141"/>
      <c r="EZ20" s="141"/>
      <c r="FA20" s="141"/>
      <c r="FB20" s="141"/>
      <c r="FC20" s="141"/>
      <c r="FD20" s="141"/>
      <c r="FE20" s="141"/>
      <c r="FF20" s="141"/>
      <c r="FG20" s="141"/>
      <c r="FH20" s="141"/>
      <c r="FI20" s="141"/>
      <c r="FJ20" s="141"/>
      <c r="FK20" s="141"/>
      <c r="FL20" s="141"/>
      <c r="FM20" s="141"/>
      <c r="FN20" s="141"/>
      <c r="FO20" s="141"/>
      <c r="FP20" s="141"/>
      <c r="FQ20" s="141"/>
      <c r="FR20" s="141"/>
      <c r="FS20" s="141"/>
      <c r="FT20" s="141"/>
      <c r="FU20" s="141"/>
      <c r="FV20" s="141"/>
      <c r="FW20" s="141"/>
      <c r="FX20" s="141"/>
      <c r="FY20" s="141"/>
      <c r="FZ20" s="141"/>
      <c r="GA20" s="141"/>
      <c r="GB20" s="141"/>
      <c r="GC20" s="141"/>
      <c r="GD20" s="141"/>
      <c r="GE20" s="141"/>
      <c r="GF20" s="141"/>
      <c r="GG20" s="141"/>
      <c r="GH20" s="141"/>
      <c r="GI20" s="141"/>
      <c r="GJ20" s="141"/>
      <c r="GK20" s="141"/>
      <c r="GL20" s="141"/>
      <c r="GM20" s="141"/>
      <c r="GN20" s="141"/>
      <c r="GO20" s="141"/>
      <c r="GP20" s="141"/>
      <c r="GQ20" s="141"/>
      <c r="GR20" s="141"/>
      <c r="GS20" s="141"/>
      <c r="GT20" s="141"/>
      <c r="GU20" s="141"/>
      <c r="GV20" s="141"/>
      <c r="GW20" s="141"/>
      <c r="GX20" s="141"/>
      <c r="GY20" s="141"/>
      <c r="GZ20" s="141"/>
      <c r="HA20" s="141"/>
      <c r="HB20" s="141"/>
      <c r="HC20" s="141"/>
      <c r="HD20" s="141"/>
      <c r="HE20" s="141"/>
      <c r="HF20" s="141"/>
      <c r="HG20" s="141"/>
      <c r="HH20" s="141"/>
      <c r="HI20" s="141"/>
      <c r="HJ20" s="141"/>
      <c r="HK20" s="141"/>
      <c r="HL20" s="141"/>
      <c r="HM20" s="141"/>
      <c r="HN20" s="141"/>
      <c r="HO20" s="141"/>
      <c r="HP20" s="141"/>
      <c r="HQ20" s="141"/>
      <c r="HR20" s="141"/>
      <c r="HS20" s="141"/>
      <c r="HT20" s="141"/>
      <c r="HU20" s="141"/>
      <c r="HV20" s="141"/>
      <c r="HW20" s="141"/>
      <c r="HX20" s="141"/>
      <c r="HY20" s="141"/>
      <c r="HZ20" s="141"/>
      <c r="IA20" s="141"/>
      <c r="IB20" s="141"/>
      <c r="IC20" s="141"/>
      <c r="ID20" s="141"/>
      <c r="IE20" s="141"/>
      <c r="IF20" s="141"/>
      <c r="IG20" s="141"/>
      <c r="IH20" s="141"/>
      <c r="II20" s="141"/>
      <c r="IJ20" s="141"/>
      <c r="IK20" s="141"/>
      <c r="IL20" s="141"/>
      <c r="IM20" s="141"/>
      <c r="IN20" s="141"/>
      <c r="IO20" s="141"/>
      <c r="IP20" s="141"/>
      <c r="IQ20" s="141"/>
      <c r="IR20" s="141"/>
      <c r="IS20" s="141"/>
      <c r="IT20" s="141"/>
      <c r="IU20" s="141"/>
      <c r="IV20" s="141"/>
      <c r="IW20" s="141"/>
      <c r="IX20" s="141"/>
      <c r="IY20" s="21">
        <v>2</v>
      </c>
      <c r="IZ20" s="31">
        <f>(TEXT(K20,"[m]")/60)*VLOOKUP(IY20,'Income Person-hours'!A$2:C$5,3,FALSE)</f>
        <v>0</v>
      </c>
      <c r="JA20" s="91"/>
      <c r="JB20" s="91"/>
      <c r="JC20" s="91"/>
      <c r="JD20" s="160">
        <f>SUM((TEXT(JA20,"[M]")/60)*'Income Person-hours'!$D$3,(TEXT(JB20,"[M]")/60)*'Income Person-hours'!$D$4,(TEXT(JC20,"[M]")/60)*'Income Person-hours'!$D$5)</f>
        <v>0</v>
      </c>
    </row>
    <row r="21" spans="1:16384" s="159" customFormat="1" ht="13.5">
      <c r="A21" s="197">
        <v>2.4</v>
      </c>
      <c r="B21" s="186" t="s">
        <v>119</v>
      </c>
      <c r="C21" s="173" t="s">
        <v>104</v>
      </c>
      <c r="D21" s="298" t="str">
        <f>IF(OR(j_WEEKDAY(J_ADDDAY(VLOOKUP(I21,A:F,6,FALSE),H21,1),0)=6,SUMIFS(Holieday[ok],Holieday[date],J_ADDDAY(VLOOKUP(I21,A:F,6,FALSE),H21,1)))=FALSE(),J_ADDDAY(VLOOKUP(I21,A:F,6,FALSE),H21,1),IF(OR(j_WEEKDAY(J_ADDDAY(VLOOKUP(I21,A:F,6,FALSE),H21+1,1),0)=6,SUMIFS(Holieday[ok],Holieday[date],J_ADDDAY(VLOOKUP(I21,A:F,6,FALSE),H21+1,1)))=FALSE(),J_ADDDAY(VLOOKUP(I21,A:F,6,FALSE),H21+1,1),IF(OR(j_WEEKDAY(J_ADDDAY(VLOOKUP(I21,A:F,6,FALSE),H21+2,1),0)=6,SUMIFS(Holieday[ok],Holieday[date],J_ADDDAY(VLOOKUP(I21,A:F,6,FALSE),H21+2,1)))=FALSE(),J_ADDDAY(VLOOKUP(I21,A:F,6,FALSE),H21+2,1),IF(OR(j_WEEKDAY(J_ADDDAY(VLOOKUP(I21,A:F,6,FALSE),H21+3,1),0)=6,SUMIFS(Holieday[ok],Holieday[date],J_ADDDAY(VLOOKUP(I21,A:F,6,FALSE),H21+3,1)))=FALSE(),J_ADDDAY(VLOOKUP(I21,A:F,6,FALSE),H21+3,1),IF(OR(j_WEEKDAY(J_ADDDAY(VLOOKUP(I21,A:F,6,FALSE),H21+4,1),0)=6,SUMIFS(Holieday[ok],Holieday[date],J_ADDDAY(VLOOKUP(I21,A:F,6,FALSE),H21+4,1)))=FALSE(),J_ADDDAY(VLOOKUP(I21,A:F,6,FALSE),H21+4,1),J_ADDDAY(VLOOKUP(I21,A:F,6,FALSE),H21+5,1))))))</f>
        <v>1398/10/17</v>
      </c>
      <c r="E21" s="136">
        <f t="shared" si="4"/>
        <v>13981017</v>
      </c>
      <c r="F21" s="299" t="str">
        <f>IF(N21=0,J_SUBDAY(D21,1,1),IF((N21-(NETWORKDAYS.INTL(J_GregorianDate(D21,1),J_GregorianDate(J_SUBDAY(J_ADDDAY(D21,N21,1),1,1),1),16,1)))+SUMIFS(Holieday[ok],Holieday[date],CONCATENATE("&gt;","=",D21),Holieday[date],CONCATENATE("&lt;","=",J_SUBDAY(J_ADDDAY(D21,N21,1),1,1)))-SUMIFS(Holieday[Friday],Holieday[date],CONCATENATE("&gt;","=",D21),Holieday[date],CONCATENATE("&lt;","=",J_SUBDAY(J_ADDDAY(D21,N21,1),1,1)))=0,J_SUBDAY(J_ADDDAY(D21,N21,1),1,1),IF((N21+1-(NETWORKDAYS.INTL(J_GregorianDate(D21,1),J_GregorianDate(J_SUBDAY(J_ADDDAY(D21,N21+1,1),1,1),1),16,1)))+SUMIFS(Holieday[ok],Holieday[date],CONCATENATE("&gt;","=",D21),Holieday[date],CONCATENATE("&lt;","=",J_SUBDAY(J_ADDDAY(D21,N21+1,1),1,1)))-SUMIFS(Holieday[Friday],Holieday[date],CONCATENATE("&gt;","=",D21),Holieday[date],CONCATENATE("&lt;","=",J_SUBDAY(J_ADDDAY(D21,N21+1,1),1,1)))=1,J_SUBDAY(J_ADDDAY(D21,N21+1,1),1,1),IF((N21+2-(NETWORKDAYS.INTL(J_GregorianDate(D21,1),J_GregorianDate(J_SUBDAY(J_ADDDAY(D21,N21+2,1),1,1),1),16,1)))+SUMIFS(Holieday[ok],Holieday[date],CONCATENATE("&gt;","=",D21),Holieday[date],CONCATENATE("&lt;","=",J_SUBDAY(J_ADDDAY(D21,N21+2,1),1,1)))-SUMIFS(Holieday[Friday],Holieday[date],CONCATENATE("&gt;","=",D21),Holieday[date],CONCATENATE("&lt;","=",J_SUBDAY(J_ADDDAY(D21,N21+2,1),1,1)))=2,J_SUBDAY(J_ADDDAY(D21,N21+2,1),1,1),IF((N21+3-(NETWORKDAYS.INTL(J_GregorianDate(D21,1),J_GregorianDate(J_SUBDAY(J_ADDDAY(D21,N21+3,1),1,1),1),16,1)))+SUMIFS(Holieday[ok],Holieday[date],CONCATENATE("&gt;","=",D21),Holieday[date],CONCATENATE("&lt;","=",J_SUBDAY(J_ADDDAY(D21,N21+3,1),1,1)))-SUMIFS(Holieday[Friday],Holieday[date],CONCATENATE("&gt;","=",D21),Holieday[date],CONCATENATE("&lt;","=",J_SUBDAY(J_ADDDAY(D21,N21+3,1),1,1)))=3,J_SUBDAY(J_ADDDAY(D21,N21+3,1),1,1),IF((N21+4-(NETWORKDAYS.INTL(J_GregorianDate(D21,1),J_GregorianDate(J_SUBDAY(J_ADDDAY(D21,N21+4,1),1,1),1),16,1)))+SUMIFS(Holieday[ok],Holieday[date],CONCATENATE("&gt;","=",D21),Holieday[date],CONCATENATE("&lt;","=",J_SUBDAY(J_ADDDAY(D21,N21+4,1),1,1)))-SUMIFS(Holieday[Friday],Holieday[date],CONCATENATE("&gt;","=",D21),Holieday[date],CONCATENATE("&lt;","=",J_SUBDAY(J_ADDDAY(D21,N21+4,1),1,1)))=4,J_SUBDAY(J_ADDDAY(D21,N21+4,1),1,1),IF((N21+5-(NETWORKDAYS.INTL(J_GregorianDate(D21,1),J_GregorianDate(J_SUBDAY(J_ADDDAY(D21,N21+5,1),1,1),1),16,1)))+SUMIFS(Holieday[ok],Holieday[date],CONCATENATE("&gt;","=",D21),Holieday[date],CONCATENATE("&lt;","=",J_SUBDAY(J_ADDDAY(D21,N21+5,1),1,1)))-SUMIFS(Holieday[Friday],Holieday[date],CONCATENATE("&gt;","=",D21),Holieday[date],CONCATENATE("&lt;","=",J_SUBDAY(J_ADDDAY(D21,N21+5,1),1,1)))=5,J_SUBDAY(J_ADDDAY(D21,N21+5,1),1,1),J_SUBDAY(J_ADDDAY(D21,N21+6,1),1,1))))))))</f>
        <v>1398/10/18</v>
      </c>
      <c r="G21" s="139">
        <f t="shared" si="5"/>
        <v>13981018</v>
      </c>
      <c r="H21" s="175">
        <v>1</v>
      </c>
      <c r="I21" s="176">
        <v>2.2999999999999998</v>
      </c>
      <c r="J21" s="174">
        <f>j_WEEKDAY(D21,2)</f>
        <v>3</v>
      </c>
      <c r="K21" s="143">
        <f t="shared" si="9"/>
        <v>0</v>
      </c>
      <c r="L21" s="177">
        <f t="shared" si="10"/>
        <v>2</v>
      </c>
      <c r="M21" s="178">
        <v>0</v>
      </c>
      <c r="N21" s="179">
        <v>2</v>
      </c>
      <c r="O21" s="144">
        <f t="shared" si="11"/>
        <v>0</v>
      </c>
      <c r="P21" s="144">
        <f>VALUE(J_normdate(J_ADDDAY($D21,$O21,1)))</f>
        <v>13981017</v>
      </c>
      <c r="Q21" s="142">
        <f t="shared" si="12"/>
        <v>2</v>
      </c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41"/>
      <c r="AC21" s="141"/>
      <c r="AD21" s="141"/>
      <c r="AE21" s="141"/>
      <c r="AF21" s="141"/>
      <c r="AG21" s="141"/>
      <c r="AH21" s="141"/>
      <c r="AI21" s="141"/>
      <c r="AJ21" s="141"/>
      <c r="AK21" s="141"/>
      <c r="AL21" s="141"/>
      <c r="AM21" s="141"/>
      <c r="AN21" s="141"/>
      <c r="AO21" s="141"/>
      <c r="AP21" s="141"/>
      <c r="AQ21" s="141"/>
      <c r="AR21" s="141"/>
      <c r="AS21" s="141"/>
      <c r="AT21" s="141"/>
      <c r="AU21" s="141"/>
      <c r="AV21" s="141"/>
      <c r="AW21" s="141"/>
      <c r="AX21" s="141"/>
      <c r="AY21" s="141"/>
      <c r="AZ21" s="141"/>
      <c r="BA21" s="141"/>
      <c r="BB21" s="141"/>
      <c r="BC21" s="141"/>
      <c r="BD21" s="141"/>
      <c r="BE21" s="141"/>
      <c r="BF21" s="141"/>
      <c r="BG21" s="141"/>
      <c r="BH21" s="141"/>
      <c r="BI21" s="141"/>
      <c r="BJ21" s="141"/>
      <c r="BK21" s="141"/>
      <c r="BL21" s="141"/>
      <c r="BM21" s="141"/>
      <c r="BN21" s="141"/>
      <c r="BO21" s="141"/>
      <c r="BP21" s="141"/>
      <c r="BQ21" s="141"/>
      <c r="BR21" s="141"/>
      <c r="BS21" s="141"/>
      <c r="BT21" s="141"/>
      <c r="BU21" s="141"/>
      <c r="BV21" s="141"/>
      <c r="BW21" s="141"/>
      <c r="BX21" s="141"/>
      <c r="BY21" s="141"/>
      <c r="BZ21" s="141"/>
      <c r="CA21" s="141"/>
      <c r="CB21" s="141"/>
      <c r="CC21" s="141"/>
      <c r="CD21" s="141"/>
      <c r="CE21" s="141"/>
      <c r="CF21" s="141"/>
      <c r="CG21" s="141"/>
      <c r="CH21" s="141"/>
      <c r="CI21" s="141"/>
      <c r="CJ21" s="141"/>
      <c r="CK21" s="141"/>
      <c r="CL21" s="141"/>
      <c r="CM21" s="141"/>
      <c r="CN21" s="141"/>
      <c r="CO21" s="141"/>
      <c r="CP21" s="141"/>
      <c r="CQ21" s="141"/>
      <c r="CR21" s="141"/>
      <c r="CS21" s="141"/>
      <c r="CT21" s="141"/>
      <c r="CU21" s="141"/>
      <c r="CV21" s="141"/>
      <c r="CW21" s="141"/>
      <c r="CX21" s="141"/>
      <c r="CY21" s="141"/>
      <c r="CZ21" s="141"/>
      <c r="DA21" s="141"/>
      <c r="DB21" s="141"/>
      <c r="DC21" s="141"/>
      <c r="DD21" s="141"/>
      <c r="DE21" s="141"/>
      <c r="DF21" s="141"/>
      <c r="DG21" s="141"/>
      <c r="DH21" s="141"/>
      <c r="DI21" s="141"/>
      <c r="DJ21" s="141"/>
      <c r="DK21" s="141"/>
      <c r="DL21" s="141"/>
      <c r="DM21" s="141"/>
      <c r="DN21" s="141"/>
      <c r="DO21" s="141"/>
      <c r="DP21" s="141"/>
      <c r="DQ21" s="141"/>
      <c r="DR21" s="141"/>
      <c r="DS21" s="141"/>
      <c r="DT21" s="141"/>
      <c r="DU21" s="141"/>
      <c r="DV21" s="141"/>
      <c r="DW21" s="141"/>
      <c r="DX21" s="141"/>
      <c r="DY21" s="141"/>
      <c r="DZ21" s="141"/>
      <c r="EA21" s="141"/>
      <c r="EB21" s="141"/>
      <c r="EC21" s="141"/>
      <c r="ED21" s="141"/>
      <c r="EE21" s="141"/>
      <c r="EF21" s="141"/>
      <c r="EG21" s="141"/>
      <c r="EH21" s="141"/>
      <c r="EI21" s="141"/>
      <c r="EJ21" s="141"/>
      <c r="EK21" s="141"/>
      <c r="EL21" s="141"/>
      <c r="EM21" s="141"/>
      <c r="EN21" s="141"/>
      <c r="EO21" s="141"/>
      <c r="EP21" s="141"/>
      <c r="EQ21" s="141"/>
      <c r="ER21" s="141"/>
      <c r="ES21" s="141"/>
      <c r="ET21" s="141"/>
      <c r="EU21" s="141"/>
      <c r="EV21" s="141"/>
      <c r="EW21" s="141"/>
      <c r="EX21" s="141"/>
      <c r="EY21" s="141"/>
      <c r="EZ21" s="141"/>
      <c r="FA21" s="141"/>
      <c r="FB21" s="141"/>
      <c r="FC21" s="141"/>
      <c r="FD21" s="141"/>
      <c r="FE21" s="141"/>
      <c r="FF21" s="141"/>
      <c r="FG21" s="141"/>
      <c r="FH21" s="141"/>
      <c r="FI21" s="141"/>
      <c r="FJ21" s="141"/>
      <c r="FK21" s="141"/>
      <c r="FL21" s="141"/>
      <c r="FM21" s="141"/>
      <c r="FN21" s="141"/>
      <c r="FO21" s="141"/>
      <c r="FP21" s="141"/>
      <c r="FQ21" s="141"/>
      <c r="FR21" s="141"/>
      <c r="FS21" s="141"/>
      <c r="FT21" s="141"/>
      <c r="FU21" s="141"/>
      <c r="FV21" s="141"/>
      <c r="FW21" s="141"/>
      <c r="FX21" s="141"/>
      <c r="FY21" s="141"/>
      <c r="FZ21" s="141"/>
      <c r="GA21" s="141"/>
      <c r="GB21" s="141"/>
      <c r="GC21" s="141"/>
      <c r="GD21" s="141"/>
      <c r="GE21" s="141"/>
      <c r="GF21" s="141"/>
      <c r="GG21" s="141"/>
      <c r="GH21" s="141"/>
      <c r="GI21" s="141"/>
      <c r="GJ21" s="141"/>
      <c r="GK21" s="141"/>
      <c r="GL21" s="141"/>
      <c r="GM21" s="141"/>
      <c r="GN21" s="141"/>
      <c r="GO21" s="141"/>
      <c r="GP21" s="141"/>
      <c r="GQ21" s="141"/>
      <c r="GR21" s="141"/>
      <c r="GS21" s="141"/>
      <c r="GT21" s="141"/>
      <c r="GU21" s="141"/>
      <c r="GV21" s="141"/>
      <c r="GW21" s="141"/>
      <c r="GX21" s="141"/>
      <c r="GY21" s="141"/>
      <c r="GZ21" s="141"/>
      <c r="HA21" s="141"/>
      <c r="HB21" s="141"/>
      <c r="HC21" s="141"/>
      <c r="HD21" s="141"/>
      <c r="HE21" s="141"/>
      <c r="HF21" s="141"/>
      <c r="HG21" s="141"/>
      <c r="HH21" s="141"/>
      <c r="HI21" s="141"/>
      <c r="HJ21" s="141"/>
      <c r="HK21" s="141"/>
      <c r="HL21" s="141"/>
      <c r="HM21" s="141"/>
      <c r="HN21" s="141"/>
      <c r="HO21" s="141"/>
      <c r="HP21" s="141"/>
      <c r="HQ21" s="141"/>
      <c r="HR21" s="141"/>
      <c r="HS21" s="141"/>
      <c r="HT21" s="141"/>
      <c r="HU21" s="141"/>
      <c r="HV21" s="141"/>
      <c r="HW21" s="141"/>
      <c r="HX21" s="141"/>
      <c r="HY21" s="141"/>
      <c r="HZ21" s="141"/>
      <c r="IA21" s="141"/>
      <c r="IB21" s="141"/>
      <c r="IC21" s="141"/>
      <c r="ID21" s="141"/>
      <c r="IE21" s="141"/>
      <c r="IF21" s="141"/>
      <c r="IG21" s="141"/>
      <c r="IH21" s="141"/>
      <c r="II21" s="141"/>
      <c r="IJ21" s="141"/>
      <c r="IK21" s="141"/>
      <c r="IL21" s="141"/>
      <c r="IM21" s="141"/>
      <c r="IN21" s="141"/>
      <c r="IO21" s="141"/>
      <c r="IP21" s="141"/>
      <c r="IQ21" s="141"/>
      <c r="IR21" s="141"/>
      <c r="IS21" s="141"/>
      <c r="IT21" s="141"/>
      <c r="IU21" s="141"/>
      <c r="IV21" s="141"/>
      <c r="IW21" s="141"/>
      <c r="IX21" s="141"/>
      <c r="IY21" s="21">
        <v>1</v>
      </c>
      <c r="IZ21" s="31">
        <f>(TEXT(K21,"[m]")/60)*VLOOKUP(IY21,'Income Person-hours'!A$2:C$5,3,FALSE)</f>
        <v>0</v>
      </c>
      <c r="JA21" s="91"/>
      <c r="JB21" s="91"/>
      <c r="JC21" s="91"/>
      <c r="JD21" s="160">
        <f>SUM((TEXT(JA21,"[M]")/60)*'Income Person-hours'!$D$3,(TEXT(JB21,"[M]")/60)*'Income Person-hours'!$D$4,(TEXT(JC21,"[M]")/60)*'Income Person-hours'!$D$5)</f>
        <v>0</v>
      </c>
    </row>
    <row r="22" spans="1:16384" s="159" customFormat="1" ht="13.5">
      <c r="A22" s="197">
        <v>2.5</v>
      </c>
      <c r="B22" s="186" t="s">
        <v>125</v>
      </c>
      <c r="C22" s="173" t="s">
        <v>104</v>
      </c>
      <c r="D22" s="298" t="str">
        <f>IF(OR(j_WEEKDAY(J_ADDDAY(VLOOKUP(I22,A:F,6,FALSE),H22,1),0)=6,SUMIFS(Holieday[ok],Holieday[date],J_ADDDAY(VLOOKUP(I22,A:F,6,FALSE),H22,1)))=FALSE(),J_ADDDAY(VLOOKUP(I22,A:F,6,FALSE),H22,1),IF(OR(j_WEEKDAY(J_ADDDAY(VLOOKUP(I22,A:F,6,FALSE),H22+1,1),0)=6,SUMIFS(Holieday[ok],Holieday[date],J_ADDDAY(VLOOKUP(I22,A:F,6,FALSE),H22+1,1)))=FALSE(),J_ADDDAY(VLOOKUP(I22,A:F,6,FALSE),H22+1,1),IF(OR(j_WEEKDAY(J_ADDDAY(VLOOKUP(I22,A:F,6,FALSE),H22+2,1),0)=6,SUMIFS(Holieday[ok],Holieday[date],J_ADDDAY(VLOOKUP(I22,A:F,6,FALSE),H22+2,1)))=FALSE(),J_ADDDAY(VLOOKUP(I22,A:F,6,FALSE),H22+2,1),IF(OR(j_WEEKDAY(J_ADDDAY(VLOOKUP(I22,A:F,6,FALSE),H22+3,1),0)=6,SUMIFS(Holieday[ok],Holieday[date],J_ADDDAY(VLOOKUP(I22,A:F,6,FALSE),H22+3,1)))=FALSE(),J_ADDDAY(VLOOKUP(I22,A:F,6,FALSE),H22+3,1),IF(OR(j_WEEKDAY(J_ADDDAY(VLOOKUP(I22,A:F,6,FALSE),H22+4,1),0)=6,SUMIFS(Holieday[ok],Holieday[date],J_ADDDAY(VLOOKUP(I22,A:F,6,FALSE),H22+4,1)))=FALSE(),J_ADDDAY(VLOOKUP(I22,A:F,6,FALSE),H22+4,1),J_ADDDAY(VLOOKUP(I22,A:F,6,FALSE),H22+5,1))))))</f>
        <v>1398/10/19</v>
      </c>
      <c r="E22" s="136">
        <f t="shared" si="4"/>
        <v>13981019</v>
      </c>
      <c r="F22" s="299" t="str">
        <f>IF(N22=0,J_SUBDAY(D22,1,1),IF((N22-(NETWORKDAYS.INTL(J_GregorianDate(D22,1),J_GregorianDate(J_SUBDAY(J_ADDDAY(D22,N22,1),1,1),1),16,1)))+SUMIFS(Holieday[ok],Holieday[date],CONCATENATE("&gt;","=",D22),Holieday[date],CONCATENATE("&lt;","=",J_SUBDAY(J_ADDDAY(D22,N22,1),1,1)))-SUMIFS(Holieday[Friday],Holieday[date],CONCATENATE("&gt;","=",D22),Holieday[date],CONCATENATE("&lt;","=",J_SUBDAY(J_ADDDAY(D22,N22,1),1,1)))=0,J_SUBDAY(J_ADDDAY(D22,N22,1),1,1),IF((N22+1-(NETWORKDAYS.INTL(J_GregorianDate(D22,1),J_GregorianDate(J_SUBDAY(J_ADDDAY(D22,N22+1,1),1,1),1),16,1)))+SUMIFS(Holieday[ok],Holieday[date],CONCATENATE("&gt;","=",D22),Holieday[date],CONCATENATE("&lt;","=",J_SUBDAY(J_ADDDAY(D22,N22+1,1),1,1)))-SUMIFS(Holieday[Friday],Holieday[date],CONCATENATE("&gt;","=",D22),Holieday[date],CONCATENATE("&lt;","=",J_SUBDAY(J_ADDDAY(D22,N22+1,1),1,1)))=1,J_SUBDAY(J_ADDDAY(D22,N22+1,1),1,1),IF((N22+2-(NETWORKDAYS.INTL(J_GregorianDate(D22,1),J_GregorianDate(J_SUBDAY(J_ADDDAY(D22,N22+2,1),1,1),1),16,1)))+SUMIFS(Holieday[ok],Holieday[date],CONCATENATE("&gt;","=",D22),Holieday[date],CONCATENATE("&lt;","=",J_SUBDAY(J_ADDDAY(D22,N22+2,1),1,1)))-SUMIFS(Holieday[Friday],Holieday[date],CONCATENATE("&gt;","=",D22),Holieday[date],CONCATENATE("&lt;","=",J_SUBDAY(J_ADDDAY(D22,N22+2,1),1,1)))=2,J_SUBDAY(J_ADDDAY(D22,N22+2,1),1,1),IF((N22+3-(NETWORKDAYS.INTL(J_GregorianDate(D22,1),J_GregorianDate(J_SUBDAY(J_ADDDAY(D22,N22+3,1),1,1),1),16,1)))+SUMIFS(Holieday[ok],Holieday[date],CONCATENATE("&gt;","=",D22),Holieday[date],CONCATENATE("&lt;","=",J_SUBDAY(J_ADDDAY(D22,N22+3,1),1,1)))-SUMIFS(Holieday[Friday],Holieday[date],CONCATENATE("&gt;","=",D22),Holieday[date],CONCATENATE("&lt;","=",J_SUBDAY(J_ADDDAY(D22,N22+3,1),1,1)))=3,J_SUBDAY(J_ADDDAY(D22,N22+3,1),1,1),IF((N22+4-(NETWORKDAYS.INTL(J_GregorianDate(D22,1),J_GregorianDate(J_SUBDAY(J_ADDDAY(D22,N22+4,1),1,1),1),16,1)))+SUMIFS(Holieday[ok],Holieday[date],CONCATENATE("&gt;","=",D22),Holieday[date],CONCATENATE("&lt;","=",J_SUBDAY(J_ADDDAY(D22,N22+4,1),1,1)))-SUMIFS(Holieday[Friday],Holieday[date],CONCATENATE("&gt;","=",D22),Holieday[date],CONCATENATE("&lt;","=",J_SUBDAY(J_ADDDAY(D22,N22+4,1),1,1)))=4,J_SUBDAY(J_ADDDAY(D22,N22+4,1),1,1),IF((N22+5-(NETWORKDAYS.INTL(J_GregorianDate(D22,1),J_GregorianDate(J_SUBDAY(J_ADDDAY(D22,N22+5,1),1,1),1),16,1)))+SUMIFS(Holieday[ok],Holieday[date],CONCATENATE("&gt;","=",D22),Holieday[date],CONCATENATE("&lt;","=",J_SUBDAY(J_ADDDAY(D22,N22+5,1),1,1)))-SUMIFS(Holieday[Friday],Holieday[date],CONCATENATE("&gt;","=",D22),Holieday[date],CONCATENATE("&lt;","=",J_SUBDAY(J_ADDDAY(D22,N22+5,1),1,1)))=5,J_SUBDAY(J_ADDDAY(D22,N22+5,1),1,1),J_SUBDAY(J_ADDDAY(D22,N22+6,1),1,1))))))))</f>
        <v>1398/10/21</v>
      </c>
      <c r="G22" s="139">
        <f t="shared" si="5"/>
        <v>13981021</v>
      </c>
      <c r="H22" s="175">
        <v>1</v>
      </c>
      <c r="I22" s="176">
        <v>2.4</v>
      </c>
      <c r="J22" s="174">
        <f>j_WEEKDAY(D22,2)</f>
        <v>5</v>
      </c>
      <c r="K22" s="143">
        <f t="shared" si="9"/>
        <v>0</v>
      </c>
      <c r="L22" s="177">
        <f t="shared" si="10"/>
        <v>3</v>
      </c>
      <c r="M22" s="178">
        <v>0</v>
      </c>
      <c r="N22" s="179">
        <v>2</v>
      </c>
      <c r="O22" s="144">
        <f t="shared" si="11"/>
        <v>0</v>
      </c>
      <c r="P22" s="144">
        <f>VALUE(J_normdate(J_ADDDAY($D22,$O22,1)))</f>
        <v>13981019</v>
      </c>
      <c r="Q22" s="142">
        <f t="shared" si="12"/>
        <v>3</v>
      </c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41"/>
      <c r="AC22" s="141"/>
      <c r="AD22" s="141"/>
      <c r="AE22" s="141"/>
      <c r="AF22" s="141"/>
      <c r="AG22" s="141"/>
      <c r="AH22" s="141"/>
      <c r="AI22" s="141"/>
      <c r="AJ22" s="141"/>
      <c r="AK22" s="141"/>
      <c r="AL22" s="141"/>
      <c r="AM22" s="141"/>
      <c r="AN22" s="141"/>
      <c r="AO22" s="141"/>
      <c r="AP22" s="141"/>
      <c r="AQ22" s="141"/>
      <c r="AR22" s="141"/>
      <c r="AS22" s="141"/>
      <c r="AT22" s="141"/>
      <c r="AU22" s="141"/>
      <c r="AV22" s="141"/>
      <c r="AW22" s="141"/>
      <c r="AX22" s="141"/>
      <c r="AY22" s="141"/>
      <c r="AZ22" s="141"/>
      <c r="BA22" s="141"/>
      <c r="BB22" s="141"/>
      <c r="BC22" s="141"/>
      <c r="BD22" s="141"/>
      <c r="BE22" s="141"/>
      <c r="BF22" s="141"/>
      <c r="BG22" s="141"/>
      <c r="BH22" s="141"/>
      <c r="BI22" s="141"/>
      <c r="BJ22" s="141"/>
      <c r="BK22" s="141"/>
      <c r="BL22" s="141"/>
      <c r="BM22" s="141"/>
      <c r="BN22" s="141"/>
      <c r="BO22" s="141"/>
      <c r="BP22" s="141"/>
      <c r="BQ22" s="141"/>
      <c r="BR22" s="141"/>
      <c r="BS22" s="141"/>
      <c r="BT22" s="141"/>
      <c r="BU22" s="141"/>
      <c r="BV22" s="141"/>
      <c r="BW22" s="141"/>
      <c r="BX22" s="141"/>
      <c r="BY22" s="141"/>
      <c r="BZ22" s="141"/>
      <c r="CA22" s="141"/>
      <c r="CB22" s="141"/>
      <c r="CC22" s="141"/>
      <c r="CD22" s="141"/>
      <c r="CE22" s="141"/>
      <c r="CF22" s="141"/>
      <c r="CG22" s="141"/>
      <c r="CH22" s="141"/>
      <c r="CI22" s="141"/>
      <c r="CJ22" s="141"/>
      <c r="CK22" s="141"/>
      <c r="CL22" s="141"/>
      <c r="CM22" s="141"/>
      <c r="CN22" s="141"/>
      <c r="CO22" s="141"/>
      <c r="CP22" s="141"/>
      <c r="CQ22" s="141"/>
      <c r="CR22" s="141"/>
      <c r="CS22" s="141"/>
      <c r="CT22" s="141"/>
      <c r="CU22" s="141"/>
      <c r="CV22" s="141"/>
      <c r="CW22" s="141"/>
      <c r="CX22" s="141"/>
      <c r="CY22" s="141"/>
      <c r="CZ22" s="141"/>
      <c r="DA22" s="141"/>
      <c r="DB22" s="141"/>
      <c r="DC22" s="141"/>
      <c r="DD22" s="141"/>
      <c r="DE22" s="141"/>
      <c r="DF22" s="141"/>
      <c r="DG22" s="141"/>
      <c r="DH22" s="141"/>
      <c r="DI22" s="141"/>
      <c r="DJ22" s="141"/>
      <c r="DK22" s="141"/>
      <c r="DL22" s="141"/>
      <c r="DM22" s="141"/>
      <c r="DN22" s="141"/>
      <c r="DO22" s="141"/>
      <c r="DP22" s="141"/>
      <c r="DQ22" s="141"/>
      <c r="DR22" s="141"/>
      <c r="DS22" s="141"/>
      <c r="DT22" s="141"/>
      <c r="DU22" s="141"/>
      <c r="DV22" s="141"/>
      <c r="DW22" s="141"/>
      <c r="DX22" s="141"/>
      <c r="DY22" s="141"/>
      <c r="DZ22" s="141"/>
      <c r="EA22" s="141"/>
      <c r="EB22" s="141"/>
      <c r="EC22" s="141"/>
      <c r="ED22" s="141"/>
      <c r="EE22" s="141"/>
      <c r="EF22" s="141"/>
      <c r="EG22" s="141"/>
      <c r="EH22" s="141"/>
      <c r="EI22" s="141"/>
      <c r="EJ22" s="141"/>
      <c r="EK22" s="141"/>
      <c r="EL22" s="141"/>
      <c r="EM22" s="141"/>
      <c r="EN22" s="141"/>
      <c r="EO22" s="141"/>
      <c r="EP22" s="141"/>
      <c r="EQ22" s="141"/>
      <c r="ER22" s="141"/>
      <c r="ES22" s="141"/>
      <c r="ET22" s="141"/>
      <c r="EU22" s="141"/>
      <c r="EV22" s="141"/>
      <c r="EW22" s="141"/>
      <c r="EX22" s="141"/>
      <c r="EY22" s="141"/>
      <c r="EZ22" s="141"/>
      <c r="FA22" s="141"/>
      <c r="FB22" s="141"/>
      <c r="FC22" s="141"/>
      <c r="FD22" s="141"/>
      <c r="FE22" s="141"/>
      <c r="FF22" s="141"/>
      <c r="FG22" s="141"/>
      <c r="FH22" s="141"/>
      <c r="FI22" s="141"/>
      <c r="FJ22" s="141"/>
      <c r="FK22" s="141"/>
      <c r="FL22" s="141"/>
      <c r="FM22" s="141"/>
      <c r="FN22" s="141"/>
      <c r="FO22" s="141"/>
      <c r="FP22" s="141"/>
      <c r="FQ22" s="141"/>
      <c r="FR22" s="141"/>
      <c r="FS22" s="141"/>
      <c r="FT22" s="141"/>
      <c r="FU22" s="141"/>
      <c r="FV22" s="141"/>
      <c r="FW22" s="141"/>
      <c r="FX22" s="141"/>
      <c r="FY22" s="141"/>
      <c r="FZ22" s="141"/>
      <c r="GA22" s="141"/>
      <c r="GB22" s="141"/>
      <c r="GC22" s="141"/>
      <c r="GD22" s="141"/>
      <c r="GE22" s="141"/>
      <c r="GF22" s="141"/>
      <c r="GG22" s="141"/>
      <c r="GH22" s="141"/>
      <c r="GI22" s="141"/>
      <c r="GJ22" s="141"/>
      <c r="GK22" s="141"/>
      <c r="GL22" s="141"/>
      <c r="GM22" s="141"/>
      <c r="GN22" s="141"/>
      <c r="GO22" s="141"/>
      <c r="GP22" s="141"/>
      <c r="GQ22" s="141"/>
      <c r="GR22" s="141"/>
      <c r="GS22" s="141"/>
      <c r="GT22" s="141"/>
      <c r="GU22" s="141"/>
      <c r="GV22" s="141"/>
      <c r="GW22" s="141"/>
      <c r="GX22" s="141"/>
      <c r="GY22" s="141"/>
      <c r="GZ22" s="141"/>
      <c r="HA22" s="141"/>
      <c r="HB22" s="141"/>
      <c r="HC22" s="141"/>
      <c r="HD22" s="141"/>
      <c r="HE22" s="141"/>
      <c r="HF22" s="141"/>
      <c r="HG22" s="141"/>
      <c r="HH22" s="141"/>
      <c r="HI22" s="141"/>
      <c r="HJ22" s="141"/>
      <c r="HK22" s="141"/>
      <c r="HL22" s="141"/>
      <c r="HM22" s="141"/>
      <c r="HN22" s="141"/>
      <c r="HO22" s="141"/>
      <c r="HP22" s="141"/>
      <c r="HQ22" s="141"/>
      <c r="HR22" s="141"/>
      <c r="HS22" s="141"/>
      <c r="HT22" s="141"/>
      <c r="HU22" s="141"/>
      <c r="HV22" s="141"/>
      <c r="HW22" s="141"/>
      <c r="HX22" s="141"/>
      <c r="HY22" s="141"/>
      <c r="HZ22" s="141"/>
      <c r="IA22" s="141"/>
      <c r="IB22" s="141"/>
      <c r="IC22" s="141"/>
      <c r="ID22" s="141"/>
      <c r="IE22" s="141"/>
      <c r="IF22" s="141"/>
      <c r="IG22" s="141"/>
      <c r="IH22" s="141"/>
      <c r="II22" s="141"/>
      <c r="IJ22" s="141"/>
      <c r="IK22" s="141"/>
      <c r="IL22" s="141"/>
      <c r="IM22" s="141"/>
      <c r="IN22" s="141"/>
      <c r="IO22" s="141"/>
      <c r="IP22" s="141"/>
      <c r="IQ22" s="141"/>
      <c r="IR22" s="141"/>
      <c r="IS22" s="141"/>
      <c r="IT22" s="141"/>
      <c r="IU22" s="141"/>
      <c r="IV22" s="141"/>
      <c r="IW22" s="141"/>
      <c r="IX22" s="141"/>
      <c r="IY22" s="21">
        <v>1</v>
      </c>
      <c r="IZ22" s="31">
        <f>(TEXT(K22,"[m]")/60)*VLOOKUP(IY22,'Income Person-hours'!A$2:C$5,3,FALSE)</f>
        <v>0</v>
      </c>
      <c r="JA22" s="91"/>
      <c r="JB22" s="91"/>
      <c r="JC22" s="91"/>
      <c r="JD22" s="160">
        <f>SUM((TEXT(JA22,"[M]")/60)*'Income Person-hours'!$D$3,(TEXT(JB22,"[M]")/60)*'Income Person-hours'!$D$4,(TEXT(JC22,"[M]")/60)*'Income Person-hours'!$D$5)</f>
        <v>0</v>
      </c>
    </row>
    <row r="23" spans="1:16384" s="159" customFormat="1" ht="13.5">
      <c r="A23" s="188">
        <v>2.6</v>
      </c>
      <c r="B23" s="186" t="s">
        <v>132</v>
      </c>
      <c r="C23" s="173" t="s">
        <v>104</v>
      </c>
      <c r="D23" s="298" t="str">
        <f>IF(OR(j_WEEKDAY(J_ADDDAY(VLOOKUP(I23,A:F,6,FALSE),H23,1),0)=6,SUMIFS(Holieday[ok],Holieday[date],J_ADDDAY(VLOOKUP(I23,A:F,6,FALSE),H23,1)))=FALSE(),J_ADDDAY(VLOOKUP(I23,A:F,6,FALSE),H23,1),IF(OR(j_WEEKDAY(J_ADDDAY(VLOOKUP(I23,A:F,6,FALSE),H23+1,1),0)=6,SUMIFS(Holieday[ok],Holieday[date],J_ADDDAY(VLOOKUP(I23,A:F,6,FALSE),H23+1,1)))=FALSE(),J_ADDDAY(VLOOKUP(I23,A:F,6,FALSE),H23+1,1),IF(OR(j_WEEKDAY(J_ADDDAY(VLOOKUP(I23,A:F,6,FALSE),H23+2,1),0)=6,SUMIFS(Holieday[ok],Holieday[date],J_ADDDAY(VLOOKUP(I23,A:F,6,FALSE),H23+2,1)))=FALSE(),J_ADDDAY(VLOOKUP(I23,A:F,6,FALSE),H23+2,1),IF(OR(j_WEEKDAY(J_ADDDAY(VLOOKUP(I23,A:F,6,FALSE),H23+3,1),0)=6,SUMIFS(Holieday[ok],Holieday[date],J_ADDDAY(VLOOKUP(I23,A:F,6,FALSE),H23+3,1)))=FALSE(),J_ADDDAY(VLOOKUP(I23,A:F,6,FALSE),H23+3,1),IF(OR(j_WEEKDAY(J_ADDDAY(VLOOKUP(I23,A:F,6,FALSE),H23+4,1),0)=6,SUMIFS(Holieday[ok],Holieday[date],J_ADDDAY(VLOOKUP(I23,A:F,6,FALSE),H23+4,1)))=FALSE(),J_ADDDAY(VLOOKUP(I23,A:F,6,FALSE),H23+4,1),J_ADDDAY(VLOOKUP(I23,A:F,6,FALSE),H23+5,1))))))</f>
        <v>1398/10/22</v>
      </c>
      <c r="E23" s="136">
        <f t="shared" si="4"/>
        <v>13981022</v>
      </c>
      <c r="F23" s="299" t="str">
        <f>IF(N23=0,J_SUBDAY(D23,1,1),IF((N23-(NETWORKDAYS.INTL(J_GregorianDate(D23,1),J_GregorianDate(J_SUBDAY(J_ADDDAY(D23,N23,1),1,1),1),16,1)))+SUMIFS(Holieday[ok],Holieday[date],CONCATENATE("&gt;","=",D23),Holieday[date],CONCATENATE("&lt;","=",J_SUBDAY(J_ADDDAY(D23,N23,1),1,1)))-SUMIFS(Holieday[Friday],Holieday[date],CONCATENATE("&gt;","=",D23),Holieday[date],CONCATENATE("&lt;","=",J_SUBDAY(J_ADDDAY(D23,N23,1),1,1)))=0,J_SUBDAY(J_ADDDAY(D23,N23,1),1,1),IF((N23+1-(NETWORKDAYS.INTL(J_GregorianDate(D23,1),J_GregorianDate(J_SUBDAY(J_ADDDAY(D23,N23+1,1),1,1),1),16,1)))+SUMIFS(Holieday[ok],Holieday[date],CONCATENATE("&gt;","=",D23),Holieday[date],CONCATENATE("&lt;","=",J_SUBDAY(J_ADDDAY(D23,N23+1,1),1,1)))-SUMIFS(Holieday[Friday],Holieday[date],CONCATENATE("&gt;","=",D23),Holieday[date],CONCATENATE("&lt;","=",J_SUBDAY(J_ADDDAY(D23,N23+1,1),1,1)))=1,J_SUBDAY(J_ADDDAY(D23,N23+1,1),1,1),IF((N23+2-(NETWORKDAYS.INTL(J_GregorianDate(D23,1),J_GregorianDate(J_SUBDAY(J_ADDDAY(D23,N23+2,1),1,1),1),16,1)))+SUMIFS(Holieday[ok],Holieday[date],CONCATENATE("&gt;","=",D23),Holieday[date],CONCATENATE("&lt;","=",J_SUBDAY(J_ADDDAY(D23,N23+2,1),1,1)))-SUMIFS(Holieday[Friday],Holieday[date],CONCATENATE("&gt;","=",D23),Holieday[date],CONCATENATE("&lt;","=",J_SUBDAY(J_ADDDAY(D23,N23+2,1),1,1)))=2,J_SUBDAY(J_ADDDAY(D23,N23+2,1),1,1),IF((N23+3-(NETWORKDAYS.INTL(J_GregorianDate(D23,1),J_GregorianDate(J_SUBDAY(J_ADDDAY(D23,N23+3,1),1,1),1),16,1)))+SUMIFS(Holieday[ok],Holieday[date],CONCATENATE("&gt;","=",D23),Holieday[date],CONCATENATE("&lt;","=",J_SUBDAY(J_ADDDAY(D23,N23+3,1),1,1)))-SUMIFS(Holieday[Friday],Holieday[date],CONCATENATE("&gt;","=",D23),Holieday[date],CONCATENATE("&lt;","=",J_SUBDAY(J_ADDDAY(D23,N23+3,1),1,1)))=3,J_SUBDAY(J_ADDDAY(D23,N23+3,1),1,1),IF((N23+4-(NETWORKDAYS.INTL(J_GregorianDate(D23,1),J_GregorianDate(J_SUBDAY(J_ADDDAY(D23,N23+4,1),1,1),1),16,1)))+SUMIFS(Holieday[ok],Holieday[date],CONCATENATE("&gt;","=",D23),Holieday[date],CONCATENATE("&lt;","=",J_SUBDAY(J_ADDDAY(D23,N23+4,1),1,1)))-SUMIFS(Holieday[Friday],Holieday[date],CONCATENATE("&gt;","=",D23),Holieday[date],CONCATENATE("&lt;","=",J_SUBDAY(J_ADDDAY(D23,N23+4,1),1,1)))=4,J_SUBDAY(J_ADDDAY(D23,N23+4,1),1,1),IF((N23+5-(NETWORKDAYS.INTL(J_GregorianDate(D23,1),J_GregorianDate(J_SUBDAY(J_ADDDAY(D23,N23+5,1),1,1),1),16,1)))+SUMIFS(Holieday[ok],Holieday[date],CONCATENATE("&gt;","=",D23),Holieday[date],CONCATENATE("&lt;","=",J_SUBDAY(J_ADDDAY(D23,N23+5,1),1,1)))-SUMIFS(Holieday[Friday],Holieday[date],CONCATENATE("&gt;","=",D23),Holieday[date],CONCATENATE("&lt;","=",J_SUBDAY(J_ADDDAY(D23,N23+5,1),1,1)))=5,J_SUBDAY(J_ADDDAY(D23,N23+5,1),1,1),J_SUBDAY(J_ADDDAY(D23,N23+6,1),1,1))))))))</f>
        <v>1398/10/22</v>
      </c>
      <c r="G23" s="139">
        <f t="shared" si="5"/>
        <v>13981022</v>
      </c>
      <c r="H23" s="175">
        <v>1</v>
      </c>
      <c r="I23" s="176">
        <v>2.5</v>
      </c>
      <c r="J23" s="174">
        <f>j_WEEKDAY(D23,2)</f>
        <v>1</v>
      </c>
      <c r="K23" s="143">
        <f t="shared" si="9"/>
        <v>0</v>
      </c>
      <c r="L23" s="177">
        <f t="shared" si="10"/>
        <v>1</v>
      </c>
      <c r="M23" s="178">
        <v>0</v>
      </c>
      <c r="N23" s="179">
        <v>1</v>
      </c>
      <c r="O23" s="144">
        <f t="shared" si="11"/>
        <v>0</v>
      </c>
      <c r="P23" s="144">
        <f>VALUE(J_normdate(J_ADDDAY($D23,$O23,1)))</f>
        <v>13981022</v>
      </c>
      <c r="Q23" s="142">
        <f t="shared" si="12"/>
        <v>1</v>
      </c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41"/>
      <c r="AC23" s="141"/>
      <c r="AD23" s="141"/>
      <c r="AE23" s="141"/>
      <c r="AF23" s="141"/>
      <c r="AG23" s="141"/>
      <c r="AH23" s="141"/>
      <c r="AI23" s="141"/>
      <c r="AJ23" s="141"/>
      <c r="AK23" s="141"/>
      <c r="AL23" s="141"/>
      <c r="AM23" s="141"/>
      <c r="AN23" s="141"/>
      <c r="AO23" s="141"/>
      <c r="AP23" s="141"/>
      <c r="AQ23" s="141"/>
      <c r="AR23" s="141"/>
      <c r="AS23" s="141"/>
      <c r="AT23" s="141"/>
      <c r="AU23" s="141"/>
      <c r="AV23" s="141"/>
      <c r="AW23" s="141"/>
      <c r="AX23" s="141"/>
      <c r="AY23" s="141"/>
      <c r="AZ23" s="141"/>
      <c r="BA23" s="141"/>
      <c r="BB23" s="141"/>
      <c r="BC23" s="141"/>
      <c r="BD23" s="141"/>
      <c r="BE23" s="141"/>
      <c r="BF23" s="141"/>
      <c r="BG23" s="141"/>
      <c r="BH23" s="141"/>
      <c r="BI23" s="141"/>
      <c r="BJ23" s="141"/>
      <c r="BK23" s="141"/>
      <c r="BL23" s="141"/>
      <c r="BM23" s="141"/>
      <c r="BN23" s="141"/>
      <c r="BO23" s="141"/>
      <c r="BP23" s="141"/>
      <c r="BQ23" s="141"/>
      <c r="BR23" s="141"/>
      <c r="BS23" s="141"/>
      <c r="BT23" s="141"/>
      <c r="BU23" s="141"/>
      <c r="BV23" s="141"/>
      <c r="BW23" s="141"/>
      <c r="BX23" s="141"/>
      <c r="BY23" s="141"/>
      <c r="BZ23" s="141"/>
      <c r="CA23" s="141"/>
      <c r="CB23" s="141"/>
      <c r="CC23" s="141"/>
      <c r="CD23" s="141"/>
      <c r="CE23" s="141"/>
      <c r="CF23" s="141"/>
      <c r="CG23" s="141"/>
      <c r="CH23" s="141"/>
      <c r="CI23" s="141"/>
      <c r="CJ23" s="141"/>
      <c r="CK23" s="141"/>
      <c r="CL23" s="141"/>
      <c r="CM23" s="141"/>
      <c r="CN23" s="141"/>
      <c r="CO23" s="141"/>
      <c r="CP23" s="141"/>
      <c r="CQ23" s="141"/>
      <c r="CR23" s="141"/>
      <c r="CS23" s="141"/>
      <c r="CT23" s="141"/>
      <c r="CU23" s="141"/>
      <c r="CV23" s="141"/>
      <c r="CW23" s="141"/>
      <c r="CX23" s="141"/>
      <c r="CY23" s="141"/>
      <c r="CZ23" s="141"/>
      <c r="DA23" s="141"/>
      <c r="DB23" s="141"/>
      <c r="DC23" s="141"/>
      <c r="DD23" s="141"/>
      <c r="DE23" s="141"/>
      <c r="DF23" s="141"/>
      <c r="DG23" s="141"/>
      <c r="DH23" s="141"/>
      <c r="DI23" s="141"/>
      <c r="DJ23" s="141"/>
      <c r="DK23" s="141"/>
      <c r="DL23" s="141"/>
      <c r="DM23" s="141"/>
      <c r="DN23" s="141"/>
      <c r="DO23" s="141"/>
      <c r="DP23" s="141"/>
      <c r="DQ23" s="141"/>
      <c r="DR23" s="141"/>
      <c r="DS23" s="141"/>
      <c r="DT23" s="141"/>
      <c r="DU23" s="141"/>
      <c r="DV23" s="141"/>
      <c r="DW23" s="141"/>
      <c r="DX23" s="141"/>
      <c r="DY23" s="141"/>
      <c r="DZ23" s="141"/>
      <c r="EA23" s="141"/>
      <c r="EB23" s="141"/>
      <c r="EC23" s="141"/>
      <c r="ED23" s="141"/>
      <c r="EE23" s="141"/>
      <c r="EF23" s="141"/>
      <c r="EG23" s="141"/>
      <c r="EH23" s="141"/>
      <c r="EI23" s="141"/>
      <c r="EJ23" s="141"/>
      <c r="EK23" s="141"/>
      <c r="EL23" s="141"/>
      <c r="EM23" s="141"/>
      <c r="EN23" s="141"/>
      <c r="EO23" s="141"/>
      <c r="EP23" s="141"/>
      <c r="EQ23" s="141"/>
      <c r="ER23" s="141"/>
      <c r="ES23" s="141"/>
      <c r="ET23" s="141"/>
      <c r="EU23" s="141"/>
      <c r="EV23" s="141"/>
      <c r="EW23" s="141"/>
      <c r="EX23" s="141"/>
      <c r="EY23" s="141"/>
      <c r="EZ23" s="141"/>
      <c r="FA23" s="141"/>
      <c r="FB23" s="141"/>
      <c r="FC23" s="141"/>
      <c r="FD23" s="141"/>
      <c r="FE23" s="141"/>
      <c r="FF23" s="141"/>
      <c r="FG23" s="141"/>
      <c r="FH23" s="141"/>
      <c r="FI23" s="141"/>
      <c r="FJ23" s="141"/>
      <c r="FK23" s="141"/>
      <c r="FL23" s="141"/>
      <c r="FM23" s="141"/>
      <c r="FN23" s="141"/>
      <c r="FO23" s="141"/>
      <c r="FP23" s="141"/>
      <c r="FQ23" s="141"/>
      <c r="FR23" s="141"/>
      <c r="FS23" s="141"/>
      <c r="FT23" s="141"/>
      <c r="FU23" s="141"/>
      <c r="FV23" s="141"/>
      <c r="FW23" s="141"/>
      <c r="FX23" s="141"/>
      <c r="FY23" s="141"/>
      <c r="FZ23" s="141"/>
      <c r="GA23" s="141"/>
      <c r="GB23" s="141"/>
      <c r="GC23" s="141"/>
      <c r="GD23" s="141"/>
      <c r="GE23" s="141"/>
      <c r="GF23" s="141"/>
      <c r="GG23" s="141"/>
      <c r="GH23" s="141"/>
      <c r="GI23" s="141"/>
      <c r="GJ23" s="141"/>
      <c r="GK23" s="141"/>
      <c r="GL23" s="141"/>
      <c r="GM23" s="141"/>
      <c r="GN23" s="141"/>
      <c r="GO23" s="141"/>
      <c r="GP23" s="141"/>
      <c r="GQ23" s="141"/>
      <c r="GR23" s="141"/>
      <c r="GS23" s="141"/>
      <c r="GT23" s="141"/>
      <c r="GU23" s="141"/>
      <c r="GV23" s="141"/>
      <c r="GW23" s="141"/>
      <c r="GX23" s="141"/>
      <c r="GY23" s="141"/>
      <c r="GZ23" s="141"/>
      <c r="HA23" s="141"/>
      <c r="HB23" s="141"/>
      <c r="HC23" s="141"/>
      <c r="HD23" s="141"/>
      <c r="HE23" s="141"/>
      <c r="HF23" s="141"/>
      <c r="HG23" s="141"/>
      <c r="HH23" s="141"/>
      <c r="HI23" s="141"/>
      <c r="HJ23" s="141"/>
      <c r="HK23" s="141"/>
      <c r="HL23" s="141"/>
      <c r="HM23" s="141"/>
      <c r="HN23" s="141"/>
      <c r="HO23" s="141"/>
      <c r="HP23" s="141"/>
      <c r="HQ23" s="141"/>
      <c r="HR23" s="141"/>
      <c r="HS23" s="141"/>
      <c r="HT23" s="141"/>
      <c r="HU23" s="141"/>
      <c r="HV23" s="141"/>
      <c r="HW23" s="141"/>
      <c r="HX23" s="141"/>
      <c r="HY23" s="141"/>
      <c r="HZ23" s="141"/>
      <c r="IA23" s="141"/>
      <c r="IB23" s="141"/>
      <c r="IC23" s="141"/>
      <c r="ID23" s="141"/>
      <c r="IE23" s="141"/>
      <c r="IF23" s="141"/>
      <c r="IG23" s="141"/>
      <c r="IH23" s="141"/>
      <c r="II23" s="141"/>
      <c r="IJ23" s="141"/>
      <c r="IK23" s="141"/>
      <c r="IL23" s="141"/>
      <c r="IM23" s="141"/>
      <c r="IN23" s="141"/>
      <c r="IO23" s="141"/>
      <c r="IP23" s="141"/>
      <c r="IQ23" s="141"/>
      <c r="IR23" s="141"/>
      <c r="IS23" s="141"/>
      <c r="IT23" s="141"/>
      <c r="IU23" s="141"/>
      <c r="IV23" s="141"/>
      <c r="IW23" s="141"/>
      <c r="IX23" s="141"/>
      <c r="IY23" s="21">
        <v>1</v>
      </c>
      <c r="IZ23" s="24">
        <f>(TEXT(K23,"[m]")/60)*VLOOKUP(IY23,'Income Person-hours'!A$2:C$5,3,FALSE)</f>
        <v>0</v>
      </c>
      <c r="JA23" s="91"/>
      <c r="JB23" s="91"/>
      <c r="JC23" s="91"/>
      <c r="JD23" s="160">
        <f>SUM((TEXT(JA23,"[M]")/60)*'Income Person-hours'!$D$3,(TEXT(JB23,"[M]")/60)*'Income Person-hours'!$D$4,(TEXT(JC23,"[M]")/60)*'Income Person-hours'!$D$5)</f>
        <v>0</v>
      </c>
    </row>
    <row r="24" spans="1:16384" s="7" customFormat="1" ht="13.5">
      <c r="A24" s="197">
        <v>2.7</v>
      </c>
      <c r="B24" s="186" t="s">
        <v>137</v>
      </c>
      <c r="C24" s="173" t="s">
        <v>103</v>
      </c>
      <c r="D24" s="305" t="str">
        <f>IF(OR(j_WEEKDAY(J_ADDDAY(VLOOKUP(I24,A:F,6,FALSE),H24,1),0)=6,SUMIFS(Holieday[ok],Holieday[date],J_ADDDAY(VLOOKUP(I24,A:F,6,FALSE),H24,1)))=FALSE(),J_ADDDAY(VLOOKUP(I24,A:F,6,FALSE),H24,1),IF(OR(j_WEEKDAY(J_ADDDAY(VLOOKUP(I24,A:F,6,FALSE),H24+1,1),0)=6,SUMIFS(Holieday[ok],Holieday[date],J_ADDDAY(VLOOKUP(I24,A:F,6,FALSE),H24+1,1)))=FALSE(),J_ADDDAY(VLOOKUP(I24,A:F,6,FALSE),H24+1,1),IF(OR(j_WEEKDAY(J_ADDDAY(VLOOKUP(I24,A:F,6,FALSE),H24+2,1),0)=6,SUMIFS(Holieday[ok],Holieday[date],J_ADDDAY(VLOOKUP(I24,A:F,6,FALSE),H24+2,1)))=FALSE(),J_ADDDAY(VLOOKUP(I24,A:F,6,FALSE),H24+2,1),IF(OR(j_WEEKDAY(J_ADDDAY(VLOOKUP(I24,A:F,6,FALSE),H24+3,1),0)=6,SUMIFS(Holieday[ok],Holieday[date],J_ADDDAY(VLOOKUP(I24,A:F,6,FALSE),H24+3,1)))=FALSE(),J_ADDDAY(VLOOKUP(I24,A:F,6,FALSE),H24+3,1),IF(OR(j_WEEKDAY(J_ADDDAY(VLOOKUP(I24,A:F,6,FALSE),H24+4,1),0)=6,SUMIFS(Holieday[ok],Holieday[date],J_ADDDAY(VLOOKUP(I24,A:F,6,FALSE),H24+4,1)))=FALSE(),J_ADDDAY(VLOOKUP(I24,A:F,6,FALSE),H24+4,1),J_ADDDAY(VLOOKUP(I24,A:F,6,FALSE),H24+5,1))))))</f>
        <v>1398/10/22</v>
      </c>
      <c r="E24" s="1">
        <f t="shared" si="4"/>
        <v>13981022</v>
      </c>
      <c r="F24" s="302" t="str">
        <f>IF(N24=0,J_SUBDAY(D24,1,1),IF((N24-(NETWORKDAYS.INTL(J_GregorianDate(D24,1),J_GregorianDate(J_SUBDAY(J_ADDDAY(D24,N24,1),1,1),1),16,1)))+SUMIFS(Holieday[ok],Holieday[date],CONCATENATE("&gt;","=",D24),Holieday[date],CONCATENATE("&lt;","=",J_SUBDAY(J_ADDDAY(D24,N24,1),1,1)))-SUMIFS(Holieday[Friday],Holieday[date],CONCATENATE("&gt;","=",D24),Holieday[date],CONCATENATE("&lt;","=",J_SUBDAY(J_ADDDAY(D24,N24,1),1,1)))=0,J_SUBDAY(J_ADDDAY(D24,N24,1),1,1),IF((N24+1-(NETWORKDAYS.INTL(J_GregorianDate(D24,1),J_GregorianDate(J_SUBDAY(J_ADDDAY(D24,N24+1,1),1,1),1),16,1)))+SUMIFS(Holieday[ok],Holieday[date],CONCATENATE("&gt;","=",D24),Holieday[date],CONCATENATE("&lt;","=",J_SUBDAY(J_ADDDAY(D24,N24+1,1),1,1)))-SUMIFS(Holieday[Friday],Holieday[date],CONCATENATE("&gt;","=",D24),Holieday[date],CONCATENATE("&lt;","=",J_SUBDAY(J_ADDDAY(D24,N24+1,1),1,1)))=1,J_SUBDAY(J_ADDDAY(D24,N24+1,1),1,1),IF((N24+2-(NETWORKDAYS.INTL(J_GregorianDate(D24,1),J_GregorianDate(J_SUBDAY(J_ADDDAY(D24,N24+2,1),1,1),1),16,1)))+SUMIFS(Holieday[ok],Holieday[date],CONCATENATE("&gt;","=",D24),Holieday[date],CONCATENATE("&lt;","=",J_SUBDAY(J_ADDDAY(D24,N24+2,1),1,1)))-SUMIFS(Holieday[Friday],Holieday[date],CONCATENATE("&gt;","=",D24),Holieday[date],CONCATENATE("&lt;","=",J_SUBDAY(J_ADDDAY(D24,N24+2,1),1,1)))=2,J_SUBDAY(J_ADDDAY(D24,N24+2,1),1,1),IF((N24+3-(NETWORKDAYS.INTL(J_GregorianDate(D24,1),J_GregorianDate(J_SUBDAY(J_ADDDAY(D24,N24+3,1),1,1),1),16,1)))+SUMIFS(Holieday[ok],Holieday[date],CONCATENATE("&gt;","=",D24),Holieday[date],CONCATENATE("&lt;","=",J_SUBDAY(J_ADDDAY(D24,N24+3,1),1,1)))-SUMIFS(Holieday[Friday],Holieday[date],CONCATENATE("&gt;","=",D24),Holieday[date],CONCATENATE("&lt;","=",J_SUBDAY(J_ADDDAY(D24,N24+3,1),1,1)))=3,J_SUBDAY(J_ADDDAY(D24,N24+3,1),1,1),IF((N24+4-(NETWORKDAYS.INTL(J_GregorianDate(D24,1),J_GregorianDate(J_SUBDAY(J_ADDDAY(D24,N24+4,1),1,1),1),16,1)))+SUMIFS(Holieday[ok],Holieday[date],CONCATENATE("&gt;","=",D24),Holieday[date],CONCATENATE("&lt;","=",J_SUBDAY(J_ADDDAY(D24,N24+4,1),1,1)))-SUMIFS(Holieday[Friday],Holieday[date],CONCATENATE("&gt;","=",D24),Holieday[date],CONCATENATE("&lt;","=",J_SUBDAY(J_ADDDAY(D24,N24+4,1),1,1)))=4,J_SUBDAY(J_ADDDAY(D24,N24+4,1),1,1),IF((N24+5-(NETWORKDAYS.INTL(J_GregorianDate(D24,1),J_GregorianDate(J_SUBDAY(J_ADDDAY(D24,N24+5,1),1,1),1),16,1)))+SUMIFS(Holieday[ok],Holieday[date],CONCATENATE("&gt;","=",D24),Holieday[date],CONCATENATE("&lt;","=",J_SUBDAY(J_ADDDAY(D24,N24+5,1),1,1)))-SUMIFS(Holieday[Friday],Holieday[date],CONCATENATE("&gt;","=",D24),Holieday[date],CONCATENATE("&lt;","=",J_SUBDAY(J_ADDDAY(D24,N24+5,1),1,1)))=5,J_SUBDAY(J_ADDDAY(D24,N24+5,1),1,1),J_SUBDAY(J_ADDDAY(D24,N24+6,1),1,1))))))))</f>
        <v>1398/10/22</v>
      </c>
      <c r="G24" s="2">
        <f t="shared" si="5"/>
        <v>13981022</v>
      </c>
      <c r="H24" s="175">
        <v>1</v>
      </c>
      <c r="I24" s="176">
        <v>2.5</v>
      </c>
      <c r="J24" s="190">
        <f>j_WEEKDAY(D24,2)</f>
        <v>1</v>
      </c>
      <c r="K24" s="13">
        <f t="shared" si="9"/>
        <v>0</v>
      </c>
      <c r="L24" s="191">
        <f t="shared" si="10"/>
        <v>1</v>
      </c>
      <c r="M24" s="178">
        <v>0</v>
      </c>
      <c r="N24" s="179">
        <v>1</v>
      </c>
      <c r="O24" s="6">
        <f t="shared" si="11"/>
        <v>0</v>
      </c>
      <c r="P24" s="6">
        <f>VALUE(J_normdate(J_ADDDAY($D24,$O24,1)))</f>
        <v>13981022</v>
      </c>
      <c r="Q24" s="5">
        <f t="shared" si="12"/>
        <v>1</v>
      </c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21">
        <v>1</v>
      </c>
      <c r="IZ24" s="24">
        <f>(TEXT(K24,"[m]")/60)*VLOOKUP(IY24,'Income Person-hours'!A$2:C$5,3,FALSE)</f>
        <v>0</v>
      </c>
      <c r="JA24" s="91"/>
      <c r="JB24" s="91"/>
      <c r="JC24" s="91"/>
      <c r="JD24" s="54">
        <f>SUM((TEXT(JA24,"[M]")/60)*'Income Person-hours'!$D$3,(TEXT(JB24,"[M]")/60)*'Income Person-hours'!$D$4,(TEXT(JC24,"[M]")/60)*'Income Person-hours'!$D$5)</f>
        <v>0</v>
      </c>
    </row>
    <row r="25" spans="1:16384" s="7" customFormat="1" ht="13.5">
      <c r="A25" s="197">
        <v>2.8</v>
      </c>
      <c r="B25" s="186" t="s">
        <v>154</v>
      </c>
      <c r="C25" s="173" t="s">
        <v>72</v>
      </c>
      <c r="D25" s="305" t="str">
        <f>IF(OR(j_WEEKDAY(J_ADDDAY(VLOOKUP(I25,A:F,6,FALSE),H25,1),0)=6,SUMIFS(Holieday[ok],Holieday[date],J_ADDDAY(VLOOKUP(I25,A:F,6,FALSE),H25,1)))=FALSE(),J_ADDDAY(VLOOKUP(I25,A:F,6,FALSE),H25,1),IF(OR(j_WEEKDAY(J_ADDDAY(VLOOKUP(I25,A:F,6,FALSE),H25+1,1),0)=6,SUMIFS(Holieday[ok],Holieday[date],J_ADDDAY(VLOOKUP(I25,A:F,6,FALSE),H25+1,1)))=FALSE(),J_ADDDAY(VLOOKUP(I25,A:F,6,FALSE),H25+1,1),IF(OR(j_WEEKDAY(J_ADDDAY(VLOOKUP(I25,A:F,6,FALSE),H25+2,1),0)=6,SUMIFS(Holieday[ok],Holieday[date],J_ADDDAY(VLOOKUP(I25,A:F,6,FALSE),H25+2,1)))=FALSE(),J_ADDDAY(VLOOKUP(I25,A:F,6,FALSE),H25+2,1),IF(OR(j_WEEKDAY(J_ADDDAY(VLOOKUP(I25,A:F,6,FALSE),H25+3,1),0)=6,SUMIFS(Holieday[ok],Holieday[date],J_ADDDAY(VLOOKUP(I25,A:F,6,FALSE),H25+3,1)))=FALSE(),J_ADDDAY(VLOOKUP(I25,A:F,6,FALSE),H25+3,1),IF(OR(j_WEEKDAY(J_ADDDAY(VLOOKUP(I25,A:F,6,FALSE),H25+4,1),0)=6,SUMIFS(Holieday[ok],Holieday[date],J_ADDDAY(VLOOKUP(I25,A:F,6,FALSE),H25+4,1)))=FALSE(),J_ADDDAY(VLOOKUP(I25,A:F,6,FALSE),H25+4,1),J_ADDDAY(VLOOKUP(I25,A:F,6,FALSE),H25+5,1))))))</f>
        <v>1398/10/22</v>
      </c>
      <c r="E25" s="1">
        <f t="shared" si="4"/>
        <v>13981022</v>
      </c>
      <c r="F25" s="302" t="str">
        <f>IF(N25=0,J_SUBDAY(D25,1,1),IF((N25-(NETWORKDAYS.INTL(J_GregorianDate(D25,1),J_GregorianDate(J_SUBDAY(J_ADDDAY(D25,N25,1),1,1),1),16,1)))+SUMIFS(Holieday[ok],Holieday[date],CONCATENATE("&gt;","=",D25),Holieday[date],CONCATENATE("&lt;","=",J_SUBDAY(J_ADDDAY(D25,N25,1),1,1)))-SUMIFS(Holieday[Friday],Holieday[date],CONCATENATE("&gt;","=",D25),Holieday[date],CONCATENATE("&lt;","=",J_SUBDAY(J_ADDDAY(D25,N25,1),1,1)))=0,J_SUBDAY(J_ADDDAY(D25,N25,1),1,1),IF((N25+1-(NETWORKDAYS.INTL(J_GregorianDate(D25,1),J_GregorianDate(J_SUBDAY(J_ADDDAY(D25,N25+1,1),1,1),1),16,1)))+SUMIFS(Holieday[ok],Holieday[date],CONCATENATE("&gt;","=",D25),Holieday[date],CONCATENATE("&lt;","=",J_SUBDAY(J_ADDDAY(D25,N25+1,1),1,1)))-SUMIFS(Holieday[Friday],Holieday[date],CONCATENATE("&gt;","=",D25),Holieday[date],CONCATENATE("&lt;","=",J_SUBDAY(J_ADDDAY(D25,N25+1,1),1,1)))=1,J_SUBDAY(J_ADDDAY(D25,N25+1,1),1,1),IF((N25+2-(NETWORKDAYS.INTL(J_GregorianDate(D25,1),J_GregorianDate(J_SUBDAY(J_ADDDAY(D25,N25+2,1),1,1),1),16,1)))+SUMIFS(Holieday[ok],Holieday[date],CONCATENATE("&gt;","=",D25),Holieday[date],CONCATENATE("&lt;","=",J_SUBDAY(J_ADDDAY(D25,N25+2,1),1,1)))-SUMIFS(Holieday[Friday],Holieday[date],CONCATENATE("&gt;","=",D25),Holieday[date],CONCATENATE("&lt;","=",J_SUBDAY(J_ADDDAY(D25,N25+2,1),1,1)))=2,J_SUBDAY(J_ADDDAY(D25,N25+2,1),1,1),IF((N25+3-(NETWORKDAYS.INTL(J_GregorianDate(D25,1),J_GregorianDate(J_SUBDAY(J_ADDDAY(D25,N25+3,1),1,1),1),16,1)))+SUMIFS(Holieday[ok],Holieday[date],CONCATENATE("&gt;","=",D25),Holieday[date],CONCATENATE("&lt;","=",J_SUBDAY(J_ADDDAY(D25,N25+3,1),1,1)))-SUMIFS(Holieday[Friday],Holieday[date],CONCATENATE("&gt;","=",D25),Holieday[date],CONCATENATE("&lt;","=",J_SUBDAY(J_ADDDAY(D25,N25+3,1),1,1)))=3,J_SUBDAY(J_ADDDAY(D25,N25+3,1),1,1),IF((N25+4-(NETWORKDAYS.INTL(J_GregorianDate(D25,1),J_GregorianDate(J_SUBDAY(J_ADDDAY(D25,N25+4,1),1,1),1),16,1)))+SUMIFS(Holieday[ok],Holieday[date],CONCATENATE("&gt;","=",D25),Holieday[date],CONCATENATE("&lt;","=",J_SUBDAY(J_ADDDAY(D25,N25+4,1),1,1)))-SUMIFS(Holieday[Friday],Holieday[date],CONCATENATE("&gt;","=",D25),Holieday[date],CONCATENATE("&lt;","=",J_SUBDAY(J_ADDDAY(D25,N25+4,1),1,1)))=4,J_SUBDAY(J_ADDDAY(D25,N25+4,1),1,1),IF((N25+5-(NETWORKDAYS.INTL(J_GregorianDate(D25,1),J_GregorianDate(J_SUBDAY(J_ADDDAY(D25,N25+5,1),1,1),1),16,1)))+SUMIFS(Holieday[ok],Holieday[date],CONCATENATE("&gt;","=",D25),Holieday[date],CONCATENATE("&lt;","=",J_SUBDAY(J_ADDDAY(D25,N25+5,1),1,1)))-SUMIFS(Holieday[Friday],Holieday[date],CONCATENATE("&gt;","=",D25),Holieday[date],CONCATENATE("&lt;","=",J_SUBDAY(J_ADDDAY(D25,N25+5,1),1,1)))=5,J_SUBDAY(J_ADDDAY(D25,N25+5,1),1,1),J_SUBDAY(J_ADDDAY(D25,N25+6,1),1,1))))))))</f>
        <v>1398/10/22</v>
      </c>
      <c r="G25" s="2">
        <f t="shared" si="5"/>
        <v>13981022</v>
      </c>
      <c r="H25" s="175"/>
      <c r="I25" s="176">
        <v>2.6</v>
      </c>
      <c r="J25" s="190">
        <f>j_WEEKDAY(D25,2)</f>
        <v>1</v>
      </c>
      <c r="K25" s="13">
        <f t="shared" si="9"/>
        <v>0</v>
      </c>
      <c r="L25" s="191">
        <f t="shared" si="10"/>
        <v>1</v>
      </c>
      <c r="M25" s="178">
        <v>0</v>
      </c>
      <c r="N25" s="179">
        <v>1</v>
      </c>
      <c r="O25" s="6">
        <f t="shared" si="11"/>
        <v>0</v>
      </c>
      <c r="P25" s="6">
        <f>VALUE(J_normdate(J_ADDDAY($D25,$O25,1)))</f>
        <v>13981022</v>
      </c>
      <c r="Q25" s="5">
        <f t="shared" si="12"/>
        <v>1</v>
      </c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21">
        <v>1</v>
      </c>
      <c r="IZ25" s="24">
        <f>(TEXT(K25,"[m]")/60)*VLOOKUP(IY25,'Income Person-hours'!A$2:C$5,3,FALSE)</f>
        <v>0</v>
      </c>
      <c r="JA25" s="91"/>
      <c r="JB25" s="91"/>
      <c r="JC25" s="91"/>
      <c r="JD25" s="54">
        <f>SUM((TEXT(JA25,"[M]")/60)*'Income Person-hours'!$D$3,(TEXT(JB25,"[M]")/60)*'Income Person-hours'!$D$4,(TEXT(JC25,"[M]")/60)*'Income Person-hours'!$D$5)</f>
        <v>0</v>
      </c>
    </row>
    <row r="26" spans="1:16384" s="7" customFormat="1" ht="13.5">
      <c r="A26" s="197">
        <v>2.9</v>
      </c>
      <c r="B26" s="186" t="s">
        <v>173</v>
      </c>
      <c r="C26" s="173" t="s">
        <v>103</v>
      </c>
      <c r="D26" s="305" t="str">
        <f>IF(OR(j_WEEKDAY(J_ADDDAY(VLOOKUP(I26,A:F,6,FALSE),H26,1),0)=6,SUMIFS(Holieday[ok],Holieday[date],J_ADDDAY(VLOOKUP(I26,A:F,6,FALSE),H26,1)))=FALSE(),J_ADDDAY(VLOOKUP(I26,A:F,6,FALSE),H26,1),IF(OR(j_WEEKDAY(J_ADDDAY(VLOOKUP(I26,A:F,6,FALSE),H26+1,1),0)=6,SUMIFS(Holieday[ok],Holieday[date],J_ADDDAY(VLOOKUP(I26,A:F,6,FALSE),H26+1,1)))=FALSE(),J_ADDDAY(VLOOKUP(I26,A:F,6,FALSE),H26+1,1),IF(OR(j_WEEKDAY(J_ADDDAY(VLOOKUP(I26,A:F,6,FALSE),H26+2,1),0)=6,SUMIFS(Holieday[ok],Holieday[date],J_ADDDAY(VLOOKUP(I26,A:F,6,FALSE),H26+2,1)))=FALSE(),J_ADDDAY(VLOOKUP(I26,A:F,6,FALSE),H26+2,1),IF(OR(j_WEEKDAY(J_ADDDAY(VLOOKUP(I26,A:F,6,FALSE),H26+3,1),0)=6,SUMIFS(Holieday[ok],Holieday[date],J_ADDDAY(VLOOKUP(I26,A:F,6,FALSE),H26+3,1)))=FALSE(),J_ADDDAY(VLOOKUP(I26,A:F,6,FALSE),H26+3,1),IF(OR(j_WEEKDAY(J_ADDDAY(VLOOKUP(I26,A:F,6,FALSE),H26+4,1),0)=6,SUMIFS(Holieday[ok],Holieday[date],J_ADDDAY(VLOOKUP(I26,A:F,6,FALSE),H26+4,1)))=FALSE(),J_ADDDAY(VLOOKUP(I26,A:F,6,FALSE),H26+4,1),J_ADDDAY(VLOOKUP(I26,A:F,6,FALSE),H26+5,1))))))</f>
        <v>1398/12/26</v>
      </c>
      <c r="E26" s="1">
        <f t="shared" ref="E26:E45" si="13">VALUE(J_normdate(D26))</f>
        <v>13981226</v>
      </c>
      <c r="F26" s="302" t="str">
        <f>IF(N26=0,J_SUBDAY(D26,1,1),IF((N26-(NETWORKDAYS.INTL(J_GregorianDate(D26,1),J_GregorianDate(J_SUBDAY(J_ADDDAY(D26,N26,1),1,1),1),16,1)))+SUMIFS(Holieday[ok],Holieday[date],CONCATENATE("&gt;","=",D26),Holieday[date],CONCATENATE("&lt;","=",J_SUBDAY(J_ADDDAY(D26,N26,1),1,1)))-SUMIFS(Holieday[Friday],Holieday[date],CONCATENATE("&gt;","=",D26),Holieday[date],CONCATENATE("&lt;","=",J_SUBDAY(J_ADDDAY(D26,N26,1),1,1)))=0,J_SUBDAY(J_ADDDAY(D26,N26,1),1,1),IF((N26+1-(NETWORKDAYS.INTL(J_GregorianDate(D26,1),J_GregorianDate(J_SUBDAY(J_ADDDAY(D26,N26+1,1),1,1),1),16,1)))+SUMIFS(Holieday[ok],Holieday[date],CONCATENATE("&gt;","=",D26),Holieday[date],CONCATENATE("&lt;","=",J_SUBDAY(J_ADDDAY(D26,N26+1,1),1,1)))-SUMIFS(Holieday[Friday],Holieday[date],CONCATENATE("&gt;","=",D26),Holieday[date],CONCATENATE("&lt;","=",J_SUBDAY(J_ADDDAY(D26,N26+1,1),1,1)))=1,J_SUBDAY(J_ADDDAY(D26,N26+1,1),1,1),IF((N26+2-(NETWORKDAYS.INTL(J_GregorianDate(D26,1),J_GregorianDate(J_SUBDAY(J_ADDDAY(D26,N26+2,1),1,1),1),16,1)))+SUMIFS(Holieday[ok],Holieday[date],CONCATENATE("&gt;","=",D26),Holieday[date],CONCATENATE("&lt;","=",J_SUBDAY(J_ADDDAY(D26,N26+2,1),1,1)))-SUMIFS(Holieday[Friday],Holieday[date],CONCATENATE("&gt;","=",D26),Holieday[date],CONCATENATE("&lt;","=",J_SUBDAY(J_ADDDAY(D26,N26+2,1),1,1)))=2,J_SUBDAY(J_ADDDAY(D26,N26+2,1),1,1),IF((N26+3-(NETWORKDAYS.INTL(J_GregorianDate(D26,1),J_GregorianDate(J_SUBDAY(J_ADDDAY(D26,N26+3,1),1,1),1),16,1)))+SUMIFS(Holieday[ok],Holieday[date],CONCATENATE("&gt;","=",D26),Holieday[date],CONCATENATE("&lt;","=",J_SUBDAY(J_ADDDAY(D26,N26+3,1),1,1)))-SUMIFS(Holieday[Friday],Holieday[date],CONCATENATE("&gt;","=",D26),Holieday[date],CONCATENATE("&lt;","=",J_SUBDAY(J_ADDDAY(D26,N26+3,1),1,1)))=3,J_SUBDAY(J_ADDDAY(D26,N26+3,1),1,1),IF((N26+4-(NETWORKDAYS.INTL(J_GregorianDate(D26,1),J_GregorianDate(J_SUBDAY(J_ADDDAY(D26,N26+4,1),1,1),1),16,1)))+SUMIFS(Holieday[ok],Holieday[date],CONCATENATE("&gt;","=",D26),Holieday[date],CONCATENATE("&lt;","=",J_SUBDAY(J_ADDDAY(D26,N26+4,1),1,1)))-SUMIFS(Holieday[Friday],Holieday[date],CONCATENATE("&gt;","=",D26),Holieday[date],CONCATENATE("&lt;","=",J_SUBDAY(J_ADDDAY(D26,N26+4,1),1,1)))=4,J_SUBDAY(J_ADDDAY(D26,N26+4,1),1,1),IF((N26+5-(NETWORKDAYS.INTL(J_GregorianDate(D26,1),J_GregorianDate(J_SUBDAY(J_ADDDAY(D26,N26+5,1),1,1),1),16,1)))+SUMIFS(Holieday[ok],Holieday[date],CONCATENATE("&gt;","=",D26),Holieday[date],CONCATENATE("&lt;","=",J_SUBDAY(J_ADDDAY(D26,N26+5,1),1,1)))-SUMIFS(Holieday[Friday],Holieday[date],CONCATENATE("&gt;","=",D26),Holieday[date],CONCATENATE("&lt;","=",J_SUBDAY(J_ADDDAY(D26,N26+5,1),1,1)))=5,J_SUBDAY(J_ADDDAY(D26,N26+5,1),1,1),J_SUBDAY(J_ADDDAY(D26,N26+6,1),1,1))))))))</f>
        <v>1398/12/26</v>
      </c>
      <c r="G26" s="2">
        <f t="shared" ref="G26:G45" si="14">VALUE(J_normdate(F26))</f>
        <v>13981226</v>
      </c>
      <c r="H26" s="175"/>
      <c r="I26" s="176">
        <v>8.1999999999999993</v>
      </c>
      <c r="J26" s="190">
        <f>j_WEEKDAY(D26,2)</f>
        <v>2</v>
      </c>
      <c r="K26" s="13">
        <f t="shared" si="9"/>
        <v>0</v>
      </c>
      <c r="L26" s="191">
        <f t="shared" si="10"/>
        <v>1</v>
      </c>
      <c r="M26" s="178">
        <v>0</v>
      </c>
      <c r="N26" s="179">
        <v>1</v>
      </c>
      <c r="O26" s="6">
        <f t="shared" si="11"/>
        <v>0</v>
      </c>
      <c r="P26" s="6">
        <f>VALUE(J_normdate(J_ADDDAY($D26,$O26,1)))</f>
        <v>13981226</v>
      </c>
      <c r="Q26" s="5">
        <f t="shared" si="12"/>
        <v>1</v>
      </c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21">
        <v>1</v>
      </c>
      <c r="IZ26" s="24">
        <f>(TEXT(K26,"[m]")/60)*VLOOKUP(IY26,'Income Person-hours'!A$2:C$5,3,FALSE)</f>
        <v>0</v>
      </c>
      <c r="JA26" s="91"/>
      <c r="JB26" s="91"/>
      <c r="JC26" s="91"/>
      <c r="JD26" s="54">
        <f>SUM((TEXT(JA26,"[M]")/60)*'Income Person-hours'!$D$3,(TEXT(JB26,"[M]")/60)*'Income Person-hours'!$D$4,(TEXT(JC26,"[M]")/60)*'Income Person-hours'!$D$5)</f>
        <v>0</v>
      </c>
    </row>
    <row r="27" spans="1:16384" s="7" customFormat="1" ht="27">
      <c r="A27" s="197">
        <v>2.11</v>
      </c>
      <c r="B27" s="186" t="s">
        <v>159</v>
      </c>
      <c r="C27" s="173" t="s">
        <v>72</v>
      </c>
      <c r="D27" s="305" t="str">
        <f>IF(OR(j_WEEKDAY(J_ADDDAY(VLOOKUP(I27,A:F,6,FALSE),H27,1),0)=6,SUMIFS(Holieday[ok],Holieday[date],J_ADDDAY(VLOOKUP(I27,A:F,6,FALSE),H27,1)))=FALSE(),J_ADDDAY(VLOOKUP(I27,A:F,6,FALSE),H27,1),IF(OR(j_WEEKDAY(J_ADDDAY(VLOOKUP(I27,A:F,6,FALSE),H27+1,1),0)=6,SUMIFS(Holieday[ok],Holieday[date],J_ADDDAY(VLOOKUP(I27,A:F,6,FALSE),H27+1,1)))=FALSE(),J_ADDDAY(VLOOKUP(I27,A:F,6,FALSE),H27+1,1),IF(OR(j_WEEKDAY(J_ADDDAY(VLOOKUP(I27,A:F,6,FALSE),H27+2,1),0)=6,SUMIFS(Holieday[ok],Holieday[date],J_ADDDAY(VLOOKUP(I27,A:F,6,FALSE),H27+2,1)))=FALSE(),J_ADDDAY(VLOOKUP(I27,A:F,6,FALSE),H27+2,1),IF(OR(j_WEEKDAY(J_ADDDAY(VLOOKUP(I27,A:F,6,FALSE),H27+3,1),0)=6,SUMIFS(Holieday[ok],Holieday[date],J_ADDDAY(VLOOKUP(I27,A:F,6,FALSE),H27+3,1)))=FALSE(),J_ADDDAY(VLOOKUP(I27,A:F,6,FALSE),H27+3,1),IF(OR(j_WEEKDAY(J_ADDDAY(VLOOKUP(I27,A:F,6,FALSE),H27+4,1),0)=6,SUMIFS(Holieday[ok],Holieday[date],J_ADDDAY(VLOOKUP(I27,A:F,6,FALSE),H27+4,1)))=FALSE(),J_ADDDAY(VLOOKUP(I27,A:F,6,FALSE),H27+4,1),J_ADDDAY(VLOOKUP(I27,A:F,6,FALSE),H27+5,1))))))</f>
        <v>1398/12/26</v>
      </c>
      <c r="E27" s="1">
        <f t="shared" ref="E27:E29" si="15">VALUE(J_normdate(D27))</f>
        <v>13981226</v>
      </c>
      <c r="F27" s="302" t="str">
        <f>IF(N27=0,J_SUBDAY(D27,1,1),IF((N27-(NETWORKDAYS.INTL(J_GregorianDate(D27,1),J_GregorianDate(J_SUBDAY(J_ADDDAY(D27,N27,1),1,1),1),16,1)))+SUMIFS(Holieday[ok],Holieday[date],CONCATENATE("&gt;","=",D27),Holieday[date],CONCATENATE("&lt;","=",J_SUBDAY(J_ADDDAY(D27,N27,1),1,1)))-SUMIFS(Holieday[Friday],Holieday[date],CONCATENATE("&gt;","=",D27),Holieday[date],CONCATENATE("&lt;","=",J_SUBDAY(J_ADDDAY(D27,N27,1),1,1)))=0,J_SUBDAY(J_ADDDAY(D27,N27,1),1,1),IF((N27+1-(NETWORKDAYS.INTL(J_GregorianDate(D27,1),J_GregorianDate(J_SUBDAY(J_ADDDAY(D27,N27+1,1),1,1),1),16,1)))+SUMIFS(Holieday[ok],Holieday[date],CONCATENATE("&gt;","=",D27),Holieday[date],CONCATENATE("&lt;","=",J_SUBDAY(J_ADDDAY(D27,N27+1,1),1,1)))-SUMIFS(Holieday[Friday],Holieday[date],CONCATENATE("&gt;","=",D27),Holieday[date],CONCATENATE("&lt;","=",J_SUBDAY(J_ADDDAY(D27,N27+1,1),1,1)))=1,J_SUBDAY(J_ADDDAY(D27,N27+1,1),1,1),IF((N27+2-(NETWORKDAYS.INTL(J_GregorianDate(D27,1),J_GregorianDate(J_SUBDAY(J_ADDDAY(D27,N27+2,1),1,1),1),16,1)))+SUMIFS(Holieday[ok],Holieday[date],CONCATENATE("&gt;","=",D27),Holieday[date],CONCATENATE("&lt;","=",J_SUBDAY(J_ADDDAY(D27,N27+2,1),1,1)))-SUMIFS(Holieday[Friday],Holieday[date],CONCATENATE("&gt;","=",D27),Holieday[date],CONCATENATE("&lt;","=",J_SUBDAY(J_ADDDAY(D27,N27+2,1),1,1)))=2,J_SUBDAY(J_ADDDAY(D27,N27+2,1),1,1),IF((N27+3-(NETWORKDAYS.INTL(J_GregorianDate(D27,1),J_GregorianDate(J_SUBDAY(J_ADDDAY(D27,N27+3,1),1,1),1),16,1)))+SUMIFS(Holieday[ok],Holieday[date],CONCATENATE("&gt;","=",D27),Holieday[date],CONCATENATE("&lt;","=",J_SUBDAY(J_ADDDAY(D27,N27+3,1),1,1)))-SUMIFS(Holieday[Friday],Holieday[date],CONCATENATE("&gt;","=",D27),Holieday[date],CONCATENATE("&lt;","=",J_SUBDAY(J_ADDDAY(D27,N27+3,1),1,1)))=3,J_SUBDAY(J_ADDDAY(D27,N27+3,1),1,1),IF((N27+4-(NETWORKDAYS.INTL(J_GregorianDate(D27,1),J_GregorianDate(J_SUBDAY(J_ADDDAY(D27,N27+4,1),1,1),1),16,1)))+SUMIFS(Holieday[ok],Holieday[date],CONCATENATE("&gt;","=",D27),Holieday[date],CONCATENATE("&lt;","=",J_SUBDAY(J_ADDDAY(D27,N27+4,1),1,1)))-SUMIFS(Holieday[Friday],Holieday[date],CONCATENATE("&gt;","=",D27),Holieday[date],CONCATENATE("&lt;","=",J_SUBDAY(J_ADDDAY(D27,N27+4,1),1,1)))=4,J_SUBDAY(J_ADDDAY(D27,N27+4,1),1,1),IF((N27+5-(NETWORKDAYS.INTL(J_GregorianDate(D27,1),J_GregorianDate(J_SUBDAY(J_ADDDAY(D27,N27+5,1),1,1),1),16,1)))+SUMIFS(Holieday[ok],Holieday[date],CONCATENATE("&gt;","=",D27),Holieday[date],CONCATENATE("&lt;","=",J_SUBDAY(J_ADDDAY(D27,N27+5,1),1,1)))-SUMIFS(Holieday[Friday],Holieday[date],CONCATENATE("&gt;","=",D27),Holieday[date],CONCATENATE("&lt;","=",J_SUBDAY(J_ADDDAY(D27,N27+5,1),1,1)))=5,J_SUBDAY(J_ADDDAY(D27,N27+5,1),1,1),J_SUBDAY(J_ADDDAY(D27,N27+6,1),1,1))))))))</f>
        <v>1398/12/26</v>
      </c>
      <c r="G27" s="2">
        <f t="shared" ref="G27:G29" si="16">VALUE(J_normdate(F27))</f>
        <v>13981226</v>
      </c>
      <c r="H27" s="175"/>
      <c r="I27" s="176">
        <v>2.9</v>
      </c>
      <c r="J27" s="190">
        <f>j_WEEKDAY(D27,2)</f>
        <v>2</v>
      </c>
      <c r="K27" s="13">
        <f t="shared" si="9"/>
        <v>0</v>
      </c>
      <c r="L27" s="191">
        <f t="shared" ref="L27:L29" si="17">J_DIFF(D27,F27)+1</f>
        <v>1</v>
      </c>
      <c r="M27" s="178">
        <v>0</v>
      </c>
      <c r="N27" s="179">
        <v>1</v>
      </c>
      <c r="O27" s="6">
        <f t="shared" ref="O27:O29" si="18">ROUNDDOWN(M27*L27,0)</f>
        <v>0</v>
      </c>
      <c r="P27" s="6">
        <f>VALUE(J_normdate(J_ADDDAY($D27,$O27,1)))</f>
        <v>13981226</v>
      </c>
      <c r="Q27" s="5">
        <f t="shared" ref="Q27:Q29" si="19">L27-O27</f>
        <v>1</v>
      </c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21"/>
      <c r="IZ27" s="24"/>
      <c r="JA27" s="91"/>
      <c r="JB27" s="91"/>
      <c r="JC27" s="91"/>
      <c r="JD27" s="54"/>
    </row>
    <row r="28" spans="1:16384" s="7" customFormat="1" ht="13.5">
      <c r="A28" s="197">
        <v>2.12</v>
      </c>
      <c r="B28" s="186" t="s">
        <v>158</v>
      </c>
      <c r="C28" s="173" t="s">
        <v>104</v>
      </c>
      <c r="D28" s="305" t="str">
        <f>IF(OR(j_WEEKDAY(J_ADDDAY(VLOOKUP(I28,A:F,6,FALSE),H28,1),0)=6,SUMIFS(Holieday[ok],Holieday[date],J_ADDDAY(VLOOKUP(I28,A:F,6,FALSE),H28,1)))=FALSE(),J_ADDDAY(VLOOKUP(I28,A:F,6,FALSE),H28,1),IF(OR(j_WEEKDAY(J_ADDDAY(VLOOKUP(I28,A:F,6,FALSE),H28+1,1),0)=6,SUMIFS(Holieday[ok],Holieday[date],J_ADDDAY(VLOOKUP(I28,A:F,6,FALSE),H28+1,1)))=FALSE(),J_ADDDAY(VLOOKUP(I28,A:F,6,FALSE),H28+1,1),IF(OR(j_WEEKDAY(J_ADDDAY(VLOOKUP(I28,A:F,6,FALSE),H28+2,1),0)=6,SUMIFS(Holieday[ok],Holieday[date],J_ADDDAY(VLOOKUP(I28,A:F,6,FALSE),H28+2,1)))=FALSE(),J_ADDDAY(VLOOKUP(I28,A:F,6,FALSE),H28+2,1),IF(OR(j_WEEKDAY(J_ADDDAY(VLOOKUP(I28,A:F,6,FALSE),H28+3,1),0)=6,SUMIFS(Holieday[ok],Holieday[date],J_ADDDAY(VLOOKUP(I28,A:F,6,FALSE),H28+3,1)))=FALSE(),J_ADDDAY(VLOOKUP(I28,A:F,6,FALSE),H28+3,1),IF(OR(j_WEEKDAY(J_ADDDAY(VLOOKUP(I28,A:F,6,FALSE),H28+4,1),0)=6,SUMIFS(Holieday[ok],Holieday[date],J_ADDDAY(VLOOKUP(I28,A:F,6,FALSE),H28+4,1)))=FALSE(),J_ADDDAY(VLOOKUP(I28,A:F,6,FALSE),H28+4,1),J_ADDDAY(VLOOKUP(I28,A:F,6,FALSE),H28+5,1))))))</f>
        <v>1398/12/26</v>
      </c>
      <c r="E28" s="1">
        <f t="shared" si="15"/>
        <v>13981226</v>
      </c>
      <c r="F28" s="302" t="str">
        <f>IF(N28=0,J_SUBDAY(D28,1,1),IF((N28-(NETWORKDAYS.INTL(J_GregorianDate(D28,1),J_GregorianDate(J_SUBDAY(J_ADDDAY(D28,N28,1),1,1),1),16,1)))+SUMIFS(Holieday[ok],Holieday[date],CONCATENATE("&gt;","=",D28),Holieday[date],CONCATENATE("&lt;","=",J_SUBDAY(J_ADDDAY(D28,N28,1),1,1)))-SUMIFS(Holieday[Friday],Holieday[date],CONCATENATE("&gt;","=",D28),Holieday[date],CONCATENATE("&lt;","=",J_SUBDAY(J_ADDDAY(D28,N28,1),1,1)))=0,J_SUBDAY(J_ADDDAY(D28,N28,1),1,1),IF((N28+1-(NETWORKDAYS.INTL(J_GregorianDate(D28,1),J_GregorianDate(J_SUBDAY(J_ADDDAY(D28,N28+1,1),1,1),1),16,1)))+SUMIFS(Holieday[ok],Holieday[date],CONCATENATE("&gt;","=",D28),Holieday[date],CONCATENATE("&lt;","=",J_SUBDAY(J_ADDDAY(D28,N28+1,1),1,1)))-SUMIFS(Holieday[Friday],Holieday[date],CONCATENATE("&gt;","=",D28),Holieday[date],CONCATENATE("&lt;","=",J_SUBDAY(J_ADDDAY(D28,N28+1,1),1,1)))=1,J_SUBDAY(J_ADDDAY(D28,N28+1,1),1,1),IF((N28+2-(NETWORKDAYS.INTL(J_GregorianDate(D28,1),J_GregorianDate(J_SUBDAY(J_ADDDAY(D28,N28+2,1),1,1),1),16,1)))+SUMIFS(Holieday[ok],Holieday[date],CONCATENATE("&gt;","=",D28),Holieday[date],CONCATENATE("&lt;","=",J_SUBDAY(J_ADDDAY(D28,N28+2,1),1,1)))-SUMIFS(Holieday[Friday],Holieday[date],CONCATENATE("&gt;","=",D28),Holieday[date],CONCATENATE("&lt;","=",J_SUBDAY(J_ADDDAY(D28,N28+2,1),1,1)))=2,J_SUBDAY(J_ADDDAY(D28,N28+2,1),1,1),IF((N28+3-(NETWORKDAYS.INTL(J_GregorianDate(D28,1),J_GregorianDate(J_SUBDAY(J_ADDDAY(D28,N28+3,1),1,1),1),16,1)))+SUMIFS(Holieday[ok],Holieday[date],CONCATENATE("&gt;","=",D28),Holieday[date],CONCATENATE("&lt;","=",J_SUBDAY(J_ADDDAY(D28,N28+3,1),1,1)))-SUMIFS(Holieday[Friday],Holieday[date],CONCATENATE("&gt;","=",D28),Holieday[date],CONCATENATE("&lt;","=",J_SUBDAY(J_ADDDAY(D28,N28+3,1),1,1)))=3,J_SUBDAY(J_ADDDAY(D28,N28+3,1),1,1),IF((N28+4-(NETWORKDAYS.INTL(J_GregorianDate(D28,1),J_GregorianDate(J_SUBDAY(J_ADDDAY(D28,N28+4,1),1,1),1),16,1)))+SUMIFS(Holieday[ok],Holieday[date],CONCATENATE("&gt;","=",D28),Holieday[date],CONCATENATE("&lt;","=",J_SUBDAY(J_ADDDAY(D28,N28+4,1),1,1)))-SUMIFS(Holieday[Friday],Holieday[date],CONCATENATE("&gt;","=",D28),Holieday[date],CONCATENATE("&lt;","=",J_SUBDAY(J_ADDDAY(D28,N28+4,1),1,1)))=4,J_SUBDAY(J_ADDDAY(D28,N28+4,1),1,1),IF((N28+5-(NETWORKDAYS.INTL(J_GregorianDate(D28,1),J_GregorianDate(J_SUBDAY(J_ADDDAY(D28,N28+5,1),1,1),1),16,1)))+SUMIFS(Holieday[ok],Holieday[date],CONCATENATE("&gt;","=",D28),Holieday[date],CONCATENATE("&lt;","=",J_SUBDAY(J_ADDDAY(D28,N28+5,1),1,1)))-SUMIFS(Holieday[Friday],Holieday[date],CONCATENATE("&gt;","=",D28),Holieday[date],CONCATENATE("&lt;","=",J_SUBDAY(J_ADDDAY(D28,N28+5,1),1,1)))=5,J_SUBDAY(J_ADDDAY(D28,N28+5,1),1,1),J_SUBDAY(J_ADDDAY(D28,N28+6,1),1,1))))))))</f>
        <v>1398/12/27</v>
      </c>
      <c r="G28" s="2">
        <f t="shared" si="16"/>
        <v>13981227</v>
      </c>
      <c r="H28" s="175"/>
      <c r="I28" s="176">
        <v>2.11</v>
      </c>
      <c r="J28" s="190">
        <f>j_WEEKDAY(D28,2)</f>
        <v>2</v>
      </c>
      <c r="K28" s="13">
        <f t="shared" si="9"/>
        <v>0</v>
      </c>
      <c r="L28" s="191">
        <f t="shared" si="17"/>
        <v>2</v>
      </c>
      <c r="M28" s="178">
        <v>0</v>
      </c>
      <c r="N28" s="179">
        <v>2</v>
      </c>
      <c r="O28" s="6">
        <f t="shared" si="18"/>
        <v>0</v>
      </c>
      <c r="P28" s="6">
        <f>VALUE(J_normdate(J_ADDDAY($D28,$O28,1)))</f>
        <v>13981226</v>
      </c>
      <c r="Q28" s="5">
        <f t="shared" si="19"/>
        <v>2</v>
      </c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21"/>
      <c r="IZ28" s="24"/>
      <c r="JA28" s="91"/>
      <c r="JB28" s="91"/>
      <c r="JC28" s="91"/>
      <c r="JD28" s="54"/>
    </row>
    <row r="29" spans="1:16384" s="7" customFormat="1" ht="13.5">
      <c r="A29" s="197">
        <v>2.13</v>
      </c>
      <c r="B29" s="186" t="s">
        <v>160</v>
      </c>
      <c r="C29" s="173" t="s">
        <v>103</v>
      </c>
      <c r="D29" s="305" t="str">
        <f>IF(OR(j_WEEKDAY(J_ADDDAY(VLOOKUP(I29,A:F,6,FALSE),H29,1),0)=6,SUMIFS(Holieday[ok],Holieday[date],J_ADDDAY(VLOOKUP(I29,A:F,6,FALSE),H29,1)))=FALSE(),J_ADDDAY(VLOOKUP(I29,A:F,6,FALSE),H29,1),IF(OR(j_WEEKDAY(J_ADDDAY(VLOOKUP(I29,A:F,6,FALSE),H29+1,1),0)=6,SUMIFS(Holieday[ok],Holieday[date],J_ADDDAY(VLOOKUP(I29,A:F,6,FALSE),H29+1,1)))=FALSE(),J_ADDDAY(VLOOKUP(I29,A:F,6,FALSE),H29+1,1),IF(OR(j_WEEKDAY(J_ADDDAY(VLOOKUP(I29,A:F,6,FALSE),H29+2,1),0)=6,SUMIFS(Holieday[ok],Holieday[date],J_ADDDAY(VLOOKUP(I29,A:F,6,FALSE),H29+2,1)))=FALSE(),J_ADDDAY(VLOOKUP(I29,A:F,6,FALSE),H29+2,1),IF(OR(j_WEEKDAY(J_ADDDAY(VLOOKUP(I29,A:F,6,FALSE),H29+3,1),0)=6,SUMIFS(Holieday[ok],Holieday[date],J_ADDDAY(VLOOKUP(I29,A:F,6,FALSE),H29+3,1)))=FALSE(),J_ADDDAY(VLOOKUP(I29,A:F,6,FALSE),H29+3,1),IF(OR(j_WEEKDAY(J_ADDDAY(VLOOKUP(I29,A:F,6,FALSE),H29+4,1),0)=6,SUMIFS(Holieday[ok],Holieday[date],J_ADDDAY(VLOOKUP(I29,A:F,6,FALSE),H29+4,1)))=FALSE(),J_ADDDAY(VLOOKUP(I29,A:F,6,FALSE),H29+4,1),J_ADDDAY(VLOOKUP(I29,A:F,6,FALSE),H29+5,1))))))</f>
        <v>1398/12/27</v>
      </c>
      <c r="E29" s="1">
        <f t="shared" si="15"/>
        <v>13981227</v>
      </c>
      <c r="F29" s="302" t="str">
        <f>IF(N29=0,J_SUBDAY(D29,1,1),IF((N29-(NETWORKDAYS.INTL(J_GregorianDate(D29,1),J_GregorianDate(J_SUBDAY(J_ADDDAY(D29,N29,1),1,1),1),16,1)))+SUMIFS(Holieday[ok],Holieday[date],CONCATENATE("&gt;","=",D29),Holieday[date],CONCATENATE("&lt;","=",J_SUBDAY(J_ADDDAY(D29,N29,1),1,1)))-SUMIFS(Holieday[Friday],Holieday[date],CONCATENATE("&gt;","=",D29),Holieday[date],CONCATENATE("&lt;","=",J_SUBDAY(J_ADDDAY(D29,N29,1),1,1)))=0,J_SUBDAY(J_ADDDAY(D29,N29,1),1,1),IF((N29+1-(NETWORKDAYS.INTL(J_GregorianDate(D29,1),J_GregorianDate(J_SUBDAY(J_ADDDAY(D29,N29+1,1),1,1),1),16,1)))+SUMIFS(Holieday[ok],Holieday[date],CONCATENATE("&gt;","=",D29),Holieday[date],CONCATENATE("&lt;","=",J_SUBDAY(J_ADDDAY(D29,N29+1,1),1,1)))-SUMIFS(Holieday[Friday],Holieday[date],CONCATENATE("&gt;","=",D29),Holieday[date],CONCATENATE("&lt;","=",J_SUBDAY(J_ADDDAY(D29,N29+1,1),1,1)))=1,J_SUBDAY(J_ADDDAY(D29,N29+1,1),1,1),IF((N29+2-(NETWORKDAYS.INTL(J_GregorianDate(D29,1),J_GregorianDate(J_SUBDAY(J_ADDDAY(D29,N29+2,1),1,1),1),16,1)))+SUMIFS(Holieday[ok],Holieday[date],CONCATENATE("&gt;","=",D29),Holieday[date],CONCATENATE("&lt;","=",J_SUBDAY(J_ADDDAY(D29,N29+2,1),1,1)))-SUMIFS(Holieday[Friday],Holieday[date],CONCATENATE("&gt;","=",D29),Holieday[date],CONCATENATE("&lt;","=",J_SUBDAY(J_ADDDAY(D29,N29+2,1),1,1)))=2,J_SUBDAY(J_ADDDAY(D29,N29+2,1),1,1),IF((N29+3-(NETWORKDAYS.INTL(J_GregorianDate(D29,1),J_GregorianDate(J_SUBDAY(J_ADDDAY(D29,N29+3,1),1,1),1),16,1)))+SUMIFS(Holieday[ok],Holieday[date],CONCATENATE("&gt;","=",D29),Holieday[date],CONCATENATE("&lt;","=",J_SUBDAY(J_ADDDAY(D29,N29+3,1),1,1)))-SUMIFS(Holieday[Friday],Holieday[date],CONCATENATE("&gt;","=",D29),Holieday[date],CONCATENATE("&lt;","=",J_SUBDAY(J_ADDDAY(D29,N29+3,1),1,1)))=3,J_SUBDAY(J_ADDDAY(D29,N29+3,1),1,1),IF((N29+4-(NETWORKDAYS.INTL(J_GregorianDate(D29,1),J_GregorianDate(J_SUBDAY(J_ADDDAY(D29,N29+4,1),1,1),1),16,1)))+SUMIFS(Holieday[ok],Holieday[date],CONCATENATE("&gt;","=",D29),Holieday[date],CONCATENATE("&lt;","=",J_SUBDAY(J_ADDDAY(D29,N29+4,1),1,1)))-SUMIFS(Holieday[Friday],Holieday[date],CONCATENATE("&gt;","=",D29),Holieday[date],CONCATENATE("&lt;","=",J_SUBDAY(J_ADDDAY(D29,N29+4,1),1,1)))=4,J_SUBDAY(J_ADDDAY(D29,N29+4,1),1,1),IF((N29+5-(NETWORKDAYS.INTL(J_GregorianDate(D29,1),J_GregorianDate(J_SUBDAY(J_ADDDAY(D29,N29+5,1),1,1),1),16,1)))+SUMIFS(Holieday[ok],Holieday[date],CONCATENATE("&gt;","=",D29),Holieday[date],CONCATENATE("&lt;","=",J_SUBDAY(J_ADDDAY(D29,N29+5,1),1,1)))-SUMIFS(Holieday[Friday],Holieday[date],CONCATENATE("&gt;","=",D29),Holieday[date],CONCATENATE("&lt;","=",J_SUBDAY(J_ADDDAY(D29,N29+5,1),1,1)))=5,J_SUBDAY(J_ADDDAY(D29,N29+5,1),1,1),J_SUBDAY(J_ADDDAY(D29,N29+6,1),1,1))))))))</f>
        <v>1399/01/02</v>
      </c>
      <c r="G29" s="2">
        <f t="shared" si="16"/>
        <v>13990102</v>
      </c>
      <c r="H29" s="175"/>
      <c r="I29" s="176">
        <v>2.12</v>
      </c>
      <c r="J29" s="190">
        <f>j_WEEKDAY(D29,2)</f>
        <v>3</v>
      </c>
      <c r="K29" s="13">
        <f t="shared" si="9"/>
        <v>0</v>
      </c>
      <c r="L29" s="191">
        <f t="shared" si="17"/>
        <v>5</v>
      </c>
      <c r="M29" s="178">
        <v>0</v>
      </c>
      <c r="N29" s="179">
        <v>3</v>
      </c>
      <c r="O29" s="6">
        <f t="shared" si="18"/>
        <v>0</v>
      </c>
      <c r="P29" s="6">
        <f>VALUE(J_normdate(J_ADDDAY($D29,$O29,1)))</f>
        <v>13981227</v>
      </c>
      <c r="Q29" s="5">
        <f t="shared" si="19"/>
        <v>5</v>
      </c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21"/>
      <c r="IZ29" s="24"/>
      <c r="JA29" s="91"/>
      <c r="JB29" s="91"/>
      <c r="JC29" s="91"/>
      <c r="JD29" s="54"/>
    </row>
    <row r="30" spans="1:16384" s="187" customFormat="1" ht="13.5">
      <c r="A30" s="270">
        <v>3</v>
      </c>
      <c r="B30" s="271" t="s">
        <v>126</v>
      </c>
      <c r="C30" s="272"/>
      <c r="D30" s="301" t="str">
        <f>FDate(MIN(E31:E50))</f>
        <v>1398/10/01</v>
      </c>
      <c r="E30" s="136">
        <f t="shared" si="13"/>
        <v>13981001</v>
      </c>
      <c r="F30" s="300" t="str">
        <f>J_SUBDAY(J_ADDDAY(D30,L30,1),1,1)</f>
        <v>1398/11/27</v>
      </c>
      <c r="G30" s="139">
        <f t="shared" si="14"/>
        <v>13981127</v>
      </c>
      <c r="H30" s="274"/>
      <c r="I30" s="275"/>
      <c r="J30" s="273">
        <f>j_WEEKDAY(D30,2)</f>
        <v>1</v>
      </c>
      <c r="K30" s="140">
        <f>SUM(K31:K50)</f>
        <v>0</v>
      </c>
      <c r="L30" s="276">
        <f>J_DIFF(D30,FDate(MAX(G31:G50)))+1</f>
        <v>57</v>
      </c>
      <c r="M30" s="277">
        <f>IF(SUM(L31:L50)&lt;&gt;0,SUMPRODUCT(L31:L50,M31:M50)/SUM(L31:L50),0)</f>
        <v>0.40468749999999998</v>
      </c>
      <c r="N30" s="278">
        <f>IF(F30&gt;=D30,NETWORKDAYS.INTL(J_GregorianDate(D30,1),J_GregorianDate(F30,1),16,1)-SUMIFS(Holieday[ok],Holieday[date],CONCATENATE("&gt;","=",D30),Holieday[date],CONCATENATE("&lt;","=",F30))+SUMIFS(Holieday[Friday],Holieday[date],CONCATENATE("&gt;","=",D30),Holieday[date],CONCATENATE("&lt;","=",F30)),0)</f>
        <v>47</v>
      </c>
      <c r="O30" s="135">
        <f t="shared" ref="O30:O45" si="20">ROUNDDOWN(M30*L30,0)</f>
        <v>23</v>
      </c>
      <c r="P30" s="138">
        <f>VALUE(J_normdate(J_ADDDAY($D30,$O30,1)))</f>
        <v>13981024</v>
      </c>
      <c r="Q30" s="137">
        <f>L30-O30</f>
        <v>34</v>
      </c>
      <c r="R30" s="279"/>
      <c r="S30" s="279"/>
      <c r="T30" s="279"/>
      <c r="U30" s="279"/>
      <c r="V30" s="279"/>
      <c r="W30" s="279"/>
      <c r="X30" s="279"/>
      <c r="Y30" s="279"/>
      <c r="Z30" s="279"/>
      <c r="AA30" s="279"/>
      <c r="AB30" s="279"/>
      <c r="AC30" s="279"/>
      <c r="AD30" s="279"/>
      <c r="AE30" s="279"/>
      <c r="AF30" s="279"/>
      <c r="AG30" s="279"/>
      <c r="AH30" s="279"/>
      <c r="AI30" s="279"/>
      <c r="AJ30" s="279"/>
      <c r="AK30" s="279"/>
      <c r="AL30" s="279"/>
      <c r="AM30" s="279"/>
      <c r="AN30" s="279"/>
      <c r="AO30" s="279"/>
      <c r="AP30" s="279"/>
      <c r="AQ30" s="279"/>
      <c r="AR30" s="279"/>
      <c r="AS30" s="279"/>
      <c r="AT30" s="279"/>
      <c r="AU30" s="279"/>
      <c r="AV30" s="279"/>
      <c r="AW30" s="279"/>
      <c r="AX30" s="279"/>
      <c r="AY30" s="279"/>
      <c r="AZ30" s="279"/>
      <c r="BA30" s="279"/>
      <c r="BB30" s="279"/>
      <c r="BC30" s="279"/>
      <c r="BD30" s="279"/>
      <c r="BE30" s="279"/>
      <c r="BF30" s="279"/>
      <c r="BG30" s="279"/>
      <c r="BH30" s="279"/>
      <c r="BI30" s="279"/>
      <c r="BJ30" s="279"/>
      <c r="BK30" s="279"/>
      <c r="BL30" s="279"/>
      <c r="BM30" s="279"/>
      <c r="BN30" s="279"/>
      <c r="BO30" s="279"/>
      <c r="BP30" s="279"/>
      <c r="BQ30" s="279"/>
      <c r="BR30" s="279"/>
      <c r="BS30" s="279"/>
      <c r="BT30" s="279"/>
      <c r="BU30" s="279"/>
      <c r="BV30" s="279"/>
      <c r="BW30" s="279"/>
      <c r="BX30" s="279"/>
      <c r="BY30" s="279"/>
      <c r="BZ30" s="279"/>
      <c r="CA30" s="279"/>
      <c r="CB30" s="279"/>
      <c r="CC30" s="279"/>
      <c r="CD30" s="279"/>
      <c r="CE30" s="279"/>
      <c r="CF30" s="279"/>
      <c r="CG30" s="279"/>
      <c r="CH30" s="279"/>
      <c r="CI30" s="279"/>
      <c r="CJ30" s="279"/>
      <c r="CK30" s="279"/>
      <c r="CL30" s="279"/>
      <c r="CM30" s="279"/>
      <c r="CN30" s="279"/>
      <c r="CO30" s="279"/>
      <c r="CP30" s="279"/>
      <c r="CQ30" s="279"/>
      <c r="CR30" s="279"/>
      <c r="CS30" s="279"/>
      <c r="CT30" s="279"/>
      <c r="CU30" s="279"/>
      <c r="CV30" s="279"/>
      <c r="CW30" s="279"/>
      <c r="CX30" s="279"/>
      <c r="CY30" s="279"/>
      <c r="CZ30" s="279"/>
      <c r="DA30" s="279"/>
      <c r="DB30" s="279"/>
      <c r="DC30" s="279"/>
      <c r="DD30" s="279"/>
      <c r="DE30" s="279"/>
      <c r="DF30" s="279"/>
      <c r="DG30" s="279"/>
      <c r="DH30" s="279"/>
      <c r="DI30" s="279"/>
      <c r="DJ30" s="279"/>
      <c r="DK30" s="279"/>
      <c r="DL30" s="279"/>
      <c r="DM30" s="279"/>
      <c r="DN30" s="279"/>
      <c r="DO30" s="279"/>
      <c r="DP30" s="279"/>
      <c r="DQ30" s="279"/>
      <c r="DR30" s="279"/>
      <c r="DS30" s="279"/>
      <c r="DT30" s="279"/>
      <c r="DU30" s="279"/>
      <c r="DV30" s="279"/>
      <c r="DW30" s="279"/>
      <c r="DX30" s="279"/>
      <c r="DY30" s="279"/>
      <c r="DZ30" s="279"/>
      <c r="EA30" s="279"/>
      <c r="EB30" s="279"/>
      <c r="EC30" s="279"/>
      <c r="ED30" s="279"/>
      <c r="EE30" s="279"/>
      <c r="EF30" s="279"/>
      <c r="EG30" s="279"/>
      <c r="EH30" s="279"/>
      <c r="EI30" s="279"/>
      <c r="EJ30" s="279"/>
      <c r="EK30" s="279"/>
      <c r="EL30" s="279"/>
      <c r="EM30" s="279"/>
      <c r="EN30" s="279"/>
      <c r="EO30" s="279"/>
      <c r="EP30" s="279"/>
      <c r="EQ30" s="279"/>
      <c r="ER30" s="279"/>
      <c r="ES30" s="279"/>
      <c r="ET30" s="279"/>
      <c r="EU30" s="279"/>
      <c r="EV30" s="279"/>
      <c r="EW30" s="279"/>
      <c r="EX30" s="279"/>
      <c r="EY30" s="279"/>
      <c r="EZ30" s="279"/>
      <c r="FA30" s="279"/>
      <c r="FB30" s="279"/>
      <c r="FC30" s="279"/>
      <c r="FD30" s="279"/>
      <c r="FE30" s="279"/>
      <c r="FF30" s="279"/>
      <c r="FG30" s="279"/>
      <c r="FH30" s="279"/>
      <c r="FI30" s="279"/>
      <c r="FJ30" s="279"/>
      <c r="FK30" s="279"/>
      <c r="FL30" s="279"/>
      <c r="FM30" s="279"/>
      <c r="FN30" s="279"/>
      <c r="FO30" s="279"/>
      <c r="FP30" s="279"/>
      <c r="FQ30" s="279"/>
      <c r="FR30" s="279"/>
      <c r="FS30" s="279"/>
      <c r="FT30" s="279"/>
      <c r="FU30" s="279"/>
      <c r="FV30" s="279"/>
      <c r="FW30" s="279"/>
      <c r="FX30" s="279"/>
      <c r="FY30" s="279"/>
      <c r="FZ30" s="279"/>
      <c r="GA30" s="279"/>
      <c r="GB30" s="279"/>
      <c r="GC30" s="279"/>
      <c r="GD30" s="279"/>
      <c r="GE30" s="279"/>
      <c r="GF30" s="279"/>
      <c r="GG30" s="279"/>
      <c r="GH30" s="279"/>
      <c r="GI30" s="279"/>
      <c r="GJ30" s="279"/>
      <c r="GK30" s="279"/>
      <c r="GL30" s="279"/>
      <c r="GM30" s="279"/>
      <c r="GN30" s="279"/>
      <c r="GO30" s="279"/>
      <c r="GP30" s="279"/>
      <c r="GQ30" s="279"/>
      <c r="GR30" s="279"/>
      <c r="GS30" s="279"/>
      <c r="GT30" s="279"/>
      <c r="GU30" s="279"/>
      <c r="GV30" s="279"/>
      <c r="GW30" s="279"/>
      <c r="GX30" s="279"/>
      <c r="GY30" s="279"/>
      <c r="GZ30" s="279"/>
      <c r="HA30" s="279"/>
      <c r="HB30" s="279"/>
      <c r="HC30" s="279"/>
      <c r="HD30" s="279"/>
      <c r="HE30" s="279"/>
      <c r="HF30" s="279"/>
      <c r="HG30" s="279"/>
      <c r="HH30" s="279"/>
      <c r="HI30" s="279"/>
      <c r="HJ30" s="279"/>
      <c r="HK30" s="279"/>
      <c r="HL30" s="279"/>
      <c r="HM30" s="279"/>
      <c r="HN30" s="279"/>
      <c r="HO30" s="279"/>
      <c r="HP30" s="279"/>
      <c r="HQ30" s="279"/>
      <c r="HR30" s="279"/>
      <c r="HS30" s="279"/>
      <c r="HT30" s="279"/>
      <c r="HU30" s="279"/>
      <c r="HV30" s="279"/>
      <c r="HW30" s="279"/>
      <c r="HX30" s="279"/>
      <c r="HY30" s="279"/>
      <c r="HZ30" s="279"/>
      <c r="IA30" s="279"/>
      <c r="IB30" s="279"/>
      <c r="IC30" s="279"/>
      <c r="ID30" s="279"/>
      <c r="IE30" s="279"/>
      <c r="IF30" s="279"/>
      <c r="IG30" s="279"/>
      <c r="IH30" s="279"/>
      <c r="II30" s="279"/>
      <c r="IJ30" s="279"/>
      <c r="IK30" s="279"/>
      <c r="IL30" s="279"/>
      <c r="IM30" s="279"/>
      <c r="IN30" s="279"/>
      <c r="IO30" s="279"/>
      <c r="IP30" s="279"/>
      <c r="IQ30" s="279"/>
      <c r="IR30" s="279"/>
      <c r="IS30" s="279"/>
      <c r="IT30" s="279"/>
      <c r="IU30" s="279"/>
      <c r="IV30" s="279"/>
      <c r="IW30" s="279"/>
      <c r="IX30" s="279"/>
      <c r="IY30" s="280"/>
      <c r="IZ30" s="281"/>
      <c r="JA30" s="282"/>
      <c r="JB30" s="282"/>
      <c r="JC30" s="282"/>
      <c r="JD30" s="283"/>
      <c r="JE30" s="279"/>
      <c r="JF30" s="279"/>
      <c r="JG30" s="279"/>
      <c r="JH30" s="279"/>
      <c r="JI30" s="279"/>
      <c r="JJ30" s="279"/>
      <c r="JK30" s="279"/>
      <c r="JL30" s="279"/>
      <c r="JM30" s="279"/>
      <c r="JN30" s="279"/>
      <c r="JO30" s="279"/>
      <c r="JP30" s="279"/>
      <c r="JQ30" s="279"/>
      <c r="JR30" s="279"/>
      <c r="JS30" s="279"/>
      <c r="JT30" s="279"/>
      <c r="JU30" s="279"/>
      <c r="JV30" s="279"/>
      <c r="JW30" s="279"/>
      <c r="JX30" s="279"/>
      <c r="JY30" s="279"/>
      <c r="JZ30" s="279"/>
      <c r="KA30" s="279"/>
      <c r="KB30" s="279"/>
      <c r="KC30" s="279"/>
      <c r="KD30" s="279"/>
      <c r="KE30" s="279"/>
      <c r="KF30" s="279"/>
      <c r="KG30" s="279"/>
      <c r="KH30" s="279"/>
      <c r="KI30" s="279"/>
      <c r="KJ30" s="279"/>
      <c r="KK30" s="279"/>
      <c r="KL30" s="279"/>
      <c r="KM30" s="279"/>
      <c r="KN30" s="279"/>
      <c r="KO30" s="279"/>
      <c r="KP30" s="279"/>
      <c r="KQ30" s="279"/>
      <c r="KR30" s="279"/>
      <c r="KS30" s="279"/>
      <c r="KT30" s="279"/>
      <c r="KU30" s="279"/>
      <c r="KV30" s="279"/>
      <c r="KW30" s="279"/>
      <c r="KX30" s="279"/>
      <c r="KY30" s="279"/>
      <c r="KZ30" s="279"/>
      <c r="LA30" s="279"/>
      <c r="LB30" s="279"/>
      <c r="LC30" s="279"/>
      <c r="LD30" s="279"/>
      <c r="LE30" s="279"/>
      <c r="LF30" s="279"/>
      <c r="LG30" s="279"/>
      <c r="LH30" s="279"/>
      <c r="LI30" s="279"/>
      <c r="LJ30" s="279"/>
      <c r="LK30" s="279"/>
      <c r="LL30" s="279"/>
      <c r="LM30" s="279"/>
      <c r="LN30" s="279"/>
      <c r="LO30" s="279"/>
      <c r="LP30" s="279"/>
      <c r="LQ30" s="279"/>
      <c r="LR30" s="279"/>
      <c r="LS30" s="279"/>
      <c r="LT30" s="279"/>
      <c r="LU30" s="279"/>
      <c r="LV30" s="279"/>
      <c r="LW30" s="279"/>
      <c r="LX30" s="279"/>
      <c r="LY30" s="279"/>
      <c r="LZ30" s="279"/>
      <c r="MA30" s="279"/>
      <c r="MB30" s="279"/>
      <c r="MC30" s="279"/>
      <c r="MD30" s="279"/>
      <c r="ME30" s="279"/>
      <c r="MF30" s="279"/>
      <c r="MG30" s="279"/>
      <c r="MH30" s="279"/>
      <c r="MI30" s="279"/>
      <c r="MJ30" s="279"/>
      <c r="MK30" s="279"/>
      <c r="ML30" s="279"/>
      <c r="MM30" s="279"/>
      <c r="MN30" s="279"/>
      <c r="MO30" s="279"/>
      <c r="MP30" s="279"/>
      <c r="MQ30" s="279"/>
      <c r="MR30" s="279"/>
      <c r="MS30" s="279"/>
      <c r="MT30" s="279"/>
      <c r="MU30" s="279"/>
      <c r="MV30" s="279"/>
      <c r="MW30" s="279"/>
      <c r="MX30" s="279"/>
      <c r="MY30" s="279"/>
      <c r="MZ30" s="279"/>
      <c r="NA30" s="279"/>
      <c r="NB30" s="279"/>
      <c r="NC30" s="279"/>
      <c r="ND30" s="279"/>
      <c r="NE30" s="279"/>
      <c r="NF30" s="279"/>
      <c r="NG30" s="279"/>
      <c r="NH30" s="279"/>
      <c r="NI30" s="279"/>
      <c r="NJ30" s="279"/>
      <c r="NK30" s="279"/>
      <c r="NL30" s="279"/>
      <c r="NM30" s="279"/>
      <c r="NN30" s="279"/>
      <c r="NO30" s="279"/>
      <c r="NP30" s="279"/>
      <c r="NQ30" s="279"/>
      <c r="NR30" s="279"/>
      <c r="NS30" s="279"/>
      <c r="NT30" s="279"/>
      <c r="NU30" s="279"/>
      <c r="NV30" s="279"/>
      <c r="NW30" s="279"/>
      <c r="NX30" s="279"/>
      <c r="NY30" s="279"/>
      <c r="NZ30" s="279"/>
      <c r="OA30" s="279"/>
      <c r="OB30" s="279"/>
      <c r="OC30" s="279"/>
      <c r="OD30" s="279"/>
      <c r="OE30" s="279"/>
      <c r="OF30" s="279"/>
      <c r="OG30" s="279"/>
      <c r="OH30" s="279"/>
      <c r="OI30" s="279"/>
      <c r="OJ30" s="279"/>
      <c r="OK30" s="279"/>
      <c r="OL30" s="279"/>
      <c r="OM30" s="279"/>
      <c r="ON30" s="279"/>
      <c r="OO30" s="279"/>
      <c r="OP30" s="279"/>
      <c r="OQ30" s="279"/>
      <c r="OR30" s="279"/>
      <c r="OS30" s="279"/>
      <c r="OT30" s="279"/>
      <c r="OU30" s="279"/>
      <c r="OV30" s="279"/>
      <c r="OW30" s="279"/>
      <c r="OX30" s="279"/>
      <c r="OY30" s="279"/>
      <c r="OZ30" s="279"/>
      <c r="PA30" s="279"/>
      <c r="PB30" s="279"/>
      <c r="PC30" s="279"/>
      <c r="PD30" s="279"/>
      <c r="PE30" s="279"/>
      <c r="PF30" s="279"/>
      <c r="PG30" s="279"/>
      <c r="PH30" s="279"/>
      <c r="PI30" s="279"/>
      <c r="PJ30" s="279"/>
      <c r="PK30" s="279"/>
      <c r="PL30" s="279"/>
      <c r="PM30" s="279"/>
      <c r="PN30" s="279"/>
      <c r="PO30" s="279"/>
      <c r="PP30" s="279"/>
      <c r="PQ30" s="279"/>
      <c r="PR30" s="279"/>
      <c r="PS30" s="279"/>
      <c r="PT30" s="279"/>
      <c r="PU30" s="279"/>
      <c r="PV30" s="279"/>
      <c r="PW30" s="279"/>
      <c r="PX30" s="279"/>
      <c r="PY30" s="279"/>
      <c r="PZ30" s="279"/>
      <c r="QA30" s="279"/>
      <c r="QB30" s="279"/>
      <c r="QC30" s="279"/>
      <c r="QD30" s="279"/>
      <c r="QE30" s="279"/>
      <c r="QF30" s="279"/>
      <c r="QG30" s="279"/>
      <c r="QH30" s="279"/>
      <c r="QI30" s="279"/>
      <c r="QJ30" s="279"/>
      <c r="QK30" s="279"/>
      <c r="QL30" s="279"/>
      <c r="QM30" s="279"/>
      <c r="QN30" s="279"/>
      <c r="QO30" s="279"/>
      <c r="QP30" s="279"/>
      <c r="QQ30" s="279"/>
      <c r="QR30" s="279"/>
      <c r="QS30" s="279"/>
      <c r="QT30" s="279"/>
      <c r="QU30" s="279"/>
      <c r="QV30" s="279"/>
      <c r="QW30" s="279"/>
      <c r="QX30" s="279"/>
      <c r="QY30" s="279"/>
      <c r="QZ30" s="279"/>
      <c r="RA30" s="279"/>
      <c r="RB30" s="279"/>
      <c r="RC30" s="279"/>
      <c r="RD30" s="279"/>
      <c r="RE30" s="279"/>
      <c r="RF30" s="279"/>
      <c r="RG30" s="279"/>
      <c r="RH30" s="279"/>
      <c r="RI30" s="279"/>
      <c r="RJ30" s="279"/>
      <c r="RK30" s="279"/>
      <c r="RL30" s="279"/>
      <c r="RM30" s="279"/>
      <c r="RN30" s="279"/>
      <c r="RO30" s="279"/>
      <c r="RP30" s="279"/>
      <c r="RQ30" s="279"/>
      <c r="RR30" s="279"/>
      <c r="RS30" s="279"/>
      <c r="RT30" s="279"/>
      <c r="RU30" s="279"/>
      <c r="RV30" s="279"/>
      <c r="RW30" s="279"/>
      <c r="RX30" s="279"/>
      <c r="RY30" s="279"/>
      <c r="RZ30" s="279"/>
      <c r="SA30" s="279"/>
      <c r="SB30" s="279"/>
      <c r="SC30" s="279"/>
      <c r="SD30" s="279"/>
      <c r="SE30" s="279"/>
      <c r="SF30" s="279"/>
      <c r="SG30" s="279"/>
      <c r="SH30" s="279"/>
      <c r="SI30" s="279"/>
      <c r="SJ30" s="279"/>
      <c r="SK30" s="279"/>
      <c r="SL30" s="279"/>
      <c r="SM30" s="279"/>
      <c r="SN30" s="279"/>
      <c r="SO30" s="279"/>
      <c r="SP30" s="279"/>
      <c r="SQ30" s="279"/>
      <c r="SR30" s="279"/>
      <c r="SS30" s="279"/>
      <c r="ST30" s="279"/>
      <c r="SU30" s="279"/>
      <c r="SV30" s="279"/>
      <c r="SW30" s="279"/>
      <c r="SX30" s="279"/>
      <c r="SY30" s="279"/>
      <c r="SZ30" s="279"/>
      <c r="TA30" s="279"/>
      <c r="TB30" s="279"/>
      <c r="TC30" s="279"/>
      <c r="TD30" s="279"/>
      <c r="TE30" s="279"/>
      <c r="TF30" s="279"/>
      <c r="TG30" s="279"/>
      <c r="TH30" s="279"/>
      <c r="TI30" s="279"/>
      <c r="TJ30" s="279"/>
      <c r="TK30" s="279"/>
      <c r="TL30" s="279"/>
      <c r="TM30" s="279"/>
      <c r="TN30" s="279"/>
      <c r="TO30" s="279"/>
      <c r="TP30" s="279"/>
      <c r="TQ30" s="279"/>
      <c r="TR30" s="279"/>
      <c r="TS30" s="279"/>
      <c r="TT30" s="279"/>
      <c r="TU30" s="279"/>
      <c r="TV30" s="279"/>
      <c r="TW30" s="279"/>
      <c r="TX30" s="279"/>
      <c r="TY30" s="279"/>
      <c r="TZ30" s="279"/>
      <c r="UA30" s="279"/>
      <c r="UB30" s="279"/>
      <c r="UC30" s="279"/>
      <c r="UD30" s="279"/>
      <c r="UE30" s="279"/>
      <c r="UF30" s="279"/>
      <c r="UG30" s="279"/>
      <c r="UH30" s="279"/>
      <c r="UI30" s="279"/>
      <c r="UJ30" s="279"/>
      <c r="UK30" s="279"/>
      <c r="UL30" s="279"/>
      <c r="UM30" s="279"/>
      <c r="UN30" s="279"/>
      <c r="UO30" s="279"/>
      <c r="UP30" s="279"/>
      <c r="UQ30" s="279"/>
      <c r="UR30" s="279"/>
      <c r="US30" s="279"/>
      <c r="UT30" s="279"/>
      <c r="UU30" s="279"/>
      <c r="UV30" s="279"/>
      <c r="UW30" s="279"/>
      <c r="UX30" s="279"/>
      <c r="UY30" s="279"/>
      <c r="UZ30" s="279"/>
      <c r="VA30" s="279"/>
      <c r="VB30" s="279"/>
      <c r="VC30" s="279"/>
      <c r="VD30" s="279"/>
      <c r="VE30" s="279"/>
      <c r="VF30" s="279"/>
      <c r="VG30" s="279"/>
      <c r="VH30" s="279"/>
      <c r="VI30" s="279"/>
      <c r="VJ30" s="279"/>
      <c r="VK30" s="279"/>
      <c r="VL30" s="279"/>
      <c r="VM30" s="279"/>
      <c r="VN30" s="279"/>
      <c r="VO30" s="279"/>
      <c r="VP30" s="279"/>
      <c r="VQ30" s="279"/>
      <c r="VR30" s="279"/>
      <c r="VS30" s="279"/>
      <c r="VT30" s="279"/>
      <c r="VU30" s="279"/>
      <c r="VV30" s="279"/>
      <c r="VW30" s="279"/>
      <c r="VX30" s="279"/>
      <c r="VY30" s="279"/>
      <c r="VZ30" s="279"/>
      <c r="WA30" s="279"/>
      <c r="WB30" s="279"/>
      <c r="WC30" s="279"/>
      <c r="WD30" s="279"/>
      <c r="WE30" s="279"/>
      <c r="WF30" s="279"/>
      <c r="WG30" s="279"/>
      <c r="WH30" s="279"/>
      <c r="WI30" s="279"/>
      <c r="WJ30" s="279"/>
      <c r="WK30" s="279"/>
      <c r="WL30" s="279"/>
      <c r="WM30" s="279"/>
      <c r="WN30" s="279"/>
      <c r="WO30" s="279"/>
      <c r="WP30" s="279"/>
      <c r="WQ30" s="279"/>
      <c r="WR30" s="279"/>
      <c r="WS30" s="279"/>
      <c r="WT30" s="279"/>
      <c r="WU30" s="279"/>
      <c r="WV30" s="279"/>
      <c r="WW30" s="279"/>
      <c r="WX30" s="279"/>
      <c r="WY30" s="279"/>
      <c r="WZ30" s="279"/>
      <c r="XA30" s="279"/>
      <c r="XB30" s="279"/>
      <c r="XC30" s="279"/>
      <c r="XD30" s="279"/>
      <c r="XE30" s="279"/>
      <c r="XF30" s="279"/>
      <c r="XG30" s="279"/>
      <c r="XH30" s="279"/>
      <c r="XI30" s="279"/>
      <c r="XJ30" s="279"/>
      <c r="XK30" s="279"/>
      <c r="XL30" s="279"/>
      <c r="XM30" s="279"/>
      <c r="XN30" s="279"/>
      <c r="XO30" s="279"/>
      <c r="XP30" s="279"/>
      <c r="XQ30" s="279"/>
      <c r="XR30" s="279"/>
      <c r="XS30" s="279"/>
      <c r="XT30" s="279"/>
      <c r="XU30" s="279"/>
      <c r="XV30" s="279"/>
      <c r="XW30" s="279"/>
      <c r="XX30" s="279"/>
      <c r="XY30" s="279"/>
      <c r="XZ30" s="279"/>
      <c r="YA30" s="279"/>
      <c r="YB30" s="279"/>
      <c r="YC30" s="279"/>
      <c r="YD30" s="279"/>
      <c r="YE30" s="279"/>
      <c r="YF30" s="279"/>
      <c r="YG30" s="279"/>
      <c r="YH30" s="279"/>
      <c r="YI30" s="279"/>
      <c r="YJ30" s="279"/>
      <c r="YK30" s="279"/>
      <c r="YL30" s="279"/>
      <c r="YM30" s="279"/>
      <c r="YN30" s="279"/>
      <c r="YO30" s="279"/>
      <c r="YP30" s="279"/>
      <c r="YQ30" s="279"/>
      <c r="YR30" s="279"/>
      <c r="YS30" s="279"/>
      <c r="YT30" s="279"/>
      <c r="YU30" s="279"/>
      <c r="YV30" s="279"/>
      <c r="YW30" s="279"/>
      <c r="YX30" s="279"/>
      <c r="YY30" s="279"/>
      <c r="YZ30" s="279"/>
      <c r="ZA30" s="279"/>
      <c r="ZB30" s="279"/>
      <c r="ZC30" s="279"/>
      <c r="ZD30" s="279"/>
      <c r="ZE30" s="279"/>
      <c r="ZF30" s="279"/>
      <c r="ZG30" s="279"/>
      <c r="ZH30" s="279"/>
      <c r="ZI30" s="279"/>
      <c r="ZJ30" s="279"/>
      <c r="ZK30" s="279"/>
      <c r="ZL30" s="279"/>
      <c r="ZM30" s="279"/>
      <c r="ZN30" s="279"/>
      <c r="ZO30" s="279"/>
      <c r="ZP30" s="279"/>
      <c r="ZQ30" s="279"/>
      <c r="ZR30" s="279"/>
      <c r="ZS30" s="279"/>
      <c r="ZT30" s="279"/>
      <c r="ZU30" s="279"/>
      <c r="ZV30" s="279"/>
      <c r="ZW30" s="279"/>
      <c r="ZX30" s="279"/>
      <c r="ZY30" s="279"/>
      <c r="ZZ30" s="279"/>
      <c r="AAA30" s="279"/>
      <c r="AAB30" s="279"/>
      <c r="AAC30" s="279"/>
      <c r="AAD30" s="279"/>
      <c r="AAE30" s="279"/>
      <c r="AAF30" s="279"/>
      <c r="AAG30" s="279"/>
      <c r="AAH30" s="279"/>
      <c r="AAI30" s="279"/>
      <c r="AAJ30" s="279"/>
      <c r="AAK30" s="279"/>
      <c r="AAL30" s="279"/>
      <c r="AAM30" s="279"/>
      <c r="AAN30" s="279"/>
      <c r="AAO30" s="279"/>
      <c r="AAP30" s="279"/>
      <c r="AAQ30" s="279"/>
      <c r="AAR30" s="279"/>
      <c r="AAS30" s="279"/>
      <c r="AAT30" s="279"/>
      <c r="AAU30" s="279"/>
      <c r="AAV30" s="279"/>
      <c r="AAW30" s="279"/>
      <c r="AAX30" s="279"/>
      <c r="AAY30" s="279"/>
      <c r="AAZ30" s="279"/>
      <c r="ABA30" s="279"/>
      <c r="ABB30" s="279"/>
      <c r="ABC30" s="279"/>
      <c r="ABD30" s="279"/>
      <c r="ABE30" s="279"/>
      <c r="ABF30" s="279"/>
      <c r="ABG30" s="279"/>
      <c r="ABH30" s="279"/>
      <c r="ABI30" s="279"/>
      <c r="ABJ30" s="279"/>
      <c r="ABK30" s="279"/>
      <c r="ABL30" s="279"/>
      <c r="ABM30" s="279"/>
      <c r="ABN30" s="279"/>
      <c r="ABO30" s="279"/>
      <c r="ABP30" s="279"/>
      <c r="ABQ30" s="279"/>
      <c r="ABR30" s="279"/>
      <c r="ABS30" s="279"/>
      <c r="ABT30" s="279"/>
      <c r="ABU30" s="279"/>
      <c r="ABV30" s="279"/>
      <c r="ABW30" s="279"/>
      <c r="ABX30" s="279"/>
      <c r="ABY30" s="279"/>
      <c r="ABZ30" s="279"/>
      <c r="ACA30" s="279"/>
      <c r="ACB30" s="279"/>
      <c r="ACC30" s="279"/>
      <c r="ACD30" s="279"/>
      <c r="ACE30" s="279"/>
      <c r="ACF30" s="279"/>
      <c r="ACG30" s="279"/>
      <c r="ACH30" s="279"/>
      <c r="ACI30" s="279"/>
      <c r="ACJ30" s="279"/>
      <c r="ACK30" s="279"/>
      <c r="ACL30" s="279"/>
      <c r="ACM30" s="279"/>
      <c r="ACN30" s="279"/>
      <c r="ACO30" s="279"/>
      <c r="ACP30" s="279"/>
      <c r="ACQ30" s="279"/>
      <c r="ACR30" s="279"/>
      <c r="ACS30" s="279"/>
      <c r="ACT30" s="279"/>
      <c r="ACU30" s="279"/>
      <c r="ACV30" s="279"/>
      <c r="ACW30" s="279"/>
      <c r="ACX30" s="279"/>
      <c r="ACY30" s="279"/>
      <c r="ACZ30" s="279"/>
      <c r="ADA30" s="279"/>
      <c r="ADB30" s="279"/>
      <c r="ADC30" s="279"/>
      <c r="ADD30" s="279"/>
      <c r="ADE30" s="279"/>
      <c r="ADF30" s="279"/>
      <c r="ADG30" s="279"/>
      <c r="ADH30" s="279"/>
      <c r="ADI30" s="279"/>
      <c r="ADJ30" s="279"/>
      <c r="ADK30" s="279"/>
      <c r="ADL30" s="279"/>
      <c r="ADM30" s="279"/>
      <c r="ADN30" s="279"/>
      <c r="ADO30" s="279"/>
      <c r="ADP30" s="279"/>
      <c r="ADQ30" s="279"/>
      <c r="ADR30" s="279"/>
      <c r="ADS30" s="279"/>
      <c r="ADT30" s="279"/>
      <c r="ADU30" s="279"/>
      <c r="ADV30" s="279"/>
      <c r="ADW30" s="279"/>
      <c r="ADX30" s="279"/>
      <c r="ADY30" s="279"/>
      <c r="ADZ30" s="279"/>
      <c r="AEA30" s="279"/>
      <c r="AEB30" s="279"/>
      <c r="AEC30" s="279"/>
      <c r="AED30" s="279"/>
      <c r="AEE30" s="279"/>
      <c r="AEF30" s="279"/>
      <c r="AEG30" s="279"/>
      <c r="AEH30" s="279"/>
      <c r="AEI30" s="279"/>
      <c r="AEJ30" s="279"/>
      <c r="AEK30" s="279"/>
      <c r="AEL30" s="279"/>
      <c r="AEM30" s="279"/>
      <c r="AEN30" s="279"/>
      <c r="AEO30" s="279"/>
      <c r="AEP30" s="279"/>
      <c r="AEQ30" s="279"/>
      <c r="AER30" s="279"/>
      <c r="AES30" s="279"/>
      <c r="AET30" s="279"/>
      <c r="AEU30" s="279"/>
      <c r="AEV30" s="279"/>
      <c r="AEW30" s="279"/>
      <c r="AEX30" s="279"/>
      <c r="AEY30" s="279"/>
      <c r="AEZ30" s="279"/>
      <c r="AFA30" s="279"/>
      <c r="AFB30" s="279"/>
      <c r="AFC30" s="279"/>
      <c r="AFD30" s="279"/>
      <c r="AFE30" s="279"/>
      <c r="AFF30" s="279"/>
      <c r="AFG30" s="279"/>
      <c r="AFH30" s="279"/>
      <c r="AFI30" s="279"/>
      <c r="AFJ30" s="279"/>
      <c r="AFK30" s="279"/>
      <c r="AFL30" s="279"/>
      <c r="AFM30" s="279"/>
      <c r="AFN30" s="279"/>
      <c r="AFO30" s="279"/>
      <c r="AFP30" s="279"/>
      <c r="AFQ30" s="279"/>
      <c r="AFR30" s="279"/>
      <c r="AFS30" s="279"/>
      <c r="AFT30" s="279"/>
      <c r="AFU30" s="279"/>
      <c r="AFV30" s="279"/>
      <c r="AFW30" s="279"/>
      <c r="AFX30" s="279"/>
      <c r="AFY30" s="279"/>
      <c r="AFZ30" s="279"/>
      <c r="AGA30" s="279"/>
      <c r="AGB30" s="279"/>
      <c r="AGC30" s="279"/>
      <c r="AGD30" s="279"/>
      <c r="AGE30" s="279"/>
      <c r="AGF30" s="279"/>
      <c r="AGG30" s="279"/>
      <c r="AGH30" s="279"/>
      <c r="AGI30" s="279"/>
      <c r="AGJ30" s="279"/>
      <c r="AGK30" s="279"/>
      <c r="AGL30" s="279"/>
      <c r="AGM30" s="279"/>
      <c r="AGN30" s="279"/>
      <c r="AGO30" s="279"/>
      <c r="AGP30" s="279"/>
      <c r="AGQ30" s="279"/>
      <c r="AGR30" s="279"/>
      <c r="AGS30" s="279"/>
      <c r="AGT30" s="279"/>
      <c r="AGU30" s="279"/>
      <c r="AGV30" s="279"/>
      <c r="AGW30" s="279"/>
      <c r="AGX30" s="279"/>
      <c r="AGY30" s="279"/>
      <c r="AGZ30" s="279"/>
      <c r="AHA30" s="279"/>
      <c r="AHB30" s="279"/>
      <c r="AHC30" s="279"/>
      <c r="AHD30" s="279"/>
      <c r="AHE30" s="279"/>
      <c r="AHF30" s="279"/>
      <c r="AHG30" s="279"/>
      <c r="AHH30" s="279"/>
      <c r="AHI30" s="279"/>
      <c r="AHJ30" s="279"/>
      <c r="AHK30" s="279"/>
      <c r="AHL30" s="279"/>
      <c r="AHM30" s="279"/>
      <c r="AHN30" s="279"/>
      <c r="AHO30" s="279"/>
      <c r="AHP30" s="279"/>
      <c r="AHQ30" s="279"/>
      <c r="AHR30" s="279"/>
      <c r="AHS30" s="279"/>
      <c r="AHT30" s="279"/>
      <c r="AHU30" s="279"/>
      <c r="AHV30" s="279"/>
      <c r="AHW30" s="279"/>
      <c r="AHX30" s="279"/>
      <c r="AHY30" s="279"/>
      <c r="AHZ30" s="279"/>
      <c r="AIA30" s="279"/>
      <c r="AIB30" s="279"/>
      <c r="AIC30" s="279"/>
      <c r="AID30" s="279"/>
      <c r="AIE30" s="279"/>
      <c r="AIF30" s="279"/>
      <c r="AIG30" s="279"/>
      <c r="AIH30" s="279"/>
      <c r="AII30" s="279"/>
      <c r="AIJ30" s="279"/>
      <c r="AIK30" s="279"/>
      <c r="AIL30" s="279"/>
      <c r="AIM30" s="279"/>
      <c r="AIN30" s="279"/>
      <c r="AIO30" s="279"/>
      <c r="AIP30" s="279"/>
      <c r="AIQ30" s="279"/>
      <c r="AIR30" s="279"/>
      <c r="AIS30" s="279"/>
      <c r="AIT30" s="279"/>
      <c r="AIU30" s="279"/>
      <c r="AIV30" s="279"/>
      <c r="AIW30" s="279"/>
      <c r="AIX30" s="279"/>
      <c r="AIY30" s="279"/>
      <c r="AIZ30" s="279"/>
      <c r="AJA30" s="279"/>
      <c r="AJB30" s="279"/>
      <c r="AJC30" s="279"/>
      <c r="AJD30" s="279"/>
      <c r="AJE30" s="279"/>
      <c r="AJF30" s="279"/>
      <c r="AJG30" s="279"/>
      <c r="AJH30" s="279"/>
      <c r="AJI30" s="279"/>
      <c r="AJJ30" s="279"/>
      <c r="AJK30" s="279"/>
      <c r="AJL30" s="279"/>
      <c r="AJM30" s="279"/>
      <c r="AJN30" s="279"/>
      <c r="AJO30" s="279"/>
      <c r="AJP30" s="279"/>
      <c r="AJQ30" s="279"/>
      <c r="AJR30" s="279"/>
      <c r="AJS30" s="279"/>
      <c r="AJT30" s="279"/>
      <c r="AJU30" s="279"/>
      <c r="AJV30" s="279"/>
      <c r="AJW30" s="279"/>
      <c r="AJX30" s="279"/>
      <c r="AJY30" s="279"/>
      <c r="AJZ30" s="279"/>
      <c r="AKA30" s="279"/>
      <c r="AKB30" s="279"/>
      <c r="AKC30" s="279"/>
      <c r="AKD30" s="279"/>
      <c r="AKE30" s="279"/>
      <c r="AKF30" s="279"/>
      <c r="AKG30" s="279"/>
      <c r="AKH30" s="279"/>
      <c r="AKI30" s="279"/>
      <c r="AKJ30" s="279"/>
      <c r="AKK30" s="279"/>
      <c r="AKL30" s="279"/>
      <c r="AKM30" s="279"/>
      <c r="AKN30" s="279"/>
      <c r="AKO30" s="279"/>
      <c r="AKP30" s="279"/>
      <c r="AKQ30" s="279"/>
      <c r="AKR30" s="279"/>
      <c r="AKS30" s="279"/>
      <c r="AKT30" s="279"/>
      <c r="AKU30" s="279"/>
      <c r="AKV30" s="279"/>
      <c r="AKW30" s="279"/>
      <c r="AKX30" s="279"/>
      <c r="AKY30" s="279"/>
      <c r="AKZ30" s="279"/>
      <c r="ALA30" s="279"/>
      <c r="ALB30" s="279"/>
      <c r="ALC30" s="279"/>
      <c r="ALD30" s="279"/>
      <c r="ALE30" s="279"/>
      <c r="ALF30" s="279"/>
      <c r="ALG30" s="279"/>
      <c r="ALH30" s="279"/>
      <c r="ALI30" s="279"/>
      <c r="ALJ30" s="279"/>
      <c r="ALK30" s="279"/>
      <c r="ALL30" s="279"/>
      <c r="ALM30" s="279"/>
      <c r="ALN30" s="279"/>
      <c r="ALO30" s="279"/>
      <c r="ALP30" s="279"/>
      <c r="ALQ30" s="279"/>
      <c r="ALR30" s="279"/>
      <c r="ALS30" s="279"/>
      <c r="ALT30" s="279"/>
      <c r="ALU30" s="279"/>
      <c r="ALV30" s="279"/>
      <c r="ALW30" s="279"/>
      <c r="ALX30" s="279"/>
      <c r="ALY30" s="279"/>
      <c r="ALZ30" s="279"/>
      <c r="AMA30" s="279"/>
      <c r="AMB30" s="279"/>
      <c r="AMC30" s="279"/>
      <c r="AMD30" s="279"/>
      <c r="AME30" s="279"/>
      <c r="AMF30" s="279"/>
      <c r="AMG30" s="279"/>
      <c r="AMH30" s="279"/>
      <c r="AMI30" s="279"/>
      <c r="AMJ30" s="279"/>
      <c r="AMK30" s="279"/>
      <c r="AML30" s="279"/>
      <c r="AMM30" s="279"/>
      <c r="AMN30" s="279"/>
      <c r="AMO30" s="279"/>
      <c r="AMP30" s="279"/>
      <c r="AMQ30" s="279"/>
      <c r="AMR30" s="279"/>
      <c r="AMS30" s="279"/>
      <c r="AMT30" s="279"/>
      <c r="AMU30" s="279"/>
      <c r="AMV30" s="279"/>
      <c r="AMW30" s="279"/>
      <c r="AMX30" s="279"/>
      <c r="AMY30" s="279"/>
      <c r="AMZ30" s="279"/>
      <c r="ANA30" s="279"/>
      <c r="ANB30" s="279"/>
      <c r="ANC30" s="279"/>
      <c r="AND30" s="279"/>
      <c r="ANE30" s="279"/>
      <c r="ANF30" s="279"/>
      <c r="ANG30" s="279"/>
      <c r="ANH30" s="279"/>
      <c r="ANI30" s="279"/>
      <c r="ANJ30" s="279"/>
      <c r="ANK30" s="279"/>
      <c r="ANL30" s="279"/>
      <c r="ANM30" s="279"/>
      <c r="ANN30" s="279"/>
      <c r="ANO30" s="279"/>
      <c r="ANP30" s="279"/>
      <c r="ANQ30" s="279"/>
      <c r="ANR30" s="279"/>
      <c r="ANS30" s="279"/>
      <c r="ANT30" s="279"/>
      <c r="ANU30" s="279"/>
      <c r="ANV30" s="279"/>
      <c r="ANW30" s="279"/>
      <c r="ANX30" s="279"/>
      <c r="ANY30" s="279"/>
      <c r="ANZ30" s="279"/>
      <c r="AOA30" s="279"/>
      <c r="AOB30" s="279"/>
      <c r="AOC30" s="279"/>
      <c r="AOD30" s="279"/>
      <c r="AOE30" s="279"/>
      <c r="AOF30" s="279"/>
      <c r="AOG30" s="279"/>
      <c r="AOH30" s="279"/>
      <c r="AOI30" s="279"/>
      <c r="AOJ30" s="279"/>
      <c r="AOK30" s="279"/>
      <c r="AOL30" s="279"/>
      <c r="AOM30" s="279"/>
      <c r="AON30" s="279"/>
      <c r="AOO30" s="279"/>
      <c r="AOP30" s="279"/>
      <c r="AOQ30" s="279"/>
      <c r="AOR30" s="279"/>
      <c r="AOS30" s="279"/>
      <c r="AOT30" s="279"/>
      <c r="AOU30" s="279"/>
      <c r="AOV30" s="279"/>
      <c r="AOW30" s="279"/>
      <c r="AOX30" s="279"/>
      <c r="AOY30" s="279"/>
      <c r="AOZ30" s="279"/>
      <c r="APA30" s="279"/>
      <c r="APB30" s="279"/>
      <c r="APC30" s="279"/>
      <c r="APD30" s="279"/>
      <c r="APE30" s="279"/>
      <c r="APF30" s="279"/>
      <c r="APG30" s="279"/>
      <c r="APH30" s="279"/>
      <c r="API30" s="279"/>
      <c r="APJ30" s="279"/>
      <c r="APK30" s="279"/>
      <c r="APL30" s="279"/>
      <c r="APM30" s="279"/>
      <c r="APN30" s="279"/>
      <c r="APO30" s="279"/>
      <c r="APP30" s="279"/>
      <c r="APQ30" s="279"/>
      <c r="APR30" s="279"/>
      <c r="APS30" s="279"/>
      <c r="APT30" s="279"/>
      <c r="APU30" s="279"/>
      <c r="APV30" s="279"/>
      <c r="APW30" s="279"/>
      <c r="APX30" s="279"/>
      <c r="APY30" s="279"/>
      <c r="APZ30" s="279"/>
      <c r="AQA30" s="279"/>
      <c r="AQB30" s="279"/>
      <c r="AQC30" s="279"/>
      <c r="AQD30" s="279"/>
      <c r="AQE30" s="279"/>
      <c r="AQF30" s="279"/>
      <c r="AQG30" s="279"/>
      <c r="AQH30" s="279"/>
      <c r="AQI30" s="279"/>
      <c r="AQJ30" s="279"/>
      <c r="AQK30" s="279"/>
      <c r="AQL30" s="279"/>
      <c r="AQM30" s="279"/>
      <c r="AQN30" s="279"/>
      <c r="AQO30" s="279"/>
      <c r="AQP30" s="279"/>
      <c r="AQQ30" s="279"/>
      <c r="AQR30" s="279"/>
      <c r="AQS30" s="279"/>
      <c r="AQT30" s="279"/>
      <c r="AQU30" s="279"/>
      <c r="AQV30" s="279"/>
      <c r="AQW30" s="279"/>
      <c r="AQX30" s="279"/>
      <c r="AQY30" s="279"/>
      <c r="AQZ30" s="279"/>
      <c r="ARA30" s="279"/>
      <c r="ARB30" s="279"/>
      <c r="ARC30" s="279"/>
      <c r="ARD30" s="279"/>
      <c r="ARE30" s="279"/>
      <c r="ARF30" s="279"/>
      <c r="ARG30" s="279"/>
      <c r="ARH30" s="279"/>
      <c r="ARI30" s="279"/>
      <c r="ARJ30" s="279"/>
      <c r="ARK30" s="279"/>
      <c r="ARL30" s="279"/>
      <c r="ARM30" s="279"/>
      <c r="ARN30" s="279"/>
      <c r="ARO30" s="279"/>
      <c r="ARP30" s="279"/>
      <c r="ARQ30" s="279"/>
      <c r="ARR30" s="279"/>
      <c r="ARS30" s="279"/>
      <c r="ART30" s="279"/>
      <c r="ARU30" s="279"/>
      <c r="ARV30" s="279"/>
      <c r="ARW30" s="279"/>
      <c r="ARX30" s="279"/>
      <c r="ARY30" s="279"/>
      <c r="ARZ30" s="279"/>
      <c r="ASA30" s="279"/>
      <c r="ASB30" s="279"/>
      <c r="ASC30" s="279"/>
      <c r="ASD30" s="279"/>
      <c r="ASE30" s="279"/>
      <c r="ASF30" s="279"/>
      <c r="ASG30" s="279"/>
      <c r="ASH30" s="279"/>
      <c r="ASI30" s="279"/>
      <c r="ASJ30" s="279"/>
      <c r="ASK30" s="279"/>
      <c r="ASL30" s="279"/>
      <c r="ASM30" s="279"/>
      <c r="ASN30" s="279"/>
      <c r="ASO30" s="279"/>
      <c r="ASP30" s="279"/>
      <c r="ASQ30" s="279"/>
      <c r="ASR30" s="279"/>
      <c r="ASS30" s="279"/>
      <c r="AST30" s="279"/>
      <c r="ASU30" s="279"/>
      <c r="ASV30" s="279"/>
      <c r="ASW30" s="279"/>
      <c r="ASX30" s="279"/>
      <c r="ASY30" s="279"/>
      <c r="ASZ30" s="279"/>
      <c r="ATA30" s="279"/>
      <c r="ATB30" s="279"/>
      <c r="ATC30" s="279"/>
      <c r="ATD30" s="279"/>
      <c r="ATE30" s="279"/>
      <c r="ATF30" s="279"/>
      <c r="ATG30" s="279"/>
      <c r="ATH30" s="279"/>
      <c r="ATI30" s="279"/>
      <c r="ATJ30" s="279"/>
      <c r="ATK30" s="279"/>
      <c r="ATL30" s="279"/>
      <c r="ATM30" s="279"/>
      <c r="ATN30" s="279"/>
      <c r="ATO30" s="279"/>
      <c r="ATP30" s="279"/>
      <c r="ATQ30" s="279"/>
      <c r="ATR30" s="279"/>
      <c r="ATS30" s="279"/>
      <c r="ATT30" s="279"/>
      <c r="ATU30" s="279"/>
      <c r="ATV30" s="279"/>
      <c r="ATW30" s="279"/>
      <c r="ATX30" s="279"/>
      <c r="ATY30" s="279"/>
      <c r="ATZ30" s="279"/>
      <c r="AUA30" s="279"/>
      <c r="AUB30" s="279"/>
      <c r="AUC30" s="279"/>
      <c r="AUD30" s="279"/>
      <c r="AUE30" s="279"/>
      <c r="AUF30" s="279"/>
      <c r="AUG30" s="279"/>
      <c r="AUH30" s="279"/>
      <c r="AUI30" s="279"/>
      <c r="AUJ30" s="279"/>
      <c r="AUK30" s="279"/>
      <c r="AUL30" s="279"/>
      <c r="AUM30" s="279"/>
      <c r="AUN30" s="279"/>
      <c r="AUO30" s="279"/>
      <c r="AUP30" s="279"/>
      <c r="AUQ30" s="279"/>
      <c r="AUR30" s="279"/>
      <c r="AUS30" s="279"/>
      <c r="AUT30" s="279"/>
      <c r="AUU30" s="279"/>
      <c r="AUV30" s="279"/>
      <c r="AUW30" s="279"/>
      <c r="AUX30" s="279"/>
      <c r="AUY30" s="279"/>
      <c r="AUZ30" s="279"/>
      <c r="AVA30" s="279"/>
      <c r="AVB30" s="279"/>
      <c r="AVC30" s="279"/>
      <c r="AVD30" s="279"/>
      <c r="AVE30" s="279"/>
      <c r="AVF30" s="279"/>
      <c r="AVG30" s="279"/>
      <c r="AVH30" s="279"/>
      <c r="AVI30" s="279"/>
      <c r="AVJ30" s="279"/>
      <c r="AVK30" s="279"/>
      <c r="AVL30" s="279"/>
      <c r="AVM30" s="279"/>
      <c r="AVN30" s="279"/>
      <c r="AVO30" s="279"/>
      <c r="AVP30" s="279"/>
      <c r="AVQ30" s="279"/>
      <c r="AVR30" s="279"/>
      <c r="AVS30" s="279"/>
      <c r="AVT30" s="279"/>
      <c r="AVU30" s="279"/>
      <c r="AVV30" s="279"/>
      <c r="AVW30" s="279"/>
      <c r="AVX30" s="279"/>
      <c r="AVY30" s="279"/>
      <c r="AVZ30" s="279"/>
      <c r="AWA30" s="279"/>
      <c r="AWB30" s="279"/>
      <c r="AWC30" s="279"/>
      <c r="AWD30" s="279"/>
      <c r="AWE30" s="279"/>
      <c r="AWF30" s="279"/>
      <c r="AWG30" s="279"/>
      <c r="AWH30" s="279"/>
      <c r="AWI30" s="279"/>
      <c r="AWJ30" s="279"/>
      <c r="AWK30" s="279"/>
      <c r="AWL30" s="279"/>
      <c r="AWM30" s="279"/>
      <c r="AWN30" s="279"/>
      <c r="AWO30" s="279"/>
      <c r="AWP30" s="279"/>
      <c r="AWQ30" s="279"/>
      <c r="AWR30" s="279"/>
      <c r="AWS30" s="279"/>
      <c r="AWT30" s="279"/>
      <c r="AWU30" s="279"/>
      <c r="AWV30" s="279"/>
      <c r="AWW30" s="279"/>
      <c r="AWX30" s="279"/>
      <c r="AWY30" s="279"/>
      <c r="AWZ30" s="279"/>
      <c r="AXA30" s="279"/>
      <c r="AXB30" s="279"/>
      <c r="AXC30" s="279"/>
      <c r="AXD30" s="279"/>
      <c r="AXE30" s="279"/>
      <c r="AXF30" s="279"/>
      <c r="AXG30" s="279"/>
      <c r="AXH30" s="279"/>
      <c r="AXI30" s="279"/>
      <c r="AXJ30" s="279"/>
      <c r="AXK30" s="279"/>
      <c r="AXL30" s="279"/>
      <c r="AXM30" s="279"/>
      <c r="AXN30" s="279"/>
      <c r="AXO30" s="279"/>
      <c r="AXP30" s="279"/>
      <c r="AXQ30" s="279"/>
      <c r="AXR30" s="279"/>
      <c r="AXS30" s="279"/>
      <c r="AXT30" s="279"/>
      <c r="AXU30" s="279"/>
      <c r="AXV30" s="279"/>
      <c r="AXW30" s="279"/>
      <c r="AXX30" s="279"/>
      <c r="AXY30" s="279"/>
      <c r="AXZ30" s="279"/>
      <c r="AYA30" s="279"/>
      <c r="AYB30" s="279"/>
      <c r="AYC30" s="279"/>
      <c r="AYD30" s="279"/>
      <c r="AYE30" s="279"/>
      <c r="AYF30" s="279"/>
      <c r="AYG30" s="279"/>
      <c r="AYH30" s="279"/>
      <c r="AYI30" s="279"/>
      <c r="AYJ30" s="279"/>
      <c r="AYK30" s="279"/>
      <c r="AYL30" s="279"/>
      <c r="AYM30" s="279"/>
      <c r="AYN30" s="279"/>
      <c r="AYO30" s="279"/>
      <c r="AYP30" s="279"/>
      <c r="AYQ30" s="279"/>
      <c r="AYR30" s="279"/>
      <c r="AYS30" s="279"/>
      <c r="AYT30" s="279"/>
      <c r="AYU30" s="279"/>
      <c r="AYV30" s="279"/>
      <c r="AYW30" s="279"/>
      <c r="AYX30" s="279"/>
      <c r="AYY30" s="279"/>
      <c r="AYZ30" s="279"/>
      <c r="AZA30" s="279"/>
      <c r="AZB30" s="279"/>
      <c r="AZC30" s="279"/>
      <c r="AZD30" s="279"/>
      <c r="AZE30" s="279"/>
      <c r="AZF30" s="279"/>
      <c r="AZG30" s="279"/>
      <c r="AZH30" s="279"/>
      <c r="AZI30" s="279"/>
      <c r="AZJ30" s="279"/>
      <c r="AZK30" s="279"/>
      <c r="AZL30" s="279"/>
      <c r="AZM30" s="279"/>
      <c r="AZN30" s="279"/>
      <c r="AZO30" s="279"/>
      <c r="AZP30" s="279"/>
      <c r="AZQ30" s="279"/>
      <c r="AZR30" s="279"/>
      <c r="AZS30" s="279"/>
      <c r="AZT30" s="279"/>
      <c r="AZU30" s="279"/>
      <c r="AZV30" s="279"/>
      <c r="AZW30" s="279"/>
      <c r="AZX30" s="279"/>
      <c r="AZY30" s="279"/>
      <c r="AZZ30" s="279"/>
      <c r="BAA30" s="279"/>
      <c r="BAB30" s="279"/>
      <c r="BAC30" s="279"/>
      <c r="BAD30" s="279"/>
      <c r="BAE30" s="279"/>
      <c r="BAF30" s="279"/>
      <c r="BAG30" s="279"/>
      <c r="BAH30" s="279"/>
      <c r="BAI30" s="279"/>
      <c r="BAJ30" s="279"/>
      <c r="BAK30" s="279"/>
      <c r="BAL30" s="279"/>
      <c r="BAM30" s="279"/>
      <c r="BAN30" s="279"/>
      <c r="BAO30" s="279"/>
      <c r="BAP30" s="279"/>
      <c r="BAQ30" s="279"/>
      <c r="BAR30" s="279"/>
      <c r="BAS30" s="279"/>
      <c r="BAT30" s="279"/>
      <c r="BAU30" s="279"/>
      <c r="BAV30" s="279"/>
      <c r="BAW30" s="279"/>
      <c r="BAX30" s="279"/>
      <c r="BAY30" s="279"/>
      <c r="BAZ30" s="279"/>
      <c r="BBA30" s="279"/>
      <c r="BBB30" s="279"/>
      <c r="BBC30" s="279"/>
      <c r="BBD30" s="279"/>
      <c r="BBE30" s="279"/>
      <c r="BBF30" s="279"/>
      <c r="BBG30" s="279"/>
      <c r="BBH30" s="279"/>
      <c r="BBI30" s="279"/>
      <c r="BBJ30" s="279"/>
      <c r="BBK30" s="279"/>
      <c r="BBL30" s="279"/>
      <c r="BBM30" s="279"/>
      <c r="BBN30" s="279"/>
      <c r="BBO30" s="279"/>
      <c r="BBP30" s="279"/>
      <c r="BBQ30" s="279"/>
      <c r="BBR30" s="279"/>
      <c r="BBS30" s="279"/>
      <c r="BBT30" s="279"/>
      <c r="BBU30" s="279"/>
      <c r="BBV30" s="279"/>
      <c r="BBW30" s="279"/>
      <c r="BBX30" s="279"/>
      <c r="BBY30" s="279"/>
      <c r="BBZ30" s="279"/>
      <c r="BCA30" s="279"/>
      <c r="BCB30" s="279"/>
      <c r="BCC30" s="279"/>
      <c r="BCD30" s="279"/>
      <c r="BCE30" s="279"/>
      <c r="BCF30" s="279"/>
      <c r="BCG30" s="279"/>
      <c r="BCH30" s="279"/>
      <c r="BCI30" s="279"/>
      <c r="BCJ30" s="279"/>
      <c r="BCK30" s="279"/>
      <c r="BCL30" s="279"/>
      <c r="BCM30" s="279"/>
      <c r="BCN30" s="279"/>
      <c r="BCO30" s="279"/>
      <c r="BCP30" s="279"/>
      <c r="BCQ30" s="279"/>
      <c r="BCR30" s="279"/>
      <c r="BCS30" s="279"/>
      <c r="BCT30" s="279"/>
      <c r="BCU30" s="279"/>
      <c r="BCV30" s="279"/>
      <c r="BCW30" s="279"/>
      <c r="BCX30" s="279"/>
      <c r="BCY30" s="279"/>
      <c r="BCZ30" s="279"/>
      <c r="BDA30" s="279"/>
      <c r="BDB30" s="279"/>
      <c r="BDC30" s="279"/>
      <c r="BDD30" s="279"/>
      <c r="BDE30" s="279"/>
      <c r="BDF30" s="279"/>
      <c r="BDG30" s="279"/>
      <c r="BDH30" s="279"/>
      <c r="BDI30" s="279"/>
      <c r="BDJ30" s="279"/>
      <c r="BDK30" s="279"/>
      <c r="BDL30" s="279"/>
      <c r="BDM30" s="279"/>
      <c r="BDN30" s="279"/>
      <c r="BDO30" s="279"/>
      <c r="BDP30" s="279"/>
      <c r="BDQ30" s="279"/>
      <c r="BDR30" s="279"/>
      <c r="BDS30" s="279"/>
      <c r="BDT30" s="279"/>
      <c r="BDU30" s="279"/>
      <c r="BDV30" s="279"/>
      <c r="BDW30" s="279"/>
      <c r="BDX30" s="279"/>
      <c r="BDY30" s="279"/>
      <c r="BDZ30" s="279"/>
      <c r="BEA30" s="279"/>
      <c r="BEB30" s="279"/>
      <c r="BEC30" s="279"/>
      <c r="BED30" s="279"/>
      <c r="BEE30" s="279"/>
      <c r="BEF30" s="279"/>
      <c r="BEG30" s="279"/>
      <c r="BEH30" s="279"/>
      <c r="BEI30" s="279"/>
      <c r="BEJ30" s="279"/>
      <c r="BEK30" s="279"/>
      <c r="BEL30" s="279"/>
      <c r="BEM30" s="279"/>
      <c r="BEN30" s="279"/>
      <c r="BEO30" s="279"/>
      <c r="BEP30" s="279"/>
      <c r="BEQ30" s="279"/>
      <c r="BER30" s="279"/>
      <c r="BES30" s="279"/>
      <c r="BET30" s="279"/>
      <c r="BEU30" s="279"/>
      <c r="BEV30" s="279"/>
      <c r="BEW30" s="279"/>
      <c r="BEX30" s="279"/>
      <c r="BEY30" s="279"/>
      <c r="BEZ30" s="279"/>
      <c r="BFA30" s="279"/>
      <c r="BFB30" s="279"/>
      <c r="BFC30" s="279"/>
      <c r="BFD30" s="279"/>
      <c r="BFE30" s="279"/>
      <c r="BFF30" s="279"/>
      <c r="BFG30" s="279"/>
      <c r="BFH30" s="279"/>
      <c r="BFI30" s="279"/>
      <c r="BFJ30" s="279"/>
      <c r="BFK30" s="279"/>
      <c r="BFL30" s="279"/>
      <c r="BFM30" s="279"/>
      <c r="BFN30" s="279"/>
      <c r="BFO30" s="279"/>
      <c r="BFP30" s="279"/>
      <c r="BFQ30" s="279"/>
      <c r="BFR30" s="279"/>
      <c r="BFS30" s="279"/>
      <c r="BFT30" s="279"/>
      <c r="BFU30" s="279"/>
      <c r="BFV30" s="279"/>
      <c r="BFW30" s="279"/>
      <c r="BFX30" s="279"/>
      <c r="BFY30" s="279"/>
      <c r="BFZ30" s="279"/>
      <c r="BGA30" s="279"/>
      <c r="BGB30" s="279"/>
      <c r="BGC30" s="279"/>
      <c r="BGD30" s="279"/>
      <c r="BGE30" s="279"/>
      <c r="BGF30" s="279"/>
      <c r="BGG30" s="279"/>
      <c r="BGH30" s="279"/>
      <c r="BGI30" s="279"/>
      <c r="BGJ30" s="279"/>
      <c r="BGK30" s="279"/>
      <c r="BGL30" s="279"/>
      <c r="BGM30" s="279"/>
      <c r="BGN30" s="279"/>
      <c r="BGO30" s="279"/>
      <c r="BGP30" s="279"/>
      <c r="BGQ30" s="279"/>
      <c r="BGR30" s="279"/>
      <c r="BGS30" s="279"/>
      <c r="BGT30" s="279"/>
      <c r="BGU30" s="279"/>
      <c r="BGV30" s="279"/>
      <c r="BGW30" s="279"/>
      <c r="BGX30" s="279"/>
      <c r="BGY30" s="279"/>
      <c r="BGZ30" s="279"/>
      <c r="BHA30" s="279"/>
      <c r="BHB30" s="279"/>
      <c r="BHC30" s="279"/>
      <c r="BHD30" s="279"/>
      <c r="BHE30" s="279"/>
      <c r="BHF30" s="279"/>
      <c r="BHG30" s="279"/>
      <c r="BHH30" s="279"/>
      <c r="BHI30" s="279"/>
      <c r="BHJ30" s="279"/>
      <c r="BHK30" s="279"/>
      <c r="BHL30" s="279"/>
      <c r="BHM30" s="279"/>
      <c r="BHN30" s="279"/>
      <c r="BHO30" s="279"/>
      <c r="BHP30" s="279"/>
      <c r="BHQ30" s="279"/>
      <c r="BHR30" s="279"/>
      <c r="BHS30" s="279"/>
      <c r="BHT30" s="279"/>
      <c r="BHU30" s="279"/>
      <c r="BHV30" s="279"/>
      <c r="BHW30" s="279"/>
      <c r="BHX30" s="279"/>
      <c r="BHY30" s="279"/>
      <c r="BHZ30" s="279"/>
      <c r="BIA30" s="279"/>
      <c r="BIB30" s="279"/>
      <c r="BIC30" s="279"/>
      <c r="BID30" s="279"/>
      <c r="BIE30" s="279"/>
      <c r="BIF30" s="279"/>
      <c r="BIG30" s="279"/>
      <c r="BIH30" s="279"/>
      <c r="BII30" s="279"/>
      <c r="BIJ30" s="279"/>
      <c r="BIK30" s="279"/>
      <c r="BIL30" s="279"/>
      <c r="BIM30" s="279"/>
      <c r="BIN30" s="279"/>
      <c r="BIO30" s="279"/>
      <c r="BIP30" s="279"/>
      <c r="BIQ30" s="279"/>
      <c r="BIR30" s="279"/>
      <c r="BIS30" s="279"/>
      <c r="BIT30" s="279"/>
      <c r="BIU30" s="279"/>
      <c r="BIV30" s="279"/>
      <c r="BIW30" s="279"/>
      <c r="BIX30" s="279"/>
      <c r="BIY30" s="279"/>
      <c r="BIZ30" s="279"/>
      <c r="BJA30" s="279"/>
      <c r="BJB30" s="279"/>
      <c r="BJC30" s="279"/>
      <c r="BJD30" s="279"/>
      <c r="BJE30" s="279"/>
      <c r="BJF30" s="279"/>
      <c r="BJG30" s="279"/>
      <c r="BJH30" s="279"/>
      <c r="BJI30" s="279"/>
      <c r="BJJ30" s="279"/>
      <c r="BJK30" s="279"/>
      <c r="BJL30" s="279"/>
      <c r="BJM30" s="279"/>
      <c r="BJN30" s="279"/>
      <c r="BJO30" s="279"/>
      <c r="BJP30" s="279"/>
      <c r="BJQ30" s="279"/>
      <c r="BJR30" s="279"/>
      <c r="BJS30" s="279"/>
      <c r="BJT30" s="279"/>
      <c r="BJU30" s="279"/>
      <c r="BJV30" s="279"/>
      <c r="BJW30" s="279"/>
      <c r="BJX30" s="279"/>
      <c r="BJY30" s="279"/>
      <c r="BJZ30" s="279"/>
      <c r="BKA30" s="279"/>
      <c r="BKB30" s="279"/>
      <c r="BKC30" s="279"/>
      <c r="BKD30" s="279"/>
      <c r="BKE30" s="279"/>
      <c r="BKF30" s="279"/>
      <c r="BKG30" s="279"/>
      <c r="BKH30" s="279"/>
      <c r="BKI30" s="279"/>
      <c r="BKJ30" s="279"/>
      <c r="BKK30" s="279"/>
      <c r="BKL30" s="279"/>
      <c r="BKM30" s="279"/>
      <c r="BKN30" s="279"/>
      <c r="BKO30" s="279"/>
      <c r="BKP30" s="279"/>
      <c r="BKQ30" s="279"/>
      <c r="BKR30" s="279"/>
      <c r="BKS30" s="279"/>
      <c r="BKT30" s="279"/>
      <c r="BKU30" s="279"/>
      <c r="BKV30" s="279"/>
      <c r="BKW30" s="279"/>
      <c r="BKX30" s="279"/>
      <c r="BKY30" s="279"/>
      <c r="BKZ30" s="279"/>
      <c r="BLA30" s="279"/>
      <c r="BLB30" s="279"/>
      <c r="BLC30" s="279"/>
      <c r="BLD30" s="279"/>
      <c r="BLE30" s="279"/>
      <c r="BLF30" s="279"/>
      <c r="BLG30" s="279"/>
      <c r="BLH30" s="279"/>
      <c r="BLI30" s="279"/>
      <c r="BLJ30" s="279"/>
      <c r="BLK30" s="279"/>
      <c r="BLL30" s="279"/>
      <c r="BLM30" s="279"/>
      <c r="BLN30" s="279"/>
      <c r="BLO30" s="279"/>
      <c r="BLP30" s="279"/>
      <c r="BLQ30" s="279"/>
      <c r="BLR30" s="279"/>
      <c r="BLS30" s="279"/>
      <c r="BLT30" s="279"/>
      <c r="BLU30" s="279"/>
      <c r="BLV30" s="279"/>
      <c r="BLW30" s="279"/>
      <c r="BLX30" s="279"/>
      <c r="BLY30" s="279"/>
      <c r="BLZ30" s="279"/>
      <c r="BMA30" s="279"/>
      <c r="BMB30" s="279"/>
      <c r="BMC30" s="279"/>
      <c r="BMD30" s="279"/>
      <c r="BME30" s="279"/>
      <c r="BMF30" s="279"/>
      <c r="BMG30" s="279"/>
      <c r="BMH30" s="279"/>
      <c r="BMI30" s="279"/>
      <c r="BMJ30" s="279"/>
      <c r="BMK30" s="279"/>
      <c r="BML30" s="279"/>
      <c r="BMM30" s="279"/>
      <c r="BMN30" s="279"/>
      <c r="BMO30" s="279"/>
      <c r="BMP30" s="279"/>
      <c r="BMQ30" s="279"/>
      <c r="BMR30" s="279"/>
      <c r="BMS30" s="279"/>
      <c r="BMT30" s="279"/>
      <c r="BMU30" s="279"/>
      <c r="BMV30" s="279"/>
      <c r="BMW30" s="279"/>
      <c r="BMX30" s="279"/>
      <c r="BMY30" s="279"/>
      <c r="BMZ30" s="279"/>
      <c r="BNA30" s="279"/>
      <c r="BNB30" s="279"/>
      <c r="BNC30" s="279"/>
      <c r="BND30" s="279"/>
      <c r="BNE30" s="279"/>
      <c r="BNF30" s="279"/>
      <c r="BNG30" s="279"/>
      <c r="BNH30" s="279"/>
      <c r="BNI30" s="279"/>
      <c r="BNJ30" s="279"/>
      <c r="BNK30" s="279"/>
      <c r="BNL30" s="279"/>
      <c r="BNM30" s="279"/>
      <c r="BNN30" s="279"/>
      <c r="BNO30" s="279"/>
      <c r="BNP30" s="279"/>
      <c r="BNQ30" s="279"/>
      <c r="BNR30" s="279"/>
      <c r="BNS30" s="279"/>
      <c r="BNT30" s="279"/>
      <c r="BNU30" s="279"/>
      <c r="BNV30" s="279"/>
      <c r="BNW30" s="279"/>
      <c r="BNX30" s="279"/>
      <c r="BNY30" s="279"/>
      <c r="BNZ30" s="279"/>
      <c r="BOA30" s="279"/>
      <c r="BOB30" s="279"/>
      <c r="BOC30" s="279"/>
      <c r="BOD30" s="279"/>
      <c r="BOE30" s="279"/>
      <c r="BOF30" s="279"/>
      <c r="BOG30" s="279"/>
      <c r="BOH30" s="279"/>
      <c r="BOI30" s="279"/>
      <c r="BOJ30" s="279"/>
      <c r="BOK30" s="279"/>
      <c r="BOL30" s="279"/>
      <c r="BOM30" s="279"/>
      <c r="BON30" s="279"/>
      <c r="BOO30" s="279"/>
      <c r="BOP30" s="279"/>
      <c r="BOQ30" s="279"/>
      <c r="BOR30" s="279"/>
      <c r="BOS30" s="279"/>
      <c r="BOT30" s="279"/>
      <c r="BOU30" s="279"/>
      <c r="BOV30" s="279"/>
      <c r="BOW30" s="279"/>
      <c r="BOX30" s="279"/>
      <c r="BOY30" s="279"/>
      <c r="BOZ30" s="279"/>
      <c r="BPA30" s="279"/>
      <c r="BPB30" s="279"/>
      <c r="BPC30" s="279"/>
      <c r="BPD30" s="279"/>
      <c r="BPE30" s="279"/>
      <c r="BPF30" s="279"/>
      <c r="BPG30" s="279"/>
      <c r="BPH30" s="279"/>
      <c r="BPI30" s="279"/>
      <c r="BPJ30" s="279"/>
      <c r="BPK30" s="279"/>
      <c r="BPL30" s="279"/>
      <c r="BPM30" s="279"/>
      <c r="BPN30" s="279"/>
      <c r="BPO30" s="279"/>
      <c r="BPP30" s="279"/>
      <c r="BPQ30" s="279"/>
      <c r="BPR30" s="279"/>
      <c r="BPS30" s="279"/>
      <c r="BPT30" s="279"/>
      <c r="BPU30" s="279"/>
      <c r="BPV30" s="279"/>
      <c r="BPW30" s="279"/>
      <c r="BPX30" s="279"/>
      <c r="BPY30" s="279"/>
      <c r="BPZ30" s="279"/>
      <c r="BQA30" s="279"/>
      <c r="BQB30" s="279"/>
      <c r="BQC30" s="279"/>
      <c r="BQD30" s="279"/>
      <c r="BQE30" s="279"/>
      <c r="BQF30" s="279"/>
      <c r="BQG30" s="279"/>
      <c r="BQH30" s="279"/>
      <c r="BQI30" s="279"/>
      <c r="BQJ30" s="279"/>
      <c r="BQK30" s="279"/>
      <c r="BQL30" s="279"/>
      <c r="BQM30" s="279"/>
      <c r="BQN30" s="279"/>
      <c r="BQO30" s="279"/>
      <c r="BQP30" s="279"/>
      <c r="BQQ30" s="279"/>
      <c r="BQR30" s="279"/>
      <c r="BQS30" s="279"/>
      <c r="BQT30" s="279"/>
      <c r="BQU30" s="279"/>
      <c r="BQV30" s="279"/>
      <c r="BQW30" s="279"/>
      <c r="BQX30" s="279"/>
      <c r="BQY30" s="279"/>
      <c r="BQZ30" s="279"/>
      <c r="BRA30" s="279"/>
      <c r="BRB30" s="279"/>
      <c r="BRC30" s="279"/>
      <c r="BRD30" s="279"/>
      <c r="BRE30" s="279"/>
      <c r="BRF30" s="279"/>
      <c r="BRG30" s="279"/>
      <c r="BRH30" s="279"/>
      <c r="BRI30" s="279"/>
      <c r="BRJ30" s="279"/>
      <c r="BRK30" s="279"/>
      <c r="BRL30" s="279"/>
      <c r="BRM30" s="279"/>
      <c r="BRN30" s="279"/>
      <c r="BRO30" s="279"/>
      <c r="BRP30" s="279"/>
      <c r="BRQ30" s="279"/>
      <c r="BRR30" s="279"/>
      <c r="BRS30" s="279"/>
      <c r="BRT30" s="279"/>
      <c r="BRU30" s="279"/>
      <c r="BRV30" s="279"/>
      <c r="BRW30" s="279"/>
      <c r="BRX30" s="279"/>
      <c r="BRY30" s="279"/>
      <c r="BRZ30" s="279"/>
      <c r="BSA30" s="279"/>
      <c r="BSB30" s="279"/>
      <c r="BSC30" s="279"/>
      <c r="BSD30" s="279"/>
      <c r="BSE30" s="279"/>
      <c r="BSF30" s="279"/>
      <c r="BSG30" s="279"/>
      <c r="BSH30" s="279"/>
      <c r="BSI30" s="279"/>
      <c r="BSJ30" s="279"/>
      <c r="BSK30" s="279"/>
      <c r="BSL30" s="279"/>
      <c r="BSM30" s="279"/>
      <c r="BSN30" s="279"/>
      <c r="BSO30" s="279"/>
      <c r="BSP30" s="279"/>
      <c r="BSQ30" s="279"/>
      <c r="BSR30" s="279"/>
      <c r="BSS30" s="279"/>
      <c r="BST30" s="279"/>
      <c r="BSU30" s="279"/>
      <c r="BSV30" s="279"/>
      <c r="BSW30" s="279"/>
      <c r="BSX30" s="279"/>
      <c r="BSY30" s="279"/>
      <c r="BSZ30" s="279"/>
      <c r="BTA30" s="279"/>
      <c r="BTB30" s="279"/>
      <c r="BTC30" s="279"/>
      <c r="BTD30" s="279"/>
      <c r="BTE30" s="279"/>
      <c r="BTF30" s="279"/>
      <c r="BTG30" s="279"/>
      <c r="BTH30" s="279"/>
      <c r="BTI30" s="279"/>
      <c r="BTJ30" s="279"/>
      <c r="BTK30" s="279"/>
      <c r="BTL30" s="279"/>
      <c r="BTM30" s="279"/>
      <c r="BTN30" s="279"/>
      <c r="BTO30" s="279"/>
      <c r="BTP30" s="279"/>
      <c r="BTQ30" s="279"/>
      <c r="BTR30" s="279"/>
      <c r="BTS30" s="279"/>
      <c r="BTT30" s="279"/>
      <c r="BTU30" s="279"/>
      <c r="BTV30" s="279"/>
      <c r="BTW30" s="279"/>
      <c r="BTX30" s="279"/>
      <c r="BTY30" s="279"/>
      <c r="BTZ30" s="279"/>
      <c r="BUA30" s="279"/>
      <c r="BUB30" s="279"/>
      <c r="BUC30" s="279"/>
      <c r="BUD30" s="279"/>
      <c r="BUE30" s="279"/>
      <c r="BUF30" s="279"/>
      <c r="BUG30" s="279"/>
      <c r="BUH30" s="279"/>
      <c r="BUI30" s="279"/>
      <c r="BUJ30" s="279"/>
      <c r="BUK30" s="279"/>
      <c r="BUL30" s="279"/>
      <c r="BUM30" s="279"/>
      <c r="BUN30" s="279"/>
      <c r="BUO30" s="279"/>
      <c r="BUP30" s="279"/>
      <c r="BUQ30" s="279"/>
      <c r="BUR30" s="279"/>
      <c r="BUS30" s="279"/>
      <c r="BUT30" s="279"/>
      <c r="BUU30" s="279"/>
      <c r="BUV30" s="279"/>
      <c r="BUW30" s="279"/>
      <c r="BUX30" s="279"/>
      <c r="BUY30" s="279"/>
      <c r="BUZ30" s="279"/>
      <c r="BVA30" s="279"/>
      <c r="BVB30" s="279"/>
      <c r="BVC30" s="279"/>
      <c r="BVD30" s="279"/>
      <c r="BVE30" s="279"/>
      <c r="BVF30" s="279"/>
      <c r="BVG30" s="279"/>
      <c r="BVH30" s="279"/>
      <c r="BVI30" s="279"/>
      <c r="BVJ30" s="279"/>
      <c r="BVK30" s="279"/>
      <c r="BVL30" s="279"/>
      <c r="BVM30" s="279"/>
      <c r="BVN30" s="279"/>
      <c r="BVO30" s="279"/>
      <c r="BVP30" s="279"/>
      <c r="BVQ30" s="279"/>
      <c r="BVR30" s="279"/>
      <c r="BVS30" s="279"/>
      <c r="BVT30" s="279"/>
      <c r="BVU30" s="279"/>
      <c r="BVV30" s="279"/>
      <c r="BVW30" s="279"/>
      <c r="BVX30" s="279"/>
      <c r="BVY30" s="279"/>
      <c r="BVZ30" s="279"/>
      <c r="BWA30" s="279"/>
      <c r="BWB30" s="279"/>
      <c r="BWC30" s="279"/>
      <c r="BWD30" s="279"/>
      <c r="BWE30" s="279"/>
      <c r="BWF30" s="279"/>
      <c r="BWG30" s="279"/>
      <c r="BWH30" s="279"/>
      <c r="BWI30" s="279"/>
      <c r="BWJ30" s="279"/>
      <c r="BWK30" s="279"/>
      <c r="BWL30" s="279"/>
      <c r="BWM30" s="279"/>
      <c r="BWN30" s="279"/>
      <c r="BWO30" s="279"/>
      <c r="BWP30" s="279"/>
      <c r="BWQ30" s="279"/>
      <c r="BWR30" s="279"/>
      <c r="BWS30" s="279"/>
      <c r="BWT30" s="279"/>
      <c r="BWU30" s="279"/>
      <c r="BWV30" s="279"/>
      <c r="BWW30" s="279"/>
      <c r="BWX30" s="279"/>
      <c r="BWY30" s="279"/>
      <c r="BWZ30" s="279"/>
      <c r="BXA30" s="279"/>
      <c r="BXB30" s="279"/>
      <c r="BXC30" s="279"/>
      <c r="BXD30" s="279"/>
      <c r="BXE30" s="279"/>
      <c r="BXF30" s="279"/>
      <c r="BXG30" s="279"/>
      <c r="BXH30" s="279"/>
      <c r="BXI30" s="279"/>
      <c r="BXJ30" s="279"/>
      <c r="BXK30" s="279"/>
      <c r="BXL30" s="279"/>
      <c r="BXM30" s="279"/>
      <c r="BXN30" s="279"/>
      <c r="BXO30" s="279"/>
      <c r="BXP30" s="279"/>
      <c r="BXQ30" s="279"/>
      <c r="BXR30" s="279"/>
      <c r="BXS30" s="279"/>
      <c r="BXT30" s="279"/>
      <c r="BXU30" s="279"/>
      <c r="BXV30" s="279"/>
      <c r="BXW30" s="279"/>
      <c r="BXX30" s="279"/>
      <c r="BXY30" s="279"/>
      <c r="BXZ30" s="279"/>
      <c r="BYA30" s="279"/>
      <c r="BYB30" s="279"/>
      <c r="BYC30" s="279"/>
      <c r="BYD30" s="279"/>
      <c r="BYE30" s="279"/>
      <c r="BYF30" s="279"/>
      <c r="BYG30" s="279"/>
      <c r="BYH30" s="279"/>
      <c r="BYI30" s="279"/>
      <c r="BYJ30" s="279"/>
      <c r="BYK30" s="279"/>
      <c r="BYL30" s="279"/>
      <c r="BYM30" s="279"/>
      <c r="BYN30" s="279"/>
      <c r="BYO30" s="279"/>
      <c r="BYP30" s="279"/>
      <c r="BYQ30" s="279"/>
      <c r="BYR30" s="279"/>
      <c r="BYS30" s="279"/>
      <c r="BYT30" s="279"/>
      <c r="BYU30" s="279"/>
      <c r="BYV30" s="279"/>
      <c r="BYW30" s="279"/>
      <c r="BYX30" s="279"/>
      <c r="BYY30" s="279"/>
      <c r="BYZ30" s="279"/>
      <c r="BZA30" s="279"/>
      <c r="BZB30" s="279"/>
      <c r="BZC30" s="279"/>
      <c r="BZD30" s="279"/>
      <c r="BZE30" s="279"/>
      <c r="BZF30" s="279"/>
      <c r="BZG30" s="279"/>
      <c r="BZH30" s="279"/>
      <c r="BZI30" s="279"/>
      <c r="BZJ30" s="279"/>
      <c r="BZK30" s="279"/>
      <c r="BZL30" s="279"/>
      <c r="BZM30" s="279"/>
      <c r="BZN30" s="279"/>
      <c r="BZO30" s="279"/>
      <c r="BZP30" s="279"/>
      <c r="BZQ30" s="279"/>
      <c r="BZR30" s="279"/>
      <c r="BZS30" s="279"/>
      <c r="BZT30" s="279"/>
      <c r="BZU30" s="279"/>
      <c r="BZV30" s="279"/>
      <c r="BZW30" s="279"/>
      <c r="BZX30" s="279"/>
      <c r="BZY30" s="279"/>
      <c r="BZZ30" s="279"/>
      <c r="CAA30" s="279"/>
      <c r="CAB30" s="279"/>
      <c r="CAC30" s="279"/>
      <c r="CAD30" s="279"/>
      <c r="CAE30" s="279"/>
      <c r="CAF30" s="279"/>
      <c r="CAG30" s="279"/>
      <c r="CAH30" s="279"/>
      <c r="CAI30" s="279"/>
      <c r="CAJ30" s="279"/>
      <c r="CAK30" s="279"/>
      <c r="CAL30" s="279"/>
      <c r="CAM30" s="279"/>
      <c r="CAN30" s="279"/>
      <c r="CAO30" s="279"/>
      <c r="CAP30" s="279"/>
      <c r="CAQ30" s="279"/>
      <c r="CAR30" s="279"/>
      <c r="CAS30" s="279"/>
      <c r="CAT30" s="279"/>
      <c r="CAU30" s="279"/>
      <c r="CAV30" s="279"/>
      <c r="CAW30" s="279"/>
      <c r="CAX30" s="279"/>
      <c r="CAY30" s="279"/>
      <c r="CAZ30" s="279"/>
      <c r="CBA30" s="279"/>
      <c r="CBB30" s="279"/>
      <c r="CBC30" s="279"/>
      <c r="CBD30" s="279"/>
      <c r="CBE30" s="279"/>
      <c r="CBF30" s="279"/>
      <c r="CBG30" s="279"/>
      <c r="CBH30" s="279"/>
      <c r="CBI30" s="279"/>
      <c r="CBJ30" s="279"/>
      <c r="CBK30" s="279"/>
      <c r="CBL30" s="279"/>
      <c r="CBM30" s="279"/>
      <c r="CBN30" s="279"/>
      <c r="CBO30" s="279"/>
      <c r="CBP30" s="279"/>
      <c r="CBQ30" s="279"/>
      <c r="CBR30" s="279"/>
      <c r="CBS30" s="279"/>
      <c r="CBT30" s="279"/>
      <c r="CBU30" s="279"/>
      <c r="CBV30" s="279"/>
      <c r="CBW30" s="279"/>
      <c r="CBX30" s="279"/>
      <c r="CBY30" s="279"/>
      <c r="CBZ30" s="279"/>
      <c r="CCA30" s="279"/>
      <c r="CCB30" s="279"/>
      <c r="CCC30" s="279"/>
      <c r="CCD30" s="279"/>
      <c r="CCE30" s="279"/>
      <c r="CCF30" s="279"/>
      <c r="CCG30" s="279"/>
      <c r="CCH30" s="279"/>
      <c r="CCI30" s="279"/>
      <c r="CCJ30" s="279"/>
      <c r="CCK30" s="279"/>
      <c r="CCL30" s="279"/>
      <c r="CCM30" s="279"/>
      <c r="CCN30" s="279"/>
      <c r="CCO30" s="279"/>
      <c r="CCP30" s="279"/>
      <c r="CCQ30" s="279"/>
      <c r="CCR30" s="279"/>
      <c r="CCS30" s="279"/>
      <c r="CCT30" s="279"/>
      <c r="CCU30" s="279"/>
      <c r="CCV30" s="279"/>
      <c r="CCW30" s="279"/>
      <c r="CCX30" s="279"/>
      <c r="CCY30" s="279"/>
      <c r="CCZ30" s="279"/>
      <c r="CDA30" s="279"/>
      <c r="CDB30" s="279"/>
      <c r="CDC30" s="279"/>
      <c r="CDD30" s="279"/>
      <c r="CDE30" s="279"/>
      <c r="CDF30" s="279"/>
      <c r="CDG30" s="279"/>
      <c r="CDH30" s="279"/>
      <c r="CDI30" s="279"/>
      <c r="CDJ30" s="279"/>
      <c r="CDK30" s="279"/>
      <c r="CDL30" s="279"/>
      <c r="CDM30" s="279"/>
      <c r="CDN30" s="279"/>
      <c r="CDO30" s="279"/>
      <c r="CDP30" s="279"/>
      <c r="CDQ30" s="279"/>
      <c r="CDR30" s="279"/>
      <c r="CDS30" s="279"/>
      <c r="CDT30" s="279"/>
      <c r="CDU30" s="279"/>
      <c r="CDV30" s="279"/>
      <c r="CDW30" s="279"/>
      <c r="CDX30" s="279"/>
      <c r="CDY30" s="279"/>
      <c r="CDZ30" s="279"/>
      <c r="CEA30" s="279"/>
      <c r="CEB30" s="279"/>
      <c r="CEC30" s="279"/>
      <c r="CED30" s="279"/>
      <c r="CEE30" s="279"/>
      <c r="CEF30" s="279"/>
      <c r="CEG30" s="279"/>
      <c r="CEH30" s="279"/>
      <c r="CEI30" s="279"/>
      <c r="CEJ30" s="279"/>
      <c r="CEK30" s="279"/>
      <c r="CEL30" s="279"/>
      <c r="CEM30" s="279"/>
      <c r="CEN30" s="279"/>
      <c r="CEO30" s="279"/>
      <c r="CEP30" s="279"/>
      <c r="CEQ30" s="279"/>
      <c r="CER30" s="279"/>
      <c r="CES30" s="279"/>
      <c r="CET30" s="279"/>
      <c r="CEU30" s="279"/>
      <c r="CEV30" s="279"/>
      <c r="CEW30" s="279"/>
      <c r="CEX30" s="279"/>
      <c r="CEY30" s="279"/>
      <c r="CEZ30" s="279"/>
      <c r="CFA30" s="279"/>
      <c r="CFB30" s="279"/>
      <c r="CFC30" s="279"/>
      <c r="CFD30" s="279"/>
      <c r="CFE30" s="279"/>
      <c r="CFF30" s="279"/>
      <c r="CFG30" s="279"/>
      <c r="CFH30" s="279"/>
      <c r="CFI30" s="279"/>
      <c r="CFJ30" s="279"/>
      <c r="CFK30" s="279"/>
      <c r="CFL30" s="279"/>
      <c r="CFM30" s="279"/>
      <c r="CFN30" s="279"/>
      <c r="CFO30" s="279"/>
      <c r="CFP30" s="279"/>
      <c r="CFQ30" s="279"/>
      <c r="CFR30" s="279"/>
      <c r="CFS30" s="279"/>
      <c r="CFT30" s="279"/>
      <c r="CFU30" s="279"/>
      <c r="CFV30" s="279"/>
      <c r="CFW30" s="279"/>
      <c r="CFX30" s="279"/>
      <c r="CFY30" s="279"/>
      <c r="CFZ30" s="279"/>
      <c r="CGA30" s="279"/>
      <c r="CGB30" s="279"/>
      <c r="CGC30" s="279"/>
      <c r="CGD30" s="279"/>
      <c r="CGE30" s="279"/>
      <c r="CGF30" s="279"/>
      <c r="CGG30" s="279"/>
      <c r="CGH30" s="279"/>
      <c r="CGI30" s="279"/>
      <c r="CGJ30" s="279"/>
      <c r="CGK30" s="279"/>
      <c r="CGL30" s="279"/>
      <c r="CGM30" s="279"/>
      <c r="CGN30" s="279"/>
      <c r="CGO30" s="279"/>
      <c r="CGP30" s="279"/>
      <c r="CGQ30" s="279"/>
      <c r="CGR30" s="279"/>
      <c r="CGS30" s="279"/>
      <c r="CGT30" s="279"/>
      <c r="CGU30" s="279"/>
      <c r="CGV30" s="279"/>
      <c r="CGW30" s="279"/>
      <c r="CGX30" s="279"/>
      <c r="CGY30" s="279"/>
      <c r="CGZ30" s="279"/>
      <c r="CHA30" s="279"/>
      <c r="CHB30" s="279"/>
      <c r="CHC30" s="279"/>
      <c r="CHD30" s="279"/>
      <c r="CHE30" s="279"/>
      <c r="CHF30" s="279"/>
      <c r="CHG30" s="279"/>
      <c r="CHH30" s="279"/>
      <c r="CHI30" s="279"/>
      <c r="CHJ30" s="279"/>
      <c r="CHK30" s="279"/>
      <c r="CHL30" s="279"/>
      <c r="CHM30" s="279"/>
      <c r="CHN30" s="279"/>
      <c r="CHO30" s="279"/>
      <c r="CHP30" s="279"/>
      <c r="CHQ30" s="279"/>
      <c r="CHR30" s="279"/>
      <c r="CHS30" s="279"/>
      <c r="CHT30" s="279"/>
      <c r="CHU30" s="279"/>
      <c r="CHV30" s="279"/>
      <c r="CHW30" s="279"/>
      <c r="CHX30" s="279"/>
      <c r="CHY30" s="279"/>
      <c r="CHZ30" s="279"/>
      <c r="CIA30" s="279"/>
      <c r="CIB30" s="279"/>
      <c r="CIC30" s="279"/>
      <c r="CID30" s="279"/>
      <c r="CIE30" s="279"/>
      <c r="CIF30" s="279"/>
      <c r="CIG30" s="279"/>
      <c r="CIH30" s="279"/>
      <c r="CII30" s="279"/>
      <c r="CIJ30" s="279"/>
      <c r="CIK30" s="279"/>
      <c r="CIL30" s="279"/>
      <c r="CIM30" s="279"/>
      <c r="CIN30" s="279"/>
      <c r="CIO30" s="279"/>
      <c r="CIP30" s="279"/>
      <c r="CIQ30" s="279"/>
      <c r="CIR30" s="279"/>
      <c r="CIS30" s="279"/>
      <c r="CIT30" s="279"/>
      <c r="CIU30" s="279"/>
      <c r="CIV30" s="279"/>
      <c r="CIW30" s="279"/>
      <c r="CIX30" s="279"/>
      <c r="CIY30" s="279"/>
      <c r="CIZ30" s="279"/>
      <c r="CJA30" s="279"/>
      <c r="CJB30" s="279"/>
      <c r="CJC30" s="279"/>
      <c r="CJD30" s="279"/>
      <c r="CJE30" s="279"/>
      <c r="CJF30" s="279"/>
      <c r="CJG30" s="279"/>
      <c r="CJH30" s="279"/>
      <c r="CJI30" s="279"/>
      <c r="CJJ30" s="279"/>
      <c r="CJK30" s="279"/>
      <c r="CJL30" s="279"/>
      <c r="CJM30" s="279"/>
      <c r="CJN30" s="279"/>
      <c r="CJO30" s="279"/>
      <c r="CJP30" s="279"/>
      <c r="CJQ30" s="279"/>
      <c r="CJR30" s="279"/>
      <c r="CJS30" s="279"/>
      <c r="CJT30" s="279"/>
      <c r="CJU30" s="279"/>
      <c r="CJV30" s="279"/>
      <c r="CJW30" s="279"/>
      <c r="CJX30" s="279"/>
      <c r="CJY30" s="279"/>
      <c r="CJZ30" s="279"/>
      <c r="CKA30" s="279"/>
      <c r="CKB30" s="279"/>
      <c r="CKC30" s="279"/>
      <c r="CKD30" s="279"/>
      <c r="CKE30" s="279"/>
      <c r="CKF30" s="279"/>
      <c r="CKG30" s="279"/>
      <c r="CKH30" s="279"/>
      <c r="CKI30" s="279"/>
      <c r="CKJ30" s="279"/>
      <c r="CKK30" s="279"/>
      <c r="CKL30" s="279"/>
      <c r="CKM30" s="279"/>
      <c r="CKN30" s="279"/>
      <c r="CKO30" s="279"/>
      <c r="CKP30" s="279"/>
      <c r="CKQ30" s="279"/>
      <c r="CKR30" s="279"/>
      <c r="CKS30" s="279"/>
      <c r="CKT30" s="279"/>
      <c r="CKU30" s="279"/>
      <c r="CKV30" s="279"/>
      <c r="CKW30" s="279"/>
      <c r="CKX30" s="279"/>
      <c r="CKY30" s="279"/>
      <c r="CKZ30" s="279"/>
      <c r="CLA30" s="279"/>
      <c r="CLB30" s="279"/>
      <c r="CLC30" s="279"/>
      <c r="CLD30" s="279"/>
      <c r="CLE30" s="279"/>
      <c r="CLF30" s="279"/>
      <c r="CLG30" s="279"/>
      <c r="CLH30" s="279"/>
      <c r="CLI30" s="279"/>
      <c r="CLJ30" s="279"/>
      <c r="CLK30" s="279"/>
      <c r="CLL30" s="279"/>
      <c r="CLM30" s="279"/>
      <c r="CLN30" s="279"/>
      <c r="CLO30" s="279"/>
      <c r="CLP30" s="279"/>
      <c r="CLQ30" s="279"/>
      <c r="CLR30" s="279"/>
      <c r="CLS30" s="279"/>
      <c r="CLT30" s="279"/>
      <c r="CLU30" s="279"/>
      <c r="CLV30" s="279"/>
      <c r="CLW30" s="279"/>
      <c r="CLX30" s="279"/>
      <c r="CLY30" s="279"/>
      <c r="CLZ30" s="279"/>
      <c r="CMA30" s="279"/>
      <c r="CMB30" s="279"/>
      <c r="CMC30" s="279"/>
      <c r="CMD30" s="279"/>
      <c r="CME30" s="279"/>
      <c r="CMF30" s="279"/>
      <c r="CMG30" s="279"/>
      <c r="CMH30" s="279"/>
      <c r="CMI30" s="279"/>
      <c r="CMJ30" s="279"/>
      <c r="CMK30" s="279"/>
      <c r="CML30" s="279"/>
      <c r="CMM30" s="279"/>
      <c r="CMN30" s="279"/>
      <c r="CMO30" s="279"/>
      <c r="CMP30" s="279"/>
      <c r="CMQ30" s="279"/>
      <c r="CMR30" s="279"/>
      <c r="CMS30" s="279"/>
      <c r="CMT30" s="279"/>
      <c r="CMU30" s="279"/>
      <c r="CMV30" s="279"/>
      <c r="CMW30" s="279"/>
      <c r="CMX30" s="279"/>
      <c r="CMY30" s="279"/>
      <c r="CMZ30" s="279"/>
      <c r="CNA30" s="279"/>
      <c r="CNB30" s="279"/>
      <c r="CNC30" s="279"/>
      <c r="CND30" s="279"/>
      <c r="CNE30" s="279"/>
      <c r="CNF30" s="279"/>
      <c r="CNG30" s="279"/>
      <c r="CNH30" s="279"/>
      <c r="CNI30" s="279"/>
      <c r="CNJ30" s="279"/>
      <c r="CNK30" s="279"/>
      <c r="CNL30" s="279"/>
      <c r="CNM30" s="279"/>
      <c r="CNN30" s="279"/>
      <c r="CNO30" s="279"/>
      <c r="CNP30" s="279"/>
      <c r="CNQ30" s="279"/>
      <c r="CNR30" s="279"/>
      <c r="CNS30" s="279"/>
      <c r="CNT30" s="279"/>
      <c r="CNU30" s="279"/>
      <c r="CNV30" s="279"/>
      <c r="CNW30" s="279"/>
      <c r="CNX30" s="279"/>
      <c r="CNY30" s="279"/>
      <c r="CNZ30" s="279"/>
      <c r="COA30" s="279"/>
      <c r="COB30" s="279"/>
      <c r="COC30" s="279"/>
      <c r="COD30" s="279"/>
      <c r="COE30" s="279"/>
      <c r="COF30" s="279"/>
      <c r="COG30" s="279"/>
      <c r="COH30" s="279"/>
      <c r="COI30" s="279"/>
      <c r="COJ30" s="279"/>
      <c r="COK30" s="279"/>
      <c r="COL30" s="279"/>
      <c r="COM30" s="279"/>
      <c r="CON30" s="279"/>
      <c r="COO30" s="279"/>
      <c r="COP30" s="279"/>
      <c r="COQ30" s="279"/>
      <c r="COR30" s="279"/>
      <c r="COS30" s="279"/>
      <c r="COT30" s="279"/>
      <c r="COU30" s="279"/>
      <c r="COV30" s="279"/>
      <c r="COW30" s="279"/>
      <c r="COX30" s="279"/>
      <c r="COY30" s="279"/>
      <c r="COZ30" s="279"/>
      <c r="CPA30" s="279"/>
      <c r="CPB30" s="279"/>
      <c r="CPC30" s="279"/>
      <c r="CPD30" s="279"/>
      <c r="CPE30" s="279"/>
      <c r="CPF30" s="279"/>
      <c r="CPG30" s="279"/>
      <c r="CPH30" s="279"/>
      <c r="CPI30" s="279"/>
      <c r="CPJ30" s="279"/>
      <c r="CPK30" s="279"/>
      <c r="CPL30" s="279"/>
      <c r="CPM30" s="279"/>
      <c r="CPN30" s="279"/>
      <c r="CPO30" s="279"/>
      <c r="CPP30" s="279"/>
      <c r="CPQ30" s="279"/>
      <c r="CPR30" s="279"/>
      <c r="CPS30" s="279"/>
      <c r="CPT30" s="279"/>
      <c r="CPU30" s="279"/>
      <c r="CPV30" s="279"/>
      <c r="CPW30" s="279"/>
      <c r="CPX30" s="279"/>
      <c r="CPY30" s="279"/>
      <c r="CPZ30" s="279"/>
      <c r="CQA30" s="279"/>
      <c r="CQB30" s="279"/>
      <c r="CQC30" s="279"/>
      <c r="CQD30" s="279"/>
      <c r="CQE30" s="279"/>
      <c r="CQF30" s="279"/>
      <c r="CQG30" s="279"/>
      <c r="CQH30" s="279"/>
      <c r="CQI30" s="279"/>
      <c r="CQJ30" s="279"/>
      <c r="CQK30" s="279"/>
      <c r="CQL30" s="279"/>
      <c r="CQM30" s="279"/>
      <c r="CQN30" s="279"/>
      <c r="CQO30" s="279"/>
      <c r="CQP30" s="279"/>
      <c r="CQQ30" s="279"/>
      <c r="CQR30" s="279"/>
      <c r="CQS30" s="279"/>
      <c r="CQT30" s="279"/>
      <c r="CQU30" s="279"/>
      <c r="CQV30" s="279"/>
      <c r="CQW30" s="279"/>
      <c r="CQX30" s="279"/>
      <c r="CQY30" s="279"/>
      <c r="CQZ30" s="279"/>
      <c r="CRA30" s="279"/>
      <c r="CRB30" s="279"/>
      <c r="CRC30" s="279"/>
      <c r="CRD30" s="279"/>
      <c r="CRE30" s="279"/>
      <c r="CRF30" s="279"/>
      <c r="CRG30" s="279"/>
      <c r="CRH30" s="279"/>
      <c r="CRI30" s="279"/>
      <c r="CRJ30" s="279"/>
      <c r="CRK30" s="279"/>
      <c r="CRL30" s="279"/>
      <c r="CRM30" s="279"/>
      <c r="CRN30" s="279"/>
      <c r="CRO30" s="279"/>
      <c r="CRP30" s="279"/>
      <c r="CRQ30" s="279"/>
      <c r="CRR30" s="279"/>
      <c r="CRS30" s="279"/>
      <c r="CRT30" s="279"/>
      <c r="CRU30" s="279"/>
      <c r="CRV30" s="279"/>
      <c r="CRW30" s="279"/>
      <c r="CRX30" s="279"/>
      <c r="CRY30" s="279"/>
      <c r="CRZ30" s="279"/>
      <c r="CSA30" s="279"/>
      <c r="CSB30" s="279"/>
      <c r="CSC30" s="279"/>
      <c r="CSD30" s="279"/>
      <c r="CSE30" s="279"/>
      <c r="CSF30" s="279"/>
      <c r="CSG30" s="279"/>
      <c r="CSH30" s="279"/>
      <c r="CSI30" s="279"/>
      <c r="CSJ30" s="279"/>
      <c r="CSK30" s="279"/>
      <c r="CSL30" s="279"/>
      <c r="CSM30" s="279"/>
      <c r="CSN30" s="279"/>
      <c r="CSO30" s="279"/>
      <c r="CSP30" s="279"/>
      <c r="CSQ30" s="279"/>
      <c r="CSR30" s="279"/>
      <c r="CSS30" s="279"/>
      <c r="CST30" s="279"/>
      <c r="CSU30" s="279"/>
      <c r="CSV30" s="279"/>
      <c r="CSW30" s="279"/>
      <c r="CSX30" s="279"/>
      <c r="CSY30" s="279"/>
      <c r="CSZ30" s="279"/>
      <c r="CTA30" s="279"/>
      <c r="CTB30" s="279"/>
      <c r="CTC30" s="279"/>
      <c r="CTD30" s="279"/>
      <c r="CTE30" s="279"/>
      <c r="CTF30" s="279"/>
      <c r="CTG30" s="279"/>
      <c r="CTH30" s="279"/>
      <c r="CTI30" s="279"/>
      <c r="CTJ30" s="279"/>
      <c r="CTK30" s="279"/>
      <c r="CTL30" s="279"/>
      <c r="CTM30" s="279"/>
      <c r="CTN30" s="279"/>
      <c r="CTO30" s="279"/>
      <c r="CTP30" s="279"/>
      <c r="CTQ30" s="279"/>
      <c r="CTR30" s="279"/>
      <c r="CTS30" s="279"/>
      <c r="CTT30" s="279"/>
      <c r="CTU30" s="279"/>
      <c r="CTV30" s="279"/>
      <c r="CTW30" s="279"/>
      <c r="CTX30" s="279"/>
      <c r="CTY30" s="279"/>
      <c r="CTZ30" s="279"/>
      <c r="CUA30" s="279"/>
      <c r="CUB30" s="279"/>
      <c r="CUC30" s="279"/>
      <c r="CUD30" s="279"/>
      <c r="CUE30" s="279"/>
      <c r="CUF30" s="279"/>
      <c r="CUG30" s="279"/>
      <c r="CUH30" s="279"/>
      <c r="CUI30" s="279"/>
      <c r="CUJ30" s="279"/>
      <c r="CUK30" s="279"/>
      <c r="CUL30" s="279"/>
      <c r="CUM30" s="279"/>
      <c r="CUN30" s="279"/>
      <c r="CUO30" s="279"/>
      <c r="CUP30" s="279"/>
      <c r="CUQ30" s="279"/>
      <c r="CUR30" s="279"/>
      <c r="CUS30" s="279"/>
      <c r="CUT30" s="279"/>
      <c r="CUU30" s="279"/>
      <c r="CUV30" s="279"/>
      <c r="CUW30" s="279"/>
      <c r="CUX30" s="279"/>
      <c r="CUY30" s="279"/>
      <c r="CUZ30" s="279"/>
      <c r="CVA30" s="279"/>
      <c r="CVB30" s="279"/>
      <c r="CVC30" s="279"/>
      <c r="CVD30" s="279"/>
      <c r="CVE30" s="279"/>
      <c r="CVF30" s="279"/>
      <c r="CVG30" s="279"/>
      <c r="CVH30" s="279"/>
      <c r="CVI30" s="279"/>
      <c r="CVJ30" s="279"/>
      <c r="CVK30" s="279"/>
      <c r="CVL30" s="279"/>
      <c r="CVM30" s="279"/>
      <c r="CVN30" s="279"/>
      <c r="CVO30" s="279"/>
      <c r="CVP30" s="279"/>
      <c r="CVQ30" s="279"/>
      <c r="CVR30" s="279"/>
      <c r="CVS30" s="279"/>
      <c r="CVT30" s="279"/>
      <c r="CVU30" s="279"/>
      <c r="CVV30" s="279"/>
      <c r="CVW30" s="279"/>
      <c r="CVX30" s="279"/>
      <c r="CVY30" s="279"/>
      <c r="CVZ30" s="279"/>
      <c r="CWA30" s="279"/>
      <c r="CWB30" s="279"/>
      <c r="CWC30" s="279"/>
      <c r="CWD30" s="279"/>
      <c r="CWE30" s="279"/>
      <c r="CWF30" s="279"/>
      <c r="CWG30" s="279"/>
      <c r="CWH30" s="279"/>
      <c r="CWI30" s="279"/>
      <c r="CWJ30" s="279"/>
      <c r="CWK30" s="279"/>
      <c r="CWL30" s="279"/>
      <c r="CWM30" s="279"/>
      <c r="CWN30" s="279"/>
      <c r="CWO30" s="279"/>
      <c r="CWP30" s="279"/>
      <c r="CWQ30" s="279"/>
      <c r="CWR30" s="279"/>
      <c r="CWS30" s="279"/>
      <c r="CWT30" s="279"/>
      <c r="CWU30" s="279"/>
      <c r="CWV30" s="279"/>
      <c r="CWW30" s="279"/>
      <c r="CWX30" s="279"/>
      <c r="CWY30" s="279"/>
      <c r="CWZ30" s="279"/>
      <c r="CXA30" s="279"/>
      <c r="CXB30" s="279"/>
      <c r="CXC30" s="279"/>
      <c r="CXD30" s="279"/>
      <c r="CXE30" s="279"/>
      <c r="CXF30" s="279"/>
      <c r="CXG30" s="279"/>
      <c r="CXH30" s="279"/>
      <c r="CXI30" s="279"/>
      <c r="CXJ30" s="279"/>
      <c r="CXK30" s="279"/>
      <c r="CXL30" s="279"/>
      <c r="CXM30" s="279"/>
      <c r="CXN30" s="279"/>
      <c r="CXO30" s="279"/>
      <c r="CXP30" s="279"/>
      <c r="CXQ30" s="279"/>
      <c r="CXR30" s="279"/>
      <c r="CXS30" s="279"/>
      <c r="CXT30" s="279"/>
      <c r="CXU30" s="279"/>
      <c r="CXV30" s="279"/>
      <c r="CXW30" s="279"/>
      <c r="CXX30" s="279"/>
      <c r="CXY30" s="279"/>
      <c r="CXZ30" s="279"/>
      <c r="CYA30" s="279"/>
      <c r="CYB30" s="279"/>
      <c r="CYC30" s="279"/>
      <c r="CYD30" s="279"/>
      <c r="CYE30" s="279"/>
      <c r="CYF30" s="279"/>
      <c r="CYG30" s="279"/>
      <c r="CYH30" s="279"/>
      <c r="CYI30" s="279"/>
      <c r="CYJ30" s="279"/>
      <c r="CYK30" s="279"/>
      <c r="CYL30" s="279"/>
      <c r="CYM30" s="279"/>
      <c r="CYN30" s="279"/>
      <c r="CYO30" s="279"/>
      <c r="CYP30" s="279"/>
      <c r="CYQ30" s="279"/>
      <c r="CYR30" s="279"/>
      <c r="CYS30" s="279"/>
      <c r="CYT30" s="279"/>
      <c r="CYU30" s="279"/>
      <c r="CYV30" s="279"/>
      <c r="CYW30" s="279"/>
      <c r="CYX30" s="279"/>
      <c r="CYY30" s="279"/>
      <c r="CYZ30" s="279"/>
      <c r="CZA30" s="279"/>
      <c r="CZB30" s="279"/>
      <c r="CZC30" s="279"/>
      <c r="CZD30" s="279"/>
      <c r="CZE30" s="279"/>
      <c r="CZF30" s="279"/>
      <c r="CZG30" s="279"/>
      <c r="CZH30" s="279"/>
      <c r="CZI30" s="279"/>
      <c r="CZJ30" s="279"/>
      <c r="CZK30" s="279"/>
      <c r="CZL30" s="279"/>
      <c r="CZM30" s="279"/>
      <c r="CZN30" s="279"/>
      <c r="CZO30" s="279"/>
      <c r="CZP30" s="279"/>
      <c r="CZQ30" s="279"/>
      <c r="CZR30" s="279"/>
      <c r="CZS30" s="279"/>
      <c r="CZT30" s="279"/>
      <c r="CZU30" s="279"/>
      <c r="CZV30" s="279"/>
      <c r="CZW30" s="279"/>
      <c r="CZX30" s="279"/>
      <c r="CZY30" s="279"/>
      <c r="CZZ30" s="279"/>
      <c r="DAA30" s="279"/>
      <c r="DAB30" s="279"/>
      <c r="DAC30" s="279"/>
      <c r="DAD30" s="279"/>
      <c r="DAE30" s="279"/>
      <c r="DAF30" s="279"/>
      <c r="DAG30" s="279"/>
      <c r="DAH30" s="279"/>
      <c r="DAI30" s="279"/>
      <c r="DAJ30" s="279"/>
      <c r="DAK30" s="279"/>
      <c r="DAL30" s="279"/>
      <c r="DAM30" s="279"/>
      <c r="DAN30" s="279"/>
      <c r="DAO30" s="279"/>
      <c r="DAP30" s="279"/>
      <c r="DAQ30" s="279"/>
      <c r="DAR30" s="279"/>
      <c r="DAS30" s="279"/>
      <c r="DAT30" s="279"/>
      <c r="DAU30" s="279"/>
      <c r="DAV30" s="279"/>
      <c r="DAW30" s="279"/>
      <c r="DAX30" s="279"/>
      <c r="DAY30" s="279"/>
      <c r="DAZ30" s="279"/>
      <c r="DBA30" s="279"/>
      <c r="DBB30" s="279"/>
      <c r="DBC30" s="279"/>
      <c r="DBD30" s="279"/>
      <c r="DBE30" s="279"/>
      <c r="DBF30" s="279"/>
      <c r="DBG30" s="279"/>
      <c r="DBH30" s="279"/>
      <c r="DBI30" s="279"/>
      <c r="DBJ30" s="279"/>
      <c r="DBK30" s="279"/>
      <c r="DBL30" s="279"/>
      <c r="DBM30" s="279"/>
      <c r="DBN30" s="279"/>
      <c r="DBO30" s="279"/>
      <c r="DBP30" s="279"/>
      <c r="DBQ30" s="279"/>
      <c r="DBR30" s="279"/>
      <c r="DBS30" s="279"/>
      <c r="DBT30" s="279"/>
      <c r="DBU30" s="279"/>
      <c r="DBV30" s="279"/>
      <c r="DBW30" s="279"/>
      <c r="DBX30" s="279"/>
      <c r="DBY30" s="279"/>
      <c r="DBZ30" s="279"/>
      <c r="DCA30" s="279"/>
      <c r="DCB30" s="279"/>
      <c r="DCC30" s="279"/>
      <c r="DCD30" s="279"/>
      <c r="DCE30" s="279"/>
      <c r="DCF30" s="279"/>
      <c r="DCG30" s="279"/>
      <c r="DCH30" s="279"/>
      <c r="DCI30" s="279"/>
      <c r="DCJ30" s="279"/>
      <c r="DCK30" s="279"/>
      <c r="DCL30" s="279"/>
      <c r="DCM30" s="279"/>
      <c r="DCN30" s="279"/>
      <c r="DCO30" s="279"/>
      <c r="DCP30" s="279"/>
      <c r="DCQ30" s="279"/>
      <c r="DCR30" s="279"/>
      <c r="DCS30" s="279"/>
      <c r="DCT30" s="279"/>
      <c r="DCU30" s="279"/>
      <c r="DCV30" s="279"/>
      <c r="DCW30" s="279"/>
      <c r="DCX30" s="279"/>
      <c r="DCY30" s="279"/>
      <c r="DCZ30" s="279"/>
      <c r="DDA30" s="279"/>
      <c r="DDB30" s="279"/>
      <c r="DDC30" s="279"/>
      <c r="DDD30" s="279"/>
      <c r="DDE30" s="279"/>
      <c r="DDF30" s="279"/>
      <c r="DDG30" s="279"/>
      <c r="DDH30" s="279"/>
      <c r="DDI30" s="279"/>
      <c r="DDJ30" s="279"/>
      <c r="DDK30" s="279"/>
      <c r="DDL30" s="279"/>
      <c r="DDM30" s="279"/>
      <c r="DDN30" s="279"/>
      <c r="DDO30" s="279"/>
      <c r="DDP30" s="279"/>
      <c r="DDQ30" s="279"/>
      <c r="DDR30" s="279"/>
      <c r="DDS30" s="279"/>
      <c r="DDT30" s="279"/>
      <c r="DDU30" s="279"/>
      <c r="DDV30" s="279"/>
      <c r="DDW30" s="279"/>
      <c r="DDX30" s="279"/>
      <c r="DDY30" s="279"/>
      <c r="DDZ30" s="279"/>
      <c r="DEA30" s="279"/>
      <c r="DEB30" s="279"/>
      <c r="DEC30" s="279"/>
      <c r="DED30" s="279"/>
      <c r="DEE30" s="279"/>
      <c r="DEF30" s="279"/>
      <c r="DEG30" s="279"/>
      <c r="DEH30" s="279"/>
      <c r="DEI30" s="279"/>
      <c r="DEJ30" s="279"/>
      <c r="DEK30" s="279"/>
      <c r="DEL30" s="279"/>
      <c r="DEM30" s="279"/>
      <c r="DEN30" s="279"/>
      <c r="DEO30" s="279"/>
      <c r="DEP30" s="279"/>
      <c r="DEQ30" s="279"/>
      <c r="DER30" s="279"/>
      <c r="DES30" s="279"/>
      <c r="DET30" s="279"/>
      <c r="DEU30" s="279"/>
      <c r="DEV30" s="279"/>
      <c r="DEW30" s="279"/>
      <c r="DEX30" s="279"/>
      <c r="DEY30" s="279"/>
      <c r="DEZ30" s="279"/>
      <c r="DFA30" s="279"/>
      <c r="DFB30" s="279"/>
      <c r="DFC30" s="279"/>
      <c r="DFD30" s="279"/>
      <c r="DFE30" s="279"/>
      <c r="DFF30" s="279"/>
      <c r="DFG30" s="279"/>
      <c r="DFH30" s="279"/>
      <c r="DFI30" s="279"/>
      <c r="DFJ30" s="279"/>
      <c r="DFK30" s="279"/>
      <c r="DFL30" s="279"/>
      <c r="DFM30" s="279"/>
      <c r="DFN30" s="279"/>
      <c r="DFO30" s="279"/>
      <c r="DFP30" s="279"/>
      <c r="DFQ30" s="279"/>
      <c r="DFR30" s="279"/>
      <c r="DFS30" s="279"/>
      <c r="DFT30" s="279"/>
      <c r="DFU30" s="279"/>
      <c r="DFV30" s="279"/>
      <c r="DFW30" s="279"/>
      <c r="DFX30" s="279"/>
      <c r="DFY30" s="279"/>
      <c r="DFZ30" s="279"/>
      <c r="DGA30" s="279"/>
      <c r="DGB30" s="279"/>
      <c r="DGC30" s="279"/>
      <c r="DGD30" s="279"/>
      <c r="DGE30" s="279"/>
      <c r="DGF30" s="279"/>
      <c r="DGG30" s="279"/>
      <c r="DGH30" s="279"/>
      <c r="DGI30" s="279"/>
      <c r="DGJ30" s="279"/>
      <c r="DGK30" s="279"/>
      <c r="DGL30" s="279"/>
      <c r="DGM30" s="279"/>
      <c r="DGN30" s="279"/>
      <c r="DGO30" s="279"/>
      <c r="DGP30" s="279"/>
      <c r="DGQ30" s="279"/>
      <c r="DGR30" s="279"/>
      <c r="DGS30" s="279"/>
      <c r="DGT30" s="279"/>
      <c r="DGU30" s="279"/>
      <c r="DGV30" s="279"/>
      <c r="DGW30" s="279"/>
      <c r="DGX30" s="279"/>
      <c r="DGY30" s="279"/>
      <c r="DGZ30" s="279"/>
      <c r="DHA30" s="279"/>
      <c r="DHB30" s="279"/>
      <c r="DHC30" s="279"/>
      <c r="DHD30" s="279"/>
      <c r="DHE30" s="279"/>
      <c r="DHF30" s="279"/>
      <c r="DHG30" s="279"/>
      <c r="DHH30" s="279"/>
      <c r="DHI30" s="279"/>
      <c r="DHJ30" s="279"/>
      <c r="DHK30" s="279"/>
      <c r="DHL30" s="279"/>
      <c r="DHM30" s="279"/>
      <c r="DHN30" s="279"/>
      <c r="DHO30" s="279"/>
      <c r="DHP30" s="279"/>
      <c r="DHQ30" s="279"/>
      <c r="DHR30" s="279"/>
      <c r="DHS30" s="279"/>
      <c r="DHT30" s="279"/>
      <c r="DHU30" s="279"/>
      <c r="DHV30" s="279"/>
      <c r="DHW30" s="279"/>
      <c r="DHX30" s="279"/>
      <c r="DHY30" s="279"/>
      <c r="DHZ30" s="279"/>
      <c r="DIA30" s="279"/>
      <c r="DIB30" s="279"/>
      <c r="DIC30" s="279"/>
      <c r="DID30" s="279"/>
      <c r="DIE30" s="279"/>
      <c r="DIF30" s="279"/>
      <c r="DIG30" s="279"/>
      <c r="DIH30" s="279"/>
      <c r="DII30" s="279"/>
      <c r="DIJ30" s="279"/>
      <c r="DIK30" s="279"/>
      <c r="DIL30" s="279"/>
      <c r="DIM30" s="279"/>
      <c r="DIN30" s="279"/>
      <c r="DIO30" s="279"/>
      <c r="DIP30" s="279"/>
      <c r="DIQ30" s="279"/>
      <c r="DIR30" s="279"/>
      <c r="DIS30" s="279"/>
      <c r="DIT30" s="279"/>
      <c r="DIU30" s="279"/>
      <c r="DIV30" s="279"/>
      <c r="DIW30" s="279"/>
      <c r="DIX30" s="279"/>
      <c r="DIY30" s="279"/>
      <c r="DIZ30" s="279"/>
      <c r="DJA30" s="279"/>
      <c r="DJB30" s="279"/>
      <c r="DJC30" s="279"/>
      <c r="DJD30" s="279"/>
      <c r="DJE30" s="279"/>
      <c r="DJF30" s="279"/>
      <c r="DJG30" s="279"/>
      <c r="DJH30" s="279"/>
      <c r="DJI30" s="279"/>
      <c r="DJJ30" s="279"/>
      <c r="DJK30" s="279"/>
      <c r="DJL30" s="279"/>
      <c r="DJM30" s="279"/>
      <c r="DJN30" s="279"/>
      <c r="DJO30" s="279"/>
      <c r="DJP30" s="279"/>
      <c r="DJQ30" s="279"/>
      <c r="DJR30" s="279"/>
      <c r="DJS30" s="279"/>
      <c r="DJT30" s="279"/>
      <c r="DJU30" s="279"/>
      <c r="DJV30" s="279"/>
      <c r="DJW30" s="279"/>
      <c r="DJX30" s="279"/>
      <c r="DJY30" s="279"/>
      <c r="DJZ30" s="279"/>
      <c r="DKA30" s="279"/>
      <c r="DKB30" s="279"/>
      <c r="DKC30" s="279"/>
      <c r="DKD30" s="279"/>
      <c r="DKE30" s="279"/>
      <c r="DKF30" s="279"/>
      <c r="DKG30" s="279"/>
      <c r="DKH30" s="279"/>
      <c r="DKI30" s="279"/>
      <c r="DKJ30" s="279"/>
      <c r="DKK30" s="279"/>
      <c r="DKL30" s="279"/>
      <c r="DKM30" s="279"/>
      <c r="DKN30" s="279"/>
      <c r="DKO30" s="279"/>
      <c r="DKP30" s="279"/>
      <c r="DKQ30" s="279"/>
      <c r="DKR30" s="279"/>
      <c r="DKS30" s="279"/>
      <c r="DKT30" s="279"/>
      <c r="DKU30" s="279"/>
      <c r="DKV30" s="279"/>
      <c r="DKW30" s="279"/>
      <c r="DKX30" s="279"/>
      <c r="DKY30" s="279"/>
      <c r="DKZ30" s="279"/>
      <c r="DLA30" s="279"/>
      <c r="DLB30" s="279"/>
      <c r="DLC30" s="279"/>
      <c r="DLD30" s="279"/>
      <c r="DLE30" s="279"/>
      <c r="DLF30" s="279"/>
      <c r="DLG30" s="279"/>
      <c r="DLH30" s="279"/>
      <c r="DLI30" s="279"/>
      <c r="DLJ30" s="279"/>
      <c r="DLK30" s="279"/>
      <c r="DLL30" s="279"/>
      <c r="DLM30" s="279"/>
      <c r="DLN30" s="279"/>
      <c r="DLO30" s="279"/>
      <c r="DLP30" s="279"/>
      <c r="DLQ30" s="279"/>
      <c r="DLR30" s="279"/>
      <c r="DLS30" s="279"/>
      <c r="DLT30" s="279"/>
      <c r="DLU30" s="279"/>
      <c r="DLV30" s="279"/>
      <c r="DLW30" s="279"/>
      <c r="DLX30" s="279"/>
      <c r="DLY30" s="279"/>
      <c r="DLZ30" s="279"/>
      <c r="DMA30" s="279"/>
      <c r="DMB30" s="279"/>
      <c r="DMC30" s="279"/>
      <c r="DMD30" s="279"/>
      <c r="DME30" s="279"/>
      <c r="DMF30" s="279"/>
      <c r="DMG30" s="279"/>
      <c r="DMH30" s="279"/>
      <c r="DMI30" s="279"/>
      <c r="DMJ30" s="279"/>
      <c r="DMK30" s="279"/>
      <c r="DML30" s="279"/>
      <c r="DMM30" s="279"/>
      <c r="DMN30" s="279"/>
      <c r="DMO30" s="279"/>
      <c r="DMP30" s="279"/>
      <c r="DMQ30" s="279"/>
      <c r="DMR30" s="279"/>
      <c r="DMS30" s="279"/>
      <c r="DMT30" s="279"/>
      <c r="DMU30" s="279"/>
      <c r="DMV30" s="279"/>
      <c r="DMW30" s="279"/>
      <c r="DMX30" s="279"/>
      <c r="DMY30" s="279"/>
      <c r="DMZ30" s="279"/>
      <c r="DNA30" s="279"/>
      <c r="DNB30" s="279"/>
      <c r="DNC30" s="279"/>
      <c r="DND30" s="279"/>
      <c r="DNE30" s="279"/>
      <c r="DNF30" s="279"/>
      <c r="DNG30" s="279"/>
      <c r="DNH30" s="279"/>
      <c r="DNI30" s="279"/>
      <c r="DNJ30" s="279"/>
      <c r="DNK30" s="279"/>
      <c r="DNL30" s="279"/>
      <c r="DNM30" s="279"/>
      <c r="DNN30" s="279"/>
      <c r="DNO30" s="279"/>
      <c r="DNP30" s="279"/>
      <c r="DNQ30" s="279"/>
      <c r="DNR30" s="279"/>
      <c r="DNS30" s="279"/>
      <c r="DNT30" s="279"/>
      <c r="DNU30" s="279"/>
      <c r="DNV30" s="279"/>
      <c r="DNW30" s="279"/>
      <c r="DNX30" s="279"/>
      <c r="DNY30" s="279"/>
      <c r="DNZ30" s="279"/>
      <c r="DOA30" s="279"/>
      <c r="DOB30" s="279"/>
      <c r="DOC30" s="279"/>
      <c r="DOD30" s="279"/>
      <c r="DOE30" s="279"/>
      <c r="DOF30" s="279"/>
      <c r="DOG30" s="279"/>
      <c r="DOH30" s="279"/>
      <c r="DOI30" s="279"/>
      <c r="DOJ30" s="279"/>
      <c r="DOK30" s="279"/>
      <c r="DOL30" s="279"/>
      <c r="DOM30" s="279"/>
      <c r="DON30" s="279"/>
      <c r="DOO30" s="279"/>
      <c r="DOP30" s="279"/>
      <c r="DOQ30" s="279"/>
      <c r="DOR30" s="279"/>
      <c r="DOS30" s="279"/>
      <c r="DOT30" s="279"/>
      <c r="DOU30" s="279"/>
      <c r="DOV30" s="279"/>
      <c r="DOW30" s="279"/>
      <c r="DOX30" s="279"/>
      <c r="DOY30" s="279"/>
      <c r="DOZ30" s="279"/>
      <c r="DPA30" s="279"/>
      <c r="DPB30" s="279"/>
      <c r="DPC30" s="279"/>
      <c r="DPD30" s="279"/>
      <c r="DPE30" s="279"/>
      <c r="DPF30" s="279"/>
      <c r="DPG30" s="279"/>
      <c r="DPH30" s="279"/>
      <c r="DPI30" s="279"/>
      <c r="DPJ30" s="279"/>
      <c r="DPK30" s="279"/>
      <c r="DPL30" s="279"/>
      <c r="DPM30" s="279"/>
      <c r="DPN30" s="279"/>
      <c r="DPO30" s="279"/>
      <c r="DPP30" s="279"/>
      <c r="DPQ30" s="279"/>
      <c r="DPR30" s="279"/>
      <c r="DPS30" s="279"/>
      <c r="DPT30" s="279"/>
      <c r="DPU30" s="279"/>
      <c r="DPV30" s="279"/>
      <c r="DPW30" s="279"/>
      <c r="DPX30" s="279"/>
      <c r="DPY30" s="279"/>
      <c r="DPZ30" s="279"/>
      <c r="DQA30" s="279"/>
      <c r="DQB30" s="279"/>
      <c r="DQC30" s="279"/>
      <c r="DQD30" s="279"/>
      <c r="DQE30" s="279"/>
      <c r="DQF30" s="279"/>
      <c r="DQG30" s="279"/>
      <c r="DQH30" s="279"/>
      <c r="DQI30" s="279"/>
      <c r="DQJ30" s="279"/>
      <c r="DQK30" s="279"/>
      <c r="DQL30" s="279"/>
      <c r="DQM30" s="279"/>
      <c r="DQN30" s="279"/>
      <c r="DQO30" s="279"/>
      <c r="DQP30" s="279"/>
      <c r="DQQ30" s="279"/>
      <c r="DQR30" s="279"/>
      <c r="DQS30" s="279"/>
      <c r="DQT30" s="279"/>
      <c r="DQU30" s="279"/>
      <c r="DQV30" s="279"/>
      <c r="DQW30" s="279"/>
      <c r="DQX30" s="279"/>
      <c r="DQY30" s="279"/>
      <c r="DQZ30" s="279"/>
      <c r="DRA30" s="279"/>
      <c r="DRB30" s="279"/>
      <c r="DRC30" s="279"/>
      <c r="DRD30" s="279"/>
      <c r="DRE30" s="279"/>
      <c r="DRF30" s="279"/>
      <c r="DRG30" s="279"/>
      <c r="DRH30" s="279"/>
      <c r="DRI30" s="279"/>
      <c r="DRJ30" s="279"/>
      <c r="DRK30" s="279"/>
      <c r="DRL30" s="279"/>
      <c r="DRM30" s="279"/>
      <c r="DRN30" s="279"/>
      <c r="DRO30" s="279"/>
      <c r="DRP30" s="279"/>
      <c r="DRQ30" s="279"/>
      <c r="DRR30" s="279"/>
      <c r="DRS30" s="279"/>
      <c r="DRT30" s="279"/>
      <c r="DRU30" s="279"/>
      <c r="DRV30" s="279"/>
      <c r="DRW30" s="279"/>
      <c r="DRX30" s="279"/>
      <c r="DRY30" s="279"/>
      <c r="DRZ30" s="279"/>
      <c r="DSA30" s="279"/>
      <c r="DSB30" s="279"/>
      <c r="DSC30" s="279"/>
      <c r="DSD30" s="279"/>
      <c r="DSE30" s="279"/>
      <c r="DSF30" s="279"/>
      <c r="DSG30" s="279"/>
      <c r="DSH30" s="279"/>
      <c r="DSI30" s="279"/>
      <c r="DSJ30" s="279"/>
      <c r="DSK30" s="279"/>
      <c r="DSL30" s="279"/>
      <c r="DSM30" s="279"/>
      <c r="DSN30" s="279"/>
      <c r="DSO30" s="279"/>
      <c r="DSP30" s="279"/>
      <c r="DSQ30" s="279"/>
      <c r="DSR30" s="279"/>
      <c r="DSS30" s="279"/>
      <c r="DST30" s="279"/>
      <c r="DSU30" s="279"/>
      <c r="DSV30" s="279"/>
      <c r="DSW30" s="279"/>
      <c r="DSX30" s="279"/>
      <c r="DSY30" s="279"/>
      <c r="DSZ30" s="279"/>
      <c r="DTA30" s="279"/>
      <c r="DTB30" s="279"/>
      <c r="DTC30" s="279"/>
      <c r="DTD30" s="279"/>
      <c r="DTE30" s="279"/>
      <c r="DTF30" s="279"/>
      <c r="DTG30" s="279"/>
      <c r="DTH30" s="279"/>
      <c r="DTI30" s="279"/>
      <c r="DTJ30" s="279"/>
      <c r="DTK30" s="279"/>
      <c r="DTL30" s="279"/>
      <c r="DTM30" s="279"/>
      <c r="DTN30" s="279"/>
      <c r="DTO30" s="279"/>
      <c r="DTP30" s="279"/>
      <c r="DTQ30" s="279"/>
      <c r="DTR30" s="279"/>
      <c r="DTS30" s="279"/>
      <c r="DTT30" s="279"/>
      <c r="DTU30" s="279"/>
      <c r="DTV30" s="279"/>
      <c r="DTW30" s="279"/>
      <c r="DTX30" s="279"/>
      <c r="DTY30" s="279"/>
      <c r="DTZ30" s="279"/>
      <c r="DUA30" s="279"/>
      <c r="DUB30" s="279"/>
      <c r="DUC30" s="279"/>
      <c r="DUD30" s="279"/>
      <c r="DUE30" s="279"/>
      <c r="DUF30" s="279"/>
      <c r="DUG30" s="279"/>
      <c r="DUH30" s="279"/>
      <c r="DUI30" s="279"/>
      <c r="DUJ30" s="279"/>
      <c r="DUK30" s="279"/>
      <c r="DUL30" s="279"/>
      <c r="DUM30" s="279"/>
      <c r="DUN30" s="279"/>
      <c r="DUO30" s="279"/>
      <c r="DUP30" s="279"/>
      <c r="DUQ30" s="279"/>
      <c r="DUR30" s="279"/>
      <c r="DUS30" s="279"/>
      <c r="DUT30" s="279"/>
      <c r="DUU30" s="279"/>
      <c r="DUV30" s="279"/>
      <c r="DUW30" s="279"/>
      <c r="DUX30" s="279"/>
      <c r="DUY30" s="279"/>
      <c r="DUZ30" s="279"/>
      <c r="DVA30" s="279"/>
      <c r="DVB30" s="279"/>
      <c r="DVC30" s="279"/>
      <c r="DVD30" s="279"/>
      <c r="DVE30" s="279"/>
      <c r="DVF30" s="279"/>
      <c r="DVG30" s="279"/>
      <c r="DVH30" s="279"/>
      <c r="DVI30" s="279"/>
      <c r="DVJ30" s="279"/>
      <c r="DVK30" s="279"/>
      <c r="DVL30" s="279"/>
      <c r="DVM30" s="279"/>
      <c r="DVN30" s="279"/>
      <c r="DVO30" s="279"/>
      <c r="DVP30" s="279"/>
      <c r="DVQ30" s="279"/>
      <c r="DVR30" s="279"/>
      <c r="DVS30" s="279"/>
      <c r="DVT30" s="279"/>
      <c r="DVU30" s="279"/>
      <c r="DVV30" s="279"/>
      <c r="DVW30" s="279"/>
      <c r="DVX30" s="279"/>
      <c r="DVY30" s="279"/>
      <c r="DVZ30" s="279"/>
      <c r="DWA30" s="279"/>
      <c r="DWB30" s="279"/>
      <c r="DWC30" s="279"/>
      <c r="DWD30" s="279"/>
      <c r="DWE30" s="279"/>
      <c r="DWF30" s="279"/>
      <c r="DWG30" s="279"/>
      <c r="DWH30" s="279"/>
      <c r="DWI30" s="279"/>
      <c r="DWJ30" s="279"/>
      <c r="DWK30" s="279"/>
      <c r="DWL30" s="279"/>
      <c r="DWM30" s="279"/>
      <c r="DWN30" s="279"/>
      <c r="DWO30" s="279"/>
      <c r="DWP30" s="279"/>
      <c r="DWQ30" s="279"/>
      <c r="DWR30" s="279"/>
      <c r="DWS30" s="279"/>
      <c r="DWT30" s="279"/>
      <c r="DWU30" s="279"/>
      <c r="DWV30" s="279"/>
      <c r="DWW30" s="279"/>
      <c r="DWX30" s="279"/>
      <c r="DWY30" s="279"/>
      <c r="DWZ30" s="279"/>
      <c r="DXA30" s="279"/>
      <c r="DXB30" s="279"/>
      <c r="DXC30" s="279"/>
      <c r="DXD30" s="279"/>
      <c r="DXE30" s="279"/>
      <c r="DXF30" s="279"/>
      <c r="DXG30" s="279"/>
      <c r="DXH30" s="279"/>
      <c r="DXI30" s="279"/>
      <c r="DXJ30" s="279"/>
      <c r="DXK30" s="279"/>
      <c r="DXL30" s="279"/>
      <c r="DXM30" s="279"/>
      <c r="DXN30" s="279"/>
      <c r="DXO30" s="279"/>
      <c r="DXP30" s="279"/>
      <c r="DXQ30" s="279"/>
      <c r="DXR30" s="279"/>
      <c r="DXS30" s="279"/>
      <c r="DXT30" s="279"/>
      <c r="DXU30" s="279"/>
      <c r="DXV30" s="279"/>
      <c r="DXW30" s="279"/>
      <c r="DXX30" s="279"/>
      <c r="DXY30" s="279"/>
      <c r="DXZ30" s="279"/>
      <c r="DYA30" s="279"/>
      <c r="DYB30" s="279"/>
      <c r="DYC30" s="279"/>
      <c r="DYD30" s="279"/>
      <c r="DYE30" s="279"/>
      <c r="DYF30" s="279"/>
      <c r="DYG30" s="279"/>
      <c r="DYH30" s="279"/>
      <c r="DYI30" s="279"/>
      <c r="DYJ30" s="279"/>
      <c r="DYK30" s="279"/>
      <c r="DYL30" s="279"/>
      <c r="DYM30" s="279"/>
      <c r="DYN30" s="279"/>
      <c r="DYO30" s="279"/>
      <c r="DYP30" s="279"/>
      <c r="DYQ30" s="279"/>
      <c r="DYR30" s="279"/>
      <c r="DYS30" s="279"/>
      <c r="DYT30" s="279"/>
      <c r="DYU30" s="279"/>
      <c r="DYV30" s="279"/>
      <c r="DYW30" s="279"/>
      <c r="DYX30" s="279"/>
      <c r="DYY30" s="279"/>
      <c r="DYZ30" s="279"/>
      <c r="DZA30" s="279"/>
      <c r="DZB30" s="279"/>
      <c r="DZC30" s="279"/>
      <c r="DZD30" s="279"/>
      <c r="DZE30" s="279"/>
      <c r="DZF30" s="279"/>
      <c r="DZG30" s="279"/>
      <c r="DZH30" s="279"/>
      <c r="DZI30" s="279"/>
      <c r="DZJ30" s="279"/>
      <c r="DZK30" s="279"/>
      <c r="DZL30" s="279"/>
      <c r="DZM30" s="279"/>
      <c r="DZN30" s="279"/>
      <c r="DZO30" s="279"/>
      <c r="DZP30" s="279"/>
      <c r="DZQ30" s="279"/>
      <c r="DZR30" s="279"/>
      <c r="DZS30" s="279"/>
      <c r="DZT30" s="279"/>
      <c r="DZU30" s="279"/>
      <c r="DZV30" s="279"/>
      <c r="DZW30" s="279"/>
      <c r="DZX30" s="279"/>
      <c r="DZY30" s="279"/>
      <c r="DZZ30" s="279"/>
      <c r="EAA30" s="279"/>
      <c r="EAB30" s="279"/>
      <c r="EAC30" s="279"/>
      <c r="EAD30" s="279"/>
      <c r="EAE30" s="279"/>
      <c r="EAF30" s="279"/>
      <c r="EAG30" s="279"/>
      <c r="EAH30" s="279"/>
      <c r="EAI30" s="279"/>
      <c r="EAJ30" s="279"/>
      <c r="EAK30" s="279"/>
      <c r="EAL30" s="279"/>
      <c r="EAM30" s="279"/>
      <c r="EAN30" s="279"/>
      <c r="EAO30" s="279"/>
      <c r="EAP30" s="279"/>
      <c r="EAQ30" s="279"/>
      <c r="EAR30" s="279"/>
      <c r="EAS30" s="279"/>
      <c r="EAT30" s="279"/>
      <c r="EAU30" s="279"/>
      <c r="EAV30" s="279"/>
      <c r="EAW30" s="279"/>
      <c r="EAX30" s="279"/>
      <c r="EAY30" s="279"/>
      <c r="EAZ30" s="279"/>
      <c r="EBA30" s="279"/>
      <c r="EBB30" s="279"/>
      <c r="EBC30" s="279"/>
      <c r="EBD30" s="279"/>
      <c r="EBE30" s="279"/>
      <c r="EBF30" s="279"/>
      <c r="EBG30" s="279"/>
      <c r="EBH30" s="279"/>
      <c r="EBI30" s="279"/>
      <c r="EBJ30" s="279"/>
      <c r="EBK30" s="279"/>
      <c r="EBL30" s="279"/>
      <c r="EBM30" s="279"/>
      <c r="EBN30" s="279"/>
      <c r="EBO30" s="279"/>
      <c r="EBP30" s="279"/>
      <c r="EBQ30" s="279"/>
      <c r="EBR30" s="279"/>
      <c r="EBS30" s="279"/>
      <c r="EBT30" s="279"/>
      <c r="EBU30" s="279"/>
      <c r="EBV30" s="279"/>
      <c r="EBW30" s="279"/>
      <c r="EBX30" s="279"/>
      <c r="EBY30" s="279"/>
      <c r="EBZ30" s="279"/>
      <c r="ECA30" s="279"/>
      <c r="ECB30" s="279"/>
      <c r="ECC30" s="279"/>
      <c r="ECD30" s="279"/>
      <c r="ECE30" s="279"/>
      <c r="ECF30" s="279"/>
      <c r="ECG30" s="279"/>
      <c r="ECH30" s="279"/>
      <c r="ECI30" s="279"/>
      <c r="ECJ30" s="279"/>
      <c r="ECK30" s="279"/>
      <c r="ECL30" s="279"/>
      <c r="ECM30" s="279"/>
      <c r="ECN30" s="279"/>
      <c r="ECO30" s="279"/>
      <c r="ECP30" s="279"/>
      <c r="ECQ30" s="279"/>
      <c r="ECR30" s="279"/>
      <c r="ECS30" s="279"/>
      <c r="ECT30" s="279"/>
      <c r="ECU30" s="279"/>
      <c r="ECV30" s="279"/>
      <c r="ECW30" s="279"/>
      <c r="ECX30" s="279"/>
      <c r="ECY30" s="279"/>
      <c r="ECZ30" s="279"/>
      <c r="EDA30" s="279"/>
      <c r="EDB30" s="279"/>
      <c r="EDC30" s="279"/>
      <c r="EDD30" s="279"/>
      <c r="EDE30" s="279"/>
      <c r="EDF30" s="279"/>
      <c r="EDG30" s="279"/>
      <c r="EDH30" s="279"/>
      <c r="EDI30" s="279"/>
      <c r="EDJ30" s="279"/>
      <c r="EDK30" s="279"/>
      <c r="EDL30" s="279"/>
      <c r="EDM30" s="279"/>
      <c r="EDN30" s="279"/>
      <c r="EDO30" s="279"/>
      <c r="EDP30" s="279"/>
      <c r="EDQ30" s="279"/>
      <c r="EDR30" s="279"/>
      <c r="EDS30" s="279"/>
      <c r="EDT30" s="279"/>
      <c r="EDU30" s="279"/>
      <c r="EDV30" s="279"/>
      <c r="EDW30" s="279"/>
      <c r="EDX30" s="279"/>
      <c r="EDY30" s="279"/>
      <c r="EDZ30" s="279"/>
      <c r="EEA30" s="279"/>
      <c r="EEB30" s="279"/>
      <c r="EEC30" s="279"/>
      <c r="EED30" s="279"/>
      <c r="EEE30" s="279"/>
      <c r="EEF30" s="279"/>
      <c r="EEG30" s="279"/>
      <c r="EEH30" s="279"/>
      <c r="EEI30" s="279"/>
      <c r="EEJ30" s="279"/>
      <c r="EEK30" s="279"/>
      <c r="EEL30" s="279"/>
      <c r="EEM30" s="279"/>
      <c r="EEN30" s="279"/>
      <c r="EEO30" s="279"/>
      <c r="EEP30" s="279"/>
      <c r="EEQ30" s="279"/>
      <c r="EER30" s="279"/>
      <c r="EES30" s="279"/>
      <c r="EET30" s="279"/>
      <c r="EEU30" s="279"/>
      <c r="EEV30" s="279"/>
      <c r="EEW30" s="279"/>
      <c r="EEX30" s="279"/>
      <c r="EEY30" s="279"/>
      <c r="EEZ30" s="279"/>
      <c r="EFA30" s="279"/>
      <c r="EFB30" s="279"/>
      <c r="EFC30" s="279"/>
      <c r="EFD30" s="279"/>
      <c r="EFE30" s="279"/>
      <c r="EFF30" s="279"/>
      <c r="EFG30" s="279"/>
      <c r="EFH30" s="279"/>
      <c r="EFI30" s="279"/>
      <c r="EFJ30" s="279"/>
      <c r="EFK30" s="279"/>
      <c r="EFL30" s="279"/>
      <c r="EFM30" s="279"/>
      <c r="EFN30" s="279"/>
      <c r="EFO30" s="279"/>
      <c r="EFP30" s="279"/>
      <c r="EFQ30" s="279"/>
      <c r="EFR30" s="279"/>
      <c r="EFS30" s="279"/>
      <c r="EFT30" s="279"/>
      <c r="EFU30" s="279"/>
      <c r="EFV30" s="279"/>
      <c r="EFW30" s="279"/>
      <c r="EFX30" s="279"/>
      <c r="EFY30" s="279"/>
      <c r="EFZ30" s="279"/>
      <c r="EGA30" s="279"/>
      <c r="EGB30" s="279"/>
      <c r="EGC30" s="279"/>
      <c r="EGD30" s="279"/>
      <c r="EGE30" s="279"/>
      <c r="EGF30" s="279"/>
      <c r="EGG30" s="279"/>
      <c r="EGH30" s="279"/>
      <c r="EGI30" s="279"/>
      <c r="EGJ30" s="279"/>
      <c r="EGK30" s="279"/>
      <c r="EGL30" s="279"/>
      <c r="EGM30" s="279"/>
      <c r="EGN30" s="279"/>
      <c r="EGO30" s="279"/>
      <c r="EGP30" s="279"/>
      <c r="EGQ30" s="279"/>
      <c r="EGR30" s="279"/>
      <c r="EGS30" s="279"/>
      <c r="EGT30" s="279"/>
      <c r="EGU30" s="279"/>
      <c r="EGV30" s="279"/>
      <c r="EGW30" s="279"/>
      <c r="EGX30" s="279"/>
      <c r="EGY30" s="279"/>
      <c r="EGZ30" s="279"/>
      <c r="EHA30" s="279"/>
      <c r="EHB30" s="279"/>
      <c r="EHC30" s="279"/>
      <c r="EHD30" s="279"/>
      <c r="EHE30" s="279"/>
      <c r="EHF30" s="279"/>
      <c r="EHG30" s="279"/>
      <c r="EHH30" s="279"/>
      <c r="EHI30" s="279"/>
      <c r="EHJ30" s="279"/>
      <c r="EHK30" s="279"/>
      <c r="EHL30" s="279"/>
      <c r="EHM30" s="279"/>
      <c r="EHN30" s="279"/>
      <c r="EHO30" s="279"/>
      <c r="EHP30" s="279"/>
      <c r="EHQ30" s="279"/>
      <c r="EHR30" s="279"/>
      <c r="EHS30" s="279"/>
      <c r="EHT30" s="279"/>
      <c r="EHU30" s="279"/>
      <c r="EHV30" s="279"/>
      <c r="EHW30" s="279"/>
      <c r="EHX30" s="279"/>
      <c r="EHY30" s="279"/>
      <c r="EHZ30" s="279"/>
      <c r="EIA30" s="279"/>
      <c r="EIB30" s="279"/>
      <c r="EIC30" s="279"/>
      <c r="EID30" s="279"/>
      <c r="EIE30" s="279"/>
      <c r="EIF30" s="279"/>
      <c r="EIG30" s="279"/>
      <c r="EIH30" s="279"/>
      <c r="EII30" s="279"/>
      <c r="EIJ30" s="279"/>
      <c r="EIK30" s="279"/>
      <c r="EIL30" s="279"/>
      <c r="EIM30" s="279"/>
      <c r="EIN30" s="279"/>
      <c r="EIO30" s="279"/>
      <c r="EIP30" s="279"/>
      <c r="EIQ30" s="279"/>
      <c r="EIR30" s="279"/>
      <c r="EIS30" s="279"/>
      <c r="EIT30" s="279"/>
      <c r="EIU30" s="279"/>
      <c r="EIV30" s="279"/>
      <c r="EIW30" s="279"/>
      <c r="EIX30" s="279"/>
      <c r="EIY30" s="279"/>
      <c r="EIZ30" s="279"/>
      <c r="EJA30" s="279"/>
      <c r="EJB30" s="279"/>
      <c r="EJC30" s="279"/>
      <c r="EJD30" s="279"/>
      <c r="EJE30" s="279"/>
      <c r="EJF30" s="279"/>
      <c r="EJG30" s="279"/>
      <c r="EJH30" s="279"/>
      <c r="EJI30" s="279"/>
      <c r="EJJ30" s="279"/>
      <c r="EJK30" s="279"/>
      <c r="EJL30" s="279"/>
      <c r="EJM30" s="279"/>
      <c r="EJN30" s="279"/>
      <c r="EJO30" s="279"/>
      <c r="EJP30" s="279"/>
      <c r="EJQ30" s="279"/>
      <c r="EJR30" s="279"/>
      <c r="EJS30" s="279"/>
      <c r="EJT30" s="279"/>
      <c r="EJU30" s="279"/>
      <c r="EJV30" s="279"/>
      <c r="EJW30" s="279"/>
      <c r="EJX30" s="279"/>
      <c r="EJY30" s="279"/>
      <c r="EJZ30" s="279"/>
      <c r="EKA30" s="279"/>
      <c r="EKB30" s="279"/>
      <c r="EKC30" s="279"/>
      <c r="EKD30" s="279"/>
      <c r="EKE30" s="279"/>
      <c r="EKF30" s="279"/>
      <c r="EKG30" s="279"/>
      <c r="EKH30" s="279"/>
      <c r="EKI30" s="279"/>
      <c r="EKJ30" s="279"/>
      <c r="EKK30" s="279"/>
      <c r="EKL30" s="279"/>
      <c r="EKM30" s="279"/>
      <c r="EKN30" s="279"/>
      <c r="EKO30" s="279"/>
      <c r="EKP30" s="279"/>
      <c r="EKQ30" s="279"/>
      <c r="EKR30" s="279"/>
      <c r="EKS30" s="279"/>
      <c r="EKT30" s="279"/>
      <c r="EKU30" s="279"/>
      <c r="EKV30" s="279"/>
      <c r="EKW30" s="279"/>
      <c r="EKX30" s="279"/>
      <c r="EKY30" s="279"/>
      <c r="EKZ30" s="279"/>
      <c r="ELA30" s="279"/>
      <c r="ELB30" s="279"/>
      <c r="ELC30" s="279"/>
      <c r="ELD30" s="279"/>
      <c r="ELE30" s="279"/>
      <c r="ELF30" s="279"/>
      <c r="ELG30" s="279"/>
      <c r="ELH30" s="279"/>
      <c r="ELI30" s="279"/>
      <c r="ELJ30" s="279"/>
      <c r="ELK30" s="279"/>
      <c r="ELL30" s="279"/>
      <c r="ELM30" s="279"/>
      <c r="ELN30" s="279"/>
      <c r="ELO30" s="279"/>
      <c r="ELP30" s="279"/>
      <c r="ELQ30" s="279"/>
      <c r="ELR30" s="279"/>
      <c r="ELS30" s="279"/>
      <c r="ELT30" s="279"/>
      <c r="ELU30" s="279"/>
      <c r="ELV30" s="279"/>
      <c r="ELW30" s="279"/>
      <c r="ELX30" s="279"/>
      <c r="ELY30" s="279"/>
      <c r="ELZ30" s="279"/>
      <c r="EMA30" s="279"/>
      <c r="EMB30" s="279"/>
      <c r="EMC30" s="279"/>
      <c r="EMD30" s="279"/>
      <c r="EME30" s="279"/>
      <c r="EMF30" s="279"/>
      <c r="EMG30" s="279"/>
      <c r="EMH30" s="279"/>
      <c r="EMI30" s="279"/>
      <c r="EMJ30" s="279"/>
      <c r="EMK30" s="279"/>
      <c r="EML30" s="279"/>
      <c r="EMM30" s="279"/>
      <c r="EMN30" s="279"/>
      <c r="EMO30" s="279"/>
      <c r="EMP30" s="279"/>
      <c r="EMQ30" s="279"/>
      <c r="EMR30" s="279"/>
      <c r="EMS30" s="279"/>
      <c r="EMT30" s="279"/>
      <c r="EMU30" s="279"/>
      <c r="EMV30" s="279"/>
      <c r="EMW30" s="279"/>
      <c r="EMX30" s="279"/>
      <c r="EMY30" s="279"/>
      <c r="EMZ30" s="279"/>
      <c r="ENA30" s="279"/>
      <c r="ENB30" s="279"/>
      <c r="ENC30" s="279"/>
      <c r="END30" s="279"/>
      <c r="ENE30" s="279"/>
      <c r="ENF30" s="279"/>
      <c r="ENG30" s="279"/>
      <c r="ENH30" s="279"/>
      <c r="ENI30" s="279"/>
      <c r="ENJ30" s="279"/>
      <c r="ENK30" s="279"/>
      <c r="ENL30" s="279"/>
      <c r="ENM30" s="279"/>
      <c r="ENN30" s="279"/>
      <c r="ENO30" s="279"/>
      <c r="ENP30" s="279"/>
      <c r="ENQ30" s="279"/>
      <c r="ENR30" s="279"/>
      <c r="ENS30" s="279"/>
      <c r="ENT30" s="279"/>
      <c r="ENU30" s="279"/>
      <c r="ENV30" s="279"/>
      <c r="ENW30" s="279"/>
      <c r="ENX30" s="279"/>
      <c r="ENY30" s="279"/>
      <c r="ENZ30" s="279"/>
      <c r="EOA30" s="279"/>
      <c r="EOB30" s="279"/>
      <c r="EOC30" s="279"/>
      <c r="EOD30" s="279"/>
      <c r="EOE30" s="279"/>
      <c r="EOF30" s="279"/>
      <c r="EOG30" s="279"/>
      <c r="EOH30" s="279"/>
      <c r="EOI30" s="279"/>
      <c r="EOJ30" s="279"/>
      <c r="EOK30" s="279"/>
      <c r="EOL30" s="279"/>
      <c r="EOM30" s="279"/>
      <c r="EON30" s="279"/>
      <c r="EOO30" s="279"/>
      <c r="EOP30" s="279"/>
      <c r="EOQ30" s="279"/>
      <c r="EOR30" s="279"/>
      <c r="EOS30" s="279"/>
      <c r="EOT30" s="279"/>
      <c r="EOU30" s="279"/>
      <c r="EOV30" s="279"/>
      <c r="EOW30" s="279"/>
      <c r="EOX30" s="279"/>
      <c r="EOY30" s="279"/>
      <c r="EOZ30" s="279"/>
      <c r="EPA30" s="279"/>
      <c r="EPB30" s="279"/>
      <c r="EPC30" s="279"/>
      <c r="EPD30" s="279"/>
      <c r="EPE30" s="279"/>
      <c r="EPF30" s="279"/>
      <c r="EPG30" s="279"/>
      <c r="EPH30" s="279"/>
      <c r="EPI30" s="279"/>
      <c r="EPJ30" s="279"/>
      <c r="EPK30" s="279"/>
      <c r="EPL30" s="279"/>
      <c r="EPM30" s="279"/>
      <c r="EPN30" s="279"/>
      <c r="EPO30" s="279"/>
      <c r="EPP30" s="279"/>
      <c r="EPQ30" s="279"/>
      <c r="EPR30" s="279"/>
      <c r="EPS30" s="279"/>
      <c r="EPT30" s="279"/>
      <c r="EPU30" s="279"/>
      <c r="EPV30" s="279"/>
      <c r="EPW30" s="279"/>
      <c r="EPX30" s="279"/>
      <c r="EPY30" s="279"/>
      <c r="EPZ30" s="279"/>
      <c r="EQA30" s="279"/>
      <c r="EQB30" s="279"/>
      <c r="EQC30" s="279"/>
      <c r="EQD30" s="279"/>
      <c r="EQE30" s="279"/>
      <c r="EQF30" s="279"/>
      <c r="EQG30" s="279"/>
      <c r="EQH30" s="279"/>
      <c r="EQI30" s="279"/>
      <c r="EQJ30" s="279"/>
      <c r="EQK30" s="279"/>
      <c r="EQL30" s="279"/>
      <c r="EQM30" s="279"/>
      <c r="EQN30" s="279"/>
      <c r="EQO30" s="279"/>
      <c r="EQP30" s="279"/>
      <c r="EQQ30" s="279"/>
      <c r="EQR30" s="279"/>
      <c r="EQS30" s="279"/>
      <c r="EQT30" s="279"/>
      <c r="EQU30" s="279"/>
      <c r="EQV30" s="279"/>
      <c r="EQW30" s="279"/>
      <c r="EQX30" s="279"/>
      <c r="EQY30" s="279"/>
      <c r="EQZ30" s="279"/>
      <c r="ERA30" s="279"/>
      <c r="ERB30" s="279"/>
      <c r="ERC30" s="279"/>
      <c r="ERD30" s="279"/>
      <c r="ERE30" s="279"/>
      <c r="ERF30" s="279"/>
      <c r="ERG30" s="279"/>
      <c r="ERH30" s="279"/>
      <c r="ERI30" s="279"/>
      <c r="ERJ30" s="279"/>
      <c r="ERK30" s="279"/>
      <c r="ERL30" s="279"/>
      <c r="ERM30" s="279"/>
      <c r="ERN30" s="279"/>
      <c r="ERO30" s="279"/>
      <c r="ERP30" s="279"/>
      <c r="ERQ30" s="279"/>
      <c r="ERR30" s="279"/>
      <c r="ERS30" s="279"/>
      <c r="ERT30" s="279"/>
      <c r="ERU30" s="279"/>
      <c r="ERV30" s="279"/>
      <c r="ERW30" s="279"/>
      <c r="ERX30" s="279"/>
      <c r="ERY30" s="279"/>
      <c r="ERZ30" s="279"/>
      <c r="ESA30" s="279"/>
      <c r="ESB30" s="279"/>
      <c r="ESC30" s="279"/>
      <c r="ESD30" s="279"/>
      <c r="ESE30" s="279"/>
      <c r="ESF30" s="279"/>
      <c r="ESG30" s="279"/>
      <c r="ESH30" s="279"/>
      <c r="ESI30" s="279"/>
      <c r="ESJ30" s="279"/>
      <c r="ESK30" s="279"/>
      <c r="ESL30" s="279"/>
      <c r="ESM30" s="279"/>
      <c r="ESN30" s="279"/>
      <c r="ESO30" s="279"/>
      <c r="ESP30" s="279"/>
      <c r="ESQ30" s="279"/>
      <c r="ESR30" s="279"/>
      <c r="ESS30" s="279"/>
      <c r="EST30" s="279"/>
      <c r="ESU30" s="279"/>
      <c r="ESV30" s="279"/>
      <c r="ESW30" s="279"/>
      <c r="ESX30" s="279"/>
      <c r="ESY30" s="279"/>
      <c r="ESZ30" s="279"/>
      <c r="ETA30" s="279"/>
      <c r="ETB30" s="279"/>
      <c r="ETC30" s="279"/>
      <c r="ETD30" s="279"/>
      <c r="ETE30" s="279"/>
      <c r="ETF30" s="279"/>
      <c r="ETG30" s="279"/>
      <c r="ETH30" s="279"/>
      <c r="ETI30" s="279"/>
      <c r="ETJ30" s="279"/>
      <c r="ETK30" s="279"/>
      <c r="ETL30" s="279"/>
      <c r="ETM30" s="279"/>
      <c r="ETN30" s="279"/>
      <c r="ETO30" s="279"/>
      <c r="ETP30" s="279"/>
      <c r="ETQ30" s="279"/>
      <c r="ETR30" s="279"/>
      <c r="ETS30" s="279"/>
      <c r="ETT30" s="279"/>
      <c r="ETU30" s="279"/>
      <c r="ETV30" s="279"/>
      <c r="ETW30" s="279"/>
      <c r="ETX30" s="279"/>
      <c r="ETY30" s="279"/>
      <c r="ETZ30" s="279"/>
      <c r="EUA30" s="279"/>
      <c r="EUB30" s="279"/>
      <c r="EUC30" s="279"/>
      <c r="EUD30" s="279"/>
      <c r="EUE30" s="279"/>
      <c r="EUF30" s="279"/>
      <c r="EUG30" s="279"/>
      <c r="EUH30" s="279"/>
      <c r="EUI30" s="279"/>
      <c r="EUJ30" s="279"/>
      <c r="EUK30" s="279"/>
      <c r="EUL30" s="279"/>
      <c r="EUM30" s="279"/>
      <c r="EUN30" s="279"/>
      <c r="EUO30" s="279"/>
      <c r="EUP30" s="279"/>
      <c r="EUQ30" s="279"/>
      <c r="EUR30" s="279"/>
      <c r="EUS30" s="279"/>
      <c r="EUT30" s="279"/>
      <c r="EUU30" s="279"/>
      <c r="EUV30" s="279"/>
      <c r="EUW30" s="279"/>
      <c r="EUX30" s="279"/>
      <c r="EUY30" s="279"/>
      <c r="EUZ30" s="279"/>
      <c r="EVA30" s="279"/>
      <c r="EVB30" s="279"/>
      <c r="EVC30" s="279"/>
      <c r="EVD30" s="279"/>
      <c r="EVE30" s="279"/>
      <c r="EVF30" s="279"/>
      <c r="EVG30" s="279"/>
      <c r="EVH30" s="279"/>
      <c r="EVI30" s="279"/>
      <c r="EVJ30" s="279"/>
      <c r="EVK30" s="279"/>
      <c r="EVL30" s="279"/>
      <c r="EVM30" s="279"/>
      <c r="EVN30" s="279"/>
      <c r="EVO30" s="279"/>
      <c r="EVP30" s="279"/>
      <c r="EVQ30" s="279"/>
      <c r="EVR30" s="279"/>
      <c r="EVS30" s="279"/>
      <c r="EVT30" s="279"/>
      <c r="EVU30" s="279"/>
      <c r="EVV30" s="279"/>
      <c r="EVW30" s="279"/>
      <c r="EVX30" s="279"/>
      <c r="EVY30" s="279"/>
      <c r="EVZ30" s="279"/>
      <c r="EWA30" s="279"/>
      <c r="EWB30" s="279"/>
      <c r="EWC30" s="279"/>
      <c r="EWD30" s="279"/>
      <c r="EWE30" s="279"/>
      <c r="EWF30" s="279"/>
      <c r="EWG30" s="279"/>
      <c r="EWH30" s="279"/>
      <c r="EWI30" s="279"/>
      <c r="EWJ30" s="279"/>
      <c r="EWK30" s="279"/>
      <c r="EWL30" s="279"/>
      <c r="EWM30" s="279"/>
      <c r="EWN30" s="279"/>
      <c r="EWO30" s="279"/>
      <c r="EWP30" s="279"/>
      <c r="EWQ30" s="279"/>
      <c r="EWR30" s="279"/>
      <c r="EWS30" s="279"/>
      <c r="EWT30" s="279"/>
      <c r="EWU30" s="279"/>
      <c r="EWV30" s="279"/>
      <c r="EWW30" s="279"/>
      <c r="EWX30" s="279"/>
      <c r="EWY30" s="279"/>
      <c r="EWZ30" s="279"/>
      <c r="EXA30" s="279"/>
      <c r="EXB30" s="279"/>
      <c r="EXC30" s="279"/>
      <c r="EXD30" s="279"/>
      <c r="EXE30" s="279"/>
      <c r="EXF30" s="279"/>
      <c r="EXG30" s="279"/>
      <c r="EXH30" s="279"/>
      <c r="EXI30" s="279"/>
      <c r="EXJ30" s="279"/>
      <c r="EXK30" s="279"/>
      <c r="EXL30" s="279"/>
      <c r="EXM30" s="279"/>
      <c r="EXN30" s="279"/>
      <c r="EXO30" s="279"/>
      <c r="EXP30" s="279"/>
      <c r="EXQ30" s="279"/>
      <c r="EXR30" s="279"/>
      <c r="EXS30" s="279"/>
      <c r="EXT30" s="279"/>
      <c r="EXU30" s="279"/>
      <c r="EXV30" s="279"/>
      <c r="EXW30" s="279"/>
      <c r="EXX30" s="279"/>
      <c r="EXY30" s="279"/>
      <c r="EXZ30" s="279"/>
      <c r="EYA30" s="279"/>
      <c r="EYB30" s="279"/>
      <c r="EYC30" s="279"/>
      <c r="EYD30" s="279"/>
      <c r="EYE30" s="279"/>
      <c r="EYF30" s="279"/>
      <c r="EYG30" s="279"/>
      <c r="EYH30" s="279"/>
      <c r="EYI30" s="279"/>
      <c r="EYJ30" s="279"/>
      <c r="EYK30" s="279"/>
      <c r="EYL30" s="279"/>
      <c r="EYM30" s="279"/>
      <c r="EYN30" s="279"/>
      <c r="EYO30" s="279"/>
      <c r="EYP30" s="279"/>
      <c r="EYQ30" s="279"/>
      <c r="EYR30" s="279"/>
      <c r="EYS30" s="279"/>
      <c r="EYT30" s="279"/>
      <c r="EYU30" s="279"/>
      <c r="EYV30" s="279"/>
      <c r="EYW30" s="279"/>
      <c r="EYX30" s="279"/>
      <c r="EYY30" s="279"/>
      <c r="EYZ30" s="279"/>
      <c r="EZA30" s="279"/>
      <c r="EZB30" s="279"/>
      <c r="EZC30" s="279"/>
      <c r="EZD30" s="279"/>
      <c r="EZE30" s="279"/>
      <c r="EZF30" s="279"/>
      <c r="EZG30" s="279"/>
      <c r="EZH30" s="279"/>
      <c r="EZI30" s="279"/>
      <c r="EZJ30" s="279"/>
      <c r="EZK30" s="279"/>
      <c r="EZL30" s="279"/>
      <c r="EZM30" s="279"/>
      <c r="EZN30" s="279"/>
      <c r="EZO30" s="279"/>
      <c r="EZP30" s="279"/>
      <c r="EZQ30" s="279"/>
      <c r="EZR30" s="279"/>
      <c r="EZS30" s="279"/>
      <c r="EZT30" s="279"/>
      <c r="EZU30" s="279"/>
      <c r="EZV30" s="279"/>
      <c r="EZW30" s="279"/>
      <c r="EZX30" s="279"/>
      <c r="EZY30" s="279"/>
      <c r="EZZ30" s="279"/>
      <c r="FAA30" s="279"/>
      <c r="FAB30" s="279"/>
      <c r="FAC30" s="279"/>
      <c r="FAD30" s="279"/>
      <c r="FAE30" s="279"/>
      <c r="FAF30" s="279"/>
      <c r="FAG30" s="279"/>
      <c r="FAH30" s="279"/>
      <c r="FAI30" s="279"/>
      <c r="FAJ30" s="279"/>
      <c r="FAK30" s="279"/>
      <c r="FAL30" s="279"/>
      <c r="FAM30" s="279"/>
      <c r="FAN30" s="279"/>
      <c r="FAO30" s="279"/>
      <c r="FAP30" s="279"/>
      <c r="FAQ30" s="279"/>
      <c r="FAR30" s="279"/>
      <c r="FAS30" s="279"/>
      <c r="FAT30" s="279"/>
      <c r="FAU30" s="279"/>
      <c r="FAV30" s="279"/>
      <c r="FAW30" s="279"/>
      <c r="FAX30" s="279"/>
      <c r="FAY30" s="279"/>
      <c r="FAZ30" s="279"/>
      <c r="FBA30" s="279"/>
      <c r="FBB30" s="279"/>
      <c r="FBC30" s="279"/>
      <c r="FBD30" s="279"/>
      <c r="FBE30" s="279"/>
      <c r="FBF30" s="279"/>
      <c r="FBG30" s="279"/>
      <c r="FBH30" s="279"/>
      <c r="FBI30" s="279"/>
      <c r="FBJ30" s="279"/>
      <c r="FBK30" s="279"/>
      <c r="FBL30" s="279"/>
      <c r="FBM30" s="279"/>
      <c r="FBN30" s="279"/>
      <c r="FBO30" s="279"/>
      <c r="FBP30" s="279"/>
      <c r="FBQ30" s="279"/>
      <c r="FBR30" s="279"/>
      <c r="FBS30" s="279"/>
      <c r="FBT30" s="279"/>
      <c r="FBU30" s="279"/>
      <c r="FBV30" s="279"/>
      <c r="FBW30" s="279"/>
      <c r="FBX30" s="279"/>
      <c r="FBY30" s="279"/>
      <c r="FBZ30" s="279"/>
      <c r="FCA30" s="279"/>
      <c r="FCB30" s="279"/>
      <c r="FCC30" s="279"/>
      <c r="FCD30" s="279"/>
      <c r="FCE30" s="279"/>
      <c r="FCF30" s="279"/>
      <c r="FCG30" s="279"/>
      <c r="FCH30" s="279"/>
      <c r="FCI30" s="279"/>
      <c r="FCJ30" s="279"/>
      <c r="FCK30" s="279"/>
      <c r="FCL30" s="279"/>
      <c r="FCM30" s="279"/>
      <c r="FCN30" s="279"/>
      <c r="FCO30" s="279"/>
      <c r="FCP30" s="279"/>
      <c r="FCQ30" s="279"/>
      <c r="FCR30" s="279"/>
      <c r="FCS30" s="279"/>
      <c r="FCT30" s="279"/>
      <c r="FCU30" s="279"/>
      <c r="FCV30" s="279"/>
      <c r="FCW30" s="279"/>
      <c r="FCX30" s="279"/>
      <c r="FCY30" s="279"/>
      <c r="FCZ30" s="279"/>
      <c r="FDA30" s="279"/>
      <c r="FDB30" s="279"/>
      <c r="FDC30" s="279"/>
      <c r="FDD30" s="279"/>
      <c r="FDE30" s="279"/>
      <c r="FDF30" s="279"/>
      <c r="FDG30" s="279"/>
      <c r="FDH30" s="279"/>
      <c r="FDI30" s="279"/>
      <c r="FDJ30" s="279"/>
      <c r="FDK30" s="279"/>
      <c r="FDL30" s="279"/>
      <c r="FDM30" s="279"/>
      <c r="FDN30" s="279"/>
      <c r="FDO30" s="279"/>
      <c r="FDP30" s="279"/>
      <c r="FDQ30" s="279"/>
      <c r="FDR30" s="279"/>
      <c r="FDS30" s="279"/>
      <c r="FDT30" s="279"/>
      <c r="FDU30" s="279"/>
      <c r="FDV30" s="279"/>
      <c r="FDW30" s="279"/>
      <c r="FDX30" s="279"/>
      <c r="FDY30" s="279"/>
      <c r="FDZ30" s="279"/>
      <c r="FEA30" s="279"/>
      <c r="FEB30" s="279"/>
      <c r="FEC30" s="279"/>
      <c r="FED30" s="279"/>
      <c r="FEE30" s="279"/>
      <c r="FEF30" s="279"/>
      <c r="FEG30" s="279"/>
      <c r="FEH30" s="279"/>
      <c r="FEI30" s="279"/>
      <c r="FEJ30" s="279"/>
      <c r="FEK30" s="279"/>
      <c r="FEL30" s="279"/>
      <c r="FEM30" s="279"/>
      <c r="FEN30" s="279"/>
      <c r="FEO30" s="279"/>
      <c r="FEP30" s="279"/>
      <c r="FEQ30" s="279"/>
      <c r="FER30" s="279"/>
      <c r="FES30" s="279"/>
      <c r="FET30" s="279"/>
      <c r="FEU30" s="279"/>
      <c r="FEV30" s="279"/>
      <c r="FEW30" s="279"/>
      <c r="FEX30" s="279"/>
      <c r="FEY30" s="279"/>
      <c r="FEZ30" s="279"/>
      <c r="FFA30" s="279"/>
      <c r="FFB30" s="279"/>
      <c r="FFC30" s="279"/>
      <c r="FFD30" s="279"/>
      <c r="FFE30" s="279"/>
      <c r="FFF30" s="279"/>
      <c r="FFG30" s="279"/>
      <c r="FFH30" s="279"/>
      <c r="FFI30" s="279"/>
      <c r="FFJ30" s="279"/>
      <c r="FFK30" s="279"/>
      <c r="FFL30" s="279"/>
      <c r="FFM30" s="279"/>
      <c r="FFN30" s="279"/>
      <c r="FFO30" s="279"/>
      <c r="FFP30" s="279"/>
      <c r="FFQ30" s="279"/>
      <c r="FFR30" s="279"/>
      <c r="FFS30" s="279"/>
      <c r="FFT30" s="279"/>
      <c r="FFU30" s="279"/>
      <c r="FFV30" s="279"/>
      <c r="FFW30" s="279"/>
      <c r="FFX30" s="279"/>
      <c r="FFY30" s="279"/>
      <c r="FFZ30" s="279"/>
      <c r="FGA30" s="279"/>
      <c r="FGB30" s="279"/>
      <c r="FGC30" s="279"/>
      <c r="FGD30" s="279"/>
      <c r="FGE30" s="279"/>
      <c r="FGF30" s="279"/>
      <c r="FGG30" s="279"/>
      <c r="FGH30" s="279"/>
      <c r="FGI30" s="279"/>
      <c r="FGJ30" s="279"/>
      <c r="FGK30" s="279"/>
      <c r="FGL30" s="279"/>
      <c r="FGM30" s="279"/>
      <c r="FGN30" s="279"/>
      <c r="FGO30" s="279"/>
      <c r="FGP30" s="279"/>
      <c r="FGQ30" s="279"/>
      <c r="FGR30" s="279"/>
      <c r="FGS30" s="279"/>
      <c r="FGT30" s="279"/>
      <c r="FGU30" s="279"/>
      <c r="FGV30" s="279"/>
      <c r="FGW30" s="279"/>
      <c r="FGX30" s="279"/>
      <c r="FGY30" s="279"/>
      <c r="FGZ30" s="279"/>
      <c r="FHA30" s="279"/>
      <c r="FHB30" s="279"/>
      <c r="FHC30" s="279"/>
      <c r="FHD30" s="279"/>
      <c r="FHE30" s="279"/>
      <c r="FHF30" s="279"/>
      <c r="FHG30" s="279"/>
      <c r="FHH30" s="279"/>
      <c r="FHI30" s="279"/>
      <c r="FHJ30" s="279"/>
      <c r="FHK30" s="279"/>
      <c r="FHL30" s="279"/>
      <c r="FHM30" s="279"/>
      <c r="FHN30" s="279"/>
      <c r="FHO30" s="279"/>
      <c r="FHP30" s="279"/>
      <c r="FHQ30" s="279"/>
      <c r="FHR30" s="279"/>
      <c r="FHS30" s="279"/>
      <c r="FHT30" s="279"/>
      <c r="FHU30" s="279"/>
      <c r="FHV30" s="279"/>
      <c r="FHW30" s="279"/>
      <c r="FHX30" s="279"/>
      <c r="FHY30" s="279"/>
      <c r="FHZ30" s="279"/>
      <c r="FIA30" s="279"/>
      <c r="FIB30" s="279"/>
      <c r="FIC30" s="279"/>
      <c r="FID30" s="279"/>
      <c r="FIE30" s="279"/>
      <c r="FIF30" s="279"/>
      <c r="FIG30" s="279"/>
      <c r="FIH30" s="279"/>
      <c r="FII30" s="279"/>
      <c r="FIJ30" s="279"/>
      <c r="FIK30" s="279"/>
      <c r="FIL30" s="279"/>
      <c r="FIM30" s="279"/>
      <c r="FIN30" s="279"/>
      <c r="FIO30" s="279"/>
      <c r="FIP30" s="279"/>
      <c r="FIQ30" s="279"/>
      <c r="FIR30" s="279"/>
      <c r="FIS30" s="279"/>
      <c r="FIT30" s="279"/>
      <c r="FIU30" s="279"/>
      <c r="FIV30" s="279"/>
      <c r="FIW30" s="279"/>
      <c r="FIX30" s="279"/>
      <c r="FIY30" s="279"/>
      <c r="FIZ30" s="279"/>
      <c r="FJA30" s="279"/>
      <c r="FJB30" s="279"/>
      <c r="FJC30" s="279"/>
      <c r="FJD30" s="279"/>
      <c r="FJE30" s="279"/>
      <c r="FJF30" s="279"/>
      <c r="FJG30" s="279"/>
      <c r="FJH30" s="279"/>
      <c r="FJI30" s="279"/>
      <c r="FJJ30" s="279"/>
      <c r="FJK30" s="279"/>
      <c r="FJL30" s="279"/>
      <c r="FJM30" s="279"/>
      <c r="FJN30" s="279"/>
      <c r="FJO30" s="279"/>
      <c r="FJP30" s="279"/>
      <c r="FJQ30" s="279"/>
      <c r="FJR30" s="279"/>
      <c r="FJS30" s="279"/>
      <c r="FJT30" s="279"/>
      <c r="FJU30" s="279"/>
      <c r="FJV30" s="279"/>
      <c r="FJW30" s="279"/>
      <c r="FJX30" s="279"/>
      <c r="FJY30" s="279"/>
      <c r="FJZ30" s="279"/>
      <c r="FKA30" s="279"/>
      <c r="FKB30" s="279"/>
      <c r="FKC30" s="279"/>
      <c r="FKD30" s="279"/>
      <c r="FKE30" s="279"/>
      <c r="FKF30" s="279"/>
      <c r="FKG30" s="279"/>
      <c r="FKH30" s="279"/>
      <c r="FKI30" s="279"/>
      <c r="FKJ30" s="279"/>
      <c r="FKK30" s="279"/>
      <c r="FKL30" s="279"/>
      <c r="FKM30" s="279"/>
      <c r="FKN30" s="279"/>
      <c r="FKO30" s="279"/>
      <c r="FKP30" s="279"/>
      <c r="FKQ30" s="279"/>
      <c r="FKR30" s="279"/>
      <c r="FKS30" s="279"/>
      <c r="FKT30" s="279"/>
      <c r="FKU30" s="279"/>
      <c r="FKV30" s="279"/>
      <c r="FKW30" s="279"/>
      <c r="FKX30" s="279"/>
      <c r="FKY30" s="279"/>
      <c r="FKZ30" s="279"/>
      <c r="FLA30" s="279"/>
      <c r="FLB30" s="279"/>
      <c r="FLC30" s="279"/>
      <c r="FLD30" s="279"/>
      <c r="FLE30" s="279"/>
      <c r="FLF30" s="279"/>
      <c r="FLG30" s="279"/>
      <c r="FLH30" s="279"/>
      <c r="FLI30" s="279"/>
      <c r="FLJ30" s="279"/>
      <c r="FLK30" s="279"/>
      <c r="FLL30" s="279"/>
      <c r="FLM30" s="279"/>
      <c r="FLN30" s="279"/>
      <c r="FLO30" s="279"/>
      <c r="FLP30" s="279"/>
      <c r="FLQ30" s="279"/>
      <c r="FLR30" s="279"/>
      <c r="FLS30" s="279"/>
      <c r="FLT30" s="279"/>
      <c r="FLU30" s="279"/>
      <c r="FLV30" s="279"/>
      <c r="FLW30" s="279"/>
      <c r="FLX30" s="279"/>
      <c r="FLY30" s="279"/>
      <c r="FLZ30" s="279"/>
      <c r="FMA30" s="279"/>
      <c r="FMB30" s="279"/>
      <c r="FMC30" s="279"/>
      <c r="FMD30" s="279"/>
      <c r="FME30" s="279"/>
      <c r="FMF30" s="279"/>
      <c r="FMG30" s="279"/>
      <c r="FMH30" s="279"/>
      <c r="FMI30" s="279"/>
      <c r="FMJ30" s="279"/>
      <c r="FMK30" s="279"/>
      <c r="FML30" s="279"/>
      <c r="FMM30" s="279"/>
      <c r="FMN30" s="279"/>
      <c r="FMO30" s="279"/>
      <c r="FMP30" s="279"/>
      <c r="FMQ30" s="279"/>
      <c r="FMR30" s="279"/>
      <c r="FMS30" s="279"/>
      <c r="FMT30" s="279"/>
      <c r="FMU30" s="279"/>
      <c r="FMV30" s="279"/>
      <c r="FMW30" s="279"/>
      <c r="FMX30" s="279"/>
      <c r="FMY30" s="279"/>
      <c r="FMZ30" s="279"/>
      <c r="FNA30" s="279"/>
      <c r="FNB30" s="279"/>
      <c r="FNC30" s="279"/>
      <c r="FND30" s="279"/>
      <c r="FNE30" s="279"/>
      <c r="FNF30" s="279"/>
      <c r="FNG30" s="279"/>
      <c r="FNH30" s="279"/>
      <c r="FNI30" s="279"/>
      <c r="FNJ30" s="279"/>
      <c r="FNK30" s="279"/>
      <c r="FNL30" s="279"/>
      <c r="FNM30" s="279"/>
      <c r="FNN30" s="279"/>
      <c r="FNO30" s="279"/>
      <c r="FNP30" s="279"/>
      <c r="FNQ30" s="279"/>
      <c r="FNR30" s="279"/>
      <c r="FNS30" s="279"/>
      <c r="FNT30" s="279"/>
      <c r="FNU30" s="279"/>
      <c r="FNV30" s="279"/>
      <c r="FNW30" s="279"/>
      <c r="FNX30" s="279"/>
      <c r="FNY30" s="279"/>
      <c r="FNZ30" s="279"/>
      <c r="FOA30" s="279"/>
      <c r="FOB30" s="279"/>
      <c r="FOC30" s="279"/>
      <c r="FOD30" s="279"/>
      <c r="FOE30" s="279"/>
      <c r="FOF30" s="279"/>
      <c r="FOG30" s="279"/>
      <c r="FOH30" s="279"/>
      <c r="FOI30" s="279"/>
      <c r="FOJ30" s="279"/>
      <c r="FOK30" s="279"/>
      <c r="FOL30" s="279"/>
      <c r="FOM30" s="279"/>
      <c r="FON30" s="279"/>
      <c r="FOO30" s="279"/>
      <c r="FOP30" s="279"/>
      <c r="FOQ30" s="279"/>
      <c r="FOR30" s="279"/>
      <c r="FOS30" s="279"/>
      <c r="FOT30" s="279"/>
      <c r="FOU30" s="279"/>
      <c r="FOV30" s="279"/>
      <c r="FOW30" s="279"/>
      <c r="FOX30" s="279"/>
      <c r="FOY30" s="279"/>
      <c r="FOZ30" s="279"/>
      <c r="FPA30" s="279"/>
      <c r="FPB30" s="279"/>
      <c r="FPC30" s="279"/>
      <c r="FPD30" s="279"/>
      <c r="FPE30" s="279"/>
      <c r="FPF30" s="279"/>
      <c r="FPG30" s="279"/>
      <c r="FPH30" s="279"/>
      <c r="FPI30" s="279"/>
      <c r="FPJ30" s="279"/>
      <c r="FPK30" s="279"/>
      <c r="FPL30" s="279"/>
      <c r="FPM30" s="279"/>
      <c r="FPN30" s="279"/>
      <c r="FPO30" s="279"/>
      <c r="FPP30" s="279"/>
      <c r="FPQ30" s="279"/>
      <c r="FPR30" s="279"/>
      <c r="FPS30" s="279"/>
      <c r="FPT30" s="279"/>
      <c r="FPU30" s="279"/>
      <c r="FPV30" s="279"/>
      <c r="FPW30" s="279"/>
      <c r="FPX30" s="279"/>
      <c r="FPY30" s="279"/>
      <c r="FPZ30" s="279"/>
      <c r="FQA30" s="279"/>
      <c r="FQB30" s="279"/>
      <c r="FQC30" s="279"/>
      <c r="FQD30" s="279"/>
      <c r="FQE30" s="279"/>
      <c r="FQF30" s="279"/>
      <c r="FQG30" s="279"/>
      <c r="FQH30" s="279"/>
      <c r="FQI30" s="279"/>
      <c r="FQJ30" s="279"/>
      <c r="FQK30" s="279"/>
      <c r="FQL30" s="279"/>
      <c r="FQM30" s="279"/>
      <c r="FQN30" s="279"/>
      <c r="FQO30" s="279"/>
      <c r="FQP30" s="279"/>
      <c r="FQQ30" s="279"/>
      <c r="FQR30" s="279"/>
      <c r="FQS30" s="279"/>
      <c r="FQT30" s="279"/>
      <c r="FQU30" s="279"/>
      <c r="FQV30" s="279"/>
      <c r="FQW30" s="279"/>
      <c r="FQX30" s="279"/>
      <c r="FQY30" s="279"/>
      <c r="FQZ30" s="279"/>
      <c r="FRA30" s="279"/>
      <c r="FRB30" s="279"/>
      <c r="FRC30" s="279"/>
      <c r="FRD30" s="279"/>
      <c r="FRE30" s="279"/>
      <c r="FRF30" s="279"/>
      <c r="FRG30" s="279"/>
      <c r="FRH30" s="279"/>
      <c r="FRI30" s="279"/>
      <c r="FRJ30" s="279"/>
      <c r="FRK30" s="279"/>
      <c r="FRL30" s="279"/>
      <c r="FRM30" s="279"/>
      <c r="FRN30" s="279"/>
      <c r="FRO30" s="279"/>
      <c r="FRP30" s="279"/>
      <c r="FRQ30" s="279"/>
      <c r="FRR30" s="279"/>
      <c r="FRS30" s="279"/>
      <c r="FRT30" s="279"/>
      <c r="FRU30" s="279"/>
      <c r="FRV30" s="279"/>
      <c r="FRW30" s="279"/>
      <c r="FRX30" s="279"/>
      <c r="FRY30" s="279"/>
      <c r="FRZ30" s="279"/>
      <c r="FSA30" s="279"/>
      <c r="FSB30" s="279"/>
      <c r="FSC30" s="279"/>
      <c r="FSD30" s="279"/>
      <c r="FSE30" s="279"/>
      <c r="FSF30" s="279"/>
      <c r="FSG30" s="279"/>
      <c r="FSH30" s="279"/>
      <c r="FSI30" s="279"/>
      <c r="FSJ30" s="279"/>
      <c r="FSK30" s="279"/>
      <c r="FSL30" s="279"/>
      <c r="FSM30" s="279"/>
      <c r="FSN30" s="279"/>
      <c r="FSO30" s="279"/>
      <c r="FSP30" s="279"/>
      <c r="FSQ30" s="279"/>
      <c r="FSR30" s="279"/>
      <c r="FSS30" s="279"/>
      <c r="FST30" s="279"/>
      <c r="FSU30" s="279"/>
      <c r="FSV30" s="279"/>
      <c r="FSW30" s="279"/>
      <c r="FSX30" s="279"/>
      <c r="FSY30" s="279"/>
      <c r="FSZ30" s="279"/>
      <c r="FTA30" s="279"/>
      <c r="FTB30" s="279"/>
      <c r="FTC30" s="279"/>
      <c r="FTD30" s="279"/>
      <c r="FTE30" s="279"/>
      <c r="FTF30" s="279"/>
      <c r="FTG30" s="279"/>
      <c r="FTH30" s="279"/>
      <c r="FTI30" s="279"/>
      <c r="FTJ30" s="279"/>
      <c r="FTK30" s="279"/>
      <c r="FTL30" s="279"/>
      <c r="FTM30" s="279"/>
      <c r="FTN30" s="279"/>
      <c r="FTO30" s="279"/>
      <c r="FTP30" s="279"/>
      <c r="FTQ30" s="279"/>
      <c r="FTR30" s="279"/>
      <c r="FTS30" s="279"/>
      <c r="FTT30" s="279"/>
      <c r="FTU30" s="279"/>
      <c r="FTV30" s="279"/>
      <c r="FTW30" s="279"/>
      <c r="FTX30" s="279"/>
      <c r="FTY30" s="279"/>
      <c r="FTZ30" s="279"/>
      <c r="FUA30" s="279"/>
      <c r="FUB30" s="279"/>
      <c r="FUC30" s="279"/>
      <c r="FUD30" s="279"/>
      <c r="FUE30" s="279"/>
      <c r="FUF30" s="279"/>
      <c r="FUG30" s="279"/>
      <c r="FUH30" s="279"/>
      <c r="FUI30" s="279"/>
      <c r="FUJ30" s="279"/>
      <c r="FUK30" s="279"/>
      <c r="FUL30" s="279"/>
      <c r="FUM30" s="279"/>
      <c r="FUN30" s="279"/>
      <c r="FUO30" s="279"/>
      <c r="FUP30" s="279"/>
      <c r="FUQ30" s="279"/>
      <c r="FUR30" s="279"/>
      <c r="FUS30" s="279"/>
      <c r="FUT30" s="279"/>
      <c r="FUU30" s="279"/>
      <c r="FUV30" s="279"/>
      <c r="FUW30" s="279"/>
      <c r="FUX30" s="279"/>
      <c r="FUY30" s="279"/>
      <c r="FUZ30" s="279"/>
      <c r="FVA30" s="279"/>
      <c r="FVB30" s="279"/>
      <c r="FVC30" s="279"/>
      <c r="FVD30" s="279"/>
      <c r="FVE30" s="279"/>
      <c r="FVF30" s="279"/>
      <c r="FVG30" s="279"/>
      <c r="FVH30" s="279"/>
      <c r="FVI30" s="279"/>
      <c r="FVJ30" s="279"/>
      <c r="FVK30" s="279"/>
      <c r="FVL30" s="279"/>
      <c r="FVM30" s="279"/>
      <c r="FVN30" s="279"/>
      <c r="FVO30" s="279"/>
      <c r="FVP30" s="279"/>
      <c r="FVQ30" s="279"/>
      <c r="FVR30" s="279"/>
      <c r="FVS30" s="279"/>
      <c r="FVT30" s="279"/>
      <c r="FVU30" s="279"/>
      <c r="FVV30" s="279"/>
      <c r="FVW30" s="279"/>
      <c r="FVX30" s="279"/>
      <c r="FVY30" s="279"/>
      <c r="FVZ30" s="279"/>
      <c r="FWA30" s="279"/>
      <c r="FWB30" s="279"/>
      <c r="FWC30" s="279"/>
      <c r="FWD30" s="279"/>
      <c r="FWE30" s="279"/>
      <c r="FWF30" s="279"/>
      <c r="FWG30" s="279"/>
      <c r="FWH30" s="279"/>
      <c r="FWI30" s="279"/>
      <c r="FWJ30" s="279"/>
      <c r="FWK30" s="279"/>
      <c r="FWL30" s="279"/>
      <c r="FWM30" s="279"/>
      <c r="FWN30" s="279"/>
      <c r="FWO30" s="279"/>
      <c r="FWP30" s="279"/>
      <c r="FWQ30" s="279"/>
      <c r="FWR30" s="279"/>
      <c r="FWS30" s="279"/>
      <c r="FWT30" s="279"/>
      <c r="FWU30" s="279"/>
      <c r="FWV30" s="279"/>
      <c r="FWW30" s="279"/>
      <c r="FWX30" s="279"/>
      <c r="FWY30" s="279"/>
      <c r="FWZ30" s="279"/>
      <c r="FXA30" s="279"/>
      <c r="FXB30" s="279"/>
      <c r="FXC30" s="279"/>
      <c r="FXD30" s="279"/>
      <c r="FXE30" s="279"/>
      <c r="FXF30" s="279"/>
      <c r="FXG30" s="279"/>
      <c r="FXH30" s="279"/>
      <c r="FXI30" s="279"/>
      <c r="FXJ30" s="279"/>
      <c r="FXK30" s="279"/>
      <c r="FXL30" s="279"/>
      <c r="FXM30" s="279"/>
      <c r="FXN30" s="279"/>
      <c r="FXO30" s="279"/>
      <c r="FXP30" s="279"/>
      <c r="FXQ30" s="279"/>
      <c r="FXR30" s="279"/>
      <c r="FXS30" s="279"/>
      <c r="FXT30" s="279"/>
      <c r="FXU30" s="279"/>
      <c r="FXV30" s="279"/>
      <c r="FXW30" s="279"/>
      <c r="FXX30" s="279"/>
      <c r="FXY30" s="279"/>
      <c r="FXZ30" s="279"/>
      <c r="FYA30" s="279"/>
      <c r="FYB30" s="279"/>
      <c r="FYC30" s="279"/>
      <c r="FYD30" s="279"/>
      <c r="FYE30" s="279"/>
      <c r="FYF30" s="279"/>
      <c r="FYG30" s="279"/>
      <c r="FYH30" s="279"/>
      <c r="FYI30" s="279"/>
      <c r="FYJ30" s="279"/>
      <c r="FYK30" s="279"/>
      <c r="FYL30" s="279"/>
      <c r="FYM30" s="279"/>
      <c r="FYN30" s="279"/>
      <c r="FYO30" s="279"/>
      <c r="FYP30" s="279"/>
      <c r="FYQ30" s="279"/>
      <c r="FYR30" s="279"/>
      <c r="FYS30" s="279"/>
      <c r="FYT30" s="279"/>
      <c r="FYU30" s="279"/>
      <c r="FYV30" s="279"/>
      <c r="FYW30" s="279"/>
      <c r="FYX30" s="279"/>
      <c r="FYY30" s="279"/>
      <c r="FYZ30" s="279"/>
      <c r="FZA30" s="279"/>
      <c r="FZB30" s="279"/>
      <c r="FZC30" s="279"/>
      <c r="FZD30" s="279"/>
      <c r="FZE30" s="279"/>
      <c r="FZF30" s="279"/>
      <c r="FZG30" s="279"/>
      <c r="FZH30" s="279"/>
      <c r="FZI30" s="279"/>
      <c r="FZJ30" s="279"/>
      <c r="FZK30" s="279"/>
      <c r="FZL30" s="279"/>
      <c r="FZM30" s="279"/>
      <c r="FZN30" s="279"/>
      <c r="FZO30" s="279"/>
      <c r="FZP30" s="279"/>
      <c r="FZQ30" s="279"/>
      <c r="FZR30" s="279"/>
      <c r="FZS30" s="279"/>
      <c r="FZT30" s="279"/>
      <c r="FZU30" s="279"/>
      <c r="FZV30" s="279"/>
      <c r="FZW30" s="279"/>
      <c r="FZX30" s="279"/>
      <c r="FZY30" s="279"/>
      <c r="FZZ30" s="279"/>
      <c r="GAA30" s="279"/>
      <c r="GAB30" s="279"/>
      <c r="GAC30" s="279"/>
      <c r="GAD30" s="279"/>
      <c r="GAE30" s="279"/>
      <c r="GAF30" s="279"/>
      <c r="GAG30" s="279"/>
      <c r="GAH30" s="279"/>
      <c r="GAI30" s="279"/>
      <c r="GAJ30" s="279"/>
      <c r="GAK30" s="279"/>
      <c r="GAL30" s="279"/>
      <c r="GAM30" s="279"/>
      <c r="GAN30" s="279"/>
      <c r="GAO30" s="279"/>
      <c r="GAP30" s="279"/>
      <c r="GAQ30" s="279"/>
      <c r="GAR30" s="279"/>
      <c r="GAS30" s="279"/>
      <c r="GAT30" s="279"/>
      <c r="GAU30" s="279"/>
      <c r="GAV30" s="279"/>
      <c r="GAW30" s="279"/>
      <c r="GAX30" s="279"/>
      <c r="GAY30" s="279"/>
      <c r="GAZ30" s="279"/>
      <c r="GBA30" s="279"/>
      <c r="GBB30" s="279"/>
      <c r="GBC30" s="279"/>
      <c r="GBD30" s="279"/>
      <c r="GBE30" s="279"/>
      <c r="GBF30" s="279"/>
      <c r="GBG30" s="279"/>
      <c r="GBH30" s="279"/>
      <c r="GBI30" s="279"/>
      <c r="GBJ30" s="279"/>
      <c r="GBK30" s="279"/>
      <c r="GBL30" s="279"/>
      <c r="GBM30" s="279"/>
      <c r="GBN30" s="279"/>
      <c r="GBO30" s="279"/>
      <c r="GBP30" s="279"/>
      <c r="GBQ30" s="279"/>
      <c r="GBR30" s="279"/>
      <c r="GBS30" s="279"/>
      <c r="GBT30" s="279"/>
      <c r="GBU30" s="279"/>
      <c r="GBV30" s="279"/>
      <c r="GBW30" s="279"/>
      <c r="GBX30" s="279"/>
      <c r="GBY30" s="279"/>
      <c r="GBZ30" s="279"/>
      <c r="GCA30" s="279"/>
      <c r="GCB30" s="279"/>
      <c r="GCC30" s="279"/>
      <c r="GCD30" s="279"/>
      <c r="GCE30" s="279"/>
      <c r="GCF30" s="279"/>
      <c r="GCG30" s="279"/>
      <c r="GCH30" s="279"/>
      <c r="GCI30" s="279"/>
      <c r="GCJ30" s="279"/>
      <c r="GCK30" s="279"/>
      <c r="GCL30" s="279"/>
      <c r="GCM30" s="279"/>
      <c r="GCN30" s="279"/>
      <c r="GCO30" s="279"/>
      <c r="GCP30" s="279"/>
      <c r="GCQ30" s="279"/>
      <c r="GCR30" s="279"/>
      <c r="GCS30" s="279"/>
      <c r="GCT30" s="279"/>
      <c r="GCU30" s="279"/>
      <c r="GCV30" s="279"/>
      <c r="GCW30" s="279"/>
      <c r="GCX30" s="279"/>
      <c r="GCY30" s="279"/>
      <c r="GCZ30" s="279"/>
      <c r="GDA30" s="279"/>
      <c r="GDB30" s="279"/>
      <c r="GDC30" s="279"/>
      <c r="GDD30" s="279"/>
      <c r="GDE30" s="279"/>
      <c r="GDF30" s="279"/>
      <c r="GDG30" s="279"/>
      <c r="GDH30" s="279"/>
      <c r="GDI30" s="279"/>
      <c r="GDJ30" s="279"/>
      <c r="GDK30" s="279"/>
      <c r="GDL30" s="279"/>
      <c r="GDM30" s="279"/>
      <c r="GDN30" s="279"/>
      <c r="GDO30" s="279"/>
      <c r="GDP30" s="279"/>
      <c r="GDQ30" s="279"/>
      <c r="GDR30" s="279"/>
      <c r="GDS30" s="279"/>
      <c r="GDT30" s="279"/>
      <c r="GDU30" s="279"/>
      <c r="GDV30" s="279"/>
      <c r="GDW30" s="279"/>
      <c r="GDX30" s="279"/>
      <c r="GDY30" s="279"/>
      <c r="GDZ30" s="279"/>
      <c r="GEA30" s="279"/>
      <c r="GEB30" s="279"/>
      <c r="GEC30" s="279"/>
      <c r="GED30" s="279"/>
      <c r="GEE30" s="279"/>
      <c r="GEF30" s="279"/>
      <c r="GEG30" s="279"/>
      <c r="GEH30" s="279"/>
      <c r="GEI30" s="279"/>
      <c r="GEJ30" s="279"/>
      <c r="GEK30" s="279"/>
      <c r="GEL30" s="279"/>
      <c r="GEM30" s="279"/>
      <c r="GEN30" s="279"/>
      <c r="GEO30" s="279"/>
      <c r="GEP30" s="279"/>
      <c r="GEQ30" s="279"/>
      <c r="GER30" s="279"/>
      <c r="GES30" s="279"/>
      <c r="GET30" s="279"/>
      <c r="GEU30" s="279"/>
      <c r="GEV30" s="279"/>
      <c r="GEW30" s="279"/>
      <c r="GEX30" s="279"/>
      <c r="GEY30" s="279"/>
      <c r="GEZ30" s="279"/>
      <c r="GFA30" s="279"/>
      <c r="GFB30" s="279"/>
      <c r="GFC30" s="279"/>
      <c r="GFD30" s="279"/>
      <c r="GFE30" s="279"/>
      <c r="GFF30" s="279"/>
      <c r="GFG30" s="279"/>
      <c r="GFH30" s="279"/>
      <c r="GFI30" s="279"/>
      <c r="GFJ30" s="279"/>
      <c r="GFK30" s="279"/>
      <c r="GFL30" s="279"/>
      <c r="GFM30" s="279"/>
      <c r="GFN30" s="279"/>
      <c r="GFO30" s="279"/>
      <c r="GFP30" s="279"/>
      <c r="GFQ30" s="279"/>
      <c r="GFR30" s="279"/>
      <c r="GFS30" s="279"/>
      <c r="GFT30" s="279"/>
      <c r="GFU30" s="279"/>
      <c r="GFV30" s="279"/>
      <c r="GFW30" s="279"/>
      <c r="GFX30" s="279"/>
      <c r="GFY30" s="279"/>
      <c r="GFZ30" s="279"/>
      <c r="GGA30" s="279"/>
      <c r="GGB30" s="279"/>
      <c r="GGC30" s="279"/>
      <c r="GGD30" s="279"/>
      <c r="GGE30" s="279"/>
      <c r="GGF30" s="279"/>
      <c r="GGG30" s="279"/>
      <c r="GGH30" s="279"/>
      <c r="GGI30" s="279"/>
      <c r="GGJ30" s="279"/>
      <c r="GGK30" s="279"/>
      <c r="GGL30" s="279"/>
      <c r="GGM30" s="279"/>
      <c r="GGN30" s="279"/>
      <c r="GGO30" s="279"/>
      <c r="GGP30" s="279"/>
      <c r="GGQ30" s="279"/>
      <c r="GGR30" s="279"/>
      <c r="GGS30" s="279"/>
      <c r="GGT30" s="279"/>
      <c r="GGU30" s="279"/>
      <c r="GGV30" s="279"/>
      <c r="GGW30" s="279"/>
      <c r="GGX30" s="279"/>
      <c r="GGY30" s="279"/>
      <c r="GGZ30" s="279"/>
      <c r="GHA30" s="279"/>
      <c r="GHB30" s="279"/>
      <c r="GHC30" s="279"/>
      <c r="GHD30" s="279"/>
      <c r="GHE30" s="279"/>
      <c r="GHF30" s="279"/>
      <c r="GHG30" s="279"/>
      <c r="GHH30" s="279"/>
      <c r="GHI30" s="279"/>
      <c r="GHJ30" s="279"/>
      <c r="GHK30" s="279"/>
      <c r="GHL30" s="279"/>
      <c r="GHM30" s="279"/>
      <c r="GHN30" s="279"/>
      <c r="GHO30" s="279"/>
      <c r="GHP30" s="279"/>
      <c r="GHQ30" s="279"/>
      <c r="GHR30" s="279"/>
      <c r="GHS30" s="279"/>
      <c r="GHT30" s="279"/>
      <c r="GHU30" s="279"/>
      <c r="GHV30" s="279"/>
      <c r="GHW30" s="279"/>
      <c r="GHX30" s="279"/>
      <c r="GHY30" s="279"/>
      <c r="GHZ30" s="279"/>
      <c r="GIA30" s="279"/>
      <c r="GIB30" s="279"/>
      <c r="GIC30" s="279"/>
      <c r="GID30" s="279"/>
      <c r="GIE30" s="279"/>
      <c r="GIF30" s="279"/>
      <c r="GIG30" s="279"/>
      <c r="GIH30" s="279"/>
      <c r="GII30" s="279"/>
      <c r="GIJ30" s="279"/>
      <c r="GIK30" s="279"/>
      <c r="GIL30" s="279"/>
      <c r="GIM30" s="279"/>
      <c r="GIN30" s="279"/>
      <c r="GIO30" s="279"/>
      <c r="GIP30" s="279"/>
      <c r="GIQ30" s="279"/>
      <c r="GIR30" s="279"/>
      <c r="GIS30" s="279"/>
      <c r="GIT30" s="279"/>
      <c r="GIU30" s="279"/>
      <c r="GIV30" s="279"/>
      <c r="GIW30" s="279"/>
      <c r="GIX30" s="279"/>
      <c r="GIY30" s="279"/>
      <c r="GIZ30" s="279"/>
      <c r="GJA30" s="279"/>
      <c r="GJB30" s="279"/>
      <c r="GJC30" s="279"/>
      <c r="GJD30" s="279"/>
      <c r="GJE30" s="279"/>
      <c r="GJF30" s="279"/>
      <c r="GJG30" s="279"/>
      <c r="GJH30" s="279"/>
      <c r="GJI30" s="279"/>
      <c r="GJJ30" s="279"/>
      <c r="GJK30" s="279"/>
      <c r="GJL30" s="279"/>
      <c r="GJM30" s="279"/>
      <c r="GJN30" s="279"/>
      <c r="GJO30" s="279"/>
      <c r="GJP30" s="279"/>
      <c r="GJQ30" s="279"/>
      <c r="GJR30" s="279"/>
      <c r="GJS30" s="279"/>
      <c r="GJT30" s="279"/>
      <c r="GJU30" s="279"/>
      <c r="GJV30" s="279"/>
      <c r="GJW30" s="279"/>
      <c r="GJX30" s="279"/>
      <c r="GJY30" s="279"/>
      <c r="GJZ30" s="279"/>
      <c r="GKA30" s="279"/>
      <c r="GKB30" s="279"/>
      <c r="GKC30" s="279"/>
      <c r="GKD30" s="279"/>
      <c r="GKE30" s="279"/>
      <c r="GKF30" s="279"/>
      <c r="GKG30" s="279"/>
      <c r="GKH30" s="279"/>
      <c r="GKI30" s="279"/>
      <c r="GKJ30" s="279"/>
      <c r="GKK30" s="279"/>
      <c r="GKL30" s="279"/>
      <c r="GKM30" s="279"/>
      <c r="GKN30" s="279"/>
      <c r="GKO30" s="279"/>
      <c r="GKP30" s="279"/>
      <c r="GKQ30" s="279"/>
      <c r="GKR30" s="279"/>
      <c r="GKS30" s="279"/>
      <c r="GKT30" s="279"/>
      <c r="GKU30" s="279"/>
      <c r="GKV30" s="279"/>
      <c r="GKW30" s="279"/>
      <c r="GKX30" s="279"/>
      <c r="GKY30" s="279"/>
      <c r="GKZ30" s="279"/>
      <c r="GLA30" s="279"/>
      <c r="GLB30" s="279"/>
      <c r="GLC30" s="279"/>
      <c r="GLD30" s="279"/>
      <c r="GLE30" s="279"/>
      <c r="GLF30" s="279"/>
      <c r="GLG30" s="279"/>
      <c r="GLH30" s="279"/>
      <c r="GLI30" s="279"/>
      <c r="GLJ30" s="279"/>
      <c r="GLK30" s="279"/>
      <c r="GLL30" s="279"/>
      <c r="GLM30" s="279"/>
      <c r="GLN30" s="279"/>
      <c r="GLO30" s="279"/>
      <c r="GLP30" s="279"/>
      <c r="GLQ30" s="279"/>
      <c r="GLR30" s="279"/>
      <c r="GLS30" s="279"/>
      <c r="GLT30" s="279"/>
      <c r="GLU30" s="279"/>
      <c r="GLV30" s="279"/>
      <c r="GLW30" s="279"/>
      <c r="GLX30" s="279"/>
      <c r="GLY30" s="279"/>
      <c r="GLZ30" s="279"/>
      <c r="GMA30" s="279"/>
      <c r="GMB30" s="279"/>
      <c r="GMC30" s="279"/>
      <c r="GMD30" s="279"/>
      <c r="GME30" s="279"/>
      <c r="GMF30" s="279"/>
      <c r="GMG30" s="279"/>
      <c r="GMH30" s="279"/>
      <c r="GMI30" s="279"/>
      <c r="GMJ30" s="279"/>
      <c r="GMK30" s="279"/>
      <c r="GML30" s="279"/>
      <c r="GMM30" s="279"/>
      <c r="GMN30" s="279"/>
      <c r="GMO30" s="279"/>
      <c r="GMP30" s="279"/>
      <c r="GMQ30" s="279"/>
      <c r="GMR30" s="279"/>
      <c r="GMS30" s="279"/>
      <c r="GMT30" s="279"/>
      <c r="GMU30" s="279"/>
      <c r="GMV30" s="279"/>
      <c r="GMW30" s="279"/>
      <c r="GMX30" s="279"/>
      <c r="GMY30" s="279"/>
      <c r="GMZ30" s="279"/>
      <c r="GNA30" s="279"/>
      <c r="GNB30" s="279"/>
      <c r="GNC30" s="279"/>
      <c r="GND30" s="279"/>
      <c r="GNE30" s="279"/>
      <c r="GNF30" s="279"/>
      <c r="GNG30" s="279"/>
      <c r="GNH30" s="279"/>
      <c r="GNI30" s="279"/>
      <c r="GNJ30" s="279"/>
      <c r="GNK30" s="279"/>
      <c r="GNL30" s="279"/>
      <c r="GNM30" s="279"/>
      <c r="GNN30" s="279"/>
      <c r="GNO30" s="279"/>
      <c r="GNP30" s="279"/>
      <c r="GNQ30" s="279"/>
      <c r="GNR30" s="279"/>
      <c r="GNS30" s="279"/>
      <c r="GNT30" s="279"/>
      <c r="GNU30" s="279"/>
      <c r="GNV30" s="279"/>
      <c r="GNW30" s="279"/>
      <c r="GNX30" s="279"/>
      <c r="GNY30" s="279"/>
      <c r="GNZ30" s="279"/>
      <c r="GOA30" s="279"/>
      <c r="GOB30" s="279"/>
      <c r="GOC30" s="279"/>
      <c r="GOD30" s="279"/>
      <c r="GOE30" s="279"/>
      <c r="GOF30" s="279"/>
      <c r="GOG30" s="279"/>
      <c r="GOH30" s="279"/>
      <c r="GOI30" s="279"/>
      <c r="GOJ30" s="279"/>
      <c r="GOK30" s="279"/>
      <c r="GOL30" s="279"/>
      <c r="GOM30" s="279"/>
      <c r="GON30" s="279"/>
      <c r="GOO30" s="279"/>
      <c r="GOP30" s="279"/>
      <c r="GOQ30" s="279"/>
      <c r="GOR30" s="279"/>
      <c r="GOS30" s="279"/>
      <c r="GOT30" s="279"/>
      <c r="GOU30" s="279"/>
      <c r="GOV30" s="279"/>
      <c r="GOW30" s="279"/>
      <c r="GOX30" s="279"/>
      <c r="GOY30" s="279"/>
      <c r="GOZ30" s="279"/>
      <c r="GPA30" s="279"/>
      <c r="GPB30" s="279"/>
      <c r="GPC30" s="279"/>
      <c r="GPD30" s="279"/>
      <c r="GPE30" s="279"/>
      <c r="GPF30" s="279"/>
      <c r="GPG30" s="279"/>
      <c r="GPH30" s="279"/>
      <c r="GPI30" s="279"/>
      <c r="GPJ30" s="279"/>
      <c r="GPK30" s="279"/>
      <c r="GPL30" s="279"/>
      <c r="GPM30" s="279"/>
      <c r="GPN30" s="279"/>
      <c r="GPO30" s="279"/>
      <c r="GPP30" s="279"/>
      <c r="GPQ30" s="279"/>
      <c r="GPR30" s="279"/>
      <c r="GPS30" s="279"/>
      <c r="GPT30" s="279"/>
      <c r="GPU30" s="279"/>
      <c r="GPV30" s="279"/>
      <c r="GPW30" s="279"/>
      <c r="GPX30" s="279"/>
      <c r="GPY30" s="279"/>
      <c r="GPZ30" s="279"/>
      <c r="GQA30" s="279"/>
      <c r="GQB30" s="279"/>
      <c r="GQC30" s="279"/>
      <c r="GQD30" s="279"/>
      <c r="GQE30" s="279"/>
      <c r="GQF30" s="279"/>
      <c r="GQG30" s="279"/>
      <c r="GQH30" s="279"/>
      <c r="GQI30" s="279"/>
      <c r="GQJ30" s="279"/>
      <c r="GQK30" s="279"/>
      <c r="GQL30" s="279"/>
      <c r="GQM30" s="279"/>
      <c r="GQN30" s="279"/>
      <c r="GQO30" s="279"/>
      <c r="GQP30" s="279"/>
      <c r="GQQ30" s="279"/>
      <c r="GQR30" s="279"/>
      <c r="GQS30" s="279"/>
      <c r="GQT30" s="279"/>
      <c r="GQU30" s="279"/>
      <c r="GQV30" s="279"/>
      <c r="GQW30" s="279"/>
      <c r="GQX30" s="279"/>
      <c r="GQY30" s="279"/>
      <c r="GQZ30" s="279"/>
      <c r="GRA30" s="279"/>
      <c r="GRB30" s="279"/>
      <c r="GRC30" s="279"/>
      <c r="GRD30" s="279"/>
      <c r="GRE30" s="279"/>
      <c r="GRF30" s="279"/>
      <c r="GRG30" s="279"/>
      <c r="GRH30" s="279"/>
      <c r="GRI30" s="279"/>
      <c r="GRJ30" s="279"/>
      <c r="GRK30" s="279"/>
      <c r="GRL30" s="279"/>
      <c r="GRM30" s="279"/>
      <c r="GRN30" s="279"/>
      <c r="GRO30" s="279"/>
      <c r="GRP30" s="279"/>
      <c r="GRQ30" s="279"/>
      <c r="GRR30" s="279"/>
      <c r="GRS30" s="279"/>
      <c r="GRT30" s="279"/>
      <c r="GRU30" s="279"/>
      <c r="GRV30" s="279"/>
      <c r="GRW30" s="279"/>
      <c r="GRX30" s="279"/>
      <c r="GRY30" s="279"/>
      <c r="GRZ30" s="279"/>
      <c r="GSA30" s="279"/>
      <c r="GSB30" s="279"/>
      <c r="GSC30" s="279"/>
      <c r="GSD30" s="279"/>
      <c r="GSE30" s="279"/>
      <c r="GSF30" s="279"/>
      <c r="GSG30" s="279"/>
      <c r="GSH30" s="279"/>
      <c r="GSI30" s="279"/>
      <c r="GSJ30" s="279"/>
      <c r="GSK30" s="279"/>
      <c r="GSL30" s="279"/>
      <c r="GSM30" s="279"/>
      <c r="GSN30" s="279"/>
      <c r="GSO30" s="279"/>
      <c r="GSP30" s="279"/>
      <c r="GSQ30" s="279"/>
      <c r="GSR30" s="279"/>
      <c r="GSS30" s="279"/>
      <c r="GST30" s="279"/>
      <c r="GSU30" s="279"/>
      <c r="GSV30" s="279"/>
      <c r="GSW30" s="279"/>
      <c r="GSX30" s="279"/>
      <c r="GSY30" s="279"/>
      <c r="GSZ30" s="279"/>
      <c r="GTA30" s="279"/>
      <c r="GTB30" s="279"/>
      <c r="GTC30" s="279"/>
      <c r="GTD30" s="279"/>
      <c r="GTE30" s="279"/>
      <c r="GTF30" s="279"/>
      <c r="GTG30" s="279"/>
      <c r="GTH30" s="279"/>
      <c r="GTI30" s="279"/>
      <c r="GTJ30" s="279"/>
      <c r="GTK30" s="279"/>
      <c r="GTL30" s="279"/>
      <c r="GTM30" s="279"/>
      <c r="GTN30" s="279"/>
      <c r="GTO30" s="279"/>
      <c r="GTP30" s="279"/>
      <c r="GTQ30" s="279"/>
      <c r="GTR30" s="279"/>
      <c r="GTS30" s="279"/>
      <c r="GTT30" s="279"/>
      <c r="GTU30" s="279"/>
      <c r="GTV30" s="279"/>
      <c r="GTW30" s="279"/>
      <c r="GTX30" s="279"/>
      <c r="GTY30" s="279"/>
      <c r="GTZ30" s="279"/>
      <c r="GUA30" s="279"/>
      <c r="GUB30" s="279"/>
      <c r="GUC30" s="279"/>
      <c r="GUD30" s="279"/>
      <c r="GUE30" s="279"/>
      <c r="GUF30" s="279"/>
      <c r="GUG30" s="279"/>
      <c r="GUH30" s="279"/>
      <c r="GUI30" s="279"/>
      <c r="GUJ30" s="279"/>
      <c r="GUK30" s="279"/>
      <c r="GUL30" s="279"/>
      <c r="GUM30" s="279"/>
      <c r="GUN30" s="279"/>
      <c r="GUO30" s="279"/>
      <c r="GUP30" s="279"/>
      <c r="GUQ30" s="279"/>
      <c r="GUR30" s="279"/>
      <c r="GUS30" s="279"/>
      <c r="GUT30" s="279"/>
      <c r="GUU30" s="279"/>
      <c r="GUV30" s="279"/>
      <c r="GUW30" s="279"/>
      <c r="GUX30" s="279"/>
      <c r="GUY30" s="279"/>
      <c r="GUZ30" s="279"/>
      <c r="GVA30" s="279"/>
      <c r="GVB30" s="279"/>
      <c r="GVC30" s="279"/>
      <c r="GVD30" s="279"/>
      <c r="GVE30" s="279"/>
      <c r="GVF30" s="279"/>
      <c r="GVG30" s="279"/>
      <c r="GVH30" s="279"/>
      <c r="GVI30" s="279"/>
      <c r="GVJ30" s="279"/>
      <c r="GVK30" s="279"/>
      <c r="GVL30" s="279"/>
      <c r="GVM30" s="279"/>
      <c r="GVN30" s="279"/>
      <c r="GVO30" s="279"/>
      <c r="GVP30" s="279"/>
      <c r="GVQ30" s="279"/>
      <c r="GVR30" s="279"/>
      <c r="GVS30" s="279"/>
      <c r="GVT30" s="279"/>
      <c r="GVU30" s="279"/>
      <c r="GVV30" s="279"/>
      <c r="GVW30" s="279"/>
      <c r="GVX30" s="279"/>
      <c r="GVY30" s="279"/>
      <c r="GVZ30" s="279"/>
      <c r="GWA30" s="279"/>
      <c r="GWB30" s="279"/>
      <c r="GWC30" s="279"/>
      <c r="GWD30" s="279"/>
      <c r="GWE30" s="279"/>
      <c r="GWF30" s="279"/>
      <c r="GWG30" s="279"/>
      <c r="GWH30" s="279"/>
      <c r="GWI30" s="279"/>
      <c r="GWJ30" s="279"/>
      <c r="GWK30" s="279"/>
      <c r="GWL30" s="279"/>
      <c r="GWM30" s="279"/>
      <c r="GWN30" s="279"/>
      <c r="GWO30" s="279"/>
      <c r="GWP30" s="279"/>
      <c r="GWQ30" s="279"/>
      <c r="GWR30" s="279"/>
      <c r="GWS30" s="279"/>
      <c r="GWT30" s="279"/>
      <c r="GWU30" s="279"/>
      <c r="GWV30" s="279"/>
      <c r="GWW30" s="279"/>
      <c r="GWX30" s="279"/>
      <c r="GWY30" s="279"/>
      <c r="GWZ30" s="279"/>
      <c r="GXA30" s="279"/>
      <c r="GXB30" s="279"/>
      <c r="GXC30" s="279"/>
      <c r="GXD30" s="279"/>
      <c r="GXE30" s="279"/>
      <c r="GXF30" s="279"/>
      <c r="GXG30" s="279"/>
      <c r="GXH30" s="279"/>
      <c r="GXI30" s="279"/>
      <c r="GXJ30" s="279"/>
      <c r="GXK30" s="279"/>
      <c r="GXL30" s="279"/>
      <c r="GXM30" s="279"/>
      <c r="GXN30" s="279"/>
      <c r="GXO30" s="279"/>
      <c r="GXP30" s="279"/>
      <c r="GXQ30" s="279"/>
      <c r="GXR30" s="279"/>
      <c r="GXS30" s="279"/>
      <c r="GXT30" s="279"/>
      <c r="GXU30" s="279"/>
      <c r="GXV30" s="279"/>
      <c r="GXW30" s="279"/>
      <c r="GXX30" s="279"/>
      <c r="GXY30" s="279"/>
      <c r="GXZ30" s="279"/>
      <c r="GYA30" s="279"/>
      <c r="GYB30" s="279"/>
      <c r="GYC30" s="279"/>
      <c r="GYD30" s="279"/>
      <c r="GYE30" s="279"/>
      <c r="GYF30" s="279"/>
      <c r="GYG30" s="279"/>
      <c r="GYH30" s="279"/>
      <c r="GYI30" s="279"/>
      <c r="GYJ30" s="279"/>
      <c r="GYK30" s="279"/>
      <c r="GYL30" s="279"/>
      <c r="GYM30" s="279"/>
      <c r="GYN30" s="279"/>
      <c r="GYO30" s="279"/>
      <c r="GYP30" s="279"/>
      <c r="GYQ30" s="279"/>
      <c r="GYR30" s="279"/>
      <c r="GYS30" s="279"/>
      <c r="GYT30" s="279"/>
      <c r="GYU30" s="279"/>
      <c r="GYV30" s="279"/>
      <c r="GYW30" s="279"/>
      <c r="GYX30" s="279"/>
      <c r="GYY30" s="279"/>
      <c r="GYZ30" s="279"/>
      <c r="GZA30" s="279"/>
      <c r="GZB30" s="279"/>
      <c r="GZC30" s="279"/>
      <c r="GZD30" s="279"/>
      <c r="GZE30" s="279"/>
      <c r="GZF30" s="279"/>
      <c r="GZG30" s="279"/>
      <c r="GZH30" s="279"/>
      <c r="GZI30" s="279"/>
      <c r="GZJ30" s="279"/>
      <c r="GZK30" s="279"/>
      <c r="GZL30" s="279"/>
      <c r="GZM30" s="279"/>
      <c r="GZN30" s="279"/>
      <c r="GZO30" s="279"/>
      <c r="GZP30" s="279"/>
      <c r="GZQ30" s="279"/>
      <c r="GZR30" s="279"/>
      <c r="GZS30" s="279"/>
      <c r="GZT30" s="279"/>
      <c r="GZU30" s="279"/>
      <c r="GZV30" s="279"/>
      <c r="GZW30" s="279"/>
      <c r="GZX30" s="279"/>
      <c r="GZY30" s="279"/>
      <c r="GZZ30" s="279"/>
      <c r="HAA30" s="279"/>
      <c r="HAB30" s="279"/>
      <c r="HAC30" s="279"/>
      <c r="HAD30" s="279"/>
      <c r="HAE30" s="279"/>
      <c r="HAF30" s="279"/>
      <c r="HAG30" s="279"/>
      <c r="HAH30" s="279"/>
      <c r="HAI30" s="279"/>
      <c r="HAJ30" s="279"/>
      <c r="HAK30" s="279"/>
      <c r="HAL30" s="279"/>
      <c r="HAM30" s="279"/>
      <c r="HAN30" s="279"/>
      <c r="HAO30" s="279"/>
      <c r="HAP30" s="279"/>
      <c r="HAQ30" s="279"/>
      <c r="HAR30" s="279"/>
      <c r="HAS30" s="279"/>
      <c r="HAT30" s="279"/>
      <c r="HAU30" s="279"/>
      <c r="HAV30" s="279"/>
      <c r="HAW30" s="279"/>
      <c r="HAX30" s="279"/>
      <c r="HAY30" s="279"/>
      <c r="HAZ30" s="279"/>
      <c r="HBA30" s="279"/>
      <c r="HBB30" s="279"/>
      <c r="HBC30" s="279"/>
      <c r="HBD30" s="279"/>
      <c r="HBE30" s="279"/>
      <c r="HBF30" s="279"/>
      <c r="HBG30" s="279"/>
      <c r="HBH30" s="279"/>
      <c r="HBI30" s="279"/>
      <c r="HBJ30" s="279"/>
      <c r="HBK30" s="279"/>
      <c r="HBL30" s="279"/>
      <c r="HBM30" s="279"/>
      <c r="HBN30" s="279"/>
      <c r="HBO30" s="279"/>
      <c r="HBP30" s="279"/>
      <c r="HBQ30" s="279"/>
      <c r="HBR30" s="279"/>
      <c r="HBS30" s="279"/>
      <c r="HBT30" s="279"/>
      <c r="HBU30" s="279"/>
      <c r="HBV30" s="279"/>
      <c r="HBW30" s="279"/>
      <c r="HBX30" s="279"/>
      <c r="HBY30" s="279"/>
      <c r="HBZ30" s="279"/>
      <c r="HCA30" s="279"/>
      <c r="HCB30" s="279"/>
      <c r="HCC30" s="279"/>
      <c r="HCD30" s="279"/>
      <c r="HCE30" s="279"/>
      <c r="HCF30" s="279"/>
      <c r="HCG30" s="279"/>
      <c r="HCH30" s="279"/>
      <c r="HCI30" s="279"/>
      <c r="HCJ30" s="279"/>
      <c r="HCK30" s="279"/>
      <c r="HCL30" s="279"/>
      <c r="HCM30" s="279"/>
      <c r="HCN30" s="279"/>
      <c r="HCO30" s="279"/>
      <c r="HCP30" s="279"/>
      <c r="HCQ30" s="279"/>
      <c r="HCR30" s="279"/>
      <c r="HCS30" s="279"/>
      <c r="HCT30" s="279"/>
      <c r="HCU30" s="279"/>
      <c r="HCV30" s="279"/>
      <c r="HCW30" s="279"/>
      <c r="HCX30" s="279"/>
      <c r="HCY30" s="279"/>
      <c r="HCZ30" s="279"/>
      <c r="HDA30" s="279"/>
      <c r="HDB30" s="279"/>
      <c r="HDC30" s="279"/>
      <c r="HDD30" s="279"/>
      <c r="HDE30" s="279"/>
      <c r="HDF30" s="279"/>
      <c r="HDG30" s="279"/>
      <c r="HDH30" s="279"/>
      <c r="HDI30" s="279"/>
      <c r="HDJ30" s="279"/>
      <c r="HDK30" s="279"/>
      <c r="HDL30" s="279"/>
      <c r="HDM30" s="279"/>
      <c r="HDN30" s="279"/>
      <c r="HDO30" s="279"/>
      <c r="HDP30" s="279"/>
      <c r="HDQ30" s="279"/>
      <c r="HDR30" s="279"/>
      <c r="HDS30" s="279"/>
      <c r="HDT30" s="279"/>
      <c r="HDU30" s="279"/>
      <c r="HDV30" s="279"/>
      <c r="HDW30" s="279"/>
      <c r="HDX30" s="279"/>
      <c r="HDY30" s="279"/>
      <c r="HDZ30" s="279"/>
      <c r="HEA30" s="279"/>
      <c r="HEB30" s="279"/>
      <c r="HEC30" s="279"/>
      <c r="HED30" s="279"/>
      <c r="HEE30" s="279"/>
      <c r="HEF30" s="279"/>
      <c r="HEG30" s="279"/>
      <c r="HEH30" s="279"/>
      <c r="HEI30" s="279"/>
      <c r="HEJ30" s="279"/>
      <c r="HEK30" s="279"/>
      <c r="HEL30" s="279"/>
      <c r="HEM30" s="279"/>
      <c r="HEN30" s="279"/>
      <c r="HEO30" s="279"/>
      <c r="HEP30" s="279"/>
      <c r="HEQ30" s="279"/>
      <c r="HER30" s="279"/>
      <c r="HES30" s="279"/>
      <c r="HET30" s="279"/>
      <c r="HEU30" s="279"/>
      <c r="HEV30" s="279"/>
      <c r="HEW30" s="279"/>
      <c r="HEX30" s="279"/>
      <c r="HEY30" s="279"/>
      <c r="HEZ30" s="279"/>
      <c r="HFA30" s="279"/>
      <c r="HFB30" s="279"/>
      <c r="HFC30" s="279"/>
      <c r="HFD30" s="279"/>
      <c r="HFE30" s="279"/>
      <c r="HFF30" s="279"/>
      <c r="HFG30" s="279"/>
      <c r="HFH30" s="279"/>
      <c r="HFI30" s="279"/>
      <c r="HFJ30" s="279"/>
      <c r="HFK30" s="279"/>
      <c r="HFL30" s="279"/>
      <c r="HFM30" s="279"/>
      <c r="HFN30" s="279"/>
      <c r="HFO30" s="279"/>
      <c r="HFP30" s="279"/>
      <c r="HFQ30" s="279"/>
      <c r="HFR30" s="279"/>
      <c r="HFS30" s="279"/>
      <c r="HFT30" s="279"/>
      <c r="HFU30" s="279"/>
      <c r="HFV30" s="279"/>
      <c r="HFW30" s="279"/>
      <c r="HFX30" s="279"/>
      <c r="HFY30" s="279"/>
      <c r="HFZ30" s="279"/>
      <c r="HGA30" s="279"/>
      <c r="HGB30" s="279"/>
      <c r="HGC30" s="279"/>
      <c r="HGD30" s="279"/>
      <c r="HGE30" s="279"/>
      <c r="HGF30" s="279"/>
      <c r="HGG30" s="279"/>
      <c r="HGH30" s="279"/>
      <c r="HGI30" s="279"/>
      <c r="HGJ30" s="279"/>
      <c r="HGK30" s="279"/>
      <c r="HGL30" s="279"/>
      <c r="HGM30" s="279"/>
      <c r="HGN30" s="279"/>
      <c r="HGO30" s="279"/>
      <c r="HGP30" s="279"/>
      <c r="HGQ30" s="279"/>
      <c r="HGR30" s="279"/>
      <c r="HGS30" s="279"/>
      <c r="HGT30" s="279"/>
      <c r="HGU30" s="279"/>
      <c r="HGV30" s="279"/>
      <c r="HGW30" s="279"/>
      <c r="HGX30" s="279"/>
      <c r="HGY30" s="279"/>
      <c r="HGZ30" s="279"/>
      <c r="HHA30" s="279"/>
      <c r="HHB30" s="279"/>
      <c r="HHC30" s="279"/>
      <c r="HHD30" s="279"/>
      <c r="HHE30" s="279"/>
      <c r="HHF30" s="279"/>
      <c r="HHG30" s="279"/>
      <c r="HHH30" s="279"/>
      <c r="HHI30" s="279"/>
      <c r="HHJ30" s="279"/>
      <c r="HHK30" s="279"/>
      <c r="HHL30" s="279"/>
      <c r="HHM30" s="279"/>
      <c r="HHN30" s="279"/>
      <c r="HHO30" s="279"/>
      <c r="HHP30" s="279"/>
      <c r="HHQ30" s="279"/>
      <c r="HHR30" s="279"/>
      <c r="HHS30" s="279"/>
      <c r="HHT30" s="279"/>
      <c r="HHU30" s="279"/>
      <c r="HHV30" s="279"/>
      <c r="HHW30" s="279"/>
      <c r="HHX30" s="279"/>
      <c r="HHY30" s="279"/>
      <c r="HHZ30" s="279"/>
      <c r="HIA30" s="279"/>
      <c r="HIB30" s="279"/>
      <c r="HIC30" s="279"/>
      <c r="HID30" s="279"/>
      <c r="HIE30" s="279"/>
      <c r="HIF30" s="279"/>
      <c r="HIG30" s="279"/>
      <c r="HIH30" s="279"/>
      <c r="HII30" s="279"/>
      <c r="HIJ30" s="279"/>
      <c r="HIK30" s="279"/>
      <c r="HIL30" s="279"/>
      <c r="HIM30" s="279"/>
      <c r="HIN30" s="279"/>
      <c r="HIO30" s="279"/>
      <c r="HIP30" s="279"/>
      <c r="HIQ30" s="279"/>
      <c r="HIR30" s="279"/>
      <c r="HIS30" s="279"/>
      <c r="HIT30" s="279"/>
      <c r="HIU30" s="279"/>
      <c r="HIV30" s="279"/>
      <c r="HIW30" s="279"/>
      <c r="HIX30" s="279"/>
      <c r="HIY30" s="279"/>
      <c r="HIZ30" s="279"/>
      <c r="HJA30" s="279"/>
      <c r="HJB30" s="279"/>
      <c r="HJC30" s="279"/>
      <c r="HJD30" s="279"/>
      <c r="HJE30" s="279"/>
      <c r="HJF30" s="279"/>
      <c r="HJG30" s="279"/>
      <c r="HJH30" s="279"/>
      <c r="HJI30" s="279"/>
      <c r="HJJ30" s="279"/>
      <c r="HJK30" s="279"/>
      <c r="HJL30" s="279"/>
      <c r="HJM30" s="279"/>
      <c r="HJN30" s="279"/>
      <c r="HJO30" s="279"/>
      <c r="HJP30" s="279"/>
      <c r="HJQ30" s="279"/>
      <c r="HJR30" s="279"/>
      <c r="HJS30" s="279"/>
      <c r="HJT30" s="279"/>
      <c r="HJU30" s="279"/>
      <c r="HJV30" s="279"/>
      <c r="HJW30" s="279"/>
      <c r="HJX30" s="279"/>
      <c r="HJY30" s="279"/>
      <c r="HJZ30" s="279"/>
      <c r="HKA30" s="279"/>
      <c r="HKB30" s="279"/>
      <c r="HKC30" s="279"/>
      <c r="HKD30" s="279"/>
      <c r="HKE30" s="279"/>
      <c r="HKF30" s="279"/>
      <c r="HKG30" s="279"/>
      <c r="HKH30" s="279"/>
      <c r="HKI30" s="279"/>
      <c r="HKJ30" s="279"/>
      <c r="HKK30" s="279"/>
      <c r="HKL30" s="279"/>
      <c r="HKM30" s="279"/>
      <c r="HKN30" s="279"/>
      <c r="HKO30" s="279"/>
      <c r="HKP30" s="279"/>
      <c r="HKQ30" s="279"/>
      <c r="HKR30" s="279"/>
      <c r="HKS30" s="279"/>
      <c r="HKT30" s="279"/>
      <c r="HKU30" s="279"/>
      <c r="HKV30" s="279"/>
      <c r="HKW30" s="279"/>
      <c r="HKX30" s="279"/>
      <c r="HKY30" s="279"/>
      <c r="HKZ30" s="279"/>
      <c r="HLA30" s="279"/>
      <c r="HLB30" s="279"/>
      <c r="HLC30" s="279"/>
      <c r="HLD30" s="279"/>
      <c r="HLE30" s="279"/>
      <c r="HLF30" s="279"/>
      <c r="HLG30" s="279"/>
      <c r="HLH30" s="279"/>
      <c r="HLI30" s="279"/>
      <c r="HLJ30" s="279"/>
      <c r="HLK30" s="279"/>
      <c r="HLL30" s="279"/>
      <c r="HLM30" s="279"/>
      <c r="HLN30" s="279"/>
      <c r="HLO30" s="279"/>
      <c r="HLP30" s="279"/>
      <c r="HLQ30" s="279"/>
      <c r="HLR30" s="279"/>
      <c r="HLS30" s="279"/>
      <c r="HLT30" s="279"/>
      <c r="HLU30" s="279"/>
      <c r="HLV30" s="279"/>
      <c r="HLW30" s="279"/>
      <c r="HLX30" s="279"/>
      <c r="HLY30" s="279"/>
      <c r="HLZ30" s="279"/>
      <c r="HMA30" s="279"/>
      <c r="HMB30" s="279"/>
      <c r="HMC30" s="279"/>
      <c r="HMD30" s="279"/>
      <c r="HME30" s="279"/>
      <c r="HMF30" s="279"/>
      <c r="HMG30" s="279"/>
      <c r="HMH30" s="279"/>
      <c r="HMI30" s="279"/>
      <c r="HMJ30" s="279"/>
      <c r="HMK30" s="279"/>
      <c r="HML30" s="279"/>
      <c r="HMM30" s="279"/>
      <c r="HMN30" s="279"/>
      <c r="HMO30" s="279"/>
      <c r="HMP30" s="279"/>
      <c r="HMQ30" s="279"/>
      <c r="HMR30" s="279"/>
      <c r="HMS30" s="279"/>
      <c r="HMT30" s="279"/>
      <c r="HMU30" s="279"/>
      <c r="HMV30" s="279"/>
      <c r="HMW30" s="279"/>
      <c r="HMX30" s="279"/>
      <c r="HMY30" s="279"/>
      <c r="HMZ30" s="279"/>
      <c r="HNA30" s="279"/>
      <c r="HNB30" s="279"/>
      <c r="HNC30" s="279"/>
      <c r="HND30" s="279"/>
      <c r="HNE30" s="279"/>
      <c r="HNF30" s="279"/>
      <c r="HNG30" s="279"/>
      <c r="HNH30" s="279"/>
      <c r="HNI30" s="279"/>
      <c r="HNJ30" s="279"/>
      <c r="HNK30" s="279"/>
      <c r="HNL30" s="279"/>
      <c r="HNM30" s="279"/>
      <c r="HNN30" s="279"/>
      <c r="HNO30" s="279"/>
      <c r="HNP30" s="279"/>
      <c r="HNQ30" s="279"/>
      <c r="HNR30" s="279"/>
      <c r="HNS30" s="279"/>
      <c r="HNT30" s="279"/>
      <c r="HNU30" s="279"/>
      <c r="HNV30" s="279"/>
      <c r="HNW30" s="279"/>
      <c r="HNX30" s="279"/>
      <c r="HNY30" s="279"/>
      <c r="HNZ30" s="279"/>
      <c r="HOA30" s="279"/>
      <c r="HOB30" s="279"/>
      <c r="HOC30" s="279"/>
      <c r="HOD30" s="279"/>
      <c r="HOE30" s="279"/>
      <c r="HOF30" s="279"/>
      <c r="HOG30" s="279"/>
      <c r="HOH30" s="279"/>
      <c r="HOI30" s="279"/>
      <c r="HOJ30" s="279"/>
      <c r="HOK30" s="279"/>
      <c r="HOL30" s="279"/>
      <c r="HOM30" s="279"/>
      <c r="HON30" s="279"/>
      <c r="HOO30" s="279"/>
      <c r="HOP30" s="279"/>
      <c r="HOQ30" s="279"/>
      <c r="HOR30" s="279"/>
      <c r="HOS30" s="279"/>
      <c r="HOT30" s="279"/>
      <c r="HOU30" s="279"/>
      <c r="HOV30" s="279"/>
      <c r="HOW30" s="279"/>
      <c r="HOX30" s="279"/>
      <c r="HOY30" s="279"/>
      <c r="HOZ30" s="279"/>
      <c r="HPA30" s="279"/>
      <c r="HPB30" s="279"/>
      <c r="HPC30" s="279"/>
      <c r="HPD30" s="279"/>
      <c r="HPE30" s="279"/>
      <c r="HPF30" s="279"/>
      <c r="HPG30" s="279"/>
      <c r="HPH30" s="279"/>
      <c r="HPI30" s="279"/>
      <c r="HPJ30" s="279"/>
      <c r="HPK30" s="279"/>
      <c r="HPL30" s="279"/>
      <c r="HPM30" s="279"/>
      <c r="HPN30" s="279"/>
      <c r="HPO30" s="279"/>
      <c r="HPP30" s="279"/>
      <c r="HPQ30" s="279"/>
      <c r="HPR30" s="279"/>
      <c r="HPS30" s="279"/>
      <c r="HPT30" s="279"/>
      <c r="HPU30" s="279"/>
      <c r="HPV30" s="279"/>
      <c r="HPW30" s="279"/>
      <c r="HPX30" s="279"/>
      <c r="HPY30" s="279"/>
      <c r="HPZ30" s="279"/>
      <c r="HQA30" s="279"/>
      <c r="HQB30" s="279"/>
      <c r="HQC30" s="279"/>
      <c r="HQD30" s="279"/>
      <c r="HQE30" s="279"/>
      <c r="HQF30" s="279"/>
      <c r="HQG30" s="279"/>
      <c r="HQH30" s="279"/>
      <c r="HQI30" s="279"/>
      <c r="HQJ30" s="279"/>
      <c r="HQK30" s="279"/>
      <c r="HQL30" s="279"/>
      <c r="HQM30" s="279"/>
      <c r="HQN30" s="279"/>
      <c r="HQO30" s="279"/>
      <c r="HQP30" s="279"/>
      <c r="HQQ30" s="279"/>
      <c r="HQR30" s="279"/>
      <c r="HQS30" s="279"/>
      <c r="HQT30" s="279"/>
      <c r="HQU30" s="279"/>
      <c r="HQV30" s="279"/>
      <c r="HQW30" s="279"/>
      <c r="HQX30" s="279"/>
      <c r="HQY30" s="279"/>
      <c r="HQZ30" s="279"/>
      <c r="HRA30" s="279"/>
      <c r="HRB30" s="279"/>
      <c r="HRC30" s="279"/>
      <c r="HRD30" s="279"/>
      <c r="HRE30" s="279"/>
      <c r="HRF30" s="279"/>
      <c r="HRG30" s="279"/>
      <c r="HRH30" s="279"/>
      <c r="HRI30" s="279"/>
      <c r="HRJ30" s="279"/>
      <c r="HRK30" s="279"/>
      <c r="HRL30" s="279"/>
      <c r="HRM30" s="279"/>
      <c r="HRN30" s="279"/>
      <c r="HRO30" s="279"/>
      <c r="HRP30" s="279"/>
      <c r="HRQ30" s="279"/>
      <c r="HRR30" s="279"/>
      <c r="HRS30" s="279"/>
      <c r="HRT30" s="279"/>
      <c r="HRU30" s="279"/>
      <c r="HRV30" s="279"/>
      <c r="HRW30" s="279"/>
      <c r="HRX30" s="279"/>
      <c r="HRY30" s="279"/>
      <c r="HRZ30" s="279"/>
      <c r="HSA30" s="279"/>
      <c r="HSB30" s="279"/>
      <c r="HSC30" s="279"/>
      <c r="HSD30" s="279"/>
      <c r="HSE30" s="279"/>
      <c r="HSF30" s="279"/>
      <c r="HSG30" s="279"/>
      <c r="HSH30" s="279"/>
      <c r="HSI30" s="279"/>
      <c r="HSJ30" s="279"/>
      <c r="HSK30" s="279"/>
      <c r="HSL30" s="279"/>
      <c r="HSM30" s="279"/>
      <c r="HSN30" s="279"/>
      <c r="HSO30" s="279"/>
      <c r="HSP30" s="279"/>
      <c r="HSQ30" s="279"/>
      <c r="HSR30" s="279"/>
      <c r="HSS30" s="279"/>
      <c r="HST30" s="279"/>
      <c r="HSU30" s="279"/>
      <c r="HSV30" s="279"/>
      <c r="HSW30" s="279"/>
      <c r="HSX30" s="279"/>
      <c r="HSY30" s="279"/>
      <c r="HSZ30" s="279"/>
      <c r="HTA30" s="279"/>
      <c r="HTB30" s="279"/>
      <c r="HTC30" s="279"/>
      <c r="HTD30" s="279"/>
      <c r="HTE30" s="279"/>
      <c r="HTF30" s="279"/>
      <c r="HTG30" s="279"/>
      <c r="HTH30" s="279"/>
      <c r="HTI30" s="279"/>
      <c r="HTJ30" s="279"/>
      <c r="HTK30" s="279"/>
      <c r="HTL30" s="279"/>
      <c r="HTM30" s="279"/>
      <c r="HTN30" s="279"/>
      <c r="HTO30" s="279"/>
      <c r="HTP30" s="279"/>
      <c r="HTQ30" s="279"/>
      <c r="HTR30" s="279"/>
      <c r="HTS30" s="279"/>
      <c r="HTT30" s="279"/>
      <c r="HTU30" s="279"/>
      <c r="HTV30" s="279"/>
      <c r="HTW30" s="279"/>
      <c r="HTX30" s="279"/>
      <c r="HTY30" s="279"/>
      <c r="HTZ30" s="279"/>
      <c r="HUA30" s="279"/>
      <c r="HUB30" s="279"/>
      <c r="HUC30" s="279"/>
      <c r="HUD30" s="279"/>
      <c r="HUE30" s="279"/>
      <c r="HUF30" s="279"/>
      <c r="HUG30" s="279"/>
      <c r="HUH30" s="279"/>
      <c r="HUI30" s="279"/>
      <c r="HUJ30" s="279"/>
      <c r="HUK30" s="279"/>
      <c r="HUL30" s="279"/>
      <c r="HUM30" s="279"/>
      <c r="HUN30" s="279"/>
      <c r="HUO30" s="279"/>
      <c r="HUP30" s="279"/>
      <c r="HUQ30" s="279"/>
      <c r="HUR30" s="279"/>
      <c r="HUS30" s="279"/>
      <c r="HUT30" s="279"/>
      <c r="HUU30" s="279"/>
      <c r="HUV30" s="279"/>
      <c r="HUW30" s="279"/>
      <c r="HUX30" s="279"/>
      <c r="HUY30" s="279"/>
      <c r="HUZ30" s="279"/>
      <c r="HVA30" s="279"/>
      <c r="HVB30" s="279"/>
      <c r="HVC30" s="279"/>
      <c r="HVD30" s="279"/>
      <c r="HVE30" s="279"/>
      <c r="HVF30" s="279"/>
      <c r="HVG30" s="279"/>
      <c r="HVH30" s="279"/>
      <c r="HVI30" s="279"/>
      <c r="HVJ30" s="279"/>
      <c r="HVK30" s="279"/>
      <c r="HVL30" s="279"/>
      <c r="HVM30" s="279"/>
      <c r="HVN30" s="279"/>
      <c r="HVO30" s="279"/>
      <c r="HVP30" s="279"/>
      <c r="HVQ30" s="279"/>
      <c r="HVR30" s="279"/>
      <c r="HVS30" s="279"/>
      <c r="HVT30" s="279"/>
      <c r="HVU30" s="279"/>
      <c r="HVV30" s="279"/>
      <c r="HVW30" s="279"/>
      <c r="HVX30" s="279"/>
      <c r="HVY30" s="279"/>
      <c r="HVZ30" s="279"/>
      <c r="HWA30" s="279"/>
      <c r="HWB30" s="279"/>
      <c r="HWC30" s="279"/>
      <c r="HWD30" s="279"/>
      <c r="HWE30" s="279"/>
      <c r="HWF30" s="279"/>
      <c r="HWG30" s="279"/>
      <c r="HWH30" s="279"/>
      <c r="HWI30" s="279"/>
      <c r="HWJ30" s="279"/>
      <c r="HWK30" s="279"/>
      <c r="HWL30" s="279"/>
      <c r="HWM30" s="279"/>
      <c r="HWN30" s="279"/>
      <c r="HWO30" s="279"/>
      <c r="HWP30" s="279"/>
      <c r="HWQ30" s="279"/>
      <c r="HWR30" s="279"/>
      <c r="HWS30" s="279"/>
      <c r="HWT30" s="279"/>
      <c r="HWU30" s="279"/>
      <c r="HWV30" s="279"/>
      <c r="HWW30" s="279"/>
      <c r="HWX30" s="279"/>
      <c r="HWY30" s="279"/>
      <c r="HWZ30" s="279"/>
      <c r="HXA30" s="279"/>
      <c r="HXB30" s="279"/>
      <c r="HXC30" s="279"/>
      <c r="HXD30" s="279"/>
      <c r="HXE30" s="279"/>
      <c r="HXF30" s="279"/>
      <c r="HXG30" s="279"/>
      <c r="HXH30" s="279"/>
      <c r="HXI30" s="279"/>
      <c r="HXJ30" s="279"/>
      <c r="HXK30" s="279"/>
      <c r="HXL30" s="279"/>
      <c r="HXM30" s="279"/>
      <c r="HXN30" s="279"/>
      <c r="HXO30" s="279"/>
      <c r="HXP30" s="279"/>
      <c r="HXQ30" s="279"/>
      <c r="HXR30" s="279"/>
      <c r="HXS30" s="279"/>
      <c r="HXT30" s="279"/>
      <c r="HXU30" s="279"/>
      <c r="HXV30" s="279"/>
      <c r="HXW30" s="279"/>
      <c r="HXX30" s="279"/>
      <c r="HXY30" s="279"/>
      <c r="HXZ30" s="279"/>
      <c r="HYA30" s="279"/>
      <c r="HYB30" s="279"/>
      <c r="HYC30" s="279"/>
      <c r="HYD30" s="279"/>
      <c r="HYE30" s="279"/>
      <c r="HYF30" s="279"/>
      <c r="HYG30" s="279"/>
      <c r="HYH30" s="279"/>
      <c r="HYI30" s="279"/>
      <c r="HYJ30" s="279"/>
      <c r="HYK30" s="279"/>
      <c r="HYL30" s="279"/>
      <c r="HYM30" s="279"/>
      <c r="HYN30" s="279"/>
      <c r="HYO30" s="279"/>
      <c r="HYP30" s="279"/>
      <c r="HYQ30" s="279"/>
      <c r="HYR30" s="279"/>
      <c r="HYS30" s="279"/>
      <c r="HYT30" s="279"/>
      <c r="HYU30" s="279"/>
      <c r="HYV30" s="279"/>
      <c r="HYW30" s="279"/>
      <c r="HYX30" s="279"/>
      <c r="HYY30" s="279"/>
      <c r="HYZ30" s="279"/>
      <c r="HZA30" s="279"/>
      <c r="HZB30" s="279"/>
      <c r="HZC30" s="279"/>
      <c r="HZD30" s="279"/>
      <c r="HZE30" s="279"/>
      <c r="HZF30" s="279"/>
      <c r="HZG30" s="279"/>
      <c r="HZH30" s="279"/>
      <c r="HZI30" s="279"/>
      <c r="HZJ30" s="279"/>
      <c r="HZK30" s="279"/>
      <c r="HZL30" s="279"/>
      <c r="HZM30" s="279"/>
      <c r="HZN30" s="279"/>
      <c r="HZO30" s="279"/>
      <c r="HZP30" s="279"/>
      <c r="HZQ30" s="279"/>
      <c r="HZR30" s="279"/>
      <c r="HZS30" s="279"/>
      <c r="HZT30" s="279"/>
      <c r="HZU30" s="279"/>
      <c r="HZV30" s="279"/>
      <c r="HZW30" s="279"/>
      <c r="HZX30" s="279"/>
      <c r="HZY30" s="279"/>
      <c r="HZZ30" s="279"/>
      <c r="IAA30" s="279"/>
      <c r="IAB30" s="279"/>
      <c r="IAC30" s="279"/>
      <c r="IAD30" s="279"/>
      <c r="IAE30" s="279"/>
      <c r="IAF30" s="279"/>
      <c r="IAG30" s="279"/>
      <c r="IAH30" s="279"/>
      <c r="IAI30" s="279"/>
      <c r="IAJ30" s="279"/>
      <c r="IAK30" s="279"/>
      <c r="IAL30" s="279"/>
      <c r="IAM30" s="279"/>
      <c r="IAN30" s="279"/>
      <c r="IAO30" s="279"/>
      <c r="IAP30" s="279"/>
      <c r="IAQ30" s="279"/>
      <c r="IAR30" s="279"/>
      <c r="IAS30" s="279"/>
      <c r="IAT30" s="279"/>
      <c r="IAU30" s="279"/>
      <c r="IAV30" s="279"/>
      <c r="IAW30" s="279"/>
      <c r="IAX30" s="279"/>
      <c r="IAY30" s="279"/>
      <c r="IAZ30" s="279"/>
      <c r="IBA30" s="279"/>
      <c r="IBB30" s="279"/>
      <c r="IBC30" s="279"/>
      <c r="IBD30" s="279"/>
      <c r="IBE30" s="279"/>
      <c r="IBF30" s="279"/>
      <c r="IBG30" s="279"/>
      <c r="IBH30" s="279"/>
      <c r="IBI30" s="279"/>
      <c r="IBJ30" s="279"/>
      <c r="IBK30" s="279"/>
      <c r="IBL30" s="279"/>
      <c r="IBM30" s="279"/>
      <c r="IBN30" s="279"/>
      <c r="IBO30" s="279"/>
      <c r="IBP30" s="279"/>
      <c r="IBQ30" s="279"/>
      <c r="IBR30" s="279"/>
      <c r="IBS30" s="279"/>
      <c r="IBT30" s="279"/>
      <c r="IBU30" s="279"/>
      <c r="IBV30" s="279"/>
      <c r="IBW30" s="279"/>
      <c r="IBX30" s="279"/>
      <c r="IBY30" s="279"/>
      <c r="IBZ30" s="279"/>
      <c r="ICA30" s="279"/>
      <c r="ICB30" s="279"/>
      <c r="ICC30" s="279"/>
      <c r="ICD30" s="279"/>
      <c r="ICE30" s="279"/>
      <c r="ICF30" s="279"/>
      <c r="ICG30" s="279"/>
      <c r="ICH30" s="279"/>
      <c r="ICI30" s="279"/>
      <c r="ICJ30" s="279"/>
      <c r="ICK30" s="279"/>
      <c r="ICL30" s="279"/>
      <c r="ICM30" s="279"/>
      <c r="ICN30" s="279"/>
      <c r="ICO30" s="279"/>
      <c r="ICP30" s="279"/>
      <c r="ICQ30" s="279"/>
      <c r="ICR30" s="279"/>
      <c r="ICS30" s="279"/>
      <c r="ICT30" s="279"/>
      <c r="ICU30" s="279"/>
      <c r="ICV30" s="279"/>
      <c r="ICW30" s="279"/>
      <c r="ICX30" s="279"/>
      <c r="ICY30" s="279"/>
      <c r="ICZ30" s="279"/>
      <c r="IDA30" s="279"/>
      <c r="IDB30" s="279"/>
      <c r="IDC30" s="279"/>
      <c r="IDD30" s="279"/>
      <c r="IDE30" s="279"/>
      <c r="IDF30" s="279"/>
      <c r="IDG30" s="279"/>
      <c r="IDH30" s="279"/>
      <c r="IDI30" s="279"/>
      <c r="IDJ30" s="279"/>
      <c r="IDK30" s="279"/>
      <c r="IDL30" s="279"/>
      <c r="IDM30" s="279"/>
      <c r="IDN30" s="279"/>
      <c r="IDO30" s="279"/>
      <c r="IDP30" s="279"/>
      <c r="IDQ30" s="279"/>
      <c r="IDR30" s="279"/>
      <c r="IDS30" s="279"/>
      <c r="IDT30" s="279"/>
      <c r="IDU30" s="279"/>
      <c r="IDV30" s="279"/>
      <c r="IDW30" s="279"/>
      <c r="IDX30" s="279"/>
      <c r="IDY30" s="279"/>
      <c r="IDZ30" s="279"/>
      <c r="IEA30" s="279"/>
      <c r="IEB30" s="279"/>
      <c r="IEC30" s="279"/>
      <c r="IED30" s="279"/>
      <c r="IEE30" s="279"/>
      <c r="IEF30" s="279"/>
      <c r="IEG30" s="279"/>
      <c r="IEH30" s="279"/>
      <c r="IEI30" s="279"/>
      <c r="IEJ30" s="279"/>
      <c r="IEK30" s="279"/>
      <c r="IEL30" s="279"/>
      <c r="IEM30" s="279"/>
      <c r="IEN30" s="279"/>
      <c r="IEO30" s="279"/>
      <c r="IEP30" s="279"/>
      <c r="IEQ30" s="279"/>
      <c r="IER30" s="279"/>
      <c r="IES30" s="279"/>
      <c r="IET30" s="279"/>
      <c r="IEU30" s="279"/>
      <c r="IEV30" s="279"/>
      <c r="IEW30" s="279"/>
      <c r="IEX30" s="279"/>
      <c r="IEY30" s="279"/>
      <c r="IEZ30" s="279"/>
      <c r="IFA30" s="279"/>
      <c r="IFB30" s="279"/>
      <c r="IFC30" s="279"/>
      <c r="IFD30" s="279"/>
      <c r="IFE30" s="279"/>
      <c r="IFF30" s="279"/>
      <c r="IFG30" s="279"/>
      <c r="IFH30" s="279"/>
      <c r="IFI30" s="279"/>
      <c r="IFJ30" s="279"/>
      <c r="IFK30" s="279"/>
      <c r="IFL30" s="279"/>
      <c r="IFM30" s="279"/>
      <c r="IFN30" s="279"/>
      <c r="IFO30" s="279"/>
      <c r="IFP30" s="279"/>
      <c r="IFQ30" s="279"/>
      <c r="IFR30" s="279"/>
      <c r="IFS30" s="279"/>
      <c r="IFT30" s="279"/>
      <c r="IFU30" s="279"/>
      <c r="IFV30" s="279"/>
      <c r="IFW30" s="279"/>
      <c r="IFX30" s="279"/>
      <c r="IFY30" s="279"/>
      <c r="IFZ30" s="279"/>
      <c r="IGA30" s="279"/>
      <c r="IGB30" s="279"/>
      <c r="IGC30" s="279"/>
      <c r="IGD30" s="279"/>
      <c r="IGE30" s="279"/>
      <c r="IGF30" s="279"/>
      <c r="IGG30" s="279"/>
      <c r="IGH30" s="279"/>
      <c r="IGI30" s="279"/>
      <c r="IGJ30" s="279"/>
      <c r="IGK30" s="279"/>
      <c r="IGL30" s="279"/>
      <c r="IGM30" s="279"/>
      <c r="IGN30" s="279"/>
      <c r="IGO30" s="279"/>
      <c r="IGP30" s="279"/>
      <c r="IGQ30" s="279"/>
      <c r="IGR30" s="279"/>
      <c r="IGS30" s="279"/>
      <c r="IGT30" s="279"/>
      <c r="IGU30" s="279"/>
      <c r="IGV30" s="279"/>
      <c r="IGW30" s="279"/>
      <c r="IGX30" s="279"/>
      <c r="IGY30" s="279"/>
      <c r="IGZ30" s="279"/>
      <c r="IHA30" s="279"/>
      <c r="IHB30" s="279"/>
      <c r="IHC30" s="279"/>
      <c r="IHD30" s="279"/>
      <c r="IHE30" s="279"/>
      <c r="IHF30" s="279"/>
      <c r="IHG30" s="279"/>
      <c r="IHH30" s="279"/>
      <c r="IHI30" s="279"/>
      <c r="IHJ30" s="279"/>
      <c r="IHK30" s="279"/>
      <c r="IHL30" s="279"/>
      <c r="IHM30" s="279"/>
      <c r="IHN30" s="279"/>
      <c r="IHO30" s="279"/>
      <c r="IHP30" s="279"/>
      <c r="IHQ30" s="279"/>
      <c r="IHR30" s="279"/>
      <c r="IHS30" s="279"/>
      <c r="IHT30" s="279"/>
      <c r="IHU30" s="279"/>
      <c r="IHV30" s="279"/>
      <c r="IHW30" s="279"/>
      <c r="IHX30" s="279"/>
      <c r="IHY30" s="279"/>
      <c r="IHZ30" s="279"/>
      <c r="IIA30" s="279"/>
      <c r="IIB30" s="279"/>
      <c r="IIC30" s="279"/>
      <c r="IID30" s="279"/>
      <c r="IIE30" s="279"/>
      <c r="IIF30" s="279"/>
      <c r="IIG30" s="279"/>
      <c r="IIH30" s="279"/>
      <c r="III30" s="279"/>
      <c r="IIJ30" s="279"/>
      <c r="IIK30" s="279"/>
      <c r="IIL30" s="279"/>
      <c r="IIM30" s="279"/>
      <c r="IIN30" s="279"/>
      <c r="IIO30" s="279"/>
      <c r="IIP30" s="279"/>
      <c r="IIQ30" s="279"/>
      <c r="IIR30" s="279"/>
      <c r="IIS30" s="279"/>
      <c r="IIT30" s="279"/>
      <c r="IIU30" s="279"/>
      <c r="IIV30" s="279"/>
      <c r="IIW30" s="279"/>
      <c r="IIX30" s="279"/>
      <c r="IIY30" s="279"/>
      <c r="IIZ30" s="279"/>
      <c r="IJA30" s="279"/>
      <c r="IJB30" s="279"/>
      <c r="IJC30" s="279"/>
      <c r="IJD30" s="279"/>
      <c r="IJE30" s="279"/>
      <c r="IJF30" s="279"/>
      <c r="IJG30" s="279"/>
      <c r="IJH30" s="279"/>
      <c r="IJI30" s="279"/>
      <c r="IJJ30" s="279"/>
      <c r="IJK30" s="279"/>
      <c r="IJL30" s="279"/>
      <c r="IJM30" s="279"/>
      <c r="IJN30" s="279"/>
      <c r="IJO30" s="279"/>
      <c r="IJP30" s="279"/>
      <c r="IJQ30" s="279"/>
      <c r="IJR30" s="279"/>
      <c r="IJS30" s="279"/>
      <c r="IJT30" s="279"/>
      <c r="IJU30" s="279"/>
      <c r="IJV30" s="279"/>
      <c r="IJW30" s="279"/>
      <c r="IJX30" s="279"/>
      <c r="IJY30" s="279"/>
      <c r="IJZ30" s="279"/>
      <c r="IKA30" s="279"/>
      <c r="IKB30" s="279"/>
      <c r="IKC30" s="279"/>
      <c r="IKD30" s="279"/>
      <c r="IKE30" s="279"/>
      <c r="IKF30" s="279"/>
      <c r="IKG30" s="279"/>
      <c r="IKH30" s="279"/>
      <c r="IKI30" s="279"/>
      <c r="IKJ30" s="279"/>
      <c r="IKK30" s="279"/>
      <c r="IKL30" s="279"/>
      <c r="IKM30" s="279"/>
      <c r="IKN30" s="279"/>
      <c r="IKO30" s="279"/>
      <c r="IKP30" s="279"/>
      <c r="IKQ30" s="279"/>
      <c r="IKR30" s="279"/>
      <c r="IKS30" s="279"/>
      <c r="IKT30" s="279"/>
      <c r="IKU30" s="279"/>
      <c r="IKV30" s="279"/>
      <c r="IKW30" s="279"/>
      <c r="IKX30" s="279"/>
      <c r="IKY30" s="279"/>
      <c r="IKZ30" s="279"/>
      <c r="ILA30" s="279"/>
      <c r="ILB30" s="279"/>
      <c r="ILC30" s="279"/>
      <c r="ILD30" s="279"/>
      <c r="ILE30" s="279"/>
      <c r="ILF30" s="279"/>
      <c r="ILG30" s="279"/>
      <c r="ILH30" s="279"/>
      <c r="ILI30" s="279"/>
      <c r="ILJ30" s="279"/>
      <c r="ILK30" s="279"/>
      <c r="ILL30" s="279"/>
      <c r="ILM30" s="279"/>
      <c r="ILN30" s="279"/>
      <c r="ILO30" s="279"/>
      <c r="ILP30" s="279"/>
      <c r="ILQ30" s="279"/>
      <c r="ILR30" s="279"/>
      <c r="ILS30" s="279"/>
      <c r="ILT30" s="279"/>
      <c r="ILU30" s="279"/>
      <c r="ILV30" s="279"/>
      <c r="ILW30" s="279"/>
      <c r="ILX30" s="279"/>
      <c r="ILY30" s="279"/>
      <c r="ILZ30" s="279"/>
      <c r="IMA30" s="279"/>
      <c r="IMB30" s="279"/>
      <c r="IMC30" s="279"/>
      <c r="IMD30" s="279"/>
      <c r="IME30" s="279"/>
      <c r="IMF30" s="279"/>
      <c r="IMG30" s="279"/>
      <c r="IMH30" s="279"/>
      <c r="IMI30" s="279"/>
      <c r="IMJ30" s="279"/>
      <c r="IMK30" s="279"/>
      <c r="IML30" s="279"/>
      <c r="IMM30" s="279"/>
      <c r="IMN30" s="279"/>
      <c r="IMO30" s="279"/>
      <c r="IMP30" s="279"/>
      <c r="IMQ30" s="279"/>
      <c r="IMR30" s="279"/>
      <c r="IMS30" s="279"/>
      <c r="IMT30" s="279"/>
      <c r="IMU30" s="279"/>
      <c r="IMV30" s="279"/>
      <c r="IMW30" s="279"/>
      <c r="IMX30" s="279"/>
      <c r="IMY30" s="279"/>
      <c r="IMZ30" s="279"/>
      <c r="INA30" s="279"/>
      <c r="INB30" s="279"/>
      <c r="INC30" s="279"/>
      <c r="IND30" s="279"/>
      <c r="INE30" s="279"/>
      <c r="INF30" s="279"/>
      <c r="ING30" s="279"/>
      <c r="INH30" s="279"/>
      <c r="INI30" s="279"/>
      <c r="INJ30" s="279"/>
      <c r="INK30" s="279"/>
      <c r="INL30" s="279"/>
      <c r="INM30" s="279"/>
      <c r="INN30" s="279"/>
      <c r="INO30" s="279"/>
      <c r="INP30" s="279"/>
      <c r="INQ30" s="279"/>
      <c r="INR30" s="279"/>
      <c r="INS30" s="279"/>
      <c r="INT30" s="279"/>
      <c r="INU30" s="279"/>
      <c r="INV30" s="279"/>
      <c r="INW30" s="279"/>
      <c r="INX30" s="279"/>
      <c r="INY30" s="279"/>
      <c r="INZ30" s="279"/>
      <c r="IOA30" s="279"/>
      <c r="IOB30" s="279"/>
      <c r="IOC30" s="279"/>
      <c r="IOD30" s="279"/>
      <c r="IOE30" s="279"/>
      <c r="IOF30" s="279"/>
      <c r="IOG30" s="279"/>
      <c r="IOH30" s="279"/>
      <c r="IOI30" s="279"/>
      <c r="IOJ30" s="279"/>
      <c r="IOK30" s="279"/>
      <c r="IOL30" s="279"/>
      <c r="IOM30" s="279"/>
      <c r="ION30" s="279"/>
      <c r="IOO30" s="279"/>
      <c r="IOP30" s="279"/>
      <c r="IOQ30" s="279"/>
      <c r="IOR30" s="279"/>
      <c r="IOS30" s="279"/>
      <c r="IOT30" s="279"/>
      <c r="IOU30" s="279"/>
      <c r="IOV30" s="279"/>
      <c r="IOW30" s="279"/>
      <c r="IOX30" s="279"/>
      <c r="IOY30" s="279"/>
      <c r="IOZ30" s="279"/>
      <c r="IPA30" s="279"/>
      <c r="IPB30" s="279"/>
      <c r="IPC30" s="279"/>
      <c r="IPD30" s="279"/>
      <c r="IPE30" s="279"/>
      <c r="IPF30" s="279"/>
      <c r="IPG30" s="279"/>
      <c r="IPH30" s="279"/>
      <c r="IPI30" s="279"/>
      <c r="IPJ30" s="279"/>
      <c r="IPK30" s="279"/>
      <c r="IPL30" s="279"/>
      <c r="IPM30" s="279"/>
      <c r="IPN30" s="279"/>
      <c r="IPO30" s="279"/>
      <c r="IPP30" s="279"/>
      <c r="IPQ30" s="279"/>
      <c r="IPR30" s="279"/>
      <c r="IPS30" s="279"/>
      <c r="IPT30" s="279"/>
      <c r="IPU30" s="279"/>
      <c r="IPV30" s="279"/>
      <c r="IPW30" s="279"/>
      <c r="IPX30" s="279"/>
      <c r="IPY30" s="279"/>
      <c r="IPZ30" s="279"/>
      <c r="IQA30" s="279"/>
      <c r="IQB30" s="279"/>
      <c r="IQC30" s="279"/>
      <c r="IQD30" s="279"/>
      <c r="IQE30" s="279"/>
      <c r="IQF30" s="279"/>
      <c r="IQG30" s="279"/>
      <c r="IQH30" s="279"/>
      <c r="IQI30" s="279"/>
      <c r="IQJ30" s="279"/>
      <c r="IQK30" s="279"/>
      <c r="IQL30" s="279"/>
      <c r="IQM30" s="279"/>
      <c r="IQN30" s="279"/>
      <c r="IQO30" s="279"/>
      <c r="IQP30" s="279"/>
      <c r="IQQ30" s="279"/>
      <c r="IQR30" s="279"/>
      <c r="IQS30" s="279"/>
      <c r="IQT30" s="279"/>
      <c r="IQU30" s="279"/>
      <c r="IQV30" s="279"/>
      <c r="IQW30" s="279"/>
      <c r="IQX30" s="279"/>
      <c r="IQY30" s="279"/>
      <c r="IQZ30" s="279"/>
      <c r="IRA30" s="279"/>
      <c r="IRB30" s="279"/>
      <c r="IRC30" s="279"/>
      <c r="IRD30" s="279"/>
      <c r="IRE30" s="279"/>
      <c r="IRF30" s="279"/>
      <c r="IRG30" s="279"/>
      <c r="IRH30" s="279"/>
      <c r="IRI30" s="279"/>
      <c r="IRJ30" s="279"/>
      <c r="IRK30" s="279"/>
      <c r="IRL30" s="279"/>
      <c r="IRM30" s="279"/>
      <c r="IRN30" s="279"/>
      <c r="IRO30" s="279"/>
      <c r="IRP30" s="279"/>
      <c r="IRQ30" s="279"/>
      <c r="IRR30" s="279"/>
      <c r="IRS30" s="279"/>
      <c r="IRT30" s="279"/>
      <c r="IRU30" s="279"/>
      <c r="IRV30" s="279"/>
      <c r="IRW30" s="279"/>
      <c r="IRX30" s="279"/>
      <c r="IRY30" s="279"/>
      <c r="IRZ30" s="279"/>
      <c r="ISA30" s="279"/>
      <c r="ISB30" s="279"/>
      <c r="ISC30" s="279"/>
      <c r="ISD30" s="279"/>
      <c r="ISE30" s="279"/>
      <c r="ISF30" s="279"/>
      <c r="ISG30" s="279"/>
      <c r="ISH30" s="279"/>
      <c r="ISI30" s="279"/>
      <c r="ISJ30" s="279"/>
      <c r="ISK30" s="279"/>
      <c r="ISL30" s="279"/>
      <c r="ISM30" s="279"/>
      <c r="ISN30" s="279"/>
      <c r="ISO30" s="279"/>
      <c r="ISP30" s="279"/>
      <c r="ISQ30" s="279"/>
      <c r="ISR30" s="279"/>
      <c r="ISS30" s="279"/>
      <c r="IST30" s="279"/>
      <c r="ISU30" s="279"/>
      <c r="ISV30" s="279"/>
      <c r="ISW30" s="279"/>
      <c r="ISX30" s="279"/>
      <c r="ISY30" s="279"/>
      <c r="ISZ30" s="279"/>
      <c r="ITA30" s="279"/>
      <c r="ITB30" s="279"/>
      <c r="ITC30" s="279"/>
      <c r="ITD30" s="279"/>
      <c r="ITE30" s="279"/>
      <c r="ITF30" s="279"/>
      <c r="ITG30" s="279"/>
      <c r="ITH30" s="279"/>
      <c r="ITI30" s="279"/>
      <c r="ITJ30" s="279"/>
      <c r="ITK30" s="279"/>
      <c r="ITL30" s="279"/>
      <c r="ITM30" s="279"/>
      <c r="ITN30" s="279"/>
      <c r="ITO30" s="279"/>
      <c r="ITP30" s="279"/>
      <c r="ITQ30" s="279"/>
      <c r="ITR30" s="279"/>
      <c r="ITS30" s="279"/>
      <c r="ITT30" s="279"/>
      <c r="ITU30" s="279"/>
      <c r="ITV30" s="279"/>
      <c r="ITW30" s="279"/>
      <c r="ITX30" s="279"/>
      <c r="ITY30" s="279"/>
      <c r="ITZ30" s="279"/>
      <c r="IUA30" s="279"/>
      <c r="IUB30" s="279"/>
      <c r="IUC30" s="279"/>
      <c r="IUD30" s="279"/>
      <c r="IUE30" s="279"/>
      <c r="IUF30" s="279"/>
      <c r="IUG30" s="279"/>
      <c r="IUH30" s="279"/>
      <c r="IUI30" s="279"/>
      <c r="IUJ30" s="279"/>
      <c r="IUK30" s="279"/>
      <c r="IUL30" s="279"/>
      <c r="IUM30" s="279"/>
      <c r="IUN30" s="279"/>
      <c r="IUO30" s="279"/>
      <c r="IUP30" s="279"/>
      <c r="IUQ30" s="279"/>
      <c r="IUR30" s="279"/>
      <c r="IUS30" s="279"/>
      <c r="IUT30" s="279"/>
      <c r="IUU30" s="279"/>
      <c r="IUV30" s="279"/>
      <c r="IUW30" s="279"/>
      <c r="IUX30" s="279"/>
      <c r="IUY30" s="279"/>
      <c r="IUZ30" s="279"/>
      <c r="IVA30" s="279"/>
      <c r="IVB30" s="279"/>
      <c r="IVC30" s="279"/>
      <c r="IVD30" s="279"/>
      <c r="IVE30" s="279"/>
      <c r="IVF30" s="279"/>
      <c r="IVG30" s="279"/>
      <c r="IVH30" s="279"/>
      <c r="IVI30" s="279"/>
      <c r="IVJ30" s="279"/>
      <c r="IVK30" s="279"/>
      <c r="IVL30" s="279"/>
      <c r="IVM30" s="279"/>
      <c r="IVN30" s="279"/>
      <c r="IVO30" s="279"/>
      <c r="IVP30" s="279"/>
      <c r="IVQ30" s="279"/>
      <c r="IVR30" s="279"/>
      <c r="IVS30" s="279"/>
      <c r="IVT30" s="279"/>
      <c r="IVU30" s="279"/>
      <c r="IVV30" s="279"/>
      <c r="IVW30" s="279"/>
      <c r="IVX30" s="279"/>
      <c r="IVY30" s="279"/>
      <c r="IVZ30" s="279"/>
      <c r="IWA30" s="279"/>
      <c r="IWB30" s="279"/>
      <c r="IWC30" s="279"/>
      <c r="IWD30" s="279"/>
      <c r="IWE30" s="279"/>
      <c r="IWF30" s="279"/>
      <c r="IWG30" s="279"/>
      <c r="IWH30" s="279"/>
      <c r="IWI30" s="279"/>
      <c r="IWJ30" s="279"/>
      <c r="IWK30" s="279"/>
      <c r="IWL30" s="279"/>
      <c r="IWM30" s="279"/>
      <c r="IWN30" s="279"/>
      <c r="IWO30" s="279"/>
      <c r="IWP30" s="279"/>
      <c r="IWQ30" s="279"/>
      <c r="IWR30" s="279"/>
      <c r="IWS30" s="279"/>
      <c r="IWT30" s="279"/>
      <c r="IWU30" s="279"/>
      <c r="IWV30" s="279"/>
      <c r="IWW30" s="279"/>
      <c r="IWX30" s="279"/>
      <c r="IWY30" s="279"/>
      <c r="IWZ30" s="279"/>
      <c r="IXA30" s="279"/>
      <c r="IXB30" s="279"/>
      <c r="IXC30" s="279"/>
      <c r="IXD30" s="279"/>
      <c r="IXE30" s="279"/>
      <c r="IXF30" s="279"/>
      <c r="IXG30" s="279"/>
      <c r="IXH30" s="279"/>
      <c r="IXI30" s="279"/>
      <c r="IXJ30" s="279"/>
      <c r="IXK30" s="279"/>
      <c r="IXL30" s="279"/>
      <c r="IXM30" s="279"/>
      <c r="IXN30" s="279"/>
      <c r="IXO30" s="279"/>
      <c r="IXP30" s="279"/>
      <c r="IXQ30" s="279"/>
      <c r="IXR30" s="279"/>
      <c r="IXS30" s="279"/>
      <c r="IXT30" s="279"/>
      <c r="IXU30" s="279"/>
      <c r="IXV30" s="279"/>
      <c r="IXW30" s="279"/>
      <c r="IXX30" s="279"/>
      <c r="IXY30" s="279"/>
      <c r="IXZ30" s="279"/>
      <c r="IYA30" s="279"/>
      <c r="IYB30" s="279"/>
      <c r="IYC30" s="279"/>
      <c r="IYD30" s="279"/>
      <c r="IYE30" s="279"/>
      <c r="IYF30" s="279"/>
      <c r="IYG30" s="279"/>
      <c r="IYH30" s="279"/>
      <c r="IYI30" s="279"/>
      <c r="IYJ30" s="279"/>
      <c r="IYK30" s="279"/>
      <c r="IYL30" s="279"/>
      <c r="IYM30" s="279"/>
      <c r="IYN30" s="279"/>
      <c r="IYO30" s="279"/>
      <c r="IYP30" s="279"/>
      <c r="IYQ30" s="279"/>
      <c r="IYR30" s="279"/>
      <c r="IYS30" s="279"/>
      <c r="IYT30" s="279"/>
      <c r="IYU30" s="279"/>
      <c r="IYV30" s="279"/>
      <c r="IYW30" s="279"/>
      <c r="IYX30" s="279"/>
      <c r="IYY30" s="279"/>
      <c r="IYZ30" s="279"/>
      <c r="IZA30" s="279"/>
      <c r="IZB30" s="279"/>
      <c r="IZC30" s="279"/>
      <c r="IZD30" s="279"/>
      <c r="IZE30" s="279"/>
      <c r="IZF30" s="279"/>
      <c r="IZG30" s="279"/>
      <c r="IZH30" s="279"/>
      <c r="IZI30" s="279"/>
      <c r="IZJ30" s="279"/>
      <c r="IZK30" s="279"/>
      <c r="IZL30" s="279"/>
      <c r="IZM30" s="279"/>
      <c r="IZN30" s="279"/>
      <c r="IZO30" s="279"/>
      <c r="IZP30" s="279"/>
      <c r="IZQ30" s="279"/>
      <c r="IZR30" s="279"/>
      <c r="IZS30" s="279"/>
      <c r="IZT30" s="279"/>
      <c r="IZU30" s="279"/>
      <c r="IZV30" s="279"/>
      <c r="IZW30" s="279"/>
      <c r="IZX30" s="279"/>
      <c r="IZY30" s="279"/>
      <c r="IZZ30" s="279"/>
      <c r="JAA30" s="279"/>
      <c r="JAB30" s="279"/>
      <c r="JAC30" s="279"/>
      <c r="JAD30" s="279"/>
      <c r="JAE30" s="279"/>
      <c r="JAF30" s="279"/>
      <c r="JAG30" s="279"/>
      <c r="JAH30" s="279"/>
      <c r="JAI30" s="279"/>
      <c r="JAJ30" s="279"/>
      <c r="JAK30" s="279"/>
      <c r="JAL30" s="279"/>
      <c r="JAM30" s="279"/>
      <c r="JAN30" s="279"/>
      <c r="JAO30" s="279"/>
      <c r="JAP30" s="279"/>
      <c r="JAQ30" s="279"/>
      <c r="JAR30" s="279"/>
      <c r="JAS30" s="279"/>
      <c r="JAT30" s="279"/>
      <c r="JAU30" s="279"/>
      <c r="JAV30" s="279"/>
      <c r="JAW30" s="279"/>
      <c r="JAX30" s="279"/>
      <c r="JAY30" s="279"/>
      <c r="JAZ30" s="279"/>
      <c r="JBA30" s="279"/>
      <c r="JBB30" s="279"/>
      <c r="JBC30" s="279"/>
      <c r="JBD30" s="279"/>
      <c r="JBE30" s="279"/>
      <c r="JBF30" s="279"/>
      <c r="JBG30" s="279"/>
      <c r="JBH30" s="279"/>
      <c r="JBI30" s="279"/>
      <c r="JBJ30" s="279"/>
      <c r="JBK30" s="279"/>
      <c r="JBL30" s="279"/>
      <c r="JBM30" s="279"/>
      <c r="JBN30" s="279"/>
      <c r="JBO30" s="279"/>
      <c r="JBP30" s="279"/>
      <c r="JBQ30" s="279"/>
      <c r="JBR30" s="279"/>
      <c r="JBS30" s="279"/>
      <c r="JBT30" s="279"/>
      <c r="JBU30" s="279"/>
      <c r="JBV30" s="279"/>
      <c r="JBW30" s="279"/>
      <c r="JBX30" s="279"/>
      <c r="JBY30" s="279"/>
      <c r="JBZ30" s="279"/>
      <c r="JCA30" s="279"/>
      <c r="JCB30" s="279"/>
      <c r="JCC30" s="279"/>
      <c r="JCD30" s="279"/>
      <c r="JCE30" s="279"/>
      <c r="JCF30" s="279"/>
      <c r="JCG30" s="279"/>
      <c r="JCH30" s="279"/>
      <c r="JCI30" s="279"/>
      <c r="JCJ30" s="279"/>
      <c r="JCK30" s="279"/>
      <c r="JCL30" s="279"/>
      <c r="JCM30" s="279"/>
      <c r="JCN30" s="279"/>
      <c r="JCO30" s="279"/>
      <c r="JCP30" s="279"/>
      <c r="JCQ30" s="279"/>
      <c r="JCR30" s="279"/>
      <c r="JCS30" s="279"/>
      <c r="JCT30" s="279"/>
      <c r="JCU30" s="279"/>
      <c r="JCV30" s="279"/>
      <c r="JCW30" s="279"/>
      <c r="JCX30" s="279"/>
      <c r="JCY30" s="279"/>
      <c r="JCZ30" s="279"/>
      <c r="JDA30" s="279"/>
      <c r="JDB30" s="279"/>
      <c r="JDC30" s="279"/>
      <c r="JDD30" s="279"/>
      <c r="JDE30" s="279"/>
      <c r="JDF30" s="279"/>
      <c r="JDG30" s="279"/>
      <c r="JDH30" s="279"/>
      <c r="JDI30" s="279"/>
      <c r="JDJ30" s="279"/>
      <c r="JDK30" s="279"/>
      <c r="JDL30" s="279"/>
      <c r="JDM30" s="279"/>
      <c r="JDN30" s="279"/>
      <c r="JDO30" s="279"/>
      <c r="JDP30" s="279"/>
      <c r="JDQ30" s="279"/>
      <c r="JDR30" s="279"/>
      <c r="JDS30" s="279"/>
      <c r="JDT30" s="279"/>
      <c r="JDU30" s="279"/>
      <c r="JDV30" s="279"/>
      <c r="JDW30" s="279"/>
      <c r="JDX30" s="279"/>
      <c r="JDY30" s="279"/>
      <c r="JDZ30" s="279"/>
      <c r="JEA30" s="279"/>
      <c r="JEB30" s="279"/>
      <c r="JEC30" s="279"/>
      <c r="JED30" s="279"/>
      <c r="JEE30" s="279"/>
      <c r="JEF30" s="279"/>
      <c r="JEG30" s="279"/>
      <c r="JEH30" s="279"/>
      <c r="JEI30" s="279"/>
      <c r="JEJ30" s="279"/>
      <c r="JEK30" s="279"/>
      <c r="JEL30" s="279"/>
      <c r="JEM30" s="279"/>
      <c r="JEN30" s="279"/>
      <c r="JEO30" s="279"/>
      <c r="JEP30" s="279"/>
      <c r="JEQ30" s="279"/>
      <c r="JER30" s="279"/>
      <c r="JES30" s="279"/>
      <c r="JET30" s="279"/>
      <c r="JEU30" s="279"/>
      <c r="JEV30" s="279"/>
      <c r="JEW30" s="279"/>
      <c r="JEX30" s="279"/>
      <c r="JEY30" s="279"/>
      <c r="JEZ30" s="279"/>
      <c r="JFA30" s="279"/>
      <c r="JFB30" s="279"/>
      <c r="JFC30" s="279"/>
      <c r="JFD30" s="279"/>
      <c r="JFE30" s="279"/>
      <c r="JFF30" s="279"/>
      <c r="JFG30" s="279"/>
      <c r="JFH30" s="279"/>
      <c r="JFI30" s="279"/>
      <c r="JFJ30" s="279"/>
      <c r="JFK30" s="279"/>
      <c r="JFL30" s="279"/>
      <c r="JFM30" s="279"/>
      <c r="JFN30" s="279"/>
      <c r="JFO30" s="279"/>
      <c r="JFP30" s="279"/>
      <c r="JFQ30" s="279"/>
      <c r="JFR30" s="279"/>
      <c r="JFS30" s="279"/>
      <c r="JFT30" s="279"/>
      <c r="JFU30" s="279"/>
      <c r="JFV30" s="279"/>
      <c r="JFW30" s="279"/>
      <c r="JFX30" s="279"/>
      <c r="JFY30" s="279"/>
      <c r="JFZ30" s="279"/>
      <c r="JGA30" s="279"/>
      <c r="JGB30" s="279"/>
      <c r="JGC30" s="279"/>
      <c r="JGD30" s="279"/>
      <c r="JGE30" s="279"/>
      <c r="JGF30" s="279"/>
      <c r="JGG30" s="279"/>
      <c r="JGH30" s="279"/>
      <c r="JGI30" s="279"/>
      <c r="JGJ30" s="279"/>
      <c r="JGK30" s="279"/>
      <c r="JGL30" s="279"/>
      <c r="JGM30" s="279"/>
      <c r="JGN30" s="279"/>
      <c r="JGO30" s="279"/>
      <c r="JGP30" s="279"/>
      <c r="JGQ30" s="279"/>
      <c r="JGR30" s="279"/>
      <c r="JGS30" s="279"/>
      <c r="JGT30" s="279"/>
      <c r="JGU30" s="279"/>
      <c r="JGV30" s="279"/>
      <c r="JGW30" s="279"/>
      <c r="JGX30" s="279"/>
      <c r="JGY30" s="279"/>
      <c r="JGZ30" s="279"/>
      <c r="JHA30" s="279"/>
      <c r="JHB30" s="279"/>
      <c r="JHC30" s="279"/>
      <c r="JHD30" s="279"/>
      <c r="JHE30" s="279"/>
      <c r="JHF30" s="279"/>
      <c r="JHG30" s="279"/>
      <c r="JHH30" s="279"/>
      <c r="JHI30" s="279"/>
      <c r="JHJ30" s="279"/>
      <c r="JHK30" s="279"/>
      <c r="JHL30" s="279"/>
      <c r="JHM30" s="279"/>
      <c r="JHN30" s="279"/>
      <c r="JHO30" s="279"/>
      <c r="JHP30" s="279"/>
      <c r="JHQ30" s="279"/>
      <c r="JHR30" s="279"/>
      <c r="JHS30" s="279"/>
      <c r="JHT30" s="279"/>
      <c r="JHU30" s="279"/>
      <c r="JHV30" s="279"/>
      <c r="JHW30" s="279"/>
      <c r="JHX30" s="279"/>
      <c r="JHY30" s="279"/>
      <c r="JHZ30" s="279"/>
      <c r="JIA30" s="279"/>
      <c r="JIB30" s="279"/>
      <c r="JIC30" s="279"/>
      <c r="JID30" s="279"/>
      <c r="JIE30" s="279"/>
      <c r="JIF30" s="279"/>
      <c r="JIG30" s="279"/>
      <c r="JIH30" s="279"/>
      <c r="JII30" s="279"/>
      <c r="JIJ30" s="279"/>
      <c r="JIK30" s="279"/>
      <c r="JIL30" s="279"/>
      <c r="JIM30" s="279"/>
      <c r="JIN30" s="279"/>
      <c r="JIO30" s="279"/>
      <c r="JIP30" s="279"/>
      <c r="JIQ30" s="279"/>
      <c r="JIR30" s="279"/>
      <c r="JIS30" s="279"/>
      <c r="JIT30" s="279"/>
      <c r="JIU30" s="279"/>
      <c r="JIV30" s="279"/>
      <c r="JIW30" s="279"/>
      <c r="JIX30" s="279"/>
      <c r="JIY30" s="279"/>
      <c r="JIZ30" s="279"/>
      <c r="JJA30" s="279"/>
      <c r="JJB30" s="279"/>
      <c r="JJC30" s="279"/>
      <c r="JJD30" s="279"/>
      <c r="JJE30" s="279"/>
      <c r="JJF30" s="279"/>
      <c r="JJG30" s="279"/>
      <c r="JJH30" s="279"/>
      <c r="JJI30" s="279"/>
      <c r="JJJ30" s="279"/>
      <c r="JJK30" s="279"/>
      <c r="JJL30" s="279"/>
      <c r="JJM30" s="279"/>
      <c r="JJN30" s="279"/>
      <c r="JJO30" s="279"/>
      <c r="JJP30" s="279"/>
      <c r="JJQ30" s="279"/>
      <c r="JJR30" s="279"/>
      <c r="JJS30" s="279"/>
      <c r="JJT30" s="279"/>
      <c r="JJU30" s="279"/>
      <c r="JJV30" s="279"/>
      <c r="JJW30" s="279"/>
      <c r="JJX30" s="279"/>
      <c r="JJY30" s="279"/>
      <c r="JJZ30" s="279"/>
      <c r="JKA30" s="279"/>
      <c r="JKB30" s="279"/>
      <c r="JKC30" s="279"/>
      <c r="JKD30" s="279"/>
      <c r="JKE30" s="279"/>
      <c r="JKF30" s="279"/>
      <c r="JKG30" s="279"/>
      <c r="JKH30" s="279"/>
      <c r="JKI30" s="279"/>
      <c r="JKJ30" s="279"/>
      <c r="JKK30" s="279"/>
      <c r="JKL30" s="279"/>
      <c r="JKM30" s="279"/>
      <c r="JKN30" s="279"/>
      <c r="JKO30" s="279"/>
      <c r="JKP30" s="279"/>
      <c r="JKQ30" s="279"/>
      <c r="JKR30" s="279"/>
      <c r="JKS30" s="279"/>
      <c r="JKT30" s="279"/>
      <c r="JKU30" s="279"/>
      <c r="JKV30" s="279"/>
      <c r="JKW30" s="279"/>
      <c r="JKX30" s="279"/>
      <c r="JKY30" s="279"/>
      <c r="JKZ30" s="279"/>
      <c r="JLA30" s="279"/>
      <c r="JLB30" s="279"/>
      <c r="JLC30" s="279"/>
      <c r="JLD30" s="279"/>
      <c r="JLE30" s="279"/>
      <c r="JLF30" s="279"/>
      <c r="JLG30" s="279"/>
      <c r="JLH30" s="279"/>
      <c r="JLI30" s="279"/>
      <c r="JLJ30" s="279"/>
      <c r="JLK30" s="279"/>
      <c r="JLL30" s="279"/>
      <c r="JLM30" s="279"/>
      <c r="JLN30" s="279"/>
      <c r="JLO30" s="279"/>
      <c r="JLP30" s="279"/>
      <c r="JLQ30" s="279"/>
      <c r="JLR30" s="279"/>
      <c r="JLS30" s="279"/>
      <c r="JLT30" s="279"/>
      <c r="JLU30" s="279"/>
      <c r="JLV30" s="279"/>
      <c r="JLW30" s="279"/>
      <c r="JLX30" s="279"/>
      <c r="JLY30" s="279"/>
      <c r="JLZ30" s="279"/>
      <c r="JMA30" s="279"/>
      <c r="JMB30" s="279"/>
      <c r="JMC30" s="279"/>
      <c r="JMD30" s="279"/>
      <c r="JME30" s="279"/>
      <c r="JMF30" s="279"/>
      <c r="JMG30" s="279"/>
      <c r="JMH30" s="279"/>
      <c r="JMI30" s="279"/>
      <c r="JMJ30" s="279"/>
      <c r="JMK30" s="279"/>
      <c r="JML30" s="279"/>
      <c r="JMM30" s="279"/>
      <c r="JMN30" s="279"/>
      <c r="JMO30" s="279"/>
      <c r="JMP30" s="279"/>
      <c r="JMQ30" s="279"/>
      <c r="JMR30" s="279"/>
      <c r="JMS30" s="279"/>
      <c r="JMT30" s="279"/>
      <c r="JMU30" s="279"/>
      <c r="JMV30" s="279"/>
      <c r="JMW30" s="279"/>
      <c r="JMX30" s="279"/>
      <c r="JMY30" s="279"/>
      <c r="JMZ30" s="279"/>
      <c r="JNA30" s="279"/>
      <c r="JNB30" s="279"/>
      <c r="JNC30" s="279"/>
      <c r="JND30" s="279"/>
      <c r="JNE30" s="279"/>
      <c r="JNF30" s="279"/>
      <c r="JNG30" s="279"/>
      <c r="JNH30" s="279"/>
      <c r="JNI30" s="279"/>
      <c r="JNJ30" s="279"/>
      <c r="JNK30" s="279"/>
      <c r="JNL30" s="279"/>
      <c r="JNM30" s="279"/>
      <c r="JNN30" s="279"/>
      <c r="JNO30" s="279"/>
      <c r="JNP30" s="279"/>
      <c r="JNQ30" s="279"/>
      <c r="JNR30" s="279"/>
      <c r="JNS30" s="279"/>
      <c r="JNT30" s="279"/>
      <c r="JNU30" s="279"/>
      <c r="JNV30" s="279"/>
      <c r="JNW30" s="279"/>
      <c r="JNX30" s="279"/>
      <c r="JNY30" s="279"/>
      <c r="JNZ30" s="279"/>
      <c r="JOA30" s="279"/>
      <c r="JOB30" s="279"/>
      <c r="JOC30" s="279"/>
      <c r="JOD30" s="279"/>
      <c r="JOE30" s="279"/>
      <c r="JOF30" s="279"/>
      <c r="JOG30" s="279"/>
      <c r="JOH30" s="279"/>
      <c r="JOI30" s="279"/>
      <c r="JOJ30" s="279"/>
      <c r="JOK30" s="279"/>
      <c r="JOL30" s="279"/>
      <c r="JOM30" s="279"/>
      <c r="JON30" s="279"/>
      <c r="JOO30" s="279"/>
      <c r="JOP30" s="279"/>
      <c r="JOQ30" s="279"/>
      <c r="JOR30" s="279"/>
      <c r="JOS30" s="279"/>
      <c r="JOT30" s="279"/>
      <c r="JOU30" s="279"/>
      <c r="JOV30" s="279"/>
      <c r="JOW30" s="279"/>
      <c r="JOX30" s="279"/>
      <c r="JOY30" s="279"/>
      <c r="JOZ30" s="279"/>
      <c r="JPA30" s="279"/>
      <c r="JPB30" s="279"/>
      <c r="JPC30" s="279"/>
      <c r="JPD30" s="279"/>
      <c r="JPE30" s="279"/>
      <c r="JPF30" s="279"/>
      <c r="JPG30" s="279"/>
      <c r="JPH30" s="279"/>
      <c r="JPI30" s="279"/>
      <c r="JPJ30" s="279"/>
      <c r="JPK30" s="279"/>
      <c r="JPL30" s="279"/>
      <c r="JPM30" s="279"/>
      <c r="JPN30" s="279"/>
      <c r="JPO30" s="279"/>
      <c r="JPP30" s="279"/>
      <c r="JPQ30" s="279"/>
      <c r="JPR30" s="279"/>
      <c r="JPS30" s="279"/>
      <c r="JPT30" s="279"/>
      <c r="JPU30" s="279"/>
      <c r="JPV30" s="279"/>
      <c r="JPW30" s="279"/>
      <c r="JPX30" s="279"/>
      <c r="JPY30" s="279"/>
      <c r="JPZ30" s="279"/>
      <c r="JQA30" s="279"/>
      <c r="JQB30" s="279"/>
      <c r="JQC30" s="279"/>
      <c r="JQD30" s="279"/>
      <c r="JQE30" s="279"/>
      <c r="JQF30" s="279"/>
      <c r="JQG30" s="279"/>
      <c r="JQH30" s="279"/>
      <c r="JQI30" s="279"/>
      <c r="JQJ30" s="279"/>
      <c r="JQK30" s="279"/>
      <c r="JQL30" s="279"/>
      <c r="JQM30" s="279"/>
      <c r="JQN30" s="279"/>
      <c r="JQO30" s="279"/>
      <c r="JQP30" s="279"/>
      <c r="JQQ30" s="279"/>
      <c r="JQR30" s="279"/>
      <c r="JQS30" s="279"/>
      <c r="JQT30" s="279"/>
      <c r="JQU30" s="279"/>
      <c r="JQV30" s="279"/>
      <c r="JQW30" s="279"/>
      <c r="JQX30" s="279"/>
      <c r="JQY30" s="279"/>
      <c r="JQZ30" s="279"/>
      <c r="JRA30" s="279"/>
      <c r="JRB30" s="279"/>
      <c r="JRC30" s="279"/>
      <c r="JRD30" s="279"/>
      <c r="JRE30" s="279"/>
      <c r="JRF30" s="279"/>
      <c r="JRG30" s="279"/>
      <c r="JRH30" s="279"/>
      <c r="JRI30" s="279"/>
      <c r="JRJ30" s="279"/>
      <c r="JRK30" s="279"/>
      <c r="JRL30" s="279"/>
      <c r="JRM30" s="279"/>
      <c r="JRN30" s="279"/>
      <c r="JRO30" s="279"/>
      <c r="JRP30" s="279"/>
      <c r="JRQ30" s="279"/>
      <c r="JRR30" s="279"/>
      <c r="JRS30" s="279"/>
      <c r="JRT30" s="279"/>
      <c r="JRU30" s="279"/>
      <c r="JRV30" s="279"/>
      <c r="JRW30" s="279"/>
      <c r="JRX30" s="279"/>
      <c r="JRY30" s="279"/>
      <c r="JRZ30" s="279"/>
      <c r="JSA30" s="279"/>
      <c r="JSB30" s="279"/>
      <c r="JSC30" s="279"/>
      <c r="JSD30" s="279"/>
      <c r="JSE30" s="279"/>
      <c r="JSF30" s="279"/>
      <c r="JSG30" s="279"/>
      <c r="JSH30" s="279"/>
      <c r="JSI30" s="279"/>
      <c r="JSJ30" s="279"/>
      <c r="JSK30" s="279"/>
      <c r="JSL30" s="279"/>
      <c r="JSM30" s="279"/>
      <c r="JSN30" s="279"/>
      <c r="JSO30" s="279"/>
      <c r="JSP30" s="279"/>
      <c r="JSQ30" s="279"/>
      <c r="JSR30" s="279"/>
      <c r="JSS30" s="279"/>
      <c r="JST30" s="279"/>
      <c r="JSU30" s="279"/>
      <c r="JSV30" s="279"/>
      <c r="JSW30" s="279"/>
      <c r="JSX30" s="279"/>
      <c r="JSY30" s="279"/>
      <c r="JSZ30" s="279"/>
      <c r="JTA30" s="279"/>
      <c r="JTB30" s="279"/>
      <c r="JTC30" s="279"/>
      <c r="JTD30" s="279"/>
      <c r="JTE30" s="279"/>
      <c r="JTF30" s="279"/>
      <c r="JTG30" s="279"/>
      <c r="JTH30" s="279"/>
      <c r="JTI30" s="279"/>
      <c r="JTJ30" s="279"/>
      <c r="JTK30" s="279"/>
      <c r="JTL30" s="279"/>
      <c r="JTM30" s="279"/>
      <c r="JTN30" s="279"/>
      <c r="JTO30" s="279"/>
      <c r="JTP30" s="279"/>
      <c r="JTQ30" s="279"/>
      <c r="JTR30" s="279"/>
      <c r="JTS30" s="279"/>
      <c r="JTT30" s="279"/>
      <c r="JTU30" s="279"/>
      <c r="JTV30" s="279"/>
      <c r="JTW30" s="279"/>
      <c r="JTX30" s="279"/>
      <c r="JTY30" s="279"/>
      <c r="JTZ30" s="279"/>
      <c r="JUA30" s="279"/>
      <c r="JUB30" s="279"/>
      <c r="JUC30" s="279"/>
      <c r="JUD30" s="279"/>
      <c r="JUE30" s="279"/>
      <c r="JUF30" s="279"/>
      <c r="JUG30" s="279"/>
      <c r="JUH30" s="279"/>
      <c r="JUI30" s="279"/>
      <c r="JUJ30" s="279"/>
      <c r="JUK30" s="279"/>
      <c r="JUL30" s="279"/>
      <c r="JUM30" s="279"/>
      <c r="JUN30" s="279"/>
      <c r="JUO30" s="279"/>
      <c r="JUP30" s="279"/>
      <c r="JUQ30" s="279"/>
      <c r="JUR30" s="279"/>
      <c r="JUS30" s="279"/>
      <c r="JUT30" s="279"/>
      <c r="JUU30" s="279"/>
      <c r="JUV30" s="279"/>
      <c r="JUW30" s="279"/>
      <c r="JUX30" s="279"/>
      <c r="JUY30" s="279"/>
      <c r="JUZ30" s="279"/>
      <c r="JVA30" s="279"/>
      <c r="JVB30" s="279"/>
      <c r="JVC30" s="279"/>
      <c r="JVD30" s="279"/>
      <c r="JVE30" s="279"/>
      <c r="JVF30" s="279"/>
      <c r="JVG30" s="279"/>
      <c r="JVH30" s="279"/>
      <c r="JVI30" s="279"/>
      <c r="JVJ30" s="279"/>
      <c r="JVK30" s="279"/>
      <c r="JVL30" s="279"/>
      <c r="JVM30" s="279"/>
      <c r="JVN30" s="279"/>
      <c r="JVO30" s="279"/>
      <c r="JVP30" s="279"/>
      <c r="JVQ30" s="279"/>
      <c r="JVR30" s="279"/>
      <c r="JVS30" s="279"/>
      <c r="JVT30" s="279"/>
      <c r="JVU30" s="279"/>
      <c r="JVV30" s="279"/>
      <c r="JVW30" s="279"/>
      <c r="JVX30" s="279"/>
      <c r="JVY30" s="279"/>
      <c r="JVZ30" s="279"/>
      <c r="JWA30" s="279"/>
      <c r="JWB30" s="279"/>
      <c r="JWC30" s="279"/>
      <c r="JWD30" s="279"/>
      <c r="JWE30" s="279"/>
      <c r="JWF30" s="279"/>
      <c r="JWG30" s="279"/>
      <c r="JWH30" s="279"/>
      <c r="JWI30" s="279"/>
      <c r="JWJ30" s="279"/>
      <c r="JWK30" s="279"/>
      <c r="JWL30" s="279"/>
      <c r="JWM30" s="279"/>
      <c r="JWN30" s="279"/>
      <c r="JWO30" s="279"/>
      <c r="JWP30" s="279"/>
      <c r="JWQ30" s="279"/>
      <c r="JWR30" s="279"/>
      <c r="JWS30" s="279"/>
      <c r="JWT30" s="279"/>
      <c r="JWU30" s="279"/>
      <c r="JWV30" s="279"/>
      <c r="JWW30" s="279"/>
      <c r="JWX30" s="279"/>
      <c r="JWY30" s="279"/>
      <c r="JWZ30" s="279"/>
      <c r="JXA30" s="279"/>
      <c r="JXB30" s="279"/>
      <c r="JXC30" s="279"/>
      <c r="JXD30" s="279"/>
      <c r="JXE30" s="279"/>
      <c r="JXF30" s="279"/>
      <c r="JXG30" s="279"/>
      <c r="JXH30" s="279"/>
      <c r="JXI30" s="279"/>
      <c r="JXJ30" s="279"/>
      <c r="JXK30" s="279"/>
      <c r="JXL30" s="279"/>
      <c r="JXM30" s="279"/>
      <c r="JXN30" s="279"/>
      <c r="JXO30" s="279"/>
      <c r="JXP30" s="279"/>
      <c r="JXQ30" s="279"/>
      <c r="JXR30" s="279"/>
      <c r="JXS30" s="279"/>
      <c r="JXT30" s="279"/>
      <c r="JXU30" s="279"/>
      <c r="JXV30" s="279"/>
      <c r="JXW30" s="279"/>
      <c r="JXX30" s="279"/>
      <c r="JXY30" s="279"/>
      <c r="JXZ30" s="279"/>
      <c r="JYA30" s="279"/>
      <c r="JYB30" s="279"/>
      <c r="JYC30" s="279"/>
      <c r="JYD30" s="279"/>
      <c r="JYE30" s="279"/>
      <c r="JYF30" s="279"/>
      <c r="JYG30" s="279"/>
      <c r="JYH30" s="279"/>
      <c r="JYI30" s="279"/>
      <c r="JYJ30" s="279"/>
      <c r="JYK30" s="279"/>
      <c r="JYL30" s="279"/>
      <c r="JYM30" s="279"/>
      <c r="JYN30" s="279"/>
      <c r="JYO30" s="279"/>
      <c r="JYP30" s="279"/>
      <c r="JYQ30" s="279"/>
      <c r="JYR30" s="279"/>
      <c r="JYS30" s="279"/>
      <c r="JYT30" s="279"/>
      <c r="JYU30" s="279"/>
      <c r="JYV30" s="279"/>
      <c r="JYW30" s="279"/>
      <c r="JYX30" s="279"/>
      <c r="JYY30" s="279"/>
      <c r="JYZ30" s="279"/>
      <c r="JZA30" s="279"/>
      <c r="JZB30" s="279"/>
      <c r="JZC30" s="279"/>
      <c r="JZD30" s="279"/>
      <c r="JZE30" s="279"/>
      <c r="JZF30" s="279"/>
      <c r="JZG30" s="279"/>
      <c r="JZH30" s="279"/>
      <c r="JZI30" s="279"/>
      <c r="JZJ30" s="279"/>
      <c r="JZK30" s="279"/>
      <c r="JZL30" s="279"/>
      <c r="JZM30" s="279"/>
      <c r="JZN30" s="279"/>
      <c r="JZO30" s="279"/>
      <c r="JZP30" s="279"/>
      <c r="JZQ30" s="279"/>
      <c r="JZR30" s="279"/>
      <c r="JZS30" s="279"/>
      <c r="JZT30" s="279"/>
      <c r="JZU30" s="279"/>
      <c r="JZV30" s="279"/>
      <c r="JZW30" s="279"/>
      <c r="JZX30" s="279"/>
      <c r="JZY30" s="279"/>
      <c r="JZZ30" s="279"/>
      <c r="KAA30" s="279"/>
      <c r="KAB30" s="279"/>
      <c r="KAC30" s="279"/>
      <c r="KAD30" s="279"/>
      <c r="KAE30" s="279"/>
      <c r="KAF30" s="279"/>
      <c r="KAG30" s="279"/>
      <c r="KAH30" s="279"/>
      <c r="KAI30" s="279"/>
      <c r="KAJ30" s="279"/>
      <c r="KAK30" s="279"/>
      <c r="KAL30" s="279"/>
      <c r="KAM30" s="279"/>
      <c r="KAN30" s="279"/>
      <c r="KAO30" s="279"/>
      <c r="KAP30" s="279"/>
      <c r="KAQ30" s="279"/>
      <c r="KAR30" s="279"/>
      <c r="KAS30" s="279"/>
      <c r="KAT30" s="279"/>
      <c r="KAU30" s="279"/>
      <c r="KAV30" s="279"/>
      <c r="KAW30" s="279"/>
      <c r="KAX30" s="279"/>
      <c r="KAY30" s="279"/>
      <c r="KAZ30" s="279"/>
      <c r="KBA30" s="279"/>
      <c r="KBB30" s="279"/>
      <c r="KBC30" s="279"/>
      <c r="KBD30" s="279"/>
      <c r="KBE30" s="279"/>
      <c r="KBF30" s="279"/>
      <c r="KBG30" s="279"/>
      <c r="KBH30" s="279"/>
      <c r="KBI30" s="279"/>
      <c r="KBJ30" s="279"/>
      <c r="KBK30" s="279"/>
      <c r="KBL30" s="279"/>
      <c r="KBM30" s="279"/>
      <c r="KBN30" s="279"/>
      <c r="KBO30" s="279"/>
      <c r="KBP30" s="279"/>
      <c r="KBQ30" s="279"/>
      <c r="KBR30" s="279"/>
      <c r="KBS30" s="279"/>
      <c r="KBT30" s="279"/>
      <c r="KBU30" s="279"/>
      <c r="KBV30" s="279"/>
      <c r="KBW30" s="279"/>
      <c r="KBX30" s="279"/>
      <c r="KBY30" s="279"/>
      <c r="KBZ30" s="279"/>
      <c r="KCA30" s="279"/>
      <c r="KCB30" s="279"/>
      <c r="KCC30" s="279"/>
      <c r="KCD30" s="279"/>
      <c r="KCE30" s="279"/>
      <c r="KCF30" s="279"/>
      <c r="KCG30" s="279"/>
      <c r="KCH30" s="279"/>
      <c r="KCI30" s="279"/>
      <c r="KCJ30" s="279"/>
      <c r="KCK30" s="279"/>
      <c r="KCL30" s="279"/>
      <c r="KCM30" s="279"/>
      <c r="KCN30" s="279"/>
      <c r="KCO30" s="279"/>
      <c r="KCP30" s="279"/>
      <c r="KCQ30" s="279"/>
      <c r="KCR30" s="279"/>
      <c r="KCS30" s="279"/>
      <c r="KCT30" s="279"/>
      <c r="KCU30" s="279"/>
      <c r="KCV30" s="279"/>
      <c r="KCW30" s="279"/>
      <c r="KCX30" s="279"/>
      <c r="KCY30" s="279"/>
      <c r="KCZ30" s="279"/>
      <c r="KDA30" s="279"/>
      <c r="KDB30" s="279"/>
      <c r="KDC30" s="279"/>
      <c r="KDD30" s="279"/>
      <c r="KDE30" s="279"/>
      <c r="KDF30" s="279"/>
      <c r="KDG30" s="279"/>
      <c r="KDH30" s="279"/>
      <c r="KDI30" s="279"/>
      <c r="KDJ30" s="279"/>
      <c r="KDK30" s="279"/>
      <c r="KDL30" s="279"/>
      <c r="KDM30" s="279"/>
      <c r="KDN30" s="279"/>
      <c r="KDO30" s="279"/>
      <c r="KDP30" s="279"/>
      <c r="KDQ30" s="279"/>
      <c r="KDR30" s="279"/>
      <c r="KDS30" s="279"/>
      <c r="KDT30" s="279"/>
      <c r="KDU30" s="279"/>
      <c r="KDV30" s="279"/>
      <c r="KDW30" s="279"/>
      <c r="KDX30" s="279"/>
      <c r="KDY30" s="279"/>
      <c r="KDZ30" s="279"/>
      <c r="KEA30" s="279"/>
      <c r="KEB30" s="279"/>
      <c r="KEC30" s="279"/>
      <c r="KED30" s="279"/>
      <c r="KEE30" s="279"/>
      <c r="KEF30" s="279"/>
      <c r="KEG30" s="279"/>
      <c r="KEH30" s="279"/>
      <c r="KEI30" s="279"/>
      <c r="KEJ30" s="279"/>
      <c r="KEK30" s="279"/>
      <c r="KEL30" s="279"/>
      <c r="KEM30" s="279"/>
      <c r="KEN30" s="279"/>
      <c r="KEO30" s="279"/>
      <c r="KEP30" s="279"/>
      <c r="KEQ30" s="279"/>
      <c r="KER30" s="279"/>
      <c r="KES30" s="279"/>
      <c r="KET30" s="279"/>
      <c r="KEU30" s="279"/>
      <c r="KEV30" s="279"/>
      <c r="KEW30" s="279"/>
      <c r="KEX30" s="279"/>
      <c r="KEY30" s="279"/>
      <c r="KEZ30" s="279"/>
      <c r="KFA30" s="279"/>
      <c r="KFB30" s="279"/>
      <c r="KFC30" s="279"/>
      <c r="KFD30" s="279"/>
      <c r="KFE30" s="279"/>
      <c r="KFF30" s="279"/>
      <c r="KFG30" s="279"/>
      <c r="KFH30" s="279"/>
      <c r="KFI30" s="279"/>
      <c r="KFJ30" s="279"/>
      <c r="KFK30" s="279"/>
      <c r="KFL30" s="279"/>
      <c r="KFM30" s="279"/>
      <c r="KFN30" s="279"/>
      <c r="KFO30" s="279"/>
      <c r="KFP30" s="279"/>
      <c r="KFQ30" s="279"/>
      <c r="KFR30" s="279"/>
      <c r="KFS30" s="279"/>
      <c r="KFT30" s="279"/>
      <c r="KFU30" s="279"/>
      <c r="KFV30" s="279"/>
      <c r="KFW30" s="279"/>
      <c r="KFX30" s="279"/>
      <c r="KFY30" s="279"/>
      <c r="KFZ30" s="279"/>
      <c r="KGA30" s="279"/>
      <c r="KGB30" s="279"/>
      <c r="KGC30" s="279"/>
      <c r="KGD30" s="279"/>
      <c r="KGE30" s="279"/>
      <c r="KGF30" s="279"/>
      <c r="KGG30" s="279"/>
      <c r="KGH30" s="279"/>
      <c r="KGI30" s="279"/>
      <c r="KGJ30" s="279"/>
      <c r="KGK30" s="279"/>
      <c r="KGL30" s="279"/>
      <c r="KGM30" s="279"/>
      <c r="KGN30" s="279"/>
      <c r="KGO30" s="279"/>
      <c r="KGP30" s="279"/>
      <c r="KGQ30" s="279"/>
      <c r="KGR30" s="279"/>
      <c r="KGS30" s="279"/>
      <c r="KGT30" s="279"/>
      <c r="KGU30" s="279"/>
      <c r="KGV30" s="279"/>
      <c r="KGW30" s="279"/>
      <c r="KGX30" s="279"/>
      <c r="KGY30" s="279"/>
      <c r="KGZ30" s="279"/>
      <c r="KHA30" s="279"/>
      <c r="KHB30" s="279"/>
      <c r="KHC30" s="279"/>
      <c r="KHD30" s="279"/>
      <c r="KHE30" s="279"/>
      <c r="KHF30" s="279"/>
      <c r="KHG30" s="279"/>
      <c r="KHH30" s="279"/>
      <c r="KHI30" s="279"/>
      <c r="KHJ30" s="279"/>
      <c r="KHK30" s="279"/>
      <c r="KHL30" s="279"/>
      <c r="KHM30" s="279"/>
      <c r="KHN30" s="279"/>
      <c r="KHO30" s="279"/>
      <c r="KHP30" s="279"/>
      <c r="KHQ30" s="279"/>
      <c r="KHR30" s="279"/>
      <c r="KHS30" s="279"/>
      <c r="KHT30" s="279"/>
      <c r="KHU30" s="279"/>
      <c r="KHV30" s="279"/>
      <c r="KHW30" s="279"/>
      <c r="KHX30" s="279"/>
      <c r="KHY30" s="279"/>
      <c r="KHZ30" s="279"/>
      <c r="KIA30" s="279"/>
      <c r="KIB30" s="279"/>
      <c r="KIC30" s="279"/>
      <c r="KID30" s="279"/>
      <c r="KIE30" s="279"/>
      <c r="KIF30" s="279"/>
      <c r="KIG30" s="279"/>
      <c r="KIH30" s="279"/>
      <c r="KII30" s="279"/>
      <c r="KIJ30" s="279"/>
      <c r="KIK30" s="279"/>
      <c r="KIL30" s="279"/>
      <c r="KIM30" s="279"/>
      <c r="KIN30" s="279"/>
      <c r="KIO30" s="279"/>
      <c r="KIP30" s="279"/>
      <c r="KIQ30" s="279"/>
      <c r="KIR30" s="279"/>
      <c r="KIS30" s="279"/>
      <c r="KIT30" s="279"/>
      <c r="KIU30" s="279"/>
      <c r="KIV30" s="279"/>
      <c r="KIW30" s="279"/>
      <c r="KIX30" s="279"/>
      <c r="KIY30" s="279"/>
      <c r="KIZ30" s="279"/>
      <c r="KJA30" s="279"/>
      <c r="KJB30" s="279"/>
      <c r="KJC30" s="279"/>
      <c r="KJD30" s="279"/>
      <c r="KJE30" s="279"/>
      <c r="KJF30" s="279"/>
      <c r="KJG30" s="279"/>
      <c r="KJH30" s="279"/>
      <c r="KJI30" s="279"/>
      <c r="KJJ30" s="279"/>
      <c r="KJK30" s="279"/>
      <c r="KJL30" s="279"/>
      <c r="KJM30" s="279"/>
      <c r="KJN30" s="279"/>
      <c r="KJO30" s="279"/>
      <c r="KJP30" s="279"/>
      <c r="KJQ30" s="279"/>
      <c r="KJR30" s="279"/>
      <c r="KJS30" s="279"/>
      <c r="KJT30" s="279"/>
      <c r="KJU30" s="279"/>
      <c r="KJV30" s="279"/>
      <c r="KJW30" s="279"/>
      <c r="KJX30" s="279"/>
      <c r="KJY30" s="279"/>
      <c r="KJZ30" s="279"/>
      <c r="KKA30" s="279"/>
      <c r="KKB30" s="279"/>
      <c r="KKC30" s="279"/>
      <c r="KKD30" s="279"/>
      <c r="KKE30" s="279"/>
      <c r="KKF30" s="279"/>
      <c r="KKG30" s="279"/>
      <c r="KKH30" s="279"/>
      <c r="KKI30" s="279"/>
      <c r="KKJ30" s="279"/>
      <c r="KKK30" s="279"/>
      <c r="KKL30" s="279"/>
      <c r="KKM30" s="279"/>
      <c r="KKN30" s="279"/>
      <c r="KKO30" s="279"/>
      <c r="KKP30" s="279"/>
      <c r="KKQ30" s="279"/>
      <c r="KKR30" s="279"/>
      <c r="KKS30" s="279"/>
      <c r="KKT30" s="279"/>
      <c r="KKU30" s="279"/>
      <c r="KKV30" s="279"/>
      <c r="KKW30" s="279"/>
      <c r="KKX30" s="279"/>
      <c r="KKY30" s="279"/>
      <c r="KKZ30" s="279"/>
      <c r="KLA30" s="279"/>
      <c r="KLB30" s="279"/>
      <c r="KLC30" s="279"/>
      <c r="KLD30" s="279"/>
      <c r="KLE30" s="279"/>
      <c r="KLF30" s="279"/>
      <c r="KLG30" s="279"/>
      <c r="KLH30" s="279"/>
      <c r="KLI30" s="279"/>
      <c r="KLJ30" s="279"/>
      <c r="KLK30" s="279"/>
      <c r="KLL30" s="279"/>
      <c r="KLM30" s="279"/>
      <c r="KLN30" s="279"/>
      <c r="KLO30" s="279"/>
      <c r="KLP30" s="279"/>
      <c r="KLQ30" s="279"/>
      <c r="KLR30" s="279"/>
      <c r="KLS30" s="279"/>
      <c r="KLT30" s="279"/>
      <c r="KLU30" s="279"/>
      <c r="KLV30" s="279"/>
      <c r="KLW30" s="279"/>
      <c r="KLX30" s="279"/>
      <c r="KLY30" s="279"/>
      <c r="KLZ30" s="279"/>
      <c r="KMA30" s="279"/>
      <c r="KMB30" s="279"/>
      <c r="KMC30" s="279"/>
      <c r="KMD30" s="279"/>
      <c r="KME30" s="279"/>
      <c r="KMF30" s="279"/>
      <c r="KMG30" s="279"/>
      <c r="KMH30" s="279"/>
      <c r="KMI30" s="279"/>
      <c r="KMJ30" s="279"/>
      <c r="KMK30" s="279"/>
      <c r="KML30" s="279"/>
      <c r="KMM30" s="279"/>
      <c r="KMN30" s="279"/>
      <c r="KMO30" s="279"/>
      <c r="KMP30" s="279"/>
      <c r="KMQ30" s="279"/>
      <c r="KMR30" s="279"/>
      <c r="KMS30" s="279"/>
      <c r="KMT30" s="279"/>
      <c r="KMU30" s="279"/>
      <c r="KMV30" s="279"/>
      <c r="KMW30" s="279"/>
      <c r="KMX30" s="279"/>
      <c r="KMY30" s="279"/>
      <c r="KMZ30" s="279"/>
      <c r="KNA30" s="279"/>
      <c r="KNB30" s="279"/>
      <c r="KNC30" s="279"/>
      <c r="KND30" s="279"/>
      <c r="KNE30" s="279"/>
      <c r="KNF30" s="279"/>
      <c r="KNG30" s="279"/>
      <c r="KNH30" s="279"/>
      <c r="KNI30" s="279"/>
      <c r="KNJ30" s="279"/>
      <c r="KNK30" s="279"/>
      <c r="KNL30" s="279"/>
      <c r="KNM30" s="279"/>
      <c r="KNN30" s="279"/>
      <c r="KNO30" s="279"/>
      <c r="KNP30" s="279"/>
      <c r="KNQ30" s="279"/>
      <c r="KNR30" s="279"/>
      <c r="KNS30" s="279"/>
      <c r="KNT30" s="279"/>
      <c r="KNU30" s="279"/>
      <c r="KNV30" s="279"/>
      <c r="KNW30" s="279"/>
      <c r="KNX30" s="279"/>
      <c r="KNY30" s="279"/>
      <c r="KNZ30" s="279"/>
      <c r="KOA30" s="279"/>
      <c r="KOB30" s="279"/>
      <c r="KOC30" s="279"/>
      <c r="KOD30" s="279"/>
      <c r="KOE30" s="279"/>
      <c r="KOF30" s="279"/>
      <c r="KOG30" s="279"/>
      <c r="KOH30" s="279"/>
      <c r="KOI30" s="279"/>
      <c r="KOJ30" s="279"/>
      <c r="KOK30" s="279"/>
      <c r="KOL30" s="279"/>
      <c r="KOM30" s="279"/>
      <c r="KON30" s="279"/>
      <c r="KOO30" s="279"/>
      <c r="KOP30" s="279"/>
      <c r="KOQ30" s="279"/>
      <c r="KOR30" s="279"/>
      <c r="KOS30" s="279"/>
      <c r="KOT30" s="279"/>
      <c r="KOU30" s="279"/>
      <c r="KOV30" s="279"/>
      <c r="KOW30" s="279"/>
      <c r="KOX30" s="279"/>
      <c r="KOY30" s="279"/>
      <c r="KOZ30" s="279"/>
      <c r="KPA30" s="279"/>
      <c r="KPB30" s="279"/>
      <c r="KPC30" s="279"/>
      <c r="KPD30" s="279"/>
      <c r="KPE30" s="279"/>
      <c r="KPF30" s="279"/>
      <c r="KPG30" s="279"/>
      <c r="KPH30" s="279"/>
      <c r="KPI30" s="279"/>
      <c r="KPJ30" s="279"/>
      <c r="KPK30" s="279"/>
      <c r="KPL30" s="279"/>
      <c r="KPM30" s="279"/>
      <c r="KPN30" s="279"/>
      <c r="KPO30" s="279"/>
      <c r="KPP30" s="279"/>
      <c r="KPQ30" s="279"/>
      <c r="KPR30" s="279"/>
      <c r="KPS30" s="279"/>
      <c r="KPT30" s="279"/>
      <c r="KPU30" s="279"/>
      <c r="KPV30" s="279"/>
      <c r="KPW30" s="279"/>
      <c r="KPX30" s="279"/>
      <c r="KPY30" s="279"/>
      <c r="KPZ30" s="279"/>
      <c r="KQA30" s="279"/>
      <c r="KQB30" s="279"/>
      <c r="KQC30" s="279"/>
      <c r="KQD30" s="279"/>
      <c r="KQE30" s="279"/>
      <c r="KQF30" s="279"/>
      <c r="KQG30" s="279"/>
      <c r="KQH30" s="279"/>
      <c r="KQI30" s="279"/>
      <c r="KQJ30" s="279"/>
      <c r="KQK30" s="279"/>
      <c r="KQL30" s="279"/>
      <c r="KQM30" s="279"/>
      <c r="KQN30" s="279"/>
      <c r="KQO30" s="279"/>
      <c r="KQP30" s="279"/>
      <c r="KQQ30" s="279"/>
      <c r="KQR30" s="279"/>
      <c r="KQS30" s="279"/>
      <c r="KQT30" s="279"/>
      <c r="KQU30" s="279"/>
      <c r="KQV30" s="279"/>
      <c r="KQW30" s="279"/>
      <c r="KQX30" s="279"/>
      <c r="KQY30" s="279"/>
      <c r="KQZ30" s="279"/>
      <c r="KRA30" s="279"/>
      <c r="KRB30" s="279"/>
      <c r="KRC30" s="279"/>
      <c r="KRD30" s="279"/>
      <c r="KRE30" s="279"/>
      <c r="KRF30" s="279"/>
      <c r="KRG30" s="279"/>
      <c r="KRH30" s="279"/>
      <c r="KRI30" s="279"/>
      <c r="KRJ30" s="279"/>
      <c r="KRK30" s="279"/>
      <c r="KRL30" s="279"/>
      <c r="KRM30" s="279"/>
      <c r="KRN30" s="279"/>
      <c r="KRO30" s="279"/>
      <c r="KRP30" s="279"/>
      <c r="KRQ30" s="279"/>
      <c r="KRR30" s="279"/>
      <c r="KRS30" s="279"/>
      <c r="KRT30" s="279"/>
      <c r="KRU30" s="279"/>
      <c r="KRV30" s="279"/>
      <c r="KRW30" s="279"/>
      <c r="KRX30" s="279"/>
      <c r="KRY30" s="279"/>
      <c r="KRZ30" s="279"/>
      <c r="KSA30" s="279"/>
      <c r="KSB30" s="279"/>
      <c r="KSC30" s="279"/>
      <c r="KSD30" s="279"/>
      <c r="KSE30" s="279"/>
      <c r="KSF30" s="279"/>
      <c r="KSG30" s="279"/>
      <c r="KSH30" s="279"/>
      <c r="KSI30" s="279"/>
      <c r="KSJ30" s="279"/>
      <c r="KSK30" s="279"/>
      <c r="KSL30" s="279"/>
      <c r="KSM30" s="279"/>
      <c r="KSN30" s="279"/>
      <c r="KSO30" s="279"/>
      <c r="KSP30" s="279"/>
      <c r="KSQ30" s="279"/>
      <c r="KSR30" s="279"/>
      <c r="KSS30" s="279"/>
      <c r="KST30" s="279"/>
      <c r="KSU30" s="279"/>
      <c r="KSV30" s="279"/>
      <c r="KSW30" s="279"/>
      <c r="KSX30" s="279"/>
      <c r="KSY30" s="279"/>
      <c r="KSZ30" s="279"/>
      <c r="KTA30" s="279"/>
      <c r="KTB30" s="279"/>
      <c r="KTC30" s="279"/>
      <c r="KTD30" s="279"/>
      <c r="KTE30" s="279"/>
      <c r="KTF30" s="279"/>
      <c r="KTG30" s="279"/>
      <c r="KTH30" s="279"/>
      <c r="KTI30" s="279"/>
      <c r="KTJ30" s="279"/>
      <c r="KTK30" s="279"/>
      <c r="KTL30" s="279"/>
      <c r="KTM30" s="279"/>
      <c r="KTN30" s="279"/>
      <c r="KTO30" s="279"/>
      <c r="KTP30" s="279"/>
      <c r="KTQ30" s="279"/>
      <c r="KTR30" s="279"/>
      <c r="KTS30" s="279"/>
      <c r="KTT30" s="279"/>
      <c r="KTU30" s="279"/>
      <c r="KTV30" s="279"/>
      <c r="KTW30" s="279"/>
      <c r="KTX30" s="279"/>
      <c r="KTY30" s="279"/>
      <c r="KTZ30" s="279"/>
      <c r="KUA30" s="279"/>
      <c r="KUB30" s="279"/>
      <c r="KUC30" s="279"/>
      <c r="KUD30" s="279"/>
      <c r="KUE30" s="279"/>
      <c r="KUF30" s="279"/>
      <c r="KUG30" s="279"/>
      <c r="KUH30" s="279"/>
      <c r="KUI30" s="279"/>
      <c r="KUJ30" s="279"/>
      <c r="KUK30" s="279"/>
      <c r="KUL30" s="279"/>
      <c r="KUM30" s="279"/>
      <c r="KUN30" s="279"/>
      <c r="KUO30" s="279"/>
      <c r="KUP30" s="279"/>
      <c r="KUQ30" s="279"/>
      <c r="KUR30" s="279"/>
      <c r="KUS30" s="279"/>
      <c r="KUT30" s="279"/>
      <c r="KUU30" s="279"/>
      <c r="KUV30" s="279"/>
      <c r="KUW30" s="279"/>
      <c r="KUX30" s="279"/>
      <c r="KUY30" s="279"/>
      <c r="KUZ30" s="279"/>
      <c r="KVA30" s="279"/>
      <c r="KVB30" s="279"/>
      <c r="KVC30" s="279"/>
      <c r="KVD30" s="279"/>
      <c r="KVE30" s="279"/>
      <c r="KVF30" s="279"/>
      <c r="KVG30" s="279"/>
      <c r="KVH30" s="279"/>
      <c r="KVI30" s="279"/>
      <c r="KVJ30" s="279"/>
      <c r="KVK30" s="279"/>
      <c r="KVL30" s="279"/>
      <c r="KVM30" s="279"/>
      <c r="KVN30" s="279"/>
      <c r="KVO30" s="279"/>
      <c r="KVP30" s="279"/>
      <c r="KVQ30" s="279"/>
      <c r="KVR30" s="279"/>
      <c r="KVS30" s="279"/>
      <c r="KVT30" s="279"/>
      <c r="KVU30" s="279"/>
      <c r="KVV30" s="279"/>
      <c r="KVW30" s="279"/>
      <c r="KVX30" s="279"/>
      <c r="KVY30" s="279"/>
      <c r="KVZ30" s="279"/>
      <c r="KWA30" s="279"/>
      <c r="KWB30" s="279"/>
      <c r="KWC30" s="279"/>
      <c r="KWD30" s="279"/>
      <c r="KWE30" s="279"/>
      <c r="KWF30" s="279"/>
      <c r="KWG30" s="279"/>
      <c r="KWH30" s="279"/>
      <c r="KWI30" s="279"/>
      <c r="KWJ30" s="279"/>
      <c r="KWK30" s="279"/>
      <c r="KWL30" s="279"/>
      <c r="KWM30" s="279"/>
      <c r="KWN30" s="279"/>
      <c r="KWO30" s="279"/>
      <c r="KWP30" s="279"/>
      <c r="KWQ30" s="279"/>
      <c r="KWR30" s="279"/>
      <c r="KWS30" s="279"/>
      <c r="KWT30" s="279"/>
      <c r="KWU30" s="279"/>
      <c r="KWV30" s="279"/>
      <c r="KWW30" s="279"/>
      <c r="KWX30" s="279"/>
      <c r="KWY30" s="279"/>
      <c r="KWZ30" s="279"/>
      <c r="KXA30" s="279"/>
      <c r="KXB30" s="279"/>
      <c r="KXC30" s="279"/>
      <c r="KXD30" s="279"/>
      <c r="KXE30" s="279"/>
      <c r="KXF30" s="279"/>
      <c r="KXG30" s="279"/>
      <c r="KXH30" s="279"/>
      <c r="KXI30" s="279"/>
      <c r="KXJ30" s="279"/>
      <c r="KXK30" s="279"/>
      <c r="KXL30" s="279"/>
      <c r="KXM30" s="279"/>
      <c r="KXN30" s="279"/>
      <c r="KXO30" s="279"/>
      <c r="KXP30" s="279"/>
      <c r="KXQ30" s="279"/>
      <c r="KXR30" s="279"/>
      <c r="KXS30" s="279"/>
      <c r="KXT30" s="279"/>
      <c r="KXU30" s="279"/>
      <c r="KXV30" s="279"/>
      <c r="KXW30" s="279"/>
      <c r="KXX30" s="279"/>
      <c r="KXY30" s="279"/>
      <c r="KXZ30" s="279"/>
      <c r="KYA30" s="279"/>
      <c r="KYB30" s="279"/>
      <c r="KYC30" s="279"/>
      <c r="KYD30" s="279"/>
      <c r="KYE30" s="279"/>
      <c r="KYF30" s="279"/>
      <c r="KYG30" s="279"/>
      <c r="KYH30" s="279"/>
      <c r="KYI30" s="279"/>
      <c r="KYJ30" s="279"/>
      <c r="KYK30" s="279"/>
      <c r="KYL30" s="279"/>
      <c r="KYM30" s="279"/>
      <c r="KYN30" s="279"/>
      <c r="KYO30" s="279"/>
      <c r="KYP30" s="279"/>
      <c r="KYQ30" s="279"/>
      <c r="KYR30" s="279"/>
      <c r="KYS30" s="279"/>
      <c r="KYT30" s="279"/>
      <c r="KYU30" s="279"/>
      <c r="KYV30" s="279"/>
      <c r="KYW30" s="279"/>
      <c r="KYX30" s="279"/>
      <c r="KYY30" s="279"/>
      <c r="KYZ30" s="279"/>
      <c r="KZA30" s="279"/>
      <c r="KZB30" s="279"/>
      <c r="KZC30" s="279"/>
      <c r="KZD30" s="279"/>
      <c r="KZE30" s="279"/>
      <c r="KZF30" s="279"/>
      <c r="KZG30" s="279"/>
      <c r="KZH30" s="279"/>
      <c r="KZI30" s="279"/>
      <c r="KZJ30" s="279"/>
      <c r="KZK30" s="279"/>
      <c r="KZL30" s="279"/>
      <c r="KZM30" s="279"/>
      <c r="KZN30" s="279"/>
      <c r="KZO30" s="279"/>
      <c r="KZP30" s="279"/>
      <c r="KZQ30" s="279"/>
      <c r="KZR30" s="279"/>
      <c r="KZS30" s="279"/>
      <c r="KZT30" s="279"/>
      <c r="KZU30" s="279"/>
      <c r="KZV30" s="279"/>
      <c r="KZW30" s="279"/>
      <c r="KZX30" s="279"/>
      <c r="KZY30" s="279"/>
      <c r="KZZ30" s="279"/>
      <c r="LAA30" s="279"/>
      <c r="LAB30" s="279"/>
      <c r="LAC30" s="279"/>
      <c r="LAD30" s="279"/>
      <c r="LAE30" s="279"/>
      <c r="LAF30" s="279"/>
      <c r="LAG30" s="279"/>
      <c r="LAH30" s="279"/>
      <c r="LAI30" s="279"/>
      <c r="LAJ30" s="279"/>
      <c r="LAK30" s="279"/>
      <c r="LAL30" s="279"/>
      <c r="LAM30" s="279"/>
      <c r="LAN30" s="279"/>
      <c r="LAO30" s="279"/>
      <c r="LAP30" s="279"/>
      <c r="LAQ30" s="279"/>
      <c r="LAR30" s="279"/>
      <c r="LAS30" s="279"/>
      <c r="LAT30" s="279"/>
      <c r="LAU30" s="279"/>
      <c r="LAV30" s="279"/>
      <c r="LAW30" s="279"/>
      <c r="LAX30" s="279"/>
      <c r="LAY30" s="279"/>
      <c r="LAZ30" s="279"/>
      <c r="LBA30" s="279"/>
      <c r="LBB30" s="279"/>
      <c r="LBC30" s="279"/>
      <c r="LBD30" s="279"/>
      <c r="LBE30" s="279"/>
      <c r="LBF30" s="279"/>
      <c r="LBG30" s="279"/>
      <c r="LBH30" s="279"/>
      <c r="LBI30" s="279"/>
      <c r="LBJ30" s="279"/>
      <c r="LBK30" s="279"/>
      <c r="LBL30" s="279"/>
      <c r="LBM30" s="279"/>
      <c r="LBN30" s="279"/>
      <c r="LBO30" s="279"/>
      <c r="LBP30" s="279"/>
      <c r="LBQ30" s="279"/>
      <c r="LBR30" s="279"/>
      <c r="LBS30" s="279"/>
      <c r="LBT30" s="279"/>
      <c r="LBU30" s="279"/>
      <c r="LBV30" s="279"/>
      <c r="LBW30" s="279"/>
      <c r="LBX30" s="279"/>
      <c r="LBY30" s="279"/>
      <c r="LBZ30" s="279"/>
      <c r="LCA30" s="279"/>
      <c r="LCB30" s="279"/>
      <c r="LCC30" s="279"/>
      <c r="LCD30" s="279"/>
      <c r="LCE30" s="279"/>
      <c r="LCF30" s="279"/>
      <c r="LCG30" s="279"/>
      <c r="LCH30" s="279"/>
      <c r="LCI30" s="279"/>
      <c r="LCJ30" s="279"/>
      <c r="LCK30" s="279"/>
      <c r="LCL30" s="279"/>
      <c r="LCM30" s="279"/>
      <c r="LCN30" s="279"/>
      <c r="LCO30" s="279"/>
      <c r="LCP30" s="279"/>
      <c r="LCQ30" s="279"/>
      <c r="LCR30" s="279"/>
      <c r="LCS30" s="279"/>
      <c r="LCT30" s="279"/>
      <c r="LCU30" s="279"/>
      <c r="LCV30" s="279"/>
      <c r="LCW30" s="279"/>
      <c r="LCX30" s="279"/>
      <c r="LCY30" s="279"/>
      <c r="LCZ30" s="279"/>
      <c r="LDA30" s="279"/>
      <c r="LDB30" s="279"/>
      <c r="LDC30" s="279"/>
      <c r="LDD30" s="279"/>
      <c r="LDE30" s="279"/>
      <c r="LDF30" s="279"/>
      <c r="LDG30" s="279"/>
      <c r="LDH30" s="279"/>
      <c r="LDI30" s="279"/>
      <c r="LDJ30" s="279"/>
      <c r="LDK30" s="279"/>
      <c r="LDL30" s="279"/>
      <c r="LDM30" s="279"/>
      <c r="LDN30" s="279"/>
      <c r="LDO30" s="279"/>
      <c r="LDP30" s="279"/>
      <c r="LDQ30" s="279"/>
      <c r="LDR30" s="279"/>
      <c r="LDS30" s="279"/>
      <c r="LDT30" s="279"/>
      <c r="LDU30" s="279"/>
      <c r="LDV30" s="279"/>
      <c r="LDW30" s="279"/>
      <c r="LDX30" s="279"/>
      <c r="LDY30" s="279"/>
      <c r="LDZ30" s="279"/>
      <c r="LEA30" s="279"/>
      <c r="LEB30" s="279"/>
      <c r="LEC30" s="279"/>
      <c r="LED30" s="279"/>
      <c r="LEE30" s="279"/>
      <c r="LEF30" s="279"/>
      <c r="LEG30" s="279"/>
      <c r="LEH30" s="279"/>
      <c r="LEI30" s="279"/>
      <c r="LEJ30" s="279"/>
      <c r="LEK30" s="279"/>
      <c r="LEL30" s="279"/>
      <c r="LEM30" s="279"/>
      <c r="LEN30" s="279"/>
      <c r="LEO30" s="279"/>
      <c r="LEP30" s="279"/>
      <c r="LEQ30" s="279"/>
      <c r="LER30" s="279"/>
      <c r="LES30" s="279"/>
      <c r="LET30" s="279"/>
      <c r="LEU30" s="279"/>
      <c r="LEV30" s="279"/>
      <c r="LEW30" s="279"/>
      <c r="LEX30" s="279"/>
      <c r="LEY30" s="279"/>
      <c r="LEZ30" s="279"/>
      <c r="LFA30" s="279"/>
      <c r="LFB30" s="279"/>
      <c r="LFC30" s="279"/>
      <c r="LFD30" s="279"/>
      <c r="LFE30" s="279"/>
      <c r="LFF30" s="279"/>
      <c r="LFG30" s="279"/>
      <c r="LFH30" s="279"/>
      <c r="LFI30" s="279"/>
      <c r="LFJ30" s="279"/>
      <c r="LFK30" s="279"/>
      <c r="LFL30" s="279"/>
      <c r="LFM30" s="279"/>
      <c r="LFN30" s="279"/>
      <c r="LFO30" s="279"/>
      <c r="LFP30" s="279"/>
      <c r="LFQ30" s="279"/>
      <c r="LFR30" s="279"/>
      <c r="LFS30" s="279"/>
      <c r="LFT30" s="279"/>
      <c r="LFU30" s="279"/>
      <c r="LFV30" s="279"/>
      <c r="LFW30" s="279"/>
      <c r="LFX30" s="279"/>
      <c r="LFY30" s="279"/>
      <c r="LFZ30" s="279"/>
      <c r="LGA30" s="279"/>
      <c r="LGB30" s="279"/>
      <c r="LGC30" s="279"/>
      <c r="LGD30" s="279"/>
      <c r="LGE30" s="279"/>
      <c r="LGF30" s="279"/>
      <c r="LGG30" s="279"/>
      <c r="LGH30" s="279"/>
      <c r="LGI30" s="279"/>
      <c r="LGJ30" s="279"/>
      <c r="LGK30" s="279"/>
      <c r="LGL30" s="279"/>
      <c r="LGM30" s="279"/>
      <c r="LGN30" s="279"/>
      <c r="LGO30" s="279"/>
      <c r="LGP30" s="279"/>
      <c r="LGQ30" s="279"/>
      <c r="LGR30" s="279"/>
      <c r="LGS30" s="279"/>
      <c r="LGT30" s="279"/>
      <c r="LGU30" s="279"/>
      <c r="LGV30" s="279"/>
      <c r="LGW30" s="279"/>
      <c r="LGX30" s="279"/>
      <c r="LGY30" s="279"/>
      <c r="LGZ30" s="279"/>
      <c r="LHA30" s="279"/>
      <c r="LHB30" s="279"/>
      <c r="LHC30" s="279"/>
      <c r="LHD30" s="279"/>
      <c r="LHE30" s="279"/>
      <c r="LHF30" s="279"/>
      <c r="LHG30" s="279"/>
      <c r="LHH30" s="279"/>
      <c r="LHI30" s="279"/>
      <c r="LHJ30" s="279"/>
      <c r="LHK30" s="279"/>
      <c r="LHL30" s="279"/>
      <c r="LHM30" s="279"/>
      <c r="LHN30" s="279"/>
      <c r="LHO30" s="279"/>
      <c r="LHP30" s="279"/>
      <c r="LHQ30" s="279"/>
      <c r="LHR30" s="279"/>
      <c r="LHS30" s="279"/>
      <c r="LHT30" s="279"/>
      <c r="LHU30" s="279"/>
      <c r="LHV30" s="279"/>
      <c r="LHW30" s="279"/>
      <c r="LHX30" s="279"/>
      <c r="LHY30" s="279"/>
      <c r="LHZ30" s="279"/>
      <c r="LIA30" s="279"/>
      <c r="LIB30" s="279"/>
      <c r="LIC30" s="279"/>
      <c r="LID30" s="279"/>
      <c r="LIE30" s="279"/>
      <c r="LIF30" s="279"/>
      <c r="LIG30" s="279"/>
      <c r="LIH30" s="279"/>
      <c r="LII30" s="279"/>
      <c r="LIJ30" s="279"/>
      <c r="LIK30" s="279"/>
      <c r="LIL30" s="279"/>
      <c r="LIM30" s="279"/>
      <c r="LIN30" s="279"/>
      <c r="LIO30" s="279"/>
      <c r="LIP30" s="279"/>
      <c r="LIQ30" s="279"/>
      <c r="LIR30" s="279"/>
      <c r="LIS30" s="279"/>
      <c r="LIT30" s="279"/>
      <c r="LIU30" s="279"/>
      <c r="LIV30" s="279"/>
      <c r="LIW30" s="279"/>
      <c r="LIX30" s="279"/>
      <c r="LIY30" s="279"/>
      <c r="LIZ30" s="279"/>
      <c r="LJA30" s="279"/>
      <c r="LJB30" s="279"/>
      <c r="LJC30" s="279"/>
      <c r="LJD30" s="279"/>
      <c r="LJE30" s="279"/>
      <c r="LJF30" s="279"/>
      <c r="LJG30" s="279"/>
      <c r="LJH30" s="279"/>
      <c r="LJI30" s="279"/>
      <c r="LJJ30" s="279"/>
      <c r="LJK30" s="279"/>
      <c r="LJL30" s="279"/>
      <c r="LJM30" s="279"/>
      <c r="LJN30" s="279"/>
      <c r="LJO30" s="279"/>
      <c r="LJP30" s="279"/>
      <c r="LJQ30" s="279"/>
      <c r="LJR30" s="279"/>
      <c r="LJS30" s="279"/>
      <c r="LJT30" s="279"/>
      <c r="LJU30" s="279"/>
      <c r="LJV30" s="279"/>
      <c r="LJW30" s="279"/>
      <c r="LJX30" s="279"/>
      <c r="LJY30" s="279"/>
      <c r="LJZ30" s="279"/>
      <c r="LKA30" s="279"/>
      <c r="LKB30" s="279"/>
      <c r="LKC30" s="279"/>
      <c r="LKD30" s="279"/>
      <c r="LKE30" s="279"/>
      <c r="LKF30" s="279"/>
      <c r="LKG30" s="279"/>
      <c r="LKH30" s="279"/>
      <c r="LKI30" s="279"/>
      <c r="LKJ30" s="279"/>
      <c r="LKK30" s="279"/>
      <c r="LKL30" s="279"/>
      <c r="LKM30" s="279"/>
      <c r="LKN30" s="279"/>
      <c r="LKO30" s="279"/>
      <c r="LKP30" s="279"/>
      <c r="LKQ30" s="279"/>
      <c r="LKR30" s="279"/>
      <c r="LKS30" s="279"/>
      <c r="LKT30" s="279"/>
      <c r="LKU30" s="279"/>
      <c r="LKV30" s="279"/>
      <c r="LKW30" s="279"/>
      <c r="LKX30" s="279"/>
      <c r="LKY30" s="279"/>
      <c r="LKZ30" s="279"/>
      <c r="LLA30" s="279"/>
      <c r="LLB30" s="279"/>
      <c r="LLC30" s="279"/>
      <c r="LLD30" s="279"/>
      <c r="LLE30" s="279"/>
      <c r="LLF30" s="279"/>
      <c r="LLG30" s="279"/>
      <c r="LLH30" s="279"/>
      <c r="LLI30" s="279"/>
      <c r="LLJ30" s="279"/>
      <c r="LLK30" s="279"/>
      <c r="LLL30" s="279"/>
      <c r="LLM30" s="279"/>
      <c r="LLN30" s="279"/>
      <c r="LLO30" s="279"/>
      <c r="LLP30" s="279"/>
      <c r="LLQ30" s="279"/>
      <c r="LLR30" s="279"/>
      <c r="LLS30" s="279"/>
      <c r="LLT30" s="279"/>
      <c r="LLU30" s="279"/>
      <c r="LLV30" s="279"/>
      <c r="LLW30" s="279"/>
      <c r="LLX30" s="279"/>
      <c r="LLY30" s="279"/>
      <c r="LLZ30" s="279"/>
      <c r="LMA30" s="279"/>
      <c r="LMB30" s="279"/>
      <c r="LMC30" s="279"/>
      <c r="LMD30" s="279"/>
      <c r="LME30" s="279"/>
      <c r="LMF30" s="279"/>
      <c r="LMG30" s="279"/>
      <c r="LMH30" s="279"/>
      <c r="LMI30" s="279"/>
      <c r="LMJ30" s="279"/>
      <c r="LMK30" s="279"/>
      <c r="LML30" s="279"/>
      <c r="LMM30" s="279"/>
      <c r="LMN30" s="279"/>
      <c r="LMO30" s="279"/>
      <c r="LMP30" s="279"/>
      <c r="LMQ30" s="279"/>
      <c r="LMR30" s="279"/>
      <c r="LMS30" s="279"/>
      <c r="LMT30" s="279"/>
      <c r="LMU30" s="279"/>
      <c r="LMV30" s="279"/>
      <c r="LMW30" s="279"/>
      <c r="LMX30" s="279"/>
      <c r="LMY30" s="279"/>
      <c r="LMZ30" s="279"/>
      <c r="LNA30" s="279"/>
      <c r="LNB30" s="279"/>
      <c r="LNC30" s="279"/>
      <c r="LND30" s="279"/>
      <c r="LNE30" s="279"/>
      <c r="LNF30" s="279"/>
      <c r="LNG30" s="279"/>
      <c r="LNH30" s="279"/>
      <c r="LNI30" s="279"/>
      <c r="LNJ30" s="279"/>
      <c r="LNK30" s="279"/>
      <c r="LNL30" s="279"/>
      <c r="LNM30" s="279"/>
      <c r="LNN30" s="279"/>
      <c r="LNO30" s="279"/>
      <c r="LNP30" s="279"/>
      <c r="LNQ30" s="279"/>
      <c r="LNR30" s="279"/>
      <c r="LNS30" s="279"/>
      <c r="LNT30" s="279"/>
      <c r="LNU30" s="279"/>
      <c r="LNV30" s="279"/>
      <c r="LNW30" s="279"/>
      <c r="LNX30" s="279"/>
      <c r="LNY30" s="279"/>
      <c r="LNZ30" s="279"/>
      <c r="LOA30" s="279"/>
      <c r="LOB30" s="279"/>
      <c r="LOC30" s="279"/>
      <c r="LOD30" s="279"/>
      <c r="LOE30" s="279"/>
      <c r="LOF30" s="279"/>
      <c r="LOG30" s="279"/>
      <c r="LOH30" s="279"/>
      <c r="LOI30" s="279"/>
      <c r="LOJ30" s="279"/>
      <c r="LOK30" s="279"/>
      <c r="LOL30" s="279"/>
      <c r="LOM30" s="279"/>
      <c r="LON30" s="279"/>
      <c r="LOO30" s="279"/>
      <c r="LOP30" s="279"/>
      <c r="LOQ30" s="279"/>
      <c r="LOR30" s="279"/>
      <c r="LOS30" s="279"/>
      <c r="LOT30" s="279"/>
      <c r="LOU30" s="279"/>
      <c r="LOV30" s="279"/>
      <c r="LOW30" s="279"/>
      <c r="LOX30" s="279"/>
      <c r="LOY30" s="279"/>
      <c r="LOZ30" s="279"/>
      <c r="LPA30" s="279"/>
      <c r="LPB30" s="279"/>
      <c r="LPC30" s="279"/>
      <c r="LPD30" s="279"/>
      <c r="LPE30" s="279"/>
      <c r="LPF30" s="279"/>
      <c r="LPG30" s="279"/>
      <c r="LPH30" s="279"/>
      <c r="LPI30" s="279"/>
      <c r="LPJ30" s="279"/>
      <c r="LPK30" s="279"/>
      <c r="LPL30" s="279"/>
      <c r="LPM30" s="279"/>
      <c r="LPN30" s="279"/>
      <c r="LPO30" s="279"/>
      <c r="LPP30" s="279"/>
      <c r="LPQ30" s="279"/>
      <c r="LPR30" s="279"/>
      <c r="LPS30" s="279"/>
      <c r="LPT30" s="279"/>
      <c r="LPU30" s="279"/>
      <c r="LPV30" s="279"/>
      <c r="LPW30" s="279"/>
      <c r="LPX30" s="279"/>
      <c r="LPY30" s="279"/>
      <c r="LPZ30" s="279"/>
      <c r="LQA30" s="279"/>
      <c r="LQB30" s="279"/>
      <c r="LQC30" s="279"/>
      <c r="LQD30" s="279"/>
      <c r="LQE30" s="279"/>
      <c r="LQF30" s="279"/>
      <c r="LQG30" s="279"/>
      <c r="LQH30" s="279"/>
      <c r="LQI30" s="279"/>
      <c r="LQJ30" s="279"/>
      <c r="LQK30" s="279"/>
      <c r="LQL30" s="279"/>
      <c r="LQM30" s="279"/>
      <c r="LQN30" s="279"/>
      <c r="LQO30" s="279"/>
      <c r="LQP30" s="279"/>
      <c r="LQQ30" s="279"/>
      <c r="LQR30" s="279"/>
      <c r="LQS30" s="279"/>
      <c r="LQT30" s="279"/>
      <c r="LQU30" s="279"/>
      <c r="LQV30" s="279"/>
      <c r="LQW30" s="279"/>
      <c r="LQX30" s="279"/>
      <c r="LQY30" s="279"/>
      <c r="LQZ30" s="279"/>
      <c r="LRA30" s="279"/>
      <c r="LRB30" s="279"/>
      <c r="LRC30" s="279"/>
      <c r="LRD30" s="279"/>
      <c r="LRE30" s="279"/>
      <c r="LRF30" s="279"/>
      <c r="LRG30" s="279"/>
      <c r="LRH30" s="279"/>
      <c r="LRI30" s="279"/>
      <c r="LRJ30" s="279"/>
      <c r="LRK30" s="279"/>
      <c r="LRL30" s="279"/>
      <c r="LRM30" s="279"/>
      <c r="LRN30" s="279"/>
      <c r="LRO30" s="279"/>
      <c r="LRP30" s="279"/>
      <c r="LRQ30" s="279"/>
      <c r="LRR30" s="279"/>
      <c r="LRS30" s="279"/>
      <c r="LRT30" s="279"/>
      <c r="LRU30" s="279"/>
      <c r="LRV30" s="279"/>
      <c r="LRW30" s="279"/>
      <c r="LRX30" s="279"/>
      <c r="LRY30" s="279"/>
      <c r="LRZ30" s="279"/>
      <c r="LSA30" s="279"/>
      <c r="LSB30" s="279"/>
      <c r="LSC30" s="279"/>
      <c r="LSD30" s="279"/>
      <c r="LSE30" s="279"/>
      <c r="LSF30" s="279"/>
      <c r="LSG30" s="279"/>
      <c r="LSH30" s="279"/>
      <c r="LSI30" s="279"/>
      <c r="LSJ30" s="279"/>
      <c r="LSK30" s="279"/>
      <c r="LSL30" s="279"/>
      <c r="LSM30" s="279"/>
      <c r="LSN30" s="279"/>
      <c r="LSO30" s="279"/>
      <c r="LSP30" s="279"/>
      <c r="LSQ30" s="279"/>
      <c r="LSR30" s="279"/>
      <c r="LSS30" s="279"/>
      <c r="LST30" s="279"/>
      <c r="LSU30" s="279"/>
      <c r="LSV30" s="279"/>
      <c r="LSW30" s="279"/>
      <c r="LSX30" s="279"/>
      <c r="LSY30" s="279"/>
      <c r="LSZ30" s="279"/>
      <c r="LTA30" s="279"/>
      <c r="LTB30" s="279"/>
      <c r="LTC30" s="279"/>
      <c r="LTD30" s="279"/>
      <c r="LTE30" s="279"/>
      <c r="LTF30" s="279"/>
      <c r="LTG30" s="279"/>
      <c r="LTH30" s="279"/>
      <c r="LTI30" s="279"/>
      <c r="LTJ30" s="279"/>
      <c r="LTK30" s="279"/>
      <c r="LTL30" s="279"/>
      <c r="LTM30" s="279"/>
      <c r="LTN30" s="279"/>
      <c r="LTO30" s="279"/>
      <c r="LTP30" s="279"/>
      <c r="LTQ30" s="279"/>
      <c r="LTR30" s="279"/>
      <c r="LTS30" s="279"/>
      <c r="LTT30" s="279"/>
      <c r="LTU30" s="279"/>
      <c r="LTV30" s="279"/>
      <c r="LTW30" s="279"/>
      <c r="LTX30" s="279"/>
      <c r="LTY30" s="279"/>
      <c r="LTZ30" s="279"/>
      <c r="LUA30" s="279"/>
      <c r="LUB30" s="279"/>
      <c r="LUC30" s="279"/>
      <c r="LUD30" s="279"/>
      <c r="LUE30" s="279"/>
      <c r="LUF30" s="279"/>
      <c r="LUG30" s="279"/>
      <c r="LUH30" s="279"/>
      <c r="LUI30" s="279"/>
      <c r="LUJ30" s="279"/>
      <c r="LUK30" s="279"/>
      <c r="LUL30" s="279"/>
      <c r="LUM30" s="279"/>
      <c r="LUN30" s="279"/>
      <c r="LUO30" s="279"/>
      <c r="LUP30" s="279"/>
      <c r="LUQ30" s="279"/>
      <c r="LUR30" s="279"/>
      <c r="LUS30" s="279"/>
      <c r="LUT30" s="279"/>
      <c r="LUU30" s="279"/>
      <c r="LUV30" s="279"/>
      <c r="LUW30" s="279"/>
      <c r="LUX30" s="279"/>
      <c r="LUY30" s="279"/>
      <c r="LUZ30" s="279"/>
      <c r="LVA30" s="279"/>
      <c r="LVB30" s="279"/>
      <c r="LVC30" s="279"/>
      <c r="LVD30" s="279"/>
      <c r="LVE30" s="279"/>
      <c r="LVF30" s="279"/>
      <c r="LVG30" s="279"/>
      <c r="LVH30" s="279"/>
      <c r="LVI30" s="279"/>
      <c r="LVJ30" s="279"/>
      <c r="LVK30" s="279"/>
      <c r="LVL30" s="279"/>
      <c r="LVM30" s="279"/>
      <c r="LVN30" s="279"/>
      <c r="LVO30" s="279"/>
      <c r="LVP30" s="279"/>
      <c r="LVQ30" s="279"/>
      <c r="LVR30" s="279"/>
      <c r="LVS30" s="279"/>
      <c r="LVT30" s="279"/>
      <c r="LVU30" s="279"/>
      <c r="LVV30" s="279"/>
      <c r="LVW30" s="279"/>
      <c r="LVX30" s="279"/>
      <c r="LVY30" s="279"/>
      <c r="LVZ30" s="279"/>
      <c r="LWA30" s="279"/>
      <c r="LWB30" s="279"/>
      <c r="LWC30" s="279"/>
      <c r="LWD30" s="279"/>
      <c r="LWE30" s="279"/>
      <c r="LWF30" s="279"/>
      <c r="LWG30" s="279"/>
      <c r="LWH30" s="279"/>
      <c r="LWI30" s="279"/>
      <c r="LWJ30" s="279"/>
      <c r="LWK30" s="279"/>
      <c r="LWL30" s="279"/>
      <c r="LWM30" s="279"/>
      <c r="LWN30" s="279"/>
      <c r="LWO30" s="279"/>
      <c r="LWP30" s="279"/>
      <c r="LWQ30" s="279"/>
      <c r="LWR30" s="279"/>
      <c r="LWS30" s="279"/>
      <c r="LWT30" s="279"/>
      <c r="LWU30" s="279"/>
      <c r="LWV30" s="279"/>
      <c r="LWW30" s="279"/>
      <c r="LWX30" s="279"/>
      <c r="LWY30" s="279"/>
      <c r="LWZ30" s="279"/>
      <c r="LXA30" s="279"/>
      <c r="LXB30" s="279"/>
      <c r="LXC30" s="279"/>
      <c r="LXD30" s="279"/>
      <c r="LXE30" s="279"/>
      <c r="LXF30" s="279"/>
      <c r="LXG30" s="279"/>
      <c r="LXH30" s="279"/>
      <c r="LXI30" s="279"/>
      <c r="LXJ30" s="279"/>
      <c r="LXK30" s="279"/>
      <c r="LXL30" s="279"/>
      <c r="LXM30" s="279"/>
      <c r="LXN30" s="279"/>
      <c r="LXO30" s="279"/>
      <c r="LXP30" s="279"/>
      <c r="LXQ30" s="279"/>
      <c r="LXR30" s="279"/>
      <c r="LXS30" s="279"/>
      <c r="LXT30" s="279"/>
      <c r="LXU30" s="279"/>
      <c r="LXV30" s="279"/>
      <c r="LXW30" s="279"/>
      <c r="LXX30" s="279"/>
      <c r="LXY30" s="279"/>
      <c r="LXZ30" s="279"/>
      <c r="LYA30" s="279"/>
      <c r="LYB30" s="279"/>
      <c r="LYC30" s="279"/>
      <c r="LYD30" s="279"/>
      <c r="LYE30" s="279"/>
      <c r="LYF30" s="279"/>
      <c r="LYG30" s="279"/>
      <c r="LYH30" s="279"/>
      <c r="LYI30" s="279"/>
      <c r="LYJ30" s="279"/>
      <c r="LYK30" s="279"/>
      <c r="LYL30" s="279"/>
      <c r="LYM30" s="279"/>
      <c r="LYN30" s="279"/>
      <c r="LYO30" s="279"/>
      <c r="LYP30" s="279"/>
      <c r="LYQ30" s="279"/>
      <c r="LYR30" s="279"/>
      <c r="LYS30" s="279"/>
      <c r="LYT30" s="279"/>
      <c r="LYU30" s="279"/>
      <c r="LYV30" s="279"/>
      <c r="LYW30" s="279"/>
      <c r="LYX30" s="279"/>
      <c r="LYY30" s="279"/>
      <c r="LYZ30" s="279"/>
      <c r="LZA30" s="279"/>
      <c r="LZB30" s="279"/>
      <c r="LZC30" s="279"/>
      <c r="LZD30" s="279"/>
      <c r="LZE30" s="279"/>
      <c r="LZF30" s="279"/>
      <c r="LZG30" s="279"/>
      <c r="LZH30" s="279"/>
      <c r="LZI30" s="279"/>
      <c r="LZJ30" s="279"/>
      <c r="LZK30" s="279"/>
      <c r="LZL30" s="279"/>
      <c r="LZM30" s="279"/>
      <c r="LZN30" s="279"/>
      <c r="LZO30" s="279"/>
      <c r="LZP30" s="279"/>
      <c r="LZQ30" s="279"/>
      <c r="LZR30" s="279"/>
      <c r="LZS30" s="279"/>
      <c r="LZT30" s="279"/>
      <c r="LZU30" s="279"/>
      <c r="LZV30" s="279"/>
      <c r="LZW30" s="279"/>
      <c r="LZX30" s="279"/>
      <c r="LZY30" s="279"/>
      <c r="LZZ30" s="279"/>
      <c r="MAA30" s="279"/>
      <c r="MAB30" s="279"/>
      <c r="MAC30" s="279"/>
      <c r="MAD30" s="279"/>
      <c r="MAE30" s="279"/>
      <c r="MAF30" s="279"/>
      <c r="MAG30" s="279"/>
      <c r="MAH30" s="279"/>
      <c r="MAI30" s="279"/>
      <c r="MAJ30" s="279"/>
      <c r="MAK30" s="279"/>
      <c r="MAL30" s="279"/>
      <c r="MAM30" s="279"/>
      <c r="MAN30" s="279"/>
      <c r="MAO30" s="279"/>
      <c r="MAP30" s="279"/>
      <c r="MAQ30" s="279"/>
      <c r="MAR30" s="279"/>
      <c r="MAS30" s="279"/>
      <c r="MAT30" s="279"/>
      <c r="MAU30" s="279"/>
      <c r="MAV30" s="279"/>
      <c r="MAW30" s="279"/>
      <c r="MAX30" s="279"/>
      <c r="MAY30" s="279"/>
      <c r="MAZ30" s="279"/>
      <c r="MBA30" s="279"/>
      <c r="MBB30" s="279"/>
      <c r="MBC30" s="279"/>
      <c r="MBD30" s="279"/>
      <c r="MBE30" s="279"/>
      <c r="MBF30" s="279"/>
      <c r="MBG30" s="279"/>
      <c r="MBH30" s="279"/>
      <c r="MBI30" s="279"/>
      <c r="MBJ30" s="279"/>
      <c r="MBK30" s="279"/>
      <c r="MBL30" s="279"/>
      <c r="MBM30" s="279"/>
      <c r="MBN30" s="279"/>
      <c r="MBO30" s="279"/>
      <c r="MBP30" s="279"/>
      <c r="MBQ30" s="279"/>
      <c r="MBR30" s="279"/>
      <c r="MBS30" s="279"/>
      <c r="MBT30" s="279"/>
      <c r="MBU30" s="279"/>
      <c r="MBV30" s="279"/>
      <c r="MBW30" s="279"/>
      <c r="MBX30" s="279"/>
      <c r="MBY30" s="279"/>
      <c r="MBZ30" s="279"/>
      <c r="MCA30" s="279"/>
      <c r="MCB30" s="279"/>
      <c r="MCC30" s="279"/>
      <c r="MCD30" s="279"/>
      <c r="MCE30" s="279"/>
      <c r="MCF30" s="279"/>
      <c r="MCG30" s="279"/>
      <c r="MCH30" s="279"/>
      <c r="MCI30" s="279"/>
      <c r="MCJ30" s="279"/>
      <c r="MCK30" s="279"/>
      <c r="MCL30" s="279"/>
      <c r="MCM30" s="279"/>
      <c r="MCN30" s="279"/>
      <c r="MCO30" s="279"/>
      <c r="MCP30" s="279"/>
      <c r="MCQ30" s="279"/>
      <c r="MCR30" s="279"/>
      <c r="MCS30" s="279"/>
      <c r="MCT30" s="279"/>
      <c r="MCU30" s="279"/>
      <c r="MCV30" s="279"/>
      <c r="MCW30" s="279"/>
      <c r="MCX30" s="279"/>
      <c r="MCY30" s="279"/>
      <c r="MCZ30" s="279"/>
      <c r="MDA30" s="279"/>
      <c r="MDB30" s="279"/>
      <c r="MDC30" s="279"/>
      <c r="MDD30" s="279"/>
      <c r="MDE30" s="279"/>
      <c r="MDF30" s="279"/>
      <c r="MDG30" s="279"/>
      <c r="MDH30" s="279"/>
      <c r="MDI30" s="279"/>
      <c r="MDJ30" s="279"/>
      <c r="MDK30" s="279"/>
      <c r="MDL30" s="279"/>
      <c r="MDM30" s="279"/>
      <c r="MDN30" s="279"/>
      <c r="MDO30" s="279"/>
      <c r="MDP30" s="279"/>
      <c r="MDQ30" s="279"/>
      <c r="MDR30" s="279"/>
      <c r="MDS30" s="279"/>
      <c r="MDT30" s="279"/>
      <c r="MDU30" s="279"/>
      <c r="MDV30" s="279"/>
      <c r="MDW30" s="279"/>
      <c r="MDX30" s="279"/>
      <c r="MDY30" s="279"/>
      <c r="MDZ30" s="279"/>
      <c r="MEA30" s="279"/>
      <c r="MEB30" s="279"/>
      <c r="MEC30" s="279"/>
      <c r="MED30" s="279"/>
      <c r="MEE30" s="279"/>
      <c r="MEF30" s="279"/>
      <c r="MEG30" s="279"/>
      <c r="MEH30" s="279"/>
      <c r="MEI30" s="279"/>
      <c r="MEJ30" s="279"/>
      <c r="MEK30" s="279"/>
      <c r="MEL30" s="279"/>
      <c r="MEM30" s="279"/>
      <c r="MEN30" s="279"/>
      <c r="MEO30" s="279"/>
      <c r="MEP30" s="279"/>
      <c r="MEQ30" s="279"/>
      <c r="MER30" s="279"/>
      <c r="MES30" s="279"/>
      <c r="MET30" s="279"/>
      <c r="MEU30" s="279"/>
      <c r="MEV30" s="279"/>
      <c r="MEW30" s="279"/>
      <c r="MEX30" s="279"/>
      <c r="MEY30" s="279"/>
      <c r="MEZ30" s="279"/>
      <c r="MFA30" s="279"/>
      <c r="MFB30" s="279"/>
      <c r="MFC30" s="279"/>
      <c r="MFD30" s="279"/>
      <c r="MFE30" s="279"/>
      <c r="MFF30" s="279"/>
      <c r="MFG30" s="279"/>
      <c r="MFH30" s="279"/>
      <c r="MFI30" s="279"/>
      <c r="MFJ30" s="279"/>
      <c r="MFK30" s="279"/>
      <c r="MFL30" s="279"/>
      <c r="MFM30" s="279"/>
      <c r="MFN30" s="279"/>
      <c r="MFO30" s="279"/>
      <c r="MFP30" s="279"/>
      <c r="MFQ30" s="279"/>
      <c r="MFR30" s="279"/>
      <c r="MFS30" s="279"/>
      <c r="MFT30" s="279"/>
      <c r="MFU30" s="279"/>
      <c r="MFV30" s="279"/>
      <c r="MFW30" s="279"/>
      <c r="MFX30" s="279"/>
      <c r="MFY30" s="279"/>
      <c r="MFZ30" s="279"/>
      <c r="MGA30" s="279"/>
      <c r="MGB30" s="279"/>
      <c r="MGC30" s="279"/>
      <c r="MGD30" s="279"/>
      <c r="MGE30" s="279"/>
      <c r="MGF30" s="279"/>
      <c r="MGG30" s="279"/>
      <c r="MGH30" s="279"/>
      <c r="MGI30" s="279"/>
      <c r="MGJ30" s="279"/>
      <c r="MGK30" s="279"/>
      <c r="MGL30" s="279"/>
      <c r="MGM30" s="279"/>
      <c r="MGN30" s="279"/>
      <c r="MGO30" s="279"/>
      <c r="MGP30" s="279"/>
      <c r="MGQ30" s="279"/>
      <c r="MGR30" s="279"/>
      <c r="MGS30" s="279"/>
      <c r="MGT30" s="279"/>
      <c r="MGU30" s="279"/>
      <c r="MGV30" s="279"/>
      <c r="MGW30" s="279"/>
      <c r="MGX30" s="279"/>
      <c r="MGY30" s="279"/>
      <c r="MGZ30" s="279"/>
      <c r="MHA30" s="279"/>
      <c r="MHB30" s="279"/>
      <c r="MHC30" s="279"/>
      <c r="MHD30" s="279"/>
      <c r="MHE30" s="279"/>
      <c r="MHF30" s="279"/>
      <c r="MHG30" s="279"/>
      <c r="MHH30" s="279"/>
      <c r="MHI30" s="279"/>
      <c r="MHJ30" s="279"/>
      <c r="MHK30" s="279"/>
      <c r="MHL30" s="279"/>
      <c r="MHM30" s="279"/>
      <c r="MHN30" s="279"/>
      <c r="MHO30" s="279"/>
      <c r="MHP30" s="279"/>
      <c r="MHQ30" s="279"/>
      <c r="MHR30" s="279"/>
      <c r="MHS30" s="279"/>
      <c r="MHT30" s="279"/>
      <c r="MHU30" s="279"/>
      <c r="MHV30" s="279"/>
      <c r="MHW30" s="279"/>
      <c r="MHX30" s="279"/>
      <c r="MHY30" s="279"/>
      <c r="MHZ30" s="279"/>
      <c r="MIA30" s="279"/>
      <c r="MIB30" s="279"/>
      <c r="MIC30" s="279"/>
      <c r="MID30" s="279"/>
      <c r="MIE30" s="279"/>
      <c r="MIF30" s="279"/>
      <c r="MIG30" s="279"/>
      <c r="MIH30" s="279"/>
      <c r="MII30" s="279"/>
      <c r="MIJ30" s="279"/>
      <c r="MIK30" s="279"/>
      <c r="MIL30" s="279"/>
      <c r="MIM30" s="279"/>
      <c r="MIN30" s="279"/>
      <c r="MIO30" s="279"/>
      <c r="MIP30" s="279"/>
      <c r="MIQ30" s="279"/>
      <c r="MIR30" s="279"/>
      <c r="MIS30" s="279"/>
      <c r="MIT30" s="279"/>
      <c r="MIU30" s="279"/>
      <c r="MIV30" s="279"/>
      <c r="MIW30" s="279"/>
      <c r="MIX30" s="279"/>
      <c r="MIY30" s="279"/>
      <c r="MIZ30" s="279"/>
      <c r="MJA30" s="279"/>
      <c r="MJB30" s="279"/>
      <c r="MJC30" s="279"/>
      <c r="MJD30" s="279"/>
      <c r="MJE30" s="279"/>
      <c r="MJF30" s="279"/>
      <c r="MJG30" s="279"/>
      <c r="MJH30" s="279"/>
      <c r="MJI30" s="279"/>
      <c r="MJJ30" s="279"/>
      <c r="MJK30" s="279"/>
      <c r="MJL30" s="279"/>
      <c r="MJM30" s="279"/>
      <c r="MJN30" s="279"/>
      <c r="MJO30" s="279"/>
      <c r="MJP30" s="279"/>
      <c r="MJQ30" s="279"/>
      <c r="MJR30" s="279"/>
      <c r="MJS30" s="279"/>
      <c r="MJT30" s="279"/>
      <c r="MJU30" s="279"/>
      <c r="MJV30" s="279"/>
      <c r="MJW30" s="279"/>
      <c r="MJX30" s="279"/>
      <c r="MJY30" s="279"/>
      <c r="MJZ30" s="279"/>
      <c r="MKA30" s="279"/>
      <c r="MKB30" s="279"/>
      <c r="MKC30" s="279"/>
      <c r="MKD30" s="279"/>
      <c r="MKE30" s="279"/>
      <c r="MKF30" s="279"/>
      <c r="MKG30" s="279"/>
      <c r="MKH30" s="279"/>
      <c r="MKI30" s="279"/>
      <c r="MKJ30" s="279"/>
      <c r="MKK30" s="279"/>
      <c r="MKL30" s="279"/>
      <c r="MKM30" s="279"/>
      <c r="MKN30" s="279"/>
      <c r="MKO30" s="279"/>
      <c r="MKP30" s="279"/>
      <c r="MKQ30" s="279"/>
      <c r="MKR30" s="279"/>
      <c r="MKS30" s="279"/>
      <c r="MKT30" s="279"/>
      <c r="MKU30" s="279"/>
      <c r="MKV30" s="279"/>
      <c r="MKW30" s="279"/>
      <c r="MKX30" s="279"/>
      <c r="MKY30" s="279"/>
      <c r="MKZ30" s="279"/>
      <c r="MLA30" s="279"/>
      <c r="MLB30" s="279"/>
      <c r="MLC30" s="279"/>
      <c r="MLD30" s="279"/>
      <c r="MLE30" s="279"/>
      <c r="MLF30" s="279"/>
      <c r="MLG30" s="279"/>
      <c r="MLH30" s="279"/>
      <c r="MLI30" s="279"/>
      <c r="MLJ30" s="279"/>
      <c r="MLK30" s="279"/>
      <c r="MLL30" s="279"/>
      <c r="MLM30" s="279"/>
      <c r="MLN30" s="279"/>
      <c r="MLO30" s="279"/>
      <c r="MLP30" s="279"/>
      <c r="MLQ30" s="279"/>
      <c r="MLR30" s="279"/>
      <c r="MLS30" s="279"/>
      <c r="MLT30" s="279"/>
      <c r="MLU30" s="279"/>
      <c r="MLV30" s="279"/>
      <c r="MLW30" s="279"/>
      <c r="MLX30" s="279"/>
      <c r="MLY30" s="279"/>
      <c r="MLZ30" s="279"/>
      <c r="MMA30" s="279"/>
      <c r="MMB30" s="279"/>
      <c r="MMC30" s="279"/>
      <c r="MMD30" s="279"/>
      <c r="MME30" s="279"/>
      <c r="MMF30" s="279"/>
      <c r="MMG30" s="279"/>
      <c r="MMH30" s="279"/>
      <c r="MMI30" s="279"/>
      <c r="MMJ30" s="279"/>
      <c r="MMK30" s="279"/>
      <c r="MML30" s="279"/>
      <c r="MMM30" s="279"/>
      <c r="MMN30" s="279"/>
      <c r="MMO30" s="279"/>
      <c r="MMP30" s="279"/>
      <c r="MMQ30" s="279"/>
      <c r="MMR30" s="279"/>
      <c r="MMS30" s="279"/>
      <c r="MMT30" s="279"/>
      <c r="MMU30" s="279"/>
      <c r="MMV30" s="279"/>
      <c r="MMW30" s="279"/>
      <c r="MMX30" s="279"/>
      <c r="MMY30" s="279"/>
      <c r="MMZ30" s="279"/>
      <c r="MNA30" s="279"/>
      <c r="MNB30" s="279"/>
      <c r="MNC30" s="279"/>
      <c r="MND30" s="279"/>
      <c r="MNE30" s="279"/>
      <c r="MNF30" s="279"/>
      <c r="MNG30" s="279"/>
      <c r="MNH30" s="279"/>
      <c r="MNI30" s="279"/>
      <c r="MNJ30" s="279"/>
      <c r="MNK30" s="279"/>
      <c r="MNL30" s="279"/>
      <c r="MNM30" s="279"/>
      <c r="MNN30" s="279"/>
      <c r="MNO30" s="279"/>
      <c r="MNP30" s="279"/>
      <c r="MNQ30" s="279"/>
      <c r="MNR30" s="279"/>
      <c r="MNS30" s="279"/>
      <c r="MNT30" s="279"/>
      <c r="MNU30" s="279"/>
      <c r="MNV30" s="279"/>
      <c r="MNW30" s="279"/>
      <c r="MNX30" s="279"/>
      <c r="MNY30" s="279"/>
      <c r="MNZ30" s="279"/>
      <c r="MOA30" s="279"/>
      <c r="MOB30" s="279"/>
      <c r="MOC30" s="279"/>
      <c r="MOD30" s="279"/>
      <c r="MOE30" s="279"/>
      <c r="MOF30" s="279"/>
      <c r="MOG30" s="279"/>
      <c r="MOH30" s="279"/>
      <c r="MOI30" s="279"/>
      <c r="MOJ30" s="279"/>
      <c r="MOK30" s="279"/>
      <c r="MOL30" s="279"/>
      <c r="MOM30" s="279"/>
      <c r="MON30" s="279"/>
      <c r="MOO30" s="279"/>
      <c r="MOP30" s="279"/>
      <c r="MOQ30" s="279"/>
      <c r="MOR30" s="279"/>
      <c r="MOS30" s="279"/>
      <c r="MOT30" s="279"/>
      <c r="MOU30" s="279"/>
      <c r="MOV30" s="279"/>
      <c r="MOW30" s="279"/>
      <c r="MOX30" s="279"/>
      <c r="MOY30" s="279"/>
      <c r="MOZ30" s="279"/>
      <c r="MPA30" s="279"/>
      <c r="MPB30" s="279"/>
      <c r="MPC30" s="279"/>
      <c r="MPD30" s="279"/>
      <c r="MPE30" s="279"/>
      <c r="MPF30" s="279"/>
      <c r="MPG30" s="279"/>
      <c r="MPH30" s="279"/>
      <c r="MPI30" s="279"/>
      <c r="MPJ30" s="279"/>
      <c r="MPK30" s="279"/>
      <c r="MPL30" s="279"/>
      <c r="MPM30" s="279"/>
      <c r="MPN30" s="279"/>
      <c r="MPO30" s="279"/>
      <c r="MPP30" s="279"/>
      <c r="MPQ30" s="279"/>
      <c r="MPR30" s="279"/>
      <c r="MPS30" s="279"/>
      <c r="MPT30" s="279"/>
      <c r="MPU30" s="279"/>
      <c r="MPV30" s="279"/>
      <c r="MPW30" s="279"/>
      <c r="MPX30" s="279"/>
      <c r="MPY30" s="279"/>
      <c r="MPZ30" s="279"/>
      <c r="MQA30" s="279"/>
      <c r="MQB30" s="279"/>
      <c r="MQC30" s="279"/>
      <c r="MQD30" s="279"/>
      <c r="MQE30" s="279"/>
      <c r="MQF30" s="279"/>
      <c r="MQG30" s="279"/>
      <c r="MQH30" s="279"/>
      <c r="MQI30" s="279"/>
      <c r="MQJ30" s="279"/>
      <c r="MQK30" s="279"/>
      <c r="MQL30" s="279"/>
      <c r="MQM30" s="279"/>
      <c r="MQN30" s="279"/>
      <c r="MQO30" s="279"/>
      <c r="MQP30" s="279"/>
      <c r="MQQ30" s="279"/>
      <c r="MQR30" s="279"/>
      <c r="MQS30" s="279"/>
      <c r="MQT30" s="279"/>
      <c r="MQU30" s="279"/>
      <c r="MQV30" s="279"/>
      <c r="MQW30" s="279"/>
      <c r="MQX30" s="279"/>
      <c r="MQY30" s="279"/>
      <c r="MQZ30" s="279"/>
      <c r="MRA30" s="279"/>
      <c r="MRB30" s="279"/>
      <c r="MRC30" s="279"/>
      <c r="MRD30" s="279"/>
      <c r="MRE30" s="279"/>
      <c r="MRF30" s="279"/>
      <c r="MRG30" s="279"/>
      <c r="MRH30" s="279"/>
      <c r="MRI30" s="279"/>
      <c r="MRJ30" s="279"/>
      <c r="MRK30" s="279"/>
      <c r="MRL30" s="279"/>
      <c r="MRM30" s="279"/>
      <c r="MRN30" s="279"/>
      <c r="MRO30" s="279"/>
      <c r="MRP30" s="279"/>
      <c r="MRQ30" s="279"/>
      <c r="MRR30" s="279"/>
      <c r="MRS30" s="279"/>
      <c r="MRT30" s="279"/>
      <c r="MRU30" s="279"/>
      <c r="MRV30" s="279"/>
      <c r="MRW30" s="279"/>
      <c r="MRX30" s="279"/>
      <c r="MRY30" s="279"/>
      <c r="MRZ30" s="279"/>
      <c r="MSA30" s="279"/>
      <c r="MSB30" s="279"/>
      <c r="MSC30" s="279"/>
      <c r="MSD30" s="279"/>
      <c r="MSE30" s="279"/>
      <c r="MSF30" s="279"/>
      <c r="MSG30" s="279"/>
      <c r="MSH30" s="279"/>
      <c r="MSI30" s="279"/>
      <c r="MSJ30" s="279"/>
      <c r="MSK30" s="279"/>
      <c r="MSL30" s="279"/>
      <c r="MSM30" s="279"/>
      <c r="MSN30" s="279"/>
      <c r="MSO30" s="279"/>
      <c r="MSP30" s="279"/>
      <c r="MSQ30" s="279"/>
      <c r="MSR30" s="279"/>
      <c r="MSS30" s="279"/>
      <c r="MST30" s="279"/>
      <c r="MSU30" s="279"/>
      <c r="MSV30" s="279"/>
      <c r="MSW30" s="279"/>
      <c r="MSX30" s="279"/>
      <c r="MSY30" s="279"/>
      <c r="MSZ30" s="279"/>
      <c r="MTA30" s="279"/>
      <c r="MTB30" s="279"/>
      <c r="MTC30" s="279"/>
      <c r="MTD30" s="279"/>
      <c r="MTE30" s="279"/>
      <c r="MTF30" s="279"/>
      <c r="MTG30" s="279"/>
      <c r="MTH30" s="279"/>
      <c r="MTI30" s="279"/>
      <c r="MTJ30" s="279"/>
      <c r="MTK30" s="279"/>
      <c r="MTL30" s="279"/>
      <c r="MTM30" s="279"/>
      <c r="MTN30" s="279"/>
      <c r="MTO30" s="279"/>
      <c r="MTP30" s="279"/>
      <c r="MTQ30" s="279"/>
      <c r="MTR30" s="279"/>
      <c r="MTS30" s="279"/>
      <c r="MTT30" s="279"/>
      <c r="MTU30" s="279"/>
      <c r="MTV30" s="279"/>
      <c r="MTW30" s="279"/>
      <c r="MTX30" s="279"/>
      <c r="MTY30" s="279"/>
      <c r="MTZ30" s="279"/>
      <c r="MUA30" s="279"/>
      <c r="MUB30" s="279"/>
      <c r="MUC30" s="279"/>
      <c r="MUD30" s="279"/>
      <c r="MUE30" s="279"/>
      <c r="MUF30" s="279"/>
      <c r="MUG30" s="279"/>
      <c r="MUH30" s="279"/>
      <c r="MUI30" s="279"/>
      <c r="MUJ30" s="279"/>
      <c r="MUK30" s="279"/>
      <c r="MUL30" s="279"/>
      <c r="MUM30" s="279"/>
      <c r="MUN30" s="279"/>
      <c r="MUO30" s="279"/>
      <c r="MUP30" s="279"/>
      <c r="MUQ30" s="279"/>
      <c r="MUR30" s="279"/>
      <c r="MUS30" s="279"/>
      <c r="MUT30" s="279"/>
      <c r="MUU30" s="279"/>
      <c r="MUV30" s="279"/>
      <c r="MUW30" s="279"/>
      <c r="MUX30" s="279"/>
      <c r="MUY30" s="279"/>
      <c r="MUZ30" s="279"/>
      <c r="MVA30" s="279"/>
      <c r="MVB30" s="279"/>
      <c r="MVC30" s="279"/>
      <c r="MVD30" s="279"/>
      <c r="MVE30" s="279"/>
      <c r="MVF30" s="279"/>
      <c r="MVG30" s="279"/>
      <c r="MVH30" s="279"/>
      <c r="MVI30" s="279"/>
      <c r="MVJ30" s="279"/>
      <c r="MVK30" s="279"/>
      <c r="MVL30" s="279"/>
      <c r="MVM30" s="279"/>
      <c r="MVN30" s="279"/>
      <c r="MVO30" s="279"/>
      <c r="MVP30" s="279"/>
      <c r="MVQ30" s="279"/>
      <c r="MVR30" s="279"/>
      <c r="MVS30" s="279"/>
      <c r="MVT30" s="279"/>
      <c r="MVU30" s="279"/>
      <c r="MVV30" s="279"/>
      <c r="MVW30" s="279"/>
      <c r="MVX30" s="279"/>
      <c r="MVY30" s="279"/>
      <c r="MVZ30" s="279"/>
      <c r="MWA30" s="279"/>
      <c r="MWB30" s="279"/>
      <c r="MWC30" s="279"/>
      <c r="MWD30" s="279"/>
      <c r="MWE30" s="279"/>
      <c r="MWF30" s="279"/>
      <c r="MWG30" s="279"/>
      <c r="MWH30" s="279"/>
      <c r="MWI30" s="279"/>
      <c r="MWJ30" s="279"/>
      <c r="MWK30" s="279"/>
      <c r="MWL30" s="279"/>
      <c r="MWM30" s="279"/>
      <c r="MWN30" s="279"/>
      <c r="MWO30" s="279"/>
      <c r="MWP30" s="279"/>
      <c r="MWQ30" s="279"/>
      <c r="MWR30" s="279"/>
      <c r="MWS30" s="279"/>
      <c r="MWT30" s="279"/>
      <c r="MWU30" s="279"/>
      <c r="MWV30" s="279"/>
      <c r="MWW30" s="279"/>
      <c r="MWX30" s="279"/>
      <c r="MWY30" s="279"/>
      <c r="MWZ30" s="279"/>
      <c r="MXA30" s="279"/>
      <c r="MXB30" s="279"/>
      <c r="MXC30" s="279"/>
      <c r="MXD30" s="279"/>
      <c r="MXE30" s="279"/>
      <c r="MXF30" s="279"/>
      <c r="MXG30" s="279"/>
      <c r="MXH30" s="279"/>
      <c r="MXI30" s="279"/>
      <c r="MXJ30" s="279"/>
      <c r="MXK30" s="279"/>
      <c r="MXL30" s="279"/>
      <c r="MXM30" s="279"/>
      <c r="MXN30" s="279"/>
      <c r="MXO30" s="279"/>
      <c r="MXP30" s="279"/>
      <c r="MXQ30" s="279"/>
      <c r="MXR30" s="279"/>
      <c r="MXS30" s="279"/>
      <c r="MXT30" s="279"/>
      <c r="MXU30" s="279"/>
      <c r="MXV30" s="279"/>
      <c r="MXW30" s="279"/>
      <c r="MXX30" s="279"/>
      <c r="MXY30" s="279"/>
      <c r="MXZ30" s="279"/>
      <c r="MYA30" s="279"/>
      <c r="MYB30" s="279"/>
      <c r="MYC30" s="279"/>
      <c r="MYD30" s="279"/>
      <c r="MYE30" s="279"/>
      <c r="MYF30" s="279"/>
      <c r="MYG30" s="279"/>
      <c r="MYH30" s="279"/>
      <c r="MYI30" s="279"/>
      <c r="MYJ30" s="279"/>
      <c r="MYK30" s="279"/>
      <c r="MYL30" s="279"/>
      <c r="MYM30" s="279"/>
      <c r="MYN30" s="279"/>
      <c r="MYO30" s="279"/>
      <c r="MYP30" s="279"/>
      <c r="MYQ30" s="279"/>
      <c r="MYR30" s="279"/>
      <c r="MYS30" s="279"/>
      <c r="MYT30" s="279"/>
      <c r="MYU30" s="279"/>
      <c r="MYV30" s="279"/>
      <c r="MYW30" s="279"/>
      <c r="MYX30" s="279"/>
      <c r="MYY30" s="279"/>
      <c r="MYZ30" s="279"/>
      <c r="MZA30" s="279"/>
      <c r="MZB30" s="279"/>
      <c r="MZC30" s="279"/>
      <c r="MZD30" s="279"/>
      <c r="MZE30" s="279"/>
      <c r="MZF30" s="279"/>
      <c r="MZG30" s="279"/>
      <c r="MZH30" s="279"/>
      <c r="MZI30" s="279"/>
      <c r="MZJ30" s="279"/>
      <c r="MZK30" s="279"/>
      <c r="MZL30" s="279"/>
      <c r="MZM30" s="279"/>
      <c r="MZN30" s="279"/>
      <c r="MZO30" s="279"/>
      <c r="MZP30" s="279"/>
      <c r="MZQ30" s="279"/>
      <c r="MZR30" s="279"/>
      <c r="MZS30" s="279"/>
      <c r="MZT30" s="279"/>
      <c r="MZU30" s="279"/>
      <c r="MZV30" s="279"/>
      <c r="MZW30" s="279"/>
      <c r="MZX30" s="279"/>
      <c r="MZY30" s="279"/>
      <c r="MZZ30" s="279"/>
      <c r="NAA30" s="279"/>
      <c r="NAB30" s="279"/>
      <c r="NAC30" s="279"/>
      <c r="NAD30" s="279"/>
      <c r="NAE30" s="279"/>
      <c r="NAF30" s="279"/>
      <c r="NAG30" s="279"/>
      <c r="NAH30" s="279"/>
      <c r="NAI30" s="279"/>
      <c r="NAJ30" s="279"/>
      <c r="NAK30" s="279"/>
      <c r="NAL30" s="279"/>
      <c r="NAM30" s="279"/>
      <c r="NAN30" s="279"/>
      <c r="NAO30" s="279"/>
      <c r="NAP30" s="279"/>
      <c r="NAQ30" s="279"/>
      <c r="NAR30" s="279"/>
      <c r="NAS30" s="279"/>
      <c r="NAT30" s="279"/>
      <c r="NAU30" s="279"/>
      <c r="NAV30" s="279"/>
      <c r="NAW30" s="279"/>
      <c r="NAX30" s="279"/>
      <c r="NAY30" s="279"/>
      <c r="NAZ30" s="279"/>
      <c r="NBA30" s="279"/>
      <c r="NBB30" s="279"/>
      <c r="NBC30" s="279"/>
      <c r="NBD30" s="279"/>
      <c r="NBE30" s="279"/>
      <c r="NBF30" s="279"/>
      <c r="NBG30" s="279"/>
      <c r="NBH30" s="279"/>
      <c r="NBI30" s="279"/>
      <c r="NBJ30" s="279"/>
      <c r="NBK30" s="279"/>
      <c r="NBL30" s="279"/>
      <c r="NBM30" s="279"/>
      <c r="NBN30" s="279"/>
      <c r="NBO30" s="279"/>
      <c r="NBP30" s="279"/>
      <c r="NBQ30" s="279"/>
      <c r="NBR30" s="279"/>
      <c r="NBS30" s="279"/>
      <c r="NBT30" s="279"/>
      <c r="NBU30" s="279"/>
      <c r="NBV30" s="279"/>
      <c r="NBW30" s="279"/>
      <c r="NBX30" s="279"/>
      <c r="NBY30" s="279"/>
      <c r="NBZ30" s="279"/>
      <c r="NCA30" s="279"/>
      <c r="NCB30" s="279"/>
      <c r="NCC30" s="279"/>
      <c r="NCD30" s="279"/>
      <c r="NCE30" s="279"/>
      <c r="NCF30" s="279"/>
      <c r="NCG30" s="279"/>
      <c r="NCH30" s="279"/>
      <c r="NCI30" s="279"/>
      <c r="NCJ30" s="279"/>
      <c r="NCK30" s="279"/>
      <c r="NCL30" s="279"/>
      <c r="NCM30" s="279"/>
      <c r="NCN30" s="279"/>
      <c r="NCO30" s="279"/>
      <c r="NCP30" s="279"/>
      <c r="NCQ30" s="279"/>
      <c r="NCR30" s="279"/>
      <c r="NCS30" s="279"/>
      <c r="NCT30" s="279"/>
      <c r="NCU30" s="279"/>
      <c r="NCV30" s="279"/>
      <c r="NCW30" s="279"/>
      <c r="NCX30" s="279"/>
      <c r="NCY30" s="279"/>
      <c r="NCZ30" s="279"/>
      <c r="NDA30" s="279"/>
      <c r="NDB30" s="279"/>
      <c r="NDC30" s="279"/>
      <c r="NDD30" s="279"/>
      <c r="NDE30" s="279"/>
      <c r="NDF30" s="279"/>
      <c r="NDG30" s="279"/>
      <c r="NDH30" s="279"/>
      <c r="NDI30" s="279"/>
      <c r="NDJ30" s="279"/>
      <c r="NDK30" s="279"/>
      <c r="NDL30" s="279"/>
      <c r="NDM30" s="279"/>
      <c r="NDN30" s="279"/>
      <c r="NDO30" s="279"/>
      <c r="NDP30" s="279"/>
      <c r="NDQ30" s="279"/>
      <c r="NDR30" s="279"/>
      <c r="NDS30" s="279"/>
      <c r="NDT30" s="279"/>
      <c r="NDU30" s="279"/>
      <c r="NDV30" s="279"/>
      <c r="NDW30" s="279"/>
      <c r="NDX30" s="279"/>
      <c r="NDY30" s="279"/>
      <c r="NDZ30" s="279"/>
      <c r="NEA30" s="279"/>
      <c r="NEB30" s="279"/>
      <c r="NEC30" s="279"/>
      <c r="NED30" s="279"/>
      <c r="NEE30" s="279"/>
      <c r="NEF30" s="279"/>
      <c r="NEG30" s="279"/>
      <c r="NEH30" s="279"/>
      <c r="NEI30" s="279"/>
      <c r="NEJ30" s="279"/>
      <c r="NEK30" s="279"/>
      <c r="NEL30" s="279"/>
      <c r="NEM30" s="279"/>
      <c r="NEN30" s="279"/>
      <c r="NEO30" s="279"/>
      <c r="NEP30" s="279"/>
      <c r="NEQ30" s="279"/>
      <c r="NER30" s="279"/>
      <c r="NES30" s="279"/>
      <c r="NET30" s="279"/>
      <c r="NEU30" s="279"/>
      <c r="NEV30" s="279"/>
      <c r="NEW30" s="279"/>
      <c r="NEX30" s="279"/>
      <c r="NEY30" s="279"/>
      <c r="NEZ30" s="279"/>
      <c r="NFA30" s="279"/>
      <c r="NFB30" s="279"/>
      <c r="NFC30" s="279"/>
      <c r="NFD30" s="279"/>
      <c r="NFE30" s="279"/>
      <c r="NFF30" s="279"/>
      <c r="NFG30" s="279"/>
      <c r="NFH30" s="279"/>
      <c r="NFI30" s="279"/>
      <c r="NFJ30" s="279"/>
      <c r="NFK30" s="279"/>
      <c r="NFL30" s="279"/>
      <c r="NFM30" s="279"/>
      <c r="NFN30" s="279"/>
      <c r="NFO30" s="279"/>
      <c r="NFP30" s="279"/>
      <c r="NFQ30" s="279"/>
      <c r="NFR30" s="279"/>
      <c r="NFS30" s="279"/>
      <c r="NFT30" s="279"/>
      <c r="NFU30" s="279"/>
      <c r="NFV30" s="279"/>
      <c r="NFW30" s="279"/>
      <c r="NFX30" s="279"/>
      <c r="NFY30" s="279"/>
      <c r="NFZ30" s="279"/>
      <c r="NGA30" s="279"/>
      <c r="NGB30" s="279"/>
      <c r="NGC30" s="279"/>
      <c r="NGD30" s="279"/>
      <c r="NGE30" s="279"/>
      <c r="NGF30" s="279"/>
      <c r="NGG30" s="279"/>
      <c r="NGH30" s="279"/>
      <c r="NGI30" s="279"/>
      <c r="NGJ30" s="279"/>
      <c r="NGK30" s="279"/>
      <c r="NGL30" s="279"/>
      <c r="NGM30" s="279"/>
      <c r="NGN30" s="279"/>
      <c r="NGO30" s="279"/>
      <c r="NGP30" s="279"/>
      <c r="NGQ30" s="279"/>
      <c r="NGR30" s="279"/>
      <c r="NGS30" s="279"/>
      <c r="NGT30" s="279"/>
      <c r="NGU30" s="279"/>
      <c r="NGV30" s="279"/>
      <c r="NGW30" s="279"/>
      <c r="NGX30" s="279"/>
      <c r="NGY30" s="279"/>
      <c r="NGZ30" s="279"/>
      <c r="NHA30" s="279"/>
      <c r="NHB30" s="279"/>
      <c r="NHC30" s="279"/>
      <c r="NHD30" s="279"/>
      <c r="NHE30" s="279"/>
      <c r="NHF30" s="279"/>
      <c r="NHG30" s="279"/>
      <c r="NHH30" s="279"/>
      <c r="NHI30" s="279"/>
      <c r="NHJ30" s="279"/>
      <c r="NHK30" s="279"/>
      <c r="NHL30" s="279"/>
      <c r="NHM30" s="279"/>
      <c r="NHN30" s="279"/>
      <c r="NHO30" s="279"/>
      <c r="NHP30" s="279"/>
      <c r="NHQ30" s="279"/>
      <c r="NHR30" s="279"/>
      <c r="NHS30" s="279"/>
      <c r="NHT30" s="279"/>
      <c r="NHU30" s="279"/>
      <c r="NHV30" s="279"/>
      <c r="NHW30" s="279"/>
      <c r="NHX30" s="279"/>
      <c r="NHY30" s="279"/>
      <c r="NHZ30" s="279"/>
      <c r="NIA30" s="279"/>
      <c r="NIB30" s="279"/>
      <c r="NIC30" s="279"/>
      <c r="NID30" s="279"/>
      <c r="NIE30" s="279"/>
      <c r="NIF30" s="279"/>
      <c r="NIG30" s="279"/>
      <c r="NIH30" s="279"/>
      <c r="NII30" s="279"/>
      <c r="NIJ30" s="279"/>
      <c r="NIK30" s="279"/>
      <c r="NIL30" s="279"/>
      <c r="NIM30" s="279"/>
      <c r="NIN30" s="279"/>
      <c r="NIO30" s="279"/>
      <c r="NIP30" s="279"/>
      <c r="NIQ30" s="279"/>
      <c r="NIR30" s="279"/>
      <c r="NIS30" s="279"/>
      <c r="NIT30" s="279"/>
      <c r="NIU30" s="279"/>
      <c r="NIV30" s="279"/>
      <c r="NIW30" s="279"/>
      <c r="NIX30" s="279"/>
      <c r="NIY30" s="279"/>
      <c r="NIZ30" s="279"/>
      <c r="NJA30" s="279"/>
      <c r="NJB30" s="279"/>
      <c r="NJC30" s="279"/>
      <c r="NJD30" s="279"/>
      <c r="NJE30" s="279"/>
      <c r="NJF30" s="279"/>
      <c r="NJG30" s="279"/>
      <c r="NJH30" s="279"/>
      <c r="NJI30" s="279"/>
      <c r="NJJ30" s="279"/>
      <c r="NJK30" s="279"/>
      <c r="NJL30" s="279"/>
      <c r="NJM30" s="279"/>
      <c r="NJN30" s="279"/>
      <c r="NJO30" s="279"/>
      <c r="NJP30" s="279"/>
      <c r="NJQ30" s="279"/>
      <c r="NJR30" s="279"/>
      <c r="NJS30" s="279"/>
      <c r="NJT30" s="279"/>
      <c r="NJU30" s="279"/>
      <c r="NJV30" s="279"/>
      <c r="NJW30" s="279"/>
      <c r="NJX30" s="279"/>
      <c r="NJY30" s="279"/>
      <c r="NJZ30" s="279"/>
      <c r="NKA30" s="279"/>
      <c r="NKB30" s="279"/>
      <c r="NKC30" s="279"/>
      <c r="NKD30" s="279"/>
      <c r="NKE30" s="279"/>
      <c r="NKF30" s="279"/>
      <c r="NKG30" s="279"/>
      <c r="NKH30" s="279"/>
      <c r="NKI30" s="279"/>
      <c r="NKJ30" s="279"/>
      <c r="NKK30" s="279"/>
      <c r="NKL30" s="279"/>
      <c r="NKM30" s="279"/>
      <c r="NKN30" s="279"/>
      <c r="NKO30" s="279"/>
      <c r="NKP30" s="279"/>
      <c r="NKQ30" s="279"/>
      <c r="NKR30" s="279"/>
      <c r="NKS30" s="279"/>
      <c r="NKT30" s="279"/>
      <c r="NKU30" s="279"/>
      <c r="NKV30" s="279"/>
      <c r="NKW30" s="279"/>
      <c r="NKX30" s="279"/>
      <c r="NKY30" s="279"/>
      <c r="NKZ30" s="279"/>
      <c r="NLA30" s="279"/>
      <c r="NLB30" s="279"/>
      <c r="NLC30" s="279"/>
      <c r="NLD30" s="279"/>
      <c r="NLE30" s="279"/>
      <c r="NLF30" s="279"/>
      <c r="NLG30" s="279"/>
      <c r="NLH30" s="279"/>
      <c r="NLI30" s="279"/>
      <c r="NLJ30" s="279"/>
      <c r="NLK30" s="279"/>
      <c r="NLL30" s="279"/>
      <c r="NLM30" s="279"/>
      <c r="NLN30" s="279"/>
      <c r="NLO30" s="279"/>
      <c r="NLP30" s="279"/>
      <c r="NLQ30" s="279"/>
      <c r="NLR30" s="279"/>
      <c r="NLS30" s="279"/>
      <c r="NLT30" s="279"/>
      <c r="NLU30" s="279"/>
      <c r="NLV30" s="279"/>
      <c r="NLW30" s="279"/>
      <c r="NLX30" s="279"/>
      <c r="NLY30" s="279"/>
      <c r="NLZ30" s="279"/>
      <c r="NMA30" s="279"/>
      <c r="NMB30" s="279"/>
      <c r="NMC30" s="279"/>
      <c r="NMD30" s="279"/>
      <c r="NME30" s="279"/>
      <c r="NMF30" s="279"/>
      <c r="NMG30" s="279"/>
      <c r="NMH30" s="279"/>
      <c r="NMI30" s="279"/>
      <c r="NMJ30" s="279"/>
      <c r="NMK30" s="279"/>
      <c r="NML30" s="279"/>
      <c r="NMM30" s="279"/>
      <c r="NMN30" s="279"/>
      <c r="NMO30" s="279"/>
      <c r="NMP30" s="279"/>
      <c r="NMQ30" s="279"/>
      <c r="NMR30" s="279"/>
      <c r="NMS30" s="279"/>
      <c r="NMT30" s="279"/>
      <c r="NMU30" s="279"/>
      <c r="NMV30" s="279"/>
      <c r="NMW30" s="279"/>
      <c r="NMX30" s="279"/>
      <c r="NMY30" s="279"/>
      <c r="NMZ30" s="279"/>
      <c r="NNA30" s="279"/>
      <c r="NNB30" s="279"/>
      <c r="NNC30" s="279"/>
      <c r="NND30" s="279"/>
      <c r="NNE30" s="279"/>
      <c r="NNF30" s="279"/>
      <c r="NNG30" s="279"/>
      <c r="NNH30" s="279"/>
      <c r="NNI30" s="279"/>
      <c r="NNJ30" s="279"/>
      <c r="NNK30" s="279"/>
      <c r="NNL30" s="279"/>
      <c r="NNM30" s="279"/>
      <c r="NNN30" s="279"/>
      <c r="NNO30" s="279"/>
      <c r="NNP30" s="279"/>
      <c r="NNQ30" s="279"/>
      <c r="NNR30" s="279"/>
      <c r="NNS30" s="279"/>
      <c r="NNT30" s="279"/>
      <c r="NNU30" s="279"/>
      <c r="NNV30" s="279"/>
      <c r="NNW30" s="279"/>
      <c r="NNX30" s="279"/>
      <c r="NNY30" s="279"/>
      <c r="NNZ30" s="279"/>
      <c r="NOA30" s="279"/>
      <c r="NOB30" s="279"/>
      <c r="NOC30" s="279"/>
      <c r="NOD30" s="279"/>
      <c r="NOE30" s="279"/>
      <c r="NOF30" s="279"/>
      <c r="NOG30" s="279"/>
      <c r="NOH30" s="279"/>
      <c r="NOI30" s="279"/>
      <c r="NOJ30" s="279"/>
      <c r="NOK30" s="279"/>
      <c r="NOL30" s="279"/>
      <c r="NOM30" s="279"/>
      <c r="NON30" s="279"/>
      <c r="NOO30" s="279"/>
      <c r="NOP30" s="279"/>
      <c r="NOQ30" s="279"/>
      <c r="NOR30" s="279"/>
      <c r="NOS30" s="279"/>
      <c r="NOT30" s="279"/>
      <c r="NOU30" s="279"/>
      <c r="NOV30" s="279"/>
      <c r="NOW30" s="279"/>
      <c r="NOX30" s="279"/>
      <c r="NOY30" s="279"/>
      <c r="NOZ30" s="279"/>
      <c r="NPA30" s="279"/>
      <c r="NPB30" s="279"/>
      <c r="NPC30" s="279"/>
      <c r="NPD30" s="279"/>
      <c r="NPE30" s="279"/>
      <c r="NPF30" s="279"/>
      <c r="NPG30" s="279"/>
      <c r="NPH30" s="279"/>
      <c r="NPI30" s="279"/>
      <c r="NPJ30" s="279"/>
      <c r="NPK30" s="279"/>
      <c r="NPL30" s="279"/>
      <c r="NPM30" s="279"/>
      <c r="NPN30" s="279"/>
      <c r="NPO30" s="279"/>
      <c r="NPP30" s="279"/>
      <c r="NPQ30" s="279"/>
      <c r="NPR30" s="279"/>
      <c r="NPS30" s="279"/>
      <c r="NPT30" s="279"/>
      <c r="NPU30" s="279"/>
      <c r="NPV30" s="279"/>
      <c r="NPW30" s="279"/>
      <c r="NPX30" s="279"/>
      <c r="NPY30" s="279"/>
      <c r="NPZ30" s="279"/>
      <c r="NQA30" s="279"/>
      <c r="NQB30" s="279"/>
      <c r="NQC30" s="279"/>
      <c r="NQD30" s="279"/>
      <c r="NQE30" s="279"/>
      <c r="NQF30" s="279"/>
      <c r="NQG30" s="279"/>
      <c r="NQH30" s="279"/>
      <c r="NQI30" s="279"/>
      <c r="NQJ30" s="279"/>
      <c r="NQK30" s="279"/>
      <c r="NQL30" s="279"/>
      <c r="NQM30" s="279"/>
      <c r="NQN30" s="279"/>
      <c r="NQO30" s="279"/>
      <c r="NQP30" s="279"/>
      <c r="NQQ30" s="279"/>
      <c r="NQR30" s="279"/>
      <c r="NQS30" s="279"/>
      <c r="NQT30" s="279"/>
      <c r="NQU30" s="279"/>
      <c r="NQV30" s="279"/>
      <c r="NQW30" s="279"/>
      <c r="NQX30" s="279"/>
      <c r="NQY30" s="279"/>
      <c r="NQZ30" s="279"/>
      <c r="NRA30" s="279"/>
      <c r="NRB30" s="279"/>
      <c r="NRC30" s="279"/>
      <c r="NRD30" s="279"/>
      <c r="NRE30" s="279"/>
      <c r="NRF30" s="279"/>
      <c r="NRG30" s="279"/>
      <c r="NRH30" s="279"/>
      <c r="NRI30" s="279"/>
      <c r="NRJ30" s="279"/>
      <c r="NRK30" s="279"/>
      <c r="NRL30" s="279"/>
      <c r="NRM30" s="279"/>
      <c r="NRN30" s="279"/>
      <c r="NRO30" s="279"/>
      <c r="NRP30" s="279"/>
      <c r="NRQ30" s="279"/>
      <c r="NRR30" s="279"/>
      <c r="NRS30" s="279"/>
      <c r="NRT30" s="279"/>
      <c r="NRU30" s="279"/>
      <c r="NRV30" s="279"/>
      <c r="NRW30" s="279"/>
      <c r="NRX30" s="279"/>
      <c r="NRY30" s="279"/>
      <c r="NRZ30" s="279"/>
      <c r="NSA30" s="279"/>
      <c r="NSB30" s="279"/>
      <c r="NSC30" s="279"/>
      <c r="NSD30" s="279"/>
      <c r="NSE30" s="279"/>
      <c r="NSF30" s="279"/>
      <c r="NSG30" s="279"/>
      <c r="NSH30" s="279"/>
      <c r="NSI30" s="279"/>
      <c r="NSJ30" s="279"/>
      <c r="NSK30" s="279"/>
      <c r="NSL30" s="279"/>
      <c r="NSM30" s="279"/>
      <c r="NSN30" s="279"/>
      <c r="NSO30" s="279"/>
      <c r="NSP30" s="279"/>
      <c r="NSQ30" s="279"/>
      <c r="NSR30" s="279"/>
      <c r="NSS30" s="279"/>
      <c r="NST30" s="279"/>
      <c r="NSU30" s="279"/>
      <c r="NSV30" s="279"/>
      <c r="NSW30" s="279"/>
      <c r="NSX30" s="279"/>
      <c r="NSY30" s="279"/>
      <c r="NSZ30" s="279"/>
      <c r="NTA30" s="279"/>
      <c r="NTB30" s="279"/>
      <c r="NTC30" s="279"/>
      <c r="NTD30" s="279"/>
      <c r="NTE30" s="279"/>
      <c r="NTF30" s="279"/>
      <c r="NTG30" s="279"/>
      <c r="NTH30" s="279"/>
      <c r="NTI30" s="279"/>
      <c r="NTJ30" s="279"/>
      <c r="NTK30" s="279"/>
      <c r="NTL30" s="279"/>
      <c r="NTM30" s="279"/>
      <c r="NTN30" s="279"/>
      <c r="NTO30" s="279"/>
      <c r="NTP30" s="279"/>
      <c r="NTQ30" s="279"/>
      <c r="NTR30" s="279"/>
      <c r="NTS30" s="279"/>
      <c r="NTT30" s="279"/>
      <c r="NTU30" s="279"/>
      <c r="NTV30" s="279"/>
      <c r="NTW30" s="279"/>
      <c r="NTX30" s="279"/>
      <c r="NTY30" s="279"/>
      <c r="NTZ30" s="279"/>
      <c r="NUA30" s="279"/>
      <c r="NUB30" s="279"/>
      <c r="NUC30" s="279"/>
      <c r="NUD30" s="279"/>
      <c r="NUE30" s="279"/>
      <c r="NUF30" s="279"/>
      <c r="NUG30" s="279"/>
      <c r="NUH30" s="279"/>
      <c r="NUI30" s="279"/>
      <c r="NUJ30" s="279"/>
      <c r="NUK30" s="279"/>
      <c r="NUL30" s="279"/>
      <c r="NUM30" s="279"/>
      <c r="NUN30" s="279"/>
      <c r="NUO30" s="279"/>
      <c r="NUP30" s="279"/>
      <c r="NUQ30" s="279"/>
      <c r="NUR30" s="279"/>
      <c r="NUS30" s="279"/>
      <c r="NUT30" s="279"/>
      <c r="NUU30" s="279"/>
      <c r="NUV30" s="279"/>
      <c r="NUW30" s="279"/>
      <c r="NUX30" s="279"/>
      <c r="NUY30" s="279"/>
      <c r="NUZ30" s="279"/>
      <c r="NVA30" s="279"/>
      <c r="NVB30" s="279"/>
      <c r="NVC30" s="279"/>
      <c r="NVD30" s="279"/>
      <c r="NVE30" s="279"/>
      <c r="NVF30" s="279"/>
      <c r="NVG30" s="279"/>
      <c r="NVH30" s="279"/>
      <c r="NVI30" s="279"/>
      <c r="NVJ30" s="279"/>
      <c r="NVK30" s="279"/>
      <c r="NVL30" s="279"/>
      <c r="NVM30" s="279"/>
      <c r="NVN30" s="279"/>
      <c r="NVO30" s="279"/>
      <c r="NVP30" s="279"/>
      <c r="NVQ30" s="279"/>
      <c r="NVR30" s="279"/>
      <c r="NVS30" s="279"/>
      <c r="NVT30" s="279"/>
      <c r="NVU30" s="279"/>
      <c r="NVV30" s="279"/>
      <c r="NVW30" s="279"/>
      <c r="NVX30" s="279"/>
      <c r="NVY30" s="279"/>
      <c r="NVZ30" s="279"/>
      <c r="NWA30" s="279"/>
      <c r="NWB30" s="279"/>
      <c r="NWC30" s="279"/>
      <c r="NWD30" s="279"/>
      <c r="NWE30" s="279"/>
      <c r="NWF30" s="279"/>
      <c r="NWG30" s="279"/>
      <c r="NWH30" s="279"/>
      <c r="NWI30" s="279"/>
      <c r="NWJ30" s="279"/>
      <c r="NWK30" s="279"/>
      <c r="NWL30" s="279"/>
      <c r="NWM30" s="279"/>
      <c r="NWN30" s="279"/>
      <c r="NWO30" s="279"/>
      <c r="NWP30" s="279"/>
      <c r="NWQ30" s="279"/>
      <c r="NWR30" s="279"/>
      <c r="NWS30" s="279"/>
      <c r="NWT30" s="279"/>
      <c r="NWU30" s="279"/>
      <c r="NWV30" s="279"/>
      <c r="NWW30" s="279"/>
      <c r="NWX30" s="279"/>
      <c r="NWY30" s="279"/>
      <c r="NWZ30" s="279"/>
      <c r="NXA30" s="279"/>
      <c r="NXB30" s="279"/>
      <c r="NXC30" s="279"/>
      <c r="NXD30" s="279"/>
      <c r="NXE30" s="279"/>
      <c r="NXF30" s="279"/>
      <c r="NXG30" s="279"/>
      <c r="NXH30" s="279"/>
      <c r="NXI30" s="279"/>
      <c r="NXJ30" s="279"/>
      <c r="NXK30" s="279"/>
      <c r="NXL30" s="279"/>
      <c r="NXM30" s="279"/>
      <c r="NXN30" s="279"/>
      <c r="NXO30" s="279"/>
      <c r="NXP30" s="279"/>
      <c r="NXQ30" s="279"/>
      <c r="NXR30" s="279"/>
      <c r="NXS30" s="279"/>
      <c r="NXT30" s="279"/>
      <c r="NXU30" s="279"/>
      <c r="NXV30" s="279"/>
      <c r="NXW30" s="279"/>
      <c r="NXX30" s="279"/>
      <c r="NXY30" s="279"/>
      <c r="NXZ30" s="279"/>
      <c r="NYA30" s="279"/>
      <c r="NYB30" s="279"/>
      <c r="NYC30" s="279"/>
      <c r="NYD30" s="279"/>
      <c r="NYE30" s="279"/>
      <c r="NYF30" s="279"/>
      <c r="NYG30" s="279"/>
      <c r="NYH30" s="279"/>
      <c r="NYI30" s="279"/>
      <c r="NYJ30" s="279"/>
      <c r="NYK30" s="279"/>
      <c r="NYL30" s="279"/>
      <c r="NYM30" s="279"/>
      <c r="NYN30" s="279"/>
      <c r="NYO30" s="279"/>
      <c r="NYP30" s="279"/>
      <c r="NYQ30" s="279"/>
      <c r="NYR30" s="279"/>
      <c r="NYS30" s="279"/>
      <c r="NYT30" s="279"/>
      <c r="NYU30" s="279"/>
      <c r="NYV30" s="279"/>
      <c r="NYW30" s="279"/>
      <c r="NYX30" s="279"/>
      <c r="NYY30" s="279"/>
      <c r="NYZ30" s="279"/>
      <c r="NZA30" s="279"/>
      <c r="NZB30" s="279"/>
      <c r="NZC30" s="279"/>
      <c r="NZD30" s="279"/>
      <c r="NZE30" s="279"/>
      <c r="NZF30" s="279"/>
      <c r="NZG30" s="279"/>
      <c r="NZH30" s="279"/>
      <c r="NZI30" s="279"/>
      <c r="NZJ30" s="279"/>
      <c r="NZK30" s="279"/>
      <c r="NZL30" s="279"/>
      <c r="NZM30" s="279"/>
      <c r="NZN30" s="279"/>
      <c r="NZO30" s="279"/>
      <c r="NZP30" s="279"/>
      <c r="NZQ30" s="279"/>
      <c r="NZR30" s="279"/>
      <c r="NZS30" s="279"/>
      <c r="NZT30" s="279"/>
      <c r="NZU30" s="279"/>
      <c r="NZV30" s="279"/>
      <c r="NZW30" s="279"/>
      <c r="NZX30" s="279"/>
      <c r="NZY30" s="279"/>
      <c r="NZZ30" s="279"/>
      <c r="OAA30" s="279"/>
      <c r="OAB30" s="279"/>
      <c r="OAC30" s="279"/>
      <c r="OAD30" s="279"/>
      <c r="OAE30" s="279"/>
      <c r="OAF30" s="279"/>
      <c r="OAG30" s="279"/>
      <c r="OAH30" s="279"/>
      <c r="OAI30" s="279"/>
      <c r="OAJ30" s="279"/>
      <c r="OAK30" s="279"/>
      <c r="OAL30" s="279"/>
      <c r="OAM30" s="279"/>
      <c r="OAN30" s="279"/>
      <c r="OAO30" s="279"/>
      <c r="OAP30" s="279"/>
      <c r="OAQ30" s="279"/>
      <c r="OAR30" s="279"/>
      <c r="OAS30" s="279"/>
      <c r="OAT30" s="279"/>
      <c r="OAU30" s="279"/>
      <c r="OAV30" s="279"/>
      <c r="OAW30" s="279"/>
      <c r="OAX30" s="279"/>
      <c r="OAY30" s="279"/>
      <c r="OAZ30" s="279"/>
      <c r="OBA30" s="279"/>
      <c r="OBB30" s="279"/>
      <c r="OBC30" s="279"/>
      <c r="OBD30" s="279"/>
      <c r="OBE30" s="279"/>
      <c r="OBF30" s="279"/>
      <c r="OBG30" s="279"/>
      <c r="OBH30" s="279"/>
      <c r="OBI30" s="279"/>
      <c r="OBJ30" s="279"/>
      <c r="OBK30" s="279"/>
      <c r="OBL30" s="279"/>
      <c r="OBM30" s="279"/>
      <c r="OBN30" s="279"/>
      <c r="OBO30" s="279"/>
      <c r="OBP30" s="279"/>
      <c r="OBQ30" s="279"/>
      <c r="OBR30" s="279"/>
      <c r="OBS30" s="279"/>
      <c r="OBT30" s="279"/>
      <c r="OBU30" s="279"/>
      <c r="OBV30" s="279"/>
      <c r="OBW30" s="279"/>
      <c r="OBX30" s="279"/>
      <c r="OBY30" s="279"/>
      <c r="OBZ30" s="279"/>
      <c r="OCA30" s="279"/>
      <c r="OCB30" s="279"/>
      <c r="OCC30" s="279"/>
      <c r="OCD30" s="279"/>
      <c r="OCE30" s="279"/>
      <c r="OCF30" s="279"/>
      <c r="OCG30" s="279"/>
      <c r="OCH30" s="279"/>
      <c r="OCI30" s="279"/>
      <c r="OCJ30" s="279"/>
      <c r="OCK30" s="279"/>
      <c r="OCL30" s="279"/>
      <c r="OCM30" s="279"/>
      <c r="OCN30" s="279"/>
      <c r="OCO30" s="279"/>
      <c r="OCP30" s="279"/>
      <c r="OCQ30" s="279"/>
      <c r="OCR30" s="279"/>
      <c r="OCS30" s="279"/>
      <c r="OCT30" s="279"/>
      <c r="OCU30" s="279"/>
      <c r="OCV30" s="279"/>
      <c r="OCW30" s="279"/>
      <c r="OCX30" s="279"/>
      <c r="OCY30" s="279"/>
      <c r="OCZ30" s="279"/>
      <c r="ODA30" s="279"/>
      <c r="ODB30" s="279"/>
      <c r="ODC30" s="279"/>
      <c r="ODD30" s="279"/>
      <c r="ODE30" s="279"/>
      <c r="ODF30" s="279"/>
      <c r="ODG30" s="279"/>
      <c r="ODH30" s="279"/>
      <c r="ODI30" s="279"/>
      <c r="ODJ30" s="279"/>
      <c r="ODK30" s="279"/>
      <c r="ODL30" s="279"/>
      <c r="ODM30" s="279"/>
      <c r="ODN30" s="279"/>
      <c r="ODO30" s="279"/>
      <c r="ODP30" s="279"/>
      <c r="ODQ30" s="279"/>
      <c r="ODR30" s="279"/>
      <c r="ODS30" s="279"/>
      <c r="ODT30" s="279"/>
      <c r="ODU30" s="279"/>
      <c r="ODV30" s="279"/>
      <c r="ODW30" s="279"/>
      <c r="ODX30" s="279"/>
      <c r="ODY30" s="279"/>
      <c r="ODZ30" s="279"/>
      <c r="OEA30" s="279"/>
      <c r="OEB30" s="279"/>
      <c r="OEC30" s="279"/>
      <c r="OED30" s="279"/>
      <c r="OEE30" s="279"/>
      <c r="OEF30" s="279"/>
      <c r="OEG30" s="279"/>
      <c r="OEH30" s="279"/>
      <c r="OEI30" s="279"/>
      <c r="OEJ30" s="279"/>
      <c r="OEK30" s="279"/>
      <c r="OEL30" s="279"/>
      <c r="OEM30" s="279"/>
      <c r="OEN30" s="279"/>
      <c r="OEO30" s="279"/>
      <c r="OEP30" s="279"/>
      <c r="OEQ30" s="279"/>
      <c r="OER30" s="279"/>
      <c r="OES30" s="279"/>
      <c r="OET30" s="279"/>
      <c r="OEU30" s="279"/>
      <c r="OEV30" s="279"/>
      <c r="OEW30" s="279"/>
      <c r="OEX30" s="279"/>
      <c r="OEY30" s="279"/>
      <c r="OEZ30" s="279"/>
      <c r="OFA30" s="279"/>
      <c r="OFB30" s="279"/>
      <c r="OFC30" s="279"/>
      <c r="OFD30" s="279"/>
      <c r="OFE30" s="279"/>
      <c r="OFF30" s="279"/>
      <c r="OFG30" s="279"/>
      <c r="OFH30" s="279"/>
      <c r="OFI30" s="279"/>
      <c r="OFJ30" s="279"/>
      <c r="OFK30" s="279"/>
      <c r="OFL30" s="279"/>
      <c r="OFM30" s="279"/>
      <c r="OFN30" s="279"/>
      <c r="OFO30" s="279"/>
      <c r="OFP30" s="279"/>
      <c r="OFQ30" s="279"/>
      <c r="OFR30" s="279"/>
      <c r="OFS30" s="279"/>
      <c r="OFT30" s="279"/>
      <c r="OFU30" s="279"/>
      <c r="OFV30" s="279"/>
      <c r="OFW30" s="279"/>
      <c r="OFX30" s="279"/>
      <c r="OFY30" s="279"/>
      <c r="OFZ30" s="279"/>
      <c r="OGA30" s="279"/>
      <c r="OGB30" s="279"/>
      <c r="OGC30" s="279"/>
      <c r="OGD30" s="279"/>
      <c r="OGE30" s="279"/>
      <c r="OGF30" s="279"/>
      <c r="OGG30" s="279"/>
      <c r="OGH30" s="279"/>
      <c r="OGI30" s="279"/>
      <c r="OGJ30" s="279"/>
      <c r="OGK30" s="279"/>
      <c r="OGL30" s="279"/>
      <c r="OGM30" s="279"/>
      <c r="OGN30" s="279"/>
      <c r="OGO30" s="279"/>
      <c r="OGP30" s="279"/>
      <c r="OGQ30" s="279"/>
      <c r="OGR30" s="279"/>
      <c r="OGS30" s="279"/>
      <c r="OGT30" s="279"/>
      <c r="OGU30" s="279"/>
      <c r="OGV30" s="279"/>
      <c r="OGW30" s="279"/>
      <c r="OGX30" s="279"/>
      <c r="OGY30" s="279"/>
      <c r="OGZ30" s="279"/>
      <c r="OHA30" s="279"/>
      <c r="OHB30" s="279"/>
      <c r="OHC30" s="279"/>
      <c r="OHD30" s="279"/>
      <c r="OHE30" s="279"/>
      <c r="OHF30" s="279"/>
      <c r="OHG30" s="279"/>
      <c r="OHH30" s="279"/>
      <c r="OHI30" s="279"/>
      <c r="OHJ30" s="279"/>
      <c r="OHK30" s="279"/>
      <c r="OHL30" s="279"/>
      <c r="OHM30" s="279"/>
      <c r="OHN30" s="279"/>
      <c r="OHO30" s="279"/>
      <c r="OHP30" s="279"/>
      <c r="OHQ30" s="279"/>
      <c r="OHR30" s="279"/>
      <c r="OHS30" s="279"/>
      <c r="OHT30" s="279"/>
      <c r="OHU30" s="279"/>
      <c r="OHV30" s="279"/>
      <c r="OHW30" s="279"/>
      <c r="OHX30" s="279"/>
      <c r="OHY30" s="279"/>
      <c r="OHZ30" s="279"/>
      <c r="OIA30" s="279"/>
      <c r="OIB30" s="279"/>
      <c r="OIC30" s="279"/>
      <c r="OID30" s="279"/>
      <c r="OIE30" s="279"/>
      <c r="OIF30" s="279"/>
      <c r="OIG30" s="279"/>
      <c r="OIH30" s="279"/>
      <c r="OII30" s="279"/>
      <c r="OIJ30" s="279"/>
      <c r="OIK30" s="279"/>
      <c r="OIL30" s="279"/>
      <c r="OIM30" s="279"/>
      <c r="OIN30" s="279"/>
      <c r="OIO30" s="279"/>
      <c r="OIP30" s="279"/>
      <c r="OIQ30" s="279"/>
      <c r="OIR30" s="279"/>
      <c r="OIS30" s="279"/>
      <c r="OIT30" s="279"/>
      <c r="OIU30" s="279"/>
      <c r="OIV30" s="279"/>
      <c r="OIW30" s="279"/>
      <c r="OIX30" s="279"/>
      <c r="OIY30" s="279"/>
      <c r="OIZ30" s="279"/>
      <c r="OJA30" s="279"/>
      <c r="OJB30" s="279"/>
      <c r="OJC30" s="279"/>
      <c r="OJD30" s="279"/>
      <c r="OJE30" s="279"/>
      <c r="OJF30" s="279"/>
      <c r="OJG30" s="279"/>
      <c r="OJH30" s="279"/>
      <c r="OJI30" s="279"/>
      <c r="OJJ30" s="279"/>
      <c r="OJK30" s="279"/>
      <c r="OJL30" s="279"/>
      <c r="OJM30" s="279"/>
      <c r="OJN30" s="279"/>
      <c r="OJO30" s="279"/>
      <c r="OJP30" s="279"/>
      <c r="OJQ30" s="279"/>
      <c r="OJR30" s="279"/>
      <c r="OJS30" s="279"/>
      <c r="OJT30" s="279"/>
      <c r="OJU30" s="279"/>
      <c r="OJV30" s="279"/>
      <c r="OJW30" s="279"/>
      <c r="OJX30" s="279"/>
      <c r="OJY30" s="279"/>
      <c r="OJZ30" s="279"/>
      <c r="OKA30" s="279"/>
      <c r="OKB30" s="279"/>
      <c r="OKC30" s="279"/>
      <c r="OKD30" s="279"/>
      <c r="OKE30" s="279"/>
      <c r="OKF30" s="279"/>
      <c r="OKG30" s="279"/>
      <c r="OKH30" s="279"/>
      <c r="OKI30" s="279"/>
      <c r="OKJ30" s="279"/>
      <c r="OKK30" s="279"/>
      <c r="OKL30" s="279"/>
      <c r="OKM30" s="279"/>
      <c r="OKN30" s="279"/>
      <c r="OKO30" s="279"/>
      <c r="OKP30" s="279"/>
      <c r="OKQ30" s="279"/>
      <c r="OKR30" s="279"/>
      <c r="OKS30" s="279"/>
      <c r="OKT30" s="279"/>
      <c r="OKU30" s="279"/>
      <c r="OKV30" s="279"/>
      <c r="OKW30" s="279"/>
      <c r="OKX30" s="279"/>
      <c r="OKY30" s="279"/>
      <c r="OKZ30" s="279"/>
      <c r="OLA30" s="279"/>
      <c r="OLB30" s="279"/>
      <c r="OLC30" s="279"/>
      <c r="OLD30" s="279"/>
      <c r="OLE30" s="279"/>
      <c r="OLF30" s="279"/>
      <c r="OLG30" s="279"/>
      <c r="OLH30" s="279"/>
      <c r="OLI30" s="279"/>
      <c r="OLJ30" s="279"/>
      <c r="OLK30" s="279"/>
      <c r="OLL30" s="279"/>
      <c r="OLM30" s="279"/>
      <c r="OLN30" s="279"/>
      <c r="OLO30" s="279"/>
      <c r="OLP30" s="279"/>
      <c r="OLQ30" s="279"/>
      <c r="OLR30" s="279"/>
      <c r="OLS30" s="279"/>
      <c r="OLT30" s="279"/>
      <c r="OLU30" s="279"/>
      <c r="OLV30" s="279"/>
      <c r="OLW30" s="279"/>
      <c r="OLX30" s="279"/>
      <c r="OLY30" s="279"/>
      <c r="OLZ30" s="279"/>
      <c r="OMA30" s="279"/>
      <c r="OMB30" s="279"/>
      <c r="OMC30" s="279"/>
      <c r="OMD30" s="279"/>
      <c r="OME30" s="279"/>
      <c r="OMF30" s="279"/>
      <c r="OMG30" s="279"/>
      <c r="OMH30" s="279"/>
      <c r="OMI30" s="279"/>
      <c r="OMJ30" s="279"/>
      <c r="OMK30" s="279"/>
      <c r="OML30" s="279"/>
      <c r="OMM30" s="279"/>
      <c r="OMN30" s="279"/>
      <c r="OMO30" s="279"/>
      <c r="OMP30" s="279"/>
      <c r="OMQ30" s="279"/>
      <c r="OMR30" s="279"/>
      <c r="OMS30" s="279"/>
      <c r="OMT30" s="279"/>
      <c r="OMU30" s="279"/>
      <c r="OMV30" s="279"/>
      <c r="OMW30" s="279"/>
      <c r="OMX30" s="279"/>
      <c r="OMY30" s="279"/>
      <c r="OMZ30" s="279"/>
      <c r="ONA30" s="279"/>
      <c r="ONB30" s="279"/>
      <c r="ONC30" s="279"/>
      <c r="OND30" s="279"/>
      <c r="ONE30" s="279"/>
      <c r="ONF30" s="279"/>
      <c r="ONG30" s="279"/>
      <c r="ONH30" s="279"/>
      <c r="ONI30" s="279"/>
      <c r="ONJ30" s="279"/>
      <c r="ONK30" s="279"/>
      <c r="ONL30" s="279"/>
      <c r="ONM30" s="279"/>
      <c r="ONN30" s="279"/>
      <c r="ONO30" s="279"/>
      <c r="ONP30" s="279"/>
      <c r="ONQ30" s="279"/>
      <c r="ONR30" s="279"/>
      <c r="ONS30" s="279"/>
      <c r="ONT30" s="279"/>
      <c r="ONU30" s="279"/>
      <c r="ONV30" s="279"/>
      <c r="ONW30" s="279"/>
      <c r="ONX30" s="279"/>
      <c r="ONY30" s="279"/>
      <c r="ONZ30" s="279"/>
      <c r="OOA30" s="279"/>
      <c r="OOB30" s="279"/>
      <c r="OOC30" s="279"/>
      <c r="OOD30" s="279"/>
      <c r="OOE30" s="279"/>
      <c r="OOF30" s="279"/>
      <c r="OOG30" s="279"/>
      <c r="OOH30" s="279"/>
      <c r="OOI30" s="279"/>
      <c r="OOJ30" s="279"/>
      <c r="OOK30" s="279"/>
      <c r="OOL30" s="279"/>
      <c r="OOM30" s="279"/>
      <c r="OON30" s="279"/>
      <c r="OOO30" s="279"/>
      <c r="OOP30" s="279"/>
      <c r="OOQ30" s="279"/>
      <c r="OOR30" s="279"/>
      <c r="OOS30" s="279"/>
      <c r="OOT30" s="279"/>
      <c r="OOU30" s="279"/>
      <c r="OOV30" s="279"/>
      <c r="OOW30" s="279"/>
      <c r="OOX30" s="279"/>
      <c r="OOY30" s="279"/>
      <c r="OOZ30" s="279"/>
      <c r="OPA30" s="279"/>
      <c r="OPB30" s="279"/>
      <c r="OPC30" s="279"/>
      <c r="OPD30" s="279"/>
      <c r="OPE30" s="279"/>
      <c r="OPF30" s="279"/>
      <c r="OPG30" s="279"/>
      <c r="OPH30" s="279"/>
      <c r="OPI30" s="279"/>
      <c r="OPJ30" s="279"/>
      <c r="OPK30" s="279"/>
      <c r="OPL30" s="279"/>
      <c r="OPM30" s="279"/>
      <c r="OPN30" s="279"/>
      <c r="OPO30" s="279"/>
      <c r="OPP30" s="279"/>
      <c r="OPQ30" s="279"/>
      <c r="OPR30" s="279"/>
      <c r="OPS30" s="279"/>
      <c r="OPT30" s="279"/>
      <c r="OPU30" s="279"/>
      <c r="OPV30" s="279"/>
      <c r="OPW30" s="279"/>
      <c r="OPX30" s="279"/>
      <c r="OPY30" s="279"/>
      <c r="OPZ30" s="279"/>
      <c r="OQA30" s="279"/>
      <c r="OQB30" s="279"/>
      <c r="OQC30" s="279"/>
      <c r="OQD30" s="279"/>
      <c r="OQE30" s="279"/>
      <c r="OQF30" s="279"/>
      <c r="OQG30" s="279"/>
      <c r="OQH30" s="279"/>
      <c r="OQI30" s="279"/>
      <c r="OQJ30" s="279"/>
      <c r="OQK30" s="279"/>
      <c r="OQL30" s="279"/>
      <c r="OQM30" s="279"/>
      <c r="OQN30" s="279"/>
      <c r="OQO30" s="279"/>
      <c r="OQP30" s="279"/>
      <c r="OQQ30" s="279"/>
      <c r="OQR30" s="279"/>
      <c r="OQS30" s="279"/>
      <c r="OQT30" s="279"/>
      <c r="OQU30" s="279"/>
      <c r="OQV30" s="279"/>
      <c r="OQW30" s="279"/>
      <c r="OQX30" s="279"/>
      <c r="OQY30" s="279"/>
      <c r="OQZ30" s="279"/>
      <c r="ORA30" s="279"/>
      <c r="ORB30" s="279"/>
      <c r="ORC30" s="279"/>
      <c r="ORD30" s="279"/>
      <c r="ORE30" s="279"/>
      <c r="ORF30" s="279"/>
      <c r="ORG30" s="279"/>
      <c r="ORH30" s="279"/>
      <c r="ORI30" s="279"/>
      <c r="ORJ30" s="279"/>
      <c r="ORK30" s="279"/>
      <c r="ORL30" s="279"/>
      <c r="ORM30" s="279"/>
      <c r="ORN30" s="279"/>
      <c r="ORO30" s="279"/>
      <c r="ORP30" s="279"/>
      <c r="ORQ30" s="279"/>
      <c r="ORR30" s="279"/>
      <c r="ORS30" s="279"/>
      <c r="ORT30" s="279"/>
      <c r="ORU30" s="279"/>
      <c r="ORV30" s="279"/>
      <c r="ORW30" s="279"/>
      <c r="ORX30" s="279"/>
      <c r="ORY30" s="279"/>
      <c r="ORZ30" s="279"/>
      <c r="OSA30" s="279"/>
      <c r="OSB30" s="279"/>
      <c r="OSC30" s="279"/>
      <c r="OSD30" s="279"/>
      <c r="OSE30" s="279"/>
      <c r="OSF30" s="279"/>
      <c r="OSG30" s="279"/>
      <c r="OSH30" s="279"/>
      <c r="OSI30" s="279"/>
      <c r="OSJ30" s="279"/>
      <c r="OSK30" s="279"/>
      <c r="OSL30" s="279"/>
      <c r="OSM30" s="279"/>
      <c r="OSN30" s="279"/>
      <c r="OSO30" s="279"/>
      <c r="OSP30" s="279"/>
      <c r="OSQ30" s="279"/>
      <c r="OSR30" s="279"/>
      <c r="OSS30" s="279"/>
      <c r="OST30" s="279"/>
      <c r="OSU30" s="279"/>
      <c r="OSV30" s="279"/>
      <c r="OSW30" s="279"/>
      <c r="OSX30" s="279"/>
      <c r="OSY30" s="279"/>
      <c r="OSZ30" s="279"/>
      <c r="OTA30" s="279"/>
      <c r="OTB30" s="279"/>
      <c r="OTC30" s="279"/>
      <c r="OTD30" s="279"/>
      <c r="OTE30" s="279"/>
      <c r="OTF30" s="279"/>
      <c r="OTG30" s="279"/>
      <c r="OTH30" s="279"/>
      <c r="OTI30" s="279"/>
      <c r="OTJ30" s="279"/>
      <c r="OTK30" s="279"/>
      <c r="OTL30" s="279"/>
      <c r="OTM30" s="279"/>
      <c r="OTN30" s="279"/>
      <c r="OTO30" s="279"/>
      <c r="OTP30" s="279"/>
      <c r="OTQ30" s="279"/>
      <c r="OTR30" s="279"/>
      <c r="OTS30" s="279"/>
      <c r="OTT30" s="279"/>
      <c r="OTU30" s="279"/>
      <c r="OTV30" s="279"/>
      <c r="OTW30" s="279"/>
      <c r="OTX30" s="279"/>
      <c r="OTY30" s="279"/>
      <c r="OTZ30" s="279"/>
      <c r="OUA30" s="279"/>
      <c r="OUB30" s="279"/>
      <c r="OUC30" s="279"/>
      <c r="OUD30" s="279"/>
      <c r="OUE30" s="279"/>
      <c r="OUF30" s="279"/>
      <c r="OUG30" s="279"/>
      <c r="OUH30" s="279"/>
      <c r="OUI30" s="279"/>
      <c r="OUJ30" s="279"/>
      <c r="OUK30" s="279"/>
      <c r="OUL30" s="279"/>
      <c r="OUM30" s="279"/>
      <c r="OUN30" s="279"/>
      <c r="OUO30" s="279"/>
      <c r="OUP30" s="279"/>
      <c r="OUQ30" s="279"/>
      <c r="OUR30" s="279"/>
      <c r="OUS30" s="279"/>
      <c r="OUT30" s="279"/>
      <c r="OUU30" s="279"/>
      <c r="OUV30" s="279"/>
      <c r="OUW30" s="279"/>
      <c r="OUX30" s="279"/>
      <c r="OUY30" s="279"/>
      <c r="OUZ30" s="279"/>
      <c r="OVA30" s="279"/>
      <c r="OVB30" s="279"/>
      <c r="OVC30" s="279"/>
      <c r="OVD30" s="279"/>
      <c r="OVE30" s="279"/>
      <c r="OVF30" s="279"/>
      <c r="OVG30" s="279"/>
      <c r="OVH30" s="279"/>
      <c r="OVI30" s="279"/>
      <c r="OVJ30" s="279"/>
      <c r="OVK30" s="279"/>
      <c r="OVL30" s="279"/>
      <c r="OVM30" s="279"/>
      <c r="OVN30" s="279"/>
      <c r="OVO30" s="279"/>
      <c r="OVP30" s="279"/>
      <c r="OVQ30" s="279"/>
      <c r="OVR30" s="279"/>
      <c r="OVS30" s="279"/>
      <c r="OVT30" s="279"/>
      <c r="OVU30" s="279"/>
      <c r="OVV30" s="279"/>
      <c r="OVW30" s="279"/>
      <c r="OVX30" s="279"/>
      <c r="OVY30" s="279"/>
      <c r="OVZ30" s="279"/>
      <c r="OWA30" s="279"/>
      <c r="OWB30" s="279"/>
      <c r="OWC30" s="279"/>
      <c r="OWD30" s="279"/>
      <c r="OWE30" s="279"/>
      <c r="OWF30" s="279"/>
      <c r="OWG30" s="279"/>
      <c r="OWH30" s="279"/>
      <c r="OWI30" s="279"/>
      <c r="OWJ30" s="279"/>
      <c r="OWK30" s="279"/>
      <c r="OWL30" s="279"/>
      <c r="OWM30" s="279"/>
      <c r="OWN30" s="279"/>
      <c r="OWO30" s="279"/>
      <c r="OWP30" s="279"/>
      <c r="OWQ30" s="279"/>
      <c r="OWR30" s="279"/>
      <c r="OWS30" s="279"/>
      <c r="OWT30" s="279"/>
      <c r="OWU30" s="279"/>
      <c r="OWV30" s="279"/>
      <c r="OWW30" s="279"/>
      <c r="OWX30" s="279"/>
      <c r="OWY30" s="279"/>
      <c r="OWZ30" s="279"/>
      <c r="OXA30" s="279"/>
      <c r="OXB30" s="279"/>
      <c r="OXC30" s="279"/>
      <c r="OXD30" s="279"/>
      <c r="OXE30" s="279"/>
      <c r="OXF30" s="279"/>
      <c r="OXG30" s="279"/>
      <c r="OXH30" s="279"/>
      <c r="OXI30" s="279"/>
      <c r="OXJ30" s="279"/>
      <c r="OXK30" s="279"/>
      <c r="OXL30" s="279"/>
      <c r="OXM30" s="279"/>
      <c r="OXN30" s="279"/>
      <c r="OXO30" s="279"/>
      <c r="OXP30" s="279"/>
      <c r="OXQ30" s="279"/>
      <c r="OXR30" s="279"/>
      <c r="OXS30" s="279"/>
      <c r="OXT30" s="279"/>
      <c r="OXU30" s="279"/>
      <c r="OXV30" s="279"/>
      <c r="OXW30" s="279"/>
      <c r="OXX30" s="279"/>
      <c r="OXY30" s="279"/>
      <c r="OXZ30" s="279"/>
      <c r="OYA30" s="279"/>
      <c r="OYB30" s="279"/>
      <c r="OYC30" s="279"/>
      <c r="OYD30" s="279"/>
      <c r="OYE30" s="279"/>
      <c r="OYF30" s="279"/>
      <c r="OYG30" s="279"/>
      <c r="OYH30" s="279"/>
      <c r="OYI30" s="279"/>
      <c r="OYJ30" s="279"/>
      <c r="OYK30" s="279"/>
      <c r="OYL30" s="279"/>
      <c r="OYM30" s="279"/>
      <c r="OYN30" s="279"/>
      <c r="OYO30" s="279"/>
      <c r="OYP30" s="279"/>
      <c r="OYQ30" s="279"/>
      <c r="OYR30" s="279"/>
      <c r="OYS30" s="279"/>
      <c r="OYT30" s="279"/>
      <c r="OYU30" s="279"/>
      <c r="OYV30" s="279"/>
      <c r="OYW30" s="279"/>
      <c r="OYX30" s="279"/>
      <c r="OYY30" s="279"/>
      <c r="OYZ30" s="279"/>
      <c r="OZA30" s="279"/>
      <c r="OZB30" s="279"/>
      <c r="OZC30" s="279"/>
      <c r="OZD30" s="279"/>
      <c r="OZE30" s="279"/>
      <c r="OZF30" s="279"/>
      <c r="OZG30" s="279"/>
      <c r="OZH30" s="279"/>
      <c r="OZI30" s="279"/>
      <c r="OZJ30" s="279"/>
      <c r="OZK30" s="279"/>
      <c r="OZL30" s="279"/>
      <c r="OZM30" s="279"/>
      <c r="OZN30" s="279"/>
      <c r="OZO30" s="279"/>
      <c r="OZP30" s="279"/>
      <c r="OZQ30" s="279"/>
      <c r="OZR30" s="279"/>
      <c r="OZS30" s="279"/>
      <c r="OZT30" s="279"/>
      <c r="OZU30" s="279"/>
      <c r="OZV30" s="279"/>
      <c r="OZW30" s="279"/>
      <c r="OZX30" s="279"/>
      <c r="OZY30" s="279"/>
      <c r="OZZ30" s="279"/>
      <c r="PAA30" s="279"/>
      <c r="PAB30" s="279"/>
      <c r="PAC30" s="279"/>
      <c r="PAD30" s="279"/>
      <c r="PAE30" s="279"/>
      <c r="PAF30" s="279"/>
      <c r="PAG30" s="279"/>
      <c r="PAH30" s="279"/>
      <c r="PAI30" s="279"/>
      <c r="PAJ30" s="279"/>
      <c r="PAK30" s="279"/>
      <c r="PAL30" s="279"/>
      <c r="PAM30" s="279"/>
      <c r="PAN30" s="279"/>
      <c r="PAO30" s="279"/>
      <c r="PAP30" s="279"/>
      <c r="PAQ30" s="279"/>
      <c r="PAR30" s="279"/>
      <c r="PAS30" s="279"/>
      <c r="PAT30" s="279"/>
      <c r="PAU30" s="279"/>
      <c r="PAV30" s="279"/>
      <c r="PAW30" s="279"/>
      <c r="PAX30" s="279"/>
      <c r="PAY30" s="279"/>
      <c r="PAZ30" s="279"/>
      <c r="PBA30" s="279"/>
      <c r="PBB30" s="279"/>
      <c r="PBC30" s="279"/>
      <c r="PBD30" s="279"/>
      <c r="PBE30" s="279"/>
      <c r="PBF30" s="279"/>
      <c r="PBG30" s="279"/>
      <c r="PBH30" s="279"/>
      <c r="PBI30" s="279"/>
      <c r="PBJ30" s="279"/>
      <c r="PBK30" s="279"/>
      <c r="PBL30" s="279"/>
      <c r="PBM30" s="279"/>
      <c r="PBN30" s="279"/>
      <c r="PBO30" s="279"/>
      <c r="PBP30" s="279"/>
      <c r="PBQ30" s="279"/>
      <c r="PBR30" s="279"/>
      <c r="PBS30" s="279"/>
      <c r="PBT30" s="279"/>
      <c r="PBU30" s="279"/>
      <c r="PBV30" s="279"/>
      <c r="PBW30" s="279"/>
      <c r="PBX30" s="279"/>
      <c r="PBY30" s="279"/>
      <c r="PBZ30" s="279"/>
      <c r="PCA30" s="279"/>
      <c r="PCB30" s="279"/>
      <c r="PCC30" s="279"/>
      <c r="PCD30" s="279"/>
      <c r="PCE30" s="279"/>
      <c r="PCF30" s="279"/>
      <c r="PCG30" s="279"/>
      <c r="PCH30" s="279"/>
      <c r="PCI30" s="279"/>
      <c r="PCJ30" s="279"/>
      <c r="PCK30" s="279"/>
      <c r="PCL30" s="279"/>
      <c r="PCM30" s="279"/>
      <c r="PCN30" s="279"/>
      <c r="PCO30" s="279"/>
      <c r="PCP30" s="279"/>
      <c r="PCQ30" s="279"/>
      <c r="PCR30" s="279"/>
      <c r="PCS30" s="279"/>
      <c r="PCT30" s="279"/>
      <c r="PCU30" s="279"/>
      <c r="PCV30" s="279"/>
      <c r="PCW30" s="279"/>
      <c r="PCX30" s="279"/>
      <c r="PCY30" s="279"/>
      <c r="PCZ30" s="279"/>
      <c r="PDA30" s="279"/>
      <c r="PDB30" s="279"/>
      <c r="PDC30" s="279"/>
      <c r="PDD30" s="279"/>
      <c r="PDE30" s="279"/>
      <c r="PDF30" s="279"/>
      <c r="PDG30" s="279"/>
      <c r="PDH30" s="279"/>
      <c r="PDI30" s="279"/>
      <c r="PDJ30" s="279"/>
      <c r="PDK30" s="279"/>
      <c r="PDL30" s="279"/>
      <c r="PDM30" s="279"/>
      <c r="PDN30" s="279"/>
      <c r="PDO30" s="279"/>
      <c r="PDP30" s="279"/>
      <c r="PDQ30" s="279"/>
      <c r="PDR30" s="279"/>
      <c r="PDS30" s="279"/>
      <c r="PDT30" s="279"/>
      <c r="PDU30" s="279"/>
      <c r="PDV30" s="279"/>
      <c r="PDW30" s="279"/>
      <c r="PDX30" s="279"/>
      <c r="PDY30" s="279"/>
      <c r="PDZ30" s="279"/>
      <c r="PEA30" s="279"/>
      <c r="PEB30" s="279"/>
      <c r="PEC30" s="279"/>
      <c r="PED30" s="279"/>
      <c r="PEE30" s="279"/>
      <c r="PEF30" s="279"/>
      <c r="PEG30" s="279"/>
      <c r="PEH30" s="279"/>
      <c r="PEI30" s="279"/>
      <c r="PEJ30" s="279"/>
      <c r="PEK30" s="279"/>
      <c r="PEL30" s="279"/>
      <c r="PEM30" s="279"/>
      <c r="PEN30" s="279"/>
      <c r="PEO30" s="279"/>
      <c r="PEP30" s="279"/>
      <c r="PEQ30" s="279"/>
      <c r="PER30" s="279"/>
      <c r="PES30" s="279"/>
      <c r="PET30" s="279"/>
      <c r="PEU30" s="279"/>
      <c r="PEV30" s="279"/>
      <c r="PEW30" s="279"/>
      <c r="PEX30" s="279"/>
      <c r="PEY30" s="279"/>
      <c r="PEZ30" s="279"/>
      <c r="PFA30" s="279"/>
      <c r="PFB30" s="279"/>
      <c r="PFC30" s="279"/>
      <c r="PFD30" s="279"/>
      <c r="PFE30" s="279"/>
      <c r="PFF30" s="279"/>
      <c r="PFG30" s="279"/>
      <c r="PFH30" s="279"/>
      <c r="PFI30" s="279"/>
      <c r="PFJ30" s="279"/>
      <c r="PFK30" s="279"/>
      <c r="PFL30" s="279"/>
      <c r="PFM30" s="279"/>
      <c r="PFN30" s="279"/>
      <c r="PFO30" s="279"/>
      <c r="PFP30" s="279"/>
      <c r="PFQ30" s="279"/>
      <c r="PFR30" s="279"/>
      <c r="PFS30" s="279"/>
      <c r="PFT30" s="279"/>
      <c r="PFU30" s="279"/>
      <c r="PFV30" s="279"/>
      <c r="PFW30" s="279"/>
      <c r="PFX30" s="279"/>
      <c r="PFY30" s="279"/>
      <c r="PFZ30" s="279"/>
      <c r="PGA30" s="279"/>
      <c r="PGB30" s="279"/>
      <c r="PGC30" s="279"/>
      <c r="PGD30" s="279"/>
      <c r="PGE30" s="279"/>
      <c r="PGF30" s="279"/>
      <c r="PGG30" s="279"/>
      <c r="PGH30" s="279"/>
      <c r="PGI30" s="279"/>
      <c r="PGJ30" s="279"/>
      <c r="PGK30" s="279"/>
      <c r="PGL30" s="279"/>
      <c r="PGM30" s="279"/>
      <c r="PGN30" s="279"/>
      <c r="PGO30" s="279"/>
      <c r="PGP30" s="279"/>
      <c r="PGQ30" s="279"/>
      <c r="PGR30" s="279"/>
      <c r="PGS30" s="279"/>
      <c r="PGT30" s="279"/>
      <c r="PGU30" s="279"/>
      <c r="PGV30" s="279"/>
      <c r="PGW30" s="279"/>
      <c r="PGX30" s="279"/>
      <c r="PGY30" s="279"/>
      <c r="PGZ30" s="279"/>
      <c r="PHA30" s="279"/>
      <c r="PHB30" s="279"/>
      <c r="PHC30" s="279"/>
      <c r="PHD30" s="279"/>
      <c r="PHE30" s="279"/>
      <c r="PHF30" s="279"/>
      <c r="PHG30" s="279"/>
      <c r="PHH30" s="279"/>
      <c r="PHI30" s="279"/>
      <c r="PHJ30" s="279"/>
      <c r="PHK30" s="279"/>
      <c r="PHL30" s="279"/>
      <c r="PHM30" s="279"/>
      <c r="PHN30" s="279"/>
      <c r="PHO30" s="279"/>
      <c r="PHP30" s="279"/>
      <c r="PHQ30" s="279"/>
      <c r="PHR30" s="279"/>
      <c r="PHS30" s="279"/>
      <c r="PHT30" s="279"/>
      <c r="PHU30" s="279"/>
      <c r="PHV30" s="279"/>
      <c r="PHW30" s="279"/>
      <c r="PHX30" s="279"/>
      <c r="PHY30" s="279"/>
      <c r="PHZ30" s="279"/>
      <c r="PIA30" s="279"/>
      <c r="PIB30" s="279"/>
      <c r="PIC30" s="279"/>
      <c r="PID30" s="279"/>
      <c r="PIE30" s="279"/>
      <c r="PIF30" s="279"/>
      <c r="PIG30" s="279"/>
      <c r="PIH30" s="279"/>
      <c r="PII30" s="279"/>
      <c r="PIJ30" s="279"/>
      <c r="PIK30" s="279"/>
      <c r="PIL30" s="279"/>
      <c r="PIM30" s="279"/>
      <c r="PIN30" s="279"/>
      <c r="PIO30" s="279"/>
      <c r="PIP30" s="279"/>
      <c r="PIQ30" s="279"/>
      <c r="PIR30" s="279"/>
      <c r="PIS30" s="279"/>
      <c r="PIT30" s="279"/>
      <c r="PIU30" s="279"/>
      <c r="PIV30" s="279"/>
      <c r="PIW30" s="279"/>
      <c r="PIX30" s="279"/>
      <c r="PIY30" s="279"/>
      <c r="PIZ30" s="279"/>
      <c r="PJA30" s="279"/>
      <c r="PJB30" s="279"/>
      <c r="PJC30" s="279"/>
      <c r="PJD30" s="279"/>
      <c r="PJE30" s="279"/>
      <c r="PJF30" s="279"/>
      <c r="PJG30" s="279"/>
      <c r="PJH30" s="279"/>
      <c r="PJI30" s="279"/>
      <c r="PJJ30" s="279"/>
      <c r="PJK30" s="279"/>
      <c r="PJL30" s="279"/>
      <c r="PJM30" s="279"/>
      <c r="PJN30" s="279"/>
      <c r="PJO30" s="279"/>
      <c r="PJP30" s="279"/>
      <c r="PJQ30" s="279"/>
      <c r="PJR30" s="279"/>
      <c r="PJS30" s="279"/>
      <c r="PJT30" s="279"/>
      <c r="PJU30" s="279"/>
      <c r="PJV30" s="279"/>
      <c r="PJW30" s="279"/>
      <c r="PJX30" s="279"/>
      <c r="PJY30" s="279"/>
      <c r="PJZ30" s="279"/>
      <c r="PKA30" s="279"/>
      <c r="PKB30" s="279"/>
      <c r="PKC30" s="279"/>
      <c r="PKD30" s="279"/>
      <c r="PKE30" s="279"/>
      <c r="PKF30" s="279"/>
      <c r="PKG30" s="279"/>
      <c r="PKH30" s="279"/>
      <c r="PKI30" s="279"/>
      <c r="PKJ30" s="279"/>
      <c r="PKK30" s="279"/>
      <c r="PKL30" s="279"/>
      <c r="PKM30" s="279"/>
      <c r="PKN30" s="279"/>
      <c r="PKO30" s="279"/>
      <c r="PKP30" s="279"/>
      <c r="PKQ30" s="279"/>
      <c r="PKR30" s="279"/>
      <c r="PKS30" s="279"/>
      <c r="PKT30" s="279"/>
      <c r="PKU30" s="279"/>
      <c r="PKV30" s="279"/>
      <c r="PKW30" s="279"/>
      <c r="PKX30" s="279"/>
      <c r="PKY30" s="279"/>
      <c r="PKZ30" s="279"/>
      <c r="PLA30" s="279"/>
      <c r="PLB30" s="279"/>
      <c r="PLC30" s="279"/>
      <c r="PLD30" s="279"/>
      <c r="PLE30" s="279"/>
      <c r="PLF30" s="279"/>
      <c r="PLG30" s="279"/>
      <c r="PLH30" s="279"/>
      <c r="PLI30" s="279"/>
      <c r="PLJ30" s="279"/>
      <c r="PLK30" s="279"/>
      <c r="PLL30" s="279"/>
      <c r="PLM30" s="279"/>
      <c r="PLN30" s="279"/>
      <c r="PLO30" s="279"/>
      <c r="PLP30" s="279"/>
      <c r="PLQ30" s="279"/>
      <c r="PLR30" s="279"/>
      <c r="PLS30" s="279"/>
      <c r="PLT30" s="279"/>
      <c r="PLU30" s="279"/>
      <c r="PLV30" s="279"/>
      <c r="PLW30" s="279"/>
      <c r="PLX30" s="279"/>
      <c r="PLY30" s="279"/>
      <c r="PLZ30" s="279"/>
      <c r="PMA30" s="279"/>
      <c r="PMB30" s="279"/>
      <c r="PMC30" s="279"/>
      <c r="PMD30" s="279"/>
      <c r="PME30" s="279"/>
      <c r="PMF30" s="279"/>
      <c r="PMG30" s="279"/>
      <c r="PMH30" s="279"/>
      <c r="PMI30" s="279"/>
      <c r="PMJ30" s="279"/>
      <c r="PMK30" s="279"/>
      <c r="PML30" s="279"/>
      <c r="PMM30" s="279"/>
      <c r="PMN30" s="279"/>
      <c r="PMO30" s="279"/>
      <c r="PMP30" s="279"/>
      <c r="PMQ30" s="279"/>
      <c r="PMR30" s="279"/>
      <c r="PMS30" s="279"/>
      <c r="PMT30" s="279"/>
      <c r="PMU30" s="279"/>
      <c r="PMV30" s="279"/>
      <c r="PMW30" s="279"/>
      <c r="PMX30" s="279"/>
      <c r="PMY30" s="279"/>
      <c r="PMZ30" s="279"/>
      <c r="PNA30" s="279"/>
      <c r="PNB30" s="279"/>
      <c r="PNC30" s="279"/>
      <c r="PND30" s="279"/>
      <c r="PNE30" s="279"/>
      <c r="PNF30" s="279"/>
      <c r="PNG30" s="279"/>
      <c r="PNH30" s="279"/>
      <c r="PNI30" s="279"/>
      <c r="PNJ30" s="279"/>
      <c r="PNK30" s="279"/>
      <c r="PNL30" s="279"/>
      <c r="PNM30" s="279"/>
      <c r="PNN30" s="279"/>
      <c r="PNO30" s="279"/>
      <c r="PNP30" s="279"/>
      <c r="PNQ30" s="279"/>
      <c r="PNR30" s="279"/>
      <c r="PNS30" s="279"/>
      <c r="PNT30" s="279"/>
      <c r="PNU30" s="279"/>
      <c r="PNV30" s="279"/>
      <c r="PNW30" s="279"/>
      <c r="PNX30" s="279"/>
      <c r="PNY30" s="279"/>
      <c r="PNZ30" s="279"/>
      <c r="POA30" s="279"/>
      <c r="POB30" s="279"/>
      <c r="POC30" s="279"/>
      <c r="POD30" s="279"/>
      <c r="POE30" s="279"/>
      <c r="POF30" s="279"/>
      <c r="POG30" s="279"/>
      <c r="POH30" s="279"/>
      <c r="POI30" s="279"/>
      <c r="POJ30" s="279"/>
      <c r="POK30" s="279"/>
      <c r="POL30" s="279"/>
      <c r="POM30" s="279"/>
      <c r="PON30" s="279"/>
      <c r="POO30" s="279"/>
      <c r="POP30" s="279"/>
      <c r="POQ30" s="279"/>
      <c r="POR30" s="279"/>
      <c r="POS30" s="279"/>
      <c r="POT30" s="279"/>
      <c r="POU30" s="279"/>
      <c r="POV30" s="279"/>
      <c r="POW30" s="279"/>
      <c r="POX30" s="279"/>
      <c r="POY30" s="279"/>
      <c r="POZ30" s="279"/>
      <c r="PPA30" s="279"/>
      <c r="PPB30" s="279"/>
      <c r="PPC30" s="279"/>
      <c r="PPD30" s="279"/>
      <c r="PPE30" s="279"/>
      <c r="PPF30" s="279"/>
      <c r="PPG30" s="279"/>
      <c r="PPH30" s="279"/>
      <c r="PPI30" s="279"/>
      <c r="PPJ30" s="279"/>
      <c r="PPK30" s="279"/>
      <c r="PPL30" s="279"/>
      <c r="PPM30" s="279"/>
      <c r="PPN30" s="279"/>
      <c r="PPO30" s="279"/>
      <c r="PPP30" s="279"/>
      <c r="PPQ30" s="279"/>
      <c r="PPR30" s="279"/>
      <c r="PPS30" s="279"/>
      <c r="PPT30" s="279"/>
      <c r="PPU30" s="279"/>
      <c r="PPV30" s="279"/>
      <c r="PPW30" s="279"/>
      <c r="PPX30" s="279"/>
      <c r="PPY30" s="279"/>
      <c r="PPZ30" s="279"/>
      <c r="PQA30" s="279"/>
      <c r="PQB30" s="279"/>
      <c r="PQC30" s="279"/>
      <c r="PQD30" s="279"/>
      <c r="PQE30" s="279"/>
      <c r="PQF30" s="279"/>
      <c r="PQG30" s="279"/>
      <c r="PQH30" s="279"/>
      <c r="PQI30" s="279"/>
      <c r="PQJ30" s="279"/>
      <c r="PQK30" s="279"/>
      <c r="PQL30" s="279"/>
      <c r="PQM30" s="279"/>
      <c r="PQN30" s="279"/>
      <c r="PQO30" s="279"/>
      <c r="PQP30" s="279"/>
      <c r="PQQ30" s="279"/>
      <c r="PQR30" s="279"/>
      <c r="PQS30" s="279"/>
      <c r="PQT30" s="279"/>
      <c r="PQU30" s="279"/>
      <c r="PQV30" s="279"/>
      <c r="PQW30" s="279"/>
      <c r="PQX30" s="279"/>
      <c r="PQY30" s="279"/>
      <c r="PQZ30" s="279"/>
      <c r="PRA30" s="279"/>
      <c r="PRB30" s="279"/>
      <c r="PRC30" s="279"/>
      <c r="PRD30" s="279"/>
      <c r="PRE30" s="279"/>
      <c r="PRF30" s="279"/>
      <c r="PRG30" s="279"/>
      <c r="PRH30" s="279"/>
      <c r="PRI30" s="279"/>
      <c r="PRJ30" s="279"/>
      <c r="PRK30" s="279"/>
      <c r="PRL30" s="279"/>
      <c r="PRM30" s="279"/>
      <c r="PRN30" s="279"/>
      <c r="PRO30" s="279"/>
      <c r="PRP30" s="279"/>
      <c r="PRQ30" s="279"/>
      <c r="PRR30" s="279"/>
      <c r="PRS30" s="279"/>
      <c r="PRT30" s="279"/>
      <c r="PRU30" s="279"/>
      <c r="PRV30" s="279"/>
      <c r="PRW30" s="279"/>
      <c r="PRX30" s="279"/>
      <c r="PRY30" s="279"/>
      <c r="PRZ30" s="279"/>
      <c r="PSA30" s="279"/>
      <c r="PSB30" s="279"/>
      <c r="PSC30" s="279"/>
      <c r="PSD30" s="279"/>
      <c r="PSE30" s="279"/>
      <c r="PSF30" s="279"/>
      <c r="PSG30" s="279"/>
      <c r="PSH30" s="279"/>
      <c r="PSI30" s="279"/>
      <c r="PSJ30" s="279"/>
      <c r="PSK30" s="279"/>
      <c r="PSL30" s="279"/>
      <c r="PSM30" s="279"/>
      <c r="PSN30" s="279"/>
      <c r="PSO30" s="279"/>
      <c r="PSP30" s="279"/>
      <c r="PSQ30" s="279"/>
      <c r="PSR30" s="279"/>
      <c r="PSS30" s="279"/>
      <c r="PST30" s="279"/>
      <c r="PSU30" s="279"/>
      <c r="PSV30" s="279"/>
      <c r="PSW30" s="279"/>
      <c r="PSX30" s="279"/>
      <c r="PSY30" s="279"/>
      <c r="PSZ30" s="279"/>
      <c r="PTA30" s="279"/>
      <c r="PTB30" s="279"/>
      <c r="PTC30" s="279"/>
      <c r="PTD30" s="279"/>
      <c r="PTE30" s="279"/>
      <c r="PTF30" s="279"/>
      <c r="PTG30" s="279"/>
      <c r="PTH30" s="279"/>
      <c r="PTI30" s="279"/>
      <c r="PTJ30" s="279"/>
      <c r="PTK30" s="279"/>
      <c r="PTL30" s="279"/>
      <c r="PTM30" s="279"/>
      <c r="PTN30" s="279"/>
      <c r="PTO30" s="279"/>
      <c r="PTP30" s="279"/>
      <c r="PTQ30" s="279"/>
      <c r="PTR30" s="279"/>
      <c r="PTS30" s="279"/>
      <c r="PTT30" s="279"/>
      <c r="PTU30" s="279"/>
      <c r="PTV30" s="279"/>
      <c r="PTW30" s="279"/>
      <c r="PTX30" s="279"/>
      <c r="PTY30" s="279"/>
      <c r="PTZ30" s="279"/>
      <c r="PUA30" s="279"/>
      <c r="PUB30" s="279"/>
      <c r="PUC30" s="279"/>
      <c r="PUD30" s="279"/>
      <c r="PUE30" s="279"/>
      <c r="PUF30" s="279"/>
      <c r="PUG30" s="279"/>
      <c r="PUH30" s="279"/>
      <c r="PUI30" s="279"/>
      <c r="PUJ30" s="279"/>
      <c r="PUK30" s="279"/>
      <c r="PUL30" s="279"/>
      <c r="PUM30" s="279"/>
      <c r="PUN30" s="279"/>
      <c r="PUO30" s="279"/>
      <c r="PUP30" s="279"/>
      <c r="PUQ30" s="279"/>
      <c r="PUR30" s="279"/>
      <c r="PUS30" s="279"/>
      <c r="PUT30" s="279"/>
      <c r="PUU30" s="279"/>
      <c r="PUV30" s="279"/>
      <c r="PUW30" s="279"/>
      <c r="PUX30" s="279"/>
      <c r="PUY30" s="279"/>
      <c r="PUZ30" s="279"/>
      <c r="PVA30" s="279"/>
      <c r="PVB30" s="279"/>
      <c r="PVC30" s="279"/>
      <c r="PVD30" s="279"/>
      <c r="PVE30" s="279"/>
      <c r="PVF30" s="279"/>
      <c r="PVG30" s="279"/>
      <c r="PVH30" s="279"/>
      <c r="PVI30" s="279"/>
      <c r="PVJ30" s="279"/>
      <c r="PVK30" s="279"/>
      <c r="PVL30" s="279"/>
      <c r="PVM30" s="279"/>
      <c r="PVN30" s="279"/>
      <c r="PVO30" s="279"/>
      <c r="PVP30" s="279"/>
      <c r="PVQ30" s="279"/>
      <c r="PVR30" s="279"/>
      <c r="PVS30" s="279"/>
      <c r="PVT30" s="279"/>
      <c r="PVU30" s="279"/>
      <c r="PVV30" s="279"/>
      <c r="PVW30" s="279"/>
      <c r="PVX30" s="279"/>
      <c r="PVY30" s="279"/>
      <c r="PVZ30" s="279"/>
      <c r="PWA30" s="279"/>
      <c r="PWB30" s="279"/>
      <c r="PWC30" s="279"/>
      <c r="PWD30" s="279"/>
      <c r="PWE30" s="279"/>
      <c r="PWF30" s="279"/>
      <c r="PWG30" s="279"/>
      <c r="PWH30" s="279"/>
      <c r="PWI30" s="279"/>
      <c r="PWJ30" s="279"/>
      <c r="PWK30" s="279"/>
      <c r="PWL30" s="279"/>
      <c r="PWM30" s="279"/>
      <c r="PWN30" s="279"/>
      <c r="PWO30" s="279"/>
      <c r="PWP30" s="279"/>
      <c r="PWQ30" s="279"/>
      <c r="PWR30" s="279"/>
      <c r="PWS30" s="279"/>
      <c r="PWT30" s="279"/>
      <c r="PWU30" s="279"/>
      <c r="PWV30" s="279"/>
      <c r="PWW30" s="279"/>
      <c r="PWX30" s="279"/>
      <c r="PWY30" s="279"/>
      <c r="PWZ30" s="279"/>
      <c r="PXA30" s="279"/>
      <c r="PXB30" s="279"/>
      <c r="PXC30" s="279"/>
      <c r="PXD30" s="279"/>
      <c r="PXE30" s="279"/>
      <c r="PXF30" s="279"/>
      <c r="PXG30" s="279"/>
      <c r="PXH30" s="279"/>
      <c r="PXI30" s="279"/>
      <c r="PXJ30" s="279"/>
      <c r="PXK30" s="279"/>
      <c r="PXL30" s="279"/>
      <c r="PXM30" s="279"/>
      <c r="PXN30" s="279"/>
      <c r="PXO30" s="279"/>
      <c r="PXP30" s="279"/>
      <c r="PXQ30" s="279"/>
      <c r="PXR30" s="279"/>
      <c r="PXS30" s="279"/>
      <c r="PXT30" s="279"/>
      <c r="PXU30" s="279"/>
      <c r="PXV30" s="279"/>
      <c r="PXW30" s="279"/>
      <c r="PXX30" s="279"/>
      <c r="PXY30" s="279"/>
      <c r="PXZ30" s="279"/>
      <c r="PYA30" s="279"/>
      <c r="PYB30" s="279"/>
      <c r="PYC30" s="279"/>
      <c r="PYD30" s="279"/>
      <c r="PYE30" s="279"/>
      <c r="PYF30" s="279"/>
      <c r="PYG30" s="279"/>
      <c r="PYH30" s="279"/>
      <c r="PYI30" s="279"/>
      <c r="PYJ30" s="279"/>
      <c r="PYK30" s="279"/>
      <c r="PYL30" s="279"/>
      <c r="PYM30" s="279"/>
      <c r="PYN30" s="279"/>
      <c r="PYO30" s="279"/>
      <c r="PYP30" s="279"/>
      <c r="PYQ30" s="279"/>
      <c r="PYR30" s="279"/>
      <c r="PYS30" s="279"/>
      <c r="PYT30" s="279"/>
      <c r="PYU30" s="279"/>
      <c r="PYV30" s="279"/>
      <c r="PYW30" s="279"/>
      <c r="PYX30" s="279"/>
      <c r="PYY30" s="279"/>
      <c r="PYZ30" s="279"/>
      <c r="PZA30" s="279"/>
      <c r="PZB30" s="279"/>
      <c r="PZC30" s="279"/>
      <c r="PZD30" s="279"/>
      <c r="PZE30" s="279"/>
      <c r="PZF30" s="279"/>
      <c r="PZG30" s="279"/>
      <c r="PZH30" s="279"/>
      <c r="PZI30" s="279"/>
      <c r="PZJ30" s="279"/>
      <c r="PZK30" s="279"/>
      <c r="PZL30" s="279"/>
      <c r="PZM30" s="279"/>
      <c r="PZN30" s="279"/>
      <c r="PZO30" s="279"/>
      <c r="PZP30" s="279"/>
      <c r="PZQ30" s="279"/>
      <c r="PZR30" s="279"/>
      <c r="PZS30" s="279"/>
      <c r="PZT30" s="279"/>
      <c r="PZU30" s="279"/>
      <c r="PZV30" s="279"/>
      <c r="PZW30" s="279"/>
      <c r="PZX30" s="279"/>
      <c r="PZY30" s="279"/>
      <c r="PZZ30" s="279"/>
      <c r="QAA30" s="279"/>
      <c r="QAB30" s="279"/>
      <c r="QAC30" s="279"/>
      <c r="QAD30" s="279"/>
      <c r="QAE30" s="279"/>
      <c r="QAF30" s="279"/>
      <c r="QAG30" s="279"/>
      <c r="QAH30" s="279"/>
      <c r="QAI30" s="279"/>
      <c r="QAJ30" s="279"/>
      <c r="QAK30" s="279"/>
      <c r="QAL30" s="279"/>
      <c r="QAM30" s="279"/>
      <c r="QAN30" s="279"/>
      <c r="QAO30" s="279"/>
      <c r="QAP30" s="279"/>
      <c r="QAQ30" s="279"/>
      <c r="QAR30" s="279"/>
      <c r="QAS30" s="279"/>
      <c r="QAT30" s="279"/>
      <c r="QAU30" s="279"/>
      <c r="QAV30" s="279"/>
      <c r="QAW30" s="279"/>
      <c r="QAX30" s="279"/>
      <c r="QAY30" s="279"/>
      <c r="QAZ30" s="279"/>
      <c r="QBA30" s="279"/>
      <c r="QBB30" s="279"/>
      <c r="QBC30" s="279"/>
      <c r="QBD30" s="279"/>
      <c r="QBE30" s="279"/>
      <c r="QBF30" s="279"/>
      <c r="QBG30" s="279"/>
      <c r="QBH30" s="279"/>
      <c r="QBI30" s="279"/>
      <c r="QBJ30" s="279"/>
      <c r="QBK30" s="279"/>
      <c r="QBL30" s="279"/>
      <c r="QBM30" s="279"/>
      <c r="QBN30" s="279"/>
      <c r="QBO30" s="279"/>
      <c r="QBP30" s="279"/>
      <c r="QBQ30" s="279"/>
      <c r="QBR30" s="279"/>
      <c r="QBS30" s="279"/>
      <c r="QBT30" s="279"/>
      <c r="QBU30" s="279"/>
      <c r="QBV30" s="279"/>
      <c r="QBW30" s="279"/>
      <c r="QBX30" s="279"/>
      <c r="QBY30" s="279"/>
      <c r="QBZ30" s="279"/>
      <c r="QCA30" s="279"/>
      <c r="QCB30" s="279"/>
      <c r="QCC30" s="279"/>
      <c r="QCD30" s="279"/>
      <c r="QCE30" s="279"/>
      <c r="QCF30" s="279"/>
      <c r="QCG30" s="279"/>
      <c r="QCH30" s="279"/>
      <c r="QCI30" s="279"/>
      <c r="QCJ30" s="279"/>
      <c r="QCK30" s="279"/>
      <c r="QCL30" s="279"/>
      <c r="QCM30" s="279"/>
      <c r="QCN30" s="279"/>
      <c r="QCO30" s="279"/>
      <c r="QCP30" s="279"/>
      <c r="QCQ30" s="279"/>
      <c r="QCR30" s="279"/>
      <c r="QCS30" s="279"/>
      <c r="QCT30" s="279"/>
      <c r="QCU30" s="279"/>
      <c r="QCV30" s="279"/>
      <c r="QCW30" s="279"/>
      <c r="QCX30" s="279"/>
      <c r="QCY30" s="279"/>
      <c r="QCZ30" s="279"/>
      <c r="QDA30" s="279"/>
      <c r="QDB30" s="279"/>
      <c r="QDC30" s="279"/>
      <c r="QDD30" s="279"/>
      <c r="QDE30" s="279"/>
      <c r="QDF30" s="279"/>
      <c r="QDG30" s="279"/>
      <c r="QDH30" s="279"/>
      <c r="QDI30" s="279"/>
      <c r="QDJ30" s="279"/>
      <c r="QDK30" s="279"/>
      <c r="QDL30" s="279"/>
      <c r="QDM30" s="279"/>
      <c r="QDN30" s="279"/>
      <c r="QDO30" s="279"/>
      <c r="QDP30" s="279"/>
      <c r="QDQ30" s="279"/>
      <c r="QDR30" s="279"/>
      <c r="QDS30" s="279"/>
      <c r="QDT30" s="279"/>
      <c r="QDU30" s="279"/>
      <c r="QDV30" s="279"/>
      <c r="QDW30" s="279"/>
      <c r="QDX30" s="279"/>
      <c r="QDY30" s="279"/>
      <c r="QDZ30" s="279"/>
      <c r="QEA30" s="279"/>
      <c r="QEB30" s="279"/>
      <c r="QEC30" s="279"/>
      <c r="QED30" s="279"/>
      <c r="QEE30" s="279"/>
      <c r="QEF30" s="279"/>
      <c r="QEG30" s="279"/>
      <c r="QEH30" s="279"/>
      <c r="QEI30" s="279"/>
      <c r="QEJ30" s="279"/>
      <c r="QEK30" s="279"/>
      <c r="QEL30" s="279"/>
      <c r="QEM30" s="279"/>
      <c r="QEN30" s="279"/>
      <c r="QEO30" s="279"/>
      <c r="QEP30" s="279"/>
      <c r="QEQ30" s="279"/>
      <c r="QER30" s="279"/>
      <c r="QES30" s="279"/>
      <c r="QET30" s="279"/>
      <c r="QEU30" s="279"/>
      <c r="QEV30" s="279"/>
      <c r="QEW30" s="279"/>
      <c r="QEX30" s="279"/>
      <c r="QEY30" s="279"/>
      <c r="QEZ30" s="279"/>
      <c r="QFA30" s="279"/>
      <c r="QFB30" s="279"/>
      <c r="QFC30" s="279"/>
      <c r="QFD30" s="279"/>
      <c r="QFE30" s="279"/>
      <c r="QFF30" s="279"/>
      <c r="QFG30" s="279"/>
      <c r="QFH30" s="279"/>
      <c r="QFI30" s="279"/>
      <c r="QFJ30" s="279"/>
      <c r="QFK30" s="279"/>
      <c r="QFL30" s="279"/>
      <c r="QFM30" s="279"/>
      <c r="QFN30" s="279"/>
      <c r="QFO30" s="279"/>
      <c r="QFP30" s="279"/>
      <c r="QFQ30" s="279"/>
      <c r="QFR30" s="279"/>
      <c r="QFS30" s="279"/>
      <c r="QFT30" s="279"/>
      <c r="QFU30" s="279"/>
      <c r="QFV30" s="279"/>
      <c r="QFW30" s="279"/>
      <c r="QFX30" s="279"/>
      <c r="QFY30" s="279"/>
      <c r="QFZ30" s="279"/>
      <c r="QGA30" s="279"/>
      <c r="QGB30" s="279"/>
      <c r="QGC30" s="279"/>
      <c r="QGD30" s="279"/>
      <c r="QGE30" s="279"/>
      <c r="QGF30" s="279"/>
      <c r="QGG30" s="279"/>
      <c r="QGH30" s="279"/>
      <c r="QGI30" s="279"/>
      <c r="QGJ30" s="279"/>
      <c r="QGK30" s="279"/>
      <c r="QGL30" s="279"/>
      <c r="QGM30" s="279"/>
      <c r="QGN30" s="279"/>
      <c r="QGO30" s="279"/>
      <c r="QGP30" s="279"/>
      <c r="QGQ30" s="279"/>
      <c r="QGR30" s="279"/>
      <c r="QGS30" s="279"/>
      <c r="QGT30" s="279"/>
      <c r="QGU30" s="279"/>
      <c r="QGV30" s="279"/>
      <c r="QGW30" s="279"/>
      <c r="QGX30" s="279"/>
      <c r="QGY30" s="279"/>
      <c r="QGZ30" s="279"/>
      <c r="QHA30" s="279"/>
      <c r="QHB30" s="279"/>
      <c r="QHC30" s="279"/>
      <c r="QHD30" s="279"/>
      <c r="QHE30" s="279"/>
      <c r="QHF30" s="279"/>
      <c r="QHG30" s="279"/>
      <c r="QHH30" s="279"/>
      <c r="QHI30" s="279"/>
      <c r="QHJ30" s="279"/>
      <c r="QHK30" s="279"/>
      <c r="QHL30" s="279"/>
      <c r="QHM30" s="279"/>
      <c r="QHN30" s="279"/>
      <c r="QHO30" s="279"/>
      <c r="QHP30" s="279"/>
      <c r="QHQ30" s="279"/>
      <c r="QHR30" s="279"/>
      <c r="QHS30" s="279"/>
      <c r="QHT30" s="279"/>
      <c r="QHU30" s="279"/>
      <c r="QHV30" s="279"/>
      <c r="QHW30" s="279"/>
      <c r="QHX30" s="279"/>
      <c r="QHY30" s="279"/>
      <c r="QHZ30" s="279"/>
      <c r="QIA30" s="279"/>
      <c r="QIB30" s="279"/>
      <c r="QIC30" s="279"/>
      <c r="QID30" s="279"/>
      <c r="QIE30" s="279"/>
      <c r="QIF30" s="279"/>
      <c r="QIG30" s="279"/>
      <c r="QIH30" s="279"/>
      <c r="QII30" s="279"/>
      <c r="QIJ30" s="279"/>
      <c r="QIK30" s="279"/>
      <c r="QIL30" s="279"/>
      <c r="QIM30" s="279"/>
      <c r="QIN30" s="279"/>
      <c r="QIO30" s="279"/>
      <c r="QIP30" s="279"/>
      <c r="QIQ30" s="279"/>
      <c r="QIR30" s="279"/>
      <c r="QIS30" s="279"/>
      <c r="QIT30" s="279"/>
      <c r="QIU30" s="279"/>
      <c r="QIV30" s="279"/>
      <c r="QIW30" s="279"/>
      <c r="QIX30" s="279"/>
      <c r="QIY30" s="279"/>
      <c r="QIZ30" s="279"/>
      <c r="QJA30" s="279"/>
      <c r="QJB30" s="279"/>
      <c r="QJC30" s="279"/>
      <c r="QJD30" s="279"/>
      <c r="QJE30" s="279"/>
      <c r="QJF30" s="279"/>
      <c r="QJG30" s="279"/>
      <c r="QJH30" s="279"/>
      <c r="QJI30" s="279"/>
      <c r="QJJ30" s="279"/>
      <c r="QJK30" s="279"/>
      <c r="QJL30" s="279"/>
      <c r="QJM30" s="279"/>
      <c r="QJN30" s="279"/>
      <c r="QJO30" s="279"/>
      <c r="QJP30" s="279"/>
      <c r="QJQ30" s="279"/>
      <c r="QJR30" s="279"/>
      <c r="QJS30" s="279"/>
      <c r="QJT30" s="279"/>
      <c r="QJU30" s="279"/>
      <c r="QJV30" s="279"/>
      <c r="QJW30" s="279"/>
      <c r="QJX30" s="279"/>
      <c r="QJY30" s="279"/>
      <c r="QJZ30" s="279"/>
      <c r="QKA30" s="279"/>
      <c r="QKB30" s="279"/>
      <c r="QKC30" s="279"/>
      <c r="QKD30" s="279"/>
      <c r="QKE30" s="279"/>
      <c r="QKF30" s="279"/>
      <c r="QKG30" s="279"/>
      <c r="QKH30" s="279"/>
      <c r="QKI30" s="279"/>
      <c r="QKJ30" s="279"/>
      <c r="QKK30" s="279"/>
      <c r="QKL30" s="279"/>
      <c r="QKM30" s="279"/>
      <c r="QKN30" s="279"/>
      <c r="QKO30" s="279"/>
      <c r="QKP30" s="279"/>
      <c r="QKQ30" s="279"/>
      <c r="QKR30" s="279"/>
      <c r="QKS30" s="279"/>
      <c r="QKT30" s="279"/>
      <c r="QKU30" s="279"/>
      <c r="QKV30" s="279"/>
      <c r="QKW30" s="279"/>
      <c r="QKX30" s="279"/>
      <c r="QKY30" s="279"/>
      <c r="QKZ30" s="279"/>
      <c r="QLA30" s="279"/>
      <c r="QLB30" s="279"/>
      <c r="QLC30" s="279"/>
      <c r="QLD30" s="279"/>
      <c r="QLE30" s="279"/>
      <c r="QLF30" s="279"/>
      <c r="QLG30" s="279"/>
      <c r="QLH30" s="279"/>
      <c r="QLI30" s="279"/>
      <c r="QLJ30" s="279"/>
      <c r="QLK30" s="279"/>
      <c r="QLL30" s="279"/>
      <c r="QLM30" s="279"/>
      <c r="QLN30" s="279"/>
      <c r="QLO30" s="279"/>
      <c r="QLP30" s="279"/>
      <c r="QLQ30" s="279"/>
      <c r="QLR30" s="279"/>
      <c r="QLS30" s="279"/>
      <c r="QLT30" s="279"/>
      <c r="QLU30" s="279"/>
      <c r="QLV30" s="279"/>
      <c r="QLW30" s="279"/>
      <c r="QLX30" s="279"/>
      <c r="QLY30" s="279"/>
      <c r="QLZ30" s="279"/>
      <c r="QMA30" s="279"/>
      <c r="QMB30" s="279"/>
      <c r="QMC30" s="279"/>
      <c r="QMD30" s="279"/>
      <c r="QME30" s="279"/>
      <c r="QMF30" s="279"/>
      <c r="QMG30" s="279"/>
      <c r="QMH30" s="279"/>
      <c r="QMI30" s="279"/>
      <c r="QMJ30" s="279"/>
      <c r="QMK30" s="279"/>
      <c r="QML30" s="279"/>
      <c r="QMM30" s="279"/>
      <c r="QMN30" s="279"/>
      <c r="QMO30" s="279"/>
      <c r="QMP30" s="279"/>
      <c r="QMQ30" s="279"/>
      <c r="QMR30" s="279"/>
      <c r="QMS30" s="279"/>
      <c r="QMT30" s="279"/>
      <c r="QMU30" s="279"/>
      <c r="QMV30" s="279"/>
      <c r="QMW30" s="279"/>
      <c r="QMX30" s="279"/>
      <c r="QMY30" s="279"/>
      <c r="QMZ30" s="279"/>
      <c r="QNA30" s="279"/>
      <c r="QNB30" s="279"/>
      <c r="QNC30" s="279"/>
      <c r="QND30" s="279"/>
      <c r="QNE30" s="279"/>
      <c r="QNF30" s="279"/>
      <c r="QNG30" s="279"/>
      <c r="QNH30" s="279"/>
      <c r="QNI30" s="279"/>
      <c r="QNJ30" s="279"/>
      <c r="QNK30" s="279"/>
      <c r="QNL30" s="279"/>
      <c r="QNM30" s="279"/>
      <c r="QNN30" s="279"/>
      <c r="QNO30" s="279"/>
      <c r="QNP30" s="279"/>
      <c r="QNQ30" s="279"/>
      <c r="QNR30" s="279"/>
      <c r="QNS30" s="279"/>
      <c r="QNT30" s="279"/>
      <c r="QNU30" s="279"/>
      <c r="QNV30" s="279"/>
      <c r="QNW30" s="279"/>
      <c r="QNX30" s="279"/>
      <c r="QNY30" s="279"/>
      <c r="QNZ30" s="279"/>
      <c r="QOA30" s="279"/>
      <c r="QOB30" s="279"/>
      <c r="QOC30" s="279"/>
      <c r="QOD30" s="279"/>
      <c r="QOE30" s="279"/>
      <c r="QOF30" s="279"/>
      <c r="QOG30" s="279"/>
      <c r="QOH30" s="279"/>
      <c r="QOI30" s="279"/>
      <c r="QOJ30" s="279"/>
      <c r="QOK30" s="279"/>
      <c r="QOL30" s="279"/>
      <c r="QOM30" s="279"/>
      <c r="QON30" s="279"/>
      <c r="QOO30" s="279"/>
      <c r="QOP30" s="279"/>
      <c r="QOQ30" s="279"/>
      <c r="QOR30" s="279"/>
      <c r="QOS30" s="279"/>
      <c r="QOT30" s="279"/>
      <c r="QOU30" s="279"/>
      <c r="QOV30" s="279"/>
      <c r="QOW30" s="279"/>
      <c r="QOX30" s="279"/>
      <c r="QOY30" s="279"/>
      <c r="QOZ30" s="279"/>
      <c r="QPA30" s="279"/>
      <c r="QPB30" s="279"/>
      <c r="QPC30" s="279"/>
      <c r="QPD30" s="279"/>
      <c r="QPE30" s="279"/>
      <c r="QPF30" s="279"/>
      <c r="QPG30" s="279"/>
      <c r="QPH30" s="279"/>
      <c r="QPI30" s="279"/>
      <c r="QPJ30" s="279"/>
      <c r="QPK30" s="279"/>
      <c r="QPL30" s="279"/>
      <c r="QPM30" s="279"/>
      <c r="QPN30" s="279"/>
      <c r="QPO30" s="279"/>
      <c r="QPP30" s="279"/>
      <c r="QPQ30" s="279"/>
      <c r="QPR30" s="279"/>
      <c r="QPS30" s="279"/>
      <c r="QPT30" s="279"/>
      <c r="QPU30" s="279"/>
      <c r="QPV30" s="279"/>
      <c r="QPW30" s="279"/>
      <c r="QPX30" s="279"/>
      <c r="QPY30" s="279"/>
      <c r="QPZ30" s="279"/>
      <c r="QQA30" s="279"/>
      <c r="QQB30" s="279"/>
      <c r="QQC30" s="279"/>
      <c r="QQD30" s="279"/>
      <c r="QQE30" s="279"/>
      <c r="QQF30" s="279"/>
      <c r="QQG30" s="279"/>
      <c r="QQH30" s="279"/>
      <c r="QQI30" s="279"/>
      <c r="QQJ30" s="279"/>
      <c r="QQK30" s="279"/>
      <c r="QQL30" s="279"/>
      <c r="QQM30" s="279"/>
      <c r="QQN30" s="279"/>
      <c r="QQO30" s="279"/>
      <c r="QQP30" s="279"/>
      <c r="QQQ30" s="279"/>
      <c r="QQR30" s="279"/>
      <c r="QQS30" s="279"/>
      <c r="QQT30" s="279"/>
      <c r="QQU30" s="279"/>
      <c r="QQV30" s="279"/>
      <c r="QQW30" s="279"/>
      <c r="QQX30" s="279"/>
      <c r="QQY30" s="279"/>
      <c r="QQZ30" s="279"/>
      <c r="QRA30" s="279"/>
      <c r="QRB30" s="279"/>
      <c r="QRC30" s="279"/>
      <c r="QRD30" s="279"/>
      <c r="QRE30" s="279"/>
      <c r="QRF30" s="279"/>
      <c r="QRG30" s="279"/>
      <c r="QRH30" s="279"/>
      <c r="QRI30" s="279"/>
      <c r="QRJ30" s="279"/>
      <c r="QRK30" s="279"/>
      <c r="QRL30" s="279"/>
      <c r="QRM30" s="279"/>
      <c r="QRN30" s="279"/>
      <c r="QRO30" s="279"/>
      <c r="QRP30" s="279"/>
      <c r="QRQ30" s="279"/>
      <c r="QRR30" s="279"/>
      <c r="QRS30" s="279"/>
      <c r="QRT30" s="279"/>
      <c r="QRU30" s="279"/>
      <c r="QRV30" s="279"/>
      <c r="QRW30" s="279"/>
      <c r="QRX30" s="279"/>
      <c r="QRY30" s="279"/>
      <c r="QRZ30" s="279"/>
      <c r="QSA30" s="279"/>
      <c r="QSB30" s="279"/>
      <c r="QSC30" s="279"/>
      <c r="QSD30" s="279"/>
      <c r="QSE30" s="279"/>
      <c r="QSF30" s="279"/>
      <c r="QSG30" s="279"/>
      <c r="QSH30" s="279"/>
      <c r="QSI30" s="279"/>
      <c r="QSJ30" s="279"/>
      <c r="QSK30" s="279"/>
      <c r="QSL30" s="279"/>
      <c r="QSM30" s="279"/>
      <c r="QSN30" s="279"/>
      <c r="QSO30" s="279"/>
      <c r="QSP30" s="279"/>
      <c r="QSQ30" s="279"/>
      <c r="QSR30" s="279"/>
      <c r="QSS30" s="279"/>
      <c r="QST30" s="279"/>
      <c r="QSU30" s="279"/>
      <c r="QSV30" s="279"/>
      <c r="QSW30" s="279"/>
      <c r="QSX30" s="279"/>
      <c r="QSY30" s="279"/>
      <c r="QSZ30" s="279"/>
      <c r="QTA30" s="279"/>
      <c r="QTB30" s="279"/>
      <c r="QTC30" s="279"/>
      <c r="QTD30" s="279"/>
      <c r="QTE30" s="279"/>
      <c r="QTF30" s="279"/>
      <c r="QTG30" s="279"/>
      <c r="QTH30" s="279"/>
      <c r="QTI30" s="279"/>
      <c r="QTJ30" s="279"/>
      <c r="QTK30" s="279"/>
      <c r="QTL30" s="279"/>
      <c r="QTM30" s="279"/>
      <c r="QTN30" s="279"/>
      <c r="QTO30" s="279"/>
      <c r="QTP30" s="279"/>
      <c r="QTQ30" s="279"/>
      <c r="QTR30" s="279"/>
      <c r="QTS30" s="279"/>
      <c r="QTT30" s="279"/>
      <c r="QTU30" s="279"/>
      <c r="QTV30" s="279"/>
      <c r="QTW30" s="279"/>
      <c r="QTX30" s="279"/>
      <c r="QTY30" s="279"/>
      <c r="QTZ30" s="279"/>
      <c r="QUA30" s="279"/>
      <c r="QUB30" s="279"/>
      <c r="QUC30" s="279"/>
      <c r="QUD30" s="279"/>
      <c r="QUE30" s="279"/>
      <c r="QUF30" s="279"/>
      <c r="QUG30" s="279"/>
      <c r="QUH30" s="279"/>
      <c r="QUI30" s="279"/>
      <c r="QUJ30" s="279"/>
      <c r="QUK30" s="279"/>
      <c r="QUL30" s="279"/>
      <c r="QUM30" s="279"/>
      <c r="QUN30" s="279"/>
      <c r="QUO30" s="279"/>
      <c r="QUP30" s="279"/>
      <c r="QUQ30" s="279"/>
      <c r="QUR30" s="279"/>
      <c r="QUS30" s="279"/>
      <c r="QUT30" s="279"/>
      <c r="QUU30" s="279"/>
      <c r="QUV30" s="279"/>
      <c r="QUW30" s="279"/>
      <c r="QUX30" s="279"/>
      <c r="QUY30" s="279"/>
      <c r="QUZ30" s="279"/>
      <c r="QVA30" s="279"/>
      <c r="QVB30" s="279"/>
      <c r="QVC30" s="279"/>
      <c r="QVD30" s="279"/>
      <c r="QVE30" s="279"/>
      <c r="QVF30" s="279"/>
      <c r="QVG30" s="279"/>
      <c r="QVH30" s="279"/>
      <c r="QVI30" s="279"/>
      <c r="QVJ30" s="279"/>
      <c r="QVK30" s="279"/>
      <c r="QVL30" s="279"/>
      <c r="QVM30" s="279"/>
      <c r="QVN30" s="279"/>
      <c r="QVO30" s="279"/>
      <c r="QVP30" s="279"/>
      <c r="QVQ30" s="279"/>
      <c r="QVR30" s="279"/>
      <c r="QVS30" s="279"/>
      <c r="QVT30" s="279"/>
      <c r="QVU30" s="279"/>
      <c r="QVV30" s="279"/>
      <c r="QVW30" s="279"/>
      <c r="QVX30" s="279"/>
      <c r="QVY30" s="279"/>
      <c r="QVZ30" s="279"/>
      <c r="QWA30" s="279"/>
      <c r="QWB30" s="279"/>
      <c r="QWC30" s="279"/>
      <c r="QWD30" s="279"/>
      <c r="QWE30" s="279"/>
      <c r="QWF30" s="279"/>
      <c r="QWG30" s="279"/>
      <c r="QWH30" s="279"/>
      <c r="QWI30" s="279"/>
      <c r="QWJ30" s="279"/>
      <c r="QWK30" s="279"/>
      <c r="QWL30" s="279"/>
      <c r="QWM30" s="279"/>
      <c r="QWN30" s="279"/>
      <c r="QWO30" s="279"/>
      <c r="QWP30" s="279"/>
      <c r="QWQ30" s="279"/>
      <c r="QWR30" s="279"/>
      <c r="QWS30" s="279"/>
      <c r="QWT30" s="279"/>
      <c r="QWU30" s="279"/>
      <c r="QWV30" s="279"/>
      <c r="QWW30" s="279"/>
      <c r="QWX30" s="279"/>
      <c r="QWY30" s="279"/>
      <c r="QWZ30" s="279"/>
      <c r="QXA30" s="279"/>
      <c r="QXB30" s="279"/>
      <c r="QXC30" s="279"/>
      <c r="QXD30" s="279"/>
      <c r="QXE30" s="279"/>
      <c r="QXF30" s="279"/>
      <c r="QXG30" s="279"/>
      <c r="QXH30" s="279"/>
      <c r="QXI30" s="279"/>
      <c r="QXJ30" s="279"/>
      <c r="QXK30" s="279"/>
      <c r="QXL30" s="279"/>
      <c r="QXM30" s="279"/>
      <c r="QXN30" s="279"/>
      <c r="QXO30" s="279"/>
      <c r="QXP30" s="279"/>
      <c r="QXQ30" s="279"/>
      <c r="QXR30" s="279"/>
      <c r="QXS30" s="279"/>
      <c r="QXT30" s="279"/>
      <c r="QXU30" s="279"/>
      <c r="QXV30" s="279"/>
      <c r="QXW30" s="279"/>
      <c r="QXX30" s="279"/>
      <c r="QXY30" s="279"/>
      <c r="QXZ30" s="279"/>
      <c r="QYA30" s="279"/>
      <c r="QYB30" s="279"/>
      <c r="QYC30" s="279"/>
      <c r="QYD30" s="279"/>
      <c r="QYE30" s="279"/>
      <c r="QYF30" s="279"/>
      <c r="QYG30" s="279"/>
      <c r="QYH30" s="279"/>
      <c r="QYI30" s="279"/>
      <c r="QYJ30" s="279"/>
      <c r="QYK30" s="279"/>
      <c r="QYL30" s="279"/>
      <c r="QYM30" s="279"/>
      <c r="QYN30" s="279"/>
      <c r="QYO30" s="279"/>
      <c r="QYP30" s="279"/>
      <c r="QYQ30" s="279"/>
      <c r="QYR30" s="279"/>
      <c r="QYS30" s="279"/>
      <c r="QYT30" s="279"/>
      <c r="QYU30" s="279"/>
      <c r="QYV30" s="279"/>
      <c r="QYW30" s="279"/>
      <c r="QYX30" s="279"/>
      <c r="QYY30" s="279"/>
      <c r="QYZ30" s="279"/>
      <c r="QZA30" s="279"/>
      <c r="QZB30" s="279"/>
      <c r="QZC30" s="279"/>
      <c r="QZD30" s="279"/>
      <c r="QZE30" s="279"/>
      <c r="QZF30" s="279"/>
      <c r="QZG30" s="279"/>
      <c r="QZH30" s="279"/>
      <c r="QZI30" s="279"/>
      <c r="QZJ30" s="279"/>
      <c r="QZK30" s="279"/>
      <c r="QZL30" s="279"/>
      <c r="QZM30" s="279"/>
      <c r="QZN30" s="279"/>
      <c r="QZO30" s="279"/>
      <c r="QZP30" s="279"/>
      <c r="QZQ30" s="279"/>
      <c r="QZR30" s="279"/>
      <c r="QZS30" s="279"/>
      <c r="QZT30" s="279"/>
      <c r="QZU30" s="279"/>
      <c r="QZV30" s="279"/>
      <c r="QZW30" s="279"/>
      <c r="QZX30" s="279"/>
      <c r="QZY30" s="279"/>
      <c r="QZZ30" s="279"/>
      <c r="RAA30" s="279"/>
      <c r="RAB30" s="279"/>
      <c r="RAC30" s="279"/>
      <c r="RAD30" s="279"/>
      <c r="RAE30" s="279"/>
      <c r="RAF30" s="279"/>
      <c r="RAG30" s="279"/>
      <c r="RAH30" s="279"/>
      <c r="RAI30" s="279"/>
      <c r="RAJ30" s="279"/>
      <c r="RAK30" s="279"/>
      <c r="RAL30" s="279"/>
      <c r="RAM30" s="279"/>
      <c r="RAN30" s="279"/>
      <c r="RAO30" s="279"/>
      <c r="RAP30" s="279"/>
      <c r="RAQ30" s="279"/>
      <c r="RAR30" s="279"/>
      <c r="RAS30" s="279"/>
      <c r="RAT30" s="279"/>
      <c r="RAU30" s="279"/>
      <c r="RAV30" s="279"/>
      <c r="RAW30" s="279"/>
      <c r="RAX30" s="279"/>
      <c r="RAY30" s="279"/>
      <c r="RAZ30" s="279"/>
      <c r="RBA30" s="279"/>
      <c r="RBB30" s="279"/>
      <c r="RBC30" s="279"/>
      <c r="RBD30" s="279"/>
      <c r="RBE30" s="279"/>
      <c r="RBF30" s="279"/>
      <c r="RBG30" s="279"/>
      <c r="RBH30" s="279"/>
      <c r="RBI30" s="279"/>
      <c r="RBJ30" s="279"/>
      <c r="RBK30" s="279"/>
      <c r="RBL30" s="279"/>
      <c r="RBM30" s="279"/>
      <c r="RBN30" s="279"/>
      <c r="RBO30" s="279"/>
      <c r="RBP30" s="279"/>
      <c r="RBQ30" s="279"/>
      <c r="RBR30" s="279"/>
      <c r="RBS30" s="279"/>
      <c r="RBT30" s="279"/>
      <c r="RBU30" s="279"/>
      <c r="RBV30" s="279"/>
      <c r="RBW30" s="279"/>
      <c r="RBX30" s="279"/>
      <c r="RBY30" s="279"/>
      <c r="RBZ30" s="279"/>
      <c r="RCA30" s="279"/>
      <c r="RCB30" s="279"/>
      <c r="RCC30" s="279"/>
      <c r="RCD30" s="279"/>
      <c r="RCE30" s="279"/>
      <c r="RCF30" s="279"/>
      <c r="RCG30" s="279"/>
      <c r="RCH30" s="279"/>
      <c r="RCI30" s="279"/>
      <c r="RCJ30" s="279"/>
      <c r="RCK30" s="279"/>
      <c r="RCL30" s="279"/>
      <c r="RCM30" s="279"/>
      <c r="RCN30" s="279"/>
      <c r="RCO30" s="279"/>
      <c r="RCP30" s="279"/>
      <c r="RCQ30" s="279"/>
      <c r="RCR30" s="279"/>
      <c r="RCS30" s="279"/>
      <c r="RCT30" s="279"/>
      <c r="RCU30" s="279"/>
      <c r="RCV30" s="279"/>
      <c r="RCW30" s="279"/>
      <c r="RCX30" s="279"/>
      <c r="RCY30" s="279"/>
      <c r="RCZ30" s="279"/>
      <c r="RDA30" s="279"/>
      <c r="RDB30" s="279"/>
      <c r="RDC30" s="279"/>
      <c r="RDD30" s="279"/>
      <c r="RDE30" s="279"/>
      <c r="RDF30" s="279"/>
      <c r="RDG30" s="279"/>
      <c r="RDH30" s="279"/>
      <c r="RDI30" s="279"/>
      <c r="RDJ30" s="279"/>
      <c r="RDK30" s="279"/>
      <c r="RDL30" s="279"/>
      <c r="RDM30" s="279"/>
      <c r="RDN30" s="279"/>
      <c r="RDO30" s="279"/>
      <c r="RDP30" s="279"/>
      <c r="RDQ30" s="279"/>
      <c r="RDR30" s="279"/>
      <c r="RDS30" s="279"/>
      <c r="RDT30" s="279"/>
      <c r="RDU30" s="279"/>
      <c r="RDV30" s="279"/>
      <c r="RDW30" s="279"/>
      <c r="RDX30" s="279"/>
      <c r="RDY30" s="279"/>
      <c r="RDZ30" s="279"/>
      <c r="REA30" s="279"/>
      <c r="REB30" s="279"/>
      <c r="REC30" s="279"/>
      <c r="RED30" s="279"/>
      <c r="REE30" s="279"/>
      <c r="REF30" s="279"/>
      <c r="REG30" s="279"/>
      <c r="REH30" s="279"/>
      <c r="REI30" s="279"/>
      <c r="REJ30" s="279"/>
      <c r="REK30" s="279"/>
      <c r="REL30" s="279"/>
      <c r="REM30" s="279"/>
      <c r="REN30" s="279"/>
      <c r="REO30" s="279"/>
      <c r="REP30" s="279"/>
      <c r="REQ30" s="279"/>
      <c r="RER30" s="279"/>
      <c r="RES30" s="279"/>
      <c r="RET30" s="279"/>
      <c r="REU30" s="279"/>
      <c r="REV30" s="279"/>
      <c r="REW30" s="279"/>
      <c r="REX30" s="279"/>
      <c r="REY30" s="279"/>
      <c r="REZ30" s="279"/>
      <c r="RFA30" s="279"/>
      <c r="RFB30" s="279"/>
      <c r="RFC30" s="279"/>
      <c r="RFD30" s="279"/>
      <c r="RFE30" s="279"/>
      <c r="RFF30" s="279"/>
      <c r="RFG30" s="279"/>
      <c r="RFH30" s="279"/>
      <c r="RFI30" s="279"/>
      <c r="RFJ30" s="279"/>
      <c r="RFK30" s="279"/>
      <c r="RFL30" s="279"/>
      <c r="RFM30" s="279"/>
      <c r="RFN30" s="279"/>
      <c r="RFO30" s="279"/>
      <c r="RFP30" s="279"/>
      <c r="RFQ30" s="279"/>
      <c r="RFR30" s="279"/>
      <c r="RFS30" s="279"/>
      <c r="RFT30" s="279"/>
      <c r="RFU30" s="279"/>
      <c r="RFV30" s="279"/>
      <c r="RFW30" s="279"/>
      <c r="RFX30" s="279"/>
      <c r="RFY30" s="279"/>
      <c r="RFZ30" s="279"/>
      <c r="RGA30" s="279"/>
      <c r="RGB30" s="279"/>
      <c r="RGC30" s="279"/>
      <c r="RGD30" s="279"/>
      <c r="RGE30" s="279"/>
      <c r="RGF30" s="279"/>
      <c r="RGG30" s="279"/>
      <c r="RGH30" s="279"/>
      <c r="RGI30" s="279"/>
      <c r="RGJ30" s="279"/>
      <c r="RGK30" s="279"/>
      <c r="RGL30" s="279"/>
      <c r="RGM30" s="279"/>
      <c r="RGN30" s="279"/>
      <c r="RGO30" s="279"/>
      <c r="RGP30" s="279"/>
      <c r="RGQ30" s="279"/>
      <c r="RGR30" s="279"/>
      <c r="RGS30" s="279"/>
      <c r="RGT30" s="279"/>
      <c r="RGU30" s="279"/>
      <c r="RGV30" s="279"/>
      <c r="RGW30" s="279"/>
      <c r="RGX30" s="279"/>
      <c r="RGY30" s="279"/>
      <c r="RGZ30" s="279"/>
      <c r="RHA30" s="279"/>
      <c r="RHB30" s="279"/>
      <c r="RHC30" s="279"/>
      <c r="RHD30" s="279"/>
      <c r="RHE30" s="279"/>
      <c r="RHF30" s="279"/>
      <c r="RHG30" s="279"/>
      <c r="RHH30" s="279"/>
      <c r="RHI30" s="279"/>
      <c r="RHJ30" s="279"/>
      <c r="RHK30" s="279"/>
      <c r="RHL30" s="279"/>
      <c r="RHM30" s="279"/>
      <c r="RHN30" s="279"/>
      <c r="RHO30" s="279"/>
      <c r="RHP30" s="279"/>
      <c r="RHQ30" s="279"/>
      <c r="RHR30" s="279"/>
      <c r="RHS30" s="279"/>
      <c r="RHT30" s="279"/>
      <c r="RHU30" s="279"/>
      <c r="RHV30" s="279"/>
      <c r="RHW30" s="279"/>
      <c r="RHX30" s="279"/>
      <c r="RHY30" s="279"/>
      <c r="RHZ30" s="279"/>
      <c r="RIA30" s="279"/>
      <c r="RIB30" s="279"/>
      <c r="RIC30" s="279"/>
      <c r="RID30" s="279"/>
      <c r="RIE30" s="279"/>
      <c r="RIF30" s="279"/>
      <c r="RIG30" s="279"/>
      <c r="RIH30" s="279"/>
      <c r="RII30" s="279"/>
      <c r="RIJ30" s="279"/>
      <c r="RIK30" s="279"/>
      <c r="RIL30" s="279"/>
      <c r="RIM30" s="279"/>
      <c r="RIN30" s="279"/>
      <c r="RIO30" s="279"/>
      <c r="RIP30" s="279"/>
      <c r="RIQ30" s="279"/>
      <c r="RIR30" s="279"/>
      <c r="RIS30" s="279"/>
      <c r="RIT30" s="279"/>
      <c r="RIU30" s="279"/>
      <c r="RIV30" s="279"/>
      <c r="RIW30" s="279"/>
      <c r="RIX30" s="279"/>
      <c r="RIY30" s="279"/>
      <c r="RIZ30" s="279"/>
      <c r="RJA30" s="279"/>
      <c r="RJB30" s="279"/>
      <c r="RJC30" s="279"/>
      <c r="RJD30" s="279"/>
      <c r="RJE30" s="279"/>
      <c r="RJF30" s="279"/>
      <c r="RJG30" s="279"/>
      <c r="RJH30" s="279"/>
      <c r="RJI30" s="279"/>
      <c r="RJJ30" s="279"/>
      <c r="RJK30" s="279"/>
      <c r="RJL30" s="279"/>
      <c r="RJM30" s="279"/>
      <c r="RJN30" s="279"/>
      <c r="RJO30" s="279"/>
      <c r="RJP30" s="279"/>
      <c r="RJQ30" s="279"/>
      <c r="RJR30" s="279"/>
      <c r="RJS30" s="279"/>
      <c r="RJT30" s="279"/>
      <c r="RJU30" s="279"/>
      <c r="RJV30" s="279"/>
      <c r="RJW30" s="279"/>
      <c r="RJX30" s="279"/>
      <c r="RJY30" s="279"/>
      <c r="RJZ30" s="279"/>
      <c r="RKA30" s="279"/>
      <c r="RKB30" s="279"/>
      <c r="RKC30" s="279"/>
      <c r="RKD30" s="279"/>
      <c r="RKE30" s="279"/>
      <c r="RKF30" s="279"/>
      <c r="RKG30" s="279"/>
      <c r="RKH30" s="279"/>
      <c r="RKI30" s="279"/>
      <c r="RKJ30" s="279"/>
      <c r="RKK30" s="279"/>
      <c r="RKL30" s="279"/>
      <c r="RKM30" s="279"/>
      <c r="RKN30" s="279"/>
      <c r="RKO30" s="279"/>
      <c r="RKP30" s="279"/>
      <c r="RKQ30" s="279"/>
      <c r="RKR30" s="279"/>
      <c r="RKS30" s="279"/>
      <c r="RKT30" s="279"/>
      <c r="RKU30" s="279"/>
      <c r="RKV30" s="279"/>
      <c r="RKW30" s="279"/>
      <c r="RKX30" s="279"/>
      <c r="RKY30" s="279"/>
      <c r="RKZ30" s="279"/>
      <c r="RLA30" s="279"/>
      <c r="RLB30" s="279"/>
      <c r="RLC30" s="279"/>
      <c r="RLD30" s="279"/>
      <c r="RLE30" s="279"/>
      <c r="RLF30" s="279"/>
      <c r="RLG30" s="279"/>
      <c r="RLH30" s="279"/>
      <c r="RLI30" s="279"/>
      <c r="RLJ30" s="279"/>
      <c r="RLK30" s="279"/>
      <c r="RLL30" s="279"/>
      <c r="RLM30" s="279"/>
      <c r="RLN30" s="279"/>
      <c r="RLO30" s="279"/>
      <c r="RLP30" s="279"/>
      <c r="RLQ30" s="279"/>
      <c r="RLR30" s="279"/>
      <c r="RLS30" s="279"/>
      <c r="RLT30" s="279"/>
      <c r="RLU30" s="279"/>
      <c r="RLV30" s="279"/>
      <c r="RLW30" s="279"/>
      <c r="RLX30" s="279"/>
      <c r="RLY30" s="279"/>
      <c r="RLZ30" s="279"/>
      <c r="RMA30" s="279"/>
      <c r="RMB30" s="279"/>
      <c r="RMC30" s="279"/>
      <c r="RMD30" s="279"/>
      <c r="RME30" s="279"/>
      <c r="RMF30" s="279"/>
      <c r="RMG30" s="279"/>
      <c r="RMH30" s="279"/>
      <c r="RMI30" s="279"/>
      <c r="RMJ30" s="279"/>
      <c r="RMK30" s="279"/>
      <c r="RML30" s="279"/>
      <c r="RMM30" s="279"/>
      <c r="RMN30" s="279"/>
      <c r="RMO30" s="279"/>
      <c r="RMP30" s="279"/>
      <c r="RMQ30" s="279"/>
      <c r="RMR30" s="279"/>
      <c r="RMS30" s="279"/>
      <c r="RMT30" s="279"/>
      <c r="RMU30" s="279"/>
      <c r="RMV30" s="279"/>
      <c r="RMW30" s="279"/>
      <c r="RMX30" s="279"/>
      <c r="RMY30" s="279"/>
      <c r="RMZ30" s="279"/>
      <c r="RNA30" s="279"/>
      <c r="RNB30" s="279"/>
      <c r="RNC30" s="279"/>
      <c r="RND30" s="279"/>
      <c r="RNE30" s="279"/>
      <c r="RNF30" s="279"/>
      <c r="RNG30" s="279"/>
      <c r="RNH30" s="279"/>
      <c r="RNI30" s="279"/>
      <c r="RNJ30" s="279"/>
      <c r="RNK30" s="279"/>
      <c r="RNL30" s="279"/>
      <c r="RNM30" s="279"/>
      <c r="RNN30" s="279"/>
      <c r="RNO30" s="279"/>
      <c r="RNP30" s="279"/>
      <c r="RNQ30" s="279"/>
      <c r="RNR30" s="279"/>
      <c r="RNS30" s="279"/>
      <c r="RNT30" s="279"/>
      <c r="RNU30" s="279"/>
      <c r="RNV30" s="279"/>
      <c r="RNW30" s="279"/>
      <c r="RNX30" s="279"/>
      <c r="RNY30" s="279"/>
      <c r="RNZ30" s="279"/>
      <c r="ROA30" s="279"/>
      <c r="ROB30" s="279"/>
      <c r="ROC30" s="279"/>
      <c r="ROD30" s="279"/>
      <c r="ROE30" s="279"/>
      <c r="ROF30" s="279"/>
      <c r="ROG30" s="279"/>
      <c r="ROH30" s="279"/>
      <c r="ROI30" s="279"/>
      <c r="ROJ30" s="279"/>
      <c r="ROK30" s="279"/>
      <c r="ROL30" s="279"/>
      <c r="ROM30" s="279"/>
      <c r="RON30" s="279"/>
      <c r="ROO30" s="279"/>
      <c r="ROP30" s="279"/>
      <c r="ROQ30" s="279"/>
      <c r="ROR30" s="279"/>
      <c r="ROS30" s="279"/>
      <c r="ROT30" s="279"/>
      <c r="ROU30" s="279"/>
      <c r="ROV30" s="279"/>
      <c r="ROW30" s="279"/>
      <c r="ROX30" s="279"/>
      <c r="ROY30" s="279"/>
      <c r="ROZ30" s="279"/>
      <c r="RPA30" s="279"/>
      <c r="RPB30" s="279"/>
      <c r="RPC30" s="279"/>
      <c r="RPD30" s="279"/>
      <c r="RPE30" s="279"/>
      <c r="RPF30" s="279"/>
      <c r="RPG30" s="279"/>
      <c r="RPH30" s="279"/>
      <c r="RPI30" s="279"/>
      <c r="RPJ30" s="279"/>
      <c r="RPK30" s="279"/>
      <c r="RPL30" s="279"/>
      <c r="RPM30" s="279"/>
      <c r="RPN30" s="279"/>
      <c r="RPO30" s="279"/>
      <c r="RPP30" s="279"/>
      <c r="RPQ30" s="279"/>
      <c r="RPR30" s="279"/>
      <c r="RPS30" s="279"/>
      <c r="RPT30" s="279"/>
      <c r="RPU30" s="279"/>
      <c r="RPV30" s="279"/>
      <c r="RPW30" s="279"/>
      <c r="RPX30" s="279"/>
      <c r="RPY30" s="279"/>
      <c r="RPZ30" s="279"/>
      <c r="RQA30" s="279"/>
      <c r="RQB30" s="279"/>
      <c r="RQC30" s="279"/>
      <c r="RQD30" s="279"/>
      <c r="RQE30" s="279"/>
      <c r="RQF30" s="279"/>
      <c r="RQG30" s="279"/>
      <c r="RQH30" s="279"/>
      <c r="RQI30" s="279"/>
      <c r="RQJ30" s="279"/>
      <c r="RQK30" s="279"/>
      <c r="RQL30" s="279"/>
      <c r="RQM30" s="279"/>
      <c r="RQN30" s="279"/>
      <c r="RQO30" s="279"/>
      <c r="RQP30" s="279"/>
      <c r="RQQ30" s="279"/>
      <c r="RQR30" s="279"/>
      <c r="RQS30" s="279"/>
      <c r="RQT30" s="279"/>
      <c r="RQU30" s="279"/>
      <c r="RQV30" s="279"/>
      <c r="RQW30" s="279"/>
      <c r="RQX30" s="279"/>
      <c r="RQY30" s="279"/>
      <c r="RQZ30" s="279"/>
      <c r="RRA30" s="279"/>
      <c r="RRB30" s="279"/>
      <c r="RRC30" s="279"/>
      <c r="RRD30" s="279"/>
      <c r="RRE30" s="279"/>
      <c r="RRF30" s="279"/>
      <c r="RRG30" s="279"/>
      <c r="RRH30" s="279"/>
      <c r="RRI30" s="279"/>
      <c r="RRJ30" s="279"/>
      <c r="RRK30" s="279"/>
      <c r="RRL30" s="279"/>
      <c r="RRM30" s="279"/>
      <c r="RRN30" s="279"/>
      <c r="RRO30" s="279"/>
      <c r="RRP30" s="279"/>
      <c r="RRQ30" s="279"/>
      <c r="RRR30" s="279"/>
      <c r="RRS30" s="279"/>
      <c r="RRT30" s="279"/>
      <c r="RRU30" s="279"/>
      <c r="RRV30" s="279"/>
      <c r="RRW30" s="279"/>
      <c r="RRX30" s="279"/>
      <c r="RRY30" s="279"/>
      <c r="RRZ30" s="279"/>
      <c r="RSA30" s="279"/>
      <c r="RSB30" s="279"/>
      <c r="RSC30" s="279"/>
      <c r="RSD30" s="279"/>
      <c r="RSE30" s="279"/>
      <c r="RSF30" s="279"/>
      <c r="RSG30" s="279"/>
      <c r="RSH30" s="279"/>
      <c r="RSI30" s="279"/>
      <c r="RSJ30" s="279"/>
      <c r="RSK30" s="279"/>
      <c r="RSL30" s="279"/>
      <c r="RSM30" s="279"/>
      <c r="RSN30" s="279"/>
      <c r="RSO30" s="279"/>
      <c r="RSP30" s="279"/>
      <c r="RSQ30" s="279"/>
      <c r="RSR30" s="279"/>
      <c r="RSS30" s="279"/>
      <c r="RST30" s="279"/>
      <c r="RSU30" s="279"/>
      <c r="RSV30" s="279"/>
      <c r="RSW30" s="279"/>
      <c r="RSX30" s="279"/>
      <c r="RSY30" s="279"/>
      <c r="RSZ30" s="279"/>
      <c r="RTA30" s="279"/>
      <c r="RTB30" s="279"/>
      <c r="RTC30" s="279"/>
      <c r="RTD30" s="279"/>
      <c r="RTE30" s="279"/>
      <c r="RTF30" s="279"/>
      <c r="RTG30" s="279"/>
      <c r="RTH30" s="279"/>
      <c r="RTI30" s="279"/>
      <c r="RTJ30" s="279"/>
      <c r="RTK30" s="279"/>
      <c r="RTL30" s="279"/>
      <c r="RTM30" s="279"/>
      <c r="RTN30" s="279"/>
      <c r="RTO30" s="279"/>
      <c r="RTP30" s="279"/>
      <c r="RTQ30" s="279"/>
      <c r="RTR30" s="279"/>
      <c r="RTS30" s="279"/>
      <c r="RTT30" s="279"/>
      <c r="RTU30" s="279"/>
      <c r="RTV30" s="279"/>
      <c r="RTW30" s="279"/>
      <c r="RTX30" s="279"/>
      <c r="RTY30" s="279"/>
      <c r="RTZ30" s="279"/>
      <c r="RUA30" s="279"/>
      <c r="RUB30" s="279"/>
      <c r="RUC30" s="279"/>
      <c r="RUD30" s="279"/>
      <c r="RUE30" s="279"/>
      <c r="RUF30" s="279"/>
      <c r="RUG30" s="279"/>
      <c r="RUH30" s="279"/>
      <c r="RUI30" s="279"/>
      <c r="RUJ30" s="279"/>
      <c r="RUK30" s="279"/>
      <c r="RUL30" s="279"/>
      <c r="RUM30" s="279"/>
      <c r="RUN30" s="279"/>
      <c r="RUO30" s="279"/>
      <c r="RUP30" s="279"/>
      <c r="RUQ30" s="279"/>
      <c r="RUR30" s="279"/>
      <c r="RUS30" s="279"/>
      <c r="RUT30" s="279"/>
      <c r="RUU30" s="279"/>
      <c r="RUV30" s="279"/>
      <c r="RUW30" s="279"/>
      <c r="RUX30" s="279"/>
      <c r="RUY30" s="279"/>
      <c r="RUZ30" s="279"/>
      <c r="RVA30" s="279"/>
      <c r="RVB30" s="279"/>
      <c r="RVC30" s="279"/>
      <c r="RVD30" s="279"/>
      <c r="RVE30" s="279"/>
      <c r="RVF30" s="279"/>
      <c r="RVG30" s="279"/>
      <c r="RVH30" s="279"/>
      <c r="RVI30" s="279"/>
      <c r="RVJ30" s="279"/>
      <c r="RVK30" s="279"/>
      <c r="RVL30" s="279"/>
      <c r="RVM30" s="279"/>
      <c r="RVN30" s="279"/>
      <c r="RVO30" s="279"/>
      <c r="RVP30" s="279"/>
      <c r="RVQ30" s="279"/>
      <c r="RVR30" s="279"/>
      <c r="RVS30" s="279"/>
      <c r="RVT30" s="279"/>
      <c r="RVU30" s="279"/>
      <c r="RVV30" s="279"/>
      <c r="RVW30" s="279"/>
      <c r="RVX30" s="279"/>
      <c r="RVY30" s="279"/>
      <c r="RVZ30" s="279"/>
      <c r="RWA30" s="279"/>
      <c r="RWB30" s="279"/>
      <c r="RWC30" s="279"/>
      <c r="RWD30" s="279"/>
      <c r="RWE30" s="279"/>
      <c r="RWF30" s="279"/>
      <c r="RWG30" s="279"/>
      <c r="RWH30" s="279"/>
      <c r="RWI30" s="279"/>
      <c r="RWJ30" s="279"/>
      <c r="RWK30" s="279"/>
      <c r="RWL30" s="279"/>
      <c r="RWM30" s="279"/>
      <c r="RWN30" s="279"/>
      <c r="RWO30" s="279"/>
      <c r="RWP30" s="279"/>
      <c r="RWQ30" s="279"/>
      <c r="RWR30" s="279"/>
      <c r="RWS30" s="279"/>
      <c r="RWT30" s="279"/>
      <c r="RWU30" s="279"/>
      <c r="RWV30" s="279"/>
      <c r="RWW30" s="279"/>
      <c r="RWX30" s="279"/>
      <c r="RWY30" s="279"/>
      <c r="RWZ30" s="279"/>
      <c r="RXA30" s="279"/>
      <c r="RXB30" s="279"/>
      <c r="RXC30" s="279"/>
      <c r="RXD30" s="279"/>
      <c r="RXE30" s="279"/>
      <c r="RXF30" s="279"/>
      <c r="RXG30" s="279"/>
      <c r="RXH30" s="279"/>
      <c r="RXI30" s="279"/>
      <c r="RXJ30" s="279"/>
      <c r="RXK30" s="279"/>
      <c r="RXL30" s="279"/>
      <c r="RXM30" s="279"/>
      <c r="RXN30" s="279"/>
      <c r="RXO30" s="279"/>
      <c r="RXP30" s="279"/>
      <c r="RXQ30" s="279"/>
      <c r="RXR30" s="279"/>
      <c r="RXS30" s="279"/>
      <c r="RXT30" s="279"/>
      <c r="RXU30" s="279"/>
      <c r="RXV30" s="279"/>
      <c r="RXW30" s="279"/>
      <c r="RXX30" s="279"/>
      <c r="RXY30" s="279"/>
      <c r="RXZ30" s="279"/>
      <c r="RYA30" s="279"/>
      <c r="RYB30" s="279"/>
      <c r="RYC30" s="279"/>
      <c r="RYD30" s="279"/>
      <c r="RYE30" s="279"/>
      <c r="RYF30" s="279"/>
      <c r="RYG30" s="279"/>
      <c r="RYH30" s="279"/>
      <c r="RYI30" s="279"/>
      <c r="RYJ30" s="279"/>
      <c r="RYK30" s="279"/>
      <c r="RYL30" s="279"/>
      <c r="RYM30" s="279"/>
      <c r="RYN30" s="279"/>
      <c r="RYO30" s="279"/>
      <c r="RYP30" s="279"/>
      <c r="RYQ30" s="279"/>
      <c r="RYR30" s="279"/>
      <c r="RYS30" s="279"/>
      <c r="RYT30" s="279"/>
      <c r="RYU30" s="279"/>
      <c r="RYV30" s="279"/>
      <c r="RYW30" s="279"/>
      <c r="RYX30" s="279"/>
      <c r="RYY30" s="279"/>
      <c r="RYZ30" s="279"/>
      <c r="RZA30" s="279"/>
      <c r="RZB30" s="279"/>
      <c r="RZC30" s="279"/>
      <c r="RZD30" s="279"/>
      <c r="RZE30" s="279"/>
      <c r="RZF30" s="279"/>
      <c r="RZG30" s="279"/>
      <c r="RZH30" s="279"/>
      <c r="RZI30" s="279"/>
      <c r="RZJ30" s="279"/>
      <c r="RZK30" s="279"/>
      <c r="RZL30" s="279"/>
      <c r="RZM30" s="279"/>
      <c r="RZN30" s="279"/>
      <c r="RZO30" s="279"/>
      <c r="RZP30" s="279"/>
      <c r="RZQ30" s="279"/>
      <c r="RZR30" s="279"/>
      <c r="RZS30" s="279"/>
      <c r="RZT30" s="279"/>
      <c r="RZU30" s="279"/>
      <c r="RZV30" s="279"/>
      <c r="RZW30" s="279"/>
      <c r="RZX30" s="279"/>
      <c r="RZY30" s="279"/>
      <c r="RZZ30" s="279"/>
      <c r="SAA30" s="279"/>
      <c r="SAB30" s="279"/>
      <c r="SAC30" s="279"/>
      <c r="SAD30" s="279"/>
      <c r="SAE30" s="279"/>
      <c r="SAF30" s="279"/>
      <c r="SAG30" s="279"/>
      <c r="SAH30" s="279"/>
      <c r="SAI30" s="279"/>
      <c r="SAJ30" s="279"/>
      <c r="SAK30" s="279"/>
      <c r="SAL30" s="279"/>
      <c r="SAM30" s="279"/>
      <c r="SAN30" s="279"/>
      <c r="SAO30" s="279"/>
      <c r="SAP30" s="279"/>
      <c r="SAQ30" s="279"/>
      <c r="SAR30" s="279"/>
      <c r="SAS30" s="279"/>
      <c r="SAT30" s="279"/>
      <c r="SAU30" s="279"/>
      <c r="SAV30" s="279"/>
      <c r="SAW30" s="279"/>
      <c r="SAX30" s="279"/>
      <c r="SAY30" s="279"/>
      <c r="SAZ30" s="279"/>
      <c r="SBA30" s="279"/>
      <c r="SBB30" s="279"/>
      <c r="SBC30" s="279"/>
      <c r="SBD30" s="279"/>
      <c r="SBE30" s="279"/>
      <c r="SBF30" s="279"/>
      <c r="SBG30" s="279"/>
      <c r="SBH30" s="279"/>
      <c r="SBI30" s="279"/>
      <c r="SBJ30" s="279"/>
      <c r="SBK30" s="279"/>
      <c r="SBL30" s="279"/>
      <c r="SBM30" s="279"/>
      <c r="SBN30" s="279"/>
      <c r="SBO30" s="279"/>
      <c r="SBP30" s="279"/>
      <c r="SBQ30" s="279"/>
      <c r="SBR30" s="279"/>
      <c r="SBS30" s="279"/>
      <c r="SBT30" s="279"/>
      <c r="SBU30" s="279"/>
      <c r="SBV30" s="279"/>
      <c r="SBW30" s="279"/>
      <c r="SBX30" s="279"/>
      <c r="SBY30" s="279"/>
      <c r="SBZ30" s="279"/>
      <c r="SCA30" s="279"/>
      <c r="SCB30" s="279"/>
      <c r="SCC30" s="279"/>
      <c r="SCD30" s="279"/>
      <c r="SCE30" s="279"/>
      <c r="SCF30" s="279"/>
      <c r="SCG30" s="279"/>
      <c r="SCH30" s="279"/>
      <c r="SCI30" s="279"/>
      <c r="SCJ30" s="279"/>
      <c r="SCK30" s="279"/>
      <c r="SCL30" s="279"/>
      <c r="SCM30" s="279"/>
      <c r="SCN30" s="279"/>
      <c r="SCO30" s="279"/>
      <c r="SCP30" s="279"/>
      <c r="SCQ30" s="279"/>
      <c r="SCR30" s="279"/>
      <c r="SCS30" s="279"/>
      <c r="SCT30" s="279"/>
      <c r="SCU30" s="279"/>
      <c r="SCV30" s="279"/>
      <c r="SCW30" s="279"/>
      <c r="SCX30" s="279"/>
      <c r="SCY30" s="279"/>
      <c r="SCZ30" s="279"/>
      <c r="SDA30" s="279"/>
      <c r="SDB30" s="279"/>
      <c r="SDC30" s="279"/>
      <c r="SDD30" s="279"/>
      <c r="SDE30" s="279"/>
      <c r="SDF30" s="279"/>
      <c r="SDG30" s="279"/>
      <c r="SDH30" s="279"/>
      <c r="SDI30" s="279"/>
      <c r="SDJ30" s="279"/>
      <c r="SDK30" s="279"/>
      <c r="SDL30" s="279"/>
      <c r="SDM30" s="279"/>
      <c r="SDN30" s="279"/>
      <c r="SDO30" s="279"/>
      <c r="SDP30" s="279"/>
      <c r="SDQ30" s="279"/>
      <c r="SDR30" s="279"/>
      <c r="SDS30" s="279"/>
      <c r="SDT30" s="279"/>
      <c r="SDU30" s="279"/>
      <c r="SDV30" s="279"/>
      <c r="SDW30" s="279"/>
      <c r="SDX30" s="279"/>
      <c r="SDY30" s="279"/>
      <c r="SDZ30" s="279"/>
      <c r="SEA30" s="279"/>
      <c r="SEB30" s="279"/>
      <c r="SEC30" s="279"/>
      <c r="SED30" s="279"/>
      <c r="SEE30" s="279"/>
      <c r="SEF30" s="279"/>
      <c r="SEG30" s="279"/>
      <c r="SEH30" s="279"/>
      <c r="SEI30" s="279"/>
      <c r="SEJ30" s="279"/>
      <c r="SEK30" s="279"/>
      <c r="SEL30" s="279"/>
      <c r="SEM30" s="279"/>
      <c r="SEN30" s="279"/>
      <c r="SEO30" s="279"/>
      <c r="SEP30" s="279"/>
      <c r="SEQ30" s="279"/>
      <c r="SER30" s="279"/>
      <c r="SES30" s="279"/>
      <c r="SET30" s="279"/>
      <c r="SEU30" s="279"/>
      <c r="SEV30" s="279"/>
      <c r="SEW30" s="279"/>
      <c r="SEX30" s="279"/>
      <c r="SEY30" s="279"/>
      <c r="SEZ30" s="279"/>
      <c r="SFA30" s="279"/>
      <c r="SFB30" s="279"/>
      <c r="SFC30" s="279"/>
      <c r="SFD30" s="279"/>
      <c r="SFE30" s="279"/>
      <c r="SFF30" s="279"/>
      <c r="SFG30" s="279"/>
      <c r="SFH30" s="279"/>
      <c r="SFI30" s="279"/>
      <c r="SFJ30" s="279"/>
      <c r="SFK30" s="279"/>
      <c r="SFL30" s="279"/>
      <c r="SFM30" s="279"/>
      <c r="SFN30" s="279"/>
      <c r="SFO30" s="279"/>
      <c r="SFP30" s="279"/>
      <c r="SFQ30" s="279"/>
      <c r="SFR30" s="279"/>
      <c r="SFS30" s="279"/>
      <c r="SFT30" s="279"/>
      <c r="SFU30" s="279"/>
      <c r="SFV30" s="279"/>
      <c r="SFW30" s="279"/>
      <c r="SFX30" s="279"/>
      <c r="SFY30" s="279"/>
      <c r="SFZ30" s="279"/>
      <c r="SGA30" s="279"/>
      <c r="SGB30" s="279"/>
      <c r="SGC30" s="279"/>
      <c r="SGD30" s="279"/>
      <c r="SGE30" s="279"/>
      <c r="SGF30" s="279"/>
      <c r="SGG30" s="279"/>
      <c r="SGH30" s="279"/>
      <c r="SGI30" s="279"/>
      <c r="SGJ30" s="279"/>
      <c r="SGK30" s="279"/>
      <c r="SGL30" s="279"/>
      <c r="SGM30" s="279"/>
      <c r="SGN30" s="279"/>
      <c r="SGO30" s="279"/>
      <c r="SGP30" s="279"/>
      <c r="SGQ30" s="279"/>
      <c r="SGR30" s="279"/>
      <c r="SGS30" s="279"/>
      <c r="SGT30" s="279"/>
      <c r="SGU30" s="279"/>
      <c r="SGV30" s="279"/>
      <c r="SGW30" s="279"/>
      <c r="SGX30" s="279"/>
      <c r="SGY30" s="279"/>
      <c r="SGZ30" s="279"/>
      <c r="SHA30" s="279"/>
      <c r="SHB30" s="279"/>
      <c r="SHC30" s="279"/>
      <c r="SHD30" s="279"/>
      <c r="SHE30" s="279"/>
      <c r="SHF30" s="279"/>
      <c r="SHG30" s="279"/>
      <c r="SHH30" s="279"/>
      <c r="SHI30" s="279"/>
      <c r="SHJ30" s="279"/>
      <c r="SHK30" s="279"/>
      <c r="SHL30" s="279"/>
      <c r="SHM30" s="279"/>
      <c r="SHN30" s="279"/>
      <c r="SHO30" s="279"/>
      <c r="SHP30" s="279"/>
      <c r="SHQ30" s="279"/>
      <c r="SHR30" s="279"/>
      <c r="SHS30" s="279"/>
      <c r="SHT30" s="279"/>
      <c r="SHU30" s="279"/>
      <c r="SHV30" s="279"/>
      <c r="SHW30" s="279"/>
      <c r="SHX30" s="279"/>
      <c r="SHY30" s="279"/>
      <c r="SHZ30" s="279"/>
      <c r="SIA30" s="279"/>
      <c r="SIB30" s="279"/>
      <c r="SIC30" s="279"/>
      <c r="SID30" s="279"/>
      <c r="SIE30" s="279"/>
      <c r="SIF30" s="279"/>
      <c r="SIG30" s="279"/>
      <c r="SIH30" s="279"/>
      <c r="SII30" s="279"/>
      <c r="SIJ30" s="279"/>
      <c r="SIK30" s="279"/>
      <c r="SIL30" s="279"/>
      <c r="SIM30" s="279"/>
      <c r="SIN30" s="279"/>
      <c r="SIO30" s="279"/>
      <c r="SIP30" s="279"/>
      <c r="SIQ30" s="279"/>
      <c r="SIR30" s="279"/>
      <c r="SIS30" s="279"/>
      <c r="SIT30" s="279"/>
      <c r="SIU30" s="279"/>
      <c r="SIV30" s="279"/>
      <c r="SIW30" s="279"/>
      <c r="SIX30" s="279"/>
      <c r="SIY30" s="279"/>
      <c r="SIZ30" s="279"/>
      <c r="SJA30" s="279"/>
      <c r="SJB30" s="279"/>
      <c r="SJC30" s="279"/>
      <c r="SJD30" s="279"/>
      <c r="SJE30" s="279"/>
      <c r="SJF30" s="279"/>
      <c r="SJG30" s="279"/>
      <c r="SJH30" s="279"/>
      <c r="SJI30" s="279"/>
      <c r="SJJ30" s="279"/>
      <c r="SJK30" s="279"/>
      <c r="SJL30" s="279"/>
      <c r="SJM30" s="279"/>
      <c r="SJN30" s="279"/>
      <c r="SJO30" s="279"/>
      <c r="SJP30" s="279"/>
      <c r="SJQ30" s="279"/>
      <c r="SJR30" s="279"/>
      <c r="SJS30" s="279"/>
      <c r="SJT30" s="279"/>
      <c r="SJU30" s="279"/>
      <c r="SJV30" s="279"/>
      <c r="SJW30" s="279"/>
      <c r="SJX30" s="279"/>
      <c r="SJY30" s="279"/>
      <c r="SJZ30" s="279"/>
      <c r="SKA30" s="279"/>
      <c r="SKB30" s="279"/>
      <c r="SKC30" s="279"/>
      <c r="SKD30" s="279"/>
      <c r="SKE30" s="279"/>
      <c r="SKF30" s="279"/>
      <c r="SKG30" s="279"/>
      <c r="SKH30" s="279"/>
      <c r="SKI30" s="279"/>
      <c r="SKJ30" s="279"/>
      <c r="SKK30" s="279"/>
      <c r="SKL30" s="279"/>
      <c r="SKM30" s="279"/>
      <c r="SKN30" s="279"/>
      <c r="SKO30" s="279"/>
      <c r="SKP30" s="279"/>
      <c r="SKQ30" s="279"/>
      <c r="SKR30" s="279"/>
      <c r="SKS30" s="279"/>
      <c r="SKT30" s="279"/>
      <c r="SKU30" s="279"/>
      <c r="SKV30" s="279"/>
      <c r="SKW30" s="279"/>
      <c r="SKX30" s="279"/>
      <c r="SKY30" s="279"/>
      <c r="SKZ30" s="279"/>
      <c r="SLA30" s="279"/>
      <c r="SLB30" s="279"/>
      <c r="SLC30" s="279"/>
      <c r="SLD30" s="279"/>
      <c r="SLE30" s="279"/>
      <c r="SLF30" s="279"/>
      <c r="SLG30" s="279"/>
      <c r="SLH30" s="279"/>
      <c r="SLI30" s="279"/>
      <c r="SLJ30" s="279"/>
      <c r="SLK30" s="279"/>
      <c r="SLL30" s="279"/>
      <c r="SLM30" s="279"/>
      <c r="SLN30" s="279"/>
      <c r="SLO30" s="279"/>
      <c r="SLP30" s="279"/>
      <c r="SLQ30" s="279"/>
      <c r="SLR30" s="279"/>
      <c r="SLS30" s="279"/>
      <c r="SLT30" s="279"/>
      <c r="SLU30" s="279"/>
      <c r="SLV30" s="279"/>
      <c r="SLW30" s="279"/>
      <c r="SLX30" s="279"/>
      <c r="SLY30" s="279"/>
      <c r="SLZ30" s="279"/>
      <c r="SMA30" s="279"/>
      <c r="SMB30" s="279"/>
      <c r="SMC30" s="279"/>
      <c r="SMD30" s="279"/>
      <c r="SME30" s="279"/>
      <c r="SMF30" s="279"/>
      <c r="SMG30" s="279"/>
      <c r="SMH30" s="279"/>
      <c r="SMI30" s="279"/>
      <c r="SMJ30" s="279"/>
      <c r="SMK30" s="279"/>
      <c r="SML30" s="279"/>
      <c r="SMM30" s="279"/>
      <c r="SMN30" s="279"/>
      <c r="SMO30" s="279"/>
      <c r="SMP30" s="279"/>
      <c r="SMQ30" s="279"/>
      <c r="SMR30" s="279"/>
      <c r="SMS30" s="279"/>
      <c r="SMT30" s="279"/>
      <c r="SMU30" s="279"/>
      <c r="SMV30" s="279"/>
      <c r="SMW30" s="279"/>
      <c r="SMX30" s="279"/>
      <c r="SMY30" s="279"/>
      <c r="SMZ30" s="279"/>
      <c r="SNA30" s="279"/>
      <c r="SNB30" s="279"/>
      <c r="SNC30" s="279"/>
      <c r="SND30" s="279"/>
      <c r="SNE30" s="279"/>
      <c r="SNF30" s="279"/>
      <c r="SNG30" s="279"/>
      <c r="SNH30" s="279"/>
      <c r="SNI30" s="279"/>
      <c r="SNJ30" s="279"/>
      <c r="SNK30" s="279"/>
      <c r="SNL30" s="279"/>
      <c r="SNM30" s="279"/>
      <c r="SNN30" s="279"/>
      <c r="SNO30" s="279"/>
      <c r="SNP30" s="279"/>
      <c r="SNQ30" s="279"/>
      <c r="SNR30" s="279"/>
      <c r="SNS30" s="279"/>
      <c r="SNT30" s="279"/>
      <c r="SNU30" s="279"/>
      <c r="SNV30" s="279"/>
      <c r="SNW30" s="279"/>
      <c r="SNX30" s="279"/>
      <c r="SNY30" s="279"/>
      <c r="SNZ30" s="279"/>
      <c r="SOA30" s="279"/>
      <c r="SOB30" s="279"/>
      <c r="SOC30" s="279"/>
      <c r="SOD30" s="279"/>
      <c r="SOE30" s="279"/>
      <c r="SOF30" s="279"/>
      <c r="SOG30" s="279"/>
      <c r="SOH30" s="279"/>
      <c r="SOI30" s="279"/>
      <c r="SOJ30" s="279"/>
      <c r="SOK30" s="279"/>
      <c r="SOL30" s="279"/>
      <c r="SOM30" s="279"/>
      <c r="SON30" s="279"/>
      <c r="SOO30" s="279"/>
      <c r="SOP30" s="279"/>
      <c r="SOQ30" s="279"/>
      <c r="SOR30" s="279"/>
      <c r="SOS30" s="279"/>
      <c r="SOT30" s="279"/>
      <c r="SOU30" s="279"/>
      <c r="SOV30" s="279"/>
      <c r="SOW30" s="279"/>
      <c r="SOX30" s="279"/>
      <c r="SOY30" s="279"/>
      <c r="SOZ30" s="279"/>
      <c r="SPA30" s="279"/>
      <c r="SPB30" s="279"/>
      <c r="SPC30" s="279"/>
      <c r="SPD30" s="279"/>
      <c r="SPE30" s="279"/>
      <c r="SPF30" s="279"/>
      <c r="SPG30" s="279"/>
      <c r="SPH30" s="279"/>
      <c r="SPI30" s="279"/>
      <c r="SPJ30" s="279"/>
      <c r="SPK30" s="279"/>
      <c r="SPL30" s="279"/>
      <c r="SPM30" s="279"/>
      <c r="SPN30" s="279"/>
      <c r="SPO30" s="279"/>
      <c r="SPP30" s="279"/>
      <c r="SPQ30" s="279"/>
      <c r="SPR30" s="279"/>
      <c r="SPS30" s="279"/>
      <c r="SPT30" s="279"/>
      <c r="SPU30" s="279"/>
      <c r="SPV30" s="279"/>
      <c r="SPW30" s="279"/>
      <c r="SPX30" s="279"/>
      <c r="SPY30" s="279"/>
      <c r="SPZ30" s="279"/>
      <c r="SQA30" s="279"/>
      <c r="SQB30" s="279"/>
      <c r="SQC30" s="279"/>
      <c r="SQD30" s="279"/>
      <c r="SQE30" s="279"/>
      <c r="SQF30" s="279"/>
      <c r="SQG30" s="279"/>
      <c r="SQH30" s="279"/>
      <c r="SQI30" s="279"/>
      <c r="SQJ30" s="279"/>
      <c r="SQK30" s="279"/>
      <c r="SQL30" s="279"/>
      <c r="SQM30" s="279"/>
      <c r="SQN30" s="279"/>
      <c r="SQO30" s="279"/>
      <c r="SQP30" s="279"/>
      <c r="SQQ30" s="279"/>
      <c r="SQR30" s="279"/>
      <c r="SQS30" s="279"/>
      <c r="SQT30" s="279"/>
      <c r="SQU30" s="279"/>
      <c r="SQV30" s="279"/>
      <c r="SQW30" s="279"/>
      <c r="SQX30" s="279"/>
      <c r="SQY30" s="279"/>
      <c r="SQZ30" s="279"/>
      <c r="SRA30" s="279"/>
      <c r="SRB30" s="279"/>
      <c r="SRC30" s="279"/>
      <c r="SRD30" s="279"/>
      <c r="SRE30" s="279"/>
      <c r="SRF30" s="279"/>
      <c r="SRG30" s="279"/>
      <c r="SRH30" s="279"/>
      <c r="SRI30" s="279"/>
      <c r="SRJ30" s="279"/>
      <c r="SRK30" s="279"/>
      <c r="SRL30" s="279"/>
      <c r="SRM30" s="279"/>
      <c r="SRN30" s="279"/>
      <c r="SRO30" s="279"/>
      <c r="SRP30" s="279"/>
      <c r="SRQ30" s="279"/>
      <c r="SRR30" s="279"/>
      <c r="SRS30" s="279"/>
      <c r="SRT30" s="279"/>
      <c r="SRU30" s="279"/>
      <c r="SRV30" s="279"/>
      <c r="SRW30" s="279"/>
      <c r="SRX30" s="279"/>
      <c r="SRY30" s="279"/>
      <c r="SRZ30" s="279"/>
      <c r="SSA30" s="279"/>
      <c r="SSB30" s="279"/>
      <c r="SSC30" s="279"/>
      <c r="SSD30" s="279"/>
      <c r="SSE30" s="279"/>
      <c r="SSF30" s="279"/>
      <c r="SSG30" s="279"/>
      <c r="SSH30" s="279"/>
      <c r="SSI30" s="279"/>
      <c r="SSJ30" s="279"/>
      <c r="SSK30" s="279"/>
      <c r="SSL30" s="279"/>
      <c r="SSM30" s="279"/>
      <c r="SSN30" s="279"/>
      <c r="SSO30" s="279"/>
      <c r="SSP30" s="279"/>
      <c r="SSQ30" s="279"/>
      <c r="SSR30" s="279"/>
      <c r="SSS30" s="279"/>
      <c r="SST30" s="279"/>
      <c r="SSU30" s="279"/>
      <c r="SSV30" s="279"/>
      <c r="SSW30" s="279"/>
      <c r="SSX30" s="279"/>
      <c r="SSY30" s="279"/>
      <c r="SSZ30" s="279"/>
      <c r="STA30" s="279"/>
      <c r="STB30" s="279"/>
      <c r="STC30" s="279"/>
      <c r="STD30" s="279"/>
      <c r="STE30" s="279"/>
      <c r="STF30" s="279"/>
      <c r="STG30" s="279"/>
      <c r="STH30" s="279"/>
      <c r="STI30" s="279"/>
      <c r="STJ30" s="279"/>
      <c r="STK30" s="279"/>
      <c r="STL30" s="279"/>
      <c r="STM30" s="279"/>
      <c r="STN30" s="279"/>
      <c r="STO30" s="279"/>
      <c r="STP30" s="279"/>
      <c r="STQ30" s="279"/>
      <c r="STR30" s="279"/>
      <c r="STS30" s="279"/>
      <c r="STT30" s="279"/>
      <c r="STU30" s="279"/>
      <c r="STV30" s="279"/>
      <c r="STW30" s="279"/>
      <c r="STX30" s="279"/>
      <c r="STY30" s="279"/>
      <c r="STZ30" s="279"/>
      <c r="SUA30" s="279"/>
      <c r="SUB30" s="279"/>
      <c r="SUC30" s="279"/>
      <c r="SUD30" s="279"/>
      <c r="SUE30" s="279"/>
      <c r="SUF30" s="279"/>
      <c r="SUG30" s="279"/>
      <c r="SUH30" s="279"/>
      <c r="SUI30" s="279"/>
      <c r="SUJ30" s="279"/>
      <c r="SUK30" s="279"/>
      <c r="SUL30" s="279"/>
      <c r="SUM30" s="279"/>
      <c r="SUN30" s="279"/>
      <c r="SUO30" s="279"/>
      <c r="SUP30" s="279"/>
      <c r="SUQ30" s="279"/>
      <c r="SUR30" s="279"/>
      <c r="SUS30" s="279"/>
      <c r="SUT30" s="279"/>
      <c r="SUU30" s="279"/>
      <c r="SUV30" s="279"/>
      <c r="SUW30" s="279"/>
      <c r="SUX30" s="279"/>
      <c r="SUY30" s="279"/>
      <c r="SUZ30" s="279"/>
      <c r="SVA30" s="279"/>
      <c r="SVB30" s="279"/>
      <c r="SVC30" s="279"/>
      <c r="SVD30" s="279"/>
      <c r="SVE30" s="279"/>
      <c r="SVF30" s="279"/>
      <c r="SVG30" s="279"/>
      <c r="SVH30" s="279"/>
      <c r="SVI30" s="279"/>
      <c r="SVJ30" s="279"/>
      <c r="SVK30" s="279"/>
      <c r="SVL30" s="279"/>
      <c r="SVM30" s="279"/>
      <c r="SVN30" s="279"/>
      <c r="SVO30" s="279"/>
      <c r="SVP30" s="279"/>
      <c r="SVQ30" s="279"/>
      <c r="SVR30" s="279"/>
      <c r="SVS30" s="279"/>
      <c r="SVT30" s="279"/>
      <c r="SVU30" s="279"/>
      <c r="SVV30" s="279"/>
      <c r="SVW30" s="279"/>
      <c r="SVX30" s="279"/>
      <c r="SVY30" s="279"/>
      <c r="SVZ30" s="279"/>
      <c r="SWA30" s="279"/>
      <c r="SWB30" s="279"/>
      <c r="SWC30" s="279"/>
      <c r="SWD30" s="279"/>
      <c r="SWE30" s="279"/>
      <c r="SWF30" s="279"/>
      <c r="SWG30" s="279"/>
      <c r="SWH30" s="279"/>
      <c r="SWI30" s="279"/>
      <c r="SWJ30" s="279"/>
      <c r="SWK30" s="279"/>
      <c r="SWL30" s="279"/>
      <c r="SWM30" s="279"/>
      <c r="SWN30" s="279"/>
      <c r="SWO30" s="279"/>
      <c r="SWP30" s="279"/>
      <c r="SWQ30" s="279"/>
      <c r="SWR30" s="279"/>
      <c r="SWS30" s="279"/>
      <c r="SWT30" s="279"/>
      <c r="SWU30" s="279"/>
      <c r="SWV30" s="279"/>
      <c r="SWW30" s="279"/>
      <c r="SWX30" s="279"/>
      <c r="SWY30" s="279"/>
      <c r="SWZ30" s="279"/>
      <c r="SXA30" s="279"/>
      <c r="SXB30" s="279"/>
      <c r="SXC30" s="279"/>
      <c r="SXD30" s="279"/>
      <c r="SXE30" s="279"/>
      <c r="SXF30" s="279"/>
      <c r="SXG30" s="279"/>
      <c r="SXH30" s="279"/>
      <c r="SXI30" s="279"/>
      <c r="SXJ30" s="279"/>
      <c r="SXK30" s="279"/>
      <c r="SXL30" s="279"/>
      <c r="SXM30" s="279"/>
      <c r="SXN30" s="279"/>
      <c r="SXO30" s="279"/>
      <c r="SXP30" s="279"/>
      <c r="SXQ30" s="279"/>
      <c r="SXR30" s="279"/>
      <c r="SXS30" s="279"/>
      <c r="SXT30" s="279"/>
      <c r="SXU30" s="279"/>
      <c r="SXV30" s="279"/>
      <c r="SXW30" s="279"/>
      <c r="SXX30" s="279"/>
      <c r="SXY30" s="279"/>
      <c r="SXZ30" s="279"/>
      <c r="SYA30" s="279"/>
      <c r="SYB30" s="279"/>
      <c r="SYC30" s="279"/>
      <c r="SYD30" s="279"/>
      <c r="SYE30" s="279"/>
      <c r="SYF30" s="279"/>
      <c r="SYG30" s="279"/>
      <c r="SYH30" s="279"/>
      <c r="SYI30" s="279"/>
      <c r="SYJ30" s="279"/>
      <c r="SYK30" s="279"/>
      <c r="SYL30" s="279"/>
      <c r="SYM30" s="279"/>
      <c r="SYN30" s="279"/>
      <c r="SYO30" s="279"/>
      <c r="SYP30" s="279"/>
      <c r="SYQ30" s="279"/>
      <c r="SYR30" s="279"/>
      <c r="SYS30" s="279"/>
      <c r="SYT30" s="279"/>
      <c r="SYU30" s="279"/>
      <c r="SYV30" s="279"/>
      <c r="SYW30" s="279"/>
      <c r="SYX30" s="279"/>
      <c r="SYY30" s="279"/>
      <c r="SYZ30" s="279"/>
      <c r="SZA30" s="279"/>
      <c r="SZB30" s="279"/>
      <c r="SZC30" s="279"/>
      <c r="SZD30" s="279"/>
      <c r="SZE30" s="279"/>
      <c r="SZF30" s="279"/>
      <c r="SZG30" s="279"/>
      <c r="SZH30" s="279"/>
      <c r="SZI30" s="279"/>
      <c r="SZJ30" s="279"/>
      <c r="SZK30" s="279"/>
      <c r="SZL30" s="279"/>
      <c r="SZM30" s="279"/>
      <c r="SZN30" s="279"/>
      <c r="SZO30" s="279"/>
      <c r="SZP30" s="279"/>
      <c r="SZQ30" s="279"/>
      <c r="SZR30" s="279"/>
      <c r="SZS30" s="279"/>
      <c r="SZT30" s="279"/>
      <c r="SZU30" s="279"/>
      <c r="SZV30" s="279"/>
      <c r="SZW30" s="279"/>
      <c r="SZX30" s="279"/>
      <c r="SZY30" s="279"/>
      <c r="SZZ30" s="279"/>
      <c r="TAA30" s="279"/>
      <c r="TAB30" s="279"/>
      <c r="TAC30" s="279"/>
      <c r="TAD30" s="279"/>
      <c r="TAE30" s="279"/>
      <c r="TAF30" s="279"/>
      <c r="TAG30" s="279"/>
      <c r="TAH30" s="279"/>
      <c r="TAI30" s="279"/>
      <c r="TAJ30" s="279"/>
      <c r="TAK30" s="279"/>
      <c r="TAL30" s="279"/>
      <c r="TAM30" s="279"/>
      <c r="TAN30" s="279"/>
      <c r="TAO30" s="279"/>
      <c r="TAP30" s="279"/>
      <c r="TAQ30" s="279"/>
      <c r="TAR30" s="279"/>
      <c r="TAS30" s="279"/>
      <c r="TAT30" s="279"/>
      <c r="TAU30" s="279"/>
      <c r="TAV30" s="279"/>
      <c r="TAW30" s="279"/>
      <c r="TAX30" s="279"/>
      <c r="TAY30" s="279"/>
      <c r="TAZ30" s="279"/>
      <c r="TBA30" s="279"/>
      <c r="TBB30" s="279"/>
      <c r="TBC30" s="279"/>
      <c r="TBD30" s="279"/>
      <c r="TBE30" s="279"/>
      <c r="TBF30" s="279"/>
      <c r="TBG30" s="279"/>
      <c r="TBH30" s="279"/>
      <c r="TBI30" s="279"/>
      <c r="TBJ30" s="279"/>
      <c r="TBK30" s="279"/>
      <c r="TBL30" s="279"/>
      <c r="TBM30" s="279"/>
      <c r="TBN30" s="279"/>
      <c r="TBO30" s="279"/>
      <c r="TBP30" s="279"/>
      <c r="TBQ30" s="279"/>
      <c r="TBR30" s="279"/>
      <c r="TBS30" s="279"/>
      <c r="TBT30" s="279"/>
      <c r="TBU30" s="279"/>
      <c r="TBV30" s="279"/>
      <c r="TBW30" s="279"/>
      <c r="TBX30" s="279"/>
      <c r="TBY30" s="279"/>
      <c r="TBZ30" s="279"/>
      <c r="TCA30" s="279"/>
      <c r="TCB30" s="279"/>
      <c r="TCC30" s="279"/>
      <c r="TCD30" s="279"/>
      <c r="TCE30" s="279"/>
      <c r="TCF30" s="279"/>
      <c r="TCG30" s="279"/>
      <c r="TCH30" s="279"/>
      <c r="TCI30" s="279"/>
      <c r="TCJ30" s="279"/>
      <c r="TCK30" s="279"/>
      <c r="TCL30" s="279"/>
      <c r="TCM30" s="279"/>
      <c r="TCN30" s="279"/>
      <c r="TCO30" s="279"/>
      <c r="TCP30" s="279"/>
      <c r="TCQ30" s="279"/>
      <c r="TCR30" s="279"/>
      <c r="TCS30" s="279"/>
      <c r="TCT30" s="279"/>
      <c r="TCU30" s="279"/>
      <c r="TCV30" s="279"/>
      <c r="TCW30" s="279"/>
      <c r="TCX30" s="279"/>
      <c r="TCY30" s="279"/>
      <c r="TCZ30" s="279"/>
      <c r="TDA30" s="279"/>
      <c r="TDB30" s="279"/>
      <c r="TDC30" s="279"/>
      <c r="TDD30" s="279"/>
      <c r="TDE30" s="279"/>
      <c r="TDF30" s="279"/>
      <c r="TDG30" s="279"/>
      <c r="TDH30" s="279"/>
      <c r="TDI30" s="279"/>
      <c r="TDJ30" s="279"/>
      <c r="TDK30" s="279"/>
      <c r="TDL30" s="279"/>
      <c r="TDM30" s="279"/>
      <c r="TDN30" s="279"/>
      <c r="TDO30" s="279"/>
      <c r="TDP30" s="279"/>
      <c r="TDQ30" s="279"/>
      <c r="TDR30" s="279"/>
      <c r="TDS30" s="279"/>
      <c r="TDT30" s="279"/>
      <c r="TDU30" s="279"/>
      <c r="TDV30" s="279"/>
      <c r="TDW30" s="279"/>
      <c r="TDX30" s="279"/>
      <c r="TDY30" s="279"/>
      <c r="TDZ30" s="279"/>
      <c r="TEA30" s="279"/>
      <c r="TEB30" s="279"/>
      <c r="TEC30" s="279"/>
      <c r="TED30" s="279"/>
      <c r="TEE30" s="279"/>
      <c r="TEF30" s="279"/>
      <c r="TEG30" s="279"/>
      <c r="TEH30" s="279"/>
      <c r="TEI30" s="279"/>
      <c r="TEJ30" s="279"/>
      <c r="TEK30" s="279"/>
      <c r="TEL30" s="279"/>
      <c r="TEM30" s="279"/>
      <c r="TEN30" s="279"/>
      <c r="TEO30" s="279"/>
      <c r="TEP30" s="279"/>
      <c r="TEQ30" s="279"/>
      <c r="TER30" s="279"/>
      <c r="TES30" s="279"/>
      <c r="TET30" s="279"/>
      <c r="TEU30" s="279"/>
      <c r="TEV30" s="279"/>
      <c r="TEW30" s="279"/>
      <c r="TEX30" s="279"/>
      <c r="TEY30" s="279"/>
      <c r="TEZ30" s="279"/>
      <c r="TFA30" s="279"/>
      <c r="TFB30" s="279"/>
      <c r="TFC30" s="279"/>
      <c r="TFD30" s="279"/>
      <c r="TFE30" s="279"/>
      <c r="TFF30" s="279"/>
      <c r="TFG30" s="279"/>
      <c r="TFH30" s="279"/>
      <c r="TFI30" s="279"/>
      <c r="TFJ30" s="279"/>
      <c r="TFK30" s="279"/>
      <c r="TFL30" s="279"/>
      <c r="TFM30" s="279"/>
      <c r="TFN30" s="279"/>
      <c r="TFO30" s="279"/>
      <c r="TFP30" s="279"/>
      <c r="TFQ30" s="279"/>
      <c r="TFR30" s="279"/>
      <c r="TFS30" s="279"/>
      <c r="TFT30" s="279"/>
      <c r="TFU30" s="279"/>
      <c r="TFV30" s="279"/>
      <c r="TFW30" s="279"/>
      <c r="TFX30" s="279"/>
      <c r="TFY30" s="279"/>
      <c r="TFZ30" s="279"/>
      <c r="TGA30" s="279"/>
      <c r="TGB30" s="279"/>
      <c r="TGC30" s="279"/>
      <c r="TGD30" s="279"/>
      <c r="TGE30" s="279"/>
      <c r="TGF30" s="279"/>
      <c r="TGG30" s="279"/>
      <c r="TGH30" s="279"/>
      <c r="TGI30" s="279"/>
      <c r="TGJ30" s="279"/>
      <c r="TGK30" s="279"/>
      <c r="TGL30" s="279"/>
      <c r="TGM30" s="279"/>
      <c r="TGN30" s="279"/>
      <c r="TGO30" s="279"/>
      <c r="TGP30" s="279"/>
      <c r="TGQ30" s="279"/>
      <c r="TGR30" s="279"/>
      <c r="TGS30" s="279"/>
      <c r="TGT30" s="279"/>
      <c r="TGU30" s="279"/>
      <c r="TGV30" s="279"/>
      <c r="TGW30" s="279"/>
      <c r="TGX30" s="279"/>
      <c r="TGY30" s="279"/>
      <c r="TGZ30" s="279"/>
      <c r="THA30" s="279"/>
      <c r="THB30" s="279"/>
      <c r="THC30" s="279"/>
      <c r="THD30" s="279"/>
      <c r="THE30" s="279"/>
      <c r="THF30" s="279"/>
      <c r="THG30" s="279"/>
      <c r="THH30" s="279"/>
      <c r="THI30" s="279"/>
      <c r="THJ30" s="279"/>
      <c r="THK30" s="279"/>
      <c r="THL30" s="279"/>
      <c r="THM30" s="279"/>
      <c r="THN30" s="279"/>
      <c r="THO30" s="279"/>
      <c r="THP30" s="279"/>
      <c r="THQ30" s="279"/>
      <c r="THR30" s="279"/>
      <c r="THS30" s="279"/>
      <c r="THT30" s="279"/>
      <c r="THU30" s="279"/>
      <c r="THV30" s="279"/>
      <c r="THW30" s="279"/>
      <c r="THX30" s="279"/>
      <c r="THY30" s="279"/>
      <c r="THZ30" s="279"/>
      <c r="TIA30" s="279"/>
      <c r="TIB30" s="279"/>
      <c r="TIC30" s="279"/>
      <c r="TID30" s="279"/>
      <c r="TIE30" s="279"/>
      <c r="TIF30" s="279"/>
      <c r="TIG30" s="279"/>
      <c r="TIH30" s="279"/>
      <c r="TII30" s="279"/>
      <c r="TIJ30" s="279"/>
      <c r="TIK30" s="279"/>
      <c r="TIL30" s="279"/>
      <c r="TIM30" s="279"/>
      <c r="TIN30" s="279"/>
      <c r="TIO30" s="279"/>
      <c r="TIP30" s="279"/>
      <c r="TIQ30" s="279"/>
      <c r="TIR30" s="279"/>
      <c r="TIS30" s="279"/>
      <c r="TIT30" s="279"/>
      <c r="TIU30" s="279"/>
      <c r="TIV30" s="279"/>
      <c r="TIW30" s="279"/>
      <c r="TIX30" s="279"/>
      <c r="TIY30" s="279"/>
      <c r="TIZ30" s="279"/>
      <c r="TJA30" s="279"/>
      <c r="TJB30" s="279"/>
      <c r="TJC30" s="279"/>
      <c r="TJD30" s="279"/>
      <c r="TJE30" s="279"/>
      <c r="TJF30" s="279"/>
      <c r="TJG30" s="279"/>
      <c r="TJH30" s="279"/>
      <c r="TJI30" s="279"/>
      <c r="TJJ30" s="279"/>
      <c r="TJK30" s="279"/>
      <c r="TJL30" s="279"/>
      <c r="TJM30" s="279"/>
      <c r="TJN30" s="279"/>
      <c r="TJO30" s="279"/>
      <c r="TJP30" s="279"/>
      <c r="TJQ30" s="279"/>
      <c r="TJR30" s="279"/>
      <c r="TJS30" s="279"/>
      <c r="TJT30" s="279"/>
      <c r="TJU30" s="279"/>
      <c r="TJV30" s="279"/>
      <c r="TJW30" s="279"/>
      <c r="TJX30" s="279"/>
      <c r="TJY30" s="279"/>
      <c r="TJZ30" s="279"/>
      <c r="TKA30" s="279"/>
      <c r="TKB30" s="279"/>
      <c r="TKC30" s="279"/>
      <c r="TKD30" s="279"/>
      <c r="TKE30" s="279"/>
      <c r="TKF30" s="279"/>
      <c r="TKG30" s="279"/>
      <c r="TKH30" s="279"/>
      <c r="TKI30" s="279"/>
      <c r="TKJ30" s="279"/>
      <c r="TKK30" s="279"/>
      <c r="TKL30" s="279"/>
      <c r="TKM30" s="279"/>
      <c r="TKN30" s="279"/>
      <c r="TKO30" s="279"/>
      <c r="TKP30" s="279"/>
      <c r="TKQ30" s="279"/>
      <c r="TKR30" s="279"/>
      <c r="TKS30" s="279"/>
      <c r="TKT30" s="279"/>
      <c r="TKU30" s="279"/>
      <c r="TKV30" s="279"/>
      <c r="TKW30" s="279"/>
      <c r="TKX30" s="279"/>
      <c r="TKY30" s="279"/>
      <c r="TKZ30" s="279"/>
      <c r="TLA30" s="279"/>
      <c r="TLB30" s="279"/>
      <c r="TLC30" s="279"/>
      <c r="TLD30" s="279"/>
      <c r="TLE30" s="279"/>
      <c r="TLF30" s="279"/>
      <c r="TLG30" s="279"/>
      <c r="TLH30" s="279"/>
      <c r="TLI30" s="279"/>
      <c r="TLJ30" s="279"/>
      <c r="TLK30" s="279"/>
      <c r="TLL30" s="279"/>
      <c r="TLM30" s="279"/>
      <c r="TLN30" s="279"/>
      <c r="TLO30" s="279"/>
      <c r="TLP30" s="279"/>
      <c r="TLQ30" s="279"/>
      <c r="TLR30" s="279"/>
      <c r="TLS30" s="279"/>
      <c r="TLT30" s="279"/>
      <c r="TLU30" s="279"/>
      <c r="TLV30" s="279"/>
      <c r="TLW30" s="279"/>
      <c r="TLX30" s="279"/>
      <c r="TLY30" s="279"/>
      <c r="TLZ30" s="279"/>
      <c r="TMA30" s="279"/>
      <c r="TMB30" s="279"/>
      <c r="TMC30" s="279"/>
      <c r="TMD30" s="279"/>
      <c r="TME30" s="279"/>
      <c r="TMF30" s="279"/>
      <c r="TMG30" s="279"/>
      <c r="TMH30" s="279"/>
      <c r="TMI30" s="279"/>
      <c r="TMJ30" s="279"/>
      <c r="TMK30" s="279"/>
      <c r="TML30" s="279"/>
      <c r="TMM30" s="279"/>
      <c r="TMN30" s="279"/>
      <c r="TMO30" s="279"/>
      <c r="TMP30" s="279"/>
      <c r="TMQ30" s="279"/>
      <c r="TMR30" s="279"/>
      <c r="TMS30" s="279"/>
      <c r="TMT30" s="279"/>
      <c r="TMU30" s="279"/>
      <c r="TMV30" s="279"/>
      <c r="TMW30" s="279"/>
      <c r="TMX30" s="279"/>
      <c r="TMY30" s="279"/>
      <c r="TMZ30" s="279"/>
      <c r="TNA30" s="279"/>
      <c r="TNB30" s="279"/>
      <c r="TNC30" s="279"/>
      <c r="TND30" s="279"/>
      <c r="TNE30" s="279"/>
      <c r="TNF30" s="279"/>
      <c r="TNG30" s="279"/>
      <c r="TNH30" s="279"/>
      <c r="TNI30" s="279"/>
      <c r="TNJ30" s="279"/>
      <c r="TNK30" s="279"/>
      <c r="TNL30" s="279"/>
      <c r="TNM30" s="279"/>
      <c r="TNN30" s="279"/>
      <c r="TNO30" s="279"/>
      <c r="TNP30" s="279"/>
      <c r="TNQ30" s="279"/>
      <c r="TNR30" s="279"/>
      <c r="TNS30" s="279"/>
      <c r="TNT30" s="279"/>
      <c r="TNU30" s="279"/>
      <c r="TNV30" s="279"/>
      <c r="TNW30" s="279"/>
      <c r="TNX30" s="279"/>
      <c r="TNY30" s="279"/>
      <c r="TNZ30" s="279"/>
      <c r="TOA30" s="279"/>
      <c r="TOB30" s="279"/>
      <c r="TOC30" s="279"/>
      <c r="TOD30" s="279"/>
      <c r="TOE30" s="279"/>
      <c r="TOF30" s="279"/>
      <c r="TOG30" s="279"/>
      <c r="TOH30" s="279"/>
      <c r="TOI30" s="279"/>
      <c r="TOJ30" s="279"/>
      <c r="TOK30" s="279"/>
      <c r="TOL30" s="279"/>
      <c r="TOM30" s="279"/>
      <c r="TON30" s="279"/>
      <c r="TOO30" s="279"/>
      <c r="TOP30" s="279"/>
      <c r="TOQ30" s="279"/>
      <c r="TOR30" s="279"/>
      <c r="TOS30" s="279"/>
      <c r="TOT30" s="279"/>
      <c r="TOU30" s="279"/>
      <c r="TOV30" s="279"/>
      <c r="TOW30" s="279"/>
      <c r="TOX30" s="279"/>
      <c r="TOY30" s="279"/>
      <c r="TOZ30" s="279"/>
      <c r="TPA30" s="279"/>
      <c r="TPB30" s="279"/>
      <c r="TPC30" s="279"/>
      <c r="TPD30" s="279"/>
      <c r="TPE30" s="279"/>
      <c r="TPF30" s="279"/>
      <c r="TPG30" s="279"/>
      <c r="TPH30" s="279"/>
      <c r="TPI30" s="279"/>
      <c r="TPJ30" s="279"/>
      <c r="TPK30" s="279"/>
      <c r="TPL30" s="279"/>
      <c r="TPM30" s="279"/>
      <c r="TPN30" s="279"/>
      <c r="TPO30" s="279"/>
      <c r="TPP30" s="279"/>
      <c r="TPQ30" s="279"/>
      <c r="TPR30" s="279"/>
      <c r="TPS30" s="279"/>
      <c r="TPT30" s="279"/>
      <c r="TPU30" s="279"/>
      <c r="TPV30" s="279"/>
      <c r="TPW30" s="279"/>
      <c r="TPX30" s="279"/>
      <c r="TPY30" s="279"/>
      <c r="TPZ30" s="279"/>
      <c r="TQA30" s="279"/>
      <c r="TQB30" s="279"/>
      <c r="TQC30" s="279"/>
      <c r="TQD30" s="279"/>
      <c r="TQE30" s="279"/>
      <c r="TQF30" s="279"/>
      <c r="TQG30" s="279"/>
      <c r="TQH30" s="279"/>
      <c r="TQI30" s="279"/>
      <c r="TQJ30" s="279"/>
      <c r="TQK30" s="279"/>
      <c r="TQL30" s="279"/>
      <c r="TQM30" s="279"/>
      <c r="TQN30" s="279"/>
      <c r="TQO30" s="279"/>
      <c r="TQP30" s="279"/>
      <c r="TQQ30" s="279"/>
      <c r="TQR30" s="279"/>
      <c r="TQS30" s="279"/>
      <c r="TQT30" s="279"/>
      <c r="TQU30" s="279"/>
      <c r="TQV30" s="279"/>
      <c r="TQW30" s="279"/>
      <c r="TQX30" s="279"/>
      <c r="TQY30" s="279"/>
      <c r="TQZ30" s="279"/>
      <c r="TRA30" s="279"/>
      <c r="TRB30" s="279"/>
      <c r="TRC30" s="279"/>
      <c r="TRD30" s="279"/>
      <c r="TRE30" s="279"/>
      <c r="TRF30" s="279"/>
      <c r="TRG30" s="279"/>
      <c r="TRH30" s="279"/>
      <c r="TRI30" s="279"/>
      <c r="TRJ30" s="279"/>
      <c r="TRK30" s="279"/>
      <c r="TRL30" s="279"/>
      <c r="TRM30" s="279"/>
      <c r="TRN30" s="279"/>
      <c r="TRO30" s="279"/>
      <c r="TRP30" s="279"/>
      <c r="TRQ30" s="279"/>
      <c r="TRR30" s="279"/>
      <c r="TRS30" s="279"/>
      <c r="TRT30" s="279"/>
      <c r="TRU30" s="279"/>
      <c r="TRV30" s="279"/>
      <c r="TRW30" s="279"/>
      <c r="TRX30" s="279"/>
      <c r="TRY30" s="279"/>
      <c r="TRZ30" s="279"/>
      <c r="TSA30" s="279"/>
      <c r="TSB30" s="279"/>
      <c r="TSC30" s="279"/>
      <c r="TSD30" s="279"/>
      <c r="TSE30" s="279"/>
      <c r="TSF30" s="279"/>
      <c r="TSG30" s="279"/>
      <c r="TSH30" s="279"/>
      <c r="TSI30" s="279"/>
      <c r="TSJ30" s="279"/>
      <c r="TSK30" s="279"/>
      <c r="TSL30" s="279"/>
      <c r="TSM30" s="279"/>
      <c r="TSN30" s="279"/>
      <c r="TSO30" s="279"/>
      <c r="TSP30" s="279"/>
      <c r="TSQ30" s="279"/>
      <c r="TSR30" s="279"/>
      <c r="TSS30" s="279"/>
      <c r="TST30" s="279"/>
      <c r="TSU30" s="279"/>
      <c r="TSV30" s="279"/>
      <c r="TSW30" s="279"/>
      <c r="TSX30" s="279"/>
      <c r="TSY30" s="279"/>
      <c r="TSZ30" s="279"/>
      <c r="TTA30" s="279"/>
      <c r="TTB30" s="279"/>
      <c r="TTC30" s="279"/>
      <c r="TTD30" s="279"/>
      <c r="TTE30" s="279"/>
      <c r="TTF30" s="279"/>
      <c r="TTG30" s="279"/>
      <c r="TTH30" s="279"/>
      <c r="TTI30" s="279"/>
      <c r="TTJ30" s="279"/>
      <c r="TTK30" s="279"/>
      <c r="TTL30" s="279"/>
      <c r="TTM30" s="279"/>
      <c r="TTN30" s="279"/>
      <c r="TTO30" s="279"/>
      <c r="TTP30" s="279"/>
      <c r="TTQ30" s="279"/>
      <c r="TTR30" s="279"/>
      <c r="TTS30" s="279"/>
      <c r="TTT30" s="279"/>
      <c r="TTU30" s="279"/>
      <c r="TTV30" s="279"/>
      <c r="TTW30" s="279"/>
      <c r="TTX30" s="279"/>
      <c r="TTY30" s="279"/>
      <c r="TTZ30" s="279"/>
      <c r="TUA30" s="279"/>
      <c r="TUB30" s="279"/>
      <c r="TUC30" s="279"/>
      <c r="TUD30" s="279"/>
      <c r="TUE30" s="279"/>
      <c r="TUF30" s="279"/>
      <c r="TUG30" s="279"/>
      <c r="TUH30" s="279"/>
      <c r="TUI30" s="279"/>
      <c r="TUJ30" s="279"/>
      <c r="TUK30" s="279"/>
      <c r="TUL30" s="279"/>
      <c r="TUM30" s="279"/>
      <c r="TUN30" s="279"/>
      <c r="TUO30" s="279"/>
      <c r="TUP30" s="279"/>
      <c r="TUQ30" s="279"/>
      <c r="TUR30" s="279"/>
      <c r="TUS30" s="279"/>
      <c r="TUT30" s="279"/>
      <c r="TUU30" s="279"/>
      <c r="TUV30" s="279"/>
      <c r="TUW30" s="279"/>
      <c r="TUX30" s="279"/>
      <c r="TUY30" s="279"/>
      <c r="TUZ30" s="279"/>
      <c r="TVA30" s="279"/>
      <c r="TVB30" s="279"/>
      <c r="TVC30" s="279"/>
      <c r="TVD30" s="279"/>
      <c r="TVE30" s="279"/>
      <c r="TVF30" s="279"/>
      <c r="TVG30" s="279"/>
      <c r="TVH30" s="279"/>
      <c r="TVI30" s="279"/>
      <c r="TVJ30" s="279"/>
      <c r="TVK30" s="279"/>
      <c r="TVL30" s="279"/>
      <c r="TVM30" s="279"/>
      <c r="TVN30" s="279"/>
      <c r="TVO30" s="279"/>
      <c r="TVP30" s="279"/>
      <c r="TVQ30" s="279"/>
      <c r="TVR30" s="279"/>
      <c r="TVS30" s="279"/>
      <c r="TVT30" s="279"/>
      <c r="TVU30" s="279"/>
      <c r="TVV30" s="279"/>
      <c r="TVW30" s="279"/>
      <c r="TVX30" s="279"/>
      <c r="TVY30" s="279"/>
      <c r="TVZ30" s="279"/>
      <c r="TWA30" s="279"/>
      <c r="TWB30" s="279"/>
      <c r="TWC30" s="279"/>
      <c r="TWD30" s="279"/>
      <c r="TWE30" s="279"/>
      <c r="TWF30" s="279"/>
      <c r="TWG30" s="279"/>
      <c r="TWH30" s="279"/>
      <c r="TWI30" s="279"/>
      <c r="TWJ30" s="279"/>
      <c r="TWK30" s="279"/>
      <c r="TWL30" s="279"/>
      <c r="TWM30" s="279"/>
      <c r="TWN30" s="279"/>
      <c r="TWO30" s="279"/>
      <c r="TWP30" s="279"/>
      <c r="TWQ30" s="279"/>
      <c r="TWR30" s="279"/>
      <c r="TWS30" s="279"/>
      <c r="TWT30" s="279"/>
      <c r="TWU30" s="279"/>
      <c r="TWV30" s="279"/>
      <c r="TWW30" s="279"/>
      <c r="TWX30" s="279"/>
      <c r="TWY30" s="279"/>
      <c r="TWZ30" s="279"/>
      <c r="TXA30" s="279"/>
      <c r="TXB30" s="279"/>
      <c r="TXC30" s="279"/>
      <c r="TXD30" s="279"/>
      <c r="TXE30" s="279"/>
      <c r="TXF30" s="279"/>
      <c r="TXG30" s="279"/>
      <c r="TXH30" s="279"/>
      <c r="TXI30" s="279"/>
      <c r="TXJ30" s="279"/>
      <c r="TXK30" s="279"/>
      <c r="TXL30" s="279"/>
      <c r="TXM30" s="279"/>
      <c r="TXN30" s="279"/>
      <c r="TXO30" s="279"/>
      <c r="TXP30" s="279"/>
      <c r="TXQ30" s="279"/>
      <c r="TXR30" s="279"/>
      <c r="TXS30" s="279"/>
      <c r="TXT30" s="279"/>
      <c r="TXU30" s="279"/>
      <c r="TXV30" s="279"/>
      <c r="TXW30" s="279"/>
      <c r="TXX30" s="279"/>
      <c r="TXY30" s="279"/>
      <c r="TXZ30" s="279"/>
      <c r="TYA30" s="279"/>
      <c r="TYB30" s="279"/>
      <c r="TYC30" s="279"/>
      <c r="TYD30" s="279"/>
      <c r="TYE30" s="279"/>
      <c r="TYF30" s="279"/>
      <c r="TYG30" s="279"/>
      <c r="TYH30" s="279"/>
      <c r="TYI30" s="279"/>
      <c r="TYJ30" s="279"/>
      <c r="TYK30" s="279"/>
      <c r="TYL30" s="279"/>
      <c r="TYM30" s="279"/>
      <c r="TYN30" s="279"/>
      <c r="TYO30" s="279"/>
      <c r="TYP30" s="279"/>
      <c r="TYQ30" s="279"/>
      <c r="TYR30" s="279"/>
      <c r="TYS30" s="279"/>
      <c r="TYT30" s="279"/>
      <c r="TYU30" s="279"/>
      <c r="TYV30" s="279"/>
      <c r="TYW30" s="279"/>
      <c r="TYX30" s="279"/>
      <c r="TYY30" s="279"/>
      <c r="TYZ30" s="279"/>
      <c r="TZA30" s="279"/>
      <c r="TZB30" s="279"/>
      <c r="TZC30" s="279"/>
      <c r="TZD30" s="279"/>
      <c r="TZE30" s="279"/>
      <c r="TZF30" s="279"/>
      <c r="TZG30" s="279"/>
      <c r="TZH30" s="279"/>
      <c r="TZI30" s="279"/>
      <c r="TZJ30" s="279"/>
      <c r="TZK30" s="279"/>
      <c r="TZL30" s="279"/>
      <c r="TZM30" s="279"/>
      <c r="TZN30" s="279"/>
      <c r="TZO30" s="279"/>
      <c r="TZP30" s="279"/>
      <c r="TZQ30" s="279"/>
      <c r="TZR30" s="279"/>
      <c r="TZS30" s="279"/>
      <c r="TZT30" s="279"/>
      <c r="TZU30" s="279"/>
      <c r="TZV30" s="279"/>
      <c r="TZW30" s="279"/>
      <c r="TZX30" s="279"/>
      <c r="TZY30" s="279"/>
      <c r="TZZ30" s="279"/>
      <c r="UAA30" s="279"/>
      <c r="UAB30" s="279"/>
      <c r="UAC30" s="279"/>
      <c r="UAD30" s="279"/>
      <c r="UAE30" s="279"/>
      <c r="UAF30" s="279"/>
      <c r="UAG30" s="279"/>
      <c r="UAH30" s="279"/>
      <c r="UAI30" s="279"/>
      <c r="UAJ30" s="279"/>
      <c r="UAK30" s="279"/>
      <c r="UAL30" s="279"/>
      <c r="UAM30" s="279"/>
      <c r="UAN30" s="279"/>
      <c r="UAO30" s="279"/>
      <c r="UAP30" s="279"/>
      <c r="UAQ30" s="279"/>
      <c r="UAR30" s="279"/>
      <c r="UAS30" s="279"/>
      <c r="UAT30" s="279"/>
      <c r="UAU30" s="279"/>
      <c r="UAV30" s="279"/>
      <c r="UAW30" s="279"/>
      <c r="UAX30" s="279"/>
      <c r="UAY30" s="279"/>
      <c r="UAZ30" s="279"/>
      <c r="UBA30" s="279"/>
      <c r="UBB30" s="279"/>
      <c r="UBC30" s="279"/>
      <c r="UBD30" s="279"/>
      <c r="UBE30" s="279"/>
      <c r="UBF30" s="279"/>
      <c r="UBG30" s="279"/>
      <c r="UBH30" s="279"/>
      <c r="UBI30" s="279"/>
      <c r="UBJ30" s="279"/>
      <c r="UBK30" s="279"/>
      <c r="UBL30" s="279"/>
      <c r="UBM30" s="279"/>
      <c r="UBN30" s="279"/>
      <c r="UBO30" s="279"/>
      <c r="UBP30" s="279"/>
      <c r="UBQ30" s="279"/>
      <c r="UBR30" s="279"/>
      <c r="UBS30" s="279"/>
      <c r="UBT30" s="279"/>
      <c r="UBU30" s="279"/>
      <c r="UBV30" s="279"/>
      <c r="UBW30" s="279"/>
      <c r="UBX30" s="279"/>
      <c r="UBY30" s="279"/>
      <c r="UBZ30" s="279"/>
      <c r="UCA30" s="279"/>
      <c r="UCB30" s="279"/>
      <c r="UCC30" s="279"/>
      <c r="UCD30" s="279"/>
      <c r="UCE30" s="279"/>
      <c r="UCF30" s="279"/>
      <c r="UCG30" s="279"/>
      <c r="UCH30" s="279"/>
      <c r="UCI30" s="279"/>
      <c r="UCJ30" s="279"/>
      <c r="UCK30" s="279"/>
      <c r="UCL30" s="279"/>
      <c r="UCM30" s="279"/>
      <c r="UCN30" s="279"/>
      <c r="UCO30" s="279"/>
      <c r="UCP30" s="279"/>
      <c r="UCQ30" s="279"/>
      <c r="UCR30" s="279"/>
      <c r="UCS30" s="279"/>
      <c r="UCT30" s="279"/>
      <c r="UCU30" s="279"/>
      <c r="UCV30" s="279"/>
      <c r="UCW30" s="279"/>
      <c r="UCX30" s="279"/>
      <c r="UCY30" s="279"/>
      <c r="UCZ30" s="279"/>
      <c r="UDA30" s="279"/>
      <c r="UDB30" s="279"/>
      <c r="UDC30" s="279"/>
      <c r="UDD30" s="279"/>
      <c r="UDE30" s="279"/>
      <c r="UDF30" s="279"/>
      <c r="UDG30" s="279"/>
      <c r="UDH30" s="279"/>
      <c r="UDI30" s="279"/>
      <c r="UDJ30" s="279"/>
      <c r="UDK30" s="279"/>
      <c r="UDL30" s="279"/>
      <c r="UDM30" s="279"/>
      <c r="UDN30" s="279"/>
      <c r="UDO30" s="279"/>
      <c r="UDP30" s="279"/>
      <c r="UDQ30" s="279"/>
      <c r="UDR30" s="279"/>
      <c r="UDS30" s="279"/>
      <c r="UDT30" s="279"/>
      <c r="UDU30" s="279"/>
      <c r="UDV30" s="279"/>
      <c r="UDW30" s="279"/>
      <c r="UDX30" s="279"/>
      <c r="UDY30" s="279"/>
      <c r="UDZ30" s="279"/>
      <c r="UEA30" s="279"/>
      <c r="UEB30" s="279"/>
      <c r="UEC30" s="279"/>
      <c r="UED30" s="279"/>
      <c r="UEE30" s="279"/>
      <c r="UEF30" s="279"/>
      <c r="UEG30" s="279"/>
      <c r="UEH30" s="279"/>
      <c r="UEI30" s="279"/>
      <c r="UEJ30" s="279"/>
      <c r="UEK30" s="279"/>
      <c r="UEL30" s="279"/>
      <c r="UEM30" s="279"/>
      <c r="UEN30" s="279"/>
      <c r="UEO30" s="279"/>
      <c r="UEP30" s="279"/>
      <c r="UEQ30" s="279"/>
      <c r="UER30" s="279"/>
      <c r="UES30" s="279"/>
      <c r="UET30" s="279"/>
      <c r="UEU30" s="279"/>
      <c r="UEV30" s="279"/>
      <c r="UEW30" s="279"/>
      <c r="UEX30" s="279"/>
      <c r="UEY30" s="279"/>
      <c r="UEZ30" s="279"/>
      <c r="UFA30" s="279"/>
      <c r="UFB30" s="279"/>
      <c r="UFC30" s="279"/>
      <c r="UFD30" s="279"/>
      <c r="UFE30" s="279"/>
      <c r="UFF30" s="279"/>
      <c r="UFG30" s="279"/>
      <c r="UFH30" s="279"/>
      <c r="UFI30" s="279"/>
      <c r="UFJ30" s="279"/>
      <c r="UFK30" s="279"/>
      <c r="UFL30" s="279"/>
      <c r="UFM30" s="279"/>
      <c r="UFN30" s="279"/>
      <c r="UFO30" s="279"/>
      <c r="UFP30" s="279"/>
      <c r="UFQ30" s="279"/>
      <c r="UFR30" s="279"/>
      <c r="UFS30" s="279"/>
      <c r="UFT30" s="279"/>
      <c r="UFU30" s="279"/>
      <c r="UFV30" s="279"/>
      <c r="UFW30" s="279"/>
      <c r="UFX30" s="279"/>
      <c r="UFY30" s="279"/>
      <c r="UFZ30" s="279"/>
      <c r="UGA30" s="279"/>
      <c r="UGB30" s="279"/>
      <c r="UGC30" s="279"/>
      <c r="UGD30" s="279"/>
      <c r="UGE30" s="279"/>
      <c r="UGF30" s="279"/>
      <c r="UGG30" s="279"/>
      <c r="UGH30" s="279"/>
      <c r="UGI30" s="279"/>
      <c r="UGJ30" s="279"/>
      <c r="UGK30" s="279"/>
      <c r="UGL30" s="279"/>
      <c r="UGM30" s="279"/>
      <c r="UGN30" s="279"/>
      <c r="UGO30" s="279"/>
      <c r="UGP30" s="279"/>
      <c r="UGQ30" s="279"/>
      <c r="UGR30" s="279"/>
      <c r="UGS30" s="279"/>
      <c r="UGT30" s="279"/>
      <c r="UGU30" s="279"/>
      <c r="UGV30" s="279"/>
      <c r="UGW30" s="279"/>
      <c r="UGX30" s="279"/>
      <c r="UGY30" s="279"/>
      <c r="UGZ30" s="279"/>
      <c r="UHA30" s="279"/>
      <c r="UHB30" s="279"/>
      <c r="UHC30" s="279"/>
      <c r="UHD30" s="279"/>
      <c r="UHE30" s="279"/>
      <c r="UHF30" s="279"/>
      <c r="UHG30" s="279"/>
      <c r="UHH30" s="279"/>
      <c r="UHI30" s="279"/>
      <c r="UHJ30" s="279"/>
      <c r="UHK30" s="279"/>
      <c r="UHL30" s="279"/>
      <c r="UHM30" s="279"/>
      <c r="UHN30" s="279"/>
      <c r="UHO30" s="279"/>
      <c r="UHP30" s="279"/>
      <c r="UHQ30" s="279"/>
      <c r="UHR30" s="279"/>
      <c r="UHS30" s="279"/>
      <c r="UHT30" s="279"/>
      <c r="UHU30" s="279"/>
      <c r="UHV30" s="279"/>
      <c r="UHW30" s="279"/>
      <c r="UHX30" s="279"/>
      <c r="UHY30" s="279"/>
      <c r="UHZ30" s="279"/>
      <c r="UIA30" s="279"/>
      <c r="UIB30" s="279"/>
      <c r="UIC30" s="279"/>
      <c r="UID30" s="279"/>
      <c r="UIE30" s="279"/>
      <c r="UIF30" s="279"/>
      <c r="UIG30" s="279"/>
      <c r="UIH30" s="279"/>
      <c r="UII30" s="279"/>
      <c r="UIJ30" s="279"/>
      <c r="UIK30" s="279"/>
      <c r="UIL30" s="279"/>
      <c r="UIM30" s="279"/>
      <c r="UIN30" s="279"/>
      <c r="UIO30" s="279"/>
      <c r="UIP30" s="279"/>
      <c r="UIQ30" s="279"/>
      <c r="UIR30" s="279"/>
      <c r="UIS30" s="279"/>
      <c r="UIT30" s="279"/>
      <c r="UIU30" s="279"/>
      <c r="UIV30" s="279"/>
      <c r="UIW30" s="279"/>
      <c r="UIX30" s="279"/>
      <c r="UIY30" s="279"/>
      <c r="UIZ30" s="279"/>
      <c r="UJA30" s="279"/>
      <c r="UJB30" s="279"/>
      <c r="UJC30" s="279"/>
      <c r="UJD30" s="279"/>
      <c r="UJE30" s="279"/>
      <c r="UJF30" s="279"/>
      <c r="UJG30" s="279"/>
      <c r="UJH30" s="279"/>
      <c r="UJI30" s="279"/>
      <c r="UJJ30" s="279"/>
      <c r="UJK30" s="279"/>
      <c r="UJL30" s="279"/>
      <c r="UJM30" s="279"/>
      <c r="UJN30" s="279"/>
      <c r="UJO30" s="279"/>
      <c r="UJP30" s="279"/>
      <c r="UJQ30" s="279"/>
      <c r="UJR30" s="279"/>
      <c r="UJS30" s="279"/>
      <c r="UJT30" s="279"/>
      <c r="UJU30" s="279"/>
      <c r="UJV30" s="279"/>
      <c r="UJW30" s="279"/>
      <c r="UJX30" s="279"/>
      <c r="UJY30" s="279"/>
      <c r="UJZ30" s="279"/>
      <c r="UKA30" s="279"/>
      <c r="UKB30" s="279"/>
      <c r="UKC30" s="279"/>
      <c r="UKD30" s="279"/>
      <c r="UKE30" s="279"/>
      <c r="UKF30" s="279"/>
      <c r="UKG30" s="279"/>
      <c r="UKH30" s="279"/>
      <c r="UKI30" s="279"/>
      <c r="UKJ30" s="279"/>
      <c r="UKK30" s="279"/>
      <c r="UKL30" s="279"/>
      <c r="UKM30" s="279"/>
      <c r="UKN30" s="279"/>
      <c r="UKO30" s="279"/>
      <c r="UKP30" s="279"/>
      <c r="UKQ30" s="279"/>
      <c r="UKR30" s="279"/>
      <c r="UKS30" s="279"/>
      <c r="UKT30" s="279"/>
      <c r="UKU30" s="279"/>
      <c r="UKV30" s="279"/>
      <c r="UKW30" s="279"/>
      <c r="UKX30" s="279"/>
      <c r="UKY30" s="279"/>
      <c r="UKZ30" s="279"/>
      <c r="ULA30" s="279"/>
      <c r="ULB30" s="279"/>
      <c r="ULC30" s="279"/>
      <c r="ULD30" s="279"/>
      <c r="ULE30" s="279"/>
      <c r="ULF30" s="279"/>
      <c r="ULG30" s="279"/>
      <c r="ULH30" s="279"/>
      <c r="ULI30" s="279"/>
      <c r="ULJ30" s="279"/>
      <c r="ULK30" s="279"/>
      <c r="ULL30" s="279"/>
      <c r="ULM30" s="279"/>
      <c r="ULN30" s="279"/>
      <c r="ULO30" s="279"/>
      <c r="ULP30" s="279"/>
      <c r="ULQ30" s="279"/>
      <c r="ULR30" s="279"/>
      <c r="ULS30" s="279"/>
      <c r="ULT30" s="279"/>
      <c r="ULU30" s="279"/>
      <c r="ULV30" s="279"/>
      <c r="ULW30" s="279"/>
      <c r="ULX30" s="279"/>
      <c r="ULY30" s="279"/>
      <c r="ULZ30" s="279"/>
      <c r="UMA30" s="279"/>
      <c r="UMB30" s="279"/>
      <c r="UMC30" s="279"/>
      <c r="UMD30" s="279"/>
      <c r="UME30" s="279"/>
      <c r="UMF30" s="279"/>
      <c r="UMG30" s="279"/>
      <c r="UMH30" s="279"/>
      <c r="UMI30" s="279"/>
      <c r="UMJ30" s="279"/>
      <c r="UMK30" s="279"/>
      <c r="UML30" s="279"/>
      <c r="UMM30" s="279"/>
      <c r="UMN30" s="279"/>
      <c r="UMO30" s="279"/>
      <c r="UMP30" s="279"/>
      <c r="UMQ30" s="279"/>
      <c r="UMR30" s="279"/>
      <c r="UMS30" s="279"/>
      <c r="UMT30" s="279"/>
      <c r="UMU30" s="279"/>
      <c r="UMV30" s="279"/>
      <c r="UMW30" s="279"/>
      <c r="UMX30" s="279"/>
      <c r="UMY30" s="279"/>
      <c r="UMZ30" s="279"/>
      <c r="UNA30" s="279"/>
      <c r="UNB30" s="279"/>
      <c r="UNC30" s="279"/>
      <c r="UND30" s="279"/>
      <c r="UNE30" s="279"/>
      <c r="UNF30" s="279"/>
      <c r="UNG30" s="279"/>
      <c r="UNH30" s="279"/>
      <c r="UNI30" s="279"/>
      <c r="UNJ30" s="279"/>
      <c r="UNK30" s="279"/>
      <c r="UNL30" s="279"/>
      <c r="UNM30" s="279"/>
      <c r="UNN30" s="279"/>
      <c r="UNO30" s="279"/>
      <c r="UNP30" s="279"/>
      <c r="UNQ30" s="279"/>
      <c r="UNR30" s="279"/>
      <c r="UNS30" s="279"/>
      <c r="UNT30" s="279"/>
      <c r="UNU30" s="279"/>
      <c r="UNV30" s="279"/>
      <c r="UNW30" s="279"/>
      <c r="UNX30" s="279"/>
      <c r="UNY30" s="279"/>
      <c r="UNZ30" s="279"/>
      <c r="UOA30" s="279"/>
      <c r="UOB30" s="279"/>
      <c r="UOC30" s="279"/>
      <c r="UOD30" s="279"/>
      <c r="UOE30" s="279"/>
      <c r="UOF30" s="279"/>
      <c r="UOG30" s="279"/>
      <c r="UOH30" s="279"/>
      <c r="UOI30" s="279"/>
      <c r="UOJ30" s="279"/>
      <c r="UOK30" s="279"/>
      <c r="UOL30" s="279"/>
      <c r="UOM30" s="279"/>
      <c r="UON30" s="279"/>
      <c r="UOO30" s="279"/>
      <c r="UOP30" s="279"/>
      <c r="UOQ30" s="279"/>
      <c r="UOR30" s="279"/>
      <c r="UOS30" s="279"/>
      <c r="UOT30" s="279"/>
      <c r="UOU30" s="279"/>
      <c r="UOV30" s="279"/>
      <c r="UOW30" s="279"/>
      <c r="UOX30" s="279"/>
      <c r="UOY30" s="279"/>
      <c r="UOZ30" s="279"/>
      <c r="UPA30" s="279"/>
      <c r="UPB30" s="279"/>
      <c r="UPC30" s="279"/>
      <c r="UPD30" s="279"/>
      <c r="UPE30" s="279"/>
      <c r="UPF30" s="279"/>
      <c r="UPG30" s="279"/>
      <c r="UPH30" s="279"/>
      <c r="UPI30" s="279"/>
      <c r="UPJ30" s="279"/>
      <c r="UPK30" s="279"/>
      <c r="UPL30" s="279"/>
      <c r="UPM30" s="279"/>
      <c r="UPN30" s="279"/>
      <c r="UPO30" s="279"/>
      <c r="UPP30" s="279"/>
      <c r="UPQ30" s="279"/>
      <c r="UPR30" s="279"/>
      <c r="UPS30" s="279"/>
      <c r="UPT30" s="279"/>
      <c r="UPU30" s="279"/>
      <c r="UPV30" s="279"/>
      <c r="UPW30" s="279"/>
      <c r="UPX30" s="279"/>
      <c r="UPY30" s="279"/>
      <c r="UPZ30" s="279"/>
      <c r="UQA30" s="279"/>
      <c r="UQB30" s="279"/>
      <c r="UQC30" s="279"/>
      <c r="UQD30" s="279"/>
      <c r="UQE30" s="279"/>
      <c r="UQF30" s="279"/>
      <c r="UQG30" s="279"/>
      <c r="UQH30" s="279"/>
      <c r="UQI30" s="279"/>
      <c r="UQJ30" s="279"/>
      <c r="UQK30" s="279"/>
      <c r="UQL30" s="279"/>
      <c r="UQM30" s="279"/>
      <c r="UQN30" s="279"/>
      <c r="UQO30" s="279"/>
      <c r="UQP30" s="279"/>
      <c r="UQQ30" s="279"/>
      <c r="UQR30" s="279"/>
      <c r="UQS30" s="279"/>
      <c r="UQT30" s="279"/>
      <c r="UQU30" s="279"/>
      <c r="UQV30" s="279"/>
      <c r="UQW30" s="279"/>
      <c r="UQX30" s="279"/>
      <c r="UQY30" s="279"/>
      <c r="UQZ30" s="279"/>
      <c r="URA30" s="279"/>
      <c r="URB30" s="279"/>
      <c r="URC30" s="279"/>
      <c r="URD30" s="279"/>
      <c r="URE30" s="279"/>
      <c r="URF30" s="279"/>
      <c r="URG30" s="279"/>
      <c r="URH30" s="279"/>
      <c r="URI30" s="279"/>
      <c r="URJ30" s="279"/>
      <c r="URK30" s="279"/>
      <c r="URL30" s="279"/>
      <c r="URM30" s="279"/>
      <c r="URN30" s="279"/>
      <c r="URO30" s="279"/>
      <c r="URP30" s="279"/>
      <c r="URQ30" s="279"/>
      <c r="URR30" s="279"/>
      <c r="URS30" s="279"/>
      <c r="URT30" s="279"/>
      <c r="URU30" s="279"/>
      <c r="URV30" s="279"/>
      <c r="URW30" s="279"/>
      <c r="URX30" s="279"/>
      <c r="URY30" s="279"/>
      <c r="URZ30" s="279"/>
      <c r="USA30" s="279"/>
      <c r="USB30" s="279"/>
      <c r="USC30" s="279"/>
      <c r="USD30" s="279"/>
      <c r="USE30" s="279"/>
      <c r="USF30" s="279"/>
      <c r="USG30" s="279"/>
      <c r="USH30" s="279"/>
      <c r="USI30" s="279"/>
      <c r="USJ30" s="279"/>
      <c r="USK30" s="279"/>
      <c r="USL30" s="279"/>
      <c r="USM30" s="279"/>
      <c r="USN30" s="279"/>
      <c r="USO30" s="279"/>
      <c r="USP30" s="279"/>
      <c r="USQ30" s="279"/>
      <c r="USR30" s="279"/>
      <c r="USS30" s="279"/>
      <c r="UST30" s="279"/>
      <c r="USU30" s="279"/>
      <c r="USV30" s="279"/>
      <c r="USW30" s="279"/>
      <c r="USX30" s="279"/>
      <c r="USY30" s="279"/>
      <c r="USZ30" s="279"/>
      <c r="UTA30" s="279"/>
      <c r="UTB30" s="279"/>
      <c r="UTC30" s="279"/>
      <c r="UTD30" s="279"/>
      <c r="UTE30" s="279"/>
      <c r="UTF30" s="279"/>
      <c r="UTG30" s="279"/>
      <c r="UTH30" s="279"/>
      <c r="UTI30" s="279"/>
      <c r="UTJ30" s="279"/>
      <c r="UTK30" s="279"/>
      <c r="UTL30" s="279"/>
      <c r="UTM30" s="279"/>
      <c r="UTN30" s="279"/>
      <c r="UTO30" s="279"/>
      <c r="UTP30" s="279"/>
      <c r="UTQ30" s="279"/>
      <c r="UTR30" s="279"/>
      <c r="UTS30" s="279"/>
      <c r="UTT30" s="279"/>
      <c r="UTU30" s="279"/>
      <c r="UTV30" s="279"/>
      <c r="UTW30" s="279"/>
      <c r="UTX30" s="279"/>
      <c r="UTY30" s="279"/>
      <c r="UTZ30" s="279"/>
      <c r="UUA30" s="279"/>
      <c r="UUB30" s="279"/>
      <c r="UUC30" s="279"/>
      <c r="UUD30" s="279"/>
      <c r="UUE30" s="279"/>
      <c r="UUF30" s="279"/>
      <c r="UUG30" s="279"/>
      <c r="UUH30" s="279"/>
      <c r="UUI30" s="279"/>
      <c r="UUJ30" s="279"/>
      <c r="UUK30" s="279"/>
      <c r="UUL30" s="279"/>
      <c r="UUM30" s="279"/>
      <c r="UUN30" s="279"/>
      <c r="UUO30" s="279"/>
      <c r="UUP30" s="279"/>
      <c r="UUQ30" s="279"/>
      <c r="UUR30" s="279"/>
      <c r="UUS30" s="279"/>
      <c r="UUT30" s="279"/>
      <c r="UUU30" s="279"/>
      <c r="UUV30" s="279"/>
      <c r="UUW30" s="279"/>
      <c r="UUX30" s="279"/>
      <c r="UUY30" s="279"/>
      <c r="UUZ30" s="279"/>
      <c r="UVA30" s="279"/>
      <c r="UVB30" s="279"/>
      <c r="UVC30" s="279"/>
      <c r="UVD30" s="279"/>
      <c r="UVE30" s="279"/>
      <c r="UVF30" s="279"/>
      <c r="UVG30" s="279"/>
      <c r="UVH30" s="279"/>
      <c r="UVI30" s="279"/>
      <c r="UVJ30" s="279"/>
      <c r="UVK30" s="279"/>
      <c r="UVL30" s="279"/>
      <c r="UVM30" s="279"/>
      <c r="UVN30" s="279"/>
      <c r="UVO30" s="279"/>
      <c r="UVP30" s="279"/>
      <c r="UVQ30" s="279"/>
      <c r="UVR30" s="279"/>
      <c r="UVS30" s="279"/>
      <c r="UVT30" s="279"/>
      <c r="UVU30" s="279"/>
      <c r="UVV30" s="279"/>
      <c r="UVW30" s="279"/>
      <c r="UVX30" s="279"/>
      <c r="UVY30" s="279"/>
      <c r="UVZ30" s="279"/>
      <c r="UWA30" s="279"/>
      <c r="UWB30" s="279"/>
      <c r="UWC30" s="279"/>
      <c r="UWD30" s="279"/>
      <c r="UWE30" s="279"/>
      <c r="UWF30" s="279"/>
      <c r="UWG30" s="279"/>
      <c r="UWH30" s="279"/>
      <c r="UWI30" s="279"/>
      <c r="UWJ30" s="279"/>
      <c r="UWK30" s="279"/>
      <c r="UWL30" s="279"/>
      <c r="UWM30" s="279"/>
      <c r="UWN30" s="279"/>
      <c r="UWO30" s="279"/>
      <c r="UWP30" s="279"/>
      <c r="UWQ30" s="279"/>
      <c r="UWR30" s="279"/>
      <c r="UWS30" s="279"/>
      <c r="UWT30" s="279"/>
      <c r="UWU30" s="279"/>
      <c r="UWV30" s="279"/>
      <c r="UWW30" s="279"/>
      <c r="UWX30" s="279"/>
      <c r="UWY30" s="279"/>
      <c r="UWZ30" s="279"/>
      <c r="UXA30" s="279"/>
      <c r="UXB30" s="279"/>
      <c r="UXC30" s="279"/>
      <c r="UXD30" s="279"/>
      <c r="UXE30" s="279"/>
      <c r="UXF30" s="279"/>
      <c r="UXG30" s="279"/>
      <c r="UXH30" s="279"/>
      <c r="UXI30" s="279"/>
      <c r="UXJ30" s="279"/>
      <c r="UXK30" s="279"/>
      <c r="UXL30" s="279"/>
      <c r="UXM30" s="279"/>
      <c r="UXN30" s="279"/>
      <c r="UXO30" s="279"/>
      <c r="UXP30" s="279"/>
      <c r="UXQ30" s="279"/>
      <c r="UXR30" s="279"/>
      <c r="UXS30" s="279"/>
      <c r="UXT30" s="279"/>
      <c r="UXU30" s="279"/>
      <c r="UXV30" s="279"/>
      <c r="UXW30" s="279"/>
      <c r="UXX30" s="279"/>
      <c r="UXY30" s="279"/>
      <c r="UXZ30" s="279"/>
      <c r="UYA30" s="279"/>
      <c r="UYB30" s="279"/>
      <c r="UYC30" s="279"/>
      <c r="UYD30" s="279"/>
      <c r="UYE30" s="279"/>
      <c r="UYF30" s="279"/>
      <c r="UYG30" s="279"/>
      <c r="UYH30" s="279"/>
      <c r="UYI30" s="279"/>
      <c r="UYJ30" s="279"/>
      <c r="UYK30" s="279"/>
      <c r="UYL30" s="279"/>
      <c r="UYM30" s="279"/>
      <c r="UYN30" s="279"/>
      <c r="UYO30" s="279"/>
      <c r="UYP30" s="279"/>
      <c r="UYQ30" s="279"/>
      <c r="UYR30" s="279"/>
      <c r="UYS30" s="279"/>
      <c r="UYT30" s="279"/>
      <c r="UYU30" s="279"/>
      <c r="UYV30" s="279"/>
      <c r="UYW30" s="279"/>
      <c r="UYX30" s="279"/>
      <c r="UYY30" s="279"/>
      <c r="UYZ30" s="279"/>
      <c r="UZA30" s="279"/>
      <c r="UZB30" s="279"/>
      <c r="UZC30" s="279"/>
      <c r="UZD30" s="279"/>
      <c r="UZE30" s="279"/>
      <c r="UZF30" s="279"/>
      <c r="UZG30" s="279"/>
      <c r="UZH30" s="279"/>
      <c r="UZI30" s="279"/>
      <c r="UZJ30" s="279"/>
      <c r="UZK30" s="279"/>
      <c r="UZL30" s="279"/>
      <c r="UZM30" s="279"/>
      <c r="UZN30" s="279"/>
      <c r="UZO30" s="279"/>
      <c r="UZP30" s="279"/>
      <c r="UZQ30" s="279"/>
      <c r="UZR30" s="279"/>
      <c r="UZS30" s="279"/>
      <c r="UZT30" s="279"/>
      <c r="UZU30" s="279"/>
      <c r="UZV30" s="279"/>
      <c r="UZW30" s="279"/>
      <c r="UZX30" s="279"/>
      <c r="UZY30" s="279"/>
      <c r="UZZ30" s="279"/>
      <c r="VAA30" s="279"/>
      <c r="VAB30" s="279"/>
      <c r="VAC30" s="279"/>
      <c r="VAD30" s="279"/>
      <c r="VAE30" s="279"/>
      <c r="VAF30" s="279"/>
      <c r="VAG30" s="279"/>
      <c r="VAH30" s="279"/>
      <c r="VAI30" s="279"/>
      <c r="VAJ30" s="279"/>
      <c r="VAK30" s="279"/>
      <c r="VAL30" s="279"/>
      <c r="VAM30" s="279"/>
      <c r="VAN30" s="279"/>
      <c r="VAO30" s="279"/>
      <c r="VAP30" s="279"/>
      <c r="VAQ30" s="279"/>
      <c r="VAR30" s="279"/>
      <c r="VAS30" s="279"/>
      <c r="VAT30" s="279"/>
      <c r="VAU30" s="279"/>
      <c r="VAV30" s="279"/>
      <c r="VAW30" s="279"/>
      <c r="VAX30" s="279"/>
      <c r="VAY30" s="279"/>
      <c r="VAZ30" s="279"/>
      <c r="VBA30" s="279"/>
      <c r="VBB30" s="279"/>
      <c r="VBC30" s="279"/>
      <c r="VBD30" s="279"/>
      <c r="VBE30" s="279"/>
      <c r="VBF30" s="279"/>
      <c r="VBG30" s="279"/>
      <c r="VBH30" s="279"/>
      <c r="VBI30" s="279"/>
      <c r="VBJ30" s="279"/>
      <c r="VBK30" s="279"/>
      <c r="VBL30" s="279"/>
      <c r="VBM30" s="279"/>
      <c r="VBN30" s="279"/>
      <c r="VBO30" s="279"/>
      <c r="VBP30" s="279"/>
      <c r="VBQ30" s="279"/>
      <c r="VBR30" s="279"/>
      <c r="VBS30" s="279"/>
      <c r="VBT30" s="279"/>
      <c r="VBU30" s="279"/>
      <c r="VBV30" s="279"/>
      <c r="VBW30" s="279"/>
      <c r="VBX30" s="279"/>
      <c r="VBY30" s="279"/>
      <c r="VBZ30" s="279"/>
      <c r="VCA30" s="279"/>
      <c r="VCB30" s="279"/>
      <c r="VCC30" s="279"/>
      <c r="VCD30" s="279"/>
      <c r="VCE30" s="279"/>
      <c r="VCF30" s="279"/>
      <c r="VCG30" s="279"/>
      <c r="VCH30" s="279"/>
      <c r="VCI30" s="279"/>
      <c r="VCJ30" s="279"/>
      <c r="VCK30" s="279"/>
      <c r="VCL30" s="279"/>
      <c r="VCM30" s="279"/>
      <c r="VCN30" s="279"/>
      <c r="VCO30" s="279"/>
      <c r="VCP30" s="279"/>
      <c r="VCQ30" s="279"/>
      <c r="VCR30" s="279"/>
      <c r="VCS30" s="279"/>
      <c r="VCT30" s="279"/>
      <c r="VCU30" s="279"/>
      <c r="VCV30" s="279"/>
      <c r="VCW30" s="279"/>
      <c r="VCX30" s="279"/>
      <c r="VCY30" s="279"/>
      <c r="VCZ30" s="279"/>
      <c r="VDA30" s="279"/>
      <c r="VDB30" s="279"/>
      <c r="VDC30" s="279"/>
      <c r="VDD30" s="279"/>
      <c r="VDE30" s="279"/>
      <c r="VDF30" s="279"/>
      <c r="VDG30" s="279"/>
      <c r="VDH30" s="279"/>
      <c r="VDI30" s="279"/>
      <c r="VDJ30" s="279"/>
      <c r="VDK30" s="279"/>
      <c r="VDL30" s="279"/>
      <c r="VDM30" s="279"/>
      <c r="VDN30" s="279"/>
      <c r="VDO30" s="279"/>
      <c r="VDP30" s="279"/>
      <c r="VDQ30" s="279"/>
      <c r="VDR30" s="279"/>
      <c r="VDS30" s="279"/>
      <c r="VDT30" s="279"/>
      <c r="VDU30" s="279"/>
      <c r="VDV30" s="279"/>
      <c r="VDW30" s="279"/>
      <c r="VDX30" s="279"/>
      <c r="VDY30" s="279"/>
      <c r="VDZ30" s="279"/>
      <c r="VEA30" s="279"/>
      <c r="VEB30" s="279"/>
      <c r="VEC30" s="279"/>
      <c r="VED30" s="279"/>
      <c r="VEE30" s="279"/>
      <c r="VEF30" s="279"/>
      <c r="VEG30" s="279"/>
      <c r="VEH30" s="279"/>
      <c r="VEI30" s="279"/>
      <c r="VEJ30" s="279"/>
      <c r="VEK30" s="279"/>
      <c r="VEL30" s="279"/>
      <c r="VEM30" s="279"/>
      <c r="VEN30" s="279"/>
      <c r="VEO30" s="279"/>
      <c r="VEP30" s="279"/>
      <c r="VEQ30" s="279"/>
      <c r="VER30" s="279"/>
      <c r="VES30" s="279"/>
      <c r="VET30" s="279"/>
      <c r="VEU30" s="279"/>
      <c r="VEV30" s="279"/>
      <c r="VEW30" s="279"/>
      <c r="VEX30" s="279"/>
      <c r="VEY30" s="279"/>
      <c r="VEZ30" s="279"/>
      <c r="VFA30" s="279"/>
      <c r="VFB30" s="279"/>
      <c r="VFC30" s="279"/>
      <c r="VFD30" s="279"/>
      <c r="VFE30" s="279"/>
      <c r="VFF30" s="279"/>
      <c r="VFG30" s="279"/>
      <c r="VFH30" s="279"/>
      <c r="VFI30" s="279"/>
      <c r="VFJ30" s="279"/>
      <c r="VFK30" s="279"/>
      <c r="VFL30" s="279"/>
      <c r="VFM30" s="279"/>
      <c r="VFN30" s="279"/>
      <c r="VFO30" s="279"/>
      <c r="VFP30" s="279"/>
      <c r="VFQ30" s="279"/>
      <c r="VFR30" s="279"/>
      <c r="VFS30" s="279"/>
      <c r="VFT30" s="279"/>
      <c r="VFU30" s="279"/>
      <c r="VFV30" s="279"/>
      <c r="VFW30" s="279"/>
      <c r="VFX30" s="279"/>
      <c r="VFY30" s="279"/>
      <c r="VFZ30" s="279"/>
      <c r="VGA30" s="279"/>
      <c r="VGB30" s="279"/>
      <c r="VGC30" s="279"/>
      <c r="VGD30" s="279"/>
      <c r="VGE30" s="279"/>
      <c r="VGF30" s="279"/>
      <c r="VGG30" s="279"/>
      <c r="VGH30" s="279"/>
      <c r="VGI30" s="279"/>
      <c r="VGJ30" s="279"/>
      <c r="VGK30" s="279"/>
      <c r="VGL30" s="279"/>
      <c r="VGM30" s="279"/>
      <c r="VGN30" s="279"/>
      <c r="VGO30" s="279"/>
      <c r="VGP30" s="279"/>
      <c r="VGQ30" s="279"/>
      <c r="VGR30" s="279"/>
      <c r="VGS30" s="279"/>
      <c r="VGT30" s="279"/>
      <c r="VGU30" s="279"/>
      <c r="VGV30" s="279"/>
      <c r="VGW30" s="279"/>
      <c r="VGX30" s="279"/>
      <c r="VGY30" s="279"/>
      <c r="VGZ30" s="279"/>
      <c r="VHA30" s="279"/>
      <c r="VHB30" s="279"/>
      <c r="VHC30" s="279"/>
      <c r="VHD30" s="279"/>
      <c r="VHE30" s="279"/>
      <c r="VHF30" s="279"/>
      <c r="VHG30" s="279"/>
      <c r="VHH30" s="279"/>
      <c r="VHI30" s="279"/>
      <c r="VHJ30" s="279"/>
      <c r="VHK30" s="279"/>
      <c r="VHL30" s="279"/>
      <c r="VHM30" s="279"/>
      <c r="VHN30" s="279"/>
      <c r="VHO30" s="279"/>
      <c r="VHP30" s="279"/>
      <c r="VHQ30" s="279"/>
      <c r="VHR30" s="279"/>
      <c r="VHS30" s="279"/>
      <c r="VHT30" s="279"/>
      <c r="VHU30" s="279"/>
      <c r="VHV30" s="279"/>
      <c r="VHW30" s="279"/>
      <c r="VHX30" s="279"/>
      <c r="VHY30" s="279"/>
      <c r="VHZ30" s="279"/>
      <c r="VIA30" s="279"/>
      <c r="VIB30" s="279"/>
      <c r="VIC30" s="279"/>
      <c r="VID30" s="279"/>
      <c r="VIE30" s="279"/>
      <c r="VIF30" s="279"/>
      <c r="VIG30" s="279"/>
      <c r="VIH30" s="279"/>
      <c r="VII30" s="279"/>
      <c r="VIJ30" s="279"/>
      <c r="VIK30" s="279"/>
      <c r="VIL30" s="279"/>
      <c r="VIM30" s="279"/>
      <c r="VIN30" s="279"/>
      <c r="VIO30" s="279"/>
      <c r="VIP30" s="279"/>
      <c r="VIQ30" s="279"/>
      <c r="VIR30" s="279"/>
      <c r="VIS30" s="279"/>
      <c r="VIT30" s="279"/>
      <c r="VIU30" s="279"/>
      <c r="VIV30" s="279"/>
      <c r="VIW30" s="279"/>
      <c r="VIX30" s="279"/>
      <c r="VIY30" s="279"/>
      <c r="VIZ30" s="279"/>
      <c r="VJA30" s="279"/>
      <c r="VJB30" s="279"/>
      <c r="VJC30" s="279"/>
      <c r="VJD30" s="279"/>
      <c r="VJE30" s="279"/>
      <c r="VJF30" s="279"/>
      <c r="VJG30" s="279"/>
      <c r="VJH30" s="279"/>
      <c r="VJI30" s="279"/>
      <c r="VJJ30" s="279"/>
      <c r="VJK30" s="279"/>
      <c r="VJL30" s="279"/>
      <c r="VJM30" s="279"/>
      <c r="VJN30" s="279"/>
      <c r="VJO30" s="279"/>
      <c r="VJP30" s="279"/>
      <c r="VJQ30" s="279"/>
      <c r="VJR30" s="279"/>
      <c r="VJS30" s="279"/>
      <c r="VJT30" s="279"/>
      <c r="VJU30" s="279"/>
      <c r="VJV30" s="279"/>
      <c r="VJW30" s="279"/>
      <c r="VJX30" s="279"/>
      <c r="VJY30" s="279"/>
      <c r="VJZ30" s="279"/>
      <c r="VKA30" s="279"/>
      <c r="VKB30" s="279"/>
      <c r="VKC30" s="279"/>
      <c r="VKD30" s="279"/>
      <c r="VKE30" s="279"/>
      <c r="VKF30" s="279"/>
      <c r="VKG30" s="279"/>
      <c r="VKH30" s="279"/>
      <c r="VKI30" s="279"/>
      <c r="VKJ30" s="279"/>
      <c r="VKK30" s="279"/>
      <c r="VKL30" s="279"/>
      <c r="VKM30" s="279"/>
      <c r="VKN30" s="279"/>
      <c r="VKO30" s="279"/>
      <c r="VKP30" s="279"/>
      <c r="VKQ30" s="279"/>
      <c r="VKR30" s="279"/>
      <c r="VKS30" s="279"/>
      <c r="VKT30" s="279"/>
      <c r="VKU30" s="279"/>
      <c r="VKV30" s="279"/>
      <c r="VKW30" s="279"/>
      <c r="VKX30" s="279"/>
      <c r="VKY30" s="279"/>
      <c r="VKZ30" s="279"/>
      <c r="VLA30" s="279"/>
      <c r="VLB30" s="279"/>
      <c r="VLC30" s="279"/>
      <c r="VLD30" s="279"/>
      <c r="VLE30" s="279"/>
      <c r="VLF30" s="279"/>
      <c r="VLG30" s="279"/>
      <c r="VLH30" s="279"/>
      <c r="VLI30" s="279"/>
      <c r="VLJ30" s="279"/>
      <c r="VLK30" s="279"/>
      <c r="VLL30" s="279"/>
      <c r="VLM30" s="279"/>
      <c r="VLN30" s="279"/>
      <c r="VLO30" s="279"/>
      <c r="VLP30" s="279"/>
      <c r="VLQ30" s="279"/>
      <c r="VLR30" s="279"/>
      <c r="VLS30" s="279"/>
      <c r="VLT30" s="279"/>
      <c r="VLU30" s="279"/>
      <c r="VLV30" s="279"/>
      <c r="VLW30" s="279"/>
      <c r="VLX30" s="279"/>
      <c r="VLY30" s="279"/>
      <c r="VLZ30" s="279"/>
      <c r="VMA30" s="279"/>
      <c r="VMB30" s="279"/>
      <c r="VMC30" s="279"/>
      <c r="VMD30" s="279"/>
      <c r="VME30" s="279"/>
      <c r="VMF30" s="279"/>
      <c r="VMG30" s="279"/>
      <c r="VMH30" s="279"/>
      <c r="VMI30" s="279"/>
      <c r="VMJ30" s="279"/>
      <c r="VMK30" s="279"/>
      <c r="VML30" s="279"/>
      <c r="VMM30" s="279"/>
      <c r="VMN30" s="279"/>
      <c r="VMO30" s="279"/>
      <c r="VMP30" s="279"/>
      <c r="VMQ30" s="279"/>
      <c r="VMR30" s="279"/>
      <c r="VMS30" s="279"/>
      <c r="VMT30" s="279"/>
      <c r="VMU30" s="279"/>
      <c r="VMV30" s="279"/>
      <c r="VMW30" s="279"/>
      <c r="VMX30" s="279"/>
      <c r="VMY30" s="279"/>
      <c r="VMZ30" s="279"/>
      <c r="VNA30" s="279"/>
      <c r="VNB30" s="279"/>
      <c r="VNC30" s="279"/>
      <c r="VND30" s="279"/>
      <c r="VNE30" s="279"/>
      <c r="VNF30" s="279"/>
      <c r="VNG30" s="279"/>
      <c r="VNH30" s="279"/>
      <c r="VNI30" s="279"/>
      <c r="VNJ30" s="279"/>
      <c r="VNK30" s="279"/>
      <c r="VNL30" s="279"/>
      <c r="VNM30" s="279"/>
      <c r="VNN30" s="279"/>
      <c r="VNO30" s="279"/>
      <c r="VNP30" s="279"/>
      <c r="VNQ30" s="279"/>
      <c r="VNR30" s="279"/>
      <c r="VNS30" s="279"/>
      <c r="VNT30" s="279"/>
      <c r="VNU30" s="279"/>
      <c r="VNV30" s="279"/>
      <c r="VNW30" s="279"/>
      <c r="VNX30" s="279"/>
      <c r="VNY30" s="279"/>
      <c r="VNZ30" s="279"/>
      <c r="VOA30" s="279"/>
      <c r="VOB30" s="279"/>
      <c r="VOC30" s="279"/>
      <c r="VOD30" s="279"/>
      <c r="VOE30" s="279"/>
      <c r="VOF30" s="279"/>
      <c r="VOG30" s="279"/>
      <c r="VOH30" s="279"/>
      <c r="VOI30" s="279"/>
      <c r="VOJ30" s="279"/>
      <c r="VOK30" s="279"/>
      <c r="VOL30" s="279"/>
      <c r="VOM30" s="279"/>
      <c r="VON30" s="279"/>
      <c r="VOO30" s="279"/>
      <c r="VOP30" s="279"/>
      <c r="VOQ30" s="279"/>
      <c r="VOR30" s="279"/>
      <c r="VOS30" s="279"/>
      <c r="VOT30" s="279"/>
      <c r="VOU30" s="279"/>
      <c r="VOV30" s="279"/>
      <c r="VOW30" s="279"/>
      <c r="VOX30" s="279"/>
      <c r="VOY30" s="279"/>
      <c r="VOZ30" s="279"/>
      <c r="VPA30" s="279"/>
      <c r="VPB30" s="279"/>
      <c r="VPC30" s="279"/>
      <c r="VPD30" s="279"/>
      <c r="VPE30" s="279"/>
      <c r="VPF30" s="279"/>
      <c r="VPG30" s="279"/>
      <c r="VPH30" s="279"/>
      <c r="VPI30" s="279"/>
      <c r="VPJ30" s="279"/>
      <c r="VPK30" s="279"/>
      <c r="VPL30" s="279"/>
      <c r="VPM30" s="279"/>
      <c r="VPN30" s="279"/>
      <c r="VPO30" s="279"/>
      <c r="VPP30" s="279"/>
      <c r="VPQ30" s="279"/>
      <c r="VPR30" s="279"/>
      <c r="VPS30" s="279"/>
      <c r="VPT30" s="279"/>
      <c r="VPU30" s="279"/>
      <c r="VPV30" s="279"/>
      <c r="VPW30" s="279"/>
      <c r="VPX30" s="279"/>
      <c r="VPY30" s="279"/>
      <c r="VPZ30" s="279"/>
      <c r="VQA30" s="279"/>
      <c r="VQB30" s="279"/>
      <c r="VQC30" s="279"/>
      <c r="VQD30" s="279"/>
      <c r="VQE30" s="279"/>
      <c r="VQF30" s="279"/>
      <c r="VQG30" s="279"/>
      <c r="VQH30" s="279"/>
      <c r="VQI30" s="279"/>
      <c r="VQJ30" s="279"/>
      <c r="VQK30" s="279"/>
      <c r="VQL30" s="279"/>
      <c r="VQM30" s="279"/>
      <c r="VQN30" s="279"/>
      <c r="VQO30" s="279"/>
      <c r="VQP30" s="279"/>
      <c r="VQQ30" s="279"/>
      <c r="VQR30" s="279"/>
      <c r="VQS30" s="279"/>
      <c r="VQT30" s="279"/>
      <c r="VQU30" s="279"/>
      <c r="VQV30" s="279"/>
      <c r="VQW30" s="279"/>
      <c r="VQX30" s="279"/>
      <c r="VQY30" s="279"/>
      <c r="VQZ30" s="279"/>
      <c r="VRA30" s="279"/>
      <c r="VRB30" s="279"/>
      <c r="VRC30" s="279"/>
      <c r="VRD30" s="279"/>
      <c r="VRE30" s="279"/>
      <c r="VRF30" s="279"/>
      <c r="VRG30" s="279"/>
      <c r="VRH30" s="279"/>
      <c r="VRI30" s="279"/>
      <c r="VRJ30" s="279"/>
      <c r="VRK30" s="279"/>
      <c r="VRL30" s="279"/>
      <c r="VRM30" s="279"/>
      <c r="VRN30" s="279"/>
      <c r="VRO30" s="279"/>
      <c r="VRP30" s="279"/>
      <c r="VRQ30" s="279"/>
      <c r="VRR30" s="279"/>
      <c r="VRS30" s="279"/>
      <c r="VRT30" s="279"/>
      <c r="VRU30" s="279"/>
      <c r="VRV30" s="279"/>
      <c r="VRW30" s="279"/>
      <c r="VRX30" s="279"/>
      <c r="VRY30" s="279"/>
      <c r="VRZ30" s="279"/>
      <c r="VSA30" s="279"/>
      <c r="VSB30" s="279"/>
      <c r="VSC30" s="279"/>
      <c r="VSD30" s="279"/>
      <c r="VSE30" s="279"/>
      <c r="VSF30" s="279"/>
      <c r="VSG30" s="279"/>
      <c r="VSH30" s="279"/>
      <c r="VSI30" s="279"/>
      <c r="VSJ30" s="279"/>
      <c r="VSK30" s="279"/>
      <c r="VSL30" s="279"/>
      <c r="VSM30" s="279"/>
      <c r="VSN30" s="279"/>
      <c r="VSO30" s="279"/>
      <c r="VSP30" s="279"/>
      <c r="VSQ30" s="279"/>
      <c r="VSR30" s="279"/>
      <c r="VSS30" s="279"/>
      <c r="VST30" s="279"/>
      <c r="VSU30" s="279"/>
      <c r="VSV30" s="279"/>
      <c r="VSW30" s="279"/>
      <c r="VSX30" s="279"/>
      <c r="VSY30" s="279"/>
      <c r="VSZ30" s="279"/>
      <c r="VTA30" s="279"/>
      <c r="VTB30" s="279"/>
      <c r="VTC30" s="279"/>
      <c r="VTD30" s="279"/>
      <c r="VTE30" s="279"/>
      <c r="VTF30" s="279"/>
      <c r="VTG30" s="279"/>
      <c r="VTH30" s="279"/>
      <c r="VTI30" s="279"/>
      <c r="VTJ30" s="279"/>
      <c r="VTK30" s="279"/>
      <c r="VTL30" s="279"/>
      <c r="VTM30" s="279"/>
      <c r="VTN30" s="279"/>
      <c r="VTO30" s="279"/>
      <c r="VTP30" s="279"/>
      <c r="VTQ30" s="279"/>
      <c r="VTR30" s="279"/>
      <c r="VTS30" s="279"/>
      <c r="VTT30" s="279"/>
      <c r="VTU30" s="279"/>
      <c r="VTV30" s="279"/>
      <c r="VTW30" s="279"/>
      <c r="VTX30" s="279"/>
      <c r="VTY30" s="279"/>
      <c r="VTZ30" s="279"/>
      <c r="VUA30" s="279"/>
      <c r="VUB30" s="279"/>
      <c r="VUC30" s="279"/>
      <c r="VUD30" s="279"/>
      <c r="VUE30" s="279"/>
      <c r="VUF30" s="279"/>
      <c r="VUG30" s="279"/>
      <c r="VUH30" s="279"/>
      <c r="VUI30" s="279"/>
      <c r="VUJ30" s="279"/>
      <c r="VUK30" s="279"/>
      <c r="VUL30" s="279"/>
      <c r="VUM30" s="279"/>
      <c r="VUN30" s="279"/>
      <c r="VUO30" s="279"/>
      <c r="VUP30" s="279"/>
      <c r="VUQ30" s="279"/>
      <c r="VUR30" s="279"/>
      <c r="VUS30" s="279"/>
      <c r="VUT30" s="279"/>
      <c r="VUU30" s="279"/>
      <c r="VUV30" s="279"/>
      <c r="VUW30" s="279"/>
      <c r="VUX30" s="279"/>
      <c r="VUY30" s="279"/>
      <c r="VUZ30" s="279"/>
      <c r="VVA30" s="279"/>
      <c r="VVB30" s="279"/>
      <c r="VVC30" s="279"/>
      <c r="VVD30" s="279"/>
      <c r="VVE30" s="279"/>
      <c r="VVF30" s="279"/>
      <c r="VVG30" s="279"/>
      <c r="VVH30" s="279"/>
      <c r="VVI30" s="279"/>
      <c r="VVJ30" s="279"/>
      <c r="VVK30" s="279"/>
      <c r="VVL30" s="279"/>
      <c r="VVM30" s="279"/>
      <c r="VVN30" s="279"/>
      <c r="VVO30" s="279"/>
      <c r="VVP30" s="279"/>
      <c r="VVQ30" s="279"/>
      <c r="VVR30" s="279"/>
      <c r="VVS30" s="279"/>
      <c r="VVT30" s="279"/>
      <c r="VVU30" s="279"/>
      <c r="VVV30" s="279"/>
      <c r="VVW30" s="279"/>
      <c r="VVX30" s="279"/>
      <c r="VVY30" s="279"/>
      <c r="VVZ30" s="279"/>
      <c r="VWA30" s="279"/>
      <c r="VWB30" s="279"/>
      <c r="VWC30" s="279"/>
      <c r="VWD30" s="279"/>
      <c r="VWE30" s="279"/>
      <c r="VWF30" s="279"/>
      <c r="VWG30" s="279"/>
      <c r="VWH30" s="279"/>
      <c r="VWI30" s="279"/>
      <c r="VWJ30" s="279"/>
      <c r="VWK30" s="279"/>
      <c r="VWL30" s="279"/>
      <c r="VWM30" s="279"/>
      <c r="VWN30" s="279"/>
      <c r="VWO30" s="279"/>
      <c r="VWP30" s="279"/>
      <c r="VWQ30" s="279"/>
      <c r="VWR30" s="279"/>
      <c r="VWS30" s="279"/>
      <c r="VWT30" s="279"/>
      <c r="VWU30" s="279"/>
      <c r="VWV30" s="279"/>
      <c r="VWW30" s="279"/>
      <c r="VWX30" s="279"/>
      <c r="VWY30" s="279"/>
      <c r="VWZ30" s="279"/>
      <c r="VXA30" s="279"/>
      <c r="VXB30" s="279"/>
      <c r="VXC30" s="279"/>
      <c r="VXD30" s="279"/>
      <c r="VXE30" s="279"/>
      <c r="VXF30" s="279"/>
      <c r="VXG30" s="279"/>
      <c r="VXH30" s="279"/>
      <c r="VXI30" s="279"/>
      <c r="VXJ30" s="279"/>
      <c r="VXK30" s="279"/>
      <c r="VXL30" s="279"/>
      <c r="VXM30" s="279"/>
      <c r="VXN30" s="279"/>
      <c r="VXO30" s="279"/>
      <c r="VXP30" s="279"/>
      <c r="VXQ30" s="279"/>
      <c r="VXR30" s="279"/>
      <c r="VXS30" s="279"/>
      <c r="VXT30" s="279"/>
      <c r="VXU30" s="279"/>
      <c r="VXV30" s="279"/>
      <c r="VXW30" s="279"/>
      <c r="VXX30" s="279"/>
      <c r="VXY30" s="279"/>
      <c r="VXZ30" s="279"/>
      <c r="VYA30" s="279"/>
      <c r="VYB30" s="279"/>
      <c r="VYC30" s="279"/>
      <c r="VYD30" s="279"/>
      <c r="VYE30" s="279"/>
      <c r="VYF30" s="279"/>
      <c r="VYG30" s="279"/>
      <c r="VYH30" s="279"/>
      <c r="VYI30" s="279"/>
      <c r="VYJ30" s="279"/>
      <c r="VYK30" s="279"/>
      <c r="VYL30" s="279"/>
      <c r="VYM30" s="279"/>
      <c r="VYN30" s="279"/>
      <c r="VYO30" s="279"/>
      <c r="VYP30" s="279"/>
      <c r="VYQ30" s="279"/>
      <c r="VYR30" s="279"/>
      <c r="VYS30" s="279"/>
      <c r="VYT30" s="279"/>
      <c r="VYU30" s="279"/>
      <c r="VYV30" s="279"/>
      <c r="VYW30" s="279"/>
      <c r="VYX30" s="279"/>
      <c r="VYY30" s="279"/>
      <c r="VYZ30" s="279"/>
      <c r="VZA30" s="279"/>
      <c r="VZB30" s="279"/>
      <c r="VZC30" s="279"/>
      <c r="VZD30" s="279"/>
      <c r="VZE30" s="279"/>
      <c r="VZF30" s="279"/>
      <c r="VZG30" s="279"/>
      <c r="VZH30" s="279"/>
      <c r="VZI30" s="279"/>
      <c r="VZJ30" s="279"/>
      <c r="VZK30" s="279"/>
      <c r="VZL30" s="279"/>
      <c r="VZM30" s="279"/>
      <c r="VZN30" s="279"/>
      <c r="VZO30" s="279"/>
      <c r="VZP30" s="279"/>
      <c r="VZQ30" s="279"/>
      <c r="VZR30" s="279"/>
      <c r="VZS30" s="279"/>
      <c r="VZT30" s="279"/>
      <c r="VZU30" s="279"/>
      <c r="VZV30" s="279"/>
      <c r="VZW30" s="279"/>
      <c r="VZX30" s="279"/>
      <c r="VZY30" s="279"/>
      <c r="VZZ30" s="279"/>
      <c r="WAA30" s="279"/>
      <c r="WAB30" s="279"/>
      <c r="WAC30" s="279"/>
      <c r="WAD30" s="279"/>
      <c r="WAE30" s="279"/>
      <c r="WAF30" s="279"/>
      <c r="WAG30" s="279"/>
      <c r="WAH30" s="279"/>
      <c r="WAI30" s="279"/>
      <c r="WAJ30" s="279"/>
      <c r="WAK30" s="279"/>
      <c r="WAL30" s="279"/>
      <c r="WAM30" s="279"/>
      <c r="WAN30" s="279"/>
      <c r="WAO30" s="279"/>
      <c r="WAP30" s="279"/>
      <c r="WAQ30" s="279"/>
      <c r="WAR30" s="279"/>
      <c r="WAS30" s="279"/>
      <c r="WAT30" s="279"/>
      <c r="WAU30" s="279"/>
      <c r="WAV30" s="279"/>
      <c r="WAW30" s="279"/>
      <c r="WAX30" s="279"/>
      <c r="WAY30" s="279"/>
      <c r="WAZ30" s="279"/>
      <c r="WBA30" s="279"/>
      <c r="WBB30" s="279"/>
      <c r="WBC30" s="279"/>
      <c r="WBD30" s="279"/>
      <c r="WBE30" s="279"/>
      <c r="WBF30" s="279"/>
      <c r="WBG30" s="279"/>
      <c r="WBH30" s="279"/>
      <c r="WBI30" s="279"/>
      <c r="WBJ30" s="279"/>
      <c r="WBK30" s="279"/>
      <c r="WBL30" s="279"/>
      <c r="WBM30" s="279"/>
      <c r="WBN30" s="279"/>
      <c r="WBO30" s="279"/>
      <c r="WBP30" s="279"/>
      <c r="WBQ30" s="279"/>
      <c r="WBR30" s="279"/>
      <c r="WBS30" s="279"/>
      <c r="WBT30" s="279"/>
      <c r="WBU30" s="279"/>
      <c r="WBV30" s="279"/>
      <c r="WBW30" s="279"/>
      <c r="WBX30" s="279"/>
      <c r="WBY30" s="279"/>
      <c r="WBZ30" s="279"/>
      <c r="WCA30" s="279"/>
      <c r="WCB30" s="279"/>
      <c r="WCC30" s="279"/>
      <c r="WCD30" s="279"/>
      <c r="WCE30" s="279"/>
      <c r="WCF30" s="279"/>
      <c r="WCG30" s="279"/>
      <c r="WCH30" s="279"/>
      <c r="WCI30" s="279"/>
      <c r="WCJ30" s="279"/>
      <c r="WCK30" s="279"/>
      <c r="WCL30" s="279"/>
      <c r="WCM30" s="279"/>
      <c r="WCN30" s="279"/>
      <c r="WCO30" s="279"/>
      <c r="WCP30" s="279"/>
      <c r="WCQ30" s="279"/>
      <c r="WCR30" s="279"/>
      <c r="WCS30" s="279"/>
      <c r="WCT30" s="279"/>
      <c r="WCU30" s="279"/>
      <c r="WCV30" s="279"/>
      <c r="WCW30" s="279"/>
      <c r="WCX30" s="279"/>
      <c r="WCY30" s="279"/>
      <c r="WCZ30" s="279"/>
      <c r="WDA30" s="279"/>
      <c r="WDB30" s="279"/>
      <c r="WDC30" s="279"/>
      <c r="WDD30" s="279"/>
      <c r="WDE30" s="279"/>
      <c r="WDF30" s="279"/>
      <c r="WDG30" s="279"/>
      <c r="WDH30" s="279"/>
      <c r="WDI30" s="279"/>
      <c r="WDJ30" s="279"/>
      <c r="WDK30" s="279"/>
      <c r="WDL30" s="279"/>
      <c r="WDM30" s="279"/>
      <c r="WDN30" s="279"/>
      <c r="WDO30" s="279"/>
      <c r="WDP30" s="279"/>
      <c r="WDQ30" s="279"/>
      <c r="WDR30" s="279"/>
      <c r="WDS30" s="279"/>
      <c r="WDT30" s="279"/>
      <c r="WDU30" s="279"/>
      <c r="WDV30" s="279"/>
      <c r="WDW30" s="279"/>
      <c r="WDX30" s="279"/>
      <c r="WDY30" s="279"/>
      <c r="WDZ30" s="279"/>
      <c r="WEA30" s="279"/>
      <c r="WEB30" s="279"/>
      <c r="WEC30" s="279"/>
      <c r="WED30" s="279"/>
      <c r="WEE30" s="279"/>
      <c r="WEF30" s="279"/>
      <c r="WEG30" s="279"/>
      <c r="WEH30" s="279"/>
      <c r="WEI30" s="279"/>
      <c r="WEJ30" s="279"/>
      <c r="WEK30" s="279"/>
      <c r="WEL30" s="279"/>
      <c r="WEM30" s="279"/>
      <c r="WEN30" s="279"/>
      <c r="WEO30" s="279"/>
      <c r="WEP30" s="279"/>
      <c r="WEQ30" s="279"/>
      <c r="WER30" s="279"/>
      <c r="WES30" s="279"/>
      <c r="WET30" s="279"/>
      <c r="WEU30" s="279"/>
      <c r="WEV30" s="279"/>
      <c r="WEW30" s="279"/>
      <c r="WEX30" s="279"/>
      <c r="WEY30" s="279"/>
      <c r="WEZ30" s="279"/>
      <c r="WFA30" s="279"/>
      <c r="WFB30" s="279"/>
      <c r="WFC30" s="279"/>
      <c r="WFD30" s="279"/>
      <c r="WFE30" s="279"/>
      <c r="WFF30" s="279"/>
      <c r="WFG30" s="279"/>
      <c r="WFH30" s="279"/>
      <c r="WFI30" s="279"/>
      <c r="WFJ30" s="279"/>
      <c r="WFK30" s="279"/>
      <c r="WFL30" s="279"/>
      <c r="WFM30" s="279"/>
      <c r="WFN30" s="279"/>
      <c r="WFO30" s="279"/>
      <c r="WFP30" s="279"/>
      <c r="WFQ30" s="279"/>
      <c r="WFR30" s="279"/>
      <c r="WFS30" s="279"/>
      <c r="WFT30" s="279"/>
      <c r="WFU30" s="279"/>
      <c r="WFV30" s="279"/>
      <c r="WFW30" s="279"/>
      <c r="WFX30" s="279"/>
      <c r="WFY30" s="279"/>
      <c r="WFZ30" s="279"/>
      <c r="WGA30" s="279"/>
      <c r="WGB30" s="279"/>
      <c r="WGC30" s="279"/>
      <c r="WGD30" s="279"/>
      <c r="WGE30" s="279"/>
      <c r="WGF30" s="279"/>
      <c r="WGG30" s="279"/>
      <c r="WGH30" s="279"/>
      <c r="WGI30" s="279"/>
      <c r="WGJ30" s="279"/>
      <c r="WGK30" s="279"/>
      <c r="WGL30" s="279"/>
      <c r="WGM30" s="279"/>
      <c r="WGN30" s="279"/>
      <c r="WGO30" s="279"/>
      <c r="WGP30" s="279"/>
      <c r="WGQ30" s="279"/>
      <c r="WGR30" s="279"/>
      <c r="WGS30" s="279"/>
      <c r="WGT30" s="279"/>
      <c r="WGU30" s="279"/>
      <c r="WGV30" s="279"/>
      <c r="WGW30" s="279"/>
      <c r="WGX30" s="279"/>
      <c r="WGY30" s="279"/>
      <c r="WGZ30" s="279"/>
      <c r="WHA30" s="279"/>
      <c r="WHB30" s="279"/>
      <c r="WHC30" s="279"/>
      <c r="WHD30" s="279"/>
      <c r="WHE30" s="279"/>
      <c r="WHF30" s="279"/>
      <c r="WHG30" s="279"/>
      <c r="WHH30" s="279"/>
      <c r="WHI30" s="279"/>
      <c r="WHJ30" s="279"/>
      <c r="WHK30" s="279"/>
      <c r="WHL30" s="279"/>
      <c r="WHM30" s="279"/>
      <c r="WHN30" s="279"/>
      <c r="WHO30" s="279"/>
      <c r="WHP30" s="279"/>
      <c r="WHQ30" s="279"/>
      <c r="WHR30" s="279"/>
      <c r="WHS30" s="279"/>
      <c r="WHT30" s="279"/>
      <c r="WHU30" s="279"/>
      <c r="WHV30" s="279"/>
      <c r="WHW30" s="279"/>
      <c r="WHX30" s="279"/>
      <c r="WHY30" s="279"/>
      <c r="WHZ30" s="279"/>
      <c r="WIA30" s="279"/>
      <c r="WIB30" s="279"/>
      <c r="WIC30" s="279"/>
      <c r="WID30" s="279"/>
      <c r="WIE30" s="279"/>
      <c r="WIF30" s="279"/>
      <c r="WIG30" s="279"/>
      <c r="WIH30" s="279"/>
      <c r="WII30" s="279"/>
      <c r="WIJ30" s="279"/>
      <c r="WIK30" s="279"/>
      <c r="WIL30" s="279"/>
      <c r="WIM30" s="279"/>
      <c r="WIN30" s="279"/>
      <c r="WIO30" s="279"/>
      <c r="WIP30" s="279"/>
      <c r="WIQ30" s="279"/>
      <c r="WIR30" s="279"/>
      <c r="WIS30" s="279"/>
      <c r="WIT30" s="279"/>
      <c r="WIU30" s="279"/>
      <c r="WIV30" s="279"/>
      <c r="WIW30" s="279"/>
      <c r="WIX30" s="279"/>
      <c r="WIY30" s="279"/>
      <c r="WIZ30" s="279"/>
      <c r="WJA30" s="279"/>
      <c r="WJB30" s="279"/>
      <c r="WJC30" s="279"/>
      <c r="WJD30" s="279"/>
      <c r="WJE30" s="279"/>
      <c r="WJF30" s="279"/>
      <c r="WJG30" s="279"/>
      <c r="WJH30" s="279"/>
      <c r="WJI30" s="279"/>
      <c r="WJJ30" s="279"/>
      <c r="WJK30" s="279"/>
      <c r="WJL30" s="279"/>
      <c r="WJM30" s="279"/>
      <c r="WJN30" s="279"/>
      <c r="WJO30" s="279"/>
      <c r="WJP30" s="279"/>
      <c r="WJQ30" s="279"/>
      <c r="WJR30" s="279"/>
      <c r="WJS30" s="279"/>
      <c r="WJT30" s="279"/>
      <c r="WJU30" s="279"/>
      <c r="WJV30" s="279"/>
      <c r="WJW30" s="279"/>
      <c r="WJX30" s="279"/>
      <c r="WJY30" s="279"/>
      <c r="WJZ30" s="279"/>
      <c r="WKA30" s="279"/>
      <c r="WKB30" s="279"/>
      <c r="WKC30" s="279"/>
      <c r="WKD30" s="279"/>
      <c r="WKE30" s="279"/>
      <c r="WKF30" s="279"/>
      <c r="WKG30" s="279"/>
      <c r="WKH30" s="279"/>
      <c r="WKI30" s="279"/>
      <c r="WKJ30" s="279"/>
      <c r="WKK30" s="279"/>
      <c r="WKL30" s="279"/>
      <c r="WKM30" s="279"/>
      <c r="WKN30" s="279"/>
      <c r="WKO30" s="279"/>
      <c r="WKP30" s="279"/>
      <c r="WKQ30" s="279"/>
      <c r="WKR30" s="279"/>
      <c r="WKS30" s="279"/>
      <c r="WKT30" s="279"/>
      <c r="WKU30" s="279"/>
      <c r="WKV30" s="279"/>
      <c r="WKW30" s="279"/>
      <c r="WKX30" s="279"/>
      <c r="WKY30" s="279"/>
      <c r="WKZ30" s="279"/>
      <c r="WLA30" s="279"/>
      <c r="WLB30" s="279"/>
      <c r="WLC30" s="279"/>
      <c r="WLD30" s="279"/>
      <c r="WLE30" s="279"/>
      <c r="WLF30" s="279"/>
      <c r="WLG30" s="279"/>
      <c r="WLH30" s="279"/>
      <c r="WLI30" s="279"/>
      <c r="WLJ30" s="279"/>
      <c r="WLK30" s="279"/>
      <c r="WLL30" s="279"/>
      <c r="WLM30" s="279"/>
      <c r="WLN30" s="279"/>
      <c r="WLO30" s="279"/>
      <c r="WLP30" s="279"/>
      <c r="WLQ30" s="279"/>
      <c r="WLR30" s="279"/>
      <c r="WLS30" s="279"/>
      <c r="WLT30" s="279"/>
      <c r="WLU30" s="279"/>
      <c r="WLV30" s="279"/>
      <c r="WLW30" s="279"/>
      <c r="WLX30" s="279"/>
      <c r="WLY30" s="279"/>
      <c r="WLZ30" s="279"/>
      <c r="WMA30" s="279"/>
      <c r="WMB30" s="279"/>
      <c r="WMC30" s="279"/>
      <c r="WMD30" s="279"/>
      <c r="WME30" s="279"/>
      <c r="WMF30" s="279"/>
      <c r="WMG30" s="279"/>
      <c r="WMH30" s="279"/>
      <c r="WMI30" s="279"/>
      <c r="WMJ30" s="279"/>
      <c r="WMK30" s="279"/>
      <c r="WML30" s="279"/>
      <c r="WMM30" s="279"/>
      <c r="WMN30" s="279"/>
      <c r="WMO30" s="279"/>
      <c r="WMP30" s="279"/>
      <c r="WMQ30" s="279"/>
      <c r="WMR30" s="279"/>
      <c r="WMS30" s="279"/>
      <c r="WMT30" s="279"/>
      <c r="WMU30" s="279"/>
      <c r="WMV30" s="279"/>
      <c r="WMW30" s="279"/>
      <c r="WMX30" s="279"/>
      <c r="WMY30" s="279"/>
      <c r="WMZ30" s="279"/>
      <c r="WNA30" s="279"/>
      <c r="WNB30" s="279"/>
      <c r="WNC30" s="279"/>
      <c r="WND30" s="279"/>
      <c r="WNE30" s="279"/>
      <c r="WNF30" s="279"/>
      <c r="WNG30" s="279"/>
      <c r="WNH30" s="279"/>
      <c r="WNI30" s="279"/>
      <c r="WNJ30" s="279"/>
      <c r="WNK30" s="279"/>
      <c r="WNL30" s="279"/>
      <c r="WNM30" s="279"/>
      <c r="WNN30" s="279"/>
      <c r="WNO30" s="279"/>
      <c r="WNP30" s="279"/>
      <c r="WNQ30" s="279"/>
      <c r="WNR30" s="279"/>
      <c r="WNS30" s="279"/>
      <c r="WNT30" s="279"/>
      <c r="WNU30" s="279"/>
      <c r="WNV30" s="279"/>
      <c r="WNW30" s="279"/>
      <c r="WNX30" s="279"/>
      <c r="WNY30" s="279"/>
      <c r="WNZ30" s="279"/>
      <c r="WOA30" s="279"/>
      <c r="WOB30" s="279"/>
      <c r="WOC30" s="279"/>
      <c r="WOD30" s="279"/>
      <c r="WOE30" s="279"/>
      <c r="WOF30" s="279"/>
      <c r="WOG30" s="279"/>
      <c r="WOH30" s="279"/>
      <c r="WOI30" s="279"/>
      <c r="WOJ30" s="279"/>
      <c r="WOK30" s="279"/>
      <c r="WOL30" s="279"/>
      <c r="WOM30" s="279"/>
      <c r="WON30" s="279"/>
      <c r="WOO30" s="279"/>
      <c r="WOP30" s="279"/>
      <c r="WOQ30" s="279"/>
      <c r="WOR30" s="279"/>
      <c r="WOS30" s="279"/>
      <c r="WOT30" s="279"/>
      <c r="WOU30" s="279"/>
      <c r="WOV30" s="279"/>
      <c r="WOW30" s="279"/>
      <c r="WOX30" s="279"/>
      <c r="WOY30" s="279"/>
      <c r="WOZ30" s="279"/>
      <c r="WPA30" s="279"/>
      <c r="WPB30" s="279"/>
      <c r="WPC30" s="279"/>
      <c r="WPD30" s="279"/>
      <c r="WPE30" s="279"/>
      <c r="WPF30" s="279"/>
      <c r="WPG30" s="279"/>
      <c r="WPH30" s="279"/>
      <c r="WPI30" s="279"/>
      <c r="WPJ30" s="279"/>
      <c r="WPK30" s="279"/>
      <c r="WPL30" s="279"/>
      <c r="WPM30" s="279"/>
      <c r="WPN30" s="279"/>
      <c r="WPO30" s="279"/>
      <c r="WPP30" s="279"/>
      <c r="WPQ30" s="279"/>
      <c r="WPR30" s="279"/>
      <c r="WPS30" s="279"/>
      <c r="WPT30" s="279"/>
      <c r="WPU30" s="279"/>
      <c r="WPV30" s="279"/>
      <c r="WPW30" s="279"/>
      <c r="WPX30" s="279"/>
      <c r="WPY30" s="279"/>
      <c r="WPZ30" s="279"/>
      <c r="WQA30" s="279"/>
      <c r="WQB30" s="279"/>
      <c r="WQC30" s="279"/>
      <c r="WQD30" s="279"/>
      <c r="WQE30" s="279"/>
      <c r="WQF30" s="279"/>
      <c r="WQG30" s="279"/>
      <c r="WQH30" s="279"/>
      <c r="WQI30" s="279"/>
      <c r="WQJ30" s="279"/>
      <c r="WQK30" s="279"/>
      <c r="WQL30" s="279"/>
      <c r="WQM30" s="279"/>
      <c r="WQN30" s="279"/>
      <c r="WQO30" s="279"/>
      <c r="WQP30" s="279"/>
      <c r="WQQ30" s="279"/>
      <c r="WQR30" s="279"/>
      <c r="WQS30" s="279"/>
      <c r="WQT30" s="279"/>
      <c r="WQU30" s="279"/>
      <c r="WQV30" s="279"/>
      <c r="WQW30" s="279"/>
      <c r="WQX30" s="279"/>
      <c r="WQY30" s="279"/>
      <c r="WQZ30" s="279"/>
      <c r="WRA30" s="279"/>
      <c r="WRB30" s="279"/>
      <c r="WRC30" s="279"/>
      <c r="WRD30" s="279"/>
      <c r="WRE30" s="279"/>
      <c r="WRF30" s="279"/>
      <c r="WRG30" s="279"/>
      <c r="WRH30" s="279"/>
      <c r="WRI30" s="279"/>
      <c r="WRJ30" s="279"/>
      <c r="WRK30" s="279"/>
      <c r="WRL30" s="279"/>
      <c r="WRM30" s="279"/>
      <c r="WRN30" s="279"/>
      <c r="WRO30" s="279"/>
      <c r="WRP30" s="279"/>
      <c r="WRQ30" s="279"/>
      <c r="WRR30" s="279"/>
      <c r="WRS30" s="279"/>
      <c r="WRT30" s="279"/>
      <c r="WRU30" s="279"/>
      <c r="WRV30" s="279"/>
      <c r="WRW30" s="279"/>
      <c r="WRX30" s="279"/>
      <c r="WRY30" s="279"/>
      <c r="WRZ30" s="279"/>
      <c r="WSA30" s="279"/>
      <c r="WSB30" s="279"/>
      <c r="WSC30" s="279"/>
      <c r="WSD30" s="279"/>
      <c r="WSE30" s="279"/>
      <c r="WSF30" s="279"/>
      <c r="WSG30" s="279"/>
      <c r="WSH30" s="279"/>
      <c r="WSI30" s="279"/>
      <c r="WSJ30" s="279"/>
      <c r="WSK30" s="279"/>
      <c r="WSL30" s="279"/>
      <c r="WSM30" s="279"/>
      <c r="WSN30" s="279"/>
      <c r="WSO30" s="279"/>
      <c r="WSP30" s="279"/>
      <c r="WSQ30" s="279"/>
      <c r="WSR30" s="279"/>
      <c r="WSS30" s="279"/>
      <c r="WST30" s="279"/>
      <c r="WSU30" s="279"/>
      <c r="WSV30" s="279"/>
      <c r="WSW30" s="279"/>
      <c r="WSX30" s="279"/>
      <c r="WSY30" s="279"/>
      <c r="WSZ30" s="279"/>
      <c r="WTA30" s="279"/>
      <c r="WTB30" s="279"/>
      <c r="WTC30" s="279"/>
      <c r="WTD30" s="279"/>
      <c r="WTE30" s="279"/>
      <c r="WTF30" s="279"/>
      <c r="WTG30" s="279"/>
      <c r="WTH30" s="279"/>
      <c r="WTI30" s="279"/>
      <c r="WTJ30" s="279"/>
      <c r="WTK30" s="279"/>
      <c r="WTL30" s="279"/>
      <c r="WTM30" s="279"/>
      <c r="WTN30" s="279"/>
      <c r="WTO30" s="279"/>
      <c r="WTP30" s="279"/>
      <c r="WTQ30" s="279"/>
      <c r="WTR30" s="279"/>
      <c r="WTS30" s="279"/>
      <c r="WTT30" s="279"/>
      <c r="WTU30" s="279"/>
      <c r="WTV30" s="279"/>
      <c r="WTW30" s="279"/>
      <c r="WTX30" s="279"/>
      <c r="WTY30" s="279"/>
      <c r="WTZ30" s="279"/>
      <c r="WUA30" s="279"/>
      <c r="WUB30" s="279"/>
      <c r="WUC30" s="279"/>
      <c r="WUD30" s="279"/>
      <c r="WUE30" s="279"/>
      <c r="WUF30" s="279"/>
      <c r="WUG30" s="279"/>
      <c r="WUH30" s="279"/>
      <c r="WUI30" s="279"/>
      <c r="WUJ30" s="279"/>
      <c r="WUK30" s="279"/>
      <c r="WUL30" s="279"/>
      <c r="WUM30" s="279"/>
      <c r="WUN30" s="279"/>
      <c r="WUO30" s="279"/>
      <c r="WUP30" s="279"/>
      <c r="WUQ30" s="279"/>
      <c r="WUR30" s="279"/>
      <c r="WUS30" s="279"/>
      <c r="WUT30" s="279"/>
      <c r="WUU30" s="279"/>
      <c r="WUV30" s="279"/>
      <c r="WUW30" s="279"/>
      <c r="WUX30" s="279"/>
      <c r="WUY30" s="279"/>
      <c r="WUZ30" s="279"/>
      <c r="WVA30" s="279"/>
      <c r="WVB30" s="279"/>
      <c r="WVC30" s="279"/>
      <c r="WVD30" s="279"/>
      <c r="WVE30" s="279"/>
      <c r="WVF30" s="279"/>
      <c r="WVG30" s="279"/>
      <c r="WVH30" s="279"/>
      <c r="WVI30" s="279"/>
      <c r="WVJ30" s="279"/>
      <c r="WVK30" s="279"/>
      <c r="WVL30" s="279"/>
      <c r="WVM30" s="279"/>
      <c r="WVN30" s="279"/>
      <c r="WVO30" s="279"/>
      <c r="WVP30" s="279"/>
      <c r="WVQ30" s="279"/>
      <c r="WVR30" s="279"/>
      <c r="WVS30" s="279"/>
      <c r="WVT30" s="279"/>
      <c r="WVU30" s="279"/>
      <c r="WVV30" s="279"/>
      <c r="WVW30" s="279"/>
      <c r="WVX30" s="279"/>
      <c r="WVY30" s="279"/>
      <c r="WVZ30" s="279"/>
      <c r="WWA30" s="279"/>
      <c r="WWB30" s="279"/>
      <c r="WWC30" s="279"/>
      <c r="WWD30" s="279"/>
      <c r="WWE30" s="279"/>
      <c r="WWF30" s="279"/>
      <c r="WWG30" s="279"/>
      <c r="WWH30" s="279"/>
      <c r="WWI30" s="279"/>
      <c r="WWJ30" s="279"/>
      <c r="WWK30" s="279"/>
      <c r="WWL30" s="279"/>
      <c r="WWM30" s="279"/>
      <c r="WWN30" s="279"/>
      <c r="WWO30" s="279"/>
      <c r="WWP30" s="279"/>
      <c r="WWQ30" s="279"/>
      <c r="WWR30" s="279"/>
      <c r="WWS30" s="279"/>
      <c r="WWT30" s="279"/>
      <c r="WWU30" s="279"/>
      <c r="WWV30" s="279"/>
      <c r="WWW30" s="279"/>
      <c r="WWX30" s="279"/>
      <c r="WWY30" s="279"/>
      <c r="WWZ30" s="279"/>
      <c r="WXA30" s="279"/>
      <c r="WXB30" s="279"/>
      <c r="WXC30" s="279"/>
      <c r="WXD30" s="279"/>
      <c r="WXE30" s="279"/>
      <c r="WXF30" s="279"/>
      <c r="WXG30" s="279"/>
      <c r="WXH30" s="279"/>
      <c r="WXI30" s="279"/>
      <c r="WXJ30" s="279"/>
      <c r="WXK30" s="279"/>
      <c r="WXL30" s="279"/>
      <c r="WXM30" s="279"/>
      <c r="WXN30" s="279"/>
      <c r="WXO30" s="279"/>
      <c r="WXP30" s="279"/>
      <c r="WXQ30" s="279"/>
      <c r="WXR30" s="279"/>
      <c r="WXS30" s="279"/>
      <c r="WXT30" s="279"/>
      <c r="WXU30" s="279"/>
      <c r="WXV30" s="279"/>
      <c r="WXW30" s="279"/>
      <c r="WXX30" s="279"/>
      <c r="WXY30" s="279"/>
      <c r="WXZ30" s="279"/>
      <c r="WYA30" s="279"/>
      <c r="WYB30" s="279"/>
      <c r="WYC30" s="279"/>
      <c r="WYD30" s="279"/>
      <c r="WYE30" s="279"/>
      <c r="WYF30" s="279"/>
      <c r="WYG30" s="279"/>
      <c r="WYH30" s="279"/>
      <c r="WYI30" s="279"/>
      <c r="WYJ30" s="279"/>
      <c r="WYK30" s="279"/>
      <c r="WYL30" s="279"/>
      <c r="WYM30" s="279"/>
      <c r="WYN30" s="279"/>
      <c r="WYO30" s="279"/>
      <c r="WYP30" s="279"/>
      <c r="WYQ30" s="279"/>
      <c r="WYR30" s="279"/>
      <c r="WYS30" s="279"/>
      <c r="WYT30" s="279"/>
      <c r="WYU30" s="279"/>
      <c r="WYV30" s="279"/>
      <c r="WYW30" s="279"/>
      <c r="WYX30" s="279"/>
      <c r="WYY30" s="279"/>
      <c r="WYZ30" s="279"/>
      <c r="WZA30" s="279"/>
      <c r="WZB30" s="279"/>
      <c r="WZC30" s="279"/>
      <c r="WZD30" s="279"/>
      <c r="WZE30" s="279"/>
      <c r="WZF30" s="279"/>
      <c r="WZG30" s="279"/>
      <c r="WZH30" s="279"/>
      <c r="WZI30" s="279"/>
      <c r="WZJ30" s="279"/>
      <c r="WZK30" s="279"/>
      <c r="WZL30" s="279"/>
      <c r="WZM30" s="279"/>
      <c r="WZN30" s="279"/>
      <c r="WZO30" s="279"/>
      <c r="WZP30" s="279"/>
      <c r="WZQ30" s="279"/>
      <c r="WZR30" s="279"/>
      <c r="WZS30" s="279"/>
      <c r="WZT30" s="279"/>
      <c r="WZU30" s="279"/>
      <c r="WZV30" s="279"/>
      <c r="WZW30" s="279"/>
      <c r="WZX30" s="279"/>
      <c r="WZY30" s="279"/>
      <c r="WZZ30" s="279"/>
      <c r="XAA30" s="279"/>
      <c r="XAB30" s="279"/>
      <c r="XAC30" s="279"/>
      <c r="XAD30" s="279"/>
      <c r="XAE30" s="279"/>
      <c r="XAF30" s="279"/>
      <c r="XAG30" s="279"/>
      <c r="XAH30" s="279"/>
      <c r="XAI30" s="279"/>
      <c r="XAJ30" s="279"/>
      <c r="XAK30" s="279"/>
      <c r="XAL30" s="279"/>
      <c r="XAM30" s="279"/>
      <c r="XAN30" s="279"/>
      <c r="XAO30" s="279"/>
      <c r="XAP30" s="279"/>
      <c r="XAQ30" s="279"/>
      <c r="XAR30" s="279"/>
      <c r="XAS30" s="279"/>
      <c r="XAT30" s="279"/>
      <c r="XAU30" s="279"/>
      <c r="XAV30" s="279"/>
      <c r="XAW30" s="279"/>
      <c r="XAX30" s="279"/>
      <c r="XAY30" s="279"/>
      <c r="XAZ30" s="279"/>
      <c r="XBA30" s="279"/>
      <c r="XBB30" s="279"/>
      <c r="XBC30" s="279"/>
      <c r="XBD30" s="279"/>
      <c r="XBE30" s="279"/>
      <c r="XBF30" s="279"/>
      <c r="XBG30" s="279"/>
      <c r="XBH30" s="279"/>
      <c r="XBI30" s="279"/>
      <c r="XBJ30" s="279"/>
      <c r="XBK30" s="279"/>
      <c r="XBL30" s="279"/>
      <c r="XBM30" s="279"/>
      <c r="XBN30" s="279"/>
      <c r="XBO30" s="279"/>
      <c r="XBP30" s="279"/>
      <c r="XBQ30" s="279"/>
      <c r="XBR30" s="279"/>
      <c r="XBS30" s="279"/>
      <c r="XBT30" s="279"/>
      <c r="XBU30" s="279"/>
      <c r="XBV30" s="279"/>
      <c r="XBW30" s="279"/>
      <c r="XBX30" s="279"/>
      <c r="XBY30" s="279"/>
      <c r="XBZ30" s="279"/>
      <c r="XCA30" s="279"/>
      <c r="XCB30" s="279"/>
      <c r="XCC30" s="279"/>
      <c r="XCD30" s="279"/>
      <c r="XCE30" s="279"/>
      <c r="XCF30" s="279"/>
      <c r="XCG30" s="279"/>
      <c r="XCH30" s="279"/>
      <c r="XCI30" s="279"/>
      <c r="XCJ30" s="279"/>
      <c r="XCK30" s="279"/>
      <c r="XCL30" s="279"/>
      <c r="XCM30" s="279"/>
      <c r="XCN30" s="279"/>
      <c r="XCO30" s="279"/>
      <c r="XCP30" s="279"/>
      <c r="XCQ30" s="279"/>
      <c r="XCR30" s="279"/>
      <c r="XCS30" s="279"/>
      <c r="XCT30" s="279"/>
      <c r="XCU30" s="279"/>
      <c r="XCV30" s="279"/>
      <c r="XCW30" s="279"/>
      <c r="XCX30" s="279"/>
      <c r="XCY30" s="279"/>
      <c r="XCZ30" s="279"/>
      <c r="XDA30" s="279"/>
      <c r="XDB30" s="279"/>
      <c r="XDC30" s="279"/>
      <c r="XDD30" s="279"/>
      <c r="XDE30" s="279"/>
      <c r="XDF30" s="279"/>
      <c r="XDG30" s="279"/>
      <c r="XDH30" s="279"/>
      <c r="XDI30" s="279"/>
      <c r="XDJ30" s="279"/>
      <c r="XDK30" s="279"/>
      <c r="XDL30" s="279"/>
      <c r="XDM30" s="279"/>
      <c r="XDN30" s="279"/>
      <c r="XDO30" s="279"/>
      <c r="XDP30" s="279"/>
      <c r="XDQ30" s="279"/>
      <c r="XDR30" s="279"/>
      <c r="XDS30" s="279"/>
      <c r="XDT30" s="279"/>
      <c r="XDU30" s="279"/>
      <c r="XDV30" s="279"/>
      <c r="XDW30" s="279"/>
      <c r="XDX30" s="279"/>
      <c r="XDY30" s="279"/>
      <c r="XDZ30" s="279"/>
      <c r="XEA30" s="279"/>
      <c r="XEB30" s="279"/>
      <c r="XEC30" s="279"/>
      <c r="XED30" s="279"/>
      <c r="XEE30" s="279"/>
      <c r="XEF30" s="279"/>
      <c r="XEG30" s="279"/>
      <c r="XEH30" s="279"/>
      <c r="XEI30" s="279"/>
      <c r="XEJ30" s="279"/>
      <c r="XEK30" s="279"/>
      <c r="XEL30" s="279"/>
      <c r="XEM30" s="279"/>
      <c r="XEN30" s="279"/>
      <c r="XEO30" s="279"/>
      <c r="XEP30" s="279"/>
      <c r="XEQ30" s="279"/>
      <c r="XER30" s="279"/>
      <c r="XES30" s="279"/>
      <c r="XET30" s="279"/>
      <c r="XEU30" s="279"/>
      <c r="XEV30" s="279"/>
      <c r="XEW30" s="279"/>
      <c r="XEX30" s="279"/>
      <c r="XEY30" s="279"/>
      <c r="XEZ30" s="279"/>
      <c r="XFA30" s="279"/>
      <c r="XFB30" s="279"/>
      <c r="XFC30" s="279"/>
      <c r="XFD30" s="279"/>
    </row>
    <row r="31" spans="1:16384" s="159" customFormat="1" ht="13.5">
      <c r="A31" s="172">
        <v>3.1</v>
      </c>
      <c r="B31" s="186" t="s">
        <v>139</v>
      </c>
      <c r="C31" s="173" t="s">
        <v>72</v>
      </c>
      <c r="D31" s="298" t="str">
        <f>IF(OR(j_WEEKDAY(J_ADDDAY(VLOOKUP(I31,A:F,6,FALSE),H31,1),0)=6,SUMIFS(Holieday[ok],Holieday[date],J_ADDDAY(VLOOKUP(I31,A:F,6,FALSE),H31,1)))=FALSE(),J_ADDDAY(VLOOKUP(I31,A:F,6,FALSE),H31,1),IF(OR(j_WEEKDAY(J_ADDDAY(VLOOKUP(I31,A:F,6,FALSE),H31+1,1),0)=6,SUMIFS(Holieday[ok],Holieday[date],J_ADDDAY(VLOOKUP(I31,A:F,6,FALSE),H31+1,1)))=FALSE(),J_ADDDAY(VLOOKUP(I31,A:F,6,FALSE),H31+1,1),IF(OR(j_WEEKDAY(J_ADDDAY(VLOOKUP(I31,A:F,6,FALSE),H31+2,1),0)=6,SUMIFS(Holieday[ok],Holieday[date],J_ADDDAY(VLOOKUP(I31,A:F,6,FALSE),H31+2,1)))=FALSE(),J_ADDDAY(VLOOKUP(I31,A:F,6,FALSE),H31+2,1),IF(OR(j_WEEKDAY(J_ADDDAY(VLOOKUP(I31,A:F,6,FALSE),H31+3,1),0)=6,SUMIFS(Holieday[ok],Holieday[date],J_ADDDAY(VLOOKUP(I31,A:F,6,FALSE),H31+3,1)))=FALSE(),J_ADDDAY(VLOOKUP(I31,A:F,6,FALSE),H31+3,1),IF(OR(j_WEEKDAY(J_ADDDAY(VLOOKUP(I31,A:F,6,FALSE),H31+4,1),0)=6,SUMIFS(Holieday[ok],Holieday[date],J_ADDDAY(VLOOKUP(I31,A:F,6,FALSE),H31+4,1)))=FALSE(),J_ADDDAY(VLOOKUP(I31,A:F,6,FALSE),H31+4,1),J_ADDDAY(VLOOKUP(I31,A:F,6,FALSE),H31+5,1))))))</f>
        <v>1398/10/01</v>
      </c>
      <c r="E31" s="136">
        <f t="shared" si="13"/>
        <v>13981001</v>
      </c>
      <c r="F31" s="299" t="str">
        <f>IF(N31=0,J_SUBDAY(D31,1,1),IF((N31-(NETWORKDAYS.INTL(J_GregorianDate(D31,1),J_GregorianDate(J_SUBDAY(J_ADDDAY(D31,N31,1),1,1),1),16,1)))+SUMIFS(Holieday[ok],Holieday[date],CONCATENATE("&gt;","=",D31),Holieday[date],CONCATENATE("&lt;","=",J_SUBDAY(J_ADDDAY(D31,N31,1),1,1)))-SUMIFS(Holieday[Friday],Holieday[date],CONCATENATE("&gt;","=",D31),Holieday[date],CONCATENATE("&lt;","=",J_SUBDAY(J_ADDDAY(D31,N31,1),1,1)))=0,J_SUBDAY(J_ADDDAY(D31,N31,1),1,1),IF((N31+1-(NETWORKDAYS.INTL(J_GregorianDate(D31,1),J_GregorianDate(J_SUBDAY(J_ADDDAY(D31,N31+1,1),1,1),1),16,1)))+SUMIFS(Holieday[ok],Holieday[date],CONCATENATE("&gt;","=",D31),Holieday[date],CONCATENATE("&lt;","=",J_SUBDAY(J_ADDDAY(D31,N31+1,1),1,1)))-SUMIFS(Holieday[Friday],Holieday[date],CONCATENATE("&gt;","=",D31),Holieday[date],CONCATENATE("&lt;","=",J_SUBDAY(J_ADDDAY(D31,N31+1,1),1,1)))=1,J_SUBDAY(J_ADDDAY(D31,N31+1,1),1,1),IF((N31+2-(NETWORKDAYS.INTL(J_GregorianDate(D31,1),J_GregorianDate(J_SUBDAY(J_ADDDAY(D31,N31+2,1),1,1),1),16,1)))+SUMIFS(Holieday[ok],Holieday[date],CONCATENATE("&gt;","=",D31),Holieday[date],CONCATENATE("&lt;","=",J_SUBDAY(J_ADDDAY(D31,N31+2,1),1,1)))-SUMIFS(Holieday[Friday],Holieday[date],CONCATENATE("&gt;","=",D31),Holieday[date],CONCATENATE("&lt;","=",J_SUBDAY(J_ADDDAY(D31,N31+2,1),1,1)))=2,J_SUBDAY(J_ADDDAY(D31,N31+2,1),1,1),IF((N31+3-(NETWORKDAYS.INTL(J_GregorianDate(D31,1),J_GregorianDate(J_SUBDAY(J_ADDDAY(D31,N31+3,1),1,1),1),16,1)))+SUMIFS(Holieday[ok],Holieday[date],CONCATENATE("&gt;","=",D31),Holieday[date],CONCATENATE("&lt;","=",J_SUBDAY(J_ADDDAY(D31,N31+3,1),1,1)))-SUMIFS(Holieday[Friday],Holieday[date],CONCATENATE("&gt;","=",D31),Holieday[date],CONCATENATE("&lt;","=",J_SUBDAY(J_ADDDAY(D31,N31+3,1),1,1)))=3,J_SUBDAY(J_ADDDAY(D31,N31+3,1),1,1),IF((N31+4-(NETWORKDAYS.INTL(J_GregorianDate(D31,1),J_GregorianDate(J_SUBDAY(J_ADDDAY(D31,N31+4,1),1,1),1),16,1)))+SUMIFS(Holieday[ok],Holieday[date],CONCATENATE("&gt;","=",D31),Holieday[date],CONCATENATE("&lt;","=",J_SUBDAY(J_ADDDAY(D31,N31+4,1),1,1)))-SUMIFS(Holieday[Friday],Holieday[date],CONCATENATE("&gt;","=",D31),Holieday[date],CONCATENATE("&lt;","=",J_SUBDAY(J_ADDDAY(D31,N31+4,1),1,1)))=4,J_SUBDAY(J_ADDDAY(D31,N31+4,1),1,1),IF((N31+5-(NETWORKDAYS.INTL(J_GregorianDate(D31,1),J_GregorianDate(J_SUBDAY(J_ADDDAY(D31,N31+5,1),1,1),1),16,1)))+SUMIFS(Holieday[ok],Holieday[date],CONCATENATE("&gt;","=",D31),Holieday[date],CONCATENATE("&lt;","=",J_SUBDAY(J_ADDDAY(D31,N31+5,1),1,1)))-SUMIFS(Holieday[Friday],Holieday[date],CONCATENATE("&gt;","=",D31),Holieday[date],CONCATENATE("&lt;","=",J_SUBDAY(J_ADDDAY(D31,N31+5,1),1,1)))=5,J_SUBDAY(J_ADDDAY(D31,N31+5,1),1,1),J_SUBDAY(J_ADDDAY(D31,N31+6,1),1,1))))))))</f>
        <v>1398/10/10</v>
      </c>
      <c r="G31" s="139">
        <f t="shared" si="14"/>
        <v>13981010</v>
      </c>
      <c r="H31" s="175"/>
      <c r="I31" s="176">
        <v>1.1000000000000001</v>
      </c>
      <c r="J31" s="174">
        <f>j_WEEKDAY(D31,2)</f>
        <v>1</v>
      </c>
      <c r="K31" s="143">
        <f t="shared" ref="K31:K50" si="21">SUM(JA31:JC31)</f>
        <v>0</v>
      </c>
      <c r="L31" s="177">
        <f t="shared" ref="L31:L50" si="22">J_DIFF(D31,F31)+1</f>
        <v>10</v>
      </c>
      <c r="M31" s="178">
        <v>1</v>
      </c>
      <c r="N31" s="179">
        <v>9</v>
      </c>
      <c r="O31" s="144">
        <f t="shared" si="20"/>
        <v>10</v>
      </c>
      <c r="P31" s="144">
        <f>VALUE(J_normdate(J_ADDDAY($D31,$O31,1)))</f>
        <v>13981011</v>
      </c>
      <c r="Q31" s="142">
        <f t="shared" si="12"/>
        <v>0</v>
      </c>
      <c r="R31" s="141"/>
      <c r="S31" s="141"/>
      <c r="T31" s="141"/>
      <c r="U31" s="141"/>
      <c r="V31" s="141"/>
      <c r="W31" s="141"/>
      <c r="X31" s="141"/>
      <c r="Y31" s="141"/>
      <c r="Z31" s="141"/>
      <c r="AA31" s="141"/>
      <c r="AB31" s="141"/>
      <c r="AC31" s="141"/>
      <c r="AD31" s="141"/>
      <c r="AE31" s="141"/>
      <c r="AF31" s="141"/>
      <c r="AG31" s="141"/>
      <c r="AH31" s="141"/>
      <c r="AI31" s="141"/>
      <c r="AJ31" s="141"/>
      <c r="AK31" s="141"/>
      <c r="AL31" s="141"/>
      <c r="AM31" s="141"/>
      <c r="AN31" s="141"/>
      <c r="AO31" s="141"/>
      <c r="AP31" s="141"/>
      <c r="AQ31" s="141"/>
      <c r="AR31" s="141"/>
      <c r="AS31" s="141"/>
      <c r="AT31" s="141"/>
      <c r="AU31" s="141"/>
      <c r="AV31" s="141"/>
      <c r="AW31" s="141"/>
      <c r="AX31" s="141"/>
      <c r="AY31" s="141"/>
      <c r="AZ31" s="141"/>
      <c r="BA31" s="141"/>
      <c r="BB31" s="141"/>
      <c r="BC31" s="141"/>
      <c r="BD31" s="141"/>
      <c r="BE31" s="141"/>
      <c r="BF31" s="141"/>
      <c r="BG31" s="141"/>
      <c r="BH31" s="141"/>
      <c r="BI31" s="141"/>
      <c r="BJ31" s="141"/>
      <c r="BK31" s="141"/>
      <c r="BL31" s="141"/>
      <c r="BM31" s="141"/>
      <c r="BN31" s="141"/>
      <c r="BO31" s="141"/>
      <c r="BP31" s="141"/>
      <c r="BQ31" s="141"/>
      <c r="BR31" s="141"/>
      <c r="BS31" s="141"/>
      <c r="BT31" s="141"/>
      <c r="BU31" s="141"/>
      <c r="BV31" s="141"/>
      <c r="BW31" s="141"/>
      <c r="BX31" s="141"/>
      <c r="BY31" s="141"/>
      <c r="BZ31" s="141"/>
      <c r="CA31" s="141"/>
      <c r="CB31" s="141"/>
      <c r="CC31" s="141"/>
      <c r="CD31" s="141"/>
      <c r="CE31" s="141"/>
      <c r="CF31" s="141"/>
      <c r="CG31" s="141"/>
      <c r="CH31" s="141"/>
      <c r="CI31" s="141"/>
      <c r="CJ31" s="141"/>
      <c r="CK31" s="141"/>
      <c r="CL31" s="141"/>
      <c r="CM31" s="141"/>
      <c r="CN31" s="141"/>
      <c r="CO31" s="141"/>
      <c r="CP31" s="141"/>
      <c r="CQ31" s="141"/>
      <c r="CR31" s="141"/>
      <c r="CS31" s="141"/>
      <c r="CT31" s="141"/>
      <c r="CU31" s="141"/>
      <c r="CV31" s="141"/>
      <c r="CW31" s="141"/>
      <c r="CX31" s="141"/>
      <c r="CY31" s="141"/>
      <c r="CZ31" s="141"/>
      <c r="DA31" s="141"/>
      <c r="DB31" s="141"/>
      <c r="DC31" s="141"/>
      <c r="DD31" s="141"/>
      <c r="DE31" s="141"/>
      <c r="DF31" s="141"/>
      <c r="DG31" s="141"/>
      <c r="DH31" s="141"/>
      <c r="DI31" s="141"/>
      <c r="DJ31" s="141"/>
      <c r="DK31" s="141"/>
      <c r="DL31" s="141"/>
      <c r="DM31" s="141"/>
      <c r="DN31" s="141"/>
      <c r="DO31" s="141"/>
      <c r="DP31" s="141"/>
      <c r="DQ31" s="141"/>
      <c r="DR31" s="141"/>
      <c r="DS31" s="141"/>
      <c r="DT31" s="141"/>
      <c r="DU31" s="141"/>
      <c r="DV31" s="141"/>
      <c r="DW31" s="141"/>
      <c r="DX31" s="141"/>
      <c r="DY31" s="141"/>
      <c r="DZ31" s="141"/>
      <c r="EA31" s="141"/>
      <c r="EB31" s="141"/>
      <c r="EC31" s="141"/>
      <c r="ED31" s="141"/>
      <c r="EE31" s="141"/>
      <c r="EF31" s="141"/>
      <c r="EG31" s="141"/>
      <c r="EH31" s="141"/>
      <c r="EI31" s="141"/>
      <c r="EJ31" s="141"/>
      <c r="EK31" s="141"/>
      <c r="EL31" s="141"/>
      <c r="EM31" s="141"/>
      <c r="EN31" s="141"/>
      <c r="EO31" s="141"/>
      <c r="EP31" s="141"/>
      <c r="EQ31" s="141"/>
      <c r="ER31" s="141"/>
      <c r="ES31" s="141"/>
      <c r="ET31" s="141"/>
      <c r="EU31" s="141"/>
      <c r="EV31" s="141"/>
      <c r="EW31" s="141"/>
      <c r="EX31" s="141"/>
      <c r="EY31" s="141"/>
      <c r="EZ31" s="141"/>
      <c r="FA31" s="141"/>
      <c r="FB31" s="141"/>
      <c r="FC31" s="141"/>
      <c r="FD31" s="141"/>
      <c r="FE31" s="141"/>
      <c r="FF31" s="141"/>
      <c r="FG31" s="141"/>
      <c r="FH31" s="141"/>
      <c r="FI31" s="141"/>
      <c r="FJ31" s="141"/>
      <c r="FK31" s="141"/>
      <c r="FL31" s="141"/>
      <c r="FM31" s="141"/>
      <c r="FN31" s="141"/>
      <c r="FO31" s="141"/>
      <c r="FP31" s="141"/>
      <c r="FQ31" s="141"/>
      <c r="FR31" s="141"/>
      <c r="FS31" s="141"/>
      <c r="FT31" s="141"/>
      <c r="FU31" s="141"/>
      <c r="FV31" s="141"/>
      <c r="FW31" s="141"/>
      <c r="FX31" s="141"/>
      <c r="FY31" s="141"/>
      <c r="FZ31" s="141"/>
      <c r="GA31" s="141"/>
      <c r="GB31" s="141"/>
      <c r="GC31" s="141"/>
      <c r="GD31" s="141"/>
      <c r="GE31" s="141"/>
      <c r="GF31" s="141"/>
      <c r="GG31" s="141"/>
      <c r="GH31" s="141"/>
      <c r="GI31" s="141"/>
      <c r="GJ31" s="141"/>
      <c r="GK31" s="141"/>
      <c r="GL31" s="141"/>
      <c r="GM31" s="141"/>
      <c r="GN31" s="141"/>
      <c r="GO31" s="141"/>
      <c r="GP31" s="141"/>
      <c r="GQ31" s="141"/>
      <c r="GR31" s="141"/>
      <c r="GS31" s="141"/>
      <c r="GT31" s="141"/>
      <c r="GU31" s="141"/>
      <c r="GV31" s="141"/>
      <c r="GW31" s="141"/>
      <c r="GX31" s="141"/>
      <c r="GY31" s="141"/>
      <c r="GZ31" s="141"/>
      <c r="HA31" s="141"/>
      <c r="HB31" s="141"/>
      <c r="HC31" s="141"/>
      <c r="HD31" s="141"/>
      <c r="HE31" s="141"/>
      <c r="HF31" s="141"/>
      <c r="HG31" s="141"/>
      <c r="HH31" s="141"/>
      <c r="HI31" s="141"/>
      <c r="HJ31" s="141"/>
      <c r="HK31" s="141"/>
      <c r="HL31" s="141"/>
      <c r="HM31" s="141"/>
      <c r="HN31" s="141"/>
      <c r="HO31" s="141"/>
      <c r="HP31" s="141"/>
      <c r="HQ31" s="141"/>
      <c r="HR31" s="141"/>
      <c r="HS31" s="141"/>
      <c r="HT31" s="141"/>
      <c r="HU31" s="141"/>
      <c r="HV31" s="141"/>
      <c r="HW31" s="141"/>
      <c r="HX31" s="141"/>
      <c r="HY31" s="141"/>
      <c r="HZ31" s="141"/>
      <c r="IA31" s="141"/>
      <c r="IB31" s="141"/>
      <c r="IC31" s="141"/>
      <c r="ID31" s="141"/>
      <c r="IE31" s="141"/>
      <c r="IF31" s="141"/>
      <c r="IG31" s="141"/>
      <c r="IH31" s="141"/>
      <c r="II31" s="141"/>
      <c r="IJ31" s="141"/>
      <c r="IK31" s="141"/>
      <c r="IL31" s="141"/>
      <c r="IM31" s="141"/>
      <c r="IN31" s="141"/>
      <c r="IO31" s="141"/>
      <c r="IP31" s="141"/>
      <c r="IQ31" s="141"/>
      <c r="IR31" s="141"/>
      <c r="IS31" s="141"/>
      <c r="IT31" s="141"/>
      <c r="IU31" s="141"/>
      <c r="IV31" s="141"/>
      <c r="IW31" s="141"/>
      <c r="IX31" s="141"/>
      <c r="IY31" s="21">
        <v>3</v>
      </c>
      <c r="IZ31" s="31">
        <f>(TEXT(K31,"[m]")/60)*VLOOKUP(IY31,'Income Person-hours'!A$2:C$5,3,FALSE)</f>
        <v>0</v>
      </c>
      <c r="JA31" s="91"/>
      <c r="JB31" s="91"/>
      <c r="JC31" s="91"/>
      <c r="JD31" s="160">
        <f>SUM((TEXT(JA31,"[M]")/60)*'Income Person-hours'!$D$3,(TEXT(JB31,"[M]")/60)*'Income Person-hours'!$D$4,(TEXT(JC31,"[M]")/60)*'Income Person-hours'!$D$5)</f>
        <v>0</v>
      </c>
    </row>
    <row r="32" spans="1:16384" s="159" customFormat="1" ht="13.5">
      <c r="A32" s="172">
        <v>3.2</v>
      </c>
      <c r="B32" s="186" t="s">
        <v>138</v>
      </c>
      <c r="C32" s="173" t="s">
        <v>104</v>
      </c>
      <c r="D32" s="298" t="str">
        <f>IF(OR(j_WEEKDAY(J_ADDDAY(VLOOKUP(I32,A:F,6,FALSE),H32,1),0)=6,SUMIFS(Holieday[ok],Holieday[date],J_ADDDAY(VLOOKUP(I32,A:F,6,FALSE),H32,1)))=FALSE(),J_ADDDAY(VLOOKUP(I32,A:F,6,FALSE),H32,1),IF(OR(j_WEEKDAY(J_ADDDAY(VLOOKUP(I32,A:F,6,FALSE),H32+1,1),0)=6,SUMIFS(Holieday[ok],Holieday[date],J_ADDDAY(VLOOKUP(I32,A:F,6,FALSE),H32+1,1)))=FALSE(),J_ADDDAY(VLOOKUP(I32,A:F,6,FALSE),H32+1,1),IF(OR(j_WEEKDAY(J_ADDDAY(VLOOKUP(I32,A:F,6,FALSE),H32+2,1),0)=6,SUMIFS(Holieday[ok],Holieday[date],J_ADDDAY(VLOOKUP(I32,A:F,6,FALSE),H32+2,1)))=FALSE(),J_ADDDAY(VLOOKUP(I32,A:F,6,FALSE),H32+2,1),IF(OR(j_WEEKDAY(J_ADDDAY(VLOOKUP(I32,A:F,6,FALSE),H32+3,1),0)=6,SUMIFS(Holieday[ok],Holieday[date],J_ADDDAY(VLOOKUP(I32,A:F,6,FALSE),H32+3,1)))=FALSE(),J_ADDDAY(VLOOKUP(I32,A:F,6,FALSE),H32+3,1),IF(OR(j_WEEKDAY(J_ADDDAY(VLOOKUP(I32,A:F,6,FALSE),H32+4,1),0)=6,SUMIFS(Holieday[ok],Holieday[date],J_ADDDAY(VLOOKUP(I32,A:F,6,FALSE),H32+4,1)))=FALSE(),J_ADDDAY(VLOOKUP(I32,A:F,6,FALSE),H32+4,1),J_ADDDAY(VLOOKUP(I32,A:F,6,FALSE),H32+5,1))))))</f>
        <v>1398/10/01</v>
      </c>
      <c r="E32" s="136">
        <f t="shared" si="13"/>
        <v>13981001</v>
      </c>
      <c r="F32" s="299" t="str">
        <f>IF(N32=0,J_SUBDAY(D32,1,1),IF((N32-(NETWORKDAYS.INTL(J_GregorianDate(D32,1),J_GregorianDate(J_SUBDAY(J_ADDDAY(D32,N32,1),1,1),1),16,1)))+SUMIFS(Holieday[ok],Holieday[date],CONCATENATE("&gt;","=",D32),Holieday[date],CONCATENATE("&lt;","=",J_SUBDAY(J_ADDDAY(D32,N32,1),1,1)))-SUMIFS(Holieday[Friday],Holieday[date],CONCATENATE("&gt;","=",D32),Holieday[date],CONCATENATE("&lt;","=",J_SUBDAY(J_ADDDAY(D32,N32,1),1,1)))=0,J_SUBDAY(J_ADDDAY(D32,N32,1),1,1),IF((N32+1-(NETWORKDAYS.INTL(J_GregorianDate(D32,1),J_GregorianDate(J_SUBDAY(J_ADDDAY(D32,N32+1,1),1,1),1),16,1)))+SUMIFS(Holieday[ok],Holieday[date],CONCATENATE("&gt;","=",D32),Holieday[date],CONCATENATE("&lt;","=",J_SUBDAY(J_ADDDAY(D32,N32+1,1),1,1)))-SUMIFS(Holieday[Friday],Holieday[date],CONCATENATE("&gt;","=",D32),Holieday[date],CONCATENATE("&lt;","=",J_SUBDAY(J_ADDDAY(D32,N32+1,1),1,1)))=1,J_SUBDAY(J_ADDDAY(D32,N32+1,1),1,1),IF((N32+2-(NETWORKDAYS.INTL(J_GregorianDate(D32,1),J_GregorianDate(J_SUBDAY(J_ADDDAY(D32,N32+2,1),1,1),1),16,1)))+SUMIFS(Holieday[ok],Holieday[date],CONCATENATE("&gt;","=",D32),Holieday[date],CONCATENATE("&lt;","=",J_SUBDAY(J_ADDDAY(D32,N32+2,1),1,1)))-SUMIFS(Holieday[Friday],Holieday[date],CONCATENATE("&gt;","=",D32),Holieday[date],CONCATENATE("&lt;","=",J_SUBDAY(J_ADDDAY(D32,N32+2,1),1,1)))=2,J_SUBDAY(J_ADDDAY(D32,N32+2,1),1,1),IF((N32+3-(NETWORKDAYS.INTL(J_GregorianDate(D32,1),J_GregorianDate(J_SUBDAY(J_ADDDAY(D32,N32+3,1),1,1),1),16,1)))+SUMIFS(Holieday[ok],Holieday[date],CONCATENATE("&gt;","=",D32),Holieday[date],CONCATENATE("&lt;","=",J_SUBDAY(J_ADDDAY(D32,N32+3,1),1,1)))-SUMIFS(Holieday[Friday],Holieday[date],CONCATENATE("&gt;","=",D32),Holieday[date],CONCATENATE("&lt;","=",J_SUBDAY(J_ADDDAY(D32,N32+3,1),1,1)))=3,J_SUBDAY(J_ADDDAY(D32,N32+3,1),1,1),IF((N32+4-(NETWORKDAYS.INTL(J_GregorianDate(D32,1),J_GregorianDate(J_SUBDAY(J_ADDDAY(D32,N32+4,1),1,1),1),16,1)))+SUMIFS(Holieday[ok],Holieday[date],CONCATENATE("&gt;","=",D32),Holieday[date],CONCATENATE("&lt;","=",J_SUBDAY(J_ADDDAY(D32,N32+4,1),1,1)))-SUMIFS(Holieday[Friday],Holieday[date],CONCATENATE("&gt;","=",D32),Holieday[date],CONCATENATE("&lt;","=",J_SUBDAY(J_ADDDAY(D32,N32+4,1),1,1)))=4,J_SUBDAY(J_ADDDAY(D32,N32+4,1),1,1),IF((N32+5-(NETWORKDAYS.INTL(J_GregorianDate(D32,1),J_GregorianDate(J_SUBDAY(J_ADDDAY(D32,N32+5,1),1,1),1),16,1)))+SUMIFS(Holieday[ok],Holieday[date],CONCATENATE("&gt;","=",D32),Holieday[date],CONCATENATE("&lt;","=",J_SUBDAY(J_ADDDAY(D32,N32+5,1),1,1)))-SUMIFS(Holieday[Friday],Holieday[date],CONCATENATE("&gt;","=",D32),Holieday[date],CONCATENATE("&lt;","=",J_SUBDAY(J_ADDDAY(D32,N32+5,1),1,1)))=5,J_SUBDAY(J_ADDDAY(D32,N32+5,1),1,1),J_SUBDAY(J_ADDDAY(D32,N32+6,1),1,1))))))))</f>
        <v>1398/10/11</v>
      </c>
      <c r="G32" s="139">
        <f t="shared" si="14"/>
        <v>13981011</v>
      </c>
      <c r="H32" s="175"/>
      <c r="I32" s="176">
        <v>1.1000000000000001</v>
      </c>
      <c r="J32" s="174">
        <f>j_WEEKDAY(D32,2)</f>
        <v>1</v>
      </c>
      <c r="K32" s="143">
        <f t="shared" si="21"/>
        <v>0</v>
      </c>
      <c r="L32" s="177">
        <f t="shared" si="22"/>
        <v>11</v>
      </c>
      <c r="M32" s="178">
        <v>1</v>
      </c>
      <c r="N32" s="179">
        <v>10</v>
      </c>
      <c r="O32" s="144">
        <f t="shared" si="20"/>
        <v>11</v>
      </c>
      <c r="P32" s="144">
        <f>VALUE(J_normdate(J_ADDDAY($D32,$O32,1)))</f>
        <v>13981012</v>
      </c>
      <c r="Q32" s="142">
        <f t="shared" si="12"/>
        <v>0</v>
      </c>
      <c r="R32" s="141"/>
      <c r="S32" s="141"/>
      <c r="T32" s="141"/>
      <c r="U32" s="141"/>
      <c r="V32" s="141"/>
      <c r="W32" s="141"/>
      <c r="X32" s="141"/>
      <c r="Y32" s="141"/>
      <c r="Z32" s="141"/>
      <c r="AA32" s="141"/>
      <c r="AB32" s="141"/>
      <c r="AC32" s="141"/>
      <c r="AD32" s="141"/>
      <c r="AE32" s="141"/>
      <c r="AF32" s="141"/>
      <c r="AG32" s="141"/>
      <c r="AH32" s="141"/>
      <c r="AI32" s="141"/>
      <c r="AJ32" s="141"/>
      <c r="AK32" s="141"/>
      <c r="AL32" s="141"/>
      <c r="AM32" s="141"/>
      <c r="AN32" s="141"/>
      <c r="AO32" s="141"/>
      <c r="AP32" s="141"/>
      <c r="AQ32" s="141"/>
      <c r="AR32" s="141"/>
      <c r="AS32" s="141"/>
      <c r="AT32" s="141"/>
      <c r="AU32" s="141"/>
      <c r="AV32" s="141"/>
      <c r="AW32" s="141"/>
      <c r="AX32" s="141"/>
      <c r="AY32" s="141"/>
      <c r="AZ32" s="141"/>
      <c r="BA32" s="141"/>
      <c r="BB32" s="141"/>
      <c r="BC32" s="141"/>
      <c r="BD32" s="141"/>
      <c r="BE32" s="141"/>
      <c r="BF32" s="141"/>
      <c r="BG32" s="141"/>
      <c r="BH32" s="141"/>
      <c r="BI32" s="141"/>
      <c r="BJ32" s="141"/>
      <c r="BK32" s="141"/>
      <c r="BL32" s="141"/>
      <c r="BM32" s="141"/>
      <c r="BN32" s="141"/>
      <c r="BO32" s="141"/>
      <c r="BP32" s="141"/>
      <c r="BQ32" s="141"/>
      <c r="BR32" s="141"/>
      <c r="BS32" s="141"/>
      <c r="BT32" s="141"/>
      <c r="BU32" s="141"/>
      <c r="BV32" s="141"/>
      <c r="BW32" s="141"/>
      <c r="BX32" s="141"/>
      <c r="BY32" s="141"/>
      <c r="BZ32" s="141"/>
      <c r="CA32" s="141"/>
      <c r="CB32" s="141"/>
      <c r="CC32" s="141"/>
      <c r="CD32" s="141"/>
      <c r="CE32" s="141"/>
      <c r="CF32" s="141"/>
      <c r="CG32" s="141"/>
      <c r="CH32" s="141"/>
      <c r="CI32" s="141"/>
      <c r="CJ32" s="141"/>
      <c r="CK32" s="141"/>
      <c r="CL32" s="141"/>
      <c r="CM32" s="141"/>
      <c r="CN32" s="141"/>
      <c r="CO32" s="141"/>
      <c r="CP32" s="141"/>
      <c r="CQ32" s="141"/>
      <c r="CR32" s="141"/>
      <c r="CS32" s="141"/>
      <c r="CT32" s="141"/>
      <c r="CU32" s="141"/>
      <c r="CV32" s="141"/>
      <c r="CW32" s="141"/>
      <c r="CX32" s="141"/>
      <c r="CY32" s="141"/>
      <c r="CZ32" s="141"/>
      <c r="DA32" s="141"/>
      <c r="DB32" s="141"/>
      <c r="DC32" s="141"/>
      <c r="DD32" s="141"/>
      <c r="DE32" s="141"/>
      <c r="DF32" s="141"/>
      <c r="DG32" s="141"/>
      <c r="DH32" s="141"/>
      <c r="DI32" s="141"/>
      <c r="DJ32" s="141"/>
      <c r="DK32" s="141"/>
      <c r="DL32" s="141"/>
      <c r="DM32" s="141"/>
      <c r="DN32" s="141"/>
      <c r="DO32" s="141"/>
      <c r="DP32" s="141"/>
      <c r="DQ32" s="141"/>
      <c r="DR32" s="141"/>
      <c r="DS32" s="141"/>
      <c r="DT32" s="141"/>
      <c r="DU32" s="141"/>
      <c r="DV32" s="141"/>
      <c r="DW32" s="141"/>
      <c r="DX32" s="141"/>
      <c r="DY32" s="141"/>
      <c r="DZ32" s="141"/>
      <c r="EA32" s="141"/>
      <c r="EB32" s="141"/>
      <c r="EC32" s="141"/>
      <c r="ED32" s="141"/>
      <c r="EE32" s="141"/>
      <c r="EF32" s="141"/>
      <c r="EG32" s="141"/>
      <c r="EH32" s="141"/>
      <c r="EI32" s="141"/>
      <c r="EJ32" s="141"/>
      <c r="EK32" s="141"/>
      <c r="EL32" s="141"/>
      <c r="EM32" s="141"/>
      <c r="EN32" s="141"/>
      <c r="EO32" s="141"/>
      <c r="EP32" s="141"/>
      <c r="EQ32" s="141"/>
      <c r="ER32" s="141"/>
      <c r="ES32" s="141"/>
      <c r="ET32" s="141"/>
      <c r="EU32" s="141"/>
      <c r="EV32" s="141"/>
      <c r="EW32" s="141"/>
      <c r="EX32" s="141"/>
      <c r="EY32" s="141"/>
      <c r="EZ32" s="141"/>
      <c r="FA32" s="141"/>
      <c r="FB32" s="141"/>
      <c r="FC32" s="141"/>
      <c r="FD32" s="141"/>
      <c r="FE32" s="141"/>
      <c r="FF32" s="141"/>
      <c r="FG32" s="141"/>
      <c r="FH32" s="141"/>
      <c r="FI32" s="141"/>
      <c r="FJ32" s="141"/>
      <c r="FK32" s="141"/>
      <c r="FL32" s="141"/>
      <c r="FM32" s="141"/>
      <c r="FN32" s="141"/>
      <c r="FO32" s="141"/>
      <c r="FP32" s="141"/>
      <c r="FQ32" s="141"/>
      <c r="FR32" s="141"/>
      <c r="FS32" s="141"/>
      <c r="FT32" s="141"/>
      <c r="FU32" s="141"/>
      <c r="FV32" s="141"/>
      <c r="FW32" s="141"/>
      <c r="FX32" s="141"/>
      <c r="FY32" s="141"/>
      <c r="FZ32" s="141"/>
      <c r="GA32" s="141"/>
      <c r="GB32" s="141"/>
      <c r="GC32" s="141"/>
      <c r="GD32" s="141"/>
      <c r="GE32" s="141"/>
      <c r="GF32" s="141"/>
      <c r="GG32" s="141"/>
      <c r="GH32" s="141"/>
      <c r="GI32" s="141"/>
      <c r="GJ32" s="141"/>
      <c r="GK32" s="141"/>
      <c r="GL32" s="141"/>
      <c r="GM32" s="141"/>
      <c r="GN32" s="141"/>
      <c r="GO32" s="141"/>
      <c r="GP32" s="141"/>
      <c r="GQ32" s="141"/>
      <c r="GR32" s="141"/>
      <c r="GS32" s="141"/>
      <c r="GT32" s="141"/>
      <c r="GU32" s="141"/>
      <c r="GV32" s="141"/>
      <c r="GW32" s="141"/>
      <c r="GX32" s="141"/>
      <c r="GY32" s="141"/>
      <c r="GZ32" s="141"/>
      <c r="HA32" s="141"/>
      <c r="HB32" s="141"/>
      <c r="HC32" s="141"/>
      <c r="HD32" s="141"/>
      <c r="HE32" s="141"/>
      <c r="HF32" s="141"/>
      <c r="HG32" s="141"/>
      <c r="HH32" s="141"/>
      <c r="HI32" s="141"/>
      <c r="HJ32" s="141"/>
      <c r="HK32" s="141"/>
      <c r="HL32" s="141"/>
      <c r="HM32" s="141"/>
      <c r="HN32" s="141"/>
      <c r="HO32" s="141"/>
      <c r="HP32" s="141"/>
      <c r="HQ32" s="141"/>
      <c r="HR32" s="141"/>
      <c r="HS32" s="141"/>
      <c r="HT32" s="141"/>
      <c r="HU32" s="141"/>
      <c r="HV32" s="141"/>
      <c r="HW32" s="141"/>
      <c r="HX32" s="141"/>
      <c r="HY32" s="141"/>
      <c r="HZ32" s="141"/>
      <c r="IA32" s="141"/>
      <c r="IB32" s="141"/>
      <c r="IC32" s="141"/>
      <c r="ID32" s="141"/>
      <c r="IE32" s="141"/>
      <c r="IF32" s="141"/>
      <c r="IG32" s="141"/>
      <c r="IH32" s="141"/>
      <c r="II32" s="141"/>
      <c r="IJ32" s="141"/>
      <c r="IK32" s="141"/>
      <c r="IL32" s="141"/>
      <c r="IM32" s="141"/>
      <c r="IN32" s="141"/>
      <c r="IO32" s="141"/>
      <c r="IP32" s="141"/>
      <c r="IQ32" s="141"/>
      <c r="IR32" s="141"/>
      <c r="IS32" s="141"/>
      <c r="IT32" s="141"/>
      <c r="IU32" s="141"/>
      <c r="IV32" s="141"/>
      <c r="IW32" s="141"/>
      <c r="IX32" s="141"/>
      <c r="IY32" s="21">
        <v>3</v>
      </c>
      <c r="IZ32" s="31">
        <f>(TEXT(K32,"[m]")/60)*VLOOKUP(IY32,'Income Person-hours'!A$2:C$5,3,FALSE)</f>
        <v>0</v>
      </c>
      <c r="JA32" s="91"/>
      <c r="JB32" s="91"/>
      <c r="JC32" s="91"/>
      <c r="JD32" s="160">
        <f>SUM((TEXT(JA32,"[M]")/60)*'Income Person-hours'!$D$3,(TEXT(JB32,"[M]")/60)*'Income Person-hours'!$D$4,(TEXT(JC32,"[M]")/60)*'Income Person-hours'!$D$5)</f>
        <v>0</v>
      </c>
    </row>
    <row r="33" spans="1:264" s="185" customFormat="1" ht="13.5">
      <c r="A33" s="172">
        <v>3.3</v>
      </c>
      <c r="B33" s="186" t="s">
        <v>144</v>
      </c>
      <c r="C33" s="173" t="s">
        <v>104</v>
      </c>
      <c r="D33" s="298" t="str">
        <f>IF(OR(j_WEEKDAY(J_ADDDAY(VLOOKUP(I33,A:F,6,FALSE),H33,1),0)=6,SUMIFS(Holieday[ok],Holieday[date],J_ADDDAY(VLOOKUP(I33,A:F,6,FALSE),H33,1)))=FALSE(),J_ADDDAY(VLOOKUP(I33,A:F,6,FALSE),H33,1),IF(OR(j_WEEKDAY(J_ADDDAY(VLOOKUP(I33,A:F,6,FALSE),H33+1,1),0)=6,SUMIFS(Holieday[ok],Holieday[date],J_ADDDAY(VLOOKUP(I33,A:F,6,FALSE),H33+1,1)))=FALSE(),J_ADDDAY(VLOOKUP(I33,A:F,6,FALSE),H33+1,1),IF(OR(j_WEEKDAY(J_ADDDAY(VLOOKUP(I33,A:F,6,FALSE),H33+2,1),0)=6,SUMIFS(Holieday[ok],Holieday[date],J_ADDDAY(VLOOKUP(I33,A:F,6,FALSE),H33+2,1)))=FALSE(),J_ADDDAY(VLOOKUP(I33,A:F,6,FALSE),H33+2,1),IF(OR(j_WEEKDAY(J_ADDDAY(VLOOKUP(I33,A:F,6,FALSE),H33+3,1),0)=6,SUMIFS(Holieday[ok],Holieday[date],J_ADDDAY(VLOOKUP(I33,A:F,6,FALSE),H33+3,1)))=FALSE(),J_ADDDAY(VLOOKUP(I33,A:F,6,FALSE),H33+3,1),IF(OR(j_WEEKDAY(J_ADDDAY(VLOOKUP(I33,A:F,6,FALSE),H33+4,1),0)=6,SUMIFS(Holieday[ok],Holieday[date],J_ADDDAY(VLOOKUP(I33,A:F,6,FALSE),H33+4,1)))=FALSE(),J_ADDDAY(VLOOKUP(I33,A:F,6,FALSE),H33+4,1),J_ADDDAY(VLOOKUP(I33,A:F,6,FALSE),H33+5,1))))))</f>
        <v>1398/10/01</v>
      </c>
      <c r="E33" s="136">
        <f t="shared" si="13"/>
        <v>13981001</v>
      </c>
      <c r="F33" s="299" t="str">
        <f>IF(N33=0,J_SUBDAY(D33,1,1),IF((N33-(NETWORKDAYS.INTL(J_GregorianDate(D33,1),J_GregorianDate(J_SUBDAY(J_ADDDAY(D33,N33,1),1,1),1),16,1)))+SUMIFS(Holieday[ok],Holieday[date],CONCATENATE("&gt;","=",D33),Holieday[date],CONCATENATE("&lt;","=",J_SUBDAY(J_ADDDAY(D33,N33,1),1,1)))-SUMIFS(Holieday[Friday],Holieday[date],CONCATENATE("&gt;","=",D33),Holieday[date],CONCATENATE("&lt;","=",J_SUBDAY(J_ADDDAY(D33,N33,1),1,1)))=0,J_SUBDAY(J_ADDDAY(D33,N33,1),1,1),IF((N33+1-(NETWORKDAYS.INTL(J_GregorianDate(D33,1),J_GregorianDate(J_SUBDAY(J_ADDDAY(D33,N33+1,1),1,1),1),16,1)))+SUMIFS(Holieday[ok],Holieday[date],CONCATENATE("&gt;","=",D33),Holieday[date],CONCATENATE("&lt;","=",J_SUBDAY(J_ADDDAY(D33,N33+1,1),1,1)))-SUMIFS(Holieday[Friday],Holieday[date],CONCATENATE("&gt;","=",D33),Holieday[date],CONCATENATE("&lt;","=",J_SUBDAY(J_ADDDAY(D33,N33+1,1),1,1)))=1,J_SUBDAY(J_ADDDAY(D33,N33+1,1),1,1),IF((N33+2-(NETWORKDAYS.INTL(J_GregorianDate(D33,1),J_GregorianDate(J_SUBDAY(J_ADDDAY(D33,N33+2,1),1,1),1),16,1)))+SUMIFS(Holieday[ok],Holieday[date],CONCATENATE("&gt;","=",D33),Holieday[date],CONCATENATE("&lt;","=",J_SUBDAY(J_ADDDAY(D33,N33+2,1),1,1)))-SUMIFS(Holieday[Friday],Holieday[date],CONCATENATE("&gt;","=",D33),Holieday[date],CONCATENATE("&lt;","=",J_SUBDAY(J_ADDDAY(D33,N33+2,1),1,1)))=2,J_SUBDAY(J_ADDDAY(D33,N33+2,1),1,1),IF((N33+3-(NETWORKDAYS.INTL(J_GregorianDate(D33,1),J_GregorianDate(J_SUBDAY(J_ADDDAY(D33,N33+3,1),1,1),1),16,1)))+SUMIFS(Holieday[ok],Holieday[date],CONCATENATE("&gt;","=",D33),Holieday[date],CONCATENATE("&lt;","=",J_SUBDAY(J_ADDDAY(D33,N33+3,1),1,1)))-SUMIFS(Holieday[Friday],Holieday[date],CONCATENATE("&gt;","=",D33),Holieday[date],CONCATENATE("&lt;","=",J_SUBDAY(J_ADDDAY(D33,N33+3,1),1,1)))=3,J_SUBDAY(J_ADDDAY(D33,N33+3,1),1,1),IF((N33+4-(NETWORKDAYS.INTL(J_GregorianDate(D33,1),J_GregorianDate(J_SUBDAY(J_ADDDAY(D33,N33+4,1),1,1),1),16,1)))+SUMIFS(Holieday[ok],Holieday[date],CONCATENATE("&gt;","=",D33),Holieday[date],CONCATENATE("&lt;","=",J_SUBDAY(J_ADDDAY(D33,N33+4,1),1,1)))-SUMIFS(Holieday[Friday],Holieday[date],CONCATENATE("&gt;","=",D33),Holieday[date],CONCATENATE("&lt;","=",J_SUBDAY(J_ADDDAY(D33,N33+4,1),1,1)))=4,J_SUBDAY(J_ADDDAY(D33,N33+4,1),1,1),IF((N33+5-(NETWORKDAYS.INTL(J_GregorianDate(D33,1),J_GregorianDate(J_SUBDAY(J_ADDDAY(D33,N33+5,1),1,1),1),16,1)))+SUMIFS(Holieday[ok],Holieday[date],CONCATENATE("&gt;","=",D33),Holieday[date],CONCATENATE("&lt;","=",J_SUBDAY(J_ADDDAY(D33,N33+5,1),1,1)))-SUMIFS(Holieday[Friday],Holieday[date],CONCATENATE("&gt;","=",D33),Holieday[date],CONCATENATE("&lt;","=",J_SUBDAY(J_ADDDAY(D33,N33+5,1),1,1)))=5,J_SUBDAY(J_ADDDAY(D33,N33+5,1),1,1),J_SUBDAY(J_ADDDAY(D33,N33+6,1),1,1))))))))</f>
        <v>1398/10/17</v>
      </c>
      <c r="G33" s="139">
        <f t="shared" si="14"/>
        <v>13981017</v>
      </c>
      <c r="H33" s="175"/>
      <c r="I33" s="176">
        <v>1.1000000000000001</v>
      </c>
      <c r="J33" s="174">
        <f>j_WEEKDAY(D33,2)</f>
        <v>1</v>
      </c>
      <c r="K33" s="143">
        <f t="shared" si="21"/>
        <v>0</v>
      </c>
      <c r="L33" s="177">
        <v>30</v>
      </c>
      <c r="M33" s="178">
        <v>0.7</v>
      </c>
      <c r="N33" s="179">
        <v>15</v>
      </c>
      <c r="O33" s="144">
        <f t="shared" si="20"/>
        <v>21</v>
      </c>
      <c r="P33" s="144">
        <f>VALUE(J_normdate(J_ADDDAY($D33,$O33,1)))</f>
        <v>13981022</v>
      </c>
      <c r="Q33" s="142">
        <f t="shared" si="12"/>
        <v>9</v>
      </c>
      <c r="R33" s="180"/>
      <c r="S33" s="180"/>
      <c r="T33" s="180"/>
      <c r="U33" s="180"/>
      <c r="V33" s="180"/>
      <c r="W33" s="180"/>
      <c r="X33" s="180"/>
      <c r="Y33" s="180"/>
      <c r="Z33" s="180"/>
      <c r="AA33" s="180"/>
      <c r="AB33" s="180"/>
      <c r="AC33" s="180"/>
      <c r="AD33" s="180"/>
      <c r="AE33" s="180"/>
      <c r="AF33" s="180"/>
      <c r="AG33" s="180"/>
      <c r="AH33" s="180"/>
      <c r="AI33" s="180"/>
      <c r="AJ33" s="180"/>
      <c r="AK33" s="180"/>
      <c r="AL33" s="180"/>
      <c r="AM33" s="180"/>
      <c r="AN33" s="180"/>
      <c r="AO33" s="180"/>
      <c r="AP33" s="180"/>
      <c r="AQ33" s="180"/>
      <c r="AR33" s="180"/>
      <c r="AS33" s="180"/>
      <c r="AT33" s="180"/>
      <c r="AU33" s="180"/>
      <c r="AV33" s="180"/>
      <c r="AW33" s="180"/>
      <c r="AX33" s="180"/>
      <c r="AY33" s="180"/>
      <c r="AZ33" s="180"/>
      <c r="BA33" s="180"/>
      <c r="BB33" s="180"/>
      <c r="BC33" s="180"/>
      <c r="BD33" s="180"/>
      <c r="BE33" s="180"/>
      <c r="BF33" s="180"/>
      <c r="BG33" s="180"/>
      <c r="BH33" s="180"/>
      <c r="BI33" s="180"/>
      <c r="BJ33" s="180"/>
      <c r="BK33" s="180"/>
      <c r="BL33" s="180"/>
      <c r="BM33" s="180"/>
      <c r="BN33" s="180"/>
      <c r="BO33" s="180"/>
      <c r="BP33" s="180"/>
      <c r="BQ33" s="180"/>
      <c r="BR33" s="180"/>
      <c r="BS33" s="180"/>
      <c r="BT33" s="180"/>
      <c r="BU33" s="180"/>
      <c r="BV33" s="180"/>
      <c r="BW33" s="180"/>
      <c r="BX33" s="180"/>
      <c r="BY33" s="180"/>
      <c r="BZ33" s="180"/>
      <c r="CA33" s="180"/>
      <c r="CB33" s="180"/>
      <c r="CC33" s="180"/>
      <c r="CD33" s="180"/>
      <c r="CE33" s="180"/>
      <c r="CF33" s="180"/>
      <c r="CG33" s="180"/>
      <c r="CH33" s="180"/>
      <c r="CI33" s="180"/>
      <c r="CJ33" s="180"/>
      <c r="CK33" s="180"/>
      <c r="CL33" s="180"/>
      <c r="CM33" s="180"/>
      <c r="CN33" s="180"/>
      <c r="CO33" s="180"/>
      <c r="CP33" s="180"/>
      <c r="CQ33" s="180"/>
      <c r="CR33" s="180"/>
      <c r="CS33" s="180"/>
      <c r="CT33" s="180"/>
      <c r="CU33" s="180"/>
      <c r="CV33" s="180"/>
      <c r="CW33" s="180"/>
      <c r="CX33" s="180"/>
      <c r="CY33" s="180"/>
      <c r="CZ33" s="180"/>
      <c r="DA33" s="180"/>
      <c r="DB33" s="180"/>
      <c r="DC33" s="180"/>
      <c r="DD33" s="180"/>
      <c r="DE33" s="180"/>
      <c r="DF33" s="180"/>
      <c r="DG33" s="180"/>
      <c r="DH33" s="180"/>
      <c r="DI33" s="180"/>
      <c r="DJ33" s="180"/>
      <c r="DK33" s="180"/>
      <c r="DL33" s="180"/>
      <c r="DM33" s="180"/>
      <c r="DN33" s="180"/>
      <c r="DO33" s="180"/>
      <c r="DP33" s="180"/>
      <c r="DQ33" s="180"/>
      <c r="DR33" s="180"/>
      <c r="DS33" s="180"/>
      <c r="DT33" s="180"/>
      <c r="DU33" s="180"/>
      <c r="DV33" s="180"/>
      <c r="DW33" s="180"/>
      <c r="DX33" s="180"/>
      <c r="DY33" s="180"/>
      <c r="DZ33" s="180"/>
      <c r="EA33" s="180"/>
      <c r="EB33" s="180"/>
      <c r="EC33" s="180"/>
      <c r="ED33" s="180"/>
      <c r="EE33" s="180"/>
      <c r="EF33" s="180"/>
      <c r="EG33" s="180"/>
      <c r="EH33" s="180"/>
      <c r="EI33" s="180"/>
      <c r="EJ33" s="180"/>
      <c r="EK33" s="180"/>
      <c r="EL33" s="180"/>
      <c r="EM33" s="180"/>
      <c r="EN33" s="180"/>
      <c r="EO33" s="180"/>
      <c r="EP33" s="180"/>
      <c r="EQ33" s="180"/>
      <c r="ER33" s="180"/>
      <c r="ES33" s="180"/>
      <c r="ET33" s="180"/>
      <c r="EU33" s="180"/>
      <c r="EV33" s="180"/>
      <c r="EW33" s="180"/>
      <c r="EX33" s="180"/>
      <c r="EY33" s="180"/>
      <c r="EZ33" s="180"/>
      <c r="FA33" s="180"/>
      <c r="FB33" s="180"/>
      <c r="FC33" s="180"/>
      <c r="FD33" s="180"/>
      <c r="FE33" s="180"/>
      <c r="FF33" s="180"/>
      <c r="FG33" s="180"/>
      <c r="FH33" s="180"/>
      <c r="FI33" s="180"/>
      <c r="FJ33" s="180"/>
      <c r="FK33" s="180"/>
      <c r="FL33" s="180"/>
      <c r="FM33" s="180"/>
      <c r="FN33" s="180"/>
      <c r="FO33" s="180"/>
      <c r="FP33" s="180"/>
      <c r="FQ33" s="180"/>
      <c r="FR33" s="180"/>
      <c r="FS33" s="180"/>
      <c r="FT33" s="180"/>
      <c r="FU33" s="180"/>
      <c r="FV33" s="180"/>
      <c r="FW33" s="180"/>
      <c r="FX33" s="180"/>
      <c r="FY33" s="180"/>
      <c r="FZ33" s="180"/>
      <c r="GA33" s="180"/>
      <c r="GB33" s="180"/>
      <c r="GC33" s="180"/>
      <c r="GD33" s="180"/>
      <c r="GE33" s="180"/>
      <c r="GF33" s="180"/>
      <c r="GG33" s="180"/>
      <c r="GH33" s="180"/>
      <c r="GI33" s="180"/>
      <c r="GJ33" s="180"/>
      <c r="GK33" s="180"/>
      <c r="GL33" s="180"/>
      <c r="GM33" s="180"/>
      <c r="GN33" s="180"/>
      <c r="GO33" s="180"/>
      <c r="GP33" s="180"/>
      <c r="GQ33" s="180"/>
      <c r="GR33" s="180"/>
      <c r="GS33" s="180"/>
      <c r="GT33" s="180"/>
      <c r="GU33" s="180"/>
      <c r="GV33" s="180"/>
      <c r="GW33" s="180"/>
      <c r="GX33" s="180"/>
      <c r="GY33" s="180"/>
      <c r="GZ33" s="180"/>
      <c r="HA33" s="180"/>
      <c r="HB33" s="180"/>
      <c r="HC33" s="180"/>
      <c r="HD33" s="180"/>
      <c r="HE33" s="180"/>
      <c r="HF33" s="180"/>
      <c r="HG33" s="180"/>
      <c r="HH33" s="180"/>
      <c r="HI33" s="180"/>
      <c r="HJ33" s="180"/>
      <c r="HK33" s="180"/>
      <c r="HL33" s="180"/>
      <c r="HM33" s="180"/>
      <c r="HN33" s="180"/>
      <c r="HO33" s="180"/>
      <c r="HP33" s="180"/>
      <c r="HQ33" s="180"/>
      <c r="HR33" s="180"/>
      <c r="HS33" s="180"/>
      <c r="HT33" s="180"/>
      <c r="HU33" s="180"/>
      <c r="HV33" s="180"/>
      <c r="HW33" s="180"/>
      <c r="HX33" s="180"/>
      <c r="HY33" s="180"/>
      <c r="HZ33" s="180"/>
      <c r="IA33" s="180"/>
      <c r="IB33" s="180"/>
      <c r="IC33" s="180"/>
      <c r="ID33" s="180"/>
      <c r="IE33" s="180"/>
      <c r="IF33" s="180"/>
      <c r="IG33" s="180"/>
      <c r="IH33" s="180"/>
      <c r="II33" s="180"/>
      <c r="IJ33" s="180"/>
      <c r="IK33" s="180"/>
      <c r="IL33" s="180"/>
      <c r="IM33" s="180"/>
      <c r="IN33" s="180"/>
      <c r="IO33" s="180"/>
      <c r="IP33" s="180"/>
      <c r="IQ33" s="180"/>
      <c r="IR33" s="180"/>
      <c r="IS33" s="180"/>
      <c r="IT33" s="180"/>
      <c r="IU33" s="180"/>
      <c r="IV33" s="180"/>
      <c r="IW33" s="180"/>
      <c r="IX33" s="180"/>
      <c r="IY33" s="181">
        <v>3</v>
      </c>
      <c r="IZ33" s="182">
        <f>(TEXT(K33,"[m]")/60)*VLOOKUP(IY33,'Income Person-hours'!A$2:C$5,3,FALSE)</f>
        <v>0</v>
      </c>
      <c r="JA33" s="183"/>
      <c r="JB33" s="183"/>
      <c r="JC33" s="183"/>
      <c r="JD33" s="184">
        <f>SUM((TEXT(JA33,"[M]")/60)*'Income Person-hours'!$D$3,(TEXT(JB33,"[M]")/60)*'Income Person-hours'!$D$4,(TEXT(JC33,"[M]")/60)*'Income Person-hours'!$D$5)</f>
        <v>0</v>
      </c>
    </row>
    <row r="34" spans="1:264" s="185" customFormat="1" ht="18.75" customHeight="1">
      <c r="A34" s="172">
        <v>3.4</v>
      </c>
      <c r="B34" s="186" t="s">
        <v>140</v>
      </c>
      <c r="C34" s="173" t="s">
        <v>72</v>
      </c>
      <c r="D34" s="298" t="str">
        <f>IF(OR(j_WEEKDAY(J_ADDDAY(VLOOKUP(I34,A:F,6,FALSE),H34,1),0)=6,SUMIFS(Holieday[ok],Holieday[date],J_ADDDAY(VLOOKUP(I34,A:F,6,FALSE),H34,1)))=FALSE(),J_ADDDAY(VLOOKUP(I34,A:F,6,FALSE),H34,1),IF(OR(j_WEEKDAY(J_ADDDAY(VLOOKUP(I34,A:F,6,FALSE),H34+1,1),0)=6,SUMIFS(Holieday[ok],Holieday[date],J_ADDDAY(VLOOKUP(I34,A:F,6,FALSE),H34+1,1)))=FALSE(),J_ADDDAY(VLOOKUP(I34,A:F,6,FALSE),H34+1,1),IF(OR(j_WEEKDAY(J_ADDDAY(VLOOKUP(I34,A:F,6,FALSE),H34+2,1),0)=6,SUMIFS(Holieday[ok],Holieday[date],J_ADDDAY(VLOOKUP(I34,A:F,6,FALSE),H34+2,1)))=FALSE(),J_ADDDAY(VLOOKUP(I34,A:F,6,FALSE),H34+2,1),IF(OR(j_WEEKDAY(J_ADDDAY(VLOOKUP(I34,A:F,6,FALSE),H34+3,1),0)=6,SUMIFS(Holieday[ok],Holieday[date],J_ADDDAY(VLOOKUP(I34,A:F,6,FALSE),H34+3,1)))=FALSE(),J_ADDDAY(VLOOKUP(I34,A:F,6,FALSE),H34+3,1),IF(OR(j_WEEKDAY(J_ADDDAY(VLOOKUP(I34,A:F,6,FALSE),H34+4,1),0)=6,SUMIFS(Holieday[ok],Holieday[date],J_ADDDAY(VLOOKUP(I34,A:F,6,FALSE),H34+4,1)))=FALSE(),J_ADDDAY(VLOOKUP(I34,A:F,6,FALSE),H34+4,1),J_ADDDAY(VLOOKUP(I34,A:F,6,FALSE),H34+5,1))))))</f>
        <v>1398/10/18</v>
      </c>
      <c r="E34" s="136">
        <f t="shared" si="13"/>
        <v>13981018</v>
      </c>
      <c r="F34" s="299" t="str">
        <f>IF(N34=0,J_SUBDAY(D34,1,1),IF((N34-(NETWORKDAYS.INTL(J_GregorianDate(D34,1),J_GregorianDate(J_SUBDAY(J_ADDDAY(D34,N34,1),1,1),1),16,1)))+SUMIFS(Holieday[ok],Holieday[date],CONCATENATE("&gt;","=",D34),Holieday[date],CONCATENATE("&lt;","=",J_SUBDAY(J_ADDDAY(D34,N34,1),1,1)))-SUMIFS(Holieday[Friday],Holieday[date],CONCATENATE("&gt;","=",D34),Holieday[date],CONCATENATE("&lt;","=",J_SUBDAY(J_ADDDAY(D34,N34,1),1,1)))=0,J_SUBDAY(J_ADDDAY(D34,N34,1),1,1),IF((N34+1-(NETWORKDAYS.INTL(J_GregorianDate(D34,1),J_GregorianDate(J_SUBDAY(J_ADDDAY(D34,N34+1,1),1,1),1),16,1)))+SUMIFS(Holieday[ok],Holieday[date],CONCATENATE("&gt;","=",D34),Holieday[date],CONCATENATE("&lt;","=",J_SUBDAY(J_ADDDAY(D34,N34+1,1),1,1)))-SUMIFS(Holieday[Friday],Holieday[date],CONCATENATE("&gt;","=",D34),Holieday[date],CONCATENATE("&lt;","=",J_SUBDAY(J_ADDDAY(D34,N34+1,1),1,1)))=1,J_SUBDAY(J_ADDDAY(D34,N34+1,1),1,1),IF((N34+2-(NETWORKDAYS.INTL(J_GregorianDate(D34,1),J_GregorianDate(J_SUBDAY(J_ADDDAY(D34,N34+2,1),1,1),1),16,1)))+SUMIFS(Holieday[ok],Holieday[date],CONCATENATE("&gt;","=",D34),Holieday[date],CONCATENATE("&lt;","=",J_SUBDAY(J_ADDDAY(D34,N34+2,1),1,1)))-SUMIFS(Holieday[Friday],Holieday[date],CONCATENATE("&gt;","=",D34),Holieday[date],CONCATENATE("&lt;","=",J_SUBDAY(J_ADDDAY(D34,N34+2,1),1,1)))=2,J_SUBDAY(J_ADDDAY(D34,N34+2,1),1,1),IF((N34+3-(NETWORKDAYS.INTL(J_GregorianDate(D34,1),J_GregorianDate(J_SUBDAY(J_ADDDAY(D34,N34+3,1),1,1),1),16,1)))+SUMIFS(Holieday[ok],Holieday[date],CONCATENATE("&gt;","=",D34),Holieday[date],CONCATENATE("&lt;","=",J_SUBDAY(J_ADDDAY(D34,N34+3,1),1,1)))-SUMIFS(Holieday[Friday],Holieday[date],CONCATENATE("&gt;","=",D34),Holieday[date],CONCATENATE("&lt;","=",J_SUBDAY(J_ADDDAY(D34,N34+3,1),1,1)))=3,J_SUBDAY(J_ADDDAY(D34,N34+3,1),1,1),IF((N34+4-(NETWORKDAYS.INTL(J_GregorianDate(D34,1),J_GregorianDate(J_SUBDAY(J_ADDDAY(D34,N34+4,1),1,1),1),16,1)))+SUMIFS(Holieday[ok],Holieday[date],CONCATENATE("&gt;","=",D34),Holieday[date],CONCATENATE("&lt;","=",J_SUBDAY(J_ADDDAY(D34,N34+4,1),1,1)))-SUMIFS(Holieday[Friday],Holieday[date],CONCATENATE("&gt;","=",D34),Holieday[date],CONCATENATE("&lt;","=",J_SUBDAY(J_ADDDAY(D34,N34+4,1),1,1)))=4,J_SUBDAY(J_ADDDAY(D34,N34+4,1),1,1),IF((N34+5-(NETWORKDAYS.INTL(J_GregorianDate(D34,1),J_GregorianDate(J_SUBDAY(J_ADDDAY(D34,N34+5,1),1,1),1),16,1)))+SUMIFS(Holieday[ok],Holieday[date],CONCATENATE("&gt;","=",D34),Holieday[date],CONCATENATE("&lt;","=",J_SUBDAY(J_ADDDAY(D34,N34+5,1),1,1)))-SUMIFS(Holieday[Friday],Holieday[date],CONCATENATE("&gt;","=",D34),Holieday[date],CONCATENATE("&lt;","=",J_SUBDAY(J_ADDDAY(D34,N34+5,1),1,1)))=5,J_SUBDAY(J_ADDDAY(D34,N34+5,1),1,1),J_SUBDAY(J_ADDDAY(D34,N34+6,1),1,1))))))))</f>
        <v>1398/10/21</v>
      </c>
      <c r="G34" s="139">
        <f t="shared" si="14"/>
        <v>13981021</v>
      </c>
      <c r="H34" s="175">
        <v>1</v>
      </c>
      <c r="I34" s="176">
        <v>3.3</v>
      </c>
      <c r="J34" s="174">
        <f>j_WEEKDAY(D34,2)</f>
        <v>4</v>
      </c>
      <c r="K34" s="143">
        <f t="shared" si="21"/>
        <v>0</v>
      </c>
      <c r="L34" s="177">
        <v>5</v>
      </c>
      <c r="M34" s="178">
        <v>0</v>
      </c>
      <c r="N34" s="179">
        <v>3</v>
      </c>
      <c r="O34" s="144">
        <f t="shared" si="20"/>
        <v>0</v>
      </c>
      <c r="P34" s="144">
        <f>VALUE(J_normdate(J_ADDDAY($D34,$O34,1)))</f>
        <v>13981018</v>
      </c>
      <c r="Q34" s="142">
        <f t="shared" si="12"/>
        <v>5</v>
      </c>
      <c r="R34" s="180"/>
      <c r="S34" s="180"/>
      <c r="T34" s="180"/>
      <c r="U34" s="180"/>
      <c r="V34" s="180"/>
      <c r="W34" s="180"/>
      <c r="X34" s="180"/>
      <c r="Y34" s="180"/>
      <c r="Z34" s="180"/>
      <c r="AA34" s="180"/>
      <c r="AB34" s="180"/>
      <c r="AC34" s="180"/>
      <c r="AD34" s="180"/>
      <c r="AE34" s="180"/>
      <c r="AF34" s="180"/>
      <c r="AG34" s="180"/>
      <c r="AH34" s="180"/>
      <c r="AI34" s="180"/>
      <c r="AJ34" s="180"/>
      <c r="AK34" s="180"/>
      <c r="AL34" s="180"/>
      <c r="AM34" s="180"/>
      <c r="AN34" s="180"/>
      <c r="AO34" s="180"/>
      <c r="AP34" s="180"/>
      <c r="AQ34" s="180"/>
      <c r="AR34" s="180"/>
      <c r="AS34" s="180"/>
      <c r="AT34" s="180"/>
      <c r="AU34" s="180"/>
      <c r="AV34" s="180"/>
      <c r="AW34" s="180"/>
      <c r="AX34" s="180"/>
      <c r="AY34" s="180"/>
      <c r="AZ34" s="180"/>
      <c r="BA34" s="180"/>
      <c r="BB34" s="180"/>
      <c r="BC34" s="180"/>
      <c r="BD34" s="180"/>
      <c r="BE34" s="180"/>
      <c r="BF34" s="180"/>
      <c r="BG34" s="180"/>
      <c r="BH34" s="180"/>
      <c r="BI34" s="180"/>
      <c r="BJ34" s="180"/>
      <c r="BK34" s="180"/>
      <c r="BL34" s="180"/>
      <c r="BM34" s="180"/>
      <c r="BN34" s="180"/>
      <c r="BO34" s="180"/>
      <c r="BP34" s="180"/>
      <c r="BQ34" s="180"/>
      <c r="BR34" s="180"/>
      <c r="BS34" s="180"/>
      <c r="BT34" s="180"/>
      <c r="BU34" s="180"/>
      <c r="BV34" s="180"/>
      <c r="BW34" s="180"/>
      <c r="BX34" s="180"/>
      <c r="BY34" s="180"/>
      <c r="BZ34" s="180"/>
      <c r="CA34" s="180"/>
      <c r="CB34" s="180"/>
      <c r="CC34" s="180"/>
      <c r="CD34" s="180"/>
      <c r="CE34" s="180"/>
      <c r="CF34" s="180"/>
      <c r="CG34" s="180"/>
      <c r="CH34" s="180"/>
      <c r="CI34" s="180"/>
      <c r="CJ34" s="180"/>
      <c r="CK34" s="180"/>
      <c r="CL34" s="180"/>
      <c r="CM34" s="180"/>
      <c r="CN34" s="180"/>
      <c r="CO34" s="180"/>
      <c r="CP34" s="180"/>
      <c r="CQ34" s="180"/>
      <c r="CR34" s="180"/>
      <c r="CS34" s="180"/>
      <c r="CT34" s="180"/>
      <c r="CU34" s="180"/>
      <c r="CV34" s="180"/>
      <c r="CW34" s="180"/>
      <c r="CX34" s="180"/>
      <c r="CY34" s="180"/>
      <c r="CZ34" s="180"/>
      <c r="DA34" s="180"/>
      <c r="DB34" s="180"/>
      <c r="DC34" s="180"/>
      <c r="DD34" s="180"/>
      <c r="DE34" s="180"/>
      <c r="DF34" s="180"/>
      <c r="DG34" s="180"/>
      <c r="DH34" s="180"/>
      <c r="DI34" s="180"/>
      <c r="DJ34" s="180"/>
      <c r="DK34" s="180"/>
      <c r="DL34" s="180"/>
      <c r="DM34" s="180"/>
      <c r="DN34" s="180"/>
      <c r="DO34" s="180"/>
      <c r="DP34" s="180"/>
      <c r="DQ34" s="180"/>
      <c r="DR34" s="180"/>
      <c r="DS34" s="180"/>
      <c r="DT34" s="180"/>
      <c r="DU34" s="180"/>
      <c r="DV34" s="180"/>
      <c r="DW34" s="180"/>
      <c r="DX34" s="180"/>
      <c r="DY34" s="180"/>
      <c r="DZ34" s="180"/>
      <c r="EA34" s="180"/>
      <c r="EB34" s="180"/>
      <c r="EC34" s="180"/>
      <c r="ED34" s="180"/>
      <c r="EE34" s="180"/>
      <c r="EF34" s="180"/>
      <c r="EG34" s="180"/>
      <c r="EH34" s="180"/>
      <c r="EI34" s="180"/>
      <c r="EJ34" s="180"/>
      <c r="EK34" s="180"/>
      <c r="EL34" s="180"/>
      <c r="EM34" s="180"/>
      <c r="EN34" s="180"/>
      <c r="EO34" s="180"/>
      <c r="EP34" s="180"/>
      <c r="EQ34" s="180"/>
      <c r="ER34" s="180"/>
      <c r="ES34" s="180"/>
      <c r="ET34" s="180"/>
      <c r="EU34" s="180"/>
      <c r="EV34" s="180"/>
      <c r="EW34" s="180"/>
      <c r="EX34" s="180"/>
      <c r="EY34" s="180"/>
      <c r="EZ34" s="180"/>
      <c r="FA34" s="180"/>
      <c r="FB34" s="180"/>
      <c r="FC34" s="180"/>
      <c r="FD34" s="180"/>
      <c r="FE34" s="180"/>
      <c r="FF34" s="180"/>
      <c r="FG34" s="180"/>
      <c r="FH34" s="180"/>
      <c r="FI34" s="180"/>
      <c r="FJ34" s="180"/>
      <c r="FK34" s="180"/>
      <c r="FL34" s="180"/>
      <c r="FM34" s="180"/>
      <c r="FN34" s="180"/>
      <c r="FO34" s="180"/>
      <c r="FP34" s="180"/>
      <c r="FQ34" s="180"/>
      <c r="FR34" s="180"/>
      <c r="FS34" s="180"/>
      <c r="FT34" s="180"/>
      <c r="FU34" s="180"/>
      <c r="FV34" s="180"/>
      <c r="FW34" s="180"/>
      <c r="FX34" s="180"/>
      <c r="FY34" s="180"/>
      <c r="FZ34" s="180"/>
      <c r="GA34" s="180"/>
      <c r="GB34" s="180"/>
      <c r="GC34" s="180"/>
      <c r="GD34" s="180"/>
      <c r="GE34" s="180"/>
      <c r="GF34" s="180"/>
      <c r="GG34" s="180"/>
      <c r="GH34" s="180"/>
      <c r="GI34" s="180"/>
      <c r="GJ34" s="180"/>
      <c r="GK34" s="180"/>
      <c r="GL34" s="180"/>
      <c r="GM34" s="180"/>
      <c r="GN34" s="180"/>
      <c r="GO34" s="180"/>
      <c r="GP34" s="180"/>
      <c r="GQ34" s="180"/>
      <c r="GR34" s="180"/>
      <c r="GS34" s="180"/>
      <c r="GT34" s="180"/>
      <c r="GU34" s="180"/>
      <c r="GV34" s="180"/>
      <c r="GW34" s="180"/>
      <c r="GX34" s="180"/>
      <c r="GY34" s="180"/>
      <c r="GZ34" s="180"/>
      <c r="HA34" s="180"/>
      <c r="HB34" s="180"/>
      <c r="HC34" s="180"/>
      <c r="HD34" s="180"/>
      <c r="HE34" s="180"/>
      <c r="HF34" s="180"/>
      <c r="HG34" s="180"/>
      <c r="HH34" s="180"/>
      <c r="HI34" s="180"/>
      <c r="HJ34" s="180"/>
      <c r="HK34" s="180"/>
      <c r="HL34" s="180"/>
      <c r="HM34" s="180"/>
      <c r="HN34" s="180"/>
      <c r="HO34" s="180"/>
      <c r="HP34" s="180"/>
      <c r="HQ34" s="180"/>
      <c r="HR34" s="180"/>
      <c r="HS34" s="180"/>
      <c r="HT34" s="180"/>
      <c r="HU34" s="180"/>
      <c r="HV34" s="180"/>
      <c r="HW34" s="180"/>
      <c r="HX34" s="180"/>
      <c r="HY34" s="180"/>
      <c r="HZ34" s="180"/>
      <c r="IA34" s="180"/>
      <c r="IB34" s="180"/>
      <c r="IC34" s="180"/>
      <c r="ID34" s="180"/>
      <c r="IE34" s="180"/>
      <c r="IF34" s="180"/>
      <c r="IG34" s="180"/>
      <c r="IH34" s="180"/>
      <c r="II34" s="180"/>
      <c r="IJ34" s="180"/>
      <c r="IK34" s="180"/>
      <c r="IL34" s="180"/>
      <c r="IM34" s="180"/>
      <c r="IN34" s="180"/>
      <c r="IO34" s="180"/>
      <c r="IP34" s="180"/>
      <c r="IQ34" s="180"/>
      <c r="IR34" s="180"/>
      <c r="IS34" s="180"/>
      <c r="IT34" s="180"/>
      <c r="IU34" s="180"/>
      <c r="IV34" s="180"/>
      <c r="IW34" s="180"/>
      <c r="IX34" s="180"/>
      <c r="IY34" s="181">
        <v>3</v>
      </c>
      <c r="IZ34" s="182">
        <f>(TEXT(K34,"[m]")/60)*VLOOKUP(IY34,'Income Person-hours'!A$2:C$5,3,FALSE)</f>
        <v>0</v>
      </c>
      <c r="JA34" s="183"/>
      <c r="JB34" s="183"/>
      <c r="JC34" s="183"/>
      <c r="JD34" s="184">
        <f>SUM((TEXT(JA34,"[M]")/60)*'Income Person-hours'!$D$3,(TEXT(JB34,"[M]")/60)*'Income Person-hours'!$D$4,(TEXT(JC34,"[M]")/60)*'Income Person-hours'!$D$5)</f>
        <v>0</v>
      </c>
    </row>
    <row r="35" spans="1:264" s="185" customFormat="1" ht="13.5">
      <c r="A35" s="172">
        <v>3.5</v>
      </c>
      <c r="B35" s="186" t="s">
        <v>120</v>
      </c>
      <c r="C35" s="173" t="s">
        <v>104</v>
      </c>
      <c r="D35" s="298" t="str">
        <f>IF(OR(j_WEEKDAY(J_ADDDAY(VLOOKUP(I35,A:F,6,FALSE),H35,1),0)=6,SUMIFS(Holieday[ok],Holieday[date],J_ADDDAY(VLOOKUP(I35,A:F,6,FALSE),H35,1)))=FALSE(),J_ADDDAY(VLOOKUP(I35,A:F,6,FALSE),H35,1),IF(OR(j_WEEKDAY(J_ADDDAY(VLOOKUP(I35,A:F,6,FALSE),H35+1,1),0)=6,SUMIFS(Holieday[ok],Holieday[date],J_ADDDAY(VLOOKUP(I35,A:F,6,FALSE),H35+1,1)))=FALSE(),J_ADDDAY(VLOOKUP(I35,A:F,6,FALSE),H35+1,1),IF(OR(j_WEEKDAY(J_ADDDAY(VLOOKUP(I35,A:F,6,FALSE),H35+2,1),0)=6,SUMIFS(Holieday[ok],Holieday[date],J_ADDDAY(VLOOKUP(I35,A:F,6,FALSE),H35+2,1)))=FALSE(),J_ADDDAY(VLOOKUP(I35,A:F,6,FALSE),H35+2,1),IF(OR(j_WEEKDAY(J_ADDDAY(VLOOKUP(I35,A:F,6,FALSE),H35+3,1),0)=6,SUMIFS(Holieday[ok],Holieday[date],J_ADDDAY(VLOOKUP(I35,A:F,6,FALSE),H35+3,1)))=FALSE(),J_ADDDAY(VLOOKUP(I35,A:F,6,FALSE),H35+3,1),IF(OR(j_WEEKDAY(J_ADDDAY(VLOOKUP(I35,A:F,6,FALSE),H35+4,1),0)=6,SUMIFS(Holieday[ok],Holieday[date],J_ADDDAY(VLOOKUP(I35,A:F,6,FALSE),H35+4,1)))=FALSE(),J_ADDDAY(VLOOKUP(I35,A:F,6,FALSE),H35+4,1),J_ADDDAY(VLOOKUP(I35,A:F,6,FALSE),H35+5,1))))))</f>
        <v>1398/10/12</v>
      </c>
      <c r="E35" s="136">
        <f t="shared" si="13"/>
        <v>13981012</v>
      </c>
      <c r="F35" s="299" t="str">
        <f>IF(N35=0,J_SUBDAY(D35,1,1),IF((N35-(NETWORKDAYS.INTL(J_GregorianDate(D35,1),J_GregorianDate(J_SUBDAY(J_ADDDAY(D35,N35,1),1,1),1),16,1)))+SUMIFS(Holieday[ok],Holieday[date],CONCATENATE("&gt;","=",D35),Holieday[date],CONCATENATE("&lt;","=",J_SUBDAY(J_ADDDAY(D35,N35,1),1,1)))-SUMIFS(Holieday[Friday],Holieday[date],CONCATENATE("&gt;","=",D35),Holieday[date],CONCATENATE("&lt;","=",J_SUBDAY(J_ADDDAY(D35,N35,1),1,1)))=0,J_SUBDAY(J_ADDDAY(D35,N35,1),1,1),IF((N35+1-(NETWORKDAYS.INTL(J_GregorianDate(D35,1),J_GregorianDate(J_SUBDAY(J_ADDDAY(D35,N35+1,1),1,1),1),16,1)))+SUMIFS(Holieday[ok],Holieday[date],CONCATENATE("&gt;","=",D35),Holieday[date],CONCATENATE("&lt;","=",J_SUBDAY(J_ADDDAY(D35,N35+1,1),1,1)))-SUMIFS(Holieday[Friday],Holieday[date],CONCATENATE("&gt;","=",D35),Holieday[date],CONCATENATE("&lt;","=",J_SUBDAY(J_ADDDAY(D35,N35+1,1),1,1)))=1,J_SUBDAY(J_ADDDAY(D35,N35+1,1),1,1),IF((N35+2-(NETWORKDAYS.INTL(J_GregorianDate(D35,1),J_GregorianDate(J_SUBDAY(J_ADDDAY(D35,N35+2,1),1,1),1),16,1)))+SUMIFS(Holieday[ok],Holieday[date],CONCATENATE("&gt;","=",D35),Holieday[date],CONCATENATE("&lt;","=",J_SUBDAY(J_ADDDAY(D35,N35+2,1),1,1)))-SUMIFS(Holieday[Friday],Holieday[date],CONCATENATE("&gt;","=",D35),Holieday[date],CONCATENATE("&lt;","=",J_SUBDAY(J_ADDDAY(D35,N35+2,1),1,1)))=2,J_SUBDAY(J_ADDDAY(D35,N35+2,1),1,1),IF((N35+3-(NETWORKDAYS.INTL(J_GregorianDate(D35,1),J_GregorianDate(J_SUBDAY(J_ADDDAY(D35,N35+3,1),1,1),1),16,1)))+SUMIFS(Holieday[ok],Holieday[date],CONCATENATE("&gt;","=",D35),Holieday[date],CONCATENATE("&lt;","=",J_SUBDAY(J_ADDDAY(D35,N35+3,1),1,1)))-SUMIFS(Holieday[Friday],Holieday[date],CONCATENATE("&gt;","=",D35),Holieday[date],CONCATENATE("&lt;","=",J_SUBDAY(J_ADDDAY(D35,N35+3,1),1,1)))=3,J_SUBDAY(J_ADDDAY(D35,N35+3,1),1,1),IF((N35+4-(NETWORKDAYS.INTL(J_GregorianDate(D35,1),J_GregorianDate(J_SUBDAY(J_ADDDAY(D35,N35+4,1),1,1),1),16,1)))+SUMIFS(Holieday[ok],Holieday[date],CONCATENATE("&gt;","=",D35),Holieday[date],CONCATENATE("&lt;","=",J_SUBDAY(J_ADDDAY(D35,N35+4,1),1,1)))-SUMIFS(Holieday[Friday],Holieday[date],CONCATENATE("&gt;","=",D35),Holieday[date],CONCATENATE("&lt;","=",J_SUBDAY(J_ADDDAY(D35,N35+4,1),1,1)))=4,J_SUBDAY(J_ADDDAY(D35,N35+4,1),1,1),IF((N35+5-(NETWORKDAYS.INTL(J_GregorianDate(D35,1),J_GregorianDate(J_SUBDAY(J_ADDDAY(D35,N35+5,1),1,1),1),16,1)))+SUMIFS(Holieday[ok],Holieday[date],CONCATENATE("&gt;","=",D35),Holieday[date],CONCATENATE("&lt;","=",J_SUBDAY(J_ADDDAY(D35,N35+5,1),1,1)))-SUMIFS(Holieday[Friday],Holieday[date],CONCATENATE("&gt;","=",D35),Holieday[date],CONCATENATE("&lt;","=",J_SUBDAY(J_ADDDAY(D35,N35+5,1),1,1)))=5,J_SUBDAY(J_ADDDAY(D35,N35+5,1),1,1),J_SUBDAY(J_ADDDAY(D35,N35+6,1),1,1))))))))</f>
        <v>1398/10/25</v>
      </c>
      <c r="G35" s="139">
        <f t="shared" si="14"/>
        <v>13981025</v>
      </c>
      <c r="H35" s="175">
        <v>-5</v>
      </c>
      <c r="I35" s="176">
        <v>3.3</v>
      </c>
      <c r="J35" s="174">
        <f>j_WEEKDAY(D35,2)</f>
        <v>5</v>
      </c>
      <c r="K35" s="143">
        <f>SUM(JA35:JC35)</f>
        <v>0</v>
      </c>
      <c r="L35" s="177">
        <f t="shared" si="22"/>
        <v>14</v>
      </c>
      <c r="M35" s="178">
        <v>0.7</v>
      </c>
      <c r="N35" s="179">
        <v>12</v>
      </c>
      <c r="O35" s="144">
        <f t="shared" si="20"/>
        <v>9</v>
      </c>
      <c r="P35" s="144">
        <f>VALUE(J_normdate(J_ADDDAY($D35,$O35,1)))</f>
        <v>13981021</v>
      </c>
      <c r="Q35" s="142">
        <f t="shared" si="12"/>
        <v>5</v>
      </c>
      <c r="R35" s="180"/>
      <c r="S35" s="180"/>
      <c r="T35" s="180"/>
      <c r="U35" s="180"/>
      <c r="V35" s="180"/>
      <c r="W35" s="180"/>
      <c r="X35" s="180"/>
      <c r="Y35" s="180"/>
      <c r="Z35" s="180"/>
      <c r="AA35" s="180"/>
      <c r="AB35" s="180"/>
      <c r="AC35" s="180"/>
      <c r="AD35" s="180"/>
      <c r="AE35" s="180"/>
      <c r="AF35" s="180"/>
      <c r="AG35" s="180"/>
      <c r="AH35" s="180"/>
      <c r="AI35" s="180"/>
      <c r="AJ35" s="180"/>
      <c r="AK35" s="180"/>
      <c r="AL35" s="180"/>
      <c r="AM35" s="180"/>
      <c r="AN35" s="180"/>
      <c r="AO35" s="180"/>
      <c r="AP35" s="180"/>
      <c r="AQ35" s="180"/>
      <c r="AR35" s="180"/>
      <c r="AS35" s="180"/>
      <c r="AT35" s="180"/>
      <c r="AU35" s="180"/>
      <c r="AV35" s="180"/>
      <c r="AW35" s="180"/>
      <c r="AX35" s="180"/>
      <c r="AY35" s="180"/>
      <c r="AZ35" s="180"/>
      <c r="BA35" s="180"/>
      <c r="BB35" s="180"/>
      <c r="BC35" s="180"/>
      <c r="BD35" s="180"/>
      <c r="BE35" s="180"/>
      <c r="BF35" s="180"/>
      <c r="BG35" s="180"/>
      <c r="BH35" s="180"/>
      <c r="BI35" s="180"/>
      <c r="BJ35" s="180"/>
      <c r="BK35" s="180"/>
      <c r="BL35" s="180"/>
      <c r="BM35" s="180"/>
      <c r="BN35" s="180"/>
      <c r="BO35" s="180"/>
      <c r="BP35" s="180"/>
      <c r="BQ35" s="180"/>
      <c r="BR35" s="180"/>
      <c r="BS35" s="180"/>
      <c r="BT35" s="180"/>
      <c r="BU35" s="180"/>
      <c r="BV35" s="180"/>
      <c r="BW35" s="180"/>
      <c r="BX35" s="180"/>
      <c r="BY35" s="180"/>
      <c r="BZ35" s="180"/>
      <c r="CA35" s="180"/>
      <c r="CB35" s="180"/>
      <c r="CC35" s="180"/>
      <c r="CD35" s="180"/>
      <c r="CE35" s="180"/>
      <c r="CF35" s="180"/>
      <c r="CG35" s="180"/>
      <c r="CH35" s="180"/>
      <c r="CI35" s="180"/>
      <c r="CJ35" s="180"/>
      <c r="CK35" s="180"/>
      <c r="CL35" s="180"/>
      <c r="CM35" s="180"/>
      <c r="CN35" s="180"/>
      <c r="CO35" s="180"/>
      <c r="CP35" s="180"/>
      <c r="CQ35" s="180"/>
      <c r="CR35" s="180"/>
      <c r="CS35" s="180"/>
      <c r="CT35" s="180"/>
      <c r="CU35" s="180"/>
      <c r="CV35" s="180"/>
      <c r="CW35" s="180"/>
      <c r="CX35" s="180"/>
      <c r="CY35" s="180"/>
      <c r="CZ35" s="180"/>
      <c r="DA35" s="180"/>
      <c r="DB35" s="180"/>
      <c r="DC35" s="180"/>
      <c r="DD35" s="180"/>
      <c r="DE35" s="180"/>
      <c r="DF35" s="180"/>
      <c r="DG35" s="180"/>
      <c r="DH35" s="180"/>
      <c r="DI35" s="180"/>
      <c r="DJ35" s="180"/>
      <c r="DK35" s="180"/>
      <c r="DL35" s="180"/>
      <c r="DM35" s="180"/>
      <c r="DN35" s="180"/>
      <c r="DO35" s="180"/>
      <c r="DP35" s="180"/>
      <c r="DQ35" s="180"/>
      <c r="DR35" s="180"/>
      <c r="DS35" s="180"/>
      <c r="DT35" s="180"/>
      <c r="DU35" s="180"/>
      <c r="DV35" s="180"/>
      <c r="DW35" s="180"/>
      <c r="DX35" s="180"/>
      <c r="DY35" s="180"/>
      <c r="DZ35" s="180"/>
      <c r="EA35" s="180"/>
      <c r="EB35" s="180"/>
      <c r="EC35" s="180"/>
      <c r="ED35" s="180"/>
      <c r="EE35" s="180"/>
      <c r="EF35" s="180"/>
      <c r="EG35" s="180"/>
      <c r="EH35" s="180"/>
      <c r="EI35" s="180"/>
      <c r="EJ35" s="180"/>
      <c r="EK35" s="180"/>
      <c r="EL35" s="180"/>
      <c r="EM35" s="180"/>
      <c r="EN35" s="180"/>
      <c r="EO35" s="180"/>
      <c r="EP35" s="180"/>
      <c r="EQ35" s="180"/>
      <c r="ER35" s="180"/>
      <c r="ES35" s="180"/>
      <c r="ET35" s="180"/>
      <c r="EU35" s="180"/>
      <c r="EV35" s="180"/>
      <c r="EW35" s="180"/>
      <c r="EX35" s="180"/>
      <c r="EY35" s="180"/>
      <c r="EZ35" s="180"/>
      <c r="FA35" s="180"/>
      <c r="FB35" s="180"/>
      <c r="FC35" s="180"/>
      <c r="FD35" s="180"/>
      <c r="FE35" s="180"/>
      <c r="FF35" s="180"/>
      <c r="FG35" s="180"/>
      <c r="FH35" s="180"/>
      <c r="FI35" s="180"/>
      <c r="FJ35" s="180"/>
      <c r="FK35" s="180"/>
      <c r="FL35" s="180"/>
      <c r="FM35" s="180"/>
      <c r="FN35" s="180"/>
      <c r="FO35" s="180"/>
      <c r="FP35" s="180"/>
      <c r="FQ35" s="180"/>
      <c r="FR35" s="180"/>
      <c r="FS35" s="180"/>
      <c r="FT35" s="180"/>
      <c r="FU35" s="180"/>
      <c r="FV35" s="180"/>
      <c r="FW35" s="180"/>
      <c r="FX35" s="180"/>
      <c r="FY35" s="180"/>
      <c r="FZ35" s="180"/>
      <c r="GA35" s="180"/>
      <c r="GB35" s="180"/>
      <c r="GC35" s="180"/>
      <c r="GD35" s="180"/>
      <c r="GE35" s="180"/>
      <c r="GF35" s="180"/>
      <c r="GG35" s="180"/>
      <c r="GH35" s="180"/>
      <c r="GI35" s="180"/>
      <c r="GJ35" s="180"/>
      <c r="GK35" s="180"/>
      <c r="GL35" s="180"/>
      <c r="GM35" s="180"/>
      <c r="GN35" s="180"/>
      <c r="GO35" s="180"/>
      <c r="GP35" s="180"/>
      <c r="GQ35" s="180"/>
      <c r="GR35" s="180"/>
      <c r="GS35" s="180"/>
      <c r="GT35" s="180"/>
      <c r="GU35" s="180"/>
      <c r="GV35" s="180"/>
      <c r="GW35" s="180"/>
      <c r="GX35" s="180"/>
      <c r="GY35" s="180"/>
      <c r="GZ35" s="180"/>
      <c r="HA35" s="180"/>
      <c r="HB35" s="180"/>
      <c r="HC35" s="180"/>
      <c r="HD35" s="180"/>
      <c r="HE35" s="180"/>
      <c r="HF35" s="180"/>
      <c r="HG35" s="180"/>
      <c r="HH35" s="180"/>
      <c r="HI35" s="180"/>
      <c r="HJ35" s="180"/>
      <c r="HK35" s="180"/>
      <c r="HL35" s="180"/>
      <c r="HM35" s="180"/>
      <c r="HN35" s="180"/>
      <c r="HO35" s="180"/>
      <c r="HP35" s="180"/>
      <c r="HQ35" s="180"/>
      <c r="HR35" s="180"/>
      <c r="HS35" s="180"/>
      <c r="HT35" s="180"/>
      <c r="HU35" s="180"/>
      <c r="HV35" s="180"/>
      <c r="HW35" s="180"/>
      <c r="HX35" s="180"/>
      <c r="HY35" s="180"/>
      <c r="HZ35" s="180"/>
      <c r="IA35" s="180"/>
      <c r="IB35" s="180"/>
      <c r="IC35" s="180"/>
      <c r="ID35" s="180"/>
      <c r="IE35" s="180"/>
      <c r="IF35" s="180"/>
      <c r="IG35" s="180"/>
      <c r="IH35" s="180"/>
      <c r="II35" s="180"/>
      <c r="IJ35" s="180"/>
      <c r="IK35" s="180"/>
      <c r="IL35" s="180"/>
      <c r="IM35" s="180"/>
      <c r="IN35" s="180"/>
      <c r="IO35" s="180"/>
      <c r="IP35" s="180"/>
      <c r="IQ35" s="180"/>
      <c r="IR35" s="180"/>
      <c r="IS35" s="180"/>
      <c r="IT35" s="180"/>
      <c r="IU35" s="180"/>
      <c r="IV35" s="180"/>
      <c r="IW35" s="180"/>
      <c r="IX35" s="180"/>
      <c r="IY35" s="181">
        <v>2</v>
      </c>
      <c r="IZ35" s="182">
        <f>(TEXT(K35,"[m]")/60)*VLOOKUP(IY35,'Income Person-hours'!A$2:C$5,3,FALSE)</f>
        <v>0</v>
      </c>
      <c r="JA35" s="183"/>
      <c r="JB35" s="183"/>
      <c r="JC35" s="183"/>
      <c r="JD35" s="184">
        <f>SUM((TEXT(JA35,"[M]")/60)*'Income Person-hours'!$D$3,(TEXT(JB35,"[M]")/60)*'Income Person-hours'!$D$4,(TEXT(JC35,"[M]")/60)*'Income Person-hours'!$D$5)</f>
        <v>0</v>
      </c>
    </row>
    <row r="36" spans="1:264" s="185" customFormat="1" ht="15.75" customHeight="1">
      <c r="A36" s="197">
        <v>3.6</v>
      </c>
      <c r="B36" s="186" t="s">
        <v>130</v>
      </c>
      <c r="C36" s="173" t="s">
        <v>72</v>
      </c>
      <c r="D36" s="180" t="str">
        <f>IF(OR(j_WEEKDAY(J_ADDDAY(VLOOKUP(I36,A:F,6,FALSE),H36,1),0)=6,SUMIFS(Holieday[ok],Holieday[date],J_ADDDAY(VLOOKUP(I36,A:F,6,FALSE),H36,1)))=FALSE(),J_ADDDAY(VLOOKUP(I36,A:F,6,FALSE),H36,1),IF(OR(j_WEEKDAY(J_ADDDAY(VLOOKUP(I36,A:F,6,FALSE),H36+1,1),0)=6,SUMIFS(Holieday[ok],Holieday[date],J_ADDDAY(VLOOKUP(I36,A:F,6,FALSE),H36+1,1)))=FALSE(),J_ADDDAY(VLOOKUP(I36,A:F,6,FALSE),H36+1,1),IF(OR(j_WEEKDAY(J_ADDDAY(VLOOKUP(I36,A:F,6,FALSE),H36+2,1),0)=6,SUMIFS(Holieday[ok],Holieday[date],J_ADDDAY(VLOOKUP(I36,A:F,6,FALSE),H36+2,1)))=FALSE(),J_ADDDAY(VLOOKUP(I36,A:F,6,FALSE),H36+2,1),IF(OR(j_WEEKDAY(J_ADDDAY(VLOOKUP(I36,A:F,6,FALSE),H36+3,1),0)=6,SUMIFS(Holieday[ok],Holieday[date],J_ADDDAY(VLOOKUP(I36,A:F,6,FALSE),H36+3,1)))=FALSE(),J_ADDDAY(VLOOKUP(I36,A:F,6,FALSE),H36+3,1),IF(OR(j_WEEKDAY(J_ADDDAY(VLOOKUP(I36,A:F,6,FALSE),H36+4,1),0)=6,SUMIFS(Holieday[ok],Holieday[date],J_ADDDAY(VLOOKUP(I36,A:F,6,FALSE),H36+4,1)))=FALSE(),J_ADDDAY(VLOOKUP(I36,A:F,6,FALSE),H36+4,1),J_ADDDAY(VLOOKUP(I36,A:F,6,FALSE),H36+5,1))))))</f>
        <v>1398/10/14</v>
      </c>
      <c r="E36" s="136">
        <f t="shared" si="13"/>
        <v>13981014</v>
      </c>
      <c r="F36" s="189" t="str">
        <f>IF(N36=0,J_SUBDAY(D36,1,1),IF((N36-(NETWORKDAYS.INTL(J_GregorianDate(D36,1),J_GregorianDate(J_SUBDAY(J_ADDDAY(D36,N36,1),1,1),1),16,1)))+SUMIFS(Holieday[ok],Holieday[date],CONCATENATE("&gt;","=",D36),Holieday[date],CONCATENATE("&lt;","=",J_SUBDAY(J_ADDDAY(D36,N36,1),1,1)))-SUMIFS(Holieday[Friday],Holieday[date],CONCATENATE("&gt;","=",D36),Holieday[date],CONCATENATE("&lt;","=",J_SUBDAY(J_ADDDAY(D36,N36,1),1,1)))=0,J_SUBDAY(J_ADDDAY(D36,N36,1),1,1),IF((N36+1-(NETWORKDAYS.INTL(J_GregorianDate(D36,1),J_GregorianDate(J_SUBDAY(J_ADDDAY(D36,N36+1,1),1,1),1),16,1)))+SUMIFS(Holieday[ok],Holieday[date],CONCATENATE("&gt;","=",D36),Holieday[date],CONCATENATE("&lt;","=",J_SUBDAY(J_ADDDAY(D36,N36+1,1),1,1)))-SUMIFS(Holieday[Friday],Holieday[date],CONCATENATE("&gt;","=",D36),Holieday[date],CONCATENATE("&lt;","=",J_SUBDAY(J_ADDDAY(D36,N36+1,1),1,1)))=1,J_SUBDAY(J_ADDDAY(D36,N36+1,1),1,1),IF((N36+2-(NETWORKDAYS.INTL(J_GregorianDate(D36,1),J_GregorianDate(J_SUBDAY(J_ADDDAY(D36,N36+2,1),1,1),1),16,1)))+SUMIFS(Holieday[ok],Holieday[date],CONCATENATE("&gt;","=",D36),Holieday[date],CONCATENATE("&lt;","=",J_SUBDAY(J_ADDDAY(D36,N36+2,1),1,1)))-SUMIFS(Holieday[Friday],Holieday[date],CONCATENATE("&gt;","=",D36),Holieday[date],CONCATENATE("&lt;","=",J_SUBDAY(J_ADDDAY(D36,N36+2,1),1,1)))=2,J_SUBDAY(J_ADDDAY(D36,N36+2,1),1,1),IF((N36+3-(NETWORKDAYS.INTL(J_GregorianDate(D36,1),J_GregorianDate(J_SUBDAY(J_ADDDAY(D36,N36+3,1),1,1),1),16,1)))+SUMIFS(Holieday[ok],Holieday[date],CONCATENATE("&gt;","=",D36),Holieday[date],CONCATENATE("&lt;","=",J_SUBDAY(J_ADDDAY(D36,N36+3,1),1,1)))-SUMIFS(Holieday[Friday],Holieday[date],CONCATENATE("&gt;","=",D36),Holieday[date],CONCATENATE("&lt;","=",J_SUBDAY(J_ADDDAY(D36,N36+3,1),1,1)))=3,J_SUBDAY(J_ADDDAY(D36,N36+3,1),1,1),IF((N36+4-(NETWORKDAYS.INTL(J_GregorianDate(D36,1),J_GregorianDate(J_SUBDAY(J_ADDDAY(D36,N36+4,1),1,1),1),16,1)))+SUMIFS(Holieday[ok],Holieday[date],CONCATENATE("&gt;","=",D36),Holieday[date],CONCATENATE("&lt;","=",J_SUBDAY(J_ADDDAY(D36,N36+4,1),1,1)))-SUMIFS(Holieday[Friday],Holieday[date],CONCATENATE("&gt;","=",D36),Holieday[date],CONCATENATE("&lt;","=",J_SUBDAY(J_ADDDAY(D36,N36+4,1),1,1)))=4,J_SUBDAY(J_ADDDAY(D36,N36+4,1),1,1),IF((N36+5-(NETWORKDAYS.INTL(J_GregorianDate(D36,1),J_GregorianDate(J_SUBDAY(J_ADDDAY(D36,N36+5,1),1,1),1),16,1)))+SUMIFS(Holieday[ok],Holieday[date],CONCATENATE("&gt;","=",D36),Holieday[date],CONCATENATE("&lt;","=",J_SUBDAY(J_ADDDAY(D36,N36+5,1),1,1)))-SUMIFS(Holieday[Friday],Holieday[date],CONCATENATE("&gt;","=",D36),Holieday[date],CONCATENATE("&lt;","=",J_SUBDAY(J_ADDDAY(D36,N36+5,1),1,1)))=5,J_SUBDAY(J_ADDDAY(D36,N36+5,1),1,1),J_SUBDAY(J_ADDDAY(D36,N36+6,1),1,1))))))))</f>
        <v>1398/10/28</v>
      </c>
      <c r="G36" s="139">
        <f t="shared" si="14"/>
        <v>13981028</v>
      </c>
      <c r="H36" s="175">
        <v>-11</v>
      </c>
      <c r="I36" s="176">
        <v>3.5</v>
      </c>
      <c r="J36" s="174">
        <f>j_WEEKDAY(D36,2)</f>
        <v>0</v>
      </c>
      <c r="K36" s="143">
        <f>SUM(JA36:JC36)</f>
        <v>0</v>
      </c>
      <c r="L36" s="177">
        <f t="shared" si="22"/>
        <v>15</v>
      </c>
      <c r="M36" s="178">
        <v>0</v>
      </c>
      <c r="N36" s="179">
        <v>13</v>
      </c>
      <c r="O36" s="144">
        <f t="shared" si="20"/>
        <v>0</v>
      </c>
      <c r="P36" s="144">
        <f>VALUE(J_normdate(J_ADDDAY($D36,$O36,1)))</f>
        <v>13981014</v>
      </c>
      <c r="Q36" s="142">
        <f t="shared" si="12"/>
        <v>15</v>
      </c>
      <c r="R36" s="180"/>
      <c r="S36" s="180"/>
      <c r="T36" s="180"/>
      <c r="U36" s="180"/>
      <c r="V36" s="180"/>
      <c r="W36" s="180"/>
      <c r="X36" s="180"/>
      <c r="Y36" s="180"/>
      <c r="Z36" s="180"/>
      <c r="AA36" s="180"/>
      <c r="AB36" s="180"/>
      <c r="AC36" s="180"/>
      <c r="AD36" s="180"/>
      <c r="AE36" s="180"/>
      <c r="AF36" s="180"/>
      <c r="AG36" s="180"/>
      <c r="AH36" s="180"/>
      <c r="AI36" s="180"/>
      <c r="AJ36" s="180"/>
      <c r="AK36" s="180"/>
      <c r="AL36" s="180"/>
      <c r="AM36" s="180"/>
      <c r="AN36" s="180"/>
      <c r="AO36" s="180"/>
      <c r="AP36" s="180"/>
      <c r="AQ36" s="180"/>
      <c r="AR36" s="180"/>
      <c r="AS36" s="180"/>
      <c r="AT36" s="180"/>
      <c r="AU36" s="180"/>
      <c r="AV36" s="180"/>
      <c r="AW36" s="180"/>
      <c r="AX36" s="180"/>
      <c r="AY36" s="180"/>
      <c r="AZ36" s="180"/>
      <c r="BA36" s="180"/>
      <c r="BB36" s="180"/>
      <c r="BC36" s="180"/>
      <c r="BD36" s="180"/>
      <c r="BE36" s="180"/>
      <c r="BF36" s="180"/>
      <c r="BG36" s="180"/>
      <c r="BH36" s="180"/>
      <c r="BI36" s="180"/>
      <c r="BJ36" s="180"/>
      <c r="BK36" s="180"/>
      <c r="BL36" s="180"/>
      <c r="BM36" s="180"/>
      <c r="BN36" s="180"/>
      <c r="BO36" s="180"/>
      <c r="BP36" s="180"/>
      <c r="BQ36" s="180"/>
      <c r="BR36" s="180"/>
      <c r="BS36" s="180"/>
      <c r="BT36" s="180"/>
      <c r="BU36" s="180"/>
      <c r="BV36" s="180"/>
      <c r="BW36" s="180"/>
      <c r="BX36" s="180"/>
      <c r="BY36" s="180"/>
      <c r="BZ36" s="180"/>
      <c r="CA36" s="180"/>
      <c r="CB36" s="180"/>
      <c r="CC36" s="180"/>
      <c r="CD36" s="180"/>
      <c r="CE36" s="180"/>
      <c r="CF36" s="180"/>
      <c r="CG36" s="180"/>
      <c r="CH36" s="180"/>
      <c r="CI36" s="180"/>
      <c r="CJ36" s="180"/>
      <c r="CK36" s="180"/>
      <c r="CL36" s="180"/>
      <c r="CM36" s="180"/>
      <c r="CN36" s="180"/>
      <c r="CO36" s="180"/>
      <c r="CP36" s="180"/>
      <c r="CQ36" s="180"/>
      <c r="CR36" s="180"/>
      <c r="CS36" s="180"/>
      <c r="CT36" s="180"/>
      <c r="CU36" s="180"/>
      <c r="CV36" s="180"/>
      <c r="CW36" s="180"/>
      <c r="CX36" s="180"/>
      <c r="CY36" s="180"/>
      <c r="CZ36" s="180"/>
      <c r="DA36" s="180"/>
      <c r="DB36" s="180"/>
      <c r="DC36" s="180"/>
      <c r="DD36" s="180"/>
      <c r="DE36" s="180"/>
      <c r="DF36" s="180"/>
      <c r="DG36" s="180"/>
      <c r="DH36" s="180"/>
      <c r="DI36" s="180"/>
      <c r="DJ36" s="180"/>
      <c r="DK36" s="180"/>
      <c r="DL36" s="180"/>
      <c r="DM36" s="180"/>
      <c r="DN36" s="180"/>
      <c r="DO36" s="180"/>
      <c r="DP36" s="180"/>
      <c r="DQ36" s="180"/>
      <c r="DR36" s="180"/>
      <c r="DS36" s="180"/>
      <c r="DT36" s="180"/>
      <c r="DU36" s="180"/>
      <c r="DV36" s="180"/>
      <c r="DW36" s="180"/>
      <c r="DX36" s="180"/>
      <c r="DY36" s="180"/>
      <c r="DZ36" s="180"/>
      <c r="EA36" s="180"/>
      <c r="EB36" s="180"/>
      <c r="EC36" s="180"/>
      <c r="ED36" s="180"/>
      <c r="EE36" s="180"/>
      <c r="EF36" s="180"/>
      <c r="EG36" s="180"/>
      <c r="EH36" s="180"/>
      <c r="EI36" s="180"/>
      <c r="EJ36" s="180"/>
      <c r="EK36" s="180"/>
      <c r="EL36" s="180"/>
      <c r="EM36" s="180"/>
      <c r="EN36" s="180"/>
      <c r="EO36" s="180"/>
      <c r="EP36" s="180"/>
      <c r="EQ36" s="180"/>
      <c r="ER36" s="180"/>
      <c r="ES36" s="180"/>
      <c r="ET36" s="180"/>
      <c r="EU36" s="180"/>
      <c r="EV36" s="180"/>
      <c r="EW36" s="180"/>
      <c r="EX36" s="180"/>
      <c r="EY36" s="180"/>
      <c r="EZ36" s="180"/>
      <c r="FA36" s="180"/>
      <c r="FB36" s="180"/>
      <c r="FC36" s="180"/>
      <c r="FD36" s="180"/>
      <c r="FE36" s="180"/>
      <c r="FF36" s="180"/>
      <c r="FG36" s="180"/>
      <c r="FH36" s="180"/>
      <c r="FI36" s="180"/>
      <c r="FJ36" s="180"/>
      <c r="FK36" s="180"/>
      <c r="FL36" s="180"/>
      <c r="FM36" s="180"/>
      <c r="FN36" s="180"/>
      <c r="FO36" s="180"/>
      <c r="FP36" s="180"/>
      <c r="FQ36" s="180"/>
      <c r="FR36" s="180"/>
      <c r="FS36" s="180"/>
      <c r="FT36" s="180"/>
      <c r="FU36" s="180"/>
      <c r="FV36" s="180"/>
      <c r="FW36" s="180"/>
      <c r="FX36" s="180"/>
      <c r="FY36" s="180"/>
      <c r="FZ36" s="180"/>
      <c r="GA36" s="180"/>
      <c r="GB36" s="180"/>
      <c r="GC36" s="180"/>
      <c r="GD36" s="180"/>
      <c r="GE36" s="180"/>
      <c r="GF36" s="180"/>
      <c r="GG36" s="180"/>
      <c r="GH36" s="180"/>
      <c r="GI36" s="180"/>
      <c r="GJ36" s="180"/>
      <c r="GK36" s="180"/>
      <c r="GL36" s="180"/>
      <c r="GM36" s="180"/>
      <c r="GN36" s="180"/>
      <c r="GO36" s="180"/>
      <c r="GP36" s="180"/>
      <c r="GQ36" s="180"/>
      <c r="GR36" s="180"/>
      <c r="GS36" s="180"/>
      <c r="GT36" s="180"/>
      <c r="GU36" s="180"/>
      <c r="GV36" s="180"/>
      <c r="GW36" s="180"/>
      <c r="GX36" s="180"/>
      <c r="GY36" s="180"/>
      <c r="GZ36" s="180"/>
      <c r="HA36" s="180"/>
      <c r="HB36" s="180"/>
      <c r="HC36" s="180"/>
      <c r="HD36" s="180"/>
      <c r="HE36" s="180"/>
      <c r="HF36" s="180"/>
      <c r="HG36" s="180"/>
      <c r="HH36" s="180"/>
      <c r="HI36" s="180"/>
      <c r="HJ36" s="180"/>
      <c r="HK36" s="180"/>
      <c r="HL36" s="180"/>
      <c r="HM36" s="180"/>
      <c r="HN36" s="180"/>
      <c r="HO36" s="180"/>
      <c r="HP36" s="180"/>
      <c r="HQ36" s="180"/>
      <c r="HR36" s="180"/>
      <c r="HS36" s="180"/>
      <c r="HT36" s="180"/>
      <c r="HU36" s="180"/>
      <c r="HV36" s="180"/>
      <c r="HW36" s="180"/>
      <c r="HX36" s="180"/>
      <c r="HY36" s="180"/>
      <c r="HZ36" s="180"/>
      <c r="IA36" s="180"/>
      <c r="IB36" s="180"/>
      <c r="IC36" s="180"/>
      <c r="ID36" s="180"/>
      <c r="IE36" s="180"/>
      <c r="IF36" s="180"/>
      <c r="IG36" s="180"/>
      <c r="IH36" s="180"/>
      <c r="II36" s="180"/>
      <c r="IJ36" s="180"/>
      <c r="IK36" s="180"/>
      <c r="IL36" s="180"/>
      <c r="IM36" s="180"/>
      <c r="IN36" s="180"/>
      <c r="IO36" s="180"/>
      <c r="IP36" s="180"/>
      <c r="IQ36" s="180"/>
      <c r="IR36" s="180"/>
      <c r="IS36" s="180"/>
      <c r="IT36" s="180"/>
      <c r="IU36" s="180"/>
      <c r="IV36" s="180"/>
      <c r="IW36" s="180"/>
      <c r="IX36" s="180"/>
      <c r="IY36" s="181">
        <v>3</v>
      </c>
      <c r="IZ36" s="182">
        <f>(TEXT(K36,"[m]")/60)*VLOOKUP(IY36,'Income Person-hours'!A$2:C$5,3,FALSE)</f>
        <v>0</v>
      </c>
      <c r="JA36" s="183"/>
      <c r="JB36" s="183"/>
      <c r="JC36" s="183"/>
      <c r="JD36" s="184">
        <f>SUM((TEXT(JA36,"[M]")/60)*'Income Person-hours'!$D$3,(TEXT(JB36,"[M]")/60)*'Income Person-hours'!$D$4,(TEXT(JC36,"[M]")/60)*'Income Person-hours'!$D$5)</f>
        <v>0</v>
      </c>
    </row>
    <row r="37" spans="1:264" s="200" customFormat="1" ht="13.5">
      <c r="A37" s="172">
        <v>3.7</v>
      </c>
      <c r="B37" s="186" t="s">
        <v>141</v>
      </c>
      <c r="C37" s="173" t="s">
        <v>104</v>
      </c>
      <c r="D37" s="180" t="str">
        <f>IF(OR(j_WEEKDAY(J_ADDDAY(VLOOKUP(I37,A:F,6,FALSE),H37,1),0)=6,SUMIFS(Holieday[ok],Holieday[date],J_ADDDAY(VLOOKUP(I37,A:F,6,FALSE),H37,1)))=FALSE(),J_ADDDAY(VLOOKUP(I37,A:F,6,FALSE),H37,1),IF(OR(j_WEEKDAY(J_ADDDAY(VLOOKUP(I37,A:F,6,FALSE),H37+1,1),0)=6,SUMIFS(Holieday[ok],Holieday[date],J_ADDDAY(VLOOKUP(I37,A:F,6,FALSE),H37+1,1)))=FALSE(),J_ADDDAY(VLOOKUP(I37,A:F,6,FALSE),H37+1,1),IF(OR(j_WEEKDAY(J_ADDDAY(VLOOKUP(I37,A:F,6,FALSE),H37+2,1),0)=6,SUMIFS(Holieday[ok],Holieday[date],J_ADDDAY(VLOOKUP(I37,A:F,6,FALSE),H37+2,1)))=FALSE(),J_ADDDAY(VLOOKUP(I37,A:F,6,FALSE),H37+2,1),IF(OR(j_WEEKDAY(J_ADDDAY(VLOOKUP(I37,A:F,6,FALSE),H37+3,1),0)=6,SUMIFS(Holieday[ok],Holieday[date],J_ADDDAY(VLOOKUP(I37,A:F,6,FALSE),H37+3,1)))=FALSE(),J_ADDDAY(VLOOKUP(I37,A:F,6,FALSE),H37+3,1),IF(OR(j_WEEKDAY(J_ADDDAY(VLOOKUP(I37,A:F,6,FALSE),H37+4,1),0)=6,SUMIFS(Holieday[ok],Holieday[date],J_ADDDAY(VLOOKUP(I37,A:F,6,FALSE),H37+4,1)))=FALSE(),J_ADDDAY(VLOOKUP(I37,A:F,6,FALSE),H37+4,1),J_ADDDAY(VLOOKUP(I37,A:F,6,FALSE),H37+5,1))))))</f>
        <v>1398/10/21</v>
      </c>
      <c r="E37" s="1">
        <f t="shared" si="13"/>
        <v>13981021</v>
      </c>
      <c r="F37" s="189" t="str">
        <f>IF(N37=0,J_SUBDAY(D37,1,1),IF((N37-(NETWORKDAYS.INTL(J_GregorianDate(D37,1),J_GregorianDate(J_SUBDAY(J_ADDDAY(D37,N37,1),1,1),1),16,1)))+SUMIFS(Holieday[ok],Holieday[date],CONCATENATE("&gt;","=",D37),Holieday[date],CONCATENATE("&lt;","=",J_SUBDAY(J_ADDDAY(D37,N37,1),1,1)))-SUMIFS(Holieday[Friday],Holieday[date],CONCATENATE("&gt;","=",D37),Holieday[date],CONCATENATE("&lt;","=",J_SUBDAY(J_ADDDAY(D37,N37,1),1,1)))=0,J_SUBDAY(J_ADDDAY(D37,N37,1),1,1),IF((N37+1-(NETWORKDAYS.INTL(J_GregorianDate(D37,1),J_GregorianDate(J_SUBDAY(J_ADDDAY(D37,N37+1,1),1,1),1),16,1)))+SUMIFS(Holieday[ok],Holieday[date],CONCATENATE("&gt;","=",D37),Holieday[date],CONCATENATE("&lt;","=",J_SUBDAY(J_ADDDAY(D37,N37+1,1),1,1)))-SUMIFS(Holieday[Friday],Holieday[date],CONCATENATE("&gt;","=",D37),Holieday[date],CONCATENATE("&lt;","=",J_SUBDAY(J_ADDDAY(D37,N37+1,1),1,1)))=1,J_SUBDAY(J_ADDDAY(D37,N37+1,1),1,1),IF((N37+2-(NETWORKDAYS.INTL(J_GregorianDate(D37,1),J_GregorianDate(J_SUBDAY(J_ADDDAY(D37,N37+2,1),1,1),1),16,1)))+SUMIFS(Holieday[ok],Holieday[date],CONCATENATE("&gt;","=",D37),Holieday[date],CONCATENATE("&lt;","=",J_SUBDAY(J_ADDDAY(D37,N37+2,1),1,1)))-SUMIFS(Holieday[Friday],Holieday[date],CONCATENATE("&gt;","=",D37),Holieday[date],CONCATENATE("&lt;","=",J_SUBDAY(J_ADDDAY(D37,N37+2,1),1,1)))=2,J_SUBDAY(J_ADDDAY(D37,N37+2,1),1,1),IF((N37+3-(NETWORKDAYS.INTL(J_GregorianDate(D37,1),J_GregorianDate(J_SUBDAY(J_ADDDAY(D37,N37+3,1),1,1),1),16,1)))+SUMIFS(Holieday[ok],Holieday[date],CONCATENATE("&gt;","=",D37),Holieday[date],CONCATENATE("&lt;","=",J_SUBDAY(J_ADDDAY(D37,N37+3,1),1,1)))-SUMIFS(Holieday[Friday],Holieday[date],CONCATENATE("&gt;","=",D37),Holieday[date],CONCATENATE("&lt;","=",J_SUBDAY(J_ADDDAY(D37,N37+3,1),1,1)))=3,J_SUBDAY(J_ADDDAY(D37,N37+3,1),1,1),IF((N37+4-(NETWORKDAYS.INTL(J_GregorianDate(D37,1),J_GregorianDate(J_SUBDAY(J_ADDDAY(D37,N37+4,1),1,1),1),16,1)))+SUMIFS(Holieday[ok],Holieday[date],CONCATENATE("&gt;","=",D37),Holieday[date],CONCATENATE("&lt;","=",J_SUBDAY(J_ADDDAY(D37,N37+4,1),1,1)))-SUMIFS(Holieday[Friday],Holieday[date],CONCATENATE("&gt;","=",D37),Holieday[date],CONCATENATE("&lt;","=",J_SUBDAY(J_ADDDAY(D37,N37+4,1),1,1)))=4,J_SUBDAY(J_ADDDAY(D37,N37+4,1),1,1),IF((N37+5-(NETWORKDAYS.INTL(J_GregorianDate(D37,1),J_GregorianDate(J_SUBDAY(J_ADDDAY(D37,N37+5,1),1,1),1),16,1)))+SUMIFS(Holieday[ok],Holieday[date],CONCATENATE("&gt;","=",D37),Holieday[date],CONCATENATE("&lt;","=",J_SUBDAY(J_ADDDAY(D37,N37+5,1),1,1)))-SUMIFS(Holieday[Friday],Holieday[date],CONCATENATE("&gt;","=",D37),Holieday[date],CONCATENATE("&lt;","=",J_SUBDAY(J_ADDDAY(D37,N37+5,1),1,1)))=5,J_SUBDAY(J_ADDDAY(D37,N37+5,1),1,1),J_SUBDAY(J_ADDDAY(D37,N37+6,1),1,1))))))))</f>
        <v>1398/10/28</v>
      </c>
      <c r="G37" s="2">
        <f t="shared" si="14"/>
        <v>13981028</v>
      </c>
      <c r="H37" s="175">
        <v>-7</v>
      </c>
      <c r="I37" s="176">
        <v>3.6</v>
      </c>
      <c r="J37" s="190">
        <f>j_WEEKDAY(D37,2)</f>
        <v>0</v>
      </c>
      <c r="K37" s="13">
        <f>SUM(JA37:JC37)</f>
        <v>0</v>
      </c>
      <c r="L37" s="191">
        <f t="shared" si="22"/>
        <v>8</v>
      </c>
      <c r="M37" s="178">
        <v>0</v>
      </c>
      <c r="N37" s="179">
        <v>7</v>
      </c>
      <c r="O37" s="6">
        <f t="shared" si="20"/>
        <v>0</v>
      </c>
      <c r="P37" s="6">
        <f>VALUE(J_normdate(J_ADDDAY($D37,$O37,1)))</f>
        <v>13981021</v>
      </c>
      <c r="Q37" s="5">
        <f t="shared" si="12"/>
        <v>8</v>
      </c>
      <c r="R37" s="192"/>
      <c r="S37" s="192"/>
      <c r="T37" s="192"/>
      <c r="U37" s="192"/>
      <c r="V37" s="192"/>
      <c r="W37" s="192"/>
      <c r="X37" s="192"/>
      <c r="Y37" s="192"/>
      <c r="Z37" s="192"/>
      <c r="AA37" s="192"/>
      <c r="AB37" s="192"/>
      <c r="AC37" s="192"/>
      <c r="AD37" s="192"/>
      <c r="AE37" s="192"/>
      <c r="AF37" s="192"/>
      <c r="AG37" s="192"/>
      <c r="AH37" s="192"/>
      <c r="AI37" s="192"/>
      <c r="AJ37" s="192"/>
      <c r="AK37" s="192"/>
      <c r="AL37" s="192"/>
      <c r="AM37" s="192"/>
      <c r="AN37" s="192"/>
      <c r="AO37" s="192"/>
      <c r="AP37" s="192"/>
      <c r="AQ37" s="192"/>
      <c r="AR37" s="192"/>
      <c r="AS37" s="192"/>
      <c r="AT37" s="192"/>
      <c r="AU37" s="192"/>
      <c r="AV37" s="192"/>
      <c r="AW37" s="192"/>
      <c r="AX37" s="192"/>
      <c r="AY37" s="192"/>
      <c r="AZ37" s="192"/>
      <c r="BA37" s="192"/>
      <c r="BB37" s="192"/>
      <c r="BC37" s="192"/>
      <c r="BD37" s="192"/>
      <c r="BE37" s="192"/>
      <c r="BF37" s="192"/>
      <c r="BG37" s="192"/>
      <c r="BH37" s="192"/>
      <c r="BI37" s="192"/>
      <c r="BJ37" s="192"/>
      <c r="BK37" s="192"/>
      <c r="BL37" s="192"/>
      <c r="BM37" s="192"/>
      <c r="BN37" s="192"/>
      <c r="BO37" s="192"/>
      <c r="BP37" s="192"/>
      <c r="BQ37" s="192"/>
      <c r="BR37" s="192"/>
      <c r="BS37" s="192"/>
      <c r="BT37" s="192"/>
      <c r="BU37" s="192"/>
      <c r="BV37" s="192"/>
      <c r="BW37" s="192"/>
      <c r="BX37" s="192"/>
      <c r="BY37" s="192"/>
      <c r="BZ37" s="192"/>
      <c r="CA37" s="192"/>
      <c r="CB37" s="192"/>
      <c r="CC37" s="192"/>
      <c r="CD37" s="192"/>
      <c r="CE37" s="192"/>
      <c r="CF37" s="192"/>
      <c r="CG37" s="192"/>
      <c r="CH37" s="192"/>
      <c r="CI37" s="192"/>
      <c r="CJ37" s="192"/>
      <c r="CK37" s="192"/>
      <c r="CL37" s="192"/>
      <c r="CM37" s="192"/>
      <c r="CN37" s="192"/>
      <c r="CO37" s="192"/>
      <c r="CP37" s="192"/>
      <c r="CQ37" s="192"/>
      <c r="CR37" s="192"/>
      <c r="CS37" s="192"/>
      <c r="CT37" s="192"/>
      <c r="CU37" s="192"/>
      <c r="CV37" s="192"/>
      <c r="CW37" s="192"/>
      <c r="CX37" s="192"/>
      <c r="CY37" s="192"/>
      <c r="CZ37" s="192"/>
      <c r="DA37" s="192"/>
      <c r="DB37" s="192"/>
      <c r="DC37" s="192"/>
      <c r="DD37" s="192"/>
      <c r="DE37" s="192"/>
      <c r="DF37" s="192"/>
      <c r="DG37" s="192"/>
      <c r="DH37" s="192"/>
      <c r="DI37" s="192"/>
      <c r="DJ37" s="192"/>
      <c r="DK37" s="192"/>
      <c r="DL37" s="192"/>
      <c r="DM37" s="192"/>
      <c r="DN37" s="192"/>
      <c r="DO37" s="192"/>
      <c r="DP37" s="192"/>
      <c r="DQ37" s="192"/>
      <c r="DR37" s="192"/>
      <c r="DS37" s="192"/>
      <c r="DT37" s="192"/>
      <c r="DU37" s="192"/>
      <c r="DV37" s="192"/>
      <c r="DW37" s="192"/>
      <c r="DX37" s="192"/>
      <c r="DY37" s="192"/>
      <c r="DZ37" s="192"/>
      <c r="EA37" s="192"/>
      <c r="EB37" s="192"/>
      <c r="EC37" s="192"/>
      <c r="ED37" s="192"/>
      <c r="EE37" s="192"/>
      <c r="EF37" s="192"/>
      <c r="EG37" s="192"/>
      <c r="EH37" s="192"/>
      <c r="EI37" s="192"/>
      <c r="EJ37" s="192"/>
      <c r="EK37" s="192"/>
      <c r="EL37" s="192"/>
      <c r="EM37" s="192"/>
      <c r="EN37" s="192"/>
      <c r="EO37" s="192"/>
      <c r="EP37" s="192"/>
      <c r="EQ37" s="192"/>
      <c r="ER37" s="192"/>
      <c r="ES37" s="192"/>
      <c r="ET37" s="192"/>
      <c r="EU37" s="192"/>
      <c r="EV37" s="192"/>
      <c r="EW37" s="192"/>
      <c r="EX37" s="192"/>
      <c r="EY37" s="192"/>
      <c r="EZ37" s="192"/>
      <c r="FA37" s="192"/>
      <c r="FB37" s="192"/>
      <c r="FC37" s="192"/>
      <c r="FD37" s="192"/>
      <c r="FE37" s="192"/>
      <c r="FF37" s="192"/>
      <c r="FG37" s="192"/>
      <c r="FH37" s="192"/>
      <c r="FI37" s="192"/>
      <c r="FJ37" s="192"/>
      <c r="FK37" s="192"/>
      <c r="FL37" s="192"/>
      <c r="FM37" s="192"/>
      <c r="FN37" s="192"/>
      <c r="FO37" s="192"/>
      <c r="FP37" s="192"/>
      <c r="FQ37" s="192"/>
      <c r="FR37" s="192"/>
      <c r="FS37" s="192"/>
      <c r="FT37" s="192"/>
      <c r="FU37" s="192"/>
      <c r="FV37" s="192"/>
      <c r="FW37" s="192"/>
      <c r="FX37" s="192"/>
      <c r="FY37" s="192"/>
      <c r="FZ37" s="192"/>
      <c r="GA37" s="192"/>
      <c r="GB37" s="192"/>
      <c r="GC37" s="192"/>
      <c r="GD37" s="192"/>
      <c r="GE37" s="192"/>
      <c r="GF37" s="192"/>
      <c r="GG37" s="192"/>
      <c r="GH37" s="192"/>
      <c r="GI37" s="192"/>
      <c r="GJ37" s="192"/>
      <c r="GK37" s="192"/>
      <c r="GL37" s="192"/>
      <c r="GM37" s="192"/>
      <c r="GN37" s="192"/>
      <c r="GO37" s="192"/>
      <c r="GP37" s="192"/>
      <c r="GQ37" s="192"/>
      <c r="GR37" s="192"/>
      <c r="GS37" s="192"/>
      <c r="GT37" s="192"/>
      <c r="GU37" s="192"/>
      <c r="GV37" s="192"/>
      <c r="GW37" s="192"/>
      <c r="GX37" s="192"/>
      <c r="GY37" s="192"/>
      <c r="GZ37" s="192"/>
      <c r="HA37" s="192"/>
      <c r="HB37" s="192"/>
      <c r="HC37" s="192"/>
      <c r="HD37" s="192"/>
      <c r="HE37" s="192"/>
      <c r="HF37" s="192"/>
      <c r="HG37" s="192"/>
      <c r="HH37" s="192"/>
      <c r="HI37" s="192"/>
      <c r="HJ37" s="192"/>
      <c r="HK37" s="192"/>
      <c r="HL37" s="192"/>
      <c r="HM37" s="192"/>
      <c r="HN37" s="192"/>
      <c r="HO37" s="192"/>
      <c r="HP37" s="192"/>
      <c r="HQ37" s="192"/>
      <c r="HR37" s="192"/>
      <c r="HS37" s="192"/>
      <c r="HT37" s="192"/>
      <c r="HU37" s="192"/>
      <c r="HV37" s="192"/>
      <c r="HW37" s="192"/>
      <c r="HX37" s="192"/>
      <c r="HY37" s="192"/>
      <c r="HZ37" s="192"/>
      <c r="IA37" s="192"/>
      <c r="IB37" s="192"/>
      <c r="IC37" s="192"/>
      <c r="ID37" s="192"/>
      <c r="IE37" s="192"/>
      <c r="IF37" s="192"/>
      <c r="IG37" s="192"/>
      <c r="IH37" s="192"/>
      <c r="II37" s="192"/>
      <c r="IJ37" s="192"/>
      <c r="IK37" s="192"/>
      <c r="IL37" s="192"/>
      <c r="IM37" s="192"/>
      <c r="IN37" s="192"/>
      <c r="IO37" s="192"/>
      <c r="IP37" s="192"/>
      <c r="IQ37" s="192"/>
      <c r="IR37" s="192"/>
      <c r="IS37" s="192"/>
      <c r="IT37" s="192"/>
      <c r="IU37" s="192"/>
      <c r="IV37" s="192"/>
      <c r="IW37" s="192"/>
      <c r="IX37" s="192"/>
      <c r="IY37" s="181">
        <v>1</v>
      </c>
      <c r="IZ37" s="181"/>
      <c r="JA37" s="183"/>
      <c r="JB37" s="183"/>
      <c r="JC37" s="183"/>
      <c r="JD37" s="199">
        <f>SUM((TEXT(JA37,"[M]")/60)*'Income Person-hours'!$D$3,(TEXT(JB37,"[M]")/60)*'Income Person-hours'!$D$4,(TEXT(JC37,"[M]")/60)*'Income Person-hours'!$D$5)</f>
        <v>0</v>
      </c>
    </row>
    <row r="38" spans="1:264" s="200" customFormat="1" ht="13.5">
      <c r="A38" s="197">
        <v>3.8</v>
      </c>
      <c r="B38" s="186" t="s">
        <v>142</v>
      </c>
      <c r="C38" s="173" t="s">
        <v>72</v>
      </c>
      <c r="D38" s="180" t="str">
        <f>IF(OR(j_WEEKDAY(J_ADDDAY(VLOOKUP(I38,A:F,6,FALSE),H38,1),0)=6,SUMIFS(Holieday[ok],Holieday[date],J_ADDDAY(VLOOKUP(I38,A:F,6,FALSE),H38,1)))=FALSE(),J_ADDDAY(VLOOKUP(I38,A:F,6,FALSE),H38,1),IF(OR(j_WEEKDAY(J_ADDDAY(VLOOKUP(I38,A:F,6,FALSE),H38+1,1),0)=6,SUMIFS(Holieday[ok],Holieday[date],J_ADDDAY(VLOOKUP(I38,A:F,6,FALSE),H38+1,1)))=FALSE(),J_ADDDAY(VLOOKUP(I38,A:F,6,FALSE),H38+1,1),IF(OR(j_WEEKDAY(J_ADDDAY(VLOOKUP(I38,A:F,6,FALSE),H38+2,1),0)=6,SUMIFS(Holieday[ok],Holieday[date],J_ADDDAY(VLOOKUP(I38,A:F,6,FALSE),H38+2,1)))=FALSE(),J_ADDDAY(VLOOKUP(I38,A:F,6,FALSE),H38+2,1),IF(OR(j_WEEKDAY(J_ADDDAY(VLOOKUP(I38,A:F,6,FALSE),H38+3,1),0)=6,SUMIFS(Holieday[ok],Holieday[date],J_ADDDAY(VLOOKUP(I38,A:F,6,FALSE),H38+3,1)))=FALSE(),J_ADDDAY(VLOOKUP(I38,A:F,6,FALSE),H38+3,1),IF(OR(j_WEEKDAY(J_ADDDAY(VLOOKUP(I38,A:F,6,FALSE),H38+4,1),0)=6,SUMIFS(Holieday[ok],Holieday[date],J_ADDDAY(VLOOKUP(I38,A:F,6,FALSE),H38+4,1)))=FALSE(),J_ADDDAY(VLOOKUP(I38,A:F,6,FALSE),H38+4,1),J_ADDDAY(VLOOKUP(I38,A:F,6,FALSE),H38+5,1))))))</f>
        <v>1398/10/29</v>
      </c>
      <c r="E38" s="1"/>
      <c r="F38" s="189" t="str">
        <f>IF(N38=0,J_SUBDAY(D38,1,1),IF((N38-(NETWORKDAYS.INTL(J_GregorianDate(D38,1),J_GregorianDate(J_SUBDAY(J_ADDDAY(D38,N38,1),1,1),1),16,1)))+SUMIFS(Holieday[ok],Holieday[date],CONCATENATE("&gt;","=",D38),Holieday[date],CONCATENATE("&lt;","=",J_SUBDAY(J_ADDDAY(D38,N38,1),1,1)))-SUMIFS(Holieday[Friday],Holieday[date],CONCATENATE("&gt;","=",D38),Holieday[date],CONCATENATE("&lt;","=",J_SUBDAY(J_ADDDAY(D38,N38,1),1,1)))=0,J_SUBDAY(J_ADDDAY(D38,N38,1),1,1),IF((N38+1-(NETWORKDAYS.INTL(J_GregorianDate(D38,1),J_GregorianDate(J_SUBDAY(J_ADDDAY(D38,N38+1,1),1,1),1),16,1)))+SUMIFS(Holieday[ok],Holieday[date],CONCATENATE("&gt;","=",D38),Holieday[date],CONCATENATE("&lt;","=",J_SUBDAY(J_ADDDAY(D38,N38+1,1),1,1)))-SUMIFS(Holieday[Friday],Holieday[date],CONCATENATE("&gt;","=",D38),Holieday[date],CONCATENATE("&lt;","=",J_SUBDAY(J_ADDDAY(D38,N38+1,1),1,1)))=1,J_SUBDAY(J_ADDDAY(D38,N38+1,1),1,1),IF((N38+2-(NETWORKDAYS.INTL(J_GregorianDate(D38,1),J_GregorianDate(J_SUBDAY(J_ADDDAY(D38,N38+2,1),1,1),1),16,1)))+SUMIFS(Holieday[ok],Holieday[date],CONCATENATE("&gt;","=",D38),Holieday[date],CONCATENATE("&lt;","=",J_SUBDAY(J_ADDDAY(D38,N38+2,1),1,1)))-SUMIFS(Holieday[Friday],Holieday[date],CONCATENATE("&gt;","=",D38),Holieday[date],CONCATENATE("&lt;","=",J_SUBDAY(J_ADDDAY(D38,N38+2,1),1,1)))=2,J_SUBDAY(J_ADDDAY(D38,N38+2,1),1,1),IF((N38+3-(NETWORKDAYS.INTL(J_GregorianDate(D38,1),J_GregorianDate(J_SUBDAY(J_ADDDAY(D38,N38+3,1),1,1),1),16,1)))+SUMIFS(Holieday[ok],Holieday[date],CONCATENATE("&gt;","=",D38),Holieday[date],CONCATENATE("&lt;","=",J_SUBDAY(J_ADDDAY(D38,N38+3,1),1,1)))-SUMIFS(Holieday[Friday],Holieday[date],CONCATENATE("&gt;","=",D38),Holieday[date],CONCATENATE("&lt;","=",J_SUBDAY(J_ADDDAY(D38,N38+3,1),1,1)))=3,J_SUBDAY(J_ADDDAY(D38,N38+3,1),1,1),IF((N38+4-(NETWORKDAYS.INTL(J_GregorianDate(D38,1),J_GregorianDate(J_SUBDAY(J_ADDDAY(D38,N38+4,1),1,1),1),16,1)))+SUMIFS(Holieday[ok],Holieday[date],CONCATENATE("&gt;","=",D38),Holieday[date],CONCATENATE("&lt;","=",J_SUBDAY(J_ADDDAY(D38,N38+4,1),1,1)))-SUMIFS(Holieday[Friday],Holieday[date],CONCATENATE("&gt;","=",D38),Holieday[date],CONCATENATE("&lt;","=",J_SUBDAY(J_ADDDAY(D38,N38+4,1),1,1)))=4,J_SUBDAY(J_ADDDAY(D38,N38+4,1),1,1),IF((N38+5-(NETWORKDAYS.INTL(J_GregorianDate(D38,1),J_GregorianDate(J_SUBDAY(J_ADDDAY(D38,N38+5,1),1,1),1),16,1)))+SUMIFS(Holieday[ok],Holieday[date],CONCATENATE("&gt;","=",D38),Holieday[date],CONCATENATE("&lt;","=",J_SUBDAY(J_ADDDAY(D38,N38+5,1),1,1)))-SUMIFS(Holieday[Friday],Holieday[date],CONCATENATE("&gt;","=",D38),Holieday[date],CONCATENATE("&lt;","=",J_SUBDAY(J_ADDDAY(D38,N38+5,1),1,1)))=5,J_SUBDAY(J_ADDDAY(D38,N38+5,1),1,1),J_SUBDAY(J_ADDDAY(D38,N38+6,1),1,1))))))))</f>
        <v>1398/10/30</v>
      </c>
      <c r="G38" s="2"/>
      <c r="H38" s="175">
        <v>1</v>
      </c>
      <c r="I38" s="176">
        <v>3.7</v>
      </c>
      <c r="J38" s="190">
        <f>j_WEEKDAY(D38,2)</f>
        <v>1</v>
      </c>
      <c r="K38" s="13"/>
      <c r="L38" s="191">
        <f t="shared" si="22"/>
        <v>2</v>
      </c>
      <c r="M38" s="178">
        <v>0</v>
      </c>
      <c r="N38" s="179">
        <v>2</v>
      </c>
      <c r="O38" s="6"/>
      <c r="P38" s="6"/>
      <c r="Q38" s="5"/>
      <c r="R38" s="192"/>
      <c r="S38" s="192"/>
      <c r="T38" s="192"/>
      <c r="U38" s="192"/>
      <c r="V38" s="192"/>
      <c r="W38" s="192"/>
      <c r="X38" s="192"/>
      <c r="Y38" s="192"/>
      <c r="Z38" s="192"/>
      <c r="AA38" s="192"/>
      <c r="AB38" s="192"/>
      <c r="AC38" s="192"/>
      <c r="AD38" s="192"/>
      <c r="AE38" s="192"/>
      <c r="AF38" s="192"/>
      <c r="AG38" s="192"/>
      <c r="AH38" s="192"/>
      <c r="AI38" s="192"/>
      <c r="AJ38" s="192"/>
      <c r="AK38" s="192"/>
      <c r="AL38" s="192"/>
      <c r="AM38" s="192"/>
      <c r="AN38" s="192"/>
      <c r="AO38" s="192"/>
      <c r="AP38" s="192"/>
      <c r="AQ38" s="192"/>
      <c r="AR38" s="192"/>
      <c r="AS38" s="192"/>
      <c r="AT38" s="192"/>
      <c r="AU38" s="192"/>
      <c r="AV38" s="192"/>
      <c r="AW38" s="192"/>
      <c r="AX38" s="192"/>
      <c r="AY38" s="192"/>
      <c r="AZ38" s="192"/>
      <c r="BA38" s="192"/>
      <c r="BB38" s="192"/>
      <c r="BC38" s="192"/>
      <c r="BD38" s="192"/>
      <c r="BE38" s="192"/>
      <c r="BF38" s="192"/>
      <c r="BG38" s="192"/>
      <c r="BH38" s="192"/>
      <c r="BI38" s="192"/>
      <c r="BJ38" s="192"/>
      <c r="BK38" s="192"/>
      <c r="BL38" s="192"/>
      <c r="BM38" s="192"/>
      <c r="BN38" s="192"/>
      <c r="BO38" s="192"/>
      <c r="BP38" s="192"/>
      <c r="BQ38" s="192"/>
      <c r="BR38" s="192"/>
      <c r="BS38" s="192"/>
      <c r="BT38" s="192"/>
      <c r="BU38" s="192"/>
      <c r="BV38" s="192"/>
      <c r="BW38" s="192"/>
      <c r="BX38" s="192"/>
      <c r="BY38" s="192"/>
      <c r="BZ38" s="192"/>
      <c r="CA38" s="192"/>
      <c r="CB38" s="192"/>
      <c r="CC38" s="192"/>
      <c r="CD38" s="192"/>
      <c r="CE38" s="192"/>
      <c r="CF38" s="192"/>
      <c r="CG38" s="192"/>
      <c r="CH38" s="192"/>
      <c r="CI38" s="192"/>
      <c r="CJ38" s="192"/>
      <c r="CK38" s="192"/>
      <c r="CL38" s="192"/>
      <c r="CM38" s="192"/>
      <c r="CN38" s="192"/>
      <c r="CO38" s="192"/>
      <c r="CP38" s="192"/>
      <c r="CQ38" s="192"/>
      <c r="CR38" s="192"/>
      <c r="CS38" s="192"/>
      <c r="CT38" s="192"/>
      <c r="CU38" s="192"/>
      <c r="CV38" s="192"/>
      <c r="CW38" s="192"/>
      <c r="CX38" s="192"/>
      <c r="CY38" s="192"/>
      <c r="CZ38" s="192"/>
      <c r="DA38" s="192"/>
      <c r="DB38" s="192"/>
      <c r="DC38" s="192"/>
      <c r="DD38" s="192"/>
      <c r="DE38" s="192"/>
      <c r="DF38" s="192"/>
      <c r="DG38" s="192"/>
      <c r="DH38" s="192"/>
      <c r="DI38" s="192"/>
      <c r="DJ38" s="192"/>
      <c r="DK38" s="192"/>
      <c r="DL38" s="192"/>
      <c r="DM38" s="192"/>
      <c r="DN38" s="192"/>
      <c r="DO38" s="192"/>
      <c r="DP38" s="192"/>
      <c r="DQ38" s="192"/>
      <c r="DR38" s="192"/>
      <c r="DS38" s="192"/>
      <c r="DT38" s="192"/>
      <c r="DU38" s="192"/>
      <c r="DV38" s="192"/>
      <c r="DW38" s="192"/>
      <c r="DX38" s="192"/>
      <c r="DY38" s="192"/>
      <c r="DZ38" s="192"/>
      <c r="EA38" s="192"/>
      <c r="EB38" s="192"/>
      <c r="EC38" s="192"/>
      <c r="ED38" s="192"/>
      <c r="EE38" s="192"/>
      <c r="EF38" s="192"/>
      <c r="EG38" s="192"/>
      <c r="EH38" s="192"/>
      <c r="EI38" s="192"/>
      <c r="EJ38" s="192"/>
      <c r="EK38" s="192"/>
      <c r="EL38" s="192"/>
      <c r="EM38" s="192"/>
      <c r="EN38" s="192"/>
      <c r="EO38" s="192"/>
      <c r="EP38" s="192"/>
      <c r="EQ38" s="192"/>
      <c r="ER38" s="192"/>
      <c r="ES38" s="192"/>
      <c r="ET38" s="192"/>
      <c r="EU38" s="192"/>
      <c r="EV38" s="192"/>
      <c r="EW38" s="192"/>
      <c r="EX38" s="192"/>
      <c r="EY38" s="192"/>
      <c r="EZ38" s="192"/>
      <c r="FA38" s="192"/>
      <c r="FB38" s="192"/>
      <c r="FC38" s="192"/>
      <c r="FD38" s="192"/>
      <c r="FE38" s="192"/>
      <c r="FF38" s="192"/>
      <c r="FG38" s="192"/>
      <c r="FH38" s="192"/>
      <c r="FI38" s="192"/>
      <c r="FJ38" s="192"/>
      <c r="FK38" s="192"/>
      <c r="FL38" s="192"/>
      <c r="FM38" s="192"/>
      <c r="FN38" s="192"/>
      <c r="FO38" s="192"/>
      <c r="FP38" s="192"/>
      <c r="FQ38" s="192"/>
      <c r="FR38" s="192"/>
      <c r="FS38" s="192"/>
      <c r="FT38" s="192"/>
      <c r="FU38" s="192"/>
      <c r="FV38" s="192"/>
      <c r="FW38" s="192"/>
      <c r="FX38" s="192"/>
      <c r="FY38" s="192"/>
      <c r="FZ38" s="192"/>
      <c r="GA38" s="192"/>
      <c r="GB38" s="192"/>
      <c r="GC38" s="192"/>
      <c r="GD38" s="192"/>
      <c r="GE38" s="192"/>
      <c r="GF38" s="192"/>
      <c r="GG38" s="192"/>
      <c r="GH38" s="192"/>
      <c r="GI38" s="192"/>
      <c r="GJ38" s="192"/>
      <c r="GK38" s="192"/>
      <c r="GL38" s="192"/>
      <c r="GM38" s="192"/>
      <c r="GN38" s="192"/>
      <c r="GO38" s="192"/>
      <c r="GP38" s="192"/>
      <c r="GQ38" s="192"/>
      <c r="GR38" s="192"/>
      <c r="GS38" s="192"/>
      <c r="GT38" s="192"/>
      <c r="GU38" s="192"/>
      <c r="GV38" s="192"/>
      <c r="GW38" s="192"/>
      <c r="GX38" s="192"/>
      <c r="GY38" s="192"/>
      <c r="GZ38" s="192"/>
      <c r="HA38" s="192"/>
      <c r="HB38" s="192"/>
      <c r="HC38" s="192"/>
      <c r="HD38" s="192"/>
      <c r="HE38" s="192"/>
      <c r="HF38" s="192"/>
      <c r="HG38" s="192"/>
      <c r="HH38" s="192"/>
      <c r="HI38" s="192"/>
      <c r="HJ38" s="192"/>
      <c r="HK38" s="192"/>
      <c r="HL38" s="192"/>
      <c r="HM38" s="192"/>
      <c r="HN38" s="192"/>
      <c r="HO38" s="192"/>
      <c r="HP38" s="192"/>
      <c r="HQ38" s="192"/>
      <c r="HR38" s="192"/>
      <c r="HS38" s="192"/>
      <c r="HT38" s="192"/>
      <c r="HU38" s="192"/>
      <c r="HV38" s="192"/>
      <c r="HW38" s="192"/>
      <c r="HX38" s="192"/>
      <c r="HY38" s="192"/>
      <c r="HZ38" s="192"/>
      <c r="IA38" s="192"/>
      <c r="IB38" s="192"/>
      <c r="IC38" s="192"/>
      <c r="ID38" s="192"/>
      <c r="IE38" s="192"/>
      <c r="IF38" s="192"/>
      <c r="IG38" s="192"/>
      <c r="IH38" s="192"/>
      <c r="II38" s="192"/>
      <c r="IJ38" s="192"/>
      <c r="IK38" s="192"/>
      <c r="IL38" s="192"/>
      <c r="IM38" s="192"/>
      <c r="IN38" s="192"/>
      <c r="IO38" s="192"/>
      <c r="IP38" s="192"/>
      <c r="IQ38" s="192"/>
      <c r="IR38" s="192"/>
      <c r="IS38" s="192"/>
      <c r="IT38" s="192"/>
      <c r="IU38" s="192"/>
      <c r="IV38" s="192"/>
      <c r="IW38" s="192"/>
      <c r="IX38" s="192"/>
      <c r="IY38" s="181"/>
      <c r="IZ38" s="181"/>
      <c r="JA38" s="183"/>
      <c r="JB38" s="183"/>
      <c r="JC38" s="183"/>
      <c r="JD38" s="199"/>
    </row>
    <row r="39" spans="1:264" s="192" customFormat="1" ht="13.5">
      <c r="A39" s="188">
        <v>3.9</v>
      </c>
      <c r="B39" s="186" t="s">
        <v>143</v>
      </c>
      <c r="C39" s="173" t="s">
        <v>72</v>
      </c>
      <c r="D39" s="180" t="str">
        <f>IF(OR(j_WEEKDAY(J_ADDDAY(VLOOKUP(I39,A:F,6,FALSE),H39,1),0)=6,SUMIFS(Holieday[ok],Holieday[date],J_ADDDAY(VLOOKUP(I39,A:F,6,FALSE),H39,1)))=FALSE(),J_ADDDAY(VLOOKUP(I39,A:F,6,FALSE),H39,1),IF(OR(j_WEEKDAY(J_ADDDAY(VLOOKUP(I39,A:F,6,FALSE),H39+1,1),0)=6,SUMIFS(Holieday[ok],Holieday[date],J_ADDDAY(VLOOKUP(I39,A:F,6,FALSE),H39+1,1)))=FALSE(),J_ADDDAY(VLOOKUP(I39,A:F,6,FALSE),H39+1,1),IF(OR(j_WEEKDAY(J_ADDDAY(VLOOKUP(I39,A:F,6,FALSE),H39+2,1),0)=6,SUMIFS(Holieday[ok],Holieday[date],J_ADDDAY(VLOOKUP(I39,A:F,6,FALSE),H39+2,1)))=FALSE(),J_ADDDAY(VLOOKUP(I39,A:F,6,FALSE),H39+2,1),IF(OR(j_WEEKDAY(J_ADDDAY(VLOOKUP(I39,A:F,6,FALSE),H39+3,1),0)=6,SUMIFS(Holieday[ok],Holieday[date],J_ADDDAY(VLOOKUP(I39,A:F,6,FALSE),H39+3,1)))=FALSE(),J_ADDDAY(VLOOKUP(I39,A:F,6,FALSE),H39+3,1),IF(OR(j_WEEKDAY(J_ADDDAY(VLOOKUP(I39,A:F,6,FALSE),H39+4,1),0)=6,SUMIFS(Holieday[ok],Holieday[date],J_ADDDAY(VLOOKUP(I39,A:F,6,FALSE),H39+4,1)))=FALSE(),J_ADDDAY(VLOOKUP(I39,A:F,6,FALSE),H39+4,1),J_ADDDAY(VLOOKUP(I39,A:F,6,FALSE),H39+5,1))))))</f>
        <v>1398/11/01</v>
      </c>
      <c r="E39" s="1">
        <f t="shared" si="13"/>
        <v>13981101</v>
      </c>
      <c r="F39" s="189" t="str">
        <f>IF(N39=0,J_SUBDAY(D39,1,1),IF((N39-(NETWORKDAYS.INTL(J_GregorianDate(D39,1),J_GregorianDate(J_SUBDAY(J_ADDDAY(D39,N39,1),1,1),1),16,1)))+SUMIFS(Holieday[ok],Holieday[date],CONCATENATE("&gt;","=",D39),Holieday[date],CONCATENATE("&lt;","=",J_SUBDAY(J_ADDDAY(D39,N39,1),1,1)))-SUMIFS(Holieday[Friday],Holieday[date],CONCATENATE("&gt;","=",D39),Holieday[date],CONCATENATE("&lt;","=",J_SUBDAY(J_ADDDAY(D39,N39,1),1,1)))=0,J_SUBDAY(J_ADDDAY(D39,N39,1),1,1),IF((N39+1-(NETWORKDAYS.INTL(J_GregorianDate(D39,1),J_GregorianDate(J_SUBDAY(J_ADDDAY(D39,N39+1,1),1,1),1),16,1)))+SUMIFS(Holieday[ok],Holieday[date],CONCATENATE("&gt;","=",D39),Holieday[date],CONCATENATE("&lt;","=",J_SUBDAY(J_ADDDAY(D39,N39+1,1),1,1)))-SUMIFS(Holieday[Friday],Holieday[date],CONCATENATE("&gt;","=",D39),Holieday[date],CONCATENATE("&lt;","=",J_SUBDAY(J_ADDDAY(D39,N39+1,1),1,1)))=1,J_SUBDAY(J_ADDDAY(D39,N39+1,1),1,1),IF((N39+2-(NETWORKDAYS.INTL(J_GregorianDate(D39,1),J_GregorianDate(J_SUBDAY(J_ADDDAY(D39,N39+2,1),1,1),1),16,1)))+SUMIFS(Holieday[ok],Holieday[date],CONCATENATE("&gt;","=",D39),Holieday[date],CONCATENATE("&lt;","=",J_SUBDAY(J_ADDDAY(D39,N39+2,1),1,1)))-SUMIFS(Holieday[Friday],Holieday[date],CONCATENATE("&gt;","=",D39),Holieday[date],CONCATENATE("&lt;","=",J_SUBDAY(J_ADDDAY(D39,N39+2,1),1,1)))=2,J_SUBDAY(J_ADDDAY(D39,N39+2,1),1,1),IF((N39+3-(NETWORKDAYS.INTL(J_GregorianDate(D39,1),J_GregorianDate(J_SUBDAY(J_ADDDAY(D39,N39+3,1),1,1),1),16,1)))+SUMIFS(Holieday[ok],Holieday[date],CONCATENATE("&gt;","=",D39),Holieday[date],CONCATENATE("&lt;","=",J_SUBDAY(J_ADDDAY(D39,N39+3,1),1,1)))-SUMIFS(Holieday[Friday],Holieday[date],CONCATENATE("&gt;","=",D39),Holieday[date],CONCATENATE("&lt;","=",J_SUBDAY(J_ADDDAY(D39,N39+3,1),1,1)))=3,J_SUBDAY(J_ADDDAY(D39,N39+3,1),1,1),IF((N39+4-(NETWORKDAYS.INTL(J_GregorianDate(D39,1),J_GregorianDate(J_SUBDAY(J_ADDDAY(D39,N39+4,1),1,1),1),16,1)))+SUMIFS(Holieday[ok],Holieday[date],CONCATENATE("&gt;","=",D39),Holieday[date],CONCATENATE("&lt;","=",J_SUBDAY(J_ADDDAY(D39,N39+4,1),1,1)))-SUMIFS(Holieday[Friday],Holieday[date],CONCATENATE("&gt;","=",D39),Holieday[date],CONCATENATE("&lt;","=",J_SUBDAY(J_ADDDAY(D39,N39+4,1),1,1)))=4,J_SUBDAY(J_ADDDAY(D39,N39+4,1),1,1),IF((N39+5-(NETWORKDAYS.INTL(J_GregorianDate(D39,1),J_GregorianDate(J_SUBDAY(J_ADDDAY(D39,N39+5,1),1,1),1),16,1)))+SUMIFS(Holieday[ok],Holieday[date],CONCATENATE("&gt;","=",D39),Holieday[date],CONCATENATE("&lt;","=",J_SUBDAY(J_ADDDAY(D39,N39+5,1),1,1)))-SUMIFS(Holieday[Friday],Holieday[date],CONCATENATE("&gt;","=",D39),Holieday[date],CONCATENATE("&lt;","=",J_SUBDAY(J_ADDDAY(D39,N39+5,1),1,1)))=5,J_SUBDAY(J_ADDDAY(D39,N39+5,1),1,1),J_SUBDAY(J_ADDDAY(D39,N39+6,1),1,1))))))))</f>
        <v>1398/11/02</v>
      </c>
      <c r="G39" s="2">
        <f t="shared" si="14"/>
        <v>13981102</v>
      </c>
      <c r="H39" s="175">
        <v>1</v>
      </c>
      <c r="I39" s="176">
        <v>3.8</v>
      </c>
      <c r="J39" s="190">
        <f>j_WEEKDAY(D39,2)</f>
        <v>3</v>
      </c>
      <c r="K39" s="13">
        <f t="shared" si="21"/>
        <v>0</v>
      </c>
      <c r="L39" s="191">
        <f t="shared" si="22"/>
        <v>2</v>
      </c>
      <c r="M39" s="178">
        <v>0</v>
      </c>
      <c r="N39" s="179">
        <v>2</v>
      </c>
      <c r="O39" s="6">
        <f t="shared" si="20"/>
        <v>0</v>
      </c>
      <c r="P39" s="6">
        <f>VALUE(J_normdate(J_ADDDAY($D39,$O39,1)))</f>
        <v>13981101</v>
      </c>
      <c r="Q39" s="5">
        <f t="shared" si="12"/>
        <v>2</v>
      </c>
      <c r="IY39" s="193">
        <v>1</v>
      </c>
      <c r="IZ39" s="193"/>
      <c r="JA39" s="194"/>
      <c r="JB39" s="194"/>
      <c r="JC39" s="194"/>
      <c r="JD39" s="195">
        <f>SUM((TEXT(JA39,"[M]")/60)*'Income Person-hours'!$D$3,(TEXT(JB39,"[M]")/60)*'Income Person-hours'!$D$4,(TEXT(JC39,"[M]")/60)*'Income Person-hours'!$D$5)</f>
        <v>0</v>
      </c>
    </row>
    <row r="40" spans="1:264" s="192" customFormat="1" ht="13.5">
      <c r="A40" s="188">
        <v>3.11</v>
      </c>
      <c r="B40" s="186" t="s">
        <v>145</v>
      </c>
      <c r="C40" s="173" t="s">
        <v>72</v>
      </c>
      <c r="D40" s="180" t="str">
        <f>IF(OR(j_WEEKDAY(J_ADDDAY(VLOOKUP(I40,A:F,6,FALSE),H40,1),0)=6,SUMIFS(Holieday[ok],Holieday[date],J_ADDDAY(VLOOKUP(I40,A:F,6,FALSE),H40,1)))=FALSE(),J_ADDDAY(VLOOKUP(I40,A:F,6,FALSE),H40,1),IF(OR(j_WEEKDAY(J_ADDDAY(VLOOKUP(I40,A:F,6,FALSE),H40+1,1),0)=6,SUMIFS(Holieday[ok],Holieday[date],J_ADDDAY(VLOOKUP(I40,A:F,6,FALSE),H40+1,1)))=FALSE(),J_ADDDAY(VLOOKUP(I40,A:F,6,FALSE),H40+1,1),IF(OR(j_WEEKDAY(J_ADDDAY(VLOOKUP(I40,A:F,6,FALSE),H40+2,1),0)=6,SUMIFS(Holieday[ok],Holieday[date],J_ADDDAY(VLOOKUP(I40,A:F,6,FALSE),H40+2,1)))=FALSE(),J_ADDDAY(VLOOKUP(I40,A:F,6,FALSE),H40+2,1),IF(OR(j_WEEKDAY(J_ADDDAY(VLOOKUP(I40,A:F,6,FALSE),H40+3,1),0)=6,SUMIFS(Holieday[ok],Holieday[date],J_ADDDAY(VLOOKUP(I40,A:F,6,FALSE),H40+3,1)))=FALSE(),J_ADDDAY(VLOOKUP(I40,A:F,6,FALSE),H40+3,1),IF(OR(j_WEEKDAY(J_ADDDAY(VLOOKUP(I40,A:F,6,FALSE),H40+4,1),0)=6,SUMIFS(Holieday[ok],Holieday[date],J_ADDDAY(VLOOKUP(I40,A:F,6,FALSE),H40+4,1)))=FALSE(),J_ADDDAY(VLOOKUP(I40,A:F,6,FALSE),H40+4,1),J_ADDDAY(VLOOKUP(I40,A:F,6,FALSE),H40+5,1))))))</f>
        <v>1398/11/03</v>
      </c>
      <c r="E40" s="1"/>
      <c r="F40" s="189" t="str">
        <f>IF(N40=0,J_SUBDAY(D40,1,1),IF((N40-(NETWORKDAYS.INTL(J_GregorianDate(D40,1),J_GregorianDate(J_SUBDAY(J_ADDDAY(D40,N40,1),1,1),1),16,1)))+SUMIFS(Holieday[ok],Holieday[date],CONCATENATE("&gt;","=",D40),Holieday[date],CONCATENATE("&lt;","=",J_SUBDAY(J_ADDDAY(D40,N40,1),1,1)))-SUMIFS(Holieday[Friday],Holieday[date],CONCATENATE("&gt;","=",D40),Holieday[date],CONCATENATE("&lt;","=",J_SUBDAY(J_ADDDAY(D40,N40,1),1,1)))=0,J_SUBDAY(J_ADDDAY(D40,N40,1),1,1),IF((N40+1-(NETWORKDAYS.INTL(J_GregorianDate(D40,1),J_GregorianDate(J_SUBDAY(J_ADDDAY(D40,N40+1,1),1,1),1),16,1)))+SUMIFS(Holieday[ok],Holieday[date],CONCATENATE("&gt;","=",D40),Holieday[date],CONCATENATE("&lt;","=",J_SUBDAY(J_ADDDAY(D40,N40+1,1),1,1)))-SUMIFS(Holieday[Friday],Holieday[date],CONCATENATE("&gt;","=",D40),Holieday[date],CONCATENATE("&lt;","=",J_SUBDAY(J_ADDDAY(D40,N40+1,1),1,1)))=1,J_SUBDAY(J_ADDDAY(D40,N40+1,1),1,1),IF((N40+2-(NETWORKDAYS.INTL(J_GregorianDate(D40,1),J_GregorianDate(J_SUBDAY(J_ADDDAY(D40,N40+2,1),1,1),1),16,1)))+SUMIFS(Holieday[ok],Holieday[date],CONCATENATE("&gt;","=",D40),Holieday[date],CONCATENATE("&lt;","=",J_SUBDAY(J_ADDDAY(D40,N40+2,1),1,1)))-SUMIFS(Holieday[Friday],Holieday[date],CONCATENATE("&gt;","=",D40),Holieday[date],CONCATENATE("&lt;","=",J_SUBDAY(J_ADDDAY(D40,N40+2,1),1,1)))=2,J_SUBDAY(J_ADDDAY(D40,N40+2,1),1,1),IF((N40+3-(NETWORKDAYS.INTL(J_GregorianDate(D40,1),J_GregorianDate(J_SUBDAY(J_ADDDAY(D40,N40+3,1),1,1),1),16,1)))+SUMIFS(Holieday[ok],Holieday[date],CONCATENATE("&gt;","=",D40),Holieday[date],CONCATENATE("&lt;","=",J_SUBDAY(J_ADDDAY(D40,N40+3,1),1,1)))-SUMIFS(Holieday[Friday],Holieday[date],CONCATENATE("&gt;","=",D40),Holieday[date],CONCATENATE("&lt;","=",J_SUBDAY(J_ADDDAY(D40,N40+3,1),1,1)))=3,J_SUBDAY(J_ADDDAY(D40,N40+3,1),1,1),IF((N40+4-(NETWORKDAYS.INTL(J_GregorianDate(D40,1),J_GregorianDate(J_SUBDAY(J_ADDDAY(D40,N40+4,1),1,1),1),16,1)))+SUMIFS(Holieday[ok],Holieday[date],CONCATENATE("&gt;","=",D40),Holieday[date],CONCATENATE("&lt;","=",J_SUBDAY(J_ADDDAY(D40,N40+4,1),1,1)))-SUMIFS(Holieday[Friday],Holieday[date],CONCATENATE("&gt;","=",D40),Holieday[date],CONCATENATE("&lt;","=",J_SUBDAY(J_ADDDAY(D40,N40+4,1),1,1)))=4,J_SUBDAY(J_ADDDAY(D40,N40+4,1),1,1),IF((N40+5-(NETWORKDAYS.INTL(J_GregorianDate(D40,1),J_GregorianDate(J_SUBDAY(J_ADDDAY(D40,N40+5,1),1,1),1),16,1)))+SUMIFS(Holieday[ok],Holieday[date],CONCATENATE("&gt;","=",D40),Holieday[date],CONCATENATE("&lt;","=",J_SUBDAY(J_ADDDAY(D40,N40+5,1),1,1)))-SUMIFS(Holieday[Friday],Holieday[date],CONCATENATE("&gt;","=",D40),Holieday[date],CONCATENATE("&lt;","=",J_SUBDAY(J_ADDDAY(D40,N40+5,1),1,1)))=5,J_SUBDAY(J_ADDDAY(D40,N40+5,1),1,1),J_SUBDAY(J_ADDDAY(D40,N40+6,1),1,1))))))))</f>
        <v>1398/11/05</v>
      </c>
      <c r="G40" s="2"/>
      <c r="H40" s="175">
        <v>1</v>
      </c>
      <c r="I40" s="176">
        <v>3.9</v>
      </c>
      <c r="J40" s="190">
        <f>j_WEEKDAY(D40,2)</f>
        <v>5</v>
      </c>
      <c r="K40" s="13"/>
      <c r="L40" s="191">
        <f t="shared" si="22"/>
        <v>3</v>
      </c>
      <c r="M40" s="178">
        <v>0</v>
      </c>
      <c r="N40" s="179">
        <v>2</v>
      </c>
      <c r="O40" s="6"/>
      <c r="P40" s="6"/>
      <c r="Q40" s="5"/>
      <c r="IY40" s="193"/>
      <c r="IZ40" s="193"/>
      <c r="JA40" s="194"/>
      <c r="JB40" s="194"/>
      <c r="JC40" s="194"/>
      <c r="JD40" s="195"/>
    </row>
    <row r="41" spans="1:264" s="192" customFormat="1" ht="13.5">
      <c r="A41" s="188">
        <v>3.12</v>
      </c>
      <c r="B41" s="186" t="s">
        <v>146</v>
      </c>
      <c r="C41" s="173" t="s">
        <v>72</v>
      </c>
      <c r="D41" s="180" t="str">
        <f>IF(OR(j_WEEKDAY(J_ADDDAY(VLOOKUP(I41,A:F,6,FALSE),H41,1),0)=6,SUMIFS(Holieday[ok],Holieday[date],J_ADDDAY(VLOOKUP(I41,A:F,6,FALSE),H41,1)))=FALSE(),J_ADDDAY(VLOOKUP(I41,A:F,6,FALSE),H41,1),IF(OR(j_WEEKDAY(J_ADDDAY(VLOOKUP(I41,A:F,6,FALSE),H41+1,1),0)=6,SUMIFS(Holieday[ok],Holieday[date],J_ADDDAY(VLOOKUP(I41,A:F,6,FALSE),H41+1,1)))=FALSE(),J_ADDDAY(VLOOKUP(I41,A:F,6,FALSE),H41+1,1),IF(OR(j_WEEKDAY(J_ADDDAY(VLOOKUP(I41,A:F,6,FALSE),H41+2,1),0)=6,SUMIFS(Holieday[ok],Holieday[date],J_ADDDAY(VLOOKUP(I41,A:F,6,FALSE),H41+2,1)))=FALSE(),J_ADDDAY(VLOOKUP(I41,A:F,6,FALSE),H41+2,1),IF(OR(j_WEEKDAY(J_ADDDAY(VLOOKUP(I41,A:F,6,FALSE),H41+3,1),0)=6,SUMIFS(Holieday[ok],Holieday[date],J_ADDDAY(VLOOKUP(I41,A:F,6,FALSE),H41+3,1)))=FALSE(),J_ADDDAY(VLOOKUP(I41,A:F,6,FALSE),H41+3,1),IF(OR(j_WEEKDAY(J_ADDDAY(VLOOKUP(I41,A:F,6,FALSE),H41+4,1),0)=6,SUMIFS(Holieday[ok],Holieday[date],J_ADDDAY(VLOOKUP(I41,A:F,6,FALSE),H41+4,1)))=FALSE(),J_ADDDAY(VLOOKUP(I41,A:F,6,FALSE),H41+4,1),J_ADDDAY(VLOOKUP(I41,A:F,6,FALSE),H41+5,1))))))</f>
        <v>1398/11/06</v>
      </c>
      <c r="E41" s="1"/>
      <c r="F41" s="189" t="str">
        <f>IF(N41=0,J_SUBDAY(D41,1,1),IF((N41-(NETWORKDAYS.INTL(J_GregorianDate(D41,1),J_GregorianDate(J_SUBDAY(J_ADDDAY(D41,N41,1),1,1),1),16,1)))+SUMIFS(Holieday[ok],Holieday[date],CONCATENATE("&gt;","=",D41),Holieday[date],CONCATENATE("&lt;","=",J_SUBDAY(J_ADDDAY(D41,N41,1),1,1)))-SUMIFS(Holieday[Friday],Holieday[date],CONCATENATE("&gt;","=",D41),Holieday[date],CONCATENATE("&lt;","=",J_SUBDAY(J_ADDDAY(D41,N41,1),1,1)))=0,J_SUBDAY(J_ADDDAY(D41,N41,1),1,1),IF((N41+1-(NETWORKDAYS.INTL(J_GregorianDate(D41,1),J_GregorianDate(J_SUBDAY(J_ADDDAY(D41,N41+1,1),1,1),1),16,1)))+SUMIFS(Holieday[ok],Holieday[date],CONCATENATE("&gt;","=",D41),Holieday[date],CONCATENATE("&lt;","=",J_SUBDAY(J_ADDDAY(D41,N41+1,1),1,1)))-SUMIFS(Holieday[Friday],Holieday[date],CONCATENATE("&gt;","=",D41),Holieday[date],CONCATENATE("&lt;","=",J_SUBDAY(J_ADDDAY(D41,N41+1,1),1,1)))=1,J_SUBDAY(J_ADDDAY(D41,N41+1,1),1,1),IF((N41+2-(NETWORKDAYS.INTL(J_GregorianDate(D41,1),J_GregorianDate(J_SUBDAY(J_ADDDAY(D41,N41+2,1),1,1),1),16,1)))+SUMIFS(Holieday[ok],Holieday[date],CONCATENATE("&gt;","=",D41),Holieday[date],CONCATENATE("&lt;","=",J_SUBDAY(J_ADDDAY(D41,N41+2,1),1,1)))-SUMIFS(Holieday[Friday],Holieday[date],CONCATENATE("&gt;","=",D41),Holieday[date],CONCATENATE("&lt;","=",J_SUBDAY(J_ADDDAY(D41,N41+2,1),1,1)))=2,J_SUBDAY(J_ADDDAY(D41,N41+2,1),1,1),IF((N41+3-(NETWORKDAYS.INTL(J_GregorianDate(D41,1),J_GregorianDate(J_SUBDAY(J_ADDDAY(D41,N41+3,1),1,1),1),16,1)))+SUMIFS(Holieday[ok],Holieday[date],CONCATENATE("&gt;","=",D41),Holieday[date],CONCATENATE("&lt;","=",J_SUBDAY(J_ADDDAY(D41,N41+3,1),1,1)))-SUMIFS(Holieday[Friday],Holieday[date],CONCATENATE("&gt;","=",D41),Holieday[date],CONCATENATE("&lt;","=",J_SUBDAY(J_ADDDAY(D41,N41+3,1),1,1)))=3,J_SUBDAY(J_ADDDAY(D41,N41+3,1),1,1),IF((N41+4-(NETWORKDAYS.INTL(J_GregorianDate(D41,1),J_GregorianDate(J_SUBDAY(J_ADDDAY(D41,N41+4,1),1,1),1),16,1)))+SUMIFS(Holieday[ok],Holieday[date],CONCATENATE("&gt;","=",D41),Holieday[date],CONCATENATE("&lt;","=",J_SUBDAY(J_ADDDAY(D41,N41+4,1),1,1)))-SUMIFS(Holieday[Friday],Holieday[date],CONCATENATE("&gt;","=",D41),Holieday[date],CONCATENATE("&lt;","=",J_SUBDAY(J_ADDDAY(D41,N41+4,1),1,1)))=4,J_SUBDAY(J_ADDDAY(D41,N41+4,1),1,1),IF((N41+5-(NETWORKDAYS.INTL(J_GregorianDate(D41,1),J_GregorianDate(J_SUBDAY(J_ADDDAY(D41,N41+5,1),1,1),1),16,1)))+SUMIFS(Holieday[ok],Holieday[date],CONCATENATE("&gt;","=",D41),Holieday[date],CONCATENATE("&lt;","=",J_SUBDAY(J_ADDDAY(D41,N41+5,1),1,1)))-SUMIFS(Holieday[Friday],Holieday[date],CONCATENATE("&gt;","=",D41),Holieday[date],CONCATENATE("&lt;","=",J_SUBDAY(J_ADDDAY(D41,N41+5,1),1,1)))=5,J_SUBDAY(J_ADDDAY(D41,N41+5,1),1,1),J_SUBDAY(J_ADDDAY(D41,N41+6,1),1,1))))))))</f>
        <v>1398/11/07</v>
      </c>
      <c r="G41" s="2"/>
      <c r="H41" s="175">
        <v>1</v>
      </c>
      <c r="I41" s="176">
        <v>3.11</v>
      </c>
      <c r="J41" s="190">
        <f>j_WEEKDAY(D41,2)</f>
        <v>1</v>
      </c>
      <c r="K41" s="13"/>
      <c r="L41" s="191">
        <f t="shared" si="22"/>
        <v>2</v>
      </c>
      <c r="M41" s="178">
        <v>0</v>
      </c>
      <c r="N41" s="179">
        <v>2</v>
      </c>
      <c r="O41" s="6"/>
      <c r="P41" s="6"/>
      <c r="Q41" s="5"/>
      <c r="IY41" s="193"/>
      <c r="IZ41" s="193"/>
      <c r="JA41" s="194"/>
      <c r="JB41" s="194"/>
      <c r="JC41" s="194"/>
      <c r="JD41" s="195"/>
    </row>
    <row r="42" spans="1:264" s="192" customFormat="1" ht="13.5">
      <c r="A42" s="188">
        <v>3.13</v>
      </c>
      <c r="B42" s="186" t="s">
        <v>147</v>
      </c>
      <c r="C42" s="173" t="s">
        <v>72</v>
      </c>
      <c r="D42" s="180" t="str">
        <f>IF(OR(j_WEEKDAY(J_ADDDAY(VLOOKUP(I42,A:F,6,FALSE),H42,1),0)=6,SUMIFS(Holieday[ok],Holieday[date],J_ADDDAY(VLOOKUP(I42,A:F,6,FALSE),H42,1)))=FALSE(),J_ADDDAY(VLOOKUP(I42,A:F,6,FALSE),H42,1),IF(OR(j_WEEKDAY(J_ADDDAY(VLOOKUP(I42,A:F,6,FALSE),H42+1,1),0)=6,SUMIFS(Holieday[ok],Holieday[date],J_ADDDAY(VLOOKUP(I42,A:F,6,FALSE),H42+1,1)))=FALSE(),J_ADDDAY(VLOOKUP(I42,A:F,6,FALSE),H42+1,1),IF(OR(j_WEEKDAY(J_ADDDAY(VLOOKUP(I42,A:F,6,FALSE),H42+2,1),0)=6,SUMIFS(Holieday[ok],Holieday[date],J_ADDDAY(VLOOKUP(I42,A:F,6,FALSE),H42+2,1)))=FALSE(),J_ADDDAY(VLOOKUP(I42,A:F,6,FALSE),H42+2,1),IF(OR(j_WEEKDAY(J_ADDDAY(VLOOKUP(I42,A:F,6,FALSE),H42+3,1),0)=6,SUMIFS(Holieday[ok],Holieday[date],J_ADDDAY(VLOOKUP(I42,A:F,6,FALSE),H42+3,1)))=FALSE(),J_ADDDAY(VLOOKUP(I42,A:F,6,FALSE),H42+3,1),IF(OR(j_WEEKDAY(J_ADDDAY(VLOOKUP(I42,A:F,6,FALSE),H42+4,1),0)=6,SUMIFS(Holieday[ok],Holieday[date],J_ADDDAY(VLOOKUP(I42,A:F,6,FALSE),H42+4,1)))=FALSE(),J_ADDDAY(VLOOKUP(I42,A:F,6,FALSE),H42+4,1),J_ADDDAY(VLOOKUP(I42,A:F,6,FALSE),H42+5,1))))))</f>
        <v>1398/11/08</v>
      </c>
      <c r="E42" s="1"/>
      <c r="F42" s="196" t="str">
        <f>IF(N42=0,J_SUBDAY(D42,1,1),IF((N42-(NETWORKDAYS.INTL(J_GregorianDate(D42,1),J_GregorianDate(J_SUBDAY(J_ADDDAY(D42,N42,1),1,1),1),16,1)))+SUMIFS(Holieday[ok],Holieday[date],CONCATENATE("&gt;","=",D42),Holieday[date],CONCATENATE("&lt;","=",J_SUBDAY(J_ADDDAY(D42,N42,1),1,1)))-SUMIFS(Holieday[Friday],Holieday[date],CONCATENATE("&gt;","=",D42),Holieday[date],CONCATENATE("&lt;","=",J_SUBDAY(J_ADDDAY(D42,N42,1),1,1)))=0,J_SUBDAY(J_ADDDAY(D42,N42,1),1,1),IF((N42+1-(NETWORKDAYS.INTL(J_GregorianDate(D42,1),J_GregorianDate(J_SUBDAY(J_ADDDAY(D42,N42+1,1),1,1),1),16,1)))+SUMIFS(Holieday[ok],Holieday[date],CONCATENATE("&gt;","=",D42),Holieday[date],CONCATENATE("&lt;","=",J_SUBDAY(J_ADDDAY(D42,N42+1,1),1,1)))-SUMIFS(Holieday[Friday],Holieday[date],CONCATENATE("&gt;","=",D42),Holieday[date],CONCATENATE("&lt;","=",J_SUBDAY(J_ADDDAY(D42,N42+1,1),1,1)))=1,J_SUBDAY(J_ADDDAY(D42,N42+1,1),1,1),IF((N42+2-(NETWORKDAYS.INTL(J_GregorianDate(D42,1),J_GregorianDate(J_SUBDAY(J_ADDDAY(D42,N42+2,1),1,1),1),16,1)))+SUMIFS(Holieday[ok],Holieday[date],CONCATENATE("&gt;","=",D42),Holieday[date],CONCATENATE("&lt;","=",J_SUBDAY(J_ADDDAY(D42,N42+2,1),1,1)))-SUMIFS(Holieday[Friday],Holieday[date],CONCATENATE("&gt;","=",D42),Holieday[date],CONCATENATE("&lt;","=",J_SUBDAY(J_ADDDAY(D42,N42+2,1),1,1)))=2,J_SUBDAY(J_ADDDAY(D42,N42+2,1),1,1),IF((N42+3-(NETWORKDAYS.INTL(J_GregorianDate(D42,1),J_GregorianDate(J_SUBDAY(J_ADDDAY(D42,N42+3,1),1,1),1),16,1)))+SUMIFS(Holieday[ok],Holieday[date],CONCATENATE("&gt;","=",D42),Holieday[date],CONCATENATE("&lt;","=",J_SUBDAY(J_ADDDAY(D42,N42+3,1),1,1)))-SUMIFS(Holieday[Friday],Holieday[date],CONCATENATE("&gt;","=",D42),Holieday[date],CONCATENATE("&lt;","=",J_SUBDAY(J_ADDDAY(D42,N42+3,1),1,1)))=3,J_SUBDAY(J_ADDDAY(D42,N42+3,1),1,1),IF((N42+4-(NETWORKDAYS.INTL(J_GregorianDate(D42,1),J_GregorianDate(J_SUBDAY(J_ADDDAY(D42,N42+4,1),1,1),1),16,1)))+SUMIFS(Holieday[ok],Holieday[date],CONCATENATE("&gt;","=",D42),Holieday[date],CONCATENATE("&lt;","=",J_SUBDAY(J_ADDDAY(D42,N42+4,1),1,1)))-SUMIFS(Holieday[Friday],Holieday[date],CONCATENATE("&gt;","=",D42),Holieday[date],CONCATENATE("&lt;","=",J_SUBDAY(J_ADDDAY(D42,N42+4,1),1,1)))=4,J_SUBDAY(J_ADDDAY(D42,N42+4,1),1,1),IF((N42+5-(NETWORKDAYS.INTL(J_GregorianDate(D42,1),J_GregorianDate(J_SUBDAY(J_ADDDAY(D42,N42+5,1),1,1),1),16,1)))+SUMIFS(Holieday[ok],Holieday[date],CONCATENATE("&gt;","=",D42),Holieday[date],CONCATENATE("&lt;","=",J_SUBDAY(J_ADDDAY(D42,N42+5,1),1,1)))-SUMIFS(Holieday[Friday],Holieday[date],CONCATENATE("&gt;","=",D42),Holieday[date],CONCATENATE("&lt;","=",J_SUBDAY(J_ADDDAY(D42,N42+5,1),1,1)))=5,J_SUBDAY(J_ADDDAY(D42,N42+5,1),1,1),J_SUBDAY(J_ADDDAY(D42,N42+6,1),1,1))))))))</f>
        <v>1398/11/10</v>
      </c>
      <c r="G42" s="2"/>
      <c r="H42" s="175">
        <v>1</v>
      </c>
      <c r="I42" s="176">
        <v>3.12</v>
      </c>
      <c r="J42" s="190">
        <f>j_WEEKDAY(D42,2)</f>
        <v>3</v>
      </c>
      <c r="K42" s="13"/>
      <c r="L42" s="191">
        <f t="shared" si="22"/>
        <v>3</v>
      </c>
      <c r="M42" s="178">
        <v>0</v>
      </c>
      <c r="N42" s="179">
        <v>2</v>
      </c>
      <c r="O42" s="6"/>
      <c r="P42" s="6"/>
      <c r="Q42" s="5"/>
      <c r="IY42" s="193"/>
      <c r="IZ42" s="193"/>
      <c r="JA42" s="194"/>
      <c r="JB42" s="194"/>
      <c r="JC42" s="194"/>
      <c r="JD42" s="195"/>
    </row>
    <row r="43" spans="1:264" s="200" customFormat="1" ht="13.5">
      <c r="A43" s="197">
        <v>3.14</v>
      </c>
      <c r="B43" s="186" t="s">
        <v>148</v>
      </c>
      <c r="C43" s="173" t="s">
        <v>72</v>
      </c>
      <c r="D43" s="192" t="str">
        <f>IF(OR(j_WEEKDAY(J_ADDDAY(VLOOKUP(I43,A:F,6,FALSE),H43,1),0)=6,SUMIFS(Holieday[ok],Holieday[date],J_ADDDAY(VLOOKUP(I43,A:F,6,FALSE),H43,1)))=FALSE(),J_ADDDAY(VLOOKUP(I43,A:F,6,FALSE),H43,1),IF(OR(j_WEEKDAY(J_ADDDAY(VLOOKUP(I43,A:F,6,FALSE),H43+1,1),0)=6,SUMIFS(Holieday[ok],Holieday[date],J_ADDDAY(VLOOKUP(I43,A:F,6,FALSE),H43+1,1)))=FALSE(),J_ADDDAY(VLOOKUP(I43,A:F,6,FALSE),H43+1,1),IF(OR(j_WEEKDAY(J_ADDDAY(VLOOKUP(I43,A:F,6,FALSE),H43+2,1),0)=6,SUMIFS(Holieday[ok],Holieday[date],J_ADDDAY(VLOOKUP(I43,A:F,6,FALSE),H43+2,1)))=FALSE(),J_ADDDAY(VLOOKUP(I43,A:F,6,FALSE),H43+2,1),IF(OR(j_WEEKDAY(J_ADDDAY(VLOOKUP(I43,A:F,6,FALSE),H43+3,1),0)=6,SUMIFS(Holieday[ok],Holieday[date],J_ADDDAY(VLOOKUP(I43,A:F,6,FALSE),H43+3,1)))=FALSE(),J_ADDDAY(VLOOKUP(I43,A:F,6,FALSE),H43+3,1),IF(OR(j_WEEKDAY(J_ADDDAY(VLOOKUP(I43,A:F,6,FALSE),H43+4,1),0)=6,SUMIFS(Holieday[ok],Holieday[date],J_ADDDAY(VLOOKUP(I43,A:F,6,FALSE),H43+4,1)))=FALSE(),J_ADDDAY(VLOOKUP(I43,A:F,6,FALSE),H43+4,1),J_ADDDAY(VLOOKUP(I43,A:F,6,FALSE),H43+5,1))))))</f>
        <v>1398/11/12</v>
      </c>
      <c r="E43" s="1">
        <f t="shared" si="13"/>
        <v>13981112</v>
      </c>
      <c r="F43" s="196" t="str">
        <f>IF(N43=0,J_SUBDAY(D43,1,1),IF((N43-(NETWORKDAYS.INTL(J_GregorianDate(D43,1),J_GregorianDate(J_SUBDAY(J_ADDDAY(D43,N43,1),1,1),1),16,1)))+SUMIFS(Holieday[ok],Holieday[date],CONCATENATE("&gt;","=",D43),Holieday[date],CONCATENATE("&lt;","=",J_SUBDAY(J_ADDDAY(D43,N43,1),1,1)))-SUMIFS(Holieday[Friday],Holieday[date],CONCATENATE("&gt;","=",D43),Holieday[date],CONCATENATE("&lt;","=",J_SUBDAY(J_ADDDAY(D43,N43,1),1,1)))=0,J_SUBDAY(J_ADDDAY(D43,N43,1),1,1),IF((N43+1-(NETWORKDAYS.INTL(J_GregorianDate(D43,1),J_GregorianDate(J_SUBDAY(J_ADDDAY(D43,N43+1,1),1,1),1),16,1)))+SUMIFS(Holieday[ok],Holieday[date],CONCATENATE("&gt;","=",D43),Holieday[date],CONCATENATE("&lt;","=",J_SUBDAY(J_ADDDAY(D43,N43+1,1),1,1)))-SUMIFS(Holieday[Friday],Holieday[date],CONCATENATE("&gt;","=",D43),Holieday[date],CONCATENATE("&lt;","=",J_SUBDAY(J_ADDDAY(D43,N43+1,1),1,1)))=1,J_SUBDAY(J_ADDDAY(D43,N43+1,1),1,1),IF((N43+2-(NETWORKDAYS.INTL(J_GregorianDate(D43,1),J_GregorianDate(J_SUBDAY(J_ADDDAY(D43,N43+2,1),1,1),1),16,1)))+SUMIFS(Holieday[ok],Holieday[date],CONCATENATE("&gt;","=",D43),Holieday[date],CONCATENATE("&lt;","=",J_SUBDAY(J_ADDDAY(D43,N43+2,1),1,1)))-SUMIFS(Holieday[Friday],Holieday[date],CONCATENATE("&gt;","=",D43),Holieday[date],CONCATENATE("&lt;","=",J_SUBDAY(J_ADDDAY(D43,N43+2,1),1,1)))=2,J_SUBDAY(J_ADDDAY(D43,N43+2,1),1,1),IF((N43+3-(NETWORKDAYS.INTL(J_GregorianDate(D43,1),J_GregorianDate(J_SUBDAY(J_ADDDAY(D43,N43+3,1),1,1),1),16,1)))+SUMIFS(Holieday[ok],Holieday[date],CONCATENATE("&gt;","=",D43),Holieday[date],CONCATENATE("&lt;","=",J_SUBDAY(J_ADDDAY(D43,N43+3,1),1,1)))-SUMIFS(Holieday[Friday],Holieday[date],CONCATENATE("&gt;","=",D43),Holieday[date],CONCATENATE("&lt;","=",J_SUBDAY(J_ADDDAY(D43,N43+3,1),1,1)))=3,J_SUBDAY(J_ADDDAY(D43,N43+3,1),1,1),IF((N43+4-(NETWORKDAYS.INTL(J_GregorianDate(D43,1),J_GregorianDate(J_SUBDAY(J_ADDDAY(D43,N43+4,1),1,1),1),16,1)))+SUMIFS(Holieday[ok],Holieday[date],CONCATENATE("&gt;","=",D43),Holieday[date],CONCATENATE("&lt;","=",J_SUBDAY(J_ADDDAY(D43,N43+4,1),1,1)))-SUMIFS(Holieday[Friday],Holieday[date],CONCATENATE("&gt;","=",D43),Holieday[date],CONCATENATE("&lt;","=",J_SUBDAY(J_ADDDAY(D43,N43+4,1),1,1)))=4,J_SUBDAY(J_ADDDAY(D43,N43+4,1),1,1),IF((N43+5-(NETWORKDAYS.INTL(J_GregorianDate(D43,1),J_GregorianDate(J_SUBDAY(J_ADDDAY(D43,N43+5,1),1,1),1),16,1)))+SUMIFS(Holieday[ok],Holieday[date],CONCATENATE("&gt;","=",D43),Holieday[date],CONCATENATE("&lt;","=",J_SUBDAY(J_ADDDAY(D43,N43+5,1),1,1)))-SUMIFS(Holieday[Friday],Holieday[date],CONCATENATE("&gt;","=",D43),Holieday[date],CONCATENATE("&lt;","=",J_SUBDAY(J_ADDDAY(D43,N43+5,1),1,1)))=5,J_SUBDAY(J_ADDDAY(D43,N43+5,1),1,1),J_SUBDAY(J_ADDDAY(D43,N43+6,1),1,1))))))))</f>
        <v>1398/11/13</v>
      </c>
      <c r="G43" s="2">
        <f t="shared" si="14"/>
        <v>13981113</v>
      </c>
      <c r="H43" s="175">
        <v>1</v>
      </c>
      <c r="I43" s="176">
        <v>3.13</v>
      </c>
      <c r="J43" s="190">
        <f>j_WEEKDAY(D43,2)</f>
        <v>0</v>
      </c>
      <c r="K43" s="13">
        <f t="shared" si="21"/>
        <v>0</v>
      </c>
      <c r="L43" s="191">
        <f t="shared" si="22"/>
        <v>2</v>
      </c>
      <c r="M43" s="178">
        <v>0</v>
      </c>
      <c r="N43" s="179">
        <v>2</v>
      </c>
      <c r="O43" s="6">
        <f t="shared" si="20"/>
        <v>0</v>
      </c>
      <c r="P43" s="6">
        <f>VALUE(J_normdate(J_ADDDAY($D43,$O43,1)))</f>
        <v>13981112</v>
      </c>
      <c r="Q43" s="5">
        <f t="shared" si="12"/>
        <v>2</v>
      </c>
      <c r="R43" s="192"/>
      <c r="S43" s="192"/>
      <c r="T43" s="192"/>
      <c r="U43" s="192"/>
      <c r="V43" s="192"/>
      <c r="W43" s="192"/>
      <c r="X43" s="192"/>
      <c r="Y43" s="192"/>
      <c r="Z43" s="192"/>
      <c r="AA43" s="192"/>
      <c r="AB43" s="192"/>
      <c r="AC43" s="192"/>
      <c r="AD43" s="192"/>
      <c r="AE43" s="192"/>
      <c r="AF43" s="192"/>
      <c r="AG43" s="192"/>
      <c r="AH43" s="192"/>
      <c r="AI43" s="192"/>
      <c r="AJ43" s="192"/>
      <c r="AK43" s="192"/>
      <c r="AL43" s="192"/>
      <c r="AM43" s="192"/>
      <c r="AN43" s="192"/>
      <c r="AO43" s="192"/>
      <c r="AP43" s="192"/>
      <c r="AQ43" s="192"/>
      <c r="AR43" s="192"/>
      <c r="AS43" s="192"/>
      <c r="AT43" s="192"/>
      <c r="AU43" s="192"/>
      <c r="AV43" s="192"/>
      <c r="AW43" s="192"/>
      <c r="AX43" s="192"/>
      <c r="AY43" s="192"/>
      <c r="AZ43" s="192"/>
      <c r="BA43" s="192"/>
      <c r="BB43" s="192"/>
      <c r="BC43" s="192"/>
      <c r="BD43" s="192"/>
      <c r="BE43" s="192"/>
      <c r="BF43" s="192"/>
      <c r="BG43" s="192"/>
      <c r="BH43" s="192"/>
      <c r="BI43" s="192"/>
      <c r="BJ43" s="192"/>
      <c r="BK43" s="192"/>
      <c r="BL43" s="192"/>
      <c r="BM43" s="192"/>
      <c r="BN43" s="192"/>
      <c r="BO43" s="192"/>
      <c r="BP43" s="192"/>
      <c r="BQ43" s="192"/>
      <c r="BR43" s="192"/>
      <c r="BS43" s="192"/>
      <c r="BT43" s="192"/>
      <c r="BU43" s="192"/>
      <c r="BV43" s="192"/>
      <c r="BW43" s="192"/>
      <c r="BX43" s="192"/>
      <c r="BY43" s="192"/>
      <c r="BZ43" s="192"/>
      <c r="CA43" s="192"/>
      <c r="CB43" s="192"/>
      <c r="CC43" s="192"/>
      <c r="CD43" s="192"/>
      <c r="CE43" s="192"/>
      <c r="CF43" s="192"/>
      <c r="CG43" s="192"/>
      <c r="CH43" s="192"/>
      <c r="CI43" s="192"/>
      <c r="CJ43" s="192"/>
      <c r="CK43" s="192"/>
      <c r="CL43" s="192"/>
      <c r="CM43" s="192"/>
      <c r="CN43" s="192"/>
      <c r="CO43" s="192"/>
      <c r="CP43" s="192"/>
      <c r="CQ43" s="192"/>
      <c r="CR43" s="192"/>
      <c r="CS43" s="192"/>
      <c r="CT43" s="192"/>
      <c r="CU43" s="192"/>
      <c r="CV43" s="192"/>
      <c r="CW43" s="192"/>
      <c r="CX43" s="192"/>
      <c r="CY43" s="192"/>
      <c r="CZ43" s="192"/>
      <c r="DA43" s="192"/>
      <c r="DB43" s="192"/>
      <c r="DC43" s="192"/>
      <c r="DD43" s="192"/>
      <c r="DE43" s="192"/>
      <c r="DF43" s="192"/>
      <c r="DG43" s="192"/>
      <c r="DH43" s="192"/>
      <c r="DI43" s="192"/>
      <c r="DJ43" s="192"/>
      <c r="DK43" s="192"/>
      <c r="DL43" s="192"/>
      <c r="DM43" s="192"/>
      <c r="DN43" s="192"/>
      <c r="DO43" s="192"/>
      <c r="DP43" s="192"/>
      <c r="DQ43" s="192"/>
      <c r="DR43" s="192"/>
      <c r="DS43" s="192"/>
      <c r="DT43" s="192"/>
      <c r="DU43" s="192"/>
      <c r="DV43" s="192"/>
      <c r="DW43" s="192"/>
      <c r="DX43" s="192"/>
      <c r="DY43" s="192"/>
      <c r="DZ43" s="192"/>
      <c r="EA43" s="192"/>
      <c r="EB43" s="192"/>
      <c r="EC43" s="192"/>
      <c r="ED43" s="192"/>
      <c r="EE43" s="192"/>
      <c r="EF43" s="192"/>
      <c r="EG43" s="192"/>
      <c r="EH43" s="192"/>
      <c r="EI43" s="192"/>
      <c r="EJ43" s="192"/>
      <c r="EK43" s="192"/>
      <c r="EL43" s="192"/>
      <c r="EM43" s="192"/>
      <c r="EN43" s="192"/>
      <c r="EO43" s="192"/>
      <c r="EP43" s="192"/>
      <c r="EQ43" s="192"/>
      <c r="ER43" s="192"/>
      <c r="ES43" s="192"/>
      <c r="ET43" s="192"/>
      <c r="EU43" s="192"/>
      <c r="EV43" s="192"/>
      <c r="EW43" s="192"/>
      <c r="EX43" s="192"/>
      <c r="EY43" s="192"/>
      <c r="EZ43" s="192"/>
      <c r="FA43" s="192"/>
      <c r="FB43" s="192"/>
      <c r="FC43" s="192"/>
      <c r="FD43" s="192"/>
      <c r="FE43" s="192"/>
      <c r="FF43" s="192"/>
      <c r="FG43" s="192"/>
      <c r="FH43" s="192"/>
      <c r="FI43" s="192"/>
      <c r="FJ43" s="192"/>
      <c r="FK43" s="192"/>
      <c r="FL43" s="192"/>
      <c r="FM43" s="192"/>
      <c r="FN43" s="192"/>
      <c r="FO43" s="192"/>
      <c r="FP43" s="192"/>
      <c r="FQ43" s="192"/>
      <c r="FR43" s="192"/>
      <c r="FS43" s="192"/>
      <c r="FT43" s="192"/>
      <c r="FU43" s="192"/>
      <c r="FV43" s="192"/>
      <c r="FW43" s="192"/>
      <c r="FX43" s="192"/>
      <c r="FY43" s="192"/>
      <c r="FZ43" s="192"/>
      <c r="GA43" s="192"/>
      <c r="GB43" s="192"/>
      <c r="GC43" s="192"/>
      <c r="GD43" s="192"/>
      <c r="GE43" s="192"/>
      <c r="GF43" s="192"/>
      <c r="GG43" s="192"/>
      <c r="GH43" s="192"/>
      <c r="GI43" s="192"/>
      <c r="GJ43" s="192"/>
      <c r="GK43" s="192"/>
      <c r="GL43" s="192"/>
      <c r="GM43" s="192"/>
      <c r="GN43" s="192"/>
      <c r="GO43" s="192"/>
      <c r="GP43" s="192"/>
      <c r="GQ43" s="192"/>
      <c r="GR43" s="192"/>
      <c r="GS43" s="192"/>
      <c r="GT43" s="192"/>
      <c r="GU43" s="192"/>
      <c r="GV43" s="192"/>
      <c r="GW43" s="192"/>
      <c r="GX43" s="192"/>
      <c r="GY43" s="192"/>
      <c r="GZ43" s="192"/>
      <c r="HA43" s="192"/>
      <c r="HB43" s="192"/>
      <c r="HC43" s="192"/>
      <c r="HD43" s="192"/>
      <c r="HE43" s="192"/>
      <c r="HF43" s="192"/>
      <c r="HG43" s="192"/>
      <c r="HH43" s="192"/>
      <c r="HI43" s="192"/>
      <c r="HJ43" s="192"/>
      <c r="HK43" s="192"/>
      <c r="HL43" s="192"/>
      <c r="HM43" s="192"/>
      <c r="HN43" s="192"/>
      <c r="HO43" s="192"/>
      <c r="HP43" s="192"/>
      <c r="HQ43" s="192"/>
      <c r="HR43" s="192"/>
      <c r="HS43" s="192"/>
      <c r="HT43" s="192"/>
      <c r="HU43" s="192"/>
      <c r="HV43" s="192"/>
      <c r="HW43" s="192"/>
      <c r="HX43" s="192"/>
      <c r="HY43" s="192"/>
      <c r="HZ43" s="192"/>
      <c r="IA43" s="192"/>
      <c r="IB43" s="192"/>
      <c r="IC43" s="192"/>
      <c r="ID43" s="192"/>
      <c r="IE43" s="192"/>
      <c r="IF43" s="192"/>
      <c r="IG43" s="192"/>
      <c r="IH43" s="192"/>
      <c r="II43" s="192"/>
      <c r="IJ43" s="192"/>
      <c r="IK43" s="192"/>
      <c r="IL43" s="192"/>
      <c r="IM43" s="192"/>
      <c r="IN43" s="192"/>
      <c r="IO43" s="192"/>
      <c r="IP43" s="192"/>
      <c r="IQ43" s="192"/>
      <c r="IR43" s="192"/>
      <c r="IS43" s="192"/>
      <c r="IT43" s="192"/>
      <c r="IU43" s="192"/>
      <c r="IV43" s="192"/>
      <c r="IW43" s="192"/>
      <c r="IX43" s="192"/>
      <c r="IY43" s="181">
        <v>1</v>
      </c>
      <c r="IZ43" s="181"/>
      <c r="JA43" s="198"/>
      <c r="JB43" s="198"/>
      <c r="JC43" s="198"/>
      <c r="JD43" s="199">
        <f>SUM((TEXT(JA43,"[M]")/60)*'Income Person-hours'!$D$3,(TEXT(JB43,"[M]")/60)*'Income Person-hours'!$D$4,(TEXT(JC43,"[M]")/60)*'Income Person-hours'!$D$5)</f>
        <v>0</v>
      </c>
    </row>
    <row r="44" spans="1:264" s="200" customFormat="1" ht="13.5">
      <c r="A44" s="197">
        <v>3.15</v>
      </c>
      <c r="B44" s="186" t="s">
        <v>149</v>
      </c>
      <c r="C44" s="173" t="s">
        <v>72</v>
      </c>
      <c r="D44" s="192" t="str">
        <f>IF(OR(j_WEEKDAY(J_ADDDAY(VLOOKUP(I44,A:F,6,FALSE),H44,1),0)=6,SUMIFS(Holieday[ok],Holieday[date],J_ADDDAY(VLOOKUP(I44,A:F,6,FALSE),H44,1)))=FALSE(),J_ADDDAY(VLOOKUP(I44,A:F,6,FALSE),H44,1),IF(OR(j_WEEKDAY(J_ADDDAY(VLOOKUP(I44,A:F,6,FALSE),H44+1,1),0)=6,SUMIFS(Holieday[ok],Holieday[date],J_ADDDAY(VLOOKUP(I44,A:F,6,FALSE),H44+1,1)))=FALSE(),J_ADDDAY(VLOOKUP(I44,A:F,6,FALSE),H44+1,1),IF(OR(j_WEEKDAY(J_ADDDAY(VLOOKUP(I44,A:F,6,FALSE),H44+2,1),0)=6,SUMIFS(Holieday[ok],Holieday[date],J_ADDDAY(VLOOKUP(I44,A:F,6,FALSE),H44+2,1)))=FALSE(),J_ADDDAY(VLOOKUP(I44,A:F,6,FALSE),H44+2,1),IF(OR(j_WEEKDAY(J_ADDDAY(VLOOKUP(I44,A:F,6,FALSE),H44+3,1),0)=6,SUMIFS(Holieday[ok],Holieday[date],J_ADDDAY(VLOOKUP(I44,A:F,6,FALSE),H44+3,1)))=FALSE(),J_ADDDAY(VLOOKUP(I44,A:F,6,FALSE),H44+3,1),IF(OR(j_WEEKDAY(J_ADDDAY(VLOOKUP(I44,A:F,6,FALSE),H44+4,1),0)=6,SUMIFS(Holieday[ok],Holieday[date],J_ADDDAY(VLOOKUP(I44,A:F,6,FALSE),H44+4,1)))=FALSE(),J_ADDDAY(VLOOKUP(I44,A:F,6,FALSE),H44+4,1),J_ADDDAY(VLOOKUP(I44,A:F,6,FALSE),H44+5,1))))))</f>
        <v>1398/11/14</v>
      </c>
      <c r="E44" s="1"/>
      <c r="F44" s="196" t="str">
        <f>IF(N44=0,J_SUBDAY(D44,1,1),IF((N44-(NETWORKDAYS.INTL(J_GregorianDate(D44,1),J_GregorianDate(J_SUBDAY(J_ADDDAY(D44,N44,1),1,1),1),16,1)))+SUMIFS(Holieday[ok],Holieday[date],CONCATENATE("&gt;","=",D44),Holieday[date],CONCATENATE("&lt;","=",J_SUBDAY(J_ADDDAY(D44,N44,1),1,1)))-SUMIFS(Holieday[Friday],Holieday[date],CONCATENATE("&gt;","=",D44),Holieday[date],CONCATENATE("&lt;","=",J_SUBDAY(J_ADDDAY(D44,N44,1),1,1)))=0,J_SUBDAY(J_ADDDAY(D44,N44,1),1,1),IF((N44+1-(NETWORKDAYS.INTL(J_GregorianDate(D44,1),J_GregorianDate(J_SUBDAY(J_ADDDAY(D44,N44+1,1),1,1),1),16,1)))+SUMIFS(Holieday[ok],Holieday[date],CONCATENATE("&gt;","=",D44),Holieday[date],CONCATENATE("&lt;","=",J_SUBDAY(J_ADDDAY(D44,N44+1,1),1,1)))-SUMIFS(Holieday[Friday],Holieday[date],CONCATENATE("&gt;","=",D44),Holieday[date],CONCATENATE("&lt;","=",J_SUBDAY(J_ADDDAY(D44,N44+1,1),1,1)))=1,J_SUBDAY(J_ADDDAY(D44,N44+1,1),1,1),IF((N44+2-(NETWORKDAYS.INTL(J_GregorianDate(D44,1),J_GregorianDate(J_SUBDAY(J_ADDDAY(D44,N44+2,1),1,1),1),16,1)))+SUMIFS(Holieday[ok],Holieday[date],CONCATENATE("&gt;","=",D44),Holieday[date],CONCATENATE("&lt;","=",J_SUBDAY(J_ADDDAY(D44,N44+2,1),1,1)))-SUMIFS(Holieday[Friday],Holieday[date],CONCATENATE("&gt;","=",D44),Holieday[date],CONCATENATE("&lt;","=",J_SUBDAY(J_ADDDAY(D44,N44+2,1),1,1)))=2,J_SUBDAY(J_ADDDAY(D44,N44+2,1),1,1),IF((N44+3-(NETWORKDAYS.INTL(J_GregorianDate(D44,1),J_GregorianDate(J_SUBDAY(J_ADDDAY(D44,N44+3,1),1,1),1),16,1)))+SUMIFS(Holieday[ok],Holieday[date],CONCATENATE("&gt;","=",D44),Holieday[date],CONCATENATE("&lt;","=",J_SUBDAY(J_ADDDAY(D44,N44+3,1),1,1)))-SUMIFS(Holieday[Friday],Holieday[date],CONCATENATE("&gt;","=",D44),Holieday[date],CONCATENATE("&lt;","=",J_SUBDAY(J_ADDDAY(D44,N44+3,1),1,1)))=3,J_SUBDAY(J_ADDDAY(D44,N44+3,1),1,1),IF((N44+4-(NETWORKDAYS.INTL(J_GregorianDate(D44,1),J_GregorianDate(J_SUBDAY(J_ADDDAY(D44,N44+4,1),1,1),1),16,1)))+SUMIFS(Holieday[ok],Holieday[date],CONCATENATE("&gt;","=",D44),Holieday[date],CONCATENATE("&lt;","=",J_SUBDAY(J_ADDDAY(D44,N44+4,1),1,1)))-SUMIFS(Holieday[Friday],Holieday[date],CONCATENATE("&gt;","=",D44),Holieday[date],CONCATENATE("&lt;","=",J_SUBDAY(J_ADDDAY(D44,N44+4,1),1,1)))=4,J_SUBDAY(J_ADDDAY(D44,N44+4,1),1,1),IF((N44+5-(NETWORKDAYS.INTL(J_GregorianDate(D44,1),J_GregorianDate(J_SUBDAY(J_ADDDAY(D44,N44+5,1),1,1),1),16,1)))+SUMIFS(Holieday[ok],Holieday[date],CONCATENATE("&gt;","=",D44),Holieday[date],CONCATENATE("&lt;","=",J_SUBDAY(J_ADDDAY(D44,N44+5,1),1,1)))-SUMIFS(Holieday[Friday],Holieday[date],CONCATENATE("&gt;","=",D44),Holieday[date],CONCATENATE("&lt;","=",J_SUBDAY(J_ADDDAY(D44,N44+5,1),1,1)))=5,J_SUBDAY(J_ADDDAY(D44,N44+5,1),1,1),J_SUBDAY(J_ADDDAY(D44,N44+6,1),1,1))))))))</f>
        <v>1398/11/15</v>
      </c>
      <c r="G44" s="2"/>
      <c r="H44" s="175">
        <v>1</v>
      </c>
      <c r="I44" s="176">
        <v>3.14</v>
      </c>
      <c r="J44" s="190">
        <f>j_WEEKDAY(D44,2)</f>
        <v>2</v>
      </c>
      <c r="K44" s="13"/>
      <c r="L44" s="191">
        <f t="shared" si="22"/>
        <v>2</v>
      </c>
      <c r="M44" s="178">
        <v>0</v>
      </c>
      <c r="N44" s="179">
        <v>2</v>
      </c>
      <c r="O44" s="6"/>
      <c r="P44" s="6"/>
      <c r="Q44" s="5"/>
      <c r="R44" s="192"/>
      <c r="S44" s="192"/>
      <c r="T44" s="192"/>
      <c r="U44" s="192"/>
      <c r="V44" s="192"/>
      <c r="W44" s="192"/>
      <c r="X44" s="192"/>
      <c r="Y44" s="192"/>
      <c r="Z44" s="192"/>
      <c r="AA44" s="192"/>
      <c r="AB44" s="192"/>
      <c r="AC44" s="192"/>
      <c r="AD44" s="192"/>
      <c r="AE44" s="192"/>
      <c r="AF44" s="192"/>
      <c r="AG44" s="192"/>
      <c r="AH44" s="192"/>
      <c r="AI44" s="192"/>
      <c r="AJ44" s="192"/>
      <c r="AK44" s="192"/>
      <c r="AL44" s="192"/>
      <c r="AM44" s="192"/>
      <c r="AN44" s="192"/>
      <c r="AO44" s="192"/>
      <c r="AP44" s="192"/>
      <c r="AQ44" s="192"/>
      <c r="AR44" s="192"/>
      <c r="AS44" s="192"/>
      <c r="AT44" s="192"/>
      <c r="AU44" s="192"/>
      <c r="AV44" s="192"/>
      <c r="AW44" s="192"/>
      <c r="AX44" s="192"/>
      <c r="AY44" s="192"/>
      <c r="AZ44" s="192"/>
      <c r="BA44" s="192"/>
      <c r="BB44" s="192"/>
      <c r="BC44" s="192"/>
      <c r="BD44" s="192"/>
      <c r="BE44" s="192"/>
      <c r="BF44" s="192"/>
      <c r="BG44" s="192"/>
      <c r="BH44" s="192"/>
      <c r="BI44" s="192"/>
      <c r="BJ44" s="192"/>
      <c r="BK44" s="192"/>
      <c r="BL44" s="192"/>
      <c r="BM44" s="192"/>
      <c r="BN44" s="192"/>
      <c r="BO44" s="192"/>
      <c r="BP44" s="192"/>
      <c r="BQ44" s="192"/>
      <c r="BR44" s="192"/>
      <c r="BS44" s="192"/>
      <c r="BT44" s="192"/>
      <c r="BU44" s="192"/>
      <c r="BV44" s="192"/>
      <c r="BW44" s="192"/>
      <c r="BX44" s="192"/>
      <c r="BY44" s="192"/>
      <c r="BZ44" s="192"/>
      <c r="CA44" s="192"/>
      <c r="CB44" s="192"/>
      <c r="CC44" s="192"/>
      <c r="CD44" s="192"/>
      <c r="CE44" s="192"/>
      <c r="CF44" s="192"/>
      <c r="CG44" s="192"/>
      <c r="CH44" s="192"/>
      <c r="CI44" s="192"/>
      <c r="CJ44" s="192"/>
      <c r="CK44" s="192"/>
      <c r="CL44" s="192"/>
      <c r="CM44" s="192"/>
      <c r="CN44" s="192"/>
      <c r="CO44" s="192"/>
      <c r="CP44" s="192"/>
      <c r="CQ44" s="192"/>
      <c r="CR44" s="192"/>
      <c r="CS44" s="192"/>
      <c r="CT44" s="192"/>
      <c r="CU44" s="192"/>
      <c r="CV44" s="192"/>
      <c r="CW44" s="192"/>
      <c r="CX44" s="192"/>
      <c r="CY44" s="192"/>
      <c r="CZ44" s="192"/>
      <c r="DA44" s="192"/>
      <c r="DB44" s="192"/>
      <c r="DC44" s="192"/>
      <c r="DD44" s="192"/>
      <c r="DE44" s="192"/>
      <c r="DF44" s="192"/>
      <c r="DG44" s="192"/>
      <c r="DH44" s="192"/>
      <c r="DI44" s="192"/>
      <c r="DJ44" s="192"/>
      <c r="DK44" s="192"/>
      <c r="DL44" s="192"/>
      <c r="DM44" s="192"/>
      <c r="DN44" s="192"/>
      <c r="DO44" s="192"/>
      <c r="DP44" s="192"/>
      <c r="DQ44" s="192"/>
      <c r="DR44" s="192"/>
      <c r="DS44" s="192"/>
      <c r="DT44" s="192"/>
      <c r="DU44" s="192"/>
      <c r="DV44" s="192"/>
      <c r="DW44" s="192"/>
      <c r="DX44" s="192"/>
      <c r="DY44" s="192"/>
      <c r="DZ44" s="192"/>
      <c r="EA44" s="192"/>
      <c r="EB44" s="192"/>
      <c r="EC44" s="192"/>
      <c r="ED44" s="192"/>
      <c r="EE44" s="192"/>
      <c r="EF44" s="192"/>
      <c r="EG44" s="192"/>
      <c r="EH44" s="192"/>
      <c r="EI44" s="192"/>
      <c r="EJ44" s="192"/>
      <c r="EK44" s="192"/>
      <c r="EL44" s="192"/>
      <c r="EM44" s="192"/>
      <c r="EN44" s="192"/>
      <c r="EO44" s="192"/>
      <c r="EP44" s="192"/>
      <c r="EQ44" s="192"/>
      <c r="ER44" s="192"/>
      <c r="ES44" s="192"/>
      <c r="ET44" s="192"/>
      <c r="EU44" s="192"/>
      <c r="EV44" s="192"/>
      <c r="EW44" s="192"/>
      <c r="EX44" s="192"/>
      <c r="EY44" s="192"/>
      <c r="EZ44" s="192"/>
      <c r="FA44" s="192"/>
      <c r="FB44" s="192"/>
      <c r="FC44" s="192"/>
      <c r="FD44" s="192"/>
      <c r="FE44" s="192"/>
      <c r="FF44" s="192"/>
      <c r="FG44" s="192"/>
      <c r="FH44" s="192"/>
      <c r="FI44" s="192"/>
      <c r="FJ44" s="192"/>
      <c r="FK44" s="192"/>
      <c r="FL44" s="192"/>
      <c r="FM44" s="192"/>
      <c r="FN44" s="192"/>
      <c r="FO44" s="192"/>
      <c r="FP44" s="192"/>
      <c r="FQ44" s="192"/>
      <c r="FR44" s="192"/>
      <c r="FS44" s="192"/>
      <c r="FT44" s="192"/>
      <c r="FU44" s="192"/>
      <c r="FV44" s="192"/>
      <c r="FW44" s="192"/>
      <c r="FX44" s="192"/>
      <c r="FY44" s="192"/>
      <c r="FZ44" s="192"/>
      <c r="GA44" s="192"/>
      <c r="GB44" s="192"/>
      <c r="GC44" s="192"/>
      <c r="GD44" s="192"/>
      <c r="GE44" s="192"/>
      <c r="GF44" s="192"/>
      <c r="GG44" s="192"/>
      <c r="GH44" s="192"/>
      <c r="GI44" s="192"/>
      <c r="GJ44" s="192"/>
      <c r="GK44" s="192"/>
      <c r="GL44" s="192"/>
      <c r="GM44" s="192"/>
      <c r="GN44" s="192"/>
      <c r="GO44" s="192"/>
      <c r="GP44" s="192"/>
      <c r="GQ44" s="192"/>
      <c r="GR44" s="192"/>
      <c r="GS44" s="192"/>
      <c r="GT44" s="192"/>
      <c r="GU44" s="192"/>
      <c r="GV44" s="192"/>
      <c r="GW44" s="192"/>
      <c r="GX44" s="192"/>
      <c r="GY44" s="192"/>
      <c r="GZ44" s="192"/>
      <c r="HA44" s="192"/>
      <c r="HB44" s="192"/>
      <c r="HC44" s="192"/>
      <c r="HD44" s="192"/>
      <c r="HE44" s="192"/>
      <c r="HF44" s="192"/>
      <c r="HG44" s="192"/>
      <c r="HH44" s="192"/>
      <c r="HI44" s="192"/>
      <c r="HJ44" s="192"/>
      <c r="HK44" s="192"/>
      <c r="HL44" s="192"/>
      <c r="HM44" s="192"/>
      <c r="HN44" s="192"/>
      <c r="HO44" s="192"/>
      <c r="HP44" s="192"/>
      <c r="HQ44" s="192"/>
      <c r="HR44" s="192"/>
      <c r="HS44" s="192"/>
      <c r="HT44" s="192"/>
      <c r="HU44" s="192"/>
      <c r="HV44" s="192"/>
      <c r="HW44" s="192"/>
      <c r="HX44" s="192"/>
      <c r="HY44" s="192"/>
      <c r="HZ44" s="192"/>
      <c r="IA44" s="192"/>
      <c r="IB44" s="192"/>
      <c r="IC44" s="192"/>
      <c r="ID44" s="192"/>
      <c r="IE44" s="192"/>
      <c r="IF44" s="192"/>
      <c r="IG44" s="192"/>
      <c r="IH44" s="192"/>
      <c r="II44" s="192"/>
      <c r="IJ44" s="192"/>
      <c r="IK44" s="192"/>
      <c r="IL44" s="192"/>
      <c r="IM44" s="192"/>
      <c r="IN44" s="192"/>
      <c r="IO44" s="192"/>
      <c r="IP44" s="192"/>
      <c r="IQ44" s="192"/>
      <c r="IR44" s="192"/>
      <c r="IS44" s="192"/>
      <c r="IT44" s="192"/>
      <c r="IU44" s="192"/>
      <c r="IV44" s="192"/>
      <c r="IW44" s="192"/>
      <c r="IX44" s="192"/>
      <c r="IY44" s="181"/>
      <c r="IZ44" s="181"/>
      <c r="JA44" s="198"/>
      <c r="JB44" s="198"/>
      <c r="JC44" s="198"/>
      <c r="JD44" s="199"/>
    </row>
    <row r="45" spans="1:264" s="200" customFormat="1" ht="13.5">
      <c r="A45" s="201">
        <v>3.16</v>
      </c>
      <c r="B45" s="186" t="s">
        <v>155</v>
      </c>
      <c r="C45" s="173" t="s">
        <v>72</v>
      </c>
      <c r="D45" s="192" t="str">
        <f>IF(OR(j_WEEKDAY(J_ADDDAY(VLOOKUP(I45,A:F,6,FALSE),H45,1),0)=6,SUMIFS(Holieday[ok],Holieday[date],J_ADDDAY(VLOOKUP(I45,A:F,6,FALSE),H45,1)))=FALSE(),J_ADDDAY(VLOOKUP(I45,A:F,6,FALSE),H45,1),IF(OR(j_WEEKDAY(J_ADDDAY(VLOOKUP(I45,A:F,6,FALSE),H45+1,1),0)=6,SUMIFS(Holieday[ok],Holieday[date],J_ADDDAY(VLOOKUP(I45,A:F,6,FALSE),H45+1,1)))=FALSE(),J_ADDDAY(VLOOKUP(I45,A:F,6,FALSE),H45+1,1),IF(OR(j_WEEKDAY(J_ADDDAY(VLOOKUP(I45,A:F,6,FALSE),H45+2,1),0)=6,SUMIFS(Holieday[ok],Holieday[date],J_ADDDAY(VLOOKUP(I45,A:F,6,FALSE),H45+2,1)))=FALSE(),J_ADDDAY(VLOOKUP(I45,A:F,6,FALSE),H45+2,1),IF(OR(j_WEEKDAY(J_ADDDAY(VLOOKUP(I45,A:F,6,FALSE),H45+3,1),0)=6,SUMIFS(Holieday[ok],Holieday[date],J_ADDDAY(VLOOKUP(I45,A:F,6,FALSE),H45+3,1)))=FALSE(),J_ADDDAY(VLOOKUP(I45,A:F,6,FALSE),H45+3,1),IF(OR(j_WEEKDAY(J_ADDDAY(VLOOKUP(I45,A:F,6,FALSE),H45+4,1),0)=6,SUMIFS(Holieday[ok],Holieday[date],J_ADDDAY(VLOOKUP(I45,A:F,6,FALSE),H45+4,1)))=FALSE(),J_ADDDAY(VLOOKUP(I45,A:F,6,FALSE),H45+4,1),J_ADDDAY(VLOOKUP(I45,A:F,6,FALSE),H45+5,1))))))</f>
        <v>1398/11/16</v>
      </c>
      <c r="E45" s="1">
        <f t="shared" si="13"/>
        <v>13981116</v>
      </c>
      <c r="F45" s="196" t="str">
        <f>IF(N45=0,J_SUBDAY(D45,1,1),IF((N45-(NETWORKDAYS.INTL(J_GregorianDate(D45,1),J_GregorianDate(J_SUBDAY(J_ADDDAY(D45,N45,1),1,1),1),16,1)))+SUMIFS(Holieday[ok],Holieday[date],CONCATENATE("&gt;","=",D45),Holieday[date],CONCATENATE("&lt;","=",J_SUBDAY(J_ADDDAY(D45,N45,1),1,1)))-SUMIFS(Holieday[Friday],Holieday[date],CONCATENATE("&gt;","=",D45),Holieday[date],CONCATENATE("&lt;","=",J_SUBDAY(J_ADDDAY(D45,N45,1),1,1)))=0,J_SUBDAY(J_ADDDAY(D45,N45,1),1,1),IF((N45+1-(NETWORKDAYS.INTL(J_GregorianDate(D45,1),J_GregorianDate(J_SUBDAY(J_ADDDAY(D45,N45+1,1),1,1),1),16,1)))+SUMIFS(Holieday[ok],Holieday[date],CONCATENATE("&gt;","=",D45),Holieday[date],CONCATENATE("&lt;","=",J_SUBDAY(J_ADDDAY(D45,N45+1,1),1,1)))-SUMIFS(Holieday[Friday],Holieday[date],CONCATENATE("&gt;","=",D45),Holieday[date],CONCATENATE("&lt;","=",J_SUBDAY(J_ADDDAY(D45,N45+1,1),1,1)))=1,J_SUBDAY(J_ADDDAY(D45,N45+1,1),1,1),IF((N45+2-(NETWORKDAYS.INTL(J_GregorianDate(D45,1),J_GregorianDate(J_SUBDAY(J_ADDDAY(D45,N45+2,1),1,1),1),16,1)))+SUMIFS(Holieday[ok],Holieday[date],CONCATENATE("&gt;","=",D45),Holieday[date],CONCATENATE("&lt;","=",J_SUBDAY(J_ADDDAY(D45,N45+2,1),1,1)))-SUMIFS(Holieday[Friday],Holieday[date],CONCATENATE("&gt;","=",D45),Holieday[date],CONCATENATE("&lt;","=",J_SUBDAY(J_ADDDAY(D45,N45+2,1),1,1)))=2,J_SUBDAY(J_ADDDAY(D45,N45+2,1),1,1),IF((N45+3-(NETWORKDAYS.INTL(J_GregorianDate(D45,1),J_GregorianDate(J_SUBDAY(J_ADDDAY(D45,N45+3,1),1,1),1),16,1)))+SUMIFS(Holieday[ok],Holieday[date],CONCATENATE("&gt;","=",D45),Holieday[date],CONCATENATE("&lt;","=",J_SUBDAY(J_ADDDAY(D45,N45+3,1),1,1)))-SUMIFS(Holieday[Friday],Holieday[date],CONCATENATE("&gt;","=",D45),Holieday[date],CONCATENATE("&lt;","=",J_SUBDAY(J_ADDDAY(D45,N45+3,1),1,1)))=3,J_SUBDAY(J_ADDDAY(D45,N45+3,1),1,1),IF((N45+4-(NETWORKDAYS.INTL(J_GregorianDate(D45,1),J_GregorianDate(J_SUBDAY(J_ADDDAY(D45,N45+4,1),1,1),1),16,1)))+SUMIFS(Holieday[ok],Holieday[date],CONCATENATE("&gt;","=",D45),Holieday[date],CONCATENATE("&lt;","=",J_SUBDAY(J_ADDDAY(D45,N45+4,1),1,1)))-SUMIFS(Holieday[Friday],Holieday[date],CONCATENATE("&gt;","=",D45),Holieday[date],CONCATENATE("&lt;","=",J_SUBDAY(J_ADDDAY(D45,N45+4,1),1,1)))=4,J_SUBDAY(J_ADDDAY(D45,N45+4,1),1,1),IF((N45+5-(NETWORKDAYS.INTL(J_GregorianDate(D45,1),J_GregorianDate(J_SUBDAY(J_ADDDAY(D45,N45+5,1),1,1),1),16,1)))+SUMIFS(Holieday[ok],Holieday[date],CONCATENATE("&gt;","=",D45),Holieday[date],CONCATENATE("&lt;","=",J_SUBDAY(J_ADDDAY(D45,N45+5,1),1,1)))-SUMIFS(Holieday[Friday],Holieday[date],CONCATENATE("&gt;","=",D45),Holieday[date],CONCATENATE("&lt;","=",J_SUBDAY(J_ADDDAY(D45,N45+5,1),1,1)))=5,J_SUBDAY(J_ADDDAY(D45,N45+5,1),1,1),J_SUBDAY(J_ADDDAY(D45,N45+6,1),1,1))))))))</f>
        <v>1398/11/17</v>
      </c>
      <c r="G45" s="2">
        <f t="shared" si="14"/>
        <v>13981117</v>
      </c>
      <c r="H45" s="175">
        <v>1</v>
      </c>
      <c r="I45" s="176">
        <v>3.15</v>
      </c>
      <c r="J45" s="190">
        <f>j_WEEKDAY(D45,2)</f>
        <v>4</v>
      </c>
      <c r="K45" s="13">
        <f t="shared" si="21"/>
        <v>0</v>
      </c>
      <c r="L45" s="191">
        <f t="shared" si="22"/>
        <v>2</v>
      </c>
      <c r="M45" s="178">
        <v>0</v>
      </c>
      <c r="N45" s="179">
        <v>2</v>
      </c>
      <c r="O45" s="6">
        <f t="shared" si="20"/>
        <v>0</v>
      </c>
      <c r="P45" s="6">
        <f>VALUE(J_normdate(J_ADDDAY($D45,$O45,1)))</f>
        <v>13981116</v>
      </c>
      <c r="Q45" s="5">
        <f t="shared" si="12"/>
        <v>2</v>
      </c>
      <c r="R45" s="192"/>
      <c r="S45" s="192"/>
      <c r="T45" s="192"/>
      <c r="U45" s="192"/>
      <c r="V45" s="192"/>
      <c r="W45" s="192"/>
      <c r="X45" s="192"/>
      <c r="Y45" s="192"/>
      <c r="Z45" s="192"/>
      <c r="AA45" s="192"/>
      <c r="AB45" s="192"/>
      <c r="AC45" s="192"/>
      <c r="AD45" s="192"/>
      <c r="AE45" s="192"/>
      <c r="AF45" s="192"/>
      <c r="AG45" s="192"/>
      <c r="AH45" s="192"/>
      <c r="AI45" s="192"/>
      <c r="AJ45" s="192"/>
      <c r="AK45" s="192"/>
      <c r="AL45" s="192"/>
      <c r="AM45" s="192"/>
      <c r="AN45" s="192"/>
      <c r="AO45" s="192"/>
      <c r="AP45" s="192"/>
      <c r="AQ45" s="192"/>
      <c r="AR45" s="192"/>
      <c r="AS45" s="192"/>
      <c r="AT45" s="192"/>
      <c r="AU45" s="192"/>
      <c r="AV45" s="192"/>
      <c r="AW45" s="192"/>
      <c r="AX45" s="192"/>
      <c r="AY45" s="192"/>
      <c r="AZ45" s="192"/>
      <c r="BA45" s="192"/>
      <c r="BB45" s="192"/>
      <c r="BC45" s="192"/>
      <c r="BD45" s="192"/>
      <c r="BE45" s="192"/>
      <c r="BF45" s="192"/>
      <c r="BG45" s="192"/>
      <c r="BH45" s="192"/>
      <c r="BI45" s="192"/>
      <c r="BJ45" s="192"/>
      <c r="BK45" s="192"/>
      <c r="BL45" s="192"/>
      <c r="BM45" s="192"/>
      <c r="BN45" s="192"/>
      <c r="BO45" s="192"/>
      <c r="BP45" s="192"/>
      <c r="BQ45" s="192"/>
      <c r="BR45" s="192"/>
      <c r="BS45" s="192"/>
      <c r="BT45" s="192"/>
      <c r="BU45" s="192"/>
      <c r="BV45" s="192"/>
      <c r="BW45" s="192"/>
      <c r="BX45" s="192"/>
      <c r="BY45" s="192"/>
      <c r="BZ45" s="192"/>
      <c r="CA45" s="192"/>
      <c r="CB45" s="192"/>
      <c r="CC45" s="192"/>
      <c r="CD45" s="192"/>
      <c r="CE45" s="192"/>
      <c r="CF45" s="192"/>
      <c r="CG45" s="192"/>
      <c r="CH45" s="192"/>
      <c r="CI45" s="192"/>
      <c r="CJ45" s="192"/>
      <c r="CK45" s="192"/>
      <c r="CL45" s="192"/>
      <c r="CM45" s="192"/>
      <c r="CN45" s="192"/>
      <c r="CO45" s="192"/>
      <c r="CP45" s="192"/>
      <c r="CQ45" s="192"/>
      <c r="CR45" s="192"/>
      <c r="CS45" s="192"/>
      <c r="CT45" s="192"/>
      <c r="CU45" s="192"/>
      <c r="CV45" s="192"/>
      <c r="CW45" s="192"/>
      <c r="CX45" s="192"/>
      <c r="CY45" s="192"/>
      <c r="CZ45" s="192"/>
      <c r="DA45" s="192"/>
      <c r="DB45" s="192"/>
      <c r="DC45" s="192"/>
      <c r="DD45" s="192"/>
      <c r="DE45" s="192"/>
      <c r="DF45" s="192"/>
      <c r="DG45" s="192"/>
      <c r="DH45" s="192"/>
      <c r="DI45" s="192"/>
      <c r="DJ45" s="192"/>
      <c r="DK45" s="192"/>
      <c r="DL45" s="192"/>
      <c r="DM45" s="192"/>
      <c r="DN45" s="192"/>
      <c r="DO45" s="192"/>
      <c r="DP45" s="192"/>
      <c r="DQ45" s="192"/>
      <c r="DR45" s="192"/>
      <c r="DS45" s="192"/>
      <c r="DT45" s="192"/>
      <c r="DU45" s="192"/>
      <c r="DV45" s="192"/>
      <c r="DW45" s="192"/>
      <c r="DX45" s="192"/>
      <c r="DY45" s="192"/>
      <c r="DZ45" s="192"/>
      <c r="EA45" s="192"/>
      <c r="EB45" s="192"/>
      <c r="EC45" s="192"/>
      <c r="ED45" s="192"/>
      <c r="EE45" s="192"/>
      <c r="EF45" s="192"/>
      <c r="EG45" s="192"/>
      <c r="EH45" s="192"/>
      <c r="EI45" s="192"/>
      <c r="EJ45" s="192"/>
      <c r="EK45" s="192"/>
      <c r="EL45" s="192"/>
      <c r="EM45" s="192"/>
      <c r="EN45" s="192"/>
      <c r="EO45" s="192"/>
      <c r="EP45" s="192"/>
      <c r="EQ45" s="192"/>
      <c r="ER45" s="192"/>
      <c r="ES45" s="192"/>
      <c r="ET45" s="192"/>
      <c r="EU45" s="192"/>
      <c r="EV45" s="192"/>
      <c r="EW45" s="192"/>
      <c r="EX45" s="192"/>
      <c r="EY45" s="192"/>
      <c r="EZ45" s="192"/>
      <c r="FA45" s="192"/>
      <c r="FB45" s="192"/>
      <c r="FC45" s="192"/>
      <c r="FD45" s="192"/>
      <c r="FE45" s="192"/>
      <c r="FF45" s="192"/>
      <c r="FG45" s="192"/>
      <c r="FH45" s="192"/>
      <c r="FI45" s="192"/>
      <c r="FJ45" s="192"/>
      <c r="FK45" s="192"/>
      <c r="FL45" s="192"/>
      <c r="FM45" s="192"/>
      <c r="FN45" s="192"/>
      <c r="FO45" s="192"/>
      <c r="FP45" s="192"/>
      <c r="FQ45" s="192"/>
      <c r="FR45" s="192"/>
      <c r="FS45" s="192"/>
      <c r="FT45" s="192"/>
      <c r="FU45" s="192"/>
      <c r="FV45" s="192"/>
      <c r="FW45" s="192"/>
      <c r="FX45" s="192"/>
      <c r="FY45" s="192"/>
      <c r="FZ45" s="192"/>
      <c r="GA45" s="192"/>
      <c r="GB45" s="192"/>
      <c r="GC45" s="192"/>
      <c r="GD45" s="192"/>
      <c r="GE45" s="192"/>
      <c r="GF45" s="192"/>
      <c r="GG45" s="192"/>
      <c r="GH45" s="192"/>
      <c r="GI45" s="192"/>
      <c r="GJ45" s="192"/>
      <c r="GK45" s="192"/>
      <c r="GL45" s="192"/>
      <c r="GM45" s="192"/>
      <c r="GN45" s="192"/>
      <c r="GO45" s="192"/>
      <c r="GP45" s="192"/>
      <c r="GQ45" s="192"/>
      <c r="GR45" s="192"/>
      <c r="GS45" s="192"/>
      <c r="GT45" s="192"/>
      <c r="GU45" s="192"/>
      <c r="GV45" s="192"/>
      <c r="GW45" s="192"/>
      <c r="GX45" s="192"/>
      <c r="GY45" s="192"/>
      <c r="GZ45" s="192"/>
      <c r="HA45" s="192"/>
      <c r="HB45" s="192"/>
      <c r="HC45" s="192"/>
      <c r="HD45" s="192"/>
      <c r="HE45" s="192"/>
      <c r="HF45" s="192"/>
      <c r="HG45" s="192"/>
      <c r="HH45" s="192"/>
      <c r="HI45" s="192"/>
      <c r="HJ45" s="192"/>
      <c r="HK45" s="192"/>
      <c r="HL45" s="192"/>
      <c r="HM45" s="192"/>
      <c r="HN45" s="192"/>
      <c r="HO45" s="192"/>
      <c r="HP45" s="192"/>
      <c r="HQ45" s="192"/>
      <c r="HR45" s="192"/>
      <c r="HS45" s="192"/>
      <c r="HT45" s="192"/>
      <c r="HU45" s="192"/>
      <c r="HV45" s="192"/>
      <c r="HW45" s="192"/>
      <c r="HX45" s="192"/>
      <c r="HY45" s="192"/>
      <c r="HZ45" s="192"/>
      <c r="IA45" s="192"/>
      <c r="IB45" s="192"/>
      <c r="IC45" s="192"/>
      <c r="ID45" s="192"/>
      <c r="IE45" s="192"/>
      <c r="IF45" s="192"/>
      <c r="IG45" s="192"/>
      <c r="IH45" s="192"/>
      <c r="II45" s="192"/>
      <c r="IJ45" s="192"/>
      <c r="IK45" s="192"/>
      <c r="IL45" s="192"/>
      <c r="IM45" s="192"/>
      <c r="IN45" s="192"/>
      <c r="IO45" s="192"/>
      <c r="IP45" s="192"/>
      <c r="IQ45" s="192"/>
      <c r="IR45" s="192"/>
      <c r="IS45" s="192"/>
      <c r="IT45" s="192"/>
      <c r="IU45" s="192"/>
      <c r="IV45" s="192"/>
      <c r="IW45" s="192"/>
      <c r="IX45" s="192"/>
      <c r="JA45" s="198"/>
      <c r="JB45" s="198"/>
      <c r="JC45" s="198"/>
      <c r="JD45" s="199">
        <f>SUM((TEXT(JA45,"[M]")/60)*'Income Person-hours'!$D$3,(TEXT(JB45,"[M]")/60)*'Income Person-hours'!$D$4,(TEXT(JC45,"[M]")/60)*'Income Person-hours'!$D$5)</f>
        <v>0</v>
      </c>
    </row>
    <row r="46" spans="1:264" s="200" customFormat="1" ht="13.5">
      <c r="A46" s="201">
        <v>3.17</v>
      </c>
      <c r="B46" s="186" t="s">
        <v>156</v>
      </c>
      <c r="C46" s="173" t="s">
        <v>72</v>
      </c>
      <c r="D46" s="192" t="str">
        <f>IF(OR(j_WEEKDAY(J_ADDDAY(VLOOKUP(I46,A:F,6,FALSE),H46,1),0)=6,SUMIFS(Holieday[ok],Holieday[date],J_ADDDAY(VLOOKUP(I46,A:F,6,FALSE),H46,1)))=FALSE(),J_ADDDAY(VLOOKUP(I46,A:F,6,FALSE),H46,1),IF(OR(j_WEEKDAY(J_ADDDAY(VLOOKUP(I46,A:F,6,FALSE),H46+1,1),0)=6,SUMIFS(Holieday[ok],Holieday[date],J_ADDDAY(VLOOKUP(I46,A:F,6,FALSE),H46+1,1)))=FALSE(),J_ADDDAY(VLOOKUP(I46,A:F,6,FALSE),H46+1,1),IF(OR(j_WEEKDAY(J_ADDDAY(VLOOKUP(I46,A:F,6,FALSE),H46+2,1),0)=6,SUMIFS(Holieday[ok],Holieday[date],J_ADDDAY(VLOOKUP(I46,A:F,6,FALSE),H46+2,1)))=FALSE(),J_ADDDAY(VLOOKUP(I46,A:F,6,FALSE),H46+2,1),IF(OR(j_WEEKDAY(J_ADDDAY(VLOOKUP(I46,A:F,6,FALSE),H46+3,1),0)=6,SUMIFS(Holieday[ok],Holieday[date],J_ADDDAY(VLOOKUP(I46,A:F,6,FALSE),H46+3,1)))=FALSE(),J_ADDDAY(VLOOKUP(I46,A:F,6,FALSE),H46+3,1),IF(OR(j_WEEKDAY(J_ADDDAY(VLOOKUP(I46,A:F,6,FALSE),H46+4,1),0)=6,SUMIFS(Holieday[ok],Holieday[date],J_ADDDAY(VLOOKUP(I46,A:F,6,FALSE),H46+4,1)))=FALSE(),J_ADDDAY(VLOOKUP(I46,A:F,6,FALSE),H46+4,1),J_ADDDAY(VLOOKUP(I46,A:F,6,FALSE),H46+5,1))))))</f>
        <v>1398/11/19</v>
      </c>
      <c r="E46" s="1"/>
      <c r="F46" s="196" t="str">
        <f>IF(N46=0,J_SUBDAY(D46,1,1),IF((N46-(NETWORKDAYS.INTL(J_GregorianDate(D46,1),J_GregorianDate(J_SUBDAY(J_ADDDAY(D46,N46,1),1,1),1),16,1)))+SUMIFS(Holieday[ok],Holieday[date],CONCATENATE("&gt;","=",D46),Holieday[date],CONCATENATE("&lt;","=",J_SUBDAY(J_ADDDAY(D46,N46,1),1,1)))-SUMIFS(Holieday[Friday],Holieday[date],CONCATENATE("&gt;","=",D46),Holieday[date],CONCATENATE("&lt;","=",J_SUBDAY(J_ADDDAY(D46,N46,1),1,1)))=0,J_SUBDAY(J_ADDDAY(D46,N46,1),1,1),IF((N46+1-(NETWORKDAYS.INTL(J_GregorianDate(D46,1),J_GregorianDate(J_SUBDAY(J_ADDDAY(D46,N46+1,1),1,1),1),16,1)))+SUMIFS(Holieday[ok],Holieday[date],CONCATENATE("&gt;","=",D46),Holieday[date],CONCATENATE("&lt;","=",J_SUBDAY(J_ADDDAY(D46,N46+1,1),1,1)))-SUMIFS(Holieday[Friday],Holieday[date],CONCATENATE("&gt;","=",D46),Holieday[date],CONCATENATE("&lt;","=",J_SUBDAY(J_ADDDAY(D46,N46+1,1),1,1)))=1,J_SUBDAY(J_ADDDAY(D46,N46+1,1),1,1),IF((N46+2-(NETWORKDAYS.INTL(J_GregorianDate(D46,1),J_GregorianDate(J_SUBDAY(J_ADDDAY(D46,N46+2,1),1,1),1),16,1)))+SUMIFS(Holieday[ok],Holieday[date],CONCATENATE("&gt;","=",D46),Holieday[date],CONCATENATE("&lt;","=",J_SUBDAY(J_ADDDAY(D46,N46+2,1),1,1)))-SUMIFS(Holieday[Friday],Holieday[date],CONCATENATE("&gt;","=",D46),Holieday[date],CONCATENATE("&lt;","=",J_SUBDAY(J_ADDDAY(D46,N46+2,1),1,1)))=2,J_SUBDAY(J_ADDDAY(D46,N46+2,1),1,1),IF((N46+3-(NETWORKDAYS.INTL(J_GregorianDate(D46,1),J_GregorianDate(J_SUBDAY(J_ADDDAY(D46,N46+3,1),1,1),1),16,1)))+SUMIFS(Holieday[ok],Holieday[date],CONCATENATE("&gt;","=",D46),Holieday[date],CONCATENATE("&lt;","=",J_SUBDAY(J_ADDDAY(D46,N46+3,1),1,1)))-SUMIFS(Holieday[Friday],Holieday[date],CONCATENATE("&gt;","=",D46),Holieday[date],CONCATENATE("&lt;","=",J_SUBDAY(J_ADDDAY(D46,N46+3,1),1,1)))=3,J_SUBDAY(J_ADDDAY(D46,N46+3,1),1,1),IF((N46+4-(NETWORKDAYS.INTL(J_GregorianDate(D46,1),J_GregorianDate(J_SUBDAY(J_ADDDAY(D46,N46+4,1),1,1),1),16,1)))+SUMIFS(Holieday[ok],Holieday[date],CONCATENATE("&gt;","=",D46),Holieday[date],CONCATENATE("&lt;","=",J_SUBDAY(J_ADDDAY(D46,N46+4,1),1,1)))-SUMIFS(Holieday[Friday],Holieday[date],CONCATENATE("&gt;","=",D46),Holieday[date],CONCATENATE("&lt;","=",J_SUBDAY(J_ADDDAY(D46,N46+4,1),1,1)))=4,J_SUBDAY(J_ADDDAY(D46,N46+4,1),1,1),IF((N46+5-(NETWORKDAYS.INTL(J_GregorianDate(D46,1),J_GregorianDate(J_SUBDAY(J_ADDDAY(D46,N46+5,1),1,1),1),16,1)))+SUMIFS(Holieday[ok],Holieday[date],CONCATENATE("&gt;","=",D46),Holieday[date],CONCATENATE("&lt;","=",J_SUBDAY(J_ADDDAY(D46,N46+5,1),1,1)))-SUMIFS(Holieday[Friday],Holieday[date],CONCATENATE("&gt;","=",D46),Holieday[date],CONCATENATE("&lt;","=",J_SUBDAY(J_ADDDAY(D46,N46+5,1),1,1)))=5,J_SUBDAY(J_ADDDAY(D46,N46+5,1),1,1),J_SUBDAY(J_ADDDAY(D46,N46+6,1),1,1))))))))</f>
        <v>1398/11/20</v>
      </c>
      <c r="G46" s="2"/>
      <c r="H46" s="175">
        <v>1</v>
      </c>
      <c r="I46" s="176">
        <v>3.16</v>
      </c>
      <c r="J46" s="190">
        <f>j_WEEKDAY(D46,2)</f>
        <v>0</v>
      </c>
      <c r="K46" s="13"/>
      <c r="L46" s="191">
        <f t="shared" si="22"/>
        <v>2</v>
      </c>
      <c r="M46" s="178">
        <v>0</v>
      </c>
      <c r="N46" s="179">
        <v>2</v>
      </c>
      <c r="O46" s="6"/>
      <c r="P46" s="6"/>
      <c r="Q46" s="5"/>
      <c r="R46" s="192"/>
      <c r="S46" s="192"/>
      <c r="T46" s="192"/>
      <c r="U46" s="192"/>
      <c r="V46" s="192"/>
      <c r="W46" s="192"/>
      <c r="X46" s="192"/>
      <c r="Y46" s="192"/>
      <c r="Z46" s="192"/>
      <c r="AA46" s="192"/>
      <c r="AB46" s="192"/>
      <c r="AC46" s="192"/>
      <c r="AD46" s="192"/>
      <c r="AE46" s="192"/>
      <c r="AF46" s="192"/>
      <c r="AG46" s="192"/>
      <c r="AH46" s="192"/>
      <c r="AI46" s="192"/>
      <c r="AJ46" s="192"/>
      <c r="AK46" s="192"/>
      <c r="AL46" s="192"/>
      <c r="AM46" s="192"/>
      <c r="AN46" s="192"/>
      <c r="AO46" s="192"/>
      <c r="AP46" s="192"/>
      <c r="AQ46" s="192"/>
      <c r="AR46" s="192"/>
      <c r="AS46" s="192"/>
      <c r="AT46" s="192"/>
      <c r="AU46" s="192"/>
      <c r="AV46" s="192"/>
      <c r="AW46" s="192"/>
      <c r="AX46" s="192"/>
      <c r="AY46" s="192"/>
      <c r="AZ46" s="192"/>
      <c r="BA46" s="192"/>
      <c r="BB46" s="192"/>
      <c r="BC46" s="192"/>
      <c r="BD46" s="192"/>
      <c r="BE46" s="192"/>
      <c r="BF46" s="192"/>
      <c r="BG46" s="192"/>
      <c r="BH46" s="192"/>
      <c r="BI46" s="192"/>
      <c r="BJ46" s="192"/>
      <c r="BK46" s="192"/>
      <c r="BL46" s="192"/>
      <c r="BM46" s="192"/>
      <c r="BN46" s="192"/>
      <c r="BO46" s="192"/>
      <c r="BP46" s="192"/>
      <c r="BQ46" s="192"/>
      <c r="BR46" s="192"/>
      <c r="BS46" s="192"/>
      <c r="BT46" s="192"/>
      <c r="BU46" s="192"/>
      <c r="BV46" s="192"/>
      <c r="BW46" s="192"/>
      <c r="BX46" s="192"/>
      <c r="BY46" s="192"/>
      <c r="BZ46" s="192"/>
      <c r="CA46" s="192"/>
      <c r="CB46" s="192"/>
      <c r="CC46" s="192"/>
      <c r="CD46" s="192"/>
      <c r="CE46" s="192"/>
      <c r="CF46" s="192"/>
      <c r="CG46" s="192"/>
      <c r="CH46" s="192"/>
      <c r="CI46" s="192"/>
      <c r="CJ46" s="192"/>
      <c r="CK46" s="192"/>
      <c r="CL46" s="192"/>
      <c r="CM46" s="192"/>
      <c r="CN46" s="192"/>
      <c r="CO46" s="192"/>
      <c r="CP46" s="192"/>
      <c r="CQ46" s="192"/>
      <c r="CR46" s="192"/>
      <c r="CS46" s="192"/>
      <c r="CT46" s="192"/>
      <c r="CU46" s="192"/>
      <c r="CV46" s="192"/>
      <c r="CW46" s="192"/>
      <c r="CX46" s="192"/>
      <c r="CY46" s="192"/>
      <c r="CZ46" s="192"/>
      <c r="DA46" s="192"/>
      <c r="DB46" s="192"/>
      <c r="DC46" s="192"/>
      <c r="DD46" s="192"/>
      <c r="DE46" s="192"/>
      <c r="DF46" s="192"/>
      <c r="DG46" s="192"/>
      <c r="DH46" s="192"/>
      <c r="DI46" s="192"/>
      <c r="DJ46" s="192"/>
      <c r="DK46" s="192"/>
      <c r="DL46" s="192"/>
      <c r="DM46" s="192"/>
      <c r="DN46" s="192"/>
      <c r="DO46" s="192"/>
      <c r="DP46" s="192"/>
      <c r="DQ46" s="192"/>
      <c r="DR46" s="192"/>
      <c r="DS46" s="192"/>
      <c r="DT46" s="192"/>
      <c r="DU46" s="192"/>
      <c r="DV46" s="192"/>
      <c r="DW46" s="192"/>
      <c r="DX46" s="192"/>
      <c r="DY46" s="192"/>
      <c r="DZ46" s="192"/>
      <c r="EA46" s="192"/>
      <c r="EB46" s="192"/>
      <c r="EC46" s="192"/>
      <c r="ED46" s="192"/>
      <c r="EE46" s="192"/>
      <c r="EF46" s="192"/>
      <c r="EG46" s="192"/>
      <c r="EH46" s="192"/>
      <c r="EI46" s="192"/>
      <c r="EJ46" s="192"/>
      <c r="EK46" s="192"/>
      <c r="EL46" s="192"/>
      <c r="EM46" s="192"/>
      <c r="EN46" s="192"/>
      <c r="EO46" s="192"/>
      <c r="EP46" s="192"/>
      <c r="EQ46" s="192"/>
      <c r="ER46" s="192"/>
      <c r="ES46" s="192"/>
      <c r="ET46" s="192"/>
      <c r="EU46" s="192"/>
      <c r="EV46" s="192"/>
      <c r="EW46" s="192"/>
      <c r="EX46" s="192"/>
      <c r="EY46" s="192"/>
      <c r="EZ46" s="192"/>
      <c r="FA46" s="192"/>
      <c r="FB46" s="192"/>
      <c r="FC46" s="192"/>
      <c r="FD46" s="192"/>
      <c r="FE46" s="192"/>
      <c r="FF46" s="192"/>
      <c r="FG46" s="192"/>
      <c r="FH46" s="192"/>
      <c r="FI46" s="192"/>
      <c r="FJ46" s="192"/>
      <c r="FK46" s="192"/>
      <c r="FL46" s="192"/>
      <c r="FM46" s="192"/>
      <c r="FN46" s="192"/>
      <c r="FO46" s="192"/>
      <c r="FP46" s="192"/>
      <c r="FQ46" s="192"/>
      <c r="FR46" s="192"/>
      <c r="FS46" s="192"/>
      <c r="FT46" s="192"/>
      <c r="FU46" s="192"/>
      <c r="FV46" s="192"/>
      <c r="FW46" s="192"/>
      <c r="FX46" s="192"/>
      <c r="FY46" s="192"/>
      <c r="FZ46" s="192"/>
      <c r="GA46" s="192"/>
      <c r="GB46" s="192"/>
      <c r="GC46" s="192"/>
      <c r="GD46" s="192"/>
      <c r="GE46" s="192"/>
      <c r="GF46" s="192"/>
      <c r="GG46" s="192"/>
      <c r="GH46" s="192"/>
      <c r="GI46" s="192"/>
      <c r="GJ46" s="192"/>
      <c r="GK46" s="192"/>
      <c r="GL46" s="192"/>
      <c r="GM46" s="192"/>
      <c r="GN46" s="192"/>
      <c r="GO46" s="192"/>
      <c r="GP46" s="192"/>
      <c r="GQ46" s="192"/>
      <c r="GR46" s="192"/>
      <c r="GS46" s="192"/>
      <c r="GT46" s="192"/>
      <c r="GU46" s="192"/>
      <c r="GV46" s="192"/>
      <c r="GW46" s="192"/>
      <c r="GX46" s="192"/>
      <c r="GY46" s="192"/>
      <c r="GZ46" s="192"/>
      <c r="HA46" s="192"/>
      <c r="HB46" s="192"/>
      <c r="HC46" s="192"/>
      <c r="HD46" s="192"/>
      <c r="HE46" s="192"/>
      <c r="HF46" s="192"/>
      <c r="HG46" s="192"/>
      <c r="HH46" s="192"/>
      <c r="HI46" s="192"/>
      <c r="HJ46" s="192"/>
      <c r="HK46" s="192"/>
      <c r="HL46" s="192"/>
      <c r="HM46" s="192"/>
      <c r="HN46" s="192"/>
      <c r="HO46" s="192"/>
      <c r="HP46" s="192"/>
      <c r="HQ46" s="192"/>
      <c r="HR46" s="192"/>
      <c r="HS46" s="192"/>
      <c r="HT46" s="192"/>
      <c r="HU46" s="192"/>
      <c r="HV46" s="192"/>
      <c r="HW46" s="192"/>
      <c r="HX46" s="192"/>
      <c r="HY46" s="192"/>
      <c r="HZ46" s="192"/>
      <c r="IA46" s="192"/>
      <c r="IB46" s="192"/>
      <c r="IC46" s="192"/>
      <c r="ID46" s="192"/>
      <c r="IE46" s="192"/>
      <c r="IF46" s="192"/>
      <c r="IG46" s="192"/>
      <c r="IH46" s="192"/>
      <c r="II46" s="192"/>
      <c r="IJ46" s="192"/>
      <c r="IK46" s="192"/>
      <c r="IL46" s="192"/>
      <c r="IM46" s="192"/>
      <c r="IN46" s="192"/>
      <c r="IO46" s="192"/>
      <c r="IP46" s="192"/>
      <c r="IQ46" s="192"/>
      <c r="IR46" s="192"/>
      <c r="IS46" s="192"/>
      <c r="IT46" s="192"/>
      <c r="IU46" s="192"/>
      <c r="IV46" s="192"/>
      <c r="IW46" s="192"/>
      <c r="IX46" s="192"/>
      <c r="JA46" s="198"/>
      <c r="JB46" s="198"/>
      <c r="JC46" s="198"/>
      <c r="JD46" s="199"/>
    </row>
    <row r="47" spans="1:264" s="200" customFormat="1" ht="13.5">
      <c r="A47" s="201">
        <v>3.18</v>
      </c>
      <c r="B47" s="186" t="s">
        <v>157</v>
      </c>
      <c r="C47" s="173" t="s">
        <v>72</v>
      </c>
      <c r="D47" s="192" t="str">
        <f>IF(OR(j_WEEKDAY(J_ADDDAY(VLOOKUP(I47,A:F,6,FALSE),H47,1),0)=6,SUMIFS(Holieday[ok],Holieday[date],J_ADDDAY(VLOOKUP(I47,A:F,6,FALSE),H47,1)))=FALSE(),J_ADDDAY(VLOOKUP(I47,A:F,6,FALSE),H47,1),IF(OR(j_WEEKDAY(J_ADDDAY(VLOOKUP(I47,A:F,6,FALSE),H47+1,1),0)=6,SUMIFS(Holieday[ok],Holieday[date],J_ADDDAY(VLOOKUP(I47,A:F,6,FALSE),H47+1,1)))=FALSE(),J_ADDDAY(VLOOKUP(I47,A:F,6,FALSE),H47+1,1),IF(OR(j_WEEKDAY(J_ADDDAY(VLOOKUP(I47,A:F,6,FALSE),H47+2,1),0)=6,SUMIFS(Holieday[ok],Holieday[date],J_ADDDAY(VLOOKUP(I47,A:F,6,FALSE),H47+2,1)))=FALSE(),J_ADDDAY(VLOOKUP(I47,A:F,6,FALSE),H47+2,1),IF(OR(j_WEEKDAY(J_ADDDAY(VLOOKUP(I47,A:F,6,FALSE),H47+3,1),0)=6,SUMIFS(Holieday[ok],Holieday[date],J_ADDDAY(VLOOKUP(I47,A:F,6,FALSE),H47+3,1)))=FALSE(),J_ADDDAY(VLOOKUP(I47,A:F,6,FALSE),H47+3,1),IF(OR(j_WEEKDAY(J_ADDDAY(VLOOKUP(I47,A:F,6,FALSE),H47+4,1),0)=6,SUMIFS(Holieday[ok],Holieday[date],J_ADDDAY(VLOOKUP(I47,A:F,6,FALSE),H47+4,1)))=FALSE(),J_ADDDAY(VLOOKUP(I47,A:F,6,FALSE),H47+4,1),J_ADDDAY(VLOOKUP(I47,A:F,6,FALSE),H47+5,1))))))</f>
        <v>1398/11/21</v>
      </c>
      <c r="E47" s="1"/>
      <c r="F47" s="196" t="str">
        <f>IF(N47=0,J_SUBDAY(D47,1,1),IF((N47-(NETWORKDAYS.INTL(J_GregorianDate(D47,1),J_GregorianDate(J_SUBDAY(J_ADDDAY(D47,N47,1),1,1),1),16,1)))+SUMIFS(Holieday[ok],Holieday[date],CONCATENATE("&gt;","=",D47),Holieday[date],CONCATENATE("&lt;","=",J_SUBDAY(J_ADDDAY(D47,N47,1),1,1)))-SUMIFS(Holieday[Friday],Holieday[date],CONCATENATE("&gt;","=",D47),Holieday[date],CONCATENATE("&lt;","=",J_SUBDAY(J_ADDDAY(D47,N47,1),1,1)))=0,J_SUBDAY(J_ADDDAY(D47,N47,1),1,1),IF((N47+1-(NETWORKDAYS.INTL(J_GregorianDate(D47,1),J_GregorianDate(J_SUBDAY(J_ADDDAY(D47,N47+1,1),1,1),1),16,1)))+SUMIFS(Holieday[ok],Holieday[date],CONCATENATE("&gt;","=",D47),Holieday[date],CONCATENATE("&lt;","=",J_SUBDAY(J_ADDDAY(D47,N47+1,1),1,1)))-SUMIFS(Holieday[Friday],Holieday[date],CONCATENATE("&gt;","=",D47),Holieday[date],CONCATENATE("&lt;","=",J_SUBDAY(J_ADDDAY(D47,N47+1,1),1,1)))=1,J_SUBDAY(J_ADDDAY(D47,N47+1,1),1,1),IF((N47+2-(NETWORKDAYS.INTL(J_GregorianDate(D47,1),J_GregorianDate(J_SUBDAY(J_ADDDAY(D47,N47+2,1),1,1),1),16,1)))+SUMIFS(Holieday[ok],Holieday[date],CONCATENATE("&gt;","=",D47),Holieday[date],CONCATENATE("&lt;","=",J_SUBDAY(J_ADDDAY(D47,N47+2,1),1,1)))-SUMIFS(Holieday[Friday],Holieday[date],CONCATENATE("&gt;","=",D47),Holieday[date],CONCATENATE("&lt;","=",J_SUBDAY(J_ADDDAY(D47,N47+2,1),1,1)))=2,J_SUBDAY(J_ADDDAY(D47,N47+2,1),1,1),IF((N47+3-(NETWORKDAYS.INTL(J_GregorianDate(D47,1),J_GregorianDate(J_SUBDAY(J_ADDDAY(D47,N47+3,1),1,1),1),16,1)))+SUMIFS(Holieday[ok],Holieday[date],CONCATENATE("&gt;","=",D47),Holieday[date],CONCATENATE("&lt;","=",J_SUBDAY(J_ADDDAY(D47,N47+3,1),1,1)))-SUMIFS(Holieday[Friday],Holieday[date],CONCATENATE("&gt;","=",D47),Holieday[date],CONCATENATE("&lt;","=",J_SUBDAY(J_ADDDAY(D47,N47+3,1),1,1)))=3,J_SUBDAY(J_ADDDAY(D47,N47+3,1),1,1),IF((N47+4-(NETWORKDAYS.INTL(J_GregorianDate(D47,1),J_GregorianDate(J_SUBDAY(J_ADDDAY(D47,N47+4,1),1,1),1),16,1)))+SUMIFS(Holieday[ok],Holieday[date],CONCATENATE("&gt;","=",D47),Holieday[date],CONCATENATE("&lt;","=",J_SUBDAY(J_ADDDAY(D47,N47+4,1),1,1)))-SUMIFS(Holieday[Friday],Holieday[date],CONCATENATE("&gt;","=",D47),Holieday[date],CONCATENATE("&lt;","=",J_SUBDAY(J_ADDDAY(D47,N47+4,1),1,1)))=4,J_SUBDAY(J_ADDDAY(D47,N47+4,1),1,1),IF((N47+5-(NETWORKDAYS.INTL(J_GregorianDate(D47,1),J_GregorianDate(J_SUBDAY(J_ADDDAY(D47,N47+5,1),1,1),1),16,1)))+SUMIFS(Holieday[ok],Holieday[date],CONCATENATE("&gt;","=",D47),Holieday[date],CONCATENATE("&lt;","=",J_SUBDAY(J_ADDDAY(D47,N47+5,1),1,1)))-SUMIFS(Holieday[Friday],Holieday[date],CONCATENATE("&gt;","=",D47),Holieday[date],CONCATENATE("&lt;","=",J_SUBDAY(J_ADDDAY(D47,N47+5,1),1,1)))=5,J_SUBDAY(J_ADDDAY(D47,N47+5,1),1,1),J_SUBDAY(J_ADDDAY(D47,N47+6,1),1,1))))))))</f>
        <v>1398/11/23</v>
      </c>
      <c r="G47" s="2"/>
      <c r="H47" s="175">
        <v>1</v>
      </c>
      <c r="I47" s="176">
        <v>3.17</v>
      </c>
      <c r="J47" s="190">
        <f>j_WEEKDAY(D47,2)</f>
        <v>2</v>
      </c>
      <c r="K47" s="13"/>
      <c r="L47" s="191">
        <f t="shared" si="22"/>
        <v>3</v>
      </c>
      <c r="M47" s="178">
        <v>0</v>
      </c>
      <c r="N47" s="179">
        <v>2</v>
      </c>
      <c r="O47" s="6"/>
      <c r="P47" s="6"/>
      <c r="Q47" s="5"/>
      <c r="R47" s="192"/>
      <c r="S47" s="192"/>
      <c r="T47" s="192"/>
      <c r="U47" s="192"/>
      <c r="V47" s="192"/>
      <c r="W47" s="192"/>
      <c r="X47" s="192"/>
      <c r="Y47" s="192"/>
      <c r="Z47" s="192"/>
      <c r="AA47" s="192"/>
      <c r="AB47" s="192"/>
      <c r="AC47" s="192"/>
      <c r="AD47" s="192"/>
      <c r="AE47" s="192"/>
      <c r="AF47" s="192"/>
      <c r="AG47" s="192"/>
      <c r="AH47" s="192"/>
      <c r="AI47" s="192"/>
      <c r="AJ47" s="192"/>
      <c r="AK47" s="192"/>
      <c r="AL47" s="192"/>
      <c r="AM47" s="192"/>
      <c r="AN47" s="192"/>
      <c r="AO47" s="192"/>
      <c r="AP47" s="192"/>
      <c r="AQ47" s="192"/>
      <c r="AR47" s="192"/>
      <c r="AS47" s="192"/>
      <c r="AT47" s="192"/>
      <c r="AU47" s="192"/>
      <c r="AV47" s="192"/>
      <c r="AW47" s="192"/>
      <c r="AX47" s="192"/>
      <c r="AY47" s="192"/>
      <c r="AZ47" s="192"/>
      <c r="BA47" s="192"/>
      <c r="BB47" s="192"/>
      <c r="BC47" s="192"/>
      <c r="BD47" s="192"/>
      <c r="BE47" s="192"/>
      <c r="BF47" s="192"/>
      <c r="BG47" s="192"/>
      <c r="BH47" s="192"/>
      <c r="BI47" s="192"/>
      <c r="BJ47" s="192"/>
      <c r="BK47" s="192"/>
      <c r="BL47" s="192"/>
      <c r="BM47" s="192"/>
      <c r="BN47" s="192"/>
      <c r="BO47" s="192"/>
      <c r="BP47" s="192"/>
      <c r="BQ47" s="192"/>
      <c r="BR47" s="192"/>
      <c r="BS47" s="192"/>
      <c r="BT47" s="192"/>
      <c r="BU47" s="192"/>
      <c r="BV47" s="192"/>
      <c r="BW47" s="192"/>
      <c r="BX47" s="192"/>
      <c r="BY47" s="192"/>
      <c r="BZ47" s="192"/>
      <c r="CA47" s="192"/>
      <c r="CB47" s="192"/>
      <c r="CC47" s="192"/>
      <c r="CD47" s="192"/>
      <c r="CE47" s="192"/>
      <c r="CF47" s="192"/>
      <c r="CG47" s="192"/>
      <c r="CH47" s="192"/>
      <c r="CI47" s="192"/>
      <c r="CJ47" s="192"/>
      <c r="CK47" s="192"/>
      <c r="CL47" s="192"/>
      <c r="CM47" s="192"/>
      <c r="CN47" s="192"/>
      <c r="CO47" s="192"/>
      <c r="CP47" s="192"/>
      <c r="CQ47" s="192"/>
      <c r="CR47" s="192"/>
      <c r="CS47" s="192"/>
      <c r="CT47" s="192"/>
      <c r="CU47" s="192"/>
      <c r="CV47" s="192"/>
      <c r="CW47" s="192"/>
      <c r="CX47" s="192"/>
      <c r="CY47" s="192"/>
      <c r="CZ47" s="192"/>
      <c r="DA47" s="192"/>
      <c r="DB47" s="192"/>
      <c r="DC47" s="192"/>
      <c r="DD47" s="192"/>
      <c r="DE47" s="192"/>
      <c r="DF47" s="192"/>
      <c r="DG47" s="192"/>
      <c r="DH47" s="192"/>
      <c r="DI47" s="192"/>
      <c r="DJ47" s="192"/>
      <c r="DK47" s="192"/>
      <c r="DL47" s="192"/>
      <c r="DM47" s="192"/>
      <c r="DN47" s="192"/>
      <c r="DO47" s="192"/>
      <c r="DP47" s="192"/>
      <c r="DQ47" s="192"/>
      <c r="DR47" s="192"/>
      <c r="DS47" s="192"/>
      <c r="DT47" s="192"/>
      <c r="DU47" s="192"/>
      <c r="DV47" s="192"/>
      <c r="DW47" s="192"/>
      <c r="DX47" s="192"/>
      <c r="DY47" s="192"/>
      <c r="DZ47" s="192"/>
      <c r="EA47" s="192"/>
      <c r="EB47" s="192"/>
      <c r="EC47" s="192"/>
      <c r="ED47" s="192"/>
      <c r="EE47" s="192"/>
      <c r="EF47" s="192"/>
      <c r="EG47" s="192"/>
      <c r="EH47" s="192"/>
      <c r="EI47" s="192"/>
      <c r="EJ47" s="192"/>
      <c r="EK47" s="192"/>
      <c r="EL47" s="192"/>
      <c r="EM47" s="192"/>
      <c r="EN47" s="192"/>
      <c r="EO47" s="192"/>
      <c r="EP47" s="192"/>
      <c r="EQ47" s="192"/>
      <c r="ER47" s="192"/>
      <c r="ES47" s="192"/>
      <c r="ET47" s="192"/>
      <c r="EU47" s="192"/>
      <c r="EV47" s="192"/>
      <c r="EW47" s="192"/>
      <c r="EX47" s="192"/>
      <c r="EY47" s="192"/>
      <c r="EZ47" s="192"/>
      <c r="FA47" s="192"/>
      <c r="FB47" s="192"/>
      <c r="FC47" s="192"/>
      <c r="FD47" s="192"/>
      <c r="FE47" s="192"/>
      <c r="FF47" s="192"/>
      <c r="FG47" s="192"/>
      <c r="FH47" s="192"/>
      <c r="FI47" s="192"/>
      <c r="FJ47" s="192"/>
      <c r="FK47" s="192"/>
      <c r="FL47" s="192"/>
      <c r="FM47" s="192"/>
      <c r="FN47" s="192"/>
      <c r="FO47" s="192"/>
      <c r="FP47" s="192"/>
      <c r="FQ47" s="192"/>
      <c r="FR47" s="192"/>
      <c r="FS47" s="192"/>
      <c r="FT47" s="192"/>
      <c r="FU47" s="192"/>
      <c r="FV47" s="192"/>
      <c r="FW47" s="192"/>
      <c r="FX47" s="192"/>
      <c r="FY47" s="192"/>
      <c r="FZ47" s="192"/>
      <c r="GA47" s="192"/>
      <c r="GB47" s="192"/>
      <c r="GC47" s="192"/>
      <c r="GD47" s="192"/>
      <c r="GE47" s="192"/>
      <c r="GF47" s="192"/>
      <c r="GG47" s="192"/>
      <c r="GH47" s="192"/>
      <c r="GI47" s="192"/>
      <c r="GJ47" s="192"/>
      <c r="GK47" s="192"/>
      <c r="GL47" s="192"/>
      <c r="GM47" s="192"/>
      <c r="GN47" s="192"/>
      <c r="GO47" s="192"/>
      <c r="GP47" s="192"/>
      <c r="GQ47" s="192"/>
      <c r="GR47" s="192"/>
      <c r="GS47" s="192"/>
      <c r="GT47" s="192"/>
      <c r="GU47" s="192"/>
      <c r="GV47" s="192"/>
      <c r="GW47" s="192"/>
      <c r="GX47" s="192"/>
      <c r="GY47" s="192"/>
      <c r="GZ47" s="192"/>
      <c r="HA47" s="192"/>
      <c r="HB47" s="192"/>
      <c r="HC47" s="192"/>
      <c r="HD47" s="192"/>
      <c r="HE47" s="192"/>
      <c r="HF47" s="192"/>
      <c r="HG47" s="192"/>
      <c r="HH47" s="192"/>
      <c r="HI47" s="192"/>
      <c r="HJ47" s="192"/>
      <c r="HK47" s="192"/>
      <c r="HL47" s="192"/>
      <c r="HM47" s="192"/>
      <c r="HN47" s="192"/>
      <c r="HO47" s="192"/>
      <c r="HP47" s="192"/>
      <c r="HQ47" s="192"/>
      <c r="HR47" s="192"/>
      <c r="HS47" s="192"/>
      <c r="HT47" s="192"/>
      <c r="HU47" s="192"/>
      <c r="HV47" s="192"/>
      <c r="HW47" s="192"/>
      <c r="HX47" s="192"/>
      <c r="HY47" s="192"/>
      <c r="HZ47" s="192"/>
      <c r="IA47" s="192"/>
      <c r="IB47" s="192"/>
      <c r="IC47" s="192"/>
      <c r="ID47" s="192"/>
      <c r="IE47" s="192"/>
      <c r="IF47" s="192"/>
      <c r="IG47" s="192"/>
      <c r="IH47" s="192"/>
      <c r="II47" s="192"/>
      <c r="IJ47" s="192"/>
      <c r="IK47" s="192"/>
      <c r="IL47" s="192"/>
      <c r="IM47" s="192"/>
      <c r="IN47" s="192"/>
      <c r="IO47" s="192"/>
      <c r="IP47" s="192"/>
      <c r="IQ47" s="192"/>
      <c r="IR47" s="192"/>
      <c r="IS47" s="192"/>
      <c r="IT47" s="192"/>
      <c r="IU47" s="192"/>
      <c r="IV47" s="192"/>
      <c r="IW47" s="192"/>
      <c r="IX47" s="192"/>
      <c r="JA47" s="198"/>
      <c r="JB47" s="198"/>
      <c r="JC47" s="198"/>
      <c r="JD47" s="199"/>
    </row>
    <row r="48" spans="1:264" s="200" customFormat="1" ht="13.5">
      <c r="A48" s="201">
        <v>3.19</v>
      </c>
      <c r="B48" s="186" t="s">
        <v>150</v>
      </c>
      <c r="C48" s="173" t="s">
        <v>72</v>
      </c>
      <c r="D48" s="192" t="str">
        <f>IF(OR(j_WEEKDAY(J_ADDDAY(VLOOKUP(I48,A:F,6,FALSE),H48,1),0)=6,SUMIFS(Holieday[ok],Holieday[date],J_ADDDAY(VLOOKUP(I48,A:F,6,FALSE),H48,1)))=FALSE(),J_ADDDAY(VLOOKUP(I48,A:F,6,FALSE),H48,1),IF(OR(j_WEEKDAY(J_ADDDAY(VLOOKUP(I48,A:F,6,FALSE),H48+1,1),0)=6,SUMIFS(Holieday[ok],Holieday[date],J_ADDDAY(VLOOKUP(I48,A:F,6,FALSE),H48+1,1)))=FALSE(),J_ADDDAY(VLOOKUP(I48,A:F,6,FALSE),H48+1,1),IF(OR(j_WEEKDAY(J_ADDDAY(VLOOKUP(I48,A:F,6,FALSE),H48+2,1),0)=6,SUMIFS(Holieday[ok],Holieday[date],J_ADDDAY(VLOOKUP(I48,A:F,6,FALSE),H48+2,1)))=FALSE(),J_ADDDAY(VLOOKUP(I48,A:F,6,FALSE),H48+2,1),IF(OR(j_WEEKDAY(J_ADDDAY(VLOOKUP(I48,A:F,6,FALSE),H48+3,1),0)=6,SUMIFS(Holieday[ok],Holieday[date],J_ADDDAY(VLOOKUP(I48,A:F,6,FALSE),H48+3,1)))=FALSE(),J_ADDDAY(VLOOKUP(I48,A:F,6,FALSE),H48+3,1),IF(OR(j_WEEKDAY(J_ADDDAY(VLOOKUP(I48,A:F,6,FALSE),H48+4,1),0)=6,SUMIFS(Holieday[ok],Holieday[date],J_ADDDAY(VLOOKUP(I48,A:F,6,FALSE),H48+4,1)))=FALSE(),J_ADDDAY(VLOOKUP(I48,A:F,6,FALSE),H48+4,1),J_ADDDAY(VLOOKUP(I48,A:F,6,FALSE),H48+5,1))))))</f>
        <v>1398/11/26</v>
      </c>
      <c r="E48" s="1">
        <f t="shared" ref="E48:E50" si="23">VALUE(J_normdate(D48))</f>
        <v>13981126</v>
      </c>
      <c r="F48" s="196" t="str">
        <f>IF(N48=0,J_SUBDAY(D48,1,1),IF((N48-(NETWORKDAYS.INTL(J_GregorianDate(D48,1),J_GregorianDate(J_SUBDAY(J_ADDDAY(D48,N48,1),1,1),1),16,1)))+SUMIFS(Holieday[ok],Holieday[date],CONCATENATE("&gt;","=",D48),Holieday[date],CONCATENATE("&lt;","=",J_SUBDAY(J_ADDDAY(D48,N48,1),1,1)))-SUMIFS(Holieday[Friday],Holieday[date],CONCATENATE("&gt;","=",D48),Holieday[date],CONCATENATE("&lt;","=",J_SUBDAY(J_ADDDAY(D48,N48,1),1,1)))=0,J_SUBDAY(J_ADDDAY(D48,N48,1),1,1),IF((N48+1-(NETWORKDAYS.INTL(J_GregorianDate(D48,1),J_GregorianDate(J_SUBDAY(J_ADDDAY(D48,N48+1,1),1,1),1),16,1)))+SUMIFS(Holieday[ok],Holieday[date],CONCATENATE("&gt;","=",D48),Holieday[date],CONCATENATE("&lt;","=",J_SUBDAY(J_ADDDAY(D48,N48+1,1),1,1)))-SUMIFS(Holieday[Friday],Holieday[date],CONCATENATE("&gt;","=",D48),Holieday[date],CONCATENATE("&lt;","=",J_SUBDAY(J_ADDDAY(D48,N48+1,1),1,1)))=1,J_SUBDAY(J_ADDDAY(D48,N48+1,1),1,1),IF((N48+2-(NETWORKDAYS.INTL(J_GregorianDate(D48,1),J_GregorianDate(J_SUBDAY(J_ADDDAY(D48,N48+2,1),1,1),1),16,1)))+SUMIFS(Holieday[ok],Holieday[date],CONCATENATE("&gt;","=",D48),Holieday[date],CONCATENATE("&lt;","=",J_SUBDAY(J_ADDDAY(D48,N48+2,1),1,1)))-SUMIFS(Holieday[Friday],Holieday[date],CONCATENATE("&gt;","=",D48),Holieday[date],CONCATENATE("&lt;","=",J_SUBDAY(J_ADDDAY(D48,N48+2,1),1,1)))=2,J_SUBDAY(J_ADDDAY(D48,N48+2,1),1,1),IF((N48+3-(NETWORKDAYS.INTL(J_GregorianDate(D48,1),J_GregorianDate(J_SUBDAY(J_ADDDAY(D48,N48+3,1),1,1),1),16,1)))+SUMIFS(Holieday[ok],Holieday[date],CONCATENATE("&gt;","=",D48),Holieday[date],CONCATENATE("&lt;","=",J_SUBDAY(J_ADDDAY(D48,N48+3,1),1,1)))-SUMIFS(Holieday[Friday],Holieday[date],CONCATENATE("&gt;","=",D48),Holieday[date],CONCATENATE("&lt;","=",J_SUBDAY(J_ADDDAY(D48,N48+3,1),1,1)))=3,J_SUBDAY(J_ADDDAY(D48,N48+3,1),1,1),IF((N48+4-(NETWORKDAYS.INTL(J_GregorianDate(D48,1),J_GregorianDate(J_SUBDAY(J_ADDDAY(D48,N48+4,1),1,1),1),16,1)))+SUMIFS(Holieday[ok],Holieday[date],CONCATENATE("&gt;","=",D48),Holieday[date],CONCATENATE("&lt;","=",J_SUBDAY(J_ADDDAY(D48,N48+4,1),1,1)))-SUMIFS(Holieday[Friday],Holieday[date],CONCATENATE("&gt;","=",D48),Holieday[date],CONCATENATE("&lt;","=",J_SUBDAY(J_ADDDAY(D48,N48+4,1),1,1)))=4,J_SUBDAY(J_ADDDAY(D48,N48+4,1),1,1),IF((N48+5-(NETWORKDAYS.INTL(J_GregorianDate(D48,1),J_GregorianDate(J_SUBDAY(J_ADDDAY(D48,N48+5,1),1,1),1),16,1)))+SUMIFS(Holieday[ok],Holieday[date],CONCATENATE("&gt;","=",D48),Holieday[date],CONCATENATE("&lt;","=",J_SUBDAY(J_ADDDAY(D48,N48+5,1),1,1)))-SUMIFS(Holieday[Friday],Holieday[date],CONCATENATE("&gt;","=",D48),Holieday[date],CONCATENATE("&lt;","=",J_SUBDAY(J_ADDDAY(D48,N48+5,1),1,1)))=5,J_SUBDAY(J_ADDDAY(D48,N48+5,1),1,1),J_SUBDAY(J_ADDDAY(D48,N48+6,1),1,1))))))))</f>
        <v>1398/11/27</v>
      </c>
      <c r="G48" s="2">
        <f t="shared" ref="G48:G50" si="24">VALUE(J_normdate(F48))</f>
        <v>13981127</v>
      </c>
      <c r="H48" s="175">
        <v>2</v>
      </c>
      <c r="I48" s="176">
        <v>3.18</v>
      </c>
      <c r="J48" s="190">
        <f>j_WEEKDAY(D48,2)</f>
        <v>0</v>
      </c>
      <c r="K48" s="13">
        <f t="shared" si="21"/>
        <v>0</v>
      </c>
      <c r="L48" s="191">
        <f t="shared" si="22"/>
        <v>2</v>
      </c>
      <c r="M48" s="178">
        <v>0</v>
      </c>
      <c r="N48" s="179">
        <v>2</v>
      </c>
      <c r="O48" s="6">
        <f t="shared" ref="O48:O50" si="25">ROUNDDOWN(M48*L48,0)</f>
        <v>0</v>
      </c>
      <c r="P48" s="6">
        <f>VALUE(J_normdate(J_ADDDAY($D48,$O48,1)))</f>
        <v>13981126</v>
      </c>
      <c r="Q48" s="5">
        <f t="shared" si="12"/>
        <v>2</v>
      </c>
      <c r="R48" s="192"/>
      <c r="S48" s="192"/>
      <c r="T48" s="192"/>
      <c r="U48" s="192"/>
      <c r="V48" s="192"/>
      <c r="W48" s="192"/>
      <c r="X48" s="192"/>
      <c r="Y48" s="192"/>
      <c r="Z48" s="192"/>
      <c r="AA48" s="192"/>
      <c r="AB48" s="192"/>
      <c r="AC48" s="192"/>
      <c r="AD48" s="192"/>
      <c r="AE48" s="192"/>
      <c r="AF48" s="192"/>
      <c r="AG48" s="192"/>
      <c r="AH48" s="192"/>
      <c r="AI48" s="192"/>
      <c r="AJ48" s="192"/>
      <c r="AK48" s="192"/>
      <c r="AL48" s="192"/>
      <c r="AM48" s="192"/>
      <c r="AN48" s="192"/>
      <c r="AO48" s="192"/>
      <c r="AP48" s="192"/>
      <c r="AQ48" s="192"/>
      <c r="AR48" s="192"/>
      <c r="AS48" s="192"/>
      <c r="AT48" s="192"/>
      <c r="AU48" s="192"/>
      <c r="AV48" s="192"/>
      <c r="AW48" s="192"/>
      <c r="AX48" s="192"/>
      <c r="AY48" s="192"/>
      <c r="AZ48" s="192"/>
      <c r="BA48" s="192"/>
      <c r="BB48" s="192"/>
      <c r="BC48" s="192"/>
      <c r="BD48" s="192"/>
      <c r="BE48" s="192"/>
      <c r="BF48" s="192"/>
      <c r="BG48" s="192"/>
      <c r="BH48" s="192"/>
      <c r="BI48" s="192"/>
      <c r="BJ48" s="192"/>
      <c r="BK48" s="192"/>
      <c r="BL48" s="192"/>
      <c r="BM48" s="192"/>
      <c r="BN48" s="192"/>
      <c r="BO48" s="192"/>
      <c r="BP48" s="192"/>
      <c r="BQ48" s="192"/>
      <c r="BR48" s="192"/>
      <c r="BS48" s="192"/>
      <c r="BT48" s="192"/>
      <c r="BU48" s="192"/>
      <c r="BV48" s="192"/>
      <c r="BW48" s="192"/>
      <c r="BX48" s="192"/>
      <c r="BY48" s="192"/>
      <c r="BZ48" s="192"/>
      <c r="CA48" s="192"/>
      <c r="CB48" s="192"/>
      <c r="CC48" s="192"/>
      <c r="CD48" s="192"/>
      <c r="CE48" s="192"/>
      <c r="CF48" s="192"/>
      <c r="CG48" s="192"/>
      <c r="CH48" s="192"/>
      <c r="CI48" s="192"/>
      <c r="CJ48" s="192"/>
      <c r="CK48" s="192"/>
      <c r="CL48" s="192"/>
      <c r="CM48" s="192"/>
      <c r="CN48" s="192"/>
      <c r="CO48" s="192"/>
      <c r="CP48" s="192"/>
      <c r="CQ48" s="192"/>
      <c r="CR48" s="192"/>
      <c r="CS48" s="192"/>
      <c r="CT48" s="192"/>
      <c r="CU48" s="192"/>
      <c r="CV48" s="192"/>
      <c r="CW48" s="192"/>
      <c r="CX48" s="192"/>
      <c r="CY48" s="192"/>
      <c r="CZ48" s="192"/>
      <c r="DA48" s="192"/>
      <c r="DB48" s="192"/>
      <c r="DC48" s="192"/>
      <c r="DD48" s="192"/>
      <c r="DE48" s="192"/>
      <c r="DF48" s="192"/>
      <c r="DG48" s="192"/>
      <c r="DH48" s="192"/>
      <c r="DI48" s="192"/>
      <c r="DJ48" s="192"/>
      <c r="DK48" s="192"/>
      <c r="DL48" s="192"/>
      <c r="DM48" s="192"/>
      <c r="DN48" s="192"/>
      <c r="DO48" s="192"/>
      <c r="DP48" s="192"/>
      <c r="DQ48" s="192"/>
      <c r="DR48" s="192"/>
      <c r="DS48" s="192"/>
      <c r="DT48" s="192"/>
      <c r="DU48" s="192"/>
      <c r="DV48" s="192"/>
      <c r="DW48" s="192"/>
      <c r="DX48" s="192"/>
      <c r="DY48" s="192"/>
      <c r="DZ48" s="192"/>
      <c r="EA48" s="192"/>
      <c r="EB48" s="192"/>
      <c r="EC48" s="192"/>
      <c r="ED48" s="192"/>
      <c r="EE48" s="192"/>
      <c r="EF48" s="192"/>
      <c r="EG48" s="192"/>
      <c r="EH48" s="192"/>
      <c r="EI48" s="192"/>
      <c r="EJ48" s="192"/>
      <c r="EK48" s="192"/>
      <c r="EL48" s="192"/>
      <c r="EM48" s="192"/>
      <c r="EN48" s="192"/>
      <c r="EO48" s="192"/>
      <c r="EP48" s="192"/>
      <c r="EQ48" s="192"/>
      <c r="ER48" s="192"/>
      <c r="ES48" s="192"/>
      <c r="ET48" s="192"/>
      <c r="EU48" s="192"/>
      <c r="EV48" s="192"/>
      <c r="EW48" s="192"/>
      <c r="EX48" s="192"/>
      <c r="EY48" s="192"/>
      <c r="EZ48" s="192"/>
      <c r="FA48" s="192"/>
      <c r="FB48" s="192"/>
      <c r="FC48" s="192"/>
      <c r="FD48" s="192"/>
      <c r="FE48" s="192"/>
      <c r="FF48" s="192"/>
      <c r="FG48" s="192"/>
      <c r="FH48" s="192"/>
      <c r="FI48" s="192"/>
      <c r="FJ48" s="192"/>
      <c r="FK48" s="192"/>
      <c r="FL48" s="192"/>
      <c r="FM48" s="192"/>
      <c r="FN48" s="192"/>
      <c r="FO48" s="192"/>
      <c r="FP48" s="192"/>
      <c r="FQ48" s="192"/>
      <c r="FR48" s="192"/>
      <c r="FS48" s="192"/>
      <c r="FT48" s="192"/>
      <c r="FU48" s="192"/>
      <c r="FV48" s="192"/>
      <c r="FW48" s="192"/>
      <c r="FX48" s="192"/>
      <c r="FY48" s="192"/>
      <c r="FZ48" s="192"/>
      <c r="GA48" s="192"/>
      <c r="GB48" s="192"/>
      <c r="GC48" s="192"/>
      <c r="GD48" s="192"/>
      <c r="GE48" s="192"/>
      <c r="GF48" s="192"/>
      <c r="GG48" s="192"/>
      <c r="GH48" s="192"/>
      <c r="GI48" s="192"/>
      <c r="GJ48" s="192"/>
      <c r="GK48" s="192"/>
      <c r="GL48" s="192"/>
      <c r="GM48" s="192"/>
      <c r="GN48" s="192"/>
      <c r="GO48" s="192"/>
      <c r="GP48" s="192"/>
      <c r="GQ48" s="192"/>
      <c r="GR48" s="192"/>
      <c r="GS48" s="192"/>
      <c r="GT48" s="192"/>
      <c r="GU48" s="192"/>
      <c r="GV48" s="192"/>
      <c r="GW48" s="192"/>
      <c r="GX48" s="192"/>
      <c r="GY48" s="192"/>
      <c r="GZ48" s="192"/>
      <c r="HA48" s="192"/>
      <c r="HB48" s="192"/>
      <c r="HC48" s="192"/>
      <c r="HD48" s="192"/>
      <c r="HE48" s="192"/>
      <c r="HF48" s="192"/>
      <c r="HG48" s="192"/>
      <c r="HH48" s="192"/>
      <c r="HI48" s="192"/>
      <c r="HJ48" s="192"/>
      <c r="HK48" s="192"/>
      <c r="HL48" s="192"/>
      <c r="HM48" s="192"/>
      <c r="HN48" s="192"/>
      <c r="HO48" s="192"/>
      <c r="HP48" s="192"/>
      <c r="HQ48" s="192"/>
      <c r="HR48" s="192"/>
      <c r="HS48" s="192"/>
      <c r="HT48" s="192"/>
      <c r="HU48" s="192"/>
      <c r="HV48" s="192"/>
      <c r="HW48" s="192"/>
      <c r="HX48" s="192"/>
      <c r="HY48" s="192"/>
      <c r="HZ48" s="192"/>
      <c r="IA48" s="192"/>
      <c r="IB48" s="192"/>
      <c r="IC48" s="192"/>
      <c r="ID48" s="192"/>
      <c r="IE48" s="192"/>
      <c r="IF48" s="192"/>
      <c r="IG48" s="192"/>
      <c r="IH48" s="192"/>
      <c r="II48" s="192"/>
      <c r="IJ48" s="192"/>
      <c r="IK48" s="192"/>
      <c r="IL48" s="192"/>
      <c r="IM48" s="192"/>
      <c r="IN48" s="192"/>
      <c r="IO48" s="192"/>
      <c r="IP48" s="192"/>
      <c r="IQ48" s="192"/>
      <c r="IR48" s="192"/>
      <c r="IS48" s="192"/>
      <c r="IT48" s="192"/>
      <c r="IU48" s="192"/>
      <c r="IV48" s="192"/>
      <c r="IW48" s="192"/>
      <c r="IX48" s="192"/>
      <c r="JA48" s="198"/>
      <c r="JB48" s="198"/>
      <c r="JC48" s="198"/>
      <c r="JD48" s="199">
        <f>SUM((TEXT(JA48,"[M]")/60)*'Income Person-hours'!$D$3,(TEXT(JB48,"[M]")/60)*'Income Person-hours'!$D$4,(TEXT(JC48,"[M]")/60)*'Income Person-hours'!$D$5)</f>
        <v>0</v>
      </c>
    </row>
    <row r="49" spans="1:264" s="200" customFormat="1" ht="17.25" customHeight="1">
      <c r="A49" s="201">
        <v>3.21</v>
      </c>
      <c r="B49" s="186" t="s">
        <v>151</v>
      </c>
      <c r="C49" s="173" t="s">
        <v>104</v>
      </c>
      <c r="D49" s="192" t="str">
        <f>IF(OR(j_WEEKDAY(J_ADDDAY(VLOOKUP(I49,A:F,6,FALSE),H49,1),0)=6,SUMIFS(Holieday[ok],Holieday[date],J_ADDDAY(VLOOKUP(I49,A:F,6,FALSE),H49,1)))=FALSE(),J_ADDDAY(VLOOKUP(I49,A:F,6,FALSE),H49,1),IF(OR(j_WEEKDAY(J_ADDDAY(VLOOKUP(I49,A:F,6,FALSE),H49+1,1),0)=6,SUMIFS(Holieday[ok],Holieday[date],J_ADDDAY(VLOOKUP(I49,A:F,6,FALSE),H49+1,1)))=FALSE(),J_ADDDAY(VLOOKUP(I49,A:F,6,FALSE),H49+1,1),IF(OR(j_WEEKDAY(J_ADDDAY(VLOOKUP(I49,A:F,6,FALSE),H49+2,1),0)=6,SUMIFS(Holieday[ok],Holieday[date],J_ADDDAY(VLOOKUP(I49,A:F,6,FALSE),H49+2,1)))=FALSE(),J_ADDDAY(VLOOKUP(I49,A:F,6,FALSE),H49+2,1),IF(OR(j_WEEKDAY(J_ADDDAY(VLOOKUP(I49,A:F,6,FALSE),H49+3,1),0)=6,SUMIFS(Holieday[ok],Holieday[date],J_ADDDAY(VLOOKUP(I49,A:F,6,FALSE),H49+3,1)))=FALSE(),J_ADDDAY(VLOOKUP(I49,A:F,6,FALSE),H49+3,1),IF(OR(j_WEEKDAY(J_ADDDAY(VLOOKUP(I49,A:F,6,FALSE),H49+4,1),0)=6,SUMIFS(Holieday[ok],Holieday[date],J_ADDDAY(VLOOKUP(I49,A:F,6,FALSE),H49+4,1)))=FALSE(),J_ADDDAY(VLOOKUP(I49,A:F,6,FALSE),H49+4,1),J_ADDDAY(VLOOKUP(I49,A:F,6,FALSE),H49+5,1))))))</f>
        <v>1398/11/01</v>
      </c>
      <c r="E49" s="1">
        <f t="shared" si="23"/>
        <v>13981101</v>
      </c>
      <c r="F49" s="196" t="str">
        <f>IF(N49=0,J_SUBDAY(D49,1,1),IF((N49-(NETWORKDAYS.INTL(J_GregorianDate(D49,1),J_GregorianDate(J_SUBDAY(J_ADDDAY(D49,N49,1),1,1),1),16,1)))+SUMIFS(Holieday[ok],Holieday[date],CONCATENATE("&gt;","=",D49),Holieday[date],CONCATENATE("&lt;","=",J_SUBDAY(J_ADDDAY(D49,N49,1),1,1)))-SUMIFS(Holieday[Friday],Holieday[date],CONCATENATE("&gt;","=",D49),Holieday[date],CONCATENATE("&lt;","=",J_SUBDAY(J_ADDDAY(D49,N49,1),1,1)))=0,J_SUBDAY(J_ADDDAY(D49,N49,1),1,1),IF((N49+1-(NETWORKDAYS.INTL(J_GregorianDate(D49,1),J_GregorianDate(J_SUBDAY(J_ADDDAY(D49,N49+1,1),1,1),1),16,1)))+SUMIFS(Holieday[ok],Holieday[date],CONCATENATE("&gt;","=",D49),Holieday[date],CONCATENATE("&lt;","=",J_SUBDAY(J_ADDDAY(D49,N49+1,1),1,1)))-SUMIFS(Holieday[Friday],Holieday[date],CONCATENATE("&gt;","=",D49),Holieday[date],CONCATENATE("&lt;","=",J_SUBDAY(J_ADDDAY(D49,N49+1,1),1,1)))=1,J_SUBDAY(J_ADDDAY(D49,N49+1,1),1,1),IF((N49+2-(NETWORKDAYS.INTL(J_GregorianDate(D49,1),J_GregorianDate(J_SUBDAY(J_ADDDAY(D49,N49+2,1),1,1),1),16,1)))+SUMIFS(Holieday[ok],Holieday[date],CONCATENATE("&gt;","=",D49),Holieday[date],CONCATENATE("&lt;","=",J_SUBDAY(J_ADDDAY(D49,N49+2,1),1,1)))-SUMIFS(Holieday[Friday],Holieday[date],CONCATENATE("&gt;","=",D49),Holieday[date],CONCATENATE("&lt;","=",J_SUBDAY(J_ADDDAY(D49,N49+2,1),1,1)))=2,J_SUBDAY(J_ADDDAY(D49,N49+2,1),1,1),IF((N49+3-(NETWORKDAYS.INTL(J_GregorianDate(D49,1),J_GregorianDate(J_SUBDAY(J_ADDDAY(D49,N49+3,1),1,1),1),16,1)))+SUMIFS(Holieday[ok],Holieday[date],CONCATENATE("&gt;","=",D49),Holieday[date],CONCATENATE("&lt;","=",J_SUBDAY(J_ADDDAY(D49,N49+3,1),1,1)))-SUMIFS(Holieday[Friday],Holieday[date],CONCATENATE("&gt;","=",D49),Holieday[date],CONCATENATE("&lt;","=",J_SUBDAY(J_ADDDAY(D49,N49+3,1),1,1)))=3,J_SUBDAY(J_ADDDAY(D49,N49+3,1),1,1),IF((N49+4-(NETWORKDAYS.INTL(J_GregorianDate(D49,1),J_GregorianDate(J_SUBDAY(J_ADDDAY(D49,N49+4,1),1,1),1),16,1)))+SUMIFS(Holieday[ok],Holieday[date],CONCATENATE("&gt;","=",D49),Holieday[date],CONCATENATE("&lt;","=",J_SUBDAY(J_ADDDAY(D49,N49+4,1),1,1)))-SUMIFS(Holieday[Friday],Holieday[date],CONCATENATE("&gt;","=",D49),Holieday[date],CONCATENATE("&lt;","=",J_SUBDAY(J_ADDDAY(D49,N49+4,1),1,1)))=4,J_SUBDAY(J_ADDDAY(D49,N49+4,1),1,1),IF((N49+5-(NETWORKDAYS.INTL(J_GregorianDate(D49,1),J_GregorianDate(J_SUBDAY(J_ADDDAY(D49,N49+5,1),1,1),1),16,1)))+SUMIFS(Holieday[ok],Holieday[date],CONCATENATE("&gt;","=",D49),Holieday[date],CONCATENATE("&lt;","=",J_SUBDAY(J_ADDDAY(D49,N49+5,1),1,1)))-SUMIFS(Holieday[Friday],Holieday[date],CONCATENATE("&gt;","=",D49),Holieday[date],CONCATENATE("&lt;","=",J_SUBDAY(J_ADDDAY(D49,N49+5,1),1,1)))=5,J_SUBDAY(J_ADDDAY(D49,N49+5,1),1,1),J_SUBDAY(J_ADDDAY(D49,N49+6,1),1,1))))))))</f>
        <v>1398/11/06</v>
      </c>
      <c r="G49" s="2">
        <f t="shared" si="24"/>
        <v>13981106</v>
      </c>
      <c r="H49" s="175">
        <v>3</v>
      </c>
      <c r="I49" s="176">
        <v>3.7</v>
      </c>
      <c r="J49" s="190">
        <f>j_WEEKDAY(D49,2)</f>
        <v>3</v>
      </c>
      <c r="K49" s="13">
        <f t="shared" si="21"/>
        <v>0</v>
      </c>
      <c r="L49" s="191">
        <f t="shared" si="22"/>
        <v>6</v>
      </c>
      <c r="M49" s="178">
        <v>0</v>
      </c>
      <c r="N49" s="179">
        <v>5</v>
      </c>
      <c r="O49" s="6">
        <f t="shared" si="25"/>
        <v>0</v>
      </c>
      <c r="P49" s="6">
        <f>VALUE(J_normdate(J_ADDDAY($D49,$O49,1)))</f>
        <v>13981101</v>
      </c>
      <c r="Q49" s="5">
        <f t="shared" si="12"/>
        <v>6</v>
      </c>
      <c r="R49" s="192"/>
      <c r="S49" s="192"/>
      <c r="T49" s="192"/>
      <c r="U49" s="192"/>
      <c r="V49" s="192"/>
      <c r="W49" s="192"/>
      <c r="X49" s="192"/>
      <c r="Y49" s="192"/>
      <c r="Z49" s="192"/>
      <c r="AA49" s="192"/>
      <c r="AB49" s="192"/>
      <c r="AC49" s="192"/>
      <c r="AD49" s="192"/>
      <c r="AE49" s="192"/>
      <c r="AF49" s="192"/>
      <c r="AG49" s="192"/>
      <c r="AH49" s="192"/>
      <c r="AI49" s="192"/>
      <c r="AJ49" s="192"/>
      <c r="AK49" s="192"/>
      <c r="AL49" s="192"/>
      <c r="AM49" s="192"/>
      <c r="AN49" s="192"/>
      <c r="AO49" s="192"/>
      <c r="AP49" s="192"/>
      <c r="AQ49" s="192"/>
      <c r="AR49" s="192"/>
      <c r="AS49" s="192"/>
      <c r="AT49" s="192"/>
      <c r="AU49" s="192"/>
      <c r="AV49" s="192"/>
      <c r="AW49" s="192"/>
      <c r="AX49" s="192"/>
      <c r="AY49" s="192"/>
      <c r="AZ49" s="192"/>
      <c r="BA49" s="192"/>
      <c r="BB49" s="192"/>
      <c r="BC49" s="192"/>
      <c r="BD49" s="192"/>
      <c r="BE49" s="192"/>
      <c r="BF49" s="192"/>
      <c r="BG49" s="192"/>
      <c r="BH49" s="192"/>
      <c r="BI49" s="192"/>
      <c r="BJ49" s="192"/>
      <c r="BK49" s="192"/>
      <c r="BL49" s="192"/>
      <c r="BM49" s="192"/>
      <c r="BN49" s="192"/>
      <c r="BO49" s="192"/>
      <c r="BP49" s="192"/>
      <c r="BQ49" s="192"/>
      <c r="BR49" s="192"/>
      <c r="BS49" s="192"/>
      <c r="BT49" s="192"/>
      <c r="BU49" s="192"/>
      <c r="BV49" s="192"/>
      <c r="BW49" s="192"/>
      <c r="BX49" s="192"/>
      <c r="BY49" s="192"/>
      <c r="BZ49" s="192"/>
      <c r="CA49" s="192"/>
      <c r="CB49" s="192"/>
      <c r="CC49" s="192"/>
      <c r="CD49" s="192"/>
      <c r="CE49" s="192"/>
      <c r="CF49" s="192"/>
      <c r="CG49" s="192"/>
      <c r="CH49" s="192"/>
      <c r="CI49" s="192"/>
      <c r="CJ49" s="192"/>
      <c r="CK49" s="192"/>
      <c r="CL49" s="192"/>
      <c r="CM49" s="192"/>
      <c r="CN49" s="192"/>
      <c r="CO49" s="192"/>
      <c r="CP49" s="192"/>
      <c r="CQ49" s="192"/>
      <c r="CR49" s="192"/>
      <c r="CS49" s="192"/>
      <c r="CT49" s="192"/>
      <c r="CU49" s="192"/>
      <c r="CV49" s="192"/>
      <c r="CW49" s="192"/>
      <c r="CX49" s="192"/>
      <c r="CY49" s="192"/>
      <c r="CZ49" s="192"/>
      <c r="DA49" s="192"/>
      <c r="DB49" s="192"/>
      <c r="DC49" s="192"/>
      <c r="DD49" s="192"/>
      <c r="DE49" s="192"/>
      <c r="DF49" s="192"/>
      <c r="DG49" s="192"/>
      <c r="DH49" s="192"/>
      <c r="DI49" s="192"/>
      <c r="DJ49" s="192"/>
      <c r="DK49" s="192"/>
      <c r="DL49" s="192"/>
      <c r="DM49" s="192"/>
      <c r="DN49" s="192"/>
      <c r="DO49" s="192"/>
      <c r="DP49" s="192"/>
      <c r="DQ49" s="192"/>
      <c r="DR49" s="192"/>
      <c r="DS49" s="192"/>
      <c r="DT49" s="192"/>
      <c r="DU49" s="192"/>
      <c r="DV49" s="192"/>
      <c r="DW49" s="192"/>
      <c r="DX49" s="192"/>
      <c r="DY49" s="192"/>
      <c r="DZ49" s="192"/>
      <c r="EA49" s="192"/>
      <c r="EB49" s="192"/>
      <c r="EC49" s="192"/>
      <c r="ED49" s="192"/>
      <c r="EE49" s="192"/>
      <c r="EF49" s="192"/>
      <c r="EG49" s="192"/>
      <c r="EH49" s="192"/>
      <c r="EI49" s="192"/>
      <c r="EJ49" s="192"/>
      <c r="EK49" s="192"/>
      <c r="EL49" s="192"/>
      <c r="EM49" s="192"/>
      <c r="EN49" s="192"/>
      <c r="EO49" s="192"/>
      <c r="EP49" s="192"/>
      <c r="EQ49" s="192"/>
      <c r="ER49" s="192"/>
      <c r="ES49" s="192"/>
      <c r="ET49" s="192"/>
      <c r="EU49" s="192"/>
      <c r="EV49" s="192"/>
      <c r="EW49" s="192"/>
      <c r="EX49" s="192"/>
      <c r="EY49" s="192"/>
      <c r="EZ49" s="192"/>
      <c r="FA49" s="192"/>
      <c r="FB49" s="192"/>
      <c r="FC49" s="192"/>
      <c r="FD49" s="192"/>
      <c r="FE49" s="192"/>
      <c r="FF49" s="192"/>
      <c r="FG49" s="192"/>
      <c r="FH49" s="192"/>
      <c r="FI49" s="192"/>
      <c r="FJ49" s="192"/>
      <c r="FK49" s="192"/>
      <c r="FL49" s="192"/>
      <c r="FM49" s="192"/>
      <c r="FN49" s="192"/>
      <c r="FO49" s="192"/>
      <c r="FP49" s="192"/>
      <c r="FQ49" s="192"/>
      <c r="FR49" s="192"/>
      <c r="FS49" s="192"/>
      <c r="FT49" s="192"/>
      <c r="FU49" s="192"/>
      <c r="FV49" s="192"/>
      <c r="FW49" s="192"/>
      <c r="FX49" s="192"/>
      <c r="FY49" s="192"/>
      <c r="FZ49" s="192"/>
      <c r="GA49" s="192"/>
      <c r="GB49" s="192"/>
      <c r="GC49" s="192"/>
      <c r="GD49" s="192"/>
      <c r="GE49" s="192"/>
      <c r="GF49" s="192"/>
      <c r="GG49" s="192"/>
      <c r="GH49" s="192"/>
      <c r="GI49" s="192"/>
      <c r="GJ49" s="192"/>
      <c r="GK49" s="192"/>
      <c r="GL49" s="192"/>
      <c r="GM49" s="192"/>
      <c r="GN49" s="192"/>
      <c r="GO49" s="192"/>
      <c r="GP49" s="192"/>
      <c r="GQ49" s="192"/>
      <c r="GR49" s="192"/>
      <c r="GS49" s="192"/>
      <c r="GT49" s="192"/>
      <c r="GU49" s="192"/>
      <c r="GV49" s="192"/>
      <c r="GW49" s="192"/>
      <c r="GX49" s="192"/>
      <c r="GY49" s="192"/>
      <c r="GZ49" s="192"/>
      <c r="HA49" s="192"/>
      <c r="HB49" s="192"/>
      <c r="HC49" s="192"/>
      <c r="HD49" s="192"/>
      <c r="HE49" s="192"/>
      <c r="HF49" s="192"/>
      <c r="HG49" s="192"/>
      <c r="HH49" s="192"/>
      <c r="HI49" s="192"/>
      <c r="HJ49" s="192"/>
      <c r="HK49" s="192"/>
      <c r="HL49" s="192"/>
      <c r="HM49" s="192"/>
      <c r="HN49" s="192"/>
      <c r="HO49" s="192"/>
      <c r="HP49" s="192"/>
      <c r="HQ49" s="192"/>
      <c r="HR49" s="192"/>
      <c r="HS49" s="192"/>
      <c r="HT49" s="192"/>
      <c r="HU49" s="192"/>
      <c r="HV49" s="192"/>
      <c r="HW49" s="192"/>
      <c r="HX49" s="192"/>
      <c r="HY49" s="192"/>
      <c r="HZ49" s="192"/>
      <c r="IA49" s="192"/>
      <c r="IB49" s="192"/>
      <c r="IC49" s="192"/>
      <c r="ID49" s="192"/>
      <c r="IE49" s="192"/>
      <c r="IF49" s="192"/>
      <c r="IG49" s="192"/>
      <c r="IH49" s="192"/>
      <c r="II49" s="192"/>
      <c r="IJ49" s="192"/>
      <c r="IK49" s="192"/>
      <c r="IL49" s="192"/>
      <c r="IM49" s="192"/>
      <c r="IN49" s="192"/>
      <c r="IO49" s="192"/>
      <c r="IP49" s="192"/>
      <c r="IQ49" s="192"/>
      <c r="IR49" s="192"/>
      <c r="IS49" s="192"/>
      <c r="IT49" s="192"/>
      <c r="IU49" s="192"/>
      <c r="IV49" s="192"/>
      <c r="IW49" s="192"/>
      <c r="IX49" s="192"/>
      <c r="JA49" s="198"/>
      <c r="JB49" s="198"/>
      <c r="JC49" s="198"/>
      <c r="JD49" s="199">
        <f>SUM((TEXT(JA49,"[M]")/60)*'Income Person-hours'!$D$3,(TEXT(JB49,"[M]")/60)*'Income Person-hours'!$D$4,(TEXT(JC49,"[M]")/60)*'Income Person-hours'!$D$5)</f>
        <v>0</v>
      </c>
    </row>
    <row r="50" spans="1:264" s="192" customFormat="1" ht="13.5">
      <c r="A50" s="202">
        <v>3.22</v>
      </c>
      <c r="B50" s="186" t="s">
        <v>152</v>
      </c>
      <c r="C50" s="173" t="s">
        <v>103</v>
      </c>
      <c r="D50" s="192" t="str">
        <f>IF(OR(j_WEEKDAY(J_ADDDAY(VLOOKUP(I50,A:F,6,FALSE),H50,1),0)=6,SUMIFS(Holieday[ok],Holieday[date],J_ADDDAY(VLOOKUP(I50,A:F,6,FALSE),H50,1)))=FALSE(),J_ADDDAY(VLOOKUP(I50,A:F,6,FALSE),H50,1),IF(OR(j_WEEKDAY(J_ADDDAY(VLOOKUP(I50,A:F,6,FALSE),H50+1,1),0)=6,SUMIFS(Holieday[ok],Holieday[date],J_ADDDAY(VLOOKUP(I50,A:F,6,FALSE),H50+1,1)))=FALSE(),J_ADDDAY(VLOOKUP(I50,A:F,6,FALSE),H50+1,1),IF(OR(j_WEEKDAY(J_ADDDAY(VLOOKUP(I50,A:F,6,FALSE),H50+2,1),0)=6,SUMIFS(Holieday[ok],Holieday[date],J_ADDDAY(VLOOKUP(I50,A:F,6,FALSE),H50+2,1)))=FALSE(),J_ADDDAY(VLOOKUP(I50,A:F,6,FALSE),H50+2,1),IF(OR(j_WEEKDAY(J_ADDDAY(VLOOKUP(I50,A:F,6,FALSE),H50+3,1),0)=6,SUMIFS(Holieday[ok],Holieday[date],J_ADDDAY(VLOOKUP(I50,A:F,6,FALSE),H50+3,1)))=FALSE(),J_ADDDAY(VLOOKUP(I50,A:F,6,FALSE),H50+3,1),IF(OR(j_WEEKDAY(J_ADDDAY(VLOOKUP(I50,A:F,6,FALSE),H50+4,1),0)=6,SUMIFS(Holieday[ok],Holieday[date],J_ADDDAY(VLOOKUP(I50,A:F,6,FALSE),H50+4,1)))=FALSE(),J_ADDDAY(VLOOKUP(I50,A:F,6,FALSE),H50+4,1),J_ADDDAY(VLOOKUP(I50,A:F,6,FALSE),H50+5,1))))))</f>
        <v>1398/11/07</v>
      </c>
      <c r="E50" s="1">
        <f t="shared" si="23"/>
        <v>13981107</v>
      </c>
      <c r="F50" s="196" t="str">
        <f>IF(N50=0,J_SUBDAY(D50,1,1),IF((N50-(NETWORKDAYS.INTL(J_GregorianDate(D50,1),J_GregorianDate(J_SUBDAY(J_ADDDAY(D50,N50,1),1,1),1),16,1)))+SUMIFS(Holieday[ok],Holieday[date],CONCATENATE("&gt;","=",D50),Holieday[date],CONCATENATE("&lt;","=",J_SUBDAY(J_ADDDAY(D50,N50,1),1,1)))-SUMIFS(Holieday[Friday],Holieday[date],CONCATENATE("&gt;","=",D50),Holieday[date],CONCATENATE("&lt;","=",J_SUBDAY(J_ADDDAY(D50,N50,1),1,1)))=0,J_SUBDAY(J_ADDDAY(D50,N50,1),1,1),IF((N50+1-(NETWORKDAYS.INTL(J_GregorianDate(D50,1),J_GregorianDate(J_SUBDAY(J_ADDDAY(D50,N50+1,1),1,1),1),16,1)))+SUMIFS(Holieday[ok],Holieday[date],CONCATENATE("&gt;","=",D50),Holieday[date],CONCATENATE("&lt;","=",J_SUBDAY(J_ADDDAY(D50,N50+1,1),1,1)))-SUMIFS(Holieday[Friday],Holieday[date],CONCATENATE("&gt;","=",D50),Holieday[date],CONCATENATE("&lt;","=",J_SUBDAY(J_ADDDAY(D50,N50+1,1),1,1)))=1,J_SUBDAY(J_ADDDAY(D50,N50+1,1),1,1),IF((N50+2-(NETWORKDAYS.INTL(J_GregorianDate(D50,1),J_GregorianDate(J_SUBDAY(J_ADDDAY(D50,N50+2,1),1,1),1),16,1)))+SUMIFS(Holieday[ok],Holieday[date],CONCATENATE("&gt;","=",D50),Holieday[date],CONCATENATE("&lt;","=",J_SUBDAY(J_ADDDAY(D50,N50+2,1),1,1)))-SUMIFS(Holieday[Friday],Holieday[date],CONCATENATE("&gt;","=",D50),Holieday[date],CONCATENATE("&lt;","=",J_SUBDAY(J_ADDDAY(D50,N50+2,1),1,1)))=2,J_SUBDAY(J_ADDDAY(D50,N50+2,1),1,1),IF((N50+3-(NETWORKDAYS.INTL(J_GregorianDate(D50,1),J_GregorianDate(J_SUBDAY(J_ADDDAY(D50,N50+3,1),1,1),1),16,1)))+SUMIFS(Holieday[ok],Holieday[date],CONCATENATE("&gt;","=",D50),Holieday[date],CONCATENATE("&lt;","=",J_SUBDAY(J_ADDDAY(D50,N50+3,1),1,1)))-SUMIFS(Holieday[Friday],Holieday[date],CONCATENATE("&gt;","=",D50),Holieday[date],CONCATENATE("&lt;","=",J_SUBDAY(J_ADDDAY(D50,N50+3,1),1,1)))=3,J_SUBDAY(J_ADDDAY(D50,N50+3,1),1,1),IF((N50+4-(NETWORKDAYS.INTL(J_GregorianDate(D50,1),J_GregorianDate(J_SUBDAY(J_ADDDAY(D50,N50+4,1),1,1),1),16,1)))+SUMIFS(Holieday[ok],Holieday[date],CONCATENATE("&gt;","=",D50),Holieday[date],CONCATENATE("&lt;","=",J_SUBDAY(J_ADDDAY(D50,N50+4,1),1,1)))-SUMIFS(Holieday[Friday],Holieday[date],CONCATENATE("&gt;","=",D50),Holieday[date],CONCATENATE("&lt;","=",J_SUBDAY(J_ADDDAY(D50,N50+4,1),1,1)))=4,J_SUBDAY(J_ADDDAY(D50,N50+4,1),1,1),IF((N50+5-(NETWORKDAYS.INTL(J_GregorianDate(D50,1),J_GregorianDate(J_SUBDAY(J_ADDDAY(D50,N50+5,1),1,1),1),16,1)))+SUMIFS(Holieday[ok],Holieday[date],CONCATENATE("&gt;","=",D50),Holieday[date],CONCATENATE("&lt;","=",J_SUBDAY(J_ADDDAY(D50,N50+5,1),1,1)))-SUMIFS(Holieday[Friday],Holieday[date],CONCATENATE("&gt;","=",D50),Holieday[date],CONCATENATE("&lt;","=",J_SUBDAY(J_ADDDAY(D50,N50+5,1),1,1)))=5,J_SUBDAY(J_ADDDAY(D50,N50+5,1),1,1),J_SUBDAY(J_ADDDAY(D50,N50+6,1),1,1))))))))</f>
        <v>1398/11/10</v>
      </c>
      <c r="G50" s="2">
        <f t="shared" si="24"/>
        <v>13981110</v>
      </c>
      <c r="H50" s="175">
        <v>1</v>
      </c>
      <c r="I50" s="176">
        <v>3.21</v>
      </c>
      <c r="J50" s="190">
        <f>j_WEEKDAY(D50,2)</f>
        <v>2</v>
      </c>
      <c r="K50" s="13">
        <f t="shared" si="21"/>
        <v>0</v>
      </c>
      <c r="L50" s="203">
        <f t="shared" si="22"/>
        <v>4</v>
      </c>
      <c r="M50" s="178">
        <v>0</v>
      </c>
      <c r="N50" s="179">
        <v>3</v>
      </c>
      <c r="O50" s="6">
        <f t="shared" si="25"/>
        <v>0</v>
      </c>
      <c r="P50" s="6">
        <f>VALUE(J_normdate(J_ADDDAY($D50,$O50,1)))</f>
        <v>13981107</v>
      </c>
      <c r="Q50" s="5">
        <f t="shared" si="12"/>
        <v>4</v>
      </c>
      <c r="JA50" s="173"/>
      <c r="JB50" s="173"/>
      <c r="JC50" s="173"/>
      <c r="JD50" s="195">
        <f>SUM((TEXT(JA50,"[M]")/60)*'Income Person-hours'!$D$3,(TEXT(JB50,"[M]")/60)*'Income Person-hours'!$D$4,(TEXT(JC50,"[M]")/60)*'Income Person-hours'!$D$5)</f>
        <v>0</v>
      </c>
    </row>
    <row r="51" spans="1:264" s="288" customFormat="1" ht="13.5">
      <c r="A51" s="284">
        <v>4</v>
      </c>
      <c r="B51" s="271" t="s">
        <v>122</v>
      </c>
      <c r="C51" s="272"/>
      <c r="D51" s="287" t="str">
        <f>FDate(MIN(E52:E56))</f>
        <v>1398/10/14</v>
      </c>
      <c r="E51" s="136">
        <f>VALUE(J_normdate(D51))</f>
        <v>13981014</v>
      </c>
      <c r="F51" s="287" t="str">
        <f>J_SUBDAY(J_ADDDAY(D51,L51,1),1,1)</f>
        <v>1398/11/15</v>
      </c>
      <c r="G51" s="139">
        <f t="shared" ref="G51:G63" si="26">VALUE(J_normdate(F51))</f>
        <v>13981115</v>
      </c>
      <c r="H51" s="285"/>
      <c r="I51" s="286"/>
      <c r="J51" s="273">
        <f>j_WEEKDAY(D51,2)</f>
        <v>0</v>
      </c>
      <c r="K51" s="140">
        <f>SUM(K52:K56)</f>
        <v>0</v>
      </c>
      <c r="L51" s="276">
        <f>J_DIFF(D51,FDate(MAX(G52:G56)))+1</f>
        <v>32</v>
      </c>
      <c r="M51" s="277">
        <f>IF(SUM(L52:L56)&lt;&gt;0,SUMPRODUCT(L52:L56,M52:M56)/SUM(L52:L56),0)</f>
        <v>3.8461538461538464E-2</v>
      </c>
      <c r="N51" s="278">
        <f>IF(F51&gt;=D51,NETWORKDAYS.INTL(J_GregorianDate(D51,1),J_GregorianDate(F51,1),16,1)-SUMIFS(Holieday[ok],Holieday[date],CONCATENATE("&gt;","=",D51),Holieday[date],CONCATENATE("&lt;","=",F51))+SUMIFS(Holieday[Friday],Holieday[date],CONCATENATE("&gt;","=",D51),Holieday[date],CONCATENATE("&lt;","=",F51)),0)</f>
        <v>27</v>
      </c>
      <c r="O51" s="135">
        <f t="shared" ref="O51:O56" si="27">ROUNDDOWN(M51*L51,0)</f>
        <v>1</v>
      </c>
      <c r="P51" s="135">
        <f>VALUE(J_normdate(J_ADDDAY($D51,$O51,1)))</f>
        <v>13981015</v>
      </c>
      <c r="Q51" s="138">
        <f t="shared" ref="Q51:Q56" si="28">L51-O51</f>
        <v>31</v>
      </c>
      <c r="IY51" s="289"/>
      <c r="IZ51" s="290"/>
      <c r="JA51" s="291"/>
      <c r="JB51" s="291"/>
      <c r="JC51" s="291"/>
    </row>
    <row r="52" spans="1:264" s="185" customFormat="1" ht="13.5">
      <c r="A52" s="172">
        <v>4.0999999999999996</v>
      </c>
      <c r="B52" s="186" t="s">
        <v>107</v>
      </c>
      <c r="C52" s="173" t="s">
        <v>104</v>
      </c>
      <c r="D52" s="189" t="str">
        <f>IF(OR(j_WEEKDAY(J_ADDDAY(VLOOKUP(I52,A:F,6,FALSE),H52,1),0)=6,SUMIFS(Holieday[ok],Holieday[date],J_ADDDAY(VLOOKUP(I52,A:F,6,FALSE),H52,1)))=FALSE(),J_ADDDAY(VLOOKUP(I52,A:F,6,FALSE),H52,1),IF(OR(j_WEEKDAY(J_ADDDAY(VLOOKUP(I52,A:F,6,FALSE),H52+1,1),0)=6,SUMIFS(Holieday[ok],Holieday[date],J_ADDDAY(VLOOKUP(I52,A:F,6,FALSE),H52+1,1)))=FALSE(),J_ADDDAY(VLOOKUP(I52,A:F,6,FALSE),H52+1,1),IF(OR(j_WEEKDAY(J_ADDDAY(VLOOKUP(I52,A:F,6,FALSE),H52+2,1),0)=6,SUMIFS(Holieday[ok],Holieday[date],J_ADDDAY(VLOOKUP(I52,A:F,6,FALSE),H52+2,1)))=FALSE(),J_ADDDAY(VLOOKUP(I52,A:F,6,FALSE),H52+2,1),IF(OR(j_WEEKDAY(J_ADDDAY(VLOOKUP(I52,A:F,6,FALSE),H52+3,1),0)=6,SUMIFS(Holieday[ok],Holieday[date],J_ADDDAY(VLOOKUP(I52,A:F,6,FALSE),H52+3,1)))=FALSE(),J_ADDDAY(VLOOKUP(I52,A:F,6,FALSE),H52+3,1),IF(OR(j_WEEKDAY(J_ADDDAY(VLOOKUP(I52,A:F,6,FALSE),H52+4,1),0)=6,SUMIFS(Holieday[ok],Holieday[date],J_ADDDAY(VLOOKUP(I52,A:F,6,FALSE),H52+4,1)))=FALSE(),J_ADDDAY(VLOOKUP(I52,A:F,6,FALSE),H52+4,1),J_ADDDAY(VLOOKUP(I52,A:F,6,FALSE),H52+5,1))))))</f>
        <v>1398/10/14</v>
      </c>
      <c r="E52" s="136">
        <f t="shared" ref="E52:E63" si="29">VALUE(J_normdate(D52))</f>
        <v>13981014</v>
      </c>
      <c r="F52" s="189" t="str">
        <f>IF(N52=0,J_SUBDAY(D52,1,1),IF((N52-NETWORKDAYS.INTL(J_GregorianDate(D52,1),J_GregorianDate(J_SUBDAY(J_ADDDAY(D52,N52,1),1,1),1),16,1)-SUMIFS(Holieday[ok],Holieday[date],CONCATENATE("&gt;","=",D52),Holieday[date],CONCATENATE("&lt;","=",J_SUBDAY(J_ADDDAY(D52,N52,1),1,1)))+SUMIFS(Holieday[Friday],Holieday[date],CONCATENATE("&gt;","=",D52),Holieday[date],CONCATENATE("&lt;","=",J_SUBDAY(J_ADDDAY(D52,N52,1),1,1))))=0,J_SUBDAY(J_ADDDAY(D52,N52,1),1,1),IF((N52-NETWORKDAYS.INTL(J_GregorianDate(D52,1),J_GregorianDate(J_SUBDAY(J_ADDDAY(D52,N52,1),1,1),1),16,1)-SUMIFS(Holieday[ok],Holieday[date],CONCATENATE("&gt;","=",D52),Holieday[date],CONCATENATE("&lt;","=",J_SUBDAY(J_ADDDAY(D52,N52,1),1,1)))+SUMIFS(Holieday[Friday],Holieday[date],CONCATENATE("&gt;","=",D52),Holieday[date],CONCATENATE("&lt;","=",J_SUBDAY(J_ADDDAY(D52,N52,1),1,1))))=1,J_SUBDAY(J_ADDDAY(D52,N52+1,1),1,1),IF((N52-NETWORKDAYS.INTL(J_GregorianDate(D52,1),J_GregorianDate(J_SUBDAY(J_ADDDAY(D52,N52,1),1,1),1),16,1)-SUMIFS(Holieday[ok],Holieday[date],CONCATENATE("&gt;","=",D52),Holieday[date],CONCATENATE("&lt;","=",J_SUBDAY(J_ADDDAY(D52,N52,1),1,1)))+SUMIFS(Holieday[Friday],Holieday[date],CONCATENATE("&gt;","=",D52),Holieday[date],CONCATENATE("&lt;","=",J_SUBDAY(J_ADDDAY(D52,N52,1),1,1))))=2,J_SUBDAY(J_ADDDAY(D52,N52+2,1),1,1),J_SUBDAY(J_ADDDAY(D52,N52+3,1),1,1)))))</f>
        <v>1398/10/14</v>
      </c>
      <c r="G52" s="139">
        <f t="shared" si="26"/>
        <v>13981014</v>
      </c>
      <c r="H52" s="175">
        <v>10</v>
      </c>
      <c r="I52" s="176">
        <v>1.2</v>
      </c>
      <c r="J52" s="174">
        <f>j_WEEKDAY(D52,2)</f>
        <v>0</v>
      </c>
      <c r="K52" s="143">
        <f t="shared" ref="K52:K56" si="30">SUM(JA52:JC52)</f>
        <v>0</v>
      </c>
      <c r="L52" s="177">
        <f t="shared" ref="L52:L56" si="31">J_DIFF(D52,F52)+1</f>
        <v>1</v>
      </c>
      <c r="M52" s="178">
        <v>1</v>
      </c>
      <c r="N52" s="179">
        <v>1</v>
      </c>
      <c r="O52" s="144">
        <f t="shared" si="27"/>
        <v>1</v>
      </c>
      <c r="P52" s="144">
        <f>VALUE(J_normdate(J_ADDDAY($D52,$O52,1)))</f>
        <v>13981015</v>
      </c>
      <c r="Q52" s="142">
        <f t="shared" si="28"/>
        <v>0</v>
      </c>
      <c r="R52" s="180"/>
      <c r="S52" s="180"/>
      <c r="T52" s="180"/>
      <c r="U52" s="180"/>
      <c r="V52" s="180"/>
      <c r="W52" s="180"/>
      <c r="X52" s="180"/>
      <c r="Y52" s="180"/>
      <c r="Z52" s="180"/>
      <c r="AA52" s="180"/>
      <c r="AB52" s="180"/>
      <c r="AC52" s="180"/>
      <c r="AD52" s="180"/>
      <c r="AE52" s="180"/>
      <c r="AF52" s="180"/>
      <c r="AG52" s="180"/>
      <c r="AH52" s="180"/>
      <c r="AI52" s="180"/>
      <c r="AJ52" s="180"/>
      <c r="AK52" s="180"/>
      <c r="AL52" s="180"/>
      <c r="AM52" s="180"/>
      <c r="AN52" s="180"/>
      <c r="AO52" s="180"/>
      <c r="AP52" s="180"/>
      <c r="AQ52" s="180"/>
      <c r="AR52" s="180"/>
      <c r="AS52" s="180"/>
      <c r="AT52" s="180"/>
      <c r="AU52" s="180"/>
      <c r="AV52" s="180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180"/>
      <c r="BR52" s="180"/>
      <c r="BS52" s="180"/>
      <c r="BT52" s="180"/>
      <c r="BU52" s="180"/>
      <c r="BV52" s="180"/>
      <c r="BW52" s="180"/>
      <c r="BX52" s="180"/>
      <c r="BY52" s="180"/>
      <c r="BZ52" s="180"/>
      <c r="CA52" s="180"/>
      <c r="CB52" s="180"/>
      <c r="CC52" s="180"/>
      <c r="CD52" s="180"/>
      <c r="CE52" s="180"/>
      <c r="CF52" s="180"/>
      <c r="CG52" s="180"/>
      <c r="CH52" s="180"/>
      <c r="CI52" s="180"/>
      <c r="CJ52" s="180"/>
      <c r="CK52" s="180"/>
      <c r="CL52" s="180"/>
      <c r="CM52" s="180"/>
      <c r="CN52" s="180"/>
      <c r="CO52" s="180"/>
      <c r="CP52" s="180"/>
      <c r="CQ52" s="180"/>
      <c r="CR52" s="180"/>
      <c r="CS52" s="180"/>
      <c r="CT52" s="180"/>
      <c r="CU52" s="180"/>
      <c r="CV52" s="180"/>
      <c r="CW52" s="180"/>
      <c r="CX52" s="180"/>
      <c r="CY52" s="180"/>
      <c r="CZ52" s="180"/>
      <c r="DA52" s="180"/>
      <c r="DB52" s="180"/>
      <c r="DC52" s="180"/>
      <c r="DD52" s="180"/>
      <c r="DE52" s="180"/>
      <c r="DF52" s="180"/>
      <c r="DG52" s="180"/>
      <c r="DH52" s="180"/>
      <c r="DI52" s="180"/>
      <c r="DJ52" s="180"/>
      <c r="DK52" s="180"/>
      <c r="DL52" s="180"/>
      <c r="DM52" s="180"/>
      <c r="DN52" s="180"/>
      <c r="DO52" s="180"/>
      <c r="DP52" s="180"/>
      <c r="DQ52" s="180"/>
      <c r="DR52" s="180"/>
      <c r="DS52" s="180"/>
      <c r="DT52" s="180"/>
      <c r="DU52" s="180"/>
      <c r="DV52" s="180"/>
      <c r="DW52" s="180"/>
      <c r="DX52" s="180"/>
      <c r="DY52" s="180"/>
      <c r="DZ52" s="180"/>
      <c r="EA52" s="180"/>
      <c r="EB52" s="180"/>
      <c r="EC52" s="180"/>
      <c r="ED52" s="180"/>
      <c r="EE52" s="180"/>
      <c r="EF52" s="180"/>
      <c r="EG52" s="180"/>
      <c r="EH52" s="180"/>
      <c r="EI52" s="180"/>
      <c r="EJ52" s="180"/>
      <c r="EK52" s="180"/>
      <c r="EL52" s="180"/>
      <c r="EM52" s="180"/>
      <c r="EN52" s="180"/>
      <c r="EO52" s="180"/>
      <c r="EP52" s="180"/>
      <c r="EQ52" s="180"/>
      <c r="ER52" s="180"/>
      <c r="ES52" s="180"/>
      <c r="ET52" s="180"/>
      <c r="EU52" s="180"/>
      <c r="EV52" s="180"/>
      <c r="EW52" s="180"/>
      <c r="EX52" s="180"/>
      <c r="EY52" s="180"/>
      <c r="EZ52" s="180"/>
      <c r="FA52" s="180"/>
      <c r="FB52" s="180"/>
      <c r="FC52" s="180"/>
      <c r="FD52" s="180"/>
      <c r="FE52" s="180"/>
      <c r="FF52" s="180"/>
      <c r="FG52" s="180"/>
      <c r="FH52" s="180"/>
      <c r="FI52" s="180"/>
      <c r="FJ52" s="180"/>
      <c r="FK52" s="180"/>
      <c r="FL52" s="180"/>
      <c r="FM52" s="180"/>
      <c r="FN52" s="180"/>
      <c r="FO52" s="180"/>
      <c r="FP52" s="180"/>
      <c r="FQ52" s="180"/>
      <c r="FR52" s="180"/>
      <c r="FS52" s="180"/>
      <c r="FT52" s="180"/>
      <c r="FU52" s="180"/>
      <c r="FV52" s="180"/>
      <c r="FW52" s="180"/>
      <c r="FX52" s="180"/>
      <c r="FY52" s="180"/>
      <c r="FZ52" s="180"/>
      <c r="GA52" s="180"/>
      <c r="GB52" s="180"/>
      <c r="GC52" s="180"/>
      <c r="GD52" s="180"/>
      <c r="GE52" s="180"/>
      <c r="GF52" s="180"/>
      <c r="GG52" s="180"/>
      <c r="GH52" s="180"/>
      <c r="GI52" s="180"/>
      <c r="GJ52" s="180"/>
      <c r="GK52" s="180"/>
      <c r="GL52" s="180"/>
      <c r="GM52" s="180"/>
      <c r="GN52" s="180"/>
      <c r="GO52" s="180"/>
      <c r="GP52" s="180"/>
      <c r="GQ52" s="180"/>
      <c r="GR52" s="180"/>
      <c r="GS52" s="180"/>
      <c r="GT52" s="180"/>
      <c r="GU52" s="180"/>
      <c r="GV52" s="180"/>
      <c r="GW52" s="180"/>
      <c r="GX52" s="180"/>
      <c r="GY52" s="180"/>
      <c r="GZ52" s="180"/>
      <c r="HA52" s="180"/>
      <c r="HB52" s="180"/>
      <c r="HC52" s="180"/>
      <c r="HD52" s="180"/>
      <c r="HE52" s="180"/>
      <c r="HF52" s="180"/>
      <c r="HG52" s="180"/>
      <c r="HH52" s="180"/>
      <c r="HI52" s="180"/>
      <c r="HJ52" s="180"/>
      <c r="HK52" s="180"/>
      <c r="HL52" s="180"/>
      <c r="HM52" s="180"/>
      <c r="HN52" s="180"/>
      <c r="HO52" s="180"/>
      <c r="HP52" s="180"/>
      <c r="HQ52" s="180"/>
      <c r="HR52" s="180"/>
      <c r="HS52" s="180"/>
      <c r="HT52" s="180"/>
      <c r="HU52" s="180"/>
      <c r="HV52" s="180"/>
      <c r="HW52" s="180"/>
      <c r="HX52" s="180"/>
      <c r="HY52" s="180"/>
      <c r="HZ52" s="180"/>
      <c r="IA52" s="180"/>
      <c r="IB52" s="180"/>
      <c r="IC52" s="180"/>
      <c r="ID52" s="180"/>
      <c r="IE52" s="180"/>
      <c r="IF52" s="180"/>
      <c r="IG52" s="180"/>
      <c r="IH52" s="180"/>
      <c r="II52" s="180"/>
      <c r="IJ52" s="180"/>
      <c r="IK52" s="180"/>
      <c r="IL52" s="180"/>
      <c r="IM52" s="180"/>
      <c r="IN52" s="180"/>
      <c r="IO52" s="180"/>
      <c r="IP52" s="180"/>
      <c r="IQ52" s="180"/>
      <c r="IR52" s="180"/>
      <c r="IS52" s="180"/>
      <c r="IT52" s="180"/>
      <c r="IU52" s="180"/>
      <c r="IV52" s="180"/>
      <c r="IW52" s="180"/>
      <c r="IX52" s="180"/>
      <c r="IY52" s="181">
        <v>2</v>
      </c>
      <c r="IZ52" s="182">
        <f>(TEXT(K52,"[m]")/60)*VLOOKUP(IY52,'Income Person-hours'!A$2:C$5,3,FALSE)</f>
        <v>0</v>
      </c>
      <c r="JA52" s="183"/>
      <c r="JB52" s="183"/>
      <c r="JC52" s="183"/>
      <c r="JD52" s="184">
        <f>SUM((TEXT(JA52,"[M]")/60)*'Income Person-hours'!$D$3,(TEXT(JB52,"[M]")/60)*'Income Person-hours'!$D$4,(TEXT(JC52,"[M]")/60)*'Income Person-hours'!$D$5)</f>
        <v>0</v>
      </c>
    </row>
    <row r="53" spans="1:264" s="185" customFormat="1" ht="13.5">
      <c r="A53" s="172">
        <v>4.2</v>
      </c>
      <c r="B53" s="186" t="s">
        <v>121</v>
      </c>
      <c r="C53" s="173" t="s">
        <v>72</v>
      </c>
      <c r="D53" s="189" t="str">
        <f>IF(OR(j_WEEKDAY(J_ADDDAY(VLOOKUP(I53,A:F,6,FALSE),H53,1),0)=6,SUMIFS(Holieday[ok],Holieday[date],J_ADDDAY(VLOOKUP(I53,A:F,6,FALSE),H53,1)))=FALSE(),J_ADDDAY(VLOOKUP(I53,A:F,6,FALSE),H53,1),IF(OR(j_WEEKDAY(J_ADDDAY(VLOOKUP(I53,A:F,6,FALSE),H53+1,1),0)=6,SUMIFS(Holieday[ok],Holieday[date],J_ADDDAY(VLOOKUP(I53,A:F,6,FALSE),H53+1,1)))=FALSE(),J_ADDDAY(VLOOKUP(I53,A:F,6,FALSE),H53+1,1),IF(OR(j_WEEKDAY(J_ADDDAY(VLOOKUP(I53,A:F,6,FALSE),H53+2,1),0)=6,SUMIFS(Holieday[ok],Holieday[date],J_ADDDAY(VLOOKUP(I53,A:F,6,FALSE),H53+2,1)))=FALSE(),J_ADDDAY(VLOOKUP(I53,A:F,6,FALSE),H53+2,1),IF(OR(j_WEEKDAY(J_ADDDAY(VLOOKUP(I53,A:F,6,FALSE),H53+3,1),0)=6,SUMIFS(Holieday[ok],Holieday[date],J_ADDDAY(VLOOKUP(I53,A:F,6,FALSE),H53+3,1)))=FALSE(),J_ADDDAY(VLOOKUP(I53,A:F,6,FALSE),H53+3,1),IF(OR(j_WEEKDAY(J_ADDDAY(VLOOKUP(I53,A:F,6,FALSE),H53+4,1),0)=6,SUMIFS(Holieday[ok],Holieday[date],J_ADDDAY(VLOOKUP(I53,A:F,6,FALSE),H53+4,1)))=FALSE(),J_ADDDAY(VLOOKUP(I53,A:F,6,FALSE),H53+4,1),J_ADDDAY(VLOOKUP(I53,A:F,6,FALSE),H53+5,1))))))</f>
        <v>1398/10/15</v>
      </c>
      <c r="E53" s="136">
        <f t="shared" si="29"/>
        <v>13981015</v>
      </c>
      <c r="F53" s="189" t="str">
        <f>IF(N53=0,J_SUBDAY(D53,1,1),IF((N53-NETWORKDAYS.INTL(J_GregorianDate(D53,1),J_GregorianDate(J_SUBDAY(J_ADDDAY(D53,N53,1),1,1),1),16,1)-SUMIFS(Holieday[ok],Holieday[date],CONCATENATE("&gt;","=",D53),Holieday[date],CONCATENATE("&lt;","=",J_SUBDAY(J_ADDDAY(D53,N53,1),1,1)))+SUMIFS(Holieday[Friday],Holieday[date],CONCATENATE("&gt;","=",D53),Holieday[date],CONCATENATE("&lt;","=",J_SUBDAY(J_ADDDAY(D53,N53,1),1,1))))=0,J_SUBDAY(J_ADDDAY(D53,N53,1),1,1),IF((N53-NETWORKDAYS.INTL(J_GregorianDate(D53,1),J_GregorianDate(J_SUBDAY(J_ADDDAY(D53,N53,1),1,1),1),16,1)-SUMIFS(Holieday[ok],Holieday[date],CONCATENATE("&gt;","=",D53),Holieday[date],CONCATENATE("&lt;","=",J_SUBDAY(J_ADDDAY(D53,N53,1),1,1)))+SUMIFS(Holieday[Friday],Holieday[date],CONCATENATE("&gt;","=",D53),Holieday[date],CONCATENATE("&lt;","=",J_SUBDAY(J_ADDDAY(D53,N53,1),1,1))))=1,J_SUBDAY(J_ADDDAY(D53,N53+1,1),1,1),IF((N53-NETWORKDAYS.INTL(J_GregorianDate(D53,1),J_GregorianDate(J_SUBDAY(J_ADDDAY(D53,N53,1),1,1),1),16,1)-SUMIFS(Holieday[ok],Holieday[date],CONCATENATE("&gt;","=",D53),Holieday[date],CONCATENATE("&lt;","=",J_SUBDAY(J_ADDDAY(D53,N53,1),1,1)))+SUMIFS(Holieday[Friday],Holieday[date],CONCATENATE("&gt;","=",D53),Holieday[date],CONCATENATE("&lt;","=",J_SUBDAY(J_ADDDAY(D53,N53,1),1,1))))=2,J_SUBDAY(J_ADDDAY(D53,N53+2,1),1,1),J_SUBDAY(J_ADDDAY(D53,N53+3,1),1,1)))))</f>
        <v>1398/10/19</v>
      </c>
      <c r="G53" s="139">
        <f t="shared" si="26"/>
        <v>13981019</v>
      </c>
      <c r="H53" s="175">
        <v>1</v>
      </c>
      <c r="I53" s="176">
        <v>4.0999999999999996</v>
      </c>
      <c r="J53" s="174">
        <f>j_WEEKDAY(D53,2)</f>
        <v>1</v>
      </c>
      <c r="K53" s="143">
        <f t="shared" si="30"/>
        <v>0</v>
      </c>
      <c r="L53" s="177">
        <f t="shared" si="31"/>
        <v>5</v>
      </c>
      <c r="M53" s="178">
        <v>0</v>
      </c>
      <c r="N53" s="179">
        <v>5</v>
      </c>
      <c r="O53" s="144">
        <f t="shared" si="27"/>
        <v>0</v>
      </c>
      <c r="P53" s="144">
        <f>VALUE(J_normdate(J_ADDDAY($D53,$O53,1)))</f>
        <v>13981015</v>
      </c>
      <c r="Q53" s="142">
        <f t="shared" si="28"/>
        <v>5</v>
      </c>
      <c r="R53" s="180"/>
      <c r="S53" s="180"/>
      <c r="T53" s="180"/>
      <c r="U53" s="180"/>
      <c r="V53" s="180"/>
      <c r="W53" s="180"/>
      <c r="X53" s="180"/>
      <c r="Y53" s="180"/>
      <c r="Z53" s="180"/>
      <c r="AA53" s="180"/>
      <c r="AB53" s="180"/>
      <c r="AC53" s="180"/>
      <c r="AD53" s="180"/>
      <c r="AE53" s="180"/>
      <c r="AF53" s="180"/>
      <c r="AG53" s="180"/>
      <c r="AH53" s="180"/>
      <c r="AI53" s="180"/>
      <c r="AJ53" s="180"/>
      <c r="AK53" s="180"/>
      <c r="AL53" s="180"/>
      <c r="AM53" s="180"/>
      <c r="AN53" s="180"/>
      <c r="AO53" s="180"/>
      <c r="AP53" s="180"/>
      <c r="AQ53" s="180"/>
      <c r="AR53" s="180"/>
      <c r="AS53" s="180"/>
      <c r="AT53" s="180"/>
      <c r="AU53" s="180"/>
      <c r="AV53" s="180"/>
      <c r="AW53" s="180"/>
      <c r="AX53" s="180"/>
      <c r="AY53" s="180"/>
      <c r="AZ53" s="180"/>
      <c r="BA53" s="180"/>
      <c r="BB53" s="180"/>
      <c r="BC53" s="180"/>
      <c r="BD53" s="180"/>
      <c r="BE53" s="180"/>
      <c r="BF53" s="180"/>
      <c r="BG53" s="180"/>
      <c r="BH53" s="180"/>
      <c r="BI53" s="180"/>
      <c r="BJ53" s="180"/>
      <c r="BK53" s="180"/>
      <c r="BL53" s="180"/>
      <c r="BM53" s="180"/>
      <c r="BN53" s="180"/>
      <c r="BO53" s="180"/>
      <c r="BP53" s="180"/>
      <c r="BQ53" s="180"/>
      <c r="BR53" s="180"/>
      <c r="BS53" s="180"/>
      <c r="BT53" s="180"/>
      <c r="BU53" s="180"/>
      <c r="BV53" s="180"/>
      <c r="BW53" s="180"/>
      <c r="BX53" s="180"/>
      <c r="BY53" s="180"/>
      <c r="BZ53" s="180"/>
      <c r="CA53" s="180"/>
      <c r="CB53" s="180"/>
      <c r="CC53" s="180"/>
      <c r="CD53" s="180"/>
      <c r="CE53" s="180"/>
      <c r="CF53" s="180"/>
      <c r="CG53" s="180"/>
      <c r="CH53" s="180"/>
      <c r="CI53" s="180"/>
      <c r="CJ53" s="180"/>
      <c r="CK53" s="180"/>
      <c r="CL53" s="180"/>
      <c r="CM53" s="180"/>
      <c r="CN53" s="180"/>
      <c r="CO53" s="180"/>
      <c r="CP53" s="180"/>
      <c r="CQ53" s="180"/>
      <c r="CR53" s="180"/>
      <c r="CS53" s="180"/>
      <c r="CT53" s="180"/>
      <c r="CU53" s="180"/>
      <c r="CV53" s="180"/>
      <c r="CW53" s="180"/>
      <c r="CX53" s="180"/>
      <c r="CY53" s="180"/>
      <c r="CZ53" s="180"/>
      <c r="DA53" s="180"/>
      <c r="DB53" s="180"/>
      <c r="DC53" s="180"/>
      <c r="DD53" s="180"/>
      <c r="DE53" s="180"/>
      <c r="DF53" s="180"/>
      <c r="DG53" s="180"/>
      <c r="DH53" s="180"/>
      <c r="DI53" s="180"/>
      <c r="DJ53" s="180"/>
      <c r="DK53" s="180"/>
      <c r="DL53" s="180"/>
      <c r="DM53" s="180"/>
      <c r="DN53" s="180"/>
      <c r="DO53" s="180"/>
      <c r="DP53" s="180"/>
      <c r="DQ53" s="180"/>
      <c r="DR53" s="180"/>
      <c r="DS53" s="180"/>
      <c r="DT53" s="180"/>
      <c r="DU53" s="180"/>
      <c r="DV53" s="180"/>
      <c r="DW53" s="180"/>
      <c r="DX53" s="180"/>
      <c r="DY53" s="180"/>
      <c r="DZ53" s="180"/>
      <c r="EA53" s="180"/>
      <c r="EB53" s="180"/>
      <c r="EC53" s="180"/>
      <c r="ED53" s="180"/>
      <c r="EE53" s="180"/>
      <c r="EF53" s="180"/>
      <c r="EG53" s="180"/>
      <c r="EH53" s="180"/>
      <c r="EI53" s="180"/>
      <c r="EJ53" s="180"/>
      <c r="EK53" s="180"/>
      <c r="EL53" s="180"/>
      <c r="EM53" s="180"/>
      <c r="EN53" s="180"/>
      <c r="EO53" s="180"/>
      <c r="EP53" s="180"/>
      <c r="EQ53" s="180"/>
      <c r="ER53" s="180"/>
      <c r="ES53" s="180"/>
      <c r="ET53" s="180"/>
      <c r="EU53" s="180"/>
      <c r="EV53" s="180"/>
      <c r="EW53" s="180"/>
      <c r="EX53" s="180"/>
      <c r="EY53" s="180"/>
      <c r="EZ53" s="180"/>
      <c r="FA53" s="180"/>
      <c r="FB53" s="180"/>
      <c r="FC53" s="180"/>
      <c r="FD53" s="180"/>
      <c r="FE53" s="180"/>
      <c r="FF53" s="180"/>
      <c r="FG53" s="180"/>
      <c r="FH53" s="180"/>
      <c r="FI53" s="180"/>
      <c r="FJ53" s="180"/>
      <c r="FK53" s="180"/>
      <c r="FL53" s="180"/>
      <c r="FM53" s="180"/>
      <c r="FN53" s="180"/>
      <c r="FO53" s="180"/>
      <c r="FP53" s="180"/>
      <c r="FQ53" s="180"/>
      <c r="FR53" s="180"/>
      <c r="FS53" s="180"/>
      <c r="FT53" s="180"/>
      <c r="FU53" s="180"/>
      <c r="FV53" s="180"/>
      <c r="FW53" s="180"/>
      <c r="FX53" s="180"/>
      <c r="FY53" s="180"/>
      <c r="FZ53" s="180"/>
      <c r="GA53" s="180"/>
      <c r="GB53" s="180"/>
      <c r="GC53" s="180"/>
      <c r="GD53" s="180"/>
      <c r="GE53" s="180"/>
      <c r="GF53" s="180"/>
      <c r="GG53" s="180"/>
      <c r="GH53" s="180"/>
      <c r="GI53" s="180"/>
      <c r="GJ53" s="180"/>
      <c r="GK53" s="180"/>
      <c r="GL53" s="180"/>
      <c r="GM53" s="180"/>
      <c r="GN53" s="180"/>
      <c r="GO53" s="180"/>
      <c r="GP53" s="180"/>
      <c r="GQ53" s="180"/>
      <c r="GR53" s="180"/>
      <c r="GS53" s="180"/>
      <c r="GT53" s="180"/>
      <c r="GU53" s="180"/>
      <c r="GV53" s="180"/>
      <c r="GW53" s="180"/>
      <c r="GX53" s="180"/>
      <c r="GY53" s="180"/>
      <c r="GZ53" s="180"/>
      <c r="HA53" s="180"/>
      <c r="HB53" s="180"/>
      <c r="HC53" s="180"/>
      <c r="HD53" s="180"/>
      <c r="HE53" s="180"/>
      <c r="HF53" s="180"/>
      <c r="HG53" s="180"/>
      <c r="HH53" s="180"/>
      <c r="HI53" s="180"/>
      <c r="HJ53" s="180"/>
      <c r="HK53" s="180"/>
      <c r="HL53" s="180"/>
      <c r="HM53" s="180"/>
      <c r="HN53" s="180"/>
      <c r="HO53" s="180"/>
      <c r="HP53" s="180"/>
      <c r="HQ53" s="180"/>
      <c r="HR53" s="180"/>
      <c r="HS53" s="180"/>
      <c r="HT53" s="180"/>
      <c r="HU53" s="180"/>
      <c r="HV53" s="180"/>
      <c r="HW53" s="180"/>
      <c r="HX53" s="180"/>
      <c r="HY53" s="180"/>
      <c r="HZ53" s="180"/>
      <c r="IA53" s="180"/>
      <c r="IB53" s="180"/>
      <c r="IC53" s="180"/>
      <c r="ID53" s="180"/>
      <c r="IE53" s="180"/>
      <c r="IF53" s="180"/>
      <c r="IG53" s="180"/>
      <c r="IH53" s="180"/>
      <c r="II53" s="180"/>
      <c r="IJ53" s="180"/>
      <c r="IK53" s="180"/>
      <c r="IL53" s="180"/>
      <c r="IM53" s="180"/>
      <c r="IN53" s="180"/>
      <c r="IO53" s="180"/>
      <c r="IP53" s="180"/>
      <c r="IQ53" s="180"/>
      <c r="IR53" s="180"/>
      <c r="IS53" s="180"/>
      <c r="IT53" s="180"/>
      <c r="IU53" s="180"/>
      <c r="IV53" s="180"/>
      <c r="IW53" s="180"/>
      <c r="IX53" s="180"/>
      <c r="IY53" s="181">
        <v>3</v>
      </c>
      <c r="IZ53" s="182">
        <f>(TEXT(K53,"[m]")/60)*VLOOKUP(IY53,'Income Person-hours'!A$2:C$5,3,FALSE)</f>
        <v>0</v>
      </c>
      <c r="JA53" s="183"/>
      <c r="JB53" s="183"/>
      <c r="JC53" s="183"/>
      <c r="JD53" s="184">
        <f>SUM((TEXT(JA53,"[M]")/60)*'Income Person-hours'!$D$3,(TEXT(JB53,"[M]")/60)*'Income Person-hours'!$D$4,(TEXT(JC53,"[M]")/60)*'Income Person-hours'!$D$5)</f>
        <v>0</v>
      </c>
    </row>
    <row r="54" spans="1:264" s="185" customFormat="1" ht="13.5">
      <c r="A54" s="172">
        <v>4.3</v>
      </c>
      <c r="B54" s="186" t="s">
        <v>129</v>
      </c>
      <c r="C54" s="173" t="s">
        <v>103</v>
      </c>
      <c r="D54" s="189" t="str">
        <f>IF(OR(j_WEEKDAY(J_ADDDAY(VLOOKUP(I54,A:F,6,FALSE),H54,1),0)=6,SUMIFS(Holieday[ok],Holieday[date],J_ADDDAY(VLOOKUP(I54,A:F,6,FALSE),H54,1)))=FALSE(),J_ADDDAY(VLOOKUP(I54,A:F,6,FALSE),H54,1),IF(OR(j_WEEKDAY(J_ADDDAY(VLOOKUP(I54,A:F,6,FALSE),H54+1,1),0)=6,SUMIFS(Holieday[ok],Holieday[date],J_ADDDAY(VLOOKUP(I54,A:F,6,FALSE),H54+1,1)))=FALSE(),J_ADDDAY(VLOOKUP(I54,A:F,6,FALSE),H54+1,1),IF(OR(j_WEEKDAY(J_ADDDAY(VLOOKUP(I54,A:F,6,FALSE),H54+2,1),0)=6,SUMIFS(Holieday[ok],Holieday[date],J_ADDDAY(VLOOKUP(I54,A:F,6,FALSE),H54+2,1)))=FALSE(),J_ADDDAY(VLOOKUP(I54,A:F,6,FALSE),H54+2,1),IF(OR(j_WEEKDAY(J_ADDDAY(VLOOKUP(I54,A:F,6,FALSE),H54+3,1),0)=6,SUMIFS(Holieday[ok],Holieday[date],J_ADDDAY(VLOOKUP(I54,A:F,6,FALSE),H54+3,1)))=FALSE(),J_ADDDAY(VLOOKUP(I54,A:F,6,FALSE),H54+3,1),IF(OR(j_WEEKDAY(J_ADDDAY(VLOOKUP(I54,A:F,6,FALSE),H54+4,1),0)=6,SUMIFS(Holieday[ok],Holieday[date],J_ADDDAY(VLOOKUP(I54,A:F,6,FALSE),H54+4,1)))=FALSE(),J_ADDDAY(VLOOKUP(I54,A:F,6,FALSE),H54+4,1),J_ADDDAY(VLOOKUP(I54,A:F,6,FALSE),H54+5,1))))))</f>
        <v>1398/10/21</v>
      </c>
      <c r="E54" s="136">
        <f t="shared" si="29"/>
        <v>13981021</v>
      </c>
      <c r="F54" s="189" t="str">
        <f>IF(N54=0,J_SUBDAY(D54,1,1),IF((N54-NETWORKDAYS.INTL(J_GregorianDate(D54,1),J_GregorianDate(J_SUBDAY(J_ADDDAY(D54,N54,1),1,1),1),16,1)-SUMIFS(Holieday[ok],Holieday[date],CONCATENATE("&gt;","=",D54),Holieday[date],CONCATENATE("&lt;","=",J_SUBDAY(J_ADDDAY(D54,N54,1),1,1)))+SUMIFS(Holieday[Friday],Holieday[date],CONCATENATE("&gt;","=",D54),Holieday[date],CONCATENATE("&lt;","=",J_SUBDAY(J_ADDDAY(D54,N54,1),1,1))))=0,J_SUBDAY(J_ADDDAY(D54,N54,1),1,1),IF((N54-NETWORKDAYS.INTL(J_GregorianDate(D54,1),J_GregorianDate(J_SUBDAY(J_ADDDAY(D54,N54,1),1,1),1),16,1)-SUMIFS(Holieday[ok],Holieday[date],CONCATENATE("&gt;","=",D54),Holieday[date],CONCATENATE("&lt;","=",J_SUBDAY(J_ADDDAY(D54,N54,1),1,1)))+SUMIFS(Holieday[Friday],Holieday[date],CONCATENATE("&gt;","=",D54),Holieday[date],CONCATENATE("&lt;","=",J_SUBDAY(J_ADDDAY(D54,N54,1),1,1))))=1,J_SUBDAY(J_ADDDAY(D54,N54+1,1),1,1),IF((N54-NETWORKDAYS.INTL(J_GregorianDate(D54,1),J_GregorianDate(J_SUBDAY(J_ADDDAY(D54,N54,1),1,1),1),16,1)-SUMIFS(Holieday[ok],Holieday[date],CONCATENATE("&gt;","=",D54),Holieday[date],CONCATENATE("&lt;","=",J_SUBDAY(J_ADDDAY(D54,N54,1),1,1)))+SUMIFS(Holieday[Friday],Holieday[date],CONCATENATE("&gt;","=",D54),Holieday[date],CONCATENATE("&lt;","=",J_SUBDAY(J_ADDDAY(D54,N54,1),1,1))))=2,J_SUBDAY(J_ADDDAY(D54,N54+2,1),1,1),J_SUBDAY(J_ADDDAY(D54,N54+3,1),1,1)))))</f>
        <v>1398/10/28</v>
      </c>
      <c r="G54" s="139">
        <f t="shared" si="26"/>
        <v>13981028</v>
      </c>
      <c r="H54" s="175">
        <v>2</v>
      </c>
      <c r="I54" s="176">
        <v>4.2</v>
      </c>
      <c r="J54" s="174">
        <f>j_WEEKDAY(D54,2)</f>
        <v>0</v>
      </c>
      <c r="K54" s="143">
        <f t="shared" si="30"/>
        <v>0</v>
      </c>
      <c r="L54" s="177">
        <f t="shared" si="31"/>
        <v>8</v>
      </c>
      <c r="M54" s="178">
        <v>0</v>
      </c>
      <c r="N54" s="179">
        <v>7</v>
      </c>
      <c r="O54" s="144">
        <f t="shared" si="27"/>
        <v>0</v>
      </c>
      <c r="P54" s="144">
        <f>VALUE(J_normdate(J_ADDDAY($D54,$O54,1)))</f>
        <v>13981021</v>
      </c>
      <c r="Q54" s="142">
        <f t="shared" si="28"/>
        <v>8</v>
      </c>
      <c r="R54" s="180"/>
      <c r="S54" s="180"/>
      <c r="T54" s="180"/>
      <c r="U54" s="180"/>
      <c r="V54" s="180"/>
      <c r="W54" s="180"/>
      <c r="X54" s="180"/>
      <c r="Y54" s="180"/>
      <c r="Z54" s="180"/>
      <c r="AA54" s="180"/>
      <c r="AB54" s="180"/>
      <c r="AC54" s="180"/>
      <c r="AD54" s="180"/>
      <c r="AE54" s="180"/>
      <c r="AF54" s="180"/>
      <c r="AG54" s="180"/>
      <c r="AH54" s="180"/>
      <c r="AI54" s="180"/>
      <c r="AJ54" s="180"/>
      <c r="AK54" s="180"/>
      <c r="AL54" s="180"/>
      <c r="AM54" s="180"/>
      <c r="AN54" s="180"/>
      <c r="AO54" s="180"/>
      <c r="AP54" s="180"/>
      <c r="AQ54" s="180"/>
      <c r="AR54" s="180"/>
      <c r="AS54" s="180"/>
      <c r="AT54" s="180"/>
      <c r="AU54" s="180"/>
      <c r="AV54" s="180"/>
      <c r="AW54" s="180"/>
      <c r="AX54" s="180"/>
      <c r="AY54" s="180"/>
      <c r="AZ54" s="180"/>
      <c r="BA54" s="180"/>
      <c r="BB54" s="180"/>
      <c r="BC54" s="180"/>
      <c r="BD54" s="180"/>
      <c r="BE54" s="180"/>
      <c r="BF54" s="180"/>
      <c r="BG54" s="180"/>
      <c r="BH54" s="180"/>
      <c r="BI54" s="180"/>
      <c r="BJ54" s="180"/>
      <c r="BK54" s="180"/>
      <c r="BL54" s="180"/>
      <c r="BM54" s="180"/>
      <c r="BN54" s="180"/>
      <c r="BO54" s="180"/>
      <c r="BP54" s="180"/>
      <c r="BQ54" s="180"/>
      <c r="BR54" s="180"/>
      <c r="BS54" s="180"/>
      <c r="BT54" s="180"/>
      <c r="BU54" s="180"/>
      <c r="BV54" s="180"/>
      <c r="BW54" s="180"/>
      <c r="BX54" s="180"/>
      <c r="BY54" s="180"/>
      <c r="BZ54" s="180"/>
      <c r="CA54" s="180"/>
      <c r="CB54" s="180"/>
      <c r="CC54" s="180"/>
      <c r="CD54" s="180"/>
      <c r="CE54" s="180"/>
      <c r="CF54" s="180"/>
      <c r="CG54" s="180"/>
      <c r="CH54" s="180"/>
      <c r="CI54" s="180"/>
      <c r="CJ54" s="180"/>
      <c r="CK54" s="180"/>
      <c r="CL54" s="180"/>
      <c r="CM54" s="180"/>
      <c r="CN54" s="180"/>
      <c r="CO54" s="180"/>
      <c r="CP54" s="180"/>
      <c r="CQ54" s="180"/>
      <c r="CR54" s="180"/>
      <c r="CS54" s="180"/>
      <c r="CT54" s="180"/>
      <c r="CU54" s="180"/>
      <c r="CV54" s="180"/>
      <c r="CW54" s="180"/>
      <c r="CX54" s="180"/>
      <c r="CY54" s="180"/>
      <c r="CZ54" s="180"/>
      <c r="DA54" s="180"/>
      <c r="DB54" s="180"/>
      <c r="DC54" s="180"/>
      <c r="DD54" s="180"/>
      <c r="DE54" s="180"/>
      <c r="DF54" s="180"/>
      <c r="DG54" s="180"/>
      <c r="DH54" s="180"/>
      <c r="DI54" s="180"/>
      <c r="DJ54" s="180"/>
      <c r="DK54" s="180"/>
      <c r="DL54" s="180"/>
      <c r="DM54" s="180"/>
      <c r="DN54" s="180"/>
      <c r="DO54" s="180"/>
      <c r="DP54" s="180"/>
      <c r="DQ54" s="180"/>
      <c r="DR54" s="180"/>
      <c r="DS54" s="180"/>
      <c r="DT54" s="180"/>
      <c r="DU54" s="180"/>
      <c r="DV54" s="180"/>
      <c r="DW54" s="180"/>
      <c r="DX54" s="180"/>
      <c r="DY54" s="180"/>
      <c r="DZ54" s="180"/>
      <c r="EA54" s="180"/>
      <c r="EB54" s="180"/>
      <c r="EC54" s="180"/>
      <c r="ED54" s="180"/>
      <c r="EE54" s="180"/>
      <c r="EF54" s="180"/>
      <c r="EG54" s="180"/>
      <c r="EH54" s="180"/>
      <c r="EI54" s="180"/>
      <c r="EJ54" s="180"/>
      <c r="EK54" s="180"/>
      <c r="EL54" s="180"/>
      <c r="EM54" s="180"/>
      <c r="EN54" s="180"/>
      <c r="EO54" s="180"/>
      <c r="EP54" s="180"/>
      <c r="EQ54" s="180"/>
      <c r="ER54" s="180"/>
      <c r="ES54" s="180"/>
      <c r="ET54" s="180"/>
      <c r="EU54" s="180"/>
      <c r="EV54" s="180"/>
      <c r="EW54" s="180"/>
      <c r="EX54" s="180"/>
      <c r="EY54" s="180"/>
      <c r="EZ54" s="180"/>
      <c r="FA54" s="180"/>
      <c r="FB54" s="180"/>
      <c r="FC54" s="180"/>
      <c r="FD54" s="180"/>
      <c r="FE54" s="180"/>
      <c r="FF54" s="180"/>
      <c r="FG54" s="180"/>
      <c r="FH54" s="180"/>
      <c r="FI54" s="180"/>
      <c r="FJ54" s="180"/>
      <c r="FK54" s="180"/>
      <c r="FL54" s="180"/>
      <c r="FM54" s="180"/>
      <c r="FN54" s="180"/>
      <c r="FO54" s="180"/>
      <c r="FP54" s="180"/>
      <c r="FQ54" s="180"/>
      <c r="FR54" s="180"/>
      <c r="FS54" s="180"/>
      <c r="FT54" s="180"/>
      <c r="FU54" s="180"/>
      <c r="FV54" s="180"/>
      <c r="FW54" s="180"/>
      <c r="FX54" s="180"/>
      <c r="FY54" s="180"/>
      <c r="FZ54" s="180"/>
      <c r="GA54" s="180"/>
      <c r="GB54" s="180"/>
      <c r="GC54" s="180"/>
      <c r="GD54" s="180"/>
      <c r="GE54" s="180"/>
      <c r="GF54" s="180"/>
      <c r="GG54" s="180"/>
      <c r="GH54" s="180"/>
      <c r="GI54" s="180"/>
      <c r="GJ54" s="180"/>
      <c r="GK54" s="180"/>
      <c r="GL54" s="180"/>
      <c r="GM54" s="180"/>
      <c r="GN54" s="180"/>
      <c r="GO54" s="180"/>
      <c r="GP54" s="180"/>
      <c r="GQ54" s="180"/>
      <c r="GR54" s="180"/>
      <c r="GS54" s="180"/>
      <c r="GT54" s="180"/>
      <c r="GU54" s="180"/>
      <c r="GV54" s="180"/>
      <c r="GW54" s="180"/>
      <c r="GX54" s="180"/>
      <c r="GY54" s="180"/>
      <c r="GZ54" s="180"/>
      <c r="HA54" s="180"/>
      <c r="HB54" s="180"/>
      <c r="HC54" s="180"/>
      <c r="HD54" s="180"/>
      <c r="HE54" s="180"/>
      <c r="HF54" s="180"/>
      <c r="HG54" s="180"/>
      <c r="HH54" s="180"/>
      <c r="HI54" s="180"/>
      <c r="HJ54" s="180"/>
      <c r="HK54" s="180"/>
      <c r="HL54" s="180"/>
      <c r="HM54" s="180"/>
      <c r="HN54" s="180"/>
      <c r="HO54" s="180"/>
      <c r="HP54" s="180"/>
      <c r="HQ54" s="180"/>
      <c r="HR54" s="180"/>
      <c r="HS54" s="180"/>
      <c r="HT54" s="180"/>
      <c r="HU54" s="180"/>
      <c r="HV54" s="180"/>
      <c r="HW54" s="180"/>
      <c r="HX54" s="180"/>
      <c r="HY54" s="180"/>
      <c r="HZ54" s="180"/>
      <c r="IA54" s="180"/>
      <c r="IB54" s="180"/>
      <c r="IC54" s="180"/>
      <c r="ID54" s="180"/>
      <c r="IE54" s="180"/>
      <c r="IF54" s="180"/>
      <c r="IG54" s="180"/>
      <c r="IH54" s="180"/>
      <c r="II54" s="180"/>
      <c r="IJ54" s="180"/>
      <c r="IK54" s="180"/>
      <c r="IL54" s="180"/>
      <c r="IM54" s="180"/>
      <c r="IN54" s="180"/>
      <c r="IO54" s="180"/>
      <c r="IP54" s="180"/>
      <c r="IQ54" s="180"/>
      <c r="IR54" s="180"/>
      <c r="IS54" s="180"/>
      <c r="IT54" s="180"/>
      <c r="IU54" s="180"/>
      <c r="IV54" s="180"/>
      <c r="IW54" s="180"/>
      <c r="IX54" s="180"/>
      <c r="IY54" s="181">
        <v>3</v>
      </c>
      <c r="IZ54" s="182">
        <f>(TEXT(K54,"[m]")/60)*VLOOKUP(IY54,'Income Person-hours'!A$2:C$5,3,FALSE)</f>
        <v>0</v>
      </c>
      <c r="JA54" s="183"/>
      <c r="JB54" s="183"/>
      <c r="JC54" s="183"/>
      <c r="JD54" s="184">
        <f>SUM((TEXT(JA54,"[M]")/60)*'Income Person-hours'!$D$3,(TEXT(JB54,"[M]")/60)*'Income Person-hours'!$D$4,(TEXT(JC54,"[M]")/60)*'Income Person-hours'!$D$5)</f>
        <v>0</v>
      </c>
    </row>
    <row r="55" spans="1:264" s="185" customFormat="1" ht="13.5">
      <c r="A55" s="172">
        <v>4.4000000000000004</v>
      </c>
      <c r="B55" s="186" t="s">
        <v>128</v>
      </c>
      <c r="C55" s="173" t="s">
        <v>103</v>
      </c>
      <c r="D55" s="189" t="str">
        <f>IF(OR(j_WEEKDAY(J_ADDDAY(VLOOKUP(I55,A:F,6,FALSE),H55,1),0)=6,SUMIFS(Holieday[ok],Holieday[date],J_ADDDAY(VLOOKUP(I55,A:F,6,FALSE),H55,1)))=FALSE(),J_ADDDAY(VLOOKUP(I55,A:F,6,FALSE),H55,1),IF(OR(j_WEEKDAY(J_ADDDAY(VLOOKUP(I55,A:F,6,FALSE),H55+1,1),0)=6,SUMIFS(Holieday[ok],Holieday[date],J_ADDDAY(VLOOKUP(I55,A:F,6,FALSE),H55+1,1)))=FALSE(),J_ADDDAY(VLOOKUP(I55,A:F,6,FALSE),H55+1,1),IF(OR(j_WEEKDAY(J_ADDDAY(VLOOKUP(I55,A:F,6,FALSE),H55+2,1),0)=6,SUMIFS(Holieday[ok],Holieday[date],J_ADDDAY(VLOOKUP(I55,A:F,6,FALSE),H55+2,1)))=FALSE(),J_ADDDAY(VLOOKUP(I55,A:F,6,FALSE),H55+2,1),IF(OR(j_WEEKDAY(J_ADDDAY(VLOOKUP(I55,A:F,6,FALSE),H55+3,1),0)=6,SUMIFS(Holieday[ok],Holieday[date],J_ADDDAY(VLOOKUP(I55,A:F,6,FALSE),H55+3,1)))=FALSE(),J_ADDDAY(VLOOKUP(I55,A:F,6,FALSE),H55+3,1),IF(OR(j_WEEKDAY(J_ADDDAY(VLOOKUP(I55,A:F,6,FALSE),H55+4,1),0)=6,SUMIFS(Holieday[ok],Holieday[date],J_ADDDAY(VLOOKUP(I55,A:F,6,FALSE),H55+4,1)))=FALSE(),J_ADDDAY(VLOOKUP(I55,A:F,6,FALSE),H55+4,1),J_ADDDAY(VLOOKUP(I55,A:F,6,FALSE),H55+5,1))))))</f>
        <v>1398/11/01</v>
      </c>
      <c r="E55" s="136">
        <f t="shared" si="29"/>
        <v>13981101</v>
      </c>
      <c r="F55" s="189" t="str">
        <f>IF(N55=0,J_SUBDAY(D55,1,1),IF((N55-NETWORKDAYS.INTL(J_GregorianDate(D55,1),J_GregorianDate(J_SUBDAY(J_ADDDAY(D55,N55,1),1,1),1),16,1)-SUMIFS(Holieday[ok],Holieday[date],CONCATENATE("&gt;","=",D55),Holieday[date],CONCATENATE("&lt;","=",J_SUBDAY(J_ADDDAY(D55,N55,1),1,1)))+SUMIFS(Holieday[Friday],Holieday[date],CONCATENATE("&gt;","=",D55),Holieday[date],CONCATENATE("&lt;","=",J_SUBDAY(J_ADDDAY(D55,N55,1),1,1))))=0,J_SUBDAY(J_ADDDAY(D55,N55,1),1,1),IF((N55-NETWORKDAYS.INTL(J_GregorianDate(D55,1),J_GregorianDate(J_SUBDAY(J_ADDDAY(D55,N55,1),1,1),1),16,1)-SUMIFS(Holieday[ok],Holieday[date],CONCATENATE("&gt;","=",D55),Holieday[date],CONCATENATE("&lt;","=",J_SUBDAY(J_ADDDAY(D55,N55,1),1,1)))+SUMIFS(Holieday[Friday],Holieday[date],CONCATENATE("&gt;","=",D55),Holieday[date],CONCATENATE("&lt;","=",J_SUBDAY(J_ADDDAY(D55,N55,1),1,1))))=1,J_SUBDAY(J_ADDDAY(D55,N55+1,1),1,1),IF((N55-NETWORKDAYS.INTL(J_GregorianDate(D55,1),J_GregorianDate(J_SUBDAY(J_ADDDAY(D55,N55,1),1,1),1),16,1)-SUMIFS(Holieday[ok],Holieday[date],CONCATENATE("&gt;","=",D55),Holieday[date],CONCATENATE("&lt;","=",J_SUBDAY(J_ADDDAY(D55,N55,1),1,1)))+SUMIFS(Holieday[Friday],Holieday[date],CONCATENATE("&gt;","=",D55),Holieday[date],CONCATENATE("&lt;","=",J_SUBDAY(J_ADDDAY(D55,N55,1),1,1))))=2,J_SUBDAY(J_ADDDAY(D55,N55+2,1),1,1),J_SUBDAY(J_ADDDAY(D55,N55+3,1),1,1)))))</f>
        <v>1398/11/08</v>
      </c>
      <c r="G55" s="139">
        <f t="shared" si="26"/>
        <v>13981108</v>
      </c>
      <c r="H55" s="175">
        <v>3</v>
      </c>
      <c r="I55" s="176">
        <v>4.3</v>
      </c>
      <c r="J55" s="174">
        <f>j_WEEKDAY(D55,2)</f>
        <v>3</v>
      </c>
      <c r="K55" s="143">
        <f t="shared" si="30"/>
        <v>0</v>
      </c>
      <c r="L55" s="177">
        <f t="shared" si="31"/>
        <v>8</v>
      </c>
      <c r="M55" s="178">
        <v>0</v>
      </c>
      <c r="N55" s="179">
        <v>7</v>
      </c>
      <c r="O55" s="144">
        <f t="shared" si="27"/>
        <v>0</v>
      </c>
      <c r="P55" s="144">
        <f>VALUE(J_normdate(J_ADDDAY($D55,$O55,1)))</f>
        <v>13981101</v>
      </c>
      <c r="Q55" s="142">
        <f t="shared" si="28"/>
        <v>8</v>
      </c>
      <c r="R55" s="180"/>
      <c r="S55" s="180"/>
      <c r="T55" s="180"/>
      <c r="U55" s="180"/>
      <c r="V55" s="180"/>
      <c r="W55" s="180"/>
      <c r="X55" s="180"/>
      <c r="Y55" s="180"/>
      <c r="Z55" s="180"/>
      <c r="AA55" s="180"/>
      <c r="AB55" s="180"/>
      <c r="AC55" s="180"/>
      <c r="AD55" s="180"/>
      <c r="AE55" s="180"/>
      <c r="AF55" s="180"/>
      <c r="AG55" s="180"/>
      <c r="AH55" s="180"/>
      <c r="AI55" s="180"/>
      <c r="AJ55" s="180"/>
      <c r="AK55" s="180"/>
      <c r="AL55" s="180"/>
      <c r="AM55" s="180"/>
      <c r="AN55" s="180"/>
      <c r="AO55" s="180"/>
      <c r="AP55" s="180"/>
      <c r="AQ55" s="180"/>
      <c r="AR55" s="180"/>
      <c r="AS55" s="180"/>
      <c r="AT55" s="180"/>
      <c r="AU55" s="180"/>
      <c r="AV55" s="180"/>
      <c r="AW55" s="180"/>
      <c r="AX55" s="180"/>
      <c r="AY55" s="180"/>
      <c r="AZ55" s="180"/>
      <c r="BA55" s="180"/>
      <c r="BB55" s="180"/>
      <c r="BC55" s="180"/>
      <c r="BD55" s="180"/>
      <c r="BE55" s="180"/>
      <c r="BF55" s="180"/>
      <c r="BG55" s="180"/>
      <c r="BH55" s="180"/>
      <c r="BI55" s="180"/>
      <c r="BJ55" s="180"/>
      <c r="BK55" s="180"/>
      <c r="BL55" s="180"/>
      <c r="BM55" s="180"/>
      <c r="BN55" s="180"/>
      <c r="BO55" s="180"/>
      <c r="BP55" s="180"/>
      <c r="BQ55" s="180"/>
      <c r="BR55" s="180"/>
      <c r="BS55" s="180"/>
      <c r="BT55" s="180"/>
      <c r="BU55" s="180"/>
      <c r="BV55" s="180"/>
      <c r="BW55" s="180"/>
      <c r="BX55" s="180"/>
      <c r="BY55" s="180"/>
      <c r="BZ55" s="180"/>
      <c r="CA55" s="180"/>
      <c r="CB55" s="180"/>
      <c r="CC55" s="180"/>
      <c r="CD55" s="180"/>
      <c r="CE55" s="180"/>
      <c r="CF55" s="180"/>
      <c r="CG55" s="180"/>
      <c r="CH55" s="180"/>
      <c r="CI55" s="180"/>
      <c r="CJ55" s="180"/>
      <c r="CK55" s="180"/>
      <c r="CL55" s="180"/>
      <c r="CM55" s="180"/>
      <c r="CN55" s="180"/>
      <c r="CO55" s="180"/>
      <c r="CP55" s="180"/>
      <c r="CQ55" s="180"/>
      <c r="CR55" s="180"/>
      <c r="CS55" s="180"/>
      <c r="CT55" s="180"/>
      <c r="CU55" s="180"/>
      <c r="CV55" s="180"/>
      <c r="CW55" s="180"/>
      <c r="CX55" s="180"/>
      <c r="CY55" s="180"/>
      <c r="CZ55" s="180"/>
      <c r="DA55" s="180"/>
      <c r="DB55" s="180"/>
      <c r="DC55" s="180"/>
      <c r="DD55" s="180"/>
      <c r="DE55" s="180"/>
      <c r="DF55" s="180"/>
      <c r="DG55" s="180"/>
      <c r="DH55" s="180"/>
      <c r="DI55" s="180"/>
      <c r="DJ55" s="180"/>
      <c r="DK55" s="180"/>
      <c r="DL55" s="180"/>
      <c r="DM55" s="180"/>
      <c r="DN55" s="180"/>
      <c r="DO55" s="180"/>
      <c r="DP55" s="180"/>
      <c r="DQ55" s="180"/>
      <c r="DR55" s="180"/>
      <c r="DS55" s="180"/>
      <c r="DT55" s="180"/>
      <c r="DU55" s="180"/>
      <c r="DV55" s="180"/>
      <c r="DW55" s="180"/>
      <c r="DX55" s="180"/>
      <c r="DY55" s="180"/>
      <c r="DZ55" s="180"/>
      <c r="EA55" s="180"/>
      <c r="EB55" s="180"/>
      <c r="EC55" s="180"/>
      <c r="ED55" s="180"/>
      <c r="EE55" s="180"/>
      <c r="EF55" s="180"/>
      <c r="EG55" s="180"/>
      <c r="EH55" s="180"/>
      <c r="EI55" s="180"/>
      <c r="EJ55" s="180"/>
      <c r="EK55" s="180"/>
      <c r="EL55" s="180"/>
      <c r="EM55" s="180"/>
      <c r="EN55" s="180"/>
      <c r="EO55" s="180"/>
      <c r="EP55" s="180"/>
      <c r="EQ55" s="180"/>
      <c r="ER55" s="180"/>
      <c r="ES55" s="180"/>
      <c r="ET55" s="180"/>
      <c r="EU55" s="180"/>
      <c r="EV55" s="180"/>
      <c r="EW55" s="180"/>
      <c r="EX55" s="180"/>
      <c r="EY55" s="180"/>
      <c r="EZ55" s="180"/>
      <c r="FA55" s="180"/>
      <c r="FB55" s="180"/>
      <c r="FC55" s="180"/>
      <c r="FD55" s="180"/>
      <c r="FE55" s="180"/>
      <c r="FF55" s="180"/>
      <c r="FG55" s="180"/>
      <c r="FH55" s="180"/>
      <c r="FI55" s="180"/>
      <c r="FJ55" s="180"/>
      <c r="FK55" s="180"/>
      <c r="FL55" s="180"/>
      <c r="FM55" s="180"/>
      <c r="FN55" s="180"/>
      <c r="FO55" s="180"/>
      <c r="FP55" s="180"/>
      <c r="FQ55" s="180"/>
      <c r="FR55" s="180"/>
      <c r="FS55" s="180"/>
      <c r="FT55" s="180"/>
      <c r="FU55" s="180"/>
      <c r="FV55" s="180"/>
      <c r="FW55" s="180"/>
      <c r="FX55" s="180"/>
      <c r="FY55" s="180"/>
      <c r="FZ55" s="180"/>
      <c r="GA55" s="180"/>
      <c r="GB55" s="180"/>
      <c r="GC55" s="180"/>
      <c r="GD55" s="180"/>
      <c r="GE55" s="180"/>
      <c r="GF55" s="180"/>
      <c r="GG55" s="180"/>
      <c r="GH55" s="180"/>
      <c r="GI55" s="180"/>
      <c r="GJ55" s="180"/>
      <c r="GK55" s="180"/>
      <c r="GL55" s="180"/>
      <c r="GM55" s="180"/>
      <c r="GN55" s="180"/>
      <c r="GO55" s="180"/>
      <c r="GP55" s="180"/>
      <c r="GQ55" s="180"/>
      <c r="GR55" s="180"/>
      <c r="GS55" s="180"/>
      <c r="GT55" s="180"/>
      <c r="GU55" s="180"/>
      <c r="GV55" s="180"/>
      <c r="GW55" s="180"/>
      <c r="GX55" s="180"/>
      <c r="GY55" s="180"/>
      <c r="GZ55" s="180"/>
      <c r="HA55" s="180"/>
      <c r="HB55" s="180"/>
      <c r="HC55" s="180"/>
      <c r="HD55" s="180"/>
      <c r="HE55" s="180"/>
      <c r="HF55" s="180"/>
      <c r="HG55" s="180"/>
      <c r="HH55" s="180"/>
      <c r="HI55" s="180"/>
      <c r="HJ55" s="180"/>
      <c r="HK55" s="180"/>
      <c r="HL55" s="180"/>
      <c r="HM55" s="180"/>
      <c r="HN55" s="180"/>
      <c r="HO55" s="180"/>
      <c r="HP55" s="180"/>
      <c r="HQ55" s="180"/>
      <c r="HR55" s="180"/>
      <c r="HS55" s="180"/>
      <c r="HT55" s="180"/>
      <c r="HU55" s="180"/>
      <c r="HV55" s="180"/>
      <c r="HW55" s="180"/>
      <c r="HX55" s="180"/>
      <c r="HY55" s="180"/>
      <c r="HZ55" s="180"/>
      <c r="IA55" s="180"/>
      <c r="IB55" s="180"/>
      <c r="IC55" s="180"/>
      <c r="ID55" s="180"/>
      <c r="IE55" s="180"/>
      <c r="IF55" s="180"/>
      <c r="IG55" s="180"/>
      <c r="IH55" s="180"/>
      <c r="II55" s="180"/>
      <c r="IJ55" s="180"/>
      <c r="IK55" s="180"/>
      <c r="IL55" s="180"/>
      <c r="IM55" s="180"/>
      <c r="IN55" s="180"/>
      <c r="IO55" s="180"/>
      <c r="IP55" s="180"/>
      <c r="IQ55" s="180"/>
      <c r="IR55" s="180"/>
      <c r="IS55" s="180"/>
      <c r="IT55" s="180"/>
      <c r="IU55" s="180"/>
      <c r="IV55" s="180"/>
      <c r="IW55" s="180"/>
      <c r="IX55" s="180"/>
      <c r="IY55" s="181">
        <v>3</v>
      </c>
      <c r="IZ55" s="182">
        <f>(TEXT(K55,"[m]")/60)*VLOOKUP(IY55,'Income Person-hours'!A$2:C$5,3,FALSE)</f>
        <v>0</v>
      </c>
      <c r="JA55" s="183"/>
      <c r="JB55" s="183"/>
      <c r="JC55" s="183"/>
      <c r="JD55" s="184">
        <f>SUM((TEXT(JA55,"[M]")/60)*'Income Person-hours'!$D$3,(TEXT(JB55,"[M]")/60)*'Income Person-hours'!$D$4,(TEXT(JC55,"[M]")/60)*'Income Person-hours'!$D$5)</f>
        <v>0</v>
      </c>
    </row>
    <row r="56" spans="1:264" s="200" customFormat="1" ht="13.5">
      <c r="A56" s="172">
        <v>4.5</v>
      </c>
      <c r="B56" s="186" t="s">
        <v>153</v>
      </c>
      <c r="C56" s="173" t="s">
        <v>103</v>
      </c>
      <c r="D56" s="196" t="str">
        <f>IF(OR(j_WEEKDAY(J_ADDDAY(VLOOKUP(I56,A:F,6,FALSE),H56,1),0)=6,SUMIFS(Holieday[ok],Holieday[date],J_ADDDAY(VLOOKUP(I56,A:F,6,FALSE),H56,1)))=FALSE(),J_ADDDAY(VLOOKUP(I56,A:F,6,FALSE),H56,1),IF(OR(j_WEEKDAY(J_ADDDAY(VLOOKUP(I56,A:F,6,FALSE),H56+1,1),0)=6,SUMIFS(Holieday[ok],Holieday[date],J_ADDDAY(VLOOKUP(I56,A:F,6,FALSE),H56+1,1)))=FALSE(),J_ADDDAY(VLOOKUP(I56,A:F,6,FALSE),H56+1,1),IF(OR(j_WEEKDAY(J_ADDDAY(VLOOKUP(I56,A:F,6,FALSE),H56+2,1),0)=6,SUMIFS(Holieday[ok],Holieday[date],J_ADDDAY(VLOOKUP(I56,A:F,6,FALSE),H56+2,1)))=FALSE(),J_ADDDAY(VLOOKUP(I56,A:F,6,FALSE),H56+2,1),IF(OR(j_WEEKDAY(J_ADDDAY(VLOOKUP(I56,A:F,6,FALSE),H56+3,1),0)=6,SUMIFS(Holieday[ok],Holieday[date],J_ADDDAY(VLOOKUP(I56,A:F,6,FALSE),H56+3,1)))=FALSE(),J_ADDDAY(VLOOKUP(I56,A:F,6,FALSE),H56+3,1),IF(OR(j_WEEKDAY(J_ADDDAY(VLOOKUP(I56,A:F,6,FALSE),H56+4,1),0)=6,SUMIFS(Holieday[ok],Holieday[date],J_ADDDAY(VLOOKUP(I56,A:F,6,FALSE),H56+4,1)))=FALSE(),J_ADDDAY(VLOOKUP(I56,A:F,6,FALSE),H56+4,1),J_ADDDAY(VLOOKUP(I56,A:F,6,FALSE),H56+5,1))))))</f>
        <v>1398/11/12</v>
      </c>
      <c r="E56" s="1">
        <f t="shared" si="29"/>
        <v>13981112</v>
      </c>
      <c r="F56" s="196" t="str">
        <f>IF(N56=0,J_SUBDAY(D56,1,1),IF((N56-NETWORKDAYS.INTL(J_GregorianDate(D56,1),J_GregorianDate(J_SUBDAY(J_ADDDAY(D56,N56,1),1,1),1),16,1)-SUMIFS(Holieday[ok],Holieday[date],CONCATENATE("&gt;","=",D56),Holieday[date],CONCATENATE("&lt;","=",J_SUBDAY(J_ADDDAY(D56,N56,1),1,1)))+SUMIFS(Holieday[Friday],Holieday[date],CONCATENATE("&gt;","=",D56),Holieday[date],CONCATENATE("&lt;","=",J_SUBDAY(J_ADDDAY(D56,N56,1),1,1))))=0,J_SUBDAY(J_ADDDAY(D56,N56,1),1,1),IF((N56-NETWORKDAYS.INTL(J_GregorianDate(D56,1),J_GregorianDate(J_SUBDAY(J_ADDDAY(D56,N56,1),1,1),1),16,1)-SUMIFS(Holieday[ok],Holieday[date],CONCATENATE("&gt;","=",D56),Holieday[date],CONCATENATE("&lt;","=",J_SUBDAY(J_ADDDAY(D56,N56,1),1,1)))+SUMIFS(Holieday[Friday],Holieday[date],CONCATENATE("&gt;","=",D56),Holieday[date],CONCATENATE("&lt;","=",J_SUBDAY(J_ADDDAY(D56,N56,1),1,1))))=1,J_SUBDAY(J_ADDDAY(D56,N56+1,1),1,1),IF((N56-NETWORKDAYS.INTL(J_GregorianDate(D56,1),J_GregorianDate(J_SUBDAY(J_ADDDAY(D56,N56,1),1,1),1),16,1)-SUMIFS(Holieday[ok],Holieday[date],CONCATENATE("&gt;","=",D56),Holieday[date],CONCATENATE("&lt;","=",J_SUBDAY(J_ADDDAY(D56,N56,1),1,1)))+SUMIFS(Holieday[Friday],Holieday[date],CONCATENATE("&gt;","=",D56),Holieday[date],CONCATENATE("&lt;","=",J_SUBDAY(J_ADDDAY(D56,N56,1),1,1))))=2,J_SUBDAY(J_ADDDAY(D56,N56+2,1),1,1),J_SUBDAY(J_ADDDAY(D56,N56+3,1),1,1)))))</f>
        <v>1398/11/15</v>
      </c>
      <c r="G56" s="2">
        <f t="shared" si="26"/>
        <v>13981115</v>
      </c>
      <c r="H56" s="175">
        <v>3</v>
      </c>
      <c r="I56" s="176">
        <v>4.4000000000000004</v>
      </c>
      <c r="J56" s="174">
        <f>j_WEEKDAY(D56,2)</f>
        <v>0</v>
      </c>
      <c r="K56" s="13">
        <f t="shared" si="30"/>
        <v>0</v>
      </c>
      <c r="L56" s="191">
        <f t="shared" si="31"/>
        <v>4</v>
      </c>
      <c r="M56" s="178">
        <v>0</v>
      </c>
      <c r="N56" s="179">
        <v>4</v>
      </c>
      <c r="O56" s="6">
        <f t="shared" si="27"/>
        <v>0</v>
      </c>
      <c r="P56" s="6">
        <f>VALUE(J_normdate(J_ADDDAY($D56,$O56,1)))</f>
        <v>13981112</v>
      </c>
      <c r="Q56" s="5">
        <f t="shared" si="28"/>
        <v>4</v>
      </c>
      <c r="R56" s="192"/>
      <c r="S56" s="192"/>
      <c r="T56" s="192"/>
      <c r="U56" s="192"/>
      <c r="V56" s="192"/>
      <c r="W56" s="192"/>
      <c r="X56" s="192"/>
      <c r="Y56" s="192"/>
      <c r="Z56" s="192"/>
      <c r="AA56" s="192"/>
      <c r="AB56" s="192"/>
      <c r="AC56" s="192"/>
      <c r="AD56" s="192"/>
      <c r="AE56" s="192"/>
      <c r="AF56" s="192"/>
      <c r="AG56" s="192"/>
      <c r="AH56" s="192"/>
      <c r="AI56" s="192"/>
      <c r="AJ56" s="192"/>
      <c r="AK56" s="192"/>
      <c r="AL56" s="192"/>
      <c r="AM56" s="192"/>
      <c r="AN56" s="192"/>
      <c r="AO56" s="192"/>
      <c r="AP56" s="192"/>
      <c r="AQ56" s="192"/>
      <c r="AR56" s="192"/>
      <c r="AS56" s="192"/>
      <c r="AT56" s="192"/>
      <c r="AU56" s="192"/>
      <c r="AV56" s="192"/>
      <c r="AW56" s="192"/>
      <c r="AX56" s="192"/>
      <c r="AY56" s="192"/>
      <c r="AZ56" s="192"/>
      <c r="BA56" s="192"/>
      <c r="BB56" s="192"/>
      <c r="BC56" s="192"/>
      <c r="BD56" s="192"/>
      <c r="BE56" s="192"/>
      <c r="BF56" s="192"/>
      <c r="BG56" s="192"/>
      <c r="BH56" s="192"/>
      <c r="BI56" s="192"/>
      <c r="BJ56" s="192"/>
      <c r="BK56" s="192"/>
      <c r="BL56" s="192"/>
      <c r="BM56" s="192"/>
      <c r="BN56" s="192"/>
      <c r="BO56" s="192"/>
      <c r="BP56" s="192"/>
      <c r="BQ56" s="192"/>
      <c r="BR56" s="192"/>
      <c r="BS56" s="192"/>
      <c r="BT56" s="192"/>
      <c r="BU56" s="192"/>
      <c r="BV56" s="192"/>
      <c r="BW56" s="192"/>
      <c r="BX56" s="192"/>
      <c r="BY56" s="192"/>
      <c r="BZ56" s="192"/>
      <c r="CA56" s="192"/>
      <c r="CB56" s="192"/>
      <c r="CC56" s="192"/>
      <c r="CD56" s="192"/>
      <c r="CE56" s="192"/>
      <c r="CF56" s="192"/>
      <c r="CG56" s="192"/>
      <c r="CH56" s="192"/>
      <c r="CI56" s="192"/>
      <c r="CJ56" s="192"/>
      <c r="CK56" s="192"/>
      <c r="CL56" s="192"/>
      <c r="CM56" s="192"/>
      <c r="CN56" s="192"/>
      <c r="CO56" s="192"/>
      <c r="CP56" s="192"/>
      <c r="CQ56" s="192"/>
      <c r="CR56" s="192"/>
      <c r="CS56" s="192"/>
      <c r="CT56" s="192"/>
      <c r="CU56" s="192"/>
      <c r="CV56" s="192"/>
      <c r="CW56" s="192"/>
      <c r="CX56" s="192"/>
      <c r="CY56" s="192"/>
      <c r="CZ56" s="192"/>
      <c r="DA56" s="192"/>
      <c r="DB56" s="192"/>
      <c r="DC56" s="192"/>
      <c r="DD56" s="192"/>
      <c r="DE56" s="192"/>
      <c r="DF56" s="192"/>
      <c r="DG56" s="192"/>
      <c r="DH56" s="192"/>
      <c r="DI56" s="192"/>
      <c r="DJ56" s="192"/>
      <c r="DK56" s="192"/>
      <c r="DL56" s="192"/>
      <c r="DM56" s="192"/>
      <c r="DN56" s="192"/>
      <c r="DO56" s="192"/>
      <c r="DP56" s="192"/>
      <c r="DQ56" s="192"/>
      <c r="DR56" s="192"/>
      <c r="DS56" s="192"/>
      <c r="DT56" s="192"/>
      <c r="DU56" s="192"/>
      <c r="DV56" s="192"/>
      <c r="DW56" s="192"/>
      <c r="DX56" s="192"/>
      <c r="DY56" s="192"/>
      <c r="DZ56" s="192"/>
      <c r="EA56" s="192"/>
      <c r="EB56" s="192"/>
      <c r="EC56" s="192"/>
      <c r="ED56" s="192"/>
      <c r="EE56" s="192"/>
      <c r="EF56" s="192"/>
      <c r="EG56" s="192"/>
      <c r="EH56" s="192"/>
      <c r="EI56" s="192"/>
      <c r="EJ56" s="192"/>
      <c r="EK56" s="192"/>
      <c r="EL56" s="192"/>
      <c r="EM56" s="192"/>
      <c r="EN56" s="192"/>
      <c r="EO56" s="192"/>
      <c r="EP56" s="192"/>
      <c r="EQ56" s="192"/>
      <c r="ER56" s="192"/>
      <c r="ES56" s="192"/>
      <c r="ET56" s="192"/>
      <c r="EU56" s="192"/>
      <c r="EV56" s="192"/>
      <c r="EW56" s="192"/>
      <c r="EX56" s="192"/>
      <c r="EY56" s="192"/>
      <c r="EZ56" s="192"/>
      <c r="FA56" s="192"/>
      <c r="FB56" s="192"/>
      <c r="FC56" s="192"/>
      <c r="FD56" s="192"/>
      <c r="FE56" s="192"/>
      <c r="FF56" s="192"/>
      <c r="FG56" s="192"/>
      <c r="FH56" s="192"/>
      <c r="FI56" s="192"/>
      <c r="FJ56" s="192"/>
      <c r="FK56" s="192"/>
      <c r="FL56" s="192"/>
      <c r="FM56" s="192"/>
      <c r="FN56" s="192"/>
      <c r="FO56" s="192"/>
      <c r="FP56" s="192"/>
      <c r="FQ56" s="192"/>
      <c r="FR56" s="192"/>
      <c r="FS56" s="192"/>
      <c r="FT56" s="192"/>
      <c r="FU56" s="192"/>
      <c r="FV56" s="192"/>
      <c r="FW56" s="192"/>
      <c r="FX56" s="192"/>
      <c r="FY56" s="192"/>
      <c r="FZ56" s="192"/>
      <c r="GA56" s="192"/>
      <c r="GB56" s="192"/>
      <c r="GC56" s="192"/>
      <c r="GD56" s="192"/>
      <c r="GE56" s="192"/>
      <c r="GF56" s="192"/>
      <c r="GG56" s="192"/>
      <c r="GH56" s="192"/>
      <c r="GI56" s="192"/>
      <c r="GJ56" s="192"/>
      <c r="GK56" s="192"/>
      <c r="GL56" s="192"/>
      <c r="GM56" s="192"/>
      <c r="GN56" s="192"/>
      <c r="GO56" s="192"/>
      <c r="GP56" s="192"/>
      <c r="GQ56" s="192"/>
      <c r="GR56" s="192"/>
      <c r="GS56" s="192"/>
      <c r="GT56" s="192"/>
      <c r="GU56" s="192"/>
      <c r="GV56" s="192"/>
      <c r="GW56" s="192"/>
      <c r="GX56" s="192"/>
      <c r="GY56" s="192"/>
      <c r="GZ56" s="192"/>
      <c r="HA56" s="192"/>
      <c r="HB56" s="192"/>
      <c r="HC56" s="192"/>
      <c r="HD56" s="192"/>
      <c r="HE56" s="192"/>
      <c r="HF56" s="192"/>
      <c r="HG56" s="192"/>
      <c r="HH56" s="192"/>
      <c r="HI56" s="192"/>
      <c r="HJ56" s="192"/>
      <c r="HK56" s="192"/>
      <c r="HL56" s="192"/>
      <c r="HM56" s="192"/>
      <c r="HN56" s="192"/>
      <c r="HO56" s="192"/>
      <c r="HP56" s="192"/>
      <c r="HQ56" s="192"/>
      <c r="HR56" s="192"/>
      <c r="HS56" s="192"/>
      <c r="HT56" s="192"/>
      <c r="HU56" s="192"/>
      <c r="HV56" s="192"/>
      <c r="HW56" s="192"/>
      <c r="HX56" s="192"/>
      <c r="HY56" s="192"/>
      <c r="HZ56" s="192"/>
      <c r="IA56" s="192"/>
      <c r="IB56" s="192"/>
      <c r="IC56" s="192"/>
      <c r="ID56" s="192"/>
      <c r="IE56" s="192"/>
      <c r="IF56" s="192"/>
      <c r="IG56" s="192"/>
      <c r="IH56" s="192"/>
      <c r="II56" s="192"/>
      <c r="IJ56" s="192"/>
      <c r="IK56" s="192"/>
      <c r="IL56" s="192"/>
      <c r="IM56" s="192"/>
      <c r="IN56" s="192"/>
      <c r="IO56" s="192"/>
      <c r="IP56" s="192"/>
      <c r="IQ56" s="192"/>
      <c r="IR56" s="192"/>
      <c r="IS56" s="192"/>
      <c r="IT56" s="192"/>
      <c r="IU56" s="192"/>
      <c r="IV56" s="192"/>
      <c r="IW56" s="192"/>
      <c r="IX56" s="192"/>
      <c r="IY56" s="181">
        <v>1</v>
      </c>
      <c r="IZ56" s="182">
        <f>(TEXT(K56,"[m]")/60)*VLOOKUP(IY56,'Income Person-hours'!A$2:C$5,3,FALSE)</f>
        <v>0</v>
      </c>
      <c r="JA56" s="198"/>
      <c r="JB56" s="198"/>
      <c r="JC56" s="198"/>
      <c r="JD56" s="199">
        <f>SUM((TEXT(JA56,"[M]")/60)*'Income Person-hours'!$D$3,(TEXT(JB56,"[M]")/60)*'Income Person-hours'!$D$4,(TEXT(JC56,"[M]")/60)*'Income Person-hours'!$D$5)</f>
        <v>0</v>
      </c>
    </row>
    <row r="57" spans="1:264" s="288" customFormat="1" ht="13.5">
      <c r="A57" s="284">
        <v>5</v>
      </c>
      <c r="B57" s="271" t="s">
        <v>112</v>
      </c>
      <c r="C57" s="272"/>
      <c r="D57" s="273" t="str">
        <f>FDate(MIN(E58:E63))</f>
        <v>1398/10/01</v>
      </c>
      <c r="E57" s="136">
        <f t="shared" si="29"/>
        <v>13981001</v>
      </c>
      <c r="F57" s="273" t="str">
        <f>J_SUBDAY(J_ADDDAY(D57,L57,1),1,1)</f>
        <v>1398/11/30</v>
      </c>
      <c r="G57" s="139">
        <f t="shared" si="26"/>
        <v>13981130</v>
      </c>
      <c r="H57" s="285"/>
      <c r="I57" s="286"/>
      <c r="J57" s="273">
        <f>j_WEEKDAY(D57,2)</f>
        <v>1</v>
      </c>
      <c r="K57" s="140">
        <f>SUM(K58:K63)</f>
        <v>0</v>
      </c>
      <c r="L57" s="276">
        <f>J_DIFF(D57,FDate(MAX(G58:G63)))+1</f>
        <v>60</v>
      </c>
      <c r="M57" s="277">
        <f>IF(SUM(L58:L63)&lt;&gt;0,SUMPRODUCT(L58:L63,M58:M63)/SUM(L58:L63),0)</f>
        <v>3.125E-2</v>
      </c>
      <c r="N57" s="278">
        <f>IF(F57&gt;=D57,NETWORKDAYS.INTL(J_GregorianDate(D57,1),J_GregorianDate(F57,1),16,1)-SUMIFS(Holieday[ok],Holieday[date],CONCATENATE("&gt;","=",D57),Holieday[date],CONCATENATE("&lt;","=",F57))+SUMIFS(Holieday[Friday],Holieday[date],CONCATENATE("&gt;","=",D57),Holieday[date],CONCATENATE("&lt;","=",F57)),0)</f>
        <v>50</v>
      </c>
      <c r="O57" s="135">
        <f>ROUNDDOWN(M57*L57,0)</f>
        <v>1</v>
      </c>
      <c r="P57" s="135">
        <f>VALUE(J_normdate(J_ADDDAY($D57,$O57,1)))</f>
        <v>13981002</v>
      </c>
      <c r="Q57" s="138">
        <f>L57-O57</f>
        <v>59</v>
      </c>
      <c r="IY57" s="289"/>
      <c r="IZ57" s="290"/>
      <c r="JA57" s="291"/>
      <c r="JB57" s="291"/>
      <c r="JC57" s="291"/>
      <c r="JD57" s="292"/>
    </row>
    <row r="58" spans="1:264" s="185" customFormat="1" ht="13.5">
      <c r="A58" s="172">
        <v>5.0999999999999996</v>
      </c>
      <c r="B58" s="213" t="s">
        <v>113</v>
      </c>
      <c r="C58" s="173" t="s">
        <v>72</v>
      </c>
      <c r="D58" s="299" t="str">
        <f>IF(OR(j_WEEKDAY(J_ADDDAY(VLOOKUP(I58,A:F,6,FALSE),H58,1),0)=6,SUMIFS(Holieday[ok],Holieday[date],J_ADDDAY(VLOOKUP(I58,A:F,6,FALSE),H58,1)))=FALSE(),J_ADDDAY(VLOOKUP(I58,A:F,6,FALSE),H58,1),IF(OR(j_WEEKDAY(J_ADDDAY(VLOOKUP(I58,A:F,6,FALSE),H58+1,1),0)=6,SUMIFS(Holieday[ok],Holieday[date],J_ADDDAY(VLOOKUP(I58,A:F,6,FALSE),H58+1,1)))=FALSE(),J_ADDDAY(VLOOKUP(I58,A:F,6,FALSE),H58+1,1),IF(OR(j_WEEKDAY(J_ADDDAY(VLOOKUP(I58,A:F,6,FALSE),H58+2,1),0)=6,SUMIFS(Holieday[ok],Holieday[date],J_ADDDAY(VLOOKUP(I58,A:F,6,FALSE),H58+2,1)))=FALSE(),J_ADDDAY(VLOOKUP(I58,A:F,6,FALSE),H58+2,1),IF(OR(j_WEEKDAY(J_ADDDAY(VLOOKUP(I58,A:F,6,FALSE),H58+3,1),0)=6,SUMIFS(Holieday[ok],Holieday[date],J_ADDDAY(VLOOKUP(I58,A:F,6,FALSE),H58+3,1)))=FALSE(),J_ADDDAY(VLOOKUP(I58,A:F,6,FALSE),H58+3,1),IF(OR(j_WEEKDAY(J_ADDDAY(VLOOKUP(I58,A:F,6,FALSE),H58+4,1),0)=6,SUMIFS(Holieday[ok],Holieday[date],J_ADDDAY(VLOOKUP(I58,A:F,6,FALSE),H58+4,1)))=FALSE(),J_ADDDAY(VLOOKUP(I58,A:F,6,FALSE),H58+4,1),J_ADDDAY(VLOOKUP(I58,A:F,6,FALSE),H58+5,1))))))</f>
        <v>1398/10/01</v>
      </c>
      <c r="E58" s="136">
        <f t="shared" si="29"/>
        <v>13981001</v>
      </c>
      <c r="F58" s="299" t="str">
        <f>IF(N58=0,J_SUBDAY(D58,1,1),IF((N58-NETWORKDAYS.INTL(J_GregorianDate(D58,1),J_GregorianDate(J_SUBDAY(J_ADDDAY(D58,N58,1),1,1),1),16,1)-SUMIFS(Holieday[ok],Holieday[date],CONCATENATE("&gt;","=",D58),Holieday[date],CONCATENATE("&lt;","=",J_SUBDAY(J_ADDDAY(D58,N58,1),1,1)))+SUMIFS(Holieday[Friday],Holieday[date],CONCATENATE("&gt;","=",D58),Holieday[date],CONCATENATE("&lt;","=",J_SUBDAY(J_ADDDAY(D58,N58,1),1,1))))=0,J_SUBDAY(J_ADDDAY(D58,N58,1),1,1),IF((N58-NETWORKDAYS.INTL(J_GregorianDate(D58,1),J_GregorianDate(J_SUBDAY(J_ADDDAY(D58,N58,1),1,1),1),16,1)-SUMIFS(Holieday[ok],Holieday[date],CONCATENATE("&gt;","=",D58),Holieday[date],CONCATENATE("&lt;","=",J_SUBDAY(J_ADDDAY(D58,N58,1),1,1)))+SUMIFS(Holieday[Friday],Holieday[date],CONCATENATE("&gt;","=",D58),Holieday[date],CONCATENATE("&lt;","=",J_SUBDAY(J_ADDDAY(D58,N58,1),1,1))))=1,J_SUBDAY(J_ADDDAY(D58,N58+1,1),1,1),IF((N58-NETWORKDAYS.INTL(J_GregorianDate(D58,1),J_GregorianDate(J_SUBDAY(J_ADDDAY(D58,N58,1),1,1),1),16,1)-SUMIFS(Holieday[ok],Holieday[date],CONCATENATE("&gt;","=",D58),Holieday[date],CONCATENATE("&lt;","=",J_SUBDAY(J_ADDDAY(D58,N58,1),1,1)))+SUMIFS(Holieday[Friday],Holieday[date],CONCATENATE("&gt;","=",D58),Holieday[date],CONCATENATE("&lt;","=",J_SUBDAY(J_ADDDAY(D58,N58,1),1,1))))=2,J_SUBDAY(J_ADDDAY(D58,N58+2,1),1,1),J_SUBDAY(J_ADDDAY(D58,N58+3,1),1,1)))))</f>
        <v>1398/10/17</v>
      </c>
      <c r="G58" s="139">
        <f t="shared" si="26"/>
        <v>13981017</v>
      </c>
      <c r="H58" s="175"/>
      <c r="I58" s="176">
        <v>1.1000000000000001</v>
      </c>
      <c r="J58" s="174">
        <f>j_WEEKDAY(D58,2)</f>
        <v>1</v>
      </c>
      <c r="K58" s="143">
        <f>SUM(JA58:JC58)</f>
        <v>0</v>
      </c>
      <c r="L58" s="177">
        <f t="shared" ref="L58:L63" si="32">J_DIFF(D58,F58)+1</f>
        <v>17</v>
      </c>
      <c r="M58" s="178">
        <v>0</v>
      </c>
      <c r="N58" s="179">
        <v>15</v>
      </c>
      <c r="O58" s="144">
        <f>ROUNDDOWN(M58*L58,0)</f>
        <v>0</v>
      </c>
      <c r="P58" s="144">
        <f>VALUE(J_normdate(J_ADDDAY($D58,$O58,1)))</f>
        <v>13981001</v>
      </c>
      <c r="Q58" s="142">
        <f>L58-O58</f>
        <v>17</v>
      </c>
      <c r="R58" s="180"/>
      <c r="S58" s="180"/>
      <c r="T58" s="180"/>
      <c r="U58" s="180"/>
      <c r="V58" s="180"/>
      <c r="W58" s="180"/>
      <c r="X58" s="180"/>
      <c r="Y58" s="180"/>
      <c r="Z58" s="180"/>
      <c r="AA58" s="180"/>
      <c r="AB58" s="180"/>
      <c r="AC58" s="180"/>
      <c r="AD58" s="180"/>
      <c r="AE58" s="180"/>
      <c r="AF58" s="180"/>
      <c r="AG58" s="180"/>
      <c r="AH58" s="180"/>
      <c r="AI58" s="180"/>
      <c r="AJ58" s="180"/>
      <c r="AK58" s="180"/>
      <c r="AL58" s="180"/>
      <c r="AM58" s="180"/>
      <c r="AN58" s="180"/>
      <c r="AO58" s="180"/>
      <c r="AP58" s="180"/>
      <c r="AQ58" s="180"/>
      <c r="AR58" s="180"/>
      <c r="AS58" s="180"/>
      <c r="AT58" s="180"/>
      <c r="AU58" s="180"/>
      <c r="AV58" s="180"/>
      <c r="AW58" s="180"/>
      <c r="AX58" s="180"/>
      <c r="AY58" s="180"/>
      <c r="AZ58" s="180"/>
      <c r="BA58" s="180"/>
      <c r="BB58" s="180"/>
      <c r="BC58" s="180"/>
      <c r="BD58" s="180"/>
      <c r="BE58" s="180"/>
      <c r="BF58" s="180"/>
      <c r="BG58" s="180"/>
      <c r="BH58" s="180"/>
      <c r="BI58" s="180"/>
      <c r="BJ58" s="180"/>
      <c r="BK58" s="180"/>
      <c r="BL58" s="180"/>
      <c r="BM58" s="180"/>
      <c r="BN58" s="180"/>
      <c r="BO58" s="180"/>
      <c r="BP58" s="180"/>
      <c r="BQ58" s="180"/>
      <c r="BR58" s="180"/>
      <c r="BS58" s="180"/>
      <c r="BT58" s="180"/>
      <c r="BU58" s="180"/>
      <c r="BV58" s="180"/>
      <c r="BW58" s="180"/>
      <c r="BX58" s="180"/>
      <c r="BY58" s="180"/>
      <c r="BZ58" s="180"/>
      <c r="CA58" s="180"/>
      <c r="CB58" s="180"/>
      <c r="CC58" s="180"/>
      <c r="CD58" s="180"/>
      <c r="CE58" s="180"/>
      <c r="CF58" s="180"/>
      <c r="CG58" s="180"/>
      <c r="CH58" s="180"/>
      <c r="CI58" s="180"/>
      <c r="CJ58" s="180"/>
      <c r="CK58" s="180"/>
      <c r="CL58" s="180"/>
      <c r="CM58" s="180"/>
      <c r="CN58" s="180"/>
      <c r="CO58" s="180"/>
      <c r="CP58" s="180"/>
      <c r="CQ58" s="180"/>
      <c r="CR58" s="180"/>
      <c r="CS58" s="180"/>
      <c r="CT58" s="180"/>
      <c r="CU58" s="180"/>
      <c r="CV58" s="180"/>
      <c r="CW58" s="180"/>
      <c r="CX58" s="180"/>
      <c r="CY58" s="180"/>
      <c r="CZ58" s="180"/>
      <c r="DA58" s="180"/>
      <c r="DB58" s="180"/>
      <c r="DC58" s="180"/>
      <c r="DD58" s="180"/>
      <c r="DE58" s="180"/>
      <c r="DF58" s="180"/>
      <c r="DG58" s="180"/>
      <c r="DH58" s="180"/>
      <c r="DI58" s="180"/>
      <c r="DJ58" s="180"/>
      <c r="DK58" s="180"/>
      <c r="DL58" s="180"/>
      <c r="DM58" s="180"/>
      <c r="DN58" s="180"/>
      <c r="DO58" s="180"/>
      <c r="DP58" s="180"/>
      <c r="DQ58" s="180"/>
      <c r="DR58" s="180"/>
      <c r="DS58" s="180"/>
      <c r="DT58" s="180"/>
      <c r="DU58" s="180"/>
      <c r="DV58" s="180"/>
      <c r="DW58" s="180"/>
      <c r="DX58" s="180"/>
      <c r="DY58" s="180"/>
      <c r="DZ58" s="180"/>
      <c r="EA58" s="180"/>
      <c r="EB58" s="180"/>
      <c r="EC58" s="180"/>
      <c r="ED58" s="180"/>
      <c r="EE58" s="180"/>
      <c r="EF58" s="180"/>
      <c r="EG58" s="180"/>
      <c r="EH58" s="180"/>
      <c r="EI58" s="180"/>
      <c r="EJ58" s="180"/>
      <c r="EK58" s="180"/>
      <c r="EL58" s="180"/>
      <c r="EM58" s="180"/>
      <c r="EN58" s="180"/>
      <c r="EO58" s="180"/>
      <c r="EP58" s="180"/>
      <c r="EQ58" s="180"/>
      <c r="ER58" s="180"/>
      <c r="ES58" s="180"/>
      <c r="ET58" s="180"/>
      <c r="EU58" s="180"/>
      <c r="EV58" s="180"/>
      <c r="EW58" s="180"/>
      <c r="EX58" s="180"/>
      <c r="EY58" s="180"/>
      <c r="EZ58" s="180"/>
      <c r="FA58" s="180"/>
      <c r="FB58" s="180"/>
      <c r="FC58" s="180"/>
      <c r="FD58" s="180"/>
      <c r="FE58" s="180"/>
      <c r="FF58" s="180"/>
      <c r="FG58" s="180"/>
      <c r="FH58" s="180"/>
      <c r="FI58" s="180"/>
      <c r="FJ58" s="180"/>
      <c r="FK58" s="180"/>
      <c r="FL58" s="180"/>
      <c r="FM58" s="180"/>
      <c r="FN58" s="180"/>
      <c r="FO58" s="180"/>
      <c r="FP58" s="180"/>
      <c r="FQ58" s="180"/>
      <c r="FR58" s="180"/>
      <c r="FS58" s="180"/>
      <c r="FT58" s="180"/>
      <c r="FU58" s="180"/>
      <c r="FV58" s="180"/>
      <c r="FW58" s="180"/>
      <c r="FX58" s="180"/>
      <c r="FY58" s="180"/>
      <c r="FZ58" s="180"/>
      <c r="GA58" s="180"/>
      <c r="GB58" s="180"/>
      <c r="GC58" s="180"/>
      <c r="GD58" s="180"/>
      <c r="GE58" s="180"/>
      <c r="GF58" s="180"/>
      <c r="GG58" s="180"/>
      <c r="GH58" s="180"/>
      <c r="GI58" s="180"/>
      <c r="GJ58" s="180"/>
      <c r="GK58" s="180"/>
      <c r="GL58" s="180"/>
      <c r="GM58" s="180"/>
      <c r="GN58" s="180"/>
      <c r="GO58" s="180"/>
      <c r="GP58" s="180"/>
      <c r="GQ58" s="180"/>
      <c r="GR58" s="180"/>
      <c r="GS58" s="180"/>
      <c r="GT58" s="180"/>
      <c r="GU58" s="180"/>
      <c r="GV58" s="180"/>
      <c r="GW58" s="180"/>
      <c r="GX58" s="180"/>
      <c r="GY58" s="180"/>
      <c r="GZ58" s="180"/>
      <c r="HA58" s="180"/>
      <c r="HB58" s="180"/>
      <c r="HC58" s="180"/>
      <c r="HD58" s="180"/>
      <c r="HE58" s="180"/>
      <c r="HF58" s="180"/>
      <c r="HG58" s="180"/>
      <c r="HH58" s="180"/>
      <c r="HI58" s="180"/>
      <c r="HJ58" s="180"/>
      <c r="HK58" s="180"/>
      <c r="HL58" s="180"/>
      <c r="HM58" s="180"/>
      <c r="HN58" s="180"/>
      <c r="HO58" s="180"/>
      <c r="HP58" s="180"/>
      <c r="HQ58" s="180"/>
      <c r="HR58" s="180"/>
      <c r="HS58" s="180"/>
      <c r="HT58" s="180"/>
      <c r="HU58" s="180"/>
      <c r="HV58" s="180"/>
      <c r="HW58" s="180"/>
      <c r="HX58" s="180"/>
      <c r="HY58" s="180"/>
      <c r="HZ58" s="180"/>
      <c r="IA58" s="180"/>
      <c r="IB58" s="180"/>
      <c r="IC58" s="180"/>
      <c r="ID58" s="180"/>
      <c r="IE58" s="180"/>
      <c r="IF58" s="180"/>
      <c r="IG58" s="180"/>
      <c r="IH58" s="180"/>
      <c r="II58" s="180"/>
      <c r="IJ58" s="180"/>
      <c r="IK58" s="180"/>
      <c r="IL58" s="180"/>
      <c r="IM58" s="180"/>
      <c r="IN58" s="180"/>
      <c r="IO58" s="180"/>
      <c r="IP58" s="180"/>
      <c r="IQ58" s="180"/>
      <c r="IR58" s="180"/>
      <c r="IS58" s="180"/>
      <c r="IT58" s="180"/>
      <c r="IU58" s="180"/>
      <c r="IV58" s="180"/>
      <c r="IW58" s="180"/>
      <c r="IX58" s="180"/>
      <c r="IY58" s="181">
        <v>2</v>
      </c>
      <c r="IZ58" s="182">
        <f>(TEXT(K58,"[m]")/60)*VLOOKUP(IY58,'Income Person-hours'!A$2:C$5,3,FALSE)</f>
        <v>0</v>
      </c>
      <c r="JA58" s="183"/>
      <c r="JB58" s="183"/>
      <c r="JC58" s="183"/>
      <c r="JD58" s="184">
        <f>SUM((TEXT(JA58,"[M]")/60)*'Income Person-hours'!$D$3,(TEXT(JB58,"[M]")/60)*'Income Person-hours'!$D$4,(TEXT(JC58,"[M]")/60)*'Income Person-hours'!$D$5)</f>
        <v>0</v>
      </c>
    </row>
    <row r="59" spans="1:264" s="185" customFormat="1" ht="13.5">
      <c r="A59" s="172">
        <v>5.2</v>
      </c>
      <c r="B59" s="186" t="s">
        <v>114</v>
      </c>
      <c r="C59" s="173" t="s">
        <v>104</v>
      </c>
      <c r="D59" s="189" t="str">
        <f>IF(OR(j_WEEKDAY(J_ADDDAY(VLOOKUP(I59,A:F,6,FALSE),H59,1),0)=6,SUMIFS(Holieday[ok],Holieday[date],J_ADDDAY(VLOOKUP(I59,A:F,6,FALSE),H59,1)))=FALSE(),J_ADDDAY(VLOOKUP(I59,A:F,6,FALSE),H59,1),IF(OR(j_WEEKDAY(J_ADDDAY(VLOOKUP(I59,A:F,6,FALSE),H59+1,1),0)=6,SUMIFS(Holieday[ok],Holieday[date],J_ADDDAY(VLOOKUP(I59,A:F,6,FALSE),H59+1,1)))=FALSE(),J_ADDDAY(VLOOKUP(I59,A:F,6,FALSE),H59+1,1),IF(OR(j_WEEKDAY(J_ADDDAY(VLOOKUP(I59,A:F,6,FALSE),H59+2,1),0)=6,SUMIFS(Holieday[ok],Holieday[date],J_ADDDAY(VLOOKUP(I59,A:F,6,FALSE),H59+2,1)))=FALSE(),J_ADDDAY(VLOOKUP(I59,A:F,6,FALSE),H59+2,1),IF(OR(j_WEEKDAY(J_ADDDAY(VLOOKUP(I59,A:F,6,FALSE),H59+3,1),0)=6,SUMIFS(Holieday[ok],Holieday[date],J_ADDDAY(VLOOKUP(I59,A:F,6,FALSE),H59+3,1)))=FALSE(),J_ADDDAY(VLOOKUP(I59,A:F,6,FALSE),H59+3,1),IF(OR(j_WEEKDAY(J_ADDDAY(VLOOKUP(I59,A:F,6,FALSE),H59+4,1),0)=6,SUMIFS(Holieday[ok],Holieday[date],J_ADDDAY(VLOOKUP(I59,A:F,6,FALSE),H59+4,1)))=FALSE(),J_ADDDAY(VLOOKUP(I59,A:F,6,FALSE),H59+4,1),J_ADDDAY(VLOOKUP(I59,A:F,6,FALSE),H59+5,1))))))</f>
        <v>1398/10/02</v>
      </c>
      <c r="E59" s="136">
        <f t="shared" si="29"/>
        <v>13981002</v>
      </c>
      <c r="F59" s="299" t="str">
        <f>IF(N59=0,J_SUBDAY(D59,1,1),IF((N59-NETWORKDAYS.INTL(J_GregorianDate(D59,1),J_GregorianDate(J_SUBDAY(J_ADDDAY(D59,N59,1),1,1),1),16,1)-SUMIFS(Holieday[ok],Holieday[date],CONCATENATE("&gt;","=",D59),Holieday[date],CONCATENATE("&lt;","=",J_SUBDAY(J_ADDDAY(D59,N59,1),1,1)))+SUMIFS(Holieday[Friday],Holieday[date],CONCATENATE("&gt;","=",D59),Holieday[date],CONCATENATE("&lt;","=",J_SUBDAY(J_ADDDAY(D59,N59,1),1,1))))=0,J_SUBDAY(J_ADDDAY(D59,N59,1),1,1),IF((N59-NETWORKDAYS.INTL(J_GregorianDate(D59,1),J_GregorianDate(J_SUBDAY(J_ADDDAY(D59,N59,1),1,1),1),16,1)-SUMIFS(Holieday[ok],Holieday[date],CONCATENATE("&gt;","=",D59),Holieday[date],CONCATENATE("&lt;","=",J_SUBDAY(J_ADDDAY(D59,N59,1),1,1)))+SUMIFS(Holieday[Friday],Holieday[date],CONCATENATE("&gt;","=",D59),Holieday[date],CONCATENATE("&lt;","=",J_SUBDAY(J_ADDDAY(D59,N59,1),1,1))))=1,J_SUBDAY(J_ADDDAY(D59,N59+1,1),1,1),IF((N59-NETWORKDAYS.INTL(J_GregorianDate(D59,1),J_GregorianDate(J_SUBDAY(J_ADDDAY(D59,N59,1),1,1),1),16,1)-SUMIFS(Holieday[ok],Holieday[date],CONCATENATE("&gt;","=",D59),Holieday[date],CONCATENATE("&lt;","=",J_SUBDAY(J_ADDDAY(D59,N59,1),1,1)))+SUMIFS(Holieday[Friday],Holieday[date],CONCATENATE("&gt;","=",D59),Holieday[date],CONCATENATE("&lt;","=",J_SUBDAY(J_ADDDAY(D59,N59,1),1,1))))=2,J_SUBDAY(J_ADDDAY(D59,N59+2,1),1,1),J_SUBDAY(J_ADDDAY(D59,N59+3,1),1,1)))))</f>
        <v>1398/10/04</v>
      </c>
      <c r="G59" s="139">
        <f t="shared" si="26"/>
        <v>13981004</v>
      </c>
      <c r="H59" s="175">
        <v>1</v>
      </c>
      <c r="I59" s="176">
        <v>1.1000000000000001</v>
      </c>
      <c r="J59" s="174">
        <f>j_WEEKDAY(D59,2)</f>
        <v>2</v>
      </c>
      <c r="K59" s="143">
        <f>SUM(JA59:JC59)</f>
        <v>0</v>
      </c>
      <c r="L59" s="177">
        <f t="shared" si="32"/>
        <v>3</v>
      </c>
      <c r="M59" s="178">
        <v>1</v>
      </c>
      <c r="N59" s="179">
        <v>3</v>
      </c>
      <c r="O59" s="144">
        <f t="shared" ref="O59:O63" si="33">ROUNDDOWN(M59*L59,0)</f>
        <v>3</v>
      </c>
      <c r="P59" s="144">
        <f>VALUE(J_normdate(J_ADDDAY($D59,$O59,1)))</f>
        <v>13981005</v>
      </c>
      <c r="Q59" s="142">
        <f t="shared" ref="Q59:Q63" si="34">L59-O59</f>
        <v>0</v>
      </c>
      <c r="R59" s="180"/>
      <c r="S59" s="180"/>
      <c r="T59" s="180"/>
      <c r="U59" s="180"/>
      <c r="V59" s="180"/>
      <c r="W59" s="180"/>
      <c r="X59" s="180"/>
      <c r="Y59" s="180"/>
      <c r="Z59" s="180"/>
      <c r="AA59" s="180"/>
      <c r="AB59" s="180"/>
      <c r="AC59" s="180"/>
      <c r="AD59" s="180"/>
      <c r="AE59" s="180"/>
      <c r="AF59" s="180"/>
      <c r="AG59" s="180"/>
      <c r="AH59" s="180"/>
      <c r="AI59" s="180"/>
      <c r="AJ59" s="180"/>
      <c r="AK59" s="180"/>
      <c r="AL59" s="180"/>
      <c r="AM59" s="180"/>
      <c r="AN59" s="180"/>
      <c r="AO59" s="180"/>
      <c r="AP59" s="180"/>
      <c r="AQ59" s="180"/>
      <c r="AR59" s="180"/>
      <c r="AS59" s="180"/>
      <c r="AT59" s="180"/>
      <c r="AU59" s="180"/>
      <c r="AV59" s="180"/>
      <c r="AW59" s="180"/>
      <c r="AX59" s="180"/>
      <c r="AY59" s="180"/>
      <c r="AZ59" s="180"/>
      <c r="BA59" s="180"/>
      <c r="BB59" s="180"/>
      <c r="BC59" s="180"/>
      <c r="BD59" s="180"/>
      <c r="BE59" s="180"/>
      <c r="BF59" s="180"/>
      <c r="BG59" s="180"/>
      <c r="BH59" s="180"/>
      <c r="BI59" s="180"/>
      <c r="BJ59" s="180"/>
      <c r="BK59" s="180"/>
      <c r="BL59" s="180"/>
      <c r="BM59" s="180"/>
      <c r="BN59" s="180"/>
      <c r="BO59" s="180"/>
      <c r="BP59" s="180"/>
      <c r="BQ59" s="180"/>
      <c r="BR59" s="180"/>
      <c r="BS59" s="180"/>
      <c r="BT59" s="180"/>
      <c r="BU59" s="180"/>
      <c r="BV59" s="180"/>
      <c r="BW59" s="180"/>
      <c r="BX59" s="180"/>
      <c r="BY59" s="180"/>
      <c r="BZ59" s="180"/>
      <c r="CA59" s="180"/>
      <c r="CB59" s="180"/>
      <c r="CC59" s="180"/>
      <c r="CD59" s="180"/>
      <c r="CE59" s="180"/>
      <c r="CF59" s="180"/>
      <c r="CG59" s="180"/>
      <c r="CH59" s="180"/>
      <c r="CI59" s="180"/>
      <c r="CJ59" s="180"/>
      <c r="CK59" s="180"/>
      <c r="CL59" s="180"/>
      <c r="CM59" s="180"/>
      <c r="CN59" s="180"/>
      <c r="CO59" s="180"/>
      <c r="CP59" s="180"/>
      <c r="CQ59" s="180"/>
      <c r="CR59" s="180"/>
      <c r="CS59" s="180"/>
      <c r="CT59" s="180"/>
      <c r="CU59" s="180"/>
      <c r="CV59" s="180"/>
      <c r="CW59" s="180"/>
      <c r="CX59" s="180"/>
      <c r="CY59" s="180"/>
      <c r="CZ59" s="180"/>
      <c r="DA59" s="180"/>
      <c r="DB59" s="180"/>
      <c r="DC59" s="180"/>
      <c r="DD59" s="180"/>
      <c r="DE59" s="180"/>
      <c r="DF59" s="180"/>
      <c r="DG59" s="180"/>
      <c r="DH59" s="180"/>
      <c r="DI59" s="180"/>
      <c r="DJ59" s="180"/>
      <c r="DK59" s="180"/>
      <c r="DL59" s="180"/>
      <c r="DM59" s="180"/>
      <c r="DN59" s="180"/>
      <c r="DO59" s="180"/>
      <c r="DP59" s="180"/>
      <c r="DQ59" s="180"/>
      <c r="DR59" s="180"/>
      <c r="DS59" s="180"/>
      <c r="DT59" s="180"/>
      <c r="DU59" s="180"/>
      <c r="DV59" s="180"/>
      <c r="DW59" s="180"/>
      <c r="DX59" s="180"/>
      <c r="DY59" s="180"/>
      <c r="DZ59" s="180"/>
      <c r="EA59" s="180"/>
      <c r="EB59" s="180"/>
      <c r="EC59" s="180"/>
      <c r="ED59" s="180"/>
      <c r="EE59" s="180"/>
      <c r="EF59" s="180"/>
      <c r="EG59" s="180"/>
      <c r="EH59" s="180"/>
      <c r="EI59" s="180"/>
      <c r="EJ59" s="180"/>
      <c r="EK59" s="180"/>
      <c r="EL59" s="180"/>
      <c r="EM59" s="180"/>
      <c r="EN59" s="180"/>
      <c r="EO59" s="180"/>
      <c r="EP59" s="180"/>
      <c r="EQ59" s="180"/>
      <c r="ER59" s="180"/>
      <c r="ES59" s="180"/>
      <c r="ET59" s="180"/>
      <c r="EU59" s="180"/>
      <c r="EV59" s="180"/>
      <c r="EW59" s="180"/>
      <c r="EX59" s="180"/>
      <c r="EY59" s="180"/>
      <c r="EZ59" s="180"/>
      <c r="FA59" s="180"/>
      <c r="FB59" s="180"/>
      <c r="FC59" s="180"/>
      <c r="FD59" s="180"/>
      <c r="FE59" s="180"/>
      <c r="FF59" s="180"/>
      <c r="FG59" s="180"/>
      <c r="FH59" s="180"/>
      <c r="FI59" s="180"/>
      <c r="FJ59" s="180"/>
      <c r="FK59" s="180"/>
      <c r="FL59" s="180"/>
      <c r="FM59" s="180"/>
      <c r="FN59" s="180"/>
      <c r="FO59" s="180"/>
      <c r="FP59" s="180"/>
      <c r="FQ59" s="180"/>
      <c r="FR59" s="180"/>
      <c r="FS59" s="180"/>
      <c r="FT59" s="180"/>
      <c r="FU59" s="180"/>
      <c r="FV59" s="180"/>
      <c r="FW59" s="180"/>
      <c r="FX59" s="180"/>
      <c r="FY59" s="180"/>
      <c r="FZ59" s="180"/>
      <c r="GA59" s="180"/>
      <c r="GB59" s="180"/>
      <c r="GC59" s="180"/>
      <c r="GD59" s="180"/>
      <c r="GE59" s="180"/>
      <c r="GF59" s="180"/>
      <c r="GG59" s="180"/>
      <c r="GH59" s="180"/>
      <c r="GI59" s="180"/>
      <c r="GJ59" s="180"/>
      <c r="GK59" s="180"/>
      <c r="GL59" s="180"/>
      <c r="GM59" s="180"/>
      <c r="GN59" s="180"/>
      <c r="GO59" s="180"/>
      <c r="GP59" s="180"/>
      <c r="GQ59" s="180"/>
      <c r="GR59" s="180"/>
      <c r="GS59" s="180"/>
      <c r="GT59" s="180"/>
      <c r="GU59" s="180"/>
      <c r="GV59" s="180"/>
      <c r="GW59" s="180"/>
      <c r="GX59" s="180"/>
      <c r="GY59" s="180"/>
      <c r="GZ59" s="180"/>
      <c r="HA59" s="180"/>
      <c r="HB59" s="180"/>
      <c r="HC59" s="180"/>
      <c r="HD59" s="180"/>
      <c r="HE59" s="180"/>
      <c r="HF59" s="180"/>
      <c r="HG59" s="180"/>
      <c r="HH59" s="180"/>
      <c r="HI59" s="180"/>
      <c r="HJ59" s="180"/>
      <c r="HK59" s="180"/>
      <c r="HL59" s="180"/>
      <c r="HM59" s="180"/>
      <c r="HN59" s="180"/>
      <c r="HO59" s="180"/>
      <c r="HP59" s="180"/>
      <c r="HQ59" s="180"/>
      <c r="HR59" s="180"/>
      <c r="HS59" s="180"/>
      <c r="HT59" s="180"/>
      <c r="HU59" s="180"/>
      <c r="HV59" s="180"/>
      <c r="HW59" s="180"/>
      <c r="HX59" s="180"/>
      <c r="HY59" s="180"/>
      <c r="HZ59" s="180"/>
      <c r="IA59" s="180"/>
      <c r="IB59" s="180"/>
      <c r="IC59" s="180"/>
      <c r="ID59" s="180"/>
      <c r="IE59" s="180"/>
      <c r="IF59" s="180"/>
      <c r="IG59" s="180"/>
      <c r="IH59" s="180"/>
      <c r="II59" s="180"/>
      <c r="IJ59" s="180"/>
      <c r="IK59" s="180"/>
      <c r="IL59" s="180"/>
      <c r="IM59" s="180"/>
      <c r="IN59" s="180"/>
      <c r="IO59" s="180"/>
      <c r="IP59" s="180"/>
      <c r="IQ59" s="180"/>
      <c r="IR59" s="180"/>
      <c r="IS59" s="180"/>
      <c r="IT59" s="180"/>
      <c r="IU59" s="180"/>
      <c r="IV59" s="180"/>
      <c r="IW59" s="180"/>
      <c r="IX59" s="180"/>
      <c r="IY59" s="181">
        <v>2</v>
      </c>
      <c r="IZ59" s="182">
        <f>(TEXT(K59,"[m]")/60)*VLOOKUP(IY59,'Income Person-hours'!A$2:C$5,3,FALSE)</f>
        <v>0</v>
      </c>
      <c r="JA59" s="183"/>
      <c r="JB59" s="183"/>
      <c r="JC59" s="183"/>
      <c r="JD59" s="184">
        <f>SUM((TEXT(JA59,"[M]")/60)*'Income Person-hours'!$D$3,(TEXT(JB59,"[M]")/60)*'Income Person-hours'!$D$4,(TEXT(JC59,"[M]")/60)*'Income Person-hours'!$D$5)</f>
        <v>0</v>
      </c>
    </row>
    <row r="60" spans="1:264" s="185" customFormat="1" ht="13.5">
      <c r="A60" s="197">
        <v>5.3</v>
      </c>
      <c r="B60" s="186" t="s">
        <v>115</v>
      </c>
      <c r="C60" s="173" t="s">
        <v>72</v>
      </c>
      <c r="D60" s="299" t="str">
        <f>IF(OR(j_WEEKDAY(J_ADDDAY(VLOOKUP(I60,A:F,6,FALSE),H60,1),0)=6,SUMIFS(Holieday[ok],Holieday[date],J_ADDDAY(VLOOKUP(I60,A:F,6,FALSE),H60,1)))=FALSE(),J_ADDDAY(VLOOKUP(I60,A:F,6,FALSE),H60,1),IF(OR(j_WEEKDAY(J_ADDDAY(VLOOKUP(I60,A:F,6,FALSE),H60+1,1),0)=6,SUMIFS(Holieday[ok],Holieday[date],J_ADDDAY(VLOOKUP(I60,A:F,6,FALSE),H60+1,1)))=FALSE(),J_ADDDAY(VLOOKUP(I60,A:F,6,FALSE),H60+1,1),IF(OR(j_WEEKDAY(J_ADDDAY(VLOOKUP(I60,A:F,6,FALSE),H60+2,1),0)=6,SUMIFS(Holieday[ok],Holieday[date],J_ADDDAY(VLOOKUP(I60,A:F,6,FALSE),H60+2,1)))=FALSE(),J_ADDDAY(VLOOKUP(I60,A:F,6,FALSE),H60+2,1),IF(OR(j_WEEKDAY(J_ADDDAY(VLOOKUP(I60,A:F,6,FALSE),H60+3,1),0)=6,SUMIFS(Holieday[ok],Holieday[date],J_ADDDAY(VLOOKUP(I60,A:F,6,FALSE),H60+3,1)))=FALSE(),J_ADDDAY(VLOOKUP(I60,A:F,6,FALSE),H60+3,1),IF(OR(j_WEEKDAY(J_ADDDAY(VLOOKUP(I60,A:F,6,FALSE),H60+4,1),0)=6,SUMIFS(Holieday[ok],Holieday[date],J_ADDDAY(VLOOKUP(I60,A:F,6,FALSE),H60+4,1)))=FALSE(),J_ADDDAY(VLOOKUP(I60,A:F,6,FALSE),H60+4,1),J_ADDDAY(VLOOKUP(I60,A:F,6,FALSE),H60+5,1))))))</f>
        <v>1398/10/05</v>
      </c>
      <c r="E60" s="136">
        <f t="shared" si="29"/>
        <v>13981005</v>
      </c>
      <c r="F60" s="299" t="str">
        <f>IF(N60=0,J_SUBDAY(D60,1,1),IF((N60-NETWORKDAYS.INTL(J_GregorianDate(D60,1),J_GregorianDate(J_SUBDAY(J_ADDDAY(D60,N60,1),1,1),1),16,1)-SUMIFS(Holieday[ok],Holieday[date],CONCATENATE("&gt;","=",D60),Holieday[date],CONCATENATE("&lt;","=",J_SUBDAY(J_ADDDAY(D60,N60,1),1,1)))+SUMIFS(Holieday[Friday],Holieday[date],CONCATENATE("&gt;","=",D60),Holieday[date],CONCATENATE("&lt;","=",J_SUBDAY(J_ADDDAY(D60,N60,1),1,1))))=0,J_SUBDAY(J_ADDDAY(D60,N60,1),1,1),IF((N60-NETWORKDAYS.INTL(J_GregorianDate(D60,1),J_GregorianDate(J_SUBDAY(J_ADDDAY(D60,N60,1),1,1),1),16,1)-SUMIFS(Holieday[ok],Holieday[date],CONCATENATE("&gt;","=",D60),Holieday[date],CONCATENATE("&lt;","=",J_SUBDAY(J_ADDDAY(D60,N60,1),1,1)))+SUMIFS(Holieday[Friday],Holieday[date],CONCATENATE("&gt;","=",D60),Holieday[date],CONCATENATE("&lt;","=",J_SUBDAY(J_ADDDAY(D60,N60,1),1,1))))=1,J_SUBDAY(J_ADDDAY(D60,N60+1,1),1,1),IF((N60-NETWORKDAYS.INTL(J_GregorianDate(D60,1),J_GregorianDate(J_SUBDAY(J_ADDDAY(D60,N60,1),1,1),1),16,1)-SUMIFS(Holieday[ok],Holieday[date],CONCATENATE("&gt;","=",D60),Holieday[date],CONCATENATE("&lt;","=",J_SUBDAY(J_ADDDAY(D60,N60,1),1,1)))+SUMIFS(Holieday[Friday],Holieday[date],CONCATENATE("&gt;","=",D60),Holieday[date],CONCATENATE("&lt;","=",J_SUBDAY(J_ADDDAY(D60,N60,1),1,1))))=2,J_SUBDAY(J_ADDDAY(D60,N60+2,1),1,1),J_SUBDAY(J_ADDDAY(D60,N60+3,1),1,1)))))</f>
        <v>1398/10/16</v>
      </c>
      <c r="G60" s="139">
        <f t="shared" si="26"/>
        <v>13981016</v>
      </c>
      <c r="H60" s="175">
        <v>1</v>
      </c>
      <c r="I60" s="176">
        <v>5.2</v>
      </c>
      <c r="J60" s="174">
        <f>j_WEEKDAY(D60,2)</f>
        <v>5</v>
      </c>
      <c r="K60" s="143">
        <f>SUM(JA60:JC60)</f>
        <v>0</v>
      </c>
      <c r="L60" s="177">
        <f t="shared" si="32"/>
        <v>12</v>
      </c>
      <c r="M60" s="178">
        <v>0</v>
      </c>
      <c r="N60" s="179">
        <v>10</v>
      </c>
      <c r="O60" s="144">
        <f t="shared" si="33"/>
        <v>0</v>
      </c>
      <c r="P60" s="144">
        <f>VALUE(J_normdate(J_ADDDAY($D60,$O60,1)))</f>
        <v>13981005</v>
      </c>
      <c r="Q60" s="142">
        <f t="shared" si="34"/>
        <v>12</v>
      </c>
      <c r="R60" s="180"/>
      <c r="S60" s="180"/>
      <c r="T60" s="180"/>
      <c r="U60" s="180"/>
      <c r="V60" s="180"/>
      <c r="W60" s="180"/>
      <c r="X60" s="180"/>
      <c r="Y60" s="180"/>
      <c r="Z60" s="180"/>
      <c r="AA60" s="180"/>
      <c r="AB60" s="180"/>
      <c r="AC60" s="180"/>
      <c r="AD60" s="180"/>
      <c r="AE60" s="180"/>
      <c r="AF60" s="180"/>
      <c r="AG60" s="180"/>
      <c r="AH60" s="180"/>
      <c r="AI60" s="180"/>
      <c r="AJ60" s="180"/>
      <c r="AK60" s="180"/>
      <c r="AL60" s="180"/>
      <c r="AM60" s="180"/>
      <c r="AN60" s="180"/>
      <c r="AO60" s="180"/>
      <c r="AP60" s="180"/>
      <c r="AQ60" s="180"/>
      <c r="AR60" s="180"/>
      <c r="AS60" s="180"/>
      <c r="AT60" s="180"/>
      <c r="AU60" s="180"/>
      <c r="AV60" s="180"/>
      <c r="AW60" s="180"/>
      <c r="AX60" s="180"/>
      <c r="AY60" s="180"/>
      <c r="AZ60" s="180"/>
      <c r="BA60" s="180"/>
      <c r="BB60" s="180"/>
      <c r="BC60" s="180"/>
      <c r="BD60" s="180"/>
      <c r="BE60" s="180"/>
      <c r="BF60" s="180"/>
      <c r="BG60" s="180"/>
      <c r="BH60" s="180"/>
      <c r="BI60" s="180"/>
      <c r="BJ60" s="180"/>
      <c r="BK60" s="180"/>
      <c r="BL60" s="180"/>
      <c r="BM60" s="180"/>
      <c r="BN60" s="180"/>
      <c r="BO60" s="180"/>
      <c r="BP60" s="180"/>
      <c r="BQ60" s="180"/>
      <c r="BR60" s="180"/>
      <c r="BS60" s="180"/>
      <c r="BT60" s="180"/>
      <c r="BU60" s="180"/>
      <c r="BV60" s="180"/>
      <c r="BW60" s="180"/>
      <c r="BX60" s="180"/>
      <c r="BY60" s="180"/>
      <c r="BZ60" s="180"/>
      <c r="CA60" s="180"/>
      <c r="CB60" s="180"/>
      <c r="CC60" s="180"/>
      <c r="CD60" s="180"/>
      <c r="CE60" s="180"/>
      <c r="CF60" s="180"/>
      <c r="CG60" s="180"/>
      <c r="CH60" s="180"/>
      <c r="CI60" s="180"/>
      <c r="CJ60" s="180"/>
      <c r="CK60" s="180"/>
      <c r="CL60" s="180"/>
      <c r="CM60" s="180"/>
      <c r="CN60" s="180"/>
      <c r="CO60" s="180"/>
      <c r="CP60" s="180"/>
      <c r="CQ60" s="180"/>
      <c r="CR60" s="180"/>
      <c r="CS60" s="180"/>
      <c r="CT60" s="180"/>
      <c r="CU60" s="180"/>
      <c r="CV60" s="180"/>
      <c r="CW60" s="180"/>
      <c r="CX60" s="180"/>
      <c r="CY60" s="180"/>
      <c r="CZ60" s="180"/>
      <c r="DA60" s="180"/>
      <c r="DB60" s="180"/>
      <c r="DC60" s="180"/>
      <c r="DD60" s="180"/>
      <c r="DE60" s="180"/>
      <c r="DF60" s="180"/>
      <c r="DG60" s="180"/>
      <c r="DH60" s="180"/>
      <c r="DI60" s="180"/>
      <c r="DJ60" s="180"/>
      <c r="DK60" s="180"/>
      <c r="DL60" s="180"/>
      <c r="DM60" s="180"/>
      <c r="DN60" s="180"/>
      <c r="DO60" s="180"/>
      <c r="DP60" s="180"/>
      <c r="DQ60" s="180"/>
      <c r="DR60" s="180"/>
      <c r="DS60" s="180"/>
      <c r="DT60" s="180"/>
      <c r="DU60" s="180"/>
      <c r="DV60" s="180"/>
      <c r="DW60" s="180"/>
      <c r="DX60" s="180"/>
      <c r="DY60" s="180"/>
      <c r="DZ60" s="180"/>
      <c r="EA60" s="180"/>
      <c r="EB60" s="180"/>
      <c r="EC60" s="180"/>
      <c r="ED60" s="180"/>
      <c r="EE60" s="180"/>
      <c r="EF60" s="180"/>
      <c r="EG60" s="180"/>
      <c r="EH60" s="180"/>
      <c r="EI60" s="180"/>
      <c r="EJ60" s="180"/>
      <c r="EK60" s="180"/>
      <c r="EL60" s="180"/>
      <c r="EM60" s="180"/>
      <c r="EN60" s="180"/>
      <c r="EO60" s="180"/>
      <c r="EP60" s="180"/>
      <c r="EQ60" s="180"/>
      <c r="ER60" s="180"/>
      <c r="ES60" s="180"/>
      <c r="ET60" s="180"/>
      <c r="EU60" s="180"/>
      <c r="EV60" s="180"/>
      <c r="EW60" s="180"/>
      <c r="EX60" s="180"/>
      <c r="EY60" s="180"/>
      <c r="EZ60" s="180"/>
      <c r="FA60" s="180"/>
      <c r="FB60" s="180"/>
      <c r="FC60" s="180"/>
      <c r="FD60" s="180"/>
      <c r="FE60" s="180"/>
      <c r="FF60" s="180"/>
      <c r="FG60" s="180"/>
      <c r="FH60" s="180"/>
      <c r="FI60" s="180"/>
      <c r="FJ60" s="180"/>
      <c r="FK60" s="180"/>
      <c r="FL60" s="180"/>
      <c r="FM60" s="180"/>
      <c r="FN60" s="180"/>
      <c r="FO60" s="180"/>
      <c r="FP60" s="180"/>
      <c r="FQ60" s="180"/>
      <c r="FR60" s="180"/>
      <c r="FS60" s="180"/>
      <c r="FT60" s="180"/>
      <c r="FU60" s="180"/>
      <c r="FV60" s="180"/>
      <c r="FW60" s="180"/>
      <c r="FX60" s="180"/>
      <c r="FY60" s="180"/>
      <c r="FZ60" s="180"/>
      <c r="GA60" s="180"/>
      <c r="GB60" s="180"/>
      <c r="GC60" s="180"/>
      <c r="GD60" s="180"/>
      <c r="GE60" s="180"/>
      <c r="GF60" s="180"/>
      <c r="GG60" s="180"/>
      <c r="GH60" s="180"/>
      <c r="GI60" s="180"/>
      <c r="GJ60" s="180"/>
      <c r="GK60" s="180"/>
      <c r="GL60" s="180"/>
      <c r="GM60" s="180"/>
      <c r="GN60" s="180"/>
      <c r="GO60" s="180"/>
      <c r="GP60" s="180"/>
      <c r="GQ60" s="180"/>
      <c r="GR60" s="180"/>
      <c r="GS60" s="180"/>
      <c r="GT60" s="180"/>
      <c r="GU60" s="180"/>
      <c r="GV60" s="180"/>
      <c r="GW60" s="180"/>
      <c r="GX60" s="180"/>
      <c r="GY60" s="180"/>
      <c r="GZ60" s="180"/>
      <c r="HA60" s="180"/>
      <c r="HB60" s="180"/>
      <c r="HC60" s="180"/>
      <c r="HD60" s="180"/>
      <c r="HE60" s="180"/>
      <c r="HF60" s="180"/>
      <c r="HG60" s="180"/>
      <c r="HH60" s="180"/>
      <c r="HI60" s="180"/>
      <c r="HJ60" s="180"/>
      <c r="HK60" s="180"/>
      <c r="HL60" s="180"/>
      <c r="HM60" s="180"/>
      <c r="HN60" s="180"/>
      <c r="HO60" s="180"/>
      <c r="HP60" s="180"/>
      <c r="HQ60" s="180"/>
      <c r="HR60" s="180"/>
      <c r="HS60" s="180"/>
      <c r="HT60" s="180"/>
      <c r="HU60" s="180"/>
      <c r="HV60" s="180"/>
      <c r="HW60" s="180"/>
      <c r="HX60" s="180"/>
      <c r="HY60" s="180"/>
      <c r="HZ60" s="180"/>
      <c r="IA60" s="180"/>
      <c r="IB60" s="180"/>
      <c r="IC60" s="180"/>
      <c r="ID60" s="180"/>
      <c r="IE60" s="180"/>
      <c r="IF60" s="180"/>
      <c r="IG60" s="180"/>
      <c r="IH60" s="180"/>
      <c r="II60" s="180"/>
      <c r="IJ60" s="180"/>
      <c r="IK60" s="180"/>
      <c r="IL60" s="180"/>
      <c r="IM60" s="180"/>
      <c r="IN60" s="180"/>
      <c r="IO60" s="180"/>
      <c r="IP60" s="180"/>
      <c r="IQ60" s="180"/>
      <c r="IR60" s="180"/>
      <c r="IS60" s="180"/>
      <c r="IT60" s="180"/>
      <c r="IU60" s="180"/>
      <c r="IV60" s="180"/>
      <c r="IW60" s="180"/>
      <c r="IX60" s="180"/>
      <c r="IY60" s="181">
        <v>3</v>
      </c>
      <c r="IZ60" s="182">
        <f>(TEXT(K60,"[m]")/60)*VLOOKUP(IY60,'Income Person-hours'!A$2:C$5,3,FALSE)</f>
        <v>0</v>
      </c>
      <c r="JA60" s="183"/>
      <c r="JB60" s="183"/>
      <c r="JC60" s="183"/>
      <c r="JD60" s="184">
        <f>SUM((TEXT(JA60,"[M]")/60)*'Income Person-hours'!$D$3,(TEXT(JB60,"[M]")/60)*'Income Person-hours'!$D$4,(TEXT(JC60,"[M]")/60)*'Income Person-hours'!$D$5)</f>
        <v>0</v>
      </c>
    </row>
    <row r="61" spans="1:264" s="200" customFormat="1" ht="13.5">
      <c r="A61" s="172">
        <v>5.4</v>
      </c>
      <c r="B61" s="186" t="s">
        <v>112</v>
      </c>
      <c r="C61" s="173" t="s">
        <v>104</v>
      </c>
      <c r="D61" s="196" t="str">
        <f>IF(OR(j_WEEKDAY(J_ADDDAY(VLOOKUP(I61,A:F,6,FALSE),H61,1),0)=6,SUMIFS(Holieday[ok],Holieday[date],J_ADDDAY(VLOOKUP(I61,A:F,6,FALSE),H61,1)))=FALSE(),J_ADDDAY(VLOOKUP(I61,A:F,6,FALSE),H61,1),IF(OR(j_WEEKDAY(J_ADDDAY(VLOOKUP(I61,A:F,6,FALSE),H61+1,1),0)=6,SUMIFS(Holieday[ok],Holieday[date],J_ADDDAY(VLOOKUP(I61,A:F,6,FALSE),H61+1,1)))=FALSE(),J_ADDDAY(VLOOKUP(I61,A:F,6,FALSE),H61+1,1),IF(OR(j_WEEKDAY(J_ADDDAY(VLOOKUP(I61,A:F,6,FALSE),H61+2,1),0)=6,SUMIFS(Holieday[ok],Holieday[date],J_ADDDAY(VLOOKUP(I61,A:F,6,FALSE),H61+2,1)))=FALSE(),J_ADDDAY(VLOOKUP(I61,A:F,6,FALSE),H61+2,1),IF(OR(j_WEEKDAY(J_ADDDAY(VLOOKUP(I61,A:F,6,FALSE),H61+3,1),0)=6,SUMIFS(Holieday[ok],Holieday[date],J_ADDDAY(VLOOKUP(I61,A:F,6,FALSE),H61+3,1)))=FALSE(),J_ADDDAY(VLOOKUP(I61,A:F,6,FALSE),H61+3,1),IF(OR(j_WEEKDAY(J_ADDDAY(VLOOKUP(I61,A:F,6,FALSE),H61+4,1),0)=6,SUMIFS(Holieday[ok],Holieday[date],J_ADDDAY(VLOOKUP(I61,A:F,6,FALSE),H61+4,1)))=FALSE(),J_ADDDAY(VLOOKUP(I61,A:F,6,FALSE),H61+4,1),J_ADDDAY(VLOOKUP(I61,A:F,6,FALSE),H61+5,1))))))</f>
        <v>1398/10/17</v>
      </c>
      <c r="E61" s="1">
        <f t="shared" si="29"/>
        <v>13981017</v>
      </c>
      <c r="F61" s="196" t="str">
        <f>IF(N61=0,J_SUBDAY(D61,1,1),IF((N61-NETWORKDAYS.INTL(J_GregorianDate(D61,1),J_GregorianDate(J_SUBDAY(J_ADDDAY(D61,N61,1),1,1),1),16,1)-SUMIFS(Holieday[ok],Holieday[date],CONCATENATE("&gt;","=",D61),Holieday[date],CONCATENATE("&lt;","=",J_SUBDAY(J_ADDDAY(D61,N61,1),1,1)))+SUMIFS(Holieday[Friday],Holieday[date],CONCATENATE("&gt;","=",D61),Holieday[date],CONCATENATE("&lt;","=",J_SUBDAY(J_ADDDAY(D61,N61,1),1,1))))=0,J_SUBDAY(J_ADDDAY(D61,N61,1),1,1),IF((N61-NETWORKDAYS.INTL(J_GregorianDate(D61,1),J_GregorianDate(J_SUBDAY(J_ADDDAY(D61,N61,1),1,1),1),16,1)-SUMIFS(Holieday[ok],Holieday[date],CONCATENATE("&gt;","=",D61),Holieday[date],CONCATENATE("&lt;","=",J_SUBDAY(J_ADDDAY(D61,N61,1),1,1)))+SUMIFS(Holieday[Friday],Holieday[date],CONCATENATE("&gt;","=",D61),Holieday[date],CONCATENATE("&lt;","=",J_SUBDAY(J_ADDDAY(D61,N61,1),1,1))))=1,J_SUBDAY(J_ADDDAY(D61,N61+1,1),1,1),IF((N61-NETWORKDAYS.INTL(J_GregorianDate(D61,1),J_GregorianDate(J_SUBDAY(J_ADDDAY(D61,N61,1),1,1),1),16,1)-SUMIFS(Holieday[ok],Holieday[date],CONCATENATE("&gt;","=",D61),Holieday[date],CONCATENATE("&lt;","=",J_SUBDAY(J_ADDDAY(D61,N61,1),1,1)))+SUMIFS(Holieday[Friday],Holieday[date],CONCATENATE("&gt;","=",D61),Holieday[date],CONCATENATE("&lt;","=",J_SUBDAY(J_ADDDAY(D61,N61,1),1,1))))=2,J_SUBDAY(J_ADDDAY(D61,N61+2,1),1,1),J_SUBDAY(J_ADDDAY(D61,N61+3,1),1,1)))))</f>
        <v>1398/10/30</v>
      </c>
      <c r="G61" s="2">
        <f t="shared" si="26"/>
        <v>13981030</v>
      </c>
      <c r="H61" s="175">
        <v>1</v>
      </c>
      <c r="I61" s="176">
        <v>5.3</v>
      </c>
      <c r="J61" s="190">
        <f>j_WEEKDAY(D61,2)</f>
        <v>3</v>
      </c>
      <c r="K61" s="13">
        <f>SUM(JA61:JC61)</f>
        <v>0</v>
      </c>
      <c r="L61" s="191">
        <f t="shared" si="32"/>
        <v>14</v>
      </c>
      <c r="M61" s="178">
        <v>0</v>
      </c>
      <c r="N61" s="179">
        <v>12</v>
      </c>
      <c r="O61" s="6">
        <f t="shared" si="33"/>
        <v>0</v>
      </c>
      <c r="P61" s="6">
        <f>VALUE(J_normdate(J_ADDDAY($D61,$O61,1)))</f>
        <v>13981017</v>
      </c>
      <c r="Q61" s="5">
        <f t="shared" si="34"/>
        <v>14</v>
      </c>
      <c r="R61" s="192"/>
      <c r="S61" s="192"/>
      <c r="T61" s="192"/>
      <c r="U61" s="192"/>
      <c r="V61" s="192"/>
      <c r="W61" s="192"/>
      <c r="X61" s="192"/>
      <c r="Y61" s="192"/>
      <c r="Z61" s="192"/>
      <c r="AA61" s="192"/>
      <c r="AB61" s="192"/>
      <c r="AC61" s="192"/>
      <c r="AD61" s="192"/>
      <c r="AE61" s="192"/>
      <c r="AF61" s="192"/>
      <c r="AG61" s="192"/>
      <c r="AH61" s="192"/>
      <c r="AI61" s="192"/>
      <c r="AJ61" s="192"/>
      <c r="AK61" s="192"/>
      <c r="AL61" s="192"/>
      <c r="AM61" s="192"/>
      <c r="AN61" s="192"/>
      <c r="AO61" s="192"/>
      <c r="AP61" s="192"/>
      <c r="AQ61" s="192"/>
      <c r="AR61" s="192"/>
      <c r="AS61" s="192"/>
      <c r="AT61" s="192"/>
      <c r="AU61" s="192"/>
      <c r="AV61" s="192"/>
      <c r="AW61" s="192"/>
      <c r="AX61" s="192"/>
      <c r="AY61" s="192"/>
      <c r="AZ61" s="192"/>
      <c r="BA61" s="192"/>
      <c r="BB61" s="192"/>
      <c r="BC61" s="192"/>
      <c r="BD61" s="192"/>
      <c r="BE61" s="192"/>
      <c r="BF61" s="192"/>
      <c r="BG61" s="192"/>
      <c r="BH61" s="192"/>
      <c r="BI61" s="192"/>
      <c r="BJ61" s="192"/>
      <c r="BK61" s="192"/>
      <c r="BL61" s="192"/>
      <c r="BM61" s="192"/>
      <c r="BN61" s="192"/>
      <c r="BO61" s="192"/>
      <c r="BP61" s="192"/>
      <c r="BQ61" s="192"/>
      <c r="BR61" s="192"/>
      <c r="BS61" s="192"/>
      <c r="BT61" s="192"/>
      <c r="BU61" s="192"/>
      <c r="BV61" s="192"/>
      <c r="BW61" s="192"/>
      <c r="BX61" s="192"/>
      <c r="BY61" s="192"/>
      <c r="BZ61" s="192"/>
      <c r="CA61" s="192"/>
      <c r="CB61" s="192"/>
      <c r="CC61" s="192"/>
      <c r="CD61" s="192"/>
      <c r="CE61" s="192"/>
      <c r="CF61" s="192"/>
      <c r="CG61" s="192"/>
      <c r="CH61" s="192"/>
      <c r="CI61" s="192"/>
      <c r="CJ61" s="192"/>
      <c r="CK61" s="192"/>
      <c r="CL61" s="192"/>
      <c r="CM61" s="192"/>
      <c r="CN61" s="192"/>
      <c r="CO61" s="192"/>
      <c r="CP61" s="192"/>
      <c r="CQ61" s="192"/>
      <c r="CR61" s="192"/>
      <c r="CS61" s="192"/>
      <c r="CT61" s="192"/>
      <c r="CU61" s="192"/>
      <c r="CV61" s="192"/>
      <c r="CW61" s="192"/>
      <c r="CX61" s="192"/>
      <c r="CY61" s="192"/>
      <c r="CZ61" s="192"/>
      <c r="DA61" s="192"/>
      <c r="DB61" s="192"/>
      <c r="DC61" s="192"/>
      <c r="DD61" s="192"/>
      <c r="DE61" s="192"/>
      <c r="DF61" s="192"/>
      <c r="DG61" s="192"/>
      <c r="DH61" s="192"/>
      <c r="DI61" s="192"/>
      <c r="DJ61" s="192"/>
      <c r="DK61" s="192"/>
      <c r="DL61" s="192"/>
      <c r="DM61" s="192"/>
      <c r="DN61" s="192"/>
      <c r="DO61" s="192"/>
      <c r="DP61" s="192"/>
      <c r="DQ61" s="192"/>
      <c r="DR61" s="192"/>
      <c r="DS61" s="192"/>
      <c r="DT61" s="192"/>
      <c r="DU61" s="192"/>
      <c r="DV61" s="192"/>
      <c r="DW61" s="192"/>
      <c r="DX61" s="192"/>
      <c r="DY61" s="192"/>
      <c r="DZ61" s="192"/>
      <c r="EA61" s="192"/>
      <c r="EB61" s="192"/>
      <c r="EC61" s="192"/>
      <c r="ED61" s="192"/>
      <c r="EE61" s="192"/>
      <c r="EF61" s="192"/>
      <c r="EG61" s="192"/>
      <c r="EH61" s="192"/>
      <c r="EI61" s="192"/>
      <c r="EJ61" s="192"/>
      <c r="EK61" s="192"/>
      <c r="EL61" s="192"/>
      <c r="EM61" s="192"/>
      <c r="EN61" s="192"/>
      <c r="EO61" s="192"/>
      <c r="EP61" s="192"/>
      <c r="EQ61" s="192"/>
      <c r="ER61" s="192"/>
      <c r="ES61" s="192"/>
      <c r="ET61" s="192"/>
      <c r="EU61" s="192"/>
      <c r="EV61" s="192"/>
      <c r="EW61" s="192"/>
      <c r="EX61" s="192"/>
      <c r="EY61" s="192"/>
      <c r="EZ61" s="192"/>
      <c r="FA61" s="192"/>
      <c r="FB61" s="192"/>
      <c r="FC61" s="192"/>
      <c r="FD61" s="192"/>
      <c r="FE61" s="192"/>
      <c r="FF61" s="192"/>
      <c r="FG61" s="192"/>
      <c r="FH61" s="192"/>
      <c r="FI61" s="192"/>
      <c r="FJ61" s="192"/>
      <c r="FK61" s="192"/>
      <c r="FL61" s="192"/>
      <c r="FM61" s="192"/>
      <c r="FN61" s="192"/>
      <c r="FO61" s="192"/>
      <c r="FP61" s="192"/>
      <c r="FQ61" s="192"/>
      <c r="FR61" s="192"/>
      <c r="FS61" s="192"/>
      <c r="FT61" s="192"/>
      <c r="FU61" s="192"/>
      <c r="FV61" s="192"/>
      <c r="FW61" s="192"/>
      <c r="FX61" s="192"/>
      <c r="FY61" s="192"/>
      <c r="FZ61" s="192"/>
      <c r="GA61" s="192"/>
      <c r="GB61" s="192"/>
      <c r="GC61" s="192"/>
      <c r="GD61" s="192"/>
      <c r="GE61" s="192"/>
      <c r="GF61" s="192"/>
      <c r="GG61" s="192"/>
      <c r="GH61" s="192"/>
      <c r="GI61" s="192"/>
      <c r="GJ61" s="192"/>
      <c r="GK61" s="192"/>
      <c r="GL61" s="192"/>
      <c r="GM61" s="192"/>
      <c r="GN61" s="192"/>
      <c r="GO61" s="192"/>
      <c r="GP61" s="192"/>
      <c r="GQ61" s="192"/>
      <c r="GR61" s="192"/>
      <c r="GS61" s="192"/>
      <c r="GT61" s="192"/>
      <c r="GU61" s="192"/>
      <c r="GV61" s="192"/>
      <c r="GW61" s="192"/>
      <c r="GX61" s="192"/>
      <c r="GY61" s="192"/>
      <c r="GZ61" s="192"/>
      <c r="HA61" s="192"/>
      <c r="HB61" s="192"/>
      <c r="HC61" s="192"/>
      <c r="HD61" s="192"/>
      <c r="HE61" s="192"/>
      <c r="HF61" s="192"/>
      <c r="HG61" s="192"/>
      <c r="HH61" s="192"/>
      <c r="HI61" s="192"/>
      <c r="HJ61" s="192"/>
      <c r="HK61" s="192"/>
      <c r="HL61" s="192"/>
      <c r="HM61" s="192"/>
      <c r="HN61" s="192"/>
      <c r="HO61" s="192"/>
      <c r="HP61" s="192"/>
      <c r="HQ61" s="192"/>
      <c r="HR61" s="192"/>
      <c r="HS61" s="192"/>
      <c r="HT61" s="192"/>
      <c r="HU61" s="192"/>
      <c r="HV61" s="192"/>
      <c r="HW61" s="192"/>
      <c r="HX61" s="192"/>
      <c r="HY61" s="192"/>
      <c r="HZ61" s="192"/>
      <c r="IA61" s="192"/>
      <c r="IB61" s="192"/>
      <c r="IC61" s="192"/>
      <c r="ID61" s="192"/>
      <c r="IE61" s="192"/>
      <c r="IF61" s="192"/>
      <c r="IG61" s="192"/>
      <c r="IH61" s="192"/>
      <c r="II61" s="192"/>
      <c r="IJ61" s="192"/>
      <c r="IK61" s="192"/>
      <c r="IL61" s="192"/>
      <c r="IM61" s="192"/>
      <c r="IN61" s="192"/>
      <c r="IO61" s="192"/>
      <c r="IP61" s="192"/>
      <c r="IQ61" s="192"/>
      <c r="IR61" s="192"/>
      <c r="IS61" s="192"/>
      <c r="IT61" s="192"/>
      <c r="IU61" s="192"/>
      <c r="IV61" s="192"/>
      <c r="IW61" s="192"/>
      <c r="IX61" s="192"/>
      <c r="IY61" s="181">
        <v>3</v>
      </c>
      <c r="IZ61" s="182">
        <f>(TEXT(K61,"[m]")/60)*VLOOKUP(IY61,'Income Person-hours'!A$2:C$5,3,FALSE)</f>
        <v>0</v>
      </c>
      <c r="JA61" s="183"/>
      <c r="JB61" s="183"/>
      <c r="JC61" s="183"/>
      <c r="JD61" s="199">
        <f>SUM((TEXT(JA61,"[M]")/60)*'Income Person-hours'!$D$3,(TEXT(JB61,"[M]")/60)*'Income Person-hours'!$D$4,(TEXT(JC61,"[M]")/60)*'Income Person-hours'!$D$5)</f>
        <v>0</v>
      </c>
    </row>
    <row r="62" spans="1:264" s="200" customFormat="1" ht="13.5">
      <c r="A62" s="172">
        <v>5.5</v>
      </c>
      <c r="B62" s="186" t="s">
        <v>116</v>
      </c>
      <c r="C62" s="173" t="s">
        <v>72</v>
      </c>
      <c r="D62" s="196" t="str">
        <f>IF(OR(j_WEEKDAY(J_ADDDAY(VLOOKUP(I62,A:F,6,FALSE),H62,1),0)=6,SUMIFS(Holieday[ok],Holieday[date],J_ADDDAY(VLOOKUP(I62,A:F,6,FALSE),H62,1)))=FALSE(),J_ADDDAY(VLOOKUP(I62,A:F,6,FALSE),H62,1),IF(OR(j_WEEKDAY(J_ADDDAY(VLOOKUP(I62,A:F,6,FALSE),H62+1,1),0)=6,SUMIFS(Holieday[ok],Holieday[date],J_ADDDAY(VLOOKUP(I62,A:F,6,FALSE),H62+1,1)))=FALSE(),J_ADDDAY(VLOOKUP(I62,A:F,6,FALSE),H62+1,1),IF(OR(j_WEEKDAY(J_ADDDAY(VLOOKUP(I62,A:F,6,FALSE),H62+2,1),0)=6,SUMIFS(Holieday[ok],Holieday[date],J_ADDDAY(VLOOKUP(I62,A:F,6,FALSE),H62+2,1)))=FALSE(),J_ADDDAY(VLOOKUP(I62,A:F,6,FALSE),H62+2,1),IF(OR(j_WEEKDAY(J_ADDDAY(VLOOKUP(I62,A:F,6,FALSE),H62+3,1),0)=6,SUMIFS(Holieday[ok],Holieday[date],J_ADDDAY(VLOOKUP(I62,A:F,6,FALSE),H62+3,1)))=FALSE(),J_ADDDAY(VLOOKUP(I62,A:F,6,FALSE),H62+3,1),IF(OR(j_WEEKDAY(J_ADDDAY(VLOOKUP(I62,A:F,6,FALSE),H62+4,1),0)=6,SUMIFS(Holieday[ok],Holieday[date],J_ADDDAY(VLOOKUP(I62,A:F,6,FALSE),H62+4,1)))=FALSE(),J_ADDDAY(VLOOKUP(I62,A:F,6,FALSE),H62+4,1),J_ADDDAY(VLOOKUP(I62,A:F,6,FALSE),H62+5,1))))))</f>
        <v>1398/11/01</v>
      </c>
      <c r="E62" s="1">
        <f t="shared" si="29"/>
        <v>13981101</v>
      </c>
      <c r="F62" s="196" t="str">
        <f>IF(N62=0,J_SUBDAY(D62,1,1),IF((N62-NETWORKDAYS.INTL(J_GregorianDate(D62,1),J_GregorianDate(J_SUBDAY(J_ADDDAY(D62,N62,1),1,1),1),16,1)-SUMIFS(Holieday[ok],Holieday[date],CONCATENATE("&gt;","=",D62),Holieday[date],CONCATENATE("&lt;","=",J_SUBDAY(J_ADDDAY(D62,N62,1),1,1)))+SUMIFS(Holieday[Friday],Holieday[date],CONCATENATE("&gt;","=",D62),Holieday[date],CONCATENATE("&lt;","=",J_SUBDAY(J_ADDDAY(D62,N62,1),1,1))))=0,J_SUBDAY(J_ADDDAY(D62,N62,1),1,1),IF((N62-NETWORKDAYS.INTL(J_GregorianDate(D62,1),J_GregorianDate(J_SUBDAY(J_ADDDAY(D62,N62,1),1,1),1),16,1)-SUMIFS(Holieday[ok],Holieday[date],CONCATENATE("&gt;","=",D62),Holieday[date],CONCATENATE("&lt;","=",J_SUBDAY(J_ADDDAY(D62,N62,1),1,1)))+SUMIFS(Holieday[Friday],Holieday[date],CONCATENATE("&gt;","=",D62),Holieday[date],CONCATENATE("&lt;","=",J_SUBDAY(J_ADDDAY(D62,N62,1),1,1))))=1,J_SUBDAY(J_ADDDAY(D62,N62+1,1),1,1),IF((N62-NETWORKDAYS.INTL(J_GregorianDate(D62,1),J_GregorianDate(J_SUBDAY(J_ADDDAY(D62,N62,1),1,1),1),16,1)-SUMIFS(Holieday[ok],Holieday[date],CONCATENATE("&gt;","=",D62),Holieday[date],CONCATENATE("&lt;","=",J_SUBDAY(J_ADDDAY(D62,N62,1),1,1)))+SUMIFS(Holieday[Friday],Holieday[date],CONCATENATE("&gt;","=",D62),Holieday[date],CONCATENATE("&lt;","=",J_SUBDAY(J_ADDDAY(D62,N62,1),1,1))))=2,J_SUBDAY(J_ADDDAY(D62,N62+2,1),1,1),J_SUBDAY(J_ADDDAY(D62,N62+3,1),1,1)))))</f>
        <v>1398/11/06</v>
      </c>
      <c r="G62" s="2">
        <f t="shared" si="26"/>
        <v>13981106</v>
      </c>
      <c r="H62" s="175">
        <v>1</v>
      </c>
      <c r="I62" s="176">
        <v>5.4</v>
      </c>
      <c r="J62" s="190">
        <f>j_WEEKDAY(D62,2)</f>
        <v>3</v>
      </c>
      <c r="K62" s="13">
        <f t="shared" ref="K62:K63" si="35">SUM(JA62:JC62)</f>
        <v>0</v>
      </c>
      <c r="L62" s="191">
        <f t="shared" si="32"/>
        <v>6</v>
      </c>
      <c r="M62" s="178">
        <v>0</v>
      </c>
      <c r="N62" s="179">
        <v>5</v>
      </c>
      <c r="O62" s="6">
        <f t="shared" si="33"/>
        <v>0</v>
      </c>
      <c r="P62" s="6">
        <f>VALUE(J_normdate(J_ADDDAY($D62,$O62,1)))</f>
        <v>13981101</v>
      </c>
      <c r="Q62" s="5">
        <f t="shared" si="34"/>
        <v>6</v>
      </c>
      <c r="R62" s="192"/>
      <c r="S62" s="192"/>
      <c r="T62" s="192"/>
      <c r="U62" s="192"/>
      <c r="V62" s="192"/>
      <c r="W62" s="192"/>
      <c r="X62" s="192"/>
      <c r="Y62" s="192"/>
      <c r="Z62" s="192"/>
      <c r="AA62" s="192"/>
      <c r="AB62" s="192"/>
      <c r="AC62" s="192"/>
      <c r="AD62" s="192"/>
      <c r="AE62" s="192"/>
      <c r="AF62" s="192"/>
      <c r="AG62" s="192"/>
      <c r="AH62" s="192"/>
      <c r="AI62" s="192"/>
      <c r="AJ62" s="192"/>
      <c r="AK62" s="192"/>
      <c r="AL62" s="192"/>
      <c r="AM62" s="192"/>
      <c r="AN62" s="192"/>
      <c r="AO62" s="192"/>
      <c r="AP62" s="192"/>
      <c r="AQ62" s="192"/>
      <c r="AR62" s="192"/>
      <c r="AS62" s="192"/>
      <c r="AT62" s="192"/>
      <c r="AU62" s="192"/>
      <c r="AV62" s="192"/>
      <c r="AW62" s="192"/>
      <c r="AX62" s="192"/>
      <c r="AY62" s="192"/>
      <c r="AZ62" s="192"/>
      <c r="BA62" s="192"/>
      <c r="BB62" s="192"/>
      <c r="BC62" s="192"/>
      <c r="BD62" s="192"/>
      <c r="BE62" s="192"/>
      <c r="BF62" s="192"/>
      <c r="BG62" s="192"/>
      <c r="BH62" s="192"/>
      <c r="BI62" s="192"/>
      <c r="BJ62" s="192"/>
      <c r="BK62" s="192"/>
      <c r="BL62" s="192"/>
      <c r="BM62" s="192"/>
      <c r="BN62" s="192"/>
      <c r="BO62" s="192"/>
      <c r="BP62" s="192"/>
      <c r="BQ62" s="192"/>
      <c r="BR62" s="192"/>
      <c r="BS62" s="192"/>
      <c r="BT62" s="192"/>
      <c r="BU62" s="192"/>
      <c r="BV62" s="192"/>
      <c r="BW62" s="192"/>
      <c r="BX62" s="192"/>
      <c r="BY62" s="192"/>
      <c r="BZ62" s="192"/>
      <c r="CA62" s="192"/>
      <c r="CB62" s="192"/>
      <c r="CC62" s="192"/>
      <c r="CD62" s="192"/>
      <c r="CE62" s="192"/>
      <c r="CF62" s="192"/>
      <c r="CG62" s="192"/>
      <c r="CH62" s="192"/>
      <c r="CI62" s="192"/>
      <c r="CJ62" s="192"/>
      <c r="CK62" s="192"/>
      <c r="CL62" s="192"/>
      <c r="CM62" s="192"/>
      <c r="CN62" s="192"/>
      <c r="CO62" s="192"/>
      <c r="CP62" s="192"/>
      <c r="CQ62" s="192"/>
      <c r="CR62" s="192"/>
      <c r="CS62" s="192"/>
      <c r="CT62" s="192"/>
      <c r="CU62" s="192"/>
      <c r="CV62" s="192"/>
      <c r="CW62" s="192"/>
      <c r="CX62" s="192"/>
      <c r="CY62" s="192"/>
      <c r="CZ62" s="192"/>
      <c r="DA62" s="192"/>
      <c r="DB62" s="192"/>
      <c r="DC62" s="192"/>
      <c r="DD62" s="192"/>
      <c r="DE62" s="192"/>
      <c r="DF62" s="192"/>
      <c r="DG62" s="192"/>
      <c r="DH62" s="192"/>
      <c r="DI62" s="192"/>
      <c r="DJ62" s="192"/>
      <c r="DK62" s="192"/>
      <c r="DL62" s="192"/>
      <c r="DM62" s="192"/>
      <c r="DN62" s="192"/>
      <c r="DO62" s="192"/>
      <c r="DP62" s="192"/>
      <c r="DQ62" s="192"/>
      <c r="DR62" s="192"/>
      <c r="DS62" s="192"/>
      <c r="DT62" s="192"/>
      <c r="DU62" s="192"/>
      <c r="DV62" s="192"/>
      <c r="DW62" s="192"/>
      <c r="DX62" s="192"/>
      <c r="DY62" s="192"/>
      <c r="DZ62" s="192"/>
      <c r="EA62" s="192"/>
      <c r="EB62" s="192"/>
      <c r="EC62" s="192"/>
      <c r="ED62" s="192"/>
      <c r="EE62" s="192"/>
      <c r="EF62" s="192"/>
      <c r="EG62" s="192"/>
      <c r="EH62" s="192"/>
      <c r="EI62" s="192"/>
      <c r="EJ62" s="192"/>
      <c r="EK62" s="192"/>
      <c r="EL62" s="192"/>
      <c r="EM62" s="192"/>
      <c r="EN62" s="192"/>
      <c r="EO62" s="192"/>
      <c r="EP62" s="192"/>
      <c r="EQ62" s="192"/>
      <c r="ER62" s="192"/>
      <c r="ES62" s="192"/>
      <c r="ET62" s="192"/>
      <c r="EU62" s="192"/>
      <c r="EV62" s="192"/>
      <c r="EW62" s="192"/>
      <c r="EX62" s="192"/>
      <c r="EY62" s="192"/>
      <c r="EZ62" s="192"/>
      <c r="FA62" s="192"/>
      <c r="FB62" s="192"/>
      <c r="FC62" s="192"/>
      <c r="FD62" s="192"/>
      <c r="FE62" s="192"/>
      <c r="FF62" s="192"/>
      <c r="FG62" s="192"/>
      <c r="FH62" s="192"/>
      <c r="FI62" s="192"/>
      <c r="FJ62" s="192"/>
      <c r="FK62" s="192"/>
      <c r="FL62" s="192"/>
      <c r="FM62" s="192"/>
      <c r="FN62" s="192"/>
      <c r="FO62" s="192"/>
      <c r="FP62" s="192"/>
      <c r="FQ62" s="192"/>
      <c r="FR62" s="192"/>
      <c r="FS62" s="192"/>
      <c r="FT62" s="192"/>
      <c r="FU62" s="192"/>
      <c r="FV62" s="192"/>
      <c r="FW62" s="192"/>
      <c r="FX62" s="192"/>
      <c r="FY62" s="192"/>
      <c r="FZ62" s="192"/>
      <c r="GA62" s="192"/>
      <c r="GB62" s="192"/>
      <c r="GC62" s="192"/>
      <c r="GD62" s="192"/>
      <c r="GE62" s="192"/>
      <c r="GF62" s="192"/>
      <c r="GG62" s="192"/>
      <c r="GH62" s="192"/>
      <c r="GI62" s="192"/>
      <c r="GJ62" s="192"/>
      <c r="GK62" s="192"/>
      <c r="GL62" s="192"/>
      <c r="GM62" s="192"/>
      <c r="GN62" s="192"/>
      <c r="GO62" s="192"/>
      <c r="GP62" s="192"/>
      <c r="GQ62" s="192"/>
      <c r="GR62" s="192"/>
      <c r="GS62" s="192"/>
      <c r="GT62" s="192"/>
      <c r="GU62" s="192"/>
      <c r="GV62" s="192"/>
      <c r="GW62" s="192"/>
      <c r="GX62" s="192"/>
      <c r="GY62" s="192"/>
      <c r="GZ62" s="192"/>
      <c r="HA62" s="192"/>
      <c r="HB62" s="192"/>
      <c r="HC62" s="192"/>
      <c r="HD62" s="192"/>
      <c r="HE62" s="192"/>
      <c r="HF62" s="192"/>
      <c r="HG62" s="192"/>
      <c r="HH62" s="192"/>
      <c r="HI62" s="192"/>
      <c r="HJ62" s="192"/>
      <c r="HK62" s="192"/>
      <c r="HL62" s="192"/>
      <c r="HM62" s="192"/>
      <c r="HN62" s="192"/>
      <c r="HO62" s="192"/>
      <c r="HP62" s="192"/>
      <c r="HQ62" s="192"/>
      <c r="HR62" s="192"/>
      <c r="HS62" s="192"/>
      <c r="HT62" s="192"/>
      <c r="HU62" s="192"/>
      <c r="HV62" s="192"/>
      <c r="HW62" s="192"/>
      <c r="HX62" s="192"/>
      <c r="HY62" s="192"/>
      <c r="HZ62" s="192"/>
      <c r="IA62" s="192"/>
      <c r="IB62" s="192"/>
      <c r="IC62" s="192"/>
      <c r="ID62" s="192"/>
      <c r="IE62" s="192"/>
      <c r="IF62" s="192"/>
      <c r="IG62" s="192"/>
      <c r="IH62" s="192"/>
      <c r="II62" s="192"/>
      <c r="IJ62" s="192"/>
      <c r="IK62" s="192"/>
      <c r="IL62" s="192"/>
      <c r="IM62" s="192"/>
      <c r="IN62" s="192"/>
      <c r="IO62" s="192"/>
      <c r="IP62" s="192"/>
      <c r="IQ62" s="192"/>
      <c r="IR62" s="192"/>
      <c r="IS62" s="192"/>
      <c r="IT62" s="192"/>
      <c r="IU62" s="192"/>
      <c r="IV62" s="192"/>
      <c r="IW62" s="192"/>
      <c r="IX62" s="192"/>
      <c r="JA62" s="198"/>
      <c r="JB62" s="198"/>
      <c r="JC62" s="198"/>
      <c r="JD62" s="199">
        <f>SUM((TEXT(JA62,"[M]")/60)*'Income Person-hours'!$D$3,(TEXT(JB62,"[M]")/60)*'Income Person-hours'!$D$4,(TEXT(JC62,"[M]")/60)*'Income Person-hours'!$D$5)</f>
        <v>0</v>
      </c>
    </row>
    <row r="63" spans="1:264" s="200" customFormat="1" ht="13.5">
      <c r="A63" s="188">
        <v>5.6</v>
      </c>
      <c r="B63" s="186" t="s">
        <v>117</v>
      </c>
      <c r="C63" s="173" t="s">
        <v>72</v>
      </c>
      <c r="D63" s="196" t="str">
        <f>IF(OR(j_WEEKDAY(J_ADDDAY(VLOOKUP(I63,A:F,6,FALSE),H63,1),0)=6,SUMIFS(Holieday[ok],Holieday[date],J_ADDDAY(VLOOKUP(I63,A:F,6,FALSE),H63,1)))=FALSE(),J_ADDDAY(VLOOKUP(I63,A:F,6,FALSE),H63,1),IF(OR(j_WEEKDAY(J_ADDDAY(VLOOKUP(I63,A:F,6,FALSE),H63+1,1),0)=6,SUMIFS(Holieday[ok],Holieday[date],J_ADDDAY(VLOOKUP(I63,A:F,6,FALSE),H63+1,1)))=FALSE(),J_ADDDAY(VLOOKUP(I63,A:F,6,FALSE),H63+1,1),IF(OR(j_WEEKDAY(J_ADDDAY(VLOOKUP(I63,A:F,6,FALSE),H63+2,1),0)=6,SUMIFS(Holieday[ok],Holieday[date],J_ADDDAY(VLOOKUP(I63,A:F,6,FALSE),H63+2,1)))=FALSE(),J_ADDDAY(VLOOKUP(I63,A:F,6,FALSE),H63+2,1),IF(OR(j_WEEKDAY(J_ADDDAY(VLOOKUP(I63,A:F,6,FALSE),H63+3,1),0)=6,SUMIFS(Holieday[ok],Holieday[date],J_ADDDAY(VLOOKUP(I63,A:F,6,FALSE),H63+3,1)))=FALSE(),J_ADDDAY(VLOOKUP(I63,A:F,6,FALSE),H63+3,1),IF(OR(j_WEEKDAY(J_ADDDAY(VLOOKUP(I63,A:F,6,FALSE),H63+4,1),0)=6,SUMIFS(Holieday[ok],Holieday[date],J_ADDDAY(VLOOKUP(I63,A:F,6,FALSE),H63+4,1)))=FALSE(),J_ADDDAY(VLOOKUP(I63,A:F,6,FALSE),H63+4,1),J_ADDDAY(VLOOKUP(I63,A:F,6,FALSE),H63+5,1))))))</f>
        <v>1398/10/17</v>
      </c>
      <c r="E63" s="1">
        <f t="shared" si="29"/>
        <v>13981017</v>
      </c>
      <c r="F63" s="196" t="str">
        <f>IF(N63=0,J_SUBDAY(D63,1,1),IF((N63-NETWORKDAYS.INTL(J_GregorianDate(D63,1),J_GregorianDate(J_SUBDAY(J_ADDDAY(D63,N63,1),1,1),1),16,1)-SUMIFS(Holieday[ok],Holieday[date],CONCATENATE("&gt;","=",D63),Holieday[date],CONCATENATE("&lt;","=",J_SUBDAY(J_ADDDAY(D63,N63,1),1,1)))+SUMIFS(Holieday[Friday],Holieday[date],CONCATENATE("&gt;","=",D63),Holieday[date],CONCATENATE("&lt;","=",J_SUBDAY(J_ADDDAY(D63,N63,1),1,1))))=0,J_SUBDAY(J_ADDDAY(D63,N63,1),1,1),IF((N63-NETWORKDAYS.INTL(J_GregorianDate(D63,1),J_GregorianDate(J_SUBDAY(J_ADDDAY(D63,N63,1),1,1),1),16,1)-SUMIFS(Holieday[ok],Holieday[date],CONCATENATE("&gt;","=",D63),Holieday[date],CONCATENATE("&lt;","=",J_SUBDAY(J_ADDDAY(D63,N63,1),1,1)))+SUMIFS(Holieday[Friday],Holieday[date],CONCATENATE("&gt;","=",D63),Holieday[date],CONCATENATE("&lt;","=",J_SUBDAY(J_ADDDAY(D63,N63,1),1,1))))=1,J_SUBDAY(J_ADDDAY(D63,N63+1,1),1,1),IF((N63-NETWORKDAYS.INTL(J_GregorianDate(D63,1),J_GregorianDate(J_SUBDAY(J_ADDDAY(D63,N63,1),1,1),1),16,1)-SUMIFS(Holieday[ok],Holieday[date],CONCATENATE("&gt;","=",D63),Holieday[date],CONCATENATE("&lt;","=",J_SUBDAY(J_ADDDAY(D63,N63,1),1,1)))+SUMIFS(Holieday[Friday],Holieday[date],CONCATENATE("&gt;","=",D63),Holieday[date],CONCATENATE("&lt;","=",J_SUBDAY(J_ADDDAY(D63,N63,1),1,1))))=2,J_SUBDAY(J_ADDDAY(D63,N63+2,1),1,1),J_SUBDAY(J_ADDDAY(D63,N63+3,1),1,1)))))</f>
        <v>1398/11/30</v>
      </c>
      <c r="G63" s="2">
        <f t="shared" si="26"/>
        <v>13981130</v>
      </c>
      <c r="H63" s="175">
        <v>1</v>
      </c>
      <c r="I63" s="176">
        <v>5.3</v>
      </c>
      <c r="J63" s="190">
        <f>j_WEEKDAY(D63,2)</f>
        <v>3</v>
      </c>
      <c r="K63" s="13">
        <f t="shared" si="35"/>
        <v>0</v>
      </c>
      <c r="L63" s="191">
        <f t="shared" si="32"/>
        <v>44</v>
      </c>
      <c r="M63" s="178">
        <v>0</v>
      </c>
      <c r="N63" s="179">
        <v>41</v>
      </c>
      <c r="O63" s="6">
        <f t="shared" si="33"/>
        <v>0</v>
      </c>
      <c r="P63" s="6">
        <f>VALUE(J_normdate(J_ADDDAY($D63,$O63,1)))</f>
        <v>13981017</v>
      </c>
      <c r="Q63" s="5">
        <f t="shared" si="34"/>
        <v>44</v>
      </c>
      <c r="R63" s="192"/>
      <c r="S63" s="192"/>
      <c r="T63" s="192"/>
      <c r="U63" s="192"/>
      <c r="V63" s="192"/>
      <c r="W63" s="192"/>
      <c r="X63" s="192"/>
      <c r="Y63" s="192"/>
      <c r="Z63" s="192"/>
      <c r="AA63" s="192"/>
      <c r="AB63" s="192"/>
      <c r="AC63" s="192"/>
      <c r="AD63" s="192"/>
      <c r="AE63" s="192"/>
      <c r="AF63" s="192"/>
      <c r="AG63" s="192"/>
      <c r="AH63" s="192"/>
      <c r="AI63" s="192"/>
      <c r="AJ63" s="192"/>
      <c r="AK63" s="192"/>
      <c r="AL63" s="192"/>
      <c r="AM63" s="192"/>
      <c r="AN63" s="192"/>
      <c r="AO63" s="192"/>
      <c r="AP63" s="192"/>
      <c r="AQ63" s="192"/>
      <c r="AR63" s="192"/>
      <c r="AS63" s="192"/>
      <c r="AT63" s="192"/>
      <c r="AU63" s="192"/>
      <c r="AV63" s="192"/>
      <c r="AW63" s="192"/>
      <c r="AX63" s="192"/>
      <c r="AY63" s="192"/>
      <c r="AZ63" s="192"/>
      <c r="BA63" s="192"/>
      <c r="BB63" s="192"/>
      <c r="BC63" s="192"/>
      <c r="BD63" s="192"/>
      <c r="BE63" s="192"/>
      <c r="BF63" s="192"/>
      <c r="BG63" s="192"/>
      <c r="BH63" s="192"/>
      <c r="BI63" s="192"/>
      <c r="BJ63" s="192"/>
      <c r="BK63" s="192"/>
      <c r="BL63" s="192"/>
      <c r="BM63" s="192"/>
      <c r="BN63" s="192"/>
      <c r="BO63" s="192"/>
      <c r="BP63" s="192"/>
      <c r="BQ63" s="192"/>
      <c r="BR63" s="192"/>
      <c r="BS63" s="192"/>
      <c r="BT63" s="192"/>
      <c r="BU63" s="192"/>
      <c r="BV63" s="192"/>
      <c r="BW63" s="192"/>
      <c r="BX63" s="192"/>
      <c r="BY63" s="192"/>
      <c r="BZ63" s="192"/>
      <c r="CA63" s="192"/>
      <c r="CB63" s="192"/>
      <c r="CC63" s="192"/>
      <c r="CD63" s="192"/>
      <c r="CE63" s="192"/>
      <c r="CF63" s="192"/>
      <c r="CG63" s="192"/>
      <c r="CH63" s="192"/>
      <c r="CI63" s="192"/>
      <c r="CJ63" s="192"/>
      <c r="CK63" s="192"/>
      <c r="CL63" s="192"/>
      <c r="CM63" s="192"/>
      <c r="CN63" s="192"/>
      <c r="CO63" s="192"/>
      <c r="CP63" s="192"/>
      <c r="CQ63" s="192"/>
      <c r="CR63" s="192"/>
      <c r="CS63" s="192"/>
      <c r="CT63" s="192"/>
      <c r="CU63" s="192"/>
      <c r="CV63" s="192"/>
      <c r="CW63" s="192"/>
      <c r="CX63" s="192"/>
      <c r="CY63" s="192"/>
      <c r="CZ63" s="192"/>
      <c r="DA63" s="192"/>
      <c r="DB63" s="192"/>
      <c r="DC63" s="192"/>
      <c r="DD63" s="192"/>
      <c r="DE63" s="192"/>
      <c r="DF63" s="192"/>
      <c r="DG63" s="192"/>
      <c r="DH63" s="192"/>
      <c r="DI63" s="192"/>
      <c r="DJ63" s="192"/>
      <c r="DK63" s="192"/>
      <c r="DL63" s="192"/>
      <c r="DM63" s="192"/>
      <c r="DN63" s="192"/>
      <c r="DO63" s="192"/>
      <c r="DP63" s="192"/>
      <c r="DQ63" s="192"/>
      <c r="DR63" s="192"/>
      <c r="DS63" s="192"/>
      <c r="DT63" s="192"/>
      <c r="DU63" s="192"/>
      <c r="DV63" s="192"/>
      <c r="DW63" s="192"/>
      <c r="DX63" s="192"/>
      <c r="DY63" s="192"/>
      <c r="DZ63" s="192"/>
      <c r="EA63" s="192"/>
      <c r="EB63" s="192"/>
      <c r="EC63" s="192"/>
      <c r="ED63" s="192"/>
      <c r="EE63" s="192"/>
      <c r="EF63" s="192"/>
      <c r="EG63" s="192"/>
      <c r="EH63" s="192"/>
      <c r="EI63" s="192"/>
      <c r="EJ63" s="192"/>
      <c r="EK63" s="192"/>
      <c r="EL63" s="192"/>
      <c r="EM63" s="192"/>
      <c r="EN63" s="192"/>
      <c r="EO63" s="192"/>
      <c r="EP63" s="192"/>
      <c r="EQ63" s="192"/>
      <c r="ER63" s="192"/>
      <c r="ES63" s="192"/>
      <c r="ET63" s="192"/>
      <c r="EU63" s="192"/>
      <c r="EV63" s="192"/>
      <c r="EW63" s="192"/>
      <c r="EX63" s="192"/>
      <c r="EY63" s="192"/>
      <c r="EZ63" s="192"/>
      <c r="FA63" s="192"/>
      <c r="FB63" s="192"/>
      <c r="FC63" s="192"/>
      <c r="FD63" s="192"/>
      <c r="FE63" s="192"/>
      <c r="FF63" s="192"/>
      <c r="FG63" s="192"/>
      <c r="FH63" s="192"/>
      <c r="FI63" s="192"/>
      <c r="FJ63" s="192"/>
      <c r="FK63" s="192"/>
      <c r="FL63" s="192"/>
      <c r="FM63" s="192"/>
      <c r="FN63" s="192"/>
      <c r="FO63" s="192"/>
      <c r="FP63" s="192"/>
      <c r="FQ63" s="192"/>
      <c r="FR63" s="192"/>
      <c r="FS63" s="192"/>
      <c r="FT63" s="192"/>
      <c r="FU63" s="192"/>
      <c r="FV63" s="192"/>
      <c r="FW63" s="192"/>
      <c r="FX63" s="192"/>
      <c r="FY63" s="192"/>
      <c r="FZ63" s="192"/>
      <c r="GA63" s="192"/>
      <c r="GB63" s="192"/>
      <c r="GC63" s="192"/>
      <c r="GD63" s="192"/>
      <c r="GE63" s="192"/>
      <c r="GF63" s="192"/>
      <c r="GG63" s="192"/>
      <c r="GH63" s="192"/>
      <c r="GI63" s="192"/>
      <c r="GJ63" s="192"/>
      <c r="GK63" s="192"/>
      <c r="GL63" s="192"/>
      <c r="GM63" s="192"/>
      <c r="GN63" s="192"/>
      <c r="GO63" s="192"/>
      <c r="GP63" s="192"/>
      <c r="GQ63" s="192"/>
      <c r="GR63" s="192"/>
      <c r="GS63" s="192"/>
      <c r="GT63" s="192"/>
      <c r="GU63" s="192"/>
      <c r="GV63" s="192"/>
      <c r="GW63" s="192"/>
      <c r="GX63" s="192"/>
      <c r="GY63" s="192"/>
      <c r="GZ63" s="192"/>
      <c r="HA63" s="192"/>
      <c r="HB63" s="192"/>
      <c r="HC63" s="192"/>
      <c r="HD63" s="192"/>
      <c r="HE63" s="192"/>
      <c r="HF63" s="192"/>
      <c r="HG63" s="192"/>
      <c r="HH63" s="192"/>
      <c r="HI63" s="192"/>
      <c r="HJ63" s="192"/>
      <c r="HK63" s="192"/>
      <c r="HL63" s="192"/>
      <c r="HM63" s="192"/>
      <c r="HN63" s="192"/>
      <c r="HO63" s="192"/>
      <c r="HP63" s="192"/>
      <c r="HQ63" s="192"/>
      <c r="HR63" s="192"/>
      <c r="HS63" s="192"/>
      <c r="HT63" s="192"/>
      <c r="HU63" s="192"/>
      <c r="HV63" s="192"/>
      <c r="HW63" s="192"/>
      <c r="HX63" s="192"/>
      <c r="HY63" s="192"/>
      <c r="HZ63" s="192"/>
      <c r="IA63" s="192"/>
      <c r="IB63" s="192"/>
      <c r="IC63" s="192"/>
      <c r="ID63" s="192"/>
      <c r="IE63" s="192"/>
      <c r="IF63" s="192"/>
      <c r="IG63" s="192"/>
      <c r="IH63" s="192"/>
      <c r="II63" s="192"/>
      <c r="IJ63" s="192"/>
      <c r="IK63" s="192"/>
      <c r="IL63" s="192"/>
      <c r="IM63" s="192"/>
      <c r="IN63" s="192"/>
      <c r="IO63" s="192"/>
      <c r="IP63" s="192"/>
      <c r="IQ63" s="192"/>
      <c r="IR63" s="192"/>
      <c r="IS63" s="192"/>
      <c r="IT63" s="192"/>
      <c r="IU63" s="192"/>
      <c r="IV63" s="192"/>
      <c r="IW63" s="192"/>
      <c r="IX63" s="192"/>
      <c r="JA63" s="183"/>
      <c r="JB63" s="183"/>
      <c r="JC63" s="183"/>
      <c r="JD63" s="199">
        <f>SUM((TEXT(JA63,"[M]")/60)*'Income Person-hours'!$D$3,(TEXT(JB63,"[M]")/60)*'Income Person-hours'!$D$4,(TEXT(JC63,"[M]")/60)*'Income Person-hours'!$D$5)</f>
        <v>0</v>
      </c>
    </row>
    <row r="64" spans="1:264" s="288" customFormat="1" ht="13.5">
      <c r="A64" s="284">
        <v>6</v>
      </c>
      <c r="B64" s="271" t="s">
        <v>106</v>
      </c>
      <c r="C64" s="272"/>
      <c r="D64" s="273" t="str">
        <f>FDate(MIN(E65:E67))</f>
        <v>1398/10/02</v>
      </c>
      <c r="E64" s="136">
        <f t="shared" ref="E64:E72" si="36">VALUE(J_normdate(D64))</f>
        <v>13981002</v>
      </c>
      <c r="F64" s="273" t="str">
        <f>J_SUBDAY(J_ADDDAY(D64,L64,1),1,1)</f>
        <v>1398/11/03</v>
      </c>
      <c r="G64" s="139">
        <f t="shared" ref="G64:G72" si="37">VALUE(J_normdate(F64))</f>
        <v>13981103</v>
      </c>
      <c r="H64" s="285"/>
      <c r="I64" s="286"/>
      <c r="J64" s="273">
        <f>j_WEEKDAY(D64,2)</f>
        <v>2</v>
      </c>
      <c r="K64" s="140">
        <f>SUM(K65:K67)</f>
        <v>0</v>
      </c>
      <c r="L64" s="276">
        <f>J_DIFF(D64,FDate(MAX(G65:G67)))+1</f>
        <v>32</v>
      </c>
      <c r="M64" s="277">
        <f>IF(SUM(L65:L67)&lt;&gt;0,SUMPRODUCT(L65:L67,M65:M67)/SUM(L65:L67),0)</f>
        <v>0</v>
      </c>
      <c r="N64" s="278">
        <f>IF(F64&gt;=D64,NETWORKDAYS.INTL(J_GregorianDate(D64,1),J_GregorianDate(F64,1),16,1)-SUMIFS(Holieday[ok],Holieday[date],CONCATENATE("&gt;","=",D64),Holieday[date],CONCATENATE("&lt;","=",F64))+SUMIFS(Holieday[Friday],Holieday[date],CONCATENATE("&gt;","=",D64),Holieday[date],CONCATENATE("&lt;","=",F64)),0)</f>
        <v>28</v>
      </c>
      <c r="O64" s="135">
        <f t="shared" ref="O64:O65" si="38">ROUNDDOWN(M64*L64,0)</f>
        <v>0</v>
      </c>
      <c r="P64" s="135">
        <f>VALUE(J_normdate(J_ADDDAY($D64,$O64,1)))</f>
        <v>13981002</v>
      </c>
      <c r="Q64" s="138">
        <f t="shared" ref="Q64:Q65" si="39">L64-O64</f>
        <v>32</v>
      </c>
      <c r="IY64" s="289"/>
      <c r="IZ64" s="290"/>
      <c r="JA64" s="291"/>
      <c r="JB64" s="291"/>
      <c r="JC64" s="291"/>
      <c r="JD64" s="292"/>
    </row>
    <row r="65" spans="1:16384" s="221" customFormat="1" ht="13.5">
      <c r="A65" s="214">
        <v>6.1</v>
      </c>
      <c r="B65" s="186" t="s">
        <v>123</v>
      </c>
      <c r="C65" s="173" t="s">
        <v>72</v>
      </c>
      <c r="D65" s="189" t="str">
        <f>IF(OR(j_WEEKDAY(J_ADDDAY(VLOOKUP(I65,A:F,6,FALSE),H65,1),0)=6,SUMIFS(Holieday[ok],Holieday[date],J_ADDDAY(VLOOKUP(I65,A:F,6,FALSE),H65,1)))=FALSE(),J_ADDDAY(VLOOKUP(I65,A:F,6,FALSE),H65,1),IF(OR(j_WEEKDAY(J_ADDDAY(VLOOKUP(I65,A:F,6,FALSE),H65+1,1),0)=6,SUMIFS(Holieday[ok],Holieday[date],J_ADDDAY(VLOOKUP(I65,A:F,6,FALSE),H65+1,1)))=FALSE(),J_ADDDAY(VLOOKUP(I65,A:F,6,FALSE),H65+1,1),IF(OR(j_WEEKDAY(J_ADDDAY(VLOOKUP(I65,A:F,6,FALSE),H65+2,1),0)=6,SUMIFS(Holieday[ok],Holieday[date],J_ADDDAY(VLOOKUP(I65,A:F,6,FALSE),H65+2,1)))=FALSE(),J_ADDDAY(VLOOKUP(I65,A:F,6,FALSE),H65+2,1),IF(OR(j_WEEKDAY(J_ADDDAY(VLOOKUP(I65,A:F,6,FALSE),H65+3,1),0)=6,SUMIFS(Holieday[ok],Holieday[date],J_ADDDAY(VLOOKUP(I65,A:F,6,FALSE),H65+3,1)))=FALSE(),J_ADDDAY(VLOOKUP(I65,A:F,6,FALSE),H65+3,1),IF(OR(j_WEEKDAY(J_ADDDAY(VLOOKUP(I65,A:F,6,FALSE),H65+4,1),0)=6,SUMIFS(Holieday[ok],Holieday[date],J_ADDDAY(VLOOKUP(I65,A:F,6,FALSE),H65+4,1)))=FALSE(),J_ADDDAY(VLOOKUP(I65,A:F,6,FALSE),H65+4,1),J_ADDDAY(VLOOKUP(I65,A:F,6,FALSE),H65+5,1))))))</f>
        <v>1398/10/02</v>
      </c>
      <c r="E65" s="136">
        <f t="shared" si="36"/>
        <v>13981002</v>
      </c>
      <c r="F65" s="299" t="str">
        <f>IF(N65=0,J_SUBDAY(D65,1,1),IF((N65-NETWORKDAYS.INTL(J_GregorianDate(D65,1),J_GregorianDate(J_SUBDAY(J_ADDDAY(D65,N65,1),1,1),1),16,1)-SUMIFS(Holieday[ok],Holieday[date],CONCATENATE("&gt;","=",D65),Holieday[date],CONCATENATE("&lt;","=",J_SUBDAY(J_ADDDAY(D65,N65,1),1,1)))+SUMIFS(Holieday[Friday],Holieday[date],CONCATENATE("&gt;","=",D65),Holieday[date],CONCATENATE("&lt;","=",J_SUBDAY(J_ADDDAY(D65,N65,1),1,1))))=0,J_SUBDAY(J_ADDDAY(D65,N65,1),1,1),IF((N65-NETWORKDAYS.INTL(J_GregorianDate(D65,1),J_GregorianDate(J_SUBDAY(J_ADDDAY(D65,N65,1),1,1),1),16,1)-SUMIFS(Holieday[ok],Holieday[date],CONCATENATE("&gt;","=",D65),Holieday[date],CONCATENATE("&lt;","=",J_SUBDAY(J_ADDDAY(D65,N65,1),1,1)))+SUMIFS(Holieday[Friday],Holieday[date],CONCATENATE("&gt;","=",D65),Holieday[date],CONCATENATE("&lt;","=",J_SUBDAY(J_ADDDAY(D65,N65,1),1,1))))=1,J_SUBDAY(J_ADDDAY(D65,N65+1,1),1,1),IF((N65-NETWORKDAYS.INTL(J_GregorianDate(D65,1),J_GregorianDate(J_SUBDAY(J_ADDDAY(D65,N65,1),1,1),1),16,1)-SUMIFS(Holieday[ok],Holieday[date],CONCATENATE("&gt;","=",D65),Holieday[date],CONCATENATE("&lt;","=",J_SUBDAY(J_ADDDAY(D65,N65,1),1,1)))+SUMIFS(Holieday[Friday],Holieday[date],CONCATENATE("&gt;","=",D65),Holieday[date],CONCATENATE("&lt;","=",J_SUBDAY(J_ADDDAY(D65,N65,1),1,1))))=2,J_SUBDAY(J_ADDDAY(D65,N65+2,1),1,1),J_SUBDAY(J_ADDDAY(D65,N65+3,1),1,1)))))</f>
        <v>1398/10/15</v>
      </c>
      <c r="G65" s="139">
        <f t="shared" si="37"/>
        <v>13981015</v>
      </c>
      <c r="H65" s="175">
        <v>1</v>
      </c>
      <c r="I65" s="176">
        <v>1.1000000000000001</v>
      </c>
      <c r="J65" s="174">
        <f>j_WEEKDAY(D65,2)</f>
        <v>2</v>
      </c>
      <c r="K65" s="143">
        <f t="shared" ref="K65:K67" si="40">SUM(JA65:JC65)</f>
        <v>0</v>
      </c>
      <c r="L65" s="215">
        <f t="shared" ref="L65:L67" si="41">J_DIFF(D65,F65)+1</f>
        <v>14</v>
      </c>
      <c r="M65" s="216">
        <v>0</v>
      </c>
      <c r="N65" s="179">
        <v>12</v>
      </c>
      <c r="O65" s="144">
        <f t="shared" si="38"/>
        <v>0</v>
      </c>
      <c r="P65" s="144">
        <f>VALUE(J_normdate(J_ADDDAY($D65,$O65,1)))</f>
        <v>13981002</v>
      </c>
      <c r="Q65" s="142">
        <f t="shared" si="39"/>
        <v>14</v>
      </c>
      <c r="R65" s="180"/>
      <c r="S65" s="180"/>
      <c r="T65" s="180"/>
      <c r="U65" s="180"/>
      <c r="V65" s="180"/>
      <c r="W65" s="180"/>
      <c r="X65" s="180"/>
      <c r="Y65" s="180"/>
      <c r="Z65" s="180"/>
      <c r="AA65" s="180"/>
      <c r="AB65" s="180"/>
      <c r="AC65" s="180"/>
      <c r="AD65" s="180"/>
      <c r="AE65" s="180"/>
      <c r="AF65" s="180"/>
      <c r="AG65" s="180"/>
      <c r="AH65" s="180"/>
      <c r="AI65" s="180"/>
      <c r="AJ65" s="180"/>
      <c r="AK65" s="180"/>
      <c r="AL65" s="180"/>
      <c r="AM65" s="180"/>
      <c r="AN65" s="180"/>
      <c r="AO65" s="180"/>
      <c r="AP65" s="180"/>
      <c r="AQ65" s="180"/>
      <c r="AR65" s="180"/>
      <c r="AS65" s="180"/>
      <c r="AT65" s="180"/>
      <c r="AU65" s="180"/>
      <c r="AV65" s="180"/>
      <c r="AW65" s="180"/>
      <c r="AX65" s="180"/>
      <c r="AY65" s="180"/>
      <c r="AZ65" s="180"/>
      <c r="BA65" s="180"/>
      <c r="BB65" s="180"/>
      <c r="BC65" s="180"/>
      <c r="BD65" s="180"/>
      <c r="BE65" s="180"/>
      <c r="BF65" s="180"/>
      <c r="BG65" s="180"/>
      <c r="BH65" s="180"/>
      <c r="BI65" s="180"/>
      <c r="BJ65" s="180"/>
      <c r="BK65" s="180"/>
      <c r="BL65" s="180"/>
      <c r="BM65" s="180"/>
      <c r="BN65" s="180"/>
      <c r="BO65" s="180"/>
      <c r="BP65" s="180"/>
      <c r="BQ65" s="180"/>
      <c r="BR65" s="180"/>
      <c r="BS65" s="180"/>
      <c r="BT65" s="180"/>
      <c r="BU65" s="180"/>
      <c r="BV65" s="180"/>
      <c r="BW65" s="180"/>
      <c r="BX65" s="180"/>
      <c r="BY65" s="180"/>
      <c r="BZ65" s="180"/>
      <c r="CA65" s="180"/>
      <c r="CB65" s="180"/>
      <c r="CC65" s="180"/>
      <c r="CD65" s="180"/>
      <c r="CE65" s="180"/>
      <c r="CF65" s="180"/>
      <c r="CG65" s="180"/>
      <c r="CH65" s="180"/>
      <c r="CI65" s="180"/>
      <c r="CJ65" s="180"/>
      <c r="CK65" s="180"/>
      <c r="CL65" s="180"/>
      <c r="CM65" s="180"/>
      <c r="CN65" s="180"/>
      <c r="CO65" s="180"/>
      <c r="CP65" s="180"/>
      <c r="CQ65" s="180"/>
      <c r="CR65" s="180"/>
      <c r="CS65" s="180"/>
      <c r="CT65" s="180"/>
      <c r="CU65" s="180"/>
      <c r="CV65" s="180"/>
      <c r="CW65" s="180"/>
      <c r="CX65" s="180"/>
      <c r="CY65" s="180"/>
      <c r="CZ65" s="180"/>
      <c r="DA65" s="180"/>
      <c r="DB65" s="180"/>
      <c r="DC65" s="180"/>
      <c r="DD65" s="180"/>
      <c r="DE65" s="180"/>
      <c r="DF65" s="180"/>
      <c r="DG65" s="180"/>
      <c r="DH65" s="180"/>
      <c r="DI65" s="180"/>
      <c r="DJ65" s="180"/>
      <c r="DK65" s="180"/>
      <c r="DL65" s="180"/>
      <c r="DM65" s="180"/>
      <c r="DN65" s="180"/>
      <c r="DO65" s="180"/>
      <c r="DP65" s="180"/>
      <c r="DQ65" s="180"/>
      <c r="DR65" s="180"/>
      <c r="DS65" s="180"/>
      <c r="DT65" s="180"/>
      <c r="DU65" s="180"/>
      <c r="DV65" s="180"/>
      <c r="DW65" s="180"/>
      <c r="DX65" s="180"/>
      <c r="DY65" s="180"/>
      <c r="DZ65" s="180"/>
      <c r="EA65" s="180"/>
      <c r="EB65" s="180"/>
      <c r="EC65" s="180"/>
      <c r="ED65" s="180"/>
      <c r="EE65" s="180"/>
      <c r="EF65" s="180"/>
      <c r="EG65" s="180"/>
      <c r="EH65" s="180"/>
      <c r="EI65" s="180"/>
      <c r="EJ65" s="180"/>
      <c r="EK65" s="180"/>
      <c r="EL65" s="180"/>
      <c r="EM65" s="180"/>
      <c r="EN65" s="180"/>
      <c r="EO65" s="180"/>
      <c r="EP65" s="180"/>
      <c r="EQ65" s="180"/>
      <c r="ER65" s="180"/>
      <c r="ES65" s="180"/>
      <c r="ET65" s="180"/>
      <c r="EU65" s="180"/>
      <c r="EV65" s="180"/>
      <c r="EW65" s="180"/>
      <c r="EX65" s="180"/>
      <c r="EY65" s="180"/>
      <c r="EZ65" s="180"/>
      <c r="FA65" s="180"/>
      <c r="FB65" s="180"/>
      <c r="FC65" s="180"/>
      <c r="FD65" s="180"/>
      <c r="FE65" s="180"/>
      <c r="FF65" s="180"/>
      <c r="FG65" s="180"/>
      <c r="FH65" s="180"/>
      <c r="FI65" s="180"/>
      <c r="FJ65" s="180"/>
      <c r="FK65" s="180"/>
      <c r="FL65" s="180"/>
      <c r="FM65" s="180"/>
      <c r="FN65" s="180"/>
      <c r="FO65" s="180"/>
      <c r="FP65" s="180"/>
      <c r="FQ65" s="180"/>
      <c r="FR65" s="180"/>
      <c r="FS65" s="180"/>
      <c r="FT65" s="180"/>
      <c r="FU65" s="180"/>
      <c r="FV65" s="180"/>
      <c r="FW65" s="180"/>
      <c r="FX65" s="180"/>
      <c r="FY65" s="180"/>
      <c r="FZ65" s="180"/>
      <c r="GA65" s="180"/>
      <c r="GB65" s="180"/>
      <c r="GC65" s="180"/>
      <c r="GD65" s="180"/>
      <c r="GE65" s="180"/>
      <c r="GF65" s="180"/>
      <c r="GG65" s="180"/>
      <c r="GH65" s="180"/>
      <c r="GI65" s="180"/>
      <c r="GJ65" s="180"/>
      <c r="GK65" s="180"/>
      <c r="GL65" s="180"/>
      <c r="GM65" s="180"/>
      <c r="GN65" s="180"/>
      <c r="GO65" s="180"/>
      <c r="GP65" s="180"/>
      <c r="GQ65" s="180"/>
      <c r="GR65" s="180"/>
      <c r="GS65" s="180"/>
      <c r="GT65" s="180"/>
      <c r="GU65" s="180"/>
      <c r="GV65" s="180"/>
      <c r="GW65" s="180"/>
      <c r="GX65" s="180"/>
      <c r="GY65" s="180"/>
      <c r="GZ65" s="180"/>
      <c r="HA65" s="180"/>
      <c r="HB65" s="180"/>
      <c r="HC65" s="180"/>
      <c r="HD65" s="180"/>
      <c r="HE65" s="180"/>
      <c r="HF65" s="180"/>
      <c r="HG65" s="180"/>
      <c r="HH65" s="180"/>
      <c r="HI65" s="180"/>
      <c r="HJ65" s="180"/>
      <c r="HK65" s="180"/>
      <c r="HL65" s="180"/>
      <c r="HM65" s="180"/>
      <c r="HN65" s="180"/>
      <c r="HO65" s="180"/>
      <c r="HP65" s="180"/>
      <c r="HQ65" s="180"/>
      <c r="HR65" s="180"/>
      <c r="HS65" s="180"/>
      <c r="HT65" s="180"/>
      <c r="HU65" s="180"/>
      <c r="HV65" s="180"/>
      <c r="HW65" s="180"/>
      <c r="HX65" s="180"/>
      <c r="HY65" s="180"/>
      <c r="HZ65" s="180"/>
      <c r="IA65" s="180"/>
      <c r="IB65" s="180"/>
      <c r="IC65" s="180"/>
      <c r="ID65" s="180"/>
      <c r="IE65" s="180"/>
      <c r="IF65" s="180"/>
      <c r="IG65" s="180"/>
      <c r="IH65" s="180"/>
      <c r="II65" s="180"/>
      <c r="IJ65" s="180"/>
      <c r="IK65" s="180"/>
      <c r="IL65" s="180"/>
      <c r="IM65" s="180"/>
      <c r="IN65" s="180"/>
      <c r="IO65" s="180"/>
      <c r="IP65" s="180"/>
      <c r="IQ65" s="180"/>
      <c r="IR65" s="180"/>
      <c r="IS65" s="180"/>
      <c r="IT65" s="180"/>
      <c r="IU65" s="180"/>
      <c r="IV65" s="180"/>
      <c r="IW65" s="180"/>
      <c r="IX65" s="180"/>
      <c r="IY65" s="217">
        <v>1</v>
      </c>
      <c r="IZ65" s="217">
        <f>(TEXT(K65,"[m]")/60)*VLOOKUP(IY65,'Income Person-hours'!A$2:C$5,3,FALSE)</f>
        <v>0</v>
      </c>
      <c r="JA65" s="194"/>
      <c r="JB65" s="218"/>
      <c r="JC65" s="219"/>
      <c r="JD65" s="220">
        <f>SUM((TEXT(JA65,"[M]")/60)*'Income Person-hours'!$D$3,(TEXT(JB65,"[M]")/60)*'Income Person-hours'!$D$4,(TEXT(JC65,"[M]")/60)*'Income Person-hours'!$D$5)</f>
        <v>0</v>
      </c>
      <c r="JE65" s="180"/>
      <c r="JF65" s="180"/>
      <c r="JG65" s="180"/>
      <c r="JH65" s="180"/>
      <c r="JI65" s="180"/>
      <c r="JJ65" s="180"/>
      <c r="JK65" s="180"/>
      <c r="JL65" s="180"/>
      <c r="JM65" s="180"/>
      <c r="JN65" s="180"/>
      <c r="JO65" s="180"/>
      <c r="JP65" s="180"/>
      <c r="JQ65" s="180"/>
      <c r="JR65" s="180"/>
      <c r="JS65" s="180"/>
      <c r="JT65" s="180"/>
      <c r="JU65" s="180"/>
      <c r="JV65" s="180"/>
      <c r="JW65" s="180"/>
      <c r="JX65" s="180"/>
      <c r="JY65" s="180"/>
      <c r="JZ65" s="180"/>
      <c r="KA65" s="180"/>
      <c r="KB65" s="180"/>
      <c r="KC65" s="180"/>
      <c r="KD65" s="180"/>
      <c r="KE65" s="180"/>
      <c r="KF65" s="180"/>
      <c r="KG65" s="180"/>
      <c r="KH65" s="180"/>
      <c r="KI65" s="180"/>
      <c r="KJ65" s="180"/>
      <c r="KK65" s="180"/>
      <c r="KL65" s="180"/>
      <c r="KM65" s="180"/>
      <c r="KN65" s="180"/>
      <c r="KO65" s="180"/>
      <c r="KP65" s="180"/>
      <c r="KQ65" s="180"/>
      <c r="KR65" s="180"/>
      <c r="KS65" s="180"/>
      <c r="KT65" s="180"/>
      <c r="KU65" s="180"/>
      <c r="KV65" s="180"/>
      <c r="KW65" s="180"/>
      <c r="KX65" s="180"/>
      <c r="KY65" s="180"/>
      <c r="KZ65" s="180"/>
      <c r="LA65" s="180"/>
      <c r="LB65" s="180"/>
      <c r="LC65" s="180"/>
      <c r="LD65" s="180"/>
      <c r="LE65" s="180"/>
      <c r="LF65" s="180"/>
      <c r="LG65" s="180"/>
      <c r="LH65" s="180"/>
      <c r="LI65" s="180"/>
      <c r="LJ65" s="180"/>
      <c r="LK65" s="180"/>
      <c r="LL65" s="180"/>
      <c r="LM65" s="180"/>
      <c r="LN65" s="180"/>
      <c r="LO65" s="180"/>
      <c r="LP65" s="180"/>
      <c r="LQ65" s="180"/>
      <c r="LR65" s="180"/>
      <c r="LS65" s="180"/>
      <c r="LT65" s="180"/>
      <c r="LU65" s="180"/>
      <c r="LV65" s="180"/>
      <c r="LW65" s="180"/>
      <c r="LX65" s="180"/>
      <c r="LY65" s="180"/>
      <c r="LZ65" s="180"/>
      <c r="MA65" s="180"/>
      <c r="MB65" s="180"/>
      <c r="MC65" s="180"/>
      <c r="MD65" s="180"/>
      <c r="ME65" s="180"/>
      <c r="MF65" s="180"/>
      <c r="MG65" s="180"/>
      <c r="MH65" s="180"/>
      <c r="MI65" s="180"/>
      <c r="MJ65" s="180"/>
      <c r="MK65" s="180"/>
      <c r="ML65" s="180"/>
      <c r="MM65" s="180"/>
      <c r="MN65" s="180"/>
      <c r="MO65" s="180"/>
      <c r="MP65" s="180"/>
      <c r="MQ65" s="180"/>
      <c r="MR65" s="180"/>
      <c r="MS65" s="180"/>
      <c r="MT65" s="180"/>
      <c r="MU65" s="180"/>
      <c r="MV65" s="180"/>
      <c r="MW65" s="180"/>
      <c r="MX65" s="180"/>
      <c r="MY65" s="180"/>
      <c r="MZ65" s="180"/>
      <c r="NA65" s="180"/>
      <c r="NB65" s="180"/>
      <c r="NC65" s="180"/>
      <c r="ND65" s="180"/>
      <c r="NE65" s="180"/>
      <c r="NF65" s="180"/>
      <c r="NG65" s="180"/>
      <c r="NH65" s="180"/>
      <c r="NI65" s="180"/>
      <c r="NJ65" s="180"/>
      <c r="NK65" s="180"/>
      <c r="NL65" s="180"/>
      <c r="NM65" s="180"/>
      <c r="NN65" s="180"/>
      <c r="NO65" s="180"/>
      <c r="NP65" s="180"/>
      <c r="NQ65" s="180"/>
      <c r="NR65" s="180"/>
      <c r="NS65" s="180"/>
      <c r="NT65" s="180"/>
      <c r="NU65" s="180"/>
      <c r="NV65" s="180"/>
      <c r="NW65" s="180"/>
      <c r="NX65" s="180"/>
      <c r="NY65" s="180"/>
      <c r="NZ65" s="180"/>
      <c r="OA65" s="180"/>
      <c r="OB65" s="180"/>
      <c r="OC65" s="180"/>
      <c r="OD65" s="180"/>
      <c r="OE65" s="180"/>
      <c r="OF65" s="180"/>
      <c r="OG65" s="180"/>
      <c r="OH65" s="180"/>
      <c r="OI65" s="180"/>
      <c r="OJ65" s="180"/>
      <c r="OK65" s="180"/>
      <c r="OL65" s="180"/>
      <c r="OM65" s="180"/>
      <c r="ON65" s="180"/>
      <c r="OO65" s="180"/>
      <c r="OP65" s="180"/>
      <c r="OQ65" s="180"/>
      <c r="OR65" s="180"/>
      <c r="OS65" s="180"/>
      <c r="OT65" s="180"/>
      <c r="OU65" s="180"/>
      <c r="OV65" s="180"/>
      <c r="OW65" s="180"/>
      <c r="OX65" s="180"/>
      <c r="OY65" s="180"/>
      <c r="OZ65" s="180"/>
      <c r="PA65" s="180"/>
      <c r="PB65" s="180"/>
      <c r="PC65" s="180"/>
      <c r="PD65" s="180"/>
      <c r="PE65" s="180"/>
      <c r="PF65" s="180"/>
      <c r="PG65" s="180"/>
      <c r="PH65" s="180"/>
      <c r="PI65" s="180"/>
      <c r="PJ65" s="180"/>
      <c r="PK65" s="180"/>
      <c r="PL65" s="180"/>
      <c r="PM65" s="180"/>
      <c r="PN65" s="180"/>
      <c r="PO65" s="180"/>
      <c r="PP65" s="180"/>
      <c r="PQ65" s="180"/>
      <c r="PR65" s="180"/>
      <c r="PS65" s="180"/>
      <c r="PT65" s="180"/>
      <c r="PU65" s="180"/>
      <c r="PV65" s="180"/>
      <c r="PW65" s="180"/>
      <c r="PX65" s="180"/>
      <c r="PY65" s="180"/>
      <c r="PZ65" s="180"/>
      <c r="QA65" s="180"/>
      <c r="QB65" s="180"/>
      <c r="QC65" s="180"/>
      <c r="QD65" s="180"/>
      <c r="QE65" s="180"/>
      <c r="QF65" s="180"/>
      <c r="QG65" s="180"/>
      <c r="QH65" s="180"/>
      <c r="QI65" s="180"/>
      <c r="QJ65" s="180"/>
      <c r="QK65" s="180"/>
      <c r="QL65" s="180"/>
      <c r="QM65" s="180"/>
      <c r="QN65" s="180"/>
      <c r="QO65" s="180"/>
      <c r="QP65" s="180"/>
      <c r="QQ65" s="180"/>
      <c r="QR65" s="180"/>
      <c r="QS65" s="180"/>
      <c r="QT65" s="180"/>
      <c r="QU65" s="180"/>
      <c r="QV65" s="180"/>
      <c r="QW65" s="180"/>
      <c r="QX65" s="180"/>
      <c r="QY65" s="180"/>
      <c r="QZ65" s="180"/>
      <c r="RA65" s="180"/>
      <c r="RB65" s="180"/>
      <c r="RC65" s="180"/>
      <c r="RD65" s="180"/>
      <c r="RE65" s="180"/>
      <c r="RF65" s="180"/>
      <c r="RG65" s="180"/>
      <c r="RH65" s="180"/>
      <c r="RI65" s="180"/>
      <c r="RJ65" s="180"/>
      <c r="RK65" s="180"/>
      <c r="RL65" s="180"/>
      <c r="RM65" s="180"/>
      <c r="RN65" s="180"/>
      <c r="RO65" s="180"/>
      <c r="RP65" s="180"/>
      <c r="RQ65" s="180"/>
      <c r="RR65" s="180"/>
      <c r="RS65" s="180"/>
      <c r="RT65" s="180"/>
      <c r="RU65" s="180"/>
      <c r="RV65" s="180"/>
      <c r="RW65" s="180"/>
      <c r="RX65" s="180"/>
      <c r="RY65" s="180"/>
      <c r="RZ65" s="180"/>
      <c r="SA65" s="180"/>
      <c r="SB65" s="180"/>
      <c r="SC65" s="180"/>
      <c r="SD65" s="180"/>
      <c r="SE65" s="180"/>
      <c r="SF65" s="180"/>
      <c r="SG65" s="180"/>
      <c r="SH65" s="180"/>
      <c r="SI65" s="180"/>
      <c r="SJ65" s="180"/>
      <c r="SK65" s="180"/>
      <c r="SL65" s="180"/>
      <c r="SM65" s="180"/>
      <c r="SN65" s="180"/>
      <c r="SO65" s="180"/>
      <c r="SP65" s="180"/>
      <c r="SQ65" s="180"/>
      <c r="SR65" s="180"/>
      <c r="SS65" s="180"/>
      <c r="ST65" s="180"/>
      <c r="SU65" s="180"/>
      <c r="SV65" s="180"/>
      <c r="SW65" s="180"/>
      <c r="SX65" s="180"/>
      <c r="SY65" s="180"/>
      <c r="SZ65" s="180"/>
      <c r="TA65" s="180"/>
      <c r="TB65" s="180"/>
      <c r="TC65" s="180"/>
      <c r="TD65" s="180"/>
      <c r="TE65" s="180"/>
      <c r="TF65" s="180"/>
      <c r="TG65" s="180"/>
      <c r="TH65" s="180"/>
      <c r="TI65" s="180"/>
      <c r="TJ65" s="180"/>
      <c r="TK65" s="180"/>
      <c r="TL65" s="180"/>
      <c r="TM65" s="180"/>
      <c r="TN65" s="180"/>
      <c r="TO65" s="180"/>
      <c r="TP65" s="180"/>
      <c r="TQ65" s="180"/>
      <c r="TR65" s="180"/>
      <c r="TS65" s="180"/>
      <c r="TT65" s="180"/>
      <c r="TU65" s="180"/>
      <c r="TV65" s="180"/>
      <c r="TW65" s="180"/>
      <c r="TX65" s="180"/>
      <c r="TY65" s="180"/>
      <c r="TZ65" s="180"/>
      <c r="UA65" s="180"/>
      <c r="UB65" s="180"/>
      <c r="UC65" s="180"/>
      <c r="UD65" s="180"/>
      <c r="UE65" s="180"/>
      <c r="UF65" s="180"/>
      <c r="UG65" s="180"/>
      <c r="UH65" s="180"/>
      <c r="UI65" s="180"/>
      <c r="UJ65" s="180"/>
      <c r="UK65" s="180"/>
      <c r="UL65" s="180"/>
      <c r="UM65" s="180"/>
      <c r="UN65" s="180"/>
      <c r="UO65" s="180"/>
      <c r="UP65" s="180"/>
      <c r="UQ65" s="180"/>
      <c r="UR65" s="180"/>
      <c r="US65" s="180"/>
      <c r="UT65" s="180"/>
      <c r="UU65" s="180"/>
      <c r="UV65" s="180"/>
      <c r="UW65" s="180"/>
      <c r="UX65" s="180"/>
      <c r="UY65" s="180"/>
      <c r="UZ65" s="180"/>
      <c r="VA65" s="180"/>
      <c r="VB65" s="180"/>
      <c r="VC65" s="180"/>
      <c r="VD65" s="180"/>
      <c r="VE65" s="180"/>
      <c r="VF65" s="180"/>
      <c r="VG65" s="180"/>
      <c r="VH65" s="180"/>
      <c r="VI65" s="180"/>
      <c r="VJ65" s="180"/>
      <c r="VK65" s="180"/>
      <c r="VL65" s="180"/>
      <c r="VM65" s="180"/>
      <c r="VN65" s="180"/>
      <c r="VO65" s="180"/>
      <c r="VP65" s="180"/>
      <c r="VQ65" s="180"/>
      <c r="VR65" s="180"/>
      <c r="VS65" s="180"/>
      <c r="VT65" s="180"/>
      <c r="VU65" s="180"/>
      <c r="VV65" s="180"/>
      <c r="VW65" s="180"/>
      <c r="VX65" s="180"/>
      <c r="VY65" s="180"/>
      <c r="VZ65" s="180"/>
      <c r="WA65" s="180"/>
      <c r="WB65" s="180"/>
      <c r="WC65" s="180"/>
      <c r="WD65" s="180"/>
      <c r="WE65" s="180"/>
      <c r="WF65" s="180"/>
      <c r="WG65" s="180"/>
      <c r="WH65" s="180"/>
      <c r="WI65" s="180"/>
      <c r="WJ65" s="180"/>
      <c r="WK65" s="180"/>
      <c r="WL65" s="180"/>
      <c r="WM65" s="180"/>
      <c r="WN65" s="180"/>
      <c r="WO65" s="180"/>
      <c r="WP65" s="180"/>
      <c r="WQ65" s="180"/>
      <c r="WR65" s="180"/>
      <c r="WS65" s="180"/>
      <c r="WT65" s="180"/>
      <c r="WU65" s="180"/>
      <c r="WV65" s="180"/>
      <c r="WW65" s="180"/>
      <c r="WX65" s="180"/>
      <c r="WY65" s="180"/>
      <c r="WZ65" s="180"/>
      <c r="XA65" s="180"/>
      <c r="XB65" s="180"/>
      <c r="XC65" s="180"/>
      <c r="XD65" s="180"/>
      <c r="XE65" s="180"/>
      <c r="XF65" s="180"/>
      <c r="XG65" s="180"/>
      <c r="XH65" s="180"/>
      <c r="XI65" s="180"/>
      <c r="XJ65" s="180"/>
      <c r="XK65" s="180"/>
      <c r="XL65" s="180"/>
      <c r="XM65" s="180"/>
      <c r="XN65" s="180"/>
      <c r="XO65" s="180"/>
      <c r="XP65" s="180"/>
      <c r="XQ65" s="180"/>
      <c r="XR65" s="180"/>
      <c r="XS65" s="180"/>
      <c r="XT65" s="180"/>
      <c r="XU65" s="180"/>
      <c r="XV65" s="180"/>
      <c r="XW65" s="180"/>
      <c r="XX65" s="180"/>
      <c r="XY65" s="180"/>
      <c r="XZ65" s="180"/>
      <c r="YA65" s="180"/>
      <c r="YB65" s="180"/>
      <c r="YC65" s="180"/>
      <c r="YD65" s="180"/>
      <c r="YE65" s="180"/>
      <c r="YF65" s="180"/>
      <c r="YG65" s="180"/>
      <c r="YH65" s="180"/>
      <c r="YI65" s="180"/>
      <c r="YJ65" s="180"/>
      <c r="YK65" s="180"/>
      <c r="YL65" s="180"/>
      <c r="YM65" s="180"/>
      <c r="YN65" s="180"/>
      <c r="YO65" s="180"/>
      <c r="YP65" s="180"/>
      <c r="YQ65" s="180"/>
      <c r="YR65" s="180"/>
      <c r="YS65" s="180"/>
      <c r="YT65" s="180"/>
      <c r="YU65" s="180"/>
      <c r="YV65" s="180"/>
      <c r="YW65" s="180"/>
      <c r="YX65" s="180"/>
      <c r="YY65" s="180"/>
      <c r="YZ65" s="180"/>
      <c r="ZA65" s="180"/>
      <c r="ZB65" s="180"/>
      <c r="ZC65" s="180"/>
      <c r="ZD65" s="180"/>
      <c r="ZE65" s="180"/>
      <c r="ZF65" s="180"/>
      <c r="ZG65" s="180"/>
      <c r="ZH65" s="180"/>
      <c r="ZI65" s="180"/>
      <c r="ZJ65" s="180"/>
      <c r="ZK65" s="180"/>
      <c r="ZL65" s="180"/>
      <c r="ZM65" s="180"/>
      <c r="ZN65" s="180"/>
      <c r="ZO65" s="180"/>
      <c r="ZP65" s="180"/>
      <c r="ZQ65" s="180"/>
      <c r="ZR65" s="180"/>
      <c r="ZS65" s="180"/>
      <c r="ZT65" s="180"/>
      <c r="ZU65" s="180"/>
      <c r="ZV65" s="180"/>
      <c r="ZW65" s="180"/>
      <c r="ZX65" s="180"/>
      <c r="ZY65" s="180"/>
      <c r="ZZ65" s="180"/>
      <c r="AAA65" s="180"/>
      <c r="AAB65" s="180"/>
      <c r="AAC65" s="180"/>
      <c r="AAD65" s="180"/>
      <c r="AAE65" s="180"/>
      <c r="AAF65" s="180"/>
      <c r="AAG65" s="180"/>
      <c r="AAH65" s="180"/>
      <c r="AAI65" s="180"/>
      <c r="AAJ65" s="180"/>
      <c r="AAK65" s="180"/>
      <c r="AAL65" s="180"/>
      <c r="AAM65" s="180"/>
      <c r="AAN65" s="180"/>
      <c r="AAO65" s="180"/>
      <c r="AAP65" s="180"/>
      <c r="AAQ65" s="180"/>
      <c r="AAR65" s="180"/>
      <c r="AAS65" s="180"/>
      <c r="AAT65" s="180"/>
      <c r="AAU65" s="180"/>
      <c r="AAV65" s="180"/>
      <c r="AAW65" s="180"/>
      <c r="AAX65" s="180"/>
      <c r="AAY65" s="180"/>
      <c r="AAZ65" s="180"/>
      <c r="ABA65" s="180"/>
      <c r="ABB65" s="180"/>
      <c r="ABC65" s="180"/>
      <c r="ABD65" s="180"/>
      <c r="ABE65" s="180"/>
      <c r="ABF65" s="180"/>
      <c r="ABG65" s="180"/>
      <c r="ABH65" s="180"/>
      <c r="ABI65" s="180"/>
      <c r="ABJ65" s="180"/>
      <c r="ABK65" s="180"/>
      <c r="ABL65" s="180"/>
      <c r="ABM65" s="180"/>
      <c r="ABN65" s="180"/>
      <c r="ABO65" s="180"/>
      <c r="ABP65" s="180"/>
      <c r="ABQ65" s="180"/>
      <c r="ABR65" s="180"/>
      <c r="ABS65" s="180"/>
      <c r="ABT65" s="180"/>
      <c r="ABU65" s="180"/>
      <c r="ABV65" s="180"/>
      <c r="ABW65" s="180"/>
      <c r="ABX65" s="180"/>
      <c r="ABY65" s="180"/>
      <c r="ABZ65" s="180"/>
      <c r="ACA65" s="180"/>
      <c r="ACB65" s="180"/>
      <c r="ACC65" s="180"/>
      <c r="ACD65" s="180"/>
      <c r="ACE65" s="180"/>
      <c r="ACF65" s="180"/>
      <c r="ACG65" s="180"/>
      <c r="ACH65" s="180"/>
      <c r="ACI65" s="180"/>
      <c r="ACJ65" s="180"/>
      <c r="ACK65" s="180"/>
      <c r="ACL65" s="180"/>
      <c r="ACM65" s="180"/>
      <c r="ACN65" s="180"/>
      <c r="ACO65" s="180"/>
      <c r="ACP65" s="180"/>
      <c r="ACQ65" s="180"/>
      <c r="ACR65" s="180"/>
      <c r="ACS65" s="180"/>
      <c r="ACT65" s="180"/>
      <c r="ACU65" s="180"/>
      <c r="ACV65" s="180"/>
      <c r="ACW65" s="180"/>
      <c r="ACX65" s="180"/>
      <c r="ACY65" s="180"/>
      <c r="ACZ65" s="180"/>
      <c r="ADA65" s="180"/>
      <c r="ADB65" s="180"/>
      <c r="ADC65" s="180"/>
      <c r="ADD65" s="180"/>
      <c r="ADE65" s="180"/>
      <c r="ADF65" s="180"/>
      <c r="ADG65" s="180"/>
      <c r="ADH65" s="180"/>
      <c r="ADI65" s="180"/>
      <c r="ADJ65" s="180"/>
      <c r="ADK65" s="180"/>
      <c r="ADL65" s="180"/>
      <c r="ADM65" s="180"/>
      <c r="ADN65" s="180"/>
      <c r="ADO65" s="180"/>
      <c r="ADP65" s="180"/>
      <c r="ADQ65" s="180"/>
      <c r="ADR65" s="180"/>
      <c r="ADS65" s="180"/>
      <c r="ADT65" s="180"/>
      <c r="ADU65" s="180"/>
      <c r="ADV65" s="180"/>
      <c r="ADW65" s="180"/>
      <c r="ADX65" s="180"/>
      <c r="ADY65" s="180"/>
      <c r="ADZ65" s="180"/>
      <c r="AEA65" s="180"/>
      <c r="AEB65" s="180"/>
      <c r="AEC65" s="180"/>
      <c r="AED65" s="180"/>
      <c r="AEE65" s="180"/>
      <c r="AEF65" s="180"/>
      <c r="AEG65" s="180"/>
      <c r="AEH65" s="180"/>
      <c r="AEI65" s="180"/>
      <c r="AEJ65" s="180"/>
      <c r="AEK65" s="180"/>
      <c r="AEL65" s="180"/>
      <c r="AEM65" s="180"/>
      <c r="AEN65" s="180"/>
      <c r="AEO65" s="180"/>
      <c r="AEP65" s="180"/>
      <c r="AEQ65" s="180"/>
      <c r="AER65" s="180"/>
      <c r="AES65" s="180"/>
      <c r="AET65" s="180"/>
      <c r="AEU65" s="180"/>
      <c r="AEV65" s="180"/>
      <c r="AEW65" s="180"/>
      <c r="AEX65" s="180"/>
      <c r="AEY65" s="180"/>
      <c r="AEZ65" s="180"/>
      <c r="AFA65" s="180"/>
      <c r="AFB65" s="180"/>
      <c r="AFC65" s="180"/>
      <c r="AFD65" s="180"/>
      <c r="AFE65" s="180"/>
      <c r="AFF65" s="180"/>
      <c r="AFG65" s="180"/>
      <c r="AFH65" s="180"/>
      <c r="AFI65" s="180"/>
      <c r="AFJ65" s="180"/>
      <c r="AFK65" s="180"/>
      <c r="AFL65" s="180"/>
      <c r="AFM65" s="180"/>
      <c r="AFN65" s="180"/>
      <c r="AFO65" s="180"/>
      <c r="AFP65" s="180"/>
      <c r="AFQ65" s="180"/>
      <c r="AFR65" s="180"/>
      <c r="AFS65" s="180"/>
      <c r="AFT65" s="180"/>
      <c r="AFU65" s="180"/>
      <c r="AFV65" s="180"/>
      <c r="AFW65" s="180"/>
      <c r="AFX65" s="180"/>
      <c r="AFY65" s="180"/>
      <c r="AFZ65" s="180"/>
      <c r="AGA65" s="180"/>
      <c r="AGB65" s="180"/>
      <c r="AGC65" s="180"/>
      <c r="AGD65" s="180"/>
      <c r="AGE65" s="180"/>
      <c r="AGF65" s="180"/>
      <c r="AGG65" s="180"/>
      <c r="AGH65" s="180"/>
      <c r="AGI65" s="180"/>
      <c r="AGJ65" s="180"/>
      <c r="AGK65" s="180"/>
      <c r="AGL65" s="180"/>
      <c r="AGM65" s="180"/>
      <c r="AGN65" s="180"/>
      <c r="AGO65" s="180"/>
      <c r="AGP65" s="180"/>
      <c r="AGQ65" s="180"/>
      <c r="AGR65" s="180"/>
      <c r="AGS65" s="180"/>
      <c r="AGT65" s="180"/>
      <c r="AGU65" s="180"/>
      <c r="AGV65" s="180"/>
      <c r="AGW65" s="180"/>
      <c r="AGX65" s="180"/>
      <c r="AGY65" s="180"/>
      <c r="AGZ65" s="180"/>
      <c r="AHA65" s="180"/>
      <c r="AHB65" s="180"/>
      <c r="AHC65" s="180"/>
      <c r="AHD65" s="180"/>
      <c r="AHE65" s="180"/>
      <c r="AHF65" s="180"/>
      <c r="AHG65" s="180"/>
      <c r="AHH65" s="180"/>
      <c r="AHI65" s="180"/>
      <c r="AHJ65" s="180"/>
      <c r="AHK65" s="180"/>
      <c r="AHL65" s="180"/>
      <c r="AHM65" s="180"/>
      <c r="AHN65" s="180"/>
      <c r="AHO65" s="180"/>
      <c r="AHP65" s="180"/>
      <c r="AHQ65" s="180"/>
      <c r="AHR65" s="180"/>
      <c r="AHS65" s="180"/>
      <c r="AHT65" s="180"/>
      <c r="AHU65" s="180"/>
      <c r="AHV65" s="180"/>
      <c r="AHW65" s="180"/>
      <c r="AHX65" s="180"/>
      <c r="AHY65" s="180"/>
      <c r="AHZ65" s="180"/>
      <c r="AIA65" s="180"/>
      <c r="AIB65" s="180"/>
      <c r="AIC65" s="180"/>
      <c r="AID65" s="180"/>
      <c r="AIE65" s="180"/>
      <c r="AIF65" s="180"/>
      <c r="AIG65" s="180"/>
      <c r="AIH65" s="180"/>
      <c r="AII65" s="180"/>
      <c r="AIJ65" s="180"/>
      <c r="AIK65" s="180"/>
      <c r="AIL65" s="180"/>
      <c r="AIM65" s="180"/>
      <c r="AIN65" s="180"/>
      <c r="AIO65" s="180"/>
      <c r="AIP65" s="180"/>
      <c r="AIQ65" s="180"/>
      <c r="AIR65" s="180"/>
      <c r="AIS65" s="180"/>
      <c r="AIT65" s="180"/>
      <c r="AIU65" s="180"/>
      <c r="AIV65" s="180"/>
      <c r="AIW65" s="180"/>
      <c r="AIX65" s="180"/>
      <c r="AIY65" s="180"/>
      <c r="AIZ65" s="180"/>
      <c r="AJA65" s="180"/>
      <c r="AJB65" s="180"/>
      <c r="AJC65" s="180"/>
      <c r="AJD65" s="180"/>
      <c r="AJE65" s="180"/>
      <c r="AJF65" s="180"/>
      <c r="AJG65" s="180"/>
      <c r="AJH65" s="180"/>
      <c r="AJI65" s="180"/>
      <c r="AJJ65" s="180"/>
      <c r="AJK65" s="180"/>
      <c r="AJL65" s="180"/>
      <c r="AJM65" s="180"/>
      <c r="AJN65" s="180"/>
      <c r="AJO65" s="180"/>
      <c r="AJP65" s="180"/>
      <c r="AJQ65" s="180"/>
      <c r="AJR65" s="180"/>
      <c r="AJS65" s="180"/>
      <c r="AJT65" s="180"/>
      <c r="AJU65" s="180"/>
      <c r="AJV65" s="180"/>
      <c r="AJW65" s="180"/>
      <c r="AJX65" s="180"/>
      <c r="AJY65" s="180"/>
      <c r="AJZ65" s="180"/>
      <c r="AKA65" s="180"/>
      <c r="AKB65" s="180"/>
      <c r="AKC65" s="180"/>
      <c r="AKD65" s="180"/>
      <c r="AKE65" s="180"/>
      <c r="AKF65" s="180"/>
      <c r="AKG65" s="180"/>
      <c r="AKH65" s="180"/>
      <c r="AKI65" s="180"/>
      <c r="AKJ65" s="180"/>
      <c r="AKK65" s="180"/>
      <c r="AKL65" s="180"/>
      <c r="AKM65" s="180"/>
      <c r="AKN65" s="180"/>
      <c r="AKO65" s="180"/>
      <c r="AKP65" s="180"/>
      <c r="AKQ65" s="180"/>
      <c r="AKR65" s="180"/>
      <c r="AKS65" s="180"/>
      <c r="AKT65" s="180"/>
      <c r="AKU65" s="180"/>
      <c r="AKV65" s="180"/>
      <c r="AKW65" s="180"/>
      <c r="AKX65" s="180"/>
      <c r="AKY65" s="180"/>
      <c r="AKZ65" s="180"/>
      <c r="ALA65" s="180"/>
      <c r="ALB65" s="180"/>
      <c r="ALC65" s="180"/>
      <c r="ALD65" s="180"/>
      <c r="ALE65" s="180"/>
      <c r="ALF65" s="180"/>
      <c r="ALG65" s="180"/>
      <c r="ALH65" s="180"/>
      <c r="ALI65" s="180"/>
      <c r="ALJ65" s="180"/>
      <c r="ALK65" s="180"/>
      <c r="ALL65" s="180"/>
      <c r="ALM65" s="180"/>
      <c r="ALN65" s="180"/>
      <c r="ALO65" s="180"/>
      <c r="ALP65" s="180"/>
      <c r="ALQ65" s="180"/>
      <c r="ALR65" s="180"/>
      <c r="ALS65" s="180"/>
      <c r="ALT65" s="180"/>
      <c r="ALU65" s="180"/>
      <c r="ALV65" s="180"/>
      <c r="ALW65" s="180"/>
      <c r="ALX65" s="180"/>
      <c r="ALY65" s="180"/>
      <c r="ALZ65" s="180"/>
      <c r="AMA65" s="180"/>
      <c r="AMB65" s="180"/>
      <c r="AMC65" s="180"/>
      <c r="AMD65" s="180"/>
      <c r="AME65" s="180"/>
      <c r="AMF65" s="180"/>
      <c r="AMG65" s="180"/>
      <c r="AMH65" s="180"/>
      <c r="AMI65" s="180"/>
      <c r="AMJ65" s="180"/>
      <c r="AMK65" s="180"/>
      <c r="AML65" s="180"/>
      <c r="AMM65" s="180"/>
      <c r="AMN65" s="180"/>
      <c r="AMO65" s="180"/>
      <c r="AMP65" s="180"/>
      <c r="AMQ65" s="180"/>
      <c r="AMR65" s="180"/>
      <c r="AMS65" s="180"/>
      <c r="AMT65" s="180"/>
      <c r="AMU65" s="180"/>
      <c r="AMV65" s="180"/>
      <c r="AMW65" s="180"/>
      <c r="AMX65" s="180"/>
      <c r="AMY65" s="180"/>
      <c r="AMZ65" s="180"/>
      <c r="ANA65" s="180"/>
      <c r="ANB65" s="180"/>
      <c r="ANC65" s="180"/>
      <c r="AND65" s="180"/>
      <c r="ANE65" s="180"/>
      <c r="ANF65" s="180"/>
      <c r="ANG65" s="180"/>
      <c r="ANH65" s="180"/>
      <c r="ANI65" s="180"/>
      <c r="ANJ65" s="180"/>
      <c r="ANK65" s="180"/>
      <c r="ANL65" s="180"/>
      <c r="ANM65" s="180"/>
      <c r="ANN65" s="180"/>
      <c r="ANO65" s="180"/>
      <c r="ANP65" s="180"/>
      <c r="ANQ65" s="180"/>
      <c r="ANR65" s="180"/>
      <c r="ANS65" s="180"/>
      <c r="ANT65" s="180"/>
      <c r="ANU65" s="180"/>
      <c r="ANV65" s="180"/>
      <c r="ANW65" s="180"/>
      <c r="ANX65" s="180"/>
      <c r="ANY65" s="180"/>
      <c r="ANZ65" s="180"/>
      <c r="AOA65" s="180"/>
      <c r="AOB65" s="180"/>
      <c r="AOC65" s="180"/>
      <c r="AOD65" s="180"/>
      <c r="AOE65" s="180"/>
      <c r="AOF65" s="180"/>
      <c r="AOG65" s="180"/>
      <c r="AOH65" s="180"/>
      <c r="AOI65" s="180"/>
      <c r="AOJ65" s="180"/>
      <c r="AOK65" s="180"/>
      <c r="AOL65" s="180"/>
      <c r="AOM65" s="180"/>
      <c r="AON65" s="180"/>
      <c r="AOO65" s="180"/>
      <c r="AOP65" s="180"/>
      <c r="AOQ65" s="180"/>
      <c r="AOR65" s="180"/>
      <c r="AOS65" s="180"/>
      <c r="AOT65" s="180"/>
      <c r="AOU65" s="180"/>
      <c r="AOV65" s="180"/>
      <c r="AOW65" s="180"/>
      <c r="AOX65" s="180"/>
      <c r="AOY65" s="180"/>
      <c r="AOZ65" s="180"/>
      <c r="APA65" s="180"/>
      <c r="APB65" s="180"/>
      <c r="APC65" s="180"/>
      <c r="APD65" s="180"/>
      <c r="APE65" s="180"/>
      <c r="APF65" s="180"/>
      <c r="APG65" s="180"/>
      <c r="APH65" s="180"/>
      <c r="API65" s="180"/>
      <c r="APJ65" s="180"/>
      <c r="APK65" s="180"/>
      <c r="APL65" s="180"/>
      <c r="APM65" s="180"/>
      <c r="APN65" s="180"/>
      <c r="APO65" s="180"/>
      <c r="APP65" s="180"/>
      <c r="APQ65" s="180"/>
      <c r="APR65" s="180"/>
      <c r="APS65" s="180"/>
      <c r="APT65" s="180"/>
      <c r="APU65" s="180"/>
      <c r="APV65" s="180"/>
      <c r="APW65" s="180"/>
      <c r="APX65" s="180"/>
      <c r="APY65" s="180"/>
      <c r="APZ65" s="180"/>
      <c r="AQA65" s="180"/>
      <c r="AQB65" s="180"/>
      <c r="AQC65" s="180"/>
      <c r="AQD65" s="180"/>
      <c r="AQE65" s="180"/>
      <c r="AQF65" s="180"/>
      <c r="AQG65" s="180"/>
      <c r="AQH65" s="180"/>
      <c r="AQI65" s="180"/>
      <c r="AQJ65" s="180"/>
      <c r="AQK65" s="180"/>
      <c r="AQL65" s="180"/>
      <c r="AQM65" s="180"/>
      <c r="AQN65" s="180"/>
      <c r="AQO65" s="180"/>
      <c r="AQP65" s="180"/>
      <c r="AQQ65" s="180"/>
      <c r="AQR65" s="180"/>
      <c r="AQS65" s="180"/>
      <c r="AQT65" s="180"/>
      <c r="AQU65" s="180"/>
      <c r="AQV65" s="180"/>
      <c r="AQW65" s="180"/>
      <c r="AQX65" s="180"/>
      <c r="AQY65" s="180"/>
      <c r="AQZ65" s="180"/>
      <c r="ARA65" s="180"/>
      <c r="ARB65" s="180"/>
      <c r="ARC65" s="180"/>
      <c r="ARD65" s="180"/>
      <c r="ARE65" s="180"/>
      <c r="ARF65" s="180"/>
      <c r="ARG65" s="180"/>
      <c r="ARH65" s="180"/>
      <c r="ARI65" s="180"/>
      <c r="ARJ65" s="180"/>
      <c r="ARK65" s="180"/>
      <c r="ARL65" s="180"/>
      <c r="ARM65" s="180"/>
      <c r="ARN65" s="180"/>
      <c r="ARO65" s="180"/>
      <c r="ARP65" s="180"/>
      <c r="ARQ65" s="180"/>
      <c r="ARR65" s="180"/>
      <c r="ARS65" s="180"/>
      <c r="ART65" s="180"/>
      <c r="ARU65" s="180"/>
      <c r="ARV65" s="180"/>
      <c r="ARW65" s="180"/>
      <c r="ARX65" s="180"/>
      <c r="ARY65" s="180"/>
      <c r="ARZ65" s="180"/>
      <c r="ASA65" s="180"/>
      <c r="ASB65" s="180"/>
      <c r="ASC65" s="180"/>
      <c r="ASD65" s="180"/>
      <c r="ASE65" s="180"/>
      <c r="ASF65" s="180"/>
      <c r="ASG65" s="180"/>
      <c r="ASH65" s="180"/>
      <c r="ASI65" s="180"/>
      <c r="ASJ65" s="180"/>
      <c r="ASK65" s="180"/>
      <c r="ASL65" s="180"/>
      <c r="ASM65" s="180"/>
      <c r="ASN65" s="180"/>
      <c r="ASO65" s="180"/>
      <c r="ASP65" s="180"/>
      <c r="ASQ65" s="180"/>
      <c r="ASR65" s="180"/>
      <c r="ASS65" s="180"/>
      <c r="AST65" s="180"/>
      <c r="ASU65" s="180"/>
      <c r="ASV65" s="180"/>
      <c r="ASW65" s="180"/>
      <c r="ASX65" s="180"/>
      <c r="ASY65" s="180"/>
      <c r="ASZ65" s="180"/>
      <c r="ATA65" s="180"/>
      <c r="ATB65" s="180"/>
      <c r="ATC65" s="180"/>
      <c r="ATD65" s="180"/>
      <c r="ATE65" s="180"/>
      <c r="ATF65" s="180"/>
      <c r="ATG65" s="180"/>
      <c r="ATH65" s="180"/>
      <c r="ATI65" s="180"/>
      <c r="ATJ65" s="180"/>
      <c r="ATK65" s="180"/>
      <c r="ATL65" s="180"/>
      <c r="ATM65" s="180"/>
      <c r="ATN65" s="180"/>
      <c r="ATO65" s="180"/>
      <c r="ATP65" s="180"/>
      <c r="ATQ65" s="180"/>
      <c r="ATR65" s="180"/>
      <c r="ATS65" s="180"/>
      <c r="ATT65" s="180"/>
      <c r="ATU65" s="180"/>
      <c r="ATV65" s="180"/>
      <c r="ATW65" s="180"/>
      <c r="ATX65" s="180"/>
      <c r="ATY65" s="180"/>
      <c r="ATZ65" s="180"/>
      <c r="AUA65" s="180"/>
      <c r="AUB65" s="180"/>
      <c r="AUC65" s="180"/>
      <c r="AUD65" s="180"/>
      <c r="AUE65" s="180"/>
      <c r="AUF65" s="180"/>
      <c r="AUG65" s="180"/>
      <c r="AUH65" s="180"/>
      <c r="AUI65" s="180"/>
      <c r="AUJ65" s="180"/>
      <c r="AUK65" s="180"/>
      <c r="AUL65" s="180"/>
      <c r="AUM65" s="180"/>
      <c r="AUN65" s="180"/>
      <c r="AUO65" s="180"/>
      <c r="AUP65" s="180"/>
      <c r="AUQ65" s="180"/>
      <c r="AUR65" s="180"/>
      <c r="AUS65" s="180"/>
      <c r="AUT65" s="180"/>
      <c r="AUU65" s="180"/>
      <c r="AUV65" s="180"/>
      <c r="AUW65" s="180"/>
      <c r="AUX65" s="180"/>
      <c r="AUY65" s="180"/>
      <c r="AUZ65" s="180"/>
      <c r="AVA65" s="180"/>
      <c r="AVB65" s="180"/>
      <c r="AVC65" s="180"/>
      <c r="AVD65" s="180"/>
      <c r="AVE65" s="180"/>
      <c r="AVF65" s="180"/>
      <c r="AVG65" s="180"/>
      <c r="AVH65" s="180"/>
      <c r="AVI65" s="180"/>
      <c r="AVJ65" s="180"/>
      <c r="AVK65" s="180"/>
      <c r="AVL65" s="180"/>
      <c r="AVM65" s="180"/>
      <c r="AVN65" s="180"/>
      <c r="AVO65" s="180"/>
      <c r="AVP65" s="180"/>
      <c r="AVQ65" s="180"/>
      <c r="AVR65" s="180"/>
      <c r="AVS65" s="180"/>
      <c r="AVT65" s="180"/>
      <c r="AVU65" s="180"/>
      <c r="AVV65" s="180"/>
      <c r="AVW65" s="180"/>
      <c r="AVX65" s="180"/>
      <c r="AVY65" s="180"/>
      <c r="AVZ65" s="180"/>
      <c r="AWA65" s="180"/>
      <c r="AWB65" s="180"/>
      <c r="AWC65" s="180"/>
      <c r="AWD65" s="180"/>
      <c r="AWE65" s="180"/>
      <c r="AWF65" s="180"/>
      <c r="AWG65" s="180"/>
      <c r="AWH65" s="180"/>
      <c r="AWI65" s="180"/>
      <c r="AWJ65" s="180"/>
      <c r="AWK65" s="180"/>
      <c r="AWL65" s="180"/>
      <c r="AWM65" s="180"/>
      <c r="AWN65" s="180"/>
      <c r="AWO65" s="180"/>
      <c r="AWP65" s="180"/>
      <c r="AWQ65" s="180"/>
      <c r="AWR65" s="180"/>
      <c r="AWS65" s="180"/>
      <c r="AWT65" s="180"/>
      <c r="AWU65" s="180"/>
      <c r="AWV65" s="180"/>
      <c r="AWW65" s="180"/>
      <c r="AWX65" s="180"/>
      <c r="AWY65" s="180"/>
      <c r="AWZ65" s="180"/>
      <c r="AXA65" s="180"/>
      <c r="AXB65" s="180"/>
      <c r="AXC65" s="180"/>
      <c r="AXD65" s="180"/>
      <c r="AXE65" s="180"/>
      <c r="AXF65" s="180"/>
      <c r="AXG65" s="180"/>
      <c r="AXH65" s="180"/>
      <c r="AXI65" s="180"/>
      <c r="AXJ65" s="180"/>
      <c r="AXK65" s="180"/>
      <c r="AXL65" s="180"/>
      <c r="AXM65" s="180"/>
      <c r="AXN65" s="180"/>
      <c r="AXO65" s="180"/>
      <c r="AXP65" s="180"/>
      <c r="AXQ65" s="180"/>
      <c r="AXR65" s="180"/>
      <c r="AXS65" s="180"/>
      <c r="AXT65" s="180"/>
      <c r="AXU65" s="180"/>
      <c r="AXV65" s="180"/>
      <c r="AXW65" s="180"/>
      <c r="AXX65" s="180"/>
      <c r="AXY65" s="180"/>
      <c r="AXZ65" s="180"/>
      <c r="AYA65" s="180"/>
      <c r="AYB65" s="180"/>
      <c r="AYC65" s="180"/>
      <c r="AYD65" s="180"/>
      <c r="AYE65" s="180"/>
      <c r="AYF65" s="180"/>
      <c r="AYG65" s="180"/>
      <c r="AYH65" s="180"/>
      <c r="AYI65" s="180"/>
      <c r="AYJ65" s="180"/>
      <c r="AYK65" s="180"/>
      <c r="AYL65" s="180"/>
      <c r="AYM65" s="180"/>
      <c r="AYN65" s="180"/>
      <c r="AYO65" s="180"/>
      <c r="AYP65" s="180"/>
      <c r="AYQ65" s="180"/>
      <c r="AYR65" s="180"/>
      <c r="AYS65" s="180"/>
      <c r="AYT65" s="180"/>
      <c r="AYU65" s="180"/>
      <c r="AYV65" s="180"/>
      <c r="AYW65" s="180"/>
      <c r="AYX65" s="180"/>
      <c r="AYY65" s="180"/>
      <c r="AYZ65" s="180"/>
      <c r="AZA65" s="180"/>
      <c r="AZB65" s="180"/>
      <c r="AZC65" s="180"/>
      <c r="AZD65" s="180"/>
      <c r="AZE65" s="180"/>
      <c r="AZF65" s="180"/>
      <c r="AZG65" s="180"/>
      <c r="AZH65" s="180"/>
      <c r="AZI65" s="180"/>
      <c r="AZJ65" s="180"/>
      <c r="AZK65" s="180"/>
      <c r="AZL65" s="180"/>
      <c r="AZM65" s="180"/>
      <c r="AZN65" s="180"/>
      <c r="AZO65" s="180"/>
      <c r="AZP65" s="180"/>
      <c r="AZQ65" s="180"/>
      <c r="AZR65" s="180"/>
      <c r="AZS65" s="180"/>
      <c r="AZT65" s="180"/>
      <c r="AZU65" s="180"/>
      <c r="AZV65" s="180"/>
      <c r="AZW65" s="180"/>
      <c r="AZX65" s="180"/>
      <c r="AZY65" s="180"/>
      <c r="AZZ65" s="180"/>
      <c r="BAA65" s="180"/>
      <c r="BAB65" s="180"/>
      <c r="BAC65" s="180"/>
      <c r="BAD65" s="180"/>
      <c r="BAE65" s="180"/>
      <c r="BAF65" s="180"/>
      <c r="BAG65" s="180"/>
      <c r="BAH65" s="180"/>
      <c r="BAI65" s="180"/>
      <c r="BAJ65" s="180"/>
      <c r="BAK65" s="180"/>
      <c r="BAL65" s="180"/>
      <c r="BAM65" s="180"/>
      <c r="BAN65" s="180"/>
      <c r="BAO65" s="180"/>
      <c r="BAP65" s="180"/>
      <c r="BAQ65" s="180"/>
      <c r="BAR65" s="180"/>
      <c r="BAS65" s="180"/>
      <c r="BAT65" s="180"/>
      <c r="BAU65" s="180"/>
      <c r="BAV65" s="180"/>
      <c r="BAW65" s="180"/>
      <c r="BAX65" s="180"/>
      <c r="BAY65" s="180"/>
      <c r="BAZ65" s="180"/>
      <c r="BBA65" s="180"/>
      <c r="BBB65" s="180"/>
      <c r="BBC65" s="180"/>
      <c r="BBD65" s="180"/>
      <c r="BBE65" s="180"/>
      <c r="BBF65" s="180"/>
      <c r="BBG65" s="180"/>
      <c r="BBH65" s="180"/>
      <c r="BBI65" s="180"/>
      <c r="BBJ65" s="180"/>
      <c r="BBK65" s="180"/>
      <c r="BBL65" s="180"/>
      <c r="BBM65" s="180"/>
      <c r="BBN65" s="180"/>
      <c r="BBO65" s="180"/>
      <c r="BBP65" s="180"/>
      <c r="BBQ65" s="180"/>
      <c r="BBR65" s="180"/>
      <c r="BBS65" s="180"/>
      <c r="BBT65" s="180"/>
      <c r="BBU65" s="180"/>
      <c r="BBV65" s="180"/>
      <c r="BBW65" s="180"/>
      <c r="BBX65" s="180"/>
      <c r="BBY65" s="180"/>
      <c r="BBZ65" s="180"/>
      <c r="BCA65" s="180"/>
      <c r="BCB65" s="180"/>
      <c r="BCC65" s="180"/>
      <c r="BCD65" s="180"/>
      <c r="BCE65" s="180"/>
      <c r="BCF65" s="180"/>
      <c r="BCG65" s="180"/>
      <c r="BCH65" s="180"/>
      <c r="BCI65" s="180"/>
      <c r="BCJ65" s="180"/>
      <c r="BCK65" s="180"/>
      <c r="BCL65" s="180"/>
      <c r="BCM65" s="180"/>
      <c r="BCN65" s="180"/>
      <c r="BCO65" s="180"/>
      <c r="BCP65" s="180"/>
      <c r="BCQ65" s="180"/>
      <c r="BCR65" s="180"/>
      <c r="BCS65" s="180"/>
      <c r="BCT65" s="180"/>
      <c r="BCU65" s="180"/>
      <c r="BCV65" s="180"/>
      <c r="BCW65" s="180"/>
      <c r="BCX65" s="180"/>
      <c r="BCY65" s="180"/>
      <c r="BCZ65" s="180"/>
      <c r="BDA65" s="180"/>
      <c r="BDB65" s="180"/>
      <c r="BDC65" s="180"/>
      <c r="BDD65" s="180"/>
      <c r="BDE65" s="180"/>
      <c r="BDF65" s="180"/>
      <c r="BDG65" s="180"/>
      <c r="BDH65" s="180"/>
      <c r="BDI65" s="180"/>
      <c r="BDJ65" s="180"/>
      <c r="BDK65" s="180"/>
      <c r="BDL65" s="180"/>
      <c r="BDM65" s="180"/>
      <c r="BDN65" s="180"/>
      <c r="BDO65" s="180"/>
      <c r="BDP65" s="180"/>
      <c r="BDQ65" s="180"/>
      <c r="BDR65" s="180"/>
      <c r="BDS65" s="180"/>
      <c r="BDT65" s="180"/>
      <c r="BDU65" s="180"/>
      <c r="BDV65" s="180"/>
      <c r="BDW65" s="180"/>
      <c r="BDX65" s="180"/>
      <c r="BDY65" s="180"/>
      <c r="BDZ65" s="180"/>
      <c r="BEA65" s="180"/>
      <c r="BEB65" s="180"/>
      <c r="BEC65" s="180"/>
      <c r="BED65" s="180"/>
      <c r="BEE65" s="180"/>
      <c r="BEF65" s="180"/>
      <c r="BEG65" s="180"/>
      <c r="BEH65" s="180"/>
      <c r="BEI65" s="180"/>
      <c r="BEJ65" s="180"/>
      <c r="BEK65" s="180"/>
      <c r="BEL65" s="180"/>
      <c r="BEM65" s="180"/>
      <c r="BEN65" s="180"/>
      <c r="BEO65" s="180"/>
      <c r="BEP65" s="180"/>
      <c r="BEQ65" s="180"/>
      <c r="BER65" s="180"/>
      <c r="BES65" s="180"/>
      <c r="BET65" s="180"/>
      <c r="BEU65" s="180"/>
      <c r="BEV65" s="180"/>
      <c r="BEW65" s="180"/>
      <c r="BEX65" s="180"/>
      <c r="BEY65" s="180"/>
      <c r="BEZ65" s="180"/>
      <c r="BFA65" s="180"/>
      <c r="BFB65" s="180"/>
      <c r="BFC65" s="180"/>
      <c r="BFD65" s="180"/>
      <c r="BFE65" s="180"/>
      <c r="BFF65" s="180"/>
      <c r="BFG65" s="180"/>
      <c r="BFH65" s="180"/>
      <c r="BFI65" s="180"/>
      <c r="BFJ65" s="180"/>
      <c r="BFK65" s="180"/>
      <c r="BFL65" s="180"/>
      <c r="BFM65" s="180"/>
      <c r="BFN65" s="180"/>
      <c r="BFO65" s="180"/>
      <c r="BFP65" s="180"/>
      <c r="BFQ65" s="180"/>
      <c r="BFR65" s="180"/>
      <c r="BFS65" s="180"/>
      <c r="BFT65" s="180"/>
      <c r="BFU65" s="180"/>
      <c r="BFV65" s="180"/>
      <c r="BFW65" s="180"/>
      <c r="BFX65" s="180"/>
      <c r="BFY65" s="180"/>
      <c r="BFZ65" s="180"/>
      <c r="BGA65" s="180"/>
      <c r="BGB65" s="180"/>
      <c r="BGC65" s="180"/>
      <c r="BGD65" s="180"/>
      <c r="BGE65" s="180"/>
      <c r="BGF65" s="180"/>
      <c r="BGG65" s="180"/>
      <c r="BGH65" s="180"/>
      <c r="BGI65" s="180"/>
      <c r="BGJ65" s="180"/>
      <c r="BGK65" s="180"/>
      <c r="BGL65" s="180"/>
      <c r="BGM65" s="180"/>
      <c r="BGN65" s="180"/>
      <c r="BGO65" s="180"/>
      <c r="BGP65" s="180"/>
      <c r="BGQ65" s="180"/>
      <c r="BGR65" s="180"/>
      <c r="BGS65" s="180"/>
      <c r="BGT65" s="180"/>
      <c r="BGU65" s="180"/>
      <c r="BGV65" s="180"/>
      <c r="BGW65" s="180"/>
      <c r="BGX65" s="180"/>
      <c r="BGY65" s="180"/>
      <c r="BGZ65" s="180"/>
      <c r="BHA65" s="180"/>
      <c r="BHB65" s="180"/>
      <c r="BHC65" s="180"/>
      <c r="BHD65" s="180"/>
      <c r="BHE65" s="180"/>
      <c r="BHF65" s="180"/>
      <c r="BHG65" s="180"/>
      <c r="BHH65" s="180"/>
      <c r="BHI65" s="180"/>
      <c r="BHJ65" s="180"/>
      <c r="BHK65" s="180"/>
      <c r="BHL65" s="180"/>
      <c r="BHM65" s="180"/>
      <c r="BHN65" s="180"/>
      <c r="BHO65" s="180"/>
      <c r="BHP65" s="180"/>
      <c r="BHQ65" s="180"/>
      <c r="BHR65" s="180"/>
      <c r="BHS65" s="180"/>
      <c r="BHT65" s="180"/>
      <c r="BHU65" s="180"/>
      <c r="BHV65" s="180"/>
      <c r="BHW65" s="180"/>
      <c r="BHX65" s="180"/>
      <c r="BHY65" s="180"/>
      <c r="BHZ65" s="180"/>
      <c r="BIA65" s="180"/>
      <c r="BIB65" s="180"/>
      <c r="BIC65" s="180"/>
      <c r="BID65" s="180"/>
      <c r="BIE65" s="180"/>
      <c r="BIF65" s="180"/>
      <c r="BIG65" s="180"/>
      <c r="BIH65" s="180"/>
      <c r="BII65" s="180"/>
      <c r="BIJ65" s="180"/>
      <c r="BIK65" s="180"/>
      <c r="BIL65" s="180"/>
      <c r="BIM65" s="180"/>
      <c r="BIN65" s="180"/>
      <c r="BIO65" s="180"/>
      <c r="BIP65" s="180"/>
      <c r="BIQ65" s="180"/>
      <c r="BIR65" s="180"/>
      <c r="BIS65" s="180"/>
      <c r="BIT65" s="180"/>
      <c r="BIU65" s="180"/>
      <c r="BIV65" s="180"/>
      <c r="BIW65" s="180"/>
      <c r="BIX65" s="180"/>
      <c r="BIY65" s="180"/>
      <c r="BIZ65" s="180"/>
      <c r="BJA65" s="180"/>
      <c r="BJB65" s="180"/>
      <c r="BJC65" s="180"/>
      <c r="BJD65" s="180"/>
      <c r="BJE65" s="180"/>
      <c r="BJF65" s="180"/>
      <c r="BJG65" s="180"/>
      <c r="BJH65" s="180"/>
      <c r="BJI65" s="180"/>
      <c r="BJJ65" s="180"/>
      <c r="BJK65" s="180"/>
      <c r="BJL65" s="180"/>
      <c r="BJM65" s="180"/>
      <c r="BJN65" s="180"/>
      <c r="BJO65" s="180"/>
      <c r="BJP65" s="180"/>
      <c r="BJQ65" s="180"/>
      <c r="BJR65" s="180"/>
      <c r="BJS65" s="180"/>
      <c r="BJT65" s="180"/>
      <c r="BJU65" s="180"/>
      <c r="BJV65" s="180"/>
      <c r="BJW65" s="180"/>
      <c r="BJX65" s="180"/>
      <c r="BJY65" s="180"/>
      <c r="BJZ65" s="180"/>
      <c r="BKA65" s="180"/>
      <c r="BKB65" s="180"/>
      <c r="BKC65" s="180"/>
      <c r="BKD65" s="180"/>
      <c r="BKE65" s="180"/>
      <c r="BKF65" s="180"/>
      <c r="BKG65" s="180"/>
      <c r="BKH65" s="180"/>
      <c r="BKI65" s="180"/>
      <c r="BKJ65" s="180"/>
      <c r="BKK65" s="180"/>
      <c r="BKL65" s="180"/>
      <c r="BKM65" s="180"/>
      <c r="BKN65" s="180"/>
      <c r="BKO65" s="180"/>
      <c r="BKP65" s="180"/>
      <c r="BKQ65" s="180"/>
      <c r="BKR65" s="180"/>
      <c r="BKS65" s="180"/>
      <c r="BKT65" s="180"/>
      <c r="BKU65" s="180"/>
      <c r="BKV65" s="180"/>
      <c r="BKW65" s="180"/>
      <c r="BKX65" s="180"/>
      <c r="BKY65" s="180"/>
      <c r="BKZ65" s="180"/>
      <c r="BLA65" s="180"/>
      <c r="BLB65" s="180"/>
      <c r="BLC65" s="180"/>
      <c r="BLD65" s="180"/>
      <c r="BLE65" s="180"/>
      <c r="BLF65" s="180"/>
      <c r="BLG65" s="180"/>
      <c r="BLH65" s="180"/>
      <c r="BLI65" s="180"/>
      <c r="BLJ65" s="180"/>
      <c r="BLK65" s="180"/>
      <c r="BLL65" s="180"/>
      <c r="BLM65" s="180"/>
      <c r="BLN65" s="180"/>
      <c r="BLO65" s="180"/>
      <c r="BLP65" s="180"/>
      <c r="BLQ65" s="180"/>
      <c r="BLR65" s="180"/>
      <c r="BLS65" s="180"/>
      <c r="BLT65" s="180"/>
      <c r="BLU65" s="180"/>
      <c r="BLV65" s="180"/>
      <c r="BLW65" s="180"/>
      <c r="BLX65" s="180"/>
      <c r="BLY65" s="180"/>
      <c r="BLZ65" s="180"/>
      <c r="BMA65" s="180"/>
      <c r="BMB65" s="180"/>
      <c r="BMC65" s="180"/>
      <c r="BMD65" s="180"/>
      <c r="BME65" s="180"/>
      <c r="BMF65" s="180"/>
      <c r="BMG65" s="180"/>
      <c r="BMH65" s="180"/>
      <c r="BMI65" s="180"/>
      <c r="BMJ65" s="180"/>
      <c r="BMK65" s="180"/>
      <c r="BML65" s="180"/>
      <c r="BMM65" s="180"/>
      <c r="BMN65" s="180"/>
      <c r="BMO65" s="180"/>
      <c r="BMP65" s="180"/>
      <c r="BMQ65" s="180"/>
      <c r="BMR65" s="180"/>
      <c r="BMS65" s="180"/>
      <c r="BMT65" s="180"/>
      <c r="BMU65" s="180"/>
      <c r="BMV65" s="180"/>
      <c r="BMW65" s="180"/>
      <c r="BMX65" s="180"/>
      <c r="BMY65" s="180"/>
      <c r="BMZ65" s="180"/>
      <c r="BNA65" s="180"/>
      <c r="BNB65" s="180"/>
      <c r="BNC65" s="180"/>
      <c r="BND65" s="180"/>
      <c r="BNE65" s="180"/>
      <c r="BNF65" s="180"/>
      <c r="BNG65" s="180"/>
      <c r="BNH65" s="180"/>
      <c r="BNI65" s="180"/>
      <c r="BNJ65" s="180"/>
      <c r="BNK65" s="180"/>
      <c r="BNL65" s="180"/>
      <c r="BNM65" s="180"/>
      <c r="BNN65" s="180"/>
      <c r="BNO65" s="180"/>
      <c r="BNP65" s="180"/>
      <c r="BNQ65" s="180"/>
      <c r="BNR65" s="180"/>
      <c r="BNS65" s="180"/>
      <c r="BNT65" s="180"/>
      <c r="BNU65" s="180"/>
      <c r="BNV65" s="180"/>
      <c r="BNW65" s="180"/>
      <c r="BNX65" s="180"/>
      <c r="BNY65" s="180"/>
      <c r="BNZ65" s="180"/>
      <c r="BOA65" s="180"/>
      <c r="BOB65" s="180"/>
      <c r="BOC65" s="180"/>
      <c r="BOD65" s="180"/>
      <c r="BOE65" s="180"/>
      <c r="BOF65" s="180"/>
      <c r="BOG65" s="180"/>
      <c r="BOH65" s="180"/>
      <c r="BOI65" s="180"/>
      <c r="BOJ65" s="180"/>
      <c r="BOK65" s="180"/>
      <c r="BOL65" s="180"/>
      <c r="BOM65" s="180"/>
      <c r="BON65" s="180"/>
      <c r="BOO65" s="180"/>
      <c r="BOP65" s="180"/>
      <c r="BOQ65" s="180"/>
      <c r="BOR65" s="180"/>
      <c r="BOS65" s="180"/>
      <c r="BOT65" s="180"/>
      <c r="BOU65" s="180"/>
      <c r="BOV65" s="180"/>
      <c r="BOW65" s="180"/>
      <c r="BOX65" s="180"/>
      <c r="BOY65" s="180"/>
      <c r="BOZ65" s="180"/>
      <c r="BPA65" s="180"/>
      <c r="BPB65" s="180"/>
      <c r="BPC65" s="180"/>
      <c r="BPD65" s="180"/>
      <c r="BPE65" s="180"/>
      <c r="BPF65" s="180"/>
      <c r="BPG65" s="180"/>
      <c r="BPH65" s="180"/>
      <c r="BPI65" s="180"/>
      <c r="BPJ65" s="180"/>
      <c r="BPK65" s="180"/>
      <c r="BPL65" s="180"/>
      <c r="BPM65" s="180"/>
      <c r="BPN65" s="180"/>
      <c r="BPO65" s="180"/>
      <c r="BPP65" s="180"/>
      <c r="BPQ65" s="180"/>
      <c r="BPR65" s="180"/>
      <c r="BPS65" s="180"/>
      <c r="BPT65" s="180"/>
      <c r="BPU65" s="180"/>
      <c r="BPV65" s="180"/>
      <c r="BPW65" s="180"/>
      <c r="BPX65" s="180"/>
      <c r="BPY65" s="180"/>
      <c r="BPZ65" s="180"/>
      <c r="BQA65" s="180"/>
      <c r="BQB65" s="180"/>
      <c r="BQC65" s="180"/>
      <c r="BQD65" s="180"/>
      <c r="BQE65" s="180"/>
      <c r="BQF65" s="180"/>
      <c r="BQG65" s="180"/>
      <c r="BQH65" s="180"/>
      <c r="BQI65" s="180"/>
      <c r="BQJ65" s="180"/>
      <c r="BQK65" s="180"/>
      <c r="BQL65" s="180"/>
      <c r="BQM65" s="180"/>
      <c r="BQN65" s="180"/>
      <c r="BQO65" s="180"/>
      <c r="BQP65" s="180"/>
      <c r="BQQ65" s="180"/>
      <c r="BQR65" s="180"/>
      <c r="BQS65" s="180"/>
      <c r="BQT65" s="180"/>
      <c r="BQU65" s="180"/>
      <c r="BQV65" s="180"/>
      <c r="BQW65" s="180"/>
      <c r="BQX65" s="180"/>
      <c r="BQY65" s="180"/>
      <c r="BQZ65" s="180"/>
      <c r="BRA65" s="180"/>
      <c r="BRB65" s="180"/>
      <c r="BRC65" s="180"/>
      <c r="BRD65" s="180"/>
      <c r="BRE65" s="180"/>
      <c r="BRF65" s="180"/>
      <c r="BRG65" s="180"/>
      <c r="BRH65" s="180"/>
      <c r="BRI65" s="180"/>
      <c r="BRJ65" s="180"/>
      <c r="BRK65" s="180"/>
      <c r="BRL65" s="180"/>
      <c r="BRM65" s="180"/>
      <c r="BRN65" s="180"/>
      <c r="BRO65" s="180"/>
      <c r="BRP65" s="180"/>
      <c r="BRQ65" s="180"/>
      <c r="BRR65" s="180"/>
      <c r="BRS65" s="180"/>
      <c r="BRT65" s="180"/>
      <c r="BRU65" s="180"/>
      <c r="BRV65" s="180"/>
      <c r="BRW65" s="180"/>
      <c r="BRX65" s="180"/>
      <c r="BRY65" s="180"/>
      <c r="BRZ65" s="180"/>
      <c r="BSA65" s="180"/>
      <c r="BSB65" s="180"/>
      <c r="BSC65" s="180"/>
      <c r="BSD65" s="180"/>
      <c r="BSE65" s="180"/>
      <c r="BSF65" s="180"/>
      <c r="BSG65" s="180"/>
      <c r="BSH65" s="180"/>
      <c r="BSI65" s="180"/>
      <c r="BSJ65" s="180"/>
      <c r="BSK65" s="180"/>
      <c r="BSL65" s="180"/>
      <c r="BSM65" s="180"/>
      <c r="BSN65" s="180"/>
      <c r="BSO65" s="180"/>
      <c r="BSP65" s="180"/>
      <c r="BSQ65" s="180"/>
      <c r="BSR65" s="180"/>
      <c r="BSS65" s="180"/>
      <c r="BST65" s="180"/>
      <c r="BSU65" s="180"/>
      <c r="BSV65" s="180"/>
      <c r="BSW65" s="180"/>
      <c r="BSX65" s="180"/>
      <c r="BSY65" s="180"/>
      <c r="BSZ65" s="180"/>
      <c r="BTA65" s="180"/>
      <c r="BTB65" s="180"/>
      <c r="BTC65" s="180"/>
      <c r="BTD65" s="180"/>
      <c r="BTE65" s="180"/>
      <c r="BTF65" s="180"/>
      <c r="BTG65" s="180"/>
      <c r="BTH65" s="180"/>
      <c r="BTI65" s="180"/>
      <c r="BTJ65" s="180"/>
      <c r="BTK65" s="180"/>
      <c r="BTL65" s="180"/>
      <c r="BTM65" s="180"/>
      <c r="BTN65" s="180"/>
      <c r="BTO65" s="180"/>
      <c r="BTP65" s="180"/>
      <c r="BTQ65" s="180"/>
      <c r="BTR65" s="180"/>
      <c r="BTS65" s="180"/>
      <c r="BTT65" s="180"/>
      <c r="BTU65" s="180"/>
      <c r="BTV65" s="180"/>
      <c r="BTW65" s="180"/>
      <c r="BTX65" s="180"/>
      <c r="BTY65" s="180"/>
      <c r="BTZ65" s="180"/>
      <c r="BUA65" s="180"/>
      <c r="BUB65" s="180"/>
      <c r="BUC65" s="180"/>
      <c r="BUD65" s="180"/>
      <c r="BUE65" s="180"/>
      <c r="BUF65" s="180"/>
      <c r="BUG65" s="180"/>
      <c r="BUH65" s="180"/>
      <c r="BUI65" s="180"/>
      <c r="BUJ65" s="180"/>
      <c r="BUK65" s="180"/>
      <c r="BUL65" s="180"/>
      <c r="BUM65" s="180"/>
      <c r="BUN65" s="180"/>
      <c r="BUO65" s="180"/>
      <c r="BUP65" s="180"/>
      <c r="BUQ65" s="180"/>
      <c r="BUR65" s="180"/>
      <c r="BUS65" s="180"/>
      <c r="BUT65" s="180"/>
      <c r="BUU65" s="180"/>
      <c r="BUV65" s="180"/>
      <c r="BUW65" s="180"/>
      <c r="BUX65" s="180"/>
      <c r="BUY65" s="180"/>
      <c r="BUZ65" s="180"/>
      <c r="BVA65" s="180"/>
      <c r="BVB65" s="180"/>
      <c r="BVC65" s="180"/>
      <c r="BVD65" s="180"/>
      <c r="BVE65" s="180"/>
      <c r="BVF65" s="180"/>
      <c r="BVG65" s="180"/>
      <c r="BVH65" s="180"/>
      <c r="BVI65" s="180"/>
      <c r="BVJ65" s="180"/>
      <c r="BVK65" s="180"/>
      <c r="BVL65" s="180"/>
      <c r="BVM65" s="180"/>
      <c r="BVN65" s="180"/>
      <c r="BVO65" s="180"/>
      <c r="BVP65" s="180"/>
      <c r="BVQ65" s="180"/>
      <c r="BVR65" s="180"/>
      <c r="BVS65" s="180"/>
      <c r="BVT65" s="180"/>
      <c r="BVU65" s="180"/>
      <c r="BVV65" s="180"/>
      <c r="BVW65" s="180"/>
      <c r="BVX65" s="180"/>
      <c r="BVY65" s="180"/>
      <c r="BVZ65" s="180"/>
      <c r="BWA65" s="180"/>
      <c r="BWB65" s="180"/>
      <c r="BWC65" s="180"/>
      <c r="BWD65" s="180"/>
      <c r="BWE65" s="180"/>
      <c r="BWF65" s="180"/>
      <c r="BWG65" s="180"/>
      <c r="BWH65" s="180"/>
      <c r="BWI65" s="180"/>
      <c r="BWJ65" s="180"/>
      <c r="BWK65" s="180"/>
      <c r="BWL65" s="180"/>
      <c r="BWM65" s="180"/>
      <c r="BWN65" s="180"/>
      <c r="BWO65" s="180"/>
      <c r="BWP65" s="180"/>
      <c r="BWQ65" s="180"/>
      <c r="BWR65" s="180"/>
      <c r="BWS65" s="180"/>
      <c r="BWT65" s="180"/>
      <c r="BWU65" s="180"/>
      <c r="BWV65" s="180"/>
      <c r="BWW65" s="180"/>
      <c r="BWX65" s="180"/>
      <c r="BWY65" s="180"/>
      <c r="BWZ65" s="180"/>
      <c r="BXA65" s="180"/>
      <c r="BXB65" s="180"/>
      <c r="BXC65" s="180"/>
      <c r="BXD65" s="180"/>
      <c r="BXE65" s="180"/>
      <c r="BXF65" s="180"/>
      <c r="BXG65" s="180"/>
      <c r="BXH65" s="180"/>
      <c r="BXI65" s="180"/>
      <c r="BXJ65" s="180"/>
      <c r="BXK65" s="180"/>
      <c r="BXL65" s="180"/>
      <c r="BXM65" s="180"/>
      <c r="BXN65" s="180"/>
      <c r="BXO65" s="180"/>
      <c r="BXP65" s="180"/>
      <c r="BXQ65" s="180"/>
      <c r="BXR65" s="180"/>
      <c r="BXS65" s="180"/>
      <c r="BXT65" s="180"/>
      <c r="BXU65" s="180"/>
      <c r="BXV65" s="180"/>
      <c r="BXW65" s="180"/>
      <c r="BXX65" s="180"/>
      <c r="BXY65" s="180"/>
      <c r="BXZ65" s="180"/>
      <c r="BYA65" s="180"/>
      <c r="BYB65" s="180"/>
      <c r="BYC65" s="180"/>
      <c r="BYD65" s="180"/>
      <c r="BYE65" s="180"/>
      <c r="BYF65" s="180"/>
      <c r="BYG65" s="180"/>
      <c r="BYH65" s="180"/>
      <c r="BYI65" s="180"/>
      <c r="BYJ65" s="180"/>
      <c r="BYK65" s="180"/>
      <c r="BYL65" s="180"/>
      <c r="BYM65" s="180"/>
      <c r="BYN65" s="180"/>
      <c r="BYO65" s="180"/>
      <c r="BYP65" s="180"/>
      <c r="BYQ65" s="180"/>
      <c r="BYR65" s="180"/>
      <c r="BYS65" s="180"/>
      <c r="BYT65" s="180"/>
      <c r="BYU65" s="180"/>
      <c r="BYV65" s="180"/>
      <c r="BYW65" s="180"/>
      <c r="BYX65" s="180"/>
      <c r="BYY65" s="180"/>
      <c r="BYZ65" s="180"/>
      <c r="BZA65" s="180"/>
      <c r="BZB65" s="180"/>
      <c r="BZC65" s="180"/>
      <c r="BZD65" s="180"/>
      <c r="BZE65" s="180"/>
      <c r="BZF65" s="180"/>
      <c r="BZG65" s="180"/>
      <c r="BZH65" s="180"/>
      <c r="BZI65" s="180"/>
      <c r="BZJ65" s="180"/>
      <c r="BZK65" s="180"/>
      <c r="BZL65" s="180"/>
      <c r="BZM65" s="180"/>
      <c r="BZN65" s="180"/>
      <c r="BZO65" s="180"/>
      <c r="BZP65" s="180"/>
      <c r="BZQ65" s="180"/>
      <c r="BZR65" s="180"/>
      <c r="BZS65" s="180"/>
      <c r="BZT65" s="180"/>
      <c r="BZU65" s="180"/>
      <c r="BZV65" s="180"/>
      <c r="BZW65" s="180"/>
      <c r="BZX65" s="180"/>
      <c r="BZY65" s="180"/>
      <c r="BZZ65" s="180"/>
      <c r="CAA65" s="180"/>
      <c r="CAB65" s="180"/>
      <c r="CAC65" s="180"/>
      <c r="CAD65" s="180"/>
      <c r="CAE65" s="180"/>
      <c r="CAF65" s="180"/>
      <c r="CAG65" s="180"/>
      <c r="CAH65" s="180"/>
      <c r="CAI65" s="180"/>
      <c r="CAJ65" s="180"/>
      <c r="CAK65" s="180"/>
      <c r="CAL65" s="180"/>
      <c r="CAM65" s="180"/>
      <c r="CAN65" s="180"/>
      <c r="CAO65" s="180"/>
      <c r="CAP65" s="180"/>
      <c r="CAQ65" s="180"/>
      <c r="CAR65" s="180"/>
      <c r="CAS65" s="180"/>
      <c r="CAT65" s="180"/>
      <c r="CAU65" s="180"/>
      <c r="CAV65" s="180"/>
      <c r="CAW65" s="180"/>
      <c r="CAX65" s="180"/>
      <c r="CAY65" s="180"/>
      <c r="CAZ65" s="180"/>
      <c r="CBA65" s="180"/>
      <c r="CBB65" s="180"/>
      <c r="CBC65" s="180"/>
      <c r="CBD65" s="180"/>
      <c r="CBE65" s="180"/>
      <c r="CBF65" s="180"/>
      <c r="CBG65" s="180"/>
      <c r="CBH65" s="180"/>
      <c r="CBI65" s="180"/>
      <c r="CBJ65" s="180"/>
      <c r="CBK65" s="180"/>
      <c r="CBL65" s="180"/>
      <c r="CBM65" s="180"/>
      <c r="CBN65" s="180"/>
      <c r="CBO65" s="180"/>
      <c r="CBP65" s="180"/>
      <c r="CBQ65" s="180"/>
      <c r="CBR65" s="180"/>
      <c r="CBS65" s="180"/>
      <c r="CBT65" s="180"/>
      <c r="CBU65" s="180"/>
      <c r="CBV65" s="180"/>
      <c r="CBW65" s="180"/>
      <c r="CBX65" s="180"/>
      <c r="CBY65" s="180"/>
      <c r="CBZ65" s="180"/>
      <c r="CCA65" s="180"/>
      <c r="CCB65" s="180"/>
      <c r="CCC65" s="180"/>
      <c r="CCD65" s="180"/>
      <c r="CCE65" s="180"/>
      <c r="CCF65" s="180"/>
      <c r="CCG65" s="180"/>
      <c r="CCH65" s="180"/>
      <c r="CCI65" s="180"/>
      <c r="CCJ65" s="180"/>
      <c r="CCK65" s="180"/>
      <c r="CCL65" s="180"/>
      <c r="CCM65" s="180"/>
      <c r="CCN65" s="180"/>
      <c r="CCO65" s="180"/>
      <c r="CCP65" s="180"/>
      <c r="CCQ65" s="180"/>
      <c r="CCR65" s="180"/>
      <c r="CCS65" s="180"/>
      <c r="CCT65" s="180"/>
      <c r="CCU65" s="180"/>
      <c r="CCV65" s="180"/>
      <c r="CCW65" s="180"/>
      <c r="CCX65" s="180"/>
      <c r="CCY65" s="180"/>
      <c r="CCZ65" s="180"/>
      <c r="CDA65" s="180"/>
      <c r="CDB65" s="180"/>
      <c r="CDC65" s="180"/>
      <c r="CDD65" s="180"/>
      <c r="CDE65" s="180"/>
      <c r="CDF65" s="180"/>
      <c r="CDG65" s="180"/>
      <c r="CDH65" s="180"/>
      <c r="CDI65" s="180"/>
      <c r="CDJ65" s="180"/>
      <c r="CDK65" s="180"/>
      <c r="CDL65" s="180"/>
      <c r="CDM65" s="180"/>
      <c r="CDN65" s="180"/>
      <c r="CDO65" s="180"/>
      <c r="CDP65" s="180"/>
      <c r="CDQ65" s="180"/>
      <c r="CDR65" s="180"/>
      <c r="CDS65" s="180"/>
      <c r="CDT65" s="180"/>
      <c r="CDU65" s="180"/>
      <c r="CDV65" s="180"/>
      <c r="CDW65" s="180"/>
      <c r="CDX65" s="180"/>
      <c r="CDY65" s="180"/>
      <c r="CDZ65" s="180"/>
      <c r="CEA65" s="180"/>
      <c r="CEB65" s="180"/>
      <c r="CEC65" s="180"/>
      <c r="CED65" s="180"/>
      <c r="CEE65" s="180"/>
      <c r="CEF65" s="180"/>
      <c r="CEG65" s="180"/>
      <c r="CEH65" s="180"/>
      <c r="CEI65" s="180"/>
      <c r="CEJ65" s="180"/>
      <c r="CEK65" s="180"/>
      <c r="CEL65" s="180"/>
      <c r="CEM65" s="180"/>
      <c r="CEN65" s="180"/>
      <c r="CEO65" s="180"/>
      <c r="CEP65" s="180"/>
      <c r="CEQ65" s="180"/>
      <c r="CER65" s="180"/>
      <c r="CES65" s="180"/>
      <c r="CET65" s="180"/>
      <c r="CEU65" s="180"/>
      <c r="CEV65" s="180"/>
      <c r="CEW65" s="180"/>
      <c r="CEX65" s="180"/>
      <c r="CEY65" s="180"/>
      <c r="CEZ65" s="180"/>
      <c r="CFA65" s="180"/>
      <c r="CFB65" s="180"/>
      <c r="CFC65" s="180"/>
      <c r="CFD65" s="180"/>
      <c r="CFE65" s="180"/>
      <c r="CFF65" s="180"/>
      <c r="CFG65" s="180"/>
      <c r="CFH65" s="180"/>
      <c r="CFI65" s="180"/>
      <c r="CFJ65" s="180"/>
      <c r="CFK65" s="180"/>
      <c r="CFL65" s="180"/>
      <c r="CFM65" s="180"/>
      <c r="CFN65" s="180"/>
      <c r="CFO65" s="180"/>
      <c r="CFP65" s="180"/>
      <c r="CFQ65" s="180"/>
      <c r="CFR65" s="180"/>
      <c r="CFS65" s="180"/>
      <c r="CFT65" s="180"/>
      <c r="CFU65" s="180"/>
      <c r="CFV65" s="180"/>
      <c r="CFW65" s="180"/>
      <c r="CFX65" s="180"/>
      <c r="CFY65" s="180"/>
      <c r="CFZ65" s="180"/>
      <c r="CGA65" s="180"/>
      <c r="CGB65" s="180"/>
      <c r="CGC65" s="180"/>
      <c r="CGD65" s="180"/>
      <c r="CGE65" s="180"/>
      <c r="CGF65" s="180"/>
      <c r="CGG65" s="180"/>
      <c r="CGH65" s="180"/>
      <c r="CGI65" s="180"/>
      <c r="CGJ65" s="180"/>
      <c r="CGK65" s="180"/>
      <c r="CGL65" s="180"/>
      <c r="CGM65" s="180"/>
      <c r="CGN65" s="180"/>
      <c r="CGO65" s="180"/>
      <c r="CGP65" s="180"/>
      <c r="CGQ65" s="180"/>
      <c r="CGR65" s="180"/>
      <c r="CGS65" s="180"/>
      <c r="CGT65" s="180"/>
      <c r="CGU65" s="180"/>
      <c r="CGV65" s="180"/>
      <c r="CGW65" s="180"/>
      <c r="CGX65" s="180"/>
      <c r="CGY65" s="180"/>
      <c r="CGZ65" s="180"/>
      <c r="CHA65" s="180"/>
      <c r="CHB65" s="180"/>
      <c r="CHC65" s="180"/>
      <c r="CHD65" s="180"/>
      <c r="CHE65" s="180"/>
      <c r="CHF65" s="180"/>
      <c r="CHG65" s="180"/>
      <c r="CHH65" s="180"/>
      <c r="CHI65" s="180"/>
      <c r="CHJ65" s="180"/>
      <c r="CHK65" s="180"/>
      <c r="CHL65" s="180"/>
      <c r="CHM65" s="180"/>
      <c r="CHN65" s="180"/>
      <c r="CHO65" s="180"/>
      <c r="CHP65" s="180"/>
      <c r="CHQ65" s="180"/>
      <c r="CHR65" s="180"/>
      <c r="CHS65" s="180"/>
      <c r="CHT65" s="180"/>
      <c r="CHU65" s="180"/>
      <c r="CHV65" s="180"/>
      <c r="CHW65" s="180"/>
      <c r="CHX65" s="180"/>
      <c r="CHY65" s="180"/>
      <c r="CHZ65" s="180"/>
      <c r="CIA65" s="180"/>
      <c r="CIB65" s="180"/>
      <c r="CIC65" s="180"/>
      <c r="CID65" s="180"/>
      <c r="CIE65" s="180"/>
      <c r="CIF65" s="180"/>
      <c r="CIG65" s="180"/>
      <c r="CIH65" s="180"/>
      <c r="CII65" s="180"/>
      <c r="CIJ65" s="180"/>
      <c r="CIK65" s="180"/>
      <c r="CIL65" s="180"/>
      <c r="CIM65" s="180"/>
      <c r="CIN65" s="180"/>
      <c r="CIO65" s="180"/>
      <c r="CIP65" s="180"/>
      <c r="CIQ65" s="180"/>
      <c r="CIR65" s="180"/>
      <c r="CIS65" s="180"/>
      <c r="CIT65" s="180"/>
      <c r="CIU65" s="180"/>
      <c r="CIV65" s="180"/>
      <c r="CIW65" s="180"/>
      <c r="CIX65" s="180"/>
      <c r="CIY65" s="180"/>
      <c r="CIZ65" s="180"/>
      <c r="CJA65" s="180"/>
      <c r="CJB65" s="180"/>
      <c r="CJC65" s="180"/>
      <c r="CJD65" s="180"/>
      <c r="CJE65" s="180"/>
      <c r="CJF65" s="180"/>
      <c r="CJG65" s="180"/>
      <c r="CJH65" s="180"/>
      <c r="CJI65" s="180"/>
      <c r="CJJ65" s="180"/>
      <c r="CJK65" s="180"/>
      <c r="CJL65" s="180"/>
      <c r="CJM65" s="180"/>
      <c r="CJN65" s="180"/>
      <c r="CJO65" s="180"/>
      <c r="CJP65" s="180"/>
      <c r="CJQ65" s="180"/>
      <c r="CJR65" s="180"/>
      <c r="CJS65" s="180"/>
      <c r="CJT65" s="180"/>
      <c r="CJU65" s="180"/>
      <c r="CJV65" s="180"/>
      <c r="CJW65" s="180"/>
      <c r="CJX65" s="180"/>
      <c r="CJY65" s="180"/>
      <c r="CJZ65" s="180"/>
      <c r="CKA65" s="180"/>
      <c r="CKB65" s="180"/>
      <c r="CKC65" s="180"/>
      <c r="CKD65" s="180"/>
      <c r="CKE65" s="180"/>
      <c r="CKF65" s="180"/>
      <c r="CKG65" s="180"/>
      <c r="CKH65" s="180"/>
      <c r="CKI65" s="180"/>
      <c r="CKJ65" s="180"/>
      <c r="CKK65" s="180"/>
      <c r="CKL65" s="180"/>
      <c r="CKM65" s="180"/>
      <c r="CKN65" s="180"/>
      <c r="CKO65" s="180"/>
      <c r="CKP65" s="180"/>
      <c r="CKQ65" s="180"/>
      <c r="CKR65" s="180"/>
      <c r="CKS65" s="180"/>
      <c r="CKT65" s="180"/>
      <c r="CKU65" s="180"/>
      <c r="CKV65" s="180"/>
      <c r="CKW65" s="180"/>
      <c r="CKX65" s="180"/>
      <c r="CKY65" s="180"/>
      <c r="CKZ65" s="180"/>
      <c r="CLA65" s="180"/>
      <c r="CLB65" s="180"/>
      <c r="CLC65" s="180"/>
      <c r="CLD65" s="180"/>
      <c r="CLE65" s="180"/>
      <c r="CLF65" s="180"/>
      <c r="CLG65" s="180"/>
      <c r="CLH65" s="180"/>
      <c r="CLI65" s="180"/>
      <c r="CLJ65" s="180"/>
      <c r="CLK65" s="180"/>
      <c r="CLL65" s="180"/>
      <c r="CLM65" s="180"/>
      <c r="CLN65" s="180"/>
      <c r="CLO65" s="180"/>
      <c r="CLP65" s="180"/>
      <c r="CLQ65" s="180"/>
      <c r="CLR65" s="180"/>
      <c r="CLS65" s="180"/>
      <c r="CLT65" s="180"/>
      <c r="CLU65" s="180"/>
      <c r="CLV65" s="180"/>
      <c r="CLW65" s="180"/>
      <c r="CLX65" s="180"/>
      <c r="CLY65" s="180"/>
      <c r="CLZ65" s="180"/>
      <c r="CMA65" s="180"/>
      <c r="CMB65" s="180"/>
      <c r="CMC65" s="180"/>
      <c r="CMD65" s="180"/>
      <c r="CME65" s="180"/>
      <c r="CMF65" s="180"/>
      <c r="CMG65" s="180"/>
      <c r="CMH65" s="180"/>
      <c r="CMI65" s="180"/>
      <c r="CMJ65" s="180"/>
      <c r="CMK65" s="180"/>
      <c r="CML65" s="180"/>
      <c r="CMM65" s="180"/>
      <c r="CMN65" s="180"/>
      <c r="CMO65" s="180"/>
      <c r="CMP65" s="180"/>
      <c r="CMQ65" s="180"/>
      <c r="CMR65" s="180"/>
      <c r="CMS65" s="180"/>
      <c r="CMT65" s="180"/>
      <c r="CMU65" s="180"/>
      <c r="CMV65" s="180"/>
      <c r="CMW65" s="180"/>
      <c r="CMX65" s="180"/>
      <c r="CMY65" s="180"/>
      <c r="CMZ65" s="180"/>
      <c r="CNA65" s="180"/>
      <c r="CNB65" s="180"/>
      <c r="CNC65" s="180"/>
      <c r="CND65" s="180"/>
      <c r="CNE65" s="180"/>
      <c r="CNF65" s="180"/>
      <c r="CNG65" s="180"/>
      <c r="CNH65" s="180"/>
      <c r="CNI65" s="180"/>
      <c r="CNJ65" s="180"/>
      <c r="CNK65" s="180"/>
      <c r="CNL65" s="180"/>
      <c r="CNM65" s="180"/>
      <c r="CNN65" s="180"/>
      <c r="CNO65" s="180"/>
      <c r="CNP65" s="180"/>
      <c r="CNQ65" s="180"/>
      <c r="CNR65" s="180"/>
      <c r="CNS65" s="180"/>
      <c r="CNT65" s="180"/>
      <c r="CNU65" s="180"/>
      <c r="CNV65" s="180"/>
      <c r="CNW65" s="180"/>
      <c r="CNX65" s="180"/>
      <c r="CNY65" s="180"/>
      <c r="CNZ65" s="180"/>
      <c r="COA65" s="180"/>
      <c r="COB65" s="180"/>
      <c r="COC65" s="180"/>
      <c r="COD65" s="180"/>
      <c r="COE65" s="180"/>
      <c r="COF65" s="180"/>
      <c r="COG65" s="180"/>
      <c r="COH65" s="180"/>
      <c r="COI65" s="180"/>
      <c r="COJ65" s="180"/>
      <c r="COK65" s="180"/>
      <c r="COL65" s="180"/>
      <c r="COM65" s="180"/>
      <c r="CON65" s="180"/>
      <c r="COO65" s="180"/>
      <c r="COP65" s="180"/>
      <c r="COQ65" s="180"/>
      <c r="COR65" s="180"/>
      <c r="COS65" s="180"/>
      <c r="COT65" s="180"/>
      <c r="COU65" s="180"/>
      <c r="COV65" s="180"/>
      <c r="COW65" s="180"/>
      <c r="COX65" s="180"/>
      <c r="COY65" s="180"/>
      <c r="COZ65" s="180"/>
      <c r="CPA65" s="180"/>
      <c r="CPB65" s="180"/>
      <c r="CPC65" s="180"/>
      <c r="CPD65" s="180"/>
      <c r="CPE65" s="180"/>
      <c r="CPF65" s="180"/>
      <c r="CPG65" s="180"/>
      <c r="CPH65" s="180"/>
      <c r="CPI65" s="180"/>
      <c r="CPJ65" s="180"/>
      <c r="CPK65" s="180"/>
      <c r="CPL65" s="180"/>
      <c r="CPM65" s="180"/>
      <c r="CPN65" s="180"/>
      <c r="CPO65" s="180"/>
      <c r="CPP65" s="180"/>
      <c r="CPQ65" s="180"/>
      <c r="CPR65" s="180"/>
      <c r="CPS65" s="180"/>
      <c r="CPT65" s="180"/>
      <c r="CPU65" s="180"/>
      <c r="CPV65" s="180"/>
      <c r="CPW65" s="180"/>
      <c r="CPX65" s="180"/>
      <c r="CPY65" s="180"/>
      <c r="CPZ65" s="180"/>
      <c r="CQA65" s="180"/>
      <c r="CQB65" s="180"/>
      <c r="CQC65" s="180"/>
      <c r="CQD65" s="180"/>
      <c r="CQE65" s="180"/>
      <c r="CQF65" s="180"/>
      <c r="CQG65" s="180"/>
      <c r="CQH65" s="180"/>
      <c r="CQI65" s="180"/>
      <c r="CQJ65" s="180"/>
      <c r="CQK65" s="180"/>
      <c r="CQL65" s="180"/>
      <c r="CQM65" s="180"/>
      <c r="CQN65" s="180"/>
      <c r="CQO65" s="180"/>
      <c r="CQP65" s="180"/>
      <c r="CQQ65" s="180"/>
      <c r="CQR65" s="180"/>
      <c r="CQS65" s="180"/>
      <c r="CQT65" s="180"/>
      <c r="CQU65" s="180"/>
      <c r="CQV65" s="180"/>
      <c r="CQW65" s="180"/>
      <c r="CQX65" s="180"/>
      <c r="CQY65" s="180"/>
      <c r="CQZ65" s="180"/>
      <c r="CRA65" s="180"/>
      <c r="CRB65" s="180"/>
      <c r="CRC65" s="180"/>
      <c r="CRD65" s="180"/>
      <c r="CRE65" s="180"/>
      <c r="CRF65" s="180"/>
      <c r="CRG65" s="180"/>
      <c r="CRH65" s="180"/>
      <c r="CRI65" s="180"/>
      <c r="CRJ65" s="180"/>
      <c r="CRK65" s="180"/>
      <c r="CRL65" s="180"/>
      <c r="CRM65" s="180"/>
      <c r="CRN65" s="180"/>
      <c r="CRO65" s="180"/>
      <c r="CRP65" s="180"/>
      <c r="CRQ65" s="180"/>
      <c r="CRR65" s="180"/>
      <c r="CRS65" s="180"/>
      <c r="CRT65" s="180"/>
      <c r="CRU65" s="180"/>
      <c r="CRV65" s="180"/>
      <c r="CRW65" s="180"/>
      <c r="CRX65" s="180"/>
      <c r="CRY65" s="180"/>
      <c r="CRZ65" s="180"/>
      <c r="CSA65" s="180"/>
      <c r="CSB65" s="180"/>
      <c r="CSC65" s="180"/>
      <c r="CSD65" s="180"/>
      <c r="CSE65" s="180"/>
      <c r="CSF65" s="180"/>
      <c r="CSG65" s="180"/>
      <c r="CSH65" s="180"/>
      <c r="CSI65" s="180"/>
      <c r="CSJ65" s="180"/>
      <c r="CSK65" s="180"/>
      <c r="CSL65" s="180"/>
      <c r="CSM65" s="180"/>
      <c r="CSN65" s="180"/>
      <c r="CSO65" s="180"/>
      <c r="CSP65" s="180"/>
      <c r="CSQ65" s="180"/>
      <c r="CSR65" s="180"/>
      <c r="CSS65" s="180"/>
      <c r="CST65" s="180"/>
      <c r="CSU65" s="180"/>
      <c r="CSV65" s="180"/>
      <c r="CSW65" s="180"/>
      <c r="CSX65" s="180"/>
      <c r="CSY65" s="180"/>
      <c r="CSZ65" s="180"/>
      <c r="CTA65" s="180"/>
      <c r="CTB65" s="180"/>
      <c r="CTC65" s="180"/>
      <c r="CTD65" s="180"/>
      <c r="CTE65" s="180"/>
      <c r="CTF65" s="180"/>
      <c r="CTG65" s="180"/>
      <c r="CTH65" s="180"/>
      <c r="CTI65" s="180"/>
      <c r="CTJ65" s="180"/>
      <c r="CTK65" s="180"/>
      <c r="CTL65" s="180"/>
      <c r="CTM65" s="180"/>
      <c r="CTN65" s="180"/>
      <c r="CTO65" s="180"/>
      <c r="CTP65" s="180"/>
      <c r="CTQ65" s="180"/>
      <c r="CTR65" s="180"/>
      <c r="CTS65" s="180"/>
      <c r="CTT65" s="180"/>
      <c r="CTU65" s="180"/>
      <c r="CTV65" s="180"/>
      <c r="CTW65" s="180"/>
      <c r="CTX65" s="180"/>
      <c r="CTY65" s="180"/>
      <c r="CTZ65" s="180"/>
      <c r="CUA65" s="180"/>
      <c r="CUB65" s="180"/>
      <c r="CUC65" s="180"/>
      <c r="CUD65" s="180"/>
      <c r="CUE65" s="180"/>
      <c r="CUF65" s="180"/>
      <c r="CUG65" s="180"/>
      <c r="CUH65" s="180"/>
      <c r="CUI65" s="180"/>
      <c r="CUJ65" s="180"/>
      <c r="CUK65" s="180"/>
      <c r="CUL65" s="180"/>
      <c r="CUM65" s="180"/>
      <c r="CUN65" s="180"/>
      <c r="CUO65" s="180"/>
      <c r="CUP65" s="180"/>
      <c r="CUQ65" s="180"/>
      <c r="CUR65" s="180"/>
      <c r="CUS65" s="180"/>
      <c r="CUT65" s="180"/>
      <c r="CUU65" s="180"/>
      <c r="CUV65" s="180"/>
      <c r="CUW65" s="180"/>
      <c r="CUX65" s="180"/>
      <c r="CUY65" s="180"/>
      <c r="CUZ65" s="180"/>
      <c r="CVA65" s="180"/>
      <c r="CVB65" s="180"/>
      <c r="CVC65" s="180"/>
      <c r="CVD65" s="180"/>
      <c r="CVE65" s="180"/>
      <c r="CVF65" s="180"/>
      <c r="CVG65" s="180"/>
      <c r="CVH65" s="180"/>
      <c r="CVI65" s="180"/>
      <c r="CVJ65" s="180"/>
      <c r="CVK65" s="180"/>
      <c r="CVL65" s="180"/>
      <c r="CVM65" s="180"/>
      <c r="CVN65" s="180"/>
      <c r="CVO65" s="180"/>
      <c r="CVP65" s="180"/>
      <c r="CVQ65" s="180"/>
      <c r="CVR65" s="180"/>
      <c r="CVS65" s="180"/>
      <c r="CVT65" s="180"/>
      <c r="CVU65" s="180"/>
      <c r="CVV65" s="180"/>
      <c r="CVW65" s="180"/>
      <c r="CVX65" s="180"/>
      <c r="CVY65" s="180"/>
      <c r="CVZ65" s="180"/>
      <c r="CWA65" s="180"/>
      <c r="CWB65" s="180"/>
      <c r="CWC65" s="180"/>
      <c r="CWD65" s="180"/>
      <c r="CWE65" s="180"/>
      <c r="CWF65" s="180"/>
      <c r="CWG65" s="180"/>
      <c r="CWH65" s="180"/>
      <c r="CWI65" s="180"/>
      <c r="CWJ65" s="180"/>
      <c r="CWK65" s="180"/>
      <c r="CWL65" s="180"/>
      <c r="CWM65" s="180"/>
      <c r="CWN65" s="180"/>
      <c r="CWO65" s="180"/>
      <c r="CWP65" s="180"/>
      <c r="CWQ65" s="180"/>
      <c r="CWR65" s="180"/>
      <c r="CWS65" s="180"/>
      <c r="CWT65" s="180"/>
      <c r="CWU65" s="180"/>
      <c r="CWV65" s="180"/>
      <c r="CWW65" s="180"/>
      <c r="CWX65" s="180"/>
      <c r="CWY65" s="180"/>
      <c r="CWZ65" s="180"/>
      <c r="CXA65" s="180"/>
      <c r="CXB65" s="180"/>
      <c r="CXC65" s="180"/>
      <c r="CXD65" s="180"/>
      <c r="CXE65" s="180"/>
      <c r="CXF65" s="180"/>
      <c r="CXG65" s="180"/>
      <c r="CXH65" s="180"/>
      <c r="CXI65" s="180"/>
      <c r="CXJ65" s="180"/>
      <c r="CXK65" s="180"/>
      <c r="CXL65" s="180"/>
      <c r="CXM65" s="180"/>
      <c r="CXN65" s="180"/>
      <c r="CXO65" s="180"/>
      <c r="CXP65" s="180"/>
      <c r="CXQ65" s="180"/>
      <c r="CXR65" s="180"/>
      <c r="CXS65" s="180"/>
      <c r="CXT65" s="180"/>
      <c r="CXU65" s="180"/>
      <c r="CXV65" s="180"/>
      <c r="CXW65" s="180"/>
      <c r="CXX65" s="180"/>
      <c r="CXY65" s="180"/>
      <c r="CXZ65" s="180"/>
      <c r="CYA65" s="180"/>
      <c r="CYB65" s="180"/>
      <c r="CYC65" s="180"/>
      <c r="CYD65" s="180"/>
      <c r="CYE65" s="180"/>
      <c r="CYF65" s="180"/>
      <c r="CYG65" s="180"/>
      <c r="CYH65" s="180"/>
      <c r="CYI65" s="180"/>
      <c r="CYJ65" s="180"/>
      <c r="CYK65" s="180"/>
      <c r="CYL65" s="180"/>
      <c r="CYM65" s="180"/>
      <c r="CYN65" s="180"/>
      <c r="CYO65" s="180"/>
      <c r="CYP65" s="180"/>
      <c r="CYQ65" s="180"/>
      <c r="CYR65" s="180"/>
      <c r="CYS65" s="180"/>
      <c r="CYT65" s="180"/>
      <c r="CYU65" s="180"/>
      <c r="CYV65" s="180"/>
      <c r="CYW65" s="180"/>
      <c r="CYX65" s="180"/>
      <c r="CYY65" s="180"/>
      <c r="CYZ65" s="180"/>
      <c r="CZA65" s="180"/>
      <c r="CZB65" s="180"/>
      <c r="CZC65" s="180"/>
      <c r="CZD65" s="180"/>
      <c r="CZE65" s="180"/>
      <c r="CZF65" s="180"/>
      <c r="CZG65" s="180"/>
      <c r="CZH65" s="180"/>
      <c r="CZI65" s="180"/>
      <c r="CZJ65" s="180"/>
      <c r="CZK65" s="180"/>
      <c r="CZL65" s="180"/>
      <c r="CZM65" s="180"/>
      <c r="CZN65" s="180"/>
      <c r="CZO65" s="180"/>
      <c r="CZP65" s="180"/>
      <c r="CZQ65" s="180"/>
      <c r="CZR65" s="180"/>
      <c r="CZS65" s="180"/>
      <c r="CZT65" s="180"/>
      <c r="CZU65" s="180"/>
      <c r="CZV65" s="180"/>
      <c r="CZW65" s="180"/>
      <c r="CZX65" s="180"/>
      <c r="CZY65" s="180"/>
      <c r="CZZ65" s="180"/>
      <c r="DAA65" s="180"/>
      <c r="DAB65" s="180"/>
      <c r="DAC65" s="180"/>
      <c r="DAD65" s="180"/>
      <c r="DAE65" s="180"/>
      <c r="DAF65" s="180"/>
      <c r="DAG65" s="180"/>
      <c r="DAH65" s="180"/>
      <c r="DAI65" s="180"/>
      <c r="DAJ65" s="180"/>
      <c r="DAK65" s="180"/>
      <c r="DAL65" s="180"/>
      <c r="DAM65" s="180"/>
      <c r="DAN65" s="180"/>
      <c r="DAO65" s="180"/>
      <c r="DAP65" s="180"/>
      <c r="DAQ65" s="180"/>
      <c r="DAR65" s="180"/>
      <c r="DAS65" s="180"/>
      <c r="DAT65" s="180"/>
      <c r="DAU65" s="180"/>
      <c r="DAV65" s="180"/>
      <c r="DAW65" s="180"/>
      <c r="DAX65" s="180"/>
      <c r="DAY65" s="180"/>
      <c r="DAZ65" s="180"/>
      <c r="DBA65" s="180"/>
      <c r="DBB65" s="180"/>
      <c r="DBC65" s="180"/>
      <c r="DBD65" s="180"/>
      <c r="DBE65" s="180"/>
      <c r="DBF65" s="180"/>
      <c r="DBG65" s="180"/>
      <c r="DBH65" s="180"/>
      <c r="DBI65" s="180"/>
      <c r="DBJ65" s="180"/>
      <c r="DBK65" s="180"/>
      <c r="DBL65" s="180"/>
      <c r="DBM65" s="180"/>
      <c r="DBN65" s="180"/>
      <c r="DBO65" s="180"/>
      <c r="DBP65" s="180"/>
      <c r="DBQ65" s="180"/>
      <c r="DBR65" s="180"/>
      <c r="DBS65" s="180"/>
      <c r="DBT65" s="180"/>
      <c r="DBU65" s="180"/>
      <c r="DBV65" s="180"/>
      <c r="DBW65" s="180"/>
      <c r="DBX65" s="180"/>
      <c r="DBY65" s="180"/>
      <c r="DBZ65" s="180"/>
      <c r="DCA65" s="180"/>
      <c r="DCB65" s="180"/>
      <c r="DCC65" s="180"/>
      <c r="DCD65" s="180"/>
      <c r="DCE65" s="180"/>
      <c r="DCF65" s="180"/>
      <c r="DCG65" s="180"/>
      <c r="DCH65" s="180"/>
      <c r="DCI65" s="180"/>
      <c r="DCJ65" s="180"/>
      <c r="DCK65" s="180"/>
      <c r="DCL65" s="180"/>
      <c r="DCM65" s="180"/>
      <c r="DCN65" s="180"/>
      <c r="DCO65" s="180"/>
      <c r="DCP65" s="180"/>
      <c r="DCQ65" s="180"/>
      <c r="DCR65" s="180"/>
      <c r="DCS65" s="180"/>
      <c r="DCT65" s="180"/>
      <c r="DCU65" s="180"/>
      <c r="DCV65" s="180"/>
      <c r="DCW65" s="180"/>
      <c r="DCX65" s="180"/>
      <c r="DCY65" s="180"/>
      <c r="DCZ65" s="180"/>
      <c r="DDA65" s="180"/>
      <c r="DDB65" s="180"/>
      <c r="DDC65" s="180"/>
      <c r="DDD65" s="180"/>
      <c r="DDE65" s="180"/>
      <c r="DDF65" s="180"/>
      <c r="DDG65" s="180"/>
      <c r="DDH65" s="180"/>
      <c r="DDI65" s="180"/>
      <c r="DDJ65" s="180"/>
      <c r="DDK65" s="180"/>
      <c r="DDL65" s="180"/>
      <c r="DDM65" s="180"/>
      <c r="DDN65" s="180"/>
      <c r="DDO65" s="180"/>
      <c r="DDP65" s="180"/>
      <c r="DDQ65" s="180"/>
      <c r="DDR65" s="180"/>
      <c r="DDS65" s="180"/>
      <c r="DDT65" s="180"/>
      <c r="DDU65" s="180"/>
      <c r="DDV65" s="180"/>
      <c r="DDW65" s="180"/>
      <c r="DDX65" s="180"/>
      <c r="DDY65" s="180"/>
      <c r="DDZ65" s="180"/>
      <c r="DEA65" s="180"/>
      <c r="DEB65" s="180"/>
      <c r="DEC65" s="180"/>
      <c r="DED65" s="180"/>
      <c r="DEE65" s="180"/>
      <c r="DEF65" s="180"/>
      <c r="DEG65" s="180"/>
      <c r="DEH65" s="180"/>
      <c r="DEI65" s="180"/>
      <c r="DEJ65" s="180"/>
      <c r="DEK65" s="180"/>
      <c r="DEL65" s="180"/>
      <c r="DEM65" s="180"/>
      <c r="DEN65" s="180"/>
      <c r="DEO65" s="180"/>
      <c r="DEP65" s="180"/>
      <c r="DEQ65" s="180"/>
      <c r="DER65" s="180"/>
      <c r="DES65" s="180"/>
      <c r="DET65" s="180"/>
      <c r="DEU65" s="180"/>
      <c r="DEV65" s="180"/>
      <c r="DEW65" s="180"/>
      <c r="DEX65" s="180"/>
      <c r="DEY65" s="180"/>
      <c r="DEZ65" s="180"/>
      <c r="DFA65" s="180"/>
      <c r="DFB65" s="180"/>
      <c r="DFC65" s="180"/>
      <c r="DFD65" s="180"/>
      <c r="DFE65" s="180"/>
      <c r="DFF65" s="180"/>
      <c r="DFG65" s="180"/>
      <c r="DFH65" s="180"/>
      <c r="DFI65" s="180"/>
      <c r="DFJ65" s="180"/>
      <c r="DFK65" s="180"/>
      <c r="DFL65" s="180"/>
      <c r="DFM65" s="180"/>
      <c r="DFN65" s="180"/>
      <c r="DFO65" s="180"/>
      <c r="DFP65" s="180"/>
      <c r="DFQ65" s="180"/>
      <c r="DFR65" s="180"/>
      <c r="DFS65" s="180"/>
      <c r="DFT65" s="180"/>
      <c r="DFU65" s="180"/>
      <c r="DFV65" s="180"/>
      <c r="DFW65" s="180"/>
      <c r="DFX65" s="180"/>
      <c r="DFY65" s="180"/>
      <c r="DFZ65" s="180"/>
      <c r="DGA65" s="180"/>
      <c r="DGB65" s="180"/>
      <c r="DGC65" s="180"/>
      <c r="DGD65" s="180"/>
      <c r="DGE65" s="180"/>
      <c r="DGF65" s="180"/>
      <c r="DGG65" s="180"/>
      <c r="DGH65" s="180"/>
      <c r="DGI65" s="180"/>
      <c r="DGJ65" s="180"/>
      <c r="DGK65" s="180"/>
      <c r="DGL65" s="180"/>
      <c r="DGM65" s="180"/>
      <c r="DGN65" s="180"/>
      <c r="DGO65" s="180"/>
      <c r="DGP65" s="180"/>
      <c r="DGQ65" s="180"/>
      <c r="DGR65" s="180"/>
      <c r="DGS65" s="180"/>
      <c r="DGT65" s="180"/>
      <c r="DGU65" s="180"/>
      <c r="DGV65" s="180"/>
      <c r="DGW65" s="180"/>
      <c r="DGX65" s="180"/>
      <c r="DGY65" s="180"/>
      <c r="DGZ65" s="180"/>
      <c r="DHA65" s="180"/>
      <c r="DHB65" s="180"/>
      <c r="DHC65" s="180"/>
      <c r="DHD65" s="180"/>
      <c r="DHE65" s="180"/>
      <c r="DHF65" s="180"/>
      <c r="DHG65" s="180"/>
      <c r="DHH65" s="180"/>
      <c r="DHI65" s="180"/>
      <c r="DHJ65" s="180"/>
      <c r="DHK65" s="180"/>
      <c r="DHL65" s="180"/>
      <c r="DHM65" s="180"/>
      <c r="DHN65" s="180"/>
      <c r="DHO65" s="180"/>
      <c r="DHP65" s="180"/>
      <c r="DHQ65" s="180"/>
      <c r="DHR65" s="180"/>
      <c r="DHS65" s="180"/>
      <c r="DHT65" s="180"/>
      <c r="DHU65" s="180"/>
      <c r="DHV65" s="180"/>
      <c r="DHW65" s="180"/>
      <c r="DHX65" s="180"/>
      <c r="DHY65" s="180"/>
      <c r="DHZ65" s="180"/>
      <c r="DIA65" s="180"/>
      <c r="DIB65" s="180"/>
      <c r="DIC65" s="180"/>
      <c r="DID65" s="180"/>
      <c r="DIE65" s="180"/>
      <c r="DIF65" s="180"/>
      <c r="DIG65" s="180"/>
      <c r="DIH65" s="180"/>
      <c r="DII65" s="180"/>
      <c r="DIJ65" s="180"/>
      <c r="DIK65" s="180"/>
      <c r="DIL65" s="180"/>
      <c r="DIM65" s="180"/>
      <c r="DIN65" s="180"/>
      <c r="DIO65" s="180"/>
      <c r="DIP65" s="180"/>
      <c r="DIQ65" s="180"/>
      <c r="DIR65" s="180"/>
      <c r="DIS65" s="180"/>
      <c r="DIT65" s="180"/>
      <c r="DIU65" s="180"/>
      <c r="DIV65" s="180"/>
      <c r="DIW65" s="180"/>
      <c r="DIX65" s="180"/>
      <c r="DIY65" s="180"/>
      <c r="DIZ65" s="180"/>
      <c r="DJA65" s="180"/>
      <c r="DJB65" s="180"/>
      <c r="DJC65" s="180"/>
      <c r="DJD65" s="180"/>
      <c r="DJE65" s="180"/>
      <c r="DJF65" s="180"/>
      <c r="DJG65" s="180"/>
      <c r="DJH65" s="180"/>
      <c r="DJI65" s="180"/>
      <c r="DJJ65" s="180"/>
      <c r="DJK65" s="180"/>
      <c r="DJL65" s="180"/>
      <c r="DJM65" s="180"/>
      <c r="DJN65" s="180"/>
      <c r="DJO65" s="180"/>
      <c r="DJP65" s="180"/>
      <c r="DJQ65" s="180"/>
      <c r="DJR65" s="180"/>
      <c r="DJS65" s="180"/>
      <c r="DJT65" s="180"/>
      <c r="DJU65" s="180"/>
      <c r="DJV65" s="180"/>
      <c r="DJW65" s="180"/>
      <c r="DJX65" s="180"/>
      <c r="DJY65" s="180"/>
      <c r="DJZ65" s="180"/>
      <c r="DKA65" s="180"/>
      <c r="DKB65" s="180"/>
      <c r="DKC65" s="180"/>
      <c r="DKD65" s="180"/>
      <c r="DKE65" s="180"/>
      <c r="DKF65" s="180"/>
      <c r="DKG65" s="180"/>
      <c r="DKH65" s="180"/>
      <c r="DKI65" s="180"/>
      <c r="DKJ65" s="180"/>
      <c r="DKK65" s="180"/>
      <c r="DKL65" s="180"/>
      <c r="DKM65" s="180"/>
      <c r="DKN65" s="180"/>
      <c r="DKO65" s="180"/>
      <c r="DKP65" s="180"/>
      <c r="DKQ65" s="180"/>
      <c r="DKR65" s="180"/>
      <c r="DKS65" s="180"/>
      <c r="DKT65" s="180"/>
      <c r="DKU65" s="180"/>
      <c r="DKV65" s="180"/>
      <c r="DKW65" s="180"/>
      <c r="DKX65" s="180"/>
      <c r="DKY65" s="180"/>
      <c r="DKZ65" s="180"/>
      <c r="DLA65" s="180"/>
      <c r="DLB65" s="180"/>
      <c r="DLC65" s="180"/>
      <c r="DLD65" s="180"/>
      <c r="DLE65" s="180"/>
      <c r="DLF65" s="180"/>
      <c r="DLG65" s="180"/>
      <c r="DLH65" s="180"/>
      <c r="DLI65" s="180"/>
      <c r="DLJ65" s="180"/>
      <c r="DLK65" s="180"/>
      <c r="DLL65" s="180"/>
      <c r="DLM65" s="180"/>
      <c r="DLN65" s="180"/>
      <c r="DLO65" s="180"/>
      <c r="DLP65" s="180"/>
      <c r="DLQ65" s="180"/>
      <c r="DLR65" s="180"/>
      <c r="DLS65" s="180"/>
      <c r="DLT65" s="180"/>
      <c r="DLU65" s="180"/>
      <c r="DLV65" s="180"/>
      <c r="DLW65" s="180"/>
      <c r="DLX65" s="180"/>
      <c r="DLY65" s="180"/>
      <c r="DLZ65" s="180"/>
      <c r="DMA65" s="180"/>
      <c r="DMB65" s="180"/>
      <c r="DMC65" s="180"/>
      <c r="DMD65" s="180"/>
      <c r="DME65" s="180"/>
      <c r="DMF65" s="180"/>
      <c r="DMG65" s="180"/>
      <c r="DMH65" s="180"/>
      <c r="DMI65" s="180"/>
      <c r="DMJ65" s="180"/>
      <c r="DMK65" s="180"/>
      <c r="DML65" s="180"/>
      <c r="DMM65" s="180"/>
      <c r="DMN65" s="180"/>
      <c r="DMO65" s="180"/>
      <c r="DMP65" s="180"/>
      <c r="DMQ65" s="180"/>
      <c r="DMR65" s="180"/>
      <c r="DMS65" s="180"/>
      <c r="DMT65" s="180"/>
      <c r="DMU65" s="180"/>
      <c r="DMV65" s="180"/>
      <c r="DMW65" s="180"/>
      <c r="DMX65" s="180"/>
      <c r="DMY65" s="180"/>
      <c r="DMZ65" s="180"/>
      <c r="DNA65" s="180"/>
      <c r="DNB65" s="180"/>
      <c r="DNC65" s="180"/>
      <c r="DND65" s="180"/>
      <c r="DNE65" s="180"/>
      <c r="DNF65" s="180"/>
      <c r="DNG65" s="180"/>
      <c r="DNH65" s="180"/>
      <c r="DNI65" s="180"/>
      <c r="DNJ65" s="180"/>
      <c r="DNK65" s="180"/>
      <c r="DNL65" s="180"/>
      <c r="DNM65" s="180"/>
      <c r="DNN65" s="180"/>
      <c r="DNO65" s="180"/>
      <c r="DNP65" s="180"/>
      <c r="DNQ65" s="180"/>
      <c r="DNR65" s="180"/>
      <c r="DNS65" s="180"/>
      <c r="DNT65" s="180"/>
      <c r="DNU65" s="180"/>
      <c r="DNV65" s="180"/>
      <c r="DNW65" s="180"/>
      <c r="DNX65" s="180"/>
      <c r="DNY65" s="180"/>
      <c r="DNZ65" s="180"/>
      <c r="DOA65" s="180"/>
      <c r="DOB65" s="180"/>
      <c r="DOC65" s="180"/>
      <c r="DOD65" s="180"/>
      <c r="DOE65" s="180"/>
      <c r="DOF65" s="180"/>
      <c r="DOG65" s="180"/>
      <c r="DOH65" s="180"/>
      <c r="DOI65" s="180"/>
      <c r="DOJ65" s="180"/>
      <c r="DOK65" s="180"/>
      <c r="DOL65" s="180"/>
      <c r="DOM65" s="180"/>
      <c r="DON65" s="180"/>
      <c r="DOO65" s="180"/>
      <c r="DOP65" s="180"/>
      <c r="DOQ65" s="180"/>
      <c r="DOR65" s="180"/>
      <c r="DOS65" s="180"/>
      <c r="DOT65" s="180"/>
      <c r="DOU65" s="180"/>
      <c r="DOV65" s="180"/>
      <c r="DOW65" s="180"/>
      <c r="DOX65" s="180"/>
      <c r="DOY65" s="180"/>
      <c r="DOZ65" s="180"/>
      <c r="DPA65" s="180"/>
      <c r="DPB65" s="180"/>
      <c r="DPC65" s="180"/>
      <c r="DPD65" s="180"/>
      <c r="DPE65" s="180"/>
      <c r="DPF65" s="180"/>
      <c r="DPG65" s="180"/>
      <c r="DPH65" s="180"/>
      <c r="DPI65" s="180"/>
      <c r="DPJ65" s="180"/>
      <c r="DPK65" s="180"/>
      <c r="DPL65" s="180"/>
      <c r="DPM65" s="180"/>
      <c r="DPN65" s="180"/>
      <c r="DPO65" s="180"/>
      <c r="DPP65" s="180"/>
      <c r="DPQ65" s="180"/>
      <c r="DPR65" s="180"/>
      <c r="DPS65" s="180"/>
      <c r="DPT65" s="180"/>
      <c r="DPU65" s="180"/>
      <c r="DPV65" s="180"/>
      <c r="DPW65" s="180"/>
      <c r="DPX65" s="180"/>
      <c r="DPY65" s="180"/>
      <c r="DPZ65" s="180"/>
      <c r="DQA65" s="180"/>
      <c r="DQB65" s="180"/>
      <c r="DQC65" s="180"/>
      <c r="DQD65" s="180"/>
      <c r="DQE65" s="180"/>
      <c r="DQF65" s="180"/>
      <c r="DQG65" s="180"/>
      <c r="DQH65" s="180"/>
      <c r="DQI65" s="180"/>
      <c r="DQJ65" s="180"/>
      <c r="DQK65" s="180"/>
      <c r="DQL65" s="180"/>
      <c r="DQM65" s="180"/>
      <c r="DQN65" s="180"/>
      <c r="DQO65" s="180"/>
      <c r="DQP65" s="180"/>
      <c r="DQQ65" s="180"/>
      <c r="DQR65" s="180"/>
      <c r="DQS65" s="180"/>
      <c r="DQT65" s="180"/>
      <c r="DQU65" s="180"/>
      <c r="DQV65" s="180"/>
      <c r="DQW65" s="180"/>
      <c r="DQX65" s="180"/>
      <c r="DQY65" s="180"/>
      <c r="DQZ65" s="180"/>
      <c r="DRA65" s="180"/>
      <c r="DRB65" s="180"/>
      <c r="DRC65" s="180"/>
      <c r="DRD65" s="180"/>
      <c r="DRE65" s="180"/>
      <c r="DRF65" s="180"/>
      <c r="DRG65" s="180"/>
      <c r="DRH65" s="180"/>
      <c r="DRI65" s="180"/>
      <c r="DRJ65" s="180"/>
      <c r="DRK65" s="180"/>
      <c r="DRL65" s="180"/>
      <c r="DRM65" s="180"/>
      <c r="DRN65" s="180"/>
      <c r="DRO65" s="180"/>
      <c r="DRP65" s="180"/>
      <c r="DRQ65" s="180"/>
      <c r="DRR65" s="180"/>
      <c r="DRS65" s="180"/>
      <c r="DRT65" s="180"/>
      <c r="DRU65" s="180"/>
      <c r="DRV65" s="180"/>
      <c r="DRW65" s="180"/>
      <c r="DRX65" s="180"/>
      <c r="DRY65" s="180"/>
      <c r="DRZ65" s="180"/>
      <c r="DSA65" s="180"/>
      <c r="DSB65" s="180"/>
      <c r="DSC65" s="180"/>
      <c r="DSD65" s="180"/>
      <c r="DSE65" s="180"/>
      <c r="DSF65" s="180"/>
      <c r="DSG65" s="180"/>
      <c r="DSH65" s="180"/>
      <c r="DSI65" s="180"/>
      <c r="DSJ65" s="180"/>
      <c r="DSK65" s="180"/>
      <c r="DSL65" s="180"/>
      <c r="DSM65" s="180"/>
      <c r="DSN65" s="180"/>
      <c r="DSO65" s="180"/>
      <c r="DSP65" s="180"/>
      <c r="DSQ65" s="180"/>
      <c r="DSR65" s="180"/>
      <c r="DSS65" s="180"/>
      <c r="DST65" s="180"/>
      <c r="DSU65" s="180"/>
      <c r="DSV65" s="180"/>
      <c r="DSW65" s="180"/>
      <c r="DSX65" s="180"/>
      <c r="DSY65" s="180"/>
      <c r="DSZ65" s="180"/>
      <c r="DTA65" s="180"/>
      <c r="DTB65" s="180"/>
      <c r="DTC65" s="180"/>
      <c r="DTD65" s="180"/>
      <c r="DTE65" s="180"/>
      <c r="DTF65" s="180"/>
      <c r="DTG65" s="180"/>
      <c r="DTH65" s="180"/>
      <c r="DTI65" s="180"/>
      <c r="DTJ65" s="180"/>
      <c r="DTK65" s="180"/>
      <c r="DTL65" s="180"/>
      <c r="DTM65" s="180"/>
      <c r="DTN65" s="180"/>
      <c r="DTO65" s="180"/>
      <c r="DTP65" s="180"/>
      <c r="DTQ65" s="180"/>
      <c r="DTR65" s="180"/>
      <c r="DTS65" s="180"/>
      <c r="DTT65" s="180"/>
      <c r="DTU65" s="180"/>
      <c r="DTV65" s="180"/>
      <c r="DTW65" s="180"/>
      <c r="DTX65" s="180"/>
      <c r="DTY65" s="180"/>
      <c r="DTZ65" s="180"/>
      <c r="DUA65" s="180"/>
      <c r="DUB65" s="180"/>
      <c r="DUC65" s="180"/>
      <c r="DUD65" s="180"/>
      <c r="DUE65" s="180"/>
      <c r="DUF65" s="180"/>
      <c r="DUG65" s="180"/>
      <c r="DUH65" s="180"/>
      <c r="DUI65" s="180"/>
      <c r="DUJ65" s="180"/>
      <c r="DUK65" s="180"/>
      <c r="DUL65" s="180"/>
      <c r="DUM65" s="180"/>
      <c r="DUN65" s="180"/>
      <c r="DUO65" s="180"/>
      <c r="DUP65" s="180"/>
      <c r="DUQ65" s="180"/>
      <c r="DUR65" s="180"/>
      <c r="DUS65" s="180"/>
      <c r="DUT65" s="180"/>
      <c r="DUU65" s="180"/>
      <c r="DUV65" s="180"/>
      <c r="DUW65" s="180"/>
      <c r="DUX65" s="180"/>
      <c r="DUY65" s="180"/>
      <c r="DUZ65" s="180"/>
      <c r="DVA65" s="180"/>
      <c r="DVB65" s="180"/>
      <c r="DVC65" s="180"/>
      <c r="DVD65" s="180"/>
      <c r="DVE65" s="180"/>
      <c r="DVF65" s="180"/>
      <c r="DVG65" s="180"/>
      <c r="DVH65" s="180"/>
      <c r="DVI65" s="180"/>
      <c r="DVJ65" s="180"/>
      <c r="DVK65" s="180"/>
      <c r="DVL65" s="180"/>
      <c r="DVM65" s="180"/>
      <c r="DVN65" s="180"/>
      <c r="DVO65" s="180"/>
      <c r="DVP65" s="180"/>
      <c r="DVQ65" s="180"/>
      <c r="DVR65" s="180"/>
      <c r="DVS65" s="180"/>
      <c r="DVT65" s="180"/>
      <c r="DVU65" s="180"/>
      <c r="DVV65" s="180"/>
      <c r="DVW65" s="180"/>
      <c r="DVX65" s="180"/>
      <c r="DVY65" s="180"/>
      <c r="DVZ65" s="180"/>
      <c r="DWA65" s="180"/>
      <c r="DWB65" s="180"/>
      <c r="DWC65" s="180"/>
      <c r="DWD65" s="180"/>
      <c r="DWE65" s="180"/>
      <c r="DWF65" s="180"/>
      <c r="DWG65" s="180"/>
      <c r="DWH65" s="180"/>
      <c r="DWI65" s="180"/>
      <c r="DWJ65" s="180"/>
      <c r="DWK65" s="180"/>
      <c r="DWL65" s="180"/>
      <c r="DWM65" s="180"/>
      <c r="DWN65" s="180"/>
      <c r="DWO65" s="180"/>
      <c r="DWP65" s="180"/>
      <c r="DWQ65" s="180"/>
      <c r="DWR65" s="180"/>
      <c r="DWS65" s="180"/>
      <c r="DWT65" s="180"/>
      <c r="DWU65" s="180"/>
      <c r="DWV65" s="180"/>
      <c r="DWW65" s="180"/>
      <c r="DWX65" s="180"/>
      <c r="DWY65" s="180"/>
      <c r="DWZ65" s="180"/>
      <c r="DXA65" s="180"/>
      <c r="DXB65" s="180"/>
      <c r="DXC65" s="180"/>
      <c r="DXD65" s="180"/>
      <c r="DXE65" s="180"/>
      <c r="DXF65" s="180"/>
      <c r="DXG65" s="180"/>
      <c r="DXH65" s="180"/>
      <c r="DXI65" s="180"/>
      <c r="DXJ65" s="180"/>
      <c r="DXK65" s="180"/>
      <c r="DXL65" s="180"/>
      <c r="DXM65" s="180"/>
      <c r="DXN65" s="180"/>
      <c r="DXO65" s="180"/>
      <c r="DXP65" s="180"/>
      <c r="DXQ65" s="180"/>
      <c r="DXR65" s="180"/>
      <c r="DXS65" s="180"/>
      <c r="DXT65" s="180"/>
      <c r="DXU65" s="180"/>
      <c r="DXV65" s="180"/>
      <c r="DXW65" s="180"/>
      <c r="DXX65" s="180"/>
      <c r="DXY65" s="180"/>
      <c r="DXZ65" s="180"/>
      <c r="DYA65" s="180"/>
      <c r="DYB65" s="180"/>
      <c r="DYC65" s="180"/>
      <c r="DYD65" s="180"/>
      <c r="DYE65" s="180"/>
      <c r="DYF65" s="180"/>
      <c r="DYG65" s="180"/>
      <c r="DYH65" s="180"/>
      <c r="DYI65" s="180"/>
      <c r="DYJ65" s="180"/>
      <c r="DYK65" s="180"/>
      <c r="DYL65" s="180"/>
      <c r="DYM65" s="180"/>
      <c r="DYN65" s="180"/>
      <c r="DYO65" s="180"/>
      <c r="DYP65" s="180"/>
      <c r="DYQ65" s="180"/>
      <c r="DYR65" s="180"/>
      <c r="DYS65" s="180"/>
      <c r="DYT65" s="180"/>
      <c r="DYU65" s="180"/>
      <c r="DYV65" s="180"/>
      <c r="DYW65" s="180"/>
      <c r="DYX65" s="180"/>
      <c r="DYY65" s="180"/>
      <c r="DYZ65" s="180"/>
      <c r="DZA65" s="180"/>
      <c r="DZB65" s="180"/>
      <c r="DZC65" s="180"/>
      <c r="DZD65" s="180"/>
      <c r="DZE65" s="180"/>
      <c r="DZF65" s="180"/>
      <c r="DZG65" s="180"/>
      <c r="DZH65" s="180"/>
      <c r="DZI65" s="180"/>
      <c r="DZJ65" s="180"/>
      <c r="DZK65" s="180"/>
      <c r="DZL65" s="180"/>
      <c r="DZM65" s="180"/>
      <c r="DZN65" s="180"/>
      <c r="DZO65" s="180"/>
      <c r="DZP65" s="180"/>
      <c r="DZQ65" s="180"/>
      <c r="DZR65" s="180"/>
      <c r="DZS65" s="180"/>
      <c r="DZT65" s="180"/>
      <c r="DZU65" s="180"/>
      <c r="DZV65" s="180"/>
      <c r="DZW65" s="180"/>
      <c r="DZX65" s="180"/>
      <c r="DZY65" s="180"/>
      <c r="DZZ65" s="180"/>
      <c r="EAA65" s="180"/>
      <c r="EAB65" s="180"/>
      <c r="EAC65" s="180"/>
      <c r="EAD65" s="180"/>
      <c r="EAE65" s="180"/>
      <c r="EAF65" s="180"/>
      <c r="EAG65" s="180"/>
      <c r="EAH65" s="180"/>
      <c r="EAI65" s="180"/>
      <c r="EAJ65" s="180"/>
      <c r="EAK65" s="180"/>
      <c r="EAL65" s="180"/>
      <c r="EAM65" s="180"/>
      <c r="EAN65" s="180"/>
      <c r="EAO65" s="180"/>
      <c r="EAP65" s="180"/>
      <c r="EAQ65" s="180"/>
      <c r="EAR65" s="180"/>
      <c r="EAS65" s="180"/>
      <c r="EAT65" s="180"/>
      <c r="EAU65" s="180"/>
      <c r="EAV65" s="180"/>
      <c r="EAW65" s="180"/>
      <c r="EAX65" s="180"/>
      <c r="EAY65" s="180"/>
      <c r="EAZ65" s="180"/>
      <c r="EBA65" s="180"/>
      <c r="EBB65" s="180"/>
      <c r="EBC65" s="180"/>
      <c r="EBD65" s="180"/>
      <c r="EBE65" s="180"/>
      <c r="EBF65" s="180"/>
      <c r="EBG65" s="180"/>
      <c r="EBH65" s="180"/>
      <c r="EBI65" s="180"/>
      <c r="EBJ65" s="180"/>
      <c r="EBK65" s="180"/>
      <c r="EBL65" s="180"/>
      <c r="EBM65" s="180"/>
      <c r="EBN65" s="180"/>
      <c r="EBO65" s="180"/>
      <c r="EBP65" s="180"/>
      <c r="EBQ65" s="180"/>
      <c r="EBR65" s="180"/>
      <c r="EBS65" s="180"/>
      <c r="EBT65" s="180"/>
      <c r="EBU65" s="180"/>
      <c r="EBV65" s="180"/>
      <c r="EBW65" s="180"/>
      <c r="EBX65" s="180"/>
      <c r="EBY65" s="180"/>
      <c r="EBZ65" s="180"/>
      <c r="ECA65" s="180"/>
      <c r="ECB65" s="180"/>
      <c r="ECC65" s="180"/>
      <c r="ECD65" s="180"/>
      <c r="ECE65" s="180"/>
      <c r="ECF65" s="180"/>
      <c r="ECG65" s="180"/>
      <c r="ECH65" s="180"/>
      <c r="ECI65" s="180"/>
      <c r="ECJ65" s="180"/>
      <c r="ECK65" s="180"/>
      <c r="ECL65" s="180"/>
      <c r="ECM65" s="180"/>
      <c r="ECN65" s="180"/>
      <c r="ECO65" s="180"/>
      <c r="ECP65" s="180"/>
      <c r="ECQ65" s="180"/>
      <c r="ECR65" s="180"/>
      <c r="ECS65" s="180"/>
      <c r="ECT65" s="180"/>
      <c r="ECU65" s="180"/>
      <c r="ECV65" s="180"/>
      <c r="ECW65" s="180"/>
      <c r="ECX65" s="180"/>
      <c r="ECY65" s="180"/>
      <c r="ECZ65" s="180"/>
      <c r="EDA65" s="180"/>
      <c r="EDB65" s="180"/>
      <c r="EDC65" s="180"/>
      <c r="EDD65" s="180"/>
      <c r="EDE65" s="180"/>
      <c r="EDF65" s="180"/>
      <c r="EDG65" s="180"/>
      <c r="EDH65" s="180"/>
      <c r="EDI65" s="180"/>
      <c r="EDJ65" s="180"/>
      <c r="EDK65" s="180"/>
      <c r="EDL65" s="180"/>
      <c r="EDM65" s="180"/>
      <c r="EDN65" s="180"/>
      <c r="EDO65" s="180"/>
      <c r="EDP65" s="180"/>
      <c r="EDQ65" s="180"/>
      <c r="EDR65" s="180"/>
      <c r="EDS65" s="180"/>
      <c r="EDT65" s="180"/>
      <c r="EDU65" s="180"/>
      <c r="EDV65" s="180"/>
      <c r="EDW65" s="180"/>
      <c r="EDX65" s="180"/>
      <c r="EDY65" s="180"/>
      <c r="EDZ65" s="180"/>
      <c r="EEA65" s="180"/>
      <c r="EEB65" s="180"/>
      <c r="EEC65" s="180"/>
      <c r="EED65" s="180"/>
      <c r="EEE65" s="180"/>
      <c r="EEF65" s="180"/>
      <c r="EEG65" s="180"/>
      <c r="EEH65" s="180"/>
      <c r="EEI65" s="180"/>
      <c r="EEJ65" s="180"/>
      <c r="EEK65" s="180"/>
      <c r="EEL65" s="180"/>
      <c r="EEM65" s="180"/>
      <c r="EEN65" s="180"/>
      <c r="EEO65" s="180"/>
      <c r="EEP65" s="180"/>
      <c r="EEQ65" s="180"/>
      <c r="EER65" s="180"/>
      <c r="EES65" s="180"/>
      <c r="EET65" s="180"/>
      <c r="EEU65" s="180"/>
      <c r="EEV65" s="180"/>
      <c r="EEW65" s="180"/>
      <c r="EEX65" s="180"/>
      <c r="EEY65" s="180"/>
      <c r="EEZ65" s="180"/>
      <c r="EFA65" s="180"/>
      <c r="EFB65" s="180"/>
      <c r="EFC65" s="180"/>
      <c r="EFD65" s="180"/>
      <c r="EFE65" s="180"/>
      <c r="EFF65" s="180"/>
      <c r="EFG65" s="180"/>
      <c r="EFH65" s="180"/>
      <c r="EFI65" s="180"/>
      <c r="EFJ65" s="180"/>
      <c r="EFK65" s="180"/>
      <c r="EFL65" s="180"/>
      <c r="EFM65" s="180"/>
      <c r="EFN65" s="180"/>
      <c r="EFO65" s="180"/>
      <c r="EFP65" s="180"/>
      <c r="EFQ65" s="180"/>
      <c r="EFR65" s="180"/>
      <c r="EFS65" s="180"/>
      <c r="EFT65" s="180"/>
      <c r="EFU65" s="180"/>
      <c r="EFV65" s="180"/>
      <c r="EFW65" s="180"/>
      <c r="EFX65" s="180"/>
      <c r="EFY65" s="180"/>
      <c r="EFZ65" s="180"/>
      <c r="EGA65" s="180"/>
      <c r="EGB65" s="180"/>
      <c r="EGC65" s="180"/>
      <c r="EGD65" s="180"/>
      <c r="EGE65" s="180"/>
      <c r="EGF65" s="180"/>
      <c r="EGG65" s="180"/>
      <c r="EGH65" s="180"/>
      <c r="EGI65" s="180"/>
      <c r="EGJ65" s="180"/>
      <c r="EGK65" s="180"/>
      <c r="EGL65" s="180"/>
      <c r="EGM65" s="180"/>
      <c r="EGN65" s="180"/>
      <c r="EGO65" s="180"/>
      <c r="EGP65" s="180"/>
      <c r="EGQ65" s="180"/>
      <c r="EGR65" s="180"/>
      <c r="EGS65" s="180"/>
      <c r="EGT65" s="180"/>
      <c r="EGU65" s="180"/>
      <c r="EGV65" s="180"/>
      <c r="EGW65" s="180"/>
      <c r="EGX65" s="180"/>
      <c r="EGY65" s="180"/>
      <c r="EGZ65" s="180"/>
      <c r="EHA65" s="180"/>
      <c r="EHB65" s="180"/>
      <c r="EHC65" s="180"/>
      <c r="EHD65" s="180"/>
      <c r="EHE65" s="180"/>
      <c r="EHF65" s="180"/>
      <c r="EHG65" s="180"/>
      <c r="EHH65" s="180"/>
      <c r="EHI65" s="180"/>
      <c r="EHJ65" s="180"/>
      <c r="EHK65" s="180"/>
      <c r="EHL65" s="180"/>
      <c r="EHM65" s="180"/>
      <c r="EHN65" s="180"/>
      <c r="EHO65" s="180"/>
      <c r="EHP65" s="180"/>
      <c r="EHQ65" s="180"/>
      <c r="EHR65" s="180"/>
      <c r="EHS65" s="180"/>
      <c r="EHT65" s="180"/>
      <c r="EHU65" s="180"/>
      <c r="EHV65" s="180"/>
      <c r="EHW65" s="180"/>
      <c r="EHX65" s="180"/>
      <c r="EHY65" s="180"/>
      <c r="EHZ65" s="180"/>
      <c r="EIA65" s="180"/>
      <c r="EIB65" s="180"/>
      <c r="EIC65" s="180"/>
      <c r="EID65" s="180"/>
      <c r="EIE65" s="180"/>
      <c r="EIF65" s="180"/>
      <c r="EIG65" s="180"/>
      <c r="EIH65" s="180"/>
      <c r="EII65" s="180"/>
      <c r="EIJ65" s="180"/>
      <c r="EIK65" s="180"/>
      <c r="EIL65" s="180"/>
      <c r="EIM65" s="180"/>
      <c r="EIN65" s="180"/>
      <c r="EIO65" s="180"/>
      <c r="EIP65" s="180"/>
      <c r="EIQ65" s="180"/>
      <c r="EIR65" s="180"/>
      <c r="EIS65" s="180"/>
      <c r="EIT65" s="180"/>
      <c r="EIU65" s="180"/>
      <c r="EIV65" s="180"/>
      <c r="EIW65" s="180"/>
      <c r="EIX65" s="180"/>
      <c r="EIY65" s="180"/>
      <c r="EIZ65" s="180"/>
      <c r="EJA65" s="180"/>
      <c r="EJB65" s="180"/>
      <c r="EJC65" s="180"/>
      <c r="EJD65" s="180"/>
      <c r="EJE65" s="180"/>
      <c r="EJF65" s="180"/>
      <c r="EJG65" s="180"/>
      <c r="EJH65" s="180"/>
      <c r="EJI65" s="180"/>
      <c r="EJJ65" s="180"/>
      <c r="EJK65" s="180"/>
      <c r="EJL65" s="180"/>
      <c r="EJM65" s="180"/>
      <c r="EJN65" s="180"/>
      <c r="EJO65" s="180"/>
      <c r="EJP65" s="180"/>
      <c r="EJQ65" s="180"/>
      <c r="EJR65" s="180"/>
      <c r="EJS65" s="180"/>
      <c r="EJT65" s="180"/>
      <c r="EJU65" s="180"/>
      <c r="EJV65" s="180"/>
      <c r="EJW65" s="180"/>
      <c r="EJX65" s="180"/>
      <c r="EJY65" s="180"/>
      <c r="EJZ65" s="180"/>
      <c r="EKA65" s="180"/>
      <c r="EKB65" s="180"/>
      <c r="EKC65" s="180"/>
      <c r="EKD65" s="180"/>
      <c r="EKE65" s="180"/>
      <c r="EKF65" s="180"/>
      <c r="EKG65" s="180"/>
      <c r="EKH65" s="180"/>
      <c r="EKI65" s="180"/>
      <c r="EKJ65" s="180"/>
      <c r="EKK65" s="180"/>
      <c r="EKL65" s="180"/>
      <c r="EKM65" s="180"/>
      <c r="EKN65" s="180"/>
      <c r="EKO65" s="180"/>
      <c r="EKP65" s="180"/>
      <c r="EKQ65" s="180"/>
      <c r="EKR65" s="180"/>
      <c r="EKS65" s="180"/>
      <c r="EKT65" s="180"/>
      <c r="EKU65" s="180"/>
      <c r="EKV65" s="180"/>
      <c r="EKW65" s="180"/>
      <c r="EKX65" s="180"/>
      <c r="EKY65" s="180"/>
      <c r="EKZ65" s="180"/>
      <c r="ELA65" s="180"/>
      <c r="ELB65" s="180"/>
      <c r="ELC65" s="180"/>
      <c r="ELD65" s="180"/>
      <c r="ELE65" s="180"/>
      <c r="ELF65" s="180"/>
      <c r="ELG65" s="180"/>
      <c r="ELH65" s="180"/>
      <c r="ELI65" s="180"/>
      <c r="ELJ65" s="180"/>
      <c r="ELK65" s="180"/>
      <c r="ELL65" s="180"/>
      <c r="ELM65" s="180"/>
      <c r="ELN65" s="180"/>
      <c r="ELO65" s="180"/>
      <c r="ELP65" s="180"/>
      <c r="ELQ65" s="180"/>
      <c r="ELR65" s="180"/>
      <c r="ELS65" s="180"/>
      <c r="ELT65" s="180"/>
      <c r="ELU65" s="180"/>
      <c r="ELV65" s="180"/>
      <c r="ELW65" s="180"/>
      <c r="ELX65" s="180"/>
      <c r="ELY65" s="180"/>
      <c r="ELZ65" s="180"/>
      <c r="EMA65" s="180"/>
      <c r="EMB65" s="180"/>
      <c r="EMC65" s="180"/>
      <c r="EMD65" s="180"/>
      <c r="EME65" s="180"/>
      <c r="EMF65" s="180"/>
      <c r="EMG65" s="180"/>
      <c r="EMH65" s="180"/>
      <c r="EMI65" s="180"/>
      <c r="EMJ65" s="180"/>
      <c r="EMK65" s="180"/>
      <c r="EML65" s="180"/>
      <c r="EMM65" s="180"/>
      <c r="EMN65" s="180"/>
      <c r="EMO65" s="180"/>
      <c r="EMP65" s="180"/>
      <c r="EMQ65" s="180"/>
      <c r="EMR65" s="180"/>
      <c r="EMS65" s="180"/>
      <c r="EMT65" s="180"/>
      <c r="EMU65" s="180"/>
      <c r="EMV65" s="180"/>
      <c r="EMW65" s="180"/>
      <c r="EMX65" s="180"/>
      <c r="EMY65" s="180"/>
      <c r="EMZ65" s="180"/>
      <c r="ENA65" s="180"/>
      <c r="ENB65" s="180"/>
      <c r="ENC65" s="180"/>
      <c r="END65" s="180"/>
      <c r="ENE65" s="180"/>
      <c r="ENF65" s="180"/>
      <c r="ENG65" s="180"/>
      <c r="ENH65" s="180"/>
      <c r="ENI65" s="180"/>
      <c r="ENJ65" s="180"/>
      <c r="ENK65" s="180"/>
      <c r="ENL65" s="180"/>
      <c r="ENM65" s="180"/>
      <c r="ENN65" s="180"/>
      <c r="ENO65" s="180"/>
      <c r="ENP65" s="180"/>
      <c r="ENQ65" s="180"/>
      <c r="ENR65" s="180"/>
      <c r="ENS65" s="180"/>
      <c r="ENT65" s="180"/>
      <c r="ENU65" s="180"/>
      <c r="ENV65" s="180"/>
      <c r="ENW65" s="180"/>
      <c r="ENX65" s="180"/>
      <c r="ENY65" s="180"/>
      <c r="ENZ65" s="180"/>
      <c r="EOA65" s="180"/>
      <c r="EOB65" s="180"/>
      <c r="EOC65" s="180"/>
      <c r="EOD65" s="180"/>
      <c r="EOE65" s="180"/>
      <c r="EOF65" s="180"/>
      <c r="EOG65" s="180"/>
      <c r="EOH65" s="180"/>
      <c r="EOI65" s="180"/>
      <c r="EOJ65" s="180"/>
      <c r="EOK65" s="180"/>
      <c r="EOL65" s="180"/>
      <c r="EOM65" s="180"/>
      <c r="EON65" s="180"/>
      <c r="EOO65" s="180"/>
      <c r="EOP65" s="180"/>
      <c r="EOQ65" s="180"/>
      <c r="EOR65" s="180"/>
      <c r="EOS65" s="180"/>
      <c r="EOT65" s="180"/>
      <c r="EOU65" s="180"/>
      <c r="EOV65" s="180"/>
      <c r="EOW65" s="180"/>
      <c r="EOX65" s="180"/>
      <c r="EOY65" s="180"/>
      <c r="EOZ65" s="180"/>
      <c r="EPA65" s="180"/>
      <c r="EPB65" s="180"/>
      <c r="EPC65" s="180"/>
      <c r="EPD65" s="180"/>
      <c r="EPE65" s="180"/>
      <c r="EPF65" s="180"/>
      <c r="EPG65" s="180"/>
      <c r="EPH65" s="180"/>
      <c r="EPI65" s="180"/>
      <c r="EPJ65" s="180"/>
      <c r="EPK65" s="180"/>
      <c r="EPL65" s="180"/>
      <c r="EPM65" s="180"/>
      <c r="EPN65" s="180"/>
      <c r="EPO65" s="180"/>
      <c r="EPP65" s="180"/>
      <c r="EPQ65" s="180"/>
      <c r="EPR65" s="180"/>
      <c r="EPS65" s="180"/>
      <c r="EPT65" s="180"/>
      <c r="EPU65" s="180"/>
      <c r="EPV65" s="180"/>
      <c r="EPW65" s="180"/>
      <c r="EPX65" s="180"/>
      <c r="EPY65" s="180"/>
      <c r="EPZ65" s="180"/>
      <c r="EQA65" s="180"/>
      <c r="EQB65" s="180"/>
      <c r="EQC65" s="180"/>
      <c r="EQD65" s="180"/>
      <c r="EQE65" s="180"/>
      <c r="EQF65" s="180"/>
      <c r="EQG65" s="180"/>
      <c r="EQH65" s="180"/>
      <c r="EQI65" s="180"/>
      <c r="EQJ65" s="180"/>
      <c r="EQK65" s="180"/>
      <c r="EQL65" s="180"/>
      <c r="EQM65" s="180"/>
      <c r="EQN65" s="180"/>
      <c r="EQO65" s="180"/>
      <c r="EQP65" s="180"/>
      <c r="EQQ65" s="180"/>
      <c r="EQR65" s="180"/>
      <c r="EQS65" s="180"/>
      <c r="EQT65" s="180"/>
      <c r="EQU65" s="180"/>
      <c r="EQV65" s="180"/>
      <c r="EQW65" s="180"/>
      <c r="EQX65" s="180"/>
      <c r="EQY65" s="180"/>
      <c r="EQZ65" s="180"/>
      <c r="ERA65" s="180"/>
      <c r="ERB65" s="180"/>
      <c r="ERC65" s="180"/>
      <c r="ERD65" s="180"/>
      <c r="ERE65" s="180"/>
      <c r="ERF65" s="180"/>
      <c r="ERG65" s="180"/>
      <c r="ERH65" s="180"/>
      <c r="ERI65" s="180"/>
      <c r="ERJ65" s="180"/>
      <c r="ERK65" s="180"/>
      <c r="ERL65" s="180"/>
      <c r="ERM65" s="180"/>
      <c r="ERN65" s="180"/>
      <c r="ERO65" s="180"/>
      <c r="ERP65" s="180"/>
      <c r="ERQ65" s="180"/>
      <c r="ERR65" s="180"/>
      <c r="ERS65" s="180"/>
      <c r="ERT65" s="180"/>
      <c r="ERU65" s="180"/>
      <c r="ERV65" s="180"/>
      <c r="ERW65" s="180"/>
      <c r="ERX65" s="180"/>
      <c r="ERY65" s="180"/>
      <c r="ERZ65" s="180"/>
      <c r="ESA65" s="180"/>
      <c r="ESB65" s="180"/>
      <c r="ESC65" s="180"/>
      <c r="ESD65" s="180"/>
      <c r="ESE65" s="180"/>
      <c r="ESF65" s="180"/>
      <c r="ESG65" s="180"/>
      <c r="ESH65" s="180"/>
      <c r="ESI65" s="180"/>
      <c r="ESJ65" s="180"/>
      <c r="ESK65" s="180"/>
      <c r="ESL65" s="180"/>
      <c r="ESM65" s="180"/>
      <c r="ESN65" s="180"/>
      <c r="ESO65" s="180"/>
      <c r="ESP65" s="180"/>
      <c r="ESQ65" s="180"/>
      <c r="ESR65" s="180"/>
      <c r="ESS65" s="180"/>
      <c r="EST65" s="180"/>
      <c r="ESU65" s="180"/>
      <c r="ESV65" s="180"/>
      <c r="ESW65" s="180"/>
      <c r="ESX65" s="180"/>
      <c r="ESY65" s="180"/>
      <c r="ESZ65" s="180"/>
      <c r="ETA65" s="180"/>
      <c r="ETB65" s="180"/>
      <c r="ETC65" s="180"/>
      <c r="ETD65" s="180"/>
      <c r="ETE65" s="180"/>
      <c r="ETF65" s="180"/>
      <c r="ETG65" s="180"/>
      <c r="ETH65" s="180"/>
      <c r="ETI65" s="180"/>
      <c r="ETJ65" s="180"/>
      <c r="ETK65" s="180"/>
      <c r="ETL65" s="180"/>
      <c r="ETM65" s="180"/>
      <c r="ETN65" s="180"/>
      <c r="ETO65" s="180"/>
      <c r="ETP65" s="180"/>
      <c r="ETQ65" s="180"/>
      <c r="ETR65" s="180"/>
      <c r="ETS65" s="180"/>
      <c r="ETT65" s="180"/>
      <c r="ETU65" s="180"/>
      <c r="ETV65" s="180"/>
      <c r="ETW65" s="180"/>
      <c r="ETX65" s="180"/>
      <c r="ETY65" s="180"/>
      <c r="ETZ65" s="180"/>
      <c r="EUA65" s="180"/>
      <c r="EUB65" s="180"/>
      <c r="EUC65" s="180"/>
      <c r="EUD65" s="180"/>
      <c r="EUE65" s="180"/>
      <c r="EUF65" s="180"/>
      <c r="EUG65" s="180"/>
      <c r="EUH65" s="180"/>
      <c r="EUI65" s="180"/>
      <c r="EUJ65" s="180"/>
      <c r="EUK65" s="180"/>
      <c r="EUL65" s="180"/>
      <c r="EUM65" s="180"/>
      <c r="EUN65" s="180"/>
      <c r="EUO65" s="180"/>
      <c r="EUP65" s="180"/>
      <c r="EUQ65" s="180"/>
      <c r="EUR65" s="180"/>
      <c r="EUS65" s="180"/>
      <c r="EUT65" s="180"/>
      <c r="EUU65" s="180"/>
      <c r="EUV65" s="180"/>
      <c r="EUW65" s="180"/>
      <c r="EUX65" s="180"/>
      <c r="EUY65" s="180"/>
      <c r="EUZ65" s="180"/>
      <c r="EVA65" s="180"/>
      <c r="EVB65" s="180"/>
      <c r="EVC65" s="180"/>
      <c r="EVD65" s="180"/>
      <c r="EVE65" s="180"/>
      <c r="EVF65" s="180"/>
      <c r="EVG65" s="180"/>
      <c r="EVH65" s="180"/>
      <c r="EVI65" s="180"/>
      <c r="EVJ65" s="180"/>
      <c r="EVK65" s="180"/>
      <c r="EVL65" s="180"/>
      <c r="EVM65" s="180"/>
      <c r="EVN65" s="180"/>
      <c r="EVO65" s="180"/>
      <c r="EVP65" s="180"/>
      <c r="EVQ65" s="180"/>
      <c r="EVR65" s="180"/>
      <c r="EVS65" s="180"/>
      <c r="EVT65" s="180"/>
      <c r="EVU65" s="180"/>
      <c r="EVV65" s="180"/>
      <c r="EVW65" s="180"/>
      <c r="EVX65" s="180"/>
      <c r="EVY65" s="180"/>
      <c r="EVZ65" s="180"/>
      <c r="EWA65" s="180"/>
      <c r="EWB65" s="180"/>
      <c r="EWC65" s="180"/>
      <c r="EWD65" s="180"/>
      <c r="EWE65" s="180"/>
      <c r="EWF65" s="180"/>
      <c r="EWG65" s="180"/>
      <c r="EWH65" s="180"/>
      <c r="EWI65" s="180"/>
      <c r="EWJ65" s="180"/>
      <c r="EWK65" s="180"/>
      <c r="EWL65" s="180"/>
      <c r="EWM65" s="180"/>
      <c r="EWN65" s="180"/>
      <c r="EWO65" s="180"/>
      <c r="EWP65" s="180"/>
      <c r="EWQ65" s="180"/>
      <c r="EWR65" s="180"/>
      <c r="EWS65" s="180"/>
      <c r="EWT65" s="180"/>
      <c r="EWU65" s="180"/>
      <c r="EWV65" s="180"/>
      <c r="EWW65" s="180"/>
      <c r="EWX65" s="180"/>
      <c r="EWY65" s="180"/>
      <c r="EWZ65" s="180"/>
      <c r="EXA65" s="180"/>
      <c r="EXB65" s="180"/>
      <c r="EXC65" s="180"/>
      <c r="EXD65" s="180"/>
      <c r="EXE65" s="180"/>
      <c r="EXF65" s="180"/>
      <c r="EXG65" s="180"/>
      <c r="EXH65" s="180"/>
      <c r="EXI65" s="180"/>
      <c r="EXJ65" s="180"/>
      <c r="EXK65" s="180"/>
      <c r="EXL65" s="180"/>
      <c r="EXM65" s="180"/>
      <c r="EXN65" s="180"/>
      <c r="EXO65" s="180"/>
      <c r="EXP65" s="180"/>
      <c r="EXQ65" s="180"/>
      <c r="EXR65" s="180"/>
      <c r="EXS65" s="180"/>
      <c r="EXT65" s="180"/>
      <c r="EXU65" s="180"/>
      <c r="EXV65" s="180"/>
      <c r="EXW65" s="180"/>
      <c r="EXX65" s="180"/>
      <c r="EXY65" s="180"/>
      <c r="EXZ65" s="180"/>
      <c r="EYA65" s="180"/>
      <c r="EYB65" s="180"/>
      <c r="EYC65" s="180"/>
      <c r="EYD65" s="180"/>
      <c r="EYE65" s="180"/>
      <c r="EYF65" s="180"/>
      <c r="EYG65" s="180"/>
      <c r="EYH65" s="180"/>
      <c r="EYI65" s="180"/>
      <c r="EYJ65" s="180"/>
      <c r="EYK65" s="180"/>
      <c r="EYL65" s="180"/>
      <c r="EYM65" s="180"/>
      <c r="EYN65" s="180"/>
      <c r="EYO65" s="180"/>
      <c r="EYP65" s="180"/>
      <c r="EYQ65" s="180"/>
      <c r="EYR65" s="180"/>
      <c r="EYS65" s="180"/>
      <c r="EYT65" s="180"/>
      <c r="EYU65" s="180"/>
      <c r="EYV65" s="180"/>
      <c r="EYW65" s="180"/>
      <c r="EYX65" s="180"/>
      <c r="EYY65" s="180"/>
      <c r="EYZ65" s="180"/>
      <c r="EZA65" s="180"/>
      <c r="EZB65" s="180"/>
      <c r="EZC65" s="180"/>
      <c r="EZD65" s="180"/>
      <c r="EZE65" s="180"/>
      <c r="EZF65" s="180"/>
      <c r="EZG65" s="180"/>
      <c r="EZH65" s="180"/>
      <c r="EZI65" s="180"/>
      <c r="EZJ65" s="180"/>
      <c r="EZK65" s="180"/>
      <c r="EZL65" s="180"/>
      <c r="EZM65" s="180"/>
      <c r="EZN65" s="180"/>
      <c r="EZO65" s="180"/>
      <c r="EZP65" s="180"/>
      <c r="EZQ65" s="180"/>
      <c r="EZR65" s="180"/>
      <c r="EZS65" s="180"/>
      <c r="EZT65" s="180"/>
      <c r="EZU65" s="180"/>
      <c r="EZV65" s="180"/>
      <c r="EZW65" s="180"/>
      <c r="EZX65" s="180"/>
      <c r="EZY65" s="180"/>
      <c r="EZZ65" s="180"/>
      <c r="FAA65" s="180"/>
      <c r="FAB65" s="180"/>
      <c r="FAC65" s="180"/>
      <c r="FAD65" s="180"/>
      <c r="FAE65" s="180"/>
      <c r="FAF65" s="180"/>
      <c r="FAG65" s="180"/>
      <c r="FAH65" s="180"/>
      <c r="FAI65" s="180"/>
      <c r="FAJ65" s="180"/>
      <c r="FAK65" s="180"/>
      <c r="FAL65" s="180"/>
      <c r="FAM65" s="180"/>
      <c r="FAN65" s="180"/>
      <c r="FAO65" s="180"/>
      <c r="FAP65" s="180"/>
      <c r="FAQ65" s="180"/>
      <c r="FAR65" s="180"/>
      <c r="FAS65" s="180"/>
      <c r="FAT65" s="180"/>
      <c r="FAU65" s="180"/>
      <c r="FAV65" s="180"/>
      <c r="FAW65" s="180"/>
      <c r="FAX65" s="180"/>
      <c r="FAY65" s="180"/>
      <c r="FAZ65" s="180"/>
      <c r="FBA65" s="180"/>
      <c r="FBB65" s="180"/>
      <c r="FBC65" s="180"/>
      <c r="FBD65" s="180"/>
      <c r="FBE65" s="180"/>
      <c r="FBF65" s="180"/>
      <c r="FBG65" s="180"/>
      <c r="FBH65" s="180"/>
      <c r="FBI65" s="180"/>
      <c r="FBJ65" s="180"/>
      <c r="FBK65" s="180"/>
      <c r="FBL65" s="180"/>
      <c r="FBM65" s="180"/>
      <c r="FBN65" s="180"/>
      <c r="FBO65" s="180"/>
      <c r="FBP65" s="180"/>
      <c r="FBQ65" s="180"/>
      <c r="FBR65" s="180"/>
      <c r="FBS65" s="180"/>
      <c r="FBT65" s="180"/>
      <c r="FBU65" s="180"/>
      <c r="FBV65" s="180"/>
      <c r="FBW65" s="180"/>
      <c r="FBX65" s="180"/>
      <c r="FBY65" s="180"/>
      <c r="FBZ65" s="180"/>
      <c r="FCA65" s="180"/>
      <c r="FCB65" s="180"/>
      <c r="FCC65" s="180"/>
      <c r="FCD65" s="180"/>
      <c r="FCE65" s="180"/>
      <c r="FCF65" s="180"/>
      <c r="FCG65" s="180"/>
      <c r="FCH65" s="180"/>
      <c r="FCI65" s="180"/>
      <c r="FCJ65" s="180"/>
      <c r="FCK65" s="180"/>
      <c r="FCL65" s="180"/>
      <c r="FCM65" s="180"/>
      <c r="FCN65" s="180"/>
      <c r="FCO65" s="180"/>
      <c r="FCP65" s="180"/>
      <c r="FCQ65" s="180"/>
      <c r="FCR65" s="180"/>
      <c r="FCS65" s="180"/>
      <c r="FCT65" s="180"/>
      <c r="FCU65" s="180"/>
      <c r="FCV65" s="180"/>
      <c r="FCW65" s="180"/>
      <c r="FCX65" s="180"/>
      <c r="FCY65" s="180"/>
      <c r="FCZ65" s="180"/>
      <c r="FDA65" s="180"/>
      <c r="FDB65" s="180"/>
      <c r="FDC65" s="180"/>
      <c r="FDD65" s="180"/>
      <c r="FDE65" s="180"/>
      <c r="FDF65" s="180"/>
      <c r="FDG65" s="180"/>
      <c r="FDH65" s="180"/>
      <c r="FDI65" s="180"/>
      <c r="FDJ65" s="180"/>
      <c r="FDK65" s="180"/>
      <c r="FDL65" s="180"/>
      <c r="FDM65" s="180"/>
      <c r="FDN65" s="180"/>
      <c r="FDO65" s="180"/>
      <c r="FDP65" s="180"/>
      <c r="FDQ65" s="180"/>
      <c r="FDR65" s="180"/>
      <c r="FDS65" s="180"/>
      <c r="FDT65" s="180"/>
      <c r="FDU65" s="180"/>
      <c r="FDV65" s="180"/>
      <c r="FDW65" s="180"/>
      <c r="FDX65" s="180"/>
      <c r="FDY65" s="180"/>
      <c r="FDZ65" s="180"/>
      <c r="FEA65" s="180"/>
      <c r="FEB65" s="180"/>
      <c r="FEC65" s="180"/>
      <c r="FED65" s="180"/>
      <c r="FEE65" s="180"/>
      <c r="FEF65" s="180"/>
      <c r="FEG65" s="180"/>
      <c r="FEH65" s="180"/>
      <c r="FEI65" s="180"/>
      <c r="FEJ65" s="180"/>
      <c r="FEK65" s="180"/>
      <c r="FEL65" s="180"/>
      <c r="FEM65" s="180"/>
      <c r="FEN65" s="180"/>
      <c r="FEO65" s="180"/>
      <c r="FEP65" s="180"/>
      <c r="FEQ65" s="180"/>
      <c r="FER65" s="180"/>
      <c r="FES65" s="180"/>
      <c r="FET65" s="180"/>
      <c r="FEU65" s="180"/>
      <c r="FEV65" s="180"/>
      <c r="FEW65" s="180"/>
      <c r="FEX65" s="180"/>
      <c r="FEY65" s="180"/>
      <c r="FEZ65" s="180"/>
      <c r="FFA65" s="180"/>
      <c r="FFB65" s="180"/>
      <c r="FFC65" s="180"/>
      <c r="FFD65" s="180"/>
      <c r="FFE65" s="180"/>
      <c r="FFF65" s="180"/>
      <c r="FFG65" s="180"/>
      <c r="FFH65" s="180"/>
      <c r="FFI65" s="180"/>
      <c r="FFJ65" s="180"/>
      <c r="FFK65" s="180"/>
      <c r="FFL65" s="180"/>
      <c r="FFM65" s="180"/>
      <c r="FFN65" s="180"/>
      <c r="FFO65" s="180"/>
      <c r="FFP65" s="180"/>
      <c r="FFQ65" s="180"/>
      <c r="FFR65" s="180"/>
      <c r="FFS65" s="180"/>
      <c r="FFT65" s="180"/>
      <c r="FFU65" s="180"/>
      <c r="FFV65" s="180"/>
      <c r="FFW65" s="180"/>
      <c r="FFX65" s="180"/>
      <c r="FFY65" s="180"/>
      <c r="FFZ65" s="180"/>
      <c r="FGA65" s="180"/>
      <c r="FGB65" s="180"/>
      <c r="FGC65" s="180"/>
      <c r="FGD65" s="180"/>
      <c r="FGE65" s="180"/>
      <c r="FGF65" s="180"/>
      <c r="FGG65" s="180"/>
      <c r="FGH65" s="180"/>
      <c r="FGI65" s="180"/>
      <c r="FGJ65" s="180"/>
      <c r="FGK65" s="180"/>
      <c r="FGL65" s="180"/>
      <c r="FGM65" s="180"/>
      <c r="FGN65" s="180"/>
      <c r="FGO65" s="180"/>
      <c r="FGP65" s="180"/>
      <c r="FGQ65" s="180"/>
      <c r="FGR65" s="180"/>
      <c r="FGS65" s="180"/>
      <c r="FGT65" s="180"/>
      <c r="FGU65" s="180"/>
      <c r="FGV65" s="180"/>
      <c r="FGW65" s="180"/>
      <c r="FGX65" s="180"/>
      <c r="FGY65" s="180"/>
      <c r="FGZ65" s="180"/>
      <c r="FHA65" s="180"/>
      <c r="FHB65" s="180"/>
      <c r="FHC65" s="180"/>
      <c r="FHD65" s="180"/>
      <c r="FHE65" s="180"/>
      <c r="FHF65" s="180"/>
      <c r="FHG65" s="180"/>
      <c r="FHH65" s="180"/>
      <c r="FHI65" s="180"/>
      <c r="FHJ65" s="180"/>
      <c r="FHK65" s="180"/>
      <c r="FHL65" s="180"/>
      <c r="FHM65" s="180"/>
      <c r="FHN65" s="180"/>
      <c r="FHO65" s="180"/>
      <c r="FHP65" s="180"/>
      <c r="FHQ65" s="180"/>
      <c r="FHR65" s="180"/>
      <c r="FHS65" s="180"/>
      <c r="FHT65" s="180"/>
      <c r="FHU65" s="180"/>
      <c r="FHV65" s="180"/>
      <c r="FHW65" s="180"/>
      <c r="FHX65" s="180"/>
      <c r="FHY65" s="180"/>
      <c r="FHZ65" s="180"/>
      <c r="FIA65" s="180"/>
      <c r="FIB65" s="180"/>
      <c r="FIC65" s="180"/>
      <c r="FID65" s="180"/>
      <c r="FIE65" s="180"/>
      <c r="FIF65" s="180"/>
      <c r="FIG65" s="180"/>
      <c r="FIH65" s="180"/>
      <c r="FII65" s="180"/>
      <c r="FIJ65" s="180"/>
      <c r="FIK65" s="180"/>
      <c r="FIL65" s="180"/>
      <c r="FIM65" s="180"/>
      <c r="FIN65" s="180"/>
      <c r="FIO65" s="180"/>
      <c r="FIP65" s="180"/>
      <c r="FIQ65" s="180"/>
      <c r="FIR65" s="180"/>
      <c r="FIS65" s="180"/>
      <c r="FIT65" s="180"/>
      <c r="FIU65" s="180"/>
      <c r="FIV65" s="180"/>
      <c r="FIW65" s="180"/>
      <c r="FIX65" s="180"/>
      <c r="FIY65" s="180"/>
      <c r="FIZ65" s="180"/>
      <c r="FJA65" s="180"/>
      <c r="FJB65" s="180"/>
      <c r="FJC65" s="180"/>
      <c r="FJD65" s="180"/>
      <c r="FJE65" s="180"/>
      <c r="FJF65" s="180"/>
      <c r="FJG65" s="180"/>
      <c r="FJH65" s="180"/>
      <c r="FJI65" s="180"/>
      <c r="FJJ65" s="180"/>
      <c r="FJK65" s="180"/>
      <c r="FJL65" s="180"/>
      <c r="FJM65" s="180"/>
      <c r="FJN65" s="180"/>
      <c r="FJO65" s="180"/>
      <c r="FJP65" s="180"/>
      <c r="FJQ65" s="180"/>
      <c r="FJR65" s="180"/>
      <c r="FJS65" s="180"/>
      <c r="FJT65" s="180"/>
      <c r="FJU65" s="180"/>
      <c r="FJV65" s="180"/>
      <c r="FJW65" s="180"/>
      <c r="FJX65" s="180"/>
      <c r="FJY65" s="180"/>
      <c r="FJZ65" s="180"/>
      <c r="FKA65" s="180"/>
      <c r="FKB65" s="180"/>
      <c r="FKC65" s="180"/>
      <c r="FKD65" s="180"/>
      <c r="FKE65" s="180"/>
      <c r="FKF65" s="180"/>
      <c r="FKG65" s="180"/>
      <c r="FKH65" s="180"/>
      <c r="FKI65" s="180"/>
      <c r="FKJ65" s="180"/>
      <c r="FKK65" s="180"/>
      <c r="FKL65" s="180"/>
      <c r="FKM65" s="180"/>
      <c r="FKN65" s="180"/>
      <c r="FKO65" s="180"/>
      <c r="FKP65" s="180"/>
      <c r="FKQ65" s="180"/>
      <c r="FKR65" s="180"/>
      <c r="FKS65" s="180"/>
      <c r="FKT65" s="180"/>
      <c r="FKU65" s="180"/>
      <c r="FKV65" s="180"/>
      <c r="FKW65" s="180"/>
      <c r="FKX65" s="180"/>
      <c r="FKY65" s="180"/>
      <c r="FKZ65" s="180"/>
      <c r="FLA65" s="180"/>
      <c r="FLB65" s="180"/>
      <c r="FLC65" s="180"/>
      <c r="FLD65" s="180"/>
      <c r="FLE65" s="180"/>
      <c r="FLF65" s="180"/>
      <c r="FLG65" s="180"/>
      <c r="FLH65" s="180"/>
      <c r="FLI65" s="180"/>
      <c r="FLJ65" s="180"/>
      <c r="FLK65" s="180"/>
      <c r="FLL65" s="180"/>
      <c r="FLM65" s="180"/>
      <c r="FLN65" s="180"/>
      <c r="FLO65" s="180"/>
      <c r="FLP65" s="180"/>
      <c r="FLQ65" s="180"/>
      <c r="FLR65" s="180"/>
      <c r="FLS65" s="180"/>
      <c r="FLT65" s="180"/>
      <c r="FLU65" s="180"/>
      <c r="FLV65" s="180"/>
      <c r="FLW65" s="180"/>
      <c r="FLX65" s="180"/>
      <c r="FLY65" s="180"/>
      <c r="FLZ65" s="180"/>
      <c r="FMA65" s="180"/>
      <c r="FMB65" s="180"/>
      <c r="FMC65" s="180"/>
      <c r="FMD65" s="180"/>
      <c r="FME65" s="180"/>
      <c r="FMF65" s="180"/>
      <c r="FMG65" s="180"/>
      <c r="FMH65" s="180"/>
      <c r="FMI65" s="180"/>
      <c r="FMJ65" s="180"/>
      <c r="FMK65" s="180"/>
      <c r="FML65" s="180"/>
      <c r="FMM65" s="180"/>
      <c r="FMN65" s="180"/>
      <c r="FMO65" s="180"/>
      <c r="FMP65" s="180"/>
      <c r="FMQ65" s="180"/>
      <c r="FMR65" s="180"/>
      <c r="FMS65" s="180"/>
      <c r="FMT65" s="180"/>
      <c r="FMU65" s="180"/>
      <c r="FMV65" s="180"/>
      <c r="FMW65" s="180"/>
      <c r="FMX65" s="180"/>
      <c r="FMY65" s="180"/>
      <c r="FMZ65" s="180"/>
      <c r="FNA65" s="180"/>
      <c r="FNB65" s="180"/>
      <c r="FNC65" s="180"/>
      <c r="FND65" s="180"/>
      <c r="FNE65" s="180"/>
      <c r="FNF65" s="180"/>
      <c r="FNG65" s="180"/>
      <c r="FNH65" s="180"/>
      <c r="FNI65" s="180"/>
      <c r="FNJ65" s="180"/>
      <c r="FNK65" s="180"/>
      <c r="FNL65" s="180"/>
      <c r="FNM65" s="180"/>
      <c r="FNN65" s="180"/>
      <c r="FNO65" s="180"/>
      <c r="FNP65" s="180"/>
      <c r="FNQ65" s="180"/>
      <c r="FNR65" s="180"/>
      <c r="FNS65" s="180"/>
      <c r="FNT65" s="180"/>
      <c r="FNU65" s="180"/>
      <c r="FNV65" s="180"/>
      <c r="FNW65" s="180"/>
      <c r="FNX65" s="180"/>
      <c r="FNY65" s="180"/>
      <c r="FNZ65" s="180"/>
      <c r="FOA65" s="180"/>
      <c r="FOB65" s="180"/>
      <c r="FOC65" s="180"/>
      <c r="FOD65" s="180"/>
      <c r="FOE65" s="180"/>
      <c r="FOF65" s="180"/>
      <c r="FOG65" s="180"/>
      <c r="FOH65" s="180"/>
      <c r="FOI65" s="180"/>
      <c r="FOJ65" s="180"/>
      <c r="FOK65" s="180"/>
      <c r="FOL65" s="180"/>
      <c r="FOM65" s="180"/>
      <c r="FON65" s="180"/>
      <c r="FOO65" s="180"/>
      <c r="FOP65" s="180"/>
      <c r="FOQ65" s="180"/>
      <c r="FOR65" s="180"/>
      <c r="FOS65" s="180"/>
      <c r="FOT65" s="180"/>
      <c r="FOU65" s="180"/>
      <c r="FOV65" s="180"/>
      <c r="FOW65" s="180"/>
      <c r="FOX65" s="180"/>
      <c r="FOY65" s="180"/>
      <c r="FOZ65" s="180"/>
      <c r="FPA65" s="180"/>
      <c r="FPB65" s="180"/>
      <c r="FPC65" s="180"/>
      <c r="FPD65" s="180"/>
      <c r="FPE65" s="180"/>
      <c r="FPF65" s="180"/>
      <c r="FPG65" s="180"/>
      <c r="FPH65" s="180"/>
      <c r="FPI65" s="180"/>
      <c r="FPJ65" s="180"/>
      <c r="FPK65" s="180"/>
      <c r="FPL65" s="180"/>
      <c r="FPM65" s="180"/>
      <c r="FPN65" s="180"/>
      <c r="FPO65" s="180"/>
      <c r="FPP65" s="180"/>
      <c r="FPQ65" s="180"/>
      <c r="FPR65" s="180"/>
      <c r="FPS65" s="180"/>
      <c r="FPT65" s="180"/>
      <c r="FPU65" s="180"/>
      <c r="FPV65" s="180"/>
      <c r="FPW65" s="180"/>
      <c r="FPX65" s="180"/>
      <c r="FPY65" s="180"/>
      <c r="FPZ65" s="180"/>
      <c r="FQA65" s="180"/>
      <c r="FQB65" s="180"/>
      <c r="FQC65" s="180"/>
      <c r="FQD65" s="180"/>
      <c r="FQE65" s="180"/>
      <c r="FQF65" s="180"/>
      <c r="FQG65" s="180"/>
      <c r="FQH65" s="180"/>
      <c r="FQI65" s="180"/>
      <c r="FQJ65" s="180"/>
      <c r="FQK65" s="180"/>
      <c r="FQL65" s="180"/>
      <c r="FQM65" s="180"/>
      <c r="FQN65" s="180"/>
      <c r="FQO65" s="180"/>
      <c r="FQP65" s="180"/>
      <c r="FQQ65" s="180"/>
      <c r="FQR65" s="180"/>
      <c r="FQS65" s="180"/>
      <c r="FQT65" s="180"/>
      <c r="FQU65" s="180"/>
      <c r="FQV65" s="180"/>
      <c r="FQW65" s="180"/>
      <c r="FQX65" s="180"/>
      <c r="FQY65" s="180"/>
      <c r="FQZ65" s="180"/>
      <c r="FRA65" s="180"/>
      <c r="FRB65" s="180"/>
      <c r="FRC65" s="180"/>
      <c r="FRD65" s="180"/>
      <c r="FRE65" s="180"/>
      <c r="FRF65" s="180"/>
      <c r="FRG65" s="180"/>
      <c r="FRH65" s="180"/>
      <c r="FRI65" s="180"/>
      <c r="FRJ65" s="180"/>
      <c r="FRK65" s="180"/>
      <c r="FRL65" s="180"/>
      <c r="FRM65" s="180"/>
      <c r="FRN65" s="180"/>
      <c r="FRO65" s="180"/>
      <c r="FRP65" s="180"/>
      <c r="FRQ65" s="180"/>
      <c r="FRR65" s="180"/>
      <c r="FRS65" s="180"/>
      <c r="FRT65" s="180"/>
      <c r="FRU65" s="180"/>
      <c r="FRV65" s="180"/>
      <c r="FRW65" s="180"/>
      <c r="FRX65" s="180"/>
      <c r="FRY65" s="180"/>
      <c r="FRZ65" s="180"/>
      <c r="FSA65" s="180"/>
      <c r="FSB65" s="180"/>
      <c r="FSC65" s="180"/>
      <c r="FSD65" s="180"/>
      <c r="FSE65" s="180"/>
      <c r="FSF65" s="180"/>
      <c r="FSG65" s="180"/>
      <c r="FSH65" s="180"/>
      <c r="FSI65" s="180"/>
      <c r="FSJ65" s="180"/>
      <c r="FSK65" s="180"/>
      <c r="FSL65" s="180"/>
      <c r="FSM65" s="180"/>
      <c r="FSN65" s="180"/>
      <c r="FSO65" s="180"/>
      <c r="FSP65" s="180"/>
      <c r="FSQ65" s="180"/>
      <c r="FSR65" s="180"/>
      <c r="FSS65" s="180"/>
      <c r="FST65" s="180"/>
      <c r="FSU65" s="180"/>
      <c r="FSV65" s="180"/>
      <c r="FSW65" s="180"/>
      <c r="FSX65" s="180"/>
      <c r="FSY65" s="180"/>
      <c r="FSZ65" s="180"/>
      <c r="FTA65" s="180"/>
      <c r="FTB65" s="180"/>
      <c r="FTC65" s="180"/>
      <c r="FTD65" s="180"/>
      <c r="FTE65" s="180"/>
      <c r="FTF65" s="180"/>
      <c r="FTG65" s="180"/>
      <c r="FTH65" s="180"/>
      <c r="FTI65" s="180"/>
      <c r="FTJ65" s="180"/>
      <c r="FTK65" s="180"/>
      <c r="FTL65" s="180"/>
      <c r="FTM65" s="180"/>
      <c r="FTN65" s="180"/>
      <c r="FTO65" s="180"/>
      <c r="FTP65" s="180"/>
      <c r="FTQ65" s="180"/>
      <c r="FTR65" s="180"/>
      <c r="FTS65" s="180"/>
      <c r="FTT65" s="180"/>
      <c r="FTU65" s="180"/>
      <c r="FTV65" s="180"/>
      <c r="FTW65" s="180"/>
      <c r="FTX65" s="180"/>
      <c r="FTY65" s="180"/>
      <c r="FTZ65" s="180"/>
      <c r="FUA65" s="180"/>
      <c r="FUB65" s="180"/>
      <c r="FUC65" s="180"/>
      <c r="FUD65" s="180"/>
      <c r="FUE65" s="180"/>
      <c r="FUF65" s="180"/>
      <c r="FUG65" s="180"/>
      <c r="FUH65" s="180"/>
      <c r="FUI65" s="180"/>
      <c r="FUJ65" s="180"/>
      <c r="FUK65" s="180"/>
      <c r="FUL65" s="180"/>
      <c r="FUM65" s="180"/>
      <c r="FUN65" s="180"/>
      <c r="FUO65" s="180"/>
      <c r="FUP65" s="180"/>
      <c r="FUQ65" s="180"/>
      <c r="FUR65" s="180"/>
      <c r="FUS65" s="180"/>
      <c r="FUT65" s="180"/>
      <c r="FUU65" s="180"/>
      <c r="FUV65" s="180"/>
      <c r="FUW65" s="180"/>
      <c r="FUX65" s="180"/>
      <c r="FUY65" s="180"/>
      <c r="FUZ65" s="180"/>
      <c r="FVA65" s="180"/>
      <c r="FVB65" s="180"/>
      <c r="FVC65" s="180"/>
      <c r="FVD65" s="180"/>
      <c r="FVE65" s="180"/>
      <c r="FVF65" s="180"/>
      <c r="FVG65" s="180"/>
      <c r="FVH65" s="180"/>
      <c r="FVI65" s="180"/>
      <c r="FVJ65" s="180"/>
      <c r="FVK65" s="180"/>
      <c r="FVL65" s="180"/>
      <c r="FVM65" s="180"/>
      <c r="FVN65" s="180"/>
      <c r="FVO65" s="180"/>
      <c r="FVP65" s="180"/>
      <c r="FVQ65" s="180"/>
      <c r="FVR65" s="180"/>
      <c r="FVS65" s="180"/>
      <c r="FVT65" s="180"/>
      <c r="FVU65" s="180"/>
      <c r="FVV65" s="180"/>
      <c r="FVW65" s="180"/>
      <c r="FVX65" s="180"/>
      <c r="FVY65" s="180"/>
      <c r="FVZ65" s="180"/>
      <c r="FWA65" s="180"/>
      <c r="FWB65" s="180"/>
      <c r="FWC65" s="180"/>
      <c r="FWD65" s="180"/>
      <c r="FWE65" s="180"/>
      <c r="FWF65" s="180"/>
      <c r="FWG65" s="180"/>
      <c r="FWH65" s="180"/>
      <c r="FWI65" s="180"/>
      <c r="FWJ65" s="180"/>
      <c r="FWK65" s="180"/>
      <c r="FWL65" s="180"/>
      <c r="FWM65" s="180"/>
      <c r="FWN65" s="180"/>
      <c r="FWO65" s="180"/>
      <c r="FWP65" s="180"/>
      <c r="FWQ65" s="180"/>
      <c r="FWR65" s="180"/>
      <c r="FWS65" s="180"/>
      <c r="FWT65" s="180"/>
      <c r="FWU65" s="180"/>
      <c r="FWV65" s="180"/>
      <c r="FWW65" s="180"/>
      <c r="FWX65" s="180"/>
      <c r="FWY65" s="180"/>
      <c r="FWZ65" s="180"/>
      <c r="FXA65" s="180"/>
      <c r="FXB65" s="180"/>
      <c r="FXC65" s="180"/>
      <c r="FXD65" s="180"/>
      <c r="FXE65" s="180"/>
      <c r="FXF65" s="180"/>
      <c r="FXG65" s="180"/>
      <c r="FXH65" s="180"/>
      <c r="FXI65" s="180"/>
      <c r="FXJ65" s="180"/>
      <c r="FXK65" s="180"/>
      <c r="FXL65" s="180"/>
      <c r="FXM65" s="180"/>
      <c r="FXN65" s="180"/>
      <c r="FXO65" s="180"/>
      <c r="FXP65" s="180"/>
      <c r="FXQ65" s="180"/>
      <c r="FXR65" s="180"/>
      <c r="FXS65" s="180"/>
      <c r="FXT65" s="180"/>
      <c r="FXU65" s="180"/>
      <c r="FXV65" s="180"/>
      <c r="FXW65" s="180"/>
      <c r="FXX65" s="180"/>
      <c r="FXY65" s="180"/>
      <c r="FXZ65" s="180"/>
      <c r="FYA65" s="180"/>
      <c r="FYB65" s="180"/>
      <c r="FYC65" s="180"/>
      <c r="FYD65" s="180"/>
      <c r="FYE65" s="180"/>
      <c r="FYF65" s="180"/>
      <c r="FYG65" s="180"/>
      <c r="FYH65" s="180"/>
      <c r="FYI65" s="180"/>
      <c r="FYJ65" s="180"/>
      <c r="FYK65" s="180"/>
      <c r="FYL65" s="180"/>
      <c r="FYM65" s="180"/>
      <c r="FYN65" s="180"/>
      <c r="FYO65" s="180"/>
      <c r="FYP65" s="180"/>
      <c r="FYQ65" s="180"/>
      <c r="FYR65" s="180"/>
      <c r="FYS65" s="180"/>
      <c r="FYT65" s="180"/>
      <c r="FYU65" s="180"/>
      <c r="FYV65" s="180"/>
      <c r="FYW65" s="180"/>
      <c r="FYX65" s="180"/>
      <c r="FYY65" s="180"/>
      <c r="FYZ65" s="180"/>
      <c r="FZA65" s="180"/>
      <c r="FZB65" s="180"/>
      <c r="FZC65" s="180"/>
      <c r="FZD65" s="180"/>
      <c r="FZE65" s="180"/>
      <c r="FZF65" s="180"/>
      <c r="FZG65" s="180"/>
      <c r="FZH65" s="180"/>
      <c r="FZI65" s="180"/>
      <c r="FZJ65" s="180"/>
      <c r="FZK65" s="180"/>
      <c r="FZL65" s="180"/>
      <c r="FZM65" s="180"/>
      <c r="FZN65" s="180"/>
      <c r="FZO65" s="180"/>
      <c r="FZP65" s="180"/>
      <c r="FZQ65" s="180"/>
      <c r="FZR65" s="180"/>
      <c r="FZS65" s="180"/>
      <c r="FZT65" s="180"/>
      <c r="FZU65" s="180"/>
      <c r="FZV65" s="180"/>
      <c r="FZW65" s="180"/>
      <c r="FZX65" s="180"/>
      <c r="FZY65" s="180"/>
      <c r="FZZ65" s="180"/>
      <c r="GAA65" s="180"/>
      <c r="GAB65" s="180"/>
      <c r="GAC65" s="180"/>
      <c r="GAD65" s="180"/>
      <c r="GAE65" s="180"/>
      <c r="GAF65" s="180"/>
      <c r="GAG65" s="180"/>
      <c r="GAH65" s="180"/>
      <c r="GAI65" s="180"/>
      <c r="GAJ65" s="180"/>
      <c r="GAK65" s="180"/>
      <c r="GAL65" s="180"/>
      <c r="GAM65" s="180"/>
      <c r="GAN65" s="180"/>
      <c r="GAO65" s="180"/>
      <c r="GAP65" s="180"/>
      <c r="GAQ65" s="180"/>
      <c r="GAR65" s="180"/>
      <c r="GAS65" s="180"/>
      <c r="GAT65" s="180"/>
      <c r="GAU65" s="180"/>
      <c r="GAV65" s="180"/>
      <c r="GAW65" s="180"/>
      <c r="GAX65" s="180"/>
      <c r="GAY65" s="180"/>
      <c r="GAZ65" s="180"/>
      <c r="GBA65" s="180"/>
      <c r="GBB65" s="180"/>
      <c r="GBC65" s="180"/>
      <c r="GBD65" s="180"/>
      <c r="GBE65" s="180"/>
      <c r="GBF65" s="180"/>
      <c r="GBG65" s="180"/>
      <c r="GBH65" s="180"/>
      <c r="GBI65" s="180"/>
      <c r="GBJ65" s="180"/>
      <c r="GBK65" s="180"/>
      <c r="GBL65" s="180"/>
      <c r="GBM65" s="180"/>
      <c r="GBN65" s="180"/>
      <c r="GBO65" s="180"/>
      <c r="GBP65" s="180"/>
      <c r="GBQ65" s="180"/>
      <c r="GBR65" s="180"/>
      <c r="GBS65" s="180"/>
      <c r="GBT65" s="180"/>
      <c r="GBU65" s="180"/>
      <c r="GBV65" s="180"/>
      <c r="GBW65" s="180"/>
      <c r="GBX65" s="180"/>
      <c r="GBY65" s="180"/>
      <c r="GBZ65" s="180"/>
      <c r="GCA65" s="180"/>
      <c r="GCB65" s="180"/>
      <c r="GCC65" s="180"/>
      <c r="GCD65" s="180"/>
      <c r="GCE65" s="180"/>
      <c r="GCF65" s="180"/>
      <c r="GCG65" s="180"/>
      <c r="GCH65" s="180"/>
      <c r="GCI65" s="180"/>
      <c r="GCJ65" s="180"/>
      <c r="GCK65" s="180"/>
      <c r="GCL65" s="180"/>
      <c r="GCM65" s="180"/>
      <c r="GCN65" s="180"/>
      <c r="GCO65" s="180"/>
      <c r="GCP65" s="180"/>
      <c r="GCQ65" s="180"/>
      <c r="GCR65" s="180"/>
      <c r="GCS65" s="180"/>
      <c r="GCT65" s="180"/>
      <c r="GCU65" s="180"/>
      <c r="GCV65" s="180"/>
      <c r="GCW65" s="180"/>
      <c r="GCX65" s="180"/>
      <c r="GCY65" s="180"/>
      <c r="GCZ65" s="180"/>
      <c r="GDA65" s="180"/>
      <c r="GDB65" s="180"/>
      <c r="GDC65" s="180"/>
      <c r="GDD65" s="180"/>
      <c r="GDE65" s="180"/>
      <c r="GDF65" s="180"/>
      <c r="GDG65" s="180"/>
      <c r="GDH65" s="180"/>
      <c r="GDI65" s="180"/>
      <c r="GDJ65" s="180"/>
      <c r="GDK65" s="180"/>
      <c r="GDL65" s="180"/>
      <c r="GDM65" s="180"/>
      <c r="GDN65" s="180"/>
      <c r="GDO65" s="180"/>
      <c r="GDP65" s="180"/>
      <c r="GDQ65" s="180"/>
      <c r="GDR65" s="180"/>
      <c r="GDS65" s="180"/>
      <c r="GDT65" s="180"/>
      <c r="GDU65" s="180"/>
      <c r="GDV65" s="180"/>
      <c r="GDW65" s="180"/>
      <c r="GDX65" s="180"/>
      <c r="GDY65" s="180"/>
      <c r="GDZ65" s="180"/>
      <c r="GEA65" s="180"/>
      <c r="GEB65" s="180"/>
      <c r="GEC65" s="180"/>
      <c r="GED65" s="180"/>
      <c r="GEE65" s="180"/>
      <c r="GEF65" s="180"/>
      <c r="GEG65" s="180"/>
      <c r="GEH65" s="180"/>
      <c r="GEI65" s="180"/>
      <c r="GEJ65" s="180"/>
      <c r="GEK65" s="180"/>
      <c r="GEL65" s="180"/>
      <c r="GEM65" s="180"/>
      <c r="GEN65" s="180"/>
      <c r="GEO65" s="180"/>
      <c r="GEP65" s="180"/>
      <c r="GEQ65" s="180"/>
      <c r="GER65" s="180"/>
      <c r="GES65" s="180"/>
      <c r="GET65" s="180"/>
      <c r="GEU65" s="180"/>
      <c r="GEV65" s="180"/>
      <c r="GEW65" s="180"/>
      <c r="GEX65" s="180"/>
      <c r="GEY65" s="180"/>
      <c r="GEZ65" s="180"/>
      <c r="GFA65" s="180"/>
      <c r="GFB65" s="180"/>
      <c r="GFC65" s="180"/>
      <c r="GFD65" s="180"/>
      <c r="GFE65" s="180"/>
      <c r="GFF65" s="180"/>
      <c r="GFG65" s="180"/>
      <c r="GFH65" s="180"/>
      <c r="GFI65" s="180"/>
      <c r="GFJ65" s="180"/>
      <c r="GFK65" s="180"/>
      <c r="GFL65" s="180"/>
      <c r="GFM65" s="180"/>
      <c r="GFN65" s="180"/>
      <c r="GFO65" s="180"/>
      <c r="GFP65" s="180"/>
      <c r="GFQ65" s="180"/>
      <c r="GFR65" s="180"/>
      <c r="GFS65" s="180"/>
      <c r="GFT65" s="180"/>
      <c r="GFU65" s="180"/>
      <c r="GFV65" s="180"/>
      <c r="GFW65" s="180"/>
      <c r="GFX65" s="180"/>
      <c r="GFY65" s="180"/>
      <c r="GFZ65" s="180"/>
      <c r="GGA65" s="180"/>
      <c r="GGB65" s="180"/>
      <c r="GGC65" s="180"/>
      <c r="GGD65" s="180"/>
      <c r="GGE65" s="180"/>
      <c r="GGF65" s="180"/>
      <c r="GGG65" s="180"/>
      <c r="GGH65" s="180"/>
      <c r="GGI65" s="180"/>
      <c r="GGJ65" s="180"/>
      <c r="GGK65" s="180"/>
      <c r="GGL65" s="180"/>
      <c r="GGM65" s="180"/>
      <c r="GGN65" s="180"/>
      <c r="GGO65" s="180"/>
      <c r="GGP65" s="180"/>
      <c r="GGQ65" s="180"/>
      <c r="GGR65" s="180"/>
      <c r="GGS65" s="180"/>
      <c r="GGT65" s="180"/>
      <c r="GGU65" s="180"/>
      <c r="GGV65" s="180"/>
      <c r="GGW65" s="180"/>
      <c r="GGX65" s="180"/>
      <c r="GGY65" s="180"/>
      <c r="GGZ65" s="180"/>
      <c r="GHA65" s="180"/>
      <c r="GHB65" s="180"/>
      <c r="GHC65" s="180"/>
      <c r="GHD65" s="180"/>
      <c r="GHE65" s="180"/>
      <c r="GHF65" s="180"/>
      <c r="GHG65" s="180"/>
      <c r="GHH65" s="180"/>
      <c r="GHI65" s="180"/>
      <c r="GHJ65" s="180"/>
      <c r="GHK65" s="180"/>
      <c r="GHL65" s="180"/>
      <c r="GHM65" s="180"/>
      <c r="GHN65" s="180"/>
      <c r="GHO65" s="180"/>
      <c r="GHP65" s="180"/>
      <c r="GHQ65" s="180"/>
      <c r="GHR65" s="180"/>
      <c r="GHS65" s="180"/>
      <c r="GHT65" s="180"/>
      <c r="GHU65" s="180"/>
      <c r="GHV65" s="180"/>
      <c r="GHW65" s="180"/>
      <c r="GHX65" s="180"/>
      <c r="GHY65" s="180"/>
      <c r="GHZ65" s="180"/>
      <c r="GIA65" s="180"/>
      <c r="GIB65" s="180"/>
      <c r="GIC65" s="180"/>
      <c r="GID65" s="180"/>
      <c r="GIE65" s="180"/>
      <c r="GIF65" s="180"/>
      <c r="GIG65" s="180"/>
      <c r="GIH65" s="180"/>
      <c r="GII65" s="180"/>
      <c r="GIJ65" s="180"/>
      <c r="GIK65" s="180"/>
      <c r="GIL65" s="180"/>
      <c r="GIM65" s="180"/>
      <c r="GIN65" s="180"/>
      <c r="GIO65" s="180"/>
      <c r="GIP65" s="180"/>
      <c r="GIQ65" s="180"/>
      <c r="GIR65" s="180"/>
      <c r="GIS65" s="180"/>
      <c r="GIT65" s="180"/>
      <c r="GIU65" s="180"/>
      <c r="GIV65" s="180"/>
      <c r="GIW65" s="180"/>
      <c r="GIX65" s="180"/>
      <c r="GIY65" s="180"/>
      <c r="GIZ65" s="180"/>
      <c r="GJA65" s="180"/>
      <c r="GJB65" s="180"/>
      <c r="GJC65" s="180"/>
      <c r="GJD65" s="180"/>
      <c r="GJE65" s="180"/>
      <c r="GJF65" s="180"/>
      <c r="GJG65" s="180"/>
      <c r="GJH65" s="180"/>
      <c r="GJI65" s="180"/>
      <c r="GJJ65" s="180"/>
      <c r="GJK65" s="180"/>
      <c r="GJL65" s="180"/>
      <c r="GJM65" s="180"/>
      <c r="GJN65" s="180"/>
      <c r="GJO65" s="180"/>
      <c r="GJP65" s="180"/>
      <c r="GJQ65" s="180"/>
      <c r="GJR65" s="180"/>
      <c r="GJS65" s="180"/>
      <c r="GJT65" s="180"/>
      <c r="GJU65" s="180"/>
      <c r="GJV65" s="180"/>
      <c r="GJW65" s="180"/>
      <c r="GJX65" s="180"/>
      <c r="GJY65" s="180"/>
      <c r="GJZ65" s="180"/>
      <c r="GKA65" s="180"/>
      <c r="GKB65" s="180"/>
      <c r="GKC65" s="180"/>
      <c r="GKD65" s="180"/>
      <c r="GKE65" s="180"/>
      <c r="GKF65" s="180"/>
      <c r="GKG65" s="180"/>
      <c r="GKH65" s="180"/>
      <c r="GKI65" s="180"/>
      <c r="GKJ65" s="180"/>
      <c r="GKK65" s="180"/>
      <c r="GKL65" s="180"/>
      <c r="GKM65" s="180"/>
      <c r="GKN65" s="180"/>
      <c r="GKO65" s="180"/>
      <c r="GKP65" s="180"/>
      <c r="GKQ65" s="180"/>
      <c r="GKR65" s="180"/>
      <c r="GKS65" s="180"/>
      <c r="GKT65" s="180"/>
      <c r="GKU65" s="180"/>
      <c r="GKV65" s="180"/>
      <c r="GKW65" s="180"/>
      <c r="GKX65" s="180"/>
      <c r="GKY65" s="180"/>
      <c r="GKZ65" s="180"/>
      <c r="GLA65" s="180"/>
      <c r="GLB65" s="180"/>
      <c r="GLC65" s="180"/>
      <c r="GLD65" s="180"/>
      <c r="GLE65" s="180"/>
      <c r="GLF65" s="180"/>
      <c r="GLG65" s="180"/>
      <c r="GLH65" s="180"/>
      <c r="GLI65" s="180"/>
      <c r="GLJ65" s="180"/>
      <c r="GLK65" s="180"/>
      <c r="GLL65" s="180"/>
      <c r="GLM65" s="180"/>
      <c r="GLN65" s="180"/>
      <c r="GLO65" s="180"/>
      <c r="GLP65" s="180"/>
      <c r="GLQ65" s="180"/>
      <c r="GLR65" s="180"/>
      <c r="GLS65" s="180"/>
      <c r="GLT65" s="180"/>
      <c r="GLU65" s="180"/>
      <c r="GLV65" s="180"/>
      <c r="GLW65" s="180"/>
      <c r="GLX65" s="180"/>
      <c r="GLY65" s="180"/>
      <c r="GLZ65" s="180"/>
      <c r="GMA65" s="180"/>
      <c r="GMB65" s="180"/>
      <c r="GMC65" s="180"/>
      <c r="GMD65" s="180"/>
      <c r="GME65" s="180"/>
      <c r="GMF65" s="180"/>
      <c r="GMG65" s="180"/>
      <c r="GMH65" s="180"/>
      <c r="GMI65" s="180"/>
      <c r="GMJ65" s="180"/>
      <c r="GMK65" s="180"/>
      <c r="GML65" s="180"/>
      <c r="GMM65" s="180"/>
      <c r="GMN65" s="180"/>
      <c r="GMO65" s="180"/>
      <c r="GMP65" s="180"/>
      <c r="GMQ65" s="180"/>
      <c r="GMR65" s="180"/>
      <c r="GMS65" s="180"/>
      <c r="GMT65" s="180"/>
      <c r="GMU65" s="180"/>
      <c r="GMV65" s="180"/>
      <c r="GMW65" s="180"/>
      <c r="GMX65" s="180"/>
      <c r="GMY65" s="180"/>
      <c r="GMZ65" s="180"/>
      <c r="GNA65" s="180"/>
      <c r="GNB65" s="180"/>
      <c r="GNC65" s="180"/>
      <c r="GND65" s="180"/>
      <c r="GNE65" s="180"/>
      <c r="GNF65" s="180"/>
      <c r="GNG65" s="180"/>
      <c r="GNH65" s="180"/>
      <c r="GNI65" s="180"/>
      <c r="GNJ65" s="180"/>
      <c r="GNK65" s="180"/>
      <c r="GNL65" s="180"/>
      <c r="GNM65" s="180"/>
      <c r="GNN65" s="180"/>
      <c r="GNO65" s="180"/>
      <c r="GNP65" s="180"/>
      <c r="GNQ65" s="180"/>
      <c r="GNR65" s="180"/>
      <c r="GNS65" s="180"/>
      <c r="GNT65" s="180"/>
      <c r="GNU65" s="180"/>
      <c r="GNV65" s="180"/>
      <c r="GNW65" s="180"/>
      <c r="GNX65" s="180"/>
      <c r="GNY65" s="180"/>
      <c r="GNZ65" s="180"/>
      <c r="GOA65" s="180"/>
      <c r="GOB65" s="180"/>
      <c r="GOC65" s="180"/>
      <c r="GOD65" s="180"/>
      <c r="GOE65" s="180"/>
      <c r="GOF65" s="180"/>
      <c r="GOG65" s="180"/>
      <c r="GOH65" s="180"/>
      <c r="GOI65" s="180"/>
      <c r="GOJ65" s="180"/>
      <c r="GOK65" s="180"/>
      <c r="GOL65" s="180"/>
      <c r="GOM65" s="180"/>
      <c r="GON65" s="180"/>
      <c r="GOO65" s="180"/>
      <c r="GOP65" s="180"/>
      <c r="GOQ65" s="180"/>
      <c r="GOR65" s="180"/>
      <c r="GOS65" s="180"/>
      <c r="GOT65" s="180"/>
      <c r="GOU65" s="180"/>
      <c r="GOV65" s="180"/>
      <c r="GOW65" s="180"/>
      <c r="GOX65" s="180"/>
      <c r="GOY65" s="180"/>
      <c r="GOZ65" s="180"/>
      <c r="GPA65" s="180"/>
      <c r="GPB65" s="180"/>
      <c r="GPC65" s="180"/>
      <c r="GPD65" s="180"/>
      <c r="GPE65" s="180"/>
      <c r="GPF65" s="180"/>
      <c r="GPG65" s="180"/>
      <c r="GPH65" s="180"/>
      <c r="GPI65" s="180"/>
      <c r="GPJ65" s="180"/>
      <c r="GPK65" s="180"/>
      <c r="GPL65" s="180"/>
      <c r="GPM65" s="180"/>
      <c r="GPN65" s="180"/>
      <c r="GPO65" s="180"/>
      <c r="GPP65" s="180"/>
      <c r="GPQ65" s="180"/>
      <c r="GPR65" s="180"/>
      <c r="GPS65" s="180"/>
      <c r="GPT65" s="180"/>
      <c r="GPU65" s="180"/>
      <c r="GPV65" s="180"/>
      <c r="GPW65" s="180"/>
      <c r="GPX65" s="180"/>
      <c r="GPY65" s="180"/>
      <c r="GPZ65" s="180"/>
      <c r="GQA65" s="180"/>
      <c r="GQB65" s="180"/>
      <c r="GQC65" s="180"/>
      <c r="GQD65" s="180"/>
      <c r="GQE65" s="180"/>
      <c r="GQF65" s="180"/>
      <c r="GQG65" s="180"/>
      <c r="GQH65" s="180"/>
      <c r="GQI65" s="180"/>
      <c r="GQJ65" s="180"/>
      <c r="GQK65" s="180"/>
      <c r="GQL65" s="180"/>
      <c r="GQM65" s="180"/>
      <c r="GQN65" s="180"/>
      <c r="GQO65" s="180"/>
      <c r="GQP65" s="180"/>
      <c r="GQQ65" s="180"/>
      <c r="GQR65" s="180"/>
      <c r="GQS65" s="180"/>
      <c r="GQT65" s="180"/>
      <c r="GQU65" s="180"/>
      <c r="GQV65" s="180"/>
      <c r="GQW65" s="180"/>
      <c r="GQX65" s="180"/>
      <c r="GQY65" s="180"/>
      <c r="GQZ65" s="180"/>
      <c r="GRA65" s="180"/>
      <c r="GRB65" s="180"/>
      <c r="GRC65" s="180"/>
      <c r="GRD65" s="180"/>
      <c r="GRE65" s="180"/>
      <c r="GRF65" s="180"/>
      <c r="GRG65" s="180"/>
      <c r="GRH65" s="180"/>
      <c r="GRI65" s="180"/>
      <c r="GRJ65" s="180"/>
      <c r="GRK65" s="180"/>
      <c r="GRL65" s="180"/>
      <c r="GRM65" s="180"/>
      <c r="GRN65" s="180"/>
      <c r="GRO65" s="180"/>
      <c r="GRP65" s="180"/>
      <c r="GRQ65" s="180"/>
      <c r="GRR65" s="180"/>
      <c r="GRS65" s="180"/>
      <c r="GRT65" s="180"/>
      <c r="GRU65" s="180"/>
      <c r="GRV65" s="180"/>
      <c r="GRW65" s="180"/>
      <c r="GRX65" s="180"/>
      <c r="GRY65" s="180"/>
      <c r="GRZ65" s="180"/>
      <c r="GSA65" s="180"/>
      <c r="GSB65" s="180"/>
      <c r="GSC65" s="180"/>
      <c r="GSD65" s="180"/>
      <c r="GSE65" s="180"/>
      <c r="GSF65" s="180"/>
      <c r="GSG65" s="180"/>
      <c r="GSH65" s="180"/>
      <c r="GSI65" s="180"/>
      <c r="GSJ65" s="180"/>
      <c r="GSK65" s="180"/>
      <c r="GSL65" s="180"/>
      <c r="GSM65" s="180"/>
      <c r="GSN65" s="180"/>
      <c r="GSO65" s="180"/>
      <c r="GSP65" s="180"/>
      <c r="GSQ65" s="180"/>
      <c r="GSR65" s="180"/>
      <c r="GSS65" s="180"/>
      <c r="GST65" s="180"/>
      <c r="GSU65" s="180"/>
      <c r="GSV65" s="180"/>
      <c r="GSW65" s="180"/>
      <c r="GSX65" s="180"/>
      <c r="GSY65" s="180"/>
      <c r="GSZ65" s="180"/>
      <c r="GTA65" s="180"/>
      <c r="GTB65" s="180"/>
      <c r="GTC65" s="180"/>
      <c r="GTD65" s="180"/>
      <c r="GTE65" s="180"/>
      <c r="GTF65" s="180"/>
      <c r="GTG65" s="180"/>
      <c r="GTH65" s="180"/>
      <c r="GTI65" s="180"/>
      <c r="GTJ65" s="180"/>
      <c r="GTK65" s="180"/>
      <c r="GTL65" s="180"/>
      <c r="GTM65" s="180"/>
      <c r="GTN65" s="180"/>
      <c r="GTO65" s="180"/>
      <c r="GTP65" s="180"/>
      <c r="GTQ65" s="180"/>
      <c r="GTR65" s="180"/>
      <c r="GTS65" s="180"/>
      <c r="GTT65" s="180"/>
      <c r="GTU65" s="180"/>
      <c r="GTV65" s="180"/>
      <c r="GTW65" s="180"/>
      <c r="GTX65" s="180"/>
      <c r="GTY65" s="180"/>
      <c r="GTZ65" s="180"/>
      <c r="GUA65" s="180"/>
      <c r="GUB65" s="180"/>
      <c r="GUC65" s="180"/>
      <c r="GUD65" s="180"/>
      <c r="GUE65" s="180"/>
      <c r="GUF65" s="180"/>
      <c r="GUG65" s="180"/>
      <c r="GUH65" s="180"/>
      <c r="GUI65" s="180"/>
      <c r="GUJ65" s="180"/>
      <c r="GUK65" s="180"/>
      <c r="GUL65" s="180"/>
      <c r="GUM65" s="180"/>
      <c r="GUN65" s="180"/>
      <c r="GUO65" s="180"/>
      <c r="GUP65" s="180"/>
      <c r="GUQ65" s="180"/>
      <c r="GUR65" s="180"/>
      <c r="GUS65" s="180"/>
      <c r="GUT65" s="180"/>
      <c r="GUU65" s="180"/>
      <c r="GUV65" s="180"/>
      <c r="GUW65" s="180"/>
      <c r="GUX65" s="180"/>
      <c r="GUY65" s="180"/>
      <c r="GUZ65" s="180"/>
      <c r="GVA65" s="180"/>
      <c r="GVB65" s="180"/>
      <c r="GVC65" s="180"/>
      <c r="GVD65" s="180"/>
      <c r="GVE65" s="180"/>
      <c r="GVF65" s="180"/>
      <c r="GVG65" s="180"/>
      <c r="GVH65" s="180"/>
      <c r="GVI65" s="180"/>
      <c r="GVJ65" s="180"/>
      <c r="GVK65" s="180"/>
      <c r="GVL65" s="180"/>
      <c r="GVM65" s="180"/>
      <c r="GVN65" s="180"/>
      <c r="GVO65" s="180"/>
      <c r="GVP65" s="180"/>
      <c r="GVQ65" s="180"/>
      <c r="GVR65" s="180"/>
      <c r="GVS65" s="180"/>
      <c r="GVT65" s="180"/>
      <c r="GVU65" s="180"/>
      <c r="GVV65" s="180"/>
      <c r="GVW65" s="180"/>
      <c r="GVX65" s="180"/>
      <c r="GVY65" s="180"/>
      <c r="GVZ65" s="180"/>
      <c r="GWA65" s="180"/>
      <c r="GWB65" s="180"/>
      <c r="GWC65" s="180"/>
      <c r="GWD65" s="180"/>
      <c r="GWE65" s="180"/>
      <c r="GWF65" s="180"/>
      <c r="GWG65" s="180"/>
      <c r="GWH65" s="180"/>
      <c r="GWI65" s="180"/>
      <c r="GWJ65" s="180"/>
      <c r="GWK65" s="180"/>
      <c r="GWL65" s="180"/>
      <c r="GWM65" s="180"/>
      <c r="GWN65" s="180"/>
      <c r="GWO65" s="180"/>
      <c r="GWP65" s="180"/>
      <c r="GWQ65" s="180"/>
      <c r="GWR65" s="180"/>
      <c r="GWS65" s="180"/>
      <c r="GWT65" s="180"/>
      <c r="GWU65" s="180"/>
      <c r="GWV65" s="180"/>
      <c r="GWW65" s="180"/>
      <c r="GWX65" s="180"/>
      <c r="GWY65" s="180"/>
      <c r="GWZ65" s="180"/>
      <c r="GXA65" s="180"/>
      <c r="GXB65" s="180"/>
      <c r="GXC65" s="180"/>
      <c r="GXD65" s="180"/>
      <c r="GXE65" s="180"/>
      <c r="GXF65" s="180"/>
      <c r="GXG65" s="180"/>
      <c r="GXH65" s="180"/>
      <c r="GXI65" s="180"/>
      <c r="GXJ65" s="180"/>
      <c r="GXK65" s="180"/>
      <c r="GXL65" s="180"/>
      <c r="GXM65" s="180"/>
      <c r="GXN65" s="180"/>
      <c r="GXO65" s="180"/>
      <c r="GXP65" s="180"/>
      <c r="GXQ65" s="180"/>
      <c r="GXR65" s="180"/>
      <c r="GXS65" s="180"/>
      <c r="GXT65" s="180"/>
      <c r="GXU65" s="180"/>
      <c r="GXV65" s="180"/>
      <c r="GXW65" s="180"/>
      <c r="GXX65" s="180"/>
      <c r="GXY65" s="180"/>
      <c r="GXZ65" s="180"/>
      <c r="GYA65" s="180"/>
      <c r="GYB65" s="180"/>
      <c r="GYC65" s="180"/>
      <c r="GYD65" s="180"/>
      <c r="GYE65" s="180"/>
      <c r="GYF65" s="180"/>
      <c r="GYG65" s="180"/>
      <c r="GYH65" s="180"/>
      <c r="GYI65" s="180"/>
      <c r="GYJ65" s="180"/>
      <c r="GYK65" s="180"/>
      <c r="GYL65" s="180"/>
      <c r="GYM65" s="180"/>
      <c r="GYN65" s="180"/>
      <c r="GYO65" s="180"/>
      <c r="GYP65" s="180"/>
      <c r="GYQ65" s="180"/>
      <c r="GYR65" s="180"/>
      <c r="GYS65" s="180"/>
      <c r="GYT65" s="180"/>
      <c r="GYU65" s="180"/>
      <c r="GYV65" s="180"/>
      <c r="GYW65" s="180"/>
      <c r="GYX65" s="180"/>
      <c r="GYY65" s="180"/>
      <c r="GYZ65" s="180"/>
      <c r="GZA65" s="180"/>
      <c r="GZB65" s="180"/>
      <c r="GZC65" s="180"/>
      <c r="GZD65" s="180"/>
      <c r="GZE65" s="180"/>
      <c r="GZF65" s="180"/>
      <c r="GZG65" s="180"/>
      <c r="GZH65" s="180"/>
      <c r="GZI65" s="180"/>
      <c r="GZJ65" s="180"/>
      <c r="GZK65" s="180"/>
      <c r="GZL65" s="180"/>
      <c r="GZM65" s="180"/>
      <c r="GZN65" s="180"/>
      <c r="GZO65" s="180"/>
      <c r="GZP65" s="180"/>
      <c r="GZQ65" s="180"/>
      <c r="GZR65" s="180"/>
      <c r="GZS65" s="180"/>
      <c r="GZT65" s="180"/>
      <c r="GZU65" s="180"/>
      <c r="GZV65" s="180"/>
      <c r="GZW65" s="180"/>
      <c r="GZX65" s="180"/>
      <c r="GZY65" s="180"/>
      <c r="GZZ65" s="180"/>
      <c r="HAA65" s="180"/>
      <c r="HAB65" s="180"/>
      <c r="HAC65" s="180"/>
      <c r="HAD65" s="180"/>
      <c r="HAE65" s="180"/>
      <c r="HAF65" s="180"/>
      <c r="HAG65" s="180"/>
      <c r="HAH65" s="180"/>
      <c r="HAI65" s="180"/>
      <c r="HAJ65" s="180"/>
      <c r="HAK65" s="180"/>
      <c r="HAL65" s="180"/>
      <c r="HAM65" s="180"/>
      <c r="HAN65" s="180"/>
      <c r="HAO65" s="180"/>
      <c r="HAP65" s="180"/>
      <c r="HAQ65" s="180"/>
      <c r="HAR65" s="180"/>
      <c r="HAS65" s="180"/>
      <c r="HAT65" s="180"/>
      <c r="HAU65" s="180"/>
      <c r="HAV65" s="180"/>
      <c r="HAW65" s="180"/>
      <c r="HAX65" s="180"/>
      <c r="HAY65" s="180"/>
      <c r="HAZ65" s="180"/>
      <c r="HBA65" s="180"/>
      <c r="HBB65" s="180"/>
      <c r="HBC65" s="180"/>
      <c r="HBD65" s="180"/>
      <c r="HBE65" s="180"/>
      <c r="HBF65" s="180"/>
      <c r="HBG65" s="180"/>
      <c r="HBH65" s="180"/>
      <c r="HBI65" s="180"/>
      <c r="HBJ65" s="180"/>
      <c r="HBK65" s="180"/>
      <c r="HBL65" s="180"/>
      <c r="HBM65" s="180"/>
      <c r="HBN65" s="180"/>
      <c r="HBO65" s="180"/>
      <c r="HBP65" s="180"/>
      <c r="HBQ65" s="180"/>
      <c r="HBR65" s="180"/>
      <c r="HBS65" s="180"/>
      <c r="HBT65" s="180"/>
      <c r="HBU65" s="180"/>
      <c r="HBV65" s="180"/>
      <c r="HBW65" s="180"/>
      <c r="HBX65" s="180"/>
      <c r="HBY65" s="180"/>
      <c r="HBZ65" s="180"/>
      <c r="HCA65" s="180"/>
      <c r="HCB65" s="180"/>
      <c r="HCC65" s="180"/>
      <c r="HCD65" s="180"/>
      <c r="HCE65" s="180"/>
      <c r="HCF65" s="180"/>
      <c r="HCG65" s="180"/>
      <c r="HCH65" s="180"/>
      <c r="HCI65" s="180"/>
      <c r="HCJ65" s="180"/>
      <c r="HCK65" s="180"/>
      <c r="HCL65" s="180"/>
      <c r="HCM65" s="180"/>
      <c r="HCN65" s="180"/>
      <c r="HCO65" s="180"/>
      <c r="HCP65" s="180"/>
      <c r="HCQ65" s="180"/>
      <c r="HCR65" s="180"/>
      <c r="HCS65" s="180"/>
      <c r="HCT65" s="180"/>
      <c r="HCU65" s="180"/>
      <c r="HCV65" s="180"/>
      <c r="HCW65" s="180"/>
      <c r="HCX65" s="180"/>
      <c r="HCY65" s="180"/>
      <c r="HCZ65" s="180"/>
      <c r="HDA65" s="180"/>
      <c r="HDB65" s="180"/>
      <c r="HDC65" s="180"/>
      <c r="HDD65" s="180"/>
      <c r="HDE65" s="180"/>
      <c r="HDF65" s="180"/>
      <c r="HDG65" s="180"/>
      <c r="HDH65" s="180"/>
      <c r="HDI65" s="180"/>
      <c r="HDJ65" s="180"/>
      <c r="HDK65" s="180"/>
      <c r="HDL65" s="180"/>
      <c r="HDM65" s="180"/>
      <c r="HDN65" s="180"/>
      <c r="HDO65" s="180"/>
      <c r="HDP65" s="180"/>
      <c r="HDQ65" s="180"/>
      <c r="HDR65" s="180"/>
      <c r="HDS65" s="180"/>
      <c r="HDT65" s="180"/>
      <c r="HDU65" s="180"/>
      <c r="HDV65" s="180"/>
      <c r="HDW65" s="180"/>
      <c r="HDX65" s="180"/>
      <c r="HDY65" s="180"/>
      <c r="HDZ65" s="180"/>
      <c r="HEA65" s="180"/>
      <c r="HEB65" s="180"/>
      <c r="HEC65" s="180"/>
      <c r="HED65" s="180"/>
      <c r="HEE65" s="180"/>
      <c r="HEF65" s="180"/>
      <c r="HEG65" s="180"/>
      <c r="HEH65" s="180"/>
      <c r="HEI65" s="180"/>
      <c r="HEJ65" s="180"/>
      <c r="HEK65" s="180"/>
      <c r="HEL65" s="180"/>
      <c r="HEM65" s="180"/>
      <c r="HEN65" s="180"/>
      <c r="HEO65" s="180"/>
      <c r="HEP65" s="180"/>
      <c r="HEQ65" s="180"/>
      <c r="HER65" s="180"/>
      <c r="HES65" s="180"/>
      <c r="HET65" s="180"/>
      <c r="HEU65" s="180"/>
      <c r="HEV65" s="180"/>
      <c r="HEW65" s="180"/>
      <c r="HEX65" s="180"/>
      <c r="HEY65" s="180"/>
      <c r="HEZ65" s="180"/>
      <c r="HFA65" s="180"/>
      <c r="HFB65" s="180"/>
      <c r="HFC65" s="180"/>
      <c r="HFD65" s="180"/>
      <c r="HFE65" s="180"/>
      <c r="HFF65" s="180"/>
      <c r="HFG65" s="180"/>
      <c r="HFH65" s="180"/>
      <c r="HFI65" s="180"/>
      <c r="HFJ65" s="180"/>
      <c r="HFK65" s="180"/>
      <c r="HFL65" s="180"/>
      <c r="HFM65" s="180"/>
      <c r="HFN65" s="180"/>
      <c r="HFO65" s="180"/>
      <c r="HFP65" s="180"/>
      <c r="HFQ65" s="180"/>
      <c r="HFR65" s="180"/>
      <c r="HFS65" s="180"/>
      <c r="HFT65" s="180"/>
      <c r="HFU65" s="180"/>
      <c r="HFV65" s="180"/>
      <c r="HFW65" s="180"/>
      <c r="HFX65" s="180"/>
      <c r="HFY65" s="180"/>
      <c r="HFZ65" s="180"/>
      <c r="HGA65" s="180"/>
      <c r="HGB65" s="180"/>
      <c r="HGC65" s="180"/>
      <c r="HGD65" s="180"/>
      <c r="HGE65" s="180"/>
      <c r="HGF65" s="180"/>
      <c r="HGG65" s="180"/>
      <c r="HGH65" s="180"/>
      <c r="HGI65" s="180"/>
      <c r="HGJ65" s="180"/>
      <c r="HGK65" s="180"/>
      <c r="HGL65" s="180"/>
      <c r="HGM65" s="180"/>
      <c r="HGN65" s="180"/>
      <c r="HGO65" s="180"/>
      <c r="HGP65" s="180"/>
      <c r="HGQ65" s="180"/>
      <c r="HGR65" s="180"/>
      <c r="HGS65" s="180"/>
      <c r="HGT65" s="180"/>
      <c r="HGU65" s="180"/>
      <c r="HGV65" s="180"/>
      <c r="HGW65" s="180"/>
      <c r="HGX65" s="180"/>
      <c r="HGY65" s="180"/>
      <c r="HGZ65" s="180"/>
      <c r="HHA65" s="180"/>
      <c r="HHB65" s="180"/>
      <c r="HHC65" s="180"/>
      <c r="HHD65" s="180"/>
      <c r="HHE65" s="180"/>
      <c r="HHF65" s="180"/>
      <c r="HHG65" s="180"/>
      <c r="HHH65" s="180"/>
      <c r="HHI65" s="180"/>
      <c r="HHJ65" s="180"/>
      <c r="HHK65" s="180"/>
      <c r="HHL65" s="180"/>
      <c r="HHM65" s="180"/>
      <c r="HHN65" s="180"/>
      <c r="HHO65" s="180"/>
      <c r="HHP65" s="180"/>
      <c r="HHQ65" s="180"/>
      <c r="HHR65" s="180"/>
      <c r="HHS65" s="180"/>
      <c r="HHT65" s="180"/>
      <c r="HHU65" s="180"/>
      <c r="HHV65" s="180"/>
      <c r="HHW65" s="180"/>
      <c r="HHX65" s="180"/>
      <c r="HHY65" s="180"/>
      <c r="HHZ65" s="180"/>
      <c r="HIA65" s="180"/>
      <c r="HIB65" s="180"/>
      <c r="HIC65" s="180"/>
      <c r="HID65" s="180"/>
      <c r="HIE65" s="180"/>
      <c r="HIF65" s="180"/>
      <c r="HIG65" s="180"/>
      <c r="HIH65" s="180"/>
      <c r="HII65" s="180"/>
      <c r="HIJ65" s="180"/>
      <c r="HIK65" s="180"/>
      <c r="HIL65" s="180"/>
      <c r="HIM65" s="180"/>
      <c r="HIN65" s="180"/>
      <c r="HIO65" s="180"/>
      <c r="HIP65" s="180"/>
      <c r="HIQ65" s="180"/>
      <c r="HIR65" s="180"/>
      <c r="HIS65" s="180"/>
      <c r="HIT65" s="180"/>
      <c r="HIU65" s="180"/>
      <c r="HIV65" s="180"/>
      <c r="HIW65" s="180"/>
      <c r="HIX65" s="180"/>
      <c r="HIY65" s="180"/>
      <c r="HIZ65" s="180"/>
      <c r="HJA65" s="180"/>
      <c r="HJB65" s="180"/>
      <c r="HJC65" s="180"/>
      <c r="HJD65" s="180"/>
      <c r="HJE65" s="180"/>
      <c r="HJF65" s="180"/>
      <c r="HJG65" s="180"/>
      <c r="HJH65" s="180"/>
      <c r="HJI65" s="180"/>
      <c r="HJJ65" s="180"/>
      <c r="HJK65" s="180"/>
      <c r="HJL65" s="180"/>
      <c r="HJM65" s="180"/>
      <c r="HJN65" s="180"/>
      <c r="HJO65" s="180"/>
      <c r="HJP65" s="180"/>
      <c r="HJQ65" s="180"/>
      <c r="HJR65" s="180"/>
      <c r="HJS65" s="180"/>
      <c r="HJT65" s="180"/>
      <c r="HJU65" s="180"/>
      <c r="HJV65" s="180"/>
      <c r="HJW65" s="180"/>
      <c r="HJX65" s="180"/>
      <c r="HJY65" s="180"/>
      <c r="HJZ65" s="180"/>
      <c r="HKA65" s="180"/>
      <c r="HKB65" s="180"/>
      <c r="HKC65" s="180"/>
      <c r="HKD65" s="180"/>
      <c r="HKE65" s="180"/>
      <c r="HKF65" s="180"/>
      <c r="HKG65" s="180"/>
      <c r="HKH65" s="180"/>
      <c r="HKI65" s="180"/>
      <c r="HKJ65" s="180"/>
      <c r="HKK65" s="180"/>
      <c r="HKL65" s="180"/>
      <c r="HKM65" s="180"/>
      <c r="HKN65" s="180"/>
      <c r="HKO65" s="180"/>
      <c r="HKP65" s="180"/>
      <c r="HKQ65" s="180"/>
      <c r="HKR65" s="180"/>
      <c r="HKS65" s="180"/>
      <c r="HKT65" s="180"/>
      <c r="HKU65" s="180"/>
      <c r="HKV65" s="180"/>
      <c r="HKW65" s="180"/>
      <c r="HKX65" s="180"/>
      <c r="HKY65" s="180"/>
      <c r="HKZ65" s="180"/>
      <c r="HLA65" s="180"/>
      <c r="HLB65" s="180"/>
      <c r="HLC65" s="180"/>
      <c r="HLD65" s="180"/>
      <c r="HLE65" s="180"/>
      <c r="HLF65" s="180"/>
      <c r="HLG65" s="180"/>
      <c r="HLH65" s="180"/>
      <c r="HLI65" s="180"/>
      <c r="HLJ65" s="180"/>
      <c r="HLK65" s="180"/>
      <c r="HLL65" s="180"/>
      <c r="HLM65" s="180"/>
      <c r="HLN65" s="180"/>
      <c r="HLO65" s="180"/>
      <c r="HLP65" s="180"/>
      <c r="HLQ65" s="180"/>
      <c r="HLR65" s="180"/>
      <c r="HLS65" s="180"/>
      <c r="HLT65" s="180"/>
      <c r="HLU65" s="180"/>
      <c r="HLV65" s="180"/>
      <c r="HLW65" s="180"/>
      <c r="HLX65" s="180"/>
      <c r="HLY65" s="180"/>
      <c r="HLZ65" s="180"/>
      <c r="HMA65" s="180"/>
      <c r="HMB65" s="180"/>
      <c r="HMC65" s="180"/>
      <c r="HMD65" s="180"/>
      <c r="HME65" s="180"/>
      <c r="HMF65" s="180"/>
      <c r="HMG65" s="180"/>
      <c r="HMH65" s="180"/>
      <c r="HMI65" s="180"/>
      <c r="HMJ65" s="180"/>
      <c r="HMK65" s="180"/>
      <c r="HML65" s="180"/>
      <c r="HMM65" s="180"/>
      <c r="HMN65" s="180"/>
      <c r="HMO65" s="180"/>
      <c r="HMP65" s="180"/>
      <c r="HMQ65" s="180"/>
      <c r="HMR65" s="180"/>
      <c r="HMS65" s="180"/>
      <c r="HMT65" s="180"/>
      <c r="HMU65" s="180"/>
      <c r="HMV65" s="180"/>
      <c r="HMW65" s="180"/>
      <c r="HMX65" s="180"/>
      <c r="HMY65" s="180"/>
      <c r="HMZ65" s="180"/>
      <c r="HNA65" s="180"/>
      <c r="HNB65" s="180"/>
      <c r="HNC65" s="180"/>
      <c r="HND65" s="180"/>
      <c r="HNE65" s="180"/>
      <c r="HNF65" s="180"/>
      <c r="HNG65" s="180"/>
      <c r="HNH65" s="180"/>
      <c r="HNI65" s="180"/>
      <c r="HNJ65" s="180"/>
      <c r="HNK65" s="180"/>
      <c r="HNL65" s="180"/>
      <c r="HNM65" s="180"/>
      <c r="HNN65" s="180"/>
      <c r="HNO65" s="180"/>
      <c r="HNP65" s="180"/>
      <c r="HNQ65" s="180"/>
      <c r="HNR65" s="180"/>
      <c r="HNS65" s="180"/>
      <c r="HNT65" s="180"/>
      <c r="HNU65" s="180"/>
      <c r="HNV65" s="180"/>
      <c r="HNW65" s="180"/>
      <c r="HNX65" s="180"/>
      <c r="HNY65" s="180"/>
      <c r="HNZ65" s="180"/>
      <c r="HOA65" s="180"/>
      <c r="HOB65" s="180"/>
      <c r="HOC65" s="180"/>
      <c r="HOD65" s="180"/>
      <c r="HOE65" s="180"/>
      <c r="HOF65" s="180"/>
      <c r="HOG65" s="180"/>
      <c r="HOH65" s="180"/>
      <c r="HOI65" s="180"/>
      <c r="HOJ65" s="180"/>
      <c r="HOK65" s="180"/>
      <c r="HOL65" s="180"/>
      <c r="HOM65" s="180"/>
      <c r="HON65" s="180"/>
      <c r="HOO65" s="180"/>
      <c r="HOP65" s="180"/>
      <c r="HOQ65" s="180"/>
      <c r="HOR65" s="180"/>
      <c r="HOS65" s="180"/>
      <c r="HOT65" s="180"/>
      <c r="HOU65" s="180"/>
      <c r="HOV65" s="180"/>
      <c r="HOW65" s="180"/>
      <c r="HOX65" s="180"/>
      <c r="HOY65" s="180"/>
      <c r="HOZ65" s="180"/>
      <c r="HPA65" s="180"/>
      <c r="HPB65" s="180"/>
      <c r="HPC65" s="180"/>
      <c r="HPD65" s="180"/>
      <c r="HPE65" s="180"/>
      <c r="HPF65" s="180"/>
      <c r="HPG65" s="180"/>
      <c r="HPH65" s="180"/>
      <c r="HPI65" s="180"/>
      <c r="HPJ65" s="180"/>
      <c r="HPK65" s="180"/>
      <c r="HPL65" s="180"/>
      <c r="HPM65" s="180"/>
      <c r="HPN65" s="180"/>
      <c r="HPO65" s="180"/>
      <c r="HPP65" s="180"/>
      <c r="HPQ65" s="180"/>
      <c r="HPR65" s="180"/>
      <c r="HPS65" s="180"/>
      <c r="HPT65" s="180"/>
      <c r="HPU65" s="180"/>
      <c r="HPV65" s="180"/>
      <c r="HPW65" s="180"/>
      <c r="HPX65" s="180"/>
      <c r="HPY65" s="180"/>
      <c r="HPZ65" s="180"/>
      <c r="HQA65" s="180"/>
      <c r="HQB65" s="180"/>
      <c r="HQC65" s="180"/>
      <c r="HQD65" s="180"/>
      <c r="HQE65" s="180"/>
      <c r="HQF65" s="180"/>
      <c r="HQG65" s="180"/>
      <c r="HQH65" s="180"/>
      <c r="HQI65" s="180"/>
      <c r="HQJ65" s="180"/>
      <c r="HQK65" s="180"/>
      <c r="HQL65" s="180"/>
      <c r="HQM65" s="180"/>
      <c r="HQN65" s="180"/>
      <c r="HQO65" s="180"/>
      <c r="HQP65" s="180"/>
      <c r="HQQ65" s="180"/>
      <c r="HQR65" s="180"/>
      <c r="HQS65" s="180"/>
      <c r="HQT65" s="180"/>
      <c r="HQU65" s="180"/>
      <c r="HQV65" s="180"/>
      <c r="HQW65" s="180"/>
      <c r="HQX65" s="180"/>
      <c r="HQY65" s="180"/>
      <c r="HQZ65" s="180"/>
      <c r="HRA65" s="180"/>
      <c r="HRB65" s="180"/>
      <c r="HRC65" s="180"/>
      <c r="HRD65" s="180"/>
      <c r="HRE65" s="180"/>
      <c r="HRF65" s="180"/>
      <c r="HRG65" s="180"/>
      <c r="HRH65" s="180"/>
      <c r="HRI65" s="180"/>
      <c r="HRJ65" s="180"/>
      <c r="HRK65" s="180"/>
      <c r="HRL65" s="180"/>
      <c r="HRM65" s="180"/>
      <c r="HRN65" s="180"/>
      <c r="HRO65" s="180"/>
      <c r="HRP65" s="180"/>
      <c r="HRQ65" s="180"/>
      <c r="HRR65" s="180"/>
      <c r="HRS65" s="180"/>
      <c r="HRT65" s="180"/>
      <c r="HRU65" s="180"/>
      <c r="HRV65" s="180"/>
      <c r="HRW65" s="180"/>
      <c r="HRX65" s="180"/>
      <c r="HRY65" s="180"/>
      <c r="HRZ65" s="180"/>
      <c r="HSA65" s="180"/>
      <c r="HSB65" s="180"/>
      <c r="HSC65" s="180"/>
      <c r="HSD65" s="180"/>
      <c r="HSE65" s="180"/>
      <c r="HSF65" s="180"/>
      <c r="HSG65" s="180"/>
      <c r="HSH65" s="180"/>
      <c r="HSI65" s="180"/>
      <c r="HSJ65" s="180"/>
      <c r="HSK65" s="180"/>
      <c r="HSL65" s="180"/>
      <c r="HSM65" s="180"/>
      <c r="HSN65" s="180"/>
      <c r="HSO65" s="180"/>
      <c r="HSP65" s="180"/>
      <c r="HSQ65" s="180"/>
      <c r="HSR65" s="180"/>
      <c r="HSS65" s="180"/>
      <c r="HST65" s="180"/>
      <c r="HSU65" s="180"/>
      <c r="HSV65" s="180"/>
      <c r="HSW65" s="180"/>
      <c r="HSX65" s="180"/>
      <c r="HSY65" s="180"/>
      <c r="HSZ65" s="180"/>
      <c r="HTA65" s="180"/>
      <c r="HTB65" s="180"/>
      <c r="HTC65" s="180"/>
      <c r="HTD65" s="180"/>
      <c r="HTE65" s="180"/>
      <c r="HTF65" s="180"/>
      <c r="HTG65" s="180"/>
      <c r="HTH65" s="180"/>
      <c r="HTI65" s="180"/>
      <c r="HTJ65" s="180"/>
      <c r="HTK65" s="180"/>
      <c r="HTL65" s="180"/>
      <c r="HTM65" s="180"/>
      <c r="HTN65" s="180"/>
      <c r="HTO65" s="180"/>
      <c r="HTP65" s="180"/>
      <c r="HTQ65" s="180"/>
      <c r="HTR65" s="180"/>
      <c r="HTS65" s="180"/>
      <c r="HTT65" s="180"/>
      <c r="HTU65" s="180"/>
      <c r="HTV65" s="180"/>
      <c r="HTW65" s="180"/>
      <c r="HTX65" s="180"/>
      <c r="HTY65" s="180"/>
      <c r="HTZ65" s="180"/>
      <c r="HUA65" s="180"/>
      <c r="HUB65" s="180"/>
      <c r="HUC65" s="180"/>
      <c r="HUD65" s="180"/>
      <c r="HUE65" s="180"/>
      <c r="HUF65" s="180"/>
      <c r="HUG65" s="180"/>
      <c r="HUH65" s="180"/>
      <c r="HUI65" s="180"/>
      <c r="HUJ65" s="180"/>
      <c r="HUK65" s="180"/>
      <c r="HUL65" s="180"/>
      <c r="HUM65" s="180"/>
      <c r="HUN65" s="180"/>
      <c r="HUO65" s="180"/>
      <c r="HUP65" s="180"/>
      <c r="HUQ65" s="180"/>
      <c r="HUR65" s="180"/>
      <c r="HUS65" s="180"/>
      <c r="HUT65" s="180"/>
      <c r="HUU65" s="180"/>
      <c r="HUV65" s="180"/>
      <c r="HUW65" s="180"/>
      <c r="HUX65" s="180"/>
      <c r="HUY65" s="180"/>
      <c r="HUZ65" s="180"/>
      <c r="HVA65" s="180"/>
      <c r="HVB65" s="180"/>
      <c r="HVC65" s="180"/>
      <c r="HVD65" s="180"/>
      <c r="HVE65" s="180"/>
      <c r="HVF65" s="180"/>
      <c r="HVG65" s="180"/>
      <c r="HVH65" s="180"/>
      <c r="HVI65" s="180"/>
      <c r="HVJ65" s="180"/>
      <c r="HVK65" s="180"/>
      <c r="HVL65" s="180"/>
      <c r="HVM65" s="180"/>
      <c r="HVN65" s="180"/>
      <c r="HVO65" s="180"/>
      <c r="HVP65" s="180"/>
      <c r="HVQ65" s="180"/>
      <c r="HVR65" s="180"/>
      <c r="HVS65" s="180"/>
      <c r="HVT65" s="180"/>
      <c r="HVU65" s="180"/>
      <c r="HVV65" s="180"/>
      <c r="HVW65" s="180"/>
      <c r="HVX65" s="180"/>
      <c r="HVY65" s="180"/>
      <c r="HVZ65" s="180"/>
      <c r="HWA65" s="180"/>
      <c r="HWB65" s="180"/>
      <c r="HWC65" s="180"/>
      <c r="HWD65" s="180"/>
      <c r="HWE65" s="180"/>
      <c r="HWF65" s="180"/>
      <c r="HWG65" s="180"/>
      <c r="HWH65" s="180"/>
      <c r="HWI65" s="180"/>
      <c r="HWJ65" s="180"/>
      <c r="HWK65" s="180"/>
      <c r="HWL65" s="180"/>
      <c r="HWM65" s="180"/>
      <c r="HWN65" s="180"/>
      <c r="HWO65" s="180"/>
      <c r="HWP65" s="180"/>
      <c r="HWQ65" s="180"/>
      <c r="HWR65" s="180"/>
      <c r="HWS65" s="180"/>
      <c r="HWT65" s="180"/>
      <c r="HWU65" s="180"/>
      <c r="HWV65" s="180"/>
      <c r="HWW65" s="180"/>
      <c r="HWX65" s="180"/>
      <c r="HWY65" s="180"/>
      <c r="HWZ65" s="180"/>
      <c r="HXA65" s="180"/>
      <c r="HXB65" s="180"/>
      <c r="HXC65" s="180"/>
      <c r="HXD65" s="180"/>
      <c r="HXE65" s="180"/>
      <c r="HXF65" s="180"/>
      <c r="HXG65" s="180"/>
      <c r="HXH65" s="180"/>
      <c r="HXI65" s="180"/>
      <c r="HXJ65" s="180"/>
      <c r="HXK65" s="180"/>
      <c r="HXL65" s="180"/>
      <c r="HXM65" s="180"/>
      <c r="HXN65" s="180"/>
      <c r="HXO65" s="180"/>
      <c r="HXP65" s="180"/>
      <c r="HXQ65" s="180"/>
      <c r="HXR65" s="180"/>
      <c r="HXS65" s="180"/>
      <c r="HXT65" s="180"/>
      <c r="HXU65" s="180"/>
      <c r="HXV65" s="180"/>
      <c r="HXW65" s="180"/>
      <c r="HXX65" s="180"/>
      <c r="HXY65" s="180"/>
      <c r="HXZ65" s="180"/>
      <c r="HYA65" s="180"/>
      <c r="HYB65" s="180"/>
      <c r="HYC65" s="180"/>
      <c r="HYD65" s="180"/>
      <c r="HYE65" s="180"/>
      <c r="HYF65" s="180"/>
      <c r="HYG65" s="180"/>
      <c r="HYH65" s="180"/>
      <c r="HYI65" s="180"/>
      <c r="HYJ65" s="180"/>
      <c r="HYK65" s="180"/>
      <c r="HYL65" s="180"/>
      <c r="HYM65" s="180"/>
      <c r="HYN65" s="180"/>
      <c r="HYO65" s="180"/>
      <c r="HYP65" s="180"/>
      <c r="HYQ65" s="180"/>
      <c r="HYR65" s="180"/>
      <c r="HYS65" s="180"/>
      <c r="HYT65" s="180"/>
      <c r="HYU65" s="180"/>
      <c r="HYV65" s="180"/>
      <c r="HYW65" s="180"/>
      <c r="HYX65" s="180"/>
      <c r="HYY65" s="180"/>
      <c r="HYZ65" s="180"/>
      <c r="HZA65" s="180"/>
      <c r="HZB65" s="180"/>
      <c r="HZC65" s="180"/>
      <c r="HZD65" s="180"/>
      <c r="HZE65" s="180"/>
      <c r="HZF65" s="180"/>
      <c r="HZG65" s="180"/>
      <c r="HZH65" s="180"/>
      <c r="HZI65" s="180"/>
      <c r="HZJ65" s="180"/>
      <c r="HZK65" s="180"/>
      <c r="HZL65" s="180"/>
      <c r="HZM65" s="180"/>
      <c r="HZN65" s="180"/>
      <c r="HZO65" s="180"/>
      <c r="HZP65" s="180"/>
      <c r="HZQ65" s="180"/>
      <c r="HZR65" s="180"/>
      <c r="HZS65" s="180"/>
      <c r="HZT65" s="180"/>
      <c r="HZU65" s="180"/>
      <c r="HZV65" s="180"/>
      <c r="HZW65" s="180"/>
      <c r="HZX65" s="180"/>
      <c r="HZY65" s="180"/>
      <c r="HZZ65" s="180"/>
      <c r="IAA65" s="180"/>
      <c r="IAB65" s="180"/>
      <c r="IAC65" s="180"/>
      <c r="IAD65" s="180"/>
      <c r="IAE65" s="180"/>
      <c r="IAF65" s="180"/>
      <c r="IAG65" s="180"/>
      <c r="IAH65" s="180"/>
      <c r="IAI65" s="180"/>
      <c r="IAJ65" s="180"/>
      <c r="IAK65" s="180"/>
      <c r="IAL65" s="180"/>
      <c r="IAM65" s="180"/>
      <c r="IAN65" s="180"/>
      <c r="IAO65" s="180"/>
      <c r="IAP65" s="180"/>
      <c r="IAQ65" s="180"/>
      <c r="IAR65" s="180"/>
      <c r="IAS65" s="180"/>
      <c r="IAT65" s="180"/>
      <c r="IAU65" s="180"/>
      <c r="IAV65" s="180"/>
      <c r="IAW65" s="180"/>
      <c r="IAX65" s="180"/>
      <c r="IAY65" s="180"/>
      <c r="IAZ65" s="180"/>
      <c r="IBA65" s="180"/>
      <c r="IBB65" s="180"/>
      <c r="IBC65" s="180"/>
      <c r="IBD65" s="180"/>
      <c r="IBE65" s="180"/>
      <c r="IBF65" s="180"/>
      <c r="IBG65" s="180"/>
      <c r="IBH65" s="180"/>
      <c r="IBI65" s="180"/>
      <c r="IBJ65" s="180"/>
      <c r="IBK65" s="180"/>
      <c r="IBL65" s="180"/>
      <c r="IBM65" s="180"/>
      <c r="IBN65" s="180"/>
      <c r="IBO65" s="180"/>
      <c r="IBP65" s="180"/>
      <c r="IBQ65" s="180"/>
      <c r="IBR65" s="180"/>
      <c r="IBS65" s="180"/>
      <c r="IBT65" s="180"/>
      <c r="IBU65" s="180"/>
      <c r="IBV65" s="180"/>
      <c r="IBW65" s="180"/>
      <c r="IBX65" s="180"/>
      <c r="IBY65" s="180"/>
      <c r="IBZ65" s="180"/>
      <c r="ICA65" s="180"/>
      <c r="ICB65" s="180"/>
      <c r="ICC65" s="180"/>
      <c r="ICD65" s="180"/>
      <c r="ICE65" s="180"/>
      <c r="ICF65" s="180"/>
      <c r="ICG65" s="180"/>
      <c r="ICH65" s="180"/>
      <c r="ICI65" s="180"/>
      <c r="ICJ65" s="180"/>
      <c r="ICK65" s="180"/>
      <c r="ICL65" s="180"/>
      <c r="ICM65" s="180"/>
      <c r="ICN65" s="180"/>
      <c r="ICO65" s="180"/>
      <c r="ICP65" s="180"/>
      <c r="ICQ65" s="180"/>
      <c r="ICR65" s="180"/>
      <c r="ICS65" s="180"/>
      <c r="ICT65" s="180"/>
      <c r="ICU65" s="180"/>
      <c r="ICV65" s="180"/>
      <c r="ICW65" s="180"/>
      <c r="ICX65" s="180"/>
      <c r="ICY65" s="180"/>
      <c r="ICZ65" s="180"/>
      <c r="IDA65" s="180"/>
      <c r="IDB65" s="180"/>
      <c r="IDC65" s="180"/>
      <c r="IDD65" s="180"/>
      <c r="IDE65" s="180"/>
      <c r="IDF65" s="180"/>
      <c r="IDG65" s="180"/>
      <c r="IDH65" s="180"/>
      <c r="IDI65" s="180"/>
      <c r="IDJ65" s="180"/>
      <c r="IDK65" s="180"/>
      <c r="IDL65" s="180"/>
      <c r="IDM65" s="180"/>
      <c r="IDN65" s="180"/>
      <c r="IDO65" s="180"/>
      <c r="IDP65" s="180"/>
      <c r="IDQ65" s="180"/>
      <c r="IDR65" s="180"/>
      <c r="IDS65" s="180"/>
      <c r="IDT65" s="180"/>
      <c r="IDU65" s="180"/>
      <c r="IDV65" s="180"/>
      <c r="IDW65" s="180"/>
      <c r="IDX65" s="180"/>
      <c r="IDY65" s="180"/>
      <c r="IDZ65" s="180"/>
      <c r="IEA65" s="180"/>
      <c r="IEB65" s="180"/>
      <c r="IEC65" s="180"/>
      <c r="IED65" s="180"/>
      <c r="IEE65" s="180"/>
      <c r="IEF65" s="180"/>
      <c r="IEG65" s="180"/>
      <c r="IEH65" s="180"/>
      <c r="IEI65" s="180"/>
      <c r="IEJ65" s="180"/>
      <c r="IEK65" s="180"/>
      <c r="IEL65" s="180"/>
      <c r="IEM65" s="180"/>
      <c r="IEN65" s="180"/>
      <c r="IEO65" s="180"/>
      <c r="IEP65" s="180"/>
      <c r="IEQ65" s="180"/>
      <c r="IER65" s="180"/>
      <c r="IES65" s="180"/>
      <c r="IET65" s="180"/>
      <c r="IEU65" s="180"/>
      <c r="IEV65" s="180"/>
      <c r="IEW65" s="180"/>
      <c r="IEX65" s="180"/>
      <c r="IEY65" s="180"/>
      <c r="IEZ65" s="180"/>
      <c r="IFA65" s="180"/>
      <c r="IFB65" s="180"/>
      <c r="IFC65" s="180"/>
      <c r="IFD65" s="180"/>
      <c r="IFE65" s="180"/>
      <c r="IFF65" s="180"/>
      <c r="IFG65" s="180"/>
      <c r="IFH65" s="180"/>
      <c r="IFI65" s="180"/>
      <c r="IFJ65" s="180"/>
      <c r="IFK65" s="180"/>
      <c r="IFL65" s="180"/>
      <c r="IFM65" s="180"/>
      <c r="IFN65" s="180"/>
      <c r="IFO65" s="180"/>
      <c r="IFP65" s="180"/>
      <c r="IFQ65" s="180"/>
      <c r="IFR65" s="180"/>
      <c r="IFS65" s="180"/>
      <c r="IFT65" s="180"/>
      <c r="IFU65" s="180"/>
      <c r="IFV65" s="180"/>
      <c r="IFW65" s="180"/>
      <c r="IFX65" s="180"/>
      <c r="IFY65" s="180"/>
      <c r="IFZ65" s="180"/>
      <c r="IGA65" s="180"/>
      <c r="IGB65" s="180"/>
      <c r="IGC65" s="180"/>
      <c r="IGD65" s="180"/>
      <c r="IGE65" s="180"/>
      <c r="IGF65" s="180"/>
      <c r="IGG65" s="180"/>
      <c r="IGH65" s="180"/>
      <c r="IGI65" s="180"/>
      <c r="IGJ65" s="180"/>
      <c r="IGK65" s="180"/>
      <c r="IGL65" s="180"/>
      <c r="IGM65" s="180"/>
      <c r="IGN65" s="180"/>
      <c r="IGO65" s="180"/>
      <c r="IGP65" s="180"/>
      <c r="IGQ65" s="180"/>
      <c r="IGR65" s="180"/>
      <c r="IGS65" s="180"/>
      <c r="IGT65" s="180"/>
      <c r="IGU65" s="180"/>
      <c r="IGV65" s="180"/>
      <c r="IGW65" s="180"/>
      <c r="IGX65" s="180"/>
      <c r="IGY65" s="180"/>
      <c r="IGZ65" s="180"/>
      <c r="IHA65" s="180"/>
      <c r="IHB65" s="180"/>
      <c r="IHC65" s="180"/>
      <c r="IHD65" s="180"/>
      <c r="IHE65" s="180"/>
      <c r="IHF65" s="180"/>
      <c r="IHG65" s="180"/>
      <c r="IHH65" s="180"/>
      <c r="IHI65" s="180"/>
      <c r="IHJ65" s="180"/>
      <c r="IHK65" s="180"/>
      <c r="IHL65" s="180"/>
      <c r="IHM65" s="180"/>
      <c r="IHN65" s="180"/>
      <c r="IHO65" s="180"/>
      <c r="IHP65" s="180"/>
      <c r="IHQ65" s="180"/>
      <c r="IHR65" s="180"/>
      <c r="IHS65" s="180"/>
      <c r="IHT65" s="180"/>
      <c r="IHU65" s="180"/>
      <c r="IHV65" s="180"/>
      <c r="IHW65" s="180"/>
      <c r="IHX65" s="180"/>
      <c r="IHY65" s="180"/>
      <c r="IHZ65" s="180"/>
      <c r="IIA65" s="180"/>
      <c r="IIB65" s="180"/>
      <c r="IIC65" s="180"/>
      <c r="IID65" s="180"/>
      <c r="IIE65" s="180"/>
      <c r="IIF65" s="180"/>
      <c r="IIG65" s="180"/>
      <c r="IIH65" s="180"/>
      <c r="III65" s="180"/>
      <c r="IIJ65" s="180"/>
      <c r="IIK65" s="180"/>
      <c r="IIL65" s="180"/>
      <c r="IIM65" s="180"/>
      <c r="IIN65" s="180"/>
      <c r="IIO65" s="180"/>
      <c r="IIP65" s="180"/>
      <c r="IIQ65" s="180"/>
      <c r="IIR65" s="180"/>
      <c r="IIS65" s="180"/>
      <c r="IIT65" s="180"/>
      <c r="IIU65" s="180"/>
      <c r="IIV65" s="180"/>
      <c r="IIW65" s="180"/>
      <c r="IIX65" s="180"/>
      <c r="IIY65" s="180"/>
      <c r="IIZ65" s="180"/>
      <c r="IJA65" s="180"/>
      <c r="IJB65" s="180"/>
      <c r="IJC65" s="180"/>
      <c r="IJD65" s="180"/>
      <c r="IJE65" s="180"/>
      <c r="IJF65" s="180"/>
      <c r="IJG65" s="180"/>
      <c r="IJH65" s="180"/>
      <c r="IJI65" s="180"/>
      <c r="IJJ65" s="180"/>
      <c r="IJK65" s="180"/>
      <c r="IJL65" s="180"/>
      <c r="IJM65" s="180"/>
      <c r="IJN65" s="180"/>
      <c r="IJO65" s="180"/>
      <c r="IJP65" s="180"/>
      <c r="IJQ65" s="180"/>
      <c r="IJR65" s="180"/>
      <c r="IJS65" s="180"/>
      <c r="IJT65" s="180"/>
      <c r="IJU65" s="180"/>
      <c r="IJV65" s="180"/>
      <c r="IJW65" s="180"/>
      <c r="IJX65" s="180"/>
      <c r="IJY65" s="180"/>
      <c r="IJZ65" s="180"/>
      <c r="IKA65" s="180"/>
      <c r="IKB65" s="180"/>
      <c r="IKC65" s="180"/>
      <c r="IKD65" s="180"/>
      <c r="IKE65" s="180"/>
      <c r="IKF65" s="180"/>
      <c r="IKG65" s="180"/>
      <c r="IKH65" s="180"/>
      <c r="IKI65" s="180"/>
      <c r="IKJ65" s="180"/>
      <c r="IKK65" s="180"/>
      <c r="IKL65" s="180"/>
      <c r="IKM65" s="180"/>
      <c r="IKN65" s="180"/>
      <c r="IKO65" s="180"/>
      <c r="IKP65" s="180"/>
      <c r="IKQ65" s="180"/>
      <c r="IKR65" s="180"/>
      <c r="IKS65" s="180"/>
      <c r="IKT65" s="180"/>
      <c r="IKU65" s="180"/>
      <c r="IKV65" s="180"/>
      <c r="IKW65" s="180"/>
      <c r="IKX65" s="180"/>
      <c r="IKY65" s="180"/>
      <c r="IKZ65" s="180"/>
      <c r="ILA65" s="180"/>
      <c r="ILB65" s="180"/>
      <c r="ILC65" s="180"/>
      <c r="ILD65" s="180"/>
      <c r="ILE65" s="180"/>
      <c r="ILF65" s="180"/>
      <c r="ILG65" s="180"/>
      <c r="ILH65" s="180"/>
      <c r="ILI65" s="180"/>
      <c r="ILJ65" s="180"/>
      <c r="ILK65" s="180"/>
      <c r="ILL65" s="180"/>
      <c r="ILM65" s="180"/>
      <c r="ILN65" s="180"/>
      <c r="ILO65" s="180"/>
      <c r="ILP65" s="180"/>
      <c r="ILQ65" s="180"/>
      <c r="ILR65" s="180"/>
      <c r="ILS65" s="180"/>
      <c r="ILT65" s="180"/>
      <c r="ILU65" s="180"/>
      <c r="ILV65" s="180"/>
      <c r="ILW65" s="180"/>
      <c r="ILX65" s="180"/>
      <c r="ILY65" s="180"/>
      <c r="ILZ65" s="180"/>
      <c r="IMA65" s="180"/>
      <c r="IMB65" s="180"/>
      <c r="IMC65" s="180"/>
      <c r="IMD65" s="180"/>
      <c r="IME65" s="180"/>
      <c r="IMF65" s="180"/>
      <c r="IMG65" s="180"/>
      <c r="IMH65" s="180"/>
      <c r="IMI65" s="180"/>
      <c r="IMJ65" s="180"/>
      <c r="IMK65" s="180"/>
      <c r="IML65" s="180"/>
      <c r="IMM65" s="180"/>
      <c r="IMN65" s="180"/>
      <c r="IMO65" s="180"/>
      <c r="IMP65" s="180"/>
      <c r="IMQ65" s="180"/>
      <c r="IMR65" s="180"/>
      <c r="IMS65" s="180"/>
      <c r="IMT65" s="180"/>
      <c r="IMU65" s="180"/>
      <c r="IMV65" s="180"/>
      <c r="IMW65" s="180"/>
      <c r="IMX65" s="180"/>
      <c r="IMY65" s="180"/>
      <c r="IMZ65" s="180"/>
      <c r="INA65" s="180"/>
      <c r="INB65" s="180"/>
      <c r="INC65" s="180"/>
      <c r="IND65" s="180"/>
      <c r="INE65" s="180"/>
      <c r="INF65" s="180"/>
      <c r="ING65" s="180"/>
      <c r="INH65" s="180"/>
      <c r="INI65" s="180"/>
      <c r="INJ65" s="180"/>
      <c r="INK65" s="180"/>
      <c r="INL65" s="180"/>
      <c r="INM65" s="180"/>
      <c r="INN65" s="180"/>
      <c r="INO65" s="180"/>
      <c r="INP65" s="180"/>
      <c r="INQ65" s="180"/>
      <c r="INR65" s="180"/>
      <c r="INS65" s="180"/>
      <c r="INT65" s="180"/>
      <c r="INU65" s="180"/>
      <c r="INV65" s="180"/>
      <c r="INW65" s="180"/>
      <c r="INX65" s="180"/>
      <c r="INY65" s="180"/>
      <c r="INZ65" s="180"/>
      <c r="IOA65" s="180"/>
      <c r="IOB65" s="180"/>
      <c r="IOC65" s="180"/>
      <c r="IOD65" s="180"/>
      <c r="IOE65" s="180"/>
      <c r="IOF65" s="180"/>
      <c r="IOG65" s="180"/>
      <c r="IOH65" s="180"/>
      <c r="IOI65" s="180"/>
      <c r="IOJ65" s="180"/>
      <c r="IOK65" s="180"/>
      <c r="IOL65" s="180"/>
      <c r="IOM65" s="180"/>
      <c r="ION65" s="180"/>
      <c r="IOO65" s="180"/>
      <c r="IOP65" s="180"/>
      <c r="IOQ65" s="180"/>
      <c r="IOR65" s="180"/>
      <c r="IOS65" s="180"/>
      <c r="IOT65" s="180"/>
      <c r="IOU65" s="180"/>
      <c r="IOV65" s="180"/>
      <c r="IOW65" s="180"/>
      <c r="IOX65" s="180"/>
      <c r="IOY65" s="180"/>
      <c r="IOZ65" s="180"/>
      <c r="IPA65" s="180"/>
      <c r="IPB65" s="180"/>
      <c r="IPC65" s="180"/>
      <c r="IPD65" s="180"/>
      <c r="IPE65" s="180"/>
      <c r="IPF65" s="180"/>
      <c r="IPG65" s="180"/>
      <c r="IPH65" s="180"/>
      <c r="IPI65" s="180"/>
      <c r="IPJ65" s="180"/>
      <c r="IPK65" s="180"/>
      <c r="IPL65" s="180"/>
      <c r="IPM65" s="180"/>
      <c r="IPN65" s="180"/>
      <c r="IPO65" s="180"/>
      <c r="IPP65" s="180"/>
      <c r="IPQ65" s="180"/>
      <c r="IPR65" s="180"/>
      <c r="IPS65" s="180"/>
      <c r="IPT65" s="180"/>
      <c r="IPU65" s="180"/>
      <c r="IPV65" s="180"/>
      <c r="IPW65" s="180"/>
      <c r="IPX65" s="180"/>
      <c r="IPY65" s="180"/>
      <c r="IPZ65" s="180"/>
      <c r="IQA65" s="180"/>
      <c r="IQB65" s="180"/>
      <c r="IQC65" s="180"/>
      <c r="IQD65" s="180"/>
      <c r="IQE65" s="180"/>
      <c r="IQF65" s="180"/>
      <c r="IQG65" s="180"/>
      <c r="IQH65" s="180"/>
      <c r="IQI65" s="180"/>
      <c r="IQJ65" s="180"/>
      <c r="IQK65" s="180"/>
      <c r="IQL65" s="180"/>
      <c r="IQM65" s="180"/>
      <c r="IQN65" s="180"/>
      <c r="IQO65" s="180"/>
      <c r="IQP65" s="180"/>
      <c r="IQQ65" s="180"/>
      <c r="IQR65" s="180"/>
      <c r="IQS65" s="180"/>
      <c r="IQT65" s="180"/>
      <c r="IQU65" s="180"/>
      <c r="IQV65" s="180"/>
      <c r="IQW65" s="180"/>
      <c r="IQX65" s="180"/>
      <c r="IQY65" s="180"/>
      <c r="IQZ65" s="180"/>
      <c r="IRA65" s="180"/>
      <c r="IRB65" s="180"/>
      <c r="IRC65" s="180"/>
      <c r="IRD65" s="180"/>
      <c r="IRE65" s="180"/>
      <c r="IRF65" s="180"/>
      <c r="IRG65" s="180"/>
      <c r="IRH65" s="180"/>
      <c r="IRI65" s="180"/>
      <c r="IRJ65" s="180"/>
      <c r="IRK65" s="180"/>
      <c r="IRL65" s="180"/>
      <c r="IRM65" s="180"/>
      <c r="IRN65" s="180"/>
      <c r="IRO65" s="180"/>
      <c r="IRP65" s="180"/>
      <c r="IRQ65" s="180"/>
      <c r="IRR65" s="180"/>
      <c r="IRS65" s="180"/>
      <c r="IRT65" s="180"/>
      <c r="IRU65" s="180"/>
      <c r="IRV65" s="180"/>
      <c r="IRW65" s="180"/>
      <c r="IRX65" s="180"/>
      <c r="IRY65" s="180"/>
      <c r="IRZ65" s="180"/>
      <c r="ISA65" s="180"/>
      <c r="ISB65" s="180"/>
      <c r="ISC65" s="180"/>
      <c r="ISD65" s="180"/>
      <c r="ISE65" s="180"/>
      <c r="ISF65" s="180"/>
      <c r="ISG65" s="180"/>
      <c r="ISH65" s="180"/>
      <c r="ISI65" s="180"/>
      <c r="ISJ65" s="180"/>
      <c r="ISK65" s="180"/>
      <c r="ISL65" s="180"/>
      <c r="ISM65" s="180"/>
      <c r="ISN65" s="180"/>
      <c r="ISO65" s="180"/>
      <c r="ISP65" s="180"/>
      <c r="ISQ65" s="180"/>
      <c r="ISR65" s="180"/>
      <c r="ISS65" s="180"/>
      <c r="IST65" s="180"/>
      <c r="ISU65" s="180"/>
      <c r="ISV65" s="180"/>
      <c r="ISW65" s="180"/>
      <c r="ISX65" s="180"/>
      <c r="ISY65" s="180"/>
      <c r="ISZ65" s="180"/>
      <c r="ITA65" s="180"/>
      <c r="ITB65" s="180"/>
      <c r="ITC65" s="180"/>
      <c r="ITD65" s="180"/>
      <c r="ITE65" s="180"/>
      <c r="ITF65" s="180"/>
      <c r="ITG65" s="180"/>
      <c r="ITH65" s="180"/>
      <c r="ITI65" s="180"/>
      <c r="ITJ65" s="180"/>
      <c r="ITK65" s="180"/>
      <c r="ITL65" s="180"/>
      <c r="ITM65" s="180"/>
      <c r="ITN65" s="180"/>
      <c r="ITO65" s="180"/>
      <c r="ITP65" s="180"/>
      <c r="ITQ65" s="180"/>
      <c r="ITR65" s="180"/>
      <c r="ITS65" s="180"/>
      <c r="ITT65" s="180"/>
      <c r="ITU65" s="180"/>
      <c r="ITV65" s="180"/>
      <c r="ITW65" s="180"/>
      <c r="ITX65" s="180"/>
      <c r="ITY65" s="180"/>
      <c r="ITZ65" s="180"/>
      <c r="IUA65" s="180"/>
      <c r="IUB65" s="180"/>
      <c r="IUC65" s="180"/>
      <c r="IUD65" s="180"/>
      <c r="IUE65" s="180"/>
      <c r="IUF65" s="180"/>
      <c r="IUG65" s="180"/>
      <c r="IUH65" s="180"/>
      <c r="IUI65" s="180"/>
      <c r="IUJ65" s="180"/>
      <c r="IUK65" s="180"/>
      <c r="IUL65" s="180"/>
      <c r="IUM65" s="180"/>
      <c r="IUN65" s="180"/>
      <c r="IUO65" s="180"/>
      <c r="IUP65" s="180"/>
      <c r="IUQ65" s="180"/>
      <c r="IUR65" s="180"/>
      <c r="IUS65" s="180"/>
      <c r="IUT65" s="180"/>
      <c r="IUU65" s="180"/>
      <c r="IUV65" s="180"/>
      <c r="IUW65" s="180"/>
      <c r="IUX65" s="180"/>
      <c r="IUY65" s="180"/>
      <c r="IUZ65" s="180"/>
      <c r="IVA65" s="180"/>
      <c r="IVB65" s="180"/>
      <c r="IVC65" s="180"/>
      <c r="IVD65" s="180"/>
      <c r="IVE65" s="180"/>
      <c r="IVF65" s="180"/>
      <c r="IVG65" s="180"/>
      <c r="IVH65" s="180"/>
      <c r="IVI65" s="180"/>
      <c r="IVJ65" s="180"/>
      <c r="IVK65" s="180"/>
      <c r="IVL65" s="180"/>
      <c r="IVM65" s="180"/>
      <c r="IVN65" s="180"/>
      <c r="IVO65" s="180"/>
      <c r="IVP65" s="180"/>
      <c r="IVQ65" s="180"/>
      <c r="IVR65" s="180"/>
      <c r="IVS65" s="180"/>
      <c r="IVT65" s="180"/>
      <c r="IVU65" s="180"/>
      <c r="IVV65" s="180"/>
      <c r="IVW65" s="180"/>
      <c r="IVX65" s="180"/>
      <c r="IVY65" s="180"/>
      <c r="IVZ65" s="180"/>
      <c r="IWA65" s="180"/>
      <c r="IWB65" s="180"/>
      <c r="IWC65" s="180"/>
      <c r="IWD65" s="180"/>
      <c r="IWE65" s="180"/>
      <c r="IWF65" s="180"/>
      <c r="IWG65" s="180"/>
      <c r="IWH65" s="180"/>
      <c r="IWI65" s="180"/>
      <c r="IWJ65" s="180"/>
      <c r="IWK65" s="180"/>
      <c r="IWL65" s="180"/>
      <c r="IWM65" s="180"/>
      <c r="IWN65" s="180"/>
      <c r="IWO65" s="180"/>
      <c r="IWP65" s="180"/>
      <c r="IWQ65" s="180"/>
      <c r="IWR65" s="180"/>
      <c r="IWS65" s="180"/>
      <c r="IWT65" s="180"/>
      <c r="IWU65" s="180"/>
      <c r="IWV65" s="180"/>
      <c r="IWW65" s="180"/>
      <c r="IWX65" s="180"/>
      <c r="IWY65" s="180"/>
      <c r="IWZ65" s="180"/>
      <c r="IXA65" s="180"/>
      <c r="IXB65" s="180"/>
      <c r="IXC65" s="180"/>
      <c r="IXD65" s="180"/>
      <c r="IXE65" s="180"/>
      <c r="IXF65" s="180"/>
      <c r="IXG65" s="180"/>
      <c r="IXH65" s="180"/>
      <c r="IXI65" s="180"/>
      <c r="IXJ65" s="180"/>
      <c r="IXK65" s="180"/>
      <c r="IXL65" s="180"/>
      <c r="IXM65" s="180"/>
      <c r="IXN65" s="180"/>
      <c r="IXO65" s="180"/>
      <c r="IXP65" s="180"/>
      <c r="IXQ65" s="180"/>
      <c r="IXR65" s="180"/>
      <c r="IXS65" s="180"/>
      <c r="IXT65" s="180"/>
      <c r="IXU65" s="180"/>
      <c r="IXV65" s="180"/>
      <c r="IXW65" s="180"/>
      <c r="IXX65" s="180"/>
      <c r="IXY65" s="180"/>
      <c r="IXZ65" s="180"/>
      <c r="IYA65" s="180"/>
      <c r="IYB65" s="180"/>
      <c r="IYC65" s="180"/>
      <c r="IYD65" s="180"/>
      <c r="IYE65" s="180"/>
      <c r="IYF65" s="180"/>
      <c r="IYG65" s="180"/>
      <c r="IYH65" s="180"/>
      <c r="IYI65" s="180"/>
      <c r="IYJ65" s="180"/>
      <c r="IYK65" s="180"/>
      <c r="IYL65" s="180"/>
      <c r="IYM65" s="180"/>
      <c r="IYN65" s="180"/>
      <c r="IYO65" s="180"/>
      <c r="IYP65" s="180"/>
      <c r="IYQ65" s="180"/>
      <c r="IYR65" s="180"/>
      <c r="IYS65" s="180"/>
      <c r="IYT65" s="180"/>
      <c r="IYU65" s="180"/>
      <c r="IYV65" s="180"/>
      <c r="IYW65" s="180"/>
      <c r="IYX65" s="180"/>
      <c r="IYY65" s="180"/>
      <c r="IYZ65" s="180"/>
      <c r="IZA65" s="180"/>
      <c r="IZB65" s="180"/>
      <c r="IZC65" s="180"/>
      <c r="IZD65" s="180"/>
      <c r="IZE65" s="180"/>
      <c r="IZF65" s="180"/>
      <c r="IZG65" s="180"/>
      <c r="IZH65" s="180"/>
      <c r="IZI65" s="180"/>
      <c r="IZJ65" s="180"/>
      <c r="IZK65" s="180"/>
      <c r="IZL65" s="180"/>
      <c r="IZM65" s="180"/>
      <c r="IZN65" s="180"/>
      <c r="IZO65" s="180"/>
      <c r="IZP65" s="180"/>
      <c r="IZQ65" s="180"/>
      <c r="IZR65" s="180"/>
      <c r="IZS65" s="180"/>
      <c r="IZT65" s="180"/>
      <c r="IZU65" s="180"/>
      <c r="IZV65" s="180"/>
      <c r="IZW65" s="180"/>
      <c r="IZX65" s="180"/>
      <c r="IZY65" s="180"/>
      <c r="IZZ65" s="180"/>
      <c r="JAA65" s="180"/>
      <c r="JAB65" s="180"/>
      <c r="JAC65" s="180"/>
      <c r="JAD65" s="180"/>
      <c r="JAE65" s="180"/>
      <c r="JAF65" s="180"/>
      <c r="JAG65" s="180"/>
      <c r="JAH65" s="180"/>
      <c r="JAI65" s="180"/>
      <c r="JAJ65" s="180"/>
      <c r="JAK65" s="180"/>
      <c r="JAL65" s="180"/>
      <c r="JAM65" s="180"/>
      <c r="JAN65" s="180"/>
      <c r="JAO65" s="180"/>
      <c r="JAP65" s="180"/>
      <c r="JAQ65" s="180"/>
      <c r="JAR65" s="180"/>
      <c r="JAS65" s="180"/>
      <c r="JAT65" s="180"/>
      <c r="JAU65" s="180"/>
      <c r="JAV65" s="180"/>
      <c r="JAW65" s="180"/>
      <c r="JAX65" s="180"/>
      <c r="JAY65" s="180"/>
      <c r="JAZ65" s="180"/>
      <c r="JBA65" s="180"/>
      <c r="JBB65" s="180"/>
      <c r="JBC65" s="180"/>
      <c r="JBD65" s="180"/>
      <c r="JBE65" s="180"/>
      <c r="JBF65" s="180"/>
      <c r="JBG65" s="180"/>
      <c r="JBH65" s="180"/>
      <c r="JBI65" s="180"/>
      <c r="JBJ65" s="180"/>
      <c r="JBK65" s="180"/>
      <c r="JBL65" s="180"/>
      <c r="JBM65" s="180"/>
      <c r="JBN65" s="180"/>
      <c r="JBO65" s="180"/>
      <c r="JBP65" s="180"/>
      <c r="JBQ65" s="180"/>
      <c r="JBR65" s="180"/>
      <c r="JBS65" s="180"/>
      <c r="JBT65" s="180"/>
      <c r="JBU65" s="180"/>
      <c r="JBV65" s="180"/>
      <c r="JBW65" s="180"/>
      <c r="JBX65" s="180"/>
      <c r="JBY65" s="180"/>
      <c r="JBZ65" s="180"/>
      <c r="JCA65" s="180"/>
      <c r="JCB65" s="180"/>
      <c r="JCC65" s="180"/>
      <c r="JCD65" s="180"/>
      <c r="JCE65" s="180"/>
      <c r="JCF65" s="180"/>
      <c r="JCG65" s="180"/>
      <c r="JCH65" s="180"/>
      <c r="JCI65" s="180"/>
      <c r="JCJ65" s="180"/>
      <c r="JCK65" s="180"/>
      <c r="JCL65" s="180"/>
      <c r="JCM65" s="180"/>
      <c r="JCN65" s="180"/>
      <c r="JCO65" s="180"/>
      <c r="JCP65" s="180"/>
      <c r="JCQ65" s="180"/>
      <c r="JCR65" s="180"/>
      <c r="JCS65" s="180"/>
      <c r="JCT65" s="180"/>
      <c r="JCU65" s="180"/>
      <c r="JCV65" s="180"/>
      <c r="JCW65" s="180"/>
      <c r="JCX65" s="180"/>
      <c r="JCY65" s="180"/>
      <c r="JCZ65" s="180"/>
      <c r="JDA65" s="180"/>
      <c r="JDB65" s="180"/>
      <c r="JDC65" s="180"/>
      <c r="JDD65" s="180"/>
      <c r="JDE65" s="180"/>
      <c r="JDF65" s="180"/>
      <c r="JDG65" s="180"/>
      <c r="JDH65" s="180"/>
      <c r="JDI65" s="180"/>
      <c r="JDJ65" s="180"/>
      <c r="JDK65" s="180"/>
      <c r="JDL65" s="180"/>
      <c r="JDM65" s="180"/>
      <c r="JDN65" s="180"/>
      <c r="JDO65" s="180"/>
      <c r="JDP65" s="180"/>
      <c r="JDQ65" s="180"/>
      <c r="JDR65" s="180"/>
      <c r="JDS65" s="180"/>
      <c r="JDT65" s="180"/>
      <c r="JDU65" s="180"/>
      <c r="JDV65" s="180"/>
      <c r="JDW65" s="180"/>
      <c r="JDX65" s="180"/>
      <c r="JDY65" s="180"/>
      <c r="JDZ65" s="180"/>
      <c r="JEA65" s="180"/>
      <c r="JEB65" s="180"/>
      <c r="JEC65" s="180"/>
      <c r="JED65" s="180"/>
      <c r="JEE65" s="180"/>
      <c r="JEF65" s="180"/>
      <c r="JEG65" s="180"/>
      <c r="JEH65" s="180"/>
      <c r="JEI65" s="180"/>
      <c r="JEJ65" s="180"/>
      <c r="JEK65" s="180"/>
      <c r="JEL65" s="180"/>
      <c r="JEM65" s="180"/>
      <c r="JEN65" s="180"/>
      <c r="JEO65" s="180"/>
      <c r="JEP65" s="180"/>
      <c r="JEQ65" s="180"/>
      <c r="JER65" s="180"/>
      <c r="JES65" s="180"/>
      <c r="JET65" s="180"/>
      <c r="JEU65" s="180"/>
      <c r="JEV65" s="180"/>
      <c r="JEW65" s="180"/>
      <c r="JEX65" s="180"/>
      <c r="JEY65" s="180"/>
      <c r="JEZ65" s="180"/>
      <c r="JFA65" s="180"/>
      <c r="JFB65" s="180"/>
      <c r="JFC65" s="180"/>
      <c r="JFD65" s="180"/>
      <c r="JFE65" s="180"/>
      <c r="JFF65" s="180"/>
      <c r="JFG65" s="180"/>
      <c r="JFH65" s="180"/>
      <c r="JFI65" s="180"/>
      <c r="JFJ65" s="180"/>
      <c r="JFK65" s="180"/>
      <c r="JFL65" s="180"/>
      <c r="JFM65" s="180"/>
      <c r="JFN65" s="180"/>
      <c r="JFO65" s="180"/>
      <c r="JFP65" s="180"/>
      <c r="JFQ65" s="180"/>
      <c r="JFR65" s="180"/>
      <c r="JFS65" s="180"/>
      <c r="JFT65" s="180"/>
      <c r="JFU65" s="180"/>
      <c r="JFV65" s="180"/>
      <c r="JFW65" s="180"/>
      <c r="JFX65" s="180"/>
      <c r="JFY65" s="180"/>
      <c r="JFZ65" s="180"/>
      <c r="JGA65" s="180"/>
      <c r="JGB65" s="180"/>
      <c r="JGC65" s="180"/>
      <c r="JGD65" s="180"/>
      <c r="JGE65" s="180"/>
      <c r="JGF65" s="180"/>
      <c r="JGG65" s="180"/>
      <c r="JGH65" s="180"/>
      <c r="JGI65" s="180"/>
      <c r="JGJ65" s="180"/>
      <c r="JGK65" s="180"/>
      <c r="JGL65" s="180"/>
      <c r="JGM65" s="180"/>
      <c r="JGN65" s="180"/>
      <c r="JGO65" s="180"/>
      <c r="JGP65" s="180"/>
      <c r="JGQ65" s="180"/>
      <c r="JGR65" s="180"/>
      <c r="JGS65" s="180"/>
      <c r="JGT65" s="180"/>
      <c r="JGU65" s="180"/>
      <c r="JGV65" s="180"/>
      <c r="JGW65" s="180"/>
      <c r="JGX65" s="180"/>
      <c r="JGY65" s="180"/>
      <c r="JGZ65" s="180"/>
      <c r="JHA65" s="180"/>
      <c r="JHB65" s="180"/>
      <c r="JHC65" s="180"/>
      <c r="JHD65" s="180"/>
      <c r="JHE65" s="180"/>
      <c r="JHF65" s="180"/>
      <c r="JHG65" s="180"/>
      <c r="JHH65" s="180"/>
      <c r="JHI65" s="180"/>
      <c r="JHJ65" s="180"/>
      <c r="JHK65" s="180"/>
      <c r="JHL65" s="180"/>
      <c r="JHM65" s="180"/>
      <c r="JHN65" s="180"/>
      <c r="JHO65" s="180"/>
      <c r="JHP65" s="180"/>
      <c r="JHQ65" s="180"/>
      <c r="JHR65" s="180"/>
      <c r="JHS65" s="180"/>
      <c r="JHT65" s="180"/>
      <c r="JHU65" s="180"/>
      <c r="JHV65" s="180"/>
      <c r="JHW65" s="180"/>
      <c r="JHX65" s="180"/>
      <c r="JHY65" s="180"/>
      <c r="JHZ65" s="180"/>
      <c r="JIA65" s="180"/>
      <c r="JIB65" s="180"/>
      <c r="JIC65" s="180"/>
      <c r="JID65" s="180"/>
      <c r="JIE65" s="180"/>
      <c r="JIF65" s="180"/>
      <c r="JIG65" s="180"/>
      <c r="JIH65" s="180"/>
      <c r="JII65" s="180"/>
      <c r="JIJ65" s="180"/>
      <c r="JIK65" s="180"/>
      <c r="JIL65" s="180"/>
      <c r="JIM65" s="180"/>
      <c r="JIN65" s="180"/>
      <c r="JIO65" s="180"/>
      <c r="JIP65" s="180"/>
      <c r="JIQ65" s="180"/>
      <c r="JIR65" s="180"/>
      <c r="JIS65" s="180"/>
      <c r="JIT65" s="180"/>
      <c r="JIU65" s="180"/>
      <c r="JIV65" s="180"/>
      <c r="JIW65" s="180"/>
      <c r="JIX65" s="180"/>
      <c r="JIY65" s="180"/>
      <c r="JIZ65" s="180"/>
      <c r="JJA65" s="180"/>
      <c r="JJB65" s="180"/>
      <c r="JJC65" s="180"/>
      <c r="JJD65" s="180"/>
      <c r="JJE65" s="180"/>
      <c r="JJF65" s="180"/>
      <c r="JJG65" s="180"/>
      <c r="JJH65" s="180"/>
      <c r="JJI65" s="180"/>
      <c r="JJJ65" s="180"/>
      <c r="JJK65" s="180"/>
      <c r="JJL65" s="180"/>
      <c r="JJM65" s="180"/>
      <c r="JJN65" s="180"/>
      <c r="JJO65" s="180"/>
      <c r="JJP65" s="180"/>
      <c r="JJQ65" s="180"/>
      <c r="JJR65" s="180"/>
      <c r="JJS65" s="180"/>
      <c r="JJT65" s="180"/>
      <c r="JJU65" s="180"/>
      <c r="JJV65" s="180"/>
      <c r="JJW65" s="180"/>
      <c r="JJX65" s="180"/>
      <c r="JJY65" s="180"/>
      <c r="JJZ65" s="180"/>
      <c r="JKA65" s="180"/>
      <c r="JKB65" s="180"/>
      <c r="JKC65" s="180"/>
      <c r="JKD65" s="180"/>
      <c r="JKE65" s="180"/>
      <c r="JKF65" s="180"/>
      <c r="JKG65" s="180"/>
      <c r="JKH65" s="180"/>
      <c r="JKI65" s="180"/>
      <c r="JKJ65" s="180"/>
      <c r="JKK65" s="180"/>
      <c r="JKL65" s="180"/>
      <c r="JKM65" s="180"/>
      <c r="JKN65" s="180"/>
      <c r="JKO65" s="180"/>
      <c r="JKP65" s="180"/>
      <c r="JKQ65" s="180"/>
      <c r="JKR65" s="180"/>
      <c r="JKS65" s="180"/>
      <c r="JKT65" s="180"/>
      <c r="JKU65" s="180"/>
      <c r="JKV65" s="180"/>
      <c r="JKW65" s="180"/>
      <c r="JKX65" s="180"/>
      <c r="JKY65" s="180"/>
      <c r="JKZ65" s="180"/>
      <c r="JLA65" s="180"/>
      <c r="JLB65" s="180"/>
      <c r="JLC65" s="180"/>
      <c r="JLD65" s="180"/>
      <c r="JLE65" s="180"/>
      <c r="JLF65" s="180"/>
      <c r="JLG65" s="180"/>
      <c r="JLH65" s="180"/>
      <c r="JLI65" s="180"/>
      <c r="JLJ65" s="180"/>
      <c r="JLK65" s="180"/>
      <c r="JLL65" s="180"/>
      <c r="JLM65" s="180"/>
      <c r="JLN65" s="180"/>
      <c r="JLO65" s="180"/>
      <c r="JLP65" s="180"/>
      <c r="JLQ65" s="180"/>
      <c r="JLR65" s="180"/>
      <c r="JLS65" s="180"/>
      <c r="JLT65" s="180"/>
      <c r="JLU65" s="180"/>
      <c r="JLV65" s="180"/>
      <c r="JLW65" s="180"/>
      <c r="JLX65" s="180"/>
      <c r="JLY65" s="180"/>
      <c r="JLZ65" s="180"/>
      <c r="JMA65" s="180"/>
      <c r="JMB65" s="180"/>
      <c r="JMC65" s="180"/>
      <c r="JMD65" s="180"/>
      <c r="JME65" s="180"/>
      <c r="JMF65" s="180"/>
      <c r="JMG65" s="180"/>
      <c r="JMH65" s="180"/>
      <c r="JMI65" s="180"/>
      <c r="JMJ65" s="180"/>
      <c r="JMK65" s="180"/>
      <c r="JML65" s="180"/>
      <c r="JMM65" s="180"/>
      <c r="JMN65" s="180"/>
      <c r="JMO65" s="180"/>
      <c r="JMP65" s="180"/>
      <c r="JMQ65" s="180"/>
      <c r="JMR65" s="180"/>
      <c r="JMS65" s="180"/>
      <c r="JMT65" s="180"/>
      <c r="JMU65" s="180"/>
      <c r="JMV65" s="180"/>
      <c r="JMW65" s="180"/>
      <c r="JMX65" s="180"/>
      <c r="JMY65" s="180"/>
      <c r="JMZ65" s="180"/>
      <c r="JNA65" s="180"/>
      <c r="JNB65" s="180"/>
      <c r="JNC65" s="180"/>
      <c r="JND65" s="180"/>
      <c r="JNE65" s="180"/>
      <c r="JNF65" s="180"/>
      <c r="JNG65" s="180"/>
      <c r="JNH65" s="180"/>
      <c r="JNI65" s="180"/>
      <c r="JNJ65" s="180"/>
      <c r="JNK65" s="180"/>
      <c r="JNL65" s="180"/>
      <c r="JNM65" s="180"/>
      <c r="JNN65" s="180"/>
      <c r="JNO65" s="180"/>
      <c r="JNP65" s="180"/>
      <c r="JNQ65" s="180"/>
      <c r="JNR65" s="180"/>
      <c r="JNS65" s="180"/>
      <c r="JNT65" s="180"/>
      <c r="JNU65" s="180"/>
      <c r="JNV65" s="180"/>
      <c r="JNW65" s="180"/>
      <c r="JNX65" s="180"/>
      <c r="JNY65" s="180"/>
      <c r="JNZ65" s="180"/>
      <c r="JOA65" s="180"/>
      <c r="JOB65" s="180"/>
      <c r="JOC65" s="180"/>
      <c r="JOD65" s="180"/>
      <c r="JOE65" s="180"/>
      <c r="JOF65" s="180"/>
      <c r="JOG65" s="180"/>
      <c r="JOH65" s="180"/>
      <c r="JOI65" s="180"/>
      <c r="JOJ65" s="180"/>
      <c r="JOK65" s="180"/>
      <c r="JOL65" s="180"/>
      <c r="JOM65" s="180"/>
      <c r="JON65" s="180"/>
      <c r="JOO65" s="180"/>
      <c r="JOP65" s="180"/>
      <c r="JOQ65" s="180"/>
      <c r="JOR65" s="180"/>
      <c r="JOS65" s="180"/>
      <c r="JOT65" s="180"/>
      <c r="JOU65" s="180"/>
      <c r="JOV65" s="180"/>
      <c r="JOW65" s="180"/>
      <c r="JOX65" s="180"/>
      <c r="JOY65" s="180"/>
      <c r="JOZ65" s="180"/>
      <c r="JPA65" s="180"/>
      <c r="JPB65" s="180"/>
      <c r="JPC65" s="180"/>
      <c r="JPD65" s="180"/>
      <c r="JPE65" s="180"/>
      <c r="JPF65" s="180"/>
      <c r="JPG65" s="180"/>
      <c r="JPH65" s="180"/>
      <c r="JPI65" s="180"/>
      <c r="JPJ65" s="180"/>
      <c r="JPK65" s="180"/>
      <c r="JPL65" s="180"/>
      <c r="JPM65" s="180"/>
      <c r="JPN65" s="180"/>
      <c r="JPO65" s="180"/>
      <c r="JPP65" s="180"/>
      <c r="JPQ65" s="180"/>
      <c r="JPR65" s="180"/>
      <c r="JPS65" s="180"/>
      <c r="JPT65" s="180"/>
      <c r="JPU65" s="180"/>
      <c r="JPV65" s="180"/>
      <c r="JPW65" s="180"/>
      <c r="JPX65" s="180"/>
      <c r="JPY65" s="180"/>
      <c r="JPZ65" s="180"/>
      <c r="JQA65" s="180"/>
      <c r="JQB65" s="180"/>
      <c r="JQC65" s="180"/>
      <c r="JQD65" s="180"/>
      <c r="JQE65" s="180"/>
      <c r="JQF65" s="180"/>
      <c r="JQG65" s="180"/>
      <c r="JQH65" s="180"/>
      <c r="JQI65" s="180"/>
      <c r="JQJ65" s="180"/>
      <c r="JQK65" s="180"/>
      <c r="JQL65" s="180"/>
      <c r="JQM65" s="180"/>
      <c r="JQN65" s="180"/>
      <c r="JQO65" s="180"/>
      <c r="JQP65" s="180"/>
      <c r="JQQ65" s="180"/>
      <c r="JQR65" s="180"/>
      <c r="JQS65" s="180"/>
      <c r="JQT65" s="180"/>
      <c r="JQU65" s="180"/>
      <c r="JQV65" s="180"/>
      <c r="JQW65" s="180"/>
      <c r="JQX65" s="180"/>
      <c r="JQY65" s="180"/>
      <c r="JQZ65" s="180"/>
      <c r="JRA65" s="180"/>
      <c r="JRB65" s="180"/>
      <c r="JRC65" s="180"/>
      <c r="JRD65" s="180"/>
      <c r="JRE65" s="180"/>
      <c r="JRF65" s="180"/>
      <c r="JRG65" s="180"/>
      <c r="JRH65" s="180"/>
      <c r="JRI65" s="180"/>
      <c r="JRJ65" s="180"/>
      <c r="JRK65" s="180"/>
      <c r="JRL65" s="180"/>
      <c r="JRM65" s="180"/>
      <c r="JRN65" s="180"/>
      <c r="JRO65" s="180"/>
      <c r="JRP65" s="180"/>
      <c r="JRQ65" s="180"/>
      <c r="JRR65" s="180"/>
      <c r="JRS65" s="180"/>
      <c r="JRT65" s="180"/>
      <c r="JRU65" s="180"/>
      <c r="JRV65" s="180"/>
      <c r="JRW65" s="180"/>
      <c r="JRX65" s="180"/>
      <c r="JRY65" s="180"/>
      <c r="JRZ65" s="180"/>
      <c r="JSA65" s="180"/>
      <c r="JSB65" s="180"/>
      <c r="JSC65" s="180"/>
      <c r="JSD65" s="180"/>
      <c r="JSE65" s="180"/>
      <c r="JSF65" s="180"/>
      <c r="JSG65" s="180"/>
      <c r="JSH65" s="180"/>
      <c r="JSI65" s="180"/>
      <c r="JSJ65" s="180"/>
      <c r="JSK65" s="180"/>
      <c r="JSL65" s="180"/>
      <c r="JSM65" s="180"/>
      <c r="JSN65" s="180"/>
      <c r="JSO65" s="180"/>
      <c r="JSP65" s="180"/>
      <c r="JSQ65" s="180"/>
      <c r="JSR65" s="180"/>
      <c r="JSS65" s="180"/>
      <c r="JST65" s="180"/>
      <c r="JSU65" s="180"/>
      <c r="JSV65" s="180"/>
      <c r="JSW65" s="180"/>
      <c r="JSX65" s="180"/>
      <c r="JSY65" s="180"/>
      <c r="JSZ65" s="180"/>
      <c r="JTA65" s="180"/>
      <c r="JTB65" s="180"/>
      <c r="JTC65" s="180"/>
      <c r="JTD65" s="180"/>
      <c r="JTE65" s="180"/>
      <c r="JTF65" s="180"/>
      <c r="JTG65" s="180"/>
      <c r="JTH65" s="180"/>
      <c r="JTI65" s="180"/>
      <c r="JTJ65" s="180"/>
      <c r="JTK65" s="180"/>
      <c r="JTL65" s="180"/>
      <c r="JTM65" s="180"/>
      <c r="JTN65" s="180"/>
      <c r="JTO65" s="180"/>
      <c r="JTP65" s="180"/>
      <c r="JTQ65" s="180"/>
      <c r="JTR65" s="180"/>
      <c r="JTS65" s="180"/>
      <c r="JTT65" s="180"/>
      <c r="JTU65" s="180"/>
      <c r="JTV65" s="180"/>
      <c r="JTW65" s="180"/>
      <c r="JTX65" s="180"/>
      <c r="JTY65" s="180"/>
      <c r="JTZ65" s="180"/>
      <c r="JUA65" s="180"/>
      <c r="JUB65" s="180"/>
      <c r="JUC65" s="180"/>
      <c r="JUD65" s="180"/>
      <c r="JUE65" s="180"/>
      <c r="JUF65" s="180"/>
      <c r="JUG65" s="180"/>
      <c r="JUH65" s="180"/>
      <c r="JUI65" s="180"/>
      <c r="JUJ65" s="180"/>
      <c r="JUK65" s="180"/>
      <c r="JUL65" s="180"/>
      <c r="JUM65" s="180"/>
      <c r="JUN65" s="180"/>
      <c r="JUO65" s="180"/>
      <c r="JUP65" s="180"/>
      <c r="JUQ65" s="180"/>
      <c r="JUR65" s="180"/>
      <c r="JUS65" s="180"/>
      <c r="JUT65" s="180"/>
      <c r="JUU65" s="180"/>
      <c r="JUV65" s="180"/>
      <c r="JUW65" s="180"/>
      <c r="JUX65" s="180"/>
      <c r="JUY65" s="180"/>
      <c r="JUZ65" s="180"/>
      <c r="JVA65" s="180"/>
      <c r="JVB65" s="180"/>
      <c r="JVC65" s="180"/>
      <c r="JVD65" s="180"/>
      <c r="JVE65" s="180"/>
      <c r="JVF65" s="180"/>
      <c r="JVG65" s="180"/>
      <c r="JVH65" s="180"/>
      <c r="JVI65" s="180"/>
      <c r="JVJ65" s="180"/>
      <c r="JVK65" s="180"/>
      <c r="JVL65" s="180"/>
      <c r="JVM65" s="180"/>
      <c r="JVN65" s="180"/>
      <c r="JVO65" s="180"/>
      <c r="JVP65" s="180"/>
      <c r="JVQ65" s="180"/>
      <c r="JVR65" s="180"/>
      <c r="JVS65" s="180"/>
      <c r="JVT65" s="180"/>
      <c r="JVU65" s="180"/>
      <c r="JVV65" s="180"/>
      <c r="JVW65" s="180"/>
      <c r="JVX65" s="180"/>
      <c r="JVY65" s="180"/>
      <c r="JVZ65" s="180"/>
      <c r="JWA65" s="180"/>
      <c r="JWB65" s="180"/>
      <c r="JWC65" s="180"/>
      <c r="JWD65" s="180"/>
      <c r="JWE65" s="180"/>
      <c r="JWF65" s="180"/>
      <c r="JWG65" s="180"/>
      <c r="JWH65" s="180"/>
      <c r="JWI65" s="180"/>
      <c r="JWJ65" s="180"/>
      <c r="JWK65" s="180"/>
      <c r="JWL65" s="180"/>
      <c r="JWM65" s="180"/>
      <c r="JWN65" s="180"/>
      <c r="JWO65" s="180"/>
      <c r="JWP65" s="180"/>
      <c r="JWQ65" s="180"/>
      <c r="JWR65" s="180"/>
      <c r="JWS65" s="180"/>
      <c r="JWT65" s="180"/>
      <c r="JWU65" s="180"/>
      <c r="JWV65" s="180"/>
      <c r="JWW65" s="180"/>
      <c r="JWX65" s="180"/>
      <c r="JWY65" s="180"/>
      <c r="JWZ65" s="180"/>
      <c r="JXA65" s="180"/>
      <c r="JXB65" s="180"/>
      <c r="JXC65" s="180"/>
      <c r="JXD65" s="180"/>
      <c r="JXE65" s="180"/>
      <c r="JXF65" s="180"/>
      <c r="JXG65" s="180"/>
      <c r="JXH65" s="180"/>
      <c r="JXI65" s="180"/>
      <c r="JXJ65" s="180"/>
      <c r="JXK65" s="180"/>
      <c r="JXL65" s="180"/>
      <c r="JXM65" s="180"/>
      <c r="JXN65" s="180"/>
      <c r="JXO65" s="180"/>
      <c r="JXP65" s="180"/>
      <c r="JXQ65" s="180"/>
      <c r="JXR65" s="180"/>
      <c r="JXS65" s="180"/>
      <c r="JXT65" s="180"/>
      <c r="JXU65" s="180"/>
      <c r="JXV65" s="180"/>
      <c r="JXW65" s="180"/>
      <c r="JXX65" s="180"/>
      <c r="JXY65" s="180"/>
      <c r="JXZ65" s="180"/>
      <c r="JYA65" s="180"/>
      <c r="JYB65" s="180"/>
      <c r="JYC65" s="180"/>
      <c r="JYD65" s="180"/>
      <c r="JYE65" s="180"/>
      <c r="JYF65" s="180"/>
      <c r="JYG65" s="180"/>
      <c r="JYH65" s="180"/>
      <c r="JYI65" s="180"/>
      <c r="JYJ65" s="180"/>
      <c r="JYK65" s="180"/>
      <c r="JYL65" s="180"/>
      <c r="JYM65" s="180"/>
      <c r="JYN65" s="180"/>
      <c r="JYO65" s="180"/>
      <c r="JYP65" s="180"/>
      <c r="JYQ65" s="180"/>
      <c r="JYR65" s="180"/>
      <c r="JYS65" s="180"/>
      <c r="JYT65" s="180"/>
      <c r="JYU65" s="180"/>
      <c r="JYV65" s="180"/>
      <c r="JYW65" s="180"/>
      <c r="JYX65" s="180"/>
      <c r="JYY65" s="180"/>
      <c r="JYZ65" s="180"/>
      <c r="JZA65" s="180"/>
      <c r="JZB65" s="180"/>
      <c r="JZC65" s="180"/>
      <c r="JZD65" s="180"/>
      <c r="JZE65" s="180"/>
      <c r="JZF65" s="180"/>
      <c r="JZG65" s="180"/>
      <c r="JZH65" s="180"/>
      <c r="JZI65" s="180"/>
      <c r="JZJ65" s="180"/>
      <c r="JZK65" s="180"/>
      <c r="JZL65" s="180"/>
      <c r="JZM65" s="180"/>
      <c r="JZN65" s="180"/>
      <c r="JZO65" s="180"/>
      <c r="JZP65" s="180"/>
      <c r="JZQ65" s="180"/>
      <c r="JZR65" s="180"/>
      <c r="JZS65" s="180"/>
      <c r="JZT65" s="180"/>
      <c r="JZU65" s="180"/>
      <c r="JZV65" s="180"/>
      <c r="JZW65" s="180"/>
      <c r="JZX65" s="180"/>
      <c r="JZY65" s="180"/>
      <c r="JZZ65" s="180"/>
      <c r="KAA65" s="180"/>
      <c r="KAB65" s="180"/>
      <c r="KAC65" s="180"/>
      <c r="KAD65" s="180"/>
      <c r="KAE65" s="180"/>
      <c r="KAF65" s="180"/>
      <c r="KAG65" s="180"/>
      <c r="KAH65" s="180"/>
      <c r="KAI65" s="180"/>
      <c r="KAJ65" s="180"/>
      <c r="KAK65" s="180"/>
      <c r="KAL65" s="180"/>
      <c r="KAM65" s="180"/>
      <c r="KAN65" s="180"/>
      <c r="KAO65" s="180"/>
      <c r="KAP65" s="180"/>
      <c r="KAQ65" s="180"/>
      <c r="KAR65" s="180"/>
      <c r="KAS65" s="180"/>
      <c r="KAT65" s="180"/>
      <c r="KAU65" s="180"/>
      <c r="KAV65" s="180"/>
      <c r="KAW65" s="180"/>
      <c r="KAX65" s="180"/>
      <c r="KAY65" s="180"/>
      <c r="KAZ65" s="180"/>
      <c r="KBA65" s="180"/>
      <c r="KBB65" s="180"/>
      <c r="KBC65" s="180"/>
      <c r="KBD65" s="180"/>
      <c r="KBE65" s="180"/>
      <c r="KBF65" s="180"/>
      <c r="KBG65" s="180"/>
      <c r="KBH65" s="180"/>
      <c r="KBI65" s="180"/>
      <c r="KBJ65" s="180"/>
      <c r="KBK65" s="180"/>
      <c r="KBL65" s="180"/>
      <c r="KBM65" s="180"/>
      <c r="KBN65" s="180"/>
      <c r="KBO65" s="180"/>
      <c r="KBP65" s="180"/>
      <c r="KBQ65" s="180"/>
      <c r="KBR65" s="180"/>
      <c r="KBS65" s="180"/>
      <c r="KBT65" s="180"/>
      <c r="KBU65" s="180"/>
      <c r="KBV65" s="180"/>
      <c r="KBW65" s="180"/>
      <c r="KBX65" s="180"/>
      <c r="KBY65" s="180"/>
      <c r="KBZ65" s="180"/>
      <c r="KCA65" s="180"/>
      <c r="KCB65" s="180"/>
      <c r="KCC65" s="180"/>
      <c r="KCD65" s="180"/>
      <c r="KCE65" s="180"/>
      <c r="KCF65" s="180"/>
      <c r="KCG65" s="180"/>
      <c r="KCH65" s="180"/>
      <c r="KCI65" s="180"/>
      <c r="KCJ65" s="180"/>
      <c r="KCK65" s="180"/>
      <c r="KCL65" s="180"/>
      <c r="KCM65" s="180"/>
      <c r="KCN65" s="180"/>
      <c r="KCO65" s="180"/>
      <c r="KCP65" s="180"/>
      <c r="KCQ65" s="180"/>
      <c r="KCR65" s="180"/>
      <c r="KCS65" s="180"/>
      <c r="KCT65" s="180"/>
      <c r="KCU65" s="180"/>
      <c r="KCV65" s="180"/>
      <c r="KCW65" s="180"/>
      <c r="KCX65" s="180"/>
      <c r="KCY65" s="180"/>
      <c r="KCZ65" s="180"/>
      <c r="KDA65" s="180"/>
      <c r="KDB65" s="180"/>
      <c r="KDC65" s="180"/>
      <c r="KDD65" s="180"/>
      <c r="KDE65" s="180"/>
      <c r="KDF65" s="180"/>
      <c r="KDG65" s="180"/>
      <c r="KDH65" s="180"/>
      <c r="KDI65" s="180"/>
      <c r="KDJ65" s="180"/>
      <c r="KDK65" s="180"/>
      <c r="KDL65" s="180"/>
      <c r="KDM65" s="180"/>
      <c r="KDN65" s="180"/>
      <c r="KDO65" s="180"/>
      <c r="KDP65" s="180"/>
      <c r="KDQ65" s="180"/>
      <c r="KDR65" s="180"/>
      <c r="KDS65" s="180"/>
      <c r="KDT65" s="180"/>
      <c r="KDU65" s="180"/>
      <c r="KDV65" s="180"/>
      <c r="KDW65" s="180"/>
      <c r="KDX65" s="180"/>
      <c r="KDY65" s="180"/>
      <c r="KDZ65" s="180"/>
      <c r="KEA65" s="180"/>
      <c r="KEB65" s="180"/>
      <c r="KEC65" s="180"/>
      <c r="KED65" s="180"/>
      <c r="KEE65" s="180"/>
      <c r="KEF65" s="180"/>
      <c r="KEG65" s="180"/>
      <c r="KEH65" s="180"/>
      <c r="KEI65" s="180"/>
      <c r="KEJ65" s="180"/>
      <c r="KEK65" s="180"/>
      <c r="KEL65" s="180"/>
      <c r="KEM65" s="180"/>
      <c r="KEN65" s="180"/>
      <c r="KEO65" s="180"/>
      <c r="KEP65" s="180"/>
      <c r="KEQ65" s="180"/>
      <c r="KER65" s="180"/>
      <c r="KES65" s="180"/>
      <c r="KET65" s="180"/>
      <c r="KEU65" s="180"/>
      <c r="KEV65" s="180"/>
      <c r="KEW65" s="180"/>
      <c r="KEX65" s="180"/>
      <c r="KEY65" s="180"/>
      <c r="KEZ65" s="180"/>
      <c r="KFA65" s="180"/>
      <c r="KFB65" s="180"/>
      <c r="KFC65" s="180"/>
      <c r="KFD65" s="180"/>
      <c r="KFE65" s="180"/>
      <c r="KFF65" s="180"/>
      <c r="KFG65" s="180"/>
      <c r="KFH65" s="180"/>
      <c r="KFI65" s="180"/>
      <c r="KFJ65" s="180"/>
      <c r="KFK65" s="180"/>
      <c r="KFL65" s="180"/>
      <c r="KFM65" s="180"/>
      <c r="KFN65" s="180"/>
      <c r="KFO65" s="180"/>
      <c r="KFP65" s="180"/>
      <c r="KFQ65" s="180"/>
      <c r="KFR65" s="180"/>
      <c r="KFS65" s="180"/>
      <c r="KFT65" s="180"/>
      <c r="KFU65" s="180"/>
      <c r="KFV65" s="180"/>
      <c r="KFW65" s="180"/>
      <c r="KFX65" s="180"/>
      <c r="KFY65" s="180"/>
      <c r="KFZ65" s="180"/>
      <c r="KGA65" s="180"/>
      <c r="KGB65" s="180"/>
      <c r="KGC65" s="180"/>
      <c r="KGD65" s="180"/>
      <c r="KGE65" s="180"/>
      <c r="KGF65" s="180"/>
      <c r="KGG65" s="180"/>
      <c r="KGH65" s="180"/>
      <c r="KGI65" s="180"/>
      <c r="KGJ65" s="180"/>
      <c r="KGK65" s="180"/>
      <c r="KGL65" s="180"/>
      <c r="KGM65" s="180"/>
      <c r="KGN65" s="180"/>
      <c r="KGO65" s="180"/>
      <c r="KGP65" s="180"/>
      <c r="KGQ65" s="180"/>
      <c r="KGR65" s="180"/>
      <c r="KGS65" s="180"/>
      <c r="KGT65" s="180"/>
      <c r="KGU65" s="180"/>
      <c r="KGV65" s="180"/>
      <c r="KGW65" s="180"/>
      <c r="KGX65" s="180"/>
      <c r="KGY65" s="180"/>
      <c r="KGZ65" s="180"/>
      <c r="KHA65" s="180"/>
      <c r="KHB65" s="180"/>
      <c r="KHC65" s="180"/>
      <c r="KHD65" s="180"/>
      <c r="KHE65" s="180"/>
      <c r="KHF65" s="180"/>
      <c r="KHG65" s="180"/>
      <c r="KHH65" s="180"/>
      <c r="KHI65" s="180"/>
      <c r="KHJ65" s="180"/>
      <c r="KHK65" s="180"/>
      <c r="KHL65" s="180"/>
      <c r="KHM65" s="180"/>
      <c r="KHN65" s="180"/>
      <c r="KHO65" s="180"/>
      <c r="KHP65" s="180"/>
      <c r="KHQ65" s="180"/>
      <c r="KHR65" s="180"/>
      <c r="KHS65" s="180"/>
      <c r="KHT65" s="180"/>
      <c r="KHU65" s="180"/>
      <c r="KHV65" s="180"/>
      <c r="KHW65" s="180"/>
      <c r="KHX65" s="180"/>
      <c r="KHY65" s="180"/>
      <c r="KHZ65" s="180"/>
      <c r="KIA65" s="180"/>
      <c r="KIB65" s="180"/>
      <c r="KIC65" s="180"/>
      <c r="KID65" s="180"/>
      <c r="KIE65" s="180"/>
      <c r="KIF65" s="180"/>
      <c r="KIG65" s="180"/>
      <c r="KIH65" s="180"/>
      <c r="KII65" s="180"/>
      <c r="KIJ65" s="180"/>
      <c r="KIK65" s="180"/>
      <c r="KIL65" s="180"/>
      <c r="KIM65" s="180"/>
      <c r="KIN65" s="180"/>
      <c r="KIO65" s="180"/>
      <c r="KIP65" s="180"/>
      <c r="KIQ65" s="180"/>
      <c r="KIR65" s="180"/>
      <c r="KIS65" s="180"/>
      <c r="KIT65" s="180"/>
      <c r="KIU65" s="180"/>
      <c r="KIV65" s="180"/>
      <c r="KIW65" s="180"/>
      <c r="KIX65" s="180"/>
      <c r="KIY65" s="180"/>
      <c r="KIZ65" s="180"/>
      <c r="KJA65" s="180"/>
      <c r="KJB65" s="180"/>
      <c r="KJC65" s="180"/>
      <c r="KJD65" s="180"/>
      <c r="KJE65" s="180"/>
      <c r="KJF65" s="180"/>
      <c r="KJG65" s="180"/>
      <c r="KJH65" s="180"/>
      <c r="KJI65" s="180"/>
      <c r="KJJ65" s="180"/>
      <c r="KJK65" s="180"/>
      <c r="KJL65" s="180"/>
      <c r="KJM65" s="180"/>
      <c r="KJN65" s="180"/>
      <c r="KJO65" s="180"/>
      <c r="KJP65" s="180"/>
      <c r="KJQ65" s="180"/>
      <c r="KJR65" s="180"/>
      <c r="KJS65" s="180"/>
      <c r="KJT65" s="180"/>
      <c r="KJU65" s="180"/>
      <c r="KJV65" s="180"/>
      <c r="KJW65" s="180"/>
      <c r="KJX65" s="180"/>
      <c r="KJY65" s="180"/>
      <c r="KJZ65" s="180"/>
      <c r="KKA65" s="180"/>
      <c r="KKB65" s="180"/>
      <c r="KKC65" s="180"/>
      <c r="KKD65" s="180"/>
      <c r="KKE65" s="180"/>
      <c r="KKF65" s="180"/>
      <c r="KKG65" s="180"/>
      <c r="KKH65" s="180"/>
      <c r="KKI65" s="180"/>
      <c r="KKJ65" s="180"/>
      <c r="KKK65" s="180"/>
      <c r="KKL65" s="180"/>
      <c r="KKM65" s="180"/>
      <c r="KKN65" s="180"/>
      <c r="KKO65" s="180"/>
      <c r="KKP65" s="180"/>
      <c r="KKQ65" s="180"/>
      <c r="KKR65" s="180"/>
      <c r="KKS65" s="180"/>
      <c r="KKT65" s="180"/>
      <c r="KKU65" s="180"/>
      <c r="KKV65" s="180"/>
      <c r="KKW65" s="180"/>
      <c r="KKX65" s="180"/>
      <c r="KKY65" s="180"/>
      <c r="KKZ65" s="180"/>
      <c r="KLA65" s="180"/>
      <c r="KLB65" s="180"/>
      <c r="KLC65" s="180"/>
      <c r="KLD65" s="180"/>
      <c r="KLE65" s="180"/>
      <c r="KLF65" s="180"/>
      <c r="KLG65" s="180"/>
      <c r="KLH65" s="180"/>
      <c r="KLI65" s="180"/>
      <c r="KLJ65" s="180"/>
      <c r="KLK65" s="180"/>
      <c r="KLL65" s="180"/>
      <c r="KLM65" s="180"/>
      <c r="KLN65" s="180"/>
      <c r="KLO65" s="180"/>
      <c r="KLP65" s="180"/>
      <c r="KLQ65" s="180"/>
      <c r="KLR65" s="180"/>
      <c r="KLS65" s="180"/>
      <c r="KLT65" s="180"/>
      <c r="KLU65" s="180"/>
      <c r="KLV65" s="180"/>
      <c r="KLW65" s="180"/>
      <c r="KLX65" s="180"/>
      <c r="KLY65" s="180"/>
      <c r="KLZ65" s="180"/>
      <c r="KMA65" s="180"/>
      <c r="KMB65" s="180"/>
      <c r="KMC65" s="180"/>
      <c r="KMD65" s="180"/>
      <c r="KME65" s="180"/>
      <c r="KMF65" s="180"/>
      <c r="KMG65" s="180"/>
      <c r="KMH65" s="180"/>
      <c r="KMI65" s="180"/>
      <c r="KMJ65" s="180"/>
      <c r="KMK65" s="180"/>
      <c r="KML65" s="180"/>
      <c r="KMM65" s="180"/>
      <c r="KMN65" s="180"/>
      <c r="KMO65" s="180"/>
      <c r="KMP65" s="180"/>
      <c r="KMQ65" s="180"/>
      <c r="KMR65" s="180"/>
      <c r="KMS65" s="180"/>
      <c r="KMT65" s="180"/>
      <c r="KMU65" s="180"/>
      <c r="KMV65" s="180"/>
      <c r="KMW65" s="180"/>
      <c r="KMX65" s="180"/>
      <c r="KMY65" s="180"/>
      <c r="KMZ65" s="180"/>
      <c r="KNA65" s="180"/>
      <c r="KNB65" s="180"/>
      <c r="KNC65" s="180"/>
      <c r="KND65" s="180"/>
      <c r="KNE65" s="180"/>
      <c r="KNF65" s="180"/>
      <c r="KNG65" s="180"/>
      <c r="KNH65" s="180"/>
      <c r="KNI65" s="180"/>
      <c r="KNJ65" s="180"/>
      <c r="KNK65" s="180"/>
      <c r="KNL65" s="180"/>
      <c r="KNM65" s="180"/>
      <c r="KNN65" s="180"/>
      <c r="KNO65" s="180"/>
      <c r="KNP65" s="180"/>
      <c r="KNQ65" s="180"/>
      <c r="KNR65" s="180"/>
      <c r="KNS65" s="180"/>
      <c r="KNT65" s="180"/>
      <c r="KNU65" s="180"/>
      <c r="KNV65" s="180"/>
      <c r="KNW65" s="180"/>
      <c r="KNX65" s="180"/>
      <c r="KNY65" s="180"/>
      <c r="KNZ65" s="180"/>
      <c r="KOA65" s="180"/>
      <c r="KOB65" s="180"/>
      <c r="KOC65" s="180"/>
      <c r="KOD65" s="180"/>
      <c r="KOE65" s="180"/>
      <c r="KOF65" s="180"/>
      <c r="KOG65" s="180"/>
      <c r="KOH65" s="180"/>
      <c r="KOI65" s="180"/>
      <c r="KOJ65" s="180"/>
      <c r="KOK65" s="180"/>
      <c r="KOL65" s="180"/>
      <c r="KOM65" s="180"/>
      <c r="KON65" s="180"/>
      <c r="KOO65" s="180"/>
      <c r="KOP65" s="180"/>
      <c r="KOQ65" s="180"/>
      <c r="KOR65" s="180"/>
      <c r="KOS65" s="180"/>
      <c r="KOT65" s="180"/>
      <c r="KOU65" s="180"/>
      <c r="KOV65" s="180"/>
      <c r="KOW65" s="180"/>
      <c r="KOX65" s="180"/>
      <c r="KOY65" s="180"/>
      <c r="KOZ65" s="180"/>
      <c r="KPA65" s="180"/>
      <c r="KPB65" s="180"/>
      <c r="KPC65" s="180"/>
      <c r="KPD65" s="180"/>
      <c r="KPE65" s="180"/>
      <c r="KPF65" s="180"/>
      <c r="KPG65" s="180"/>
      <c r="KPH65" s="180"/>
      <c r="KPI65" s="180"/>
      <c r="KPJ65" s="180"/>
      <c r="KPK65" s="180"/>
      <c r="KPL65" s="180"/>
      <c r="KPM65" s="180"/>
      <c r="KPN65" s="180"/>
      <c r="KPO65" s="180"/>
      <c r="KPP65" s="180"/>
      <c r="KPQ65" s="180"/>
      <c r="KPR65" s="180"/>
      <c r="KPS65" s="180"/>
      <c r="KPT65" s="180"/>
      <c r="KPU65" s="180"/>
      <c r="KPV65" s="180"/>
      <c r="KPW65" s="180"/>
      <c r="KPX65" s="180"/>
      <c r="KPY65" s="180"/>
      <c r="KPZ65" s="180"/>
      <c r="KQA65" s="180"/>
      <c r="KQB65" s="180"/>
      <c r="KQC65" s="180"/>
      <c r="KQD65" s="180"/>
      <c r="KQE65" s="180"/>
      <c r="KQF65" s="180"/>
      <c r="KQG65" s="180"/>
      <c r="KQH65" s="180"/>
      <c r="KQI65" s="180"/>
      <c r="KQJ65" s="180"/>
      <c r="KQK65" s="180"/>
      <c r="KQL65" s="180"/>
      <c r="KQM65" s="180"/>
      <c r="KQN65" s="180"/>
      <c r="KQO65" s="180"/>
      <c r="KQP65" s="180"/>
      <c r="KQQ65" s="180"/>
      <c r="KQR65" s="180"/>
      <c r="KQS65" s="180"/>
      <c r="KQT65" s="180"/>
      <c r="KQU65" s="180"/>
      <c r="KQV65" s="180"/>
      <c r="KQW65" s="180"/>
      <c r="KQX65" s="180"/>
      <c r="KQY65" s="180"/>
      <c r="KQZ65" s="180"/>
      <c r="KRA65" s="180"/>
      <c r="KRB65" s="180"/>
      <c r="KRC65" s="180"/>
      <c r="KRD65" s="180"/>
      <c r="KRE65" s="180"/>
      <c r="KRF65" s="180"/>
      <c r="KRG65" s="180"/>
      <c r="KRH65" s="180"/>
      <c r="KRI65" s="180"/>
      <c r="KRJ65" s="180"/>
      <c r="KRK65" s="180"/>
      <c r="KRL65" s="180"/>
      <c r="KRM65" s="180"/>
      <c r="KRN65" s="180"/>
      <c r="KRO65" s="180"/>
      <c r="KRP65" s="180"/>
      <c r="KRQ65" s="180"/>
      <c r="KRR65" s="180"/>
      <c r="KRS65" s="180"/>
      <c r="KRT65" s="180"/>
      <c r="KRU65" s="180"/>
      <c r="KRV65" s="180"/>
      <c r="KRW65" s="180"/>
      <c r="KRX65" s="180"/>
      <c r="KRY65" s="180"/>
      <c r="KRZ65" s="180"/>
      <c r="KSA65" s="180"/>
      <c r="KSB65" s="180"/>
      <c r="KSC65" s="180"/>
      <c r="KSD65" s="180"/>
      <c r="KSE65" s="180"/>
      <c r="KSF65" s="180"/>
      <c r="KSG65" s="180"/>
      <c r="KSH65" s="180"/>
      <c r="KSI65" s="180"/>
      <c r="KSJ65" s="180"/>
      <c r="KSK65" s="180"/>
      <c r="KSL65" s="180"/>
      <c r="KSM65" s="180"/>
      <c r="KSN65" s="180"/>
      <c r="KSO65" s="180"/>
      <c r="KSP65" s="180"/>
      <c r="KSQ65" s="180"/>
      <c r="KSR65" s="180"/>
      <c r="KSS65" s="180"/>
      <c r="KST65" s="180"/>
      <c r="KSU65" s="180"/>
      <c r="KSV65" s="180"/>
      <c r="KSW65" s="180"/>
      <c r="KSX65" s="180"/>
      <c r="KSY65" s="180"/>
      <c r="KSZ65" s="180"/>
      <c r="KTA65" s="180"/>
      <c r="KTB65" s="180"/>
      <c r="KTC65" s="180"/>
      <c r="KTD65" s="180"/>
      <c r="KTE65" s="180"/>
      <c r="KTF65" s="180"/>
      <c r="KTG65" s="180"/>
      <c r="KTH65" s="180"/>
      <c r="KTI65" s="180"/>
      <c r="KTJ65" s="180"/>
      <c r="KTK65" s="180"/>
      <c r="KTL65" s="180"/>
      <c r="KTM65" s="180"/>
      <c r="KTN65" s="180"/>
      <c r="KTO65" s="180"/>
      <c r="KTP65" s="180"/>
      <c r="KTQ65" s="180"/>
      <c r="KTR65" s="180"/>
      <c r="KTS65" s="180"/>
      <c r="KTT65" s="180"/>
      <c r="KTU65" s="180"/>
      <c r="KTV65" s="180"/>
      <c r="KTW65" s="180"/>
      <c r="KTX65" s="180"/>
      <c r="KTY65" s="180"/>
      <c r="KTZ65" s="180"/>
      <c r="KUA65" s="180"/>
      <c r="KUB65" s="180"/>
      <c r="KUC65" s="180"/>
      <c r="KUD65" s="180"/>
      <c r="KUE65" s="180"/>
      <c r="KUF65" s="180"/>
      <c r="KUG65" s="180"/>
      <c r="KUH65" s="180"/>
      <c r="KUI65" s="180"/>
      <c r="KUJ65" s="180"/>
      <c r="KUK65" s="180"/>
      <c r="KUL65" s="180"/>
      <c r="KUM65" s="180"/>
      <c r="KUN65" s="180"/>
      <c r="KUO65" s="180"/>
      <c r="KUP65" s="180"/>
      <c r="KUQ65" s="180"/>
      <c r="KUR65" s="180"/>
      <c r="KUS65" s="180"/>
      <c r="KUT65" s="180"/>
      <c r="KUU65" s="180"/>
      <c r="KUV65" s="180"/>
      <c r="KUW65" s="180"/>
      <c r="KUX65" s="180"/>
      <c r="KUY65" s="180"/>
      <c r="KUZ65" s="180"/>
      <c r="KVA65" s="180"/>
      <c r="KVB65" s="180"/>
      <c r="KVC65" s="180"/>
      <c r="KVD65" s="180"/>
      <c r="KVE65" s="180"/>
      <c r="KVF65" s="180"/>
      <c r="KVG65" s="180"/>
      <c r="KVH65" s="180"/>
      <c r="KVI65" s="180"/>
      <c r="KVJ65" s="180"/>
      <c r="KVK65" s="180"/>
      <c r="KVL65" s="180"/>
      <c r="KVM65" s="180"/>
      <c r="KVN65" s="180"/>
      <c r="KVO65" s="180"/>
      <c r="KVP65" s="180"/>
      <c r="KVQ65" s="180"/>
      <c r="KVR65" s="180"/>
      <c r="KVS65" s="180"/>
      <c r="KVT65" s="180"/>
      <c r="KVU65" s="180"/>
      <c r="KVV65" s="180"/>
      <c r="KVW65" s="180"/>
      <c r="KVX65" s="180"/>
      <c r="KVY65" s="180"/>
      <c r="KVZ65" s="180"/>
      <c r="KWA65" s="180"/>
      <c r="KWB65" s="180"/>
      <c r="KWC65" s="180"/>
      <c r="KWD65" s="180"/>
      <c r="KWE65" s="180"/>
      <c r="KWF65" s="180"/>
      <c r="KWG65" s="180"/>
      <c r="KWH65" s="180"/>
      <c r="KWI65" s="180"/>
      <c r="KWJ65" s="180"/>
      <c r="KWK65" s="180"/>
      <c r="KWL65" s="180"/>
      <c r="KWM65" s="180"/>
      <c r="KWN65" s="180"/>
      <c r="KWO65" s="180"/>
      <c r="KWP65" s="180"/>
      <c r="KWQ65" s="180"/>
      <c r="KWR65" s="180"/>
      <c r="KWS65" s="180"/>
      <c r="KWT65" s="180"/>
      <c r="KWU65" s="180"/>
      <c r="KWV65" s="180"/>
      <c r="KWW65" s="180"/>
      <c r="KWX65" s="180"/>
      <c r="KWY65" s="180"/>
      <c r="KWZ65" s="180"/>
      <c r="KXA65" s="180"/>
      <c r="KXB65" s="180"/>
      <c r="KXC65" s="180"/>
      <c r="KXD65" s="180"/>
      <c r="KXE65" s="180"/>
      <c r="KXF65" s="180"/>
      <c r="KXG65" s="180"/>
      <c r="KXH65" s="180"/>
      <c r="KXI65" s="180"/>
      <c r="KXJ65" s="180"/>
      <c r="KXK65" s="180"/>
      <c r="KXL65" s="180"/>
      <c r="KXM65" s="180"/>
      <c r="KXN65" s="180"/>
      <c r="KXO65" s="180"/>
      <c r="KXP65" s="180"/>
      <c r="KXQ65" s="180"/>
      <c r="KXR65" s="180"/>
      <c r="KXS65" s="180"/>
      <c r="KXT65" s="180"/>
      <c r="KXU65" s="180"/>
      <c r="KXV65" s="180"/>
      <c r="KXW65" s="180"/>
      <c r="KXX65" s="180"/>
      <c r="KXY65" s="180"/>
      <c r="KXZ65" s="180"/>
      <c r="KYA65" s="180"/>
      <c r="KYB65" s="180"/>
      <c r="KYC65" s="180"/>
      <c r="KYD65" s="180"/>
      <c r="KYE65" s="180"/>
      <c r="KYF65" s="180"/>
      <c r="KYG65" s="180"/>
      <c r="KYH65" s="180"/>
      <c r="KYI65" s="180"/>
      <c r="KYJ65" s="180"/>
      <c r="KYK65" s="180"/>
      <c r="KYL65" s="180"/>
      <c r="KYM65" s="180"/>
      <c r="KYN65" s="180"/>
      <c r="KYO65" s="180"/>
      <c r="KYP65" s="180"/>
      <c r="KYQ65" s="180"/>
      <c r="KYR65" s="180"/>
      <c r="KYS65" s="180"/>
      <c r="KYT65" s="180"/>
      <c r="KYU65" s="180"/>
      <c r="KYV65" s="180"/>
      <c r="KYW65" s="180"/>
      <c r="KYX65" s="180"/>
      <c r="KYY65" s="180"/>
      <c r="KYZ65" s="180"/>
      <c r="KZA65" s="180"/>
      <c r="KZB65" s="180"/>
      <c r="KZC65" s="180"/>
      <c r="KZD65" s="180"/>
      <c r="KZE65" s="180"/>
      <c r="KZF65" s="180"/>
      <c r="KZG65" s="180"/>
      <c r="KZH65" s="180"/>
      <c r="KZI65" s="180"/>
      <c r="KZJ65" s="180"/>
      <c r="KZK65" s="180"/>
      <c r="KZL65" s="180"/>
      <c r="KZM65" s="180"/>
      <c r="KZN65" s="180"/>
      <c r="KZO65" s="180"/>
      <c r="KZP65" s="180"/>
      <c r="KZQ65" s="180"/>
      <c r="KZR65" s="180"/>
      <c r="KZS65" s="180"/>
      <c r="KZT65" s="180"/>
      <c r="KZU65" s="180"/>
      <c r="KZV65" s="180"/>
      <c r="KZW65" s="180"/>
      <c r="KZX65" s="180"/>
      <c r="KZY65" s="180"/>
      <c r="KZZ65" s="180"/>
      <c r="LAA65" s="180"/>
      <c r="LAB65" s="180"/>
      <c r="LAC65" s="180"/>
      <c r="LAD65" s="180"/>
      <c r="LAE65" s="180"/>
      <c r="LAF65" s="180"/>
      <c r="LAG65" s="180"/>
      <c r="LAH65" s="180"/>
      <c r="LAI65" s="180"/>
      <c r="LAJ65" s="180"/>
      <c r="LAK65" s="180"/>
      <c r="LAL65" s="180"/>
      <c r="LAM65" s="180"/>
      <c r="LAN65" s="180"/>
      <c r="LAO65" s="180"/>
      <c r="LAP65" s="180"/>
      <c r="LAQ65" s="180"/>
      <c r="LAR65" s="180"/>
      <c r="LAS65" s="180"/>
      <c r="LAT65" s="180"/>
      <c r="LAU65" s="180"/>
      <c r="LAV65" s="180"/>
      <c r="LAW65" s="180"/>
      <c r="LAX65" s="180"/>
      <c r="LAY65" s="180"/>
      <c r="LAZ65" s="180"/>
      <c r="LBA65" s="180"/>
      <c r="LBB65" s="180"/>
      <c r="LBC65" s="180"/>
      <c r="LBD65" s="180"/>
      <c r="LBE65" s="180"/>
      <c r="LBF65" s="180"/>
      <c r="LBG65" s="180"/>
      <c r="LBH65" s="180"/>
      <c r="LBI65" s="180"/>
      <c r="LBJ65" s="180"/>
      <c r="LBK65" s="180"/>
      <c r="LBL65" s="180"/>
      <c r="LBM65" s="180"/>
      <c r="LBN65" s="180"/>
      <c r="LBO65" s="180"/>
      <c r="LBP65" s="180"/>
      <c r="LBQ65" s="180"/>
      <c r="LBR65" s="180"/>
      <c r="LBS65" s="180"/>
      <c r="LBT65" s="180"/>
      <c r="LBU65" s="180"/>
      <c r="LBV65" s="180"/>
      <c r="LBW65" s="180"/>
      <c r="LBX65" s="180"/>
      <c r="LBY65" s="180"/>
      <c r="LBZ65" s="180"/>
      <c r="LCA65" s="180"/>
      <c r="LCB65" s="180"/>
      <c r="LCC65" s="180"/>
      <c r="LCD65" s="180"/>
      <c r="LCE65" s="180"/>
      <c r="LCF65" s="180"/>
      <c r="LCG65" s="180"/>
      <c r="LCH65" s="180"/>
      <c r="LCI65" s="180"/>
      <c r="LCJ65" s="180"/>
      <c r="LCK65" s="180"/>
      <c r="LCL65" s="180"/>
      <c r="LCM65" s="180"/>
      <c r="LCN65" s="180"/>
      <c r="LCO65" s="180"/>
      <c r="LCP65" s="180"/>
      <c r="LCQ65" s="180"/>
      <c r="LCR65" s="180"/>
      <c r="LCS65" s="180"/>
      <c r="LCT65" s="180"/>
      <c r="LCU65" s="180"/>
      <c r="LCV65" s="180"/>
      <c r="LCW65" s="180"/>
      <c r="LCX65" s="180"/>
      <c r="LCY65" s="180"/>
      <c r="LCZ65" s="180"/>
      <c r="LDA65" s="180"/>
      <c r="LDB65" s="180"/>
      <c r="LDC65" s="180"/>
      <c r="LDD65" s="180"/>
      <c r="LDE65" s="180"/>
      <c r="LDF65" s="180"/>
      <c r="LDG65" s="180"/>
      <c r="LDH65" s="180"/>
      <c r="LDI65" s="180"/>
      <c r="LDJ65" s="180"/>
      <c r="LDK65" s="180"/>
      <c r="LDL65" s="180"/>
      <c r="LDM65" s="180"/>
      <c r="LDN65" s="180"/>
      <c r="LDO65" s="180"/>
      <c r="LDP65" s="180"/>
      <c r="LDQ65" s="180"/>
      <c r="LDR65" s="180"/>
      <c r="LDS65" s="180"/>
      <c r="LDT65" s="180"/>
      <c r="LDU65" s="180"/>
      <c r="LDV65" s="180"/>
      <c r="LDW65" s="180"/>
      <c r="LDX65" s="180"/>
      <c r="LDY65" s="180"/>
      <c r="LDZ65" s="180"/>
      <c r="LEA65" s="180"/>
      <c r="LEB65" s="180"/>
      <c r="LEC65" s="180"/>
      <c r="LED65" s="180"/>
      <c r="LEE65" s="180"/>
      <c r="LEF65" s="180"/>
      <c r="LEG65" s="180"/>
      <c r="LEH65" s="180"/>
      <c r="LEI65" s="180"/>
      <c r="LEJ65" s="180"/>
      <c r="LEK65" s="180"/>
      <c r="LEL65" s="180"/>
      <c r="LEM65" s="180"/>
      <c r="LEN65" s="180"/>
      <c r="LEO65" s="180"/>
      <c r="LEP65" s="180"/>
      <c r="LEQ65" s="180"/>
      <c r="LER65" s="180"/>
      <c r="LES65" s="180"/>
      <c r="LET65" s="180"/>
      <c r="LEU65" s="180"/>
      <c r="LEV65" s="180"/>
      <c r="LEW65" s="180"/>
      <c r="LEX65" s="180"/>
      <c r="LEY65" s="180"/>
      <c r="LEZ65" s="180"/>
      <c r="LFA65" s="180"/>
      <c r="LFB65" s="180"/>
      <c r="LFC65" s="180"/>
      <c r="LFD65" s="180"/>
      <c r="LFE65" s="180"/>
      <c r="LFF65" s="180"/>
      <c r="LFG65" s="180"/>
      <c r="LFH65" s="180"/>
      <c r="LFI65" s="180"/>
      <c r="LFJ65" s="180"/>
      <c r="LFK65" s="180"/>
      <c r="LFL65" s="180"/>
      <c r="LFM65" s="180"/>
      <c r="LFN65" s="180"/>
      <c r="LFO65" s="180"/>
      <c r="LFP65" s="180"/>
      <c r="LFQ65" s="180"/>
      <c r="LFR65" s="180"/>
      <c r="LFS65" s="180"/>
      <c r="LFT65" s="180"/>
      <c r="LFU65" s="180"/>
      <c r="LFV65" s="180"/>
      <c r="LFW65" s="180"/>
      <c r="LFX65" s="180"/>
      <c r="LFY65" s="180"/>
      <c r="LFZ65" s="180"/>
      <c r="LGA65" s="180"/>
      <c r="LGB65" s="180"/>
      <c r="LGC65" s="180"/>
      <c r="LGD65" s="180"/>
      <c r="LGE65" s="180"/>
      <c r="LGF65" s="180"/>
      <c r="LGG65" s="180"/>
      <c r="LGH65" s="180"/>
      <c r="LGI65" s="180"/>
      <c r="LGJ65" s="180"/>
      <c r="LGK65" s="180"/>
      <c r="LGL65" s="180"/>
      <c r="LGM65" s="180"/>
      <c r="LGN65" s="180"/>
      <c r="LGO65" s="180"/>
      <c r="LGP65" s="180"/>
      <c r="LGQ65" s="180"/>
      <c r="LGR65" s="180"/>
      <c r="LGS65" s="180"/>
      <c r="LGT65" s="180"/>
      <c r="LGU65" s="180"/>
      <c r="LGV65" s="180"/>
      <c r="LGW65" s="180"/>
      <c r="LGX65" s="180"/>
      <c r="LGY65" s="180"/>
      <c r="LGZ65" s="180"/>
      <c r="LHA65" s="180"/>
      <c r="LHB65" s="180"/>
      <c r="LHC65" s="180"/>
      <c r="LHD65" s="180"/>
      <c r="LHE65" s="180"/>
      <c r="LHF65" s="180"/>
      <c r="LHG65" s="180"/>
      <c r="LHH65" s="180"/>
      <c r="LHI65" s="180"/>
      <c r="LHJ65" s="180"/>
      <c r="LHK65" s="180"/>
      <c r="LHL65" s="180"/>
      <c r="LHM65" s="180"/>
      <c r="LHN65" s="180"/>
      <c r="LHO65" s="180"/>
      <c r="LHP65" s="180"/>
      <c r="LHQ65" s="180"/>
      <c r="LHR65" s="180"/>
      <c r="LHS65" s="180"/>
      <c r="LHT65" s="180"/>
      <c r="LHU65" s="180"/>
      <c r="LHV65" s="180"/>
      <c r="LHW65" s="180"/>
      <c r="LHX65" s="180"/>
      <c r="LHY65" s="180"/>
      <c r="LHZ65" s="180"/>
      <c r="LIA65" s="180"/>
      <c r="LIB65" s="180"/>
      <c r="LIC65" s="180"/>
      <c r="LID65" s="180"/>
      <c r="LIE65" s="180"/>
      <c r="LIF65" s="180"/>
      <c r="LIG65" s="180"/>
      <c r="LIH65" s="180"/>
      <c r="LII65" s="180"/>
      <c r="LIJ65" s="180"/>
      <c r="LIK65" s="180"/>
      <c r="LIL65" s="180"/>
      <c r="LIM65" s="180"/>
      <c r="LIN65" s="180"/>
      <c r="LIO65" s="180"/>
      <c r="LIP65" s="180"/>
      <c r="LIQ65" s="180"/>
      <c r="LIR65" s="180"/>
      <c r="LIS65" s="180"/>
      <c r="LIT65" s="180"/>
      <c r="LIU65" s="180"/>
      <c r="LIV65" s="180"/>
      <c r="LIW65" s="180"/>
      <c r="LIX65" s="180"/>
      <c r="LIY65" s="180"/>
      <c r="LIZ65" s="180"/>
      <c r="LJA65" s="180"/>
      <c r="LJB65" s="180"/>
      <c r="LJC65" s="180"/>
      <c r="LJD65" s="180"/>
      <c r="LJE65" s="180"/>
      <c r="LJF65" s="180"/>
      <c r="LJG65" s="180"/>
      <c r="LJH65" s="180"/>
      <c r="LJI65" s="180"/>
      <c r="LJJ65" s="180"/>
      <c r="LJK65" s="180"/>
      <c r="LJL65" s="180"/>
      <c r="LJM65" s="180"/>
      <c r="LJN65" s="180"/>
      <c r="LJO65" s="180"/>
      <c r="LJP65" s="180"/>
      <c r="LJQ65" s="180"/>
      <c r="LJR65" s="180"/>
      <c r="LJS65" s="180"/>
      <c r="LJT65" s="180"/>
      <c r="LJU65" s="180"/>
      <c r="LJV65" s="180"/>
      <c r="LJW65" s="180"/>
      <c r="LJX65" s="180"/>
      <c r="LJY65" s="180"/>
      <c r="LJZ65" s="180"/>
      <c r="LKA65" s="180"/>
      <c r="LKB65" s="180"/>
      <c r="LKC65" s="180"/>
      <c r="LKD65" s="180"/>
      <c r="LKE65" s="180"/>
      <c r="LKF65" s="180"/>
      <c r="LKG65" s="180"/>
      <c r="LKH65" s="180"/>
      <c r="LKI65" s="180"/>
      <c r="LKJ65" s="180"/>
      <c r="LKK65" s="180"/>
      <c r="LKL65" s="180"/>
      <c r="LKM65" s="180"/>
      <c r="LKN65" s="180"/>
      <c r="LKO65" s="180"/>
      <c r="LKP65" s="180"/>
      <c r="LKQ65" s="180"/>
      <c r="LKR65" s="180"/>
      <c r="LKS65" s="180"/>
      <c r="LKT65" s="180"/>
      <c r="LKU65" s="180"/>
      <c r="LKV65" s="180"/>
      <c r="LKW65" s="180"/>
      <c r="LKX65" s="180"/>
      <c r="LKY65" s="180"/>
      <c r="LKZ65" s="180"/>
      <c r="LLA65" s="180"/>
      <c r="LLB65" s="180"/>
      <c r="LLC65" s="180"/>
      <c r="LLD65" s="180"/>
      <c r="LLE65" s="180"/>
      <c r="LLF65" s="180"/>
      <c r="LLG65" s="180"/>
      <c r="LLH65" s="180"/>
      <c r="LLI65" s="180"/>
      <c r="LLJ65" s="180"/>
      <c r="LLK65" s="180"/>
      <c r="LLL65" s="180"/>
      <c r="LLM65" s="180"/>
      <c r="LLN65" s="180"/>
      <c r="LLO65" s="180"/>
      <c r="LLP65" s="180"/>
      <c r="LLQ65" s="180"/>
      <c r="LLR65" s="180"/>
      <c r="LLS65" s="180"/>
      <c r="LLT65" s="180"/>
      <c r="LLU65" s="180"/>
      <c r="LLV65" s="180"/>
      <c r="LLW65" s="180"/>
      <c r="LLX65" s="180"/>
      <c r="LLY65" s="180"/>
      <c r="LLZ65" s="180"/>
      <c r="LMA65" s="180"/>
      <c r="LMB65" s="180"/>
      <c r="LMC65" s="180"/>
      <c r="LMD65" s="180"/>
      <c r="LME65" s="180"/>
      <c r="LMF65" s="180"/>
      <c r="LMG65" s="180"/>
      <c r="LMH65" s="180"/>
      <c r="LMI65" s="180"/>
      <c r="LMJ65" s="180"/>
      <c r="LMK65" s="180"/>
      <c r="LML65" s="180"/>
      <c r="LMM65" s="180"/>
      <c r="LMN65" s="180"/>
      <c r="LMO65" s="180"/>
      <c r="LMP65" s="180"/>
      <c r="LMQ65" s="180"/>
      <c r="LMR65" s="180"/>
      <c r="LMS65" s="180"/>
      <c r="LMT65" s="180"/>
      <c r="LMU65" s="180"/>
      <c r="LMV65" s="180"/>
      <c r="LMW65" s="180"/>
      <c r="LMX65" s="180"/>
      <c r="LMY65" s="180"/>
      <c r="LMZ65" s="180"/>
      <c r="LNA65" s="180"/>
      <c r="LNB65" s="180"/>
      <c r="LNC65" s="180"/>
      <c r="LND65" s="180"/>
      <c r="LNE65" s="180"/>
      <c r="LNF65" s="180"/>
      <c r="LNG65" s="180"/>
      <c r="LNH65" s="180"/>
      <c r="LNI65" s="180"/>
      <c r="LNJ65" s="180"/>
      <c r="LNK65" s="180"/>
      <c r="LNL65" s="180"/>
      <c r="LNM65" s="180"/>
      <c r="LNN65" s="180"/>
      <c r="LNO65" s="180"/>
      <c r="LNP65" s="180"/>
      <c r="LNQ65" s="180"/>
      <c r="LNR65" s="180"/>
      <c r="LNS65" s="180"/>
      <c r="LNT65" s="180"/>
      <c r="LNU65" s="180"/>
      <c r="LNV65" s="180"/>
      <c r="LNW65" s="180"/>
      <c r="LNX65" s="180"/>
      <c r="LNY65" s="180"/>
      <c r="LNZ65" s="180"/>
      <c r="LOA65" s="180"/>
      <c r="LOB65" s="180"/>
      <c r="LOC65" s="180"/>
      <c r="LOD65" s="180"/>
      <c r="LOE65" s="180"/>
      <c r="LOF65" s="180"/>
      <c r="LOG65" s="180"/>
      <c r="LOH65" s="180"/>
      <c r="LOI65" s="180"/>
      <c r="LOJ65" s="180"/>
      <c r="LOK65" s="180"/>
      <c r="LOL65" s="180"/>
      <c r="LOM65" s="180"/>
      <c r="LON65" s="180"/>
      <c r="LOO65" s="180"/>
      <c r="LOP65" s="180"/>
      <c r="LOQ65" s="180"/>
      <c r="LOR65" s="180"/>
      <c r="LOS65" s="180"/>
      <c r="LOT65" s="180"/>
      <c r="LOU65" s="180"/>
      <c r="LOV65" s="180"/>
      <c r="LOW65" s="180"/>
      <c r="LOX65" s="180"/>
      <c r="LOY65" s="180"/>
      <c r="LOZ65" s="180"/>
      <c r="LPA65" s="180"/>
      <c r="LPB65" s="180"/>
      <c r="LPC65" s="180"/>
      <c r="LPD65" s="180"/>
      <c r="LPE65" s="180"/>
      <c r="LPF65" s="180"/>
      <c r="LPG65" s="180"/>
      <c r="LPH65" s="180"/>
      <c r="LPI65" s="180"/>
      <c r="LPJ65" s="180"/>
      <c r="LPK65" s="180"/>
      <c r="LPL65" s="180"/>
      <c r="LPM65" s="180"/>
      <c r="LPN65" s="180"/>
      <c r="LPO65" s="180"/>
      <c r="LPP65" s="180"/>
      <c r="LPQ65" s="180"/>
      <c r="LPR65" s="180"/>
      <c r="LPS65" s="180"/>
      <c r="LPT65" s="180"/>
      <c r="LPU65" s="180"/>
      <c r="LPV65" s="180"/>
      <c r="LPW65" s="180"/>
      <c r="LPX65" s="180"/>
      <c r="LPY65" s="180"/>
      <c r="LPZ65" s="180"/>
      <c r="LQA65" s="180"/>
      <c r="LQB65" s="180"/>
      <c r="LQC65" s="180"/>
      <c r="LQD65" s="180"/>
      <c r="LQE65" s="180"/>
      <c r="LQF65" s="180"/>
      <c r="LQG65" s="180"/>
      <c r="LQH65" s="180"/>
      <c r="LQI65" s="180"/>
      <c r="LQJ65" s="180"/>
      <c r="LQK65" s="180"/>
      <c r="LQL65" s="180"/>
      <c r="LQM65" s="180"/>
      <c r="LQN65" s="180"/>
      <c r="LQO65" s="180"/>
      <c r="LQP65" s="180"/>
      <c r="LQQ65" s="180"/>
      <c r="LQR65" s="180"/>
      <c r="LQS65" s="180"/>
      <c r="LQT65" s="180"/>
      <c r="LQU65" s="180"/>
      <c r="LQV65" s="180"/>
      <c r="LQW65" s="180"/>
      <c r="LQX65" s="180"/>
      <c r="LQY65" s="180"/>
      <c r="LQZ65" s="180"/>
      <c r="LRA65" s="180"/>
      <c r="LRB65" s="180"/>
      <c r="LRC65" s="180"/>
      <c r="LRD65" s="180"/>
      <c r="LRE65" s="180"/>
      <c r="LRF65" s="180"/>
      <c r="LRG65" s="180"/>
      <c r="LRH65" s="180"/>
      <c r="LRI65" s="180"/>
      <c r="LRJ65" s="180"/>
      <c r="LRK65" s="180"/>
      <c r="LRL65" s="180"/>
      <c r="LRM65" s="180"/>
      <c r="LRN65" s="180"/>
      <c r="LRO65" s="180"/>
      <c r="LRP65" s="180"/>
      <c r="LRQ65" s="180"/>
      <c r="LRR65" s="180"/>
      <c r="LRS65" s="180"/>
      <c r="LRT65" s="180"/>
      <c r="LRU65" s="180"/>
      <c r="LRV65" s="180"/>
      <c r="LRW65" s="180"/>
      <c r="LRX65" s="180"/>
      <c r="LRY65" s="180"/>
      <c r="LRZ65" s="180"/>
      <c r="LSA65" s="180"/>
      <c r="LSB65" s="180"/>
      <c r="LSC65" s="180"/>
      <c r="LSD65" s="180"/>
      <c r="LSE65" s="180"/>
      <c r="LSF65" s="180"/>
      <c r="LSG65" s="180"/>
      <c r="LSH65" s="180"/>
      <c r="LSI65" s="180"/>
      <c r="LSJ65" s="180"/>
      <c r="LSK65" s="180"/>
      <c r="LSL65" s="180"/>
      <c r="LSM65" s="180"/>
      <c r="LSN65" s="180"/>
      <c r="LSO65" s="180"/>
      <c r="LSP65" s="180"/>
      <c r="LSQ65" s="180"/>
      <c r="LSR65" s="180"/>
      <c r="LSS65" s="180"/>
      <c r="LST65" s="180"/>
      <c r="LSU65" s="180"/>
      <c r="LSV65" s="180"/>
      <c r="LSW65" s="180"/>
      <c r="LSX65" s="180"/>
      <c r="LSY65" s="180"/>
      <c r="LSZ65" s="180"/>
      <c r="LTA65" s="180"/>
      <c r="LTB65" s="180"/>
      <c r="LTC65" s="180"/>
      <c r="LTD65" s="180"/>
      <c r="LTE65" s="180"/>
      <c r="LTF65" s="180"/>
      <c r="LTG65" s="180"/>
      <c r="LTH65" s="180"/>
      <c r="LTI65" s="180"/>
      <c r="LTJ65" s="180"/>
      <c r="LTK65" s="180"/>
      <c r="LTL65" s="180"/>
      <c r="LTM65" s="180"/>
      <c r="LTN65" s="180"/>
      <c r="LTO65" s="180"/>
      <c r="LTP65" s="180"/>
      <c r="LTQ65" s="180"/>
      <c r="LTR65" s="180"/>
      <c r="LTS65" s="180"/>
      <c r="LTT65" s="180"/>
      <c r="LTU65" s="180"/>
      <c r="LTV65" s="180"/>
      <c r="LTW65" s="180"/>
      <c r="LTX65" s="180"/>
      <c r="LTY65" s="180"/>
      <c r="LTZ65" s="180"/>
      <c r="LUA65" s="180"/>
      <c r="LUB65" s="180"/>
      <c r="LUC65" s="180"/>
      <c r="LUD65" s="180"/>
      <c r="LUE65" s="180"/>
      <c r="LUF65" s="180"/>
      <c r="LUG65" s="180"/>
      <c r="LUH65" s="180"/>
      <c r="LUI65" s="180"/>
      <c r="LUJ65" s="180"/>
      <c r="LUK65" s="180"/>
      <c r="LUL65" s="180"/>
      <c r="LUM65" s="180"/>
      <c r="LUN65" s="180"/>
      <c r="LUO65" s="180"/>
      <c r="LUP65" s="180"/>
      <c r="LUQ65" s="180"/>
      <c r="LUR65" s="180"/>
      <c r="LUS65" s="180"/>
      <c r="LUT65" s="180"/>
      <c r="LUU65" s="180"/>
      <c r="LUV65" s="180"/>
      <c r="LUW65" s="180"/>
      <c r="LUX65" s="180"/>
      <c r="LUY65" s="180"/>
      <c r="LUZ65" s="180"/>
      <c r="LVA65" s="180"/>
      <c r="LVB65" s="180"/>
      <c r="LVC65" s="180"/>
      <c r="LVD65" s="180"/>
      <c r="LVE65" s="180"/>
      <c r="LVF65" s="180"/>
      <c r="LVG65" s="180"/>
      <c r="LVH65" s="180"/>
      <c r="LVI65" s="180"/>
      <c r="LVJ65" s="180"/>
      <c r="LVK65" s="180"/>
      <c r="LVL65" s="180"/>
      <c r="LVM65" s="180"/>
      <c r="LVN65" s="180"/>
      <c r="LVO65" s="180"/>
      <c r="LVP65" s="180"/>
      <c r="LVQ65" s="180"/>
      <c r="LVR65" s="180"/>
      <c r="LVS65" s="180"/>
      <c r="LVT65" s="180"/>
      <c r="LVU65" s="180"/>
      <c r="LVV65" s="180"/>
      <c r="LVW65" s="180"/>
      <c r="LVX65" s="180"/>
      <c r="LVY65" s="180"/>
      <c r="LVZ65" s="180"/>
      <c r="LWA65" s="180"/>
      <c r="LWB65" s="180"/>
      <c r="LWC65" s="180"/>
      <c r="LWD65" s="180"/>
      <c r="LWE65" s="180"/>
      <c r="LWF65" s="180"/>
      <c r="LWG65" s="180"/>
      <c r="LWH65" s="180"/>
      <c r="LWI65" s="180"/>
      <c r="LWJ65" s="180"/>
      <c r="LWK65" s="180"/>
      <c r="LWL65" s="180"/>
      <c r="LWM65" s="180"/>
      <c r="LWN65" s="180"/>
      <c r="LWO65" s="180"/>
      <c r="LWP65" s="180"/>
      <c r="LWQ65" s="180"/>
      <c r="LWR65" s="180"/>
      <c r="LWS65" s="180"/>
      <c r="LWT65" s="180"/>
      <c r="LWU65" s="180"/>
      <c r="LWV65" s="180"/>
      <c r="LWW65" s="180"/>
      <c r="LWX65" s="180"/>
      <c r="LWY65" s="180"/>
      <c r="LWZ65" s="180"/>
      <c r="LXA65" s="180"/>
      <c r="LXB65" s="180"/>
      <c r="LXC65" s="180"/>
      <c r="LXD65" s="180"/>
      <c r="LXE65" s="180"/>
      <c r="LXF65" s="180"/>
      <c r="LXG65" s="180"/>
      <c r="LXH65" s="180"/>
      <c r="LXI65" s="180"/>
      <c r="LXJ65" s="180"/>
      <c r="LXK65" s="180"/>
      <c r="LXL65" s="180"/>
      <c r="LXM65" s="180"/>
      <c r="LXN65" s="180"/>
      <c r="LXO65" s="180"/>
      <c r="LXP65" s="180"/>
      <c r="LXQ65" s="180"/>
      <c r="LXR65" s="180"/>
      <c r="LXS65" s="180"/>
      <c r="LXT65" s="180"/>
      <c r="LXU65" s="180"/>
      <c r="LXV65" s="180"/>
      <c r="LXW65" s="180"/>
      <c r="LXX65" s="180"/>
      <c r="LXY65" s="180"/>
      <c r="LXZ65" s="180"/>
      <c r="LYA65" s="180"/>
      <c r="LYB65" s="180"/>
      <c r="LYC65" s="180"/>
      <c r="LYD65" s="180"/>
      <c r="LYE65" s="180"/>
      <c r="LYF65" s="180"/>
      <c r="LYG65" s="180"/>
      <c r="LYH65" s="180"/>
      <c r="LYI65" s="180"/>
      <c r="LYJ65" s="180"/>
      <c r="LYK65" s="180"/>
      <c r="LYL65" s="180"/>
      <c r="LYM65" s="180"/>
      <c r="LYN65" s="180"/>
      <c r="LYO65" s="180"/>
      <c r="LYP65" s="180"/>
      <c r="LYQ65" s="180"/>
      <c r="LYR65" s="180"/>
      <c r="LYS65" s="180"/>
      <c r="LYT65" s="180"/>
      <c r="LYU65" s="180"/>
      <c r="LYV65" s="180"/>
      <c r="LYW65" s="180"/>
      <c r="LYX65" s="180"/>
      <c r="LYY65" s="180"/>
      <c r="LYZ65" s="180"/>
      <c r="LZA65" s="180"/>
      <c r="LZB65" s="180"/>
      <c r="LZC65" s="180"/>
      <c r="LZD65" s="180"/>
      <c r="LZE65" s="180"/>
      <c r="LZF65" s="180"/>
      <c r="LZG65" s="180"/>
      <c r="LZH65" s="180"/>
      <c r="LZI65" s="180"/>
      <c r="LZJ65" s="180"/>
      <c r="LZK65" s="180"/>
      <c r="LZL65" s="180"/>
      <c r="LZM65" s="180"/>
      <c r="LZN65" s="180"/>
      <c r="LZO65" s="180"/>
      <c r="LZP65" s="180"/>
      <c r="LZQ65" s="180"/>
      <c r="LZR65" s="180"/>
      <c r="LZS65" s="180"/>
      <c r="LZT65" s="180"/>
      <c r="LZU65" s="180"/>
      <c r="LZV65" s="180"/>
      <c r="LZW65" s="180"/>
      <c r="LZX65" s="180"/>
      <c r="LZY65" s="180"/>
      <c r="LZZ65" s="180"/>
      <c r="MAA65" s="180"/>
      <c r="MAB65" s="180"/>
      <c r="MAC65" s="180"/>
      <c r="MAD65" s="180"/>
      <c r="MAE65" s="180"/>
      <c r="MAF65" s="180"/>
      <c r="MAG65" s="180"/>
      <c r="MAH65" s="180"/>
      <c r="MAI65" s="180"/>
      <c r="MAJ65" s="180"/>
      <c r="MAK65" s="180"/>
      <c r="MAL65" s="180"/>
      <c r="MAM65" s="180"/>
      <c r="MAN65" s="180"/>
      <c r="MAO65" s="180"/>
      <c r="MAP65" s="180"/>
      <c r="MAQ65" s="180"/>
      <c r="MAR65" s="180"/>
      <c r="MAS65" s="180"/>
      <c r="MAT65" s="180"/>
      <c r="MAU65" s="180"/>
      <c r="MAV65" s="180"/>
      <c r="MAW65" s="180"/>
      <c r="MAX65" s="180"/>
      <c r="MAY65" s="180"/>
      <c r="MAZ65" s="180"/>
      <c r="MBA65" s="180"/>
      <c r="MBB65" s="180"/>
      <c r="MBC65" s="180"/>
      <c r="MBD65" s="180"/>
      <c r="MBE65" s="180"/>
      <c r="MBF65" s="180"/>
      <c r="MBG65" s="180"/>
      <c r="MBH65" s="180"/>
      <c r="MBI65" s="180"/>
      <c r="MBJ65" s="180"/>
      <c r="MBK65" s="180"/>
      <c r="MBL65" s="180"/>
      <c r="MBM65" s="180"/>
      <c r="MBN65" s="180"/>
      <c r="MBO65" s="180"/>
      <c r="MBP65" s="180"/>
      <c r="MBQ65" s="180"/>
      <c r="MBR65" s="180"/>
      <c r="MBS65" s="180"/>
      <c r="MBT65" s="180"/>
      <c r="MBU65" s="180"/>
      <c r="MBV65" s="180"/>
      <c r="MBW65" s="180"/>
      <c r="MBX65" s="180"/>
      <c r="MBY65" s="180"/>
      <c r="MBZ65" s="180"/>
      <c r="MCA65" s="180"/>
      <c r="MCB65" s="180"/>
      <c r="MCC65" s="180"/>
      <c r="MCD65" s="180"/>
      <c r="MCE65" s="180"/>
      <c r="MCF65" s="180"/>
      <c r="MCG65" s="180"/>
      <c r="MCH65" s="180"/>
      <c r="MCI65" s="180"/>
      <c r="MCJ65" s="180"/>
      <c r="MCK65" s="180"/>
      <c r="MCL65" s="180"/>
      <c r="MCM65" s="180"/>
      <c r="MCN65" s="180"/>
      <c r="MCO65" s="180"/>
      <c r="MCP65" s="180"/>
      <c r="MCQ65" s="180"/>
      <c r="MCR65" s="180"/>
      <c r="MCS65" s="180"/>
      <c r="MCT65" s="180"/>
      <c r="MCU65" s="180"/>
      <c r="MCV65" s="180"/>
      <c r="MCW65" s="180"/>
      <c r="MCX65" s="180"/>
      <c r="MCY65" s="180"/>
      <c r="MCZ65" s="180"/>
      <c r="MDA65" s="180"/>
      <c r="MDB65" s="180"/>
      <c r="MDC65" s="180"/>
      <c r="MDD65" s="180"/>
      <c r="MDE65" s="180"/>
      <c r="MDF65" s="180"/>
      <c r="MDG65" s="180"/>
      <c r="MDH65" s="180"/>
      <c r="MDI65" s="180"/>
      <c r="MDJ65" s="180"/>
      <c r="MDK65" s="180"/>
      <c r="MDL65" s="180"/>
      <c r="MDM65" s="180"/>
      <c r="MDN65" s="180"/>
      <c r="MDO65" s="180"/>
      <c r="MDP65" s="180"/>
      <c r="MDQ65" s="180"/>
      <c r="MDR65" s="180"/>
      <c r="MDS65" s="180"/>
      <c r="MDT65" s="180"/>
      <c r="MDU65" s="180"/>
      <c r="MDV65" s="180"/>
      <c r="MDW65" s="180"/>
      <c r="MDX65" s="180"/>
      <c r="MDY65" s="180"/>
      <c r="MDZ65" s="180"/>
      <c r="MEA65" s="180"/>
      <c r="MEB65" s="180"/>
      <c r="MEC65" s="180"/>
      <c r="MED65" s="180"/>
      <c r="MEE65" s="180"/>
      <c r="MEF65" s="180"/>
      <c r="MEG65" s="180"/>
      <c r="MEH65" s="180"/>
      <c r="MEI65" s="180"/>
      <c r="MEJ65" s="180"/>
      <c r="MEK65" s="180"/>
      <c r="MEL65" s="180"/>
      <c r="MEM65" s="180"/>
      <c r="MEN65" s="180"/>
      <c r="MEO65" s="180"/>
      <c r="MEP65" s="180"/>
      <c r="MEQ65" s="180"/>
      <c r="MER65" s="180"/>
      <c r="MES65" s="180"/>
      <c r="MET65" s="180"/>
      <c r="MEU65" s="180"/>
      <c r="MEV65" s="180"/>
      <c r="MEW65" s="180"/>
      <c r="MEX65" s="180"/>
      <c r="MEY65" s="180"/>
      <c r="MEZ65" s="180"/>
      <c r="MFA65" s="180"/>
      <c r="MFB65" s="180"/>
      <c r="MFC65" s="180"/>
      <c r="MFD65" s="180"/>
      <c r="MFE65" s="180"/>
      <c r="MFF65" s="180"/>
      <c r="MFG65" s="180"/>
      <c r="MFH65" s="180"/>
      <c r="MFI65" s="180"/>
      <c r="MFJ65" s="180"/>
      <c r="MFK65" s="180"/>
      <c r="MFL65" s="180"/>
      <c r="MFM65" s="180"/>
      <c r="MFN65" s="180"/>
      <c r="MFO65" s="180"/>
      <c r="MFP65" s="180"/>
      <c r="MFQ65" s="180"/>
      <c r="MFR65" s="180"/>
      <c r="MFS65" s="180"/>
      <c r="MFT65" s="180"/>
      <c r="MFU65" s="180"/>
      <c r="MFV65" s="180"/>
      <c r="MFW65" s="180"/>
      <c r="MFX65" s="180"/>
      <c r="MFY65" s="180"/>
      <c r="MFZ65" s="180"/>
      <c r="MGA65" s="180"/>
      <c r="MGB65" s="180"/>
      <c r="MGC65" s="180"/>
      <c r="MGD65" s="180"/>
      <c r="MGE65" s="180"/>
      <c r="MGF65" s="180"/>
      <c r="MGG65" s="180"/>
      <c r="MGH65" s="180"/>
      <c r="MGI65" s="180"/>
      <c r="MGJ65" s="180"/>
      <c r="MGK65" s="180"/>
      <c r="MGL65" s="180"/>
      <c r="MGM65" s="180"/>
      <c r="MGN65" s="180"/>
      <c r="MGO65" s="180"/>
      <c r="MGP65" s="180"/>
      <c r="MGQ65" s="180"/>
      <c r="MGR65" s="180"/>
      <c r="MGS65" s="180"/>
      <c r="MGT65" s="180"/>
      <c r="MGU65" s="180"/>
      <c r="MGV65" s="180"/>
      <c r="MGW65" s="180"/>
      <c r="MGX65" s="180"/>
      <c r="MGY65" s="180"/>
      <c r="MGZ65" s="180"/>
      <c r="MHA65" s="180"/>
      <c r="MHB65" s="180"/>
      <c r="MHC65" s="180"/>
      <c r="MHD65" s="180"/>
      <c r="MHE65" s="180"/>
      <c r="MHF65" s="180"/>
      <c r="MHG65" s="180"/>
      <c r="MHH65" s="180"/>
      <c r="MHI65" s="180"/>
      <c r="MHJ65" s="180"/>
      <c r="MHK65" s="180"/>
      <c r="MHL65" s="180"/>
      <c r="MHM65" s="180"/>
      <c r="MHN65" s="180"/>
      <c r="MHO65" s="180"/>
      <c r="MHP65" s="180"/>
      <c r="MHQ65" s="180"/>
      <c r="MHR65" s="180"/>
      <c r="MHS65" s="180"/>
      <c r="MHT65" s="180"/>
      <c r="MHU65" s="180"/>
      <c r="MHV65" s="180"/>
      <c r="MHW65" s="180"/>
      <c r="MHX65" s="180"/>
      <c r="MHY65" s="180"/>
      <c r="MHZ65" s="180"/>
      <c r="MIA65" s="180"/>
      <c r="MIB65" s="180"/>
      <c r="MIC65" s="180"/>
      <c r="MID65" s="180"/>
      <c r="MIE65" s="180"/>
      <c r="MIF65" s="180"/>
      <c r="MIG65" s="180"/>
      <c r="MIH65" s="180"/>
      <c r="MII65" s="180"/>
      <c r="MIJ65" s="180"/>
      <c r="MIK65" s="180"/>
      <c r="MIL65" s="180"/>
      <c r="MIM65" s="180"/>
      <c r="MIN65" s="180"/>
      <c r="MIO65" s="180"/>
      <c r="MIP65" s="180"/>
      <c r="MIQ65" s="180"/>
      <c r="MIR65" s="180"/>
      <c r="MIS65" s="180"/>
      <c r="MIT65" s="180"/>
      <c r="MIU65" s="180"/>
      <c r="MIV65" s="180"/>
      <c r="MIW65" s="180"/>
      <c r="MIX65" s="180"/>
      <c r="MIY65" s="180"/>
      <c r="MIZ65" s="180"/>
      <c r="MJA65" s="180"/>
      <c r="MJB65" s="180"/>
      <c r="MJC65" s="180"/>
      <c r="MJD65" s="180"/>
      <c r="MJE65" s="180"/>
      <c r="MJF65" s="180"/>
      <c r="MJG65" s="180"/>
      <c r="MJH65" s="180"/>
      <c r="MJI65" s="180"/>
      <c r="MJJ65" s="180"/>
      <c r="MJK65" s="180"/>
      <c r="MJL65" s="180"/>
      <c r="MJM65" s="180"/>
      <c r="MJN65" s="180"/>
      <c r="MJO65" s="180"/>
      <c r="MJP65" s="180"/>
      <c r="MJQ65" s="180"/>
      <c r="MJR65" s="180"/>
      <c r="MJS65" s="180"/>
      <c r="MJT65" s="180"/>
      <c r="MJU65" s="180"/>
      <c r="MJV65" s="180"/>
      <c r="MJW65" s="180"/>
      <c r="MJX65" s="180"/>
      <c r="MJY65" s="180"/>
      <c r="MJZ65" s="180"/>
      <c r="MKA65" s="180"/>
      <c r="MKB65" s="180"/>
      <c r="MKC65" s="180"/>
      <c r="MKD65" s="180"/>
      <c r="MKE65" s="180"/>
      <c r="MKF65" s="180"/>
      <c r="MKG65" s="180"/>
      <c r="MKH65" s="180"/>
      <c r="MKI65" s="180"/>
      <c r="MKJ65" s="180"/>
      <c r="MKK65" s="180"/>
      <c r="MKL65" s="180"/>
      <c r="MKM65" s="180"/>
      <c r="MKN65" s="180"/>
      <c r="MKO65" s="180"/>
      <c r="MKP65" s="180"/>
      <c r="MKQ65" s="180"/>
      <c r="MKR65" s="180"/>
      <c r="MKS65" s="180"/>
      <c r="MKT65" s="180"/>
      <c r="MKU65" s="180"/>
      <c r="MKV65" s="180"/>
      <c r="MKW65" s="180"/>
      <c r="MKX65" s="180"/>
      <c r="MKY65" s="180"/>
      <c r="MKZ65" s="180"/>
      <c r="MLA65" s="180"/>
      <c r="MLB65" s="180"/>
      <c r="MLC65" s="180"/>
      <c r="MLD65" s="180"/>
      <c r="MLE65" s="180"/>
      <c r="MLF65" s="180"/>
      <c r="MLG65" s="180"/>
      <c r="MLH65" s="180"/>
      <c r="MLI65" s="180"/>
      <c r="MLJ65" s="180"/>
      <c r="MLK65" s="180"/>
      <c r="MLL65" s="180"/>
      <c r="MLM65" s="180"/>
      <c r="MLN65" s="180"/>
      <c r="MLO65" s="180"/>
      <c r="MLP65" s="180"/>
      <c r="MLQ65" s="180"/>
      <c r="MLR65" s="180"/>
      <c r="MLS65" s="180"/>
      <c r="MLT65" s="180"/>
      <c r="MLU65" s="180"/>
      <c r="MLV65" s="180"/>
      <c r="MLW65" s="180"/>
      <c r="MLX65" s="180"/>
      <c r="MLY65" s="180"/>
      <c r="MLZ65" s="180"/>
      <c r="MMA65" s="180"/>
      <c r="MMB65" s="180"/>
      <c r="MMC65" s="180"/>
      <c r="MMD65" s="180"/>
      <c r="MME65" s="180"/>
      <c r="MMF65" s="180"/>
      <c r="MMG65" s="180"/>
      <c r="MMH65" s="180"/>
      <c r="MMI65" s="180"/>
      <c r="MMJ65" s="180"/>
      <c r="MMK65" s="180"/>
      <c r="MML65" s="180"/>
      <c r="MMM65" s="180"/>
      <c r="MMN65" s="180"/>
      <c r="MMO65" s="180"/>
      <c r="MMP65" s="180"/>
      <c r="MMQ65" s="180"/>
      <c r="MMR65" s="180"/>
      <c r="MMS65" s="180"/>
      <c r="MMT65" s="180"/>
      <c r="MMU65" s="180"/>
      <c r="MMV65" s="180"/>
      <c r="MMW65" s="180"/>
      <c r="MMX65" s="180"/>
      <c r="MMY65" s="180"/>
      <c r="MMZ65" s="180"/>
      <c r="MNA65" s="180"/>
      <c r="MNB65" s="180"/>
      <c r="MNC65" s="180"/>
      <c r="MND65" s="180"/>
      <c r="MNE65" s="180"/>
      <c r="MNF65" s="180"/>
      <c r="MNG65" s="180"/>
      <c r="MNH65" s="180"/>
      <c r="MNI65" s="180"/>
      <c r="MNJ65" s="180"/>
      <c r="MNK65" s="180"/>
      <c r="MNL65" s="180"/>
      <c r="MNM65" s="180"/>
      <c r="MNN65" s="180"/>
      <c r="MNO65" s="180"/>
      <c r="MNP65" s="180"/>
      <c r="MNQ65" s="180"/>
      <c r="MNR65" s="180"/>
      <c r="MNS65" s="180"/>
      <c r="MNT65" s="180"/>
      <c r="MNU65" s="180"/>
      <c r="MNV65" s="180"/>
      <c r="MNW65" s="180"/>
      <c r="MNX65" s="180"/>
      <c r="MNY65" s="180"/>
      <c r="MNZ65" s="180"/>
      <c r="MOA65" s="180"/>
      <c r="MOB65" s="180"/>
      <c r="MOC65" s="180"/>
      <c r="MOD65" s="180"/>
      <c r="MOE65" s="180"/>
      <c r="MOF65" s="180"/>
      <c r="MOG65" s="180"/>
      <c r="MOH65" s="180"/>
      <c r="MOI65" s="180"/>
      <c r="MOJ65" s="180"/>
      <c r="MOK65" s="180"/>
      <c r="MOL65" s="180"/>
      <c r="MOM65" s="180"/>
      <c r="MON65" s="180"/>
      <c r="MOO65" s="180"/>
      <c r="MOP65" s="180"/>
      <c r="MOQ65" s="180"/>
      <c r="MOR65" s="180"/>
      <c r="MOS65" s="180"/>
      <c r="MOT65" s="180"/>
      <c r="MOU65" s="180"/>
      <c r="MOV65" s="180"/>
      <c r="MOW65" s="180"/>
      <c r="MOX65" s="180"/>
      <c r="MOY65" s="180"/>
      <c r="MOZ65" s="180"/>
      <c r="MPA65" s="180"/>
      <c r="MPB65" s="180"/>
      <c r="MPC65" s="180"/>
      <c r="MPD65" s="180"/>
      <c r="MPE65" s="180"/>
      <c r="MPF65" s="180"/>
      <c r="MPG65" s="180"/>
      <c r="MPH65" s="180"/>
      <c r="MPI65" s="180"/>
      <c r="MPJ65" s="180"/>
      <c r="MPK65" s="180"/>
      <c r="MPL65" s="180"/>
      <c r="MPM65" s="180"/>
      <c r="MPN65" s="180"/>
      <c r="MPO65" s="180"/>
      <c r="MPP65" s="180"/>
      <c r="MPQ65" s="180"/>
      <c r="MPR65" s="180"/>
      <c r="MPS65" s="180"/>
      <c r="MPT65" s="180"/>
      <c r="MPU65" s="180"/>
      <c r="MPV65" s="180"/>
      <c r="MPW65" s="180"/>
      <c r="MPX65" s="180"/>
      <c r="MPY65" s="180"/>
      <c r="MPZ65" s="180"/>
      <c r="MQA65" s="180"/>
      <c r="MQB65" s="180"/>
      <c r="MQC65" s="180"/>
      <c r="MQD65" s="180"/>
      <c r="MQE65" s="180"/>
      <c r="MQF65" s="180"/>
      <c r="MQG65" s="180"/>
      <c r="MQH65" s="180"/>
      <c r="MQI65" s="180"/>
      <c r="MQJ65" s="180"/>
      <c r="MQK65" s="180"/>
      <c r="MQL65" s="180"/>
      <c r="MQM65" s="180"/>
      <c r="MQN65" s="180"/>
      <c r="MQO65" s="180"/>
      <c r="MQP65" s="180"/>
      <c r="MQQ65" s="180"/>
      <c r="MQR65" s="180"/>
      <c r="MQS65" s="180"/>
      <c r="MQT65" s="180"/>
      <c r="MQU65" s="180"/>
      <c r="MQV65" s="180"/>
      <c r="MQW65" s="180"/>
      <c r="MQX65" s="180"/>
      <c r="MQY65" s="180"/>
      <c r="MQZ65" s="180"/>
      <c r="MRA65" s="180"/>
      <c r="MRB65" s="180"/>
      <c r="MRC65" s="180"/>
      <c r="MRD65" s="180"/>
      <c r="MRE65" s="180"/>
      <c r="MRF65" s="180"/>
      <c r="MRG65" s="180"/>
      <c r="MRH65" s="180"/>
      <c r="MRI65" s="180"/>
      <c r="MRJ65" s="180"/>
      <c r="MRK65" s="180"/>
      <c r="MRL65" s="180"/>
      <c r="MRM65" s="180"/>
      <c r="MRN65" s="180"/>
      <c r="MRO65" s="180"/>
      <c r="MRP65" s="180"/>
      <c r="MRQ65" s="180"/>
      <c r="MRR65" s="180"/>
      <c r="MRS65" s="180"/>
      <c r="MRT65" s="180"/>
      <c r="MRU65" s="180"/>
      <c r="MRV65" s="180"/>
      <c r="MRW65" s="180"/>
      <c r="MRX65" s="180"/>
      <c r="MRY65" s="180"/>
      <c r="MRZ65" s="180"/>
      <c r="MSA65" s="180"/>
      <c r="MSB65" s="180"/>
      <c r="MSC65" s="180"/>
      <c r="MSD65" s="180"/>
      <c r="MSE65" s="180"/>
      <c r="MSF65" s="180"/>
      <c r="MSG65" s="180"/>
      <c r="MSH65" s="180"/>
      <c r="MSI65" s="180"/>
      <c r="MSJ65" s="180"/>
      <c r="MSK65" s="180"/>
      <c r="MSL65" s="180"/>
      <c r="MSM65" s="180"/>
      <c r="MSN65" s="180"/>
      <c r="MSO65" s="180"/>
      <c r="MSP65" s="180"/>
      <c r="MSQ65" s="180"/>
      <c r="MSR65" s="180"/>
      <c r="MSS65" s="180"/>
      <c r="MST65" s="180"/>
      <c r="MSU65" s="180"/>
      <c r="MSV65" s="180"/>
      <c r="MSW65" s="180"/>
      <c r="MSX65" s="180"/>
      <c r="MSY65" s="180"/>
      <c r="MSZ65" s="180"/>
      <c r="MTA65" s="180"/>
      <c r="MTB65" s="180"/>
      <c r="MTC65" s="180"/>
      <c r="MTD65" s="180"/>
      <c r="MTE65" s="180"/>
      <c r="MTF65" s="180"/>
      <c r="MTG65" s="180"/>
      <c r="MTH65" s="180"/>
      <c r="MTI65" s="180"/>
      <c r="MTJ65" s="180"/>
      <c r="MTK65" s="180"/>
      <c r="MTL65" s="180"/>
      <c r="MTM65" s="180"/>
      <c r="MTN65" s="180"/>
      <c r="MTO65" s="180"/>
      <c r="MTP65" s="180"/>
      <c r="MTQ65" s="180"/>
      <c r="MTR65" s="180"/>
      <c r="MTS65" s="180"/>
      <c r="MTT65" s="180"/>
      <c r="MTU65" s="180"/>
      <c r="MTV65" s="180"/>
      <c r="MTW65" s="180"/>
      <c r="MTX65" s="180"/>
      <c r="MTY65" s="180"/>
      <c r="MTZ65" s="180"/>
      <c r="MUA65" s="180"/>
      <c r="MUB65" s="180"/>
      <c r="MUC65" s="180"/>
      <c r="MUD65" s="180"/>
      <c r="MUE65" s="180"/>
      <c r="MUF65" s="180"/>
      <c r="MUG65" s="180"/>
      <c r="MUH65" s="180"/>
      <c r="MUI65" s="180"/>
      <c r="MUJ65" s="180"/>
      <c r="MUK65" s="180"/>
      <c r="MUL65" s="180"/>
      <c r="MUM65" s="180"/>
      <c r="MUN65" s="180"/>
      <c r="MUO65" s="180"/>
      <c r="MUP65" s="180"/>
      <c r="MUQ65" s="180"/>
      <c r="MUR65" s="180"/>
      <c r="MUS65" s="180"/>
      <c r="MUT65" s="180"/>
      <c r="MUU65" s="180"/>
      <c r="MUV65" s="180"/>
      <c r="MUW65" s="180"/>
      <c r="MUX65" s="180"/>
      <c r="MUY65" s="180"/>
      <c r="MUZ65" s="180"/>
      <c r="MVA65" s="180"/>
      <c r="MVB65" s="180"/>
      <c r="MVC65" s="180"/>
      <c r="MVD65" s="180"/>
      <c r="MVE65" s="180"/>
      <c r="MVF65" s="180"/>
      <c r="MVG65" s="180"/>
      <c r="MVH65" s="180"/>
      <c r="MVI65" s="180"/>
      <c r="MVJ65" s="180"/>
      <c r="MVK65" s="180"/>
      <c r="MVL65" s="180"/>
      <c r="MVM65" s="180"/>
      <c r="MVN65" s="180"/>
      <c r="MVO65" s="180"/>
      <c r="MVP65" s="180"/>
      <c r="MVQ65" s="180"/>
      <c r="MVR65" s="180"/>
      <c r="MVS65" s="180"/>
      <c r="MVT65" s="180"/>
      <c r="MVU65" s="180"/>
      <c r="MVV65" s="180"/>
      <c r="MVW65" s="180"/>
      <c r="MVX65" s="180"/>
      <c r="MVY65" s="180"/>
      <c r="MVZ65" s="180"/>
      <c r="MWA65" s="180"/>
      <c r="MWB65" s="180"/>
      <c r="MWC65" s="180"/>
      <c r="MWD65" s="180"/>
      <c r="MWE65" s="180"/>
      <c r="MWF65" s="180"/>
      <c r="MWG65" s="180"/>
      <c r="MWH65" s="180"/>
      <c r="MWI65" s="180"/>
      <c r="MWJ65" s="180"/>
      <c r="MWK65" s="180"/>
      <c r="MWL65" s="180"/>
      <c r="MWM65" s="180"/>
      <c r="MWN65" s="180"/>
      <c r="MWO65" s="180"/>
      <c r="MWP65" s="180"/>
      <c r="MWQ65" s="180"/>
      <c r="MWR65" s="180"/>
      <c r="MWS65" s="180"/>
      <c r="MWT65" s="180"/>
      <c r="MWU65" s="180"/>
      <c r="MWV65" s="180"/>
      <c r="MWW65" s="180"/>
      <c r="MWX65" s="180"/>
      <c r="MWY65" s="180"/>
      <c r="MWZ65" s="180"/>
      <c r="MXA65" s="180"/>
      <c r="MXB65" s="180"/>
      <c r="MXC65" s="180"/>
      <c r="MXD65" s="180"/>
      <c r="MXE65" s="180"/>
      <c r="MXF65" s="180"/>
      <c r="MXG65" s="180"/>
      <c r="MXH65" s="180"/>
      <c r="MXI65" s="180"/>
      <c r="MXJ65" s="180"/>
      <c r="MXK65" s="180"/>
      <c r="MXL65" s="180"/>
      <c r="MXM65" s="180"/>
      <c r="MXN65" s="180"/>
      <c r="MXO65" s="180"/>
      <c r="MXP65" s="180"/>
      <c r="MXQ65" s="180"/>
      <c r="MXR65" s="180"/>
      <c r="MXS65" s="180"/>
      <c r="MXT65" s="180"/>
      <c r="MXU65" s="180"/>
      <c r="MXV65" s="180"/>
      <c r="MXW65" s="180"/>
      <c r="MXX65" s="180"/>
      <c r="MXY65" s="180"/>
      <c r="MXZ65" s="180"/>
      <c r="MYA65" s="180"/>
      <c r="MYB65" s="180"/>
      <c r="MYC65" s="180"/>
      <c r="MYD65" s="180"/>
      <c r="MYE65" s="180"/>
      <c r="MYF65" s="180"/>
      <c r="MYG65" s="180"/>
      <c r="MYH65" s="180"/>
      <c r="MYI65" s="180"/>
      <c r="MYJ65" s="180"/>
      <c r="MYK65" s="180"/>
      <c r="MYL65" s="180"/>
      <c r="MYM65" s="180"/>
      <c r="MYN65" s="180"/>
      <c r="MYO65" s="180"/>
      <c r="MYP65" s="180"/>
      <c r="MYQ65" s="180"/>
      <c r="MYR65" s="180"/>
      <c r="MYS65" s="180"/>
      <c r="MYT65" s="180"/>
      <c r="MYU65" s="180"/>
      <c r="MYV65" s="180"/>
      <c r="MYW65" s="180"/>
      <c r="MYX65" s="180"/>
      <c r="MYY65" s="180"/>
      <c r="MYZ65" s="180"/>
      <c r="MZA65" s="180"/>
      <c r="MZB65" s="180"/>
      <c r="MZC65" s="180"/>
      <c r="MZD65" s="180"/>
      <c r="MZE65" s="180"/>
      <c r="MZF65" s="180"/>
      <c r="MZG65" s="180"/>
      <c r="MZH65" s="180"/>
      <c r="MZI65" s="180"/>
      <c r="MZJ65" s="180"/>
      <c r="MZK65" s="180"/>
      <c r="MZL65" s="180"/>
      <c r="MZM65" s="180"/>
      <c r="MZN65" s="180"/>
      <c r="MZO65" s="180"/>
      <c r="MZP65" s="180"/>
      <c r="MZQ65" s="180"/>
      <c r="MZR65" s="180"/>
      <c r="MZS65" s="180"/>
      <c r="MZT65" s="180"/>
      <c r="MZU65" s="180"/>
      <c r="MZV65" s="180"/>
      <c r="MZW65" s="180"/>
      <c r="MZX65" s="180"/>
      <c r="MZY65" s="180"/>
      <c r="MZZ65" s="180"/>
      <c r="NAA65" s="180"/>
      <c r="NAB65" s="180"/>
      <c r="NAC65" s="180"/>
      <c r="NAD65" s="180"/>
      <c r="NAE65" s="180"/>
      <c r="NAF65" s="180"/>
      <c r="NAG65" s="180"/>
      <c r="NAH65" s="180"/>
      <c r="NAI65" s="180"/>
      <c r="NAJ65" s="180"/>
      <c r="NAK65" s="180"/>
      <c r="NAL65" s="180"/>
      <c r="NAM65" s="180"/>
      <c r="NAN65" s="180"/>
      <c r="NAO65" s="180"/>
      <c r="NAP65" s="180"/>
      <c r="NAQ65" s="180"/>
      <c r="NAR65" s="180"/>
      <c r="NAS65" s="180"/>
      <c r="NAT65" s="180"/>
      <c r="NAU65" s="180"/>
      <c r="NAV65" s="180"/>
      <c r="NAW65" s="180"/>
      <c r="NAX65" s="180"/>
      <c r="NAY65" s="180"/>
      <c r="NAZ65" s="180"/>
      <c r="NBA65" s="180"/>
      <c r="NBB65" s="180"/>
      <c r="NBC65" s="180"/>
      <c r="NBD65" s="180"/>
      <c r="NBE65" s="180"/>
      <c r="NBF65" s="180"/>
      <c r="NBG65" s="180"/>
      <c r="NBH65" s="180"/>
      <c r="NBI65" s="180"/>
      <c r="NBJ65" s="180"/>
      <c r="NBK65" s="180"/>
      <c r="NBL65" s="180"/>
      <c r="NBM65" s="180"/>
      <c r="NBN65" s="180"/>
      <c r="NBO65" s="180"/>
      <c r="NBP65" s="180"/>
      <c r="NBQ65" s="180"/>
      <c r="NBR65" s="180"/>
      <c r="NBS65" s="180"/>
      <c r="NBT65" s="180"/>
      <c r="NBU65" s="180"/>
      <c r="NBV65" s="180"/>
      <c r="NBW65" s="180"/>
      <c r="NBX65" s="180"/>
      <c r="NBY65" s="180"/>
      <c r="NBZ65" s="180"/>
      <c r="NCA65" s="180"/>
      <c r="NCB65" s="180"/>
      <c r="NCC65" s="180"/>
      <c r="NCD65" s="180"/>
      <c r="NCE65" s="180"/>
      <c r="NCF65" s="180"/>
      <c r="NCG65" s="180"/>
      <c r="NCH65" s="180"/>
      <c r="NCI65" s="180"/>
      <c r="NCJ65" s="180"/>
      <c r="NCK65" s="180"/>
      <c r="NCL65" s="180"/>
      <c r="NCM65" s="180"/>
      <c r="NCN65" s="180"/>
      <c r="NCO65" s="180"/>
      <c r="NCP65" s="180"/>
      <c r="NCQ65" s="180"/>
      <c r="NCR65" s="180"/>
      <c r="NCS65" s="180"/>
      <c r="NCT65" s="180"/>
      <c r="NCU65" s="180"/>
      <c r="NCV65" s="180"/>
      <c r="NCW65" s="180"/>
      <c r="NCX65" s="180"/>
      <c r="NCY65" s="180"/>
      <c r="NCZ65" s="180"/>
      <c r="NDA65" s="180"/>
      <c r="NDB65" s="180"/>
      <c r="NDC65" s="180"/>
      <c r="NDD65" s="180"/>
      <c r="NDE65" s="180"/>
      <c r="NDF65" s="180"/>
      <c r="NDG65" s="180"/>
      <c r="NDH65" s="180"/>
      <c r="NDI65" s="180"/>
      <c r="NDJ65" s="180"/>
      <c r="NDK65" s="180"/>
      <c r="NDL65" s="180"/>
      <c r="NDM65" s="180"/>
      <c r="NDN65" s="180"/>
      <c r="NDO65" s="180"/>
      <c r="NDP65" s="180"/>
      <c r="NDQ65" s="180"/>
      <c r="NDR65" s="180"/>
      <c r="NDS65" s="180"/>
      <c r="NDT65" s="180"/>
      <c r="NDU65" s="180"/>
      <c r="NDV65" s="180"/>
      <c r="NDW65" s="180"/>
      <c r="NDX65" s="180"/>
      <c r="NDY65" s="180"/>
      <c r="NDZ65" s="180"/>
      <c r="NEA65" s="180"/>
      <c r="NEB65" s="180"/>
      <c r="NEC65" s="180"/>
      <c r="NED65" s="180"/>
      <c r="NEE65" s="180"/>
      <c r="NEF65" s="180"/>
      <c r="NEG65" s="180"/>
      <c r="NEH65" s="180"/>
      <c r="NEI65" s="180"/>
      <c r="NEJ65" s="180"/>
      <c r="NEK65" s="180"/>
      <c r="NEL65" s="180"/>
      <c r="NEM65" s="180"/>
      <c r="NEN65" s="180"/>
      <c r="NEO65" s="180"/>
      <c r="NEP65" s="180"/>
      <c r="NEQ65" s="180"/>
      <c r="NER65" s="180"/>
      <c r="NES65" s="180"/>
      <c r="NET65" s="180"/>
      <c r="NEU65" s="180"/>
      <c r="NEV65" s="180"/>
      <c r="NEW65" s="180"/>
      <c r="NEX65" s="180"/>
      <c r="NEY65" s="180"/>
      <c r="NEZ65" s="180"/>
      <c r="NFA65" s="180"/>
      <c r="NFB65" s="180"/>
      <c r="NFC65" s="180"/>
      <c r="NFD65" s="180"/>
      <c r="NFE65" s="180"/>
      <c r="NFF65" s="180"/>
      <c r="NFG65" s="180"/>
      <c r="NFH65" s="180"/>
      <c r="NFI65" s="180"/>
      <c r="NFJ65" s="180"/>
      <c r="NFK65" s="180"/>
      <c r="NFL65" s="180"/>
      <c r="NFM65" s="180"/>
      <c r="NFN65" s="180"/>
      <c r="NFO65" s="180"/>
      <c r="NFP65" s="180"/>
      <c r="NFQ65" s="180"/>
      <c r="NFR65" s="180"/>
      <c r="NFS65" s="180"/>
      <c r="NFT65" s="180"/>
      <c r="NFU65" s="180"/>
      <c r="NFV65" s="180"/>
      <c r="NFW65" s="180"/>
      <c r="NFX65" s="180"/>
      <c r="NFY65" s="180"/>
      <c r="NFZ65" s="180"/>
      <c r="NGA65" s="180"/>
      <c r="NGB65" s="180"/>
      <c r="NGC65" s="180"/>
      <c r="NGD65" s="180"/>
      <c r="NGE65" s="180"/>
      <c r="NGF65" s="180"/>
      <c r="NGG65" s="180"/>
      <c r="NGH65" s="180"/>
      <c r="NGI65" s="180"/>
      <c r="NGJ65" s="180"/>
      <c r="NGK65" s="180"/>
      <c r="NGL65" s="180"/>
      <c r="NGM65" s="180"/>
      <c r="NGN65" s="180"/>
      <c r="NGO65" s="180"/>
      <c r="NGP65" s="180"/>
      <c r="NGQ65" s="180"/>
      <c r="NGR65" s="180"/>
      <c r="NGS65" s="180"/>
      <c r="NGT65" s="180"/>
      <c r="NGU65" s="180"/>
      <c r="NGV65" s="180"/>
      <c r="NGW65" s="180"/>
      <c r="NGX65" s="180"/>
      <c r="NGY65" s="180"/>
      <c r="NGZ65" s="180"/>
      <c r="NHA65" s="180"/>
      <c r="NHB65" s="180"/>
      <c r="NHC65" s="180"/>
      <c r="NHD65" s="180"/>
      <c r="NHE65" s="180"/>
      <c r="NHF65" s="180"/>
      <c r="NHG65" s="180"/>
      <c r="NHH65" s="180"/>
      <c r="NHI65" s="180"/>
      <c r="NHJ65" s="180"/>
      <c r="NHK65" s="180"/>
      <c r="NHL65" s="180"/>
      <c r="NHM65" s="180"/>
      <c r="NHN65" s="180"/>
      <c r="NHO65" s="180"/>
      <c r="NHP65" s="180"/>
      <c r="NHQ65" s="180"/>
      <c r="NHR65" s="180"/>
      <c r="NHS65" s="180"/>
      <c r="NHT65" s="180"/>
      <c r="NHU65" s="180"/>
      <c r="NHV65" s="180"/>
      <c r="NHW65" s="180"/>
      <c r="NHX65" s="180"/>
      <c r="NHY65" s="180"/>
      <c r="NHZ65" s="180"/>
      <c r="NIA65" s="180"/>
      <c r="NIB65" s="180"/>
      <c r="NIC65" s="180"/>
      <c r="NID65" s="180"/>
      <c r="NIE65" s="180"/>
      <c r="NIF65" s="180"/>
      <c r="NIG65" s="180"/>
      <c r="NIH65" s="180"/>
      <c r="NII65" s="180"/>
      <c r="NIJ65" s="180"/>
      <c r="NIK65" s="180"/>
      <c r="NIL65" s="180"/>
      <c r="NIM65" s="180"/>
      <c r="NIN65" s="180"/>
      <c r="NIO65" s="180"/>
      <c r="NIP65" s="180"/>
      <c r="NIQ65" s="180"/>
      <c r="NIR65" s="180"/>
      <c r="NIS65" s="180"/>
      <c r="NIT65" s="180"/>
      <c r="NIU65" s="180"/>
      <c r="NIV65" s="180"/>
      <c r="NIW65" s="180"/>
      <c r="NIX65" s="180"/>
      <c r="NIY65" s="180"/>
      <c r="NIZ65" s="180"/>
      <c r="NJA65" s="180"/>
      <c r="NJB65" s="180"/>
      <c r="NJC65" s="180"/>
      <c r="NJD65" s="180"/>
      <c r="NJE65" s="180"/>
      <c r="NJF65" s="180"/>
      <c r="NJG65" s="180"/>
      <c r="NJH65" s="180"/>
      <c r="NJI65" s="180"/>
      <c r="NJJ65" s="180"/>
      <c r="NJK65" s="180"/>
      <c r="NJL65" s="180"/>
      <c r="NJM65" s="180"/>
      <c r="NJN65" s="180"/>
      <c r="NJO65" s="180"/>
      <c r="NJP65" s="180"/>
      <c r="NJQ65" s="180"/>
      <c r="NJR65" s="180"/>
      <c r="NJS65" s="180"/>
      <c r="NJT65" s="180"/>
      <c r="NJU65" s="180"/>
      <c r="NJV65" s="180"/>
      <c r="NJW65" s="180"/>
      <c r="NJX65" s="180"/>
      <c r="NJY65" s="180"/>
      <c r="NJZ65" s="180"/>
      <c r="NKA65" s="180"/>
      <c r="NKB65" s="180"/>
      <c r="NKC65" s="180"/>
      <c r="NKD65" s="180"/>
      <c r="NKE65" s="180"/>
      <c r="NKF65" s="180"/>
      <c r="NKG65" s="180"/>
      <c r="NKH65" s="180"/>
      <c r="NKI65" s="180"/>
      <c r="NKJ65" s="180"/>
      <c r="NKK65" s="180"/>
      <c r="NKL65" s="180"/>
      <c r="NKM65" s="180"/>
      <c r="NKN65" s="180"/>
      <c r="NKO65" s="180"/>
      <c r="NKP65" s="180"/>
      <c r="NKQ65" s="180"/>
      <c r="NKR65" s="180"/>
      <c r="NKS65" s="180"/>
      <c r="NKT65" s="180"/>
      <c r="NKU65" s="180"/>
      <c r="NKV65" s="180"/>
      <c r="NKW65" s="180"/>
      <c r="NKX65" s="180"/>
      <c r="NKY65" s="180"/>
      <c r="NKZ65" s="180"/>
      <c r="NLA65" s="180"/>
      <c r="NLB65" s="180"/>
      <c r="NLC65" s="180"/>
      <c r="NLD65" s="180"/>
      <c r="NLE65" s="180"/>
      <c r="NLF65" s="180"/>
      <c r="NLG65" s="180"/>
      <c r="NLH65" s="180"/>
      <c r="NLI65" s="180"/>
      <c r="NLJ65" s="180"/>
      <c r="NLK65" s="180"/>
      <c r="NLL65" s="180"/>
      <c r="NLM65" s="180"/>
      <c r="NLN65" s="180"/>
      <c r="NLO65" s="180"/>
      <c r="NLP65" s="180"/>
      <c r="NLQ65" s="180"/>
      <c r="NLR65" s="180"/>
      <c r="NLS65" s="180"/>
      <c r="NLT65" s="180"/>
      <c r="NLU65" s="180"/>
      <c r="NLV65" s="180"/>
      <c r="NLW65" s="180"/>
      <c r="NLX65" s="180"/>
      <c r="NLY65" s="180"/>
      <c r="NLZ65" s="180"/>
      <c r="NMA65" s="180"/>
      <c r="NMB65" s="180"/>
      <c r="NMC65" s="180"/>
      <c r="NMD65" s="180"/>
      <c r="NME65" s="180"/>
      <c r="NMF65" s="180"/>
      <c r="NMG65" s="180"/>
      <c r="NMH65" s="180"/>
      <c r="NMI65" s="180"/>
      <c r="NMJ65" s="180"/>
      <c r="NMK65" s="180"/>
      <c r="NML65" s="180"/>
      <c r="NMM65" s="180"/>
      <c r="NMN65" s="180"/>
      <c r="NMO65" s="180"/>
      <c r="NMP65" s="180"/>
      <c r="NMQ65" s="180"/>
      <c r="NMR65" s="180"/>
      <c r="NMS65" s="180"/>
      <c r="NMT65" s="180"/>
      <c r="NMU65" s="180"/>
      <c r="NMV65" s="180"/>
      <c r="NMW65" s="180"/>
      <c r="NMX65" s="180"/>
      <c r="NMY65" s="180"/>
      <c r="NMZ65" s="180"/>
      <c r="NNA65" s="180"/>
      <c r="NNB65" s="180"/>
      <c r="NNC65" s="180"/>
      <c r="NND65" s="180"/>
      <c r="NNE65" s="180"/>
      <c r="NNF65" s="180"/>
      <c r="NNG65" s="180"/>
      <c r="NNH65" s="180"/>
      <c r="NNI65" s="180"/>
      <c r="NNJ65" s="180"/>
      <c r="NNK65" s="180"/>
      <c r="NNL65" s="180"/>
      <c r="NNM65" s="180"/>
      <c r="NNN65" s="180"/>
      <c r="NNO65" s="180"/>
      <c r="NNP65" s="180"/>
      <c r="NNQ65" s="180"/>
      <c r="NNR65" s="180"/>
      <c r="NNS65" s="180"/>
      <c r="NNT65" s="180"/>
      <c r="NNU65" s="180"/>
      <c r="NNV65" s="180"/>
      <c r="NNW65" s="180"/>
      <c r="NNX65" s="180"/>
      <c r="NNY65" s="180"/>
      <c r="NNZ65" s="180"/>
      <c r="NOA65" s="180"/>
      <c r="NOB65" s="180"/>
      <c r="NOC65" s="180"/>
      <c r="NOD65" s="180"/>
      <c r="NOE65" s="180"/>
      <c r="NOF65" s="180"/>
      <c r="NOG65" s="180"/>
      <c r="NOH65" s="180"/>
      <c r="NOI65" s="180"/>
      <c r="NOJ65" s="180"/>
      <c r="NOK65" s="180"/>
      <c r="NOL65" s="180"/>
      <c r="NOM65" s="180"/>
      <c r="NON65" s="180"/>
      <c r="NOO65" s="180"/>
      <c r="NOP65" s="180"/>
      <c r="NOQ65" s="180"/>
      <c r="NOR65" s="180"/>
      <c r="NOS65" s="180"/>
      <c r="NOT65" s="180"/>
      <c r="NOU65" s="180"/>
      <c r="NOV65" s="180"/>
      <c r="NOW65" s="180"/>
      <c r="NOX65" s="180"/>
      <c r="NOY65" s="180"/>
      <c r="NOZ65" s="180"/>
      <c r="NPA65" s="180"/>
      <c r="NPB65" s="180"/>
      <c r="NPC65" s="180"/>
      <c r="NPD65" s="180"/>
      <c r="NPE65" s="180"/>
      <c r="NPF65" s="180"/>
      <c r="NPG65" s="180"/>
      <c r="NPH65" s="180"/>
      <c r="NPI65" s="180"/>
      <c r="NPJ65" s="180"/>
      <c r="NPK65" s="180"/>
      <c r="NPL65" s="180"/>
      <c r="NPM65" s="180"/>
      <c r="NPN65" s="180"/>
      <c r="NPO65" s="180"/>
      <c r="NPP65" s="180"/>
      <c r="NPQ65" s="180"/>
      <c r="NPR65" s="180"/>
      <c r="NPS65" s="180"/>
      <c r="NPT65" s="180"/>
      <c r="NPU65" s="180"/>
      <c r="NPV65" s="180"/>
      <c r="NPW65" s="180"/>
      <c r="NPX65" s="180"/>
      <c r="NPY65" s="180"/>
      <c r="NPZ65" s="180"/>
      <c r="NQA65" s="180"/>
      <c r="NQB65" s="180"/>
      <c r="NQC65" s="180"/>
      <c r="NQD65" s="180"/>
      <c r="NQE65" s="180"/>
      <c r="NQF65" s="180"/>
      <c r="NQG65" s="180"/>
      <c r="NQH65" s="180"/>
      <c r="NQI65" s="180"/>
      <c r="NQJ65" s="180"/>
      <c r="NQK65" s="180"/>
      <c r="NQL65" s="180"/>
      <c r="NQM65" s="180"/>
      <c r="NQN65" s="180"/>
      <c r="NQO65" s="180"/>
      <c r="NQP65" s="180"/>
      <c r="NQQ65" s="180"/>
      <c r="NQR65" s="180"/>
      <c r="NQS65" s="180"/>
      <c r="NQT65" s="180"/>
      <c r="NQU65" s="180"/>
      <c r="NQV65" s="180"/>
      <c r="NQW65" s="180"/>
      <c r="NQX65" s="180"/>
      <c r="NQY65" s="180"/>
      <c r="NQZ65" s="180"/>
      <c r="NRA65" s="180"/>
      <c r="NRB65" s="180"/>
      <c r="NRC65" s="180"/>
      <c r="NRD65" s="180"/>
      <c r="NRE65" s="180"/>
      <c r="NRF65" s="180"/>
      <c r="NRG65" s="180"/>
      <c r="NRH65" s="180"/>
      <c r="NRI65" s="180"/>
      <c r="NRJ65" s="180"/>
      <c r="NRK65" s="180"/>
      <c r="NRL65" s="180"/>
      <c r="NRM65" s="180"/>
      <c r="NRN65" s="180"/>
      <c r="NRO65" s="180"/>
      <c r="NRP65" s="180"/>
      <c r="NRQ65" s="180"/>
      <c r="NRR65" s="180"/>
      <c r="NRS65" s="180"/>
      <c r="NRT65" s="180"/>
      <c r="NRU65" s="180"/>
      <c r="NRV65" s="180"/>
      <c r="NRW65" s="180"/>
      <c r="NRX65" s="180"/>
      <c r="NRY65" s="180"/>
      <c r="NRZ65" s="180"/>
      <c r="NSA65" s="180"/>
      <c r="NSB65" s="180"/>
      <c r="NSC65" s="180"/>
      <c r="NSD65" s="180"/>
      <c r="NSE65" s="180"/>
      <c r="NSF65" s="180"/>
      <c r="NSG65" s="180"/>
      <c r="NSH65" s="180"/>
      <c r="NSI65" s="180"/>
      <c r="NSJ65" s="180"/>
      <c r="NSK65" s="180"/>
      <c r="NSL65" s="180"/>
      <c r="NSM65" s="180"/>
      <c r="NSN65" s="180"/>
      <c r="NSO65" s="180"/>
      <c r="NSP65" s="180"/>
      <c r="NSQ65" s="180"/>
      <c r="NSR65" s="180"/>
      <c r="NSS65" s="180"/>
      <c r="NST65" s="180"/>
      <c r="NSU65" s="180"/>
      <c r="NSV65" s="180"/>
      <c r="NSW65" s="180"/>
      <c r="NSX65" s="180"/>
      <c r="NSY65" s="180"/>
      <c r="NSZ65" s="180"/>
      <c r="NTA65" s="180"/>
      <c r="NTB65" s="180"/>
      <c r="NTC65" s="180"/>
      <c r="NTD65" s="180"/>
      <c r="NTE65" s="180"/>
      <c r="NTF65" s="180"/>
      <c r="NTG65" s="180"/>
      <c r="NTH65" s="180"/>
      <c r="NTI65" s="180"/>
      <c r="NTJ65" s="180"/>
      <c r="NTK65" s="180"/>
      <c r="NTL65" s="180"/>
      <c r="NTM65" s="180"/>
      <c r="NTN65" s="180"/>
      <c r="NTO65" s="180"/>
      <c r="NTP65" s="180"/>
      <c r="NTQ65" s="180"/>
      <c r="NTR65" s="180"/>
      <c r="NTS65" s="180"/>
      <c r="NTT65" s="180"/>
      <c r="NTU65" s="180"/>
      <c r="NTV65" s="180"/>
      <c r="NTW65" s="180"/>
      <c r="NTX65" s="180"/>
      <c r="NTY65" s="180"/>
      <c r="NTZ65" s="180"/>
      <c r="NUA65" s="180"/>
      <c r="NUB65" s="180"/>
      <c r="NUC65" s="180"/>
      <c r="NUD65" s="180"/>
      <c r="NUE65" s="180"/>
      <c r="NUF65" s="180"/>
      <c r="NUG65" s="180"/>
      <c r="NUH65" s="180"/>
      <c r="NUI65" s="180"/>
      <c r="NUJ65" s="180"/>
      <c r="NUK65" s="180"/>
      <c r="NUL65" s="180"/>
      <c r="NUM65" s="180"/>
      <c r="NUN65" s="180"/>
      <c r="NUO65" s="180"/>
      <c r="NUP65" s="180"/>
      <c r="NUQ65" s="180"/>
      <c r="NUR65" s="180"/>
      <c r="NUS65" s="180"/>
      <c r="NUT65" s="180"/>
      <c r="NUU65" s="180"/>
      <c r="NUV65" s="180"/>
      <c r="NUW65" s="180"/>
      <c r="NUX65" s="180"/>
      <c r="NUY65" s="180"/>
      <c r="NUZ65" s="180"/>
      <c r="NVA65" s="180"/>
      <c r="NVB65" s="180"/>
      <c r="NVC65" s="180"/>
      <c r="NVD65" s="180"/>
      <c r="NVE65" s="180"/>
      <c r="NVF65" s="180"/>
      <c r="NVG65" s="180"/>
      <c r="NVH65" s="180"/>
      <c r="NVI65" s="180"/>
      <c r="NVJ65" s="180"/>
      <c r="NVK65" s="180"/>
      <c r="NVL65" s="180"/>
      <c r="NVM65" s="180"/>
      <c r="NVN65" s="180"/>
      <c r="NVO65" s="180"/>
      <c r="NVP65" s="180"/>
      <c r="NVQ65" s="180"/>
      <c r="NVR65" s="180"/>
      <c r="NVS65" s="180"/>
      <c r="NVT65" s="180"/>
      <c r="NVU65" s="180"/>
      <c r="NVV65" s="180"/>
      <c r="NVW65" s="180"/>
      <c r="NVX65" s="180"/>
      <c r="NVY65" s="180"/>
      <c r="NVZ65" s="180"/>
      <c r="NWA65" s="180"/>
      <c r="NWB65" s="180"/>
      <c r="NWC65" s="180"/>
      <c r="NWD65" s="180"/>
      <c r="NWE65" s="180"/>
      <c r="NWF65" s="180"/>
      <c r="NWG65" s="180"/>
      <c r="NWH65" s="180"/>
      <c r="NWI65" s="180"/>
      <c r="NWJ65" s="180"/>
      <c r="NWK65" s="180"/>
      <c r="NWL65" s="180"/>
      <c r="NWM65" s="180"/>
      <c r="NWN65" s="180"/>
      <c r="NWO65" s="180"/>
      <c r="NWP65" s="180"/>
      <c r="NWQ65" s="180"/>
      <c r="NWR65" s="180"/>
      <c r="NWS65" s="180"/>
      <c r="NWT65" s="180"/>
      <c r="NWU65" s="180"/>
      <c r="NWV65" s="180"/>
      <c r="NWW65" s="180"/>
      <c r="NWX65" s="180"/>
      <c r="NWY65" s="180"/>
      <c r="NWZ65" s="180"/>
      <c r="NXA65" s="180"/>
      <c r="NXB65" s="180"/>
      <c r="NXC65" s="180"/>
      <c r="NXD65" s="180"/>
      <c r="NXE65" s="180"/>
      <c r="NXF65" s="180"/>
      <c r="NXG65" s="180"/>
      <c r="NXH65" s="180"/>
      <c r="NXI65" s="180"/>
      <c r="NXJ65" s="180"/>
      <c r="NXK65" s="180"/>
      <c r="NXL65" s="180"/>
      <c r="NXM65" s="180"/>
      <c r="NXN65" s="180"/>
      <c r="NXO65" s="180"/>
      <c r="NXP65" s="180"/>
      <c r="NXQ65" s="180"/>
      <c r="NXR65" s="180"/>
      <c r="NXS65" s="180"/>
      <c r="NXT65" s="180"/>
      <c r="NXU65" s="180"/>
      <c r="NXV65" s="180"/>
      <c r="NXW65" s="180"/>
      <c r="NXX65" s="180"/>
      <c r="NXY65" s="180"/>
      <c r="NXZ65" s="180"/>
      <c r="NYA65" s="180"/>
      <c r="NYB65" s="180"/>
      <c r="NYC65" s="180"/>
      <c r="NYD65" s="180"/>
      <c r="NYE65" s="180"/>
      <c r="NYF65" s="180"/>
      <c r="NYG65" s="180"/>
      <c r="NYH65" s="180"/>
      <c r="NYI65" s="180"/>
      <c r="NYJ65" s="180"/>
      <c r="NYK65" s="180"/>
      <c r="NYL65" s="180"/>
      <c r="NYM65" s="180"/>
      <c r="NYN65" s="180"/>
      <c r="NYO65" s="180"/>
      <c r="NYP65" s="180"/>
      <c r="NYQ65" s="180"/>
      <c r="NYR65" s="180"/>
      <c r="NYS65" s="180"/>
      <c r="NYT65" s="180"/>
      <c r="NYU65" s="180"/>
      <c r="NYV65" s="180"/>
      <c r="NYW65" s="180"/>
      <c r="NYX65" s="180"/>
      <c r="NYY65" s="180"/>
      <c r="NYZ65" s="180"/>
      <c r="NZA65" s="180"/>
      <c r="NZB65" s="180"/>
      <c r="NZC65" s="180"/>
      <c r="NZD65" s="180"/>
      <c r="NZE65" s="180"/>
      <c r="NZF65" s="180"/>
      <c r="NZG65" s="180"/>
      <c r="NZH65" s="180"/>
      <c r="NZI65" s="180"/>
      <c r="NZJ65" s="180"/>
      <c r="NZK65" s="180"/>
      <c r="NZL65" s="180"/>
      <c r="NZM65" s="180"/>
      <c r="NZN65" s="180"/>
      <c r="NZO65" s="180"/>
      <c r="NZP65" s="180"/>
      <c r="NZQ65" s="180"/>
      <c r="NZR65" s="180"/>
      <c r="NZS65" s="180"/>
      <c r="NZT65" s="180"/>
      <c r="NZU65" s="180"/>
      <c r="NZV65" s="180"/>
      <c r="NZW65" s="180"/>
      <c r="NZX65" s="180"/>
      <c r="NZY65" s="180"/>
      <c r="NZZ65" s="180"/>
      <c r="OAA65" s="180"/>
      <c r="OAB65" s="180"/>
      <c r="OAC65" s="180"/>
      <c r="OAD65" s="180"/>
      <c r="OAE65" s="180"/>
      <c r="OAF65" s="180"/>
      <c r="OAG65" s="180"/>
      <c r="OAH65" s="180"/>
      <c r="OAI65" s="180"/>
      <c r="OAJ65" s="180"/>
      <c r="OAK65" s="180"/>
      <c r="OAL65" s="180"/>
      <c r="OAM65" s="180"/>
      <c r="OAN65" s="180"/>
      <c r="OAO65" s="180"/>
      <c r="OAP65" s="180"/>
      <c r="OAQ65" s="180"/>
      <c r="OAR65" s="180"/>
      <c r="OAS65" s="180"/>
      <c r="OAT65" s="180"/>
      <c r="OAU65" s="180"/>
      <c r="OAV65" s="180"/>
      <c r="OAW65" s="180"/>
      <c r="OAX65" s="180"/>
      <c r="OAY65" s="180"/>
      <c r="OAZ65" s="180"/>
      <c r="OBA65" s="180"/>
      <c r="OBB65" s="180"/>
      <c r="OBC65" s="180"/>
      <c r="OBD65" s="180"/>
      <c r="OBE65" s="180"/>
      <c r="OBF65" s="180"/>
      <c r="OBG65" s="180"/>
      <c r="OBH65" s="180"/>
      <c r="OBI65" s="180"/>
      <c r="OBJ65" s="180"/>
      <c r="OBK65" s="180"/>
      <c r="OBL65" s="180"/>
      <c r="OBM65" s="180"/>
      <c r="OBN65" s="180"/>
      <c r="OBO65" s="180"/>
      <c r="OBP65" s="180"/>
      <c r="OBQ65" s="180"/>
      <c r="OBR65" s="180"/>
      <c r="OBS65" s="180"/>
      <c r="OBT65" s="180"/>
      <c r="OBU65" s="180"/>
      <c r="OBV65" s="180"/>
      <c r="OBW65" s="180"/>
      <c r="OBX65" s="180"/>
      <c r="OBY65" s="180"/>
      <c r="OBZ65" s="180"/>
      <c r="OCA65" s="180"/>
      <c r="OCB65" s="180"/>
      <c r="OCC65" s="180"/>
      <c r="OCD65" s="180"/>
      <c r="OCE65" s="180"/>
      <c r="OCF65" s="180"/>
      <c r="OCG65" s="180"/>
      <c r="OCH65" s="180"/>
      <c r="OCI65" s="180"/>
      <c r="OCJ65" s="180"/>
      <c r="OCK65" s="180"/>
      <c r="OCL65" s="180"/>
      <c r="OCM65" s="180"/>
      <c r="OCN65" s="180"/>
      <c r="OCO65" s="180"/>
      <c r="OCP65" s="180"/>
      <c r="OCQ65" s="180"/>
      <c r="OCR65" s="180"/>
      <c r="OCS65" s="180"/>
      <c r="OCT65" s="180"/>
      <c r="OCU65" s="180"/>
      <c r="OCV65" s="180"/>
      <c r="OCW65" s="180"/>
      <c r="OCX65" s="180"/>
      <c r="OCY65" s="180"/>
      <c r="OCZ65" s="180"/>
      <c r="ODA65" s="180"/>
      <c r="ODB65" s="180"/>
      <c r="ODC65" s="180"/>
      <c r="ODD65" s="180"/>
      <c r="ODE65" s="180"/>
      <c r="ODF65" s="180"/>
      <c r="ODG65" s="180"/>
      <c r="ODH65" s="180"/>
      <c r="ODI65" s="180"/>
      <c r="ODJ65" s="180"/>
      <c r="ODK65" s="180"/>
      <c r="ODL65" s="180"/>
      <c r="ODM65" s="180"/>
      <c r="ODN65" s="180"/>
      <c r="ODO65" s="180"/>
      <c r="ODP65" s="180"/>
      <c r="ODQ65" s="180"/>
      <c r="ODR65" s="180"/>
      <c r="ODS65" s="180"/>
      <c r="ODT65" s="180"/>
      <c r="ODU65" s="180"/>
      <c r="ODV65" s="180"/>
      <c r="ODW65" s="180"/>
      <c r="ODX65" s="180"/>
      <c r="ODY65" s="180"/>
      <c r="ODZ65" s="180"/>
      <c r="OEA65" s="180"/>
      <c r="OEB65" s="180"/>
      <c r="OEC65" s="180"/>
      <c r="OED65" s="180"/>
      <c r="OEE65" s="180"/>
      <c r="OEF65" s="180"/>
      <c r="OEG65" s="180"/>
      <c r="OEH65" s="180"/>
      <c r="OEI65" s="180"/>
      <c r="OEJ65" s="180"/>
      <c r="OEK65" s="180"/>
      <c r="OEL65" s="180"/>
      <c r="OEM65" s="180"/>
      <c r="OEN65" s="180"/>
      <c r="OEO65" s="180"/>
      <c r="OEP65" s="180"/>
      <c r="OEQ65" s="180"/>
      <c r="OER65" s="180"/>
      <c r="OES65" s="180"/>
      <c r="OET65" s="180"/>
      <c r="OEU65" s="180"/>
      <c r="OEV65" s="180"/>
      <c r="OEW65" s="180"/>
      <c r="OEX65" s="180"/>
      <c r="OEY65" s="180"/>
      <c r="OEZ65" s="180"/>
      <c r="OFA65" s="180"/>
      <c r="OFB65" s="180"/>
      <c r="OFC65" s="180"/>
      <c r="OFD65" s="180"/>
      <c r="OFE65" s="180"/>
      <c r="OFF65" s="180"/>
      <c r="OFG65" s="180"/>
      <c r="OFH65" s="180"/>
      <c r="OFI65" s="180"/>
      <c r="OFJ65" s="180"/>
      <c r="OFK65" s="180"/>
      <c r="OFL65" s="180"/>
      <c r="OFM65" s="180"/>
      <c r="OFN65" s="180"/>
      <c r="OFO65" s="180"/>
      <c r="OFP65" s="180"/>
      <c r="OFQ65" s="180"/>
      <c r="OFR65" s="180"/>
      <c r="OFS65" s="180"/>
      <c r="OFT65" s="180"/>
      <c r="OFU65" s="180"/>
      <c r="OFV65" s="180"/>
      <c r="OFW65" s="180"/>
      <c r="OFX65" s="180"/>
      <c r="OFY65" s="180"/>
      <c r="OFZ65" s="180"/>
      <c r="OGA65" s="180"/>
      <c r="OGB65" s="180"/>
      <c r="OGC65" s="180"/>
      <c r="OGD65" s="180"/>
      <c r="OGE65" s="180"/>
      <c r="OGF65" s="180"/>
      <c r="OGG65" s="180"/>
      <c r="OGH65" s="180"/>
      <c r="OGI65" s="180"/>
      <c r="OGJ65" s="180"/>
      <c r="OGK65" s="180"/>
      <c r="OGL65" s="180"/>
      <c r="OGM65" s="180"/>
      <c r="OGN65" s="180"/>
      <c r="OGO65" s="180"/>
      <c r="OGP65" s="180"/>
      <c r="OGQ65" s="180"/>
      <c r="OGR65" s="180"/>
      <c r="OGS65" s="180"/>
      <c r="OGT65" s="180"/>
      <c r="OGU65" s="180"/>
      <c r="OGV65" s="180"/>
      <c r="OGW65" s="180"/>
      <c r="OGX65" s="180"/>
      <c r="OGY65" s="180"/>
      <c r="OGZ65" s="180"/>
      <c r="OHA65" s="180"/>
      <c r="OHB65" s="180"/>
      <c r="OHC65" s="180"/>
      <c r="OHD65" s="180"/>
      <c r="OHE65" s="180"/>
      <c r="OHF65" s="180"/>
      <c r="OHG65" s="180"/>
      <c r="OHH65" s="180"/>
      <c r="OHI65" s="180"/>
      <c r="OHJ65" s="180"/>
      <c r="OHK65" s="180"/>
      <c r="OHL65" s="180"/>
      <c r="OHM65" s="180"/>
      <c r="OHN65" s="180"/>
      <c r="OHO65" s="180"/>
      <c r="OHP65" s="180"/>
      <c r="OHQ65" s="180"/>
      <c r="OHR65" s="180"/>
      <c r="OHS65" s="180"/>
      <c r="OHT65" s="180"/>
      <c r="OHU65" s="180"/>
      <c r="OHV65" s="180"/>
      <c r="OHW65" s="180"/>
      <c r="OHX65" s="180"/>
      <c r="OHY65" s="180"/>
      <c r="OHZ65" s="180"/>
      <c r="OIA65" s="180"/>
      <c r="OIB65" s="180"/>
      <c r="OIC65" s="180"/>
      <c r="OID65" s="180"/>
      <c r="OIE65" s="180"/>
      <c r="OIF65" s="180"/>
      <c r="OIG65" s="180"/>
      <c r="OIH65" s="180"/>
      <c r="OII65" s="180"/>
      <c r="OIJ65" s="180"/>
      <c r="OIK65" s="180"/>
      <c r="OIL65" s="180"/>
      <c r="OIM65" s="180"/>
      <c r="OIN65" s="180"/>
      <c r="OIO65" s="180"/>
      <c r="OIP65" s="180"/>
      <c r="OIQ65" s="180"/>
      <c r="OIR65" s="180"/>
      <c r="OIS65" s="180"/>
      <c r="OIT65" s="180"/>
      <c r="OIU65" s="180"/>
      <c r="OIV65" s="180"/>
      <c r="OIW65" s="180"/>
      <c r="OIX65" s="180"/>
      <c r="OIY65" s="180"/>
      <c r="OIZ65" s="180"/>
      <c r="OJA65" s="180"/>
      <c r="OJB65" s="180"/>
      <c r="OJC65" s="180"/>
      <c r="OJD65" s="180"/>
      <c r="OJE65" s="180"/>
      <c r="OJF65" s="180"/>
      <c r="OJG65" s="180"/>
      <c r="OJH65" s="180"/>
      <c r="OJI65" s="180"/>
      <c r="OJJ65" s="180"/>
      <c r="OJK65" s="180"/>
      <c r="OJL65" s="180"/>
      <c r="OJM65" s="180"/>
      <c r="OJN65" s="180"/>
      <c r="OJO65" s="180"/>
      <c r="OJP65" s="180"/>
      <c r="OJQ65" s="180"/>
      <c r="OJR65" s="180"/>
      <c r="OJS65" s="180"/>
      <c r="OJT65" s="180"/>
      <c r="OJU65" s="180"/>
      <c r="OJV65" s="180"/>
      <c r="OJW65" s="180"/>
      <c r="OJX65" s="180"/>
      <c r="OJY65" s="180"/>
      <c r="OJZ65" s="180"/>
      <c r="OKA65" s="180"/>
      <c r="OKB65" s="180"/>
      <c r="OKC65" s="180"/>
      <c r="OKD65" s="180"/>
      <c r="OKE65" s="180"/>
      <c r="OKF65" s="180"/>
      <c r="OKG65" s="180"/>
      <c r="OKH65" s="180"/>
      <c r="OKI65" s="180"/>
      <c r="OKJ65" s="180"/>
      <c r="OKK65" s="180"/>
      <c r="OKL65" s="180"/>
      <c r="OKM65" s="180"/>
      <c r="OKN65" s="180"/>
      <c r="OKO65" s="180"/>
      <c r="OKP65" s="180"/>
      <c r="OKQ65" s="180"/>
      <c r="OKR65" s="180"/>
      <c r="OKS65" s="180"/>
      <c r="OKT65" s="180"/>
      <c r="OKU65" s="180"/>
      <c r="OKV65" s="180"/>
      <c r="OKW65" s="180"/>
      <c r="OKX65" s="180"/>
      <c r="OKY65" s="180"/>
      <c r="OKZ65" s="180"/>
      <c r="OLA65" s="180"/>
      <c r="OLB65" s="180"/>
      <c r="OLC65" s="180"/>
      <c r="OLD65" s="180"/>
      <c r="OLE65" s="180"/>
      <c r="OLF65" s="180"/>
      <c r="OLG65" s="180"/>
      <c r="OLH65" s="180"/>
      <c r="OLI65" s="180"/>
      <c r="OLJ65" s="180"/>
      <c r="OLK65" s="180"/>
      <c r="OLL65" s="180"/>
      <c r="OLM65" s="180"/>
      <c r="OLN65" s="180"/>
      <c r="OLO65" s="180"/>
      <c r="OLP65" s="180"/>
      <c r="OLQ65" s="180"/>
      <c r="OLR65" s="180"/>
      <c r="OLS65" s="180"/>
      <c r="OLT65" s="180"/>
      <c r="OLU65" s="180"/>
      <c r="OLV65" s="180"/>
      <c r="OLW65" s="180"/>
      <c r="OLX65" s="180"/>
      <c r="OLY65" s="180"/>
      <c r="OLZ65" s="180"/>
      <c r="OMA65" s="180"/>
      <c r="OMB65" s="180"/>
      <c r="OMC65" s="180"/>
      <c r="OMD65" s="180"/>
      <c r="OME65" s="180"/>
      <c r="OMF65" s="180"/>
      <c r="OMG65" s="180"/>
      <c r="OMH65" s="180"/>
      <c r="OMI65" s="180"/>
      <c r="OMJ65" s="180"/>
      <c r="OMK65" s="180"/>
      <c r="OML65" s="180"/>
      <c r="OMM65" s="180"/>
      <c r="OMN65" s="180"/>
      <c r="OMO65" s="180"/>
      <c r="OMP65" s="180"/>
      <c r="OMQ65" s="180"/>
      <c r="OMR65" s="180"/>
      <c r="OMS65" s="180"/>
      <c r="OMT65" s="180"/>
      <c r="OMU65" s="180"/>
      <c r="OMV65" s="180"/>
      <c r="OMW65" s="180"/>
      <c r="OMX65" s="180"/>
      <c r="OMY65" s="180"/>
      <c r="OMZ65" s="180"/>
      <c r="ONA65" s="180"/>
      <c r="ONB65" s="180"/>
      <c r="ONC65" s="180"/>
      <c r="OND65" s="180"/>
      <c r="ONE65" s="180"/>
      <c r="ONF65" s="180"/>
      <c r="ONG65" s="180"/>
      <c r="ONH65" s="180"/>
      <c r="ONI65" s="180"/>
      <c r="ONJ65" s="180"/>
      <c r="ONK65" s="180"/>
      <c r="ONL65" s="180"/>
      <c r="ONM65" s="180"/>
      <c r="ONN65" s="180"/>
      <c r="ONO65" s="180"/>
      <c r="ONP65" s="180"/>
      <c r="ONQ65" s="180"/>
      <c r="ONR65" s="180"/>
      <c r="ONS65" s="180"/>
      <c r="ONT65" s="180"/>
      <c r="ONU65" s="180"/>
      <c r="ONV65" s="180"/>
      <c r="ONW65" s="180"/>
      <c r="ONX65" s="180"/>
      <c r="ONY65" s="180"/>
      <c r="ONZ65" s="180"/>
      <c r="OOA65" s="180"/>
      <c r="OOB65" s="180"/>
      <c r="OOC65" s="180"/>
      <c r="OOD65" s="180"/>
      <c r="OOE65" s="180"/>
      <c r="OOF65" s="180"/>
      <c r="OOG65" s="180"/>
      <c r="OOH65" s="180"/>
      <c r="OOI65" s="180"/>
      <c r="OOJ65" s="180"/>
      <c r="OOK65" s="180"/>
      <c r="OOL65" s="180"/>
      <c r="OOM65" s="180"/>
      <c r="OON65" s="180"/>
      <c r="OOO65" s="180"/>
      <c r="OOP65" s="180"/>
      <c r="OOQ65" s="180"/>
      <c r="OOR65" s="180"/>
      <c r="OOS65" s="180"/>
      <c r="OOT65" s="180"/>
      <c r="OOU65" s="180"/>
      <c r="OOV65" s="180"/>
      <c r="OOW65" s="180"/>
      <c r="OOX65" s="180"/>
      <c r="OOY65" s="180"/>
      <c r="OOZ65" s="180"/>
      <c r="OPA65" s="180"/>
      <c r="OPB65" s="180"/>
      <c r="OPC65" s="180"/>
      <c r="OPD65" s="180"/>
      <c r="OPE65" s="180"/>
      <c r="OPF65" s="180"/>
      <c r="OPG65" s="180"/>
      <c r="OPH65" s="180"/>
      <c r="OPI65" s="180"/>
      <c r="OPJ65" s="180"/>
      <c r="OPK65" s="180"/>
      <c r="OPL65" s="180"/>
      <c r="OPM65" s="180"/>
      <c r="OPN65" s="180"/>
      <c r="OPO65" s="180"/>
      <c r="OPP65" s="180"/>
      <c r="OPQ65" s="180"/>
      <c r="OPR65" s="180"/>
      <c r="OPS65" s="180"/>
      <c r="OPT65" s="180"/>
      <c r="OPU65" s="180"/>
      <c r="OPV65" s="180"/>
      <c r="OPW65" s="180"/>
      <c r="OPX65" s="180"/>
      <c r="OPY65" s="180"/>
      <c r="OPZ65" s="180"/>
      <c r="OQA65" s="180"/>
      <c r="OQB65" s="180"/>
      <c r="OQC65" s="180"/>
      <c r="OQD65" s="180"/>
      <c r="OQE65" s="180"/>
      <c r="OQF65" s="180"/>
      <c r="OQG65" s="180"/>
      <c r="OQH65" s="180"/>
      <c r="OQI65" s="180"/>
      <c r="OQJ65" s="180"/>
      <c r="OQK65" s="180"/>
      <c r="OQL65" s="180"/>
      <c r="OQM65" s="180"/>
      <c r="OQN65" s="180"/>
      <c r="OQO65" s="180"/>
      <c r="OQP65" s="180"/>
      <c r="OQQ65" s="180"/>
      <c r="OQR65" s="180"/>
      <c r="OQS65" s="180"/>
      <c r="OQT65" s="180"/>
      <c r="OQU65" s="180"/>
      <c r="OQV65" s="180"/>
      <c r="OQW65" s="180"/>
      <c r="OQX65" s="180"/>
      <c r="OQY65" s="180"/>
      <c r="OQZ65" s="180"/>
      <c r="ORA65" s="180"/>
      <c r="ORB65" s="180"/>
      <c r="ORC65" s="180"/>
      <c r="ORD65" s="180"/>
      <c r="ORE65" s="180"/>
      <c r="ORF65" s="180"/>
      <c r="ORG65" s="180"/>
      <c r="ORH65" s="180"/>
      <c r="ORI65" s="180"/>
      <c r="ORJ65" s="180"/>
      <c r="ORK65" s="180"/>
      <c r="ORL65" s="180"/>
      <c r="ORM65" s="180"/>
      <c r="ORN65" s="180"/>
      <c r="ORO65" s="180"/>
      <c r="ORP65" s="180"/>
      <c r="ORQ65" s="180"/>
      <c r="ORR65" s="180"/>
      <c r="ORS65" s="180"/>
      <c r="ORT65" s="180"/>
      <c r="ORU65" s="180"/>
      <c r="ORV65" s="180"/>
      <c r="ORW65" s="180"/>
      <c r="ORX65" s="180"/>
      <c r="ORY65" s="180"/>
      <c r="ORZ65" s="180"/>
      <c r="OSA65" s="180"/>
      <c r="OSB65" s="180"/>
      <c r="OSC65" s="180"/>
      <c r="OSD65" s="180"/>
      <c r="OSE65" s="180"/>
      <c r="OSF65" s="180"/>
      <c r="OSG65" s="180"/>
      <c r="OSH65" s="180"/>
      <c r="OSI65" s="180"/>
      <c r="OSJ65" s="180"/>
      <c r="OSK65" s="180"/>
      <c r="OSL65" s="180"/>
      <c r="OSM65" s="180"/>
      <c r="OSN65" s="180"/>
      <c r="OSO65" s="180"/>
      <c r="OSP65" s="180"/>
      <c r="OSQ65" s="180"/>
      <c r="OSR65" s="180"/>
      <c r="OSS65" s="180"/>
      <c r="OST65" s="180"/>
      <c r="OSU65" s="180"/>
      <c r="OSV65" s="180"/>
      <c r="OSW65" s="180"/>
      <c r="OSX65" s="180"/>
      <c r="OSY65" s="180"/>
      <c r="OSZ65" s="180"/>
      <c r="OTA65" s="180"/>
      <c r="OTB65" s="180"/>
      <c r="OTC65" s="180"/>
      <c r="OTD65" s="180"/>
      <c r="OTE65" s="180"/>
      <c r="OTF65" s="180"/>
      <c r="OTG65" s="180"/>
      <c r="OTH65" s="180"/>
      <c r="OTI65" s="180"/>
      <c r="OTJ65" s="180"/>
      <c r="OTK65" s="180"/>
      <c r="OTL65" s="180"/>
      <c r="OTM65" s="180"/>
      <c r="OTN65" s="180"/>
      <c r="OTO65" s="180"/>
      <c r="OTP65" s="180"/>
      <c r="OTQ65" s="180"/>
      <c r="OTR65" s="180"/>
      <c r="OTS65" s="180"/>
      <c r="OTT65" s="180"/>
      <c r="OTU65" s="180"/>
      <c r="OTV65" s="180"/>
      <c r="OTW65" s="180"/>
      <c r="OTX65" s="180"/>
      <c r="OTY65" s="180"/>
      <c r="OTZ65" s="180"/>
      <c r="OUA65" s="180"/>
      <c r="OUB65" s="180"/>
      <c r="OUC65" s="180"/>
      <c r="OUD65" s="180"/>
      <c r="OUE65" s="180"/>
      <c r="OUF65" s="180"/>
      <c r="OUG65" s="180"/>
      <c r="OUH65" s="180"/>
      <c r="OUI65" s="180"/>
      <c r="OUJ65" s="180"/>
      <c r="OUK65" s="180"/>
      <c r="OUL65" s="180"/>
      <c r="OUM65" s="180"/>
      <c r="OUN65" s="180"/>
      <c r="OUO65" s="180"/>
      <c r="OUP65" s="180"/>
      <c r="OUQ65" s="180"/>
      <c r="OUR65" s="180"/>
      <c r="OUS65" s="180"/>
      <c r="OUT65" s="180"/>
      <c r="OUU65" s="180"/>
      <c r="OUV65" s="180"/>
      <c r="OUW65" s="180"/>
      <c r="OUX65" s="180"/>
      <c r="OUY65" s="180"/>
      <c r="OUZ65" s="180"/>
      <c r="OVA65" s="180"/>
      <c r="OVB65" s="180"/>
      <c r="OVC65" s="180"/>
      <c r="OVD65" s="180"/>
      <c r="OVE65" s="180"/>
      <c r="OVF65" s="180"/>
      <c r="OVG65" s="180"/>
      <c r="OVH65" s="180"/>
      <c r="OVI65" s="180"/>
      <c r="OVJ65" s="180"/>
      <c r="OVK65" s="180"/>
      <c r="OVL65" s="180"/>
      <c r="OVM65" s="180"/>
      <c r="OVN65" s="180"/>
      <c r="OVO65" s="180"/>
      <c r="OVP65" s="180"/>
      <c r="OVQ65" s="180"/>
      <c r="OVR65" s="180"/>
      <c r="OVS65" s="180"/>
      <c r="OVT65" s="180"/>
      <c r="OVU65" s="180"/>
      <c r="OVV65" s="180"/>
      <c r="OVW65" s="180"/>
      <c r="OVX65" s="180"/>
      <c r="OVY65" s="180"/>
      <c r="OVZ65" s="180"/>
      <c r="OWA65" s="180"/>
      <c r="OWB65" s="180"/>
      <c r="OWC65" s="180"/>
      <c r="OWD65" s="180"/>
      <c r="OWE65" s="180"/>
      <c r="OWF65" s="180"/>
      <c r="OWG65" s="180"/>
      <c r="OWH65" s="180"/>
      <c r="OWI65" s="180"/>
      <c r="OWJ65" s="180"/>
      <c r="OWK65" s="180"/>
      <c r="OWL65" s="180"/>
      <c r="OWM65" s="180"/>
      <c r="OWN65" s="180"/>
      <c r="OWO65" s="180"/>
      <c r="OWP65" s="180"/>
      <c r="OWQ65" s="180"/>
      <c r="OWR65" s="180"/>
      <c r="OWS65" s="180"/>
      <c r="OWT65" s="180"/>
      <c r="OWU65" s="180"/>
      <c r="OWV65" s="180"/>
      <c r="OWW65" s="180"/>
      <c r="OWX65" s="180"/>
      <c r="OWY65" s="180"/>
      <c r="OWZ65" s="180"/>
      <c r="OXA65" s="180"/>
      <c r="OXB65" s="180"/>
      <c r="OXC65" s="180"/>
      <c r="OXD65" s="180"/>
      <c r="OXE65" s="180"/>
      <c r="OXF65" s="180"/>
      <c r="OXG65" s="180"/>
      <c r="OXH65" s="180"/>
      <c r="OXI65" s="180"/>
      <c r="OXJ65" s="180"/>
      <c r="OXK65" s="180"/>
      <c r="OXL65" s="180"/>
      <c r="OXM65" s="180"/>
      <c r="OXN65" s="180"/>
      <c r="OXO65" s="180"/>
      <c r="OXP65" s="180"/>
      <c r="OXQ65" s="180"/>
      <c r="OXR65" s="180"/>
      <c r="OXS65" s="180"/>
      <c r="OXT65" s="180"/>
      <c r="OXU65" s="180"/>
      <c r="OXV65" s="180"/>
      <c r="OXW65" s="180"/>
      <c r="OXX65" s="180"/>
      <c r="OXY65" s="180"/>
      <c r="OXZ65" s="180"/>
      <c r="OYA65" s="180"/>
      <c r="OYB65" s="180"/>
      <c r="OYC65" s="180"/>
      <c r="OYD65" s="180"/>
      <c r="OYE65" s="180"/>
      <c r="OYF65" s="180"/>
      <c r="OYG65" s="180"/>
      <c r="OYH65" s="180"/>
      <c r="OYI65" s="180"/>
      <c r="OYJ65" s="180"/>
      <c r="OYK65" s="180"/>
      <c r="OYL65" s="180"/>
      <c r="OYM65" s="180"/>
      <c r="OYN65" s="180"/>
      <c r="OYO65" s="180"/>
      <c r="OYP65" s="180"/>
      <c r="OYQ65" s="180"/>
      <c r="OYR65" s="180"/>
      <c r="OYS65" s="180"/>
      <c r="OYT65" s="180"/>
      <c r="OYU65" s="180"/>
      <c r="OYV65" s="180"/>
      <c r="OYW65" s="180"/>
      <c r="OYX65" s="180"/>
      <c r="OYY65" s="180"/>
      <c r="OYZ65" s="180"/>
      <c r="OZA65" s="180"/>
      <c r="OZB65" s="180"/>
      <c r="OZC65" s="180"/>
      <c r="OZD65" s="180"/>
      <c r="OZE65" s="180"/>
      <c r="OZF65" s="180"/>
      <c r="OZG65" s="180"/>
      <c r="OZH65" s="180"/>
      <c r="OZI65" s="180"/>
      <c r="OZJ65" s="180"/>
      <c r="OZK65" s="180"/>
      <c r="OZL65" s="180"/>
      <c r="OZM65" s="180"/>
      <c r="OZN65" s="180"/>
      <c r="OZO65" s="180"/>
      <c r="OZP65" s="180"/>
      <c r="OZQ65" s="180"/>
      <c r="OZR65" s="180"/>
      <c r="OZS65" s="180"/>
      <c r="OZT65" s="180"/>
      <c r="OZU65" s="180"/>
      <c r="OZV65" s="180"/>
      <c r="OZW65" s="180"/>
      <c r="OZX65" s="180"/>
      <c r="OZY65" s="180"/>
      <c r="OZZ65" s="180"/>
      <c r="PAA65" s="180"/>
      <c r="PAB65" s="180"/>
      <c r="PAC65" s="180"/>
      <c r="PAD65" s="180"/>
      <c r="PAE65" s="180"/>
      <c r="PAF65" s="180"/>
      <c r="PAG65" s="180"/>
      <c r="PAH65" s="180"/>
      <c r="PAI65" s="180"/>
      <c r="PAJ65" s="180"/>
      <c r="PAK65" s="180"/>
      <c r="PAL65" s="180"/>
      <c r="PAM65" s="180"/>
      <c r="PAN65" s="180"/>
      <c r="PAO65" s="180"/>
      <c r="PAP65" s="180"/>
      <c r="PAQ65" s="180"/>
      <c r="PAR65" s="180"/>
      <c r="PAS65" s="180"/>
      <c r="PAT65" s="180"/>
      <c r="PAU65" s="180"/>
      <c r="PAV65" s="180"/>
      <c r="PAW65" s="180"/>
      <c r="PAX65" s="180"/>
      <c r="PAY65" s="180"/>
      <c r="PAZ65" s="180"/>
      <c r="PBA65" s="180"/>
      <c r="PBB65" s="180"/>
      <c r="PBC65" s="180"/>
      <c r="PBD65" s="180"/>
      <c r="PBE65" s="180"/>
      <c r="PBF65" s="180"/>
      <c r="PBG65" s="180"/>
      <c r="PBH65" s="180"/>
      <c r="PBI65" s="180"/>
      <c r="PBJ65" s="180"/>
      <c r="PBK65" s="180"/>
      <c r="PBL65" s="180"/>
      <c r="PBM65" s="180"/>
      <c r="PBN65" s="180"/>
      <c r="PBO65" s="180"/>
      <c r="PBP65" s="180"/>
      <c r="PBQ65" s="180"/>
      <c r="PBR65" s="180"/>
      <c r="PBS65" s="180"/>
      <c r="PBT65" s="180"/>
      <c r="PBU65" s="180"/>
      <c r="PBV65" s="180"/>
      <c r="PBW65" s="180"/>
      <c r="PBX65" s="180"/>
      <c r="PBY65" s="180"/>
      <c r="PBZ65" s="180"/>
      <c r="PCA65" s="180"/>
      <c r="PCB65" s="180"/>
      <c r="PCC65" s="180"/>
      <c r="PCD65" s="180"/>
      <c r="PCE65" s="180"/>
      <c r="PCF65" s="180"/>
      <c r="PCG65" s="180"/>
      <c r="PCH65" s="180"/>
      <c r="PCI65" s="180"/>
      <c r="PCJ65" s="180"/>
      <c r="PCK65" s="180"/>
      <c r="PCL65" s="180"/>
      <c r="PCM65" s="180"/>
      <c r="PCN65" s="180"/>
      <c r="PCO65" s="180"/>
      <c r="PCP65" s="180"/>
      <c r="PCQ65" s="180"/>
      <c r="PCR65" s="180"/>
      <c r="PCS65" s="180"/>
      <c r="PCT65" s="180"/>
      <c r="PCU65" s="180"/>
      <c r="PCV65" s="180"/>
      <c r="PCW65" s="180"/>
      <c r="PCX65" s="180"/>
      <c r="PCY65" s="180"/>
      <c r="PCZ65" s="180"/>
      <c r="PDA65" s="180"/>
      <c r="PDB65" s="180"/>
      <c r="PDC65" s="180"/>
      <c r="PDD65" s="180"/>
      <c r="PDE65" s="180"/>
      <c r="PDF65" s="180"/>
      <c r="PDG65" s="180"/>
      <c r="PDH65" s="180"/>
      <c r="PDI65" s="180"/>
      <c r="PDJ65" s="180"/>
      <c r="PDK65" s="180"/>
      <c r="PDL65" s="180"/>
      <c r="PDM65" s="180"/>
      <c r="PDN65" s="180"/>
      <c r="PDO65" s="180"/>
      <c r="PDP65" s="180"/>
      <c r="PDQ65" s="180"/>
      <c r="PDR65" s="180"/>
      <c r="PDS65" s="180"/>
      <c r="PDT65" s="180"/>
      <c r="PDU65" s="180"/>
      <c r="PDV65" s="180"/>
      <c r="PDW65" s="180"/>
      <c r="PDX65" s="180"/>
      <c r="PDY65" s="180"/>
      <c r="PDZ65" s="180"/>
      <c r="PEA65" s="180"/>
      <c r="PEB65" s="180"/>
      <c r="PEC65" s="180"/>
      <c r="PED65" s="180"/>
      <c r="PEE65" s="180"/>
      <c r="PEF65" s="180"/>
      <c r="PEG65" s="180"/>
      <c r="PEH65" s="180"/>
      <c r="PEI65" s="180"/>
      <c r="PEJ65" s="180"/>
      <c r="PEK65" s="180"/>
      <c r="PEL65" s="180"/>
      <c r="PEM65" s="180"/>
      <c r="PEN65" s="180"/>
      <c r="PEO65" s="180"/>
      <c r="PEP65" s="180"/>
      <c r="PEQ65" s="180"/>
      <c r="PER65" s="180"/>
      <c r="PES65" s="180"/>
      <c r="PET65" s="180"/>
      <c r="PEU65" s="180"/>
      <c r="PEV65" s="180"/>
      <c r="PEW65" s="180"/>
      <c r="PEX65" s="180"/>
      <c r="PEY65" s="180"/>
      <c r="PEZ65" s="180"/>
      <c r="PFA65" s="180"/>
      <c r="PFB65" s="180"/>
      <c r="PFC65" s="180"/>
      <c r="PFD65" s="180"/>
      <c r="PFE65" s="180"/>
      <c r="PFF65" s="180"/>
      <c r="PFG65" s="180"/>
      <c r="PFH65" s="180"/>
      <c r="PFI65" s="180"/>
      <c r="PFJ65" s="180"/>
      <c r="PFK65" s="180"/>
      <c r="PFL65" s="180"/>
      <c r="PFM65" s="180"/>
      <c r="PFN65" s="180"/>
      <c r="PFO65" s="180"/>
      <c r="PFP65" s="180"/>
      <c r="PFQ65" s="180"/>
      <c r="PFR65" s="180"/>
      <c r="PFS65" s="180"/>
      <c r="PFT65" s="180"/>
      <c r="PFU65" s="180"/>
      <c r="PFV65" s="180"/>
      <c r="PFW65" s="180"/>
      <c r="PFX65" s="180"/>
      <c r="PFY65" s="180"/>
      <c r="PFZ65" s="180"/>
      <c r="PGA65" s="180"/>
      <c r="PGB65" s="180"/>
      <c r="PGC65" s="180"/>
      <c r="PGD65" s="180"/>
      <c r="PGE65" s="180"/>
      <c r="PGF65" s="180"/>
      <c r="PGG65" s="180"/>
      <c r="PGH65" s="180"/>
      <c r="PGI65" s="180"/>
      <c r="PGJ65" s="180"/>
      <c r="PGK65" s="180"/>
      <c r="PGL65" s="180"/>
      <c r="PGM65" s="180"/>
      <c r="PGN65" s="180"/>
      <c r="PGO65" s="180"/>
      <c r="PGP65" s="180"/>
      <c r="PGQ65" s="180"/>
      <c r="PGR65" s="180"/>
      <c r="PGS65" s="180"/>
      <c r="PGT65" s="180"/>
      <c r="PGU65" s="180"/>
      <c r="PGV65" s="180"/>
      <c r="PGW65" s="180"/>
      <c r="PGX65" s="180"/>
      <c r="PGY65" s="180"/>
      <c r="PGZ65" s="180"/>
      <c r="PHA65" s="180"/>
      <c r="PHB65" s="180"/>
      <c r="PHC65" s="180"/>
      <c r="PHD65" s="180"/>
      <c r="PHE65" s="180"/>
      <c r="PHF65" s="180"/>
      <c r="PHG65" s="180"/>
      <c r="PHH65" s="180"/>
      <c r="PHI65" s="180"/>
      <c r="PHJ65" s="180"/>
      <c r="PHK65" s="180"/>
      <c r="PHL65" s="180"/>
      <c r="PHM65" s="180"/>
      <c r="PHN65" s="180"/>
      <c r="PHO65" s="180"/>
      <c r="PHP65" s="180"/>
      <c r="PHQ65" s="180"/>
      <c r="PHR65" s="180"/>
      <c r="PHS65" s="180"/>
      <c r="PHT65" s="180"/>
      <c r="PHU65" s="180"/>
      <c r="PHV65" s="180"/>
      <c r="PHW65" s="180"/>
      <c r="PHX65" s="180"/>
      <c r="PHY65" s="180"/>
      <c r="PHZ65" s="180"/>
      <c r="PIA65" s="180"/>
      <c r="PIB65" s="180"/>
      <c r="PIC65" s="180"/>
      <c r="PID65" s="180"/>
      <c r="PIE65" s="180"/>
      <c r="PIF65" s="180"/>
      <c r="PIG65" s="180"/>
      <c r="PIH65" s="180"/>
      <c r="PII65" s="180"/>
      <c r="PIJ65" s="180"/>
      <c r="PIK65" s="180"/>
      <c r="PIL65" s="180"/>
      <c r="PIM65" s="180"/>
      <c r="PIN65" s="180"/>
      <c r="PIO65" s="180"/>
      <c r="PIP65" s="180"/>
      <c r="PIQ65" s="180"/>
      <c r="PIR65" s="180"/>
      <c r="PIS65" s="180"/>
      <c r="PIT65" s="180"/>
      <c r="PIU65" s="180"/>
      <c r="PIV65" s="180"/>
      <c r="PIW65" s="180"/>
      <c r="PIX65" s="180"/>
      <c r="PIY65" s="180"/>
      <c r="PIZ65" s="180"/>
      <c r="PJA65" s="180"/>
      <c r="PJB65" s="180"/>
      <c r="PJC65" s="180"/>
      <c r="PJD65" s="180"/>
      <c r="PJE65" s="180"/>
      <c r="PJF65" s="180"/>
      <c r="PJG65" s="180"/>
      <c r="PJH65" s="180"/>
      <c r="PJI65" s="180"/>
      <c r="PJJ65" s="180"/>
      <c r="PJK65" s="180"/>
      <c r="PJL65" s="180"/>
      <c r="PJM65" s="180"/>
      <c r="PJN65" s="180"/>
      <c r="PJO65" s="180"/>
      <c r="PJP65" s="180"/>
      <c r="PJQ65" s="180"/>
      <c r="PJR65" s="180"/>
      <c r="PJS65" s="180"/>
      <c r="PJT65" s="180"/>
      <c r="PJU65" s="180"/>
      <c r="PJV65" s="180"/>
      <c r="PJW65" s="180"/>
      <c r="PJX65" s="180"/>
      <c r="PJY65" s="180"/>
      <c r="PJZ65" s="180"/>
      <c r="PKA65" s="180"/>
      <c r="PKB65" s="180"/>
      <c r="PKC65" s="180"/>
      <c r="PKD65" s="180"/>
      <c r="PKE65" s="180"/>
      <c r="PKF65" s="180"/>
      <c r="PKG65" s="180"/>
      <c r="PKH65" s="180"/>
      <c r="PKI65" s="180"/>
      <c r="PKJ65" s="180"/>
      <c r="PKK65" s="180"/>
      <c r="PKL65" s="180"/>
      <c r="PKM65" s="180"/>
      <c r="PKN65" s="180"/>
      <c r="PKO65" s="180"/>
      <c r="PKP65" s="180"/>
      <c r="PKQ65" s="180"/>
      <c r="PKR65" s="180"/>
      <c r="PKS65" s="180"/>
      <c r="PKT65" s="180"/>
      <c r="PKU65" s="180"/>
      <c r="PKV65" s="180"/>
      <c r="PKW65" s="180"/>
      <c r="PKX65" s="180"/>
      <c r="PKY65" s="180"/>
      <c r="PKZ65" s="180"/>
      <c r="PLA65" s="180"/>
      <c r="PLB65" s="180"/>
      <c r="PLC65" s="180"/>
      <c r="PLD65" s="180"/>
      <c r="PLE65" s="180"/>
      <c r="PLF65" s="180"/>
      <c r="PLG65" s="180"/>
      <c r="PLH65" s="180"/>
      <c r="PLI65" s="180"/>
      <c r="PLJ65" s="180"/>
      <c r="PLK65" s="180"/>
      <c r="PLL65" s="180"/>
      <c r="PLM65" s="180"/>
      <c r="PLN65" s="180"/>
      <c r="PLO65" s="180"/>
      <c r="PLP65" s="180"/>
      <c r="PLQ65" s="180"/>
      <c r="PLR65" s="180"/>
      <c r="PLS65" s="180"/>
      <c r="PLT65" s="180"/>
      <c r="PLU65" s="180"/>
      <c r="PLV65" s="180"/>
      <c r="PLW65" s="180"/>
      <c r="PLX65" s="180"/>
      <c r="PLY65" s="180"/>
      <c r="PLZ65" s="180"/>
      <c r="PMA65" s="180"/>
      <c r="PMB65" s="180"/>
      <c r="PMC65" s="180"/>
      <c r="PMD65" s="180"/>
      <c r="PME65" s="180"/>
      <c r="PMF65" s="180"/>
      <c r="PMG65" s="180"/>
      <c r="PMH65" s="180"/>
      <c r="PMI65" s="180"/>
      <c r="PMJ65" s="180"/>
      <c r="PMK65" s="180"/>
      <c r="PML65" s="180"/>
      <c r="PMM65" s="180"/>
      <c r="PMN65" s="180"/>
      <c r="PMO65" s="180"/>
      <c r="PMP65" s="180"/>
      <c r="PMQ65" s="180"/>
      <c r="PMR65" s="180"/>
      <c r="PMS65" s="180"/>
      <c r="PMT65" s="180"/>
      <c r="PMU65" s="180"/>
      <c r="PMV65" s="180"/>
      <c r="PMW65" s="180"/>
      <c r="PMX65" s="180"/>
      <c r="PMY65" s="180"/>
      <c r="PMZ65" s="180"/>
      <c r="PNA65" s="180"/>
      <c r="PNB65" s="180"/>
      <c r="PNC65" s="180"/>
      <c r="PND65" s="180"/>
      <c r="PNE65" s="180"/>
      <c r="PNF65" s="180"/>
      <c r="PNG65" s="180"/>
      <c r="PNH65" s="180"/>
      <c r="PNI65" s="180"/>
      <c r="PNJ65" s="180"/>
      <c r="PNK65" s="180"/>
      <c r="PNL65" s="180"/>
      <c r="PNM65" s="180"/>
      <c r="PNN65" s="180"/>
      <c r="PNO65" s="180"/>
      <c r="PNP65" s="180"/>
      <c r="PNQ65" s="180"/>
      <c r="PNR65" s="180"/>
      <c r="PNS65" s="180"/>
      <c r="PNT65" s="180"/>
      <c r="PNU65" s="180"/>
      <c r="PNV65" s="180"/>
      <c r="PNW65" s="180"/>
      <c r="PNX65" s="180"/>
      <c r="PNY65" s="180"/>
      <c r="PNZ65" s="180"/>
      <c r="POA65" s="180"/>
      <c r="POB65" s="180"/>
      <c r="POC65" s="180"/>
      <c r="POD65" s="180"/>
      <c r="POE65" s="180"/>
      <c r="POF65" s="180"/>
      <c r="POG65" s="180"/>
      <c r="POH65" s="180"/>
      <c r="POI65" s="180"/>
      <c r="POJ65" s="180"/>
      <c r="POK65" s="180"/>
      <c r="POL65" s="180"/>
      <c r="POM65" s="180"/>
      <c r="PON65" s="180"/>
      <c r="POO65" s="180"/>
      <c r="POP65" s="180"/>
      <c r="POQ65" s="180"/>
      <c r="POR65" s="180"/>
      <c r="POS65" s="180"/>
      <c r="POT65" s="180"/>
      <c r="POU65" s="180"/>
      <c r="POV65" s="180"/>
      <c r="POW65" s="180"/>
      <c r="POX65" s="180"/>
      <c r="POY65" s="180"/>
      <c r="POZ65" s="180"/>
      <c r="PPA65" s="180"/>
      <c r="PPB65" s="180"/>
      <c r="PPC65" s="180"/>
      <c r="PPD65" s="180"/>
      <c r="PPE65" s="180"/>
      <c r="PPF65" s="180"/>
      <c r="PPG65" s="180"/>
      <c r="PPH65" s="180"/>
      <c r="PPI65" s="180"/>
      <c r="PPJ65" s="180"/>
      <c r="PPK65" s="180"/>
      <c r="PPL65" s="180"/>
      <c r="PPM65" s="180"/>
      <c r="PPN65" s="180"/>
      <c r="PPO65" s="180"/>
      <c r="PPP65" s="180"/>
      <c r="PPQ65" s="180"/>
      <c r="PPR65" s="180"/>
      <c r="PPS65" s="180"/>
      <c r="PPT65" s="180"/>
      <c r="PPU65" s="180"/>
      <c r="PPV65" s="180"/>
      <c r="PPW65" s="180"/>
      <c r="PPX65" s="180"/>
      <c r="PPY65" s="180"/>
      <c r="PPZ65" s="180"/>
      <c r="PQA65" s="180"/>
      <c r="PQB65" s="180"/>
      <c r="PQC65" s="180"/>
      <c r="PQD65" s="180"/>
      <c r="PQE65" s="180"/>
      <c r="PQF65" s="180"/>
      <c r="PQG65" s="180"/>
      <c r="PQH65" s="180"/>
      <c r="PQI65" s="180"/>
      <c r="PQJ65" s="180"/>
      <c r="PQK65" s="180"/>
      <c r="PQL65" s="180"/>
      <c r="PQM65" s="180"/>
      <c r="PQN65" s="180"/>
      <c r="PQO65" s="180"/>
      <c r="PQP65" s="180"/>
      <c r="PQQ65" s="180"/>
      <c r="PQR65" s="180"/>
      <c r="PQS65" s="180"/>
      <c r="PQT65" s="180"/>
      <c r="PQU65" s="180"/>
      <c r="PQV65" s="180"/>
      <c r="PQW65" s="180"/>
      <c r="PQX65" s="180"/>
      <c r="PQY65" s="180"/>
      <c r="PQZ65" s="180"/>
      <c r="PRA65" s="180"/>
      <c r="PRB65" s="180"/>
      <c r="PRC65" s="180"/>
      <c r="PRD65" s="180"/>
      <c r="PRE65" s="180"/>
      <c r="PRF65" s="180"/>
      <c r="PRG65" s="180"/>
      <c r="PRH65" s="180"/>
      <c r="PRI65" s="180"/>
      <c r="PRJ65" s="180"/>
      <c r="PRK65" s="180"/>
      <c r="PRL65" s="180"/>
      <c r="PRM65" s="180"/>
      <c r="PRN65" s="180"/>
      <c r="PRO65" s="180"/>
      <c r="PRP65" s="180"/>
      <c r="PRQ65" s="180"/>
      <c r="PRR65" s="180"/>
      <c r="PRS65" s="180"/>
      <c r="PRT65" s="180"/>
      <c r="PRU65" s="180"/>
      <c r="PRV65" s="180"/>
      <c r="PRW65" s="180"/>
      <c r="PRX65" s="180"/>
      <c r="PRY65" s="180"/>
      <c r="PRZ65" s="180"/>
      <c r="PSA65" s="180"/>
      <c r="PSB65" s="180"/>
      <c r="PSC65" s="180"/>
      <c r="PSD65" s="180"/>
      <c r="PSE65" s="180"/>
      <c r="PSF65" s="180"/>
      <c r="PSG65" s="180"/>
      <c r="PSH65" s="180"/>
      <c r="PSI65" s="180"/>
      <c r="PSJ65" s="180"/>
      <c r="PSK65" s="180"/>
      <c r="PSL65" s="180"/>
      <c r="PSM65" s="180"/>
      <c r="PSN65" s="180"/>
      <c r="PSO65" s="180"/>
      <c r="PSP65" s="180"/>
      <c r="PSQ65" s="180"/>
      <c r="PSR65" s="180"/>
      <c r="PSS65" s="180"/>
      <c r="PST65" s="180"/>
      <c r="PSU65" s="180"/>
      <c r="PSV65" s="180"/>
      <c r="PSW65" s="180"/>
      <c r="PSX65" s="180"/>
      <c r="PSY65" s="180"/>
      <c r="PSZ65" s="180"/>
      <c r="PTA65" s="180"/>
      <c r="PTB65" s="180"/>
      <c r="PTC65" s="180"/>
      <c r="PTD65" s="180"/>
      <c r="PTE65" s="180"/>
      <c r="PTF65" s="180"/>
      <c r="PTG65" s="180"/>
      <c r="PTH65" s="180"/>
      <c r="PTI65" s="180"/>
      <c r="PTJ65" s="180"/>
      <c r="PTK65" s="180"/>
      <c r="PTL65" s="180"/>
      <c r="PTM65" s="180"/>
      <c r="PTN65" s="180"/>
      <c r="PTO65" s="180"/>
      <c r="PTP65" s="180"/>
      <c r="PTQ65" s="180"/>
      <c r="PTR65" s="180"/>
      <c r="PTS65" s="180"/>
      <c r="PTT65" s="180"/>
      <c r="PTU65" s="180"/>
      <c r="PTV65" s="180"/>
      <c r="PTW65" s="180"/>
      <c r="PTX65" s="180"/>
      <c r="PTY65" s="180"/>
      <c r="PTZ65" s="180"/>
      <c r="PUA65" s="180"/>
      <c r="PUB65" s="180"/>
      <c r="PUC65" s="180"/>
      <c r="PUD65" s="180"/>
      <c r="PUE65" s="180"/>
      <c r="PUF65" s="180"/>
      <c r="PUG65" s="180"/>
      <c r="PUH65" s="180"/>
      <c r="PUI65" s="180"/>
      <c r="PUJ65" s="180"/>
      <c r="PUK65" s="180"/>
      <c r="PUL65" s="180"/>
      <c r="PUM65" s="180"/>
      <c r="PUN65" s="180"/>
      <c r="PUO65" s="180"/>
      <c r="PUP65" s="180"/>
      <c r="PUQ65" s="180"/>
      <c r="PUR65" s="180"/>
      <c r="PUS65" s="180"/>
      <c r="PUT65" s="180"/>
      <c r="PUU65" s="180"/>
      <c r="PUV65" s="180"/>
      <c r="PUW65" s="180"/>
      <c r="PUX65" s="180"/>
      <c r="PUY65" s="180"/>
      <c r="PUZ65" s="180"/>
      <c r="PVA65" s="180"/>
      <c r="PVB65" s="180"/>
      <c r="PVC65" s="180"/>
      <c r="PVD65" s="180"/>
      <c r="PVE65" s="180"/>
      <c r="PVF65" s="180"/>
      <c r="PVG65" s="180"/>
      <c r="PVH65" s="180"/>
      <c r="PVI65" s="180"/>
      <c r="PVJ65" s="180"/>
      <c r="PVK65" s="180"/>
      <c r="PVL65" s="180"/>
      <c r="PVM65" s="180"/>
      <c r="PVN65" s="180"/>
      <c r="PVO65" s="180"/>
      <c r="PVP65" s="180"/>
      <c r="PVQ65" s="180"/>
      <c r="PVR65" s="180"/>
      <c r="PVS65" s="180"/>
      <c r="PVT65" s="180"/>
      <c r="PVU65" s="180"/>
      <c r="PVV65" s="180"/>
      <c r="PVW65" s="180"/>
      <c r="PVX65" s="180"/>
      <c r="PVY65" s="180"/>
      <c r="PVZ65" s="180"/>
      <c r="PWA65" s="180"/>
      <c r="PWB65" s="180"/>
      <c r="PWC65" s="180"/>
      <c r="PWD65" s="180"/>
      <c r="PWE65" s="180"/>
      <c r="PWF65" s="180"/>
      <c r="PWG65" s="180"/>
      <c r="PWH65" s="180"/>
      <c r="PWI65" s="180"/>
      <c r="PWJ65" s="180"/>
      <c r="PWK65" s="180"/>
      <c r="PWL65" s="180"/>
      <c r="PWM65" s="180"/>
      <c r="PWN65" s="180"/>
      <c r="PWO65" s="180"/>
      <c r="PWP65" s="180"/>
      <c r="PWQ65" s="180"/>
      <c r="PWR65" s="180"/>
      <c r="PWS65" s="180"/>
      <c r="PWT65" s="180"/>
      <c r="PWU65" s="180"/>
      <c r="PWV65" s="180"/>
      <c r="PWW65" s="180"/>
      <c r="PWX65" s="180"/>
      <c r="PWY65" s="180"/>
      <c r="PWZ65" s="180"/>
      <c r="PXA65" s="180"/>
      <c r="PXB65" s="180"/>
      <c r="PXC65" s="180"/>
      <c r="PXD65" s="180"/>
      <c r="PXE65" s="180"/>
      <c r="PXF65" s="180"/>
      <c r="PXG65" s="180"/>
      <c r="PXH65" s="180"/>
      <c r="PXI65" s="180"/>
      <c r="PXJ65" s="180"/>
      <c r="PXK65" s="180"/>
      <c r="PXL65" s="180"/>
      <c r="PXM65" s="180"/>
      <c r="PXN65" s="180"/>
      <c r="PXO65" s="180"/>
      <c r="PXP65" s="180"/>
      <c r="PXQ65" s="180"/>
      <c r="PXR65" s="180"/>
      <c r="PXS65" s="180"/>
      <c r="PXT65" s="180"/>
      <c r="PXU65" s="180"/>
      <c r="PXV65" s="180"/>
      <c r="PXW65" s="180"/>
      <c r="PXX65" s="180"/>
      <c r="PXY65" s="180"/>
      <c r="PXZ65" s="180"/>
      <c r="PYA65" s="180"/>
      <c r="PYB65" s="180"/>
      <c r="PYC65" s="180"/>
      <c r="PYD65" s="180"/>
      <c r="PYE65" s="180"/>
      <c r="PYF65" s="180"/>
      <c r="PYG65" s="180"/>
      <c r="PYH65" s="180"/>
      <c r="PYI65" s="180"/>
      <c r="PYJ65" s="180"/>
      <c r="PYK65" s="180"/>
      <c r="PYL65" s="180"/>
      <c r="PYM65" s="180"/>
      <c r="PYN65" s="180"/>
      <c r="PYO65" s="180"/>
      <c r="PYP65" s="180"/>
      <c r="PYQ65" s="180"/>
      <c r="PYR65" s="180"/>
      <c r="PYS65" s="180"/>
      <c r="PYT65" s="180"/>
      <c r="PYU65" s="180"/>
      <c r="PYV65" s="180"/>
      <c r="PYW65" s="180"/>
      <c r="PYX65" s="180"/>
      <c r="PYY65" s="180"/>
      <c r="PYZ65" s="180"/>
      <c r="PZA65" s="180"/>
      <c r="PZB65" s="180"/>
      <c r="PZC65" s="180"/>
      <c r="PZD65" s="180"/>
      <c r="PZE65" s="180"/>
      <c r="PZF65" s="180"/>
      <c r="PZG65" s="180"/>
      <c r="PZH65" s="180"/>
      <c r="PZI65" s="180"/>
      <c r="PZJ65" s="180"/>
      <c r="PZK65" s="180"/>
      <c r="PZL65" s="180"/>
      <c r="PZM65" s="180"/>
      <c r="PZN65" s="180"/>
      <c r="PZO65" s="180"/>
      <c r="PZP65" s="180"/>
      <c r="PZQ65" s="180"/>
      <c r="PZR65" s="180"/>
      <c r="PZS65" s="180"/>
      <c r="PZT65" s="180"/>
      <c r="PZU65" s="180"/>
      <c r="PZV65" s="180"/>
      <c r="PZW65" s="180"/>
      <c r="PZX65" s="180"/>
      <c r="PZY65" s="180"/>
      <c r="PZZ65" s="180"/>
      <c r="QAA65" s="180"/>
      <c r="QAB65" s="180"/>
      <c r="QAC65" s="180"/>
      <c r="QAD65" s="180"/>
      <c r="QAE65" s="180"/>
      <c r="QAF65" s="180"/>
      <c r="QAG65" s="180"/>
      <c r="QAH65" s="180"/>
      <c r="QAI65" s="180"/>
      <c r="QAJ65" s="180"/>
      <c r="QAK65" s="180"/>
      <c r="QAL65" s="180"/>
      <c r="QAM65" s="180"/>
      <c r="QAN65" s="180"/>
      <c r="QAO65" s="180"/>
      <c r="QAP65" s="180"/>
      <c r="QAQ65" s="180"/>
      <c r="QAR65" s="180"/>
      <c r="QAS65" s="180"/>
      <c r="QAT65" s="180"/>
      <c r="QAU65" s="180"/>
      <c r="QAV65" s="180"/>
      <c r="QAW65" s="180"/>
      <c r="QAX65" s="180"/>
      <c r="QAY65" s="180"/>
      <c r="QAZ65" s="180"/>
      <c r="QBA65" s="180"/>
      <c r="QBB65" s="180"/>
      <c r="QBC65" s="180"/>
      <c r="QBD65" s="180"/>
      <c r="QBE65" s="180"/>
      <c r="QBF65" s="180"/>
      <c r="QBG65" s="180"/>
      <c r="QBH65" s="180"/>
      <c r="QBI65" s="180"/>
      <c r="QBJ65" s="180"/>
      <c r="QBK65" s="180"/>
      <c r="QBL65" s="180"/>
      <c r="QBM65" s="180"/>
      <c r="QBN65" s="180"/>
      <c r="QBO65" s="180"/>
      <c r="QBP65" s="180"/>
      <c r="QBQ65" s="180"/>
      <c r="QBR65" s="180"/>
      <c r="QBS65" s="180"/>
      <c r="QBT65" s="180"/>
      <c r="QBU65" s="180"/>
      <c r="QBV65" s="180"/>
      <c r="QBW65" s="180"/>
      <c r="QBX65" s="180"/>
      <c r="QBY65" s="180"/>
      <c r="QBZ65" s="180"/>
      <c r="QCA65" s="180"/>
      <c r="QCB65" s="180"/>
      <c r="QCC65" s="180"/>
      <c r="QCD65" s="180"/>
      <c r="QCE65" s="180"/>
      <c r="QCF65" s="180"/>
      <c r="QCG65" s="180"/>
      <c r="QCH65" s="180"/>
      <c r="QCI65" s="180"/>
      <c r="QCJ65" s="180"/>
      <c r="QCK65" s="180"/>
      <c r="QCL65" s="180"/>
      <c r="QCM65" s="180"/>
      <c r="QCN65" s="180"/>
      <c r="QCO65" s="180"/>
      <c r="QCP65" s="180"/>
      <c r="QCQ65" s="180"/>
      <c r="QCR65" s="180"/>
      <c r="QCS65" s="180"/>
      <c r="QCT65" s="180"/>
      <c r="QCU65" s="180"/>
      <c r="QCV65" s="180"/>
      <c r="QCW65" s="180"/>
      <c r="QCX65" s="180"/>
      <c r="QCY65" s="180"/>
      <c r="QCZ65" s="180"/>
      <c r="QDA65" s="180"/>
      <c r="QDB65" s="180"/>
      <c r="QDC65" s="180"/>
      <c r="QDD65" s="180"/>
      <c r="QDE65" s="180"/>
      <c r="QDF65" s="180"/>
      <c r="QDG65" s="180"/>
      <c r="QDH65" s="180"/>
      <c r="QDI65" s="180"/>
      <c r="QDJ65" s="180"/>
      <c r="QDK65" s="180"/>
      <c r="QDL65" s="180"/>
      <c r="QDM65" s="180"/>
      <c r="QDN65" s="180"/>
      <c r="QDO65" s="180"/>
      <c r="QDP65" s="180"/>
      <c r="QDQ65" s="180"/>
      <c r="QDR65" s="180"/>
      <c r="QDS65" s="180"/>
      <c r="QDT65" s="180"/>
      <c r="QDU65" s="180"/>
      <c r="QDV65" s="180"/>
      <c r="QDW65" s="180"/>
      <c r="QDX65" s="180"/>
      <c r="QDY65" s="180"/>
      <c r="QDZ65" s="180"/>
      <c r="QEA65" s="180"/>
      <c r="QEB65" s="180"/>
      <c r="QEC65" s="180"/>
      <c r="QED65" s="180"/>
      <c r="QEE65" s="180"/>
      <c r="QEF65" s="180"/>
      <c r="QEG65" s="180"/>
      <c r="QEH65" s="180"/>
      <c r="QEI65" s="180"/>
      <c r="QEJ65" s="180"/>
      <c r="QEK65" s="180"/>
      <c r="QEL65" s="180"/>
      <c r="QEM65" s="180"/>
      <c r="QEN65" s="180"/>
      <c r="QEO65" s="180"/>
      <c r="QEP65" s="180"/>
      <c r="QEQ65" s="180"/>
      <c r="QER65" s="180"/>
      <c r="QES65" s="180"/>
      <c r="QET65" s="180"/>
      <c r="QEU65" s="180"/>
      <c r="QEV65" s="180"/>
      <c r="QEW65" s="180"/>
      <c r="QEX65" s="180"/>
      <c r="QEY65" s="180"/>
      <c r="QEZ65" s="180"/>
      <c r="QFA65" s="180"/>
      <c r="QFB65" s="180"/>
      <c r="QFC65" s="180"/>
      <c r="QFD65" s="180"/>
      <c r="QFE65" s="180"/>
      <c r="QFF65" s="180"/>
      <c r="QFG65" s="180"/>
      <c r="QFH65" s="180"/>
      <c r="QFI65" s="180"/>
      <c r="QFJ65" s="180"/>
      <c r="QFK65" s="180"/>
      <c r="QFL65" s="180"/>
      <c r="QFM65" s="180"/>
      <c r="QFN65" s="180"/>
      <c r="QFO65" s="180"/>
      <c r="QFP65" s="180"/>
      <c r="QFQ65" s="180"/>
      <c r="QFR65" s="180"/>
      <c r="QFS65" s="180"/>
      <c r="QFT65" s="180"/>
      <c r="QFU65" s="180"/>
      <c r="QFV65" s="180"/>
      <c r="QFW65" s="180"/>
      <c r="QFX65" s="180"/>
      <c r="QFY65" s="180"/>
      <c r="QFZ65" s="180"/>
      <c r="QGA65" s="180"/>
      <c r="QGB65" s="180"/>
      <c r="QGC65" s="180"/>
      <c r="QGD65" s="180"/>
      <c r="QGE65" s="180"/>
      <c r="QGF65" s="180"/>
      <c r="QGG65" s="180"/>
      <c r="QGH65" s="180"/>
      <c r="QGI65" s="180"/>
      <c r="QGJ65" s="180"/>
      <c r="QGK65" s="180"/>
      <c r="QGL65" s="180"/>
      <c r="QGM65" s="180"/>
      <c r="QGN65" s="180"/>
      <c r="QGO65" s="180"/>
      <c r="QGP65" s="180"/>
      <c r="QGQ65" s="180"/>
      <c r="QGR65" s="180"/>
      <c r="QGS65" s="180"/>
      <c r="QGT65" s="180"/>
      <c r="QGU65" s="180"/>
      <c r="QGV65" s="180"/>
      <c r="QGW65" s="180"/>
      <c r="QGX65" s="180"/>
      <c r="QGY65" s="180"/>
      <c r="QGZ65" s="180"/>
      <c r="QHA65" s="180"/>
      <c r="QHB65" s="180"/>
      <c r="QHC65" s="180"/>
      <c r="QHD65" s="180"/>
      <c r="QHE65" s="180"/>
      <c r="QHF65" s="180"/>
      <c r="QHG65" s="180"/>
      <c r="QHH65" s="180"/>
      <c r="QHI65" s="180"/>
      <c r="QHJ65" s="180"/>
      <c r="QHK65" s="180"/>
      <c r="QHL65" s="180"/>
      <c r="QHM65" s="180"/>
      <c r="QHN65" s="180"/>
      <c r="QHO65" s="180"/>
      <c r="QHP65" s="180"/>
      <c r="QHQ65" s="180"/>
      <c r="QHR65" s="180"/>
      <c r="QHS65" s="180"/>
      <c r="QHT65" s="180"/>
      <c r="QHU65" s="180"/>
      <c r="QHV65" s="180"/>
      <c r="QHW65" s="180"/>
      <c r="QHX65" s="180"/>
      <c r="QHY65" s="180"/>
      <c r="QHZ65" s="180"/>
      <c r="QIA65" s="180"/>
      <c r="QIB65" s="180"/>
      <c r="QIC65" s="180"/>
      <c r="QID65" s="180"/>
      <c r="QIE65" s="180"/>
      <c r="QIF65" s="180"/>
      <c r="QIG65" s="180"/>
      <c r="QIH65" s="180"/>
      <c r="QII65" s="180"/>
      <c r="QIJ65" s="180"/>
      <c r="QIK65" s="180"/>
      <c r="QIL65" s="180"/>
      <c r="QIM65" s="180"/>
      <c r="QIN65" s="180"/>
      <c r="QIO65" s="180"/>
      <c r="QIP65" s="180"/>
      <c r="QIQ65" s="180"/>
      <c r="QIR65" s="180"/>
      <c r="QIS65" s="180"/>
      <c r="QIT65" s="180"/>
      <c r="QIU65" s="180"/>
      <c r="QIV65" s="180"/>
      <c r="QIW65" s="180"/>
      <c r="QIX65" s="180"/>
      <c r="QIY65" s="180"/>
      <c r="QIZ65" s="180"/>
      <c r="QJA65" s="180"/>
      <c r="QJB65" s="180"/>
      <c r="QJC65" s="180"/>
      <c r="QJD65" s="180"/>
      <c r="QJE65" s="180"/>
      <c r="QJF65" s="180"/>
      <c r="QJG65" s="180"/>
      <c r="QJH65" s="180"/>
      <c r="QJI65" s="180"/>
      <c r="QJJ65" s="180"/>
      <c r="QJK65" s="180"/>
      <c r="QJL65" s="180"/>
      <c r="QJM65" s="180"/>
      <c r="QJN65" s="180"/>
      <c r="QJO65" s="180"/>
      <c r="QJP65" s="180"/>
      <c r="QJQ65" s="180"/>
      <c r="QJR65" s="180"/>
      <c r="QJS65" s="180"/>
      <c r="QJT65" s="180"/>
      <c r="QJU65" s="180"/>
      <c r="QJV65" s="180"/>
      <c r="QJW65" s="180"/>
      <c r="QJX65" s="180"/>
      <c r="QJY65" s="180"/>
      <c r="QJZ65" s="180"/>
      <c r="QKA65" s="180"/>
      <c r="QKB65" s="180"/>
      <c r="QKC65" s="180"/>
      <c r="QKD65" s="180"/>
      <c r="QKE65" s="180"/>
      <c r="QKF65" s="180"/>
      <c r="QKG65" s="180"/>
      <c r="QKH65" s="180"/>
      <c r="QKI65" s="180"/>
      <c r="QKJ65" s="180"/>
      <c r="QKK65" s="180"/>
      <c r="QKL65" s="180"/>
      <c r="QKM65" s="180"/>
      <c r="QKN65" s="180"/>
      <c r="QKO65" s="180"/>
      <c r="QKP65" s="180"/>
      <c r="QKQ65" s="180"/>
      <c r="QKR65" s="180"/>
      <c r="QKS65" s="180"/>
      <c r="QKT65" s="180"/>
      <c r="QKU65" s="180"/>
      <c r="QKV65" s="180"/>
      <c r="QKW65" s="180"/>
      <c r="QKX65" s="180"/>
      <c r="QKY65" s="180"/>
      <c r="QKZ65" s="180"/>
      <c r="QLA65" s="180"/>
      <c r="QLB65" s="180"/>
      <c r="QLC65" s="180"/>
      <c r="QLD65" s="180"/>
      <c r="QLE65" s="180"/>
      <c r="QLF65" s="180"/>
      <c r="QLG65" s="180"/>
      <c r="QLH65" s="180"/>
      <c r="QLI65" s="180"/>
      <c r="QLJ65" s="180"/>
      <c r="QLK65" s="180"/>
      <c r="QLL65" s="180"/>
      <c r="QLM65" s="180"/>
      <c r="QLN65" s="180"/>
      <c r="QLO65" s="180"/>
      <c r="QLP65" s="180"/>
      <c r="QLQ65" s="180"/>
      <c r="QLR65" s="180"/>
      <c r="QLS65" s="180"/>
      <c r="QLT65" s="180"/>
      <c r="QLU65" s="180"/>
      <c r="QLV65" s="180"/>
      <c r="QLW65" s="180"/>
      <c r="QLX65" s="180"/>
      <c r="QLY65" s="180"/>
      <c r="QLZ65" s="180"/>
      <c r="QMA65" s="180"/>
      <c r="QMB65" s="180"/>
      <c r="QMC65" s="180"/>
      <c r="QMD65" s="180"/>
      <c r="QME65" s="180"/>
      <c r="QMF65" s="180"/>
      <c r="QMG65" s="180"/>
      <c r="QMH65" s="180"/>
      <c r="QMI65" s="180"/>
      <c r="QMJ65" s="180"/>
      <c r="QMK65" s="180"/>
      <c r="QML65" s="180"/>
      <c r="QMM65" s="180"/>
      <c r="QMN65" s="180"/>
      <c r="QMO65" s="180"/>
      <c r="QMP65" s="180"/>
      <c r="QMQ65" s="180"/>
      <c r="QMR65" s="180"/>
      <c r="QMS65" s="180"/>
      <c r="QMT65" s="180"/>
      <c r="QMU65" s="180"/>
      <c r="QMV65" s="180"/>
      <c r="QMW65" s="180"/>
      <c r="QMX65" s="180"/>
      <c r="QMY65" s="180"/>
      <c r="QMZ65" s="180"/>
      <c r="QNA65" s="180"/>
      <c r="QNB65" s="180"/>
      <c r="QNC65" s="180"/>
      <c r="QND65" s="180"/>
      <c r="QNE65" s="180"/>
      <c r="QNF65" s="180"/>
      <c r="QNG65" s="180"/>
      <c r="QNH65" s="180"/>
      <c r="QNI65" s="180"/>
      <c r="QNJ65" s="180"/>
      <c r="QNK65" s="180"/>
      <c r="QNL65" s="180"/>
      <c r="QNM65" s="180"/>
      <c r="QNN65" s="180"/>
      <c r="QNO65" s="180"/>
      <c r="QNP65" s="180"/>
      <c r="QNQ65" s="180"/>
      <c r="QNR65" s="180"/>
      <c r="QNS65" s="180"/>
      <c r="QNT65" s="180"/>
      <c r="QNU65" s="180"/>
      <c r="QNV65" s="180"/>
      <c r="QNW65" s="180"/>
      <c r="QNX65" s="180"/>
      <c r="QNY65" s="180"/>
      <c r="QNZ65" s="180"/>
      <c r="QOA65" s="180"/>
      <c r="QOB65" s="180"/>
      <c r="QOC65" s="180"/>
      <c r="QOD65" s="180"/>
      <c r="QOE65" s="180"/>
      <c r="QOF65" s="180"/>
      <c r="QOG65" s="180"/>
      <c r="QOH65" s="180"/>
      <c r="QOI65" s="180"/>
      <c r="QOJ65" s="180"/>
      <c r="QOK65" s="180"/>
      <c r="QOL65" s="180"/>
      <c r="QOM65" s="180"/>
      <c r="QON65" s="180"/>
      <c r="QOO65" s="180"/>
      <c r="QOP65" s="180"/>
      <c r="QOQ65" s="180"/>
      <c r="QOR65" s="180"/>
      <c r="QOS65" s="180"/>
      <c r="QOT65" s="180"/>
      <c r="QOU65" s="180"/>
      <c r="QOV65" s="180"/>
      <c r="QOW65" s="180"/>
      <c r="QOX65" s="180"/>
      <c r="QOY65" s="180"/>
      <c r="QOZ65" s="180"/>
      <c r="QPA65" s="180"/>
      <c r="QPB65" s="180"/>
      <c r="QPC65" s="180"/>
      <c r="QPD65" s="180"/>
      <c r="QPE65" s="180"/>
      <c r="QPF65" s="180"/>
      <c r="QPG65" s="180"/>
      <c r="QPH65" s="180"/>
      <c r="QPI65" s="180"/>
      <c r="QPJ65" s="180"/>
      <c r="QPK65" s="180"/>
      <c r="QPL65" s="180"/>
      <c r="QPM65" s="180"/>
      <c r="QPN65" s="180"/>
      <c r="QPO65" s="180"/>
      <c r="QPP65" s="180"/>
      <c r="QPQ65" s="180"/>
      <c r="QPR65" s="180"/>
      <c r="QPS65" s="180"/>
      <c r="QPT65" s="180"/>
      <c r="QPU65" s="180"/>
      <c r="QPV65" s="180"/>
      <c r="QPW65" s="180"/>
      <c r="QPX65" s="180"/>
      <c r="QPY65" s="180"/>
      <c r="QPZ65" s="180"/>
      <c r="QQA65" s="180"/>
      <c r="QQB65" s="180"/>
      <c r="QQC65" s="180"/>
      <c r="QQD65" s="180"/>
      <c r="QQE65" s="180"/>
      <c r="QQF65" s="180"/>
      <c r="QQG65" s="180"/>
      <c r="QQH65" s="180"/>
      <c r="QQI65" s="180"/>
      <c r="QQJ65" s="180"/>
      <c r="QQK65" s="180"/>
      <c r="QQL65" s="180"/>
      <c r="QQM65" s="180"/>
      <c r="QQN65" s="180"/>
      <c r="QQO65" s="180"/>
      <c r="QQP65" s="180"/>
      <c r="QQQ65" s="180"/>
      <c r="QQR65" s="180"/>
      <c r="QQS65" s="180"/>
      <c r="QQT65" s="180"/>
      <c r="QQU65" s="180"/>
      <c r="QQV65" s="180"/>
      <c r="QQW65" s="180"/>
      <c r="QQX65" s="180"/>
      <c r="QQY65" s="180"/>
      <c r="QQZ65" s="180"/>
      <c r="QRA65" s="180"/>
      <c r="QRB65" s="180"/>
      <c r="QRC65" s="180"/>
      <c r="QRD65" s="180"/>
      <c r="QRE65" s="180"/>
      <c r="QRF65" s="180"/>
      <c r="QRG65" s="180"/>
      <c r="QRH65" s="180"/>
      <c r="QRI65" s="180"/>
      <c r="QRJ65" s="180"/>
      <c r="QRK65" s="180"/>
      <c r="QRL65" s="180"/>
      <c r="QRM65" s="180"/>
      <c r="QRN65" s="180"/>
      <c r="QRO65" s="180"/>
      <c r="QRP65" s="180"/>
      <c r="QRQ65" s="180"/>
      <c r="QRR65" s="180"/>
      <c r="QRS65" s="180"/>
      <c r="QRT65" s="180"/>
      <c r="QRU65" s="180"/>
      <c r="QRV65" s="180"/>
      <c r="QRW65" s="180"/>
      <c r="QRX65" s="180"/>
      <c r="QRY65" s="180"/>
      <c r="QRZ65" s="180"/>
      <c r="QSA65" s="180"/>
      <c r="QSB65" s="180"/>
      <c r="QSC65" s="180"/>
      <c r="QSD65" s="180"/>
      <c r="QSE65" s="180"/>
      <c r="QSF65" s="180"/>
      <c r="QSG65" s="180"/>
      <c r="QSH65" s="180"/>
      <c r="QSI65" s="180"/>
      <c r="QSJ65" s="180"/>
      <c r="QSK65" s="180"/>
      <c r="QSL65" s="180"/>
      <c r="QSM65" s="180"/>
      <c r="QSN65" s="180"/>
      <c r="QSO65" s="180"/>
      <c r="QSP65" s="180"/>
      <c r="QSQ65" s="180"/>
      <c r="QSR65" s="180"/>
      <c r="QSS65" s="180"/>
      <c r="QST65" s="180"/>
      <c r="QSU65" s="180"/>
      <c r="QSV65" s="180"/>
      <c r="QSW65" s="180"/>
      <c r="QSX65" s="180"/>
      <c r="QSY65" s="180"/>
      <c r="QSZ65" s="180"/>
      <c r="QTA65" s="180"/>
      <c r="QTB65" s="180"/>
      <c r="QTC65" s="180"/>
      <c r="QTD65" s="180"/>
      <c r="QTE65" s="180"/>
      <c r="QTF65" s="180"/>
      <c r="QTG65" s="180"/>
      <c r="QTH65" s="180"/>
      <c r="QTI65" s="180"/>
      <c r="QTJ65" s="180"/>
      <c r="QTK65" s="180"/>
      <c r="QTL65" s="180"/>
      <c r="QTM65" s="180"/>
      <c r="QTN65" s="180"/>
      <c r="QTO65" s="180"/>
      <c r="QTP65" s="180"/>
      <c r="QTQ65" s="180"/>
      <c r="QTR65" s="180"/>
      <c r="QTS65" s="180"/>
      <c r="QTT65" s="180"/>
      <c r="QTU65" s="180"/>
      <c r="QTV65" s="180"/>
      <c r="QTW65" s="180"/>
      <c r="QTX65" s="180"/>
      <c r="QTY65" s="180"/>
      <c r="QTZ65" s="180"/>
      <c r="QUA65" s="180"/>
      <c r="QUB65" s="180"/>
      <c r="QUC65" s="180"/>
      <c r="QUD65" s="180"/>
      <c r="QUE65" s="180"/>
      <c r="QUF65" s="180"/>
      <c r="QUG65" s="180"/>
      <c r="QUH65" s="180"/>
      <c r="QUI65" s="180"/>
      <c r="QUJ65" s="180"/>
      <c r="QUK65" s="180"/>
      <c r="QUL65" s="180"/>
      <c r="QUM65" s="180"/>
      <c r="QUN65" s="180"/>
      <c r="QUO65" s="180"/>
      <c r="QUP65" s="180"/>
      <c r="QUQ65" s="180"/>
      <c r="QUR65" s="180"/>
      <c r="QUS65" s="180"/>
      <c r="QUT65" s="180"/>
      <c r="QUU65" s="180"/>
      <c r="QUV65" s="180"/>
      <c r="QUW65" s="180"/>
      <c r="QUX65" s="180"/>
      <c r="QUY65" s="180"/>
      <c r="QUZ65" s="180"/>
      <c r="QVA65" s="180"/>
      <c r="QVB65" s="180"/>
      <c r="QVC65" s="180"/>
      <c r="QVD65" s="180"/>
      <c r="QVE65" s="180"/>
      <c r="QVF65" s="180"/>
      <c r="QVG65" s="180"/>
      <c r="QVH65" s="180"/>
      <c r="QVI65" s="180"/>
      <c r="QVJ65" s="180"/>
      <c r="QVK65" s="180"/>
      <c r="QVL65" s="180"/>
      <c r="QVM65" s="180"/>
      <c r="QVN65" s="180"/>
      <c r="QVO65" s="180"/>
      <c r="QVP65" s="180"/>
      <c r="QVQ65" s="180"/>
      <c r="QVR65" s="180"/>
      <c r="QVS65" s="180"/>
      <c r="QVT65" s="180"/>
      <c r="QVU65" s="180"/>
      <c r="QVV65" s="180"/>
      <c r="QVW65" s="180"/>
      <c r="QVX65" s="180"/>
      <c r="QVY65" s="180"/>
      <c r="QVZ65" s="180"/>
      <c r="QWA65" s="180"/>
      <c r="QWB65" s="180"/>
      <c r="QWC65" s="180"/>
      <c r="QWD65" s="180"/>
      <c r="QWE65" s="180"/>
      <c r="QWF65" s="180"/>
      <c r="QWG65" s="180"/>
      <c r="QWH65" s="180"/>
      <c r="QWI65" s="180"/>
      <c r="QWJ65" s="180"/>
      <c r="QWK65" s="180"/>
      <c r="QWL65" s="180"/>
      <c r="QWM65" s="180"/>
      <c r="QWN65" s="180"/>
      <c r="QWO65" s="180"/>
      <c r="QWP65" s="180"/>
      <c r="QWQ65" s="180"/>
      <c r="QWR65" s="180"/>
      <c r="QWS65" s="180"/>
      <c r="QWT65" s="180"/>
      <c r="QWU65" s="180"/>
      <c r="QWV65" s="180"/>
      <c r="QWW65" s="180"/>
      <c r="QWX65" s="180"/>
      <c r="QWY65" s="180"/>
      <c r="QWZ65" s="180"/>
      <c r="QXA65" s="180"/>
      <c r="QXB65" s="180"/>
      <c r="QXC65" s="180"/>
      <c r="QXD65" s="180"/>
      <c r="QXE65" s="180"/>
      <c r="QXF65" s="180"/>
      <c r="QXG65" s="180"/>
      <c r="QXH65" s="180"/>
      <c r="QXI65" s="180"/>
      <c r="QXJ65" s="180"/>
      <c r="QXK65" s="180"/>
      <c r="QXL65" s="180"/>
      <c r="QXM65" s="180"/>
      <c r="QXN65" s="180"/>
      <c r="QXO65" s="180"/>
      <c r="QXP65" s="180"/>
      <c r="QXQ65" s="180"/>
      <c r="QXR65" s="180"/>
      <c r="QXS65" s="180"/>
      <c r="QXT65" s="180"/>
      <c r="QXU65" s="180"/>
      <c r="QXV65" s="180"/>
      <c r="QXW65" s="180"/>
      <c r="QXX65" s="180"/>
      <c r="QXY65" s="180"/>
      <c r="QXZ65" s="180"/>
      <c r="QYA65" s="180"/>
      <c r="QYB65" s="180"/>
      <c r="QYC65" s="180"/>
      <c r="QYD65" s="180"/>
      <c r="QYE65" s="180"/>
      <c r="QYF65" s="180"/>
      <c r="QYG65" s="180"/>
      <c r="QYH65" s="180"/>
      <c r="QYI65" s="180"/>
      <c r="QYJ65" s="180"/>
      <c r="QYK65" s="180"/>
      <c r="QYL65" s="180"/>
      <c r="QYM65" s="180"/>
      <c r="QYN65" s="180"/>
      <c r="QYO65" s="180"/>
      <c r="QYP65" s="180"/>
      <c r="QYQ65" s="180"/>
      <c r="QYR65" s="180"/>
      <c r="QYS65" s="180"/>
      <c r="QYT65" s="180"/>
      <c r="QYU65" s="180"/>
      <c r="QYV65" s="180"/>
      <c r="QYW65" s="180"/>
      <c r="QYX65" s="180"/>
      <c r="QYY65" s="180"/>
      <c r="QYZ65" s="180"/>
      <c r="QZA65" s="180"/>
      <c r="QZB65" s="180"/>
      <c r="QZC65" s="180"/>
      <c r="QZD65" s="180"/>
      <c r="QZE65" s="180"/>
      <c r="QZF65" s="180"/>
      <c r="QZG65" s="180"/>
      <c r="QZH65" s="180"/>
      <c r="QZI65" s="180"/>
      <c r="QZJ65" s="180"/>
      <c r="QZK65" s="180"/>
      <c r="QZL65" s="180"/>
      <c r="QZM65" s="180"/>
      <c r="QZN65" s="180"/>
      <c r="QZO65" s="180"/>
      <c r="QZP65" s="180"/>
      <c r="QZQ65" s="180"/>
      <c r="QZR65" s="180"/>
      <c r="QZS65" s="180"/>
      <c r="QZT65" s="180"/>
      <c r="QZU65" s="180"/>
      <c r="QZV65" s="180"/>
      <c r="QZW65" s="180"/>
      <c r="QZX65" s="180"/>
      <c r="QZY65" s="180"/>
      <c r="QZZ65" s="180"/>
      <c r="RAA65" s="180"/>
      <c r="RAB65" s="180"/>
      <c r="RAC65" s="180"/>
      <c r="RAD65" s="180"/>
      <c r="RAE65" s="180"/>
      <c r="RAF65" s="180"/>
      <c r="RAG65" s="180"/>
      <c r="RAH65" s="180"/>
      <c r="RAI65" s="180"/>
      <c r="RAJ65" s="180"/>
      <c r="RAK65" s="180"/>
      <c r="RAL65" s="180"/>
      <c r="RAM65" s="180"/>
      <c r="RAN65" s="180"/>
      <c r="RAO65" s="180"/>
      <c r="RAP65" s="180"/>
      <c r="RAQ65" s="180"/>
      <c r="RAR65" s="180"/>
      <c r="RAS65" s="180"/>
      <c r="RAT65" s="180"/>
      <c r="RAU65" s="180"/>
      <c r="RAV65" s="180"/>
      <c r="RAW65" s="180"/>
      <c r="RAX65" s="180"/>
      <c r="RAY65" s="180"/>
      <c r="RAZ65" s="180"/>
      <c r="RBA65" s="180"/>
      <c r="RBB65" s="180"/>
      <c r="RBC65" s="180"/>
      <c r="RBD65" s="180"/>
      <c r="RBE65" s="180"/>
      <c r="RBF65" s="180"/>
      <c r="RBG65" s="180"/>
      <c r="RBH65" s="180"/>
      <c r="RBI65" s="180"/>
      <c r="RBJ65" s="180"/>
      <c r="RBK65" s="180"/>
      <c r="RBL65" s="180"/>
      <c r="RBM65" s="180"/>
      <c r="RBN65" s="180"/>
      <c r="RBO65" s="180"/>
      <c r="RBP65" s="180"/>
      <c r="RBQ65" s="180"/>
      <c r="RBR65" s="180"/>
      <c r="RBS65" s="180"/>
      <c r="RBT65" s="180"/>
      <c r="RBU65" s="180"/>
      <c r="RBV65" s="180"/>
      <c r="RBW65" s="180"/>
      <c r="RBX65" s="180"/>
      <c r="RBY65" s="180"/>
      <c r="RBZ65" s="180"/>
      <c r="RCA65" s="180"/>
      <c r="RCB65" s="180"/>
      <c r="RCC65" s="180"/>
      <c r="RCD65" s="180"/>
      <c r="RCE65" s="180"/>
      <c r="RCF65" s="180"/>
      <c r="RCG65" s="180"/>
      <c r="RCH65" s="180"/>
      <c r="RCI65" s="180"/>
      <c r="RCJ65" s="180"/>
      <c r="RCK65" s="180"/>
      <c r="RCL65" s="180"/>
      <c r="RCM65" s="180"/>
      <c r="RCN65" s="180"/>
      <c r="RCO65" s="180"/>
      <c r="RCP65" s="180"/>
      <c r="RCQ65" s="180"/>
      <c r="RCR65" s="180"/>
      <c r="RCS65" s="180"/>
      <c r="RCT65" s="180"/>
      <c r="RCU65" s="180"/>
      <c r="RCV65" s="180"/>
      <c r="RCW65" s="180"/>
      <c r="RCX65" s="180"/>
      <c r="RCY65" s="180"/>
      <c r="RCZ65" s="180"/>
      <c r="RDA65" s="180"/>
      <c r="RDB65" s="180"/>
      <c r="RDC65" s="180"/>
      <c r="RDD65" s="180"/>
      <c r="RDE65" s="180"/>
      <c r="RDF65" s="180"/>
      <c r="RDG65" s="180"/>
      <c r="RDH65" s="180"/>
      <c r="RDI65" s="180"/>
      <c r="RDJ65" s="180"/>
      <c r="RDK65" s="180"/>
      <c r="RDL65" s="180"/>
      <c r="RDM65" s="180"/>
      <c r="RDN65" s="180"/>
      <c r="RDO65" s="180"/>
      <c r="RDP65" s="180"/>
      <c r="RDQ65" s="180"/>
      <c r="RDR65" s="180"/>
      <c r="RDS65" s="180"/>
      <c r="RDT65" s="180"/>
      <c r="RDU65" s="180"/>
      <c r="RDV65" s="180"/>
      <c r="RDW65" s="180"/>
      <c r="RDX65" s="180"/>
      <c r="RDY65" s="180"/>
      <c r="RDZ65" s="180"/>
      <c r="REA65" s="180"/>
      <c r="REB65" s="180"/>
      <c r="REC65" s="180"/>
      <c r="RED65" s="180"/>
      <c r="REE65" s="180"/>
      <c r="REF65" s="180"/>
      <c r="REG65" s="180"/>
      <c r="REH65" s="180"/>
      <c r="REI65" s="180"/>
      <c r="REJ65" s="180"/>
      <c r="REK65" s="180"/>
      <c r="REL65" s="180"/>
      <c r="REM65" s="180"/>
      <c r="REN65" s="180"/>
      <c r="REO65" s="180"/>
      <c r="REP65" s="180"/>
      <c r="REQ65" s="180"/>
      <c r="RER65" s="180"/>
      <c r="RES65" s="180"/>
      <c r="RET65" s="180"/>
      <c r="REU65" s="180"/>
      <c r="REV65" s="180"/>
      <c r="REW65" s="180"/>
      <c r="REX65" s="180"/>
      <c r="REY65" s="180"/>
      <c r="REZ65" s="180"/>
      <c r="RFA65" s="180"/>
      <c r="RFB65" s="180"/>
      <c r="RFC65" s="180"/>
      <c r="RFD65" s="180"/>
      <c r="RFE65" s="180"/>
      <c r="RFF65" s="180"/>
      <c r="RFG65" s="180"/>
      <c r="RFH65" s="180"/>
      <c r="RFI65" s="180"/>
      <c r="RFJ65" s="180"/>
      <c r="RFK65" s="180"/>
      <c r="RFL65" s="180"/>
      <c r="RFM65" s="180"/>
      <c r="RFN65" s="180"/>
      <c r="RFO65" s="180"/>
      <c r="RFP65" s="180"/>
      <c r="RFQ65" s="180"/>
      <c r="RFR65" s="180"/>
      <c r="RFS65" s="180"/>
      <c r="RFT65" s="180"/>
      <c r="RFU65" s="180"/>
      <c r="RFV65" s="180"/>
      <c r="RFW65" s="180"/>
      <c r="RFX65" s="180"/>
      <c r="RFY65" s="180"/>
      <c r="RFZ65" s="180"/>
      <c r="RGA65" s="180"/>
      <c r="RGB65" s="180"/>
      <c r="RGC65" s="180"/>
      <c r="RGD65" s="180"/>
      <c r="RGE65" s="180"/>
      <c r="RGF65" s="180"/>
      <c r="RGG65" s="180"/>
      <c r="RGH65" s="180"/>
      <c r="RGI65" s="180"/>
      <c r="RGJ65" s="180"/>
      <c r="RGK65" s="180"/>
      <c r="RGL65" s="180"/>
      <c r="RGM65" s="180"/>
      <c r="RGN65" s="180"/>
      <c r="RGO65" s="180"/>
      <c r="RGP65" s="180"/>
      <c r="RGQ65" s="180"/>
      <c r="RGR65" s="180"/>
      <c r="RGS65" s="180"/>
      <c r="RGT65" s="180"/>
      <c r="RGU65" s="180"/>
      <c r="RGV65" s="180"/>
      <c r="RGW65" s="180"/>
      <c r="RGX65" s="180"/>
      <c r="RGY65" s="180"/>
      <c r="RGZ65" s="180"/>
      <c r="RHA65" s="180"/>
      <c r="RHB65" s="180"/>
      <c r="RHC65" s="180"/>
      <c r="RHD65" s="180"/>
      <c r="RHE65" s="180"/>
      <c r="RHF65" s="180"/>
      <c r="RHG65" s="180"/>
      <c r="RHH65" s="180"/>
      <c r="RHI65" s="180"/>
      <c r="RHJ65" s="180"/>
      <c r="RHK65" s="180"/>
      <c r="RHL65" s="180"/>
      <c r="RHM65" s="180"/>
      <c r="RHN65" s="180"/>
      <c r="RHO65" s="180"/>
      <c r="RHP65" s="180"/>
      <c r="RHQ65" s="180"/>
      <c r="RHR65" s="180"/>
      <c r="RHS65" s="180"/>
      <c r="RHT65" s="180"/>
      <c r="RHU65" s="180"/>
      <c r="RHV65" s="180"/>
      <c r="RHW65" s="180"/>
      <c r="RHX65" s="180"/>
      <c r="RHY65" s="180"/>
      <c r="RHZ65" s="180"/>
      <c r="RIA65" s="180"/>
      <c r="RIB65" s="180"/>
      <c r="RIC65" s="180"/>
      <c r="RID65" s="180"/>
      <c r="RIE65" s="180"/>
      <c r="RIF65" s="180"/>
      <c r="RIG65" s="180"/>
      <c r="RIH65" s="180"/>
      <c r="RII65" s="180"/>
      <c r="RIJ65" s="180"/>
      <c r="RIK65" s="180"/>
      <c r="RIL65" s="180"/>
      <c r="RIM65" s="180"/>
      <c r="RIN65" s="180"/>
      <c r="RIO65" s="180"/>
      <c r="RIP65" s="180"/>
      <c r="RIQ65" s="180"/>
      <c r="RIR65" s="180"/>
      <c r="RIS65" s="180"/>
      <c r="RIT65" s="180"/>
      <c r="RIU65" s="180"/>
      <c r="RIV65" s="180"/>
      <c r="RIW65" s="180"/>
      <c r="RIX65" s="180"/>
      <c r="RIY65" s="180"/>
      <c r="RIZ65" s="180"/>
      <c r="RJA65" s="180"/>
      <c r="RJB65" s="180"/>
      <c r="RJC65" s="180"/>
      <c r="RJD65" s="180"/>
      <c r="RJE65" s="180"/>
      <c r="RJF65" s="180"/>
      <c r="RJG65" s="180"/>
      <c r="RJH65" s="180"/>
      <c r="RJI65" s="180"/>
      <c r="RJJ65" s="180"/>
      <c r="RJK65" s="180"/>
      <c r="RJL65" s="180"/>
      <c r="RJM65" s="180"/>
      <c r="RJN65" s="180"/>
      <c r="RJO65" s="180"/>
      <c r="RJP65" s="180"/>
      <c r="RJQ65" s="180"/>
      <c r="RJR65" s="180"/>
      <c r="RJS65" s="180"/>
      <c r="RJT65" s="180"/>
      <c r="RJU65" s="180"/>
      <c r="RJV65" s="180"/>
      <c r="RJW65" s="180"/>
      <c r="RJX65" s="180"/>
      <c r="RJY65" s="180"/>
      <c r="RJZ65" s="180"/>
      <c r="RKA65" s="180"/>
      <c r="RKB65" s="180"/>
      <c r="RKC65" s="180"/>
      <c r="RKD65" s="180"/>
      <c r="RKE65" s="180"/>
      <c r="RKF65" s="180"/>
      <c r="RKG65" s="180"/>
      <c r="RKH65" s="180"/>
      <c r="RKI65" s="180"/>
      <c r="RKJ65" s="180"/>
      <c r="RKK65" s="180"/>
      <c r="RKL65" s="180"/>
      <c r="RKM65" s="180"/>
      <c r="RKN65" s="180"/>
      <c r="RKO65" s="180"/>
      <c r="RKP65" s="180"/>
      <c r="RKQ65" s="180"/>
      <c r="RKR65" s="180"/>
      <c r="RKS65" s="180"/>
      <c r="RKT65" s="180"/>
      <c r="RKU65" s="180"/>
      <c r="RKV65" s="180"/>
      <c r="RKW65" s="180"/>
      <c r="RKX65" s="180"/>
      <c r="RKY65" s="180"/>
      <c r="RKZ65" s="180"/>
      <c r="RLA65" s="180"/>
      <c r="RLB65" s="180"/>
      <c r="RLC65" s="180"/>
      <c r="RLD65" s="180"/>
      <c r="RLE65" s="180"/>
      <c r="RLF65" s="180"/>
      <c r="RLG65" s="180"/>
      <c r="RLH65" s="180"/>
      <c r="RLI65" s="180"/>
      <c r="RLJ65" s="180"/>
      <c r="RLK65" s="180"/>
      <c r="RLL65" s="180"/>
      <c r="RLM65" s="180"/>
      <c r="RLN65" s="180"/>
      <c r="RLO65" s="180"/>
      <c r="RLP65" s="180"/>
      <c r="RLQ65" s="180"/>
      <c r="RLR65" s="180"/>
      <c r="RLS65" s="180"/>
      <c r="RLT65" s="180"/>
      <c r="RLU65" s="180"/>
      <c r="RLV65" s="180"/>
      <c r="RLW65" s="180"/>
      <c r="RLX65" s="180"/>
      <c r="RLY65" s="180"/>
      <c r="RLZ65" s="180"/>
      <c r="RMA65" s="180"/>
      <c r="RMB65" s="180"/>
      <c r="RMC65" s="180"/>
      <c r="RMD65" s="180"/>
      <c r="RME65" s="180"/>
      <c r="RMF65" s="180"/>
      <c r="RMG65" s="180"/>
      <c r="RMH65" s="180"/>
      <c r="RMI65" s="180"/>
      <c r="RMJ65" s="180"/>
      <c r="RMK65" s="180"/>
      <c r="RML65" s="180"/>
      <c r="RMM65" s="180"/>
      <c r="RMN65" s="180"/>
      <c r="RMO65" s="180"/>
      <c r="RMP65" s="180"/>
      <c r="RMQ65" s="180"/>
      <c r="RMR65" s="180"/>
      <c r="RMS65" s="180"/>
      <c r="RMT65" s="180"/>
      <c r="RMU65" s="180"/>
      <c r="RMV65" s="180"/>
      <c r="RMW65" s="180"/>
      <c r="RMX65" s="180"/>
      <c r="RMY65" s="180"/>
      <c r="RMZ65" s="180"/>
      <c r="RNA65" s="180"/>
      <c r="RNB65" s="180"/>
      <c r="RNC65" s="180"/>
      <c r="RND65" s="180"/>
      <c r="RNE65" s="180"/>
      <c r="RNF65" s="180"/>
      <c r="RNG65" s="180"/>
      <c r="RNH65" s="180"/>
      <c r="RNI65" s="180"/>
      <c r="RNJ65" s="180"/>
      <c r="RNK65" s="180"/>
      <c r="RNL65" s="180"/>
      <c r="RNM65" s="180"/>
      <c r="RNN65" s="180"/>
      <c r="RNO65" s="180"/>
      <c r="RNP65" s="180"/>
      <c r="RNQ65" s="180"/>
      <c r="RNR65" s="180"/>
      <c r="RNS65" s="180"/>
      <c r="RNT65" s="180"/>
      <c r="RNU65" s="180"/>
      <c r="RNV65" s="180"/>
      <c r="RNW65" s="180"/>
      <c r="RNX65" s="180"/>
      <c r="RNY65" s="180"/>
      <c r="RNZ65" s="180"/>
      <c r="ROA65" s="180"/>
      <c r="ROB65" s="180"/>
      <c r="ROC65" s="180"/>
      <c r="ROD65" s="180"/>
      <c r="ROE65" s="180"/>
      <c r="ROF65" s="180"/>
      <c r="ROG65" s="180"/>
      <c r="ROH65" s="180"/>
      <c r="ROI65" s="180"/>
      <c r="ROJ65" s="180"/>
      <c r="ROK65" s="180"/>
      <c r="ROL65" s="180"/>
      <c r="ROM65" s="180"/>
      <c r="RON65" s="180"/>
      <c r="ROO65" s="180"/>
      <c r="ROP65" s="180"/>
      <c r="ROQ65" s="180"/>
      <c r="ROR65" s="180"/>
      <c r="ROS65" s="180"/>
      <c r="ROT65" s="180"/>
      <c r="ROU65" s="180"/>
      <c r="ROV65" s="180"/>
      <c r="ROW65" s="180"/>
      <c r="ROX65" s="180"/>
      <c r="ROY65" s="180"/>
      <c r="ROZ65" s="180"/>
      <c r="RPA65" s="180"/>
      <c r="RPB65" s="180"/>
      <c r="RPC65" s="180"/>
      <c r="RPD65" s="180"/>
      <c r="RPE65" s="180"/>
      <c r="RPF65" s="180"/>
      <c r="RPG65" s="180"/>
      <c r="RPH65" s="180"/>
      <c r="RPI65" s="180"/>
      <c r="RPJ65" s="180"/>
      <c r="RPK65" s="180"/>
      <c r="RPL65" s="180"/>
      <c r="RPM65" s="180"/>
      <c r="RPN65" s="180"/>
      <c r="RPO65" s="180"/>
      <c r="RPP65" s="180"/>
      <c r="RPQ65" s="180"/>
      <c r="RPR65" s="180"/>
      <c r="RPS65" s="180"/>
      <c r="RPT65" s="180"/>
      <c r="RPU65" s="180"/>
      <c r="RPV65" s="180"/>
      <c r="RPW65" s="180"/>
      <c r="RPX65" s="180"/>
      <c r="RPY65" s="180"/>
      <c r="RPZ65" s="180"/>
      <c r="RQA65" s="180"/>
      <c r="RQB65" s="180"/>
      <c r="RQC65" s="180"/>
      <c r="RQD65" s="180"/>
      <c r="RQE65" s="180"/>
      <c r="RQF65" s="180"/>
      <c r="RQG65" s="180"/>
      <c r="RQH65" s="180"/>
      <c r="RQI65" s="180"/>
      <c r="RQJ65" s="180"/>
      <c r="RQK65" s="180"/>
      <c r="RQL65" s="180"/>
      <c r="RQM65" s="180"/>
      <c r="RQN65" s="180"/>
      <c r="RQO65" s="180"/>
      <c r="RQP65" s="180"/>
      <c r="RQQ65" s="180"/>
      <c r="RQR65" s="180"/>
      <c r="RQS65" s="180"/>
      <c r="RQT65" s="180"/>
      <c r="RQU65" s="180"/>
      <c r="RQV65" s="180"/>
      <c r="RQW65" s="180"/>
      <c r="RQX65" s="180"/>
      <c r="RQY65" s="180"/>
      <c r="RQZ65" s="180"/>
      <c r="RRA65" s="180"/>
      <c r="RRB65" s="180"/>
      <c r="RRC65" s="180"/>
      <c r="RRD65" s="180"/>
      <c r="RRE65" s="180"/>
      <c r="RRF65" s="180"/>
      <c r="RRG65" s="180"/>
      <c r="RRH65" s="180"/>
      <c r="RRI65" s="180"/>
      <c r="RRJ65" s="180"/>
      <c r="RRK65" s="180"/>
      <c r="RRL65" s="180"/>
      <c r="RRM65" s="180"/>
      <c r="RRN65" s="180"/>
      <c r="RRO65" s="180"/>
      <c r="RRP65" s="180"/>
      <c r="RRQ65" s="180"/>
      <c r="RRR65" s="180"/>
      <c r="RRS65" s="180"/>
      <c r="RRT65" s="180"/>
      <c r="RRU65" s="180"/>
      <c r="RRV65" s="180"/>
      <c r="RRW65" s="180"/>
      <c r="RRX65" s="180"/>
      <c r="RRY65" s="180"/>
      <c r="RRZ65" s="180"/>
      <c r="RSA65" s="180"/>
      <c r="RSB65" s="180"/>
      <c r="RSC65" s="180"/>
      <c r="RSD65" s="180"/>
      <c r="RSE65" s="180"/>
      <c r="RSF65" s="180"/>
      <c r="RSG65" s="180"/>
      <c r="RSH65" s="180"/>
      <c r="RSI65" s="180"/>
      <c r="RSJ65" s="180"/>
      <c r="RSK65" s="180"/>
      <c r="RSL65" s="180"/>
      <c r="RSM65" s="180"/>
      <c r="RSN65" s="180"/>
      <c r="RSO65" s="180"/>
      <c r="RSP65" s="180"/>
      <c r="RSQ65" s="180"/>
      <c r="RSR65" s="180"/>
      <c r="RSS65" s="180"/>
      <c r="RST65" s="180"/>
      <c r="RSU65" s="180"/>
      <c r="RSV65" s="180"/>
      <c r="RSW65" s="180"/>
      <c r="RSX65" s="180"/>
      <c r="RSY65" s="180"/>
      <c r="RSZ65" s="180"/>
      <c r="RTA65" s="180"/>
      <c r="RTB65" s="180"/>
      <c r="RTC65" s="180"/>
      <c r="RTD65" s="180"/>
      <c r="RTE65" s="180"/>
      <c r="RTF65" s="180"/>
      <c r="RTG65" s="180"/>
      <c r="RTH65" s="180"/>
      <c r="RTI65" s="180"/>
      <c r="RTJ65" s="180"/>
      <c r="RTK65" s="180"/>
      <c r="RTL65" s="180"/>
      <c r="RTM65" s="180"/>
      <c r="RTN65" s="180"/>
      <c r="RTO65" s="180"/>
      <c r="RTP65" s="180"/>
      <c r="RTQ65" s="180"/>
      <c r="RTR65" s="180"/>
      <c r="RTS65" s="180"/>
      <c r="RTT65" s="180"/>
      <c r="RTU65" s="180"/>
      <c r="RTV65" s="180"/>
      <c r="RTW65" s="180"/>
      <c r="RTX65" s="180"/>
      <c r="RTY65" s="180"/>
      <c r="RTZ65" s="180"/>
      <c r="RUA65" s="180"/>
      <c r="RUB65" s="180"/>
      <c r="RUC65" s="180"/>
      <c r="RUD65" s="180"/>
      <c r="RUE65" s="180"/>
      <c r="RUF65" s="180"/>
      <c r="RUG65" s="180"/>
      <c r="RUH65" s="180"/>
      <c r="RUI65" s="180"/>
      <c r="RUJ65" s="180"/>
      <c r="RUK65" s="180"/>
      <c r="RUL65" s="180"/>
      <c r="RUM65" s="180"/>
      <c r="RUN65" s="180"/>
      <c r="RUO65" s="180"/>
      <c r="RUP65" s="180"/>
      <c r="RUQ65" s="180"/>
      <c r="RUR65" s="180"/>
      <c r="RUS65" s="180"/>
      <c r="RUT65" s="180"/>
      <c r="RUU65" s="180"/>
      <c r="RUV65" s="180"/>
      <c r="RUW65" s="180"/>
      <c r="RUX65" s="180"/>
      <c r="RUY65" s="180"/>
      <c r="RUZ65" s="180"/>
      <c r="RVA65" s="180"/>
      <c r="RVB65" s="180"/>
      <c r="RVC65" s="180"/>
      <c r="RVD65" s="180"/>
      <c r="RVE65" s="180"/>
      <c r="RVF65" s="180"/>
      <c r="RVG65" s="180"/>
      <c r="RVH65" s="180"/>
      <c r="RVI65" s="180"/>
      <c r="RVJ65" s="180"/>
      <c r="RVK65" s="180"/>
      <c r="RVL65" s="180"/>
      <c r="RVM65" s="180"/>
      <c r="RVN65" s="180"/>
      <c r="RVO65" s="180"/>
      <c r="RVP65" s="180"/>
      <c r="RVQ65" s="180"/>
      <c r="RVR65" s="180"/>
      <c r="RVS65" s="180"/>
      <c r="RVT65" s="180"/>
      <c r="RVU65" s="180"/>
      <c r="RVV65" s="180"/>
      <c r="RVW65" s="180"/>
      <c r="RVX65" s="180"/>
      <c r="RVY65" s="180"/>
      <c r="RVZ65" s="180"/>
      <c r="RWA65" s="180"/>
      <c r="RWB65" s="180"/>
      <c r="RWC65" s="180"/>
      <c r="RWD65" s="180"/>
      <c r="RWE65" s="180"/>
      <c r="RWF65" s="180"/>
      <c r="RWG65" s="180"/>
      <c r="RWH65" s="180"/>
      <c r="RWI65" s="180"/>
      <c r="RWJ65" s="180"/>
      <c r="RWK65" s="180"/>
      <c r="RWL65" s="180"/>
      <c r="RWM65" s="180"/>
      <c r="RWN65" s="180"/>
      <c r="RWO65" s="180"/>
      <c r="RWP65" s="180"/>
      <c r="RWQ65" s="180"/>
      <c r="RWR65" s="180"/>
      <c r="RWS65" s="180"/>
      <c r="RWT65" s="180"/>
      <c r="RWU65" s="180"/>
      <c r="RWV65" s="180"/>
      <c r="RWW65" s="180"/>
      <c r="RWX65" s="180"/>
      <c r="RWY65" s="180"/>
      <c r="RWZ65" s="180"/>
      <c r="RXA65" s="180"/>
      <c r="RXB65" s="180"/>
      <c r="RXC65" s="180"/>
      <c r="RXD65" s="180"/>
      <c r="RXE65" s="180"/>
      <c r="RXF65" s="180"/>
      <c r="RXG65" s="180"/>
      <c r="RXH65" s="180"/>
      <c r="RXI65" s="180"/>
      <c r="RXJ65" s="180"/>
      <c r="RXK65" s="180"/>
      <c r="RXL65" s="180"/>
      <c r="RXM65" s="180"/>
      <c r="RXN65" s="180"/>
      <c r="RXO65" s="180"/>
      <c r="RXP65" s="180"/>
      <c r="RXQ65" s="180"/>
      <c r="RXR65" s="180"/>
      <c r="RXS65" s="180"/>
      <c r="RXT65" s="180"/>
      <c r="RXU65" s="180"/>
      <c r="RXV65" s="180"/>
      <c r="RXW65" s="180"/>
      <c r="RXX65" s="180"/>
      <c r="RXY65" s="180"/>
      <c r="RXZ65" s="180"/>
      <c r="RYA65" s="180"/>
      <c r="RYB65" s="180"/>
      <c r="RYC65" s="180"/>
      <c r="RYD65" s="180"/>
      <c r="RYE65" s="180"/>
      <c r="RYF65" s="180"/>
      <c r="RYG65" s="180"/>
      <c r="RYH65" s="180"/>
      <c r="RYI65" s="180"/>
      <c r="RYJ65" s="180"/>
      <c r="RYK65" s="180"/>
      <c r="RYL65" s="180"/>
      <c r="RYM65" s="180"/>
      <c r="RYN65" s="180"/>
      <c r="RYO65" s="180"/>
      <c r="RYP65" s="180"/>
      <c r="RYQ65" s="180"/>
      <c r="RYR65" s="180"/>
      <c r="RYS65" s="180"/>
      <c r="RYT65" s="180"/>
      <c r="RYU65" s="180"/>
      <c r="RYV65" s="180"/>
      <c r="RYW65" s="180"/>
      <c r="RYX65" s="180"/>
      <c r="RYY65" s="180"/>
      <c r="RYZ65" s="180"/>
      <c r="RZA65" s="180"/>
      <c r="RZB65" s="180"/>
      <c r="RZC65" s="180"/>
      <c r="RZD65" s="180"/>
      <c r="RZE65" s="180"/>
      <c r="RZF65" s="180"/>
      <c r="RZG65" s="180"/>
      <c r="RZH65" s="180"/>
      <c r="RZI65" s="180"/>
      <c r="RZJ65" s="180"/>
      <c r="RZK65" s="180"/>
      <c r="RZL65" s="180"/>
      <c r="RZM65" s="180"/>
      <c r="RZN65" s="180"/>
      <c r="RZO65" s="180"/>
      <c r="RZP65" s="180"/>
      <c r="RZQ65" s="180"/>
      <c r="RZR65" s="180"/>
      <c r="RZS65" s="180"/>
      <c r="RZT65" s="180"/>
      <c r="RZU65" s="180"/>
      <c r="RZV65" s="180"/>
      <c r="RZW65" s="180"/>
      <c r="RZX65" s="180"/>
      <c r="RZY65" s="180"/>
      <c r="RZZ65" s="180"/>
      <c r="SAA65" s="180"/>
      <c r="SAB65" s="180"/>
      <c r="SAC65" s="180"/>
      <c r="SAD65" s="180"/>
      <c r="SAE65" s="180"/>
      <c r="SAF65" s="180"/>
      <c r="SAG65" s="180"/>
      <c r="SAH65" s="180"/>
      <c r="SAI65" s="180"/>
      <c r="SAJ65" s="180"/>
      <c r="SAK65" s="180"/>
      <c r="SAL65" s="180"/>
      <c r="SAM65" s="180"/>
      <c r="SAN65" s="180"/>
      <c r="SAO65" s="180"/>
      <c r="SAP65" s="180"/>
      <c r="SAQ65" s="180"/>
      <c r="SAR65" s="180"/>
      <c r="SAS65" s="180"/>
      <c r="SAT65" s="180"/>
      <c r="SAU65" s="180"/>
      <c r="SAV65" s="180"/>
      <c r="SAW65" s="180"/>
      <c r="SAX65" s="180"/>
      <c r="SAY65" s="180"/>
      <c r="SAZ65" s="180"/>
      <c r="SBA65" s="180"/>
      <c r="SBB65" s="180"/>
      <c r="SBC65" s="180"/>
      <c r="SBD65" s="180"/>
      <c r="SBE65" s="180"/>
      <c r="SBF65" s="180"/>
      <c r="SBG65" s="180"/>
      <c r="SBH65" s="180"/>
      <c r="SBI65" s="180"/>
      <c r="SBJ65" s="180"/>
      <c r="SBK65" s="180"/>
      <c r="SBL65" s="180"/>
      <c r="SBM65" s="180"/>
      <c r="SBN65" s="180"/>
      <c r="SBO65" s="180"/>
      <c r="SBP65" s="180"/>
      <c r="SBQ65" s="180"/>
      <c r="SBR65" s="180"/>
      <c r="SBS65" s="180"/>
      <c r="SBT65" s="180"/>
      <c r="SBU65" s="180"/>
      <c r="SBV65" s="180"/>
      <c r="SBW65" s="180"/>
      <c r="SBX65" s="180"/>
      <c r="SBY65" s="180"/>
      <c r="SBZ65" s="180"/>
      <c r="SCA65" s="180"/>
      <c r="SCB65" s="180"/>
      <c r="SCC65" s="180"/>
      <c r="SCD65" s="180"/>
      <c r="SCE65" s="180"/>
      <c r="SCF65" s="180"/>
      <c r="SCG65" s="180"/>
      <c r="SCH65" s="180"/>
      <c r="SCI65" s="180"/>
      <c r="SCJ65" s="180"/>
      <c r="SCK65" s="180"/>
      <c r="SCL65" s="180"/>
      <c r="SCM65" s="180"/>
      <c r="SCN65" s="180"/>
      <c r="SCO65" s="180"/>
      <c r="SCP65" s="180"/>
      <c r="SCQ65" s="180"/>
      <c r="SCR65" s="180"/>
      <c r="SCS65" s="180"/>
      <c r="SCT65" s="180"/>
      <c r="SCU65" s="180"/>
      <c r="SCV65" s="180"/>
      <c r="SCW65" s="180"/>
      <c r="SCX65" s="180"/>
      <c r="SCY65" s="180"/>
      <c r="SCZ65" s="180"/>
      <c r="SDA65" s="180"/>
      <c r="SDB65" s="180"/>
      <c r="SDC65" s="180"/>
      <c r="SDD65" s="180"/>
      <c r="SDE65" s="180"/>
      <c r="SDF65" s="180"/>
      <c r="SDG65" s="180"/>
      <c r="SDH65" s="180"/>
      <c r="SDI65" s="180"/>
      <c r="SDJ65" s="180"/>
      <c r="SDK65" s="180"/>
      <c r="SDL65" s="180"/>
      <c r="SDM65" s="180"/>
      <c r="SDN65" s="180"/>
      <c r="SDO65" s="180"/>
      <c r="SDP65" s="180"/>
      <c r="SDQ65" s="180"/>
      <c r="SDR65" s="180"/>
      <c r="SDS65" s="180"/>
      <c r="SDT65" s="180"/>
      <c r="SDU65" s="180"/>
      <c r="SDV65" s="180"/>
      <c r="SDW65" s="180"/>
      <c r="SDX65" s="180"/>
      <c r="SDY65" s="180"/>
      <c r="SDZ65" s="180"/>
      <c r="SEA65" s="180"/>
      <c r="SEB65" s="180"/>
      <c r="SEC65" s="180"/>
      <c r="SED65" s="180"/>
      <c r="SEE65" s="180"/>
      <c r="SEF65" s="180"/>
      <c r="SEG65" s="180"/>
      <c r="SEH65" s="180"/>
      <c r="SEI65" s="180"/>
      <c r="SEJ65" s="180"/>
      <c r="SEK65" s="180"/>
      <c r="SEL65" s="180"/>
      <c r="SEM65" s="180"/>
      <c r="SEN65" s="180"/>
      <c r="SEO65" s="180"/>
      <c r="SEP65" s="180"/>
      <c r="SEQ65" s="180"/>
      <c r="SER65" s="180"/>
      <c r="SES65" s="180"/>
      <c r="SET65" s="180"/>
      <c r="SEU65" s="180"/>
      <c r="SEV65" s="180"/>
      <c r="SEW65" s="180"/>
      <c r="SEX65" s="180"/>
      <c r="SEY65" s="180"/>
      <c r="SEZ65" s="180"/>
      <c r="SFA65" s="180"/>
      <c r="SFB65" s="180"/>
      <c r="SFC65" s="180"/>
      <c r="SFD65" s="180"/>
      <c r="SFE65" s="180"/>
      <c r="SFF65" s="180"/>
      <c r="SFG65" s="180"/>
      <c r="SFH65" s="180"/>
      <c r="SFI65" s="180"/>
      <c r="SFJ65" s="180"/>
      <c r="SFK65" s="180"/>
      <c r="SFL65" s="180"/>
      <c r="SFM65" s="180"/>
      <c r="SFN65" s="180"/>
      <c r="SFO65" s="180"/>
      <c r="SFP65" s="180"/>
      <c r="SFQ65" s="180"/>
      <c r="SFR65" s="180"/>
      <c r="SFS65" s="180"/>
      <c r="SFT65" s="180"/>
      <c r="SFU65" s="180"/>
      <c r="SFV65" s="180"/>
      <c r="SFW65" s="180"/>
      <c r="SFX65" s="180"/>
      <c r="SFY65" s="180"/>
      <c r="SFZ65" s="180"/>
      <c r="SGA65" s="180"/>
      <c r="SGB65" s="180"/>
      <c r="SGC65" s="180"/>
      <c r="SGD65" s="180"/>
      <c r="SGE65" s="180"/>
      <c r="SGF65" s="180"/>
      <c r="SGG65" s="180"/>
      <c r="SGH65" s="180"/>
      <c r="SGI65" s="180"/>
      <c r="SGJ65" s="180"/>
      <c r="SGK65" s="180"/>
      <c r="SGL65" s="180"/>
      <c r="SGM65" s="180"/>
      <c r="SGN65" s="180"/>
      <c r="SGO65" s="180"/>
      <c r="SGP65" s="180"/>
      <c r="SGQ65" s="180"/>
      <c r="SGR65" s="180"/>
      <c r="SGS65" s="180"/>
      <c r="SGT65" s="180"/>
      <c r="SGU65" s="180"/>
      <c r="SGV65" s="180"/>
      <c r="SGW65" s="180"/>
      <c r="SGX65" s="180"/>
      <c r="SGY65" s="180"/>
      <c r="SGZ65" s="180"/>
      <c r="SHA65" s="180"/>
      <c r="SHB65" s="180"/>
      <c r="SHC65" s="180"/>
      <c r="SHD65" s="180"/>
      <c r="SHE65" s="180"/>
      <c r="SHF65" s="180"/>
      <c r="SHG65" s="180"/>
      <c r="SHH65" s="180"/>
      <c r="SHI65" s="180"/>
      <c r="SHJ65" s="180"/>
      <c r="SHK65" s="180"/>
      <c r="SHL65" s="180"/>
      <c r="SHM65" s="180"/>
      <c r="SHN65" s="180"/>
      <c r="SHO65" s="180"/>
      <c r="SHP65" s="180"/>
      <c r="SHQ65" s="180"/>
      <c r="SHR65" s="180"/>
      <c r="SHS65" s="180"/>
      <c r="SHT65" s="180"/>
      <c r="SHU65" s="180"/>
      <c r="SHV65" s="180"/>
      <c r="SHW65" s="180"/>
      <c r="SHX65" s="180"/>
      <c r="SHY65" s="180"/>
      <c r="SHZ65" s="180"/>
      <c r="SIA65" s="180"/>
      <c r="SIB65" s="180"/>
      <c r="SIC65" s="180"/>
      <c r="SID65" s="180"/>
      <c r="SIE65" s="180"/>
      <c r="SIF65" s="180"/>
      <c r="SIG65" s="180"/>
      <c r="SIH65" s="180"/>
      <c r="SII65" s="180"/>
      <c r="SIJ65" s="180"/>
      <c r="SIK65" s="180"/>
      <c r="SIL65" s="180"/>
      <c r="SIM65" s="180"/>
      <c r="SIN65" s="180"/>
      <c r="SIO65" s="180"/>
      <c r="SIP65" s="180"/>
      <c r="SIQ65" s="180"/>
      <c r="SIR65" s="180"/>
      <c r="SIS65" s="180"/>
      <c r="SIT65" s="180"/>
      <c r="SIU65" s="180"/>
      <c r="SIV65" s="180"/>
      <c r="SIW65" s="180"/>
      <c r="SIX65" s="180"/>
      <c r="SIY65" s="180"/>
      <c r="SIZ65" s="180"/>
      <c r="SJA65" s="180"/>
      <c r="SJB65" s="180"/>
      <c r="SJC65" s="180"/>
      <c r="SJD65" s="180"/>
      <c r="SJE65" s="180"/>
      <c r="SJF65" s="180"/>
      <c r="SJG65" s="180"/>
      <c r="SJH65" s="180"/>
      <c r="SJI65" s="180"/>
      <c r="SJJ65" s="180"/>
      <c r="SJK65" s="180"/>
      <c r="SJL65" s="180"/>
      <c r="SJM65" s="180"/>
      <c r="SJN65" s="180"/>
      <c r="SJO65" s="180"/>
      <c r="SJP65" s="180"/>
      <c r="SJQ65" s="180"/>
      <c r="SJR65" s="180"/>
      <c r="SJS65" s="180"/>
      <c r="SJT65" s="180"/>
      <c r="SJU65" s="180"/>
      <c r="SJV65" s="180"/>
      <c r="SJW65" s="180"/>
      <c r="SJX65" s="180"/>
      <c r="SJY65" s="180"/>
      <c r="SJZ65" s="180"/>
      <c r="SKA65" s="180"/>
      <c r="SKB65" s="180"/>
      <c r="SKC65" s="180"/>
      <c r="SKD65" s="180"/>
      <c r="SKE65" s="180"/>
      <c r="SKF65" s="180"/>
      <c r="SKG65" s="180"/>
      <c r="SKH65" s="180"/>
      <c r="SKI65" s="180"/>
      <c r="SKJ65" s="180"/>
      <c r="SKK65" s="180"/>
      <c r="SKL65" s="180"/>
      <c r="SKM65" s="180"/>
      <c r="SKN65" s="180"/>
      <c r="SKO65" s="180"/>
      <c r="SKP65" s="180"/>
      <c r="SKQ65" s="180"/>
      <c r="SKR65" s="180"/>
      <c r="SKS65" s="180"/>
      <c r="SKT65" s="180"/>
      <c r="SKU65" s="180"/>
      <c r="SKV65" s="180"/>
      <c r="SKW65" s="180"/>
      <c r="SKX65" s="180"/>
      <c r="SKY65" s="180"/>
      <c r="SKZ65" s="180"/>
      <c r="SLA65" s="180"/>
      <c r="SLB65" s="180"/>
      <c r="SLC65" s="180"/>
      <c r="SLD65" s="180"/>
      <c r="SLE65" s="180"/>
      <c r="SLF65" s="180"/>
      <c r="SLG65" s="180"/>
      <c r="SLH65" s="180"/>
      <c r="SLI65" s="180"/>
      <c r="SLJ65" s="180"/>
      <c r="SLK65" s="180"/>
      <c r="SLL65" s="180"/>
      <c r="SLM65" s="180"/>
      <c r="SLN65" s="180"/>
      <c r="SLO65" s="180"/>
      <c r="SLP65" s="180"/>
      <c r="SLQ65" s="180"/>
      <c r="SLR65" s="180"/>
      <c r="SLS65" s="180"/>
      <c r="SLT65" s="180"/>
      <c r="SLU65" s="180"/>
      <c r="SLV65" s="180"/>
      <c r="SLW65" s="180"/>
      <c r="SLX65" s="180"/>
      <c r="SLY65" s="180"/>
      <c r="SLZ65" s="180"/>
      <c r="SMA65" s="180"/>
      <c r="SMB65" s="180"/>
      <c r="SMC65" s="180"/>
      <c r="SMD65" s="180"/>
      <c r="SME65" s="180"/>
      <c r="SMF65" s="180"/>
      <c r="SMG65" s="180"/>
      <c r="SMH65" s="180"/>
      <c r="SMI65" s="180"/>
      <c r="SMJ65" s="180"/>
      <c r="SMK65" s="180"/>
      <c r="SML65" s="180"/>
      <c r="SMM65" s="180"/>
      <c r="SMN65" s="180"/>
      <c r="SMO65" s="180"/>
      <c r="SMP65" s="180"/>
      <c r="SMQ65" s="180"/>
      <c r="SMR65" s="180"/>
      <c r="SMS65" s="180"/>
      <c r="SMT65" s="180"/>
      <c r="SMU65" s="180"/>
      <c r="SMV65" s="180"/>
      <c r="SMW65" s="180"/>
      <c r="SMX65" s="180"/>
      <c r="SMY65" s="180"/>
      <c r="SMZ65" s="180"/>
      <c r="SNA65" s="180"/>
      <c r="SNB65" s="180"/>
      <c r="SNC65" s="180"/>
      <c r="SND65" s="180"/>
      <c r="SNE65" s="180"/>
      <c r="SNF65" s="180"/>
      <c r="SNG65" s="180"/>
      <c r="SNH65" s="180"/>
      <c r="SNI65" s="180"/>
      <c r="SNJ65" s="180"/>
      <c r="SNK65" s="180"/>
      <c r="SNL65" s="180"/>
      <c r="SNM65" s="180"/>
      <c r="SNN65" s="180"/>
      <c r="SNO65" s="180"/>
      <c r="SNP65" s="180"/>
      <c r="SNQ65" s="180"/>
      <c r="SNR65" s="180"/>
      <c r="SNS65" s="180"/>
      <c r="SNT65" s="180"/>
      <c r="SNU65" s="180"/>
      <c r="SNV65" s="180"/>
      <c r="SNW65" s="180"/>
      <c r="SNX65" s="180"/>
      <c r="SNY65" s="180"/>
      <c r="SNZ65" s="180"/>
      <c r="SOA65" s="180"/>
      <c r="SOB65" s="180"/>
      <c r="SOC65" s="180"/>
      <c r="SOD65" s="180"/>
      <c r="SOE65" s="180"/>
      <c r="SOF65" s="180"/>
      <c r="SOG65" s="180"/>
      <c r="SOH65" s="180"/>
      <c r="SOI65" s="180"/>
      <c r="SOJ65" s="180"/>
      <c r="SOK65" s="180"/>
      <c r="SOL65" s="180"/>
      <c r="SOM65" s="180"/>
      <c r="SON65" s="180"/>
      <c r="SOO65" s="180"/>
      <c r="SOP65" s="180"/>
      <c r="SOQ65" s="180"/>
      <c r="SOR65" s="180"/>
      <c r="SOS65" s="180"/>
      <c r="SOT65" s="180"/>
      <c r="SOU65" s="180"/>
      <c r="SOV65" s="180"/>
      <c r="SOW65" s="180"/>
      <c r="SOX65" s="180"/>
      <c r="SOY65" s="180"/>
      <c r="SOZ65" s="180"/>
      <c r="SPA65" s="180"/>
      <c r="SPB65" s="180"/>
      <c r="SPC65" s="180"/>
      <c r="SPD65" s="180"/>
      <c r="SPE65" s="180"/>
      <c r="SPF65" s="180"/>
      <c r="SPG65" s="180"/>
      <c r="SPH65" s="180"/>
      <c r="SPI65" s="180"/>
      <c r="SPJ65" s="180"/>
      <c r="SPK65" s="180"/>
      <c r="SPL65" s="180"/>
      <c r="SPM65" s="180"/>
      <c r="SPN65" s="180"/>
      <c r="SPO65" s="180"/>
      <c r="SPP65" s="180"/>
      <c r="SPQ65" s="180"/>
      <c r="SPR65" s="180"/>
      <c r="SPS65" s="180"/>
      <c r="SPT65" s="180"/>
      <c r="SPU65" s="180"/>
      <c r="SPV65" s="180"/>
      <c r="SPW65" s="180"/>
      <c r="SPX65" s="180"/>
      <c r="SPY65" s="180"/>
      <c r="SPZ65" s="180"/>
      <c r="SQA65" s="180"/>
      <c r="SQB65" s="180"/>
      <c r="SQC65" s="180"/>
      <c r="SQD65" s="180"/>
      <c r="SQE65" s="180"/>
      <c r="SQF65" s="180"/>
      <c r="SQG65" s="180"/>
      <c r="SQH65" s="180"/>
      <c r="SQI65" s="180"/>
      <c r="SQJ65" s="180"/>
      <c r="SQK65" s="180"/>
      <c r="SQL65" s="180"/>
      <c r="SQM65" s="180"/>
      <c r="SQN65" s="180"/>
      <c r="SQO65" s="180"/>
      <c r="SQP65" s="180"/>
      <c r="SQQ65" s="180"/>
      <c r="SQR65" s="180"/>
      <c r="SQS65" s="180"/>
      <c r="SQT65" s="180"/>
      <c r="SQU65" s="180"/>
      <c r="SQV65" s="180"/>
      <c r="SQW65" s="180"/>
      <c r="SQX65" s="180"/>
      <c r="SQY65" s="180"/>
      <c r="SQZ65" s="180"/>
      <c r="SRA65" s="180"/>
      <c r="SRB65" s="180"/>
      <c r="SRC65" s="180"/>
      <c r="SRD65" s="180"/>
      <c r="SRE65" s="180"/>
      <c r="SRF65" s="180"/>
      <c r="SRG65" s="180"/>
      <c r="SRH65" s="180"/>
      <c r="SRI65" s="180"/>
      <c r="SRJ65" s="180"/>
      <c r="SRK65" s="180"/>
      <c r="SRL65" s="180"/>
      <c r="SRM65" s="180"/>
      <c r="SRN65" s="180"/>
      <c r="SRO65" s="180"/>
      <c r="SRP65" s="180"/>
      <c r="SRQ65" s="180"/>
      <c r="SRR65" s="180"/>
      <c r="SRS65" s="180"/>
      <c r="SRT65" s="180"/>
      <c r="SRU65" s="180"/>
      <c r="SRV65" s="180"/>
      <c r="SRW65" s="180"/>
      <c r="SRX65" s="180"/>
      <c r="SRY65" s="180"/>
      <c r="SRZ65" s="180"/>
      <c r="SSA65" s="180"/>
      <c r="SSB65" s="180"/>
      <c r="SSC65" s="180"/>
      <c r="SSD65" s="180"/>
      <c r="SSE65" s="180"/>
      <c r="SSF65" s="180"/>
      <c r="SSG65" s="180"/>
      <c r="SSH65" s="180"/>
      <c r="SSI65" s="180"/>
      <c r="SSJ65" s="180"/>
      <c r="SSK65" s="180"/>
      <c r="SSL65" s="180"/>
      <c r="SSM65" s="180"/>
      <c r="SSN65" s="180"/>
      <c r="SSO65" s="180"/>
      <c r="SSP65" s="180"/>
      <c r="SSQ65" s="180"/>
      <c r="SSR65" s="180"/>
      <c r="SSS65" s="180"/>
      <c r="SST65" s="180"/>
      <c r="SSU65" s="180"/>
      <c r="SSV65" s="180"/>
      <c r="SSW65" s="180"/>
      <c r="SSX65" s="180"/>
      <c r="SSY65" s="180"/>
      <c r="SSZ65" s="180"/>
      <c r="STA65" s="180"/>
      <c r="STB65" s="180"/>
      <c r="STC65" s="180"/>
      <c r="STD65" s="180"/>
      <c r="STE65" s="180"/>
      <c r="STF65" s="180"/>
      <c r="STG65" s="180"/>
      <c r="STH65" s="180"/>
      <c r="STI65" s="180"/>
      <c r="STJ65" s="180"/>
      <c r="STK65" s="180"/>
      <c r="STL65" s="180"/>
      <c r="STM65" s="180"/>
      <c r="STN65" s="180"/>
      <c r="STO65" s="180"/>
      <c r="STP65" s="180"/>
      <c r="STQ65" s="180"/>
      <c r="STR65" s="180"/>
      <c r="STS65" s="180"/>
      <c r="STT65" s="180"/>
      <c r="STU65" s="180"/>
      <c r="STV65" s="180"/>
      <c r="STW65" s="180"/>
      <c r="STX65" s="180"/>
      <c r="STY65" s="180"/>
      <c r="STZ65" s="180"/>
      <c r="SUA65" s="180"/>
      <c r="SUB65" s="180"/>
      <c r="SUC65" s="180"/>
      <c r="SUD65" s="180"/>
      <c r="SUE65" s="180"/>
      <c r="SUF65" s="180"/>
      <c r="SUG65" s="180"/>
      <c r="SUH65" s="180"/>
      <c r="SUI65" s="180"/>
      <c r="SUJ65" s="180"/>
      <c r="SUK65" s="180"/>
      <c r="SUL65" s="180"/>
      <c r="SUM65" s="180"/>
      <c r="SUN65" s="180"/>
      <c r="SUO65" s="180"/>
      <c r="SUP65" s="180"/>
      <c r="SUQ65" s="180"/>
      <c r="SUR65" s="180"/>
      <c r="SUS65" s="180"/>
      <c r="SUT65" s="180"/>
      <c r="SUU65" s="180"/>
      <c r="SUV65" s="180"/>
      <c r="SUW65" s="180"/>
      <c r="SUX65" s="180"/>
      <c r="SUY65" s="180"/>
      <c r="SUZ65" s="180"/>
      <c r="SVA65" s="180"/>
      <c r="SVB65" s="180"/>
      <c r="SVC65" s="180"/>
      <c r="SVD65" s="180"/>
      <c r="SVE65" s="180"/>
      <c r="SVF65" s="180"/>
      <c r="SVG65" s="180"/>
      <c r="SVH65" s="180"/>
      <c r="SVI65" s="180"/>
      <c r="SVJ65" s="180"/>
      <c r="SVK65" s="180"/>
      <c r="SVL65" s="180"/>
      <c r="SVM65" s="180"/>
      <c r="SVN65" s="180"/>
      <c r="SVO65" s="180"/>
      <c r="SVP65" s="180"/>
      <c r="SVQ65" s="180"/>
      <c r="SVR65" s="180"/>
      <c r="SVS65" s="180"/>
      <c r="SVT65" s="180"/>
      <c r="SVU65" s="180"/>
      <c r="SVV65" s="180"/>
      <c r="SVW65" s="180"/>
      <c r="SVX65" s="180"/>
      <c r="SVY65" s="180"/>
      <c r="SVZ65" s="180"/>
      <c r="SWA65" s="180"/>
      <c r="SWB65" s="180"/>
      <c r="SWC65" s="180"/>
      <c r="SWD65" s="180"/>
      <c r="SWE65" s="180"/>
      <c r="SWF65" s="180"/>
      <c r="SWG65" s="180"/>
      <c r="SWH65" s="180"/>
      <c r="SWI65" s="180"/>
      <c r="SWJ65" s="180"/>
      <c r="SWK65" s="180"/>
      <c r="SWL65" s="180"/>
      <c r="SWM65" s="180"/>
      <c r="SWN65" s="180"/>
      <c r="SWO65" s="180"/>
      <c r="SWP65" s="180"/>
      <c r="SWQ65" s="180"/>
      <c r="SWR65" s="180"/>
      <c r="SWS65" s="180"/>
      <c r="SWT65" s="180"/>
      <c r="SWU65" s="180"/>
      <c r="SWV65" s="180"/>
      <c r="SWW65" s="180"/>
      <c r="SWX65" s="180"/>
      <c r="SWY65" s="180"/>
      <c r="SWZ65" s="180"/>
      <c r="SXA65" s="180"/>
      <c r="SXB65" s="180"/>
      <c r="SXC65" s="180"/>
      <c r="SXD65" s="180"/>
      <c r="SXE65" s="180"/>
      <c r="SXF65" s="180"/>
      <c r="SXG65" s="180"/>
      <c r="SXH65" s="180"/>
      <c r="SXI65" s="180"/>
      <c r="SXJ65" s="180"/>
      <c r="SXK65" s="180"/>
      <c r="SXL65" s="180"/>
      <c r="SXM65" s="180"/>
      <c r="SXN65" s="180"/>
      <c r="SXO65" s="180"/>
      <c r="SXP65" s="180"/>
      <c r="SXQ65" s="180"/>
      <c r="SXR65" s="180"/>
      <c r="SXS65" s="180"/>
      <c r="SXT65" s="180"/>
      <c r="SXU65" s="180"/>
      <c r="SXV65" s="180"/>
      <c r="SXW65" s="180"/>
      <c r="SXX65" s="180"/>
      <c r="SXY65" s="180"/>
      <c r="SXZ65" s="180"/>
      <c r="SYA65" s="180"/>
      <c r="SYB65" s="180"/>
      <c r="SYC65" s="180"/>
      <c r="SYD65" s="180"/>
      <c r="SYE65" s="180"/>
      <c r="SYF65" s="180"/>
      <c r="SYG65" s="180"/>
      <c r="SYH65" s="180"/>
      <c r="SYI65" s="180"/>
      <c r="SYJ65" s="180"/>
      <c r="SYK65" s="180"/>
      <c r="SYL65" s="180"/>
      <c r="SYM65" s="180"/>
      <c r="SYN65" s="180"/>
      <c r="SYO65" s="180"/>
      <c r="SYP65" s="180"/>
      <c r="SYQ65" s="180"/>
      <c r="SYR65" s="180"/>
      <c r="SYS65" s="180"/>
      <c r="SYT65" s="180"/>
      <c r="SYU65" s="180"/>
      <c r="SYV65" s="180"/>
      <c r="SYW65" s="180"/>
      <c r="SYX65" s="180"/>
      <c r="SYY65" s="180"/>
      <c r="SYZ65" s="180"/>
      <c r="SZA65" s="180"/>
      <c r="SZB65" s="180"/>
      <c r="SZC65" s="180"/>
      <c r="SZD65" s="180"/>
      <c r="SZE65" s="180"/>
      <c r="SZF65" s="180"/>
      <c r="SZG65" s="180"/>
      <c r="SZH65" s="180"/>
      <c r="SZI65" s="180"/>
      <c r="SZJ65" s="180"/>
      <c r="SZK65" s="180"/>
      <c r="SZL65" s="180"/>
      <c r="SZM65" s="180"/>
      <c r="SZN65" s="180"/>
      <c r="SZO65" s="180"/>
      <c r="SZP65" s="180"/>
      <c r="SZQ65" s="180"/>
      <c r="SZR65" s="180"/>
      <c r="SZS65" s="180"/>
      <c r="SZT65" s="180"/>
      <c r="SZU65" s="180"/>
      <c r="SZV65" s="180"/>
      <c r="SZW65" s="180"/>
      <c r="SZX65" s="180"/>
      <c r="SZY65" s="180"/>
      <c r="SZZ65" s="180"/>
      <c r="TAA65" s="180"/>
      <c r="TAB65" s="180"/>
      <c r="TAC65" s="180"/>
      <c r="TAD65" s="180"/>
      <c r="TAE65" s="180"/>
      <c r="TAF65" s="180"/>
      <c r="TAG65" s="180"/>
      <c r="TAH65" s="180"/>
      <c r="TAI65" s="180"/>
      <c r="TAJ65" s="180"/>
      <c r="TAK65" s="180"/>
      <c r="TAL65" s="180"/>
      <c r="TAM65" s="180"/>
      <c r="TAN65" s="180"/>
      <c r="TAO65" s="180"/>
      <c r="TAP65" s="180"/>
      <c r="TAQ65" s="180"/>
      <c r="TAR65" s="180"/>
      <c r="TAS65" s="180"/>
      <c r="TAT65" s="180"/>
      <c r="TAU65" s="180"/>
      <c r="TAV65" s="180"/>
      <c r="TAW65" s="180"/>
      <c r="TAX65" s="180"/>
      <c r="TAY65" s="180"/>
      <c r="TAZ65" s="180"/>
      <c r="TBA65" s="180"/>
      <c r="TBB65" s="180"/>
      <c r="TBC65" s="180"/>
      <c r="TBD65" s="180"/>
      <c r="TBE65" s="180"/>
      <c r="TBF65" s="180"/>
      <c r="TBG65" s="180"/>
      <c r="TBH65" s="180"/>
      <c r="TBI65" s="180"/>
      <c r="TBJ65" s="180"/>
      <c r="TBK65" s="180"/>
      <c r="TBL65" s="180"/>
      <c r="TBM65" s="180"/>
      <c r="TBN65" s="180"/>
      <c r="TBO65" s="180"/>
      <c r="TBP65" s="180"/>
      <c r="TBQ65" s="180"/>
      <c r="TBR65" s="180"/>
      <c r="TBS65" s="180"/>
      <c r="TBT65" s="180"/>
      <c r="TBU65" s="180"/>
      <c r="TBV65" s="180"/>
      <c r="TBW65" s="180"/>
      <c r="TBX65" s="180"/>
      <c r="TBY65" s="180"/>
      <c r="TBZ65" s="180"/>
      <c r="TCA65" s="180"/>
      <c r="TCB65" s="180"/>
      <c r="TCC65" s="180"/>
      <c r="TCD65" s="180"/>
      <c r="TCE65" s="180"/>
      <c r="TCF65" s="180"/>
      <c r="TCG65" s="180"/>
      <c r="TCH65" s="180"/>
      <c r="TCI65" s="180"/>
      <c r="TCJ65" s="180"/>
      <c r="TCK65" s="180"/>
      <c r="TCL65" s="180"/>
      <c r="TCM65" s="180"/>
      <c r="TCN65" s="180"/>
      <c r="TCO65" s="180"/>
      <c r="TCP65" s="180"/>
      <c r="TCQ65" s="180"/>
      <c r="TCR65" s="180"/>
      <c r="TCS65" s="180"/>
      <c r="TCT65" s="180"/>
      <c r="TCU65" s="180"/>
      <c r="TCV65" s="180"/>
      <c r="TCW65" s="180"/>
      <c r="TCX65" s="180"/>
      <c r="TCY65" s="180"/>
      <c r="TCZ65" s="180"/>
      <c r="TDA65" s="180"/>
      <c r="TDB65" s="180"/>
      <c r="TDC65" s="180"/>
      <c r="TDD65" s="180"/>
      <c r="TDE65" s="180"/>
      <c r="TDF65" s="180"/>
      <c r="TDG65" s="180"/>
      <c r="TDH65" s="180"/>
      <c r="TDI65" s="180"/>
      <c r="TDJ65" s="180"/>
      <c r="TDK65" s="180"/>
      <c r="TDL65" s="180"/>
      <c r="TDM65" s="180"/>
      <c r="TDN65" s="180"/>
      <c r="TDO65" s="180"/>
      <c r="TDP65" s="180"/>
      <c r="TDQ65" s="180"/>
      <c r="TDR65" s="180"/>
      <c r="TDS65" s="180"/>
      <c r="TDT65" s="180"/>
      <c r="TDU65" s="180"/>
      <c r="TDV65" s="180"/>
      <c r="TDW65" s="180"/>
      <c r="TDX65" s="180"/>
      <c r="TDY65" s="180"/>
      <c r="TDZ65" s="180"/>
      <c r="TEA65" s="180"/>
      <c r="TEB65" s="180"/>
      <c r="TEC65" s="180"/>
      <c r="TED65" s="180"/>
      <c r="TEE65" s="180"/>
      <c r="TEF65" s="180"/>
      <c r="TEG65" s="180"/>
      <c r="TEH65" s="180"/>
      <c r="TEI65" s="180"/>
      <c r="TEJ65" s="180"/>
      <c r="TEK65" s="180"/>
      <c r="TEL65" s="180"/>
      <c r="TEM65" s="180"/>
      <c r="TEN65" s="180"/>
      <c r="TEO65" s="180"/>
      <c r="TEP65" s="180"/>
      <c r="TEQ65" s="180"/>
      <c r="TER65" s="180"/>
      <c r="TES65" s="180"/>
      <c r="TET65" s="180"/>
      <c r="TEU65" s="180"/>
      <c r="TEV65" s="180"/>
      <c r="TEW65" s="180"/>
      <c r="TEX65" s="180"/>
      <c r="TEY65" s="180"/>
      <c r="TEZ65" s="180"/>
      <c r="TFA65" s="180"/>
      <c r="TFB65" s="180"/>
      <c r="TFC65" s="180"/>
      <c r="TFD65" s="180"/>
      <c r="TFE65" s="180"/>
      <c r="TFF65" s="180"/>
      <c r="TFG65" s="180"/>
      <c r="TFH65" s="180"/>
      <c r="TFI65" s="180"/>
      <c r="TFJ65" s="180"/>
      <c r="TFK65" s="180"/>
      <c r="TFL65" s="180"/>
      <c r="TFM65" s="180"/>
      <c r="TFN65" s="180"/>
      <c r="TFO65" s="180"/>
      <c r="TFP65" s="180"/>
      <c r="TFQ65" s="180"/>
      <c r="TFR65" s="180"/>
      <c r="TFS65" s="180"/>
      <c r="TFT65" s="180"/>
      <c r="TFU65" s="180"/>
      <c r="TFV65" s="180"/>
      <c r="TFW65" s="180"/>
      <c r="TFX65" s="180"/>
      <c r="TFY65" s="180"/>
      <c r="TFZ65" s="180"/>
      <c r="TGA65" s="180"/>
      <c r="TGB65" s="180"/>
      <c r="TGC65" s="180"/>
      <c r="TGD65" s="180"/>
      <c r="TGE65" s="180"/>
      <c r="TGF65" s="180"/>
      <c r="TGG65" s="180"/>
      <c r="TGH65" s="180"/>
      <c r="TGI65" s="180"/>
      <c r="TGJ65" s="180"/>
      <c r="TGK65" s="180"/>
      <c r="TGL65" s="180"/>
      <c r="TGM65" s="180"/>
      <c r="TGN65" s="180"/>
      <c r="TGO65" s="180"/>
      <c r="TGP65" s="180"/>
      <c r="TGQ65" s="180"/>
      <c r="TGR65" s="180"/>
      <c r="TGS65" s="180"/>
      <c r="TGT65" s="180"/>
      <c r="TGU65" s="180"/>
      <c r="TGV65" s="180"/>
      <c r="TGW65" s="180"/>
      <c r="TGX65" s="180"/>
      <c r="TGY65" s="180"/>
      <c r="TGZ65" s="180"/>
      <c r="THA65" s="180"/>
      <c r="THB65" s="180"/>
      <c r="THC65" s="180"/>
      <c r="THD65" s="180"/>
      <c r="THE65" s="180"/>
      <c r="THF65" s="180"/>
      <c r="THG65" s="180"/>
      <c r="THH65" s="180"/>
      <c r="THI65" s="180"/>
      <c r="THJ65" s="180"/>
      <c r="THK65" s="180"/>
      <c r="THL65" s="180"/>
      <c r="THM65" s="180"/>
      <c r="THN65" s="180"/>
      <c r="THO65" s="180"/>
      <c r="THP65" s="180"/>
      <c r="THQ65" s="180"/>
      <c r="THR65" s="180"/>
      <c r="THS65" s="180"/>
      <c r="THT65" s="180"/>
      <c r="THU65" s="180"/>
      <c r="THV65" s="180"/>
      <c r="THW65" s="180"/>
      <c r="THX65" s="180"/>
      <c r="THY65" s="180"/>
      <c r="THZ65" s="180"/>
      <c r="TIA65" s="180"/>
      <c r="TIB65" s="180"/>
      <c r="TIC65" s="180"/>
      <c r="TID65" s="180"/>
      <c r="TIE65" s="180"/>
      <c r="TIF65" s="180"/>
      <c r="TIG65" s="180"/>
      <c r="TIH65" s="180"/>
      <c r="TII65" s="180"/>
      <c r="TIJ65" s="180"/>
      <c r="TIK65" s="180"/>
      <c r="TIL65" s="180"/>
      <c r="TIM65" s="180"/>
      <c r="TIN65" s="180"/>
      <c r="TIO65" s="180"/>
      <c r="TIP65" s="180"/>
      <c r="TIQ65" s="180"/>
      <c r="TIR65" s="180"/>
      <c r="TIS65" s="180"/>
      <c r="TIT65" s="180"/>
      <c r="TIU65" s="180"/>
      <c r="TIV65" s="180"/>
      <c r="TIW65" s="180"/>
      <c r="TIX65" s="180"/>
      <c r="TIY65" s="180"/>
      <c r="TIZ65" s="180"/>
      <c r="TJA65" s="180"/>
      <c r="TJB65" s="180"/>
      <c r="TJC65" s="180"/>
      <c r="TJD65" s="180"/>
      <c r="TJE65" s="180"/>
      <c r="TJF65" s="180"/>
      <c r="TJG65" s="180"/>
      <c r="TJH65" s="180"/>
      <c r="TJI65" s="180"/>
      <c r="TJJ65" s="180"/>
      <c r="TJK65" s="180"/>
      <c r="TJL65" s="180"/>
      <c r="TJM65" s="180"/>
      <c r="TJN65" s="180"/>
      <c r="TJO65" s="180"/>
      <c r="TJP65" s="180"/>
      <c r="TJQ65" s="180"/>
      <c r="TJR65" s="180"/>
      <c r="TJS65" s="180"/>
      <c r="TJT65" s="180"/>
      <c r="TJU65" s="180"/>
      <c r="TJV65" s="180"/>
      <c r="TJW65" s="180"/>
      <c r="TJX65" s="180"/>
      <c r="TJY65" s="180"/>
      <c r="TJZ65" s="180"/>
      <c r="TKA65" s="180"/>
      <c r="TKB65" s="180"/>
      <c r="TKC65" s="180"/>
      <c r="TKD65" s="180"/>
      <c r="TKE65" s="180"/>
      <c r="TKF65" s="180"/>
      <c r="TKG65" s="180"/>
      <c r="TKH65" s="180"/>
      <c r="TKI65" s="180"/>
      <c r="TKJ65" s="180"/>
      <c r="TKK65" s="180"/>
      <c r="TKL65" s="180"/>
      <c r="TKM65" s="180"/>
      <c r="TKN65" s="180"/>
      <c r="TKO65" s="180"/>
      <c r="TKP65" s="180"/>
      <c r="TKQ65" s="180"/>
      <c r="TKR65" s="180"/>
      <c r="TKS65" s="180"/>
      <c r="TKT65" s="180"/>
      <c r="TKU65" s="180"/>
      <c r="TKV65" s="180"/>
      <c r="TKW65" s="180"/>
      <c r="TKX65" s="180"/>
      <c r="TKY65" s="180"/>
      <c r="TKZ65" s="180"/>
      <c r="TLA65" s="180"/>
      <c r="TLB65" s="180"/>
      <c r="TLC65" s="180"/>
      <c r="TLD65" s="180"/>
      <c r="TLE65" s="180"/>
      <c r="TLF65" s="180"/>
      <c r="TLG65" s="180"/>
      <c r="TLH65" s="180"/>
      <c r="TLI65" s="180"/>
      <c r="TLJ65" s="180"/>
      <c r="TLK65" s="180"/>
      <c r="TLL65" s="180"/>
      <c r="TLM65" s="180"/>
      <c r="TLN65" s="180"/>
      <c r="TLO65" s="180"/>
      <c r="TLP65" s="180"/>
      <c r="TLQ65" s="180"/>
      <c r="TLR65" s="180"/>
      <c r="TLS65" s="180"/>
      <c r="TLT65" s="180"/>
      <c r="TLU65" s="180"/>
      <c r="TLV65" s="180"/>
      <c r="TLW65" s="180"/>
      <c r="TLX65" s="180"/>
      <c r="TLY65" s="180"/>
      <c r="TLZ65" s="180"/>
      <c r="TMA65" s="180"/>
      <c r="TMB65" s="180"/>
      <c r="TMC65" s="180"/>
      <c r="TMD65" s="180"/>
      <c r="TME65" s="180"/>
      <c r="TMF65" s="180"/>
      <c r="TMG65" s="180"/>
      <c r="TMH65" s="180"/>
      <c r="TMI65" s="180"/>
      <c r="TMJ65" s="180"/>
      <c r="TMK65" s="180"/>
      <c r="TML65" s="180"/>
      <c r="TMM65" s="180"/>
      <c r="TMN65" s="180"/>
      <c r="TMO65" s="180"/>
      <c r="TMP65" s="180"/>
      <c r="TMQ65" s="180"/>
      <c r="TMR65" s="180"/>
      <c r="TMS65" s="180"/>
      <c r="TMT65" s="180"/>
      <c r="TMU65" s="180"/>
      <c r="TMV65" s="180"/>
      <c r="TMW65" s="180"/>
      <c r="TMX65" s="180"/>
      <c r="TMY65" s="180"/>
      <c r="TMZ65" s="180"/>
      <c r="TNA65" s="180"/>
      <c r="TNB65" s="180"/>
      <c r="TNC65" s="180"/>
      <c r="TND65" s="180"/>
      <c r="TNE65" s="180"/>
      <c r="TNF65" s="180"/>
      <c r="TNG65" s="180"/>
      <c r="TNH65" s="180"/>
      <c r="TNI65" s="180"/>
      <c r="TNJ65" s="180"/>
      <c r="TNK65" s="180"/>
      <c r="TNL65" s="180"/>
      <c r="TNM65" s="180"/>
      <c r="TNN65" s="180"/>
      <c r="TNO65" s="180"/>
      <c r="TNP65" s="180"/>
      <c r="TNQ65" s="180"/>
      <c r="TNR65" s="180"/>
      <c r="TNS65" s="180"/>
      <c r="TNT65" s="180"/>
      <c r="TNU65" s="180"/>
      <c r="TNV65" s="180"/>
      <c r="TNW65" s="180"/>
      <c r="TNX65" s="180"/>
      <c r="TNY65" s="180"/>
      <c r="TNZ65" s="180"/>
      <c r="TOA65" s="180"/>
      <c r="TOB65" s="180"/>
      <c r="TOC65" s="180"/>
      <c r="TOD65" s="180"/>
      <c r="TOE65" s="180"/>
      <c r="TOF65" s="180"/>
      <c r="TOG65" s="180"/>
      <c r="TOH65" s="180"/>
      <c r="TOI65" s="180"/>
      <c r="TOJ65" s="180"/>
      <c r="TOK65" s="180"/>
      <c r="TOL65" s="180"/>
      <c r="TOM65" s="180"/>
      <c r="TON65" s="180"/>
      <c r="TOO65" s="180"/>
      <c r="TOP65" s="180"/>
      <c r="TOQ65" s="180"/>
      <c r="TOR65" s="180"/>
      <c r="TOS65" s="180"/>
      <c r="TOT65" s="180"/>
      <c r="TOU65" s="180"/>
      <c r="TOV65" s="180"/>
      <c r="TOW65" s="180"/>
      <c r="TOX65" s="180"/>
      <c r="TOY65" s="180"/>
      <c r="TOZ65" s="180"/>
      <c r="TPA65" s="180"/>
      <c r="TPB65" s="180"/>
      <c r="TPC65" s="180"/>
      <c r="TPD65" s="180"/>
      <c r="TPE65" s="180"/>
      <c r="TPF65" s="180"/>
      <c r="TPG65" s="180"/>
      <c r="TPH65" s="180"/>
      <c r="TPI65" s="180"/>
      <c r="TPJ65" s="180"/>
      <c r="TPK65" s="180"/>
      <c r="TPL65" s="180"/>
      <c r="TPM65" s="180"/>
      <c r="TPN65" s="180"/>
      <c r="TPO65" s="180"/>
      <c r="TPP65" s="180"/>
      <c r="TPQ65" s="180"/>
      <c r="TPR65" s="180"/>
      <c r="TPS65" s="180"/>
      <c r="TPT65" s="180"/>
      <c r="TPU65" s="180"/>
      <c r="TPV65" s="180"/>
      <c r="TPW65" s="180"/>
      <c r="TPX65" s="180"/>
      <c r="TPY65" s="180"/>
      <c r="TPZ65" s="180"/>
      <c r="TQA65" s="180"/>
      <c r="TQB65" s="180"/>
      <c r="TQC65" s="180"/>
      <c r="TQD65" s="180"/>
      <c r="TQE65" s="180"/>
      <c r="TQF65" s="180"/>
      <c r="TQG65" s="180"/>
      <c r="TQH65" s="180"/>
      <c r="TQI65" s="180"/>
      <c r="TQJ65" s="180"/>
      <c r="TQK65" s="180"/>
      <c r="TQL65" s="180"/>
      <c r="TQM65" s="180"/>
      <c r="TQN65" s="180"/>
      <c r="TQO65" s="180"/>
      <c r="TQP65" s="180"/>
      <c r="TQQ65" s="180"/>
      <c r="TQR65" s="180"/>
      <c r="TQS65" s="180"/>
      <c r="TQT65" s="180"/>
      <c r="TQU65" s="180"/>
      <c r="TQV65" s="180"/>
      <c r="TQW65" s="180"/>
      <c r="TQX65" s="180"/>
      <c r="TQY65" s="180"/>
      <c r="TQZ65" s="180"/>
      <c r="TRA65" s="180"/>
      <c r="TRB65" s="180"/>
      <c r="TRC65" s="180"/>
      <c r="TRD65" s="180"/>
      <c r="TRE65" s="180"/>
      <c r="TRF65" s="180"/>
      <c r="TRG65" s="180"/>
      <c r="TRH65" s="180"/>
      <c r="TRI65" s="180"/>
      <c r="TRJ65" s="180"/>
      <c r="TRK65" s="180"/>
      <c r="TRL65" s="180"/>
      <c r="TRM65" s="180"/>
      <c r="TRN65" s="180"/>
      <c r="TRO65" s="180"/>
      <c r="TRP65" s="180"/>
      <c r="TRQ65" s="180"/>
      <c r="TRR65" s="180"/>
      <c r="TRS65" s="180"/>
      <c r="TRT65" s="180"/>
      <c r="TRU65" s="180"/>
      <c r="TRV65" s="180"/>
      <c r="TRW65" s="180"/>
      <c r="TRX65" s="180"/>
      <c r="TRY65" s="180"/>
      <c r="TRZ65" s="180"/>
      <c r="TSA65" s="180"/>
      <c r="TSB65" s="180"/>
      <c r="TSC65" s="180"/>
      <c r="TSD65" s="180"/>
      <c r="TSE65" s="180"/>
      <c r="TSF65" s="180"/>
      <c r="TSG65" s="180"/>
      <c r="TSH65" s="180"/>
      <c r="TSI65" s="180"/>
      <c r="TSJ65" s="180"/>
      <c r="TSK65" s="180"/>
      <c r="TSL65" s="180"/>
      <c r="TSM65" s="180"/>
      <c r="TSN65" s="180"/>
      <c r="TSO65" s="180"/>
      <c r="TSP65" s="180"/>
      <c r="TSQ65" s="180"/>
      <c r="TSR65" s="180"/>
      <c r="TSS65" s="180"/>
      <c r="TST65" s="180"/>
      <c r="TSU65" s="180"/>
      <c r="TSV65" s="180"/>
      <c r="TSW65" s="180"/>
      <c r="TSX65" s="180"/>
      <c r="TSY65" s="180"/>
      <c r="TSZ65" s="180"/>
      <c r="TTA65" s="180"/>
      <c r="TTB65" s="180"/>
      <c r="TTC65" s="180"/>
      <c r="TTD65" s="180"/>
      <c r="TTE65" s="180"/>
      <c r="TTF65" s="180"/>
      <c r="TTG65" s="180"/>
      <c r="TTH65" s="180"/>
      <c r="TTI65" s="180"/>
      <c r="TTJ65" s="180"/>
      <c r="TTK65" s="180"/>
      <c r="TTL65" s="180"/>
      <c r="TTM65" s="180"/>
      <c r="TTN65" s="180"/>
      <c r="TTO65" s="180"/>
      <c r="TTP65" s="180"/>
      <c r="TTQ65" s="180"/>
      <c r="TTR65" s="180"/>
      <c r="TTS65" s="180"/>
      <c r="TTT65" s="180"/>
      <c r="TTU65" s="180"/>
      <c r="TTV65" s="180"/>
      <c r="TTW65" s="180"/>
      <c r="TTX65" s="180"/>
      <c r="TTY65" s="180"/>
      <c r="TTZ65" s="180"/>
      <c r="TUA65" s="180"/>
      <c r="TUB65" s="180"/>
      <c r="TUC65" s="180"/>
      <c r="TUD65" s="180"/>
      <c r="TUE65" s="180"/>
      <c r="TUF65" s="180"/>
      <c r="TUG65" s="180"/>
      <c r="TUH65" s="180"/>
      <c r="TUI65" s="180"/>
      <c r="TUJ65" s="180"/>
      <c r="TUK65" s="180"/>
      <c r="TUL65" s="180"/>
      <c r="TUM65" s="180"/>
      <c r="TUN65" s="180"/>
      <c r="TUO65" s="180"/>
      <c r="TUP65" s="180"/>
      <c r="TUQ65" s="180"/>
      <c r="TUR65" s="180"/>
      <c r="TUS65" s="180"/>
      <c r="TUT65" s="180"/>
      <c r="TUU65" s="180"/>
      <c r="TUV65" s="180"/>
      <c r="TUW65" s="180"/>
      <c r="TUX65" s="180"/>
      <c r="TUY65" s="180"/>
      <c r="TUZ65" s="180"/>
      <c r="TVA65" s="180"/>
      <c r="TVB65" s="180"/>
      <c r="TVC65" s="180"/>
      <c r="TVD65" s="180"/>
      <c r="TVE65" s="180"/>
      <c r="TVF65" s="180"/>
      <c r="TVG65" s="180"/>
      <c r="TVH65" s="180"/>
      <c r="TVI65" s="180"/>
      <c r="TVJ65" s="180"/>
      <c r="TVK65" s="180"/>
      <c r="TVL65" s="180"/>
      <c r="TVM65" s="180"/>
      <c r="TVN65" s="180"/>
      <c r="TVO65" s="180"/>
      <c r="TVP65" s="180"/>
      <c r="TVQ65" s="180"/>
      <c r="TVR65" s="180"/>
      <c r="TVS65" s="180"/>
      <c r="TVT65" s="180"/>
      <c r="TVU65" s="180"/>
      <c r="TVV65" s="180"/>
      <c r="TVW65" s="180"/>
      <c r="TVX65" s="180"/>
      <c r="TVY65" s="180"/>
      <c r="TVZ65" s="180"/>
      <c r="TWA65" s="180"/>
      <c r="TWB65" s="180"/>
      <c r="TWC65" s="180"/>
      <c r="TWD65" s="180"/>
      <c r="TWE65" s="180"/>
      <c r="TWF65" s="180"/>
      <c r="TWG65" s="180"/>
      <c r="TWH65" s="180"/>
      <c r="TWI65" s="180"/>
      <c r="TWJ65" s="180"/>
      <c r="TWK65" s="180"/>
      <c r="TWL65" s="180"/>
      <c r="TWM65" s="180"/>
      <c r="TWN65" s="180"/>
      <c r="TWO65" s="180"/>
      <c r="TWP65" s="180"/>
      <c r="TWQ65" s="180"/>
      <c r="TWR65" s="180"/>
      <c r="TWS65" s="180"/>
      <c r="TWT65" s="180"/>
      <c r="TWU65" s="180"/>
      <c r="TWV65" s="180"/>
      <c r="TWW65" s="180"/>
      <c r="TWX65" s="180"/>
      <c r="TWY65" s="180"/>
      <c r="TWZ65" s="180"/>
      <c r="TXA65" s="180"/>
      <c r="TXB65" s="180"/>
      <c r="TXC65" s="180"/>
      <c r="TXD65" s="180"/>
      <c r="TXE65" s="180"/>
      <c r="TXF65" s="180"/>
      <c r="TXG65" s="180"/>
      <c r="TXH65" s="180"/>
      <c r="TXI65" s="180"/>
      <c r="TXJ65" s="180"/>
      <c r="TXK65" s="180"/>
      <c r="TXL65" s="180"/>
      <c r="TXM65" s="180"/>
      <c r="TXN65" s="180"/>
      <c r="TXO65" s="180"/>
      <c r="TXP65" s="180"/>
      <c r="TXQ65" s="180"/>
      <c r="TXR65" s="180"/>
      <c r="TXS65" s="180"/>
      <c r="TXT65" s="180"/>
      <c r="TXU65" s="180"/>
      <c r="TXV65" s="180"/>
      <c r="TXW65" s="180"/>
      <c r="TXX65" s="180"/>
      <c r="TXY65" s="180"/>
      <c r="TXZ65" s="180"/>
      <c r="TYA65" s="180"/>
      <c r="TYB65" s="180"/>
      <c r="TYC65" s="180"/>
      <c r="TYD65" s="180"/>
      <c r="TYE65" s="180"/>
      <c r="TYF65" s="180"/>
      <c r="TYG65" s="180"/>
      <c r="TYH65" s="180"/>
      <c r="TYI65" s="180"/>
      <c r="TYJ65" s="180"/>
      <c r="TYK65" s="180"/>
      <c r="TYL65" s="180"/>
      <c r="TYM65" s="180"/>
      <c r="TYN65" s="180"/>
      <c r="TYO65" s="180"/>
      <c r="TYP65" s="180"/>
      <c r="TYQ65" s="180"/>
      <c r="TYR65" s="180"/>
      <c r="TYS65" s="180"/>
      <c r="TYT65" s="180"/>
      <c r="TYU65" s="180"/>
      <c r="TYV65" s="180"/>
      <c r="TYW65" s="180"/>
      <c r="TYX65" s="180"/>
      <c r="TYY65" s="180"/>
      <c r="TYZ65" s="180"/>
      <c r="TZA65" s="180"/>
      <c r="TZB65" s="180"/>
      <c r="TZC65" s="180"/>
      <c r="TZD65" s="180"/>
      <c r="TZE65" s="180"/>
      <c r="TZF65" s="180"/>
      <c r="TZG65" s="180"/>
      <c r="TZH65" s="180"/>
      <c r="TZI65" s="180"/>
      <c r="TZJ65" s="180"/>
      <c r="TZK65" s="180"/>
      <c r="TZL65" s="180"/>
      <c r="TZM65" s="180"/>
      <c r="TZN65" s="180"/>
      <c r="TZO65" s="180"/>
      <c r="TZP65" s="180"/>
      <c r="TZQ65" s="180"/>
      <c r="TZR65" s="180"/>
      <c r="TZS65" s="180"/>
      <c r="TZT65" s="180"/>
      <c r="TZU65" s="180"/>
      <c r="TZV65" s="180"/>
      <c r="TZW65" s="180"/>
      <c r="TZX65" s="180"/>
      <c r="TZY65" s="180"/>
      <c r="TZZ65" s="180"/>
      <c r="UAA65" s="180"/>
      <c r="UAB65" s="180"/>
      <c r="UAC65" s="180"/>
      <c r="UAD65" s="180"/>
      <c r="UAE65" s="180"/>
      <c r="UAF65" s="180"/>
      <c r="UAG65" s="180"/>
      <c r="UAH65" s="180"/>
      <c r="UAI65" s="180"/>
      <c r="UAJ65" s="180"/>
      <c r="UAK65" s="180"/>
      <c r="UAL65" s="180"/>
      <c r="UAM65" s="180"/>
      <c r="UAN65" s="180"/>
      <c r="UAO65" s="180"/>
      <c r="UAP65" s="180"/>
      <c r="UAQ65" s="180"/>
      <c r="UAR65" s="180"/>
      <c r="UAS65" s="180"/>
      <c r="UAT65" s="180"/>
      <c r="UAU65" s="180"/>
      <c r="UAV65" s="180"/>
      <c r="UAW65" s="180"/>
      <c r="UAX65" s="180"/>
      <c r="UAY65" s="180"/>
      <c r="UAZ65" s="180"/>
      <c r="UBA65" s="180"/>
      <c r="UBB65" s="180"/>
      <c r="UBC65" s="180"/>
      <c r="UBD65" s="180"/>
      <c r="UBE65" s="180"/>
      <c r="UBF65" s="180"/>
      <c r="UBG65" s="180"/>
      <c r="UBH65" s="180"/>
      <c r="UBI65" s="180"/>
      <c r="UBJ65" s="180"/>
      <c r="UBK65" s="180"/>
      <c r="UBL65" s="180"/>
      <c r="UBM65" s="180"/>
      <c r="UBN65" s="180"/>
      <c r="UBO65" s="180"/>
      <c r="UBP65" s="180"/>
      <c r="UBQ65" s="180"/>
      <c r="UBR65" s="180"/>
      <c r="UBS65" s="180"/>
      <c r="UBT65" s="180"/>
      <c r="UBU65" s="180"/>
      <c r="UBV65" s="180"/>
      <c r="UBW65" s="180"/>
      <c r="UBX65" s="180"/>
      <c r="UBY65" s="180"/>
      <c r="UBZ65" s="180"/>
      <c r="UCA65" s="180"/>
      <c r="UCB65" s="180"/>
      <c r="UCC65" s="180"/>
      <c r="UCD65" s="180"/>
      <c r="UCE65" s="180"/>
      <c r="UCF65" s="180"/>
      <c r="UCG65" s="180"/>
      <c r="UCH65" s="180"/>
      <c r="UCI65" s="180"/>
      <c r="UCJ65" s="180"/>
      <c r="UCK65" s="180"/>
      <c r="UCL65" s="180"/>
      <c r="UCM65" s="180"/>
      <c r="UCN65" s="180"/>
      <c r="UCO65" s="180"/>
      <c r="UCP65" s="180"/>
      <c r="UCQ65" s="180"/>
      <c r="UCR65" s="180"/>
      <c r="UCS65" s="180"/>
      <c r="UCT65" s="180"/>
      <c r="UCU65" s="180"/>
      <c r="UCV65" s="180"/>
      <c r="UCW65" s="180"/>
      <c r="UCX65" s="180"/>
      <c r="UCY65" s="180"/>
      <c r="UCZ65" s="180"/>
      <c r="UDA65" s="180"/>
      <c r="UDB65" s="180"/>
      <c r="UDC65" s="180"/>
      <c r="UDD65" s="180"/>
      <c r="UDE65" s="180"/>
      <c r="UDF65" s="180"/>
      <c r="UDG65" s="180"/>
      <c r="UDH65" s="180"/>
      <c r="UDI65" s="180"/>
      <c r="UDJ65" s="180"/>
      <c r="UDK65" s="180"/>
      <c r="UDL65" s="180"/>
      <c r="UDM65" s="180"/>
      <c r="UDN65" s="180"/>
      <c r="UDO65" s="180"/>
      <c r="UDP65" s="180"/>
      <c r="UDQ65" s="180"/>
      <c r="UDR65" s="180"/>
      <c r="UDS65" s="180"/>
      <c r="UDT65" s="180"/>
      <c r="UDU65" s="180"/>
      <c r="UDV65" s="180"/>
      <c r="UDW65" s="180"/>
      <c r="UDX65" s="180"/>
      <c r="UDY65" s="180"/>
      <c r="UDZ65" s="180"/>
      <c r="UEA65" s="180"/>
      <c r="UEB65" s="180"/>
      <c r="UEC65" s="180"/>
      <c r="UED65" s="180"/>
      <c r="UEE65" s="180"/>
      <c r="UEF65" s="180"/>
      <c r="UEG65" s="180"/>
      <c r="UEH65" s="180"/>
      <c r="UEI65" s="180"/>
      <c r="UEJ65" s="180"/>
      <c r="UEK65" s="180"/>
      <c r="UEL65" s="180"/>
      <c r="UEM65" s="180"/>
      <c r="UEN65" s="180"/>
      <c r="UEO65" s="180"/>
      <c r="UEP65" s="180"/>
      <c r="UEQ65" s="180"/>
      <c r="UER65" s="180"/>
      <c r="UES65" s="180"/>
      <c r="UET65" s="180"/>
      <c r="UEU65" s="180"/>
      <c r="UEV65" s="180"/>
      <c r="UEW65" s="180"/>
      <c r="UEX65" s="180"/>
      <c r="UEY65" s="180"/>
      <c r="UEZ65" s="180"/>
      <c r="UFA65" s="180"/>
      <c r="UFB65" s="180"/>
      <c r="UFC65" s="180"/>
      <c r="UFD65" s="180"/>
      <c r="UFE65" s="180"/>
      <c r="UFF65" s="180"/>
      <c r="UFG65" s="180"/>
      <c r="UFH65" s="180"/>
      <c r="UFI65" s="180"/>
      <c r="UFJ65" s="180"/>
      <c r="UFK65" s="180"/>
      <c r="UFL65" s="180"/>
      <c r="UFM65" s="180"/>
      <c r="UFN65" s="180"/>
      <c r="UFO65" s="180"/>
      <c r="UFP65" s="180"/>
      <c r="UFQ65" s="180"/>
      <c r="UFR65" s="180"/>
      <c r="UFS65" s="180"/>
      <c r="UFT65" s="180"/>
      <c r="UFU65" s="180"/>
      <c r="UFV65" s="180"/>
      <c r="UFW65" s="180"/>
      <c r="UFX65" s="180"/>
      <c r="UFY65" s="180"/>
      <c r="UFZ65" s="180"/>
      <c r="UGA65" s="180"/>
      <c r="UGB65" s="180"/>
      <c r="UGC65" s="180"/>
      <c r="UGD65" s="180"/>
      <c r="UGE65" s="180"/>
      <c r="UGF65" s="180"/>
      <c r="UGG65" s="180"/>
      <c r="UGH65" s="180"/>
      <c r="UGI65" s="180"/>
      <c r="UGJ65" s="180"/>
      <c r="UGK65" s="180"/>
      <c r="UGL65" s="180"/>
      <c r="UGM65" s="180"/>
      <c r="UGN65" s="180"/>
      <c r="UGO65" s="180"/>
      <c r="UGP65" s="180"/>
      <c r="UGQ65" s="180"/>
      <c r="UGR65" s="180"/>
      <c r="UGS65" s="180"/>
      <c r="UGT65" s="180"/>
      <c r="UGU65" s="180"/>
      <c r="UGV65" s="180"/>
      <c r="UGW65" s="180"/>
      <c r="UGX65" s="180"/>
      <c r="UGY65" s="180"/>
      <c r="UGZ65" s="180"/>
      <c r="UHA65" s="180"/>
      <c r="UHB65" s="180"/>
      <c r="UHC65" s="180"/>
      <c r="UHD65" s="180"/>
      <c r="UHE65" s="180"/>
      <c r="UHF65" s="180"/>
      <c r="UHG65" s="180"/>
      <c r="UHH65" s="180"/>
      <c r="UHI65" s="180"/>
      <c r="UHJ65" s="180"/>
      <c r="UHK65" s="180"/>
      <c r="UHL65" s="180"/>
      <c r="UHM65" s="180"/>
      <c r="UHN65" s="180"/>
      <c r="UHO65" s="180"/>
      <c r="UHP65" s="180"/>
      <c r="UHQ65" s="180"/>
      <c r="UHR65" s="180"/>
      <c r="UHS65" s="180"/>
      <c r="UHT65" s="180"/>
      <c r="UHU65" s="180"/>
      <c r="UHV65" s="180"/>
      <c r="UHW65" s="180"/>
      <c r="UHX65" s="180"/>
      <c r="UHY65" s="180"/>
      <c r="UHZ65" s="180"/>
      <c r="UIA65" s="180"/>
      <c r="UIB65" s="180"/>
      <c r="UIC65" s="180"/>
      <c r="UID65" s="180"/>
      <c r="UIE65" s="180"/>
      <c r="UIF65" s="180"/>
      <c r="UIG65" s="180"/>
      <c r="UIH65" s="180"/>
      <c r="UII65" s="180"/>
      <c r="UIJ65" s="180"/>
      <c r="UIK65" s="180"/>
      <c r="UIL65" s="180"/>
      <c r="UIM65" s="180"/>
      <c r="UIN65" s="180"/>
      <c r="UIO65" s="180"/>
      <c r="UIP65" s="180"/>
      <c r="UIQ65" s="180"/>
      <c r="UIR65" s="180"/>
      <c r="UIS65" s="180"/>
      <c r="UIT65" s="180"/>
      <c r="UIU65" s="180"/>
      <c r="UIV65" s="180"/>
      <c r="UIW65" s="180"/>
      <c r="UIX65" s="180"/>
      <c r="UIY65" s="180"/>
      <c r="UIZ65" s="180"/>
      <c r="UJA65" s="180"/>
      <c r="UJB65" s="180"/>
      <c r="UJC65" s="180"/>
      <c r="UJD65" s="180"/>
      <c r="UJE65" s="180"/>
      <c r="UJF65" s="180"/>
      <c r="UJG65" s="180"/>
      <c r="UJH65" s="180"/>
      <c r="UJI65" s="180"/>
      <c r="UJJ65" s="180"/>
      <c r="UJK65" s="180"/>
      <c r="UJL65" s="180"/>
      <c r="UJM65" s="180"/>
      <c r="UJN65" s="180"/>
      <c r="UJO65" s="180"/>
      <c r="UJP65" s="180"/>
      <c r="UJQ65" s="180"/>
      <c r="UJR65" s="180"/>
      <c r="UJS65" s="180"/>
      <c r="UJT65" s="180"/>
      <c r="UJU65" s="180"/>
      <c r="UJV65" s="180"/>
      <c r="UJW65" s="180"/>
      <c r="UJX65" s="180"/>
      <c r="UJY65" s="180"/>
      <c r="UJZ65" s="180"/>
      <c r="UKA65" s="180"/>
      <c r="UKB65" s="180"/>
      <c r="UKC65" s="180"/>
      <c r="UKD65" s="180"/>
      <c r="UKE65" s="180"/>
      <c r="UKF65" s="180"/>
      <c r="UKG65" s="180"/>
      <c r="UKH65" s="180"/>
      <c r="UKI65" s="180"/>
      <c r="UKJ65" s="180"/>
      <c r="UKK65" s="180"/>
      <c r="UKL65" s="180"/>
      <c r="UKM65" s="180"/>
      <c r="UKN65" s="180"/>
      <c r="UKO65" s="180"/>
      <c r="UKP65" s="180"/>
      <c r="UKQ65" s="180"/>
      <c r="UKR65" s="180"/>
      <c r="UKS65" s="180"/>
      <c r="UKT65" s="180"/>
      <c r="UKU65" s="180"/>
      <c r="UKV65" s="180"/>
      <c r="UKW65" s="180"/>
      <c r="UKX65" s="180"/>
      <c r="UKY65" s="180"/>
      <c r="UKZ65" s="180"/>
      <c r="ULA65" s="180"/>
      <c r="ULB65" s="180"/>
      <c r="ULC65" s="180"/>
      <c r="ULD65" s="180"/>
      <c r="ULE65" s="180"/>
      <c r="ULF65" s="180"/>
      <c r="ULG65" s="180"/>
      <c r="ULH65" s="180"/>
      <c r="ULI65" s="180"/>
      <c r="ULJ65" s="180"/>
      <c r="ULK65" s="180"/>
      <c r="ULL65" s="180"/>
      <c r="ULM65" s="180"/>
      <c r="ULN65" s="180"/>
      <c r="ULO65" s="180"/>
      <c r="ULP65" s="180"/>
      <c r="ULQ65" s="180"/>
      <c r="ULR65" s="180"/>
      <c r="ULS65" s="180"/>
      <c r="ULT65" s="180"/>
      <c r="ULU65" s="180"/>
      <c r="ULV65" s="180"/>
      <c r="ULW65" s="180"/>
      <c r="ULX65" s="180"/>
      <c r="ULY65" s="180"/>
      <c r="ULZ65" s="180"/>
      <c r="UMA65" s="180"/>
      <c r="UMB65" s="180"/>
      <c r="UMC65" s="180"/>
      <c r="UMD65" s="180"/>
      <c r="UME65" s="180"/>
      <c r="UMF65" s="180"/>
      <c r="UMG65" s="180"/>
      <c r="UMH65" s="180"/>
      <c r="UMI65" s="180"/>
      <c r="UMJ65" s="180"/>
      <c r="UMK65" s="180"/>
      <c r="UML65" s="180"/>
      <c r="UMM65" s="180"/>
      <c r="UMN65" s="180"/>
      <c r="UMO65" s="180"/>
      <c r="UMP65" s="180"/>
      <c r="UMQ65" s="180"/>
      <c r="UMR65" s="180"/>
      <c r="UMS65" s="180"/>
      <c r="UMT65" s="180"/>
      <c r="UMU65" s="180"/>
      <c r="UMV65" s="180"/>
      <c r="UMW65" s="180"/>
      <c r="UMX65" s="180"/>
      <c r="UMY65" s="180"/>
      <c r="UMZ65" s="180"/>
      <c r="UNA65" s="180"/>
      <c r="UNB65" s="180"/>
      <c r="UNC65" s="180"/>
      <c r="UND65" s="180"/>
      <c r="UNE65" s="180"/>
      <c r="UNF65" s="180"/>
      <c r="UNG65" s="180"/>
      <c r="UNH65" s="180"/>
      <c r="UNI65" s="180"/>
      <c r="UNJ65" s="180"/>
      <c r="UNK65" s="180"/>
      <c r="UNL65" s="180"/>
      <c r="UNM65" s="180"/>
      <c r="UNN65" s="180"/>
      <c r="UNO65" s="180"/>
      <c r="UNP65" s="180"/>
      <c r="UNQ65" s="180"/>
      <c r="UNR65" s="180"/>
      <c r="UNS65" s="180"/>
      <c r="UNT65" s="180"/>
      <c r="UNU65" s="180"/>
      <c r="UNV65" s="180"/>
      <c r="UNW65" s="180"/>
      <c r="UNX65" s="180"/>
      <c r="UNY65" s="180"/>
      <c r="UNZ65" s="180"/>
      <c r="UOA65" s="180"/>
      <c r="UOB65" s="180"/>
      <c r="UOC65" s="180"/>
      <c r="UOD65" s="180"/>
      <c r="UOE65" s="180"/>
      <c r="UOF65" s="180"/>
      <c r="UOG65" s="180"/>
      <c r="UOH65" s="180"/>
      <c r="UOI65" s="180"/>
      <c r="UOJ65" s="180"/>
      <c r="UOK65" s="180"/>
      <c r="UOL65" s="180"/>
      <c r="UOM65" s="180"/>
      <c r="UON65" s="180"/>
      <c r="UOO65" s="180"/>
      <c r="UOP65" s="180"/>
      <c r="UOQ65" s="180"/>
      <c r="UOR65" s="180"/>
      <c r="UOS65" s="180"/>
      <c r="UOT65" s="180"/>
      <c r="UOU65" s="180"/>
      <c r="UOV65" s="180"/>
      <c r="UOW65" s="180"/>
      <c r="UOX65" s="180"/>
      <c r="UOY65" s="180"/>
      <c r="UOZ65" s="180"/>
      <c r="UPA65" s="180"/>
      <c r="UPB65" s="180"/>
      <c r="UPC65" s="180"/>
      <c r="UPD65" s="180"/>
      <c r="UPE65" s="180"/>
      <c r="UPF65" s="180"/>
      <c r="UPG65" s="180"/>
      <c r="UPH65" s="180"/>
      <c r="UPI65" s="180"/>
      <c r="UPJ65" s="180"/>
      <c r="UPK65" s="180"/>
      <c r="UPL65" s="180"/>
      <c r="UPM65" s="180"/>
      <c r="UPN65" s="180"/>
      <c r="UPO65" s="180"/>
      <c r="UPP65" s="180"/>
      <c r="UPQ65" s="180"/>
      <c r="UPR65" s="180"/>
      <c r="UPS65" s="180"/>
      <c r="UPT65" s="180"/>
      <c r="UPU65" s="180"/>
      <c r="UPV65" s="180"/>
      <c r="UPW65" s="180"/>
      <c r="UPX65" s="180"/>
      <c r="UPY65" s="180"/>
      <c r="UPZ65" s="180"/>
      <c r="UQA65" s="180"/>
      <c r="UQB65" s="180"/>
      <c r="UQC65" s="180"/>
      <c r="UQD65" s="180"/>
      <c r="UQE65" s="180"/>
      <c r="UQF65" s="180"/>
      <c r="UQG65" s="180"/>
      <c r="UQH65" s="180"/>
      <c r="UQI65" s="180"/>
      <c r="UQJ65" s="180"/>
      <c r="UQK65" s="180"/>
      <c r="UQL65" s="180"/>
      <c r="UQM65" s="180"/>
      <c r="UQN65" s="180"/>
      <c r="UQO65" s="180"/>
      <c r="UQP65" s="180"/>
      <c r="UQQ65" s="180"/>
      <c r="UQR65" s="180"/>
      <c r="UQS65" s="180"/>
      <c r="UQT65" s="180"/>
      <c r="UQU65" s="180"/>
      <c r="UQV65" s="180"/>
      <c r="UQW65" s="180"/>
      <c r="UQX65" s="180"/>
      <c r="UQY65" s="180"/>
      <c r="UQZ65" s="180"/>
      <c r="URA65" s="180"/>
      <c r="URB65" s="180"/>
      <c r="URC65" s="180"/>
      <c r="URD65" s="180"/>
      <c r="URE65" s="180"/>
      <c r="URF65" s="180"/>
      <c r="URG65" s="180"/>
      <c r="URH65" s="180"/>
      <c r="URI65" s="180"/>
      <c r="URJ65" s="180"/>
      <c r="URK65" s="180"/>
      <c r="URL65" s="180"/>
      <c r="URM65" s="180"/>
      <c r="URN65" s="180"/>
      <c r="URO65" s="180"/>
      <c r="URP65" s="180"/>
      <c r="URQ65" s="180"/>
      <c r="URR65" s="180"/>
      <c r="URS65" s="180"/>
      <c r="URT65" s="180"/>
      <c r="URU65" s="180"/>
      <c r="URV65" s="180"/>
      <c r="URW65" s="180"/>
      <c r="URX65" s="180"/>
      <c r="URY65" s="180"/>
      <c r="URZ65" s="180"/>
      <c r="USA65" s="180"/>
      <c r="USB65" s="180"/>
      <c r="USC65" s="180"/>
      <c r="USD65" s="180"/>
      <c r="USE65" s="180"/>
      <c r="USF65" s="180"/>
      <c r="USG65" s="180"/>
      <c r="USH65" s="180"/>
      <c r="USI65" s="180"/>
      <c r="USJ65" s="180"/>
      <c r="USK65" s="180"/>
      <c r="USL65" s="180"/>
      <c r="USM65" s="180"/>
      <c r="USN65" s="180"/>
      <c r="USO65" s="180"/>
      <c r="USP65" s="180"/>
      <c r="USQ65" s="180"/>
      <c r="USR65" s="180"/>
      <c r="USS65" s="180"/>
      <c r="UST65" s="180"/>
      <c r="USU65" s="180"/>
      <c r="USV65" s="180"/>
      <c r="USW65" s="180"/>
      <c r="USX65" s="180"/>
      <c r="USY65" s="180"/>
      <c r="USZ65" s="180"/>
      <c r="UTA65" s="180"/>
      <c r="UTB65" s="180"/>
      <c r="UTC65" s="180"/>
      <c r="UTD65" s="180"/>
      <c r="UTE65" s="180"/>
      <c r="UTF65" s="180"/>
      <c r="UTG65" s="180"/>
      <c r="UTH65" s="180"/>
      <c r="UTI65" s="180"/>
      <c r="UTJ65" s="180"/>
      <c r="UTK65" s="180"/>
      <c r="UTL65" s="180"/>
      <c r="UTM65" s="180"/>
      <c r="UTN65" s="180"/>
      <c r="UTO65" s="180"/>
      <c r="UTP65" s="180"/>
      <c r="UTQ65" s="180"/>
      <c r="UTR65" s="180"/>
      <c r="UTS65" s="180"/>
      <c r="UTT65" s="180"/>
      <c r="UTU65" s="180"/>
      <c r="UTV65" s="180"/>
      <c r="UTW65" s="180"/>
      <c r="UTX65" s="180"/>
      <c r="UTY65" s="180"/>
      <c r="UTZ65" s="180"/>
      <c r="UUA65" s="180"/>
      <c r="UUB65" s="180"/>
      <c r="UUC65" s="180"/>
      <c r="UUD65" s="180"/>
      <c r="UUE65" s="180"/>
      <c r="UUF65" s="180"/>
      <c r="UUG65" s="180"/>
      <c r="UUH65" s="180"/>
      <c r="UUI65" s="180"/>
      <c r="UUJ65" s="180"/>
      <c r="UUK65" s="180"/>
      <c r="UUL65" s="180"/>
      <c r="UUM65" s="180"/>
      <c r="UUN65" s="180"/>
      <c r="UUO65" s="180"/>
      <c r="UUP65" s="180"/>
      <c r="UUQ65" s="180"/>
      <c r="UUR65" s="180"/>
      <c r="UUS65" s="180"/>
      <c r="UUT65" s="180"/>
      <c r="UUU65" s="180"/>
      <c r="UUV65" s="180"/>
      <c r="UUW65" s="180"/>
      <c r="UUX65" s="180"/>
      <c r="UUY65" s="180"/>
      <c r="UUZ65" s="180"/>
      <c r="UVA65" s="180"/>
      <c r="UVB65" s="180"/>
      <c r="UVC65" s="180"/>
      <c r="UVD65" s="180"/>
      <c r="UVE65" s="180"/>
      <c r="UVF65" s="180"/>
      <c r="UVG65" s="180"/>
      <c r="UVH65" s="180"/>
      <c r="UVI65" s="180"/>
      <c r="UVJ65" s="180"/>
      <c r="UVK65" s="180"/>
      <c r="UVL65" s="180"/>
      <c r="UVM65" s="180"/>
      <c r="UVN65" s="180"/>
      <c r="UVO65" s="180"/>
      <c r="UVP65" s="180"/>
      <c r="UVQ65" s="180"/>
      <c r="UVR65" s="180"/>
      <c r="UVS65" s="180"/>
      <c r="UVT65" s="180"/>
      <c r="UVU65" s="180"/>
      <c r="UVV65" s="180"/>
      <c r="UVW65" s="180"/>
      <c r="UVX65" s="180"/>
      <c r="UVY65" s="180"/>
      <c r="UVZ65" s="180"/>
      <c r="UWA65" s="180"/>
      <c r="UWB65" s="180"/>
      <c r="UWC65" s="180"/>
      <c r="UWD65" s="180"/>
      <c r="UWE65" s="180"/>
      <c r="UWF65" s="180"/>
      <c r="UWG65" s="180"/>
      <c r="UWH65" s="180"/>
      <c r="UWI65" s="180"/>
      <c r="UWJ65" s="180"/>
      <c r="UWK65" s="180"/>
      <c r="UWL65" s="180"/>
      <c r="UWM65" s="180"/>
      <c r="UWN65" s="180"/>
      <c r="UWO65" s="180"/>
      <c r="UWP65" s="180"/>
      <c r="UWQ65" s="180"/>
      <c r="UWR65" s="180"/>
      <c r="UWS65" s="180"/>
      <c r="UWT65" s="180"/>
      <c r="UWU65" s="180"/>
      <c r="UWV65" s="180"/>
      <c r="UWW65" s="180"/>
      <c r="UWX65" s="180"/>
      <c r="UWY65" s="180"/>
      <c r="UWZ65" s="180"/>
      <c r="UXA65" s="180"/>
      <c r="UXB65" s="180"/>
      <c r="UXC65" s="180"/>
      <c r="UXD65" s="180"/>
      <c r="UXE65" s="180"/>
      <c r="UXF65" s="180"/>
      <c r="UXG65" s="180"/>
      <c r="UXH65" s="180"/>
      <c r="UXI65" s="180"/>
      <c r="UXJ65" s="180"/>
      <c r="UXK65" s="180"/>
      <c r="UXL65" s="180"/>
      <c r="UXM65" s="180"/>
      <c r="UXN65" s="180"/>
      <c r="UXO65" s="180"/>
      <c r="UXP65" s="180"/>
      <c r="UXQ65" s="180"/>
      <c r="UXR65" s="180"/>
      <c r="UXS65" s="180"/>
      <c r="UXT65" s="180"/>
      <c r="UXU65" s="180"/>
      <c r="UXV65" s="180"/>
      <c r="UXW65" s="180"/>
      <c r="UXX65" s="180"/>
      <c r="UXY65" s="180"/>
      <c r="UXZ65" s="180"/>
      <c r="UYA65" s="180"/>
      <c r="UYB65" s="180"/>
      <c r="UYC65" s="180"/>
      <c r="UYD65" s="180"/>
      <c r="UYE65" s="180"/>
      <c r="UYF65" s="180"/>
      <c r="UYG65" s="180"/>
      <c r="UYH65" s="180"/>
      <c r="UYI65" s="180"/>
      <c r="UYJ65" s="180"/>
      <c r="UYK65" s="180"/>
      <c r="UYL65" s="180"/>
      <c r="UYM65" s="180"/>
      <c r="UYN65" s="180"/>
      <c r="UYO65" s="180"/>
      <c r="UYP65" s="180"/>
      <c r="UYQ65" s="180"/>
      <c r="UYR65" s="180"/>
      <c r="UYS65" s="180"/>
      <c r="UYT65" s="180"/>
      <c r="UYU65" s="180"/>
      <c r="UYV65" s="180"/>
      <c r="UYW65" s="180"/>
      <c r="UYX65" s="180"/>
      <c r="UYY65" s="180"/>
      <c r="UYZ65" s="180"/>
      <c r="UZA65" s="180"/>
      <c r="UZB65" s="180"/>
      <c r="UZC65" s="180"/>
      <c r="UZD65" s="180"/>
      <c r="UZE65" s="180"/>
      <c r="UZF65" s="180"/>
      <c r="UZG65" s="180"/>
      <c r="UZH65" s="180"/>
      <c r="UZI65" s="180"/>
      <c r="UZJ65" s="180"/>
      <c r="UZK65" s="180"/>
      <c r="UZL65" s="180"/>
      <c r="UZM65" s="180"/>
      <c r="UZN65" s="180"/>
      <c r="UZO65" s="180"/>
      <c r="UZP65" s="180"/>
      <c r="UZQ65" s="180"/>
      <c r="UZR65" s="180"/>
      <c r="UZS65" s="180"/>
      <c r="UZT65" s="180"/>
      <c r="UZU65" s="180"/>
      <c r="UZV65" s="180"/>
      <c r="UZW65" s="180"/>
      <c r="UZX65" s="180"/>
      <c r="UZY65" s="180"/>
      <c r="UZZ65" s="180"/>
      <c r="VAA65" s="180"/>
      <c r="VAB65" s="180"/>
      <c r="VAC65" s="180"/>
      <c r="VAD65" s="180"/>
      <c r="VAE65" s="180"/>
      <c r="VAF65" s="180"/>
      <c r="VAG65" s="180"/>
      <c r="VAH65" s="180"/>
      <c r="VAI65" s="180"/>
      <c r="VAJ65" s="180"/>
      <c r="VAK65" s="180"/>
      <c r="VAL65" s="180"/>
      <c r="VAM65" s="180"/>
      <c r="VAN65" s="180"/>
      <c r="VAO65" s="180"/>
      <c r="VAP65" s="180"/>
      <c r="VAQ65" s="180"/>
      <c r="VAR65" s="180"/>
      <c r="VAS65" s="180"/>
      <c r="VAT65" s="180"/>
      <c r="VAU65" s="180"/>
      <c r="VAV65" s="180"/>
      <c r="VAW65" s="180"/>
      <c r="VAX65" s="180"/>
      <c r="VAY65" s="180"/>
      <c r="VAZ65" s="180"/>
      <c r="VBA65" s="180"/>
      <c r="VBB65" s="180"/>
      <c r="VBC65" s="180"/>
      <c r="VBD65" s="180"/>
      <c r="VBE65" s="180"/>
      <c r="VBF65" s="180"/>
      <c r="VBG65" s="180"/>
      <c r="VBH65" s="180"/>
      <c r="VBI65" s="180"/>
      <c r="VBJ65" s="180"/>
      <c r="VBK65" s="180"/>
      <c r="VBL65" s="180"/>
      <c r="VBM65" s="180"/>
      <c r="VBN65" s="180"/>
      <c r="VBO65" s="180"/>
      <c r="VBP65" s="180"/>
      <c r="VBQ65" s="180"/>
      <c r="VBR65" s="180"/>
      <c r="VBS65" s="180"/>
      <c r="VBT65" s="180"/>
      <c r="VBU65" s="180"/>
      <c r="VBV65" s="180"/>
      <c r="VBW65" s="180"/>
      <c r="VBX65" s="180"/>
      <c r="VBY65" s="180"/>
      <c r="VBZ65" s="180"/>
      <c r="VCA65" s="180"/>
      <c r="VCB65" s="180"/>
      <c r="VCC65" s="180"/>
      <c r="VCD65" s="180"/>
      <c r="VCE65" s="180"/>
      <c r="VCF65" s="180"/>
      <c r="VCG65" s="180"/>
      <c r="VCH65" s="180"/>
      <c r="VCI65" s="180"/>
      <c r="VCJ65" s="180"/>
      <c r="VCK65" s="180"/>
      <c r="VCL65" s="180"/>
      <c r="VCM65" s="180"/>
      <c r="VCN65" s="180"/>
      <c r="VCO65" s="180"/>
      <c r="VCP65" s="180"/>
      <c r="VCQ65" s="180"/>
      <c r="VCR65" s="180"/>
      <c r="VCS65" s="180"/>
      <c r="VCT65" s="180"/>
      <c r="VCU65" s="180"/>
      <c r="VCV65" s="180"/>
      <c r="VCW65" s="180"/>
      <c r="VCX65" s="180"/>
      <c r="VCY65" s="180"/>
      <c r="VCZ65" s="180"/>
      <c r="VDA65" s="180"/>
      <c r="VDB65" s="180"/>
      <c r="VDC65" s="180"/>
      <c r="VDD65" s="180"/>
      <c r="VDE65" s="180"/>
      <c r="VDF65" s="180"/>
      <c r="VDG65" s="180"/>
      <c r="VDH65" s="180"/>
      <c r="VDI65" s="180"/>
      <c r="VDJ65" s="180"/>
      <c r="VDK65" s="180"/>
      <c r="VDL65" s="180"/>
      <c r="VDM65" s="180"/>
      <c r="VDN65" s="180"/>
      <c r="VDO65" s="180"/>
      <c r="VDP65" s="180"/>
      <c r="VDQ65" s="180"/>
      <c r="VDR65" s="180"/>
      <c r="VDS65" s="180"/>
      <c r="VDT65" s="180"/>
      <c r="VDU65" s="180"/>
      <c r="VDV65" s="180"/>
      <c r="VDW65" s="180"/>
      <c r="VDX65" s="180"/>
      <c r="VDY65" s="180"/>
      <c r="VDZ65" s="180"/>
      <c r="VEA65" s="180"/>
      <c r="VEB65" s="180"/>
      <c r="VEC65" s="180"/>
      <c r="VED65" s="180"/>
      <c r="VEE65" s="180"/>
      <c r="VEF65" s="180"/>
      <c r="VEG65" s="180"/>
      <c r="VEH65" s="180"/>
      <c r="VEI65" s="180"/>
      <c r="VEJ65" s="180"/>
      <c r="VEK65" s="180"/>
      <c r="VEL65" s="180"/>
      <c r="VEM65" s="180"/>
      <c r="VEN65" s="180"/>
      <c r="VEO65" s="180"/>
      <c r="VEP65" s="180"/>
      <c r="VEQ65" s="180"/>
      <c r="VER65" s="180"/>
      <c r="VES65" s="180"/>
      <c r="VET65" s="180"/>
      <c r="VEU65" s="180"/>
      <c r="VEV65" s="180"/>
      <c r="VEW65" s="180"/>
      <c r="VEX65" s="180"/>
      <c r="VEY65" s="180"/>
      <c r="VEZ65" s="180"/>
      <c r="VFA65" s="180"/>
      <c r="VFB65" s="180"/>
      <c r="VFC65" s="180"/>
      <c r="VFD65" s="180"/>
      <c r="VFE65" s="180"/>
      <c r="VFF65" s="180"/>
      <c r="VFG65" s="180"/>
      <c r="VFH65" s="180"/>
      <c r="VFI65" s="180"/>
      <c r="VFJ65" s="180"/>
      <c r="VFK65" s="180"/>
      <c r="VFL65" s="180"/>
      <c r="VFM65" s="180"/>
      <c r="VFN65" s="180"/>
      <c r="VFO65" s="180"/>
      <c r="VFP65" s="180"/>
      <c r="VFQ65" s="180"/>
      <c r="VFR65" s="180"/>
      <c r="VFS65" s="180"/>
      <c r="VFT65" s="180"/>
      <c r="VFU65" s="180"/>
      <c r="VFV65" s="180"/>
      <c r="VFW65" s="180"/>
      <c r="VFX65" s="180"/>
      <c r="VFY65" s="180"/>
      <c r="VFZ65" s="180"/>
      <c r="VGA65" s="180"/>
      <c r="VGB65" s="180"/>
      <c r="VGC65" s="180"/>
      <c r="VGD65" s="180"/>
      <c r="VGE65" s="180"/>
      <c r="VGF65" s="180"/>
      <c r="VGG65" s="180"/>
      <c r="VGH65" s="180"/>
      <c r="VGI65" s="180"/>
      <c r="VGJ65" s="180"/>
      <c r="VGK65" s="180"/>
      <c r="VGL65" s="180"/>
      <c r="VGM65" s="180"/>
      <c r="VGN65" s="180"/>
      <c r="VGO65" s="180"/>
      <c r="VGP65" s="180"/>
      <c r="VGQ65" s="180"/>
      <c r="VGR65" s="180"/>
      <c r="VGS65" s="180"/>
      <c r="VGT65" s="180"/>
      <c r="VGU65" s="180"/>
      <c r="VGV65" s="180"/>
      <c r="VGW65" s="180"/>
      <c r="VGX65" s="180"/>
      <c r="VGY65" s="180"/>
      <c r="VGZ65" s="180"/>
      <c r="VHA65" s="180"/>
      <c r="VHB65" s="180"/>
      <c r="VHC65" s="180"/>
      <c r="VHD65" s="180"/>
      <c r="VHE65" s="180"/>
      <c r="VHF65" s="180"/>
      <c r="VHG65" s="180"/>
      <c r="VHH65" s="180"/>
      <c r="VHI65" s="180"/>
      <c r="VHJ65" s="180"/>
      <c r="VHK65" s="180"/>
      <c r="VHL65" s="180"/>
      <c r="VHM65" s="180"/>
      <c r="VHN65" s="180"/>
      <c r="VHO65" s="180"/>
      <c r="VHP65" s="180"/>
      <c r="VHQ65" s="180"/>
      <c r="VHR65" s="180"/>
      <c r="VHS65" s="180"/>
      <c r="VHT65" s="180"/>
      <c r="VHU65" s="180"/>
      <c r="VHV65" s="180"/>
      <c r="VHW65" s="180"/>
      <c r="VHX65" s="180"/>
      <c r="VHY65" s="180"/>
      <c r="VHZ65" s="180"/>
      <c r="VIA65" s="180"/>
      <c r="VIB65" s="180"/>
      <c r="VIC65" s="180"/>
      <c r="VID65" s="180"/>
      <c r="VIE65" s="180"/>
      <c r="VIF65" s="180"/>
      <c r="VIG65" s="180"/>
      <c r="VIH65" s="180"/>
      <c r="VII65" s="180"/>
      <c r="VIJ65" s="180"/>
      <c r="VIK65" s="180"/>
      <c r="VIL65" s="180"/>
      <c r="VIM65" s="180"/>
      <c r="VIN65" s="180"/>
      <c r="VIO65" s="180"/>
      <c r="VIP65" s="180"/>
      <c r="VIQ65" s="180"/>
      <c r="VIR65" s="180"/>
      <c r="VIS65" s="180"/>
      <c r="VIT65" s="180"/>
      <c r="VIU65" s="180"/>
      <c r="VIV65" s="180"/>
      <c r="VIW65" s="180"/>
      <c r="VIX65" s="180"/>
      <c r="VIY65" s="180"/>
      <c r="VIZ65" s="180"/>
      <c r="VJA65" s="180"/>
      <c r="VJB65" s="180"/>
      <c r="VJC65" s="180"/>
      <c r="VJD65" s="180"/>
      <c r="VJE65" s="180"/>
      <c r="VJF65" s="180"/>
      <c r="VJG65" s="180"/>
      <c r="VJH65" s="180"/>
      <c r="VJI65" s="180"/>
      <c r="VJJ65" s="180"/>
      <c r="VJK65" s="180"/>
      <c r="VJL65" s="180"/>
      <c r="VJM65" s="180"/>
      <c r="VJN65" s="180"/>
      <c r="VJO65" s="180"/>
      <c r="VJP65" s="180"/>
      <c r="VJQ65" s="180"/>
      <c r="VJR65" s="180"/>
      <c r="VJS65" s="180"/>
      <c r="VJT65" s="180"/>
      <c r="VJU65" s="180"/>
      <c r="VJV65" s="180"/>
      <c r="VJW65" s="180"/>
      <c r="VJX65" s="180"/>
      <c r="VJY65" s="180"/>
      <c r="VJZ65" s="180"/>
      <c r="VKA65" s="180"/>
      <c r="VKB65" s="180"/>
      <c r="VKC65" s="180"/>
      <c r="VKD65" s="180"/>
      <c r="VKE65" s="180"/>
      <c r="VKF65" s="180"/>
      <c r="VKG65" s="180"/>
      <c r="VKH65" s="180"/>
      <c r="VKI65" s="180"/>
      <c r="VKJ65" s="180"/>
      <c r="VKK65" s="180"/>
      <c r="VKL65" s="180"/>
      <c r="VKM65" s="180"/>
      <c r="VKN65" s="180"/>
      <c r="VKO65" s="180"/>
      <c r="VKP65" s="180"/>
      <c r="VKQ65" s="180"/>
      <c r="VKR65" s="180"/>
      <c r="VKS65" s="180"/>
      <c r="VKT65" s="180"/>
      <c r="VKU65" s="180"/>
      <c r="VKV65" s="180"/>
      <c r="VKW65" s="180"/>
      <c r="VKX65" s="180"/>
      <c r="VKY65" s="180"/>
      <c r="VKZ65" s="180"/>
      <c r="VLA65" s="180"/>
      <c r="VLB65" s="180"/>
      <c r="VLC65" s="180"/>
      <c r="VLD65" s="180"/>
      <c r="VLE65" s="180"/>
      <c r="VLF65" s="180"/>
      <c r="VLG65" s="180"/>
      <c r="VLH65" s="180"/>
      <c r="VLI65" s="180"/>
      <c r="VLJ65" s="180"/>
      <c r="VLK65" s="180"/>
      <c r="VLL65" s="180"/>
      <c r="VLM65" s="180"/>
      <c r="VLN65" s="180"/>
      <c r="VLO65" s="180"/>
      <c r="VLP65" s="180"/>
      <c r="VLQ65" s="180"/>
      <c r="VLR65" s="180"/>
      <c r="VLS65" s="180"/>
      <c r="VLT65" s="180"/>
      <c r="VLU65" s="180"/>
      <c r="VLV65" s="180"/>
      <c r="VLW65" s="180"/>
      <c r="VLX65" s="180"/>
      <c r="VLY65" s="180"/>
      <c r="VLZ65" s="180"/>
      <c r="VMA65" s="180"/>
      <c r="VMB65" s="180"/>
      <c r="VMC65" s="180"/>
      <c r="VMD65" s="180"/>
      <c r="VME65" s="180"/>
      <c r="VMF65" s="180"/>
      <c r="VMG65" s="180"/>
      <c r="VMH65" s="180"/>
      <c r="VMI65" s="180"/>
      <c r="VMJ65" s="180"/>
      <c r="VMK65" s="180"/>
      <c r="VML65" s="180"/>
      <c r="VMM65" s="180"/>
      <c r="VMN65" s="180"/>
      <c r="VMO65" s="180"/>
      <c r="VMP65" s="180"/>
      <c r="VMQ65" s="180"/>
      <c r="VMR65" s="180"/>
      <c r="VMS65" s="180"/>
      <c r="VMT65" s="180"/>
      <c r="VMU65" s="180"/>
      <c r="VMV65" s="180"/>
      <c r="VMW65" s="180"/>
      <c r="VMX65" s="180"/>
      <c r="VMY65" s="180"/>
      <c r="VMZ65" s="180"/>
      <c r="VNA65" s="180"/>
      <c r="VNB65" s="180"/>
      <c r="VNC65" s="180"/>
      <c r="VND65" s="180"/>
      <c r="VNE65" s="180"/>
      <c r="VNF65" s="180"/>
      <c r="VNG65" s="180"/>
      <c r="VNH65" s="180"/>
      <c r="VNI65" s="180"/>
      <c r="VNJ65" s="180"/>
      <c r="VNK65" s="180"/>
      <c r="VNL65" s="180"/>
      <c r="VNM65" s="180"/>
      <c r="VNN65" s="180"/>
      <c r="VNO65" s="180"/>
      <c r="VNP65" s="180"/>
      <c r="VNQ65" s="180"/>
      <c r="VNR65" s="180"/>
      <c r="VNS65" s="180"/>
      <c r="VNT65" s="180"/>
      <c r="VNU65" s="180"/>
      <c r="VNV65" s="180"/>
      <c r="VNW65" s="180"/>
      <c r="VNX65" s="180"/>
      <c r="VNY65" s="180"/>
      <c r="VNZ65" s="180"/>
      <c r="VOA65" s="180"/>
      <c r="VOB65" s="180"/>
      <c r="VOC65" s="180"/>
      <c r="VOD65" s="180"/>
      <c r="VOE65" s="180"/>
      <c r="VOF65" s="180"/>
      <c r="VOG65" s="180"/>
      <c r="VOH65" s="180"/>
      <c r="VOI65" s="180"/>
      <c r="VOJ65" s="180"/>
      <c r="VOK65" s="180"/>
      <c r="VOL65" s="180"/>
      <c r="VOM65" s="180"/>
      <c r="VON65" s="180"/>
      <c r="VOO65" s="180"/>
      <c r="VOP65" s="180"/>
      <c r="VOQ65" s="180"/>
      <c r="VOR65" s="180"/>
      <c r="VOS65" s="180"/>
      <c r="VOT65" s="180"/>
      <c r="VOU65" s="180"/>
      <c r="VOV65" s="180"/>
      <c r="VOW65" s="180"/>
      <c r="VOX65" s="180"/>
      <c r="VOY65" s="180"/>
      <c r="VOZ65" s="180"/>
      <c r="VPA65" s="180"/>
      <c r="VPB65" s="180"/>
      <c r="VPC65" s="180"/>
      <c r="VPD65" s="180"/>
      <c r="VPE65" s="180"/>
      <c r="VPF65" s="180"/>
      <c r="VPG65" s="180"/>
      <c r="VPH65" s="180"/>
      <c r="VPI65" s="180"/>
      <c r="VPJ65" s="180"/>
      <c r="VPK65" s="180"/>
      <c r="VPL65" s="180"/>
      <c r="VPM65" s="180"/>
      <c r="VPN65" s="180"/>
      <c r="VPO65" s="180"/>
      <c r="VPP65" s="180"/>
      <c r="VPQ65" s="180"/>
      <c r="VPR65" s="180"/>
      <c r="VPS65" s="180"/>
      <c r="VPT65" s="180"/>
      <c r="VPU65" s="180"/>
      <c r="VPV65" s="180"/>
      <c r="VPW65" s="180"/>
      <c r="VPX65" s="180"/>
      <c r="VPY65" s="180"/>
      <c r="VPZ65" s="180"/>
      <c r="VQA65" s="180"/>
      <c r="VQB65" s="180"/>
      <c r="VQC65" s="180"/>
      <c r="VQD65" s="180"/>
      <c r="VQE65" s="180"/>
      <c r="VQF65" s="180"/>
      <c r="VQG65" s="180"/>
      <c r="VQH65" s="180"/>
      <c r="VQI65" s="180"/>
      <c r="VQJ65" s="180"/>
      <c r="VQK65" s="180"/>
      <c r="VQL65" s="180"/>
      <c r="VQM65" s="180"/>
      <c r="VQN65" s="180"/>
      <c r="VQO65" s="180"/>
      <c r="VQP65" s="180"/>
      <c r="VQQ65" s="180"/>
      <c r="VQR65" s="180"/>
      <c r="VQS65" s="180"/>
      <c r="VQT65" s="180"/>
      <c r="VQU65" s="180"/>
      <c r="VQV65" s="180"/>
      <c r="VQW65" s="180"/>
      <c r="VQX65" s="180"/>
      <c r="VQY65" s="180"/>
      <c r="VQZ65" s="180"/>
      <c r="VRA65" s="180"/>
      <c r="VRB65" s="180"/>
      <c r="VRC65" s="180"/>
      <c r="VRD65" s="180"/>
      <c r="VRE65" s="180"/>
      <c r="VRF65" s="180"/>
      <c r="VRG65" s="180"/>
      <c r="VRH65" s="180"/>
      <c r="VRI65" s="180"/>
      <c r="VRJ65" s="180"/>
      <c r="VRK65" s="180"/>
      <c r="VRL65" s="180"/>
      <c r="VRM65" s="180"/>
      <c r="VRN65" s="180"/>
      <c r="VRO65" s="180"/>
      <c r="VRP65" s="180"/>
      <c r="VRQ65" s="180"/>
      <c r="VRR65" s="180"/>
      <c r="VRS65" s="180"/>
      <c r="VRT65" s="180"/>
      <c r="VRU65" s="180"/>
      <c r="VRV65" s="180"/>
      <c r="VRW65" s="180"/>
      <c r="VRX65" s="180"/>
      <c r="VRY65" s="180"/>
      <c r="VRZ65" s="180"/>
      <c r="VSA65" s="180"/>
      <c r="VSB65" s="180"/>
      <c r="VSC65" s="180"/>
      <c r="VSD65" s="180"/>
      <c r="VSE65" s="180"/>
      <c r="VSF65" s="180"/>
      <c r="VSG65" s="180"/>
      <c r="VSH65" s="180"/>
      <c r="VSI65" s="180"/>
      <c r="VSJ65" s="180"/>
      <c r="VSK65" s="180"/>
      <c r="VSL65" s="180"/>
      <c r="VSM65" s="180"/>
      <c r="VSN65" s="180"/>
      <c r="VSO65" s="180"/>
      <c r="VSP65" s="180"/>
      <c r="VSQ65" s="180"/>
      <c r="VSR65" s="180"/>
      <c r="VSS65" s="180"/>
      <c r="VST65" s="180"/>
      <c r="VSU65" s="180"/>
      <c r="VSV65" s="180"/>
      <c r="VSW65" s="180"/>
      <c r="VSX65" s="180"/>
      <c r="VSY65" s="180"/>
      <c r="VSZ65" s="180"/>
      <c r="VTA65" s="180"/>
      <c r="VTB65" s="180"/>
      <c r="VTC65" s="180"/>
      <c r="VTD65" s="180"/>
      <c r="VTE65" s="180"/>
      <c r="VTF65" s="180"/>
      <c r="VTG65" s="180"/>
      <c r="VTH65" s="180"/>
      <c r="VTI65" s="180"/>
      <c r="VTJ65" s="180"/>
      <c r="VTK65" s="180"/>
      <c r="VTL65" s="180"/>
      <c r="VTM65" s="180"/>
      <c r="VTN65" s="180"/>
      <c r="VTO65" s="180"/>
      <c r="VTP65" s="180"/>
      <c r="VTQ65" s="180"/>
      <c r="VTR65" s="180"/>
      <c r="VTS65" s="180"/>
      <c r="VTT65" s="180"/>
      <c r="VTU65" s="180"/>
      <c r="VTV65" s="180"/>
      <c r="VTW65" s="180"/>
      <c r="VTX65" s="180"/>
      <c r="VTY65" s="180"/>
      <c r="VTZ65" s="180"/>
      <c r="VUA65" s="180"/>
      <c r="VUB65" s="180"/>
      <c r="VUC65" s="180"/>
      <c r="VUD65" s="180"/>
      <c r="VUE65" s="180"/>
      <c r="VUF65" s="180"/>
      <c r="VUG65" s="180"/>
      <c r="VUH65" s="180"/>
      <c r="VUI65" s="180"/>
      <c r="VUJ65" s="180"/>
      <c r="VUK65" s="180"/>
      <c r="VUL65" s="180"/>
      <c r="VUM65" s="180"/>
      <c r="VUN65" s="180"/>
      <c r="VUO65" s="180"/>
      <c r="VUP65" s="180"/>
      <c r="VUQ65" s="180"/>
      <c r="VUR65" s="180"/>
      <c r="VUS65" s="180"/>
      <c r="VUT65" s="180"/>
      <c r="VUU65" s="180"/>
      <c r="VUV65" s="180"/>
      <c r="VUW65" s="180"/>
      <c r="VUX65" s="180"/>
      <c r="VUY65" s="180"/>
      <c r="VUZ65" s="180"/>
      <c r="VVA65" s="180"/>
      <c r="VVB65" s="180"/>
      <c r="VVC65" s="180"/>
      <c r="VVD65" s="180"/>
      <c r="VVE65" s="180"/>
      <c r="VVF65" s="180"/>
      <c r="VVG65" s="180"/>
      <c r="VVH65" s="180"/>
      <c r="VVI65" s="180"/>
      <c r="VVJ65" s="180"/>
      <c r="VVK65" s="180"/>
      <c r="VVL65" s="180"/>
      <c r="VVM65" s="180"/>
      <c r="VVN65" s="180"/>
      <c r="VVO65" s="180"/>
      <c r="VVP65" s="180"/>
      <c r="VVQ65" s="180"/>
      <c r="VVR65" s="180"/>
      <c r="VVS65" s="180"/>
      <c r="VVT65" s="180"/>
      <c r="VVU65" s="180"/>
      <c r="VVV65" s="180"/>
      <c r="VVW65" s="180"/>
      <c r="VVX65" s="180"/>
      <c r="VVY65" s="180"/>
      <c r="VVZ65" s="180"/>
      <c r="VWA65" s="180"/>
      <c r="VWB65" s="180"/>
      <c r="VWC65" s="180"/>
      <c r="VWD65" s="180"/>
      <c r="VWE65" s="180"/>
      <c r="VWF65" s="180"/>
      <c r="VWG65" s="180"/>
      <c r="VWH65" s="180"/>
      <c r="VWI65" s="180"/>
      <c r="VWJ65" s="180"/>
      <c r="VWK65" s="180"/>
      <c r="VWL65" s="180"/>
      <c r="VWM65" s="180"/>
      <c r="VWN65" s="180"/>
      <c r="VWO65" s="180"/>
      <c r="VWP65" s="180"/>
      <c r="VWQ65" s="180"/>
      <c r="VWR65" s="180"/>
      <c r="VWS65" s="180"/>
      <c r="VWT65" s="180"/>
      <c r="VWU65" s="180"/>
      <c r="VWV65" s="180"/>
      <c r="VWW65" s="180"/>
      <c r="VWX65" s="180"/>
      <c r="VWY65" s="180"/>
      <c r="VWZ65" s="180"/>
      <c r="VXA65" s="180"/>
      <c r="VXB65" s="180"/>
      <c r="VXC65" s="180"/>
      <c r="VXD65" s="180"/>
      <c r="VXE65" s="180"/>
      <c r="VXF65" s="180"/>
      <c r="VXG65" s="180"/>
      <c r="VXH65" s="180"/>
      <c r="VXI65" s="180"/>
      <c r="VXJ65" s="180"/>
      <c r="VXK65" s="180"/>
      <c r="VXL65" s="180"/>
      <c r="VXM65" s="180"/>
      <c r="VXN65" s="180"/>
      <c r="VXO65" s="180"/>
      <c r="VXP65" s="180"/>
      <c r="VXQ65" s="180"/>
      <c r="VXR65" s="180"/>
      <c r="VXS65" s="180"/>
      <c r="VXT65" s="180"/>
      <c r="VXU65" s="180"/>
      <c r="VXV65" s="180"/>
      <c r="VXW65" s="180"/>
      <c r="VXX65" s="180"/>
      <c r="VXY65" s="180"/>
      <c r="VXZ65" s="180"/>
      <c r="VYA65" s="180"/>
      <c r="VYB65" s="180"/>
      <c r="VYC65" s="180"/>
      <c r="VYD65" s="180"/>
      <c r="VYE65" s="180"/>
      <c r="VYF65" s="180"/>
      <c r="VYG65" s="180"/>
      <c r="VYH65" s="180"/>
      <c r="VYI65" s="180"/>
      <c r="VYJ65" s="180"/>
      <c r="VYK65" s="180"/>
      <c r="VYL65" s="180"/>
      <c r="VYM65" s="180"/>
      <c r="VYN65" s="180"/>
      <c r="VYO65" s="180"/>
      <c r="VYP65" s="180"/>
      <c r="VYQ65" s="180"/>
      <c r="VYR65" s="180"/>
      <c r="VYS65" s="180"/>
      <c r="VYT65" s="180"/>
      <c r="VYU65" s="180"/>
      <c r="VYV65" s="180"/>
      <c r="VYW65" s="180"/>
      <c r="VYX65" s="180"/>
      <c r="VYY65" s="180"/>
      <c r="VYZ65" s="180"/>
      <c r="VZA65" s="180"/>
      <c r="VZB65" s="180"/>
      <c r="VZC65" s="180"/>
      <c r="VZD65" s="180"/>
      <c r="VZE65" s="180"/>
      <c r="VZF65" s="180"/>
      <c r="VZG65" s="180"/>
      <c r="VZH65" s="180"/>
      <c r="VZI65" s="180"/>
      <c r="VZJ65" s="180"/>
      <c r="VZK65" s="180"/>
      <c r="VZL65" s="180"/>
      <c r="VZM65" s="180"/>
      <c r="VZN65" s="180"/>
      <c r="VZO65" s="180"/>
      <c r="VZP65" s="180"/>
      <c r="VZQ65" s="180"/>
      <c r="VZR65" s="180"/>
      <c r="VZS65" s="180"/>
      <c r="VZT65" s="180"/>
      <c r="VZU65" s="180"/>
      <c r="VZV65" s="180"/>
      <c r="VZW65" s="180"/>
      <c r="VZX65" s="180"/>
      <c r="VZY65" s="180"/>
      <c r="VZZ65" s="180"/>
      <c r="WAA65" s="180"/>
      <c r="WAB65" s="180"/>
      <c r="WAC65" s="180"/>
      <c r="WAD65" s="180"/>
      <c r="WAE65" s="180"/>
      <c r="WAF65" s="180"/>
      <c r="WAG65" s="180"/>
      <c r="WAH65" s="180"/>
      <c r="WAI65" s="180"/>
      <c r="WAJ65" s="180"/>
      <c r="WAK65" s="180"/>
      <c r="WAL65" s="180"/>
      <c r="WAM65" s="180"/>
      <c r="WAN65" s="180"/>
      <c r="WAO65" s="180"/>
      <c r="WAP65" s="180"/>
      <c r="WAQ65" s="180"/>
      <c r="WAR65" s="180"/>
      <c r="WAS65" s="180"/>
      <c r="WAT65" s="180"/>
      <c r="WAU65" s="180"/>
      <c r="WAV65" s="180"/>
      <c r="WAW65" s="180"/>
      <c r="WAX65" s="180"/>
      <c r="WAY65" s="180"/>
      <c r="WAZ65" s="180"/>
      <c r="WBA65" s="180"/>
      <c r="WBB65" s="180"/>
      <c r="WBC65" s="180"/>
      <c r="WBD65" s="180"/>
      <c r="WBE65" s="180"/>
      <c r="WBF65" s="180"/>
      <c r="WBG65" s="180"/>
      <c r="WBH65" s="180"/>
      <c r="WBI65" s="180"/>
      <c r="WBJ65" s="180"/>
      <c r="WBK65" s="180"/>
      <c r="WBL65" s="180"/>
      <c r="WBM65" s="180"/>
      <c r="WBN65" s="180"/>
      <c r="WBO65" s="180"/>
      <c r="WBP65" s="180"/>
      <c r="WBQ65" s="180"/>
      <c r="WBR65" s="180"/>
      <c r="WBS65" s="180"/>
      <c r="WBT65" s="180"/>
      <c r="WBU65" s="180"/>
      <c r="WBV65" s="180"/>
      <c r="WBW65" s="180"/>
      <c r="WBX65" s="180"/>
      <c r="WBY65" s="180"/>
      <c r="WBZ65" s="180"/>
      <c r="WCA65" s="180"/>
      <c r="WCB65" s="180"/>
      <c r="WCC65" s="180"/>
      <c r="WCD65" s="180"/>
      <c r="WCE65" s="180"/>
      <c r="WCF65" s="180"/>
      <c r="WCG65" s="180"/>
      <c r="WCH65" s="180"/>
      <c r="WCI65" s="180"/>
      <c r="WCJ65" s="180"/>
      <c r="WCK65" s="180"/>
      <c r="WCL65" s="180"/>
      <c r="WCM65" s="180"/>
      <c r="WCN65" s="180"/>
      <c r="WCO65" s="180"/>
      <c r="WCP65" s="180"/>
      <c r="WCQ65" s="180"/>
      <c r="WCR65" s="180"/>
      <c r="WCS65" s="180"/>
      <c r="WCT65" s="180"/>
      <c r="WCU65" s="180"/>
      <c r="WCV65" s="180"/>
      <c r="WCW65" s="180"/>
      <c r="WCX65" s="180"/>
      <c r="WCY65" s="180"/>
      <c r="WCZ65" s="180"/>
      <c r="WDA65" s="180"/>
      <c r="WDB65" s="180"/>
      <c r="WDC65" s="180"/>
      <c r="WDD65" s="180"/>
      <c r="WDE65" s="180"/>
      <c r="WDF65" s="180"/>
      <c r="WDG65" s="180"/>
      <c r="WDH65" s="180"/>
      <c r="WDI65" s="180"/>
      <c r="WDJ65" s="180"/>
      <c r="WDK65" s="180"/>
      <c r="WDL65" s="180"/>
      <c r="WDM65" s="180"/>
      <c r="WDN65" s="180"/>
      <c r="WDO65" s="180"/>
      <c r="WDP65" s="180"/>
      <c r="WDQ65" s="180"/>
      <c r="WDR65" s="180"/>
      <c r="WDS65" s="180"/>
      <c r="WDT65" s="180"/>
      <c r="WDU65" s="180"/>
      <c r="WDV65" s="180"/>
      <c r="WDW65" s="180"/>
      <c r="WDX65" s="180"/>
      <c r="WDY65" s="180"/>
      <c r="WDZ65" s="180"/>
      <c r="WEA65" s="180"/>
      <c r="WEB65" s="180"/>
      <c r="WEC65" s="180"/>
      <c r="WED65" s="180"/>
      <c r="WEE65" s="180"/>
      <c r="WEF65" s="180"/>
      <c r="WEG65" s="180"/>
      <c r="WEH65" s="180"/>
      <c r="WEI65" s="180"/>
      <c r="WEJ65" s="180"/>
      <c r="WEK65" s="180"/>
      <c r="WEL65" s="180"/>
      <c r="WEM65" s="180"/>
      <c r="WEN65" s="180"/>
      <c r="WEO65" s="180"/>
      <c r="WEP65" s="180"/>
      <c r="WEQ65" s="180"/>
      <c r="WER65" s="180"/>
      <c r="WES65" s="180"/>
      <c r="WET65" s="180"/>
      <c r="WEU65" s="180"/>
      <c r="WEV65" s="180"/>
      <c r="WEW65" s="180"/>
      <c r="WEX65" s="180"/>
      <c r="WEY65" s="180"/>
      <c r="WEZ65" s="180"/>
      <c r="WFA65" s="180"/>
      <c r="WFB65" s="180"/>
      <c r="WFC65" s="180"/>
      <c r="WFD65" s="180"/>
      <c r="WFE65" s="180"/>
      <c r="WFF65" s="180"/>
      <c r="WFG65" s="180"/>
      <c r="WFH65" s="180"/>
      <c r="WFI65" s="180"/>
      <c r="WFJ65" s="180"/>
      <c r="WFK65" s="180"/>
      <c r="WFL65" s="180"/>
      <c r="WFM65" s="180"/>
      <c r="WFN65" s="180"/>
      <c r="WFO65" s="180"/>
      <c r="WFP65" s="180"/>
      <c r="WFQ65" s="180"/>
      <c r="WFR65" s="180"/>
      <c r="WFS65" s="180"/>
      <c r="WFT65" s="180"/>
      <c r="WFU65" s="180"/>
      <c r="WFV65" s="180"/>
      <c r="WFW65" s="180"/>
      <c r="WFX65" s="180"/>
      <c r="WFY65" s="180"/>
      <c r="WFZ65" s="180"/>
      <c r="WGA65" s="180"/>
      <c r="WGB65" s="180"/>
      <c r="WGC65" s="180"/>
      <c r="WGD65" s="180"/>
      <c r="WGE65" s="180"/>
      <c r="WGF65" s="180"/>
      <c r="WGG65" s="180"/>
      <c r="WGH65" s="180"/>
      <c r="WGI65" s="180"/>
      <c r="WGJ65" s="180"/>
      <c r="WGK65" s="180"/>
      <c r="WGL65" s="180"/>
      <c r="WGM65" s="180"/>
      <c r="WGN65" s="180"/>
      <c r="WGO65" s="180"/>
      <c r="WGP65" s="180"/>
      <c r="WGQ65" s="180"/>
      <c r="WGR65" s="180"/>
      <c r="WGS65" s="180"/>
      <c r="WGT65" s="180"/>
      <c r="WGU65" s="180"/>
      <c r="WGV65" s="180"/>
      <c r="WGW65" s="180"/>
      <c r="WGX65" s="180"/>
      <c r="WGY65" s="180"/>
      <c r="WGZ65" s="180"/>
      <c r="WHA65" s="180"/>
      <c r="WHB65" s="180"/>
      <c r="WHC65" s="180"/>
      <c r="WHD65" s="180"/>
      <c r="WHE65" s="180"/>
      <c r="WHF65" s="180"/>
      <c r="WHG65" s="180"/>
      <c r="WHH65" s="180"/>
      <c r="WHI65" s="180"/>
      <c r="WHJ65" s="180"/>
      <c r="WHK65" s="180"/>
      <c r="WHL65" s="180"/>
      <c r="WHM65" s="180"/>
      <c r="WHN65" s="180"/>
      <c r="WHO65" s="180"/>
      <c r="WHP65" s="180"/>
      <c r="WHQ65" s="180"/>
      <c r="WHR65" s="180"/>
      <c r="WHS65" s="180"/>
      <c r="WHT65" s="180"/>
      <c r="WHU65" s="180"/>
      <c r="WHV65" s="180"/>
      <c r="WHW65" s="180"/>
      <c r="WHX65" s="180"/>
      <c r="WHY65" s="180"/>
      <c r="WHZ65" s="180"/>
      <c r="WIA65" s="180"/>
      <c r="WIB65" s="180"/>
      <c r="WIC65" s="180"/>
      <c r="WID65" s="180"/>
      <c r="WIE65" s="180"/>
      <c r="WIF65" s="180"/>
      <c r="WIG65" s="180"/>
      <c r="WIH65" s="180"/>
      <c r="WII65" s="180"/>
      <c r="WIJ65" s="180"/>
      <c r="WIK65" s="180"/>
      <c r="WIL65" s="180"/>
      <c r="WIM65" s="180"/>
      <c r="WIN65" s="180"/>
      <c r="WIO65" s="180"/>
      <c r="WIP65" s="180"/>
      <c r="WIQ65" s="180"/>
      <c r="WIR65" s="180"/>
      <c r="WIS65" s="180"/>
      <c r="WIT65" s="180"/>
      <c r="WIU65" s="180"/>
      <c r="WIV65" s="180"/>
      <c r="WIW65" s="180"/>
      <c r="WIX65" s="180"/>
      <c r="WIY65" s="180"/>
      <c r="WIZ65" s="180"/>
      <c r="WJA65" s="180"/>
      <c r="WJB65" s="180"/>
      <c r="WJC65" s="180"/>
      <c r="WJD65" s="180"/>
      <c r="WJE65" s="180"/>
      <c r="WJF65" s="180"/>
      <c r="WJG65" s="180"/>
      <c r="WJH65" s="180"/>
      <c r="WJI65" s="180"/>
      <c r="WJJ65" s="180"/>
      <c r="WJK65" s="180"/>
      <c r="WJL65" s="180"/>
      <c r="WJM65" s="180"/>
      <c r="WJN65" s="180"/>
      <c r="WJO65" s="180"/>
      <c r="WJP65" s="180"/>
      <c r="WJQ65" s="180"/>
      <c r="WJR65" s="180"/>
      <c r="WJS65" s="180"/>
      <c r="WJT65" s="180"/>
      <c r="WJU65" s="180"/>
      <c r="WJV65" s="180"/>
      <c r="WJW65" s="180"/>
      <c r="WJX65" s="180"/>
      <c r="WJY65" s="180"/>
      <c r="WJZ65" s="180"/>
      <c r="WKA65" s="180"/>
      <c r="WKB65" s="180"/>
      <c r="WKC65" s="180"/>
      <c r="WKD65" s="180"/>
      <c r="WKE65" s="180"/>
      <c r="WKF65" s="180"/>
      <c r="WKG65" s="180"/>
      <c r="WKH65" s="180"/>
      <c r="WKI65" s="180"/>
      <c r="WKJ65" s="180"/>
      <c r="WKK65" s="180"/>
      <c r="WKL65" s="180"/>
      <c r="WKM65" s="180"/>
      <c r="WKN65" s="180"/>
      <c r="WKO65" s="180"/>
      <c r="WKP65" s="180"/>
      <c r="WKQ65" s="180"/>
      <c r="WKR65" s="180"/>
      <c r="WKS65" s="180"/>
      <c r="WKT65" s="180"/>
      <c r="WKU65" s="180"/>
      <c r="WKV65" s="180"/>
      <c r="WKW65" s="180"/>
      <c r="WKX65" s="180"/>
      <c r="WKY65" s="180"/>
      <c r="WKZ65" s="180"/>
      <c r="WLA65" s="180"/>
      <c r="WLB65" s="180"/>
      <c r="WLC65" s="180"/>
      <c r="WLD65" s="180"/>
      <c r="WLE65" s="180"/>
      <c r="WLF65" s="180"/>
      <c r="WLG65" s="180"/>
      <c r="WLH65" s="180"/>
      <c r="WLI65" s="180"/>
      <c r="WLJ65" s="180"/>
      <c r="WLK65" s="180"/>
      <c r="WLL65" s="180"/>
      <c r="WLM65" s="180"/>
      <c r="WLN65" s="180"/>
      <c r="WLO65" s="180"/>
      <c r="WLP65" s="180"/>
      <c r="WLQ65" s="180"/>
      <c r="WLR65" s="180"/>
      <c r="WLS65" s="180"/>
      <c r="WLT65" s="180"/>
      <c r="WLU65" s="180"/>
      <c r="WLV65" s="180"/>
      <c r="WLW65" s="180"/>
      <c r="WLX65" s="180"/>
      <c r="WLY65" s="180"/>
      <c r="WLZ65" s="180"/>
      <c r="WMA65" s="180"/>
      <c r="WMB65" s="180"/>
      <c r="WMC65" s="180"/>
      <c r="WMD65" s="180"/>
      <c r="WME65" s="180"/>
      <c r="WMF65" s="180"/>
      <c r="WMG65" s="180"/>
      <c r="WMH65" s="180"/>
      <c r="WMI65" s="180"/>
      <c r="WMJ65" s="180"/>
      <c r="WMK65" s="180"/>
      <c r="WML65" s="180"/>
      <c r="WMM65" s="180"/>
      <c r="WMN65" s="180"/>
      <c r="WMO65" s="180"/>
      <c r="WMP65" s="180"/>
      <c r="WMQ65" s="180"/>
      <c r="WMR65" s="180"/>
      <c r="WMS65" s="180"/>
      <c r="WMT65" s="180"/>
      <c r="WMU65" s="180"/>
      <c r="WMV65" s="180"/>
      <c r="WMW65" s="180"/>
      <c r="WMX65" s="180"/>
      <c r="WMY65" s="180"/>
      <c r="WMZ65" s="180"/>
      <c r="WNA65" s="180"/>
      <c r="WNB65" s="180"/>
      <c r="WNC65" s="180"/>
      <c r="WND65" s="180"/>
      <c r="WNE65" s="180"/>
      <c r="WNF65" s="180"/>
      <c r="WNG65" s="180"/>
      <c r="WNH65" s="180"/>
      <c r="WNI65" s="180"/>
      <c r="WNJ65" s="180"/>
      <c r="WNK65" s="180"/>
      <c r="WNL65" s="180"/>
      <c r="WNM65" s="180"/>
      <c r="WNN65" s="180"/>
      <c r="WNO65" s="180"/>
      <c r="WNP65" s="180"/>
      <c r="WNQ65" s="180"/>
      <c r="WNR65" s="180"/>
      <c r="WNS65" s="180"/>
      <c r="WNT65" s="180"/>
      <c r="WNU65" s="180"/>
      <c r="WNV65" s="180"/>
      <c r="WNW65" s="180"/>
      <c r="WNX65" s="180"/>
      <c r="WNY65" s="180"/>
      <c r="WNZ65" s="180"/>
      <c r="WOA65" s="180"/>
      <c r="WOB65" s="180"/>
      <c r="WOC65" s="180"/>
      <c r="WOD65" s="180"/>
      <c r="WOE65" s="180"/>
      <c r="WOF65" s="180"/>
      <c r="WOG65" s="180"/>
      <c r="WOH65" s="180"/>
      <c r="WOI65" s="180"/>
      <c r="WOJ65" s="180"/>
      <c r="WOK65" s="180"/>
      <c r="WOL65" s="180"/>
      <c r="WOM65" s="180"/>
      <c r="WON65" s="180"/>
      <c r="WOO65" s="180"/>
      <c r="WOP65" s="180"/>
      <c r="WOQ65" s="180"/>
      <c r="WOR65" s="180"/>
      <c r="WOS65" s="180"/>
      <c r="WOT65" s="180"/>
      <c r="WOU65" s="180"/>
      <c r="WOV65" s="180"/>
      <c r="WOW65" s="180"/>
      <c r="WOX65" s="180"/>
      <c r="WOY65" s="180"/>
      <c r="WOZ65" s="180"/>
      <c r="WPA65" s="180"/>
      <c r="WPB65" s="180"/>
      <c r="WPC65" s="180"/>
      <c r="WPD65" s="180"/>
      <c r="WPE65" s="180"/>
      <c r="WPF65" s="180"/>
      <c r="WPG65" s="180"/>
      <c r="WPH65" s="180"/>
      <c r="WPI65" s="180"/>
      <c r="WPJ65" s="180"/>
      <c r="WPK65" s="180"/>
      <c r="WPL65" s="180"/>
      <c r="WPM65" s="180"/>
      <c r="WPN65" s="180"/>
      <c r="WPO65" s="180"/>
      <c r="WPP65" s="180"/>
      <c r="WPQ65" s="180"/>
      <c r="WPR65" s="180"/>
      <c r="WPS65" s="180"/>
      <c r="WPT65" s="180"/>
      <c r="WPU65" s="180"/>
      <c r="WPV65" s="180"/>
      <c r="WPW65" s="180"/>
      <c r="WPX65" s="180"/>
      <c r="WPY65" s="180"/>
      <c r="WPZ65" s="180"/>
      <c r="WQA65" s="180"/>
      <c r="WQB65" s="180"/>
      <c r="WQC65" s="180"/>
      <c r="WQD65" s="180"/>
      <c r="WQE65" s="180"/>
      <c r="WQF65" s="180"/>
      <c r="WQG65" s="180"/>
      <c r="WQH65" s="180"/>
      <c r="WQI65" s="180"/>
      <c r="WQJ65" s="180"/>
      <c r="WQK65" s="180"/>
      <c r="WQL65" s="180"/>
      <c r="WQM65" s="180"/>
      <c r="WQN65" s="180"/>
      <c r="WQO65" s="180"/>
      <c r="WQP65" s="180"/>
      <c r="WQQ65" s="180"/>
      <c r="WQR65" s="180"/>
      <c r="WQS65" s="180"/>
      <c r="WQT65" s="180"/>
      <c r="WQU65" s="180"/>
      <c r="WQV65" s="180"/>
      <c r="WQW65" s="180"/>
      <c r="WQX65" s="180"/>
      <c r="WQY65" s="180"/>
      <c r="WQZ65" s="180"/>
      <c r="WRA65" s="180"/>
      <c r="WRB65" s="180"/>
      <c r="WRC65" s="180"/>
      <c r="WRD65" s="180"/>
      <c r="WRE65" s="180"/>
      <c r="WRF65" s="180"/>
      <c r="WRG65" s="180"/>
      <c r="WRH65" s="180"/>
      <c r="WRI65" s="180"/>
      <c r="WRJ65" s="180"/>
      <c r="WRK65" s="180"/>
      <c r="WRL65" s="180"/>
      <c r="WRM65" s="180"/>
      <c r="WRN65" s="180"/>
      <c r="WRO65" s="180"/>
      <c r="WRP65" s="180"/>
      <c r="WRQ65" s="180"/>
      <c r="WRR65" s="180"/>
      <c r="WRS65" s="180"/>
      <c r="WRT65" s="180"/>
      <c r="WRU65" s="180"/>
      <c r="WRV65" s="180"/>
      <c r="WRW65" s="180"/>
      <c r="WRX65" s="180"/>
      <c r="WRY65" s="180"/>
      <c r="WRZ65" s="180"/>
      <c r="WSA65" s="180"/>
      <c r="WSB65" s="180"/>
      <c r="WSC65" s="180"/>
      <c r="WSD65" s="180"/>
      <c r="WSE65" s="180"/>
      <c r="WSF65" s="180"/>
      <c r="WSG65" s="180"/>
      <c r="WSH65" s="180"/>
      <c r="WSI65" s="180"/>
      <c r="WSJ65" s="180"/>
      <c r="WSK65" s="180"/>
      <c r="WSL65" s="180"/>
      <c r="WSM65" s="180"/>
      <c r="WSN65" s="180"/>
      <c r="WSO65" s="180"/>
      <c r="WSP65" s="180"/>
      <c r="WSQ65" s="180"/>
      <c r="WSR65" s="180"/>
      <c r="WSS65" s="180"/>
      <c r="WST65" s="180"/>
      <c r="WSU65" s="180"/>
      <c r="WSV65" s="180"/>
      <c r="WSW65" s="180"/>
      <c r="WSX65" s="180"/>
      <c r="WSY65" s="180"/>
      <c r="WSZ65" s="180"/>
      <c r="WTA65" s="180"/>
      <c r="WTB65" s="180"/>
      <c r="WTC65" s="180"/>
      <c r="WTD65" s="180"/>
      <c r="WTE65" s="180"/>
      <c r="WTF65" s="180"/>
      <c r="WTG65" s="180"/>
      <c r="WTH65" s="180"/>
      <c r="WTI65" s="180"/>
      <c r="WTJ65" s="180"/>
      <c r="WTK65" s="180"/>
      <c r="WTL65" s="180"/>
      <c r="WTM65" s="180"/>
      <c r="WTN65" s="180"/>
      <c r="WTO65" s="180"/>
      <c r="WTP65" s="180"/>
      <c r="WTQ65" s="180"/>
      <c r="WTR65" s="180"/>
      <c r="WTS65" s="180"/>
      <c r="WTT65" s="180"/>
      <c r="WTU65" s="180"/>
      <c r="WTV65" s="180"/>
      <c r="WTW65" s="180"/>
      <c r="WTX65" s="180"/>
      <c r="WTY65" s="180"/>
      <c r="WTZ65" s="180"/>
      <c r="WUA65" s="180"/>
      <c r="WUB65" s="180"/>
      <c r="WUC65" s="180"/>
      <c r="WUD65" s="180"/>
      <c r="WUE65" s="180"/>
      <c r="WUF65" s="180"/>
      <c r="WUG65" s="180"/>
      <c r="WUH65" s="180"/>
      <c r="WUI65" s="180"/>
      <c r="WUJ65" s="180"/>
      <c r="WUK65" s="180"/>
      <c r="WUL65" s="180"/>
      <c r="WUM65" s="180"/>
      <c r="WUN65" s="180"/>
      <c r="WUO65" s="180"/>
      <c r="WUP65" s="180"/>
      <c r="WUQ65" s="180"/>
      <c r="WUR65" s="180"/>
      <c r="WUS65" s="180"/>
      <c r="WUT65" s="180"/>
      <c r="WUU65" s="180"/>
      <c r="WUV65" s="180"/>
      <c r="WUW65" s="180"/>
      <c r="WUX65" s="180"/>
      <c r="WUY65" s="180"/>
      <c r="WUZ65" s="180"/>
      <c r="WVA65" s="180"/>
      <c r="WVB65" s="180"/>
      <c r="WVC65" s="180"/>
      <c r="WVD65" s="180"/>
      <c r="WVE65" s="180"/>
      <c r="WVF65" s="180"/>
      <c r="WVG65" s="180"/>
      <c r="WVH65" s="180"/>
      <c r="WVI65" s="180"/>
      <c r="WVJ65" s="180"/>
      <c r="WVK65" s="180"/>
      <c r="WVL65" s="180"/>
      <c r="WVM65" s="180"/>
      <c r="WVN65" s="180"/>
      <c r="WVO65" s="180"/>
      <c r="WVP65" s="180"/>
      <c r="WVQ65" s="180"/>
      <c r="WVR65" s="180"/>
      <c r="WVS65" s="180"/>
      <c r="WVT65" s="180"/>
      <c r="WVU65" s="180"/>
      <c r="WVV65" s="180"/>
      <c r="WVW65" s="180"/>
      <c r="WVX65" s="180"/>
      <c r="WVY65" s="180"/>
      <c r="WVZ65" s="180"/>
      <c r="WWA65" s="180"/>
      <c r="WWB65" s="180"/>
      <c r="WWC65" s="180"/>
      <c r="WWD65" s="180"/>
      <c r="WWE65" s="180"/>
      <c r="WWF65" s="180"/>
      <c r="WWG65" s="180"/>
      <c r="WWH65" s="180"/>
      <c r="WWI65" s="180"/>
      <c r="WWJ65" s="180"/>
      <c r="WWK65" s="180"/>
      <c r="WWL65" s="180"/>
      <c r="WWM65" s="180"/>
      <c r="WWN65" s="180"/>
      <c r="WWO65" s="180"/>
      <c r="WWP65" s="180"/>
      <c r="WWQ65" s="180"/>
      <c r="WWR65" s="180"/>
      <c r="WWS65" s="180"/>
      <c r="WWT65" s="180"/>
      <c r="WWU65" s="180"/>
      <c r="WWV65" s="180"/>
      <c r="WWW65" s="180"/>
      <c r="WWX65" s="180"/>
      <c r="WWY65" s="180"/>
      <c r="WWZ65" s="180"/>
      <c r="WXA65" s="180"/>
      <c r="WXB65" s="180"/>
      <c r="WXC65" s="180"/>
      <c r="WXD65" s="180"/>
      <c r="WXE65" s="180"/>
      <c r="WXF65" s="180"/>
      <c r="WXG65" s="180"/>
      <c r="WXH65" s="180"/>
      <c r="WXI65" s="180"/>
      <c r="WXJ65" s="180"/>
      <c r="WXK65" s="180"/>
      <c r="WXL65" s="180"/>
      <c r="WXM65" s="180"/>
      <c r="WXN65" s="180"/>
      <c r="WXO65" s="180"/>
      <c r="WXP65" s="180"/>
      <c r="WXQ65" s="180"/>
      <c r="WXR65" s="180"/>
      <c r="WXS65" s="180"/>
      <c r="WXT65" s="180"/>
      <c r="WXU65" s="180"/>
      <c r="WXV65" s="180"/>
      <c r="WXW65" s="180"/>
      <c r="WXX65" s="180"/>
      <c r="WXY65" s="180"/>
      <c r="WXZ65" s="180"/>
      <c r="WYA65" s="180"/>
      <c r="WYB65" s="180"/>
      <c r="WYC65" s="180"/>
      <c r="WYD65" s="180"/>
      <c r="WYE65" s="180"/>
      <c r="WYF65" s="180"/>
      <c r="WYG65" s="180"/>
      <c r="WYH65" s="180"/>
      <c r="WYI65" s="180"/>
      <c r="WYJ65" s="180"/>
      <c r="WYK65" s="180"/>
      <c r="WYL65" s="180"/>
      <c r="WYM65" s="180"/>
      <c r="WYN65" s="180"/>
      <c r="WYO65" s="180"/>
      <c r="WYP65" s="180"/>
      <c r="WYQ65" s="180"/>
      <c r="WYR65" s="180"/>
      <c r="WYS65" s="180"/>
      <c r="WYT65" s="180"/>
      <c r="WYU65" s="180"/>
      <c r="WYV65" s="180"/>
      <c r="WYW65" s="180"/>
      <c r="WYX65" s="180"/>
      <c r="WYY65" s="180"/>
      <c r="WYZ65" s="180"/>
      <c r="WZA65" s="180"/>
      <c r="WZB65" s="180"/>
      <c r="WZC65" s="180"/>
      <c r="WZD65" s="180"/>
      <c r="WZE65" s="180"/>
      <c r="WZF65" s="180"/>
      <c r="WZG65" s="180"/>
      <c r="WZH65" s="180"/>
      <c r="WZI65" s="180"/>
      <c r="WZJ65" s="180"/>
      <c r="WZK65" s="180"/>
      <c r="WZL65" s="180"/>
      <c r="WZM65" s="180"/>
      <c r="WZN65" s="180"/>
      <c r="WZO65" s="180"/>
      <c r="WZP65" s="180"/>
      <c r="WZQ65" s="180"/>
      <c r="WZR65" s="180"/>
      <c r="WZS65" s="180"/>
      <c r="WZT65" s="180"/>
      <c r="WZU65" s="180"/>
      <c r="WZV65" s="180"/>
      <c r="WZW65" s="180"/>
      <c r="WZX65" s="180"/>
      <c r="WZY65" s="180"/>
      <c r="WZZ65" s="180"/>
      <c r="XAA65" s="180"/>
      <c r="XAB65" s="180"/>
      <c r="XAC65" s="180"/>
      <c r="XAD65" s="180"/>
      <c r="XAE65" s="180"/>
      <c r="XAF65" s="180"/>
      <c r="XAG65" s="180"/>
      <c r="XAH65" s="180"/>
      <c r="XAI65" s="180"/>
      <c r="XAJ65" s="180"/>
      <c r="XAK65" s="180"/>
      <c r="XAL65" s="180"/>
      <c r="XAM65" s="180"/>
      <c r="XAN65" s="180"/>
      <c r="XAO65" s="180"/>
      <c r="XAP65" s="180"/>
      <c r="XAQ65" s="180"/>
      <c r="XAR65" s="180"/>
      <c r="XAS65" s="180"/>
      <c r="XAT65" s="180"/>
      <c r="XAU65" s="180"/>
      <c r="XAV65" s="180"/>
      <c r="XAW65" s="180"/>
      <c r="XAX65" s="180"/>
      <c r="XAY65" s="180"/>
      <c r="XAZ65" s="180"/>
      <c r="XBA65" s="180"/>
      <c r="XBB65" s="180"/>
      <c r="XBC65" s="180"/>
      <c r="XBD65" s="180"/>
      <c r="XBE65" s="180"/>
      <c r="XBF65" s="180"/>
      <c r="XBG65" s="180"/>
      <c r="XBH65" s="180"/>
      <c r="XBI65" s="180"/>
      <c r="XBJ65" s="180"/>
      <c r="XBK65" s="180"/>
      <c r="XBL65" s="180"/>
      <c r="XBM65" s="180"/>
      <c r="XBN65" s="180"/>
      <c r="XBO65" s="180"/>
      <c r="XBP65" s="180"/>
      <c r="XBQ65" s="180"/>
      <c r="XBR65" s="180"/>
      <c r="XBS65" s="180"/>
      <c r="XBT65" s="180"/>
      <c r="XBU65" s="180"/>
      <c r="XBV65" s="180"/>
      <c r="XBW65" s="180"/>
      <c r="XBX65" s="180"/>
      <c r="XBY65" s="180"/>
      <c r="XBZ65" s="180"/>
      <c r="XCA65" s="180"/>
      <c r="XCB65" s="180"/>
      <c r="XCC65" s="180"/>
      <c r="XCD65" s="180"/>
      <c r="XCE65" s="180"/>
      <c r="XCF65" s="180"/>
      <c r="XCG65" s="180"/>
      <c r="XCH65" s="180"/>
      <c r="XCI65" s="180"/>
      <c r="XCJ65" s="180"/>
      <c r="XCK65" s="180"/>
      <c r="XCL65" s="180"/>
      <c r="XCM65" s="180"/>
      <c r="XCN65" s="180"/>
      <c r="XCO65" s="180"/>
      <c r="XCP65" s="180"/>
      <c r="XCQ65" s="180"/>
      <c r="XCR65" s="180"/>
      <c r="XCS65" s="180"/>
      <c r="XCT65" s="180"/>
      <c r="XCU65" s="180"/>
      <c r="XCV65" s="180"/>
      <c r="XCW65" s="180"/>
      <c r="XCX65" s="180"/>
      <c r="XCY65" s="180"/>
      <c r="XCZ65" s="180"/>
      <c r="XDA65" s="180"/>
      <c r="XDB65" s="180"/>
      <c r="XDC65" s="180"/>
      <c r="XDD65" s="180"/>
      <c r="XDE65" s="180"/>
      <c r="XDF65" s="180"/>
      <c r="XDG65" s="180"/>
      <c r="XDH65" s="180"/>
      <c r="XDI65" s="180"/>
      <c r="XDJ65" s="180"/>
      <c r="XDK65" s="180"/>
      <c r="XDL65" s="180"/>
      <c r="XDM65" s="180"/>
      <c r="XDN65" s="180"/>
      <c r="XDO65" s="180"/>
      <c r="XDP65" s="180"/>
      <c r="XDQ65" s="180"/>
      <c r="XDR65" s="180"/>
      <c r="XDS65" s="180"/>
      <c r="XDT65" s="180"/>
      <c r="XDU65" s="180"/>
      <c r="XDV65" s="180"/>
      <c r="XDW65" s="180"/>
      <c r="XDX65" s="180"/>
      <c r="XDY65" s="180"/>
      <c r="XDZ65" s="180"/>
      <c r="XEA65" s="180"/>
      <c r="XEB65" s="180"/>
      <c r="XEC65" s="180"/>
      <c r="XED65" s="180"/>
      <c r="XEE65" s="180"/>
      <c r="XEF65" s="180"/>
      <c r="XEG65" s="180"/>
      <c r="XEH65" s="180"/>
      <c r="XEI65" s="180"/>
      <c r="XEJ65" s="180"/>
      <c r="XEK65" s="180"/>
      <c r="XEL65" s="180"/>
      <c r="XEM65" s="180"/>
      <c r="XEN65" s="180"/>
      <c r="XEO65" s="180"/>
      <c r="XEP65" s="180"/>
      <c r="XEQ65" s="180"/>
      <c r="XER65" s="180"/>
      <c r="XES65" s="180"/>
      <c r="XET65" s="180"/>
      <c r="XEU65" s="180"/>
      <c r="XEV65" s="180"/>
      <c r="XEW65" s="180"/>
      <c r="XEX65" s="180"/>
      <c r="XEY65" s="180"/>
      <c r="XEZ65" s="180"/>
      <c r="XFA65" s="180"/>
      <c r="XFB65" s="180"/>
    </row>
    <row r="66" spans="1:16384" s="180" customFormat="1" ht="13.5">
      <c r="A66" s="214">
        <v>6.2</v>
      </c>
      <c r="B66" s="186" t="s">
        <v>127</v>
      </c>
      <c r="C66" s="173" t="s">
        <v>104</v>
      </c>
      <c r="D66" s="189" t="str">
        <f>IF(OR(j_WEEKDAY(J_ADDDAY(VLOOKUP(I66,A:F,6,FALSE),H66,1),0)=6,SUMIFS(Holieday[ok],Holieday[date],J_ADDDAY(VLOOKUP(I66,A:F,6,FALSE),H66,1)))=FALSE(),J_ADDDAY(VLOOKUP(I66,A:F,6,FALSE),H66,1),IF(OR(j_WEEKDAY(J_ADDDAY(VLOOKUP(I66,A:F,6,FALSE),H66+1,1),0)=6,SUMIFS(Holieday[ok],Holieday[date],J_ADDDAY(VLOOKUP(I66,A:F,6,FALSE),H66+1,1)))=FALSE(),J_ADDDAY(VLOOKUP(I66,A:F,6,FALSE),H66+1,1),IF(OR(j_WEEKDAY(J_ADDDAY(VLOOKUP(I66,A:F,6,FALSE),H66+2,1),0)=6,SUMIFS(Holieday[ok],Holieday[date],J_ADDDAY(VLOOKUP(I66,A:F,6,FALSE),H66+2,1)))=FALSE(),J_ADDDAY(VLOOKUP(I66,A:F,6,FALSE),H66+2,1),IF(OR(j_WEEKDAY(J_ADDDAY(VLOOKUP(I66,A:F,6,FALSE),H66+3,1),0)=6,SUMIFS(Holieday[ok],Holieday[date],J_ADDDAY(VLOOKUP(I66,A:F,6,FALSE),H66+3,1)))=FALSE(),J_ADDDAY(VLOOKUP(I66,A:F,6,FALSE),H66+3,1),IF(OR(j_WEEKDAY(J_ADDDAY(VLOOKUP(I66,A:F,6,FALSE),H66+4,1),0)=6,SUMIFS(Holieday[ok],Holieday[date],J_ADDDAY(VLOOKUP(I66,A:F,6,FALSE),H66+4,1)))=FALSE(),J_ADDDAY(VLOOKUP(I66,A:F,6,FALSE),H66+4,1),J_ADDDAY(VLOOKUP(I66,A:F,6,FALSE),H66+5,1))))))</f>
        <v>1398/10/16</v>
      </c>
      <c r="E66" s="136">
        <f t="shared" si="36"/>
        <v>13981016</v>
      </c>
      <c r="F66" s="189" t="str">
        <f>IF(N66=0,J_SUBDAY(D66,1,1),IF((N66-NETWORKDAYS.INTL(J_GregorianDate(D66,1),J_GregorianDate(J_SUBDAY(J_ADDDAY(D66,N66,1),1,1),1),16,1)-SUMIFS(Holieday[ok],Holieday[date],CONCATENATE("&gt;","=",D66),Holieday[date],CONCATENATE("&lt;","=",J_SUBDAY(J_ADDDAY(D66,N66,1),1,1)))+SUMIFS(Holieday[Friday],Holieday[date],CONCATENATE("&gt;","=",D66),Holieday[date],CONCATENATE("&lt;","=",J_SUBDAY(J_ADDDAY(D66,N66,1),1,1))))=0,J_SUBDAY(J_ADDDAY(D66,N66,1),1,1),IF((N66-NETWORKDAYS.INTL(J_GregorianDate(D66,1),J_GregorianDate(J_SUBDAY(J_ADDDAY(D66,N66,1),1,1),1),16,1)-SUMIFS(Holieday[ok],Holieday[date],CONCATENATE("&gt;","=",D66),Holieday[date],CONCATENATE("&lt;","=",J_SUBDAY(J_ADDDAY(D66,N66,1),1,1)))+SUMIFS(Holieday[Friday],Holieday[date],CONCATENATE("&gt;","=",D66),Holieday[date],CONCATENATE("&lt;","=",J_SUBDAY(J_ADDDAY(D66,N66,1),1,1))))=1,J_SUBDAY(J_ADDDAY(D66,N66+1,1),1,1),IF((N66-NETWORKDAYS.INTL(J_GregorianDate(D66,1),J_GregorianDate(J_SUBDAY(J_ADDDAY(D66,N66,1),1,1),1),16,1)-SUMIFS(Holieday[ok],Holieday[date],CONCATENATE("&gt;","=",D66),Holieday[date],CONCATENATE("&lt;","=",J_SUBDAY(J_ADDDAY(D66,N66,1),1,1)))+SUMIFS(Holieday[Friday],Holieday[date],CONCATENATE("&gt;","=",D66),Holieday[date],CONCATENATE("&lt;","=",J_SUBDAY(J_ADDDAY(D66,N66,1),1,1))))=2,J_SUBDAY(J_ADDDAY(D66,N66+2,1),1,1),J_SUBDAY(J_ADDDAY(D66,N66+3,1),1,1)))))</f>
        <v>1398/10/24</v>
      </c>
      <c r="G66" s="139">
        <f t="shared" si="37"/>
        <v>13981024</v>
      </c>
      <c r="H66" s="175">
        <v>1</v>
      </c>
      <c r="I66" s="176">
        <v>6.1</v>
      </c>
      <c r="J66" s="174">
        <f>j_WEEKDAY(D66,2)</f>
        <v>2</v>
      </c>
      <c r="K66" s="143">
        <f t="shared" si="40"/>
        <v>0</v>
      </c>
      <c r="L66" s="215">
        <f t="shared" si="41"/>
        <v>9</v>
      </c>
      <c r="M66" s="216">
        <v>0</v>
      </c>
      <c r="N66" s="179">
        <v>8</v>
      </c>
      <c r="O66" s="144">
        <f t="shared" ref="O66:O72" si="42">ROUNDDOWN(M66*L66,0)</f>
        <v>0</v>
      </c>
      <c r="P66" s="144">
        <f>VALUE(J_normdate(J_ADDDAY($D66,$O66,1)))</f>
        <v>13981016</v>
      </c>
      <c r="Q66" s="142">
        <f t="shared" ref="Q66:Q72" si="43">L66-O66</f>
        <v>9</v>
      </c>
      <c r="IY66" s="192">
        <v>2</v>
      </c>
      <c r="IZ66" s="192">
        <f>(TEXT(K66,"[m]")/60)*VLOOKUP(IY66,'Income Person-hours'!A$2:C$5,3,FALSE)</f>
        <v>0</v>
      </c>
      <c r="JA66" s="173"/>
      <c r="JB66" s="222"/>
      <c r="JC66" s="219"/>
      <c r="JD66" s="220">
        <f>SUM((TEXT(JA66,"[M]")/60)*'Income Person-hours'!$D$3,(TEXT(JB66,"[M]")/60)*'Income Person-hours'!$D$4,(TEXT(JC66,"[M]")/60)*'Income Person-hours'!$D$5)</f>
        <v>0</v>
      </c>
    </row>
    <row r="67" spans="1:16384" s="180" customFormat="1" ht="13.5">
      <c r="A67" s="214">
        <v>6.3</v>
      </c>
      <c r="B67" s="186" t="s">
        <v>110</v>
      </c>
      <c r="C67" s="173" t="s">
        <v>104</v>
      </c>
      <c r="D67" s="189" t="str">
        <f>IF(OR(j_WEEKDAY(J_ADDDAY(VLOOKUP(I67,A:F,6,FALSE),H67,1),0)=6,SUMIFS(Holieday[ok],Holieday[date],J_ADDDAY(VLOOKUP(I67,A:F,6,FALSE),H67,1)))=FALSE(),J_ADDDAY(VLOOKUP(I67,A:F,6,FALSE),H67,1),IF(OR(j_WEEKDAY(J_ADDDAY(VLOOKUP(I67,A:F,6,FALSE),H67+1,1),0)=6,SUMIFS(Holieday[ok],Holieday[date],J_ADDDAY(VLOOKUP(I67,A:F,6,FALSE),H67+1,1)))=FALSE(),J_ADDDAY(VLOOKUP(I67,A:F,6,FALSE),H67+1,1),IF(OR(j_WEEKDAY(J_ADDDAY(VLOOKUP(I67,A:F,6,FALSE),H67+2,1),0)=6,SUMIFS(Holieday[ok],Holieday[date],J_ADDDAY(VLOOKUP(I67,A:F,6,FALSE),H67+2,1)))=FALSE(),J_ADDDAY(VLOOKUP(I67,A:F,6,FALSE),H67+2,1),IF(OR(j_WEEKDAY(J_ADDDAY(VLOOKUP(I67,A:F,6,FALSE),H67+3,1),0)=6,SUMIFS(Holieday[ok],Holieday[date],J_ADDDAY(VLOOKUP(I67,A:F,6,FALSE),H67+3,1)))=FALSE(),J_ADDDAY(VLOOKUP(I67,A:F,6,FALSE),H67+3,1),IF(OR(j_WEEKDAY(J_ADDDAY(VLOOKUP(I67,A:F,6,FALSE),H67+4,1),0)=6,SUMIFS(Holieday[ok],Holieday[date],J_ADDDAY(VLOOKUP(I67,A:F,6,FALSE),H67+4,1)))=FALSE(),J_ADDDAY(VLOOKUP(I67,A:F,6,FALSE),H67+4,1),J_ADDDAY(VLOOKUP(I67,A:F,6,FALSE),H67+5,1))))))</f>
        <v>1398/10/25</v>
      </c>
      <c r="E67" s="136">
        <f t="shared" si="36"/>
        <v>13981025</v>
      </c>
      <c r="F67" s="189" t="str">
        <f>IF(N67=0,J_SUBDAY(D67,1,1),IF((N67-NETWORKDAYS.INTL(J_GregorianDate(D67,1),J_GregorianDate(J_SUBDAY(J_ADDDAY(D67,N67,1),1,1),1),16,1)-SUMIFS(Holieday[ok],Holieday[date],CONCATENATE("&gt;","=",D67),Holieday[date],CONCATENATE("&lt;","=",J_SUBDAY(J_ADDDAY(D67,N67,1),1,1)))+SUMIFS(Holieday[Friday],Holieday[date],CONCATENATE("&gt;","=",D67),Holieday[date],CONCATENATE("&lt;","=",J_SUBDAY(J_ADDDAY(D67,N67,1),1,1))))=0,J_SUBDAY(J_ADDDAY(D67,N67,1),1,1),IF((N67-NETWORKDAYS.INTL(J_GregorianDate(D67,1),J_GregorianDate(J_SUBDAY(J_ADDDAY(D67,N67,1),1,1),1),16,1)-SUMIFS(Holieday[ok],Holieday[date],CONCATENATE("&gt;","=",D67),Holieday[date],CONCATENATE("&lt;","=",J_SUBDAY(J_ADDDAY(D67,N67,1),1,1)))+SUMIFS(Holieday[Friday],Holieday[date],CONCATENATE("&gt;","=",D67),Holieday[date],CONCATENATE("&lt;","=",J_SUBDAY(J_ADDDAY(D67,N67,1),1,1))))=1,J_SUBDAY(J_ADDDAY(D67,N67+1,1),1,1),IF((N67-NETWORKDAYS.INTL(J_GregorianDate(D67,1),J_GregorianDate(J_SUBDAY(J_ADDDAY(D67,N67,1),1,1),1),16,1)-SUMIFS(Holieday[ok],Holieday[date],CONCATENATE("&gt;","=",D67),Holieday[date],CONCATENATE("&lt;","=",J_SUBDAY(J_ADDDAY(D67,N67,1),1,1)))+SUMIFS(Holieday[Friday],Holieday[date],CONCATENATE("&gt;","=",D67),Holieday[date],CONCATENATE("&lt;","=",J_SUBDAY(J_ADDDAY(D67,N67,1),1,1))))=2,J_SUBDAY(J_ADDDAY(D67,N67+2,1),1,1),J_SUBDAY(J_ADDDAY(D67,N67+3,1),1,1)))))</f>
        <v>1398/11/03</v>
      </c>
      <c r="G67" s="139">
        <f t="shared" si="37"/>
        <v>13981103</v>
      </c>
      <c r="H67" s="175">
        <v>1</v>
      </c>
      <c r="I67" s="176">
        <v>6.2</v>
      </c>
      <c r="J67" s="174">
        <f>j_WEEKDAY(D67,2)</f>
        <v>4</v>
      </c>
      <c r="K67" s="143">
        <f t="shared" si="40"/>
        <v>0</v>
      </c>
      <c r="L67" s="215">
        <f t="shared" si="41"/>
        <v>9</v>
      </c>
      <c r="M67" s="216">
        <v>0</v>
      </c>
      <c r="N67" s="179">
        <v>8</v>
      </c>
      <c r="O67" s="144">
        <f t="shared" si="42"/>
        <v>0</v>
      </c>
      <c r="P67" s="144">
        <f>VALUE(J_normdate(J_ADDDAY($D67,$O67,1)))</f>
        <v>13981025</v>
      </c>
      <c r="Q67" s="142">
        <f t="shared" si="43"/>
        <v>9</v>
      </c>
      <c r="IY67" s="192">
        <v>3</v>
      </c>
      <c r="IZ67" s="192">
        <f>(TEXT(K67,"[m]")/60)*VLOOKUP(IY67,'Income Person-hours'!A$2:C$5,3,FALSE)</f>
        <v>0</v>
      </c>
      <c r="JA67" s="173"/>
      <c r="JB67" s="222"/>
      <c r="JC67" s="173"/>
      <c r="JD67" s="220">
        <f>SUM((TEXT(JA67,"[M]")/60)*'Income Person-hours'!$D$3,(TEXT(JB67,"[M]")/60)*'Income Person-hours'!$D$4,(TEXT(JC67,"[M]")/60)*'Income Person-hours'!$D$5)</f>
        <v>0</v>
      </c>
    </row>
    <row r="68" spans="1:16384" s="180" customFormat="1" ht="13.5">
      <c r="A68" s="214">
        <v>6.4</v>
      </c>
      <c r="B68" s="186" t="s">
        <v>163</v>
      </c>
      <c r="C68" s="173" t="s">
        <v>72</v>
      </c>
      <c r="D68" s="189" t="str">
        <f>IF(OR(j_WEEKDAY(J_ADDDAY(VLOOKUP(I68,A:F,6,FALSE),H68,1),0)=6,SUMIFS(Holieday[ok],Holieday[date],J_ADDDAY(VLOOKUP(I68,A:F,6,FALSE),H68,1)))=FALSE(),J_ADDDAY(VLOOKUP(I68,A:F,6,FALSE),H68,1),IF(OR(j_WEEKDAY(J_ADDDAY(VLOOKUP(I68,A:F,6,FALSE),H68+1,1),0)=6,SUMIFS(Holieday[ok],Holieday[date],J_ADDDAY(VLOOKUP(I68,A:F,6,FALSE),H68+1,1)))=FALSE(),J_ADDDAY(VLOOKUP(I68,A:F,6,FALSE),H68+1,1),IF(OR(j_WEEKDAY(J_ADDDAY(VLOOKUP(I68,A:F,6,FALSE),H68+2,1),0)=6,SUMIFS(Holieday[ok],Holieday[date],J_ADDDAY(VLOOKUP(I68,A:F,6,FALSE),H68+2,1)))=FALSE(),J_ADDDAY(VLOOKUP(I68,A:F,6,FALSE),H68+2,1),IF(OR(j_WEEKDAY(J_ADDDAY(VLOOKUP(I68,A:F,6,FALSE),H68+3,1),0)=6,SUMIFS(Holieday[ok],Holieday[date],J_ADDDAY(VLOOKUP(I68,A:F,6,FALSE),H68+3,1)))=FALSE(),J_ADDDAY(VLOOKUP(I68,A:F,6,FALSE),H68+3,1),IF(OR(j_WEEKDAY(J_ADDDAY(VLOOKUP(I68,A:F,6,FALSE),H68+4,1),0)=6,SUMIFS(Holieday[ok],Holieday[date],J_ADDDAY(VLOOKUP(I68,A:F,6,FALSE),H68+4,1)))=FALSE(),J_ADDDAY(VLOOKUP(I68,A:F,6,FALSE),H68+4,1),J_ADDDAY(VLOOKUP(I68,A:F,6,FALSE),H68+5,1))))))</f>
        <v>1398/10/02</v>
      </c>
      <c r="E68" s="136">
        <f t="shared" ref="E68:E69" si="44">VALUE(J_normdate(D68))</f>
        <v>13981002</v>
      </c>
      <c r="F68" s="189" t="str">
        <f>IF(N68=0,J_SUBDAY(D68,1,1),IF((N68-NETWORKDAYS.INTL(J_GregorianDate(D68,1),J_GregorianDate(J_SUBDAY(J_ADDDAY(D68,N68,1),1,1),1),16,1)-SUMIFS(Holieday[ok],Holieday[date],CONCATENATE("&gt;","=",D68),Holieday[date],CONCATENATE("&lt;","=",J_SUBDAY(J_ADDDAY(D68,N68,1),1,1)))+SUMIFS(Holieday[Friday],Holieday[date],CONCATENATE("&gt;","=",D68),Holieday[date],CONCATENATE("&lt;","=",J_SUBDAY(J_ADDDAY(D68,N68,1),1,1))))=0,J_SUBDAY(J_ADDDAY(D68,N68,1),1,1),IF((N68-NETWORKDAYS.INTL(J_GregorianDate(D68,1),J_GregorianDate(J_SUBDAY(J_ADDDAY(D68,N68,1),1,1),1),16,1)-SUMIFS(Holieday[ok],Holieday[date],CONCATENATE("&gt;","=",D68),Holieday[date],CONCATENATE("&lt;","=",J_SUBDAY(J_ADDDAY(D68,N68,1),1,1)))+SUMIFS(Holieday[Friday],Holieday[date],CONCATENATE("&gt;","=",D68),Holieday[date],CONCATENATE("&lt;","=",J_SUBDAY(J_ADDDAY(D68,N68,1),1,1))))=1,J_SUBDAY(J_ADDDAY(D68,N68+1,1),1,1),IF((N68-NETWORKDAYS.INTL(J_GregorianDate(D68,1),J_GregorianDate(J_SUBDAY(J_ADDDAY(D68,N68,1),1,1),1),16,1)-SUMIFS(Holieday[ok],Holieday[date],CONCATENATE("&gt;","=",D68),Holieday[date],CONCATENATE("&lt;","=",J_SUBDAY(J_ADDDAY(D68,N68,1),1,1)))+SUMIFS(Holieday[Friday],Holieday[date],CONCATENATE("&gt;","=",D68),Holieday[date],CONCATENATE("&lt;","=",J_SUBDAY(J_ADDDAY(D68,N68,1),1,1))))=2,J_SUBDAY(J_ADDDAY(D68,N68+2,1),1,1),J_SUBDAY(J_ADDDAY(D68,N68+3,1),1,1)))))</f>
        <v>1398/10/18</v>
      </c>
      <c r="G68" s="139">
        <f t="shared" ref="G68:G69" si="45">VALUE(J_normdate(F68))</f>
        <v>13981018</v>
      </c>
      <c r="H68" s="175">
        <v>1</v>
      </c>
      <c r="I68" s="176">
        <v>1.1000000000000001</v>
      </c>
      <c r="J68" s="174">
        <f>j_WEEKDAY(D68,2)</f>
        <v>2</v>
      </c>
      <c r="K68" s="143">
        <f t="shared" ref="K68:K69" si="46">SUM(JA68:JC68)</f>
        <v>0</v>
      </c>
      <c r="L68" s="215">
        <f t="shared" ref="L68:L69" si="47">J_DIFF(D68,F68)+1</f>
        <v>17</v>
      </c>
      <c r="M68" s="216">
        <v>0</v>
      </c>
      <c r="N68" s="179">
        <v>15</v>
      </c>
      <c r="O68" s="144">
        <f t="shared" ref="O68:O69" si="48">ROUNDDOWN(M68*L68,0)</f>
        <v>0</v>
      </c>
      <c r="P68" s="144">
        <f>VALUE(J_normdate(J_ADDDAY($D68,$O68,1)))</f>
        <v>13981002</v>
      </c>
      <c r="Q68" s="142">
        <f t="shared" ref="Q68:Q69" si="49">L68-O68</f>
        <v>17</v>
      </c>
      <c r="IY68" s="192"/>
      <c r="IZ68" s="192"/>
      <c r="JA68" s="173"/>
      <c r="JB68" s="222"/>
      <c r="JC68" s="173"/>
      <c r="JD68" s="220"/>
    </row>
    <row r="69" spans="1:16384" s="180" customFormat="1" ht="13.5">
      <c r="A69" s="214">
        <v>6.5</v>
      </c>
      <c r="B69" s="186" t="s">
        <v>164</v>
      </c>
      <c r="C69" s="173" t="s">
        <v>104</v>
      </c>
      <c r="D69" s="189" t="str">
        <f>IF(OR(j_WEEKDAY(J_ADDDAY(VLOOKUP(I69,A:F,6,FALSE),H69,1),0)=6,SUMIFS(Holieday[ok],Holieday[date],J_ADDDAY(VLOOKUP(I69,A:F,6,FALSE),H69,1)))=FALSE(),J_ADDDAY(VLOOKUP(I69,A:F,6,FALSE),H69,1),IF(OR(j_WEEKDAY(J_ADDDAY(VLOOKUP(I69,A:F,6,FALSE),H69+1,1),0)=6,SUMIFS(Holieday[ok],Holieday[date],J_ADDDAY(VLOOKUP(I69,A:F,6,FALSE),H69+1,1)))=FALSE(),J_ADDDAY(VLOOKUP(I69,A:F,6,FALSE),H69+1,1),IF(OR(j_WEEKDAY(J_ADDDAY(VLOOKUP(I69,A:F,6,FALSE),H69+2,1),0)=6,SUMIFS(Holieday[ok],Holieday[date],J_ADDDAY(VLOOKUP(I69,A:F,6,FALSE),H69+2,1)))=FALSE(),J_ADDDAY(VLOOKUP(I69,A:F,6,FALSE),H69+2,1),IF(OR(j_WEEKDAY(J_ADDDAY(VLOOKUP(I69,A:F,6,FALSE),H69+3,1),0)=6,SUMIFS(Holieday[ok],Holieday[date],J_ADDDAY(VLOOKUP(I69,A:F,6,FALSE),H69+3,1)))=FALSE(),J_ADDDAY(VLOOKUP(I69,A:F,6,FALSE),H69+3,1),IF(OR(j_WEEKDAY(J_ADDDAY(VLOOKUP(I69,A:F,6,FALSE),H69+4,1),0)=6,SUMIFS(Holieday[ok],Holieday[date],J_ADDDAY(VLOOKUP(I69,A:F,6,FALSE),H69+4,1)))=FALSE(),J_ADDDAY(VLOOKUP(I69,A:F,6,FALSE),H69+4,1),J_ADDDAY(VLOOKUP(I69,A:F,6,FALSE),H69+5,1))))))</f>
        <v>1398/10/19</v>
      </c>
      <c r="E69" s="136">
        <f t="shared" si="44"/>
        <v>13981019</v>
      </c>
      <c r="F69" s="189" t="str">
        <f>IF(N69=0,J_SUBDAY(D69,1,1),IF((N69-NETWORKDAYS.INTL(J_GregorianDate(D69,1),J_GregorianDate(J_SUBDAY(J_ADDDAY(D69,N69,1),1,1),1),16,1)-SUMIFS(Holieday[ok],Holieday[date],CONCATENATE("&gt;","=",D69),Holieday[date],CONCATENATE("&lt;","=",J_SUBDAY(J_ADDDAY(D69,N69,1),1,1)))+SUMIFS(Holieday[Friday],Holieday[date],CONCATENATE("&gt;","=",D69),Holieday[date],CONCATENATE("&lt;","=",J_SUBDAY(J_ADDDAY(D69,N69,1),1,1))))=0,J_SUBDAY(J_ADDDAY(D69,N69,1),1,1),IF((N69-NETWORKDAYS.INTL(J_GregorianDate(D69,1),J_GregorianDate(J_SUBDAY(J_ADDDAY(D69,N69,1),1,1),1),16,1)-SUMIFS(Holieday[ok],Holieday[date],CONCATENATE("&gt;","=",D69),Holieday[date],CONCATENATE("&lt;","=",J_SUBDAY(J_ADDDAY(D69,N69,1),1,1)))+SUMIFS(Holieday[Friday],Holieday[date],CONCATENATE("&gt;","=",D69),Holieday[date],CONCATENATE("&lt;","=",J_SUBDAY(J_ADDDAY(D69,N69,1),1,1))))=1,J_SUBDAY(J_ADDDAY(D69,N69+1,1),1,1),IF((N69-NETWORKDAYS.INTL(J_GregorianDate(D69,1),J_GregorianDate(J_SUBDAY(J_ADDDAY(D69,N69,1),1,1),1),16,1)-SUMIFS(Holieday[ok],Holieday[date],CONCATENATE("&gt;","=",D69),Holieday[date],CONCATENATE("&lt;","=",J_SUBDAY(J_ADDDAY(D69,N69,1),1,1)))+SUMIFS(Holieday[Friday],Holieday[date],CONCATENATE("&gt;","=",D69),Holieday[date],CONCATENATE("&lt;","=",J_SUBDAY(J_ADDDAY(D69,N69,1),1,1))))=2,J_SUBDAY(J_ADDDAY(D69,N69+2,1),1,1),J_SUBDAY(J_ADDDAY(D69,N69+3,1),1,1)))))</f>
        <v>1398/10/30</v>
      </c>
      <c r="G69" s="139">
        <f t="shared" si="45"/>
        <v>13981030</v>
      </c>
      <c r="H69" s="175">
        <v>1</v>
      </c>
      <c r="I69" s="176">
        <v>6.4</v>
      </c>
      <c r="J69" s="174">
        <f>j_WEEKDAY(D69,2)</f>
        <v>5</v>
      </c>
      <c r="K69" s="143">
        <f t="shared" si="46"/>
        <v>0</v>
      </c>
      <c r="L69" s="215">
        <f t="shared" si="47"/>
        <v>12</v>
      </c>
      <c r="M69" s="216">
        <v>0</v>
      </c>
      <c r="N69" s="179">
        <v>10</v>
      </c>
      <c r="O69" s="144">
        <f t="shared" si="48"/>
        <v>0</v>
      </c>
      <c r="P69" s="144">
        <f>VALUE(J_normdate(J_ADDDAY($D69,$O69,1)))</f>
        <v>13981019</v>
      </c>
      <c r="Q69" s="142">
        <f t="shared" si="49"/>
        <v>12</v>
      </c>
      <c r="IY69" s="192"/>
      <c r="IZ69" s="192"/>
      <c r="JA69" s="173"/>
      <c r="JB69" s="222"/>
      <c r="JC69" s="173"/>
      <c r="JD69" s="220"/>
    </row>
    <row r="70" spans="1:16384" s="279" customFormat="1" ht="13.5">
      <c r="A70" s="270">
        <v>7</v>
      </c>
      <c r="B70" s="293" t="s">
        <v>161</v>
      </c>
      <c r="C70" s="294"/>
      <c r="D70" s="273" t="str">
        <f>FDate(MIN(E71:E72))</f>
        <v>1398/11/12</v>
      </c>
      <c r="E70" s="136">
        <f t="shared" si="36"/>
        <v>13981112</v>
      </c>
      <c r="F70" s="273" t="str">
        <f>J_SUBDAY(J_ADDDAY(D70,L70,1),1,1)</f>
        <v>1398/11/15</v>
      </c>
      <c r="G70" s="139">
        <f t="shared" si="37"/>
        <v>13981115</v>
      </c>
      <c r="H70" s="285"/>
      <c r="I70" s="286"/>
      <c r="J70" s="273">
        <f>j_WEEKDAY(D70,2)</f>
        <v>0</v>
      </c>
      <c r="K70" s="140">
        <f>SUM(K71:K72)</f>
        <v>0</v>
      </c>
      <c r="L70" s="276">
        <f>J_DIFF(D70,FDate(MAX(G71:G72)))+1</f>
        <v>4</v>
      </c>
      <c r="M70" s="277">
        <f>IF(SUM(L71:L72)&lt;&gt;0,SUMPRODUCT(L71:L72,M71:M72)/SUM(L71:L72),0)</f>
        <v>0</v>
      </c>
      <c r="N70" s="278">
        <f>IF(F70&gt;=D70,NETWORKDAYS.INTL(J_GregorianDate(D70,1),J_GregorianDate(F70,1),16,1)-SUMIFS(Holieday[ok],Holieday[date],CONCATENATE("&gt;","=",D70),Holieday[date],CONCATENATE("&lt;","=",F70))+SUMIFS(Holieday[Friday],Holieday[date],CONCATENATE("&gt;","=",D70),Holieday[date],CONCATENATE("&lt;","=",F70)),0)</f>
        <v>4</v>
      </c>
      <c r="O70" s="135">
        <f t="shared" si="42"/>
        <v>0</v>
      </c>
      <c r="P70" s="135">
        <f>VALUE(J_normdate(J_ADDDAY($D70,$O70,1)))</f>
        <v>13981112</v>
      </c>
      <c r="Q70" s="138">
        <f t="shared" si="43"/>
        <v>4</v>
      </c>
      <c r="R70" s="288"/>
      <c r="IY70" s="295"/>
      <c r="IZ70" s="295"/>
      <c r="JA70" s="282"/>
      <c r="JB70" s="296"/>
      <c r="XFC70" s="297"/>
      <c r="XFD70" s="297"/>
    </row>
    <row r="71" spans="1:16384" s="141" customFormat="1" ht="13.5">
      <c r="A71" s="188">
        <v>7.1</v>
      </c>
      <c r="B71" s="186" t="s">
        <v>162</v>
      </c>
      <c r="C71" s="173" t="s">
        <v>103</v>
      </c>
      <c r="D71" s="189" t="str">
        <f>IF(OR(j_WEEKDAY(J_ADDDAY(VLOOKUP(I71,A:F,6,FALSE),H71,1),0)=6,SUMIFS(Holieday[ok],Holieday[date],J_ADDDAY(VLOOKUP(I71,A:F,6,FALSE),H71,1)))=FALSE(),J_ADDDAY(VLOOKUP(I71,A:F,6,FALSE),H71,1),IF(OR(j_WEEKDAY(J_ADDDAY(VLOOKUP(I71,A:F,6,FALSE),H71+1,1),0)=6,SUMIFS(Holieday[ok],Holieday[date],J_ADDDAY(VLOOKUP(I71,A:F,6,FALSE),H71+1,1)))=FALSE(),J_ADDDAY(VLOOKUP(I71,A:F,6,FALSE),H71+1,1),IF(OR(j_WEEKDAY(J_ADDDAY(VLOOKUP(I71,A:F,6,FALSE),H71+2,1),0)=6,SUMIFS(Holieday[ok],Holieday[date],J_ADDDAY(VLOOKUP(I71,A:F,6,FALSE),H71+2,1)))=FALSE(),J_ADDDAY(VLOOKUP(I71,A:F,6,FALSE),H71+2,1),IF(OR(j_WEEKDAY(J_ADDDAY(VLOOKUP(I71,A:F,6,FALSE),H71+3,1),0)=6,SUMIFS(Holieday[ok],Holieday[date],J_ADDDAY(VLOOKUP(I71,A:F,6,FALSE),H71+3,1)))=FALSE(),J_ADDDAY(VLOOKUP(I71,A:F,6,FALSE),H71+3,1),IF(OR(j_WEEKDAY(J_ADDDAY(VLOOKUP(I71,A:F,6,FALSE),H71+4,1),0)=6,SUMIFS(Holieday[ok],Holieday[date],J_ADDDAY(VLOOKUP(I71,A:F,6,FALSE),H71+4,1)))=FALSE(),J_ADDDAY(VLOOKUP(I71,A:F,6,FALSE),H71+4,1),J_ADDDAY(VLOOKUP(I71,A:F,6,FALSE),H71+5,1))))))</f>
        <v>1398/11/12</v>
      </c>
      <c r="E71" s="136">
        <f t="shared" si="36"/>
        <v>13981112</v>
      </c>
      <c r="F71" s="189" t="str">
        <f>IF(N71=0,J_SUBDAY(D71,1,1),IF((N71-NETWORKDAYS.INTL(J_GregorianDate(D71,1),J_GregorianDate(J_SUBDAY(J_ADDDAY(D71,N71,1),1,1),1),16,1)-SUMIFS(Holieday[ok],Holieday[date],CONCATENATE("&gt;","=",D71),Holieday[date],CONCATENATE("&lt;","=",J_SUBDAY(J_ADDDAY(D71,N71,1),1,1)))+SUMIFS(Holieday[Friday],Holieday[date],CONCATENATE("&gt;","=",D71),Holieday[date],CONCATENATE("&lt;","=",J_SUBDAY(J_ADDDAY(D71,N71,1),1,1))))=0,J_SUBDAY(J_ADDDAY(D71,N71,1),1,1),IF((N71-NETWORKDAYS.INTL(J_GregorianDate(D71,1),J_GregorianDate(J_SUBDAY(J_ADDDAY(D71,N71,1),1,1),1),16,1)-SUMIFS(Holieday[ok],Holieday[date],CONCATENATE("&gt;","=",D71),Holieday[date],CONCATENATE("&lt;","=",J_SUBDAY(J_ADDDAY(D71,N71,1),1,1)))+SUMIFS(Holieday[Friday],Holieday[date],CONCATENATE("&gt;","=",D71),Holieday[date],CONCATENATE("&lt;","=",J_SUBDAY(J_ADDDAY(D71,N71,1),1,1))))=1,J_SUBDAY(J_ADDDAY(D71,N71+1,1),1,1),IF((N71-NETWORKDAYS.INTL(J_GregorianDate(D71,1),J_GregorianDate(J_SUBDAY(J_ADDDAY(D71,N71,1),1,1),1),16,1)-SUMIFS(Holieday[ok],Holieday[date],CONCATENATE("&gt;","=",D71),Holieday[date],CONCATENATE("&lt;","=",J_SUBDAY(J_ADDDAY(D71,N71,1),1,1)))+SUMIFS(Holieday[Friday],Holieday[date],CONCATENATE("&gt;","=",D71),Holieday[date],CONCATENATE("&lt;","=",J_SUBDAY(J_ADDDAY(D71,N71,1),1,1))))=2,J_SUBDAY(J_ADDDAY(D71,N71+2,1),1,1),J_SUBDAY(J_ADDDAY(D71,N71+3,1),1,1)))))</f>
        <v>1398/11/12</v>
      </c>
      <c r="G71" s="139">
        <f t="shared" si="37"/>
        <v>13981112</v>
      </c>
      <c r="H71" s="175">
        <v>1</v>
      </c>
      <c r="I71" s="176">
        <v>3.22</v>
      </c>
      <c r="J71" s="174">
        <f>j_WEEKDAY(D71,2)</f>
        <v>0</v>
      </c>
      <c r="K71" s="143">
        <f t="shared" ref="K71:K72" si="50">SUM(JA71:JC71)</f>
        <v>0</v>
      </c>
      <c r="L71" s="215">
        <f t="shared" ref="L71:L72" si="51">J_DIFF(D71,F71)+1</f>
        <v>1</v>
      </c>
      <c r="M71" s="216">
        <v>0</v>
      </c>
      <c r="N71" s="179">
        <v>1</v>
      </c>
      <c r="O71" s="144">
        <f t="shared" si="42"/>
        <v>0</v>
      </c>
      <c r="P71" s="144">
        <f>VALUE(J_normdate(J_ADDDAY($D71,$O71,1)))</f>
        <v>13981112</v>
      </c>
      <c r="Q71" s="142">
        <f t="shared" si="43"/>
        <v>1</v>
      </c>
      <c r="R71" s="180"/>
      <c r="IY71" s="4"/>
      <c r="IZ71" s="4"/>
      <c r="JA71" s="90"/>
      <c r="JB71" s="171"/>
      <c r="JC71" s="90"/>
      <c r="JD71" s="170">
        <f>SUM((TEXT(JA71,"[M]")/60)*'Income Person-hours'!$D$3,(TEXT(JB71,"[M]")/60)*'Income Person-hours'!$D$4,(TEXT(JC71,"[M]")/60)*'Income Person-hours'!$D$5)</f>
        <v>0</v>
      </c>
    </row>
    <row r="72" spans="1:16384" s="159" customFormat="1" ht="13.5">
      <c r="A72" s="197">
        <v>7.2</v>
      </c>
      <c r="B72" s="186" t="s">
        <v>169</v>
      </c>
      <c r="C72" s="173" t="s">
        <v>72</v>
      </c>
      <c r="D72" s="189" t="str">
        <f>IF(OR(j_WEEKDAY(J_ADDDAY(VLOOKUP(I72,A:F,6,FALSE),H72,1),0)=6,SUMIFS(Holieday[ok],Holieday[date],J_ADDDAY(VLOOKUP(I72,A:F,6,FALSE),H72,1)))=FALSE(),J_ADDDAY(VLOOKUP(I72,A:F,6,FALSE),H72,1),IF(OR(j_WEEKDAY(J_ADDDAY(VLOOKUP(I72,A:F,6,FALSE),H72+1,1),0)=6,SUMIFS(Holieday[ok],Holieday[date],J_ADDDAY(VLOOKUP(I72,A:F,6,FALSE),H72+1,1)))=FALSE(),J_ADDDAY(VLOOKUP(I72,A:F,6,FALSE),H72+1,1),IF(OR(j_WEEKDAY(J_ADDDAY(VLOOKUP(I72,A:F,6,FALSE),H72+2,1),0)=6,SUMIFS(Holieday[ok],Holieday[date],J_ADDDAY(VLOOKUP(I72,A:F,6,FALSE),H72+2,1)))=FALSE(),J_ADDDAY(VLOOKUP(I72,A:F,6,FALSE),H72+2,1),IF(OR(j_WEEKDAY(J_ADDDAY(VLOOKUP(I72,A:F,6,FALSE),H72+3,1),0)=6,SUMIFS(Holieday[ok],Holieday[date],J_ADDDAY(VLOOKUP(I72,A:F,6,FALSE),H72+3,1)))=FALSE(),J_ADDDAY(VLOOKUP(I72,A:F,6,FALSE),H72+3,1),IF(OR(j_WEEKDAY(J_ADDDAY(VLOOKUP(I72,A:F,6,FALSE),H72+4,1),0)=6,SUMIFS(Holieday[ok],Holieday[date],J_ADDDAY(VLOOKUP(I72,A:F,6,FALSE),H72+4,1)))=FALSE(),J_ADDDAY(VLOOKUP(I72,A:F,6,FALSE),H72+4,1),J_ADDDAY(VLOOKUP(I72,A:F,6,FALSE),H72+5,1))))))</f>
        <v>1398/11/13</v>
      </c>
      <c r="E72" s="136">
        <f t="shared" si="36"/>
        <v>13981113</v>
      </c>
      <c r="F72" s="189" t="str">
        <f>IF(N72=0,J_SUBDAY(D72,1,1),IF((N72-NETWORKDAYS.INTL(J_GregorianDate(D72,1),J_GregorianDate(J_SUBDAY(J_ADDDAY(D72,N72,1),1,1),1),16,1)-SUMIFS(Holieday[ok],Holieday[date],CONCATENATE("&gt;","=",D72),Holieday[date],CONCATENATE("&lt;","=",J_SUBDAY(J_ADDDAY(D72,N72,1),1,1)))+SUMIFS(Holieday[Friday],Holieday[date],CONCATENATE("&gt;","=",D72),Holieday[date],CONCATENATE("&lt;","=",J_SUBDAY(J_ADDDAY(D72,N72,1),1,1))))=0,J_SUBDAY(J_ADDDAY(D72,N72,1),1,1),IF((N72-NETWORKDAYS.INTL(J_GregorianDate(D72,1),J_GregorianDate(J_SUBDAY(J_ADDDAY(D72,N72,1),1,1),1),16,1)-SUMIFS(Holieday[ok],Holieday[date],CONCATENATE("&gt;","=",D72),Holieday[date],CONCATENATE("&lt;","=",J_SUBDAY(J_ADDDAY(D72,N72,1),1,1)))+SUMIFS(Holieday[Friday],Holieday[date],CONCATENATE("&gt;","=",D72),Holieday[date],CONCATENATE("&lt;","=",J_SUBDAY(J_ADDDAY(D72,N72,1),1,1))))=1,J_SUBDAY(J_ADDDAY(D72,N72+1,1),1,1),IF((N72-NETWORKDAYS.INTL(J_GregorianDate(D72,1),J_GregorianDate(J_SUBDAY(J_ADDDAY(D72,N72,1),1,1),1),16,1)-SUMIFS(Holieday[ok],Holieday[date],CONCATENATE("&gt;","=",D72),Holieday[date],CONCATENATE("&lt;","=",J_SUBDAY(J_ADDDAY(D72,N72,1),1,1)))+SUMIFS(Holieday[Friday],Holieday[date],CONCATENATE("&gt;","=",D72),Holieday[date],CONCATENATE("&lt;","=",J_SUBDAY(J_ADDDAY(D72,N72,1),1,1))))=2,J_SUBDAY(J_ADDDAY(D72,N72+2,1),1,1),J_SUBDAY(J_ADDDAY(D72,N72+3,1),1,1)))))</f>
        <v>1398/11/15</v>
      </c>
      <c r="G72" s="139">
        <f t="shared" si="37"/>
        <v>13981115</v>
      </c>
      <c r="H72" s="175">
        <v>1</v>
      </c>
      <c r="I72" s="176">
        <v>7.1</v>
      </c>
      <c r="J72" s="174">
        <f>j_WEEKDAY(D72,2)</f>
        <v>1</v>
      </c>
      <c r="K72" s="143">
        <f t="shared" si="50"/>
        <v>0</v>
      </c>
      <c r="L72" s="177">
        <f t="shared" si="51"/>
        <v>3</v>
      </c>
      <c r="M72" s="178">
        <v>0</v>
      </c>
      <c r="N72" s="179">
        <v>3</v>
      </c>
      <c r="O72" s="144">
        <f t="shared" si="42"/>
        <v>0</v>
      </c>
      <c r="P72" s="144">
        <f>VALUE(J_normdate(J_ADDDAY($D72,$O72,1)))</f>
        <v>13981113</v>
      </c>
      <c r="Q72" s="142">
        <f t="shared" si="43"/>
        <v>3</v>
      </c>
      <c r="R72" s="180"/>
      <c r="S72" s="141"/>
      <c r="T72" s="141"/>
      <c r="U72" s="141"/>
      <c r="V72" s="141"/>
      <c r="W72" s="141"/>
      <c r="X72" s="141"/>
      <c r="Y72" s="141"/>
      <c r="Z72" s="141"/>
      <c r="AA72" s="141"/>
      <c r="AB72" s="141"/>
      <c r="AC72" s="141"/>
      <c r="AD72" s="141"/>
      <c r="AE72" s="141"/>
      <c r="AF72" s="141"/>
      <c r="AG72" s="141"/>
      <c r="AH72" s="141"/>
      <c r="AI72" s="141"/>
      <c r="AJ72" s="141"/>
      <c r="AK72" s="141"/>
      <c r="AL72" s="141"/>
      <c r="AM72" s="141"/>
      <c r="AN72" s="141"/>
      <c r="AO72" s="141"/>
      <c r="AP72" s="141"/>
      <c r="AQ72" s="141"/>
      <c r="AR72" s="141"/>
      <c r="AS72" s="141"/>
      <c r="AT72" s="141"/>
      <c r="AU72" s="141"/>
      <c r="AV72" s="141"/>
      <c r="AW72" s="141"/>
      <c r="AX72" s="141"/>
      <c r="AY72" s="141"/>
      <c r="AZ72" s="141"/>
      <c r="BA72" s="141"/>
      <c r="BB72" s="141"/>
      <c r="BC72" s="141"/>
      <c r="BD72" s="141"/>
      <c r="BE72" s="141"/>
      <c r="BF72" s="141"/>
      <c r="BG72" s="141"/>
      <c r="BH72" s="141"/>
      <c r="BI72" s="141"/>
      <c r="BJ72" s="141"/>
      <c r="BK72" s="141"/>
      <c r="BL72" s="141"/>
      <c r="BM72" s="141"/>
      <c r="BN72" s="141"/>
      <c r="BO72" s="141"/>
      <c r="BP72" s="141"/>
      <c r="BQ72" s="141"/>
      <c r="BR72" s="141"/>
      <c r="BS72" s="141"/>
      <c r="BT72" s="141"/>
      <c r="BU72" s="141"/>
      <c r="BV72" s="141"/>
      <c r="BW72" s="141"/>
      <c r="BX72" s="141"/>
      <c r="BY72" s="141"/>
      <c r="BZ72" s="141"/>
      <c r="CA72" s="141"/>
      <c r="CB72" s="141"/>
      <c r="CC72" s="141"/>
      <c r="CD72" s="141"/>
      <c r="CE72" s="141"/>
      <c r="CF72" s="141"/>
      <c r="CG72" s="141"/>
      <c r="CH72" s="141"/>
      <c r="CI72" s="141"/>
      <c r="CJ72" s="141"/>
      <c r="CK72" s="141"/>
      <c r="CL72" s="141"/>
      <c r="CM72" s="141"/>
      <c r="CN72" s="141"/>
      <c r="CO72" s="141"/>
      <c r="CP72" s="141"/>
      <c r="CQ72" s="141"/>
      <c r="CR72" s="141"/>
      <c r="CS72" s="141"/>
      <c r="CT72" s="141"/>
      <c r="CU72" s="141"/>
      <c r="CV72" s="141"/>
      <c r="CW72" s="141"/>
      <c r="CX72" s="141"/>
      <c r="CY72" s="141"/>
      <c r="CZ72" s="141"/>
      <c r="DA72" s="141"/>
      <c r="DB72" s="141"/>
      <c r="DC72" s="141"/>
      <c r="DD72" s="141"/>
      <c r="DE72" s="141"/>
      <c r="DF72" s="141"/>
      <c r="DG72" s="141"/>
      <c r="DH72" s="141"/>
      <c r="DI72" s="141"/>
      <c r="DJ72" s="141"/>
      <c r="DK72" s="141"/>
      <c r="DL72" s="141"/>
      <c r="DM72" s="141"/>
      <c r="DN72" s="141"/>
      <c r="DO72" s="141"/>
      <c r="DP72" s="141"/>
      <c r="DQ72" s="141"/>
      <c r="DR72" s="141"/>
      <c r="DS72" s="141"/>
      <c r="DT72" s="141"/>
      <c r="DU72" s="141"/>
      <c r="DV72" s="141"/>
      <c r="DW72" s="141"/>
      <c r="DX72" s="141"/>
      <c r="DY72" s="141"/>
      <c r="DZ72" s="141"/>
      <c r="EA72" s="141"/>
      <c r="EB72" s="141"/>
      <c r="EC72" s="141"/>
      <c r="ED72" s="141"/>
      <c r="EE72" s="141"/>
      <c r="EF72" s="141"/>
      <c r="EG72" s="141"/>
      <c r="EH72" s="141"/>
      <c r="EI72" s="141"/>
      <c r="EJ72" s="141"/>
      <c r="EK72" s="141"/>
      <c r="EL72" s="141"/>
      <c r="EM72" s="141"/>
      <c r="EN72" s="141"/>
      <c r="EO72" s="141"/>
      <c r="EP72" s="141"/>
      <c r="EQ72" s="141"/>
      <c r="ER72" s="141"/>
      <c r="ES72" s="141"/>
      <c r="ET72" s="141"/>
      <c r="EU72" s="141"/>
      <c r="EV72" s="141"/>
      <c r="EW72" s="141"/>
      <c r="EX72" s="141"/>
      <c r="EY72" s="141"/>
      <c r="EZ72" s="141"/>
      <c r="FA72" s="141"/>
      <c r="FB72" s="141"/>
      <c r="FC72" s="141"/>
      <c r="FD72" s="141"/>
      <c r="FE72" s="141"/>
      <c r="FF72" s="141"/>
      <c r="FG72" s="141"/>
      <c r="FH72" s="141"/>
      <c r="FI72" s="141"/>
      <c r="FJ72" s="141"/>
      <c r="FK72" s="141"/>
      <c r="FL72" s="141"/>
      <c r="FM72" s="141"/>
      <c r="FN72" s="141"/>
      <c r="FO72" s="141"/>
      <c r="FP72" s="141"/>
      <c r="FQ72" s="141"/>
      <c r="FR72" s="141"/>
      <c r="FS72" s="141"/>
      <c r="FT72" s="141"/>
      <c r="FU72" s="141"/>
      <c r="FV72" s="141"/>
      <c r="FW72" s="141"/>
      <c r="FX72" s="141"/>
      <c r="FY72" s="141"/>
      <c r="FZ72" s="141"/>
      <c r="GA72" s="141"/>
      <c r="GB72" s="141"/>
      <c r="GC72" s="141"/>
      <c r="GD72" s="141"/>
      <c r="GE72" s="141"/>
      <c r="GF72" s="141"/>
      <c r="GG72" s="141"/>
      <c r="GH72" s="141"/>
      <c r="GI72" s="141"/>
      <c r="GJ72" s="141"/>
      <c r="GK72" s="141"/>
      <c r="GL72" s="141"/>
      <c r="GM72" s="141"/>
      <c r="GN72" s="141"/>
      <c r="GO72" s="141"/>
      <c r="GP72" s="141"/>
      <c r="GQ72" s="141"/>
      <c r="GR72" s="141"/>
      <c r="GS72" s="141"/>
      <c r="GT72" s="141"/>
      <c r="GU72" s="141"/>
      <c r="GV72" s="141"/>
      <c r="GW72" s="141"/>
      <c r="GX72" s="141"/>
      <c r="GY72" s="141"/>
      <c r="GZ72" s="141"/>
      <c r="HA72" s="141"/>
      <c r="HB72" s="141"/>
      <c r="HC72" s="141"/>
      <c r="HD72" s="141"/>
      <c r="HE72" s="141"/>
      <c r="HF72" s="141"/>
      <c r="HG72" s="141"/>
      <c r="HH72" s="141"/>
      <c r="HI72" s="141"/>
      <c r="HJ72" s="141"/>
      <c r="HK72" s="141"/>
      <c r="HL72" s="141"/>
      <c r="HM72" s="141"/>
      <c r="HN72" s="141"/>
      <c r="HO72" s="141"/>
      <c r="HP72" s="141"/>
      <c r="HQ72" s="141"/>
      <c r="HR72" s="141"/>
      <c r="HS72" s="141"/>
      <c r="HT72" s="141"/>
      <c r="HU72" s="141"/>
      <c r="HV72" s="141"/>
      <c r="HW72" s="141"/>
      <c r="HX72" s="141"/>
      <c r="HY72" s="141"/>
      <c r="HZ72" s="141"/>
      <c r="IA72" s="141"/>
      <c r="IB72" s="141"/>
      <c r="IC72" s="141"/>
      <c r="ID72" s="141"/>
      <c r="IE72" s="141"/>
      <c r="IF72" s="141"/>
      <c r="IG72" s="141"/>
      <c r="IH72" s="141"/>
      <c r="II72" s="141"/>
      <c r="IJ72" s="141"/>
      <c r="IK72" s="141"/>
      <c r="IL72" s="141"/>
      <c r="IM72" s="141"/>
      <c r="IN72" s="141"/>
      <c r="IO72" s="141"/>
      <c r="IP72" s="141"/>
      <c r="IQ72" s="141"/>
      <c r="IR72" s="141"/>
      <c r="IS72" s="141"/>
      <c r="IT72" s="141"/>
      <c r="IU72" s="141"/>
      <c r="IV72" s="141"/>
      <c r="IW72" s="141"/>
      <c r="IX72" s="141"/>
      <c r="IY72" s="7"/>
      <c r="IZ72" s="7"/>
      <c r="JA72" s="92"/>
      <c r="JB72" s="94"/>
      <c r="JC72" s="93"/>
      <c r="JD72" s="160">
        <f>SUM((TEXT(JA72,"[M]")/60)*'Income Person-hours'!$D$3,(TEXT(JB72,"[M]")/60)*'Income Person-hours'!$D$4,(TEXT(JC72,"[M]")/60)*'Income Person-hours'!$D$5)</f>
        <v>0</v>
      </c>
    </row>
    <row r="73" spans="1:16384" s="159" customFormat="1" ht="13.5">
      <c r="A73" s="188">
        <v>7.3</v>
      </c>
      <c r="B73" s="186" t="s">
        <v>165</v>
      </c>
      <c r="C73" s="173" t="s">
        <v>72</v>
      </c>
      <c r="D73" s="189" t="str">
        <f>IF(OR(j_WEEKDAY(J_ADDDAY(VLOOKUP(I73,A:F,6,FALSE),H73,1),0)=6,SUMIFS(Holieday[ok],Holieday[date],J_ADDDAY(VLOOKUP(I73,A:F,6,FALSE),H73,1)))=FALSE(),J_ADDDAY(VLOOKUP(I73,A:F,6,FALSE),H73,1),IF(OR(j_WEEKDAY(J_ADDDAY(VLOOKUP(I73,A:F,6,FALSE),H73+1,1),0)=6,SUMIFS(Holieday[ok],Holieday[date],J_ADDDAY(VLOOKUP(I73,A:F,6,FALSE),H73+1,1)))=FALSE(),J_ADDDAY(VLOOKUP(I73,A:F,6,FALSE),H73+1,1),IF(OR(j_WEEKDAY(J_ADDDAY(VLOOKUP(I73,A:F,6,FALSE),H73+2,1),0)=6,SUMIFS(Holieday[ok],Holieday[date],J_ADDDAY(VLOOKUP(I73,A:F,6,FALSE),H73+2,1)))=FALSE(),J_ADDDAY(VLOOKUP(I73,A:F,6,FALSE),H73+2,1),IF(OR(j_WEEKDAY(J_ADDDAY(VLOOKUP(I73,A:F,6,FALSE),H73+3,1),0)=6,SUMIFS(Holieday[ok],Holieday[date],J_ADDDAY(VLOOKUP(I73,A:F,6,FALSE),H73+3,1)))=FALSE(),J_ADDDAY(VLOOKUP(I73,A:F,6,FALSE),H73+3,1),IF(OR(j_WEEKDAY(J_ADDDAY(VLOOKUP(I73,A:F,6,FALSE),H73+4,1),0)=6,SUMIFS(Holieday[ok],Holieday[date],J_ADDDAY(VLOOKUP(I73,A:F,6,FALSE),H73+4,1)))=FALSE(),J_ADDDAY(VLOOKUP(I73,A:F,6,FALSE),H73+4,1),J_ADDDAY(VLOOKUP(I73,A:F,6,FALSE),H73+5,1))))))</f>
        <v>1398/11/16</v>
      </c>
      <c r="E73" s="136">
        <f t="shared" ref="E73:E76" si="52">VALUE(J_normdate(D73))</f>
        <v>13981116</v>
      </c>
      <c r="F73" s="189" t="str">
        <f>IF(N73=0,J_SUBDAY(D73,1,1),IF((N73-NETWORKDAYS.INTL(J_GregorianDate(D73,1),J_GregorianDate(J_SUBDAY(J_ADDDAY(D73,N73,1),1,1),1),16,1)-SUMIFS(Holieday[ok],Holieday[date],CONCATENATE("&gt;","=",D73),Holieday[date],CONCATENATE("&lt;","=",J_SUBDAY(J_ADDDAY(D73,N73,1),1,1)))+SUMIFS(Holieday[Friday],Holieday[date],CONCATENATE("&gt;","=",D73),Holieday[date],CONCATENATE("&lt;","=",J_SUBDAY(J_ADDDAY(D73,N73,1),1,1))))=0,J_SUBDAY(J_ADDDAY(D73,N73,1),1,1),IF((N73-NETWORKDAYS.INTL(J_GregorianDate(D73,1),J_GregorianDate(J_SUBDAY(J_ADDDAY(D73,N73,1),1,1),1),16,1)-SUMIFS(Holieday[ok],Holieday[date],CONCATENATE("&gt;","=",D73),Holieday[date],CONCATENATE("&lt;","=",J_SUBDAY(J_ADDDAY(D73,N73,1),1,1)))+SUMIFS(Holieday[Friday],Holieday[date],CONCATENATE("&gt;","=",D73),Holieday[date],CONCATENATE("&lt;","=",J_SUBDAY(J_ADDDAY(D73,N73,1),1,1))))=1,J_SUBDAY(J_ADDDAY(D73,N73+1,1),1,1),IF((N73-NETWORKDAYS.INTL(J_GregorianDate(D73,1),J_GregorianDate(J_SUBDAY(J_ADDDAY(D73,N73,1),1,1),1),16,1)-SUMIFS(Holieday[ok],Holieday[date],CONCATENATE("&gt;","=",D73),Holieday[date],CONCATENATE("&lt;","=",J_SUBDAY(J_ADDDAY(D73,N73,1),1,1)))+SUMIFS(Holieday[Friday],Holieday[date],CONCATENATE("&gt;","=",D73),Holieday[date],CONCATENATE("&lt;","=",J_SUBDAY(J_ADDDAY(D73,N73,1),1,1))))=2,J_SUBDAY(J_ADDDAY(D73,N73+2,1),1,1),J_SUBDAY(J_ADDDAY(D73,N73+3,1),1,1)))))</f>
        <v>1398/11/26</v>
      </c>
      <c r="G73" s="139">
        <f t="shared" ref="G73:G76" si="53">VALUE(J_normdate(F73))</f>
        <v>13981126</v>
      </c>
      <c r="H73" s="175">
        <v>1</v>
      </c>
      <c r="I73" s="176">
        <v>7.2</v>
      </c>
      <c r="J73" s="174">
        <f>j_WEEKDAY(D73,2)</f>
        <v>4</v>
      </c>
      <c r="K73" s="143">
        <f t="shared" ref="K73:K76" si="54">SUM(JA73:JC73)</f>
        <v>0</v>
      </c>
      <c r="L73" s="177">
        <f t="shared" ref="L73:L76" si="55">J_DIFF(D73,F73)+1</f>
        <v>11</v>
      </c>
      <c r="M73" s="178">
        <v>0</v>
      </c>
      <c r="N73" s="179">
        <v>10</v>
      </c>
      <c r="O73" s="144">
        <f t="shared" ref="O73:O76" si="56">ROUNDDOWN(M73*L73,0)</f>
        <v>0</v>
      </c>
      <c r="P73" s="144">
        <f>VALUE(J_normdate(J_ADDDAY($D73,$O73,1)))</f>
        <v>13981116</v>
      </c>
      <c r="Q73" s="142">
        <f t="shared" ref="Q73:Q76" si="57">L73-O73</f>
        <v>11</v>
      </c>
      <c r="R73" s="180"/>
      <c r="S73" s="141"/>
      <c r="T73" s="141"/>
      <c r="U73" s="141"/>
      <c r="V73" s="141"/>
      <c r="W73" s="141"/>
      <c r="X73" s="141"/>
      <c r="Y73" s="141"/>
      <c r="Z73" s="141"/>
      <c r="AA73" s="141"/>
      <c r="AB73" s="141"/>
      <c r="AC73" s="141"/>
      <c r="AD73" s="141"/>
      <c r="AE73" s="141"/>
      <c r="AF73" s="141"/>
      <c r="AG73" s="141"/>
      <c r="AH73" s="141"/>
      <c r="AI73" s="141"/>
      <c r="AJ73" s="141"/>
      <c r="AK73" s="141"/>
      <c r="AL73" s="141"/>
      <c r="AM73" s="141"/>
      <c r="AN73" s="141"/>
      <c r="AO73" s="141"/>
      <c r="AP73" s="141"/>
      <c r="AQ73" s="141"/>
      <c r="AR73" s="141"/>
      <c r="AS73" s="141"/>
      <c r="AT73" s="141"/>
      <c r="AU73" s="141"/>
      <c r="AV73" s="141"/>
      <c r="AW73" s="141"/>
      <c r="AX73" s="141"/>
      <c r="AY73" s="141"/>
      <c r="AZ73" s="141"/>
      <c r="BA73" s="141"/>
      <c r="BB73" s="141"/>
      <c r="BC73" s="141"/>
      <c r="BD73" s="141"/>
      <c r="BE73" s="141"/>
      <c r="BF73" s="141"/>
      <c r="BG73" s="141"/>
      <c r="BH73" s="141"/>
      <c r="BI73" s="141"/>
      <c r="BJ73" s="141"/>
      <c r="BK73" s="141"/>
      <c r="BL73" s="141"/>
      <c r="BM73" s="141"/>
      <c r="BN73" s="141"/>
      <c r="BO73" s="141"/>
      <c r="BP73" s="141"/>
      <c r="BQ73" s="141"/>
      <c r="BR73" s="141"/>
      <c r="BS73" s="141"/>
      <c r="BT73" s="141"/>
      <c r="BU73" s="141"/>
      <c r="BV73" s="141"/>
      <c r="BW73" s="141"/>
      <c r="BX73" s="141"/>
      <c r="BY73" s="141"/>
      <c r="BZ73" s="141"/>
      <c r="CA73" s="141"/>
      <c r="CB73" s="141"/>
      <c r="CC73" s="141"/>
      <c r="CD73" s="141"/>
      <c r="CE73" s="141"/>
      <c r="CF73" s="141"/>
      <c r="CG73" s="141"/>
      <c r="CH73" s="141"/>
      <c r="CI73" s="141"/>
      <c r="CJ73" s="141"/>
      <c r="CK73" s="141"/>
      <c r="CL73" s="141"/>
      <c r="CM73" s="141"/>
      <c r="CN73" s="141"/>
      <c r="CO73" s="141"/>
      <c r="CP73" s="141"/>
      <c r="CQ73" s="141"/>
      <c r="CR73" s="141"/>
      <c r="CS73" s="141"/>
      <c r="CT73" s="141"/>
      <c r="CU73" s="141"/>
      <c r="CV73" s="141"/>
      <c r="CW73" s="141"/>
      <c r="CX73" s="141"/>
      <c r="CY73" s="141"/>
      <c r="CZ73" s="141"/>
      <c r="DA73" s="141"/>
      <c r="DB73" s="141"/>
      <c r="DC73" s="141"/>
      <c r="DD73" s="141"/>
      <c r="DE73" s="141"/>
      <c r="DF73" s="141"/>
      <c r="DG73" s="141"/>
      <c r="DH73" s="141"/>
      <c r="DI73" s="141"/>
      <c r="DJ73" s="141"/>
      <c r="DK73" s="141"/>
      <c r="DL73" s="141"/>
      <c r="DM73" s="141"/>
      <c r="DN73" s="141"/>
      <c r="DO73" s="141"/>
      <c r="DP73" s="141"/>
      <c r="DQ73" s="141"/>
      <c r="DR73" s="141"/>
      <c r="DS73" s="141"/>
      <c r="DT73" s="141"/>
      <c r="DU73" s="141"/>
      <c r="DV73" s="141"/>
      <c r="DW73" s="141"/>
      <c r="DX73" s="141"/>
      <c r="DY73" s="141"/>
      <c r="DZ73" s="141"/>
      <c r="EA73" s="141"/>
      <c r="EB73" s="141"/>
      <c r="EC73" s="141"/>
      <c r="ED73" s="141"/>
      <c r="EE73" s="141"/>
      <c r="EF73" s="141"/>
      <c r="EG73" s="141"/>
      <c r="EH73" s="141"/>
      <c r="EI73" s="141"/>
      <c r="EJ73" s="141"/>
      <c r="EK73" s="141"/>
      <c r="EL73" s="141"/>
      <c r="EM73" s="141"/>
      <c r="EN73" s="141"/>
      <c r="EO73" s="141"/>
      <c r="EP73" s="141"/>
      <c r="EQ73" s="141"/>
      <c r="ER73" s="141"/>
      <c r="ES73" s="141"/>
      <c r="ET73" s="141"/>
      <c r="EU73" s="141"/>
      <c r="EV73" s="141"/>
      <c r="EW73" s="141"/>
      <c r="EX73" s="141"/>
      <c r="EY73" s="141"/>
      <c r="EZ73" s="141"/>
      <c r="FA73" s="141"/>
      <c r="FB73" s="141"/>
      <c r="FC73" s="141"/>
      <c r="FD73" s="141"/>
      <c r="FE73" s="141"/>
      <c r="FF73" s="141"/>
      <c r="FG73" s="141"/>
      <c r="FH73" s="141"/>
      <c r="FI73" s="141"/>
      <c r="FJ73" s="141"/>
      <c r="FK73" s="141"/>
      <c r="FL73" s="141"/>
      <c r="FM73" s="141"/>
      <c r="FN73" s="141"/>
      <c r="FO73" s="141"/>
      <c r="FP73" s="141"/>
      <c r="FQ73" s="141"/>
      <c r="FR73" s="141"/>
      <c r="FS73" s="141"/>
      <c r="FT73" s="141"/>
      <c r="FU73" s="141"/>
      <c r="FV73" s="141"/>
      <c r="FW73" s="141"/>
      <c r="FX73" s="141"/>
      <c r="FY73" s="141"/>
      <c r="FZ73" s="141"/>
      <c r="GA73" s="141"/>
      <c r="GB73" s="141"/>
      <c r="GC73" s="141"/>
      <c r="GD73" s="141"/>
      <c r="GE73" s="141"/>
      <c r="GF73" s="141"/>
      <c r="GG73" s="141"/>
      <c r="GH73" s="141"/>
      <c r="GI73" s="141"/>
      <c r="GJ73" s="141"/>
      <c r="GK73" s="141"/>
      <c r="GL73" s="141"/>
      <c r="GM73" s="141"/>
      <c r="GN73" s="141"/>
      <c r="GO73" s="141"/>
      <c r="GP73" s="141"/>
      <c r="GQ73" s="141"/>
      <c r="GR73" s="141"/>
      <c r="GS73" s="141"/>
      <c r="GT73" s="141"/>
      <c r="GU73" s="141"/>
      <c r="GV73" s="141"/>
      <c r="GW73" s="141"/>
      <c r="GX73" s="141"/>
      <c r="GY73" s="141"/>
      <c r="GZ73" s="141"/>
      <c r="HA73" s="141"/>
      <c r="HB73" s="141"/>
      <c r="HC73" s="141"/>
      <c r="HD73" s="141"/>
      <c r="HE73" s="141"/>
      <c r="HF73" s="141"/>
      <c r="HG73" s="141"/>
      <c r="HH73" s="141"/>
      <c r="HI73" s="141"/>
      <c r="HJ73" s="141"/>
      <c r="HK73" s="141"/>
      <c r="HL73" s="141"/>
      <c r="HM73" s="141"/>
      <c r="HN73" s="141"/>
      <c r="HO73" s="141"/>
      <c r="HP73" s="141"/>
      <c r="HQ73" s="141"/>
      <c r="HR73" s="141"/>
      <c r="HS73" s="141"/>
      <c r="HT73" s="141"/>
      <c r="HU73" s="141"/>
      <c r="HV73" s="141"/>
      <c r="HW73" s="141"/>
      <c r="HX73" s="141"/>
      <c r="HY73" s="141"/>
      <c r="HZ73" s="141"/>
      <c r="IA73" s="141"/>
      <c r="IB73" s="141"/>
      <c r="IC73" s="141"/>
      <c r="ID73" s="141"/>
      <c r="IE73" s="141"/>
      <c r="IF73" s="141"/>
      <c r="IG73" s="141"/>
      <c r="IH73" s="141"/>
      <c r="II73" s="141"/>
      <c r="IJ73" s="141"/>
      <c r="IK73" s="141"/>
      <c r="IL73" s="141"/>
      <c r="IM73" s="141"/>
      <c r="IN73" s="141"/>
      <c r="IO73" s="141"/>
      <c r="IP73" s="141"/>
      <c r="IQ73" s="141"/>
      <c r="IR73" s="141"/>
      <c r="IS73" s="141"/>
      <c r="IT73" s="141"/>
      <c r="IU73" s="141"/>
      <c r="IV73" s="141"/>
      <c r="IW73" s="141"/>
      <c r="IX73" s="141"/>
      <c r="IY73" s="7"/>
      <c r="IZ73" s="7"/>
      <c r="JA73" s="92"/>
      <c r="JB73" s="94"/>
      <c r="JC73" s="93"/>
      <c r="JD73" s="160"/>
    </row>
    <row r="74" spans="1:16384" s="159" customFormat="1" ht="13.5">
      <c r="A74" s="197">
        <v>7.4</v>
      </c>
      <c r="B74" s="186" t="s">
        <v>168</v>
      </c>
      <c r="C74" s="173" t="s">
        <v>104</v>
      </c>
      <c r="D74" s="189" t="str">
        <f>IF(OR(j_WEEKDAY(J_ADDDAY(VLOOKUP(I74,A:F,6,FALSE),H74,1),0)=6,SUMIFS(Holieday[ok],Holieday[date],J_ADDDAY(VLOOKUP(I74,A:F,6,FALSE),H74,1)))=FALSE(),J_ADDDAY(VLOOKUP(I74,A:F,6,FALSE),H74,1),IF(OR(j_WEEKDAY(J_ADDDAY(VLOOKUP(I74,A:F,6,FALSE),H74+1,1),0)=6,SUMIFS(Holieday[ok],Holieday[date],J_ADDDAY(VLOOKUP(I74,A:F,6,FALSE),H74+1,1)))=FALSE(),J_ADDDAY(VLOOKUP(I74,A:F,6,FALSE),H74+1,1),IF(OR(j_WEEKDAY(J_ADDDAY(VLOOKUP(I74,A:F,6,FALSE),H74+2,1),0)=6,SUMIFS(Holieday[ok],Holieday[date],J_ADDDAY(VLOOKUP(I74,A:F,6,FALSE),H74+2,1)))=FALSE(),J_ADDDAY(VLOOKUP(I74,A:F,6,FALSE),H74+2,1),IF(OR(j_WEEKDAY(J_ADDDAY(VLOOKUP(I74,A:F,6,FALSE),H74+3,1),0)=6,SUMIFS(Holieday[ok],Holieday[date],J_ADDDAY(VLOOKUP(I74,A:F,6,FALSE),H74+3,1)))=FALSE(),J_ADDDAY(VLOOKUP(I74,A:F,6,FALSE),H74+3,1),IF(OR(j_WEEKDAY(J_ADDDAY(VLOOKUP(I74,A:F,6,FALSE),H74+4,1),0)=6,SUMIFS(Holieday[ok],Holieday[date],J_ADDDAY(VLOOKUP(I74,A:F,6,FALSE),H74+4,1)))=FALSE(),J_ADDDAY(VLOOKUP(I74,A:F,6,FALSE),H74+4,1),J_ADDDAY(VLOOKUP(I74,A:F,6,FALSE),H74+5,1))))))</f>
        <v>1398/11/27</v>
      </c>
      <c r="E74" s="136">
        <f t="shared" si="52"/>
        <v>13981127</v>
      </c>
      <c r="F74" s="189" t="str">
        <f>IF(N74=0,J_SUBDAY(D74,1,1),IF((N74-NETWORKDAYS.INTL(J_GregorianDate(D74,1),J_GregorianDate(J_SUBDAY(J_ADDDAY(D74,N74,1),1,1),1),16,1)-SUMIFS(Holieday[ok],Holieday[date],CONCATENATE("&gt;","=",D74),Holieday[date],CONCATENATE("&lt;","=",J_SUBDAY(J_ADDDAY(D74,N74,1),1,1)))+SUMIFS(Holieday[Friday],Holieday[date],CONCATENATE("&gt;","=",D74),Holieday[date],CONCATENATE("&lt;","=",J_SUBDAY(J_ADDDAY(D74,N74,1),1,1))))=0,J_SUBDAY(J_ADDDAY(D74,N74,1),1,1),IF((N74-NETWORKDAYS.INTL(J_GregorianDate(D74,1),J_GregorianDate(J_SUBDAY(J_ADDDAY(D74,N74,1),1,1),1),16,1)-SUMIFS(Holieday[ok],Holieday[date],CONCATENATE("&gt;","=",D74),Holieday[date],CONCATENATE("&lt;","=",J_SUBDAY(J_ADDDAY(D74,N74,1),1,1)))+SUMIFS(Holieday[Friday],Holieday[date],CONCATENATE("&gt;","=",D74),Holieday[date],CONCATENATE("&lt;","=",J_SUBDAY(J_ADDDAY(D74,N74,1),1,1))))=1,J_SUBDAY(J_ADDDAY(D74,N74+1,1),1,1),IF((N74-NETWORKDAYS.INTL(J_GregorianDate(D74,1),J_GregorianDate(J_SUBDAY(J_ADDDAY(D74,N74,1),1,1),1),16,1)-SUMIFS(Holieday[ok],Holieday[date],CONCATENATE("&gt;","=",D74),Holieday[date],CONCATENATE("&lt;","=",J_SUBDAY(J_ADDDAY(D74,N74,1),1,1)))+SUMIFS(Holieday[Friday],Holieday[date],CONCATENATE("&gt;","=",D74),Holieday[date],CONCATENATE("&lt;","=",J_SUBDAY(J_ADDDAY(D74,N74,1),1,1))))=2,J_SUBDAY(J_ADDDAY(D74,N74+2,1),1,1),J_SUBDAY(J_ADDDAY(D74,N74+3,1),1,1)))))</f>
        <v>1398/12/13</v>
      </c>
      <c r="G74" s="139">
        <f t="shared" si="53"/>
        <v>13981213</v>
      </c>
      <c r="H74" s="175">
        <v>1</v>
      </c>
      <c r="I74" s="176">
        <v>7.3</v>
      </c>
      <c r="J74" s="174">
        <f>j_WEEKDAY(D74,2)</f>
        <v>1</v>
      </c>
      <c r="K74" s="143">
        <f t="shared" si="54"/>
        <v>0</v>
      </c>
      <c r="L74" s="177">
        <f t="shared" si="55"/>
        <v>17</v>
      </c>
      <c r="M74" s="178">
        <v>0</v>
      </c>
      <c r="N74" s="179">
        <v>15</v>
      </c>
      <c r="O74" s="144">
        <f t="shared" si="56"/>
        <v>0</v>
      </c>
      <c r="P74" s="144">
        <f>VALUE(J_normdate(J_ADDDAY($D74,$O74,1)))</f>
        <v>13981127</v>
      </c>
      <c r="Q74" s="142">
        <f t="shared" si="57"/>
        <v>17</v>
      </c>
      <c r="R74" s="180"/>
      <c r="S74" s="141"/>
      <c r="T74" s="141"/>
      <c r="U74" s="141"/>
      <c r="V74" s="141"/>
      <c r="W74" s="141"/>
      <c r="X74" s="141"/>
      <c r="Y74" s="141"/>
      <c r="Z74" s="141"/>
      <c r="AA74" s="141"/>
      <c r="AB74" s="141"/>
      <c r="AC74" s="141"/>
      <c r="AD74" s="141"/>
      <c r="AE74" s="141"/>
      <c r="AF74" s="141"/>
      <c r="AG74" s="141"/>
      <c r="AH74" s="141"/>
      <c r="AI74" s="141"/>
      <c r="AJ74" s="141"/>
      <c r="AK74" s="141"/>
      <c r="AL74" s="141"/>
      <c r="AM74" s="141"/>
      <c r="AN74" s="141"/>
      <c r="AO74" s="141"/>
      <c r="AP74" s="141"/>
      <c r="AQ74" s="141"/>
      <c r="AR74" s="141"/>
      <c r="AS74" s="141"/>
      <c r="AT74" s="141"/>
      <c r="AU74" s="141"/>
      <c r="AV74" s="141"/>
      <c r="AW74" s="141"/>
      <c r="AX74" s="141"/>
      <c r="AY74" s="141"/>
      <c r="AZ74" s="141"/>
      <c r="BA74" s="141"/>
      <c r="BB74" s="141"/>
      <c r="BC74" s="141"/>
      <c r="BD74" s="141"/>
      <c r="BE74" s="141"/>
      <c r="BF74" s="141"/>
      <c r="BG74" s="141"/>
      <c r="BH74" s="141"/>
      <c r="BI74" s="141"/>
      <c r="BJ74" s="141"/>
      <c r="BK74" s="141"/>
      <c r="BL74" s="141"/>
      <c r="BM74" s="141"/>
      <c r="BN74" s="141"/>
      <c r="BO74" s="141"/>
      <c r="BP74" s="141"/>
      <c r="BQ74" s="141"/>
      <c r="BR74" s="141"/>
      <c r="BS74" s="141"/>
      <c r="BT74" s="141"/>
      <c r="BU74" s="141"/>
      <c r="BV74" s="141"/>
      <c r="BW74" s="141"/>
      <c r="BX74" s="141"/>
      <c r="BY74" s="141"/>
      <c r="BZ74" s="141"/>
      <c r="CA74" s="141"/>
      <c r="CB74" s="141"/>
      <c r="CC74" s="141"/>
      <c r="CD74" s="141"/>
      <c r="CE74" s="141"/>
      <c r="CF74" s="141"/>
      <c r="CG74" s="141"/>
      <c r="CH74" s="141"/>
      <c r="CI74" s="141"/>
      <c r="CJ74" s="141"/>
      <c r="CK74" s="141"/>
      <c r="CL74" s="141"/>
      <c r="CM74" s="141"/>
      <c r="CN74" s="141"/>
      <c r="CO74" s="141"/>
      <c r="CP74" s="141"/>
      <c r="CQ74" s="141"/>
      <c r="CR74" s="141"/>
      <c r="CS74" s="141"/>
      <c r="CT74" s="141"/>
      <c r="CU74" s="141"/>
      <c r="CV74" s="141"/>
      <c r="CW74" s="141"/>
      <c r="CX74" s="141"/>
      <c r="CY74" s="141"/>
      <c r="CZ74" s="141"/>
      <c r="DA74" s="141"/>
      <c r="DB74" s="141"/>
      <c r="DC74" s="141"/>
      <c r="DD74" s="141"/>
      <c r="DE74" s="141"/>
      <c r="DF74" s="141"/>
      <c r="DG74" s="141"/>
      <c r="DH74" s="141"/>
      <c r="DI74" s="141"/>
      <c r="DJ74" s="141"/>
      <c r="DK74" s="141"/>
      <c r="DL74" s="141"/>
      <c r="DM74" s="141"/>
      <c r="DN74" s="141"/>
      <c r="DO74" s="141"/>
      <c r="DP74" s="141"/>
      <c r="DQ74" s="141"/>
      <c r="DR74" s="141"/>
      <c r="DS74" s="141"/>
      <c r="DT74" s="141"/>
      <c r="DU74" s="141"/>
      <c r="DV74" s="141"/>
      <c r="DW74" s="141"/>
      <c r="DX74" s="141"/>
      <c r="DY74" s="141"/>
      <c r="DZ74" s="141"/>
      <c r="EA74" s="141"/>
      <c r="EB74" s="141"/>
      <c r="EC74" s="141"/>
      <c r="ED74" s="141"/>
      <c r="EE74" s="141"/>
      <c r="EF74" s="141"/>
      <c r="EG74" s="141"/>
      <c r="EH74" s="141"/>
      <c r="EI74" s="141"/>
      <c r="EJ74" s="141"/>
      <c r="EK74" s="141"/>
      <c r="EL74" s="141"/>
      <c r="EM74" s="141"/>
      <c r="EN74" s="141"/>
      <c r="EO74" s="141"/>
      <c r="EP74" s="141"/>
      <c r="EQ74" s="141"/>
      <c r="ER74" s="141"/>
      <c r="ES74" s="141"/>
      <c r="ET74" s="141"/>
      <c r="EU74" s="141"/>
      <c r="EV74" s="141"/>
      <c r="EW74" s="141"/>
      <c r="EX74" s="141"/>
      <c r="EY74" s="141"/>
      <c r="EZ74" s="141"/>
      <c r="FA74" s="141"/>
      <c r="FB74" s="141"/>
      <c r="FC74" s="141"/>
      <c r="FD74" s="141"/>
      <c r="FE74" s="141"/>
      <c r="FF74" s="141"/>
      <c r="FG74" s="141"/>
      <c r="FH74" s="141"/>
      <c r="FI74" s="141"/>
      <c r="FJ74" s="141"/>
      <c r="FK74" s="141"/>
      <c r="FL74" s="141"/>
      <c r="FM74" s="141"/>
      <c r="FN74" s="141"/>
      <c r="FO74" s="141"/>
      <c r="FP74" s="141"/>
      <c r="FQ74" s="141"/>
      <c r="FR74" s="141"/>
      <c r="FS74" s="141"/>
      <c r="FT74" s="141"/>
      <c r="FU74" s="141"/>
      <c r="FV74" s="141"/>
      <c r="FW74" s="141"/>
      <c r="FX74" s="141"/>
      <c r="FY74" s="141"/>
      <c r="FZ74" s="141"/>
      <c r="GA74" s="141"/>
      <c r="GB74" s="141"/>
      <c r="GC74" s="141"/>
      <c r="GD74" s="141"/>
      <c r="GE74" s="141"/>
      <c r="GF74" s="141"/>
      <c r="GG74" s="141"/>
      <c r="GH74" s="141"/>
      <c r="GI74" s="141"/>
      <c r="GJ74" s="141"/>
      <c r="GK74" s="141"/>
      <c r="GL74" s="141"/>
      <c r="GM74" s="141"/>
      <c r="GN74" s="141"/>
      <c r="GO74" s="141"/>
      <c r="GP74" s="141"/>
      <c r="GQ74" s="141"/>
      <c r="GR74" s="141"/>
      <c r="GS74" s="141"/>
      <c r="GT74" s="141"/>
      <c r="GU74" s="141"/>
      <c r="GV74" s="141"/>
      <c r="GW74" s="141"/>
      <c r="GX74" s="141"/>
      <c r="GY74" s="141"/>
      <c r="GZ74" s="141"/>
      <c r="HA74" s="141"/>
      <c r="HB74" s="141"/>
      <c r="HC74" s="141"/>
      <c r="HD74" s="141"/>
      <c r="HE74" s="141"/>
      <c r="HF74" s="141"/>
      <c r="HG74" s="141"/>
      <c r="HH74" s="141"/>
      <c r="HI74" s="141"/>
      <c r="HJ74" s="141"/>
      <c r="HK74" s="141"/>
      <c r="HL74" s="141"/>
      <c r="HM74" s="141"/>
      <c r="HN74" s="141"/>
      <c r="HO74" s="141"/>
      <c r="HP74" s="141"/>
      <c r="HQ74" s="141"/>
      <c r="HR74" s="141"/>
      <c r="HS74" s="141"/>
      <c r="HT74" s="141"/>
      <c r="HU74" s="141"/>
      <c r="HV74" s="141"/>
      <c r="HW74" s="141"/>
      <c r="HX74" s="141"/>
      <c r="HY74" s="141"/>
      <c r="HZ74" s="141"/>
      <c r="IA74" s="141"/>
      <c r="IB74" s="141"/>
      <c r="IC74" s="141"/>
      <c r="ID74" s="141"/>
      <c r="IE74" s="141"/>
      <c r="IF74" s="141"/>
      <c r="IG74" s="141"/>
      <c r="IH74" s="141"/>
      <c r="II74" s="141"/>
      <c r="IJ74" s="141"/>
      <c r="IK74" s="141"/>
      <c r="IL74" s="141"/>
      <c r="IM74" s="141"/>
      <c r="IN74" s="141"/>
      <c r="IO74" s="141"/>
      <c r="IP74" s="141"/>
      <c r="IQ74" s="141"/>
      <c r="IR74" s="141"/>
      <c r="IS74" s="141"/>
      <c r="IT74" s="141"/>
      <c r="IU74" s="141"/>
      <c r="IV74" s="141"/>
      <c r="IW74" s="141"/>
      <c r="IX74" s="141"/>
      <c r="IY74" s="7"/>
      <c r="IZ74" s="7"/>
      <c r="JA74" s="92"/>
      <c r="JB74" s="94"/>
      <c r="JC74" s="93"/>
      <c r="JD74" s="160"/>
    </row>
    <row r="75" spans="1:16384" s="159" customFormat="1" ht="13.5">
      <c r="A75" s="188">
        <v>7.5</v>
      </c>
      <c r="B75" s="186" t="s">
        <v>166</v>
      </c>
      <c r="C75" s="173"/>
      <c r="D75" s="189" t="str">
        <f>IF(OR(j_WEEKDAY(J_ADDDAY(VLOOKUP(I75,A:F,6,FALSE),H75,1),0)=6,SUMIFS(Holieday[ok],Holieday[date],J_ADDDAY(VLOOKUP(I75,A:F,6,FALSE),H75,1)))=FALSE(),J_ADDDAY(VLOOKUP(I75,A:F,6,FALSE),H75,1),IF(OR(j_WEEKDAY(J_ADDDAY(VLOOKUP(I75,A:F,6,FALSE),H75+1,1),0)=6,SUMIFS(Holieday[ok],Holieday[date],J_ADDDAY(VLOOKUP(I75,A:F,6,FALSE),H75+1,1)))=FALSE(),J_ADDDAY(VLOOKUP(I75,A:F,6,FALSE),H75+1,1),IF(OR(j_WEEKDAY(J_ADDDAY(VLOOKUP(I75,A:F,6,FALSE),H75+2,1),0)=6,SUMIFS(Holieday[ok],Holieday[date],J_ADDDAY(VLOOKUP(I75,A:F,6,FALSE),H75+2,1)))=FALSE(),J_ADDDAY(VLOOKUP(I75,A:F,6,FALSE),H75+2,1),IF(OR(j_WEEKDAY(J_ADDDAY(VLOOKUP(I75,A:F,6,FALSE),H75+3,1),0)=6,SUMIFS(Holieday[ok],Holieday[date],J_ADDDAY(VLOOKUP(I75,A:F,6,FALSE),H75+3,1)))=FALSE(),J_ADDDAY(VLOOKUP(I75,A:F,6,FALSE),H75+3,1),IF(OR(j_WEEKDAY(J_ADDDAY(VLOOKUP(I75,A:F,6,FALSE),H75+4,1),0)=6,SUMIFS(Holieday[ok],Holieday[date],J_ADDDAY(VLOOKUP(I75,A:F,6,FALSE),H75+4,1)))=FALSE(),J_ADDDAY(VLOOKUP(I75,A:F,6,FALSE),H75+4,1),J_ADDDAY(VLOOKUP(I75,A:F,6,FALSE),H75+5,1))))))</f>
        <v>1398/12/14</v>
      </c>
      <c r="E75" s="136">
        <f t="shared" si="52"/>
        <v>13981214</v>
      </c>
      <c r="F75" s="189" t="str">
        <f>IF(N75=0,J_SUBDAY(D75,1,1),IF((N75-NETWORKDAYS.INTL(J_GregorianDate(D75,1),J_GregorianDate(J_SUBDAY(J_ADDDAY(D75,N75,1),1,1),1),16,1)-SUMIFS(Holieday[ok],Holieday[date],CONCATENATE("&gt;","=",D75),Holieday[date],CONCATENATE("&lt;","=",J_SUBDAY(J_ADDDAY(D75,N75,1),1,1)))+SUMIFS(Holieday[Friday],Holieday[date],CONCATENATE("&gt;","=",D75),Holieday[date],CONCATENATE("&lt;","=",J_SUBDAY(J_ADDDAY(D75,N75,1),1,1))))=0,J_SUBDAY(J_ADDDAY(D75,N75,1),1,1),IF((N75-NETWORKDAYS.INTL(J_GregorianDate(D75,1),J_GregorianDate(J_SUBDAY(J_ADDDAY(D75,N75,1),1,1),1),16,1)-SUMIFS(Holieday[ok],Holieday[date],CONCATENATE("&gt;","=",D75),Holieday[date],CONCATENATE("&lt;","=",J_SUBDAY(J_ADDDAY(D75,N75,1),1,1)))+SUMIFS(Holieday[Friday],Holieday[date],CONCATENATE("&gt;","=",D75),Holieday[date],CONCATENATE("&lt;","=",J_SUBDAY(J_ADDDAY(D75,N75,1),1,1))))=1,J_SUBDAY(J_ADDDAY(D75,N75+1,1),1,1),IF((N75-NETWORKDAYS.INTL(J_GregorianDate(D75,1),J_GregorianDate(J_SUBDAY(J_ADDDAY(D75,N75,1),1,1),1),16,1)-SUMIFS(Holieday[ok],Holieday[date],CONCATENATE("&gt;","=",D75),Holieday[date],CONCATENATE("&lt;","=",J_SUBDAY(J_ADDDAY(D75,N75,1),1,1)))+SUMIFS(Holieday[Friday],Holieday[date],CONCATENATE("&gt;","=",D75),Holieday[date],CONCATENATE("&lt;","=",J_SUBDAY(J_ADDDAY(D75,N75,1),1,1))))=2,J_SUBDAY(J_ADDDAY(D75,N75+2,1),1,1),J_SUBDAY(J_ADDDAY(D75,N75+3,1),1,1)))))</f>
        <v>1398/12/18</v>
      </c>
      <c r="G75" s="139">
        <f t="shared" si="53"/>
        <v>13981218</v>
      </c>
      <c r="H75" s="175">
        <v>1</v>
      </c>
      <c r="I75" s="176">
        <v>7.4</v>
      </c>
      <c r="J75" s="174">
        <f>j_WEEKDAY(D75,2)</f>
        <v>4</v>
      </c>
      <c r="K75" s="143">
        <f t="shared" si="54"/>
        <v>0</v>
      </c>
      <c r="L75" s="177">
        <f t="shared" si="55"/>
        <v>5</v>
      </c>
      <c r="M75" s="178">
        <v>0</v>
      </c>
      <c r="N75" s="179">
        <v>5</v>
      </c>
      <c r="O75" s="144">
        <f t="shared" si="56"/>
        <v>0</v>
      </c>
      <c r="P75" s="144">
        <f>VALUE(J_normdate(J_ADDDAY($D75,$O75,1)))</f>
        <v>13981214</v>
      </c>
      <c r="Q75" s="142">
        <f t="shared" si="57"/>
        <v>5</v>
      </c>
      <c r="R75" s="180"/>
      <c r="S75" s="141"/>
      <c r="T75" s="141"/>
      <c r="U75" s="141"/>
      <c r="V75" s="141"/>
      <c r="W75" s="141"/>
      <c r="X75" s="141"/>
      <c r="Y75" s="141"/>
      <c r="Z75" s="141"/>
      <c r="AA75" s="141"/>
      <c r="AB75" s="141"/>
      <c r="AC75" s="141"/>
      <c r="AD75" s="141"/>
      <c r="AE75" s="141"/>
      <c r="AF75" s="141"/>
      <c r="AG75" s="141"/>
      <c r="AH75" s="141"/>
      <c r="AI75" s="141"/>
      <c r="AJ75" s="141"/>
      <c r="AK75" s="141"/>
      <c r="AL75" s="141"/>
      <c r="AM75" s="141"/>
      <c r="AN75" s="141"/>
      <c r="AO75" s="141"/>
      <c r="AP75" s="141"/>
      <c r="AQ75" s="141"/>
      <c r="AR75" s="141"/>
      <c r="AS75" s="141"/>
      <c r="AT75" s="141"/>
      <c r="AU75" s="141"/>
      <c r="AV75" s="141"/>
      <c r="AW75" s="141"/>
      <c r="AX75" s="141"/>
      <c r="AY75" s="141"/>
      <c r="AZ75" s="141"/>
      <c r="BA75" s="141"/>
      <c r="BB75" s="141"/>
      <c r="BC75" s="141"/>
      <c r="BD75" s="141"/>
      <c r="BE75" s="141"/>
      <c r="BF75" s="141"/>
      <c r="BG75" s="141"/>
      <c r="BH75" s="141"/>
      <c r="BI75" s="141"/>
      <c r="BJ75" s="141"/>
      <c r="BK75" s="141"/>
      <c r="BL75" s="141"/>
      <c r="BM75" s="141"/>
      <c r="BN75" s="141"/>
      <c r="BO75" s="141"/>
      <c r="BP75" s="141"/>
      <c r="BQ75" s="141"/>
      <c r="BR75" s="141"/>
      <c r="BS75" s="141"/>
      <c r="BT75" s="141"/>
      <c r="BU75" s="141"/>
      <c r="BV75" s="141"/>
      <c r="BW75" s="141"/>
      <c r="BX75" s="141"/>
      <c r="BY75" s="141"/>
      <c r="BZ75" s="141"/>
      <c r="CA75" s="141"/>
      <c r="CB75" s="141"/>
      <c r="CC75" s="141"/>
      <c r="CD75" s="141"/>
      <c r="CE75" s="141"/>
      <c r="CF75" s="141"/>
      <c r="CG75" s="141"/>
      <c r="CH75" s="141"/>
      <c r="CI75" s="141"/>
      <c r="CJ75" s="141"/>
      <c r="CK75" s="141"/>
      <c r="CL75" s="141"/>
      <c r="CM75" s="141"/>
      <c r="CN75" s="141"/>
      <c r="CO75" s="141"/>
      <c r="CP75" s="141"/>
      <c r="CQ75" s="141"/>
      <c r="CR75" s="141"/>
      <c r="CS75" s="141"/>
      <c r="CT75" s="141"/>
      <c r="CU75" s="141"/>
      <c r="CV75" s="141"/>
      <c r="CW75" s="141"/>
      <c r="CX75" s="141"/>
      <c r="CY75" s="141"/>
      <c r="CZ75" s="141"/>
      <c r="DA75" s="141"/>
      <c r="DB75" s="141"/>
      <c r="DC75" s="141"/>
      <c r="DD75" s="141"/>
      <c r="DE75" s="141"/>
      <c r="DF75" s="141"/>
      <c r="DG75" s="141"/>
      <c r="DH75" s="141"/>
      <c r="DI75" s="141"/>
      <c r="DJ75" s="141"/>
      <c r="DK75" s="141"/>
      <c r="DL75" s="141"/>
      <c r="DM75" s="141"/>
      <c r="DN75" s="141"/>
      <c r="DO75" s="141"/>
      <c r="DP75" s="141"/>
      <c r="DQ75" s="141"/>
      <c r="DR75" s="141"/>
      <c r="DS75" s="141"/>
      <c r="DT75" s="141"/>
      <c r="DU75" s="141"/>
      <c r="DV75" s="141"/>
      <c r="DW75" s="141"/>
      <c r="DX75" s="141"/>
      <c r="DY75" s="141"/>
      <c r="DZ75" s="141"/>
      <c r="EA75" s="141"/>
      <c r="EB75" s="141"/>
      <c r="EC75" s="141"/>
      <c r="ED75" s="141"/>
      <c r="EE75" s="141"/>
      <c r="EF75" s="141"/>
      <c r="EG75" s="141"/>
      <c r="EH75" s="141"/>
      <c r="EI75" s="141"/>
      <c r="EJ75" s="141"/>
      <c r="EK75" s="141"/>
      <c r="EL75" s="141"/>
      <c r="EM75" s="141"/>
      <c r="EN75" s="141"/>
      <c r="EO75" s="141"/>
      <c r="EP75" s="141"/>
      <c r="EQ75" s="141"/>
      <c r="ER75" s="141"/>
      <c r="ES75" s="141"/>
      <c r="ET75" s="141"/>
      <c r="EU75" s="141"/>
      <c r="EV75" s="141"/>
      <c r="EW75" s="141"/>
      <c r="EX75" s="141"/>
      <c r="EY75" s="141"/>
      <c r="EZ75" s="141"/>
      <c r="FA75" s="141"/>
      <c r="FB75" s="141"/>
      <c r="FC75" s="141"/>
      <c r="FD75" s="141"/>
      <c r="FE75" s="141"/>
      <c r="FF75" s="141"/>
      <c r="FG75" s="141"/>
      <c r="FH75" s="141"/>
      <c r="FI75" s="141"/>
      <c r="FJ75" s="141"/>
      <c r="FK75" s="141"/>
      <c r="FL75" s="141"/>
      <c r="FM75" s="141"/>
      <c r="FN75" s="141"/>
      <c r="FO75" s="141"/>
      <c r="FP75" s="141"/>
      <c r="FQ75" s="141"/>
      <c r="FR75" s="141"/>
      <c r="FS75" s="141"/>
      <c r="FT75" s="141"/>
      <c r="FU75" s="141"/>
      <c r="FV75" s="141"/>
      <c r="FW75" s="141"/>
      <c r="FX75" s="141"/>
      <c r="FY75" s="141"/>
      <c r="FZ75" s="141"/>
      <c r="GA75" s="141"/>
      <c r="GB75" s="141"/>
      <c r="GC75" s="141"/>
      <c r="GD75" s="141"/>
      <c r="GE75" s="141"/>
      <c r="GF75" s="141"/>
      <c r="GG75" s="141"/>
      <c r="GH75" s="141"/>
      <c r="GI75" s="141"/>
      <c r="GJ75" s="141"/>
      <c r="GK75" s="141"/>
      <c r="GL75" s="141"/>
      <c r="GM75" s="141"/>
      <c r="GN75" s="141"/>
      <c r="GO75" s="141"/>
      <c r="GP75" s="141"/>
      <c r="GQ75" s="141"/>
      <c r="GR75" s="141"/>
      <c r="GS75" s="141"/>
      <c r="GT75" s="141"/>
      <c r="GU75" s="141"/>
      <c r="GV75" s="141"/>
      <c r="GW75" s="141"/>
      <c r="GX75" s="141"/>
      <c r="GY75" s="141"/>
      <c r="GZ75" s="141"/>
      <c r="HA75" s="141"/>
      <c r="HB75" s="141"/>
      <c r="HC75" s="141"/>
      <c r="HD75" s="141"/>
      <c r="HE75" s="141"/>
      <c r="HF75" s="141"/>
      <c r="HG75" s="141"/>
      <c r="HH75" s="141"/>
      <c r="HI75" s="141"/>
      <c r="HJ75" s="141"/>
      <c r="HK75" s="141"/>
      <c r="HL75" s="141"/>
      <c r="HM75" s="141"/>
      <c r="HN75" s="141"/>
      <c r="HO75" s="141"/>
      <c r="HP75" s="141"/>
      <c r="HQ75" s="141"/>
      <c r="HR75" s="141"/>
      <c r="HS75" s="141"/>
      <c r="HT75" s="141"/>
      <c r="HU75" s="141"/>
      <c r="HV75" s="141"/>
      <c r="HW75" s="141"/>
      <c r="HX75" s="141"/>
      <c r="HY75" s="141"/>
      <c r="HZ75" s="141"/>
      <c r="IA75" s="141"/>
      <c r="IB75" s="141"/>
      <c r="IC75" s="141"/>
      <c r="ID75" s="141"/>
      <c r="IE75" s="141"/>
      <c r="IF75" s="141"/>
      <c r="IG75" s="141"/>
      <c r="IH75" s="141"/>
      <c r="II75" s="141"/>
      <c r="IJ75" s="141"/>
      <c r="IK75" s="141"/>
      <c r="IL75" s="141"/>
      <c r="IM75" s="141"/>
      <c r="IN75" s="141"/>
      <c r="IO75" s="141"/>
      <c r="IP75" s="141"/>
      <c r="IQ75" s="141"/>
      <c r="IR75" s="141"/>
      <c r="IS75" s="141"/>
      <c r="IT75" s="141"/>
      <c r="IU75" s="141"/>
      <c r="IV75" s="141"/>
      <c r="IW75" s="141"/>
      <c r="IX75" s="141"/>
      <c r="IY75" s="7"/>
      <c r="IZ75" s="7"/>
      <c r="JA75" s="92"/>
      <c r="JB75" s="94"/>
      <c r="JC75" s="93"/>
      <c r="JD75" s="160"/>
    </row>
    <row r="76" spans="1:16384" s="159" customFormat="1" ht="13.5">
      <c r="A76" s="197">
        <v>7.6</v>
      </c>
      <c r="B76" s="186" t="s">
        <v>167</v>
      </c>
      <c r="C76" s="173"/>
      <c r="D76" s="189" t="str">
        <f>IF(OR(j_WEEKDAY(J_ADDDAY(VLOOKUP(I76,A:F,6,FALSE),H76,1),0)=6,SUMIFS(Holieday[ok],Holieday[date],J_ADDDAY(VLOOKUP(I76,A:F,6,FALSE),H76,1)))=FALSE(),J_ADDDAY(VLOOKUP(I76,A:F,6,FALSE),H76,1),IF(OR(j_WEEKDAY(J_ADDDAY(VLOOKUP(I76,A:F,6,FALSE),H76+1,1),0)=6,SUMIFS(Holieday[ok],Holieday[date],J_ADDDAY(VLOOKUP(I76,A:F,6,FALSE),H76+1,1)))=FALSE(),J_ADDDAY(VLOOKUP(I76,A:F,6,FALSE),H76+1,1),IF(OR(j_WEEKDAY(J_ADDDAY(VLOOKUP(I76,A:F,6,FALSE),H76+2,1),0)=6,SUMIFS(Holieday[ok],Holieday[date],J_ADDDAY(VLOOKUP(I76,A:F,6,FALSE),H76+2,1)))=FALSE(),J_ADDDAY(VLOOKUP(I76,A:F,6,FALSE),H76+2,1),IF(OR(j_WEEKDAY(J_ADDDAY(VLOOKUP(I76,A:F,6,FALSE),H76+3,1),0)=6,SUMIFS(Holieday[ok],Holieday[date],J_ADDDAY(VLOOKUP(I76,A:F,6,FALSE),H76+3,1)))=FALSE(),J_ADDDAY(VLOOKUP(I76,A:F,6,FALSE),H76+3,1),IF(OR(j_WEEKDAY(J_ADDDAY(VLOOKUP(I76,A:F,6,FALSE),H76+4,1),0)=6,SUMIFS(Holieday[ok],Holieday[date],J_ADDDAY(VLOOKUP(I76,A:F,6,FALSE),H76+4,1)))=FALSE(),J_ADDDAY(VLOOKUP(I76,A:F,6,FALSE),H76+4,1),J_ADDDAY(VLOOKUP(I76,A:F,6,FALSE),H76+5,1))))))</f>
        <v>1398/12/19</v>
      </c>
      <c r="E76" s="136">
        <f t="shared" si="52"/>
        <v>13981219</v>
      </c>
      <c r="F76" s="189" t="str">
        <f>IF(N76=0,J_SUBDAY(D76,1,1),IF((N76-NETWORKDAYS.INTL(J_GregorianDate(D76,1),J_GregorianDate(J_SUBDAY(J_ADDDAY(D76,N76,1),1,1),1),16,1)-SUMIFS(Holieday[ok],Holieday[date],CONCATENATE("&gt;","=",D76),Holieday[date],CONCATENATE("&lt;","=",J_SUBDAY(J_ADDDAY(D76,N76,1),1,1)))+SUMIFS(Holieday[Friday],Holieday[date],CONCATENATE("&gt;","=",D76),Holieday[date],CONCATENATE("&lt;","=",J_SUBDAY(J_ADDDAY(D76,N76,1),1,1))))=0,J_SUBDAY(J_ADDDAY(D76,N76,1),1,1),IF((N76-NETWORKDAYS.INTL(J_GregorianDate(D76,1),J_GregorianDate(J_SUBDAY(J_ADDDAY(D76,N76,1),1,1),1),16,1)-SUMIFS(Holieday[ok],Holieday[date],CONCATENATE("&gt;","=",D76),Holieday[date],CONCATENATE("&lt;","=",J_SUBDAY(J_ADDDAY(D76,N76,1),1,1)))+SUMIFS(Holieday[Friday],Holieday[date],CONCATENATE("&gt;","=",D76),Holieday[date],CONCATENATE("&lt;","=",J_SUBDAY(J_ADDDAY(D76,N76,1),1,1))))=1,J_SUBDAY(J_ADDDAY(D76,N76+1,1),1,1),IF((N76-NETWORKDAYS.INTL(J_GregorianDate(D76,1),J_GregorianDate(J_SUBDAY(J_ADDDAY(D76,N76,1),1,1),1),16,1)-SUMIFS(Holieday[ok],Holieday[date],CONCATENATE("&gt;","=",D76),Holieday[date],CONCATENATE("&lt;","=",J_SUBDAY(J_ADDDAY(D76,N76,1),1,1)))+SUMIFS(Holieday[Friday],Holieday[date],CONCATENATE("&gt;","=",D76),Holieday[date],CONCATENATE("&lt;","=",J_SUBDAY(J_ADDDAY(D76,N76,1),1,1))))=2,J_SUBDAY(J_ADDDAY(D76,N76+2,1),1,1),J_SUBDAY(J_ADDDAY(D76,N76+3,1),1,1)))))</f>
        <v>1398/12/24</v>
      </c>
      <c r="G76" s="139">
        <f t="shared" si="53"/>
        <v>13981224</v>
      </c>
      <c r="H76" s="175">
        <v>1</v>
      </c>
      <c r="I76" s="176">
        <v>7.5</v>
      </c>
      <c r="J76" s="174">
        <f>j_WEEKDAY(D76,2)</f>
        <v>2</v>
      </c>
      <c r="K76" s="143">
        <f t="shared" si="54"/>
        <v>0</v>
      </c>
      <c r="L76" s="177">
        <f t="shared" si="55"/>
        <v>6</v>
      </c>
      <c r="M76" s="178">
        <v>0</v>
      </c>
      <c r="N76" s="179">
        <v>5</v>
      </c>
      <c r="O76" s="144">
        <f t="shared" si="56"/>
        <v>0</v>
      </c>
      <c r="P76" s="144">
        <f>VALUE(J_normdate(J_ADDDAY($D76,$O76,1)))</f>
        <v>13981219</v>
      </c>
      <c r="Q76" s="142">
        <f t="shared" si="57"/>
        <v>6</v>
      </c>
      <c r="R76" s="180"/>
      <c r="S76" s="141"/>
      <c r="T76" s="141"/>
      <c r="U76" s="141"/>
      <c r="V76" s="141"/>
      <c r="W76" s="141"/>
      <c r="X76" s="141"/>
      <c r="Y76" s="141"/>
      <c r="Z76" s="141"/>
      <c r="AA76" s="141"/>
      <c r="AB76" s="141"/>
      <c r="AC76" s="141"/>
      <c r="AD76" s="141"/>
      <c r="AE76" s="141"/>
      <c r="AF76" s="141"/>
      <c r="AG76" s="141"/>
      <c r="AH76" s="141"/>
      <c r="AI76" s="141"/>
      <c r="AJ76" s="141"/>
      <c r="AK76" s="141"/>
      <c r="AL76" s="141"/>
      <c r="AM76" s="141"/>
      <c r="AN76" s="141"/>
      <c r="AO76" s="141"/>
      <c r="AP76" s="141"/>
      <c r="AQ76" s="141"/>
      <c r="AR76" s="141"/>
      <c r="AS76" s="141"/>
      <c r="AT76" s="141"/>
      <c r="AU76" s="141"/>
      <c r="AV76" s="141"/>
      <c r="AW76" s="141"/>
      <c r="AX76" s="141"/>
      <c r="AY76" s="141"/>
      <c r="AZ76" s="141"/>
      <c r="BA76" s="141"/>
      <c r="BB76" s="141"/>
      <c r="BC76" s="141"/>
      <c r="BD76" s="141"/>
      <c r="BE76" s="141"/>
      <c r="BF76" s="141"/>
      <c r="BG76" s="141"/>
      <c r="BH76" s="141"/>
      <c r="BI76" s="141"/>
      <c r="BJ76" s="141"/>
      <c r="BK76" s="141"/>
      <c r="BL76" s="141"/>
      <c r="BM76" s="141"/>
      <c r="BN76" s="141"/>
      <c r="BO76" s="141"/>
      <c r="BP76" s="141"/>
      <c r="BQ76" s="141"/>
      <c r="BR76" s="141"/>
      <c r="BS76" s="141"/>
      <c r="BT76" s="141"/>
      <c r="BU76" s="141"/>
      <c r="BV76" s="141"/>
      <c r="BW76" s="141"/>
      <c r="BX76" s="141"/>
      <c r="BY76" s="141"/>
      <c r="BZ76" s="141"/>
      <c r="CA76" s="141"/>
      <c r="CB76" s="141"/>
      <c r="CC76" s="141"/>
      <c r="CD76" s="141"/>
      <c r="CE76" s="141"/>
      <c r="CF76" s="141"/>
      <c r="CG76" s="141"/>
      <c r="CH76" s="141"/>
      <c r="CI76" s="141"/>
      <c r="CJ76" s="141"/>
      <c r="CK76" s="141"/>
      <c r="CL76" s="141"/>
      <c r="CM76" s="141"/>
      <c r="CN76" s="141"/>
      <c r="CO76" s="141"/>
      <c r="CP76" s="141"/>
      <c r="CQ76" s="141"/>
      <c r="CR76" s="141"/>
      <c r="CS76" s="141"/>
      <c r="CT76" s="141"/>
      <c r="CU76" s="141"/>
      <c r="CV76" s="141"/>
      <c r="CW76" s="141"/>
      <c r="CX76" s="141"/>
      <c r="CY76" s="141"/>
      <c r="CZ76" s="141"/>
      <c r="DA76" s="141"/>
      <c r="DB76" s="141"/>
      <c r="DC76" s="141"/>
      <c r="DD76" s="141"/>
      <c r="DE76" s="141"/>
      <c r="DF76" s="141"/>
      <c r="DG76" s="141"/>
      <c r="DH76" s="141"/>
      <c r="DI76" s="141"/>
      <c r="DJ76" s="141"/>
      <c r="DK76" s="141"/>
      <c r="DL76" s="141"/>
      <c r="DM76" s="141"/>
      <c r="DN76" s="141"/>
      <c r="DO76" s="141"/>
      <c r="DP76" s="141"/>
      <c r="DQ76" s="141"/>
      <c r="DR76" s="141"/>
      <c r="DS76" s="141"/>
      <c r="DT76" s="141"/>
      <c r="DU76" s="141"/>
      <c r="DV76" s="141"/>
      <c r="DW76" s="141"/>
      <c r="DX76" s="141"/>
      <c r="DY76" s="141"/>
      <c r="DZ76" s="141"/>
      <c r="EA76" s="141"/>
      <c r="EB76" s="141"/>
      <c r="EC76" s="141"/>
      <c r="ED76" s="141"/>
      <c r="EE76" s="141"/>
      <c r="EF76" s="141"/>
      <c r="EG76" s="141"/>
      <c r="EH76" s="141"/>
      <c r="EI76" s="141"/>
      <c r="EJ76" s="141"/>
      <c r="EK76" s="141"/>
      <c r="EL76" s="141"/>
      <c r="EM76" s="141"/>
      <c r="EN76" s="141"/>
      <c r="EO76" s="141"/>
      <c r="EP76" s="141"/>
      <c r="EQ76" s="141"/>
      <c r="ER76" s="141"/>
      <c r="ES76" s="141"/>
      <c r="ET76" s="141"/>
      <c r="EU76" s="141"/>
      <c r="EV76" s="141"/>
      <c r="EW76" s="141"/>
      <c r="EX76" s="141"/>
      <c r="EY76" s="141"/>
      <c r="EZ76" s="141"/>
      <c r="FA76" s="141"/>
      <c r="FB76" s="141"/>
      <c r="FC76" s="141"/>
      <c r="FD76" s="141"/>
      <c r="FE76" s="141"/>
      <c r="FF76" s="141"/>
      <c r="FG76" s="141"/>
      <c r="FH76" s="141"/>
      <c r="FI76" s="141"/>
      <c r="FJ76" s="141"/>
      <c r="FK76" s="141"/>
      <c r="FL76" s="141"/>
      <c r="FM76" s="141"/>
      <c r="FN76" s="141"/>
      <c r="FO76" s="141"/>
      <c r="FP76" s="141"/>
      <c r="FQ76" s="141"/>
      <c r="FR76" s="141"/>
      <c r="FS76" s="141"/>
      <c r="FT76" s="141"/>
      <c r="FU76" s="141"/>
      <c r="FV76" s="141"/>
      <c r="FW76" s="141"/>
      <c r="FX76" s="141"/>
      <c r="FY76" s="141"/>
      <c r="FZ76" s="141"/>
      <c r="GA76" s="141"/>
      <c r="GB76" s="141"/>
      <c r="GC76" s="141"/>
      <c r="GD76" s="141"/>
      <c r="GE76" s="141"/>
      <c r="GF76" s="141"/>
      <c r="GG76" s="141"/>
      <c r="GH76" s="141"/>
      <c r="GI76" s="141"/>
      <c r="GJ76" s="141"/>
      <c r="GK76" s="141"/>
      <c r="GL76" s="141"/>
      <c r="GM76" s="141"/>
      <c r="GN76" s="141"/>
      <c r="GO76" s="141"/>
      <c r="GP76" s="141"/>
      <c r="GQ76" s="141"/>
      <c r="GR76" s="141"/>
      <c r="GS76" s="141"/>
      <c r="GT76" s="141"/>
      <c r="GU76" s="141"/>
      <c r="GV76" s="141"/>
      <c r="GW76" s="141"/>
      <c r="GX76" s="141"/>
      <c r="GY76" s="141"/>
      <c r="GZ76" s="141"/>
      <c r="HA76" s="141"/>
      <c r="HB76" s="141"/>
      <c r="HC76" s="141"/>
      <c r="HD76" s="141"/>
      <c r="HE76" s="141"/>
      <c r="HF76" s="141"/>
      <c r="HG76" s="141"/>
      <c r="HH76" s="141"/>
      <c r="HI76" s="141"/>
      <c r="HJ76" s="141"/>
      <c r="HK76" s="141"/>
      <c r="HL76" s="141"/>
      <c r="HM76" s="141"/>
      <c r="HN76" s="141"/>
      <c r="HO76" s="141"/>
      <c r="HP76" s="141"/>
      <c r="HQ76" s="141"/>
      <c r="HR76" s="141"/>
      <c r="HS76" s="141"/>
      <c r="HT76" s="141"/>
      <c r="HU76" s="141"/>
      <c r="HV76" s="141"/>
      <c r="HW76" s="141"/>
      <c r="HX76" s="141"/>
      <c r="HY76" s="141"/>
      <c r="HZ76" s="141"/>
      <c r="IA76" s="141"/>
      <c r="IB76" s="141"/>
      <c r="IC76" s="141"/>
      <c r="ID76" s="141"/>
      <c r="IE76" s="141"/>
      <c r="IF76" s="141"/>
      <c r="IG76" s="141"/>
      <c r="IH76" s="141"/>
      <c r="II76" s="141"/>
      <c r="IJ76" s="141"/>
      <c r="IK76" s="141"/>
      <c r="IL76" s="141"/>
      <c r="IM76" s="141"/>
      <c r="IN76" s="141"/>
      <c r="IO76" s="141"/>
      <c r="IP76" s="141"/>
      <c r="IQ76" s="141"/>
      <c r="IR76" s="141"/>
      <c r="IS76" s="141"/>
      <c r="IT76" s="141"/>
      <c r="IU76" s="141"/>
      <c r="IV76" s="141"/>
      <c r="IW76" s="141"/>
      <c r="IX76" s="141"/>
      <c r="IY76" s="7"/>
      <c r="IZ76" s="7"/>
      <c r="JA76" s="92"/>
      <c r="JB76" s="94"/>
      <c r="JC76" s="93"/>
      <c r="JD76" s="160"/>
    </row>
    <row r="77" spans="1:16384" s="279" customFormat="1" ht="13.5">
      <c r="A77" s="270">
        <v>8</v>
      </c>
      <c r="B77" s="293" t="s">
        <v>68</v>
      </c>
      <c r="C77" s="294"/>
      <c r="D77" s="273" t="str">
        <f>FDate(MIN(E78:E79))</f>
        <v>1398/11/12</v>
      </c>
      <c r="E77" s="136">
        <f t="shared" ref="E77:E79" si="58">VALUE(J_normdate(D77))</f>
        <v>13981112</v>
      </c>
      <c r="F77" s="273" t="str">
        <f>J_SUBDAY(J_ADDDAY(D77,L77,1),1,1)</f>
        <v>1398/12/26</v>
      </c>
      <c r="G77" s="139">
        <f t="shared" ref="G77:G79" si="59">VALUE(J_normdate(F77))</f>
        <v>13981226</v>
      </c>
      <c r="H77" s="285"/>
      <c r="I77" s="286"/>
      <c r="J77" s="273">
        <f>j_WEEKDAY(D77,2)</f>
        <v>0</v>
      </c>
      <c r="K77" s="140">
        <f>SUM(K78:K79)</f>
        <v>0</v>
      </c>
      <c r="L77" s="276">
        <f>J_DIFF(D77,FDate(MAX(G78:G79)))+1</f>
        <v>45</v>
      </c>
      <c r="M77" s="277">
        <f>IF(SUM(L78:L79)&lt;&gt;0,SUMPRODUCT(L78:L79,M78:M79)/SUM(L78:L79),0)</f>
        <v>0</v>
      </c>
      <c r="N77" s="278">
        <f>IF(F77&gt;=D77,NETWORKDAYS.INTL(J_GregorianDate(D77,1),J_GregorianDate(F77,1),16,1)-SUMIFS(Holieday[ok],Holieday[date],CONCATENATE("&gt;","=",D77),Holieday[date],CONCATENATE("&lt;","=",F77))+SUMIFS(Holieday[Friday],Holieday[date],CONCATENATE("&gt;","=",D77),Holieday[date],CONCATENATE("&lt;","=",F77)),0)</f>
        <v>37</v>
      </c>
      <c r="O77" s="135">
        <f t="shared" ref="O77" si="60">ROUNDDOWN(M77*L77,0)</f>
        <v>0</v>
      </c>
      <c r="P77" s="135">
        <f>VALUE(J_normdate(J_ADDDAY($D77,$O77,1)))</f>
        <v>13981112</v>
      </c>
      <c r="Q77" s="138">
        <f t="shared" ref="Q77" si="61">L77-O77</f>
        <v>45</v>
      </c>
      <c r="R77" s="288"/>
      <c r="IY77" s="295"/>
      <c r="IZ77" s="295"/>
      <c r="JA77" s="282"/>
      <c r="JB77" s="296"/>
      <c r="XFC77" s="297"/>
      <c r="XFD77" s="297"/>
    </row>
    <row r="78" spans="1:16384" s="141" customFormat="1" ht="13.5">
      <c r="A78" s="188">
        <v>8.1</v>
      </c>
      <c r="B78" s="186" t="s">
        <v>109</v>
      </c>
      <c r="C78" s="173" t="s">
        <v>103</v>
      </c>
      <c r="D78" s="189" t="str">
        <f>IF(OR(j_WEEKDAY(J_ADDDAY(VLOOKUP(I78,A:F,6,FALSE),H78,1),0)=6,SUMIFS(Holieday[ok],Holieday[date],J_ADDDAY(VLOOKUP(I78,A:F,6,FALSE),H78,1)))=FALSE(),J_ADDDAY(VLOOKUP(I78,A:F,6,FALSE),H78,1),IF(OR(j_WEEKDAY(J_ADDDAY(VLOOKUP(I78,A:F,6,FALSE),H78+1,1),0)=6,SUMIFS(Holieday[ok],Holieday[date],J_ADDDAY(VLOOKUP(I78,A:F,6,FALSE),H78+1,1)))=FALSE(),J_ADDDAY(VLOOKUP(I78,A:F,6,FALSE),H78+1,1),IF(OR(j_WEEKDAY(J_ADDDAY(VLOOKUP(I78,A:F,6,FALSE),H78+2,1),0)=6,SUMIFS(Holieday[ok],Holieday[date],J_ADDDAY(VLOOKUP(I78,A:F,6,FALSE),H78+2,1)))=FALSE(),J_ADDDAY(VLOOKUP(I78,A:F,6,FALSE),H78+2,1),IF(OR(j_WEEKDAY(J_ADDDAY(VLOOKUP(I78,A:F,6,FALSE),H78+3,1),0)=6,SUMIFS(Holieday[ok],Holieday[date],J_ADDDAY(VLOOKUP(I78,A:F,6,FALSE),H78+3,1)))=FALSE(),J_ADDDAY(VLOOKUP(I78,A:F,6,FALSE),H78+3,1),IF(OR(j_WEEKDAY(J_ADDDAY(VLOOKUP(I78,A:F,6,FALSE),H78+4,1),0)=6,SUMIFS(Holieday[ok],Holieday[date],J_ADDDAY(VLOOKUP(I78,A:F,6,FALSE),H78+4,1)))=FALSE(),J_ADDDAY(VLOOKUP(I78,A:F,6,FALSE),H78+4,1),J_ADDDAY(VLOOKUP(I78,A:F,6,FALSE),H78+5,1))))))</f>
        <v>1398/11/12</v>
      </c>
      <c r="E78" s="136">
        <f t="shared" si="58"/>
        <v>13981112</v>
      </c>
      <c r="F78" s="189" t="str">
        <f>IF(N78=0,J_SUBDAY(D78,1,1),IF((N78-NETWORKDAYS.INTL(J_GregorianDate(D78,1),J_GregorianDate(J_SUBDAY(J_ADDDAY(D78,N78,1),1,1),1),16,1)-SUMIFS(Holieday[ok],Holieday[date],CONCATENATE("&gt;","=",D78),Holieday[date],CONCATENATE("&lt;","=",J_SUBDAY(J_ADDDAY(D78,N78,1),1,1)))+SUMIFS(Holieday[Friday],Holieday[date],CONCATENATE("&gt;","=",D78),Holieday[date],CONCATENATE("&lt;","=",J_SUBDAY(J_ADDDAY(D78,N78,1),1,1))))=0,J_SUBDAY(J_ADDDAY(D78,N78,1),1,1),IF((N78-NETWORKDAYS.INTL(J_GregorianDate(D78,1),J_GregorianDate(J_SUBDAY(J_ADDDAY(D78,N78,1),1,1),1),16,1)-SUMIFS(Holieday[ok],Holieday[date],CONCATENATE("&gt;","=",D78),Holieday[date],CONCATENATE("&lt;","=",J_SUBDAY(J_ADDDAY(D78,N78,1),1,1)))+SUMIFS(Holieday[Friday],Holieday[date],CONCATENATE("&gt;","=",D78),Holieday[date],CONCATENATE("&lt;","=",J_SUBDAY(J_ADDDAY(D78,N78,1),1,1))))=1,J_SUBDAY(J_ADDDAY(D78,N78+1,1),1,1),IF((N78-NETWORKDAYS.INTL(J_GregorianDate(D78,1),J_GregorianDate(J_SUBDAY(J_ADDDAY(D78,N78,1),1,1),1),16,1)-SUMIFS(Holieday[ok],Holieday[date],CONCATENATE("&gt;","=",D78),Holieday[date],CONCATENATE("&lt;","=",J_SUBDAY(J_ADDDAY(D78,N78,1),1,1)))+SUMIFS(Holieday[Friday],Holieday[date],CONCATENATE("&gt;","=",D78),Holieday[date],CONCATENATE("&lt;","=",J_SUBDAY(J_ADDDAY(D78,N78,1),1,1))))=2,J_SUBDAY(J_ADDDAY(D78,N78+2,1),1,1),J_SUBDAY(J_ADDDAY(D78,N78+3,1),1,1)))))</f>
        <v>1398/11/12</v>
      </c>
      <c r="G78" s="139">
        <f t="shared" si="59"/>
        <v>13981112</v>
      </c>
      <c r="H78" s="175">
        <v>1</v>
      </c>
      <c r="I78" s="176">
        <v>3.22</v>
      </c>
      <c r="J78" s="174">
        <f>j_WEEKDAY(D78,2)</f>
        <v>0</v>
      </c>
      <c r="K78" s="143">
        <f t="shared" ref="K78:K79" si="62">SUM(JA78:JC78)</f>
        <v>0</v>
      </c>
      <c r="L78" s="215">
        <f t="shared" ref="L78:L79" si="63">J_DIFF(D78,F78)+1</f>
        <v>1</v>
      </c>
      <c r="M78" s="216">
        <v>0</v>
      </c>
      <c r="N78" s="179">
        <v>1</v>
      </c>
      <c r="O78" s="144">
        <f t="shared" ref="O78" si="64">ROUNDDOWN(M78*L78,0)</f>
        <v>0</v>
      </c>
      <c r="P78" s="144">
        <f>VALUE(J_normdate(J_ADDDAY($D78,$O78,1)))</f>
        <v>13981112</v>
      </c>
      <c r="Q78" s="142">
        <f t="shared" ref="Q78" si="65">L78-O78</f>
        <v>1</v>
      </c>
      <c r="R78" s="180"/>
      <c r="IY78" s="4"/>
      <c r="IZ78" s="4"/>
      <c r="JA78" s="90"/>
      <c r="JB78" s="171"/>
      <c r="JC78" s="90"/>
      <c r="JD78" s="170">
        <f>SUM((TEXT(JA78,"[M]")/60)*'Income Person-hours'!$D$3,(TEXT(JB78,"[M]")/60)*'Income Person-hours'!$D$4,(TEXT(JC78,"[M]")/60)*'Income Person-hours'!$D$5)</f>
        <v>0</v>
      </c>
    </row>
    <row r="79" spans="1:16384" s="159" customFormat="1" ht="13.5">
      <c r="A79" s="197">
        <v>8.1999999999999993</v>
      </c>
      <c r="B79" s="186" t="s">
        <v>73</v>
      </c>
      <c r="C79" s="173" t="s">
        <v>103</v>
      </c>
      <c r="D79" s="189" t="str">
        <f>IF(OR(j_WEEKDAY(J_ADDDAY(VLOOKUP(I79,A:F,6,FALSE),H79,1),0)=6,SUMIFS(Holieday[ok],Holieday[date],J_ADDDAY(VLOOKUP(I79,A:F,6,FALSE),H79,1)))=FALSE(),J_ADDDAY(VLOOKUP(I79,A:F,6,FALSE),H79,1),IF(OR(j_WEEKDAY(J_ADDDAY(VLOOKUP(I79,A:F,6,FALSE),H79+1,1),0)=6,SUMIFS(Holieday[ok],Holieday[date],J_ADDDAY(VLOOKUP(I79,A:F,6,FALSE),H79+1,1)))=FALSE(),J_ADDDAY(VLOOKUP(I79,A:F,6,FALSE),H79+1,1),IF(OR(j_WEEKDAY(J_ADDDAY(VLOOKUP(I79,A:F,6,FALSE),H79+2,1),0)=6,SUMIFS(Holieday[ok],Holieday[date],J_ADDDAY(VLOOKUP(I79,A:F,6,FALSE),H79+2,1)))=FALSE(),J_ADDDAY(VLOOKUP(I79,A:F,6,FALSE),H79+2,1),IF(OR(j_WEEKDAY(J_ADDDAY(VLOOKUP(I79,A:F,6,FALSE),H79+3,1),0)=6,SUMIFS(Holieday[ok],Holieday[date],J_ADDDAY(VLOOKUP(I79,A:F,6,FALSE),H79+3,1)))=FALSE(),J_ADDDAY(VLOOKUP(I79,A:F,6,FALSE),H79+3,1),IF(OR(j_WEEKDAY(J_ADDDAY(VLOOKUP(I79,A:F,6,FALSE),H79+4,1),0)=6,SUMIFS(Holieday[ok],Holieday[date],J_ADDDAY(VLOOKUP(I79,A:F,6,FALSE),H79+4,1)))=FALSE(),J_ADDDAY(VLOOKUP(I79,A:F,6,FALSE),H79+4,1),J_ADDDAY(VLOOKUP(I79,A:F,6,FALSE),H79+5,1))))))</f>
        <v>1398/12/25</v>
      </c>
      <c r="E79" s="136">
        <f t="shared" si="58"/>
        <v>13981225</v>
      </c>
      <c r="F79" s="189" t="str">
        <f>IF(N79=0,J_SUBDAY(D79,1,1),IF((N79-NETWORKDAYS.INTL(J_GregorianDate(D79,1),J_GregorianDate(J_SUBDAY(J_ADDDAY(D79,N79,1),1,1),1),16,1)-SUMIFS(Holieday[ok],Holieday[date],CONCATENATE("&gt;","=",D79),Holieday[date],CONCATENATE("&lt;","=",J_SUBDAY(J_ADDDAY(D79,N79,1),1,1)))+SUMIFS(Holieday[Friday],Holieday[date],CONCATENATE("&gt;","=",D79),Holieday[date],CONCATENATE("&lt;","=",J_SUBDAY(J_ADDDAY(D79,N79,1),1,1))))=0,J_SUBDAY(J_ADDDAY(D79,N79,1),1,1),IF((N79-NETWORKDAYS.INTL(J_GregorianDate(D79,1),J_GregorianDate(J_SUBDAY(J_ADDDAY(D79,N79,1),1,1),1),16,1)-SUMIFS(Holieday[ok],Holieday[date],CONCATENATE("&gt;","=",D79),Holieday[date],CONCATENATE("&lt;","=",J_SUBDAY(J_ADDDAY(D79,N79,1),1,1)))+SUMIFS(Holieday[Friday],Holieday[date],CONCATENATE("&gt;","=",D79),Holieday[date],CONCATENATE("&lt;","=",J_SUBDAY(J_ADDDAY(D79,N79,1),1,1))))=1,J_SUBDAY(J_ADDDAY(D79,N79+1,1),1,1),IF((N79-NETWORKDAYS.INTL(J_GregorianDate(D79,1),J_GregorianDate(J_SUBDAY(J_ADDDAY(D79,N79,1),1,1),1),16,1)-SUMIFS(Holieday[ok],Holieday[date],CONCATENATE("&gt;","=",D79),Holieday[date],CONCATENATE("&lt;","=",J_SUBDAY(J_ADDDAY(D79,N79,1),1,1)))+SUMIFS(Holieday[Friday],Holieday[date],CONCATENATE("&gt;","=",D79),Holieday[date],CONCATENATE("&lt;","=",J_SUBDAY(J_ADDDAY(D79,N79,1),1,1))))=2,J_SUBDAY(J_ADDDAY(D79,N79+2,1),1,1),J_SUBDAY(J_ADDDAY(D79,N79+3,1),1,1)))))</f>
        <v>1398/12/26</v>
      </c>
      <c r="G79" s="139">
        <f t="shared" si="59"/>
        <v>13981226</v>
      </c>
      <c r="H79" s="175">
        <v>1</v>
      </c>
      <c r="I79" s="176">
        <v>7.6</v>
      </c>
      <c r="J79" s="174">
        <f>j_WEEKDAY(D79,2)</f>
        <v>1</v>
      </c>
      <c r="K79" s="143">
        <f t="shared" si="62"/>
        <v>0</v>
      </c>
      <c r="L79" s="177">
        <f t="shared" si="63"/>
        <v>2</v>
      </c>
      <c r="M79" s="178">
        <v>0</v>
      </c>
      <c r="N79" s="179">
        <v>2</v>
      </c>
      <c r="O79" s="144">
        <f t="shared" ref="O79" si="66">ROUNDDOWN(M79*L79,0)</f>
        <v>0</v>
      </c>
      <c r="P79" s="144">
        <f>VALUE(J_normdate(J_ADDDAY($D79,$O79,1)))</f>
        <v>13981225</v>
      </c>
      <c r="Q79" s="142">
        <f t="shared" ref="Q79" si="67">L79-O79</f>
        <v>2</v>
      </c>
      <c r="R79" s="180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  <c r="AH79" s="141"/>
      <c r="AI79" s="141"/>
      <c r="AJ79" s="141"/>
      <c r="AK79" s="141"/>
      <c r="AL79" s="141"/>
      <c r="AM79" s="141"/>
      <c r="AN79" s="141"/>
      <c r="AO79" s="141"/>
      <c r="AP79" s="141"/>
      <c r="AQ79" s="141"/>
      <c r="AR79" s="141"/>
      <c r="AS79" s="141"/>
      <c r="AT79" s="141"/>
      <c r="AU79" s="141"/>
      <c r="AV79" s="141"/>
      <c r="AW79" s="141"/>
      <c r="AX79" s="141"/>
      <c r="AY79" s="141"/>
      <c r="AZ79" s="141"/>
      <c r="BA79" s="141"/>
      <c r="BB79" s="141"/>
      <c r="BC79" s="141"/>
      <c r="BD79" s="141"/>
      <c r="BE79" s="141"/>
      <c r="BF79" s="141"/>
      <c r="BG79" s="141"/>
      <c r="BH79" s="141"/>
      <c r="BI79" s="141"/>
      <c r="BJ79" s="141"/>
      <c r="BK79" s="141"/>
      <c r="BL79" s="141"/>
      <c r="BM79" s="141"/>
      <c r="BN79" s="141"/>
      <c r="BO79" s="141"/>
      <c r="BP79" s="141"/>
      <c r="BQ79" s="141"/>
      <c r="BR79" s="141"/>
      <c r="BS79" s="141"/>
      <c r="BT79" s="141"/>
      <c r="BU79" s="141"/>
      <c r="BV79" s="141"/>
      <c r="BW79" s="141"/>
      <c r="BX79" s="141"/>
      <c r="BY79" s="141"/>
      <c r="BZ79" s="141"/>
      <c r="CA79" s="141"/>
      <c r="CB79" s="141"/>
      <c r="CC79" s="141"/>
      <c r="CD79" s="141"/>
      <c r="CE79" s="141"/>
      <c r="CF79" s="141"/>
      <c r="CG79" s="141"/>
      <c r="CH79" s="141"/>
      <c r="CI79" s="141"/>
      <c r="CJ79" s="141"/>
      <c r="CK79" s="141"/>
      <c r="CL79" s="141"/>
      <c r="CM79" s="141"/>
      <c r="CN79" s="141"/>
      <c r="CO79" s="141"/>
      <c r="CP79" s="141"/>
      <c r="CQ79" s="141"/>
      <c r="CR79" s="141"/>
      <c r="CS79" s="141"/>
      <c r="CT79" s="141"/>
      <c r="CU79" s="141"/>
      <c r="CV79" s="141"/>
      <c r="CW79" s="141"/>
      <c r="CX79" s="141"/>
      <c r="CY79" s="141"/>
      <c r="CZ79" s="141"/>
      <c r="DA79" s="141"/>
      <c r="DB79" s="141"/>
      <c r="DC79" s="141"/>
      <c r="DD79" s="141"/>
      <c r="DE79" s="141"/>
      <c r="DF79" s="141"/>
      <c r="DG79" s="141"/>
      <c r="DH79" s="141"/>
      <c r="DI79" s="141"/>
      <c r="DJ79" s="141"/>
      <c r="DK79" s="141"/>
      <c r="DL79" s="141"/>
      <c r="DM79" s="141"/>
      <c r="DN79" s="141"/>
      <c r="DO79" s="141"/>
      <c r="DP79" s="141"/>
      <c r="DQ79" s="141"/>
      <c r="DR79" s="141"/>
      <c r="DS79" s="141"/>
      <c r="DT79" s="141"/>
      <c r="DU79" s="141"/>
      <c r="DV79" s="141"/>
      <c r="DW79" s="141"/>
      <c r="DX79" s="141"/>
      <c r="DY79" s="141"/>
      <c r="DZ79" s="141"/>
      <c r="EA79" s="141"/>
      <c r="EB79" s="141"/>
      <c r="EC79" s="141"/>
      <c r="ED79" s="141"/>
      <c r="EE79" s="141"/>
      <c r="EF79" s="141"/>
      <c r="EG79" s="141"/>
      <c r="EH79" s="141"/>
      <c r="EI79" s="141"/>
      <c r="EJ79" s="141"/>
      <c r="EK79" s="141"/>
      <c r="EL79" s="141"/>
      <c r="EM79" s="141"/>
      <c r="EN79" s="141"/>
      <c r="EO79" s="141"/>
      <c r="EP79" s="141"/>
      <c r="EQ79" s="141"/>
      <c r="ER79" s="141"/>
      <c r="ES79" s="141"/>
      <c r="ET79" s="141"/>
      <c r="EU79" s="141"/>
      <c r="EV79" s="141"/>
      <c r="EW79" s="141"/>
      <c r="EX79" s="141"/>
      <c r="EY79" s="141"/>
      <c r="EZ79" s="141"/>
      <c r="FA79" s="141"/>
      <c r="FB79" s="141"/>
      <c r="FC79" s="141"/>
      <c r="FD79" s="141"/>
      <c r="FE79" s="141"/>
      <c r="FF79" s="141"/>
      <c r="FG79" s="141"/>
      <c r="FH79" s="141"/>
      <c r="FI79" s="141"/>
      <c r="FJ79" s="141"/>
      <c r="FK79" s="141"/>
      <c r="FL79" s="141"/>
      <c r="FM79" s="141"/>
      <c r="FN79" s="141"/>
      <c r="FO79" s="141"/>
      <c r="FP79" s="141"/>
      <c r="FQ79" s="141"/>
      <c r="FR79" s="141"/>
      <c r="FS79" s="141"/>
      <c r="FT79" s="141"/>
      <c r="FU79" s="141"/>
      <c r="FV79" s="141"/>
      <c r="FW79" s="141"/>
      <c r="FX79" s="141"/>
      <c r="FY79" s="141"/>
      <c r="FZ79" s="141"/>
      <c r="GA79" s="141"/>
      <c r="GB79" s="141"/>
      <c r="GC79" s="141"/>
      <c r="GD79" s="141"/>
      <c r="GE79" s="141"/>
      <c r="GF79" s="141"/>
      <c r="GG79" s="141"/>
      <c r="GH79" s="141"/>
      <c r="GI79" s="141"/>
      <c r="GJ79" s="141"/>
      <c r="GK79" s="141"/>
      <c r="GL79" s="141"/>
      <c r="GM79" s="141"/>
      <c r="GN79" s="141"/>
      <c r="GO79" s="141"/>
      <c r="GP79" s="141"/>
      <c r="GQ79" s="141"/>
      <c r="GR79" s="141"/>
      <c r="GS79" s="141"/>
      <c r="GT79" s="141"/>
      <c r="GU79" s="141"/>
      <c r="GV79" s="141"/>
      <c r="GW79" s="141"/>
      <c r="GX79" s="141"/>
      <c r="GY79" s="141"/>
      <c r="GZ79" s="141"/>
      <c r="HA79" s="141"/>
      <c r="HB79" s="141"/>
      <c r="HC79" s="141"/>
      <c r="HD79" s="141"/>
      <c r="HE79" s="141"/>
      <c r="HF79" s="141"/>
      <c r="HG79" s="141"/>
      <c r="HH79" s="141"/>
      <c r="HI79" s="141"/>
      <c r="HJ79" s="141"/>
      <c r="HK79" s="141"/>
      <c r="HL79" s="141"/>
      <c r="HM79" s="141"/>
      <c r="HN79" s="141"/>
      <c r="HO79" s="141"/>
      <c r="HP79" s="141"/>
      <c r="HQ79" s="141"/>
      <c r="HR79" s="141"/>
      <c r="HS79" s="141"/>
      <c r="HT79" s="141"/>
      <c r="HU79" s="141"/>
      <c r="HV79" s="141"/>
      <c r="HW79" s="141"/>
      <c r="HX79" s="141"/>
      <c r="HY79" s="141"/>
      <c r="HZ79" s="141"/>
      <c r="IA79" s="141"/>
      <c r="IB79" s="141"/>
      <c r="IC79" s="141"/>
      <c r="ID79" s="141"/>
      <c r="IE79" s="141"/>
      <c r="IF79" s="141"/>
      <c r="IG79" s="141"/>
      <c r="IH79" s="141"/>
      <c r="II79" s="141"/>
      <c r="IJ79" s="141"/>
      <c r="IK79" s="141"/>
      <c r="IL79" s="141"/>
      <c r="IM79" s="141"/>
      <c r="IN79" s="141"/>
      <c r="IO79" s="141"/>
      <c r="IP79" s="141"/>
      <c r="IQ79" s="141"/>
      <c r="IR79" s="141"/>
      <c r="IS79" s="141"/>
      <c r="IT79" s="141"/>
      <c r="IU79" s="141"/>
      <c r="IV79" s="141"/>
      <c r="IW79" s="141"/>
      <c r="IX79" s="141"/>
      <c r="IY79" s="7"/>
      <c r="IZ79" s="7"/>
      <c r="JA79" s="92"/>
      <c r="JB79" s="94"/>
      <c r="JC79" s="93"/>
      <c r="JD79" s="160">
        <f>SUM((TEXT(JA79,"[M]")/60)*'Income Person-hours'!$D$3,(TEXT(JB79,"[M]")/60)*'Income Person-hours'!$D$4,(TEXT(JC79,"[M]")/60)*'Income Person-hours'!$D$5)</f>
        <v>0</v>
      </c>
    </row>
    <row r="82" spans="2:2" ht="16.5">
      <c r="B82" s="239"/>
    </row>
  </sheetData>
  <sheetProtection selectLockedCells="1"/>
  <mergeCells count="50">
    <mergeCell ref="HZ6:ID6"/>
    <mergeCell ref="GQ6:GU6"/>
    <mergeCell ref="GV6:GZ6"/>
    <mergeCell ref="HA6:HE6"/>
    <mergeCell ref="HF6:HJ6"/>
    <mergeCell ref="HK6:HO6"/>
    <mergeCell ref="HP6:HT6"/>
    <mergeCell ref="EN6:ER6"/>
    <mergeCell ref="ES6:EW6"/>
    <mergeCell ref="EX6:FB6"/>
    <mergeCell ref="FC6:FG6"/>
    <mergeCell ref="HU6:HY6"/>
    <mergeCell ref="FM6:FQ6"/>
    <mergeCell ref="FR6:FV6"/>
    <mergeCell ref="FW6:GA6"/>
    <mergeCell ref="GB6:GF6"/>
    <mergeCell ref="GG6:GK6"/>
    <mergeCell ref="GL6:GP6"/>
    <mergeCell ref="IT6:IX6"/>
    <mergeCell ref="S6:W6"/>
    <mergeCell ref="X6:AB6"/>
    <mergeCell ref="AC6:AG6"/>
    <mergeCell ref="AH6:AL6"/>
    <mergeCell ref="AM6:AQ6"/>
    <mergeCell ref="AR6:AV6"/>
    <mergeCell ref="CZ6:DD6"/>
    <mergeCell ref="AW6:BA6"/>
    <mergeCell ref="BB6:BF6"/>
    <mergeCell ref="BG6:BK6"/>
    <mergeCell ref="BL6:BP6"/>
    <mergeCell ref="BQ6:BU6"/>
    <mergeCell ref="BV6:BZ6"/>
    <mergeCell ref="CA6:CE6"/>
    <mergeCell ref="CF6:CJ6"/>
    <mergeCell ref="C5:H5"/>
    <mergeCell ref="C2:F2"/>
    <mergeCell ref="IE6:II6"/>
    <mergeCell ref="IJ6:IN6"/>
    <mergeCell ref="IO6:IS6"/>
    <mergeCell ref="CK6:CO6"/>
    <mergeCell ref="CP6:CT6"/>
    <mergeCell ref="CU6:CY6"/>
    <mergeCell ref="FH6:FL6"/>
    <mergeCell ref="DE6:DI6"/>
    <mergeCell ref="DJ6:DN6"/>
    <mergeCell ref="DO6:DS6"/>
    <mergeCell ref="DT6:DX6"/>
    <mergeCell ref="DY6:EC6"/>
    <mergeCell ref="ED6:EH6"/>
    <mergeCell ref="EI6:EM6"/>
  </mergeCells>
  <phoneticPr fontId="2" type="noConversion"/>
  <conditionalFormatting sqref="S10:IX16 S18:IX50 P64:IX64 P77:IX77 S52:IX69 S78:IX79 P70:IX70 S71:IX76">
    <cfRule type="expression" dxfId="22" priority="196" stopIfTrue="1">
      <formula>P$4=$D$3</formula>
    </cfRule>
    <cfRule type="expression" dxfId="21" priority="197" stopIfTrue="1">
      <formula>AND(P$4&gt;=$E10,P$4&lt;$P10)</formula>
    </cfRule>
    <cfRule type="expression" dxfId="20" priority="198" stopIfTrue="1">
      <formula>AND(P$4&gt;=$E10,P$4&lt;=$G10)</formula>
    </cfRule>
  </conditionalFormatting>
  <conditionalFormatting sqref="S9:IX9 S17:IX17 R30:IW30 S51:IX51 S57:IX57 P64:IX64 P77:IX77 P70:IX70">
    <cfRule type="expression" dxfId="19" priority="214" stopIfTrue="1">
      <formula>P$4=$D$3</formula>
    </cfRule>
    <cfRule type="expression" dxfId="18" priority="215" stopIfTrue="1">
      <formula>AND(P$4&gt;=$E9,P$4&lt;$P9)</formula>
    </cfRule>
    <cfRule type="expression" dxfId="17" priority="216" stopIfTrue="1">
      <formula>AND(P$4&gt;=$E9,P$4&lt;=$G9)</formula>
    </cfRule>
  </conditionalFormatting>
  <conditionalFormatting sqref="S8:IX8">
    <cfRule type="expression" dxfId="16" priority="259">
      <formula>S$4=$D$3</formula>
    </cfRule>
    <cfRule type="expression" dxfId="15" priority="260">
      <formula>AND(S$4&gt;=$E8,S$4&lt;$P8)</formula>
    </cfRule>
    <cfRule type="expression" dxfId="14" priority="261">
      <formula>AND(S$4&gt;=$E8,S$4&lt;=$G8)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scale="78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Scroll Bar 1">
              <controlPr defaultSize="0" print="0" autoPict="0">
                <anchor moveWithCells="1">
                  <from>
                    <xdr:col>17</xdr:col>
                    <xdr:colOff>171450</xdr:colOff>
                    <xdr:row>3</xdr:row>
                    <xdr:rowOff>209550</xdr:rowOff>
                  </from>
                  <to>
                    <xdr:col>132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ه2"/>
  <dimension ref="A1:N17"/>
  <sheetViews>
    <sheetView rightToLeft="1" workbookViewId="0">
      <selection activeCell="F5" sqref="F5"/>
    </sheetView>
  </sheetViews>
  <sheetFormatPr defaultColWidth="9.140625" defaultRowHeight="14.25"/>
  <cols>
    <col min="1" max="1" width="8" style="22" bestFit="1" customWidth="1"/>
    <col min="2" max="2" width="18.5703125" style="22" bestFit="1" customWidth="1"/>
    <col min="3" max="3" width="12.140625" style="23" bestFit="1" customWidth="1"/>
    <col min="4" max="4" width="17.5703125" style="32" bestFit="1" customWidth="1"/>
    <col min="5" max="5" width="5.42578125" style="22" bestFit="1" customWidth="1"/>
    <col min="6" max="6" width="17.5703125" style="22" bestFit="1" customWidth="1"/>
    <col min="7" max="7" width="21.140625" style="56" bestFit="1" customWidth="1"/>
    <col min="8" max="8" width="9.140625" style="46"/>
    <col min="9" max="9" width="14.85546875" style="46" bestFit="1" customWidth="1"/>
    <col min="10" max="16384" width="9.140625" style="22"/>
  </cols>
  <sheetData>
    <row r="1" spans="1:14">
      <c r="A1" s="312" t="str">
        <f>CONCATENATE("جدول تعرفه هزینه های کارشناسی مطابق قرارداد ",GanttChart!B8)</f>
        <v>جدول تعرفه هزینه های کارشناسی مطابق قرارداد طراحی و پیاده سازی پورتال اینترنتی و زیر پورتال های بانک اقتصاد نوین</v>
      </c>
      <c r="B1" s="312"/>
      <c r="C1" s="312"/>
      <c r="D1" s="312"/>
      <c r="E1" s="312"/>
      <c r="F1" s="312"/>
      <c r="G1" s="312"/>
    </row>
    <row r="2" spans="1:14">
      <c r="A2" s="42" t="s">
        <v>46</v>
      </c>
      <c r="B2" s="320" t="s">
        <v>45</v>
      </c>
      <c r="C2" s="321"/>
      <c r="D2" s="322" t="s">
        <v>47</v>
      </c>
      <c r="E2" s="323"/>
      <c r="F2" s="44" t="s">
        <v>70</v>
      </c>
      <c r="G2" s="42" t="s">
        <v>62</v>
      </c>
    </row>
    <row r="3" spans="1:14">
      <c r="A3" s="42">
        <v>1</v>
      </c>
      <c r="B3" s="320" t="s">
        <v>48</v>
      </c>
      <c r="C3" s="321"/>
      <c r="D3" s="324">
        <v>1200000</v>
      </c>
      <c r="E3" s="325"/>
      <c r="F3" s="166">
        <v>137600000</v>
      </c>
      <c r="G3" s="60">
        <f>D3*128</f>
        <v>153600000</v>
      </c>
    </row>
    <row r="4" spans="1:14">
      <c r="A4" s="42">
        <v>2</v>
      </c>
      <c r="B4" s="320" t="s">
        <v>49</v>
      </c>
      <c r="C4" s="321"/>
      <c r="D4" s="324">
        <v>916000</v>
      </c>
      <c r="E4" s="325"/>
      <c r="F4" s="166">
        <v>115200000</v>
      </c>
      <c r="G4" s="60">
        <f>D4*128</f>
        <v>117248000</v>
      </c>
    </row>
    <row r="5" spans="1:14">
      <c r="A5" s="42">
        <v>3</v>
      </c>
      <c r="B5" s="320" t="s">
        <v>50</v>
      </c>
      <c r="C5" s="321"/>
      <c r="D5" s="324">
        <v>555000</v>
      </c>
      <c r="E5" s="325"/>
      <c r="F5" s="166">
        <v>87900000</v>
      </c>
      <c r="G5" s="60">
        <f>D5*128</f>
        <v>71040000</v>
      </c>
    </row>
    <row r="7" spans="1:14">
      <c r="A7" s="313" t="str">
        <f>CONCATENATE("گزارش مدیریتی ",GanttChart!B8)</f>
        <v>گزارش مدیریتی طراحی و پیاده سازی پورتال اینترنتی و زیر پورتال های بانک اقتصاد نوین</v>
      </c>
      <c r="B7" s="313"/>
      <c r="C7" s="313"/>
      <c r="D7" s="313"/>
      <c r="E7" s="313"/>
      <c r="F7" s="313"/>
      <c r="G7" s="313"/>
    </row>
    <row r="8" spans="1:14">
      <c r="A8" s="314" t="s">
        <v>52</v>
      </c>
      <c r="B8" s="315"/>
      <c r="C8" s="39" t="s">
        <v>53</v>
      </c>
      <c r="D8" s="83" t="str">
        <f>D2</f>
        <v>هزینه نفر ساعت</v>
      </c>
      <c r="E8" s="35" t="s">
        <v>54</v>
      </c>
      <c r="F8" s="84" t="str">
        <f>F2</f>
        <v>هزینه نفر ماه (قرارداد)</v>
      </c>
      <c r="G8" s="61" t="str">
        <f>G2</f>
        <v>هزینه نفر ماه (ماه * 128)</v>
      </c>
      <c r="H8" s="45"/>
      <c r="I8" s="45"/>
      <c r="J8" s="14"/>
      <c r="M8" s="33"/>
      <c r="N8" s="8"/>
    </row>
    <row r="9" spans="1:14">
      <c r="A9" s="38">
        <v>1</v>
      </c>
      <c r="B9" s="39" t="str">
        <f>VLOOKUP(A9,A2:D5,2,FALSE)</f>
        <v>مدیریت پروژه</v>
      </c>
      <c r="C9" s="36">
        <f>SUM(GanttChart!JA:JA)</f>
        <v>0</v>
      </c>
      <c r="D9" s="40">
        <f>(TEXT(C9,"[M]")/60)*VLOOKUP(A9,'Income Person-hours'!$A$2:$G$5,4,FALSE)</f>
        <v>0</v>
      </c>
      <c r="E9" s="37">
        <f>ROUNDUP((TEXT(C9,"[m]")/60)/160,1)</f>
        <v>0</v>
      </c>
      <c r="F9" s="41">
        <f>VLOOKUP(A9,'Income Person-hours'!$A$2:$G$5,6,FALSE)*E9</f>
        <v>0</v>
      </c>
      <c r="G9" s="58">
        <f>VLOOKUP(A9,'Income Person-hours'!$A$2:$G$5,7,FALSE)*E9</f>
        <v>0</v>
      </c>
      <c r="H9" s="45"/>
      <c r="I9" s="45"/>
      <c r="J9" s="14"/>
      <c r="M9" s="34"/>
      <c r="N9" s="34"/>
    </row>
    <row r="10" spans="1:14">
      <c r="A10" s="38">
        <v>2</v>
      </c>
      <c r="B10" s="39" t="str">
        <f>VLOOKUP(A10,A3:D6,2,FALSE)</f>
        <v>کارشناس ارشد تحلیل</v>
      </c>
      <c r="C10" s="36">
        <f>SUM(GanttChart!JB:JB)</f>
        <v>0</v>
      </c>
      <c r="D10" s="40">
        <f>(TEXT(C10,"[M]")/60)*VLOOKUP(A10,'Income Person-hours'!$A$2:$G$5,4,FALSE)</f>
        <v>0</v>
      </c>
      <c r="E10" s="37">
        <f>ROUNDUP((TEXT(C10,"[m]")/60)/160,1)</f>
        <v>0</v>
      </c>
      <c r="F10" s="41">
        <f>VLOOKUP(A10,'Income Person-hours'!$A$2:$G$5,6,FALSE)*E10</f>
        <v>0</v>
      </c>
      <c r="G10" s="58">
        <f>VLOOKUP(A10,'Income Person-hours'!$A$2:$G$5,7,FALSE)*E10</f>
        <v>0</v>
      </c>
      <c r="H10" s="45"/>
      <c r="I10" s="85"/>
      <c r="J10" s="14"/>
      <c r="M10" s="34"/>
      <c r="N10" s="34"/>
    </row>
    <row r="11" spans="1:14">
      <c r="A11" s="38">
        <v>3</v>
      </c>
      <c r="B11" s="39" t="str">
        <f>VLOOKUP(A11,A4:D8,2,FALSE)</f>
        <v>کارشناس توسعه و پیاده سازی</v>
      </c>
      <c r="C11" s="36">
        <f>SUM(GanttChart!JC:JC)</f>
        <v>0</v>
      </c>
      <c r="D11" s="40">
        <f>(TEXT(C11,"[M]")/60)*VLOOKUP(A11,'Income Person-hours'!$A$2:$G$5,4,FALSE)</f>
        <v>0</v>
      </c>
      <c r="E11" s="37">
        <f>ROUNDUP((TEXT(C11,"[m]")/60)/160,1)</f>
        <v>0</v>
      </c>
      <c r="F11" s="41">
        <f>VLOOKUP(A11,'Income Person-hours'!$A$2:$G$5,6,FALSE)*E11</f>
        <v>0</v>
      </c>
      <c r="G11" s="58">
        <f>VLOOKUP(A11,'Income Person-hours'!$A$2:$G$5,7,FALSE)*E11</f>
        <v>0</v>
      </c>
      <c r="H11" s="47"/>
      <c r="I11" s="45"/>
      <c r="J11" s="14"/>
      <c r="M11" s="34"/>
      <c r="N11" s="34"/>
    </row>
    <row r="12" spans="1:14" ht="15">
      <c r="A12" s="316" t="s">
        <v>51</v>
      </c>
      <c r="B12" s="317"/>
      <c r="C12" s="48">
        <f>SUM(C9:C11)</f>
        <v>0</v>
      </c>
      <c r="D12" s="49">
        <f>SUM(D9:D11)</f>
        <v>0</v>
      </c>
      <c r="E12" s="50">
        <f>SUM(E9:E11)</f>
        <v>0</v>
      </c>
      <c r="F12" s="49">
        <f>SUM(F9:F11)</f>
        <v>0</v>
      </c>
      <c r="G12" s="59">
        <f>SUM(G9:G11)</f>
        <v>0</v>
      </c>
      <c r="H12" s="45"/>
      <c r="I12" s="45"/>
      <c r="J12" s="14"/>
      <c r="M12" s="33"/>
      <c r="N12" s="33"/>
    </row>
    <row r="13" spans="1:14" ht="15">
      <c r="A13" s="318" t="s">
        <v>57</v>
      </c>
      <c r="B13" s="318"/>
      <c r="C13" s="51" t="str">
        <f>GanttChart!D8</f>
        <v>1398/10/01</v>
      </c>
      <c r="D13" s="319" t="s">
        <v>58</v>
      </c>
      <c r="E13" s="319"/>
      <c r="F13" s="52" t="str">
        <f>GanttChart!F8</f>
        <v>1399/01/02</v>
      </c>
      <c r="G13" s="57" t="s">
        <v>63</v>
      </c>
    </row>
    <row r="14" spans="1:14" ht="15">
      <c r="A14" s="42" t="s">
        <v>59</v>
      </c>
      <c r="B14" s="53" t="str">
        <f>CONCATENATE(GanttChart!L8," روز ")</f>
        <v xml:space="preserve">91 روز </v>
      </c>
      <c r="C14" s="43" t="s">
        <v>60</v>
      </c>
      <c r="D14" s="53" t="str">
        <f>CONCATENATE(GanttChart!N8," روز کاری")</f>
        <v>74 روز کاری</v>
      </c>
      <c r="E14" s="42" t="s">
        <v>61</v>
      </c>
      <c r="F14" s="53" t="str">
        <f>CONCATENATE(ROUND(GanttChart!L8/7,0)," هفته")</f>
        <v>13 هفته</v>
      </c>
      <c r="G14" s="53" t="str">
        <f>CONCATENATE(ROUNDUP((TEXT(C12,"[M]")/60)/6,0)," نفر روز")</f>
        <v>0 نفر روز</v>
      </c>
    </row>
    <row r="15" spans="1:14">
      <c r="C15" s="86"/>
    </row>
    <row r="17" spans="2:2" ht="15">
      <c r="B17" s="55"/>
    </row>
  </sheetData>
  <sheetProtection algorithmName="SHA-512" hashValue="xC+XAc0KzQX2S6qxX0/uFizPeqlilPsr/7UJy/IsLlouBKUJxU+7ZdKksEJeQObbS0B9joNmXzNKWhdF9gDx+Q==" saltValue="j1ElNeDbcqLU4scxnpKBiA==" spinCount="100000" sheet="1" objects="1" scenarios="1" selectLockedCells="1"/>
  <mergeCells count="14">
    <mergeCell ref="A1:G1"/>
    <mergeCell ref="A7:G7"/>
    <mergeCell ref="A8:B8"/>
    <mergeCell ref="A12:B12"/>
    <mergeCell ref="A13:B13"/>
    <mergeCell ref="D13:E13"/>
    <mergeCell ref="B2:C2"/>
    <mergeCell ref="B3:C3"/>
    <mergeCell ref="B4:C4"/>
    <mergeCell ref="B5:C5"/>
    <mergeCell ref="D2:E2"/>
    <mergeCell ref="D3:E3"/>
    <mergeCell ref="D4:E4"/>
    <mergeCell ref="D5:E5"/>
  </mergeCells>
  <printOptions horizontalCentered="1"/>
  <pageMargins left="0.70866141732283472" right="0.70866141732283472" top="0.74803149606299213" bottom="0.74803149606299213" header="0.31496062992125984" footer="0.31496062992125984"/>
  <pageSetup paperSize="9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ه3" filterMode="1"/>
  <dimension ref="A1:O180"/>
  <sheetViews>
    <sheetView rightToLeft="1" zoomScaleNormal="100" workbookViewId="0">
      <selection activeCell="H6" sqref="H6"/>
    </sheetView>
  </sheetViews>
  <sheetFormatPr defaultRowHeight="12.75"/>
  <cols>
    <col min="2" max="2" width="1.42578125" customWidth="1"/>
    <col min="3" max="3" width="41.7109375" style="63" customWidth="1"/>
    <col min="4" max="4" width="6.42578125" style="64" customWidth="1"/>
    <col min="5" max="5" width="7" style="64" customWidth="1"/>
    <col min="6" max="6" width="6.85546875" style="64" customWidth="1"/>
    <col min="7" max="7" width="19.28515625" style="65" customWidth="1"/>
    <col min="8" max="8" width="6" style="66" customWidth="1"/>
    <col min="9" max="9" width="19.28515625" customWidth="1"/>
    <col min="12" max="12" width="15.140625" bestFit="1" customWidth="1"/>
  </cols>
  <sheetData>
    <row r="1" spans="1:15" ht="15">
      <c r="B1" s="326" t="str">
        <f>CONCATENATE("آنالیز و برآورد زمان نفر / ساعت خدمات کارشناسی توسعه و سفارشی سازی ",GanttChart!B8)</f>
        <v>آنالیز و برآورد زمان نفر / ساعت خدمات کارشناسی توسعه و سفارشی سازی طراحی و پیاده سازی پورتال اینترنتی و زیر پورتال های بانک اقتصاد نوین</v>
      </c>
      <c r="C1" s="326"/>
      <c r="D1" s="327"/>
      <c r="E1" s="327"/>
      <c r="F1" s="327"/>
      <c r="G1" s="326"/>
      <c r="H1" s="326"/>
      <c r="I1" s="326"/>
    </row>
    <row r="2" spans="1:15">
      <c r="A2" s="328" t="s">
        <v>0</v>
      </c>
      <c r="B2" s="329"/>
      <c r="C2" s="331" t="s">
        <v>64</v>
      </c>
      <c r="D2" s="333" t="s">
        <v>65</v>
      </c>
      <c r="E2" s="333"/>
      <c r="F2" s="333"/>
      <c r="G2" s="334" t="s">
        <v>66</v>
      </c>
      <c r="H2" s="336" t="s">
        <v>69</v>
      </c>
      <c r="I2" s="338" t="s">
        <v>67</v>
      </c>
      <c r="J2" s="3"/>
      <c r="K2" s="3"/>
      <c r="L2" s="3"/>
      <c r="M2" s="3"/>
      <c r="N2" s="3"/>
      <c r="O2" s="3"/>
    </row>
    <row r="3" spans="1:15" ht="64.5">
      <c r="A3" s="328"/>
      <c r="B3" s="330"/>
      <c r="C3" s="332"/>
      <c r="D3" s="71" t="s">
        <v>7</v>
      </c>
      <c r="E3" s="71" t="s">
        <v>55</v>
      </c>
      <c r="F3" s="71" t="s">
        <v>56</v>
      </c>
      <c r="G3" s="335"/>
      <c r="H3" s="337"/>
      <c r="I3" s="339"/>
      <c r="J3" s="3"/>
      <c r="K3" s="3"/>
      <c r="L3" s="3"/>
      <c r="M3" s="3"/>
      <c r="N3" s="3"/>
      <c r="O3" s="3"/>
    </row>
    <row r="4" spans="1:15" ht="14.25" hidden="1">
      <c r="A4" s="62">
        <v>1</v>
      </c>
      <c r="B4" s="62"/>
      <c r="C4" s="67" t="str">
        <f>IFERROR(VLOOKUP($A4,GanttChart!$A:$JD,2,FALSE),"خطا")</f>
        <v>مدیریت، برنامه ریزی مالی و کنترل پیشرفت پروژه</v>
      </c>
      <c r="D4" s="68">
        <f>IFERROR(VLOOKUP($A4,GanttChart!$A:$JD,261,FALSE),0)</f>
        <v>0</v>
      </c>
      <c r="E4" s="68">
        <f>IFERROR(VLOOKUP($A4,GanttChart!$A:$JD,262,FALSE),0)</f>
        <v>0</v>
      </c>
      <c r="F4" s="68">
        <f>IFERROR(VLOOKUP($A4,GanttChart!$A:$JD,263,FALSE),0)</f>
        <v>0</v>
      </c>
      <c r="G4" s="69">
        <f>IFERROR(VLOOKUP($A4,GanttChart!$A:$JD,264,FALSE),0)</f>
        <v>0</v>
      </c>
      <c r="H4" s="167"/>
      <c r="I4" s="69">
        <f>G4-(H4*G4)</f>
        <v>0</v>
      </c>
      <c r="J4" s="3"/>
      <c r="K4" s="3"/>
      <c r="L4" s="3"/>
      <c r="M4" s="3"/>
      <c r="N4" s="3"/>
      <c r="O4" s="3"/>
    </row>
    <row r="5" spans="1:15" ht="14.25">
      <c r="A5" s="62">
        <v>1.1000000000000001</v>
      </c>
      <c r="B5" s="62"/>
      <c r="C5" s="67" t="str">
        <f>IFERROR(VLOOKUP($A5,GanttChart!$A:$JD,2,FALSE),"خطا")</f>
        <v>تهيه برنامه زمانبندي msp  و گانت چارت اجرايي پروژه</v>
      </c>
      <c r="D5" s="68">
        <f>IFERROR(VLOOKUP($A5,GanttChart!$A:$JD,261,FALSE),0)</f>
        <v>0</v>
      </c>
      <c r="E5" s="68">
        <f>IFERROR(VLOOKUP($A5,GanttChart!$A:$JD,262,FALSE),0)</f>
        <v>0</v>
      </c>
      <c r="F5" s="68">
        <f>IFERROR(VLOOKUP($A5,GanttChart!$A:$JD,263,FALSE),0)</f>
        <v>0</v>
      </c>
      <c r="G5" s="69">
        <f>IFERROR(VLOOKUP($A5,GanttChart!$A:$JD,264,FALSE),0)</f>
        <v>0</v>
      </c>
      <c r="H5" s="167"/>
      <c r="I5" s="69">
        <f t="shared" ref="I5:I160" si="0">G5-(H5*G5)</f>
        <v>0</v>
      </c>
      <c r="J5" s="3"/>
      <c r="K5" s="3"/>
      <c r="L5" s="3"/>
      <c r="M5" s="3"/>
      <c r="N5" s="3"/>
      <c r="O5" s="3"/>
    </row>
    <row r="6" spans="1:15" ht="14.25">
      <c r="A6" s="62">
        <v>1.2</v>
      </c>
      <c r="B6" s="62"/>
      <c r="C6" s="67" t="str">
        <f>IFERROR(VLOOKUP($A6,GanttChart!$A:$JD,2,FALSE),"خطا")</f>
        <v>معرفی مدیر پروژه پیمانکار به کارفرما پس از ابلاغ قرارداد</v>
      </c>
      <c r="D6" s="68">
        <f>IFERROR(VLOOKUP($A6,GanttChart!$A:$JD,261,FALSE),0)</f>
        <v>0</v>
      </c>
      <c r="E6" s="68">
        <f>IFERROR(VLOOKUP($A6,GanttChart!$A:$JD,262,FALSE),0)</f>
        <v>0</v>
      </c>
      <c r="F6" s="68">
        <f>IFERROR(VLOOKUP($A6,GanttChart!$A:$JD,263,FALSE),0)</f>
        <v>0</v>
      </c>
      <c r="G6" s="69">
        <f>IFERROR(VLOOKUP($A6,GanttChart!$A:$JD,264,FALSE),0)</f>
        <v>0</v>
      </c>
      <c r="H6" s="167"/>
      <c r="I6" s="69">
        <f t="shared" si="0"/>
        <v>0</v>
      </c>
      <c r="J6" s="3"/>
      <c r="K6" s="3"/>
      <c r="L6" s="3"/>
      <c r="M6" s="3"/>
      <c r="N6" s="3"/>
      <c r="O6" s="3"/>
    </row>
    <row r="7" spans="1:15" ht="14.25">
      <c r="A7" s="62">
        <v>1.3</v>
      </c>
      <c r="B7" s="62"/>
      <c r="C7" s="67" t="str">
        <f>IFERROR(VLOOKUP($A7,GanttChart!$A:$JD,2,FALSE),"خطا")</f>
        <v>معرفی مدیر پروژه کارفرما به پیمانکار</v>
      </c>
      <c r="D7" s="68">
        <f>IFERROR(VLOOKUP($A7,GanttChart!$A:$JD,261,FALSE),0)</f>
        <v>0</v>
      </c>
      <c r="E7" s="68">
        <f>IFERROR(VLOOKUP($A7,GanttChart!$A:$JD,262,FALSE),0)</f>
        <v>0</v>
      </c>
      <c r="F7" s="68">
        <f>IFERROR(VLOOKUP($A7,GanttChart!$A:$JD,263,FALSE),0)</f>
        <v>0</v>
      </c>
      <c r="G7" s="69">
        <f>IFERROR(VLOOKUP($A7,GanttChart!$A:$JD,264,FALSE),0)</f>
        <v>0</v>
      </c>
      <c r="H7" s="167"/>
      <c r="I7" s="69">
        <f t="shared" si="0"/>
        <v>0</v>
      </c>
      <c r="J7" s="3"/>
      <c r="K7" s="3"/>
      <c r="L7" s="3"/>
      <c r="M7" s="3"/>
      <c r="N7" s="3"/>
      <c r="O7" s="3"/>
    </row>
    <row r="8" spans="1:15" ht="14.25">
      <c r="A8" s="62">
        <v>1.4</v>
      </c>
      <c r="B8" s="62"/>
      <c r="C8" s="67" t="str">
        <f>IFERROR(VLOOKUP($A8,GanttChart!$A:$JD,2,FALSE),"خطا")</f>
        <v>جلسه اول پروژه (معارفه)</v>
      </c>
      <c r="D8" s="68">
        <f>IFERROR(VLOOKUP($A8,GanttChart!$A:$JD,261,FALSE),0)</f>
        <v>0</v>
      </c>
      <c r="E8" s="68">
        <f>IFERROR(VLOOKUP($A8,GanttChart!$A:$JD,262,FALSE),0)</f>
        <v>0</v>
      </c>
      <c r="F8" s="68">
        <f>IFERROR(VLOOKUP($A8,GanttChart!$A:$JD,263,FALSE),0)</f>
        <v>0</v>
      </c>
      <c r="G8" s="69">
        <f>IFERROR(VLOOKUP($A8,GanttChart!$A:$JD,264,FALSE),0)</f>
        <v>0</v>
      </c>
      <c r="H8" s="167"/>
      <c r="I8" s="69">
        <f t="shared" si="0"/>
        <v>0</v>
      </c>
      <c r="J8" s="3"/>
      <c r="K8" s="3"/>
      <c r="L8" s="3"/>
      <c r="M8" s="3"/>
      <c r="N8" s="3"/>
      <c r="O8" s="3"/>
    </row>
    <row r="9" spans="1:15" ht="14.25">
      <c r="A9" s="62">
        <v>1.5</v>
      </c>
      <c r="B9" s="62"/>
      <c r="C9" s="67" t="str">
        <f>IFERROR(VLOOKUP($A9,GanttChart!$A:$JD,2,FALSE),"خطا")</f>
        <v>جلسه دوم پروژه (بررسی نیازمندی های کارفرما و وضع جاری)</v>
      </c>
      <c r="D9" s="68">
        <f>IFERROR(VLOOKUP($A9,GanttChart!$A:$JD,261,FALSE),0)</f>
        <v>0</v>
      </c>
      <c r="E9" s="68">
        <f>IFERROR(VLOOKUP($A9,GanttChart!$A:$JD,262,FALSE),0)</f>
        <v>0</v>
      </c>
      <c r="F9" s="68">
        <f>IFERROR(VLOOKUP($A9,GanttChart!$A:$JD,263,FALSE),0)</f>
        <v>0</v>
      </c>
      <c r="G9" s="69">
        <f>IFERROR(VLOOKUP($A9,GanttChart!$A:$JD,264,FALSE),0)</f>
        <v>0</v>
      </c>
      <c r="H9" s="167"/>
      <c r="I9" s="69">
        <f t="shared" si="0"/>
        <v>0</v>
      </c>
      <c r="J9" s="3"/>
      <c r="K9" s="3"/>
      <c r="L9" s="3"/>
      <c r="M9" s="3"/>
      <c r="N9" s="3"/>
      <c r="O9" s="3"/>
    </row>
    <row r="10" spans="1:15" ht="14.25">
      <c r="A10" s="62">
        <v>1.6</v>
      </c>
      <c r="B10" s="62"/>
      <c r="C10" s="67" t="str">
        <f>IFERROR(VLOOKUP($A10,GanttChart!$A:$JD,2,FALSE),"خطا")</f>
        <v>جلسه سوم (تحویل پروژه)</v>
      </c>
      <c r="D10" s="68">
        <f>IFERROR(VLOOKUP($A10,GanttChart!$A:$JD,261,FALSE),0)</f>
        <v>0</v>
      </c>
      <c r="E10" s="68">
        <f>IFERROR(VLOOKUP($A10,GanttChart!$A:$JD,262,FALSE),0)</f>
        <v>0</v>
      </c>
      <c r="F10" s="68">
        <f>IFERROR(VLOOKUP($A10,GanttChart!$A:$JD,263,FALSE),0)</f>
        <v>0</v>
      </c>
      <c r="G10" s="69">
        <f>IFERROR(VLOOKUP($A10,GanttChart!$A:$JD,264,FALSE),0)</f>
        <v>0</v>
      </c>
      <c r="H10" s="167"/>
      <c r="I10" s="69">
        <f t="shared" si="0"/>
        <v>0</v>
      </c>
      <c r="J10" s="3"/>
      <c r="K10" s="3"/>
      <c r="L10" s="3"/>
      <c r="M10" s="3"/>
      <c r="N10" s="3"/>
      <c r="O10" s="3"/>
    </row>
    <row r="11" spans="1:15" ht="14.25">
      <c r="A11" s="62">
        <v>1.7</v>
      </c>
      <c r="B11" s="62"/>
      <c r="C11" s="67" t="str">
        <f>IFERROR(VLOOKUP($A11,GanttChart!$A:$JD,2,FALSE),"خطا")</f>
        <v>جلسه چهارم (هماهنگی جهت بهره برداری از پروژه)</v>
      </c>
      <c r="D11" s="68">
        <f>IFERROR(VLOOKUP($A11,GanttChart!$A:$JD,261,FALSE),0)</f>
        <v>0</v>
      </c>
      <c r="E11" s="68">
        <f>IFERROR(VLOOKUP($A11,GanttChart!$A:$JD,262,FALSE),0)</f>
        <v>0</v>
      </c>
      <c r="F11" s="68">
        <f>IFERROR(VLOOKUP($A11,GanttChart!$A:$JD,263,FALSE),0)</f>
        <v>0</v>
      </c>
      <c r="G11" s="69">
        <f>IFERROR(VLOOKUP($A11,GanttChart!$A:$JD,264,FALSE),0)</f>
        <v>0</v>
      </c>
      <c r="H11" s="167"/>
      <c r="I11" s="69">
        <f t="shared" si="0"/>
        <v>0</v>
      </c>
      <c r="J11" s="3"/>
      <c r="K11" s="3"/>
      <c r="L11" s="3"/>
      <c r="M11" s="3"/>
      <c r="N11" s="3"/>
      <c r="O11" s="3"/>
    </row>
    <row r="12" spans="1:15" ht="14.25">
      <c r="A12" s="62">
        <v>1.8</v>
      </c>
      <c r="B12" s="62"/>
      <c r="C12" s="67" t="str">
        <f>IFERROR(VLOOKUP($A12,GanttChart!$A:$JD,2,FALSE),"خطا")</f>
        <v>خطا</v>
      </c>
      <c r="D12" s="68">
        <f>IFERROR(VLOOKUP($A12,GanttChart!$A:$JD,261,FALSE),0)</f>
        <v>0</v>
      </c>
      <c r="E12" s="68">
        <f>IFERROR(VLOOKUP($A12,GanttChart!$A:$JD,262,FALSE),0)</f>
        <v>0</v>
      </c>
      <c r="F12" s="68">
        <f>IFERROR(VLOOKUP($A12,GanttChart!$A:$JD,263,FALSE),0)</f>
        <v>0</v>
      </c>
      <c r="G12" s="69">
        <f>IFERROR(VLOOKUP($A12,GanttChart!$A:$JD,264,FALSE),0)</f>
        <v>0</v>
      </c>
      <c r="H12" s="167"/>
      <c r="I12" s="69">
        <f t="shared" si="0"/>
        <v>0</v>
      </c>
      <c r="J12" s="3"/>
      <c r="K12" s="3"/>
      <c r="L12" s="3"/>
      <c r="M12" s="3"/>
      <c r="N12" s="3"/>
      <c r="O12" s="3"/>
    </row>
    <row r="13" spans="1:15" ht="14.25" hidden="1">
      <c r="A13" s="62">
        <v>1.9</v>
      </c>
      <c r="B13" s="62"/>
      <c r="C13" s="67" t="str">
        <f>IFERROR(VLOOKUP($A13,GanttChart!$A:$JD,2,FALSE),"خطا")</f>
        <v>خطا</v>
      </c>
      <c r="D13" s="68">
        <f>IFERROR(VLOOKUP($A13,GanttChart!$A:$JD,261,FALSE),0)</f>
        <v>0</v>
      </c>
      <c r="E13" s="68">
        <f>IFERROR(VLOOKUP($A13,GanttChart!$A:$JD,262,FALSE),0)</f>
        <v>0</v>
      </c>
      <c r="F13" s="68">
        <f>IFERROR(VLOOKUP($A13,GanttChart!$A:$JD,263,FALSE),0)</f>
        <v>0</v>
      </c>
      <c r="G13" s="69">
        <f>IFERROR(VLOOKUP($A13,GanttChart!$A:$JD,264,FALSE),0)</f>
        <v>0</v>
      </c>
      <c r="H13" s="167"/>
      <c r="I13" s="69">
        <f t="shared" si="0"/>
        <v>0</v>
      </c>
      <c r="J13" s="3"/>
      <c r="K13" s="3"/>
      <c r="L13" s="3"/>
      <c r="M13" s="3"/>
      <c r="N13" s="3"/>
      <c r="O13" s="3"/>
    </row>
    <row r="14" spans="1:15" ht="14.25" hidden="1">
      <c r="A14" s="62">
        <v>1.1100000000000001</v>
      </c>
      <c r="B14" s="62"/>
      <c r="C14" s="67" t="str">
        <f>IFERROR(VLOOKUP($A14,GanttChart!$A:$JD,2,FALSE),"خطا")</f>
        <v>خطا</v>
      </c>
      <c r="D14" s="68">
        <f>IFERROR(VLOOKUP($A14,GanttChart!$A:$JD,261,FALSE),0)</f>
        <v>0</v>
      </c>
      <c r="E14" s="68">
        <f>IFERROR(VLOOKUP($A14,GanttChart!$A:$JD,262,FALSE),0)</f>
        <v>0</v>
      </c>
      <c r="F14" s="68">
        <f>IFERROR(VLOOKUP($A14,GanttChart!$A:$JD,263,FALSE),0)</f>
        <v>0</v>
      </c>
      <c r="G14" s="69">
        <f>IFERROR(VLOOKUP($A14,GanttChart!$A:$JD,264,FALSE),0)</f>
        <v>0</v>
      </c>
      <c r="H14" s="167"/>
      <c r="I14" s="69">
        <f t="shared" si="0"/>
        <v>0</v>
      </c>
      <c r="J14" s="3"/>
      <c r="K14" s="3"/>
      <c r="L14" s="3"/>
      <c r="M14" s="3"/>
      <c r="N14" s="3"/>
      <c r="O14" s="3"/>
    </row>
    <row r="15" spans="1:15" ht="14.25" hidden="1">
      <c r="A15" s="62">
        <v>1.1200000000000001</v>
      </c>
      <c r="B15" s="62"/>
      <c r="C15" s="67" t="str">
        <f>IFERROR(VLOOKUP($A15,GanttChart!$A:$JD,2,FALSE),"خطا")</f>
        <v>خطا</v>
      </c>
      <c r="D15" s="68">
        <f>IFERROR(VLOOKUP($A15,GanttChart!$A:$JD,261,FALSE),0)</f>
        <v>0</v>
      </c>
      <c r="E15" s="68">
        <f>IFERROR(VLOOKUP($A15,GanttChart!$A:$JD,262,FALSE),0)</f>
        <v>0</v>
      </c>
      <c r="F15" s="68">
        <f>IFERROR(VLOOKUP($A15,GanttChart!$A:$JD,263,FALSE),0)</f>
        <v>0</v>
      </c>
      <c r="G15" s="69">
        <f>IFERROR(VLOOKUP($A15,GanttChart!$A:$JD,264,FALSE),0)</f>
        <v>0</v>
      </c>
      <c r="H15" s="167"/>
      <c r="I15" s="69">
        <f t="shared" si="0"/>
        <v>0</v>
      </c>
      <c r="J15" s="3"/>
      <c r="K15" s="3"/>
      <c r="L15" s="3"/>
      <c r="M15" s="3"/>
      <c r="N15" s="3"/>
      <c r="O15" s="3"/>
    </row>
    <row r="16" spans="1:15" ht="14.25" hidden="1">
      <c r="A16" s="62">
        <v>1.1299999999999999</v>
      </c>
      <c r="B16" s="62"/>
      <c r="C16" s="67" t="str">
        <f>IFERROR(VLOOKUP($A16,GanttChart!$A:$JD,2,FALSE),"خطا")</f>
        <v>خطا</v>
      </c>
      <c r="D16" s="68">
        <f>IFERROR(VLOOKUP($A16,GanttChart!$A:$JD,261,FALSE),0)</f>
        <v>0</v>
      </c>
      <c r="E16" s="68">
        <f>IFERROR(VLOOKUP($A16,GanttChart!$A:$JD,262,FALSE),0)</f>
        <v>0</v>
      </c>
      <c r="F16" s="68">
        <f>IFERROR(VLOOKUP($A16,GanttChart!$A:$JD,263,FALSE),0)</f>
        <v>0</v>
      </c>
      <c r="G16" s="69">
        <f>IFERROR(VLOOKUP($A16,GanttChart!$A:$JD,264,FALSE),0)</f>
        <v>0</v>
      </c>
      <c r="H16" s="167"/>
      <c r="I16" s="69">
        <f t="shared" si="0"/>
        <v>0</v>
      </c>
      <c r="J16" s="3"/>
      <c r="K16" s="3"/>
      <c r="L16" s="3"/>
      <c r="M16" s="3"/>
      <c r="N16" s="3"/>
      <c r="O16" s="3"/>
    </row>
    <row r="17" spans="1:15" ht="14.25" hidden="1">
      <c r="A17" s="62">
        <v>1.1399999999999999</v>
      </c>
      <c r="B17" s="62"/>
      <c r="C17" s="67" t="str">
        <f>IFERROR(VLOOKUP($A17,GanttChart!$A:$JD,2,FALSE),"خطا")</f>
        <v>خطا</v>
      </c>
      <c r="D17" s="68">
        <f>IFERROR(VLOOKUP($A17,GanttChart!$A:$JD,261,FALSE),0)</f>
        <v>0</v>
      </c>
      <c r="E17" s="68">
        <f>IFERROR(VLOOKUP($A17,GanttChart!$A:$JD,262,FALSE),0)</f>
        <v>0</v>
      </c>
      <c r="F17" s="68">
        <f>IFERROR(VLOOKUP($A17,GanttChart!$A:$JD,263,FALSE),0)</f>
        <v>0</v>
      </c>
      <c r="G17" s="69">
        <f>IFERROR(VLOOKUP($A17,GanttChart!$A:$JD,264,FALSE),0)</f>
        <v>0</v>
      </c>
      <c r="H17" s="167"/>
      <c r="I17" s="69">
        <f t="shared" si="0"/>
        <v>0</v>
      </c>
      <c r="J17" s="3"/>
      <c r="K17" s="3"/>
      <c r="L17" s="3"/>
      <c r="M17" s="3"/>
      <c r="N17" s="3"/>
      <c r="O17" s="3"/>
    </row>
    <row r="18" spans="1:15" ht="14.25" hidden="1">
      <c r="A18" s="62">
        <v>1.1499999999999999</v>
      </c>
      <c r="B18" s="62"/>
      <c r="C18" s="67" t="str">
        <f>IFERROR(VLOOKUP($A18,GanttChart!$A:$JD,2,FALSE),"خطا")</f>
        <v>خطا</v>
      </c>
      <c r="D18" s="68">
        <f>IFERROR(VLOOKUP($A18,GanttChart!$A:$JD,261,FALSE),0)</f>
        <v>0</v>
      </c>
      <c r="E18" s="68">
        <f>IFERROR(VLOOKUP($A18,GanttChart!$A:$JD,262,FALSE),0)</f>
        <v>0</v>
      </c>
      <c r="F18" s="68">
        <f>IFERROR(VLOOKUP($A18,GanttChart!$A:$JD,263,FALSE),0)</f>
        <v>0</v>
      </c>
      <c r="G18" s="69">
        <f>IFERROR(VLOOKUP($A18,GanttChart!$A:$JD,264,FALSE),0)</f>
        <v>0</v>
      </c>
      <c r="H18" s="167"/>
      <c r="I18" s="69">
        <f t="shared" si="0"/>
        <v>0</v>
      </c>
      <c r="J18" s="3"/>
      <c r="K18" s="3"/>
      <c r="L18" s="3"/>
      <c r="M18" s="3"/>
      <c r="N18" s="3"/>
      <c r="O18" s="3"/>
    </row>
    <row r="19" spans="1:15" ht="14.25" hidden="1">
      <c r="A19" s="62">
        <v>1.1599999999999999</v>
      </c>
      <c r="B19" s="62"/>
      <c r="C19" s="67" t="str">
        <f>IFERROR(VLOOKUP($A19,GanttChart!$A:$JD,2,FALSE),"خطا")</f>
        <v>خطا</v>
      </c>
      <c r="D19" s="68">
        <f>IFERROR(VLOOKUP($A19,GanttChart!$A:$JD,261,FALSE),0)</f>
        <v>0</v>
      </c>
      <c r="E19" s="68">
        <f>IFERROR(VLOOKUP($A19,GanttChart!$A:$JD,262,FALSE),0)</f>
        <v>0</v>
      </c>
      <c r="F19" s="68">
        <f>IFERROR(VLOOKUP($A19,GanttChart!$A:$JD,263,FALSE),0)</f>
        <v>0</v>
      </c>
      <c r="G19" s="69">
        <f>IFERROR(VLOOKUP($A19,GanttChart!$A:$JD,264,FALSE),0)</f>
        <v>0</v>
      </c>
      <c r="H19" s="167"/>
      <c r="I19" s="69">
        <f t="shared" si="0"/>
        <v>0</v>
      </c>
      <c r="J19" s="3"/>
      <c r="K19" s="3"/>
      <c r="L19" s="3"/>
      <c r="M19" s="3"/>
      <c r="N19" s="3"/>
      <c r="O19" s="3"/>
    </row>
    <row r="20" spans="1:15" ht="14.25" hidden="1">
      <c r="A20" s="62">
        <v>1.17</v>
      </c>
      <c r="B20" s="62"/>
      <c r="C20" s="67" t="str">
        <f>IFERROR(VLOOKUP($A20,GanttChart!$A:$JD,2,FALSE),"خطا")</f>
        <v>خطا</v>
      </c>
      <c r="D20" s="68">
        <f>IFERROR(VLOOKUP($A20,GanttChart!$A:$JD,261,FALSE),0)</f>
        <v>0</v>
      </c>
      <c r="E20" s="68">
        <f>IFERROR(VLOOKUP($A20,GanttChart!$A:$JD,262,FALSE),0)</f>
        <v>0</v>
      </c>
      <c r="F20" s="68">
        <f>IFERROR(VLOOKUP($A20,GanttChart!$A:$JD,263,FALSE),0)</f>
        <v>0</v>
      </c>
      <c r="G20" s="69">
        <f>IFERROR(VLOOKUP($A20,GanttChart!$A:$JD,264,FALSE),0)</f>
        <v>0</v>
      </c>
      <c r="H20" s="167"/>
      <c r="I20" s="69">
        <f t="shared" si="0"/>
        <v>0</v>
      </c>
      <c r="J20" s="3"/>
      <c r="K20" s="3"/>
      <c r="L20" s="3"/>
      <c r="M20" s="3"/>
      <c r="N20" s="3"/>
      <c r="O20" s="3"/>
    </row>
    <row r="21" spans="1:15" ht="14.25" hidden="1">
      <c r="A21" s="62">
        <v>1.18</v>
      </c>
      <c r="B21" s="62"/>
      <c r="C21" s="67" t="str">
        <f>IFERROR(VLOOKUP($A21,GanttChart!$A:$JD,2,FALSE),"خطا")</f>
        <v>خطا</v>
      </c>
      <c r="D21" s="68">
        <f>IFERROR(VLOOKUP($A21,GanttChart!$A:$JD,261,FALSE),0)</f>
        <v>0</v>
      </c>
      <c r="E21" s="68">
        <f>IFERROR(VLOOKUP($A21,GanttChart!$A:$JD,262,FALSE),0)</f>
        <v>0</v>
      </c>
      <c r="F21" s="68">
        <f>IFERROR(VLOOKUP($A21,GanttChart!$A:$JD,263,FALSE),0)</f>
        <v>0</v>
      </c>
      <c r="G21" s="69">
        <f>IFERROR(VLOOKUP($A21,GanttChart!$A:$JD,264,FALSE),0)</f>
        <v>0</v>
      </c>
      <c r="H21" s="167"/>
      <c r="I21" s="69">
        <f t="shared" si="0"/>
        <v>0</v>
      </c>
      <c r="J21" s="3"/>
      <c r="K21" s="3"/>
      <c r="L21" s="3"/>
      <c r="M21" s="3"/>
      <c r="N21" s="3"/>
      <c r="O21" s="3"/>
    </row>
    <row r="22" spans="1:15" ht="14.25" hidden="1">
      <c r="A22" s="62">
        <v>1.19</v>
      </c>
      <c r="B22" s="62"/>
      <c r="C22" s="67" t="str">
        <f>IFERROR(VLOOKUP($A22,GanttChart!$A:$JD,2,FALSE),"خطا")</f>
        <v>خطا</v>
      </c>
      <c r="D22" s="68">
        <f>IFERROR(VLOOKUP($A22,GanttChart!$A:$JD,261,FALSE),0)</f>
        <v>0</v>
      </c>
      <c r="E22" s="68">
        <f>IFERROR(VLOOKUP($A22,GanttChart!$A:$JD,262,FALSE),0)</f>
        <v>0</v>
      </c>
      <c r="F22" s="68">
        <f>IFERROR(VLOOKUP($A22,GanttChart!$A:$JD,263,FALSE),0)</f>
        <v>0</v>
      </c>
      <c r="G22" s="69">
        <f>IFERROR(VLOOKUP($A22,GanttChart!$A:$JD,264,FALSE),0)</f>
        <v>0</v>
      </c>
      <c r="H22" s="167"/>
      <c r="I22" s="69">
        <f t="shared" si="0"/>
        <v>0</v>
      </c>
      <c r="J22" s="3"/>
      <c r="K22" s="3"/>
      <c r="L22" s="3"/>
      <c r="M22" s="3"/>
      <c r="N22" s="3"/>
      <c r="O22" s="3"/>
    </row>
    <row r="23" spans="1:15" ht="14.25" hidden="1">
      <c r="A23" s="62">
        <v>1.21</v>
      </c>
      <c r="B23" s="62"/>
      <c r="C23" s="67" t="str">
        <f>IFERROR(VLOOKUP($A23,GanttChart!$A:$JD,2,FALSE),"خطا")</f>
        <v>خطا</v>
      </c>
      <c r="D23" s="68">
        <f>IFERROR(VLOOKUP($A23,GanttChart!$A:$JD,261,FALSE),0)</f>
        <v>0</v>
      </c>
      <c r="E23" s="68">
        <f>IFERROR(VLOOKUP($A23,GanttChart!$A:$JD,262,FALSE),0)</f>
        <v>0</v>
      </c>
      <c r="F23" s="68">
        <f>IFERROR(VLOOKUP($A23,GanttChart!$A:$JD,263,FALSE),0)</f>
        <v>0</v>
      </c>
      <c r="G23" s="69">
        <f>IFERROR(VLOOKUP($A23,GanttChart!$A:$JD,264,FALSE),0)</f>
        <v>0</v>
      </c>
      <c r="H23" s="167"/>
      <c r="I23" s="69">
        <f t="shared" si="0"/>
        <v>0</v>
      </c>
      <c r="J23" s="3"/>
      <c r="K23" s="3"/>
      <c r="L23" s="3"/>
      <c r="M23" s="3"/>
      <c r="N23" s="3"/>
      <c r="O23" s="3"/>
    </row>
    <row r="24" spans="1:15" ht="14.25" hidden="1">
      <c r="A24" s="62">
        <v>1.22</v>
      </c>
      <c r="B24" s="62"/>
      <c r="C24" s="67" t="str">
        <f>IFERROR(VLOOKUP($A24,GanttChart!$A:$JD,2,FALSE),"خطا")</f>
        <v>خطا</v>
      </c>
      <c r="D24" s="68">
        <f>IFERROR(VLOOKUP($A24,GanttChart!$A:$JD,261,FALSE),0)</f>
        <v>0</v>
      </c>
      <c r="E24" s="68">
        <f>IFERROR(VLOOKUP($A24,GanttChart!$A:$JD,262,FALSE),0)</f>
        <v>0</v>
      </c>
      <c r="F24" s="68">
        <f>IFERROR(VLOOKUP($A24,GanttChart!$A:$JD,263,FALSE),0)</f>
        <v>0</v>
      </c>
      <c r="G24" s="69">
        <f>IFERROR(VLOOKUP($A24,GanttChart!$A:$JD,264,FALSE),0)</f>
        <v>0</v>
      </c>
      <c r="H24" s="167"/>
      <c r="I24" s="69">
        <f t="shared" si="0"/>
        <v>0</v>
      </c>
      <c r="J24" s="3"/>
      <c r="K24" s="3"/>
      <c r="L24" s="3"/>
      <c r="M24" s="3"/>
      <c r="N24" s="3"/>
      <c r="O24" s="3"/>
    </row>
    <row r="25" spans="1:15" ht="14.25" hidden="1">
      <c r="A25" s="62">
        <v>1.23</v>
      </c>
      <c r="B25" s="62"/>
      <c r="C25" s="67" t="str">
        <f>IFERROR(VLOOKUP($A25,GanttChart!$A:$JD,2,FALSE),"خطا")</f>
        <v>خطا</v>
      </c>
      <c r="D25" s="68">
        <f>IFERROR(VLOOKUP($A25,GanttChart!$A:$JD,261,FALSE),0)</f>
        <v>0</v>
      </c>
      <c r="E25" s="68">
        <f>IFERROR(VLOOKUP($A25,GanttChart!$A:$JD,262,FALSE),0)</f>
        <v>0</v>
      </c>
      <c r="F25" s="68">
        <f>IFERROR(VLOOKUP($A25,GanttChart!$A:$JD,263,FALSE),0)</f>
        <v>0</v>
      </c>
      <c r="G25" s="69">
        <f>IFERROR(VLOOKUP($A25,GanttChart!$A:$JD,264,FALSE),0)</f>
        <v>0</v>
      </c>
      <c r="H25" s="167"/>
      <c r="I25" s="69">
        <f t="shared" si="0"/>
        <v>0</v>
      </c>
      <c r="J25" s="3"/>
      <c r="K25" s="3"/>
      <c r="L25" s="3"/>
      <c r="M25" s="3"/>
      <c r="N25" s="3"/>
      <c r="O25" s="3"/>
    </row>
    <row r="26" spans="1:15" ht="14.25" hidden="1">
      <c r="A26" s="62">
        <v>2</v>
      </c>
      <c r="B26" s="62"/>
      <c r="C26" s="67" t="str">
        <f>IFERROR(VLOOKUP($A26,GanttChart!$A:$JD,2,FALSE),"خطا")</f>
        <v>استقرار زيرساخت  وآماده سازی  زیر ساخت نرم افزاری سامان سوئیت</v>
      </c>
      <c r="D26" s="68">
        <f>IFERROR(VLOOKUP($A26,GanttChart!$A:$JD,261,FALSE),0)</f>
        <v>0</v>
      </c>
      <c r="E26" s="68">
        <f>IFERROR(VLOOKUP($A26,GanttChart!$A:$JD,262,FALSE),0)</f>
        <v>0</v>
      </c>
      <c r="F26" s="68">
        <f>IFERROR(VLOOKUP($A26,GanttChart!$A:$JD,263,FALSE),0)</f>
        <v>0</v>
      </c>
      <c r="G26" s="69">
        <f>IFERROR(VLOOKUP($A26,GanttChart!$A:$JD,264,FALSE),0)</f>
        <v>0</v>
      </c>
      <c r="H26" s="167"/>
      <c r="I26" s="69">
        <f t="shared" si="0"/>
        <v>0</v>
      </c>
      <c r="J26" s="3"/>
      <c r="K26" s="3"/>
      <c r="L26" s="3"/>
      <c r="M26" s="3"/>
      <c r="N26" s="3"/>
      <c r="O26" s="3"/>
    </row>
    <row r="27" spans="1:15" ht="22.5">
      <c r="A27" s="62">
        <v>2.1</v>
      </c>
      <c r="B27" s="62"/>
      <c r="C27" s="67" t="str">
        <f>IFERROR(VLOOKUP($A27,GanttChart!$A:$JD,2,FALSE),"خطا")</f>
        <v xml:space="preserve">ارائه سند نيازمنديهاي شبکه و سخت افزار سرور و نرم افزار های مورد نیاز به کارفرما </v>
      </c>
      <c r="D27" s="68">
        <f>IFERROR(VLOOKUP($A27,GanttChart!$A:$JD,261,FALSE),0)</f>
        <v>0</v>
      </c>
      <c r="E27" s="68">
        <f>IFERROR(VLOOKUP($A27,GanttChart!$A:$JD,262,FALSE),0)</f>
        <v>0</v>
      </c>
      <c r="F27" s="68">
        <f>IFERROR(VLOOKUP($A27,GanttChart!$A:$JD,263,FALSE),0)</f>
        <v>0</v>
      </c>
      <c r="G27" s="69">
        <f>IFERROR(VLOOKUP($A27,GanttChart!$A:$JD,264,FALSE),0)</f>
        <v>0</v>
      </c>
      <c r="H27" s="167"/>
      <c r="I27" s="69">
        <f t="shared" si="0"/>
        <v>0</v>
      </c>
      <c r="J27" s="3"/>
      <c r="K27" s="3"/>
      <c r="L27" s="3"/>
      <c r="M27" s="3"/>
      <c r="N27" s="3"/>
      <c r="O27" s="3"/>
    </row>
    <row r="28" spans="1:15" ht="22.5">
      <c r="A28" s="62">
        <v>2.2000000000000002</v>
      </c>
      <c r="B28" s="62"/>
      <c r="C28" s="67" t="str">
        <f>IFERROR(VLOOKUP($A28,GanttChart!$A:$JD,2,FALSE),"خطا")</f>
        <v xml:space="preserve">تامين و آماده سازي شبکه و زيرساخت سخت افزاری و نرم افزاری مورد نياز (سرور  اصلی) توسط کارفرما </v>
      </c>
      <c r="D28" s="68">
        <f>IFERROR(VLOOKUP($A28,GanttChart!$A:$JD,261,FALSE),0)</f>
        <v>0</v>
      </c>
      <c r="E28" s="68">
        <f>IFERROR(VLOOKUP($A28,GanttChart!$A:$JD,262,FALSE),0)</f>
        <v>0</v>
      </c>
      <c r="F28" s="68">
        <f>IFERROR(VLOOKUP($A28,GanttChart!$A:$JD,263,FALSE),0)</f>
        <v>0</v>
      </c>
      <c r="G28" s="69">
        <f>IFERROR(VLOOKUP($A28,GanttChart!$A:$JD,264,FALSE),0)</f>
        <v>0</v>
      </c>
      <c r="H28" s="167"/>
      <c r="I28" s="69">
        <f t="shared" si="0"/>
        <v>0</v>
      </c>
      <c r="J28" s="3"/>
      <c r="K28" s="3"/>
      <c r="L28" s="3"/>
      <c r="M28" s="3"/>
      <c r="N28" s="3"/>
      <c r="O28" s="3"/>
    </row>
    <row r="29" spans="1:15" ht="14.25">
      <c r="A29" s="62">
        <v>2.2999999999999998</v>
      </c>
      <c r="B29" s="62"/>
      <c r="C29" s="67" t="str">
        <f>IFERROR(VLOOKUP($A29,GanttChart!$A:$JD,2,FALSE),"خطا")</f>
        <v>ارائه دسترسی راه دور به سرور از طریق (ssh) با حق دسترسی مدیریت</v>
      </c>
      <c r="D29" s="68">
        <f>IFERROR(VLOOKUP($A29,GanttChart!$A:$JD,261,FALSE),0)</f>
        <v>0</v>
      </c>
      <c r="E29" s="68">
        <f>IFERROR(VLOOKUP($A29,GanttChart!$A:$JD,262,FALSE),0)</f>
        <v>0</v>
      </c>
      <c r="F29" s="68">
        <f>IFERROR(VLOOKUP($A29,GanttChart!$A:$JD,263,FALSE),0)</f>
        <v>0</v>
      </c>
      <c r="G29" s="69">
        <f>IFERROR(VLOOKUP($A29,GanttChart!$A:$JD,264,FALSE),0)</f>
        <v>0</v>
      </c>
      <c r="H29" s="167"/>
      <c r="I29" s="69">
        <f t="shared" si="0"/>
        <v>0</v>
      </c>
      <c r="J29" s="3"/>
      <c r="K29" s="3"/>
      <c r="L29" s="3"/>
      <c r="M29" s="3"/>
      <c r="N29" s="3"/>
      <c r="O29" s="3"/>
    </row>
    <row r="30" spans="1:15" ht="14.25">
      <c r="A30" s="62">
        <v>2.4</v>
      </c>
      <c r="B30" s="62"/>
      <c r="C30" s="67" t="str">
        <f>IFERROR(VLOOKUP($A30,GanttChart!$A:$JD,2,FALSE),"خطا")</f>
        <v>نصب و پیکربندی سرور پورتال و زیر ساخت نرم افزاری پایه آن</v>
      </c>
      <c r="D30" s="68">
        <f>IFERROR(VLOOKUP($A30,GanttChart!$A:$JD,261,FALSE),0)</f>
        <v>0</v>
      </c>
      <c r="E30" s="68">
        <f>IFERROR(VLOOKUP($A30,GanttChart!$A:$JD,262,FALSE),0)</f>
        <v>0</v>
      </c>
      <c r="F30" s="68">
        <f>IFERROR(VLOOKUP($A30,GanttChart!$A:$JD,263,FALSE),0)</f>
        <v>0</v>
      </c>
      <c r="G30" s="69">
        <f>IFERROR(VLOOKUP($A30,GanttChart!$A:$JD,264,FALSE),0)</f>
        <v>0</v>
      </c>
      <c r="H30" s="167"/>
      <c r="I30" s="69">
        <f t="shared" si="0"/>
        <v>0</v>
      </c>
      <c r="J30" s="3"/>
      <c r="K30" s="3"/>
      <c r="L30" s="3"/>
      <c r="M30" s="3"/>
      <c r="N30" s="3"/>
      <c r="O30" s="3"/>
    </row>
    <row r="31" spans="1:15" ht="22.5" hidden="1">
      <c r="A31" s="62">
        <v>2.5</v>
      </c>
      <c r="B31" s="62"/>
      <c r="C31" s="67" t="str">
        <f>IFERROR(VLOOKUP($A31,GanttChart!$A:$JD,2,FALSE),"خطا")</f>
        <v>نصب و پیکربندی نرم افزار سامان سوئیت و سایر نرم افزاری های موضوع قرارداد بر روی سرور</v>
      </c>
      <c r="D31" s="68">
        <f>IFERROR(VLOOKUP($A31,GanttChart!$A:$JD,261,FALSE),0)</f>
        <v>0</v>
      </c>
      <c r="E31" s="68">
        <f>IFERROR(VLOOKUP($A31,GanttChart!$A:$JD,262,FALSE),0)</f>
        <v>0</v>
      </c>
      <c r="F31" s="68">
        <f>IFERROR(VLOOKUP($A31,GanttChart!$A:$JD,263,FALSE),0)</f>
        <v>0</v>
      </c>
      <c r="G31" s="69">
        <f>IFERROR(VLOOKUP($A31,GanttChart!$A:$JD,264,FALSE),0)</f>
        <v>0</v>
      </c>
      <c r="H31" s="167"/>
      <c r="I31" s="69">
        <f t="shared" si="0"/>
        <v>0</v>
      </c>
      <c r="J31" s="3"/>
      <c r="K31" s="3"/>
      <c r="L31" s="3"/>
      <c r="M31" s="3"/>
      <c r="N31" s="3"/>
      <c r="O31" s="3"/>
    </row>
    <row r="32" spans="1:15" ht="14.25">
      <c r="A32" s="62">
        <v>2.6</v>
      </c>
      <c r="B32" s="62"/>
      <c r="C32" s="67" t="str">
        <f>IFERROR(VLOOKUP($A32,GanttChart!$A:$JD,2,FALSE),"خطا")</f>
        <v>تنظیم روال های تهیه نسخه پشتیبان دوره ای از نرم افزار سامان سوئیت</v>
      </c>
      <c r="D32" s="68">
        <f>IFERROR(VLOOKUP($A32,GanttChart!$A:$JD,261,FALSE),0)</f>
        <v>0</v>
      </c>
      <c r="E32" s="68">
        <f>IFERROR(VLOOKUP($A32,GanttChart!$A:$JD,262,FALSE),0)</f>
        <v>0</v>
      </c>
      <c r="F32" s="68">
        <f>IFERROR(VLOOKUP($A32,GanttChart!$A:$JD,263,FALSE),0)</f>
        <v>0</v>
      </c>
      <c r="G32" s="69">
        <f>IFERROR(VLOOKUP($A32,GanttChart!$A:$JD,264,FALSE),0)</f>
        <v>0</v>
      </c>
      <c r="H32" s="167"/>
      <c r="I32" s="69">
        <f t="shared" si="0"/>
        <v>0</v>
      </c>
      <c r="J32" s="3"/>
      <c r="K32" s="3"/>
      <c r="L32" s="3"/>
      <c r="M32" s="3"/>
      <c r="N32" s="3"/>
      <c r="O32" s="3"/>
    </row>
    <row r="33" spans="1:15" ht="22.5" hidden="1">
      <c r="A33" s="62">
        <v>2.7</v>
      </c>
      <c r="B33" s="62"/>
      <c r="C33" s="67" t="str">
        <f>IFERROR(VLOOKUP($A33,GanttChart!$A:$JD,2,FALSE),"خطا")</f>
        <v>تحویل نرم افزار نصب شده مطابق با مجوزهای جدول الف قرارداد بر روی سرور کارفرما به کارفرما</v>
      </c>
      <c r="D33" s="68">
        <f>IFERROR(VLOOKUP($A33,GanttChart!$A:$JD,261,FALSE),0)</f>
        <v>0</v>
      </c>
      <c r="E33" s="68">
        <f>IFERROR(VLOOKUP($A33,GanttChart!$A:$JD,262,FALSE),0)</f>
        <v>0</v>
      </c>
      <c r="F33" s="68">
        <f>IFERROR(VLOOKUP($A33,GanttChart!$A:$JD,263,FALSE),0)</f>
        <v>0</v>
      </c>
      <c r="G33" s="69">
        <f>IFERROR(VLOOKUP($A33,GanttChart!$A:$JD,264,FALSE),0)</f>
        <v>0</v>
      </c>
      <c r="H33" s="167"/>
      <c r="I33" s="69">
        <f t="shared" si="0"/>
        <v>0</v>
      </c>
      <c r="J33" s="3"/>
      <c r="K33" s="3"/>
      <c r="L33" s="3"/>
      <c r="M33" s="3"/>
      <c r="N33" s="3"/>
      <c r="O33" s="3"/>
    </row>
    <row r="34" spans="1:15" ht="22.5" hidden="1">
      <c r="A34" s="62">
        <v>2.8</v>
      </c>
      <c r="B34" s="62"/>
      <c r="C34" s="67" t="str">
        <f>IFERROR(VLOOKUP($A34,GanttChart!$A:$JD,2,FALSE),"خطا")</f>
        <v>تهیه و نگهداری نسخه های پشتیبان نرم افزار سامان سوئیت (در طول قرارداد)</v>
      </c>
      <c r="D34" s="68">
        <f>IFERROR(VLOOKUP($A34,GanttChart!$A:$JD,261,FALSE),0)</f>
        <v>0</v>
      </c>
      <c r="E34" s="68">
        <f>IFERROR(VLOOKUP($A34,GanttChart!$A:$JD,262,FALSE),0)</f>
        <v>0</v>
      </c>
      <c r="F34" s="68">
        <f>IFERROR(VLOOKUP($A34,GanttChart!$A:$JD,263,FALSE),0)</f>
        <v>0</v>
      </c>
      <c r="G34" s="69">
        <f>IFERROR(VLOOKUP($A34,GanttChart!$A:$JD,264,FALSE),0)</f>
        <v>0</v>
      </c>
      <c r="H34" s="167"/>
      <c r="I34" s="69">
        <f t="shared" si="0"/>
        <v>0</v>
      </c>
      <c r="J34" s="3"/>
      <c r="K34" s="3"/>
      <c r="L34" s="3"/>
      <c r="M34" s="3"/>
      <c r="N34" s="3"/>
      <c r="O34" s="3"/>
    </row>
    <row r="35" spans="1:15" ht="14.25" hidden="1">
      <c r="A35" s="62">
        <v>2.9</v>
      </c>
      <c r="B35" s="62"/>
      <c r="C35" s="67" t="str">
        <f>IFERROR(VLOOKUP($A35,GanttChart!$A:$JD,2,FALSE),"خطا")</f>
        <v>تحویل سرور اصلی به کارفرما</v>
      </c>
      <c r="D35" s="68">
        <f>IFERROR(VLOOKUP($A35,GanttChart!$A:$JD,261,FALSE),0)</f>
        <v>0</v>
      </c>
      <c r="E35" s="68">
        <f>IFERROR(VLOOKUP($A35,GanttChart!$A:$JD,262,FALSE),0)</f>
        <v>0</v>
      </c>
      <c r="F35" s="68">
        <f>IFERROR(VLOOKUP($A35,GanttChart!$A:$JD,263,FALSE),0)</f>
        <v>0</v>
      </c>
      <c r="G35" s="69">
        <f>IFERROR(VLOOKUP($A35,GanttChart!$A:$JD,264,FALSE),0)</f>
        <v>0</v>
      </c>
      <c r="H35" s="167"/>
      <c r="I35" s="69">
        <f t="shared" si="0"/>
        <v>0</v>
      </c>
      <c r="J35" s="3"/>
      <c r="K35" s="3"/>
      <c r="L35" s="3"/>
      <c r="M35" s="3"/>
      <c r="N35" s="3"/>
      <c r="O35" s="3"/>
    </row>
    <row r="36" spans="1:15" ht="33.75" hidden="1">
      <c r="A36" s="62">
        <v>2.11</v>
      </c>
      <c r="B36" s="62"/>
      <c r="C36" s="67" t="str">
        <f>IFERROR(VLOOKUP($A36,GanttChart!$A:$JD,2,FALSE),"خطا")</f>
        <v>تامين و آماده سازي شبکه و زيرساخت سخت افزاری و نرم افزاری مورد نياز (سرور  تست) توسط کارفرما منطبق بر مشخصات سرور اصلی و در بستر همسان</v>
      </c>
      <c r="D36" s="68">
        <f>IFERROR(VLOOKUP($A36,GanttChart!$A:$JD,261,FALSE),0)</f>
        <v>0</v>
      </c>
      <c r="E36" s="68">
        <f>IFERROR(VLOOKUP($A36,GanttChart!$A:$JD,262,FALSE),0)</f>
        <v>0</v>
      </c>
      <c r="F36" s="68">
        <f>IFERROR(VLOOKUP($A36,GanttChart!$A:$JD,263,FALSE),0)</f>
        <v>0</v>
      </c>
      <c r="G36" s="69">
        <f>IFERROR(VLOOKUP($A36,GanttChart!$A:$JD,264,FALSE),0)</f>
        <v>0</v>
      </c>
      <c r="H36" s="167"/>
      <c r="I36" s="69">
        <f t="shared" si="0"/>
        <v>0</v>
      </c>
      <c r="J36" s="3"/>
      <c r="K36" s="3"/>
      <c r="L36" s="3"/>
      <c r="M36" s="3"/>
      <c r="N36" s="3"/>
      <c r="O36" s="3"/>
    </row>
    <row r="37" spans="1:15" ht="14.25" hidden="1">
      <c r="A37" s="62">
        <v>2.12</v>
      </c>
      <c r="B37" s="62"/>
      <c r="C37" s="67" t="str">
        <f>IFERROR(VLOOKUP($A37,GanttChart!$A:$JD,2,FALSE),"خطا")</f>
        <v>آماده سازی محیط تست</v>
      </c>
      <c r="D37" s="68">
        <f>IFERROR(VLOOKUP($A37,GanttChart!$A:$JD,261,FALSE),0)</f>
        <v>0</v>
      </c>
      <c r="E37" s="68">
        <f>IFERROR(VLOOKUP($A37,GanttChart!$A:$JD,262,FALSE),0)</f>
        <v>0</v>
      </c>
      <c r="F37" s="68">
        <f>IFERROR(VLOOKUP($A37,GanttChart!$A:$JD,263,FALSE),0)</f>
        <v>0</v>
      </c>
      <c r="G37" s="69">
        <f>IFERROR(VLOOKUP($A37,GanttChart!$A:$JD,264,FALSE),0)</f>
        <v>0</v>
      </c>
      <c r="H37" s="167"/>
      <c r="I37" s="69">
        <f t="shared" si="0"/>
        <v>0</v>
      </c>
      <c r="J37" s="3"/>
      <c r="K37" s="3"/>
      <c r="L37" s="3"/>
      <c r="M37" s="3"/>
      <c r="N37" s="3"/>
      <c r="O37" s="3"/>
    </row>
    <row r="38" spans="1:15" ht="14.25" hidden="1">
      <c r="A38" s="62">
        <v>2.13</v>
      </c>
      <c r="B38" s="62"/>
      <c r="C38" s="67" t="str">
        <f>IFERROR(VLOOKUP($A38,GanttChart!$A:$JD,2,FALSE),"خطا")</f>
        <v>تحویل سرور تست  به کارفرما</v>
      </c>
      <c r="D38" s="68">
        <f>IFERROR(VLOOKUP($A38,GanttChart!$A:$JD,261,FALSE),0)</f>
        <v>0</v>
      </c>
      <c r="E38" s="68">
        <f>IFERROR(VLOOKUP($A38,GanttChart!$A:$JD,262,FALSE),0)</f>
        <v>0</v>
      </c>
      <c r="F38" s="68">
        <f>IFERROR(VLOOKUP($A38,GanttChart!$A:$JD,263,FALSE),0)</f>
        <v>0</v>
      </c>
      <c r="G38" s="69">
        <f>IFERROR(VLOOKUP($A38,GanttChart!$A:$JD,264,FALSE),0)</f>
        <v>0</v>
      </c>
      <c r="H38" s="167"/>
      <c r="I38" s="69">
        <f t="shared" si="0"/>
        <v>0</v>
      </c>
      <c r="J38" s="3"/>
      <c r="K38" s="3"/>
      <c r="L38" s="3"/>
      <c r="M38" s="3"/>
      <c r="N38" s="3"/>
      <c r="O38" s="3"/>
    </row>
    <row r="39" spans="1:15" ht="14.25" hidden="1">
      <c r="A39" s="62">
        <v>2.14</v>
      </c>
      <c r="B39" s="62"/>
      <c r="C39" s="67" t="str">
        <f>IFERROR(VLOOKUP($A39,GanttChart!$A:$JD,2,FALSE),"خطا")</f>
        <v>خطا</v>
      </c>
      <c r="D39" s="68">
        <f>IFERROR(VLOOKUP($A39,GanttChart!$A:$JD,261,FALSE),0)</f>
        <v>0</v>
      </c>
      <c r="E39" s="68">
        <f>IFERROR(VLOOKUP($A39,GanttChart!$A:$JD,262,FALSE),0)</f>
        <v>0</v>
      </c>
      <c r="F39" s="68">
        <f>IFERROR(VLOOKUP($A39,GanttChart!$A:$JD,263,FALSE),0)</f>
        <v>0</v>
      </c>
      <c r="G39" s="69">
        <f>IFERROR(VLOOKUP($A39,GanttChart!$A:$JD,264,FALSE),0)</f>
        <v>0</v>
      </c>
      <c r="H39" s="167"/>
      <c r="I39" s="69">
        <f t="shared" si="0"/>
        <v>0</v>
      </c>
      <c r="J39" s="3"/>
      <c r="K39" s="3"/>
      <c r="L39" s="3"/>
      <c r="M39" s="3"/>
      <c r="N39" s="3"/>
      <c r="O39" s="3"/>
    </row>
    <row r="40" spans="1:15" ht="14.25" hidden="1">
      <c r="A40" s="62">
        <v>2.15</v>
      </c>
      <c r="B40" s="62"/>
      <c r="C40" s="67" t="str">
        <f>IFERROR(VLOOKUP($A40,GanttChart!$A:$JD,2,FALSE),"خطا")</f>
        <v>خطا</v>
      </c>
      <c r="D40" s="68">
        <f>IFERROR(VLOOKUP($A40,GanttChart!$A:$JD,261,FALSE),0)</f>
        <v>0</v>
      </c>
      <c r="E40" s="68">
        <f>IFERROR(VLOOKUP($A40,GanttChart!$A:$JD,262,FALSE),0)</f>
        <v>0</v>
      </c>
      <c r="F40" s="68">
        <f>IFERROR(VLOOKUP($A40,GanttChart!$A:$JD,263,FALSE),0)</f>
        <v>0</v>
      </c>
      <c r="G40" s="69">
        <f>IFERROR(VLOOKUP($A40,GanttChart!$A:$JD,264,FALSE),0)</f>
        <v>0</v>
      </c>
      <c r="H40" s="167"/>
      <c r="I40" s="69">
        <f t="shared" si="0"/>
        <v>0</v>
      </c>
      <c r="J40" s="3"/>
      <c r="K40" s="3"/>
      <c r="L40" s="3"/>
      <c r="M40" s="3"/>
      <c r="N40" s="3"/>
      <c r="O40" s="3"/>
    </row>
    <row r="41" spans="1:15" ht="14.25" hidden="1">
      <c r="A41" s="62">
        <v>2.16</v>
      </c>
      <c r="B41" s="62"/>
      <c r="C41" s="67" t="str">
        <f>IFERROR(VLOOKUP($A41,GanttChart!$A:$JD,2,FALSE),"خطا")</f>
        <v>خطا</v>
      </c>
      <c r="D41" s="68">
        <f>IFERROR(VLOOKUP($A41,GanttChart!$A:$JD,261,FALSE),0)</f>
        <v>0</v>
      </c>
      <c r="E41" s="68">
        <f>IFERROR(VLOOKUP($A41,GanttChart!$A:$JD,262,FALSE),0)</f>
        <v>0</v>
      </c>
      <c r="F41" s="68">
        <f>IFERROR(VLOOKUP($A41,GanttChart!$A:$JD,263,FALSE),0)</f>
        <v>0</v>
      </c>
      <c r="G41" s="69">
        <f>IFERROR(VLOOKUP($A41,GanttChart!$A:$JD,264,FALSE),0)</f>
        <v>0</v>
      </c>
      <c r="H41" s="167"/>
      <c r="I41" s="69">
        <f t="shared" si="0"/>
        <v>0</v>
      </c>
      <c r="J41" s="3"/>
      <c r="K41" s="3"/>
      <c r="L41" s="3"/>
      <c r="M41" s="3"/>
      <c r="N41" s="3"/>
      <c r="O41" s="3"/>
    </row>
    <row r="42" spans="1:15" ht="14.25" hidden="1">
      <c r="A42" s="62">
        <v>2.17</v>
      </c>
      <c r="B42" s="62"/>
      <c r="C42" s="67" t="str">
        <f>IFERROR(VLOOKUP($A42,GanttChart!$A:$JD,2,FALSE),"خطا")</f>
        <v>خطا</v>
      </c>
      <c r="D42" s="68">
        <f>IFERROR(VLOOKUP($A42,GanttChart!$A:$JD,261,FALSE),0)</f>
        <v>0</v>
      </c>
      <c r="E42" s="68">
        <f>IFERROR(VLOOKUP($A42,GanttChart!$A:$JD,262,FALSE),0)</f>
        <v>0</v>
      </c>
      <c r="F42" s="68">
        <f>IFERROR(VLOOKUP($A42,GanttChart!$A:$JD,263,FALSE),0)</f>
        <v>0</v>
      </c>
      <c r="G42" s="69">
        <f>IFERROR(VLOOKUP($A42,GanttChart!$A:$JD,264,FALSE),0)</f>
        <v>0</v>
      </c>
      <c r="H42" s="167"/>
      <c r="I42" s="69">
        <f t="shared" si="0"/>
        <v>0</v>
      </c>
      <c r="J42" s="3"/>
      <c r="K42" s="3"/>
      <c r="L42" s="3"/>
      <c r="M42" s="3"/>
      <c r="N42" s="3"/>
      <c r="O42" s="3"/>
    </row>
    <row r="43" spans="1:15" ht="14.25" hidden="1">
      <c r="A43" s="62">
        <v>2.1800000000000002</v>
      </c>
      <c r="B43" s="62"/>
      <c r="C43" s="67" t="str">
        <f>IFERROR(VLOOKUP($A43,GanttChart!$A:$JD,2,FALSE),"خطا")</f>
        <v>خطا</v>
      </c>
      <c r="D43" s="68">
        <f>IFERROR(VLOOKUP($A43,GanttChart!$A:$JD,261,FALSE),0)</f>
        <v>0</v>
      </c>
      <c r="E43" s="68">
        <f>IFERROR(VLOOKUP($A43,GanttChart!$A:$JD,262,FALSE),0)</f>
        <v>0</v>
      </c>
      <c r="F43" s="68">
        <f>IFERROR(VLOOKUP($A43,GanttChart!$A:$JD,263,FALSE),0)</f>
        <v>0</v>
      </c>
      <c r="G43" s="69">
        <f>IFERROR(VLOOKUP($A43,GanttChart!$A:$JD,264,FALSE),0)</f>
        <v>0</v>
      </c>
      <c r="H43" s="167"/>
      <c r="I43" s="69">
        <f t="shared" si="0"/>
        <v>0</v>
      </c>
      <c r="J43" s="3"/>
      <c r="K43" s="3"/>
      <c r="L43" s="3"/>
      <c r="M43" s="3"/>
      <c r="N43" s="3"/>
      <c r="O43" s="3"/>
    </row>
    <row r="44" spans="1:15" ht="14.25" hidden="1">
      <c r="A44" s="62">
        <v>2.19</v>
      </c>
      <c r="B44" s="62"/>
      <c r="C44" s="67" t="str">
        <f>IFERROR(VLOOKUP($A44,GanttChart!$A:$JD,2,FALSE),"خطا")</f>
        <v>خطا</v>
      </c>
      <c r="D44" s="68">
        <f>IFERROR(VLOOKUP($A44,GanttChart!$A:$JD,261,FALSE),0)</f>
        <v>0</v>
      </c>
      <c r="E44" s="68">
        <f>IFERROR(VLOOKUP($A44,GanttChart!$A:$JD,262,FALSE),0)</f>
        <v>0</v>
      </c>
      <c r="F44" s="68">
        <f>IFERROR(VLOOKUP($A44,GanttChart!$A:$JD,263,FALSE),0)</f>
        <v>0</v>
      </c>
      <c r="G44" s="69">
        <f>IFERROR(VLOOKUP($A44,GanttChart!$A:$JD,264,FALSE),0)</f>
        <v>0</v>
      </c>
      <c r="H44" s="167"/>
      <c r="I44" s="69">
        <f t="shared" si="0"/>
        <v>0</v>
      </c>
      <c r="J44" s="3"/>
      <c r="K44" s="3"/>
      <c r="L44" s="3"/>
      <c r="M44" s="3"/>
      <c r="N44" s="3"/>
      <c r="O44" s="3"/>
    </row>
    <row r="45" spans="1:15" ht="14.25" hidden="1">
      <c r="A45" s="62">
        <v>2.21</v>
      </c>
      <c r="B45" s="62"/>
      <c r="C45" s="67" t="str">
        <f>IFERROR(VLOOKUP($A45,GanttChart!$A:$JD,2,FALSE),"خطا")</f>
        <v>خطا</v>
      </c>
      <c r="D45" s="68">
        <f>IFERROR(VLOOKUP($A45,GanttChart!$A:$JD,261,FALSE),0)</f>
        <v>0</v>
      </c>
      <c r="E45" s="68">
        <f>IFERROR(VLOOKUP($A45,GanttChart!$A:$JD,262,FALSE),0)</f>
        <v>0</v>
      </c>
      <c r="F45" s="68">
        <f>IFERROR(VLOOKUP($A45,GanttChart!$A:$JD,263,FALSE),0)</f>
        <v>0</v>
      </c>
      <c r="G45" s="69">
        <f>IFERROR(VLOOKUP($A45,GanttChart!$A:$JD,264,FALSE),0)</f>
        <v>0</v>
      </c>
      <c r="H45" s="167"/>
      <c r="I45" s="69">
        <f t="shared" si="0"/>
        <v>0</v>
      </c>
      <c r="J45" s="3"/>
      <c r="K45" s="3"/>
      <c r="L45" s="3"/>
      <c r="M45" s="3"/>
      <c r="N45" s="3"/>
      <c r="O45" s="3"/>
    </row>
    <row r="46" spans="1:15" ht="14.25" hidden="1">
      <c r="A46" s="62">
        <v>2.2200000000000002</v>
      </c>
      <c r="B46" s="62"/>
      <c r="C46" s="67" t="str">
        <f>IFERROR(VLOOKUP($A46,GanttChart!$A:$JD,2,FALSE),"خطا")</f>
        <v>خطا</v>
      </c>
      <c r="D46" s="68">
        <f>IFERROR(VLOOKUP($A46,GanttChart!$A:$JD,261,FALSE),0)</f>
        <v>0</v>
      </c>
      <c r="E46" s="68">
        <f>IFERROR(VLOOKUP($A46,GanttChart!$A:$JD,262,FALSE),0)</f>
        <v>0</v>
      </c>
      <c r="F46" s="68">
        <f>IFERROR(VLOOKUP($A46,GanttChart!$A:$JD,263,FALSE),0)</f>
        <v>0</v>
      </c>
      <c r="G46" s="69">
        <f>IFERROR(VLOOKUP($A46,GanttChart!$A:$JD,264,FALSE),0)</f>
        <v>0</v>
      </c>
      <c r="H46" s="167"/>
      <c r="I46" s="69">
        <f t="shared" si="0"/>
        <v>0</v>
      </c>
      <c r="J46" s="3"/>
      <c r="K46" s="3"/>
      <c r="L46" s="3"/>
      <c r="M46" s="3"/>
      <c r="N46" s="3"/>
      <c r="O46" s="3"/>
    </row>
    <row r="47" spans="1:15" ht="14.25" hidden="1">
      <c r="A47" s="62">
        <v>2.23</v>
      </c>
      <c r="B47" s="62"/>
      <c r="C47" s="67" t="str">
        <f>IFERROR(VLOOKUP($A47,GanttChart!$A:$JD,2,FALSE),"خطا")</f>
        <v>خطا</v>
      </c>
      <c r="D47" s="68">
        <f>IFERROR(VLOOKUP($A47,GanttChart!$A:$JD,261,FALSE),0)</f>
        <v>0</v>
      </c>
      <c r="E47" s="68">
        <f>IFERROR(VLOOKUP($A47,GanttChart!$A:$JD,262,FALSE),0)</f>
        <v>0</v>
      </c>
      <c r="F47" s="68">
        <f>IFERROR(VLOOKUP($A47,GanttChart!$A:$JD,263,FALSE),0)</f>
        <v>0</v>
      </c>
      <c r="G47" s="69">
        <f>IFERROR(VLOOKUP($A47,GanttChart!$A:$JD,264,FALSE),0)</f>
        <v>0</v>
      </c>
      <c r="H47" s="167"/>
      <c r="I47" s="69">
        <f t="shared" si="0"/>
        <v>0</v>
      </c>
      <c r="J47" s="3"/>
      <c r="K47" s="3"/>
      <c r="L47" s="3"/>
      <c r="M47" s="3"/>
      <c r="N47" s="3"/>
      <c r="O47" s="3"/>
    </row>
    <row r="48" spans="1:15" ht="14.25" hidden="1">
      <c r="A48" s="62">
        <v>3</v>
      </c>
      <c r="B48" s="62"/>
      <c r="C48" s="67" t="str">
        <f>IFERROR(VLOOKUP($A48,GanttChart!$A:$JD,2,FALSE),"خطا")</f>
        <v>ارائه خدمات اجرایی موضوع قرارداد</v>
      </c>
      <c r="D48" s="68">
        <f>IFERROR(VLOOKUP($A48,GanttChart!$A:$JD,261,FALSE),0)</f>
        <v>0</v>
      </c>
      <c r="E48" s="68">
        <f>IFERROR(VLOOKUP($A48,GanttChart!$A:$JD,262,FALSE),0)</f>
        <v>0</v>
      </c>
      <c r="F48" s="68">
        <f>IFERROR(VLOOKUP($A48,GanttChart!$A:$JD,263,FALSE),0)</f>
        <v>0</v>
      </c>
      <c r="G48" s="69">
        <f>IFERROR(VLOOKUP($A48,GanttChart!$A:$JD,264,FALSE),0)</f>
        <v>0</v>
      </c>
      <c r="H48" s="167"/>
      <c r="I48" s="69">
        <f t="shared" si="0"/>
        <v>0</v>
      </c>
      <c r="J48" s="3"/>
      <c r="K48" s="3"/>
      <c r="L48" s="3"/>
      <c r="M48" s="3"/>
      <c r="N48" s="3"/>
      <c r="O48" s="3"/>
    </row>
    <row r="49" spans="1:15" ht="14.25">
      <c r="A49" s="62">
        <v>3.1</v>
      </c>
      <c r="B49" s="62"/>
      <c r="C49" s="67" t="str">
        <f>IFERROR(VLOOKUP($A49,GanttChart!$A:$JD,2,FALSE),"خطا")</f>
        <v>ارائه ساختار محتوا و طرح های گرافیکی نسخه فارسی</v>
      </c>
      <c r="D49" s="68">
        <f>IFERROR(VLOOKUP($A49,GanttChart!$A:$JD,261,FALSE),0)</f>
        <v>0</v>
      </c>
      <c r="E49" s="68">
        <f>IFERROR(VLOOKUP($A49,GanttChart!$A:$JD,262,FALSE),0)</f>
        <v>0</v>
      </c>
      <c r="F49" s="68">
        <f>IFERROR(VLOOKUP($A49,GanttChart!$A:$JD,263,FALSE),0)</f>
        <v>0</v>
      </c>
      <c r="G49" s="69">
        <f>IFERROR(VLOOKUP($A49,GanttChart!$A:$JD,264,FALSE),0)</f>
        <v>0</v>
      </c>
      <c r="H49" s="167"/>
      <c r="I49" s="69">
        <f t="shared" si="0"/>
        <v>0</v>
      </c>
      <c r="J49" s="3"/>
      <c r="K49" s="3"/>
      <c r="L49" s="3"/>
      <c r="M49" s="3"/>
      <c r="N49" s="3"/>
      <c r="O49" s="3"/>
    </row>
    <row r="50" spans="1:15" ht="22.5" hidden="1">
      <c r="A50" s="62">
        <v>3.2</v>
      </c>
      <c r="B50" s="62"/>
      <c r="C50" s="67" t="str">
        <f>IFERROR(VLOOKUP($A50,GanttChart!$A:$JD,2,FALSE),"خطا")</f>
        <v>مطالعه اسناد ارائه ساختار محتوا و بررسی طرح های گرافیکی  ارسالی از سوی کارفرما</v>
      </c>
      <c r="D50" s="68">
        <f>IFERROR(VLOOKUP($A50,GanttChart!$A:$JD,261,FALSE),0)</f>
        <v>0</v>
      </c>
      <c r="E50" s="68">
        <f>IFERROR(VLOOKUP($A50,GanttChart!$A:$JD,262,FALSE),0)</f>
        <v>0</v>
      </c>
      <c r="F50" s="68">
        <f>IFERROR(VLOOKUP($A50,GanttChart!$A:$JD,263,FALSE),0)</f>
        <v>0</v>
      </c>
      <c r="G50" s="69">
        <f>IFERROR(VLOOKUP($A50,GanttChart!$A:$JD,264,FALSE),0)</f>
        <v>0</v>
      </c>
      <c r="H50" s="167"/>
      <c r="I50" s="69">
        <f t="shared" si="0"/>
        <v>0</v>
      </c>
    </row>
    <row r="51" spans="1:15" ht="22.5">
      <c r="A51" s="62">
        <v>3.3</v>
      </c>
      <c r="B51" s="62"/>
      <c r="C51" s="67" t="str">
        <f>IFERROR(VLOOKUP($A51,GanttChart!$A:$JD,2,FALSE),"خطا")</f>
        <v>تدوین سند شناخت وضع جاری (وب سایت اینترنتی فارسی و انگلیسی و زیر پورتال ویژه همکاران)</v>
      </c>
      <c r="D51" s="68">
        <f>IFERROR(VLOOKUP($A51,GanttChart!$A:$JD,261,FALSE),0)</f>
        <v>0</v>
      </c>
      <c r="E51" s="68">
        <f>IFERROR(VLOOKUP($A51,GanttChart!$A:$JD,262,FALSE),0)</f>
        <v>0</v>
      </c>
      <c r="F51" s="68">
        <f>IFERROR(VLOOKUP($A51,GanttChart!$A:$JD,263,FALSE),0)</f>
        <v>0</v>
      </c>
      <c r="G51" s="69">
        <f>IFERROR(VLOOKUP($A51,GanttChart!$A:$JD,264,FALSE),0)</f>
        <v>0</v>
      </c>
      <c r="H51" s="167"/>
      <c r="I51" s="69">
        <f t="shared" si="0"/>
        <v>0</v>
      </c>
    </row>
    <row r="52" spans="1:15" ht="14.25" hidden="1">
      <c r="A52" s="62">
        <v>3.4</v>
      </c>
      <c r="B52" s="62"/>
      <c r="C52" s="67" t="str">
        <f>IFERROR(VLOOKUP($A52,GanttChart!$A:$JD,2,FALSE),"خطا")</f>
        <v>ارائه ساختار محتوا و طرح های گرافیکی نسخه انگلیسی</v>
      </c>
      <c r="D52" s="68">
        <f>IFERROR(VLOOKUP($A52,GanttChart!$A:$JD,261,FALSE),0)</f>
        <v>0</v>
      </c>
      <c r="E52" s="68">
        <f>IFERROR(VLOOKUP($A52,GanttChart!$A:$JD,262,FALSE),0)</f>
        <v>0</v>
      </c>
      <c r="F52" s="68">
        <f>IFERROR(VLOOKUP($A52,GanttChart!$A:$JD,263,FALSE),0)</f>
        <v>0</v>
      </c>
      <c r="G52" s="69">
        <f>IFERROR(VLOOKUP($A52,GanttChart!$A:$JD,264,FALSE),0)</f>
        <v>0</v>
      </c>
      <c r="H52" s="167"/>
      <c r="I52" s="69">
        <f t="shared" si="0"/>
        <v>0</v>
      </c>
    </row>
    <row r="53" spans="1:15" ht="14.25">
      <c r="A53" s="62">
        <v>3.5</v>
      </c>
      <c r="B53" s="62"/>
      <c r="C53" s="67" t="str">
        <f>IFERROR(VLOOKUP($A53,GanttChart!$A:$JD,2,FALSE),"خطا")</f>
        <v>جمع بندی نيازمنديهای فرايند شناخت و تدوین سند معماری محتوا (تدریجی)</v>
      </c>
      <c r="D53" s="68">
        <f>IFERROR(VLOOKUP($A53,GanttChart!$A:$JD,261,FALSE),0)</f>
        <v>0</v>
      </c>
      <c r="E53" s="68">
        <f>IFERROR(VLOOKUP($A53,GanttChart!$A:$JD,262,FALSE),0)</f>
        <v>0</v>
      </c>
      <c r="F53" s="68">
        <f>IFERROR(VLOOKUP($A53,GanttChart!$A:$JD,263,FALSE),0)</f>
        <v>0</v>
      </c>
      <c r="G53" s="69">
        <f>IFERROR(VLOOKUP($A53,GanttChart!$A:$JD,264,FALSE),0)</f>
        <v>0</v>
      </c>
      <c r="H53" s="167"/>
      <c r="I53" s="69">
        <f t="shared" si="0"/>
        <v>0</v>
      </c>
    </row>
    <row r="54" spans="1:15" ht="14.25">
      <c r="A54" s="62">
        <v>3.6</v>
      </c>
      <c r="B54" s="62"/>
      <c r="C54" s="67" t="str">
        <f>IFERROR(VLOOKUP($A54,GanttChart!$A:$JD,2,FALSE),"خطا")</f>
        <v xml:space="preserve"> بررسی و تایید مستند معماری محتوا توسط کارفرما (تدریجی)</v>
      </c>
      <c r="D54" s="68">
        <f>IFERROR(VLOOKUP($A54,GanttChart!$A:$JD,261,FALSE),0)</f>
        <v>0</v>
      </c>
      <c r="E54" s="68">
        <f>IFERROR(VLOOKUP($A54,GanttChart!$A:$JD,262,FALSE),0)</f>
        <v>0</v>
      </c>
      <c r="F54" s="68">
        <f>IFERROR(VLOOKUP($A54,GanttChart!$A:$JD,263,FALSE),0)</f>
        <v>0</v>
      </c>
      <c r="G54" s="69">
        <f>IFERROR(VLOOKUP($A54,GanttChart!$A:$JD,264,FALSE),0)</f>
        <v>0</v>
      </c>
      <c r="H54" s="167"/>
      <c r="I54" s="69">
        <f t="shared" si="0"/>
        <v>0</v>
      </c>
    </row>
    <row r="55" spans="1:15" ht="14.25" hidden="1">
      <c r="A55" s="62">
        <v>3.7</v>
      </c>
      <c r="B55" s="62"/>
      <c r="C55" s="67" t="str">
        <f>IFERROR(VLOOKUP($A55,GanttChart!$A:$JD,2,FALSE),"خطا")</f>
        <v>پیاده سازی نمای گرافیکی نسخه فارسی بانک</v>
      </c>
      <c r="D55" s="68">
        <f>IFERROR(VLOOKUP($A55,GanttChart!$A:$JD,261,FALSE),0)</f>
        <v>0</v>
      </c>
      <c r="E55" s="68">
        <f>IFERROR(VLOOKUP($A55,GanttChart!$A:$JD,262,FALSE),0)</f>
        <v>0</v>
      </c>
      <c r="F55" s="68">
        <f>IFERROR(VLOOKUP($A55,GanttChart!$A:$JD,263,FALSE),0)</f>
        <v>0</v>
      </c>
      <c r="G55" s="69">
        <f>IFERROR(VLOOKUP($A55,GanttChart!$A:$JD,264,FALSE),0)</f>
        <v>0</v>
      </c>
      <c r="H55" s="167"/>
      <c r="I55" s="69">
        <f t="shared" si="0"/>
        <v>0</v>
      </c>
    </row>
    <row r="56" spans="1:15" ht="14.25" hidden="1">
      <c r="A56" s="62">
        <v>3.8</v>
      </c>
      <c r="B56" s="62"/>
      <c r="C56" s="67" t="str">
        <f>IFERROR(VLOOKUP($A56,GanttChart!$A:$JD,2,FALSE),"خطا")</f>
        <v>پیاده سازی صفحه ایستا معرفی بانک</v>
      </c>
      <c r="D56" s="68">
        <f>IFERROR(VLOOKUP($A56,GanttChart!$A:$JD,261,FALSE),0)</f>
        <v>0</v>
      </c>
      <c r="E56" s="68">
        <f>IFERROR(VLOOKUP($A56,GanttChart!$A:$JD,262,FALSE),0)</f>
        <v>0</v>
      </c>
      <c r="F56" s="68">
        <f>IFERROR(VLOOKUP($A56,GanttChart!$A:$JD,263,FALSE),0)</f>
        <v>0</v>
      </c>
      <c r="G56" s="69">
        <f>IFERROR(VLOOKUP($A56,GanttChart!$A:$JD,264,FALSE),0)</f>
        <v>0</v>
      </c>
      <c r="H56" s="167"/>
      <c r="I56" s="69">
        <f t="shared" si="0"/>
        <v>0</v>
      </c>
    </row>
    <row r="57" spans="1:15" ht="14.25" hidden="1">
      <c r="A57" s="62">
        <v>3.9</v>
      </c>
      <c r="B57" s="62"/>
      <c r="C57" s="67" t="str">
        <f>IFERROR(VLOOKUP($A57,GanttChart!$A:$JD,2,FALSE),"خطا")</f>
        <v>پیاده سازی صفحه ایستا دعوت به همکاری</v>
      </c>
      <c r="D57" s="68">
        <f>IFERROR(VLOOKUP($A57,GanttChart!$A:$JD,261,FALSE),0)</f>
        <v>0</v>
      </c>
      <c r="E57" s="68">
        <f>IFERROR(VLOOKUP($A57,GanttChart!$A:$JD,262,FALSE),0)</f>
        <v>0</v>
      </c>
      <c r="F57" s="68">
        <f>IFERROR(VLOOKUP($A57,GanttChart!$A:$JD,263,FALSE),0)</f>
        <v>0</v>
      </c>
      <c r="G57" s="69">
        <f>IFERROR(VLOOKUP($A57,GanttChart!$A:$JD,264,FALSE),0)</f>
        <v>0</v>
      </c>
      <c r="H57" s="167"/>
      <c r="I57" s="69">
        <f t="shared" si="0"/>
        <v>0</v>
      </c>
    </row>
    <row r="58" spans="1:15" ht="14.25" hidden="1">
      <c r="A58" s="62">
        <v>3.11</v>
      </c>
      <c r="B58" s="62"/>
      <c r="C58" s="67" t="str">
        <f>IFERROR(VLOOKUP($A58,GanttChart!$A:$JD,2,FALSE),"خطا")</f>
        <v>پیاده سازی صفحه ایستا مدارس بانک اقتصاد نوین</v>
      </c>
      <c r="D58" s="68">
        <f>IFERROR(VLOOKUP($A58,GanttChart!$A:$JD,261,FALSE),0)</f>
        <v>0</v>
      </c>
      <c r="E58" s="68">
        <f>IFERROR(VLOOKUP($A58,GanttChart!$A:$JD,262,FALSE),0)</f>
        <v>0</v>
      </c>
      <c r="F58" s="68">
        <f>IFERROR(VLOOKUP($A58,GanttChart!$A:$JD,263,FALSE),0)</f>
        <v>0</v>
      </c>
      <c r="G58" s="69">
        <f>IFERROR(VLOOKUP($A58,GanttChart!$A:$JD,264,FALSE),0)</f>
        <v>0</v>
      </c>
      <c r="H58" s="167"/>
      <c r="I58" s="69">
        <f t="shared" si="0"/>
        <v>0</v>
      </c>
    </row>
    <row r="59" spans="1:15" ht="14.25" hidden="1">
      <c r="A59" s="62">
        <v>3.12</v>
      </c>
      <c r="B59" s="62"/>
      <c r="C59" s="67" t="str">
        <f>IFERROR(VLOOKUP($A59,GanttChart!$A:$JD,2,FALSE),"خطا")</f>
        <v>پیاده سازی صفحه ایستا اعتبارات اسنادی</v>
      </c>
      <c r="D59" s="68">
        <f>IFERROR(VLOOKUP($A59,GanttChart!$A:$JD,261,FALSE),0)</f>
        <v>0</v>
      </c>
      <c r="E59" s="68">
        <f>IFERROR(VLOOKUP($A59,GanttChart!$A:$JD,262,FALSE),0)</f>
        <v>0</v>
      </c>
      <c r="F59" s="68">
        <f>IFERROR(VLOOKUP($A59,GanttChart!$A:$JD,263,FALSE),0)</f>
        <v>0</v>
      </c>
      <c r="G59" s="69">
        <f>IFERROR(VLOOKUP($A59,GanttChart!$A:$JD,264,FALSE),0)</f>
        <v>0</v>
      </c>
      <c r="H59" s="167"/>
      <c r="I59" s="69">
        <f t="shared" si="0"/>
        <v>0</v>
      </c>
    </row>
    <row r="60" spans="1:15" ht="14.25" hidden="1">
      <c r="A60" s="62">
        <v>3.13</v>
      </c>
      <c r="B60" s="62"/>
      <c r="C60" s="67" t="str">
        <f>IFERROR(VLOOKUP($A60,GanttChart!$A:$JD,2,FALSE),"خطا")</f>
        <v>پیاده سازی صفحه ایستا سامانه های موبایلی</v>
      </c>
      <c r="D60" s="68">
        <f>IFERROR(VLOOKUP($A60,GanttChart!$A:$JD,261,FALSE),0)</f>
        <v>0</v>
      </c>
      <c r="E60" s="68">
        <f>IFERROR(VLOOKUP($A60,GanttChart!$A:$JD,262,FALSE),0)</f>
        <v>0</v>
      </c>
      <c r="F60" s="68">
        <f>IFERROR(VLOOKUP($A60,GanttChart!$A:$JD,263,FALSE),0)</f>
        <v>0</v>
      </c>
      <c r="G60" s="69">
        <f>IFERROR(VLOOKUP($A60,GanttChart!$A:$JD,264,FALSE),0)</f>
        <v>0</v>
      </c>
      <c r="H60" s="167"/>
      <c r="I60" s="69">
        <f t="shared" si="0"/>
        <v>0</v>
      </c>
    </row>
    <row r="61" spans="1:15" ht="14.25" hidden="1">
      <c r="A61" s="62">
        <v>3.14</v>
      </c>
      <c r="B61" s="62"/>
      <c r="C61" s="67" t="str">
        <f>IFERROR(VLOOKUP($A61,GanttChart!$A:$JD,2,FALSE),"خطا")</f>
        <v>پیاده سازی صفحه ایستا کارت های بانکی</v>
      </c>
      <c r="D61" s="68">
        <f>IFERROR(VLOOKUP($A61,GanttChart!$A:$JD,261,FALSE),0)</f>
        <v>0</v>
      </c>
      <c r="E61" s="68">
        <f>IFERROR(VLOOKUP($A61,GanttChart!$A:$JD,262,FALSE),0)</f>
        <v>0</v>
      </c>
      <c r="F61" s="68">
        <f>IFERROR(VLOOKUP($A61,GanttChart!$A:$JD,263,FALSE),0)</f>
        <v>0</v>
      </c>
      <c r="G61" s="69">
        <f>IFERROR(VLOOKUP($A61,GanttChart!$A:$JD,264,FALSE),0)</f>
        <v>0</v>
      </c>
      <c r="H61" s="167"/>
      <c r="I61" s="69">
        <f t="shared" si="0"/>
        <v>0</v>
      </c>
    </row>
    <row r="62" spans="1:15" ht="14.25" hidden="1">
      <c r="A62" s="62">
        <v>3.15</v>
      </c>
      <c r="B62" s="62"/>
      <c r="C62" s="67" t="str">
        <f>IFERROR(VLOOKUP($A62,GanttChart!$A:$JD,2,FALSE),"خطا")</f>
        <v>پیاده سازی صفحه ایستا اطلاعات تماس</v>
      </c>
      <c r="D62" s="68">
        <f>IFERROR(VLOOKUP($A62,GanttChart!$A:$JD,261,FALSE),0)</f>
        <v>0</v>
      </c>
      <c r="E62" s="68">
        <f>IFERROR(VLOOKUP($A62,GanttChart!$A:$JD,262,FALSE),0)</f>
        <v>0</v>
      </c>
      <c r="F62" s="68">
        <f>IFERROR(VLOOKUP($A62,GanttChart!$A:$JD,263,FALSE),0)</f>
        <v>0</v>
      </c>
      <c r="G62" s="69">
        <f>IFERROR(VLOOKUP($A62,GanttChart!$A:$JD,264,FALSE),0)</f>
        <v>0</v>
      </c>
      <c r="H62" s="167"/>
      <c r="I62" s="69">
        <f t="shared" si="0"/>
        <v>0</v>
      </c>
    </row>
    <row r="63" spans="1:15" ht="14.25" hidden="1">
      <c r="A63" s="62">
        <v>3.16</v>
      </c>
      <c r="B63" s="62"/>
      <c r="C63" s="67" t="str">
        <f>IFERROR(VLOOKUP($A63,GanttChart!$A:$JD,2,FALSE),"خطا")</f>
        <v>پیاده سازی صفحه ایستا طرح صبا</v>
      </c>
      <c r="D63" s="68">
        <f>IFERROR(VLOOKUP($A63,GanttChart!$A:$JD,261,FALSE),0)</f>
        <v>0</v>
      </c>
      <c r="E63" s="68">
        <f>IFERROR(VLOOKUP($A63,GanttChart!$A:$JD,262,FALSE),0)</f>
        <v>0</v>
      </c>
      <c r="F63" s="68">
        <f>IFERROR(VLOOKUP($A63,GanttChart!$A:$JD,263,FALSE),0)</f>
        <v>0</v>
      </c>
      <c r="G63" s="69">
        <f>IFERROR(VLOOKUP($A63,GanttChart!$A:$JD,264,FALSE),0)</f>
        <v>0</v>
      </c>
      <c r="H63" s="167"/>
      <c r="I63" s="69">
        <f t="shared" si="0"/>
        <v>0</v>
      </c>
    </row>
    <row r="64" spans="1:15" ht="14.25" hidden="1">
      <c r="A64" s="62">
        <v>3.17</v>
      </c>
      <c r="B64" s="62"/>
      <c r="C64" s="67" t="str">
        <f>IFERROR(VLOOKUP($A64,GanttChart!$A:$JD,2,FALSE),"خطا")</f>
        <v>پیاده سازی صفحه ایستا طرح کوشان</v>
      </c>
      <c r="D64" s="68">
        <f>IFERROR(VLOOKUP($A64,GanttChart!$A:$JD,261,FALSE),0)</f>
        <v>0</v>
      </c>
      <c r="E64" s="68">
        <f>IFERROR(VLOOKUP($A64,GanttChart!$A:$JD,262,FALSE),0)</f>
        <v>0</v>
      </c>
      <c r="F64" s="68">
        <f>IFERROR(VLOOKUP($A64,GanttChart!$A:$JD,263,FALSE),0)</f>
        <v>0</v>
      </c>
      <c r="G64" s="69">
        <f>IFERROR(VLOOKUP($A64,GanttChart!$A:$JD,264,FALSE),0)</f>
        <v>0</v>
      </c>
      <c r="H64" s="167"/>
      <c r="I64" s="69">
        <f t="shared" si="0"/>
        <v>0</v>
      </c>
    </row>
    <row r="65" spans="1:9" ht="14.25" hidden="1">
      <c r="A65" s="62">
        <v>3.18</v>
      </c>
      <c r="B65" s="62"/>
      <c r="C65" s="67" t="str">
        <f>IFERROR(VLOOKUP($A65,GanttChart!$A:$JD,2,FALSE),"خطا")</f>
        <v>پیاده سازی صفحه ایستا جشنواره حساب های قرض الحسته</v>
      </c>
      <c r="D65" s="68">
        <f>IFERROR(VLOOKUP($A65,GanttChart!$A:$JD,261,FALSE),0)</f>
        <v>0</v>
      </c>
      <c r="E65" s="68">
        <f>IFERROR(VLOOKUP($A65,GanttChart!$A:$JD,262,FALSE),0)</f>
        <v>0</v>
      </c>
      <c r="F65" s="68">
        <f>IFERROR(VLOOKUP($A65,GanttChart!$A:$JD,263,FALSE),0)</f>
        <v>0</v>
      </c>
      <c r="G65" s="69">
        <f>IFERROR(VLOOKUP($A65,GanttChart!$A:$JD,264,FALSE),0)</f>
        <v>0</v>
      </c>
      <c r="H65" s="167"/>
      <c r="I65" s="69">
        <f t="shared" si="0"/>
        <v>0</v>
      </c>
    </row>
    <row r="66" spans="1:9" ht="14.25" hidden="1">
      <c r="A66" s="62">
        <v>3.19</v>
      </c>
      <c r="B66" s="62"/>
      <c r="C66" s="67" t="str">
        <f>IFERROR(VLOOKUP($A66,GanttChart!$A:$JD,2,FALSE),"خطا")</f>
        <v>پیاده سازی صفحه ورودی ویژه همکاران</v>
      </c>
      <c r="D66" s="68">
        <f>IFERROR(VLOOKUP($A66,GanttChart!$A:$JD,261,FALSE),0)</f>
        <v>0</v>
      </c>
      <c r="E66" s="68">
        <f>IFERROR(VLOOKUP($A66,GanttChart!$A:$JD,262,FALSE),0)</f>
        <v>0</v>
      </c>
      <c r="F66" s="68">
        <f>IFERROR(VLOOKUP($A66,GanttChart!$A:$JD,263,FALSE),0)</f>
        <v>0</v>
      </c>
      <c r="G66" s="69">
        <f>IFERROR(VLOOKUP($A66,GanttChart!$A:$JD,264,FALSE),0)</f>
        <v>0</v>
      </c>
      <c r="H66" s="167"/>
      <c r="I66" s="69">
        <f t="shared" si="0"/>
        <v>0</v>
      </c>
    </row>
    <row r="67" spans="1:9" ht="14.25" hidden="1">
      <c r="A67" s="62">
        <v>3.21</v>
      </c>
      <c r="B67" s="62"/>
      <c r="C67" s="67" t="str">
        <f>IFERROR(VLOOKUP($A67,GanttChart!$A:$JD,2,FALSE),"خطا")</f>
        <v>پیاده سازی نمای گرافیکی نسخه انگلیسی بانک</v>
      </c>
      <c r="D67" s="68">
        <f>IFERROR(VLOOKUP($A67,GanttChart!$A:$JD,261,FALSE),0)</f>
        <v>0</v>
      </c>
      <c r="E67" s="68">
        <f>IFERROR(VLOOKUP($A67,GanttChart!$A:$JD,262,FALSE),0)</f>
        <v>0</v>
      </c>
      <c r="F67" s="68">
        <f>IFERROR(VLOOKUP($A67,GanttChart!$A:$JD,263,FALSE),0)</f>
        <v>0</v>
      </c>
      <c r="G67" s="69">
        <f>IFERROR(VLOOKUP($A67,GanttChart!$A:$JD,264,FALSE),0)</f>
        <v>0</v>
      </c>
      <c r="H67" s="167"/>
      <c r="I67" s="69">
        <f t="shared" si="0"/>
        <v>0</v>
      </c>
    </row>
    <row r="68" spans="1:9" ht="14.25" hidden="1">
      <c r="A68" s="62">
        <v>3.22</v>
      </c>
      <c r="B68" s="62"/>
      <c r="C68" s="67" t="str">
        <f>IFERROR(VLOOKUP($A68,GanttChart!$A:$JD,2,FALSE),"خطا")</f>
        <v>تحویل اقدامات پیاده سازی نمای گرافیکی بانک</v>
      </c>
      <c r="D68" s="68">
        <f>IFERROR(VLOOKUP($A68,GanttChart!$A:$JD,261,FALSE),0)</f>
        <v>0</v>
      </c>
      <c r="E68" s="68">
        <f>IFERROR(VLOOKUP($A68,GanttChart!$A:$JD,262,FALSE),0)</f>
        <v>0</v>
      </c>
      <c r="F68" s="68">
        <f>IFERROR(VLOOKUP($A68,GanttChart!$A:$JD,263,FALSE),0)</f>
        <v>0</v>
      </c>
      <c r="G68" s="69">
        <f>IFERROR(VLOOKUP($A68,GanttChart!$A:$JD,264,FALSE),0)</f>
        <v>0</v>
      </c>
      <c r="H68" s="167"/>
      <c r="I68" s="69">
        <f t="shared" si="0"/>
        <v>0</v>
      </c>
    </row>
    <row r="69" spans="1:9" ht="14.25" hidden="1">
      <c r="A69" s="62">
        <v>3.23</v>
      </c>
      <c r="B69" s="62"/>
      <c r="C69" s="67" t="str">
        <f>IFERROR(VLOOKUP($A69,GanttChart!$A:$JD,2,FALSE),"خطا")</f>
        <v>خطا</v>
      </c>
      <c r="D69" s="68">
        <f>IFERROR(VLOOKUP($A69,GanttChart!$A:$JD,261,FALSE),0)</f>
        <v>0</v>
      </c>
      <c r="E69" s="68">
        <f>IFERROR(VLOOKUP($A69,GanttChart!$A:$JD,262,FALSE),0)</f>
        <v>0</v>
      </c>
      <c r="F69" s="68">
        <f>IFERROR(VLOOKUP($A69,GanttChart!$A:$JD,263,FALSE),0)</f>
        <v>0</v>
      </c>
      <c r="G69" s="69">
        <f>IFERROR(VLOOKUP($A69,GanttChart!$A:$JD,264,FALSE),0)</f>
        <v>0</v>
      </c>
      <c r="H69" s="167"/>
      <c r="I69" s="69">
        <f t="shared" si="0"/>
        <v>0</v>
      </c>
    </row>
    <row r="70" spans="1:9" ht="14.25" hidden="1">
      <c r="A70" s="62">
        <v>4</v>
      </c>
      <c r="B70" s="62"/>
      <c r="C70" s="67" t="str">
        <f>IFERROR(VLOOKUP($A70,GanttChart!$A:$JD,2,FALSE),"خطا")</f>
        <v>ارائه خدمات آموزش</v>
      </c>
      <c r="D70" s="68">
        <f>IFERROR(VLOOKUP($A70,GanttChart!$A:$JD,261,FALSE),0)</f>
        <v>0</v>
      </c>
      <c r="E70" s="68">
        <f>IFERROR(VLOOKUP($A70,GanttChart!$A:$JD,262,FALSE),0)</f>
        <v>0</v>
      </c>
      <c r="F70" s="68">
        <f>IFERROR(VLOOKUP($A70,GanttChart!$A:$JD,263,FALSE),0)</f>
        <v>0</v>
      </c>
      <c r="G70" s="69">
        <f>IFERROR(VLOOKUP($A70,GanttChart!$A:$JD,264,FALSE),0)</f>
        <v>0</v>
      </c>
      <c r="H70" s="167"/>
      <c r="I70" s="69">
        <f t="shared" si="0"/>
        <v>0</v>
      </c>
    </row>
    <row r="71" spans="1:9" ht="14.25">
      <c r="A71" s="62">
        <v>4.0999999999999996</v>
      </c>
      <c r="B71" s="62"/>
      <c r="C71" s="67" t="str">
        <f>IFERROR(VLOOKUP($A71,GanttChart!$A:$JD,2,FALSE),"خطا")</f>
        <v>ارائه طرح آموزش و برنامه زمانبندی و مکانی برگزاری جلسات آموزشی</v>
      </c>
      <c r="D71" s="68">
        <f>IFERROR(VLOOKUP($A71,GanttChart!$A:$JD,261,FALSE),0)</f>
        <v>0</v>
      </c>
      <c r="E71" s="68">
        <f>IFERROR(VLOOKUP($A71,GanttChart!$A:$JD,262,FALSE),0)</f>
        <v>0</v>
      </c>
      <c r="F71" s="68">
        <f>IFERROR(VLOOKUP($A71,GanttChart!$A:$JD,263,FALSE),0)</f>
        <v>0</v>
      </c>
      <c r="G71" s="69">
        <f>IFERROR(VLOOKUP($A71,GanttChart!$A:$JD,264,FALSE),0)</f>
        <v>0</v>
      </c>
      <c r="H71" s="167"/>
      <c r="I71" s="69">
        <f t="shared" si="0"/>
        <v>0</v>
      </c>
    </row>
    <row r="72" spans="1:9" ht="22.5" hidden="1">
      <c r="A72" s="62">
        <v>4.2</v>
      </c>
      <c r="B72" s="62"/>
      <c r="C72" s="67" t="str">
        <f>IFERROR(VLOOKUP($A72,GanttChart!$A:$JD,2,FALSE),"خطا")</f>
        <v>معرفی نمایندگان کارفرما به تفکیک سطوح کاربری دارای دانش و مهارت های پیش نیاز آموزش نرم افزار</v>
      </c>
      <c r="D72" s="68">
        <f>IFERROR(VLOOKUP($A72,GanttChart!$A:$JD,261,FALSE),0)</f>
        <v>0</v>
      </c>
      <c r="E72" s="68">
        <f>IFERROR(VLOOKUP($A72,GanttChart!$A:$JD,262,FALSE),0)</f>
        <v>0</v>
      </c>
      <c r="F72" s="68">
        <f>IFERROR(VLOOKUP($A72,GanttChart!$A:$JD,263,FALSE),0)</f>
        <v>0</v>
      </c>
      <c r="G72" s="69">
        <f>IFERROR(VLOOKUP($A72,GanttChart!$A:$JD,264,FALSE),0)</f>
        <v>0</v>
      </c>
      <c r="H72" s="167"/>
      <c r="I72" s="69">
        <f t="shared" si="0"/>
        <v>0</v>
      </c>
    </row>
    <row r="73" spans="1:9" ht="14.25">
      <c r="A73" s="62">
        <v>4.3</v>
      </c>
      <c r="B73" s="62"/>
      <c r="C73" s="67" t="str">
        <f>IFERROR(VLOOKUP($A73,GanttChart!$A:$JD,2,FALSE),"خطا")</f>
        <v>برگزاری جلسات آموزش کاربری(9 ساعت)</v>
      </c>
      <c r="D73" s="68">
        <f>IFERROR(VLOOKUP($A73,GanttChart!$A:$JD,261,FALSE),0)</f>
        <v>0</v>
      </c>
      <c r="E73" s="68">
        <f>IFERROR(VLOOKUP($A73,GanttChart!$A:$JD,262,FALSE),0)</f>
        <v>0</v>
      </c>
      <c r="F73" s="68">
        <f>IFERROR(VLOOKUP($A73,GanttChart!$A:$JD,263,FALSE),0)</f>
        <v>0</v>
      </c>
      <c r="G73" s="69">
        <f>IFERROR(VLOOKUP($A73,GanttChart!$A:$JD,264,FALSE),0)</f>
        <v>0</v>
      </c>
      <c r="H73" s="167"/>
      <c r="I73" s="69">
        <f t="shared" si="0"/>
        <v>0</v>
      </c>
    </row>
    <row r="74" spans="1:9" ht="14.25">
      <c r="A74" s="62">
        <v>4.4000000000000004</v>
      </c>
      <c r="B74" s="62"/>
      <c r="C74" s="67" t="str">
        <f>IFERROR(VLOOKUP($A74,GanttChart!$A:$JD,2,FALSE),"خطا")</f>
        <v>برگزاری جلسات آموزش  راهبری و مدیریتی  (9 ساعت)</v>
      </c>
      <c r="D74" s="68">
        <f>IFERROR(VLOOKUP($A74,GanttChart!$A:$JD,261,FALSE),0)</f>
        <v>0</v>
      </c>
      <c r="E74" s="68">
        <f>IFERROR(VLOOKUP($A74,GanttChart!$A:$JD,262,FALSE),0)</f>
        <v>0</v>
      </c>
      <c r="F74" s="68">
        <f>IFERROR(VLOOKUP($A74,GanttChart!$A:$JD,263,FALSE),0)</f>
        <v>0</v>
      </c>
      <c r="G74" s="69">
        <f>IFERROR(VLOOKUP($A74,GanttChart!$A:$JD,264,FALSE),0)</f>
        <v>0</v>
      </c>
      <c r="H74" s="167"/>
      <c r="I74" s="69">
        <f t="shared" si="0"/>
        <v>0</v>
      </c>
    </row>
    <row r="75" spans="1:9" ht="14.25" hidden="1">
      <c r="A75" s="62">
        <v>4.5</v>
      </c>
      <c r="B75" s="62"/>
      <c r="C75" s="67" t="str">
        <f>IFERROR(VLOOKUP($A75,GanttChart!$A:$JD,2,FALSE),"خطا")</f>
        <v>برگزاری جلسات آموزش راهبر زیر پورتال  (6 ساعت)</v>
      </c>
      <c r="D75" s="68">
        <f>IFERROR(VLOOKUP($A75,GanttChart!$A:$JD,261,FALSE),0)</f>
        <v>0</v>
      </c>
      <c r="E75" s="68">
        <f>IFERROR(VLOOKUP($A75,GanttChart!$A:$JD,262,FALSE),0)</f>
        <v>0</v>
      </c>
      <c r="F75" s="68">
        <f>IFERROR(VLOOKUP($A75,GanttChart!$A:$JD,263,FALSE),0)</f>
        <v>0</v>
      </c>
      <c r="G75" s="69">
        <f>IFERROR(VLOOKUP($A75,GanttChart!$A:$JD,264,FALSE),0)</f>
        <v>0</v>
      </c>
      <c r="H75" s="167"/>
      <c r="I75" s="69">
        <f t="shared" si="0"/>
        <v>0</v>
      </c>
    </row>
    <row r="76" spans="1:9" ht="14.25" hidden="1">
      <c r="A76" s="62">
        <v>4.5999999999999996</v>
      </c>
      <c r="B76" s="62"/>
      <c r="C76" s="67" t="str">
        <f>IFERROR(VLOOKUP($A76,GanttChart!$A:$JD,2,FALSE),"خطا")</f>
        <v>خطا</v>
      </c>
      <c r="D76" s="68">
        <f>IFERROR(VLOOKUP($A76,GanttChart!$A:$JD,261,FALSE),0)</f>
        <v>0</v>
      </c>
      <c r="E76" s="68">
        <f>IFERROR(VLOOKUP($A76,GanttChart!$A:$JD,262,FALSE),0)</f>
        <v>0</v>
      </c>
      <c r="F76" s="68">
        <f>IFERROR(VLOOKUP($A76,GanttChart!$A:$JD,263,FALSE),0)</f>
        <v>0</v>
      </c>
      <c r="G76" s="69">
        <f>IFERROR(VLOOKUP($A76,GanttChart!$A:$JD,264,FALSE),0)</f>
        <v>0</v>
      </c>
      <c r="H76" s="167"/>
      <c r="I76" s="69">
        <f t="shared" si="0"/>
        <v>0</v>
      </c>
    </row>
    <row r="77" spans="1:9" ht="14.25" hidden="1">
      <c r="A77" s="62">
        <v>4.7</v>
      </c>
      <c r="B77" s="62"/>
      <c r="C77" s="67" t="str">
        <f>IFERROR(VLOOKUP($A77,GanttChart!$A:$JD,2,FALSE),"خطا")</f>
        <v>خطا</v>
      </c>
      <c r="D77" s="68">
        <f>IFERROR(VLOOKUP($A77,GanttChart!$A:$JD,261,FALSE),0)</f>
        <v>0</v>
      </c>
      <c r="E77" s="68">
        <f>IFERROR(VLOOKUP($A77,GanttChart!$A:$JD,262,FALSE),0)</f>
        <v>0</v>
      </c>
      <c r="F77" s="68">
        <f>IFERROR(VLOOKUP($A77,GanttChart!$A:$JD,263,FALSE),0)</f>
        <v>0</v>
      </c>
      <c r="G77" s="69">
        <f>IFERROR(VLOOKUP($A77,GanttChart!$A:$JD,264,FALSE),0)</f>
        <v>0</v>
      </c>
      <c r="H77" s="167"/>
      <c r="I77" s="69">
        <f t="shared" si="0"/>
        <v>0</v>
      </c>
    </row>
    <row r="78" spans="1:9" ht="14.25" hidden="1">
      <c r="A78" s="62">
        <v>4.8</v>
      </c>
      <c r="B78" s="62"/>
      <c r="C78" s="67" t="str">
        <f>IFERROR(VLOOKUP($A78,GanttChart!$A:$JD,2,FALSE),"خطا")</f>
        <v>خطا</v>
      </c>
      <c r="D78" s="68">
        <f>IFERROR(VLOOKUP($A78,GanttChart!$A:$JD,261,FALSE),0)</f>
        <v>0</v>
      </c>
      <c r="E78" s="68">
        <f>IFERROR(VLOOKUP($A78,GanttChart!$A:$JD,262,FALSE),0)</f>
        <v>0</v>
      </c>
      <c r="F78" s="68">
        <f>IFERROR(VLOOKUP($A78,GanttChart!$A:$JD,263,FALSE),0)</f>
        <v>0</v>
      </c>
      <c r="G78" s="69">
        <f>IFERROR(VLOOKUP($A78,GanttChart!$A:$JD,264,FALSE),0)</f>
        <v>0</v>
      </c>
      <c r="H78" s="167"/>
      <c r="I78" s="69">
        <f t="shared" si="0"/>
        <v>0</v>
      </c>
    </row>
    <row r="79" spans="1:9" ht="14.25" hidden="1">
      <c r="A79" s="62">
        <v>4.9000000000000004</v>
      </c>
      <c r="B79" s="62"/>
      <c r="C79" s="67" t="str">
        <f>IFERROR(VLOOKUP($A79,GanttChart!$A:$JD,2,FALSE),"خطا")</f>
        <v>خطا</v>
      </c>
      <c r="D79" s="68">
        <f>IFERROR(VLOOKUP($A79,GanttChart!$A:$JD,261,FALSE),0)</f>
        <v>0</v>
      </c>
      <c r="E79" s="68">
        <f>IFERROR(VLOOKUP($A79,GanttChart!$A:$JD,262,FALSE),0)</f>
        <v>0</v>
      </c>
      <c r="F79" s="68">
        <f>IFERROR(VLOOKUP($A79,GanttChart!$A:$JD,263,FALSE),0)</f>
        <v>0</v>
      </c>
      <c r="G79" s="69">
        <f>IFERROR(VLOOKUP($A79,GanttChart!$A:$JD,264,FALSE),0)</f>
        <v>0</v>
      </c>
      <c r="H79" s="167"/>
      <c r="I79" s="69">
        <f t="shared" si="0"/>
        <v>0</v>
      </c>
    </row>
    <row r="80" spans="1:9" ht="14.25" hidden="1">
      <c r="A80" s="62">
        <v>4.1100000000000003</v>
      </c>
      <c r="B80" s="62"/>
      <c r="C80" s="67" t="str">
        <f>IFERROR(VLOOKUP($A80,GanttChart!$A:$JD,2,FALSE),"خطا")</f>
        <v>خطا</v>
      </c>
      <c r="D80" s="68">
        <f>IFERROR(VLOOKUP($A80,GanttChart!$A:$JD,261,FALSE),0)</f>
        <v>0</v>
      </c>
      <c r="E80" s="68">
        <f>IFERROR(VLOOKUP($A80,GanttChart!$A:$JD,262,FALSE),0)</f>
        <v>0</v>
      </c>
      <c r="F80" s="68">
        <f>IFERROR(VLOOKUP($A80,GanttChart!$A:$JD,263,FALSE),0)</f>
        <v>0</v>
      </c>
      <c r="G80" s="69">
        <f>IFERROR(VLOOKUP($A80,GanttChart!$A:$JD,264,FALSE),0)</f>
        <v>0</v>
      </c>
      <c r="H80" s="167"/>
      <c r="I80" s="69">
        <f t="shared" si="0"/>
        <v>0</v>
      </c>
    </row>
    <row r="81" spans="1:12" ht="14.25" hidden="1">
      <c r="A81" s="62">
        <v>4.12</v>
      </c>
      <c r="B81" s="62"/>
      <c r="C81" s="67" t="str">
        <f>IFERROR(VLOOKUP($A81,GanttChart!$A:$JD,2,FALSE),"خطا")</f>
        <v>خطا</v>
      </c>
      <c r="D81" s="68">
        <f>IFERROR(VLOOKUP($A81,GanttChart!$A:$JD,261,FALSE),0)</f>
        <v>0</v>
      </c>
      <c r="E81" s="68">
        <f>IFERROR(VLOOKUP($A81,GanttChart!$A:$JD,262,FALSE),0)</f>
        <v>0</v>
      </c>
      <c r="F81" s="68">
        <f>IFERROR(VLOOKUP($A81,GanttChart!$A:$JD,263,FALSE),0)</f>
        <v>0</v>
      </c>
      <c r="G81" s="69">
        <f>IFERROR(VLOOKUP($A81,GanttChart!$A:$JD,264,FALSE),0)</f>
        <v>0</v>
      </c>
      <c r="H81" s="167"/>
      <c r="I81" s="69">
        <f t="shared" si="0"/>
        <v>0</v>
      </c>
    </row>
    <row r="82" spans="1:12" ht="14.25" hidden="1">
      <c r="A82" s="62">
        <v>4.13</v>
      </c>
      <c r="B82" s="62"/>
      <c r="C82" s="67" t="str">
        <f>IFERROR(VLOOKUP($A82,GanttChart!$A:$JD,2,FALSE),"خطا")</f>
        <v>خطا</v>
      </c>
      <c r="D82" s="68">
        <f>IFERROR(VLOOKUP($A82,GanttChart!$A:$JD,261,FALSE),0)</f>
        <v>0</v>
      </c>
      <c r="E82" s="68">
        <f>IFERROR(VLOOKUP($A82,GanttChart!$A:$JD,262,FALSE),0)</f>
        <v>0</v>
      </c>
      <c r="F82" s="68">
        <f>IFERROR(VLOOKUP($A82,GanttChart!$A:$JD,263,FALSE),0)</f>
        <v>0</v>
      </c>
      <c r="G82" s="69">
        <f>IFERROR(VLOOKUP($A82,GanttChart!$A:$JD,264,FALSE),0)</f>
        <v>0</v>
      </c>
      <c r="H82" s="167"/>
      <c r="I82" s="69">
        <f t="shared" si="0"/>
        <v>0</v>
      </c>
    </row>
    <row r="83" spans="1:12" ht="14.25" hidden="1">
      <c r="A83" s="62">
        <v>4.1399999999999997</v>
      </c>
      <c r="B83" s="62"/>
      <c r="C83" s="67" t="str">
        <f>IFERROR(VLOOKUP($A83,GanttChart!$A:$JD,2,FALSE),"خطا")</f>
        <v>خطا</v>
      </c>
      <c r="D83" s="68">
        <f>IFERROR(VLOOKUP($A83,GanttChart!$A:$JD,261,FALSE),0)</f>
        <v>0</v>
      </c>
      <c r="E83" s="68">
        <f>IFERROR(VLOOKUP($A83,GanttChart!$A:$JD,262,FALSE),0)</f>
        <v>0</v>
      </c>
      <c r="F83" s="68">
        <f>IFERROR(VLOOKUP($A83,GanttChart!$A:$JD,263,FALSE),0)</f>
        <v>0</v>
      </c>
      <c r="G83" s="69">
        <f>IFERROR(VLOOKUP($A83,GanttChart!$A:$JD,264,FALSE),0)</f>
        <v>0</v>
      </c>
      <c r="H83" s="167"/>
      <c r="I83" s="69">
        <f t="shared" si="0"/>
        <v>0</v>
      </c>
    </row>
    <row r="84" spans="1:12" ht="14.25" hidden="1">
      <c r="A84" s="62">
        <v>4.1500000000000004</v>
      </c>
      <c r="B84" s="62"/>
      <c r="C84" s="67" t="str">
        <f>IFERROR(VLOOKUP($A84,GanttChart!$A:$JD,2,FALSE),"خطا")</f>
        <v>خطا</v>
      </c>
      <c r="D84" s="68">
        <f>IFERROR(VLOOKUP($A84,GanttChart!$A:$JD,261,FALSE),0)</f>
        <v>0</v>
      </c>
      <c r="E84" s="68">
        <f>IFERROR(VLOOKUP($A84,GanttChart!$A:$JD,262,FALSE),0)</f>
        <v>0</v>
      </c>
      <c r="F84" s="68">
        <f>IFERROR(VLOOKUP($A84,GanttChart!$A:$JD,263,FALSE),0)</f>
        <v>0</v>
      </c>
      <c r="G84" s="69">
        <f>IFERROR(VLOOKUP($A84,GanttChart!$A:$JD,264,FALSE),0)</f>
        <v>0</v>
      </c>
      <c r="H84" s="167"/>
      <c r="I84" s="69">
        <f t="shared" si="0"/>
        <v>0</v>
      </c>
    </row>
    <row r="85" spans="1:12" ht="14.25" hidden="1">
      <c r="A85" s="62">
        <v>4.16</v>
      </c>
      <c r="B85" s="62"/>
      <c r="C85" s="67" t="str">
        <f>IFERROR(VLOOKUP($A85,GanttChart!$A:$JD,2,FALSE),"خطا")</f>
        <v>خطا</v>
      </c>
      <c r="D85" s="68">
        <f>IFERROR(VLOOKUP($A85,GanttChart!$A:$JD,261,FALSE),0)</f>
        <v>0</v>
      </c>
      <c r="E85" s="68">
        <f>IFERROR(VLOOKUP($A85,GanttChart!$A:$JD,262,FALSE),0)</f>
        <v>0</v>
      </c>
      <c r="F85" s="68">
        <f>IFERROR(VLOOKUP($A85,GanttChart!$A:$JD,263,FALSE),0)</f>
        <v>0</v>
      </c>
      <c r="G85" s="69">
        <f>IFERROR(VLOOKUP($A85,GanttChart!$A:$JD,264,FALSE),0)</f>
        <v>0</v>
      </c>
      <c r="H85" s="167"/>
      <c r="I85" s="69">
        <f t="shared" si="0"/>
        <v>0</v>
      </c>
    </row>
    <row r="86" spans="1:12" ht="14.25" hidden="1">
      <c r="A86" s="62">
        <v>4.17</v>
      </c>
      <c r="B86" s="62"/>
      <c r="C86" s="67" t="str">
        <f>IFERROR(VLOOKUP($A86,GanttChart!$A:$JD,2,FALSE),"خطا")</f>
        <v>خطا</v>
      </c>
      <c r="D86" s="68">
        <f>IFERROR(VLOOKUP($A86,GanttChart!$A:$JD,261,FALSE),0)</f>
        <v>0</v>
      </c>
      <c r="E86" s="68">
        <f>IFERROR(VLOOKUP($A86,GanttChart!$A:$JD,262,FALSE),0)</f>
        <v>0</v>
      </c>
      <c r="F86" s="68">
        <f>IFERROR(VLOOKUP($A86,GanttChart!$A:$JD,263,FALSE),0)</f>
        <v>0</v>
      </c>
      <c r="G86" s="69">
        <f>IFERROR(VLOOKUP($A86,GanttChart!$A:$JD,264,FALSE),0)</f>
        <v>0</v>
      </c>
      <c r="H86" s="167"/>
      <c r="I86" s="69">
        <f t="shared" si="0"/>
        <v>0</v>
      </c>
    </row>
    <row r="87" spans="1:12" ht="14.25" hidden="1">
      <c r="A87" s="62">
        <v>4.18</v>
      </c>
      <c r="B87" s="62"/>
      <c r="C87" s="67" t="str">
        <f>IFERROR(VLOOKUP($A87,GanttChart!$A:$JD,2,FALSE),"خطا")</f>
        <v>خطا</v>
      </c>
      <c r="D87" s="68">
        <f>IFERROR(VLOOKUP($A87,GanttChart!$A:$JD,261,FALSE),0)</f>
        <v>0</v>
      </c>
      <c r="E87" s="68">
        <f>IFERROR(VLOOKUP($A87,GanttChart!$A:$JD,262,FALSE),0)</f>
        <v>0</v>
      </c>
      <c r="F87" s="68">
        <f>IFERROR(VLOOKUP($A87,GanttChart!$A:$JD,263,FALSE),0)</f>
        <v>0</v>
      </c>
      <c r="G87" s="69">
        <f>IFERROR(VLOOKUP($A87,GanttChart!$A:$JD,264,FALSE),0)</f>
        <v>0</v>
      </c>
      <c r="H87" s="167"/>
      <c r="I87" s="69">
        <f t="shared" si="0"/>
        <v>0</v>
      </c>
    </row>
    <row r="88" spans="1:12" ht="14.25" hidden="1">
      <c r="A88" s="62">
        <v>4.1900000000000004</v>
      </c>
      <c r="B88" s="62"/>
      <c r="C88" s="67" t="str">
        <f>IFERROR(VLOOKUP($A88,GanttChart!$A:$JD,2,FALSE),"خطا")</f>
        <v>خطا</v>
      </c>
      <c r="D88" s="68">
        <f>IFERROR(VLOOKUP($A88,GanttChart!$A:$JD,261,FALSE),0)</f>
        <v>0</v>
      </c>
      <c r="E88" s="68">
        <f>IFERROR(VLOOKUP($A88,GanttChart!$A:$JD,262,FALSE),0)</f>
        <v>0</v>
      </c>
      <c r="F88" s="68">
        <f>IFERROR(VLOOKUP($A88,GanttChart!$A:$JD,263,FALSE),0)</f>
        <v>0</v>
      </c>
      <c r="G88" s="69">
        <f>IFERROR(VLOOKUP($A88,GanttChart!$A:$JD,264,FALSE),0)</f>
        <v>0</v>
      </c>
      <c r="H88" s="167"/>
      <c r="I88" s="69">
        <f t="shared" si="0"/>
        <v>0</v>
      </c>
    </row>
    <row r="89" spans="1:12" ht="14.25" hidden="1">
      <c r="A89" s="62">
        <v>4.21</v>
      </c>
      <c r="B89" s="62"/>
      <c r="C89" s="67" t="str">
        <f>IFERROR(VLOOKUP($A89,GanttChart!$A:$JD,2,FALSE),"خطا")</f>
        <v>خطا</v>
      </c>
      <c r="D89" s="68">
        <f>IFERROR(VLOOKUP($A89,GanttChart!$A:$JD,261,FALSE),0)</f>
        <v>0</v>
      </c>
      <c r="E89" s="68">
        <f>IFERROR(VLOOKUP($A89,GanttChart!$A:$JD,262,FALSE),0)</f>
        <v>0</v>
      </c>
      <c r="F89" s="68">
        <f>IFERROR(VLOOKUP($A89,GanttChart!$A:$JD,263,FALSE),0)</f>
        <v>0</v>
      </c>
      <c r="G89" s="69">
        <f>IFERROR(VLOOKUP($A89,GanttChart!$A:$JD,264,FALSE),0)</f>
        <v>0</v>
      </c>
      <c r="H89" s="167"/>
      <c r="I89" s="69">
        <f t="shared" si="0"/>
        <v>0</v>
      </c>
    </row>
    <row r="90" spans="1:12" ht="14.25" hidden="1">
      <c r="A90" s="62">
        <v>4.22</v>
      </c>
      <c r="B90" s="62"/>
      <c r="C90" s="67" t="str">
        <f>IFERROR(VLOOKUP($A90,GanttChart!$A:$JD,2,FALSE),"خطا")</f>
        <v>خطا</v>
      </c>
      <c r="D90" s="68">
        <f>IFERROR(VLOOKUP($A90,GanttChart!$A:$JD,261,FALSE),0)</f>
        <v>0</v>
      </c>
      <c r="E90" s="68">
        <f>IFERROR(VLOOKUP($A90,GanttChart!$A:$JD,262,FALSE),0)</f>
        <v>0</v>
      </c>
      <c r="F90" s="68">
        <f>IFERROR(VLOOKUP($A90,GanttChart!$A:$JD,263,FALSE),0)</f>
        <v>0</v>
      </c>
      <c r="G90" s="69">
        <f>IFERROR(VLOOKUP($A90,GanttChart!$A:$JD,264,FALSE),0)</f>
        <v>0</v>
      </c>
      <c r="H90" s="167"/>
      <c r="I90" s="69">
        <f t="shared" si="0"/>
        <v>0</v>
      </c>
    </row>
    <row r="91" spans="1:12" ht="14.25" hidden="1">
      <c r="A91" s="62">
        <v>4.2300000000000004</v>
      </c>
      <c r="B91" s="62"/>
      <c r="C91" s="67" t="str">
        <f>IFERROR(VLOOKUP($A91,GanttChart!$A:$JD,2,FALSE),"خطا")</f>
        <v>خطا</v>
      </c>
      <c r="D91" s="68">
        <f>IFERROR(VLOOKUP($A91,GanttChart!$A:$JD,261,FALSE),0)</f>
        <v>0</v>
      </c>
      <c r="E91" s="68">
        <f>IFERROR(VLOOKUP($A91,GanttChart!$A:$JD,262,FALSE),0)</f>
        <v>0</v>
      </c>
      <c r="F91" s="68">
        <f>IFERROR(VLOOKUP($A91,GanttChart!$A:$JD,263,FALSE),0)</f>
        <v>0</v>
      </c>
      <c r="G91" s="69">
        <f>IFERROR(VLOOKUP($A91,GanttChart!$A:$JD,264,FALSE),0)</f>
        <v>0</v>
      </c>
      <c r="H91" s="167"/>
      <c r="I91" s="69">
        <f t="shared" si="0"/>
        <v>0</v>
      </c>
    </row>
    <row r="92" spans="1:12" ht="14.25" hidden="1">
      <c r="A92" s="62">
        <v>5</v>
      </c>
      <c r="B92" s="62"/>
      <c r="C92" s="67" t="str">
        <f>IFERROR(VLOOKUP($A92,GanttChart!$A:$JD,2,FALSE),"خطا")</f>
        <v>کانورت مکانیزه اطلاعات</v>
      </c>
      <c r="D92" s="68">
        <f>IFERROR(VLOOKUP($A92,GanttChart!$A:$JD,261,FALSE),0)</f>
        <v>0</v>
      </c>
      <c r="E92" s="68">
        <f>IFERROR(VLOOKUP($A92,GanttChart!$A:$JD,262,FALSE),0)</f>
        <v>0</v>
      </c>
      <c r="F92" s="68">
        <f>IFERROR(VLOOKUP($A92,GanttChart!$A:$JD,263,FALSE),0)</f>
        <v>0</v>
      </c>
      <c r="G92" s="69">
        <f>IFERROR(VLOOKUP($A92,GanttChart!$A:$JD,264,FALSE),0)</f>
        <v>0</v>
      </c>
      <c r="H92" s="167"/>
      <c r="I92" s="69">
        <f t="shared" si="0"/>
        <v>0</v>
      </c>
    </row>
    <row r="93" spans="1:12" ht="14.25">
      <c r="A93" s="62">
        <v>5.0999999999999996</v>
      </c>
      <c r="C93" s="67" t="str">
        <f>IFERROR(VLOOKUP($A93,GanttChart!$A:$JD,2,FALSE),"خطا")</f>
        <v>اعلام ماژول های محتوایی کارفرما</v>
      </c>
      <c r="D93" s="68">
        <f>IFERROR(VLOOKUP($A93,GanttChart!$A:$JD,261,FALSE),0)</f>
        <v>0</v>
      </c>
      <c r="E93" s="68">
        <f>IFERROR(VLOOKUP($A93,GanttChart!$A:$JD,262,FALSE),0)</f>
        <v>0</v>
      </c>
      <c r="F93" s="68">
        <f>IFERROR(VLOOKUP($A93,GanttChart!$A:$JD,263,FALSE),0)</f>
        <v>0</v>
      </c>
      <c r="G93" s="69">
        <f>IFERROR(VLOOKUP($A93,GanttChart!$A:$JD,264,FALSE),0)</f>
        <v>0</v>
      </c>
      <c r="H93" s="167"/>
      <c r="I93" s="69">
        <f t="shared" si="0"/>
        <v>0</v>
      </c>
      <c r="K93" s="66"/>
      <c r="L93" s="72"/>
    </row>
    <row r="94" spans="1:12" ht="14.25">
      <c r="A94" s="62">
        <v>5.2</v>
      </c>
      <c r="C94" s="67" t="str">
        <f>IFERROR(VLOOKUP($A94,GanttChart!$A:$JD,2,FALSE),"خطا")</f>
        <v>ارایه فایل های اکسل ماژول های محتوایی اعلام شده از طرف کارفرما</v>
      </c>
      <c r="D94" s="68">
        <f>IFERROR(VLOOKUP($A94,GanttChart!$A:$JD,261,FALSE),0)</f>
        <v>0</v>
      </c>
      <c r="E94" s="68">
        <f>IFERROR(VLOOKUP($A94,GanttChart!$A:$JD,262,FALSE),0)</f>
        <v>0</v>
      </c>
      <c r="F94" s="68">
        <f>IFERROR(VLOOKUP($A94,GanttChart!$A:$JD,263,FALSE),0)</f>
        <v>0</v>
      </c>
      <c r="G94" s="69">
        <f>IFERROR(VLOOKUP($A94,GanttChart!$A:$JD,264,FALSE),0)</f>
        <v>0</v>
      </c>
      <c r="H94" s="167"/>
      <c r="I94" s="69">
        <f t="shared" si="0"/>
        <v>0</v>
      </c>
    </row>
    <row r="95" spans="1:12" ht="14.25">
      <c r="A95" s="62">
        <v>5.3</v>
      </c>
      <c r="C95" s="67" t="str">
        <f>IFERROR(VLOOKUP($A95,GanttChart!$A:$JD,2,FALSE),"خطا")</f>
        <v>تکمیل و ارسال اطلاعات</v>
      </c>
      <c r="D95" s="68">
        <f>IFERROR(VLOOKUP($A95,GanttChart!$A:$JD,261,FALSE),0)</f>
        <v>0</v>
      </c>
      <c r="E95" s="68">
        <f>IFERROR(VLOOKUP($A95,GanttChart!$A:$JD,262,FALSE),0)</f>
        <v>0</v>
      </c>
      <c r="F95" s="68">
        <f>IFERROR(VLOOKUP($A95,GanttChart!$A:$JD,263,FALSE),0)</f>
        <v>0</v>
      </c>
      <c r="G95" s="69">
        <f>IFERROR(VLOOKUP($A95,GanttChart!$A:$JD,264,FALSE),0)</f>
        <v>0</v>
      </c>
      <c r="H95" s="167"/>
      <c r="I95" s="69">
        <f t="shared" si="0"/>
        <v>0</v>
      </c>
    </row>
    <row r="96" spans="1:12" ht="14.25" hidden="1">
      <c r="A96" s="62">
        <v>5.4</v>
      </c>
      <c r="C96" s="67" t="str">
        <f>IFERROR(VLOOKUP($A96,GanttChart!$A:$JD,2,FALSE),"خطا")</f>
        <v>کانورت مکانیزه اطلاعات</v>
      </c>
      <c r="D96" s="68">
        <f>IFERROR(VLOOKUP($A96,GanttChart!$A:$JD,261,FALSE),0)</f>
        <v>0</v>
      </c>
      <c r="E96" s="68">
        <f>IFERROR(VLOOKUP($A96,GanttChart!$A:$JD,262,FALSE),0)</f>
        <v>0</v>
      </c>
      <c r="F96" s="68">
        <f>IFERROR(VLOOKUP($A96,GanttChart!$A:$JD,263,FALSE),0)</f>
        <v>0</v>
      </c>
      <c r="G96" s="69">
        <f>IFERROR(VLOOKUP($A96,GanttChart!$A:$JD,264,FALSE),0)</f>
        <v>0</v>
      </c>
      <c r="H96" s="167"/>
      <c r="I96" s="69">
        <f t="shared" si="0"/>
        <v>0</v>
      </c>
    </row>
    <row r="97" spans="1:9" ht="14.25" hidden="1">
      <c r="A97" s="62">
        <v>5.5</v>
      </c>
      <c r="C97" s="67" t="str">
        <f>IFERROR(VLOOKUP($A97,GanttChart!$A:$JD,2,FALSE),"خطا")</f>
        <v>تصحیح محتوای درج شده به صورت مکانیزه در زیر ساخت جدید</v>
      </c>
      <c r="D97" s="68">
        <f>IFERROR(VLOOKUP($A97,GanttChart!$A:$JD,261,FALSE),0)</f>
        <v>0</v>
      </c>
      <c r="E97" s="68">
        <f>IFERROR(VLOOKUP($A97,GanttChart!$A:$JD,262,FALSE),0)</f>
        <v>0</v>
      </c>
      <c r="F97" s="68">
        <f>IFERROR(VLOOKUP($A97,GanttChart!$A:$JD,263,FALSE),0)</f>
        <v>0</v>
      </c>
      <c r="G97" s="69">
        <f>IFERROR(VLOOKUP($A97,GanttChart!$A:$JD,264,FALSE),0)</f>
        <v>0</v>
      </c>
      <c r="H97" s="167"/>
      <c r="I97" s="69">
        <f t="shared" si="0"/>
        <v>0</v>
      </c>
    </row>
    <row r="98" spans="1:9" ht="22.5" hidden="1">
      <c r="A98" s="62">
        <v>5.6</v>
      </c>
      <c r="C98" s="67" t="str">
        <f>IFERROR(VLOOKUP($A98,GanttChart!$A:$JD,2,FALSE),"خطا")</f>
        <v>تکمیل محتوای درج شده در وب سایت قبلی حد فاصل زمان انتقال اطلاعات در پورتال جدید</v>
      </c>
      <c r="D98" s="68">
        <f>IFERROR(VLOOKUP($A98,GanttChart!$A:$JD,261,FALSE),0)</f>
        <v>0</v>
      </c>
      <c r="E98" s="68">
        <f>IFERROR(VLOOKUP($A98,GanttChart!$A:$JD,262,FALSE),0)</f>
        <v>0</v>
      </c>
      <c r="F98" s="68">
        <f>IFERROR(VLOOKUP($A98,GanttChart!$A:$JD,263,FALSE),0)</f>
        <v>0</v>
      </c>
      <c r="G98" s="69">
        <f>IFERROR(VLOOKUP($A98,GanttChart!$A:$JD,264,FALSE),0)</f>
        <v>0</v>
      </c>
      <c r="H98" s="167"/>
      <c r="I98" s="69">
        <f t="shared" si="0"/>
        <v>0</v>
      </c>
    </row>
    <row r="99" spans="1:9" ht="14.25" hidden="1">
      <c r="A99" s="62">
        <v>5.7</v>
      </c>
      <c r="C99" s="67" t="str">
        <f>IFERROR(VLOOKUP($A99,GanttChart!$A:$JD,2,FALSE),"خطا")</f>
        <v>خطا</v>
      </c>
      <c r="D99" s="68">
        <f>IFERROR(VLOOKUP($A99,GanttChart!$A:$JD,261,FALSE),0)</f>
        <v>0</v>
      </c>
      <c r="E99" s="68">
        <f>IFERROR(VLOOKUP($A99,GanttChart!$A:$JD,262,FALSE),0)</f>
        <v>0</v>
      </c>
      <c r="F99" s="68">
        <f>IFERROR(VLOOKUP($A99,GanttChart!$A:$JD,263,FALSE),0)</f>
        <v>0</v>
      </c>
      <c r="G99" s="69">
        <f>IFERROR(VLOOKUP($A99,GanttChart!$A:$JD,264,FALSE),0)</f>
        <v>0</v>
      </c>
      <c r="H99" s="167"/>
      <c r="I99" s="69">
        <f t="shared" si="0"/>
        <v>0</v>
      </c>
    </row>
    <row r="100" spans="1:9" ht="14.25" hidden="1">
      <c r="A100" s="62">
        <v>5.8</v>
      </c>
      <c r="C100" s="67" t="str">
        <f>IFERROR(VLOOKUP($A100,GanttChart!$A:$JD,2,FALSE),"خطا")</f>
        <v>خطا</v>
      </c>
      <c r="D100" s="68">
        <f>IFERROR(VLOOKUP($A100,GanttChart!$A:$JD,261,FALSE),0)</f>
        <v>0</v>
      </c>
      <c r="E100" s="68">
        <f>IFERROR(VLOOKUP($A100,GanttChart!$A:$JD,262,FALSE),0)</f>
        <v>0</v>
      </c>
      <c r="F100" s="68">
        <f>IFERROR(VLOOKUP($A100,GanttChart!$A:$JD,263,FALSE),0)</f>
        <v>0</v>
      </c>
      <c r="G100" s="69">
        <f>IFERROR(VLOOKUP($A100,GanttChart!$A:$JD,264,FALSE),0)</f>
        <v>0</v>
      </c>
      <c r="H100" s="167"/>
      <c r="I100" s="69">
        <f t="shared" si="0"/>
        <v>0</v>
      </c>
    </row>
    <row r="101" spans="1:9" ht="14.25" hidden="1">
      <c r="A101" s="62">
        <v>5.9</v>
      </c>
      <c r="C101" s="67" t="str">
        <f>IFERROR(VLOOKUP($A101,GanttChart!$A:$JD,2,FALSE),"خطا")</f>
        <v>خطا</v>
      </c>
      <c r="D101" s="68">
        <f>IFERROR(VLOOKUP($A101,GanttChart!$A:$JD,261,FALSE),0)</f>
        <v>0</v>
      </c>
      <c r="E101" s="68">
        <f>IFERROR(VLOOKUP($A101,GanttChart!$A:$JD,262,FALSE),0)</f>
        <v>0</v>
      </c>
      <c r="F101" s="68">
        <f>IFERROR(VLOOKUP($A101,GanttChart!$A:$JD,263,FALSE),0)</f>
        <v>0</v>
      </c>
      <c r="G101" s="69">
        <f>IFERROR(VLOOKUP($A101,GanttChart!$A:$JD,264,FALSE),0)</f>
        <v>0</v>
      </c>
      <c r="H101" s="167"/>
      <c r="I101" s="69">
        <f t="shared" si="0"/>
        <v>0</v>
      </c>
    </row>
    <row r="102" spans="1:9" ht="14.25" hidden="1">
      <c r="A102" s="62">
        <v>5.1100000000000003</v>
      </c>
      <c r="C102" s="67" t="str">
        <f>IFERROR(VLOOKUP($A102,GanttChart!$A:$JD,2,FALSE),"خطا")</f>
        <v>خطا</v>
      </c>
      <c r="D102" s="68">
        <f>IFERROR(VLOOKUP($A102,GanttChart!$A:$JD,261,FALSE),0)</f>
        <v>0</v>
      </c>
      <c r="E102" s="68">
        <f>IFERROR(VLOOKUP($A102,GanttChart!$A:$JD,262,FALSE),0)</f>
        <v>0</v>
      </c>
      <c r="F102" s="68">
        <f>IFERROR(VLOOKUP($A102,GanttChart!$A:$JD,263,FALSE),0)</f>
        <v>0</v>
      </c>
      <c r="G102" s="69">
        <f>IFERROR(VLOOKUP($A102,GanttChart!$A:$JD,264,FALSE),0)</f>
        <v>0</v>
      </c>
      <c r="H102" s="167"/>
      <c r="I102" s="69">
        <f t="shared" si="0"/>
        <v>0</v>
      </c>
    </row>
    <row r="103" spans="1:9" ht="14.25" hidden="1">
      <c r="A103" s="62">
        <v>5.12</v>
      </c>
      <c r="C103" s="67" t="str">
        <f>IFERROR(VLOOKUP($A103,GanttChart!$A:$JD,2,FALSE),"خطا")</f>
        <v>خطا</v>
      </c>
      <c r="D103" s="68">
        <f>IFERROR(VLOOKUP($A103,GanttChart!$A:$JD,261,FALSE),0)</f>
        <v>0</v>
      </c>
      <c r="E103" s="68">
        <f>IFERROR(VLOOKUP($A103,GanttChart!$A:$JD,262,FALSE),0)</f>
        <v>0</v>
      </c>
      <c r="F103" s="68">
        <f>IFERROR(VLOOKUP($A103,GanttChart!$A:$JD,263,FALSE),0)</f>
        <v>0</v>
      </c>
      <c r="G103" s="69">
        <f>IFERROR(VLOOKUP($A103,GanttChart!$A:$JD,264,FALSE),0)</f>
        <v>0</v>
      </c>
      <c r="H103" s="167"/>
      <c r="I103" s="69">
        <f t="shared" si="0"/>
        <v>0</v>
      </c>
    </row>
    <row r="104" spans="1:9" ht="14.25" hidden="1">
      <c r="A104" s="62">
        <v>5.13</v>
      </c>
      <c r="C104" s="67" t="str">
        <f>IFERROR(VLOOKUP($A104,GanttChart!$A:$JD,2,FALSE),"خطا")</f>
        <v>خطا</v>
      </c>
      <c r="D104" s="68">
        <f>IFERROR(VLOOKUP($A104,GanttChart!$A:$JD,261,FALSE),0)</f>
        <v>0</v>
      </c>
      <c r="E104" s="68">
        <f>IFERROR(VLOOKUP($A104,GanttChart!$A:$JD,262,FALSE),0)</f>
        <v>0</v>
      </c>
      <c r="F104" s="68">
        <f>IFERROR(VLOOKUP($A104,GanttChart!$A:$JD,263,FALSE),0)</f>
        <v>0</v>
      </c>
      <c r="G104" s="69">
        <f>IFERROR(VLOOKUP($A104,GanttChart!$A:$JD,264,FALSE),0)</f>
        <v>0</v>
      </c>
      <c r="H104" s="167"/>
      <c r="I104" s="69">
        <f t="shared" si="0"/>
        <v>0</v>
      </c>
    </row>
    <row r="105" spans="1:9" ht="14.25" hidden="1">
      <c r="A105" s="62">
        <v>5.14</v>
      </c>
      <c r="C105" s="67" t="str">
        <f>IFERROR(VLOOKUP($A105,GanttChart!$A:$JD,2,FALSE),"خطا")</f>
        <v>خطا</v>
      </c>
      <c r="D105" s="68">
        <f>IFERROR(VLOOKUP($A105,GanttChart!$A:$JD,261,FALSE),0)</f>
        <v>0</v>
      </c>
      <c r="E105" s="68">
        <f>IFERROR(VLOOKUP($A105,GanttChart!$A:$JD,262,FALSE),0)</f>
        <v>0</v>
      </c>
      <c r="F105" s="68">
        <f>IFERROR(VLOOKUP($A105,GanttChart!$A:$JD,263,FALSE),0)</f>
        <v>0</v>
      </c>
      <c r="G105" s="69">
        <f>IFERROR(VLOOKUP($A105,GanttChart!$A:$JD,264,FALSE),0)</f>
        <v>0</v>
      </c>
      <c r="H105" s="167"/>
      <c r="I105" s="69">
        <f t="shared" si="0"/>
        <v>0</v>
      </c>
    </row>
    <row r="106" spans="1:9" ht="14.25" hidden="1">
      <c r="A106" s="62">
        <v>5.15</v>
      </c>
      <c r="C106" s="67" t="str">
        <f>IFERROR(VLOOKUP($A106,GanttChart!$A:$JD,2,FALSE),"خطا")</f>
        <v>خطا</v>
      </c>
      <c r="D106" s="68">
        <f>IFERROR(VLOOKUP($A106,GanttChart!$A:$JD,261,FALSE),0)</f>
        <v>0</v>
      </c>
      <c r="E106" s="68">
        <f>IFERROR(VLOOKUP($A106,GanttChart!$A:$JD,262,FALSE),0)</f>
        <v>0</v>
      </c>
      <c r="F106" s="68">
        <f>IFERROR(VLOOKUP($A106,GanttChart!$A:$JD,263,FALSE),0)</f>
        <v>0</v>
      </c>
      <c r="G106" s="69">
        <f>IFERROR(VLOOKUP($A106,GanttChart!$A:$JD,264,FALSE),0)</f>
        <v>0</v>
      </c>
      <c r="H106" s="167"/>
      <c r="I106" s="69">
        <f t="shared" si="0"/>
        <v>0</v>
      </c>
    </row>
    <row r="107" spans="1:9" ht="14.25" hidden="1">
      <c r="A107" s="62">
        <v>5.16</v>
      </c>
      <c r="C107" s="67" t="str">
        <f>IFERROR(VLOOKUP($A107,GanttChart!$A:$JD,2,FALSE),"خطا")</f>
        <v>خطا</v>
      </c>
      <c r="D107" s="68">
        <f>IFERROR(VLOOKUP($A107,GanttChart!$A:$JD,261,FALSE),0)</f>
        <v>0</v>
      </c>
      <c r="E107" s="68">
        <f>IFERROR(VLOOKUP($A107,GanttChart!$A:$JD,262,FALSE),0)</f>
        <v>0</v>
      </c>
      <c r="F107" s="68">
        <f>IFERROR(VLOOKUP($A107,GanttChart!$A:$JD,263,FALSE),0)</f>
        <v>0</v>
      </c>
      <c r="G107" s="69">
        <f>IFERROR(VLOOKUP($A107,GanttChart!$A:$JD,264,FALSE),0)</f>
        <v>0</v>
      </c>
      <c r="H107" s="167"/>
      <c r="I107" s="69">
        <f t="shared" si="0"/>
        <v>0</v>
      </c>
    </row>
    <row r="108" spans="1:9" ht="14.25" hidden="1">
      <c r="A108" s="62">
        <v>5.17</v>
      </c>
      <c r="C108" s="67" t="str">
        <f>IFERROR(VLOOKUP($A108,GanttChart!$A:$JD,2,FALSE),"خطا")</f>
        <v>خطا</v>
      </c>
      <c r="D108" s="68">
        <f>IFERROR(VLOOKUP($A108,GanttChart!$A:$JD,261,FALSE),0)</f>
        <v>0</v>
      </c>
      <c r="E108" s="68">
        <f>IFERROR(VLOOKUP($A108,GanttChart!$A:$JD,262,FALSE),0)</f>
        <v>0</v>
      </c>
      <c r="F108" s="68">
        <f>IFERROR(VLOOKUP($A108,GanttChart!$A:$JD,263,FALSE),0)</f>
        <v>0</v>
      </c>
      <c r="G108" s="69">
        <f>IFERROR(VLOOKUP($A108,GanttChart!$A:$JD,264,FALSE),0)</f>
        <v>0</v>
      </c>
      <c r="H108" s="167"/>
      <c r="I108" s="69">
        <f t="shared" si="0"/>
        <v>0</v>
      </c>
    </row>
    <row r="109" spans="1:9" ht="14.25" hidden="1">
      <c r="A109" s="62">
        <v>5.18</v>
      </c>
      <c r="C109" s="67" t="str">
        <f>IFERROR(VLOOKUP($A109,GanttChart!$A:$JD,2,FALSE),"خطا")</f>
        <v>خطا</v>
      </c>
      <c r="D109" s="68">
        <f>IFERROR(VLOOKUP($A109,GanttChart!$A:$JD,261,FALSE),0)</f>
        <v>0</v>
      </c>
      <c r="E109" s="68">
        <f>IFERROR(VLOOKUP($A109,GanttChart!$A:$JD,262,FALSE),0)</f>
        <v>0</v>
      </c>
      <c r="F109" s="68">
        <f>IFERROR(VLOOKUP($A109,GanttChart!$A:$JD,263,FALSE),0)</f>
        <v>0</v>
      </c>
      <c r="G109" s="69">
        <f>IFERROR(VLOOKUP($A109,GanttChart!$A:$JD,264,FALSE),0)</f>
        <v>0</v>
      </c>
      <c r="H109" s="167"/>
      <c r="I109" s="69">
        <f t="shared" si="0"/>
        <v>0</v>
      </c>
    </row>
    <row r="110" spans="1:9" ht="14.25" hidden="1">
      <c r="A110" s="62">
        <v>5.19</v>
      </c>
      <c r="C110" s="67" t="str">
        <f>IFERROR(VLOOKUP($A110,GanttChart!$A:$JD,2,FALSE),"خطا")</f>
        <v>خطا</v>
      </c>
      <c r="D110" s="68">
        <f>IFERROR(VLOOKUP($A110,GanttChart!$A:$JD,261,FALSE),0)</f>
        <v>0</v>
      </c>
      <c r="E110" s="68">
        <f>IFERROR(VLOOKUP($A110,GanttChart!$A:$JD,262,FALSE),0)</f>
        <v>0</v>
      </c>
      <c r="F110" s="68">
        <f>IFERROR(VLOOKUP($A110,GanttChart!$A:$JD,263,FALSE),0)</f>
        <v>0</v>
      </c>
      <c r="G110" s="69">
        <f>IFERROR(VLOOKUP($A110,GanttChart!$A:$JD,264,FALSE),0)</f>
        <v>0</v>
      </c>
      <c r="H110" s="167"/>
      <c r="I110" s="69">
        <f t="shared" si="0"/>
        <v>0</v>
      </c>
    </row>
    <row r="111" spans="1:9" ht="14.25" hidden="1">
      <c r="A111" s="62">
        <v>5.21</v>
      </c>
      <c r="C111" s="67" t="str">
        <f>IFERROR(VLOOKUP($A111,GanttChart!$A:$JD,2,FALSE),"خطا")</f>
        <v>خطا</v>
      </c>
      <c r="D111" s="68">
        <f>IFERROR(VLOOKUP($A111,GanttChart!$A:$JD,261,FALSE),0)</f>
        <v>0</v>
      </c>
      <c r="E111" s="68">
        <f>IFERROR(VLOOKUP($A111,GanttChart!$A:$JD,262,FALSE),0)</f>
        <v>0</v>
      </c>
      <c r="F111" s="68">
        <f>IFERROR(VLOOKUP($A111,GanttChart!$A:$JD,263,FALSE),0)</f>
        <v>0</v>
      </c>
      <c r="G111" s="69">
        <f>IFERROR(VLOOKUP($A111,GanttChart!$A:$JD,264,FALSE),0)</f>
        <v>0</v>
      </c>
      <c r="H111" s="167"/>
      <c r="I111" s="69">
        <f t="shared" si="0"/>
        <v>0</v>
      </c>
    </row>
    <row r="112" spans="1:9" ht="14.25" hidden="1">
      <c r="A112" s="62">
        <v>5.22</v>
      </c>
      <c r="C112" s="67" t="str">
        <f>IFERROR(VLOOKUP($A112,GanttChart!$A:$JD,2,FALSE),"خطا")</f>
        <v>خطا</v>
      </c>
      <c r="D112" s="68">
        <f>IFERROR(VLOOKUP($A112,GanttChart!$A:$JD,261,FALSE),0)</f>
        <v>0</v>
      </c>
      <c r="E112" s="68">
        <f>IFERROR(VLOOKUP($A112,GanttChart!$A:$JD,262,FALSE),0)</f>
        <v>0</v>
      </c>
      <c r="F112" s="68">
        <f>IFERROR(VLOOKUP($A112,GanttChart!$A:$JD,263,FALSE),0)</f>
        <v>0</v>
      </c>
      <c r="G112" s="69">
        <f>IFERROR(VLOOKUP($A112,GanttChart!$A:$JD,264,FALSE),0)</f>
        <v>0</v>
      </c>
      <c r="H112" s="167"/>
      <c r="I112" s="69">
        <f t="shared" si="0"/>
        <v>0</v>
      </c>
    </row>
    <row r="113" spans="1:9" ht="14.25" hidden="1">
      <c r="A113" s="62">
        <v>5.23</v>
      </c>
      <c r="C113" s="67" t="str">
        <f>IFERROR(VLOOKUP($A113,GanttChart!$A:$JD,2,FALSE),"خطا")</f>
        <v>خطا</v>
      </c>
      <c r="D113" s="68">
        <f>IFERROR(VLOOKUP($A113,GanttChart!$A:$JD,261,FALSE),0)</f>
        <v>0</v>
      </c>
      <c r="E113" s="68">
        <f>IFERROR(VLOOKUP($A113,GanttChart!$A:$JD,262,FALSE),0)</f>
        <v>0</v>
      </c>
      <c r="F113" s="68">
        <f>IFERROR(VLOOKUP($A113,GanttChart!$A:$JD,263,FALSE),0)</f>
        <v>0</v>
      </c>
      <c r="G113" s="69">
        <f>IFERROR(VLOOKUP($A113,GanttChart!$A:$JD,264,FALSE),0)</f>
        <v>0</v>
      </c>
      <c r="H113" s="167"/>
      <c r="I113" s="69">
        <f t="shared" si="0"/>
        <v>0</v>
      </c>
    </row>
    <row r="114" spans="1:9" ht="14.25" hidden="1">
      <c r="A114" s="62">
        <v>6</v>
      </c>
      <c r="C114" s="67" t="str">
        <f>IFERROR(VLOOKUP($A114,GanttChart!$A:$JD,2,FALSE),"خطا")</f>
        <v>اقدامات اجرایی پیکربندی، مدیریت و کاربرد نرم افزار</v>
      </c>
      <c r="D114" s="68">
        <f>IFERROR(VLOOKUP($A114,GanttChart!$A:$JD,261,FALSE),0)</f>
        <v>0</v>
      </c>
      <c r="E114" s="68">
        <f>IFERROR(VLOOKUP($A114,GanttChart!$A:$JD,262,FALSE),0)</f>
        <v>0</v>
      </c>
      <c r="F114" s="68">
        <f>IFERROR(VLOOKUP($A114,GanttChart!$A:$JD,263,FALSE),0)</f>
        <v>0</v>
      </c>
      <c r="G114" s="69">
        <f>IFERROR(VLOOKUP($A114,GanttChart!$A:$JD,264,FALSE),0)</f>
        <v>0</v>
      </c>
      <c r="H114" s="167"/>
      <c r="I114" s="69">
        <f t="shared" si="0"/>
        <v>0</v>
      </c>
    </row>
    <row r="115" spans="1:9" ht="22.5">
      <c r="A115" s="62">
        <v>6.1</v>
      </c>
      <c r="C115" s="67" t="str">
        <f>IFERROR(VLOOKUP($A115,GanttChart!$A:$JD,2,FALSE),"خطا")</f>
        <v>اعلام نام های کاربری و حقوق دسترسی مورد نیاز هر یک از کاربران و اطلاعات مورد نیاز جهت تنظیم</v>
      </c>
      <c r="D115" s="68">
        <f>IFERROR(VLOOKUP($A115,GanttChart!$A:$JD,261,FALSE),0)</f>
        <v>0</v>
      </c>
      <c r="E115" s="68">
        <f>IFERROR(VLOOKUP($A115,GanttChart!$A:$JD,262,FALSE),0)</f>
        <v>0</v>
      </c>
      <c r="F115" s="68">
        <f>IFERROR(VLOOKUP($A115,GanttChart!$A:$JD,263,FALSE),0)</f>
        <v>0</v>
      </c>
      <c r="G115" s="69">
        <f>IFERROR(VLOOKUP($A115,GanttChart!$A:$JD,264,FALSE),0)</f>
        <v>0</v>
      </c>
      <c r="H115" s="167"/>
      <c r="I115" s="69">
        <f t="shared" si="0"/>
        <v>0</v>
      </c>
    </row>
    <row r="116" spans="1:9" ht="14.25">
      <c r="A116" s="62">
        <v>6.2</v>
      </c>
      <c r="C116" s="67" t="str">
        <f>IFERROR(VLOOKUP($A116,GanttChart!$A:$JD,2,FALSE),"خطا")</f>
        <v>تعریف و اعطای حق دسترسی به کاربران و گروه های کاربری اعلام شده</v>
      </c>
      <c r="D116" s="68">
        <f>IFERROR(VLOOKUP($A116,GanttChart!$A:$JD,261,FALSE),0)</f>
        <v>0</v>
      </c>
      <c r="E116" s="68">
        <f>IFERROR(VLOOKUP($A116,GanttChart!$A:$JD,262,FALSE),0)</f>
        <v>0</v>
      </c>
      <c r="F116" s="68">
        <f>IFERROR(VLOOKUP($A116,GanttChart!$A:$JD,263,FALSE),0)</f>
        <v>0</v>
      </c>
      <c r="G116" s="69">
        <f>IFERROR(VLOOKUP($A116,GanttChart!$A:$JD,264,FALSE),0)</f>
        <v>0</v>
      </c>
      <c r="H116" s="167"/>
      <c r="I116" s="69">
        <f t="shared" si="0"/>
        <v>0</v>
      </c>
    </row>
    <row r="117" spans="1:9" ht="22.5" hidden="1">
      <c r="A117" s="62">
        <v>6.3</v>
      </c>
      <c r="C117" s="67" t="str">
        <f>IFERROR(VLOOKUP($A117,GanttChart!$A:$JD,2,FALSE),"خطا")</f>
        <v>پیکربندی ماژول های پست الکترونیک و پیام کوتاه  بر روی سرویس دهنده های پست الکترونیک و پیام کوتاه کارفرما</v>
      </c>
      <c r="D117" s="68">
        <f>IFERROR(VLOOKUP($A117,GanttChart!$A:$JD,261,FALSE),0)</f>
        <v>0</v>
      </c>
      <c r="E117" s="68">
        <f>IFERROR(VLOOKUP($A117,GanttChart!$A:$JD,262,FALSE),0)</f>
        <v>0</v>
      </c>
      <c r="F117" s="68">
        <f>IFERROR(VLOOKUP($A117,GanttChart!$A:$JD,263,FALSE),0)</f>
        <v>0</v>
      </c>
      <c r="G117" s="69">
        <f>IFERROR(VLOOKUP($A117,GanttChart!$A:$JD,264,FALSE),0)</f>
        <v>0</v>
      </c>
      <c r="H117" s="167"/>
      <c r="I117" s="69">
        <f t="shared" si="0"/>
        <v>0</v>
      </c>
    </row>
    <row r="118" spans="1:9" ht="14.25">
      <c r="A118" s="62">
        <v>6.4</v>
      </c>
      <c r="C118" s="67" t="str">
        <f>IFERROR(VLOOKUP($A118,GanttChart!$A:$JD,2,FALSE),"خطا")</f>
        <v>ارائه دسترسی به وب سرویس استعلام ضمانت و شبا</v>
      </c>
      <c r="D118" s="68">
        <f>IFERROR(VLOOKUP($A118,GanttChart!$A:$JD,261,FALSE),0)</f>
        <v>0</v>
      </c>
      <c r="E118" s="68">
        <f>IFERROR(VLOOKUP($A118,GanttChart!$A:$JD,262,FALSE),0)</f>
        <v>0</v>
      </c>
      <c r="F118" s="68">
        <f>IFERROR(VLOOKUP($A118,GanttChart!$A:$JD,263,FALSE),0)</f>
        <v>0</v>
      </c>
      <c r="G118" s="69">
        <f>IFERROR(VLOOKUP($A118,GanttChart!$A:$JD,264,FALSE),0)</f>
        <v>0</v>
      </c>
      <c r="H118" s="167"/>
      <c r="I118" s="69">
        <f t="shared" si="0"/>
        <v>0</v>
      </c>
    </row>
    <row r="119" spans="1:9" ht="14.25">
      <c r="A119" s="62">
        <v>6.5</v>
      </c>
      <c r="C119" s="67" t="str">
        <f>IFERROR(VLOOKUP($A119,GanttChart!$A:$JD,2,FALSE),"خطا")</f>
        <v>تنظیم ماژول های استعلام ضمانت نامه و شبا</v>
      </c>
      <c r="D119" s="68">
        <f>IFERROR(VLOOKUP($A119,GanttChart!$A:$JD,261,FALSE),0)</f>
        <v>0</v>
      </c>
      <c r="E119" s="68">
        <f>IFERROR(VLOOKUP($A119,GanttChart!$A:$JD,262,FALSE),0)</f>
        <v>0</v>
      </c>
      <c r="F119" s="68">
        <f>IFERROR(VLOOKUP($A119,GanttChart!$A:$JD,263,FALSE),0)</f>
        <v>0</v>
      </c>
      <c r="G119" s="69">
        <f>IFERROR(VLOOKUP($A119,GanttChart!$A:$JD,264,FALSE),0)</f>
        <v>0</v>
      </c>
      <c r="H119" s="167"/>
      <c r="I119" s="69">
        <f t="shared" si="0"/>
        <v>0</v>
      </c>
    </row>
    <row r="120" spans="1:9" ht="14.25" hidden="1">
      <c r="A120" s="62">
        <v>6.6</v>
      </c>
      <c r="C120" s="67" t="str">
        <f>IFERROR(VLOOKUP($A120,GanttChart!$A:$JD,2,FALSE),"خطا")</f>
        <v>خطا</v>
      </c>
      <c r="D120" s="68">
        <f>IFERROR(VLOOKUP($A120,GanttChart!$A:$JD,261,FALSE),0)</f>
        <v>0</v>
      </c>
      <c r="E120" s="68">
        <f>IFERROR(VLOOKUP($A120,GanttChart!$A:$JD,262,FALSE),0)</f>
        <v>0</v>
      </c>
      <c r="F120" s="68">
        <f>IFERROR(VLOOKUP($A120,GanttChart!$A:$JD,263,FALSE),0)</f>
        <v>0</v>
      </c>
      <c r="G120" s="69">
        <f>IFERROR(VLOOKUP($A120,GanttChart!$A:$JD,264,FALSE),0)</f>
        <v>0</v>
      </c>
      <c r="H120" s="167"/>
      <c r="I120" s="69">
        <f t="shared" si="0"/>
        <v>0</v>
      </c>
    </row>
    <row r="121" spans="1:9" ht="14.25" hidden="1">
      <c r="A121" s="62">
        <v>6.7</v>
      </c>
      <c r="C121" s="67" t="str">
        <f>IFERROR(VLOOKUP($A121,GanttChart!$A:$JD,2,FALSE),"خطا")</f>
        <v>خطا</v>
      </c>
      <c r="D121" s="68">
        <f>IFERROR(VLOOKUP($A121,GanttChart!$A:$JD,261,FALSE),0)</f>
        <v>0</v>
      </c>
      <c r="E121" s="68">
        <f>IFERROR(VLOOKUP($A121,GanttChart!$A:$JD,262,FALSE),0)</f>
        <v>0</v>
      </c>
      <c r="F121" s="68">
        <f>IFERROR(VLOOKUP($A121,GanttChart!$A:$JD,263,FALSE),0)</f>
        <v>0</v>
      </c>
      <c r="G121" s="69">
        <f>IFERROR(VLOOKUP($A121,GanttChart!$A:$JD,264,FALSE),0)</f>
        <v>0</v>
      </c>
      <c r="H121" s="167"/>
      <c r="I121" s="69">
        <f t="shared" si="0"/>
        <v>0</v>
      </c>
    </row>
    <row r="122" spans="1:9" ht="14.25" hidden="1">
      <c r="A122" s="62">
        <v>6.8</v>
      </c>
      <c r="C122" s="67" t="str">
        <f>IFERROR(VLOOKUP($A122,GanttChart!$A:$JD,2,FALSE),"خطا")</f>
        <v>خطا</v>
      </c>
      <c r="D122" s="68">
        <f>IFERROR(VLOOKUP($A122,GanttChart!$A:$JD,261,FALSE),0)</f>
        <v>0</v>
      </c>
      <c r="E122" s="68">
        <f>IFERROR(VLOOKUP($A122,GanttChart!$A:$JD,262,FALSE),0)</f>
        <v>0</v>
      </c>
      <c r="F122" s="68">
        <f>IFERROR(VLOOKUP($A122,GanttChart!$A:$JD,263,FALSE),0)</f>
        <v>0</v>
      </c>
      <c r="G122" s="69">
        <f>IFERROR(VLOOKUP($A122,GanttChart!$A:$JD,264,FALSE),0)</f>
        <v>0</v>
      </c>
      <c r="H122" s="167"/>
      <c r="I122" s="69">
        <f t="shared" si="0"/>
        <v>0</v>
      </c>
    </row>
    <row r="123" spans="1:9" ht="14.25" hidden="1">
      <c r="A123" s="62">
        <v>6.9</v>
      </c>
      <c r="C123" s="67" t="str">
        <f>IFERROR(VLOOKUP($A123,GanttChart!$A:$JD,2,FALSE),"خطا")</f>
        <v>خطا</v>
      </c>
      <c r="D123" s="68">
        <f>IFERROR(VLOOKUP($A123,GanttChart!$A:$JD,261,FALSE),0)</f>
        <v>0</v>
      </c>
      <c r="E123" s="68">
        <f>IFERROR(VLOOKUP($A123,GanttChart!$A:$JD,262,FALSE),0)</f>
        <v>0</v>
      </c>
      <c r="F123" s="68">
        <f>IFERROR(VLOOKUP($A123,GanttChart!$A:$JD,263,FALSE),0)</f>
        <v>0</v>
      </c>
      <c r="G123" s="69">
        <f>IFERROR(VLOOKUP($A123,GanttChart!$A:$JD,264,FALSE),0)</f>
        <v>0</v>
      </c>
      <c r="H123" s="167"/>
      <c r="I123" s="69">
        <f t="shared" si="0"/>
        <v>0</v>
      </c>
    </row>
    <row r="124" spans="1:9" ht="14.25" hidden="1">
      <c r="A124" s="62">
        <v>6.11</v>
      </c>
      <c r="C124" s="67" t="str">
        <f>IFERROR(VLOOKUP($A124,GanttChart!$A:$JD,2,FALSE),"خطا")</f>
        <v>خطا</v>
      </c>
      <c r="D124" s="68">
        <f>IFERROR(VLOOKUP($A124,GanttChart!$A:$JD,261,FALSE),0)</f>
        <v>0</v>
      </c>
      <c r="E124" s="68">
        <f>IFERROR(VLOOKUP($A124,GanttChart!$A:$JD,262,FALSE),0)</f>
        <v>0</v>
      </c>
      <c r="F124" s="68">
        <f>IFERROR(VLOOKUP($A124,GanttChart!$A:$JD,263,FALSE),0)</f>
        <v>0</v>
      </c>
      <c r="G124" s="69">
        <f>IFERROR(VLOOKUP($A124,GanttChart!$A:$JD,264,FALSE),0)</f>
        <v>0</v>
      </c>
      <c r="H124" s="167"/>
      <c r="I124" s="69">
        <f t="shared" si="0"/>
        <v>0</v>
      </c>
    </row>
    <row r="125" spans="1:9" ht="14.25" hidden="1">
      <c r="A125" s="62">
        <v>6.12</v>
      </c>
      <c r="C125" s="67" t="str">
        <f>IFERROR(VLOOKUP($A125,GanttChart!$A:$JD,2,FALSE),"خطا")</f>
        <v>خطا</v>
      </c>
      <c r="D125" s="68">
        <f>IFERROR(VLOOKUP($A125,GanttChart!$A:$JD,261,FALSE),0)</f>
        <v>0</v>
      </c>
      <c r="E125" s="68">
        <f>IFERROR(VLOOKUP($A125,GanttChart!$A:$JD,262,FALSE),0)</f>
        <v>0</v>
      </c>
      <c r="F125" s="68">
        <f>IFERROR(VLOOKUP($A125,GanttChart!$A:$JD,263,FALSE),0)</f>
        <v>0</v>
      </c>
      <c r="G125" s="69">
        <f>IFERROR(VLOOKUP($A125,GanttChart!$A:$JD,264,FALSE),0)</f>
        <v>0</v>
      </c>
      <c r="H125" s="167"/>
      <c r="I125" s="69">
        <f t="shared" si="0"/>
        <v>0</v>
      </c>
    </row>
    <row r="126" spans="1:9" ht="14.25" hidden="1">
      <c r="A126" s="62">
        <v>6.13</v>
      </c>
      <c r="C126" s="67" t="str">
        <f>IFERROR(VLOOKUP($A126,GanttChart!$A:$JD,2,FALSE),"خطا")</f>
        <v>خطا</v>
      </c>
      <c r="D126" s="68">
        <f>IFERROR(VLOOKUP($A126,GanttChart!$A:$JD,261,FALSE),0)</f>
        <v>0</v>
      </c>
      <c r="E126" s="68">
        <f>IFERROR(VLOOKUP($A126,GanttChart!$A:$JD,262,FALSE),0)</f>
        <v>0</v>
      </c>
      <c r="F126" s="68">
        <f>IFERROR(VLOOKUP($A126,GanttChart!$A:$JD,263,FALSE),0)</f>
        <v>0</v>
      </c>
      <c r="G126" s="69">
        <f>IFERROR(VLOOKUP($A126,GanttChart!$A:$JD,264,FALSE),0)</f>
        <v>0</v>
      </c>
      <c r="H126" s="167"/>
      <c r="I126" s="69">
        <f t="shared" si="0"/>
        <v>0</v>
      </c>
    </row>
    <row r="127" spans="1:9" ht="14.25" hidden="1">
      <c r="A127" s="62">
        <v>6.14</v>
      </c>
      <c r="C127" s="67" t="str">
        <f>IFERROR(VLOOKUP($A127,GanttChart!$A:$JD,2,FALSE),"خطا")</f>
        <v>خطا</v>
      </c>
      <c r="D127" s="68">
        <f>IFERROR(VLOOKUP($A127,GanttChart!$A:$JD,261,FALSE),0)</f>
        <v>0</v>
      </c>
      <c r="E127" s="68">
        <f>IFERROR(VLOOKUP($A127,GanttChart!$A:$JD,262,FALSE),0)</f>
        <v>0</v>
      </c>
      <c r="F127" s="68">
        <f>IFERROR(VLOOKUP($A127,GanttChart!$A:$JD,263,FALSE),0)</f>
        <v>0</v>
      </c>
      <c r="G127" s="69">
        <f>IFERROR(VLOOKUP($A127,GanttChart!$A:$JD,264,FALSE),0)</f>
        <v>0</v>
      </c>
      <c r="H127" s="167"/>
      <c r="I127" s="69">
        <f t="shared" si="0"/>
        <v>0</v>
      </c>
    </row>
    <row r="128" spans="1:9" ht="14.25" hidden="1">
      <c r="A128" s="62">
        <v>6.15</v>
      </c>
      <c r="C128" s="67" t="str">
        <f>IFERROR(VLOOKUP($A128,GanttChart!$A:$JD,2,FALSE),"خطا")</f>
        <v>خطا</v>
      </c>
      <c r="D128" s="68">
        <f>IFERROR(VLOOKUP($A128,GanttChart!$A:$JD,261,FALSE),0)</f>
        <v>0</v>
      </c>
      <c r="E128" s="68">
        <f>IFERROR(VLOOKUP($A128,GanttChart!$A:$JD,262,FALSE),0)</f>
        <v>0</v>
      </c>
      <c r="F128" s="68">
        <f>IFERROR(VLOOKUP($A128,GanttChart!$A:$JD,263,FALSE),0)</f>
        <v>0</v>
      </c>
      <c r="G128" s="69">
        <f>IFERROR(VLOOKUP($A128,GanttChart!$A:$JD,264,FALSE),0)</f>
        <v>0</v>
      </c>
      <c r="H128" s="167"/>
      <c r="I128" s="69">
        <f t="shared" si="0"/>
        <v>0</v>
      </c>
    </row>
    <row r="129" spans="1:9" ht="14.25" hidden="1">
      <c r="A129" s="62">
        <v>6.16</v>
      </c>
      <c r="C129" s="67" t="str">
        <f>IFERROR(VLOOKUP($A129,GanttChart!$A:$JD,2,FALSE),"خطا")</f>
        <v>خطا</v>
      </c>
      <c r="D129" s="68">
        <f>IFERROR(VLOOKUP($A129,GanttChart!$A:$JD,261,FALSE),0)</f>
        <v>0</v>
      </c>
      <c r="E129" s="68">
        <f>IFERROR(VLOOKUP($A129,GanttChart!$A:$JD,262,FALSE),0)</f>
        <v>0</v>
      </c>
      <c r="F129" s="68">
        <f>IFERROR(VLOOKUP($A129,GanttChart!$A:$JD,263,FALSE),0)</f>
        <v>0</v>
      </c>
      <c r="G129" s="69">
        <f>IFERROR(VLOOKUP($A129,GanttChart!$A:$JD,264,FALSE),0)</f>
        <v>0</v>
      </c>
      <c r="H129" s="167"/>
      <c r="I129" s="69">
        <f t="shared" si="0"/>
        <v>0</v>
      </c>
    </row>
    <row r="130" spans="1:9" ht="14.25" hidden="1">
      <c r="A130" s="62">
        <v>6.17</v>
      </c>
      <c r="C130" s="67" t="str">
        <f>IFERROR(VLOOKUP($A130,GanttChart!$A:$JD,2,FALSE),"خطا")</f>
        <v>خطا</v>
      </c>
      <c r="D130" s="68">
        <f>IFERROR(VLOOKUP($A130,GanttChart!$A:$JD,261,FALSE),0)</f>
        <v>0</v>
      </c>
      <c r="E130" s="68">
        <f>IFERROR(VLOOKUP($A130,GanttChart!$A:$JD,262,FALSE),0)</f>
        <v>0</v>
      </c>
      <c r="F130" s="68">
        <f>IFERROR(VLOOKUP($A130,GanttChart!$A:$JD,263,FALSE),0)</f>
        <v>0</v>
      </c>
      <c r="G130" s="69">
        <f>IFERROR(VLOOKUP($A130,GanttChart!$A:$JD,264,FALSE),0)</f>
        <v>0</v>
      </c>
      <c r="H130" s="167"/>
      <c r="I130" s="69">
        <f t="shared" si="0"/>
        <v>0</v>
      </c>
    </row>
    <row r="131" spans="1:9" ht="14.25" hidden="1">
      <c r="A131" s="62">
        <v>6.18</v>
      </c>
      <c r="C131" s="67" t="str">
        <f>IFERROR(VLOOKUP($A131,GanttChart!$A:$JD,2,FALSE),"خطا")</f>
        <v>خطا</v>
      </c>
      <c r="D131" s="68">
        <f>IFERROR(VLOOKUP($A131,GanttChart!$A:$JD,261,FALSE),0)</f>
        <v>0</v>
      </c>
      <c r="E131" s="68">
        <f>IFERROR(VLOOKUP($A131,GanttChart!$A:$JD,262,FALSE),0)</f>
        <v>0</v>
      </c>
      <c r="F131" s="68">
        <f>IFERROR(VLOOKUP($A131,GanttChart!$A:$JD,263,FALSE),0)</f>
        <v>0</v>
      </c>
      <c r="G131" s="69">
        <f>IFERROR(VLOOKUP($A131,GanttChart!$A:$JD,264,FALSE),0)</f>
        <v>0</v>
      </c>
      <c r="H131" s="167"/>
      <c r="I131" s="69">
        <f t="shared" si="0"/>
        <v>0</v>
      </c>
    </row>
    <row r="132" spans="1:9" ht="14.25" hidden="1">
      <c r="A132" s="62">
        <v>6.19</v>
      </c>
      <c r="C132" s="67" t="str">
        <f>IFERROR(VLOOKUP($A132,GanttChart!$A:$JD,2,FALSE),"خطا")</f>
        <v>خطا</v>
      </c>
      <c r="D132" s="68">
        <f>IFERROR(VLOOKUP($A132,GanttChart!$A:$JD,261,FALSE),0)</f>
        <v>0</v>
      </c>
      <c r="E132" s="68">
        <f>IFERROR(VLOOKUP($A132,GanttChart!$A:$JD,262,FALSE),0)</f>
        <v>0</v>
      </c>
      <c r="F132" s="68">
        <f>IFERROR(VLOOKUP($A132,GanttChart!$A:$JD,263,FALSE),0)</f>
        <v>0</v>
      </c>
      <c r="G132" s="69">
        <f>IFERROR(VLOOKUP($A132,GanttChart!$A:$JD,264,FALSE),0)</f>
        <v>0</v>
      </c>
      <c r="H132" s="167"/>
      <c r="I132" s="69">
        <f t="shared" si="0"/>
        <v>0</v>
      </c>
    </row>
    <row r="133" spans="1:9" ht="14.25" hidden="1">
      <c r="A133" s="62">
        <v>6.21</v>
      </c>
      <c r="C133" s="67" t="str">
        <f>IFERROR(VLOOKUP($A133,GanttChart!$A:$JD,2,FALSE),"خطا")</f>
        <v>خطا</v>
      </c>
      <c r="D133" s="68">
        <f>IFERROR(VLOOKUP($A133,GanttChart!$A:$JD,261,FALSE),0)</f>
        <v>0</v>
      </c>
      <c r="E133" s="68">
        <f>IFERROR(VLOOKUP($A133,GanttChart!$A:$JD,262,FALSE),0)</f>
        <v>0</v>
      </c>
      <c r="F133" s="68">
        <f>IFERROR(VLOOKUP($A133,GanttChart!$A:$JD,263,FALSE),0)</f>
        <v>0</v>
      </c>
      <c r="G133" s="69">
        <f>IFERROR(VLOOKUP($A133,GanttChart!$A:$JD,264,FALSE),0)</f>
        <v>0</v>
      </c>
      <c r="H133" s="167"/>
      <c r="I133" s="69">
        <f t="shared" si="0"/>
        <v>0</v>
      </c>
    </row>
    <row r="134" spans="1:9" ht="14.25" hidden="1">
      <c r="A134" s="62">
        <v>6.22</v>
      </c>
      <c r="C134" s="67" t="str">
        <f>IFERROR(VLOOKUP($A134,GanttChart!$A:$JD,2,FALSE),"خطا")</f>
        <v>خطا</v>
      </c>
      <c r="D134" s="68">
        <f>IFERROR(VLOOKUP($A134,GanttChart!$A:$JD,261,FALSE),0)</f>
        <v>0</v>
      </c>
      <c r="E134" s="68">
        <f>IFERROR(VLOOKUP($A134,GanttChart!$A:$JD,262,FALSE),0)</f>
        <v>0</v>
      </c>
      <c r="F134" s="68">
        <f>IFERROR(VLOOKUP($A134,GanttChart!$A:$JD,263,FALSE),0)</f>
        <v>0</v>
      </c>
      <c r="G134" s="69">
        <f>IFERROR(VLOOKUP($A134,GanttChart!$A:$JD,264,FALSE),0)</f>
        <v>0</v>
      </c>
      <c r="H134" s="167"/>
      <c r="I134" s="69">
        <f t="shared" si="0"/>
        <v>0</v>
      </c>
    </row>
    <row r="135" spans="1:9" ht="14.25" hidden="1">
      <c r="A135" s="62">
        <v>6.23</v>
      </c>
      <c r="C135" s="67" t="str">
        <f>IFERROR(VLOOKUP($A135,GanttChart!$A:$JD,2,FALSE),"خطا")</f>
        <v>خطا</v>
      </c>
      <c r="D135" s="68">
        <f>IFERROR(VLOOKUP($A135,GanttChart!$A:$JD,261,FALSE),0)</f>
        <v>0</v>
      </c>
      <c r="E135" s="68">
        <f>IFERROR(VLOOKUP($A135,GanttChart!$A:$JD,262,FALSE),0)</f>
        <v>0</v>
      </c>
      <c r="F135" s="68">
        <f>IFERROR(VLOOKUP($A135,GanttChart!$A:$JD,263,FALSE),0)</f>
        <v>0</v>
      </c>
      <c r="G135" s="69">
        <f>IFERROR(VLOOKUP($A135,GanttChart!$A:$JD,264,FALSE),0)</f>
        <v>0</v>
      </c>
      <c r="H135" s="167"/>
      <c r="I135" s="69">
        <f t="shared" si="0"/>
        <v>0</v>
      </c>
    </row>
    <row r="136" spans="1:9" ht="14.25" hidden="1">
      <c r="A136" s="62">
        <v>7</v>
      </c>
      <c r="C136" s="67" t="str">
        <f>IFERROR(VLOOKUP($A136,GanttChart!$A:$JD,2,FALSE),"خطا")</f>
        <v>اقدامات تست امنیت زیر ساخت نرم افزاری استقرار یافته</v>
      </c>
      <c r="D136" s="68">
        <f>IFERROR(VLOOKUP($A136,GanttChart!$A:$JD,261,FALSE),0)</f>
        <v>0</v>
      </c>
      <c r="E136" s="68">
        <f>IFERROR(VLOOKUP($A136,GanttChart!$A:$JD,262,FALSE),0)</f>
        <v>0</v>
      </c>
      <c r="F136" s="68">
        <f>IFERROR(VLOOKUP($A136,GanttChart!$A:$JD,263,FALSE),0)</f>
        <v>0</v>
      </c>
      <c r="G136" s="69">
        <f>IFERROR(VLOOKUP($A136,GanttChart!$A:$JD,264,FALSE),0)</f>
        <v>0</v>
      </c>
      <c r="H136" s="167"/>
      <c r="I136" s="69">
        <f t="shared" si="0"/>
        <v>0</v>
      </c>
    </row>
    <row r="137" spans="1:9" ht="14.25">
      <c r="A137" s="62">
        <v>7.1</v>
      </c>
      <c r="C137" s="67" t="str">
        <f>IFERROR(VLOOKUP($A137,GanttChart!$A:$JD,2,FALSE),"خطا")</f>
        <v>تنظیم و امضاء صورت جلسه اقدامات اجرایی پروژه</v>
      </c>
      <c r="D137" s="68">
        <f>IFERROR(VLOOKUP($A137,GanttChart!$A:$JD,261,FALSE),0)</f>
        <v>0</v>
      </c>
      <c r="E137" s="68">
        <f>IFERROR(VLOOKUP($A137,GanttChart!$A:$JD,262,FALSE),0)</f>
        <v>0</v>
      </c>
      <c r="F137" s="68">
        <f>IFERROR(VLOOKUP($A137,GanttChart!$A:$JD,263,FALSE),0)</f>
        <v>0</v>
      </c>
      <c r="G137" s="69">
        <f>IFERROR(VLOOKUP($A137,GanttChart!$A:$JD,264,FALSE),0)</f>
        <v>0</v>
      </c>
      <c r="H137" s="167"/>
      <c r="I137" s="69">
        <f t="shared" si="0"/>
        <v>0</v>
      </c>
    </row>
    <row r="138" spans="1:9" ht="22.5">
      <c r="A138" s="62">
        <v>7.2</v>
      </c>
      <c r="C138" s="67" t="str">
        <f>IFERROR(VLOOKUP($A138,GanttChart!$A:$JD,2,FALSE),"خطا")</f>
        <v>انجام اقدامات پیکربندی امنیتی در سطح WAF  و قرار گیری سرور در محیط عملیاتی</v>
      </c>
      <c r="D138" s="68">
        <f>IFERROR(VLOOKUP($A138,GanttChart!$A:$JD,261,FALSE),0)</f>
        <v>0</v>
      </c>
      <c r="E138" s="68">
        <f>IFERROR(VLOOKUP($A138,GanttChart!$A:$JD,262,FALSE),0)</f>
        <v>0</v>
      </c>
      <c r="F138" s="68">
        <f>IFERROR(VLOOKUP($A138,GanttChart!$A:$JD,263,FALSE),0)</f>
        <v>0</v>
      </c>
      <c r="G138" s="69">
        <f>IFERROR(VLOOKUP($A138,GanttChart!$A:$JD,264,FALSE),0)</f>
        <v>0</v>
      </c>
      <c r="H138" s="167"/>
      <c r="I138" s="69">
        <f t="shared" si="0"/>
        <v>0</v>
      </c>
    </row>
    <row r="139" spans="1:9" ht="14.25">
      <c r="A139" s="62">
        <v>7.3</v>
      </c>
      <c r="C139" s="67" t="str">
        <f>IFERROR(VLOOKUP($A139,GanttChart!$A:$JD,2,FALSE),"خطا")</f>
        <v>اجرای تست امنیت و ارائه گزارش مربوطه</v>
      </c>
      <c r="D139" s="68">
        <f>IFERROR(VLOOKUP($A139,GanttChart!$A:$JD,261,FALSE),0)</f>
        <v>0</v>
      </c>
      <c r="E139" s="68">
        <f>IFERROR(VLOOKUP($A139,GanttChart!$A:$JD,262,FALSE),0)</f>
        <v>0</v>
      </c>
      <c r="F139" s="68">
        <f>IFERROR(VLOOKUP($A139,GanttChart!$A:$JD,263,FALSE),0)</f>
        <v>0</v>
      </c>
      <c r="G139" s="69">
        <f>IFERROR(VLOOKUP($A139,GanttChart!$A:$JD,264,FALSE),0)</f>
        <v>0</v>
      </c>
      <c r="H139" s="167"/>
      <c r="I139" s="69">
        <f t="shared" si="0"/>
        <v>0</v>
      </c>
    </row>
    <row r="140" spans="1:9" ht="14.25" hidden="1">
      <c r="A140" s="62">
        <v>7.4</v>
      </c>
      <c r="C140" s="67" t="str">
        <f>IFERROR(VLOOKUP($A140,GanttChart!$A:$JD,2,FALSE),"خطا")</f>
        <v>رفع اشکالات گزارش شده در سطح نرم افزار بر روی سرور اصلی</v>
      </c>
      <c r="D140" s="68">
        <f>IFERROR(VLOOKUP($A140,GanttChart!$A:$JD,261,FALSE),0)</f>
        <v>0</v>
      </c>
      <c r="E140" s="68">
        <f>IFERROR(VLOOKUP($A140,GanttChart!$A:$JD,262,FALSE),0)</f>
        <v>0</v>
      </c>
      <c r="F140" s="68">
        <f>IFERROR(VLOOKUP($A140,GanttChart!$A:$JD,263,FALSE),0)</f>
        <v>0</v>
      </c>
      <c r="G140" s="69">
        <f>IFERROR(VLOOKUP($A140,GanttChart!$A:$JD,264,FALSE),0)</f>
        <v>0</v>
      </c>
      <c r="H140" s="167"/>
      <c r="I140" s="69">
        <f t="shared" si="0"/>
        <v>0</v>
      </c>
    </row>
    <row r="141" spans="1:9" ht="14.25" hidden="1">
      <c r="A141" s="62">
        <v>7.5</v>
      </c>
      <c r="C141" s="67" t="str">
        <f>IFERROR(VLOOKUP($A141,GanttChart!$A:$JD,2,FALSE),"خطا")</f>
        <v>تست مجدد سامانه</v>
      </c>
      <c r="D141" s="68">
        <f>IFERROR(VLOOKUP($A141,GanttChart!$A:$JD,261,FALSE),0)</f>
        <v>0</v>
      </c>
      <c r="E141" s="68">
        <f>IFERROR(VLOOKUP($A141,GanttChart!$A:$JD,262,FALSE),0)</f>
        <v>0</v>
      </c>
      <c r="F141" s="68">
        <f>IFERROR(VLOOKUP($A141,GanttChart!$A:$JD,263,FALSE),0)</f>
        <v>0</v>
      </c>
      <c r="G141" s="69">
        <f>IFERROR(VLOOKUP($A141,GanttChart!$A:$JD,264,FALSE),0)</f>
        <v>0</v>
      </c>
      <c r="H141" s="167"/>
      <c r="I141" s="69">
        <f t="shared" si="0"/>
        <v>0</v>
      </c>
    </row>
    <row r="142" spans="1:9" ht="14.25" hidden="1">
      <c r="A142" s="62">
        <v>7.6</v>
      </c>
      <c r="C142" s="67" t="str">
        <f>IFERROR(VLOOKUP($A142,GanttChart!$A:$JD,2,FALSE),"خطا")</f>
        <v>تایید امنیت سامانه</v>
      </c>
      <c r="D142" s="68">
        <f>IFERROR(VLOOKUP($A142,GanttChart!$A:$JD,261,FALSE),0)</f>
        <v>0</v>
      </c>
      <c r="E142" s="68">
        <f>IFERROR(VLOOKUP($A142,GanttChart!$A:$JD,262,FALSE),0)</f>
        <v>0</v>
      </c>
      <c r="F142" s="68">
        <f>IFERROR(VLOOKUP($A142,GanttChart!$A:$JD,263,FALSE),0)</f>
        <v>0</v>
      </c>
      <c r="G142" s="69">
        <f>IFERROR(VLOOKUP($A142,GanttChart!$A:$JD,264,FALSE),0)</f>
        <v>0</v>
      </c>
      <c r="H142" s="167"/>
      <c r="I142" s="69">
        <f t="shared" si="0"/>
        <v>0</v>
      </c>
    </row>
    <row r="143" spans="1:9" ht="14.25" hidden="1">
      <c r="A143" s="62">
        <v>7.7</v>
      </c>
      <c r="C143" s="67" t="str">
        <f>IFERROR(VLOOKUP($A143,GanttChart!$A:$JD,2,FALSE),"خطا")</f>
        <v>خطا</v>
      </c>
      <c r="D143" s="68">
        <f>IFERROR(VLOOKUP($A143,GanttChart!$A:$JD,261,FALSE),0)</f>
        <v>0</v>
      </c>
      <c r="E143" s="68">
        <f>IFERROR(VLOOKUP($A143,GanttChart!$A:$JD,262,FALSE),0)</f>
        <v>0</v>
      </c>
      <c r="F143" s="68">
        <f>IFERROR(VLOOKUP($A143,GanttChart!$A:$JD,263,FALSE),0)</f>
        <v>0</v>
      </c>
      <c r="G143" s="69">
        <f>IFERROR(VLOOKUP($A143,GanttChart!$A:$JD,264,FALSE),0)</f>
        <v>0</v>
      </c>
      <c r="H143" s="167"/>
      <c r="I143" s="69">
        <f t="shared" si="0"/>
        <v>0</v>
      </c>
    </row>
    <row r="144" spans="1:9" ht="14.25" hidden="1">
      <c r="A144" s="62">
        <v>7.8</v>
      </c>
      <c r="C144" s="67" t="str">
        <f>IFERROR(VLOOKUP($A144,GanttChart!$A:$JD,2,FALSE),"خطا")</f>
        <v>خطا</v>
      </c>
      <c r="D144" s="68">
        <f>IFERROR(VLOOKUP($A144,GanttChart!$A:$JD,261,FALSE),0)</f>
        <v>0</v>
      </c>
      <c r="E144" s="68">
        <f>IFERROR(VLOOKUP($A144,GanttChart!$A:$JD,262,FALSE),0)</f>
        <v>0</v>
      </c>
      <c r="F144" s="68">
        <f>IFERROR(VLOOKUP($A144,GanttChart!$A:$JD,263,FALSE),0)</f>
        <v>0</v>
      </c>
      <c r="G144" s="69">
        <f>IFERROR(VLOOKUP($A144,GanttChart!$A:$JD,264,FALSE),0)</f>
        <v>0</v>
      </c>
      <c r="H144" s="167"/>
      <c r="I144" s="69">
        <f t="shared" si="0"/>
        <v>0</v>
      </c>
    </row>
    <row r="145" spans="1:9" ht="14.25" hidden="1">
      <c r="A145" s="62">
        <v>7.9</v>
      </c>
      <c r="C145" s="67" t="str">
        <f>IFERROR(VLOOKUP($A145,GanttChart!$A:$JD,2,FALSE),"خطا")</f>
        <v>خطا</v>
      </c>
      <c r="D145" s="68">
        <f>IFERROR(VLOOKUP($A145,GanttChart!$A:$JD,261,FALSE),0)</f>
        <v>0</v>
      </c>
      <c r="E145" s="68">
        <f>IFERROR(VLOOKUP($A145,GanttChart!$A:$JD,262,FALSE),0)</f>
        <v>0</v>
      </c>
      <c r="F145" s="68">
        <f>IFERROR(VLOOKUP($A145,GanttChart!$A:$JD,263,FALSE),0)</f>
        <v>0</v>
      </c>
      <c r="G145" s="69">
        <f>IFERROR(VLOOKUP($A145,GanttChart!$A:$JD,264,FALSE),0)</f>
        <v>0</v>
      </c>
      <c r="H145" s="167"/>
      <c r="I145" s="69">
        <f t="shared" si="0"/>
        <v>0</v>
      </c>
    </row>
    <row r="146" spans="1:9" ht="14.25" hidden="1">
      <c r="A146" s="62">
        <v>7.11</v>
      </c>
      <c r="C146" s="67" t="str">
        <f>IFERROR(VLOOKUP($A146,GanttChart!$A:$JD,2,FALSE),"خطا")</f>
        <v>خطا</v>
      </c>
      <c r="D146" s="68">
        <f>IFERROR(VLOOKUP($A146,GanttChart!$A:$JD,261,FALSE),0)</f>
        <v>0</v>
      </c>
      <c r="E146" s="68">
        <f>IFERROR(VLOOKUP($A146,GanttChart!$A:$JD,262,FALSE),0)</f>
        <v>0</v>
      </c>
      <c r="F146" s="68">
        <f>IFERROR(VLOOKUP($A146,GanttChart!$A:$JD,263,FALSE),0)</f>
        <v>0</v>
      </c>
      <c r="G146" s="69">
        <f>IFERROR(VLOOKUP($A146,GanttChart!$A:$JD,264,FALSE),0)</f>
        <v>0</v>
      </c>
      <c r="H146" s="167"/>
      <c r="I146" s="69">
        <f t="shared" si="0"/>
        <v>0</v>
      </c>
    </row>
    <row r="147" spans="1:9" ht="14.25" hidden="1">
      <c r="A147" s="62">
        <v>7.12</v>
      </c>
      <c r="C147" s="67" t="str">
        <f>IFERROR(VLOOKUP($A147,GanttChart!$A:$JD,2,FALSE),"خطا")</f>
        <v>خطا</v>
      </c>
      <c r="D147" s="68">
        <f>IFERROR(VLOOKUP($A147,GanttChart!$A:$JD,261,FALSE),0)</f>
        <v>0</v>
      </c>
      <c r="E147" s="68">
        <f>IFERROR(VLOOKUP($A147,GanttChart!$A:$JD,262,FALSE),0)</f>
        <v>0</v>
      </c>
      <c r="F147" s="68">
        <f>IFERROR(VLOOKUP($A147,GanttChart!$A:$JD,263,FALSE),0)</f>
        <v>0</v>
      </c>
      <c r="G147" s="69">
        <f>IFERROR(VLOOKUP($A147,GanttChart!$A:$JD,264,FALSE),0)</f>
        <v>0</v>
      </c>
      <c r="H147" s="167"/>
      <c r="I147" s="69">
        <f t="shared" si="0"/>
        <v>0</v>
      </c>
    </row>
    <row r="148" spans="1:9" ht="14.25" hidden="1">
      <c r="A148" s="62">
        <v>7.13</v>
      </c>
      <c r="C148" s="67" t="str">
        <f>IFERROR(VLOOKUP($A148,GanttChart!$A:$JD,2,FALSE),"خطا")</f>
        <v>خطا</v>
      </c>
      <c r="D148" s="68">
        <f>IFERROR(VLOOKUP($A148,GanttChart!$A:$JD,261,FALSE),0)</f>
        <v>0</v>
      </c>
      <c r="E148" s="68">
        <f>IFERROR(VLOOKUP($A148,GanttChart!$A:$JD,262,FALSE),0)</f>
        <v>0</v>
      </c>
      <c r="F148" s="68">
        <f>IFERROR(VLOOKUP($A148,GanttChart!$A:$JD,263,FALSE),0)</f>
        <v>0</v>
      </c>
      <c r="G148" s="69">
        <f>IFERROR(VLOOKUP($A148,GanttChart!$A:$JD,264,FALSE),0)</f>
        <v>0</v>
      </c>
      <c r="H148" s="167"/>
      <c r="I148" s="69">
        <f t="shared" si="0"/>
        <v>0</v>
      </c>
    </row>
    <row r="149" spans="1:9" ht="14.25" hidden="1">
      <c r="A149" s="62">
        <v>7.14</v>
      </c>
      <c r="C149" s="67" t="str">
        <f>IFERROR(VLOOKUP($A149,GanttChart!$A:$JD,2,FALSE),"خطا")</f>
        <v>خطا</v>
      </c>
      <c r="D149" s="68">
        <f>IFERROR(VLOOKUP($A149,GanttChart!$A:$JD,261,FALSE),0)</f>
        <v>0</v>
      </c>
      <c r="E149" s="68">
        <f>IFERROR(VLOOKUP($A149,GanttChart!$A:$JD,262,FALSE),0)</f>
        <v>0</v>
      </c>
      <c r="F149" s="68">
        <f>IFERROR(VLOOKUP($A149,GanttChart!$A:$JD,263,FALSE),0)</f>
        <v>0</v>
      </c>
      <c r="G149" s="69">
        <f>IFERROR(VLOOKUP($A149,GanttChart!$A:$JD,264,FALSE),0)</f>
        <v>0</v>
      </c>
      <c r="H149" s="167"/>
      <c r="I149" s="69">
        <f t="shared" si="0"/>
        <v>0</v>
      </c>
    </row>
    <row r="150" spans="1:9" ht="14.25" hidden="1">
      <c r="A150" s="62">
        <v>7.15</v>
      </c>
      <c r="C150" s="67" t="str">
        <f>IFERROR(VLOOKUP($A150,GanttChart!$A:$JD,2,FALSE),"خطا")</f>
        <v>خطا</v>
      </c>
      <c r="D150" s="68">
        <f>IFERROR(VLOOKUP($A150,GanttChart!$A:$JD,261,FALSE),0)</f>
        <v>0</v>
      </c>
      <c r="E150" s="68">
        <f>IFERROR(VLOOKUP($A150,GanttChart!$A:$JD,262,FALSE),0)</f>
        <v>0</v>
      </c>
      <c r="F150" s="68">
        <f>IFERROR(VLOOKUP($A150,GanttChart!$A:$JD,263,FALSE),0)</f>
        <v>0</v>
      </c>
      <c r="G150" s="69">
        <f>IFERROR(VLOOKUP($A150,GanttChart!$A:$JD,264,FALSE),0)</f>
        <v>0</v>
      </c>
      <c r="H150" s="167"/>
      <c r="I150" s="69">
        <f t="shared" si="0"/>
        <v>0</v>
      </c>
    </row>
    <row r="151" spans="1:9" ht="14.25" hidden="1">
      <c r="A151" s="62">
        <v>7.16</v>
      </c>
      <c r="C151" s="67" t="str">
        <f>IFERROR(VLOOKUP($A151,GanttChart!$A:$JD,2,FALSE),"خطا")</f>
        <v>خطا</v>
      </c>
      <c r="D151" s="68">
        <f>IFERROR(VLOOKUP($A151,GanttChart!$A:$JD,261,FALSE),0)</f>
        <v>0</v>
      </c>
      <c r="E151" s="68">
        <f>IFERROR(VLOOKUP($A151,GanttChart!$A:$JD,262,FALSE),0)</f>
        <v>0</v>
      </c>
      <c r="F151" s="68">
        <f>IFERROR(VLOOKUP($A151,GanttChart!$A:$JD,263,FALSE),0)</f>
        <v>0</v>
      </c>
      <c r="G151" s="69">
        <f>IFERROR(VLOOKUP($A151,GanttChart!$A:$JD,264,FALSE),0)</f>
        <v>0</v>
      </c>
      <c r="H151" s="167"/>
      <c r="I151" s="69">
        <f t="shared" si="0"/>
        <v>0</v>
      </c>
    </row>
    <row r="152" spans="1:9" ht="14.25" hidden="1">
      <c r="A152" s="62">
        <v>7.17</v>
      </c>
      <c r="C152" s="67" t="str">
        <f>IFERROR(VLOOKUP($A152,GanttChart!$A:$JD,2,FALSE),"خطا")</f>
        <v>خطا</v>
      </c>
      <c r="D152" s="68">
        <f>IFERROR(VLOOKUP($A152,GanttChart!$A:$JD,261,FALSE),0)</f>
        <v>0</v>
      </c>
      <c r="E152" s="68">
        <f>IFERROR(VLOOKUP($A152,GanttChart!$A:$JD,262,FALSE),0)</f>
        <v>0</v>
      </c>
      <c r="F152" s="68">
        <f>IFERROR(VLOOKUP($A152,GanttChart!$A:$JD,263,FALSE),0)</f>
        <v>0</v>
      </c>
      <c r="G152" s="69">
        <f>IFERROR(VLOOKUP($A152,GanttChart!$A:$JD,264,FALSE),0)</f>
        <v>0</v>
      </c>
      <c r="H152" s="167"/>
      <c r="I152" s="69">
        <f t="shared" si="0"/>
        <v>0</v>
      </c>
    </row>
    <row r="153" spans="1:9" ht="14.25" hidden="1">
      <c r="A153" s="62">
        <v>7.18</v>
      </c>
      <c r="C153" s="67" t="str">
        <f>IFERROR(VLOOKUP($A153,GanttChart!$A:$JD,2,FALSE),"خطا")</f>
        <v>خطا</v>
      </c>
      <c r="D153" s="68">
        <f>IFERROR(VLOOKUP($A153,GanttChart!$A:$JD,261,FALSE),0)</f>
        <v>0</v>
      </c>
      <c r="E153" s="68">
        <f>IFERROR(VLOOKUP($A153,GanttChart!$A:$JD,262,FALSE),0)</f>
        <v>0</v>
      </c>
      <c r="F153" s="68">
        <f>IFERROR(VLOOKUP($A153,GanttChart!$A:$JD,263,FALSE),0)</f>
        <v>0</v>
      </c>
      <c r="G153" s="69">
        <f>IFERROR(VLOOKUP($A153,GanttChart!$A:$JD,264,FALSE),0)</f>
        <v>0</v>
      </c>
      <c r="H153" s="167"/>
      <c r="I153" s="69">
        <f t="shared" si="0"/>
        <v>0</v>
      </c>
    </row>
    <row r="154" spans="1:9" ht="14.25" hidden="1">
      <c r="A154" s="62">
        <v>7.19</v>
      </c>
      <c r="C154" s="67" t="str">
        <f>IFERROR(VLOOKUP($A154,GanttChart!$A:$JD,2,FALSE),"خطا")</f>
        <v>خطا</v>
      </c>
      <c r="D154" s="68">
        <f>IFERROR(VLOOKUP($A154,GanttChart!$A:$JD,261,FALSE),0)</f>
        <v>0</v>
      </c>
      <c r="E154" s="68">
        <f>IFERROR(VLOOKUP($A154,GanttChart!$A:$JD,262,FALSE),0)</f>
        <v>0</v>
      </c>
      <c r="F154" s="68">
        <f>IFERROR(VLOOKUP($A154,GanttChart!$A:$JD,263,FALSE),0)</f>
        <v>0</v>
      </c>
      <c r="G154" s="69">
        <f>IFERROR(VLOOKUP($A154,GanttChart!$A:$JD,264,FALSE),0)</f>
        <v>0</v>
      </c>
      <c r="H154" s="167"/>
      <c r="I154" s="69">
        <f t="shared" si="0"/>
        <v>0</v>
      </c>
    </row>
    <row r="155" spans="1:9" ht="14.25" hidden="1">
      <c r="A155" s="62">
        <v>7.21</v>
      </c>
      <c r="C155" s="67" t="str">
        <f>IFERROR(VLOOKUP($A155,GanttChart!$A:$JD,2,FALSE),"خطا")</f>
        <v>خطا</v>
      </c>
      <c r="D155" s="68">
        <f>IFERROR(VLOOKUP($A155,GanttChart!$A:$JD,261,FALSE),0)</f>
        <v>0</v>
      </c>
      <c r="E155" s="68">
        <f>IFERROR(VLOOKUP($A155,GanttChart!$A:$JD,262,FALSE),0)</f>
        <v>0</v>
      </c>
      <c r="F155" s="68">
        <f>IFERROR(VLOOKUP($A155,GanttChart!$A:$JD,263,FALSE),0)</f>
        <v>0</v>
      </c>
      <c r="G155" s="69">
        <f>IFERROR(VLOOKUP($A155,GanttChart!$A:$JD,264,FALSE),0)</f>
        <v>0</v>
      </c>
      <c r="H155" s="167"/>
      <c r="I155" s="69">
        <f t="shared" si="0"/>
        <v>0</v>
      </c>
    </row>
    <row r="156" spans="1:9" ht="14.25" hidden="1">
      <c r="A156" s="62">
        <v>7.22</v>
      </c>
      <c r="C156" s="67" t="str">
        <f>IFERROR(VLOOKUP($A156,GanttChart!$A:$JD,2,FALSE),"خطا")</f>
        <v>خطا</v>
      </c>
      <c r="D156" s="68">
        <f>IFERROR(VLOOKUP($A156,GanttChart!$A:$JD,261,FALSE),0)</f>
        <v>0</v>
      </c>
      <c r="E156" s="68">
        <f>IFERROR(VLOOKUP($A156,GanttChart!$A:$JD,262,FALSE),0)</f>
        <v>0</v>
      </c>
      <c r="F156" s="68">
        <f>IFERROR(VLOOKUP($A156,GanttChart!$A:$JD,263,FALSE),0)</f>
        <v>0</v>
      </c>
      <c r="G156" s="69">
        <f>IFERROR(VLOOKUP($A156,GanttChart!$A:$JD,264,FALSE),0)</f>
        <v>0</v>
      </c>
      <c r="H156" s="167"/>
      <c r="I156" s="69">
        <f t="shared" si="0"/>
        <v>0</v>
      </c>
    </row>
    <row r="157" spans="1:9" ht="14.25" hidden="1">
      <c r="A157" s="62">
        <v>7.23</v>
      </c>
      <c r="C157" s="67" t="str">
        <f>IFERROR(VLOOKUP($A157,GanttChart!$A:$JD,2,FALSE),"خطا")</f>
        <v>خطا</v>
      </c>
      <c r="D157" s="68">
        <f>IFERROR(VLOOKUP($A157,GanttChart!$A:$JD,261,FALSE),0)</f>
        <v>0</v>
      </c>
      <c r="E157" s="68">
        <f>IFERROR(VLOOKUP($A157,GanttChart!$A:$JD,262,FALSE),0)</f>
        <v>0</v>
      </c>
      <c r="F157" s="68">
        <f>IFERROR(VLOOKUP($A157,GanttChart!$A:$JD,263,FALSE),0)</f>
        <v>0</v>
      </c>
      <c r="G157" s="69">
        <f>IFERROR(VLOOKUP($A157,GanttChart!$A:$JD,264,FALSE),0)</f>
        <v>0</v>
      </c>
      <c r="H157" s="167"/>
      <c r="I157" s="69">
        <f t="shared" si="0"/>
        <v>0</v>
      </c>
    </row>
    <row r="158" spans="1:9" ht="14.25" hidden="1">
      <c r="A158" s="62">
        <v>8</v>
      </c>
      <c r="C158" s="67" t="str">
        <f>IFERROR(VLOOKUP($A158,GanttChart!$A:$JD,2,FALSE),"خطا")</f>
        <v>تحویل نهايي دستاوردهای پروژه</v>
      </c>
      <c r="D158" s="68">
        <f>IFERROR(VLOOKUP($A158,GanttChart!$A:$JD,261,FALSE),0)</f>
        <v>0</v>
      </c>
      <c r="E158" s="68">
        <f>IFERROR(VLOOKUP($A158,GanttChart!$A:$JD,262,FALSE),0)</f>
        <v>0</v>
      </c>
      <c r="F158" s="68">
        <f>IFERROR(VLOOKUP($A158,GanttChart!$A:$JD,263,FALSE),0)</f>
        <v>0</v>
      </c>
      <c r="G158" s="69">
        <f>IFERROR(VLOOKUP($A158,GanttChart!$A:$JD,264,FALSE),0)</f>
        <v>0</v>
      </c>
      <c r="H158" s="167"/>
      <c r="I158" s="69">
        <f t="shared" si="0"/>
        <v>0</v>
      </c>
    </row>
    <row r="159" spans="1:9" ht="14.25">
      <c r="A159" s="62">
        <v>8.1</v>
      </c>
      <c r="C159" s="67" t="str">
        <f>IFERROR(VLOOKUP($A159,GanttChart!$A:$JD,2,FALSE),"خطا")</f>
        <v>تنظیم و امضاء صورت جلسه تحویل پروژه</v>
      </c>
      <c r="D159" s="68">
        <f>IFERROR(VLOOKUP($A159,GanttChart!$A:$JD,261,FALSE),0)</f>
        <v>0</v>
      </c>
      <c r="E159" s="68">
        <f>IFERROR(VLOOKUP($A159,GanttChart!$A:$JD,262,FALSE),0)</f>
        <v>0</v>
      </c>
      <c r="F159" s="68">
        <f>IFERROR(VLOOKUP($A159,GanttChart!$A:$JD,263,FALSE),0)</f>
        <v>0</v>
      </c>
      <c r="G159" s="69">
        <f>IFERROR(VLOOKUP($A159,GanttChart!$A:$JD,264,FALSE),0)</f>
        <v>0</v>
      </c>
      <c r="H159" s="167"/>
      <c r="I159" s="69">
        <f t="shared" si="0"/>
        <v>0</v>
      </c>
    </row>
    <row r="160" spans="1:9" ht="14.25" hidden="1">
      <c r="A160" s="62">
        <v>8.1999999999999993</v>
      </c>
      <c r="C160" s="67" t="str">
        <f>IFERROR(VLOOKUP($A160,GanttChart!$A:$JD,2,FALSE),"خطا")</f>
        <v>انتقال پورتال به دامنه اصلی کارفرما</v>
      </c>
      <c r="D160" s="68">
        <f>IFERROR(VLOOKUP($A160,GanttChart!$A:$JD,261,FALSE),0)</f>
        <v>0</v>
      </c>
      <c r="E160" s="68">
        <f>IFERROR(VLOOKUP($A160,GanttChart!$A:$JD,262,FALSE),0)</f>
        <v>0</v>
      </c>
      <c r="F160" s="68">
        <f>IFERROR(VLOOKUP($A160,GanttChart!$A:$JD,263,FALSE),0)</f>
        <v>0</v>
      </c>
      <c r="G160" s="69">
        <f>IFERROR(VLOOKUP($A160,GanttChart!$A:$JD,264,FALSE),0)</f>
        <v>0</v>
      </c>
      <c r="H160" s="167"/>
      <c r="I160" s="69">
        <f t="shared" si="0"/>
        <v>0</v>
      </c>
    </row>
    <row r="161" spans="1:9" ht="14.25" hidden="1">
      <c r="A161" s="73">
        <v>8.3000000000000007</v>
      </c>
      <c r="C161" s="67" t="str">
        <f>IFERROR(VLOOKUP($A161,GanttChart!$A:$JD,2,FALSE),"خطا")</f>
        <v>خطا</v>
      </c>
      <c r="D161" s="68">
        <f>IFERROR(VLOOKUP($A161,GanttChart!$A:$JD,261,FALSE),0)</f>
        <v>0</v>
      </c>
      <c r="E161" s="68">
        <f>IFERROR(VLOOKUP($A161,GanttChart!$A:$JD,262,FALSE),0)</f>
        <v>0</v>
      </c>
      <c r="F161" s="68">
        <f>IFERROR(VLOOKUP($A161,GanttChart!$A:$JD,263,FALSE),0)</f>
        <v>0</v>
      </c>
      <c r="G161" s="69">
        <f>IFERROR(VLOOKUP($A161,GanttChart!$A:$JD,264,FALSE),0)</f>
        <v>0</v>
      </c>
      <c r="H161" s="167"/>
      <c r="I161" s="69">
        <f t="shared" ref="I161:I179" si="1">G161-(H161*G161)</f>
        <v>0</v>
      </c>
    </row>
    <row r="162" spans="1:9" ht="14.25">
      <c r="A162" s="73">
        <v>8.4</v>
      </c>
      <c r="C162" s="67" t="str">
        <f>IFERROR(VLOOKUP($A162,GanttChart!$A:$JD,2,FALSE),"خطا")</f>
        <v>خطا</v>
      </c>
      <c r="D162" s="68">
        <f>IFERROR(VLOOKUP($A162,GanttChart!$A:$JD,261,FALSE),0)</f>
        <v>0</v>
      </c>
      <c r="E162" s="68">
        <f>IFERROR(VLOOKUP($A162,GanttChart!$A:$JD,262,FALSE),0)</f>
        <v>0</v>
      </c>
      <c r="F162" s="68">
        <f>IFERROR(VLOOKUP($A162,GanttChart!$A:$JD,263,FALSE),0)</f>
        <v>0</v>
      </c>
      <c r="G162" s="69">
        <f>IFERROR(VLOOKUP($A162,GanttChart!$A:$JD,264,FALSE),0)</f>
        <v>0</v>
      </c>
      <c r="H162" s="167"/>
      <c r="I162" s="69">
        <f t="shared" si="1"/>
        <v>0</v>
      </c>
    </row>
    <row r="163" spans="1:9" ht="14.25" hidden="1">
      <c r="A163" s="62">
        <v>8.5</v>
      </c>
      <c r="C163" s="67" t="str">
        <f>IFERROR(VLOOKUP($A163,GanttChart!$A:$JD,2,FALSE),"خطا")</f>
        <v>خطا</v>
      </c>
      <c r="D163" s="68">
        <f>IFERROR(VLOOKUP($A163,GanttChart!$A:$JD,261,FALSE),0)</f>
        <v>0</v>
      </c>
      <c r="E163" s="68">
        <f>IFERROR(VLOOKUP($A163,GanttChart!$A:$JD,262,FALSE),0)</f>
        <v>0</v>
      </c>
      <c r="F163" s="68">
        <f>IFERROR(VLOOKUP($A163,GanttChart!$A:$JD,263,FALSE),0)</f>
        <v>0</v>
      </c>
      <c r="G163" s="69">
        <f>IFERROR(VLOOKUP($A163,GanttChart!$A:$JD,264,FALSE),0)</f>
        <v>0</v>
      </c>
      <c r="H163" s="167"/>
      <c r="I163" s="69">
        <f t="shared" si="1"/>
        <v>0</v>
      </c>
    </row>
    <row r="164" spans="1:9" ht="14.25" hidden="1">
      <c r="A164" s="73">
        <v>8.6</v>
      </c>
      <c r="C164" s="67" t="str">
        <f>IFERROR(VLOOKUP($A164,GanttChart!$A:$JD,2,FALSE),"خطا")</f>
        <v>خطا</v>
      </c>
      <c r="D164" s="68">
        <f>IFERROR(VLOOKUP($A164,GanttChart!$A:$JD,261,FALSE),0)</f>
        <v>0</v>
      </c>
      <c r="E164" s="68">
        <f>IFERROR(VLOOKUP($A164,GanttChart!$A:$JD,262,FALSE),0)</f>
        <v>0</v>
      </c>
      <c r="F164" s="68">
        <f>IFERROR(VLOOKUP($A164,GanttChart!$A:$JD,263,FALSE),0)</f>
        <v>0</v>
      </c>
      <c r="G164" s="69">
        <f>IFERROR(VLOOKUP($A164,GanttChart!$A:$JD,264,FALSE),0)</f>
        <v>0</v>
      </c>
      <c r="H164" s="167"/>
      <c r="I164" s="69">
        <f t="shared" si="1"/>
        <v>0</v>
      </c>
    </row>
    <row r="165" spans="1:9" ht="14.25" hidden="1">
      <c r="A165" s="73">
        <v>8.7000000000000099</v>
      </c>
      <c r="C165" s="67" t="str">
        <f>IFERROR(VLOOKUP($A165,GanttChart!$A:$JD,2,FALSE),"خطا")</f>
        <v>خطا</v>
      </c>
      <c r="D165" s="68">
        <f>IFERROR(VLOOKUP($A165,GanttChart!$A:$JD,261,FALSE),0)</f>
        <v>0</v>
      </c>
      <c r="E165" s="68">
        <f>IFERROR(VLOOKUP($A165,GanttChart!$A:$JD,262,FALSE),0)</f>
        <v>0</v>
      </c>
      <c r="F165" s="68">
        <f>IFERROR(VLOOKUP($A165,GanttChart!$A:$JD,263,FALSE),0)</f>
        <v>0</v>
      </c>
      <c r="G165" s="69">
        <f>IFERROR(VLOOKUP($A165,GanttChart!$A:$JD,264,FALSE),0)</f>
        <v>0</v>
      </c>
      <c r="H165" s="167"/>
      <c r="I165" s="69">
        <f t="shared" si="1"/>
        <v>0</v>
      </c>
    </row>
    <row r="166" spans="1:9" ht="14.25" hidden="1">
      <c r="A166" s="62">
        <v>8.8000000000000096</v>
      </c>
      <c r="C166" s="67" t="str">
        <f>IFERROR(VLOOKUP($A166,GanttChart!$A:$JD,2,FALSE),"خطا")</f>
        <v>خطا</v>
      </c>
      <c r="D166" s="68">
        <f>IFERROR(VLOOKUP($A166,GanttChart!$A:$JD,261,FALSE),0)</f>
        <v>0</v>
      </c>
      <c r="E166" s="68">
        <f>IFERROR(VLOOKUP($A166,GanttChart!$A:$JD,262,FALSE),0)</f>
        <v>0</v>
      </c>
      <c r="F166" s="68">
        <f>IFERROR(VLOOKUP($A166,GanttChart!$A:$JD,263,FALSE),0)</f>
        <v>0</v>
      </c>
      <c r="G166" s="69">
        <f>IFERROR(VLOOKUP($A166,GanttChart!$A:$JD,264,FALSE),0)</f>
        <v>0</v>
      </c>
      <c r="H166" s="167"/>
      <c r="I166" s="69">
        <f t="shared" si="1"/>
        <v>0</v>
      </c>
    </row>
    <row r="167" spans="1:9" ht="14.25" hidden="1">
      <c r="A167" s="73">
        <v>8.9000000000000092</v>
      </c>
      <c r="C167" s="67" t="str">
        <f>IFERROR(VLOOKUP($A167,GanttChart!$A:$JD,2,FALSE),"خطا")</f>
        <v>خطا</v>
      </c>
      <c r="D167" s="68">
        <f>IFERROR(VLOOKUP($A167,GanttChart!$A:$JD,261,FALSE),0)</f>
        <v>0</v>
      </c>
      <c r="E167" s="68">
        <f>IFERROR(VLOOKUP($A167,GanttChart!$A:$JD,262,FALSE),0)</f>
        <v>0</v>
      </c>
      <c r="F167" s="68">
        <f>IFERROR(VLOOKUP($A167,GanttChart!$A:$JD,263,FALSE),0)</f>
        <v>0</v>
      </c>
      <c r="G167" s="69">
        <f>IFERROR(VLOOKUP($A167,GanttChart!$A:$JD,264,FALSE),0)</f>
        <v>0</v>
      </c>
      <c r="H167" s="167"/>
      <c r="I167" s="69">
        <f t="shared" si="1"/>
        <v>0</v>
      </c>
    </row>
    <row r="168" spans="1:9" ht="14.25" hidden="1">
      <c r="A168" s="73">
        <v>8.11</v>
      </c>
      <c r="C168" s="67" t="str">
        <f>IFERROR(VLOOKUP($A168,GanttChart!$A:$JD,2,FALSE),"خطا")</f>
        <v>خطا</v>
      </c>
      <c r="D168" s="68">
        <f>IFERROR(VLOOKUP($A168,GanttChart!$A:$JD,261,FALSE),0)</f>
        <v>0</v>
      </c>
      <c r="E168" s="68">
        <f>IFERROR(VLOOKUP($A168,GanttChart!$A:$JD,262,FALSE),0)</f>
        <v>0</v>
      </c>
      <c r="F168" s="68">
        <f>IFERROR(VLOOKUP($A168,GanttChart!$A:$JD,263,FALSE),0)</f>
        <v>0</v>
      </c>
      <c r="G168" s="69">
        <f>IFERROR(VLOOKUP($A168,GanttChart!$A:$JD,264,FALSE),0)</f>
        <v>0</v>
      </c>
      <c r="H168" s="167"/>
      <c r="I168" s="69">
        <f t="shared" si="1"/>
        <v>0</v>
      </c>
    </row>
    <row r="169" spans="1:9" ht="14.25" hidden="1">
      <c r="A169" s="73">
        <v>8.1199999999999992</v>
      </c>
      <c r="C169" s="67" t="str">
        <f>IFERROR(VLOOKUP($A169,GanttChart!$A:$JD,2,FALSE),"خطا")</f>
        <v>خطا</v>
      </c>
      <c r="D169" s="68">
        <f>IFERROR(VLOOKUP($A169,GanttChart!$A:$JD,261,FALSE),0)</f>
        <v>0</v>
      </c>
      <c r="E169" s="68">
        <f>IFERROR(VLOOKUP($A169,GanttChart!$A:$JD,262,FALSE),0)</f>
        <v>0</v>
      </c>
      <c r="F169" s="68">
        <f>IFERROR(VLOOKUP($A169,GanttChart!$A:$JD,263,FALSE),0)</f>
        <v>0</v>
      </c>
      <c r="G169" s="69">
        <f>IFERROR(VLOOKUP($A169,GanttChart!$A:$JD,264,FALSE),0)</f>
        <v>0</v>
      </c>
      <c r="H169" s="167"/>
      <c r="I169" s="69">
        <f t="shared" si="1"/>
        <v>0</v>
      </c>
    </row>
    <row r="170" spans="1:9" ht="14.25" hidden="1">
      <c r="A170" s="73">
        <v>8.1300000000000008</v>
      </c>
      <c r="C170" s="67" t="str">
        <f>IFERROR(VLOOKUP($A170,GanttChart!$A:$JD,2,FALSE),"خطا")</f>
        <v>خطا</v>
      </c>
      <c r="D170" s="68">
        <f>IFERROR(VLOOKUP($A170,GanttChart!$A:$JD,261,FALSE),0)</f>
        <v>0</v>
      </c>
      <c r="E170" s="68">
        <f>IFERROR(VLOOKUP($A170,GanttChart!$A:$JD,262,FALSE),0)</f>
        <v>0</v>
      </c>
      <c r="F170" s="68">
        <f>IFERROR(VLOOKUP($A170,GanttChart!$A:$JD,263,FALSE),0)</f>
        <v>0</v>
      </c>
      <c r="G170" s="69">
        <f>IFERROR(VLOOKUP($A170,GanttChart!$A:$JD,264,FALSE),0)</f>
        <v>0</v>
      </c>
      <c r="H170" s="167"/>
      <c r="I170" s="69">
        <f t="shared" si="1"/>
        <v>0</v>
      </c>
    </row>
    <row r="171" spans="1:9" ht="14.25" hidden="1">
      <c r="A171" s="73">
        <v>8.14</v>
      </c>
      <c r="C171" s="67" t="str">
        <f>IFERROR(VLOOKUP($A171,GanttChart!$A:$JD,2,FALSE),"خطا")</f>
        <v>خطا</v>
      </c>
      <c r="D171" s="68">
        <f>IFERROR(VLOOKUP($A171,GanttChart!$A:$JD,261,FALSE),0)</f>
        <v>0</v>
      </c>
      <c r="E171" s="68">
        <f>IFERROR(VLOOKUP($A171,GanttChart!$A:$JD,262,FALSE),0)</f>
        <v>0</v>
      </c>
      <c r="F171" s="68">
        <f>IFERROR(VLOOKUP($A171,GanttChart!$A:$JD,263,FALSE),0)</f>
        <v>0</v>
      </c>
      <c r="G171" s="69">
        <f>IFERROR(VLOOKUP($A171,GanttChart!$A:$JD,264,FALSE),0)</f>
        <v>0</v>
      </c>
      <c r="H171" s="167"/>
      <c r="I171" s="69">
        <f t="shared" si="1"/>
        <v>0</v>
      </c>
    </row>
    <row r="172" spans="1:9" ht="14.25" hidden="1">
      <c r="A172" s="73">
        <v>8.15</v>
      </c>
      <c r="C172" s="67" t="str">
        <f>IFERROR(VLOOKUP($A172,GanttChart!$A:$JD,2,FALSE),"خطا")</f>
        <v>خطا</v>
      </c>
      <c r="D172" s="68">
        <f>IFERROR(VLOOKUP($A172,GanttChart!$A:$JD,261,FALSE),0)</f>
        <v>0</v>
      </c>
      <c r="E172" s="68">
        <f>IFERROR(VLOOKUP($A172,GanttChart!$A:$JD,262,FALSE),0)</f>
        <v>0</v>
      </c>
      <c r="F172" s="68">
        <f>IFERROR(VLOOKUP($A172,GanttChart!$A:$JD,263,FALSE),0)</f>
        <v>0</v>
      </c>
      <c r="G172" s="69">
        <f>IFERROR(VLOOKUP($A172,GanttChart!$A:$JD,264,FALSE),0)</f>
        <v>0</v>
      </c>
      <c r="H172" s="167"/>
      <c r="I172" s="69">
        <f t="shared" si="1"/>
        <v>0</v>
      </c>
    </row>
    <row r="173" spans="1:9" ht="14.25" hidden="1">
      <c r="A173" s="73">
        <v>8.16</v>
      </c>
      <c r="C173" s="67" t="str">
        <f>IFERROR(VLOOKUP($A173,GanttChart!$A:$JD,2,FALSE),"خطا")</f>
        <v>خطا</v>
      </c>
      <c r="D173" s="68">
        <f>IFERROR(VLOOKUP($A173,GanttChart!$A:$JD,261,FALSE),0)</f>
        <v>0</v>
      </c>
      <c r="E173" s="68">
        <f>IFERROR(VLOOKUP($A173,GanttChart!$A:$JD,262,FALSE),0)</f>
        <v>0</v>
      </c>
      <c r="F173" s="68">
        <f>IFERROR(VLOOKUP($A173,GanttChart!$A:$JD,263,FALSE),0)</f>
        <v>0</v>
      </c>
      <c r="G173" s="69">
        <f>IFERROR(VLOOKUP($A173,GanttChart!$A:$JD,264,FALSE),0)</f>
        <v>0</v>
      </c>
      <c r="H173" s="167"/>
      <c r="I173" s="69">
        <f t="shared" si="1"/>
        <v>0</v>
      </c>
    </row>
    <row r="174" spans="1:9" ht="14.25" hidden="1">
      <c r="A174" s="73">
        <v>8.17</v>
      </c>
      <c r="C174" s="67" t="str">
        <f>IFERROR(VLOOKUP($A174,GanttChart!$A:$JD,2,FALSE),"خطا")</f>
        <v>خطا</v>
      </c>
      <c r="D174" s="68">
        <f>IFERROR(VLOOKUP($A174,GanttChart!$A:$JD,261,FALSE),0)</f>
        <v>0</v>
      </c>
      <c r="E174" s="68">
        <f>IFERROR(VLOOKUP($A174,GanttChart!$A:$JD,262,FALSE),0)</f>
        <v>0</v>
      </c>
      <c r="F174" s="68">
        <f>IFERROR(VLOOKUP($A174,GanttChart!$A:$JD,263,FALSE),0)</f>
        <v>0</v>
      </c>
      <c r="G174" s="69">
        <f>IFERROR(VLOOKUP($A174,GanttChart!$A:$JD,264,FALSE),0)</f>
        <v>0</v>
      </c>
      <c r="H174" s="167"/>
      <c r="I174" s="69">
        <f t="shared" si="1"/>
        <v>0</v>
      </c>
    </row>
    <row r="175" spans="1:9" ht="14.25" hidden="1">
      <c r="A175" s="73">
        <v>8.18</v>
      </c>
      <c r="C175" s="67" t="str">
        <f>IFERROR(VLOOKUP($A175,GanttChart!$A:$JD,2,FALSE),"خطا")</f>
        <v>خطا</v>
      </c>
      <c r="D175" s="68">
        <f>IFERROR(VLOOKUP($A175,GanttChart!$A:$JD,261,FALSE),0)</f>
        <v>0</v>
      </c>
      <c r="E175" s="68">
        <f>IFERROR(VLOOKUP($A175,GanttChart!$A:$JD,262,FALSE),0)</f>
        <v>0</v>
      </c>
      <c r="F175" s="68">
        <f>IFERROR(VLOOKUP($A175,GanttChart!$A:$JD,263,FALSE),0)</f>
        <v>0</v>
      </c>
      <c r="G175" s="69">
        <f>IFERROR(VLOOKUP($A175,GanttChart!$A:$JD,264,FALSE),0)</f>
        <v>0</v>
      </c>
      <c r="H175" s="167"/>
      <c r="I175" s="69">
        <f t="shared" si="1"/>
        <v>0</v>
      </c>
    </row>
    <row r="176" spans="1:9" ht="14.25" hidden="1">
      <c r="A176" s="73">
        <v>8.19</v>
      </c>
      <c r="C176" s="67" t="str">
        <f>IFERROR(VLOOKUP($A176,GanttChart!$A:$JD,2,FALSE),"خطا")</f>
        <v>خطا</v>
      </c>
      <c r="D176" s="68">
        <f>IFERROR(VLOOKUP($A176,GanttChart!$A:$JD,261,FALSE),0)</f>
        <v>0</v>
      </c>
      <c r="E176" s="68">
        <f>IFERROR(VLOOKUP($A176,GanttChart!$A:$JD,262,FALSE),0)</f>
        <v>0</v>
      </c>
      <c r="F176" s="68">
        <f>IFERROR(VLOOKUP($A176,GanttChart!$A:$JD,263,FALSE),0)</f>
        <v>0</v>
      </c>
      <c r="G176" s="69">
        <f>IFERROR(VLOOKUP($A176,GanttChart!$A:$JD,264,FALSE),0)</f>
        <v>0</v>
      </c>
      <c r="H176" s="167"/>
      <c r="I176" s="69">
        <f t="shared" si="1"/>
        <v>0</v>
      </c>
    </row>
    <row r="177" spans="1:9" ht="14.25" hidden="1">
      <c r="A177" s="73">
        <v>8.2100000000000009</v>
      </c>
      <c r="C177" s="67" t="str">
        <f>IFERROR(VLOOKUP($A177,GanttChart!$A:$JD,2,FALSE),"خطا")</f>
        <v>خطا</v>
      </c>
      <c r="D177" s="68">
        <f>IFERROR(VLOOKUP($A177,GanttChart!$A:$JD,261,FALSE),0)</f>
        <v>0</v>
      </c>
      <c r="E177" s="68">
        <f>IFERROR(VLOOKUP($A177,GanttChart!$A:$JD,262,FALSE),0)</f>
        <v>0</v>
      </c>
      <c r="F177" s="68">
        <f>IFERROR(VLOOKUP($A177,GanttChart!$A:$JD,263,FALSE),0)</f>
        <v>0</v>
      </c>
      <c r="G177" s="69">
        <f>IFERROR(VLOOKUP($A177,GanttChart!$A:$JD,264,FALSE),0)</f>
        <v>0</v>
      </c>
      <c r="H177" s="167"/>
      <c r="I177" s="69">
        <f t="shared" si="1"/>
        <v>0</v>
      </c>
    </row>
    <row r="178" spans="1:9" ht="14.25" hidden="1">
      <c r="A178" s="73">
        <v>8.2200000000000006</v>
      </c>
      <c r="C178" s="67" t="str">
        <f>IFERROR(VLOOKUP($A178,GanttChart!$A:$JD,2,FALSE),"خطا")</f>
        <v>خطا</v>
      </c>
      <c r="D178" s="68">
        <f>IFERROR(VLOOKUP($A178,GanttChart!$A:$JD,261,FALSE),0)</f>
        <v>0</v>
      </c>
      <c r="E178" s="68">
        <f>IFERROR(VLOOKUP($A178,GanttChart!$A:$JD,262,FALSE),0)</f>
        <v>0</v>
      </c>
      <c r="F178" s="68">
        <f>IFERROR(VLOOKUP($A178,GanttChart!$A:$JD,263,FALSE),0)</f>
        <v>0</v>
      </c>
      <c r="G178" s="69">
        <f>IFERROR(VLOOKUP($A178,GanttChart!$A:$JD,264,FALSE),0)</f>
        <v>0</v>
      </c>
      <c r="H178" s="167"/>
      <c r="I178" s="69">
        <f t="shared" si="1"/>
        <v>0</v>
      </c>
    </row>
    <row r="179" spans="1:9" ht="14.25" hidden="1">
      <c r="A179" s="73">
        <v>8.23</v>
      </c>
      <c r="C179" s="67" t="str">
        <f>IFERROR(VLOOKUP($A179,GanttChart!$A:$JD,2,FALSE),"خطا")</f>
        <v>خطا</v>
      </c>
      <c r="D179" s="68">
        <f>IFERROR(VLOOKUP($A179,GanttChart!$A:$JD,261,FALSE),0)</f>
        <v>0</v>
      </c>
      <c r="E179" s="68">
        <f>IFERROR(VLOOKUP($A179,GanttChart!$A:$JD,262,FALSE),0)</f>
        <v>0</v>
      </c>
      <c r="F179" s="68">
        <f>IFERROR(VLOOKUP($A179,GanttChart!$A:$JD,263,FALSE),0)</f>
        <v>0</v>
      </c>
      <c r="G179" s="69">
        <f>IFERROR(VLOOKUP($A179,GanttChart!$A:$JD,264,FALSE),0)</f>
        <v>0</v>
      </c>
      <c r="H179" s="167"/>
      <c r="I179" s="75">
        <f t="shared" si="1"/>
        <v>0</v>
      </c>
    </row>
    <row r="180" spans="1:9" ht="15">
      <c r="A180" s="82">
        <v>10</v>
      </c>
      <c r="C180" s="79" t="s">
        <v>51</v>
      </c>
      <c r="D180" s="80">
        <f>SUM(D4:D179)</f>
        <v>0</v>
      </c>
      <c r="E180" s="80">
        <f t="shared" ref="E180:I180" si="2">SUM(E4:E179)</f>
        <v>0</v>
      </c>
      <c r="F180" s="80">
        <f t="shared" si="2"/>
        <v>0</v>
      </c>
      <c r="G180" s="76">
        <f t="shared" si="2"/>
        <v>0</v>
      </c>
      <c r="H180" s="81"/>
      <c r="I180" s="76">
        <f t="shared" si="2"/>
        <v>0</v>
      </c>
    </row>
  </sheetData>
  <sheetProtection algorithmName="SHA-512" hashValue="UfI5pE8Tb814Dmk7lTvcdUC3Lpdjp8VsOI4shtFRRbx4iXEqFf+OCqem3tuXIlbN2O7MK2myf78pxzUeTgUcBw==" saltValue="WtI7XEzCkNNrWq2t5bNQgQ==" spinCount="100000" sheet="1" objects="1" scenarios="1" selectLockedCells="1"/>
  <autoFilter ref="A2:I180">
    <filterColumn colId="3" showButton="0"/>
    <filterColumn colId="4" showButton="0"/>
    <filterColumn colId="6">
      <filters blank="1">
        <filter val="ريال1,832,000"/>
        <filter val="ريال10,712,000"/>
        <filter val="ريال10,864,000"/>
        <filter val="ريال11,100,000"/>
        <filter val="ريال12,544,000"/>
        <filter val="ريال12,724,000"/>
        <filter val="ريال14,944,000"/>
        <filter val="ريال188,224,000"/>
        <filter val="ريال2,220,000"/>
        <filter val="ريال2,775,000"/>
        <filter val="ريال2,942,000"/>
        <filter val="ريال3,664,000"/>
        <filter val="ريال4,052,000"/>
        <filter val="ريال4,800,000"/>
        <filter val="ريال5,550,000"/>
        <filter val="ريال5,884,000"/>
        <filter val="ريال555,000"/>
        <filter val="ريال6,272,000"/>
        <filter val="ريال7,328,000"/>
        <filter val="ريال8,284,000"/>
        <filter val="ريال8,880,000"/>
        <filter val="ريال9,600,000"/>
      </filters>
    </filterColumn>
  </autoFilter>
  <mergeCells count="8">
    <mergeCell ref="B1:I1"/>
    <mergeCell ref="A2:A3"/>
    <mergeCell ref="B2:B3"/>
    <mergeCell ref="C2:C3"/>
    <mergeCell ref="D2:F2"/>
    <mergeCell ref="G2:G3"/>
    <mergeCell ref="H2:H3"/>
    <mergeCell ref="I2:I3"/>
  </mergeCells>
  <pageMargins left="0.27559055118110237" right="0.27559055118110237" top="0.74803149606299213" bottom="0.74803149606299213" header="0.31496062992125984" footer="0.31496062992125984"/>
  <pageSetup paperSize="9" scale="85" orientation="portrait" horizontalDpi="0" verticalDpi="0" r:id="rId1"/>
  <headerFooter>
    <oddHeader>&amp;C&amp;"B Mitra,پررنگ"&amp;12پیوست شماره 1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ه4" filterMode="1"/>
  <dimension ref="A1:O180"/>
  <sheetViews>
    <sheetView rightToLeft="1" zoomScaleNormal="100" workbookViewId="0">
      <selection activeCell="H158" activeCellId="7" sqref="H4 H26 H48 H70 H92 H114 H136 H158"/>
    </sheetView>
  </sheetViews>
  <sheetFormatPr defaultRowHeight="12.75"/>
  <cols>
    <col min="2" max="2" width="1.42578125" customWidth="1"/>
    <col min="3" max="3" width="41.7109375" style="63" customWidth="1"/>
    <col min="4" max="4" width="6.42578125" style="64" customWidth="1"/>
    <col min="5" max="5" width="7" style="64" customWidth="1"/>
    <col min="6" max="6" width="6.85546875" style="64" customWidth="1"/>
    <col min="7" max="7" width="19.28515625" style="65" customWidth="1"/>
    <col min="8" max="8" width="6" style="66" customWidth="1"/>
    <col min="9" max="9" width="19.28515625" customWidth="1"/>
    <col min="12" max="12" width="15.140625" bestFit="1" customWidth="1"/>
  </cols>
  <sheetData>
    <row r="1" spans="1:15" ht="15">
      <c r="B1" s="326" t="str">
        <f>CONCATENATE("آنالیز و برآورد زمان نفر / ساعت خدمات کارشناسی توسعه و سفارشی سازی ",GanttChart!B8)</f>
        <v>آنالیز و برآورد زمان نفر / ساعت خدمات کارشناسی توسعه و سفارشی سازی طراحی و پیاده سازی پورتال اینترنتی و زیر پورتال های بانک اقتصاد نوین</v>
      </c>
      <c r="C1" s="326"/>
      <c r="D1" s="327"/>
      <c r="E1" s="327"/>
      <c r="F1" s="327"/>
      <c r="G1" s="326"/>
      <c r="H1" s="326"/>
      <c r="I1" s="326"/>
    </row>
    <row r="2" spans="1:15">
      <c r="A2" s="328" t="s">
        <v>0</v>
      </c>
      <c r="B2" s="329"/>
      <c r="C2" s="331" t="s">
        <v>64</v>
      </c>
      <c r="D2" s="333" t="s">
        <v>65</v>
      </c>
      <c r="E2" s="333"/>
      <c r="F2" s="333"/>
      <c r="G2" s="340" t="s">
        <v>66</v>
      </c>
      <c r="H2" s="336" t="s">
        <v>69</v>
      </c>
      <c r="I2" s="338" t="s">
        <v>67</v>
      </c>
      <c r="J2" s="3"/>
      <c r="K2" s="3"/>
      <c r="L2" s="3"/>
      <c r="M2" s="3"/>
      <c r="N2" s="3"/>
      <c r="O2" s="3"/>
    </row>
    <row r="3" spans="1:15" ht="64.5">
      <c r="A3" s="328"/>
      <c r="B3" s="330"/>
      <c r="C3" s="332"/>
      <c r="D3" s="71" t="s">
        <v>7</v>
      </c>
      <c r="E3" s="71" t="s">
        <v>55</v>
      </c>
      <c r="F3" s="71" t="s">
        <v>56</v>
      </c>
      <c r="G3" s="341"/>
      <c r="H3" s="337"/>
      <c r="I3" s="339"/>
      <c r="J3" s="3"/>
      <c r="K3" s="3"/>
      <c r="L3" s="3"/>
      <c r="M3" s="3"/>
      <c r="N3" s="3"/>
      <c r="O3" s="3"/>
    </row>
    <row r="4" spans="1:15" ht="14.25">
      <c r="A4" s="62">
        <v>1</v>
      </c>
      <c r="B4" s="62"/>
      <c r="C4" s="67" t="str">
        <f>IFERROR(VLOOKUP($A4,GanttChart!$A:$JD,2,FALSE),"خطا")</f>
        <v>مدیریت، برنامه ریزی مالی و کنترل پیشرفت پروژه</v>
      </c>
      <c r="D4" s="68">
        <f>SUM(D5:D25)</f>
        <v>0</v>
      </c>
      <c r="E4" s="68">
        <f>SUM(E5:E25)</f>
        <v>0</v>
      </c>
      <c r="F4" s="68">
        <f>SUM(F5:F25)</f>
        <v>0</v>
      </c>
      <c r="G4" s="69">
        <f>SUM(G5:G25)</f>
        <v>0</v>
      </c>
      <c r="H4" s="167">
        <v>1</v>
      </c>
      <c r="I4" s="69">
        <f>G4-(H4*G4)</f>
        <v>0</v>
      </c>
      <c r="J4" s="3"/>
      <c r="K4" s="3"/>
      <c r="L4" s="3"/>
      <c r="M4" s="3"/>
      <c r="N4" s="3"/>
      <c r="O4" s="3"/>
    </row>
    <row r="5" spans="1:15" ht="14.25" hidden="1">
      <c r="A5" s="62">
        <v>1.1000000000000001</v>
      </c>
      <c r="B5" s="62"/>
      <c r="C5" s="67" t="str">
        <f>IFERROR(VLOOKUP($A5,GanttChart!$A:$JD,2,FALSE),"خطا")</f>
        <v>تهيه برنامه زمانبندي msp  و گانت چارت اجرايي پروژه</v>
      </c>
      <c r="D5" s="68">
        <f>IFERROR(VLOOKUP($A5,GanttChart!$A:$JD,261,FALSE),0)</f>
        <v>0</v>
      </c>
      <c r="E5" s="68">
        <f>IFERROR(VLOOKUP($A5,GanttChart!$A:$JD,262,FALSE),0)</f>
        <v>0</v>
      </c>
      <c r="F5" s="68">
        <f>IFERROR(VLOOKUP($A5,GanttChart!$A:$JD,263,FALSE),0)</f>
        <v>0</v>
      </c>
      <c r="G5" s="69">
        <f>IFERROR(VLOOKUP($A5,GanttChart!$A:$JD,264,FALSE),0)</f>
        <v>0</v>
      </c>
      <c r="H5" s="70"/>
      <c r="I5" s="69">
        <f t="shared" ref="I5:I160" si="0">G5-(H5*G5)</f>
        <v>0</v>
      </c>
      <c r="J5" s="3"/>
      <c r="K5" s="3"/>
      <c r="L5" s="3"/>
      <c r="M5" s="3"/>
      <c r="N5" s="3"/>
      <c r="O5" s="3"/>
    </row>
    <row r="6" spans="1:15" ht="14.25" hidden="1">
      <c r="A6" s="62">
        <v>1.2</v>
      </c>
      <c r="B6" s="62"/>
      <c r="C6" s="67" t="str">
        <f>IFERROR(VLOOKUP($A6,GanttChart!$A:$JD,2,FALSE),"خطا")</f>
        <v>معرفی مدیر پروژه پیمانکار به کارفرما پس از ابلاغ قرارداد</v>
      </c>
      <c r="D6" s="68">
        <f>IFERROR(VLOOKUP($A6,GanttChart!$A:$JD,261,FALSE),0)</f>
        <v>0</v>
      </c>
      <c r="E6" s="68">
        <f>IFERROR(VLOOKUP($A6,GanttChart!$A:$JD,262,FALSE),0)</f>
        <v>0</v>
      </c>
      <c r="F6" s="68">
        <f>IFERROR(VLOOKUP($A6,GanttChart!$A:$JD,263,FALSE),0)</f>
        <v>0</v>
      </c>
      <c r="G6" s="69">
        <f>IFERROR(VLOOKUP($A6,GanttChart!$A:$JD,264,FALSE),0)</f>
        <v>0</v>
      </c>
      <c r="H6" s="70"/>
      <c r="I6" s="69">
        <f t="shared" si="0"/>
        <v>0</v>
      </c>
      <c r="J6" s="3"/>
      <c r="K6" s="3"/>
      <c r="L6" s="3"/>
      <c r="M6" s="3"/>
      <c r="N6" s="3"/>
      <c r="O6" s="3"/>
    </row>
    <row r="7" spans="1:15" ht="14.25" hidden="1">
      <c r="A7" s="62">
        <v>1.3</v>
      </c>
      <c r="B7" s="62"/>
      <c r="C7" s="67" t="str">
        <f>IFERROR(VLOOKUP($A7,GanttChart!$A:$JD,2,FALSE),"خطا")</f>
        <v>معرفی مدیر پروژه کارفرما به پیمانکار</v>
      </c>
      <c r="D7" s="68">
        <f>IFERROR(VLOOKUP($A7,GanttChart!$A:$JD,261,FALSE),0)</f>
        <v>0</v>
      </c>
      <c r="E7" s="68">
        <f>IFERROR(VLOOKUP($A7,GanttChart!$A:$JD,262,FALSE),0)</f>
        <v>0</v>
      </c>
      <c r="F7" s="68">
        <f>IFERROR(VLOOKUP($A7,GanttChart!$A:$JD,263,FALSE),0)</f>
        <v>0</v>
      </c>
      <c r="G7" s="69">
        <f>IFERROR(VLOOKUP($A7,GanttChart!$A:$JD,264,FALSE),0)</f>
        <v>0</v>
      </c>
      <c r="H7" s="70"/>
      <c r="I7" s="69">
        <f t="shared" si="0"/>
        <v>0</v>
      </c>
      <c r="J7" s="3"/>
      <c r="K7" s="3"/>
      <c r="L7" s="3"/>
      <c r="M7" s="3"/>
      <c r="N7" s="3"/>
      <c r="O7" s="3"/>
    </row>
    <row r="8" spans="1:15" ht="14.25" hidden="1">
      <c r="A8" s="62">
        <v>1.4</v>
      </c>
      <c r="B8" s="62"/>
      <c r="C8" s="67" t="str">
        <f>IFERROR(VLOOKUP($A8,GanttChart!$A:$JD,2,FALSE),"خطا")</f>
        <v>جلسه اول پروژه (معارفه)</v>
      </c>
      <c r="D8" s="68">
        <f>IFERROR(VLOOKUP($A8,GanttChart!$A:$JD,261,FALSE),0)</f>
        <v>0</v>
      </c>
      <c r="E8" s="68">
        <f>IFERROR(VLOOKUP($A8,GanttChart!$A:$JD,262,FALSE),0)</f>
        <v>0</v>
      </c>
      <c r="F8" s="68">
        <f>IFERROR(VLOOKUP($A8,GanttChart!$A:$JD,263,FALSE),0)</f>
        <v>0</v>
      </c>
      <c r="G8" s="69">
        <f>IFERROR(VLOOKUP($A8,GanttChart!$A:$JD,264,FALSE),0)</f>
        <v>0</v>
      </c>
      <c r="H8" s="70"/>
      <c r="I8" s="69">
        <f t="shared" si="0"/>
        <v>0</v>
      </c>
      <c r="J8" s="3"/>
      <c r="K8" s="3"/>
      <c r="L8" s="3"/>
      <c r="M8" s="3"/>
      <c r="N8" s="3"/>
      <c r="O8" s="3"/>
    </row>
    <row r="9" spans="1:15" ht="14.25" hidden="1">
      <c r="A9" s="62">
        <v>1.5</v>
      </c>
      <c r="B9" s="62"/>
      <c r="C9" s="67" t="str">
        <f>IFERROR(VLOOKUP($A9,GanttChart!$A:$JD,2,FALSE),"خطا")</f>
        <v>جلسه دوم پروژه (بررسی نیازمندی های کارفرما و وضع جاری)</v>
      </c>
      <c r="D9" s="68">
        <f>IFERROR(VLOOKUP($A9,GanttChart!$A:$JD,261,FALSE),0)</f>
        <v>0</v>
      </c>
      <c r="E9" s="68">
        <f>IFERROR(VLOOKUP($A9,GanttChart!$A:$JD,262,FALSE),0)</f>
        <v>0</v>
      </c>
      <c r="F9" s="68">
        <f>IFERROR(VLOOKUP($A9,GanttChart!$A:$JD,263,FALSE),0)</f>
        <v>0</v>
      </c>
      <c r="G9" s="69">
        <f>IFERROR(VLOOKUP($A9,GanttChart!$A:$JD,264,FALSE),0)</f>
        <v>0</v>
      </c>
      <c r="H9" s="70"/>
      <c r="I9" s="69">
        <f t="shared" si="0"/>
        <v>0</v>
      </c>
      <c r="J9" s="3"/>
      <c r="K9" s="3"/>
      <c r="L9" s="3"/>
      <c r="M9" s="3"/>
      <c r="N9" s="3"/>
      <c r="O9" s="3"/>
    </row>
    <row r="10" spans="1:15" ht="14.25" hidden="1">
      <c r="A10" s="62">
        <v>1.6</v>
      </c>
      <c r="B10" s="62"/>
      <c r="C10" s="67" t="str">
        <f>IFERROR(VLOOKUP($A10,GanttChart!$A:$JD,2,FALSE),"خطا")</f>
        <v>جلسه سوم (تحویل پروژه)</v>
      </c>
      <c r="D10" s="68">
        <f>IFERROR(VLOOKUP($A10,GanttChart!$A:$JD,261,FALSE),0)</f>
        <v>0</v>
      </c>
      <c r="E10" s="68">
        <f>IFERROR(VLOOKUP($A10,GanttChart!$A:$JD,262,FALSE),0)</f>
        <v>0</v>
      </c>
      <c r="F10" s="68">
        <f>IFERROR(VLOOKUP($A10,GanttChart!$A:$JD,263,FALSE),0)</f>
        <v>0</v>
      </c>
      <c r="G10" s="69">
        <f>IFERROR(VLOOKUP($A10,GanttChart!$A:$JD,264,FALSE),0)</f>
        <v>0</v>
      </c>
      <c r="H10" s="70"/>
      <c r="I10" s="69">
        <f t="shared" si="0"/>
        <v>0</v>
      </c>
      <c r="J10" s="3"/>
      <c r="K10" s="3"/>
      <c r="L10" s="3"/>
      <c r="M10" s="3"/>
      <c r="N10" s="3"/>
      <c r="O10" s="3"/>
    </row>
    <row r="11" spans="1:15" ht="14.25" hidden="1">
      <c r="A11" s="62">
        <v>1.7</v>
      </c>
      <c r="B11" s="62"/>
      <c r="C11" s="67" t="str">
        <f>IFERROR(VLOOKUP($A11,GanttChart!$A:$JD,2,FALSE),"خطا")</f>
        <v>جلسه چهارم (هماهنگی جهت بهره برداری از پروژه)</v>
      </c>
      <c r="D11" s="68">
        <f>IFERROR(VLOOKUP($A11,GanttChart!$A:$JD,261,FALSE),0)</f>
        <v>0</v>
      </c>
      <c r="E11" s="68">
        <f>IFERROR(VLOOKUP($A11,GanttChart!$A:$JD,262,FALSE),0)</f>
        <v>0</v>
      </c>
      <c r="F11" s="68">
        <f>IFERROR(VLOOKUP($A11,GanttChart!$A:$JD,263,FALSE),0)</f>
        <v>0</v>
      </c>
      <c r="G11" s="69">
        <f>IFERROR(VLOOKUP($A11,GanttChart!$A:$JD,264,FALSE),0)</f>
        <v>0</v>
      </c>
      <c r="H11" s="70"/>
      <c r="I11" s="69">
        <f t="shared" si="0"/>
        <v>0</v>
      </c>
      <c r="J11" s="3"/>
      <c r="K11" s="3"/>
      <c r="L11" s="3"/>
      <c r="M11" s="3"/>
      <c r="N11" s="3"/>
      <c r="O11" s="3"/>
    </row>
    <row r="12" spans="1:15" ht="14.25" hidden="1">
      <c r="A12" s="62">
        <v>1.8</v>
      </c>
      <c r="B12" s="62"/>
      <c r="C12" s="67" t="str">
        <f>IFERROR(VLOOKUP($A12,GanttChart!$A:$JD,2,FALSE),"خطا")</f>
        <v>خطا</v>
      </c>
      <c r="D12" s="68">
        <f>IFERROR(VLOOKUP($A12,GanttChart!$A:$JD,261,FALSE),0)</f>
        <v>0</v>
      </c>
      <c r="E12" s="68">
        <f>IFERROR(VLOOKUP($A12,GanttChart!$A:$JD,262,FALSE),0)</f>
        <v>0</v>
      </c>
      <c r="F12" s="68">
        <f>IFERROR(VLOOKUP($A12,GanttChart!$A:$JD,263,FALSE),0)</f>
        <v>0</v>
      </c>
      <c r="G12" s="69">
        <f>IFERROR(VLOOKUP($A12,GanttChart!$A:$JD,264,FALSE),0)</f>
        <v>0</v>
      </c>
      <c r="H12" s="70"/>
      <c r="I12" s="69">
        <f t="shared" si="0"/>
        <v>0</v>
      </c>
      <c r="J12" s="3"/>
      <c r="K12" s="3"/>
      <c r="L12" s="3"/>
      <c r="M12" s="3"/>
      <c r="N12" s="3"/>
      <c r="O12" s="3"/>
    </row>
    <row r="13" spans="1:15" ht="14.25" hidden="1">
      <c r="A13" s="62">
        <v>1.9</v>
      </c>
      <c r="B13" s="62"/>
      <c r="C13" s="67" t="str">
        <f>IFERROR(VLOOKUP($A13,GanttChart!$A:$JD,2,FALSE),"خطا")</f>
        <v>خطا</v>
      </c>
      <c r="D13" s="68">
        <f>IFERROR(VLOOKUP($A13,GanttChart!$A:$JD,261,FALSE),0)</f>
        <v>0</v>
      </c>
      <c r="E13" s="68">
        <f>IFERROR(VLOOKUP($A13,GanttChart!$A:$JD,262,FALSE),0)</f>
        <v>0</v>
      </c>
      <c r="F13" s="68">
        <f>IFERROR(VLOOKUP($A13,GanttChart!$A:$JD,263,FALSE),0)</f>
        <v>0</v>
      </c>
      <c r="G13" s="69">
        <f>IFERROR(VLOOKUP($A13,GanttChart!$A:$JD,264,FALSE),0)</f>
        <v>0</v>
      </c>
      <c r="H13" s="70"/>
      <c r="I13" s="69">
        <f t="shared" si="0"/>
        <v>0</v>
      </c>
      <c r="J13" s="3"/>
      <c r="K13" s="3"/>
      <c r="L13" s="3"/>
      <c r="M13" s="3"/>
      <c r="N13" s="3"/>
      <c r="O13" s="3"/>
    </row>
    <row r="14" spans="1:15" ht="14.25" hidden="1">
      <c r="A14" s="62">
        <v>1.1100000000000001</v>
      </c>
      <c r="B14" s="62"/>
      <c r="C14" s="67" t="str">
        <f>IFERROR(VLOOKUP($A14,GanttChart!$A:$JD,2,FALSE),"خطا")</f>
        <v>خطا</v>
      </c>
      <c r="D14" s="68">
        <f>IFERROR(VLOOKUP($A14,GanttChart!$A:$JD,261,FALSE),0)</f>
        <v>0</v>
      </c>
      <c r="E14" s="68">
        <f>IFERROR(VLOOKUP($A14,GanttChart!$A:$JD,262,FALSE),0)</f>
        <v>0</v>
      </c>
      <c r="F14" s="68">
        <f>IFERROR(VLOOKUP($A14,GanttChart!$A:$JD,263,FALSE),0)</f>
        <v>0</v>
      </c>
      <c r="G14" s="69">
        <f>IFERROR(VLOOKUP($A14,GanttChart!$A:$JD,264,FALSE),0)</f>
        <v>0</v>
      </c>
      <c r="H14" s="70"/>
      <c r="I14" s="69">
        <f t="shared" si="0"/>
        <v>0</v>
      </c>
      <c r="J14" s="3"/>
      <c r="K14" s="3"/>
      <c r="L14" s="3"/>
      <c r="M14" s="3"/>
      <c r="N14" s="3"/>
      <c r="O14" s="3"/>
    </row>
    <row r="15" spans="1:15" ht="14.25" hidden="1">
      <c r="A15" s="62">
        <v>1.1200000000000001</v>
      </c>
      <c r="B15" s="62"/>
      <c r="C15" s="67" t="str">
        <f>IFERROR(VLOOKUP($A15,GanttChart!$A:$JD,2,FALSE),"خطا")</f>
        <v>خطا</v>
      </c>
      <c r="D15" s="68">
        <f>IFERROR(VLOOKUP($A15,GanttChart!$A:$JD,261,FALSE),0)</f>
        <v>0</v>
      </c>
      <c r="E15" s="68">
        <f>IFERROR(VLOOKUP($A15,GanttChart!$A:$JD,262,FALSE),0)</f>
        <v>0</v>
      </c>
      <c r="F15" s="68">
        <f>IFERROR(VLOOKUP($A15,GanttChart!$A:$JD,263,FALSE),0)</f>
        <v>0</v>
      </c>
      <c r="G15" s="69">
        <f>IFERROR(VLOOKUP($A15,GanttChart!$A:$JD,264,FALSE),0)</f>
        <v>0</v>
      </c>
      <c r="H15" s="70"/>
      <c r="I15" s="69">
        <f t="shared" si="0"/>
        <v>0</v>
      </c>
      <c r="J15" s="3"/>
      <c r="K15" s="3"/>
      <c r="L15" s="3"/>
      <c r="M15" s="3"/>
      <c r="N15" s="3"/>
      <c r="O15" s="3"/>
    </row>
    <row r="16" spans="1:15" ht="14.25" hidden="1">
      <c r="A16" s="62">
        <v>1.1299999999999999</v>
      </c>
      <c r="B16" s="62"/>
      <c r="C16" s="67" t="str">
        <f>IFERROR(VLOOKUP($A16,GanttChart!$A:$JD,2,FALSE),"خطا")</f>
        <v>خطا</v>
      </c>
      <c r="D16" s="68">
        <f>IFERROR(VLOOKUP($A16,GanttChart!$A:$JD,261,FALSE),0)</f>
        <v>0</v>
      </c>
      <c r="E16" s="68">
        <f>IFERROR(VLOOKUP($A16,GanttChart!$A:$JD,262,FALSE),0)</f>
        <v>0</v>
      </c>
      <c r="F16" s="68">
        <f>IFERROR(VLOOKUP($A16,GanttChart!$A:$JD,263,FALSE),0)</f>
        <v>0</v>
      </c>
      <c r="G16" s="69">
        <f>IFERROR(VLOOKUP($A16,GanttChart!$A:$JD,264,FALSE),0)</f>
        <v>0</v>
      </c>
      <c r="H16" s="70"/>
      <c r="I16" s="69">
        <f t="shared" si="0"/>
        <v>0</v>
      </c>
      <c r="J16" s="3"/>
      <c r="K16" s="3"/>
      <c r="L16" s="3"/>
      <c r="M16" s="3"/>
      <c r="N16" s="3"/>
      <c r="O16" s="3"/>
    </row>
    <row r="17" spans="1:15" ht="14.25" hidden="1">
      <c r="A17" s="62">
        <v>1.1399999999999999</v>
      </c>
      <c r="B17" s="62"/>
      <c r="C17" s="67" t="str">
        <f>IFERROR(VLOOKUP($A17,GanttChart!$A:$JD,2,FALSE),"خطا")</f>
        <v>خطا</v>
      </c>
      <c r="D17" s="68">
        <f>IFERROR(VLOOKUP($A17,GanttChart!$A:$JD,261,FALSE),0)</f>
        <v>0</v>
      </c>
      <c r="E17" s="68">
        <f>IFERROR(VLOOKUP($A17,GanttChart!$A:$JD,262,FALSE),0)</f>
        <v>0</v>
      </c>
      <c r="F17" s="68">
        <f>IFERROR(VLOOKUP($A17,GanttChart!$A:$JD,263,FALSE),0)</f>
        <v>0</v>
      </c>
      <c r="G17" s="69">
        <f>IFERROR(VLOOKUP($A17,GanttChart!$A:$JD,264,FALSE),0)</f>
        <v>0</v>
      </c>
      <c r="H17" s="70"/>
      <c r="I17" s="69">
        <f t="shared" si="0"/>
        <v>0</v>
      </c>
      <c r="J17" s="3"/>
      <c r="K17" s="3"/>
      <c r="L17" s="3"/>
      <c r="M17" s="3"/>
      <c r="N17" s="3"/>
      <c r="O17" s="3"/>
    </row>
    <row r="18" spans="1:15" ht="14.25" hidden="1">
      <c r="A18" s="62">
        <v>1.1499999999999999</v>
      </c>
      <c r="B18" s="62"/>
      <c r="C18" s="67" t="str">
        <f>IFERROR(VLOOKUP($A18,GanttChart!$A:$JD,2,FALSE),"خطا")</f>
        <v>خطا</v>
      </c>
      <c r="D18" s="68">
        <f>IFERROR(VLOOKUP($A18,GanttChart!$A:$JD,261,FALSE),0)</f>
        <v>0</v>
      </c>
      <c r="E18" s="68">
        <f>IFERROR(VLOOKUP($A18,GanttChart!$A:$JD,262,FALSE),0)</f>
        <v>0</v>
      </c>
      <c r="F18" s="68">
        <f>IFERROR(VLOOKUP($A18,GanttChart!$A:$JD,263,FALSE),0)</f>
        <v>0</v>
      </c>
      <c r="G18" s="69">
        <f>IFERROR(VLOOKUP($A18,GanttChart!$A:$JD,264,FALSE),0)</f>
        <v>0</v>
      </c>
      <c r="H18" s="70"/>
      <c r="I18" s="69">
        <f t="shared" si="0"/>
        <v>0</v>
      </c>
      <c r="J18" s="3"/>
      <c r="K18" s="3"/>
      <c r="L18" s="3"/>
      <c r="M18" s="3"/>
      <c r="N18" s="3"/>
      <c r="O18" s="3"/>
    </row>
    <row r="19" spans="1:15" ht="14.25" hidden="1">
      <c r="A19" s="62">
        <v>1.1599999999999999</v>
      </c>
      <c r="B19" s="62"/>
      <c r="C19" s="67" t="str">
        <f>IFERROR(VLOOKUP($A19,GanttChart!$A:$JD,2,FALSE),"خطا")</f>
        <v>خطا</v>
      </c>
      <c r="D19" s="68">
        <f>IFERROR(VLOOKUP($A19,GanttChart!$A:$JD,261,FALSE),0)</f>
        <v>0</v>
      </c>
      <c r="E19" s="68">
        <f>IFERROR(VLOOKUP($A19,GanttChart!$A:$JD,262,FALSE),0)</f>
        <v>0</v>
      </c>
      <c r="F19" s="68">
        <f>IFERROR(VLOOKUP($A19,GanttChart!$A:$JD,263,FALSE),0)</f>
        <v>0</v>
      </c>
      <c r="G19" s="69">
        <f>IFERROR(VLOOKUP($A19,GanttChart!$A:$JD,264,FALSE),0)</f>
        <v>0</v>
      </c>
      <c r="H19" s="70"/>
      <c r="I19" s="69">
        <f t="shared" si="0"/>
        <v>0</v>
      </c>
      <c r="J19" s="3"/>
      <c r="K19" s="3"/>
      <c r="L19" s="3"/>
      <c r="M19" s="3"/>
      <c r="N19" s="3"/>
      <c r="O19" s="3"/>
    </row>
    <row r="20" spans="1:15" ht="14.25" hidden="1">
      <c r="A20" s="62">
        <v>1.17</v>
      </c>
      <c r="B20" s="62"/>
      <c r="C20" s="67" t="str">
        <f>IFERROR(VLOOKUP($A20,GanttChart!$A:$JD,2,FALSE),"خطا")</f>
        <v>خطا</v>
      </c>
      <c r="D20" s="68">
        <f>IFERROR(VLOOKUP($A20,GanttChart!$A:$JD,261,FALSE),0)</f>
        <v>0</v>
      </c>
      <c r="E20" s="68">
        <f>IFERROR(VLOOKUP($A20,GanttChart!$A:$JD,262,FALSE),0)</f>
        <v>0</v>
      </c>
      <c r="F20" s="68">
        <f>IFERROR(VLOOKUP($A20,GanttChart!$A:$JD,263,FALSE),0)</f>
        <v>0</v>
      </c>
      <c r="G20" s="69">
        <f>IFERROR(VLOOKUP($A20,GanttChart!$A:$JD,264,FALSE),0)</f>
        <v>0</v>
      </c>
      <c r="H20" s="70"/>
      <c r="I20" s="69">
        <f t="shared" si="0"/>
        <v>0</v>
      </c>
      <c r="J20" s="3"/>
      <c r="K20" s="3"/>
      <c r="L20" s="3"/>
      <c r="M20" s="3"/>
      <c r="N20" s="3"/>
      <c r="O20" s="3"/>
    </row>
    <row r="21" spans="1:15" ht="14.25" hidden="1">
      <c r="A21" s="62">
        <v>1.18</v>
      </c>
      <c r="B21" s="62"/>
      <c r="C21" s="67" t="str">
        <f>IFERROR(VLOOKUP($A21,GanttChart!$A:$JD,2,FALSE),"خطا")</f>
        <v>خطا</v>
      </c>
      <c r="D21" s="68">
        <f>IFERROR(VLOOKUP($A21,GanttChart!$A:$JD,261,FALSE),0)</f>
        <v>0</v>
      </c>
      <c r="E21" s="68">
        <f>IFERROR(VLOOKUP($A21,GanttChart!$A:$JD,262,FALSE),0)</f>
        <v>0</v>
      </c>
      <c r="F21" s="68">
        <f>IFERROR(VLOOKUP($A21,GanttChart!$A:$JD,263,FALSE),0)</f>
        <v>0</v>
      </c>
      <c r="G21" s="69">
        <f>IFERROR(VLOOKUP($A21,GanttChart!$A:$JD,264,FALSE),0)</f>
        <v>0</v>
      </c>
      <c r="H21" s="70"/>
      <c r="I21" s="69">
        <f t="shared" si="0"/>
        <v>0</v>
      </c>
      <c r="J21" s="3"/>
      <c r="K21" s="3"/>
      <c r="L21" s="3"/>
      <c r="M21" s="3"/>
      <c r="N21" s="3"/>
      <c r="O21" s="3"/>
    </row>
    <row r="22" spans="1:15" ht="14.25" hidden="1">
      <c r="A22" s="62">
        <v>1.19</v>
      </c>
      <c r="B22" s="62"/>
      <c r="C22" s="67" t="str">
        <f>IFERROR(VLOOKUP($A22,GanttChart!$A:$JD,2,FALSE),"خطا")</f>
        <v>خطا</v>
      </c>
      <c r="D22" s="68">
        <f>IFERROR(VLOOKUP($A22,GanttChart!$A:$JD,261,FALSE),0)</f>
        <v>0</v>
      </c>
      <c r="E22" s="68">
        <f>IFERROR(VLOOKUP($A22,GanttChart!$A:$JD,262,FALSE),0)</f>
        <v>0</v>
      </c>
      <c r="F22" s="68">
        <f>IFERROR(VLOOKUP($A22,GanttChart!$A:$JD,263,FALSE),0)</f>
        <v>0</v>
      </c>
      <c r="G22" s="69">
        <f>IFERROR(VLOOKUP($A22,GanttChart!$A:$JD,264,FALSE),0)</f>
        <v>0</v>
      </c>
      <c r="H22" s="70"/>
      <c r="I22" s="69">
        <f t="shared" si="0"/>
        <v>0</v>
      </c>
      <c r="J22" s="3"/>
      <c r="K22" s="3"/>
      <c r="L22" s="3"/>
      <c r="M22" s="3"/>
      <c r="N22" s="3"/>
      <c r="O22" s="3"/>
    </row>
    <row r="23" spans="1:15" ht="14.25" hidden="1">
      <c r="A23" s="62">
        <v>1.21</v>
      </c>
      <c r="B23" s="62"/>
      <c r="C23" s="67" t="str">
        <f>IFERROR(VLOOKUP($A23,GanttChart!$A:$JD,2,FALSE),"خطا")</f>
        <v>خطا</v>
      </c>
      <c r="D23" s="68">
        <f>IFERROR(VLOOKUP($A23,GanttChart!$A:$JD,261,FALSE),0)</f>
        <v>0</v>
      </c>
      <c r="E23" s="68">
        <f>IFERROR(VLOOKUP($A23,GanttChart!$A:$JD,262,FALSE),0)</f>
        <v>0</v>
      </c>
      <c r="F23" s="68">
        <f>IFERROR(VLOOKUP($A23,GanttChart!$A:$JD,263,FALSE),0)</f>
        <v>0</v>
      </c>
      <c r="G23" s="69">
        <f>IFERROR(VLOOKUP($A23,GanttChart!$A:$JD,264,FALSE),0)</f>
        <v>0</v>
      </c>
      <c r="H23" s="70"/>
      <c r="I23" s="69">
        <f t="shared" si="0"/>
        <v>0</v>
      </c>
      <c r="J23" s="3"/>
      <c r="K23" s="3"/>
      <c r="L23" s="3"/>
      <c r="M23" s="3"/>
      <c r="N23" s="3"/>
      <c r="O23" s="3"/>
    </row>
    <row r="24" spans="1:15" ht="14.25" hidden="1">
      <c r="A24" s="62">
        <v>1.22</v>
      </c>
      <c r="B24" s="62"/>
      <c r="C24" s="67" t="str">
        <f>IFERROR(VLOOKUP($A24,GanttChart!$A:$JD,2,FALSE),"خطا")</f>
        <v>خطا</v>
      </c>
      <c r="D24" s="68">
        <f>IFERROR(VLOOKUP($A24,GanttChart!$A:$JD,261,FALSE),0)</f>
        <v>0</v>
      </c>
      <c r="E24" s="68">
        <f>IFERROR(VLOOKUP($A24,GanttChart!$A:$JD,262,FALSE),0)</f>
        <v>0</v>
      </c>
      <c r="F24" s="68">
        <f>IFERROR(VLOOKUP($A24,GanttChart!$A:$JD,263,FALSE),0)</f>
        <v>0</v>
      </c>
      <c r="G24" s="69">
        <f>IFERROR(VLOOKUP($A24,GanttChart!$A:$JD,264,FALSE),0)</f>
        <v>0</v>
      </c>
      <c r="H24" s="70"/>
      <c r="I24" s="69">
        <f t="shared" si="0"/>
        <v>0</v>
      </c>
      <c r="J24" s="3"/>
      <c r="K24" s="3"/>
      <c r="L24" s="3"/>
      <c r="M24" s="3"/>
      <c r="N24" s="3"/>
      <c r="O24" s="3"/>
    </row>
    <row r="25" spans="1:15" ht="14.25" hidden="1">
      <c r="A25" s="62">
        <v>1.23</v>
      </c>
      <c r="B25" s="62"/>
      <c r="C25" s="67" t="str">
        <f>IFERROR(VLOOKUP($A25,GanttChart!$A:$JD,2,FALSE),"خطا")</f>
        <v>خطا</v>
      </c>
      <c r="D25" s="68">
        <f>IFERROR(VLOOKUP($A25,GanttChart!$A:$JD,261,FALSE),0)</f>
        <v>0</v>
      </c>
      <c r="E25" s="68">
        <f>IFERROR(VLOOKUP($A25,GanttChart!$A:$JD,262,FALSE),0)</f>
        <v>0</v>
      </c>
      <c r="F25" s="68">
        <f>IFERROR(VLOOKUP($A25,GanttChart!$A:$JD,263,FALSE),0)</f>
        <v>0</v>
      </c>
      <c r="G25" s="69">
        <f>IFERROR(VLOOKUP($A25,GanttChart!$A:$JD,264,FALSE),0)</f>
        <v>0</v>
      </c>
      <c r="H25" s="70"/>
      <c r="I25" s="69">
        <f t="shared" si="0"/>
        <v>0</v>
      </c>
      <c r="J25" s="3"/>
      <c r="K25" s="3"/>
      <c r="L25" s="3"/>
      <c r="M25" s="3"/>
      <c r="N25" s="3"/>
      <c r="O25" s="3"/>
    </row>
    <row r="26" spans="1:15" ht="14.25">
      <c r="A26" s="62">
        <v>2</v>
      </c>
      <c r="B26" s="62"/>
      <c r="C26" s="67" t="str">
        <f>IFERROR(VLOOKUP($A26,GanttChart!$A:$JD,2,FALSE),"خطا")</f>
        <v>استقرار زيرساخت  وآماده سازی  زیر ساخت نرم افزاری سامان سوئیت</v>
      </c>
      <c r="D26" s="68">
        <f>SUM(D27:D47)</f>
        <v>0</v>
      </c>
      <c r="E26" s="68">
        <f>SUM(E27:E47)</f>
        <v>0</v>
      </c>
      <c r="F26" s="68">
        <f>SUM(F27:F47)</f>
        <v>0</v>
      </c>
      <c r="G26" s="69">
        <f>SUM(G27:G47)</f>
        <v>0</v>
      </c>
      <c r="H26" s="167" t="e">
        <f>1-J26/G26</f>
        <v>#DIV/0!</v>
      </c>
      <c r="I26" s="69" t="e">
        <f t="shared" si="0"/>
        <v>#DIV/0!</v>
      </c>
      <c r="J26" s="89">
        <v>12000000</v>
      </c>
      <c r="K26" s="87"/>
      <c r="L26" s="88"/>
      <c r="M26" s="3"/>
      <c r="N26" s="3"/>
      <c r="O26" s="3"/>
    </row>
    <row r="27" spans="1:15" ht="22.5" hidden="1">
      <c r="A27" s="62">
        <v>2.1</v>
      </c>
      <c r="B27" s="62"/>
      <c r="C27" s="67" t="str">
        <f>IFERROR(VLOOKUP($A27,GanttChart!$A:$JD,2,FALSE),"خطا")</f>
        <v xml:space="preserve">ارائه سند نيازمنديهاي شبکه و سخت افزار سرور و نرم افزار های مورد نیاز به کارفرما </v>
      </c>
      <c r="D27" s="68">
        <f>IFERROR(VLOOKUP($A27,GanttChart!$A:$JD,261,FALSE),0)</f>
        <v>0</v>
      </c>
      <c r="E27" s="68">
        <f>IFERROR(VLOOKUP($A27,GanttChart!$A:$JD,262,FALSE),0)</f>
        <v>0</v>
      </c>
      <c r="F27" s="68">
        <f>IFERROR(VLOOKUP($A27,GanttChart!$A:$JD,263,FALSE),0)</f>
        <v>0</v>
      </c>
      <c r="G27" s="69">
        <f>IFERROR(VLOOKUP($A27,GanttChart!$A:$JD,264,FALSE),0)</f>
        <v>0</v>
      </c>
      <c r="H27" s="70"/>
      <c r="I27" s="69">
        <f t="shared" si="0"/>
        <v>0</v>
      </c>
      <c r="J27" s="3"/>
      <c r="K27" s="3"/>
      <c r="L27" s="3"/>
      <c r="M27" s="3"/>
      <c r="N27" s="3"/>
      <c r="O27" s="3"/>
    </row>
    <row r="28" spans="1:15" ht="22.5" hidden="1">
      <c r="A28" s="62">
        <v>2.2000000000000002</v>
      </c>
      <c r="B28" s="62"/>
      <c r="C28" s="67" t="str">
        <f>IFERROR(VLOOKUP($A28,GanttChart!$A:$JD,2,FALSE),"خطا")</f>
        <v xml:space="preserve">تامين و آماده سازي شبکه و زيرساخت سخت افزاری و نرم افزاری مورد نياز (سرور  اصلی) توسط کارفرما </v>
      </c>
      <c r="D28" s="68">
        <f>IFERROR(VLOOKUP($A28,GanttChart!$A:$JD,261,FALSE),0)</f>
        <v>0</v>
      </c>
      <c r="E28" s="68">
        <f>IFERROR(VLOOKUP($A28,GanttChart!$A:$JD,262,FALSE),0)</f>
        <v>0</v>
      </c>
      <c r="F28" s="68">
        <f>IFERROR(VLOOKUP($A28,GanttChart!$A:$JD,263,FALSE),0)</f>
        <v>0</v>
      </c>
      <c r="G28" s="69">
        <f>IFERROR(VLOOKUP($A28,GanttChart!$A:$JD,264,FALSE),0)</f>
        <v>0</v>
      </c>
      <c r="H28" s="70"/>
      <c r="I28" s="69">
        <f t="shared" si="0"/>
        <v>0</v>
      </c>
      <c r="J28" s="3"/>
      <c r="K28" s="3"/>
      <c r="L28" s="3"/>
      <c r="M28" s="3"/>
      <c r="N28" s="3"/>
      <c r="O28" s="3"/>
    </row>
    <row r="29" spans="1:15" ht="14.25" hidden="1">
      <c r="A29" s="62">
        <v>2.2999999999999998</v>
      </c>
      <c r="B29" s="62"/>
      <c r="C29" s="67" t="str">
        <f>IFERROR(VLOOKUP($A29,GanttChart!$A:$JD,2,FALSE),"خطا")</f>
        <v>ارائه دسترسی راه دور به سرور از طریق (ssh) با حق دسترسی مدیریت</v>
      </c>
      <c r="D29" s="68">
        <f>IFERROR(VLOOKUP($A29,GanttChart!$A:$JD,261,FALSE),0)</f>
        <v>0</v>
      </c>
      <c r="E29" s="68">
        <f>IFERROR(VLOOKUP($A29,GanttChart!$A:$JD,262,FALSE),0)</f>
        <v>0</v>
      </c>
      <c r="F29" s="68">
        <f>IFERROR(VLOOKUP($A29,GanttChart!$A:$JD,263,FALSE),0)</f>
        <v>0</v>
      </c>
      <c r="G29" s="69">
        <f>IFERROR(VLOOKUP($A29,GanttChart!$A:$JD,264,FALSE),0)</f>
        <v>0</v>
      </c>
      <c r="H29" s="70"/>
      <c r="I29" s="69">
        <f t="shared" si="0"/>
        <v>0</v>
      </c>
      <c r="J29" s="3"/>
      <c r="K29" s="3"/>
      <c r="L29" s="3"/>
      <c r="M29" s="3"/>
      <c r="N29" s="3"/>
      <c r="O29" s="3"/>
    </row>
    <row r="30" spans="1:15" ht="14.25" hidden="1">
      <c r="A30" s="62">
        <v>2.4</v>
      </c>
      <c r="B30" s="62"/>
      <c r="C30" s="67" t="str">
        <f>IFERROR(VLOOKUP($A30,GanttChart!$A:$JD,2,FALSE),"خطا")</f>
        <v>نصب و پیکربندی سرور پورتال و زیر ساخت نرم افزاری پایه آن</v>
      </c>
      <c r="D30" s="68">
        <f>IFERROR(VLOOKUP($A30,GanttChart!$A:$JD,261,FALSE),0)</f>
        <v>0</v>
      </c>
      <c r="E30" s="68">
        <f>IFERROR(VLOOKUP($A30,GanttChart!$A:$JD,262,FALSE),0)</f>
        <v>0</v>
      </c>
      <c r="F30" s="68">
        <f>IFERROR(VLOOKUP($A30,GanttChart!$A:$JD,263,FALSE),0)</f>
        <v>0</v>
      </c>
      <c r="G30" s="69">
        <f>IFERROR(VLOOKUP($A30,GanttChart!$A:$JD,264,FALSE),0)</f>
        <v>0</v>
      </c>
      <c r="H30" s="70"/>
      <c r="I30" s="69">
        <f t="shared" si="0"/>
        <v>0</v>
      </c>
      <c r="J30" s="3"/>
      <c r="K30" s="3"/>
      <c r="L30" s="3"/>
      <c r="M30" s="3"/>
      <c r="N30" s="3"/>
      <c r="O30" s="3"/>
    </row>
    <row r="31" spans="1:15" ht="22.5" hidden="1">
      <c r="A31" s="62">
        <v>2.5</v>
      </c>
      <c r="B31" s="62"/>
      <c r="C31" s="67" t="str">
        <f>IFERROR(VLOOKUP($A31,GanttChart!$A:$JD,2,FALSE),"خطا")</f>
        <v>نصب و پیکربندی نرم افزار سامان سوئیت و سایر نرم افزاری های موضوع قرارداد بر روی سرور</v>
      </c>
      <c r="D31" s="68">
        <f>IFERROR(VLOOKUP($A31,GanttChart!$A:$JD,261,FALSE),0)</f>
        <v>0</v>
      </c>
      <c r="E31" s="68">
        <f>IFERROR(VLOOKUP($A31,GanttChart!$A:$JD,262,FALSE),0)</f>
        <v>0</v>
      </c>
      <c r="F31" s="68">
        <f>IFERROR(VLOOKUP($A31,GanttChart!$A:$JD,263,FALSE),0)</f>
        <v>0</v>
      </c>
      <c r="G31" s="69">
        <f>IFERROR(VLOOKUP($A31,GanttChart!$A:$JD,264,FALSE),0)</f>
        <v>0</v>
      </c>
      <c r="H31" s="70"/>
      <c r="I31" s="69">
        <f t="shared" si="0"/>
        <v>0</v>
      </c>
      <c r="J31" s="3"/>
      <c r="K31" s="3"/>
      <c r="L31" s="3"/>
      <c r="M31" s="3"/>
      <c r="N31" s="3"/>
      <c r="O31" s="3"/>
    </row>
    <row r="32" spans="1:15" ht="14.25" hidden="1">
      <c r="A32" s="62">
        <v>2.6</v>
      </c>
      <c r="B32" s="62"/>
      <c r="C32" s="67" t="str">
        <f>IFERROR(VLOOKUP($A32,GanttChart!$A:$JD,2,FALSE),"خطا")</f>
        <v>تنظیم روال های تهیه نسخه پشتیبان دوره ای از نرم افزار سامان سوئیت</v>
      </c>
      <c r="D32" s="68">
        <f>IFERROR(VLOOKUP($A32,GanttChart!$A:$JD,261,FALSE),0)</f>
        <v>0</v>
      </c>
      <c r="E32" s="68">
        <f>IFERROR(VLOOKUP($A32,GanttChart!$A:$JD,262,FALSE),0)</f>
        <v>0</v>
      </c>
      <c r="F32" s="68">
        <f>IFERROR(VLOOKUP($A32,GanttChart!$A:$JD,263,FALSE),0)</f>
        <v>0</v>
      </c>
      <c r="G32" s="69">
        <f>IFERROR(VLOOKUP($A32,GanttChart!$A:$JD,264,FALSE),0)</f>
        <v>0</v>
      </c>
      <c r="H32" s="70"/>
      <c r="I32" s="69">
        <f t="shared" si="0"/>
        <v>0</v>
      </c>
      <c r="J32" s="3"/>
      <c r="K32" s="3"/>
      <c r="L32" s="3"/>
      <c r="M32" s="3"/>
      <c r="N32" s="3"/>
      <c r="O32" s="3"/>
    </row>
    <row r="33" spans="1:15" ht="22.5" hidden="1">
      <c r="A33" s="62">
        <v>2.7</v>
      </c>
      <c r="B33" s="62"/>
      <c r="C33" s="67" t="str">
        <f>IFERROR(VLOOKUP($A33,GanttChart!$A:$JD,2,FALSE),"خطا")</f>
        <v>تحویل نرم افزار نصب شده مطابق با مجوزهای جدول الف قرارداد بر روی سرور کارفرما به کارفرما</v>
      </c>
      <c r="D33" s="68">
        <f>IFERROR(VLOOKUP($A33,GanttChart!$A:$JD,261,FALSE),0)</f>
        <v>0</v>
      </c>
      <c r="E33" s="68">
        <f>IFERROR(VLOOKUP($A33,GanttChart!$A:$JD,262,FALSE),0)</f>
        <v>0</v>
      </c>
      <c r="F33" s="68">
        <f>IFERROR(VLOOKUP($A33,GanttChart!$A:$JD,263,FALSE),0)</f>
        <v>0</v>
      </c>
      <c r="G33" s="69">
        <f>IFERROR(VLOOKUP($A33,GanttChart!$A:$JD,264,FALSE),0)</f>
        <v>0</v>
      </c>
      <c r="H33" s="70"/>
      <c r="I33" s="69">
        <f t="shared" si="0"/>
        <v>0</v>
      </c>
      <c r="J33" s="3"/>
      <c r="K33" s="3"/>
      <c r="L33" s="3"/>
      <c r="M33" s="3"/>
      <c r="N33" s="3"/>
      <c r="O33" s="3"/>
    </row>
    <row r="34" spans="1:15" ht="22.5" hidden="1">
      <c r="A34" s="62">
        <v>2.8</v>
      </c>
      <c r="B34" s="62"/>
      <c r="C34" s="67" t="str">
        <f>IFERROR(VLOOKUP($A34,GanttChart!$A:$JD,2,FALSE),"خطا")</f>
        <v>تهیه و نگهداری نسخه های پشتیبان نرم افزار سامان سوئیت (در طول قرارداد)</v>
      </c>
      <c r="D34" s="68">
        <f>IFERROR(VLOOKUP($A34,GanttChart!$A:$JD,261,FALSE),0)</f>
        <v>0</v>
      </c>
      <c r="E34" s="68">
        <f>IFERROR(VLOOKUP($A34,GanttChart!$A:$JD,262,FALSE),0)</f>
        <v>0</v>
      </c>
      <c r="F34" s="68">
        <f>IFERROR(VLOOKUP($A34,GanttChart!$A:$JD,263,FALSE),0)</f>
        <v>0</v>
      </c>
      <c r="G34" s="69">
        <f>IFERROR(VLOOKUP($A34,GanttChart!$A:$JD,264,FALSE),0)</f>
        <v>0</v>
      </c>
      <c r="H34" s="70"/>
      <c r="I34" s="69">
        <f t="shared" si="0"/>
        <v>0</v>
      </c>
      <c r="J34" s="3"/>
      <c r="K34" s="3"/>
      <c r="L34" s="3"/>
      <c r="M34" s="3"/>
      <c r="N34" s="3"/>
      <c r="O34" s="3"/>
    </row>
    <row r="35" spans="1:15" ht="14.25" hidden="1">
      <c r="A35" s="62">
        <v>2.9</v>
      </c>
      <c r="B35" s="62"/>
      <c r="C35" s="67" t="str">
        <f>IFERROR(VLOOKUP($A35,GanttChart!$A:$JD,2,FALSE),"خطا")</f>
        <v>تحویل سرور اصلی به کارفرما</v>
      </c>
      <c r="D35" s="68">
        <f>IFERROR(VLOOKUP($A35,GanttChart!$A:$JD,261,FALSE),0)</f>
        <v>0</v>
      </c>
      <c r="E35" s="68">
        <f>IFERROR(VLOOKUP($A35,GanttChart!$A:$JD,262,FALSE),0)</f>
        <v>0</v>
      </c>
      <c r="F35" s="68">
        <f>IFERROR(VLOOKUP($A35,GanttChart!$A:$JD,263,FALSE),0)</f>
        <v>0</v>
      </c>
      <c r="G35" s="69">
        <f>IFERROR(VLOOKUP($A35,GanttChart!$A:$JD,264,FALSE),0)</f>
        <v>0</v>
      </c>
      <c r="H35" s="70"/>
      <c r="I35" s="69">
        <f t="shared" si="0"/>
        <v>0</v>
      </c>
      <c r="J35" s="3"/>
      <c r="K35" s="3"/>
      <c r="L35" s="3"/>
      <c r="M35" s="3"/>
      <c r="N35" s="3"/>
      <c r="O35" s="3"/>
    </row>
    <row r="36" spans="1:15" ht="33.75" hidden="1">
      <c r="A36" s="62">
        <v>2.11</v>
      </c>
      <c r="B36" s="62"/>
      <c r="C36" s="67" t="str">
        <f>IFERROR(VLOOKUP($A36,GanttChart!$A:$JD,2,FALSE),"خطا")</f>
        <v>تامين و آماده سازي شبکه و زيرساخت سخت افزاری و نرم افزاری مورد نياز (سرور  تست) توسط کارفرما منطبق بر مشخصات سرور اصلی و در بستر همسان</v>
      </c>
      <c r="D36" s="68">
        <f>IFERROR(VLOOKUP($A36,GanttChart!$A:$JD,261,FALSE),0)</f>
        <v>0</v>
      </c>
      <c r="E36" s="68">
        <f>IFERROR(VLOOKUP($A36,GanttChart!$A:$JD,262,FALSE),0)</f>
        <v>0</v>
      </c>
      <c r="F36" s="68">
        <f>IFERROR(VLOOKUP($A36,GanttChart!$A:$JD,263,FALSE),0)</f>
        <v>0</v>
      </c>
      <c r="G36" s="69">
        <f>IFERROR(VLOOKUP($A36,GanttChart!$A:$JD,264,FALSE),0)</f>
        <v>0</v>
      </c>
      <c r="H36" s="70"/>
      <c r="I36" s="69">
        <f t="shared" si="0"/>
        <v>0</v>
      </c>
      <c r="J36" s="3"/>
      <c r="K36" s="3"/>
      <c r="L36" s="3"/>
      <c r="M36" s="3"/>
      <c r="N36" s="3"/>
      <c r="O36" s="3"/>
    </row>
    <row r="37" spans="1:15" ht="14.25" hidden="1">
      <c r="A37" s="62">
        <v>2.12</v>
      </c>
      <c r="B37" s="62"/>
      <c r="C37" s="67" t="str">
        <f>IFERROR(VLOOKUP($A37,GanttChart!$A:$JD,2,FALSE),"خطا")</f>
        <v>آماده سازی محیط تست</v>
      </c>
      <c r="D37" s="68">
        <f>IFERROR(VLOOKUP($A37,GanttChart!$A:$JD,261,FALSE),0)</f>
        <v>0</v>
      </c>
      <c r="E37" s="68">
        <f>IFERROR(VLOOKUP($A37,GanttChart!$A:$JD,262,FALSE),0)</f>
        <v>0</v>
      </c>
      <c r="F37" s="68">
        <f>IFERROR(VLOOKUP($A37,GanttChart!$A:$JD,263,FALSE),0)</f>
        <v>0</v>
      </c>
      <c r="G37" s="69">
        <f>IFERROR(VLOOKUP($A37,GanttChart!$A:$JD,264,FALSE),0)</f>
        <v>0</v>
      </c>
      <c r="H37" s="70"/>
      <c r="I37" s="69">
        <f t="shared" si="0"/>
        <v>0</v>
      </c>
      <c r="J37" s="3"/>
      <c r="K37" s="3"/>
      <c r="L37" s="3"/>
      <c r="M37" s="3"/>
      <c r="N37" s="3"/>
      <c r="O37" s="3"/>
    </row>
    <row r="38" spans="1:15" ht="14.25" hidden="1">
      <c r="A38" s="62">
        <v>2.13</v>
      </c>
      <c r="B38" s="62"/>
      <c r="C38" s="67" t="str">
        <f>IFERROR(VLOOKUP($A38,GanttChart!$A:$JD,2,FALSE),"خطا")</f>
        <v>تحویل سرور تست  به کارفرما</v>
      </c>
      <c r="D38" s="68">
        <f>IFERROR(VLOOKUP($A38,GanttChart!$A:$JD,261,FALSE),0)</f>
        <v>0</v>
      </c>
      <c r="E38" s="68">
        <f>IFERROR(VLOOKUP($A38,GanttChart!$A:$JD,262,FALSE),0)</f>
        <v>0</v>
      </c>
      <c r="F38" s="68">
        <f>IFERROR(VLOOKUP($A38,GanttChart!$A:$JD,263,FALSE),0)</f>
        <v>0</v>
      </c>
      <c r="G38" s="69">
        <f>IFERROR(VLOOKUP($A38,GanttChart!$A:$JD,264,FALSE),0)</f>
        <v>0</v>
      </c>
      <c r="H38" s="70"/>
      <c r="I38" s="69">
        <f t="shared" si="0"/>
        <v>0</v>
      </c>
      <c r="J38" s="3"/>
      <c r="K38" s="3"/>
      <c r="L38" s="3"/>
      <c r="M38" s="3"/>
      <c r="N38" s="3"/>
      <c r="O38" s="3"/>
    </row>
    <row r="39" spans="1:15" ht="14.25" hidden="1">
      <c r="A39" s="62">
        <v>2.14</v>
      </c>
      <c r="B39" s="62"/>
      <c r="C39" s="67" t="str">
        <f>IFERROR(VLOOKUP($A39,GanttChart!$A:$JD,2,FALSE),"خطا")</f>
        <v>خطا</v>
      </c>
      <c r="D39" s="68">
        <f>IFERROR(VLOOKUP($A39,GanttChart!$A:$JD,261,FALSE),0)</f>
        <v>0</v>
      </c>
      <c r="E39" s="68">
        <f>IFERROR(VLOOKUP($A39,GanttChart!$A:$JD,262,FALSE),0)</f>
        <v>0</v>
      </c>
      <c r="F39" s="68">
        <f>IFERROR(VLOOKUP($A39,GanttChart!$A:$JD,263,FALSE),0)</f>
        <v>0</v>
      </c>
      <c r="G39" s="69">
        <f>IFERROR(VLOOKUP($A39,GanttChart!$A:$JD,264,FALSE),0)</f>
        <v>0</v>
      </c>
      <c r="H39" s="70"/>
      <c r="I39" s="69">
        <f t="shared" si="0"/>
        <v>0</v>
      </c>
      <c r="J39" s="3"/>
      <c r="K39" s="3"/>
      <c r="L39" s="3"/>
      <c r="M39" s="3"/>
      <c r="N39" s="3"/>
      <c r="O39" s="3"/>
    </row>
    <row r="40" spans="1:15" ht="14.25" hidden="1">
      <c r="A40" s="62">
        <v>2.15</v>
      </c>
      <c r="B40" s="62"/>
      <c r="C40" s="67" t="str">
        <f>IFERROR(VLOOKUP($A40,GanttChart!$A:$JD,2,FALSE),"خطا")</f>
        <v>خطا</v>
      </c>
      <c r="D40" s="68">
        <f>IFERROR(VLOOKUP($A40,GanttChart!$A:$JD,261,FALSE),0)</f>
        <v>0</v>
      </c>
      <c r="E40" s="68">
        <f>IFERROR(VLOOKUP($A40,GanttChart!$A:$JD,262,FALSE),0)</f>
        <v>0</v>
      </c>
      <c r="F40" s="68">
        <f>IFERROR(VLOOKUP($A40,GanttChart!$A:$JD,263,FALSE),0)</f>
        <v>0</v>
      </c>
      <c r="G40" s="69">
        <f>IFERROR(VLOOKUP($A40,GanttChart!$A:$JD,264,FALSE),0)</f>
        <v>0</v>
      </c>
      <c r="H40" s="70"/>
      <c r="I40" s="69">
        <f t="shared" si="0"/>
        <v>0</v>
      </c>
      <c r="J40" s="3"/>
      <c r="K40" s="3"/>
      <c r="L40" s="3"/>
      <c r="M40" s="3"/>
      <c r="N40" s="3"/>
      <c r="O40" s="3"/>
    </row>
    <row r="41" spans="1:15" ht="14.25" hidden="1">
      <c r="A41" s="62">
        <v>2.16</v>
      </c>
      <c r="B41" s="62"/>
      <c r="C41" s="67" t="str">
        <f>IFERROR(VLOOKUP($A41,GanttChart!$A:$JD,2,FALSE),"خطا")</f>
        <v>خطا</v>
      </c>
      <c r="D41" s="68">
        <f>IFERROR(VLOOKUP($A41,GanttChart!$A:$JD,261,FALSE),0)</f>
        <v>0</v>
      </c>
      <c r="E41" s="68">
        <f>IFERROR(VLOOKUP($A41,GanttChart!$A:$JD,262,FALSE),0)</f>
        <v>0</v>
      </c>
      <c r="F41" s="68">
        <f>IFERROR(VLOOKUP($A41,GanttChart!$A:$JD,263,FALSE),0)</f>
        <v>0</v>
      </c>
      <c r="G41" s="69">
        <f>IFERROR(VLOOKUP($A41,GanttChart!$A:$JD,264,FALSE),0)</f>
        <v>0</v>
      </c>
      <c r="H41" s="70"/>
      <c r="I41" s="69">
        <f t="shared" si="0"/>
        <v>0</v>
      </c>
      <c r="J41" s="3"/>
      <c r="K41" s="3"/>
      <c r="L41" s="3"/>
      <c r="M41" s="3"/>
      <c r="N41" s="3"/>
      <c r="O41" s="3"/>
    </row>
    <row r="42" spans="1:15" ht="14.25" hidden="1">
      <c r="A42" s="62">
        <v>2.17</v>
      </c>
      <c r="B42" s="62"/>
      <c r="C42" s="67" t="str">
        <f>IFERROR(VLOOKUP($A42,GanttChart!$A:$JD,2,FALSE),"خطا")</f>
        <v>خطا</v>
      </c>
      <c r="D42" s="68">
        <f>IFERROR(VLOOKUP($A42,GanttChart!$A:$JD,261,FALSE),0)</f>
        <v>0</v>
      </c>
      <c r="E42" s="68">
        <f>IFERROR(VLOOKUP($A42,GanttChart!$A:$JD,262,FALSE),0)</f>
        <v>0</v>
      </c>
      <c r="F42" s="68">
        <f>IFERROR(VLOOKUP($A42,GanttChart!$A:$JD,263,FALSE),0)</f>
        <v>0</v>
      </c>
      <c r="G42" s="69">
        <f>IFERROR(VLOOKUP($A42,GanttChart!$A:$JD,264,FALSE),0)</f>
        <v>0</v>
      </c>
      <c r="H42" s="70"/>
      <c r="I42" s="69">
        <f t="shared" si="0"/>
        <v>0</v>
      </c>
      <c r="J42" s="3"/>
      <c r="K42" s="3"/>
      <c r="L42" s="3"/>
      <c r="M42" s="3"/>
      <c r="N42" s="3"/>
      <c r="O42" s="3"/>
    </row>
    <row r="43" spans="1:15" ht="14.25" hidden="1">
      <c r="A43" s="62">
        <v>2.1800000000000002</v>
      </c>
      <c r="B43" s="62"/>
      <c r="C43" s="67" t="str">
        <f>IFERROR(VLOOKUP($A43,GanttChart!$A:$JD,2,FALSE),"خطا")</f>
        <v>خطا</v>
      </c>
      <c r="D43" s="68">
        <f>IFERROR(VLOOKUP($A43,GanttChart!$A:$JD,261,FALSE),0)</f>
        <v>0</v>
      </c>
      <c r="E43" s="68">
        <f>IFERROR(VLOOKUP($A43,GanttChart!$A:$JD,262,FALSE),0)</f>
        <v>0</v>
      </c>
      <c r="F43" s="68">
        <f>IFERROR(VLOOKUP($A43,GanttChart!$A:$JD,263,FALSE),0)</f>
        <v>0</v>
      </c>
      <c r="G43" s="69">
        <f>IFERROR(VLOOKUP($A43,GanttChart!$A:$JD,264,FALSE),0)</f>
        <v>0</v>
      </c>
      <c r="H43" s="70"/>
      <c r="I43" s="69">
        <f t="shared" si="0"/>
        <v>0</v>
      </c>
      <c r="J43" s="3"/>
      <c r="K43" s="3"/>
      <c r="L43" s="3"/>
      <c r="M43" s="3"/>
      <c r="N43" s="3"/>
      <c r="O43" s="3"/>
    </row>
    <row r="44" spans="1:15" ht="14.25" hidden="1">
      <c r="A44" s="62">
        <v>2.19</v>
      </c>
      <c r="B44" s="62"/>
      <c r="C44" s="67" t="str">
        <f>IFERROR(VLOOKUP($A44,GanttChart!$A:$JD,2,FALSE),"خطا")</f>
        <v>خطا</v>
      </c>
      <c r="D44" s="68">
        <f>IFERROR(VLOOKUP($A44,GanttChart!$A:$JD,261,FALSE),0)</f>
        <v>0</v>
      </c>
      <c r="E44" s="68">
        <f>IFERROR(VLOOKUP($A44,GanttChart!$A:$JD,262,FALSE),0)</f>
        <v>0</v>
      </c>
      <c r="F44" s="68">
        <f>IFERROR(VLOOKUP($A44,GanttChart!$A:$JD,263,FALSE),0)</f>
        <v>0</v>
      </c>
      <c r="G44" s="69">
        <f>IFERROR(VLOOKUP($A44,GanttChart!$A:$JD,264,FALSE),0)</f>
        <v>0</v>
      </c>
      <c r="H44" s="70"/>
      <c r="I44" s="69">
        <f t="shared" si="0"/>
        <v>0</v>
      </c>
      <c r="J44" s="3"/>
      <c r="K44" s="3"/>
      <c r="L44" s="3"/>
      <c r="M44" s="3"/>
      <c r="N44" s="3"/>
      <c r="O44" s="3"/>
    </row>
    <row r="45" spans="1:15" ht="14.25" hidden="1">
      <c r="A45" s="62">
        <v>2.21</v>
      </c>
      <c r="B45" s="62"/>
      <c r="C45" s="67" t="str">
        <f>IFERROR(VLOOKUP($A45,GanttChart!$A:$JD,2,FALSE),"خطا")</f>
        <v>خطا</v>
      </c>
      <c r="D45" s="68">
        <f>IFERROR(VLOOKUP($A45,GanttChart!$A:$JD,261,FALSE),0)</f>
        <v>0</v>
      </c>
      <c r="E45" s="68">
        <f>IFERROR(VLOOKUP($A45,GanttChart!$A:$JD,262,FALSE),0)</f>
        <v>0</v>
      </c>
      <c r="F45" s="68">
        <f>IFERROR(VLOOKUP($A45,GanttChart!$A:$JD,263,FALSE),0)</f>
        <v>0</v>
      </c>
      <c r="G45" s="69">
        <f>IFERROR(VLOOKUP($A45,GanttChart!$A:$JD,264,FALSE),0)</f>
        <v>0</v>
      </c>
      <c r="H45" s="70"/>
      <c r="I45" s="69">
        <f t="shared" si="0"/>
        <v>0</v>
      </c>
      <c r="J45" s="3"/>
      <c r="K45" s="3"/>
      <c r="L45" s="3"/>
      <c r="M45" s="3"/>
      <c r="N45" s="3"/>
      <c r="O45" s="3"/>
    </row>
    <row r="46" spans="1:15" ht="14.25" hidden="1">
      <c r="A46" s="62">
        <v>2.2200000000000002</v>
      </c>
      <c r="B46" s="62"/>
      <c r="C46" s="67" t="str">
        <f>IFERROR(VLOOKUP($A46,GanttChart!$A:$JD,2,FALSE),"خطا")</f>
        <v>خطا</v>
      </c>
      <c r="D46" s="68">
        <f>IFERROR(VLOOKUP($A46,GanttChart!$A:$JD,261,FALSE),0)</f>
        <v>0</v>
      </c>
      <c r="E46" s="68">
        <f>IFERROR(VLOOKUP($A46,GanttChart!$A:$JD,262,FALSE),0)</f>
        <v>0</v>
      </c>
      <c r="F46" s="68">
        <f>IFERROR(VLOOKUP($A46,GanttChart!$A:$JD,263,FALSE),0)</f>
        <v>0</v>
      </c>
      <c r="G46" s="69">
        <f>IFERROR(VLOOKUP($A46,GanttChart!$A:$JD,264,FALSE),0)</f>
        <v>0</v>
      </c>
      <c r="H46" s="70"/>
      <c r="I46" s="69">
        <f t="shared" si="0"/>
        <v>0</v>
      </c>
      <c r="J46" s="3"/>
      <c r="K46" s="3"/>
      <c r="L46" s="3"/>
      <c r="M46" s="3"/>
      <c r="N46" s="3"/>
      <c r="O46" s="3"/>
    </row>
    <row r="47" spans="1:15" ht="14.25" hidden="1">
      <c r="A47" s="62">
        <v>2.23</v>
      </c>
      <c r="B47" s="62"/>
      <c r="C47" s="67" t="str">
        <f>IFERROR(VLOOKUP($A47,GanttChart!$A:$JD,2,FALSE),"خطا")</f>
        <v>خطا</v>
      </c>
      <c r="D47" s="68">
        <f>IFERROR(VLOOKUP($A47,GanttChart!$A:$JD,261,FALSE),0)</f>
        <v>0</v>
      </c>
      <c r="E47" s="68">
        <f>IFERROR(VLOOKUP($A47,GanttChart!$A:$JD,262,FALSE),0)</f>
        <v>0</v>
      </c>
      <c r="F47" s="68">
        <f>IFERROR(VLOOKUP($A47,GanttChart!$A:$JD,263,FALSE),0)</f>
        <v>0</v>
      </c>
      <c r="G47" s="69">
        <f>IFERROR(VLOOKUP($A47,GanttChart!$A:$JD,264,FALSE),0)</f>
        <v>0</v>
      </c>
      <c r="H47" s="70"/>
      <c r="I47" s="69">
        <f t="shared" si="0"/>
        <v>0</v>
      </c>
      <c r="J47" s="3"/>
      <c r="K47" s="3"/>
      <c r="L47" s="3"/>
      <c r="M47" s="3"/>
      <c r="N47" s="3"/>
      <c r="O47" s="3"/>
    </row>
    <row r="48" spans="1:15" ht="14.25">
      <c r="A48" s="62">
        <v>3</v>
      </c>
      <c r="B48" s="62"/>
      <c r="C48" s="67" t="str">
        <f>IFERROR(VLOOKUP($A48,GanttChart!$A:$JD,2,FALSE),"خطا")</f>
        <v>ارائه خدمات اجرایی موضوع قرارداد</v>
      </c>
      <c r="D48" s="68">
        <f>SUM(D49:D69)</f>
        <v>0</v>
      </c>
      <c r="E48" s="68">
        <f>SUM(E49:E69)</f>
        <v>0</v>
      </c>
      <c r="F48" s="68">
        <f>SUM(F49:F69)</f>
        <v>0</v>
      </c>
      <c r="G48" s="69">
        <f>SUM(G49:G69)</f>
        <v>0</v>
      </c>
      <c r="H48" s="167" t="e">
        <f>1-J48/G48</f>
        <v>#DIV/0!</v>
      </c>
      <c r="I48" s="69" t="e">
        <f t="shared" si="0"/>
        <v>#DIV/0!</v>
      </c>
      <c r="J48" s="89">
        <v>16000000</v>
      </c>
      <c r="K48" s="3"/>
      <c r="L48" s="3"/>
      <c r="M48" s="3"/>
      <c r="N48" s="3"/>
      <c r="O48" s="3"/>
    </row>
    <row r="49" spans="1:15" ht="14.25" hidden="1">
      <c r="A49" s="62">
        <v>3.1</v>
      </c>
      <c r="B49" s="62"/>
      <c r="C49" s="67" t="str">
        <f>IFERROR(VLOOKUP($A49,GanttChart!$A:$JD,2,FALSE),"خطا")</f>
        <v>ارائه ساختار محتوا و طرح های گرافیکی نسخه فارسی</v>
      </c>
      <c r="D49" s="68">
        <f>IFERROR(VLOOKUP($A49,GanttChart!$A:$JD,261,FALSE),0)</f>
        <v>0</v>
      </c>
      <c r="E49" s="68">
        <f>IFERROR(VLOOKUP($A49,GanttChart!$A:$JD,262,FALSE),0)</f>
        <v>0</v>
      </c>
      <c r="F49" s="68">
        <f>IFERROR(VLOOKUP($A49,GanttChart!$A:$JD,263,FALSE),0)</f>
        <v>0</v>
      </c>
      <c r="G49" s="69">
        <f>IFERROR(VLOOKUP($A49,GanttChart!$A:$JD,264,FALSE),0)</f>
        <v>0</v>
      </c>
      <c r="H49" s="70"/>
      <c r="I49" s="69">
        <f t="shared" si="0"/>
        <v>0</v>
      </c>
      <c r="J49" s="3"/>
      <c r="K49" s="3"/>
      <c r="L49" s="3"/>
      <c r="M49" s="3"/>
      <c r="N49" s="3"/>
      <c r="O49" s="3"/>
    </row>
    <row r="50" spans="1:15" ht="22.5" hidden="1">
      <c r="A50" s="62">
        <v>3.2</v>
      </c>
      <c r="B50" s="62"/>
      <c r="C50" s="67" t="str">
        <f>IFERROR(VLOOKUP($A50,GanttChart!$A:$JD,2,FALSE),"خطا")</f>
        <v>مطالعه اسناد ارائه ساختار محتوا و بررسی طرح های گرافیکی  ارسالی از سوی کارفرما</v>
      </c>
      <c r="D50" s="68">
        <f>IFERROR(VLOOKUP($A50,GanttChart!$A:$JD,261,FALSE),0)</f>
        <v>0</v>
      </c>
      <c r="E50" s="68">
        <f>IFERROR(VLOOKUP($A50,GanttChart!$A:$JD,262,FALSE),0)</f>
        <v>0</v>
      </c>
      <c r="F50" s="68">
        <f>IFERROR(VLOOKUP($A50,GanttChart!$A:$JD,263,FALSE),0)</f>
        <v>0</v>
      </c>
      <c r="G50" s="69">
        <f>IFERROR(VLOOKUP($A50,GanttChart!$A:$JD,264,FALSE),0)</f>
        <v>0</v>
      </c>
      <c r="H50" s="70"/>
      <c r="I50" s="69">
        <f t="shared" si="0"/>
        <v>0</v>
      </c>
    </row>
    <row r="51" spans="1:15" ht="22.5" hidden="1">
      <c r="A51" s="62">
        <v>3.3</v>
      </c>
      <c r="B51" s="62"/>
      <c r="C51" s="67" t="str">
        <f>IFERROR(VLOOKUP($A51,GanttChart!$A:$JD,2,FALSE),"خطا")</f>
        <v>تدوین سند شناخت وضع جاری (وب سایت اینترنتی فارسی و انگلیسی و زیر پورتال ویژه همکاران)</v>
      </c>
      <c r="D51" s="68">
        <f>IFERROR(VLOOKUP($A51,GanttChart!$A:$JD,261,FALSE),0)</f>
        <v>0</v>
      </c>
      <c r="E51" s="68">
        <f>IFERROR(VLOOKUP($A51,GanttChart!$A:$JD,262,FALSE),0)</f>
        <v>0</v>
      </c>
      <c r="F51" s="68">
        <f>IFERROR(VLOOKUP($A51,GanttChart!$A:$JD,263,FALSE),0)</f>
        <v>0</v>
      </c>
      <c r="G51" s="69">
        <f>IFERROR(VLOOKUP($A51,GanttChart!$A:$JD,264,FALSE),0)</f>
        <v>0</v>
      </c>
      <c r="H51" s="70"/>
      <c r="I51" s="69">
        <f t="shared" si="0"/>
        <v>0</v>
      </c>
    </row>
    <row r="52" spans="1:15" ht="14.25" hidden="1">
      <c r="A52" s="62">
        <v>3.4</v>
      </c>
      <c r="B52" s="62"/>
      <c r="C52" s="67" t="str">
        <f>IFERROR(VLOOKUP($A52,GanttChart!$A:$JD,2,FALSE),"خطا")</f>
        <v>ارائه ساختار محتوا و طرح های گرافیکی نسخه انگلیسی</v>
      </c>
      <c r="D52" s="68">
        <f>IFERROR(VLOOKUP($A52,GanttChart!$A:$JD,261,FALSE),0)</f>
        <v>0</v>
      </c>
      <c r="E52" s="68">
        <f>IFERROR(VLOOKUP($A52,GanttChart!$A:$JD,262,FALSE),0)</f>
        <v>0</v>
      </c>
      <c r="F52" s="68">
        <f>IFERROR(VLOOKUP($A52,GanttChart!$A:$JD,263,FALSE),0)</f>
        <v>0</v>
      </c>
      <c r="G52" s="69">
        <f>IFERROR(VLOOKUP($A52,GanttChart!$A:$JD,264,FALSE),0)</f>
        <v>0</v>
      </c>
      <c r="H52" s="70"/>
      <c r="I52" s="69">
        <f t="shared" si="0"/>
        <v>0</v>
      </c>
    </row>
    <row r="53" spans="1:15" ht="14.25" hidden="1">
      <c r="A53" s="62">
        <v>3.5</v>
      </c>
      <c r="B53" s="62"/>
      <c r="C53" s="67" t="str">
        <f>IFERROR(VLOOKUP($A53,GanttChart!$A:$JD,2,FALSE),"خطا")</f>
        <v>جمع بندی نيازمنديهای فرايند شناخت و تدوین سند معماری محتوا (تدریجی)</v>
      </c>
      <c r="D53" s="68">
        <f>IFERROR(VLOOKUP($A53,GanttChart!$A:$JD,261,FALSE),0)</f>
        <v>0</v>
      </c>
      <c r="E53" s="68">
        <f>IFERROR(VLOOKUP($A53,GanttChart!$A:$JD,262,FALSE),0)</f>
        <v>0</v>
      </c>
      <c r="F53" s="68">
        <f>IFERROR(VLOOKUP($A53,GanttChart!$A:$JD,263,FALSE),0)</f>
        <v>0</v>
      </c>
      <c r="G53" s="69">
        <f>IFERROR(VLOOKUP($A53,GanttChart!$A:$JD,264,FALSE),0)</f>
        <v>0</v>
      </c>
      <c r="H53" s="70"/>
      <c r="I53" s="69">
        <f t="shared" si="0"/>
        <v>0</v>
      </c>
    </row>
    <row r="54" spans="1:15" ht="14.25" hidden="1">
      <c r="A54" s="62">
        <v>3.6</v>
      </c>
      <c r="B54" s="62"/>
      <c r="C54" s="67" t="str">
        <f>IFERROR(VLOOKUP($A54,GanttChart!$A:$JD,2,FALSE),"خطا")</f>
        <v xml:space="preserve"> بررسی و تایید مستند معماری محتوا توسط کارفرما (تدریجی)</v>
      </c>
      <c r="D54" s="68">
        <f>IFERROR(VLOOKUP($A54,GanttChart!$A:$JD,261,FALSE),0)</f>
        <v>0</v>
      </c>
      <c r="E54" s="68">
        <f>IFERROR(VLOOKUP($A54,GanttChart!$A:$JD,262,FALSE),0)</f>
        <v>0</v>
      </c>
      <c r="F54" s="68">
        <f>IFERROR(VLOOKUP($A54,GanttChart!$A:$JD,263,FALSE),0)</f>
        <v>0</v>
      </c>
      <c r="G54" s="69">
        <f>IFERROR(VLOOKUP($A54,GanttChart!$A:$JD,264,FALSE),0)</f>
        <v>0</v>
      </c>
      <c r="H54" s="70"/>
      <c r="I54" s="69">
        <f t="shared" si="0"/>
        <v>0</v>
      </c>
    </row>
    <row r="55" spans="1:15" ht="14.25" hidden="1">
      <c r="A55" s="62">
        <v>3.7</v>
      </c>
      <c r="B55" s="62"/>
      <c r="C55" s="67" t="str">
        <f>IFERROR(VLOOKUP($A55,GanttChart!$A:$JD,2,FALSE),"خطا")</f>
        <v>پیاده سازی نمای گرافیکی نسخه فارسی بانک</v>
      </c>
      <c r="D55" s="68">
        <f>IFERROR(VLOOKUP($A55,GanttChart!$A:$JD,261,FALSE),0)</f>
        <v>0</v>
      </c>
      <c r="E55" s="68">
        <f>IFERROR(VLOOKUP($A55,GanttChart!$A:$JD,262,FALSE),0)</f>
        <v>0</v>
      </c>
      <c r="F55" s="68">
        <f>IFERROR(VLOOKUP($A55,GanttChart!$A:$JD,263,FALSE),0)</f>
        <v>0</v>
      </c>
      <c r="G55" s="69">
        <f>IFERROR(VLOOKUP($A55,GanttChart!$A:$JD,264,FALSE),0)</f>
        <v>0</v>
      </c>
      <c r="H55" s="70"/>
      <c r="I55" s="69">
        <f t="shared" si="0"/>
        <v>0</v>
      </c>
    </row>
    <row r="56" spans="1:15" ht="14.25" hidden="1">
      <c r="A56" s="62">
        <v>3.8</v>
      </c>
      <c r="B56" s="62"/>
      <c r="C56" s="67" t="str">
        <f>IFERROR(VLOOKUP($A56,GanttChart!$A:$JD,2,FALSE),"خطا")</f>
        <v>پیاده سازی صفحه ایستا معرفی بانک</v>
      </c>
      <c r="D56" s="68">
        <f>IFERROR(VLOOKUP($A56,GanttChart!$A:$JD,261,FALSE),0)</f>
        <v>0</v>
      </c>
      <c r="E56" s="68">
        <f>IFERROR(VLOOKUP($A56,GanttChart!$A:$JD,262,FALSE),0)</f>
        <v>0</v>
      </c>
      <c r="F56" s="68">
        <f>IFERROR(VLOOKUP($A56,GanttChart!$A:$JD,263,FALSE),0)</f>
        <v>0</v>
      </c>
      <c r="G56" s="69">
        <f>IFERROR(VLOOKUP($A56,GanttChart!$A:$JD,264,FALSE),0)</f>
        <v>0</v>
      </c>
      <c r="H56" s="70"/>
      <c r="I56" s="69">
        <f t="shared" si="0"/>
        <v>0</v>
      </c>
    </row>
    <row r="57" spans="1:15" ht="14.25" hidden="1">
      <c r="A57" s="62">
        <v>3.9</v>
      </c>
      <c r="B57" s="62"/>
      <c r="C57" s="67" t="str">
        <f>IFERROR(VLOOKUP($A57,GanttChart!$A:$JD,2,FALSE),"خطا")</f>
        <v>پیاده سازی صفحه ایستا دعوت به همکاری</v>
      </c>
      <c r="D57" s="68">
        <f>IFERROR(VLOOKUP($A57,GanttChart!$A:$JD,261,FALSE),0)</f>
        <v>0</v>
      </c>
      <c r="E57" s="68">
        <f>IFERROR(VLOOKUP($A57,GanttChart!$A:$JD,262,FALSE),0)</f>
        <v>0</v>
      </c>
      <c r="F57" s="68">
        <f>IFERROR(VLOOKUP($A57,GanttChart!$A:$JD,263,FALSE),0)</f>
        <v>0</v>
      </c>
      <c r="G57" s="69">
        <f>IFERROR(VLOOKUP($A57,GanttChart!$A:$JD,264,FALSE),0)</f>
        <v>0</v>
      </c>
      <c r="H57" s="70"/>
      <c r="I57" s="69">
        <f t="shared" si="0"/>
        <v>0</v>
      </c>
    </row>
    <row r="58" spans="1:15" ht="14.25" hidden="1">
      <c r="A58" s="62">
        <v>3.11</v>
      </c>
      <c r="B58" s="62"/>
      <c r="C58" s="67" t="str">
        <f>IFERROR(VLOOKUP($A58,GanttChart!$A:$JD,2,FALSE),"خطا")</f>
        <v>پیاده سازی صفحه ایستا مدارس بانک اقتصاد نوین</v>
      </c>
      <c r="D58" s="68">
        <f>IFERROR(VLOOKUP($A58,GanttChart!$A:$JD,261,FALSE),0)</f>
        <v>0</v>
      </c>
      <c r="E58" s="68">
        <f>IFERROR(VLOOKUP($A58,GanttChart!$A:$JD,262,FALSE),0)</f>
        <v>0</v>
      </c>
      <c r="F58" s="68">
        <f>IFERROR(VLOOKUP($A58,GanttChart!$A:$JD,263,FALSE),0)</f>
        <v>0</v>
      </c>
      <c r="G58" s="69">
        <f>IFERROR(VLOOKUP($A58,GanttChart!$A:$JD,264,FALSE),0)</f>
        <v>0</v>
      </c>
      <c r="H58" s="70"/>
      <c r="I58" s="69">
        <f t="shared" si="0"/>
        <v>0</v>
      </c>
    </row>
    <row r="59" spans="1:15" ht="14.25" hidden="1">
      <c r="A59" s="62">
        <v>3.12</v>
      </c>
      <c r="B59" s="62"/>
      <c r="C59" s="67" t="str">
        <f>IFERROR(VLOOKUP($A59,GanttChart!$A:$JD,2,FALSE),"خطا")</f>
        <v>پیاده سازی صفحه ایستا اعتبارات اسنادی</v>
      </c>
      <c r="D59" s="68">
        <f>IFERROR(VLOOKUP($A59,GanttChart!$A:$JD,261,FALSE),0)</f>
        <v>0</v>
      </c>
      <c r="E59" s="68">
        <f>IFERROR(VLOOKUP($A59,GanttChart!$A:$JD,262,FALSE),0)</f>
        <v>0</v>
      </c>
      <c r="F59" s="68">
        <f>IFERROR(VLOOKUP($A59,GanttChart!$A:$JD,263,FALSE),0)</f>
        <v>0</v>
      </c>
      <c r="G59" s="69">
        <f>IFERROR(VLOOKUP($A59,GanttChart!$A:$JD,264,FALSE),0)</f>
        <v>0</v>
      </c>
      <c r="H59" s="70"/>
      <c r="I59" s="69">
        <f t="shared" si="0"/>
        <v>0</v>
      </c>
    </row>
    <row r="60" spans="1:15" ht="14.25" hidden="1">
      <c r="A60" s="62">
        <v>3.13</v>
      </c>
      <c r="B60" s="62"/>
      <c r="C60" s="67" t="str">
        <f>IFERROR(VLOOKUP($A60,GanttChart!$A:$JD,2,FALSE),"خطا")</f>
        <v>پیاده سازی صفحه ایستا سامانه های موبایلی</v>
      </c>
      <c r="D60" s="68">
        <f>IFERROR(VLOOKUP($A60,GanttChart!$A:$JD,261,FALSE),0)</f>
        <v>0</v>
      </c>
      <c r="E60" s="68">
        <f>IFERROR(VLOOKUP($A60,GanttChart!$A:$JD,262,FALSE),0)</f>
        <v>0</v>
      </c>
      <c r="F60" s="68">
        <f>IFERROR(VLOOKUP($A60,GanttChart!$A:$JD,263,FALSE),0)</f>
        <v>0</v>
      </c>
      <c r="G60" s="69">
        <f>IFERROR(VLOOKUP($A60,GanttChart!$A:$JD,264,FALSE),0)</f>
        <v>0</v>
      </c>
      <c r="H60" s="70"/>
      <c r="I60" s="69">
        <f t="shared" si="0"/>
        <v>0</v>
      </c>
    </row>
    <row r="61" spans="1:15" ht="14.25" hidden="1">
      <c r="A61" s="62">
        <v>3.14</v>
      </c>
      <c r="B61" s="62"/>
      <c r="C61" s="67" t="str">
        <f>IFERROR(VLOOKUP($A61,GanttChart!$A:$JD,2,FALSE),"خطا")</f>
        <v>پیاده سازی صفحه ایستا کارت های بانکی</v>
      </c>
      <c r="D61" s="68">
        <f>IFERROR(VLOOKUP($A61,GanttChart!$A:$JD,261,FALSE),0)</f>
        <v>0</v>
      </c>
      <c r="E61" s="68">
        <f>IFERROR(VLOOKUP($A61,GanttChart!$A:$JD,262,FALSE),0)</f>
        <v>0</v>
      </c>
      <c r="F61" s="68">
        <f>IFERROR(VLOOKUP($A61,GanttChart!$A:$JD,263,FALSE),0)</f>
        <v>0</v>
      </c>
      <c r="G61" s="69">
        <f>IFERROR(VLOOKUP($A61,GanttChart!$A:$JD,264,FALSE),0)</f>
        <v>0</v>
      </c>
      <c r="H61" s="70"/>
      <c r="I61" s="69">
        <f t="shared" si="0"/>
        <v>0</v>
      </c>
    </row>
    <row r="62" spans="1:15" ht="14.25" hidden="1">
      <c r="A62" s="62">
        <v>3.15</v>
      </c>
      <c r="B62" s="62"/>
      <c r="C62" s="67" t="str">
        <f>IFERROR(VLOOKUP($A62,GanttChart!$A:$JD,2,FALSE),"خطا")</f>
        <v>پیاده سازی صفحه ایستا اطلاعات تماس</v>
      </c>
      <c r="D62" s="68">
        <f>IFERROR(VLOOKUP($A62,GanttChart!$A:$JD,261,FALSE),0)</f>
        <v>0</v>
      </c>
      <c r="E62" s="68">
        <f>IFERROR(VLOOKUP($A62,GanttChart!$A:$JD,262,FALSE),0)</f>
        <v>0</v>
      </c>
      <c r="F62" s="68">
        <f>IFERROR(VLOOKUP($A62,GanttChart!$A:$JD,263,FALSE),0)</f>
        <v>0</v>
      </c>
      <c r="G62" s="69">
        <f>IFERROR(VLOOKUP($A62,GanttChart!$A:$JD,264,FALSE),0)</f>
        <v>0</v>
      </c>
      <c r="H62" s="70"/>
      <c r="I62" s="69">
        <f t="shared" si="0"/>
        <v>0</v>
      </c>
    </row>
    <row r="63" spans="1:15" ht="14.25" hidden="1">
      <c r="A63" s="62">
        <v>3.16</v>
      </c>
      <c r="B63" s="62"/>
      <c r="C63" s="67" t="str">
        <f>IFERROR(VLOOKUP($A63,GanttChart!$A:$JD,2,FALSE),"خطا")</f>
        <v>پیاده سازی صفحه ایستا طرح صبا</v>
      </c>
      <c r="D63" s="68">
        <f>IFERROR(VLOOKUP($A63,GanttChart!$A:$JD,261,FALSE),0)</f>
        <v>0</v>
      </c>
      <c r="E63" s="68">
        <f>IFERROR(VLOOKUP($A63,GanttChart!$A:$JD,262,FALSE),0)</f>
        <v>0</v>
      </c>
      <c r="F63" s="68">
        <f>IFERROR(VLOOKUP($A63,GanttChart!$A:$JD,263,FALSE),0)</f>
        <v>0</v>
      </c>
      <c r="G63" s="69">
        <f>IFERROR(VLOOKUP($A63,GanttChart!$A:$JD,264,FALSE),0)</f>
        <v>0</v>
      </c>
      <c r="H63" s="70"/>
      <c r="I63" s="69">
        <f t="shared" si="0"/>
        <v>0</v>
      </c>
    </row>
    <row r="64" spans="1:15" ht="14.25" hidden="1">
      <c r="A64" s="62">
        <v>3.17</v>
      </c>
      <c r="B64" s="62"/>
      <c r="C64" s="67" t="str">
        <f>IFERROR(VLOOKUP($A64,GanttChart!$A:$JD,2,FALSE),"خطا")</f>
        <v>پیاده سازی صفحه ایستا طرح کوشان</v>
      </c>
      <c r="D64" s="68">
        <f>IFERROR(VLOOKUP($A64,GanttChart!$A:$JD,261,FALSE),0)</f>
        <v>0</v>
      </c>
      <c r="E64" s="68">
        <f>IFERROR(VLOOKUP($A64,GanttChart!$A:$JD,262,FALSE),0)</f>
        <v>0</v>
      </c>
      <c r="F64" s="68">
        <f>IFERROR(VLOOKUP($A64,GanttChart!$A:$JD,263,FALSE),0)</f>
        <v>0</v>
      </c>
      <c r="G64" s="69">
        <f>IFERROR(VLOOKUP($A64,GanttChart!$A:$JD,264,FALSE),0)</f>
        <v>0</v>
      </c>
      <c r="H64" s="70"/>
      <c r="I64" s="69">
        <f t="shared" si="0"/>
        <v>0</v>
      </c>
    </row>
    <row r="65" spans="1:9" ht="14.25" hidden="1">
      <c r="A65" s="62">
        <v>3.18</v>
      </c>
      <c r="B65" s="62"/>
      <c r="C65" s="67" t="str">
        <f>IFERROR(VLOOKUP($A65,GanttChart!$A:$JD,2,FALSE),"خطا")</f>
        <v>پیاده سازی صفحه ایستا جشنواره حساب های قرض الحسته</v>
      </c>
      <c r="D65" s="68">
        <f>IFERROR(VLOOKUP($A65,GanttChart!$A:$JD,261,FALSE),0)</f>
        <v>0</v>
      </c>
      <c r="E65" s="68">
        <f>IFERROR(VLOOKUP($A65,GanttChart!$A:$JD,262,FALSE),0)</f>
        <v>0</v>
      </c>
      <c r="F65" s="68">
        <f>IFERROR(VLOOKUP($A65,GanttChart!$A:$JD,263,FALSE),0)</f>
        <v>0</v>
      </c>
      <c r="G65" s="69">
        <f>IFERROR(VLOOKUP($A65,GanttChart!$A:$JD,264,FALSE),0)</f>
        <v>0</v>
      </c>
      <c r="H65" s="70"/>
      <c r="I65" s="69">
        <f t="shared" si="0"/>
        <v>0</v>
      </c>
    </row>
    <row r="66" spans="1:9" ht="14.25" hidden="1">
      <c r="A66" s="62">
        <v>3.19</v>
      </c>
      <c r="B66" s="62"/>
      <c r="C66" s="67" t="str">
        <f>IFERROR(VLOOKUP($A66,GanttChart!$A:$JD,2,FALSE),"خطا")</f>
        <v>پیاده سازی صفحه ورودی ویژه همکاران</v>
      </c>
      <c r="D66" s="68">
        <f>IFERROR(VLOOKUP($A66,GanttChart!$A:$JD,261,FALSE),0)</f>
        <v>0</v>
      </c>
      <c r="E66" s="68">
        <f>IFERROR(VLOOKUP($A66,GanttChart!$A:$JD,262,FALSE),0)</f>
        <v>0</v>
      </c>
      <c r="F66" s="68">
        <f>IFERROR(VLOOKUP($A66,GanttChart!$A:$JD,263,FALSE),0)</f>
        <v>0</v>
      </c>
      <c r="G66" s="69">
        <f>IFERROR(VLOOKUP($A66,GanttChart!$A:$JD,264,FALSE),0)</f>
        <v>0</v>
      </c>
      <c r="H66" s="70"/>
      <c r="I66" s="69">
        <f t="shared" si="0"/>
        <v>0</v>
      </c>
    </row>
    <row r="67" spans="1:9" ht="14.25" hidden="1">
      <c r="A67" s="62">
        <v>3.21</v>
      </c>
      <c r="B67" s="62"/>
      <c r="C67" s="67" t="str">
        <f>IFERROR(VLOOKUP($A67,GanttChart!$A:$JD,2,FALSE),"خطا")</f>
        <v>پیاده سازی نمای گرافیکی نسخه انگلیسی بانک</v>
      </c>
      <c r="D67" s="68">
        <f>IFERROR(VLOOKUP($A67,GanttChart!$A:$JD,261,FALSE),0)</f>
        <v>0</v>
      </c>
      <c r="E67" s="68">
        <f>IFERROR(VLOOKUP($A67,GanttChart!$A:$JD,262,FALSE),0)</f>
        <v>0</v>
      </c>
      <c r="F67" s="68">
        <f>IFERROR(VLOOKUP($A67,GanttChart!$A:$JD,263,FALSE),0)</f>
        <v>0</v>
      </c>
      <c r="G67" s="69">
        <f>IFERROR(VLOOKUP($A67,GanttChart!$A:$JD,264,FALSE),0)</f>
        <v>0</v>
      </c>
      <c r="H67" s="70"/>
      <c r="I67" s="69">
        <f t="shared" si="0"/>
        <v>0</v>
      </c>
    </row>
    <row r="68" spans="1:9" ht="14.25" hidden="1">
      <c r="A68" s="62">
        <v>3.22</v>
      </c>
      <c r="B68" s="62"/>
      <c r="C68" s="67" t="str">
        <f>IFERROR(VLOOKUP($A68,GanttChart!$A:$JD,2,FALSE),"خطا")</f>
        <v>تحویل اقدامات پیاده سازی نمای گرافیکی بانک</v>
      </c>
      <c r="D68" s="68">
        <f>IFERROR(VLOOKUP($A68,GanttChart!$A:$JD,261,FALSE),0)</f>
        <v>0</v>
      </c>
      <c r="E68" s="68">
        <f>IFERROR(VLOOKUP($A68,GanttChart!$A:$JD,262,FALSE),0)</f>
        <v>0</v>
      </c>
      <c r="F68" s="68">
        <f>IFERROR(VLOOKUP($A68,GanttChart!$A:$JD,263,FALSE),0)</f>
        <v>0</v>
      </c>
      <c r="G68" s="69">
        <f>IFERROR(VLOOKUP($A68,GanttChart!$A:$JD,264,FALSE),0)</f>
        <v>0</v>
      </c>
      <c r="H68" s="70"/>
      <c r="I68" s="69">
        <f t="shared" si="0"/>
        <v>0</v>
      </c>
    </row>
    <row r="69" spans="1:9" ht="14.25" hidden="1">
      <c r="A69" s="62">
        <v>3.23</v>
      </c>
      <c r="B69" s="62"/>
      <c r="C69" s="67" t="str">
        <f>IFERROR(VLOOKUP($A69,GanttChart!$A:$JD,2,FALSE),"خطا")</f>
        <v>خطا</v>
      </c>
      <c r="D69" s="68">
        <f>IFERROR(VLOOKUP($A69,GanttChart!$A:$JD,261,FALSE),0)</f>
        <v>0</v>
      </c>
      <c r="E69" s="68">
        <f>IFERROR(VLOOKUP($A69,GanttChart!$A:$JD,262,FALSE),0)</f>
        <v>0</v>
      </c>
      <c r="F69" s="68">
        <f>IFERROR(VLOOKUP($A69,GanttChart!$A:$JD,263,FALSE),0)</f>
        <v>0</v>
      </c>
      <c r="G69" s="69">
        <f>IFERROR(VLOOKUP($A69,GanttChart!$A:$JD,264,FALSE),0)</f>
        <v>0</v>
      </c>
      <c r="H69" s="70"/>
      <c r="I69" s="69">
        <f t="shared" si="0"/>
        <v>0</v>
      </c>
    </row>
    <row r="70" spans="1:9" ht="14.25">
      <c r="A70" s="62">
        <v>4</v>
      </c>
      <c r="B70" s="62"/>
      <c r="C70" s="67" t="str">
        <f>IFERROR(VLOOKUP($A70,GanttChart!$A:$JD,2,FALSE),"خطا")</f>
        <v>ارائه خدمات آموزش</v>
      </c>
      <c r="D70" s="68">
        <f>SUM(D71:D91)</f>
        <v>0</v>
      </c>
      <c r="E70" s="68">
        <f>SUM(E71:E91)</f>
        <v>0</v>
      </c>
      <c r="F70" s="68">
        <f>SUM(F71:F91)</f>
        <v>0</v>
      </c>
      <c r="G70" s="69">
        <f>SUM(G71:G91)</f>
        <v>0</v>
      </c>
      <c r="H70" s="167"/>
      <c r="I70" s="69">
        <f t="shared" si="0"/>
        <v>0</v>
      </c>
    </row>
    <row r="71" spans="1:9" ht="14.25" hidden="1">
      <c r="A71" s="62">
        <v>4.0999999999999996</v>
      </c>
      <c r="B71" s="62"/>
      <c r="C71" s="67" t="str">
        <f>IFERROR(VLOOKUP($A71,GanttChart!$A:$JD,2,FALSE),"خطا")</f>
        <v>ارائه طرح آموزش و برنامه زمانبندی و مکانی برگزاری جلسات آموزشی</v>
      </c>
      <c r="D71" s="68">
        <f>IFERROR(VLOOKUP($A71,GanttChart!$A:$JD,261,FALSE),0)</f>
        <v>0</v>
      </c>
      <c r="E71" s="68">
        <f>IFERROR(VLOOKUP($A71,GanttChart!$A:$JD,262,FALSE),0)</f>
        <v>0</v>
      </c>
      <c r="F71" s="68">
        <f>IFERROR(VLOOKUP($A71,GanttChart!$A:$JD,263,FALSE),0)</f>
        <v>0</v>
      </c>
      <c r="G71" s="69">
        <f>IFERROR(VLOOKUP($A71,GanttChart!$A:$JD,264,FALSE),0)</f>
        <v>0</v>
      </c>
      <c r="H71" s="70"/>
      <c r="I71" s="69">
        <f t="shared" si="0"/>
        <v>0</v>
      </c>
    </row>
    <row r="72" spans="1:9" ht="22.5" hidden="1">
      <c r="A72" s="62">
        <v>4.2</v>
      </c>
      <c r="B72" s="62"/>
      <c r="C72" s="67" t="str">
        <f>IFERROR(VLOOKUP($A72,GanttChart!$A:$JD,2,FALSE),"خطا")</f>
        <v>معرفی نمایندگان کارفرما به تفکیک سطوح کاربری دارای دانش و مهارت های پیش نیاز آموزش نرم افزار</v>
      </c>
      <c r="D72" s="68">
        <f>IFERROR(VLOOKUP($A72,GanttChart!$A:$JD,261,FALSE),0)</f>
        <v>0</v>
      </c>
      <c r="E72" s="68">
        <f>IFERROR(VLOOKUP($A72,GanttChart!$A:$JD,262,FALSE),0)</f>
        <v>0</v>
      </c>
      <c r="F72" s="68">
        <f>IFERROR(VLOOKUP($A72,GanttChart!$A:$JD,263,FALSE),0)</f>
        <v>0</v>
      </c>
      <c r="G72" s="69">
        <f>IFERROR(VLOOKUP($A72,GanttChart!$A:$JD,264,FALSE),0)</f>
        <v>0</v>
      </c>
      <c r="H72" s="70"/>
      <c r="I72" s="69">
        <f t="shared" si="0"/>
        <v>0</v>
      </c>
    </row>
    <row r="73" spans="1:9" ht="14.25" hidden="1">
      <c r="A73" s="62">
        <v>4.3</v>
      </c>
      <c r="B73" s="62"/>
      <c r="C73" s="67" t="str">
        <f>IFERROR(VLOOKUP($A73,GanttChart!$A:$JD,2,FALSE),"خطا")</f>
        <v>برگزاری جلسات آموزش کاربری(9 ساعت)</v>
      </c>
      <c r="D73" s="68">
        <f>IFERROR(VLOOKUP($A73,GanttChart!$A:$JD,261,FALSE),0)</f>
        <v>0</v>
      </c>
      <c r="E73" s="68">
        <f>IFERROR(VLOOKUP($A73,GanttChart!$A:$JD,262,FALSE),0)</f>
        <v>0</v>
      </c>
      <c r="F73" s="68">
        <f>IFERROR(VLOOKUP($A73,GanttChart!$A:$JD,263,FALSE),0)</f>
        <v>0</v>
      </c>
      <c r="G73" s="69">
        <f>IFERROR(VLOOKUP($A73,GanttChart!$A:$JD,264,FALSE),0)</f>
        <v>0</v>
      </c>
      <c r="H73" s="70"/>
      <c r="I73" s="69">
        <f t="shared" si="0"/>
        <v>0</v>
      </c>
    </row>
    <row r="74" spans="1:9" ht="14.25" hidden="1">
      <c r="A74" s="62">
        <v>4.4000000000000004</v>
      </c>
      <c r="B74" s="62"/>
      <c r="C74" s="67" t="str">
        <f>IFERROR(VLOOKUP($A74,GanttChart!$A:$JD,2,FALSE),"خطا")</f>
        <v>برگزاری جلسات آموزش  راهبری و مدیریتی  (9 ساعت)</v>
      </c>
      <c r="D74" s="68">
        <f>IFERROR(VLOOKUP($A74,GanttChart!$A:$JD,261,FALSE),0)</f>
        <v>0</v>
      </c>
      <c r="E74" s="68">
        <f>IFERROR(VLOOKUP($A74,GanttChart!$A:$JD,262,FALSE),0)</f>
        <v>0</v>
      </c>
      <c r="F74" s="68">
        <f>IFERROR(VLOOKUP($A74,GanttChart!$A:$JD,263,FALSE),0)</f>
        <v>0</v>
      </c>
      <c r="G74" s="69">
        <f>IFERROR(VLOOKUP($A74,GanttChart!$A:$JD,264,FALSE),0)</f>
        <v>0</v>
      </c>
      <c r="H74" s="70"/>
      <c r="I74" s="69">
        <f t="shared" si="0"/>
        <v>0</v>
      </c>
    </row>
    <row r="75" spans="1:9" ht="14.25" hidden="1">
      <c r="A75" s="62">
        <v>4.5</v>
      </c>
      <c r="B75" s="62"/>
      <c r="C75" s="67" t="str">
        <f>IFERROR(VLOOKUP($A75,GanttChart!$A:$JD,2,FALSE),"خطا")</f>
        <v>برگزاری جلسات آموزش راهبر زیر پورتال  (6 ساعت)</v>
      </c>
      <c r="D75" s="68">
        <f>IFERROR(VLOOKUP($A75,GanttChart!$A:$JD,261,FALSE),0)</f>
        <v>0</v>
      </c>
      <c r="E75" s="68">
        <f>IFERROR(VLOOKUP($A75,GanttChart!$A:$JD,262,FALSE),0)</f>
        <v>0</v>
      </c>
      <c r="F75" s="68">
        <f>IFERROR(VLOOKUP($A75,GanttChart!$A:$JD,263,FALSE),0)</f>
        <v>0</v>
      </c>
      <c r="G75" s="69">
        <f>IFERROR(VLOOKUP($A75,GanttChart!$A:$JD,264,FALSE),0)</f>
        <v>0</v>
      </c>
      <c r="H75" s="70"/>
      <c r="I75" s="69">
        <f t="shared" si="0"/>
        <v>0</v>
      </c>
    </row>
    <row r="76" spans="1:9" ht="14.25" hidden="1">
      <c r="A76" s="62">
        <v>4.5999999999999996</v>
      </c>
      <c r="B76" s="62"/>
      <c r="C76" s="67" t="str">
        <f>IFERROR(VLOOKUP($A76,GanttChart!$A:$JD,2,FALSE),"خطا")</f>
        <v>خطا</v>
      </c>
      <c r="D76" s="68">
        <f>IFERROR(VLOOKUP($A76,GanttChart!$A:$JD,261,FALSE),0)</f>
        <v>0</v>
      </c>
      <c r="E76" s="68">
        <f>IFERROR(VLOOKUP($A76,GanttChart!$A:$JD,262,FALSE),0)</f>
        <v>0</v>
      </c>
      <c r="F76" s="68">
        <f>IFERROR(VLOOKUP($A76,GanttChart!$A:$JD,263,FALSE),0)</f>
        <v>0</v>
      </c>
      <c r="G76" s="69">
        <f>IFERROR(VLOOKUP($A76,GanttChart!$A:$JD,264,FALSE),0)</f>
        <v>0</v>
      </c>
      <c r="H76" s="70"/>
      <c r="I76" s="69">
        <f t="shared" si="0"/>
        <v>0</v>
      </c>
    </row>
    <row r="77" spans="1:9" ht="14.25" hidden="1">
      <c r="A77" s="62">
        <v>4.7</v>
      </c>
      <c r="B77" s="62"/>
      <c r="C77" s="67" t="str">
        <f>IFERROR(VLOOKUP($A77,GanttChart!$A:$JD,2,FALSE),"خطا")</f>
        <v>خطا</v>
      </c>
      <c r="D77" s="68">
        <f>IFERROR(VLOOKUP($A77,GanttChart!$A:$JD,261,FALSE),0)</f>
        <v>0</v>
      </c>
      <c r="E77" s="68">
        <f>IFERROR(VLOOKUP($A77,GanttChart!$A:$JD,262,FALSE),0)</f>
        <v>0</v>
      </c>
      <c r="F77" s="68">
        <f>IFERROR(VLOOKUP($A77,GanttChart!$A:$JD,263,FALSE),0)</f>
        <v>0</v>
      </c>
      <c r="G77" s="69">
        <f>IFERROR(VLOOKUP($A77,GanttChart!$A:$JD,264,FALSE),0)</f>
        <v>0</v>
      </c>
      <c r="H77" s="70"/>
      <c r="I77" s="69">
        <f t="shared" si="0"/>
        <v>0</v>
      </c>
    </row>
    <row r="78" spans="1:9" ht="14.25" hidden="1">
      <c r="A78" s="62">
        <v>4.8</v>
      </c>
      <c r="B78" s="62"/>
      <c r="C78" s="67" t="str">
        <f>IFERROR(VLOOKUP($A78,GanttChart!$A:$JD,2,FALSE),"خطا")</f>
        <v>خطا</v>
      </c>
      <c r="D78" s="68">
        <f>IFERROR(VLOOKUP($A78,GanttChart!$A:$JD,261,FALSE),0)</f>
        <v>0</v>
      </c>
      <c r="E78" s="68">
        <f>IFERROR(VLOOKUP($A78,GanttChart!$A:$JD,262,FALSE),0)</f>
        <v>0</v>
      </c>
      <c r="F78" s="68">
        <f>IFERROR(VLOOKUP($A78,GanttChart!$A:$JD,263,FALSE),0)</f>
        <v>0</v>
      </c>
      <c r="G78" s="69">
        <f>IFERROR(VLOOKUP($A78,GanttChart!$A:$JD,264,FALSE),0)</f>
        <v>0</v>
      </c>
      <c r="H78" s="70"/>
      <c r="I78" s="69">
        <f t="shared" si="0"/>
        <v>0</v>
      </c>
    </row>
    <row r="79" spans="1:9" ht="14.25" hidden="1">
      <c r="A79" s="62">
        <v>4.9000000000000004</v>
      </c>
      <c r="B79" s="62"/>
      <c r="C79" s="67" t="str">
        <f>IFERROR(VLOOKUP($A79,GanttChart!$A:$JD,2,FALSE),"خطا")</f>
        <v>خطا</v>
      </c>
      <c r="D79" s="68">
        <f>IFERROR(VLOOKUP($A79,GanttChart!$A:$JD,261,FALSE),0)</f>
        <v>0</v>
      </c>
      <c r="E79" s="68">
        <f>IFERROR(VLOOKUP($A79,GanttChart!$A:$JD,262,FALSE),0)</f>
        <v>0</v>
      </c>
      <c r="F79" s="68">
        <f>IFERROR(VLOOKUP($A79,GanttChart!$A:$JD,263,FALSE),0)</f>
        <v>0</v>
      </c>
      <c r="G79" s="69">
        <f>IFERROR(VLOOKUP($A79,GanttChart!$A:$JD,264,FALSE),0)</f>
        <v>0</v>
      </c>
      <c r="H79" s="70"/>
      <c r="I79" s="69">
        <f t="shared" si="0"/>
        <v>0</v>
      </c>
    </row>
    <row r="80" spans="1:9" ht="14.25" hidden="1">
      <c r="A80" s="62">
        <v>4.1100000000000003</v>
      </c>
      <c r="B80" s="62"/>
      <c r="C80" s="67" t="str">
        <f>IFERROR(VLOOKUP($A80,GanttChart!$A:$JD,2,FALSE),"خطا")</f>
        <v>خطا</v>
      </c>
      <c r="D80" s="68">
        <f>IFERROR(VLOOKUP($A80,GanttChart!$A:$JD,261,FALSE),0)</f>
        <v>0</v>
      </c>
      <c r="E80" s="68">
        <f>IFERROR(VLOOKUP($A80,GanttChart!$A:$JD,262,FALSE),0)</f>
        <v>0</v>
      </c>
      <c r="F80" s="68">
        <f>IFERROR(VLOOKUP($A80,GanttChart!$A:$JD,263,FALSE),0)</f>
        <v>0</v>
      </c>
      <c r="G80" s="69">
        <f>IFERROR(VLOOKUP($A80,GanttChart!$A:$JD,264,FALSE),0)</f>
        <v>0</v>
      </c>
      <c r="H80" s="70"/>
      <c r="I80" s="69">
        <f t="shared" si="0"/>
        <v>0</v>
      </c>
    </row>
    <row r="81" spans="1:12" ht="14.25" hidden="1">
      <c r="A81" s="62">
        <v>4.12</v>
      </c>
      <c r="B81" s="62"/>
      <c r="C81" s="67" t="str">
        <f>IFERROR(VLOOKUP($A81,GanttChart!$A:$JD,2,FALSE),"خطا")</f>
        <v>خطا</v>
      </c>
      <c r="D81" s="68">
        <f>IFERROR(VLOOKUP($A81,GanttChart!$A:$JD,261,FALSE),0)</f>
        <v>0</v>
      </c>
      <c r="E81" s="68">
        <f>IFERROR(VLOOKUP($A81,GanttChart!$A:$JD,262,FALSE),0)</f>
        <v>0</v>
      </c>
      <c r="F81" s="68">
        <f>IFERROR(VLOOKUP($A81,GanttChart!$A:$JD,263,FALSE),0)</f>
        <v>0</v>
      </c>
      <c r="G81" s="69">
        <f>IFERROR(VLOOKUP($A81,GanttChart!$A:$JD,264,FALSE),0)</f>
        <v>0</v>
      </c>
      <c r="H81" s="70"/>
      <c r="I81" s="69">
        <f t="shared" si="0"/>
        <v>0</v>
      </c>
    </row>
    <row r="82" spans="1:12" ht="14.25" hidden="1">
      <c r="A82" s="62">
        <v>4.13</v>
      </c>
      <c r="B82" s="62"/>
      <c r="C82" s="67" t="str">
        <f>IFERROR(VLOOKUP($A82,GanttChart!$A:$JD,2,FALSE),"خطا")</f>
        <v>خطا</v>
      </c>
      <c r="D82" s="68">
        <f>IFERROR(VLOOKUP($A82,GanttChart!$A:$JD,261,FALSE),0)</f>
        <v>0</v>
      </c>
      <c r="E82" s="68">
        <f>IFERROR(VLOOKUP($A82,GanttChart!$A:$JD,262,FALSE),0)</f>
        <v>0</v>
      </c>
      <c r="F82" s="68">
        <f>IFERROR(VLOOKUP($A82,GanttChart!$A:$JD,263,FALSE),0)</f>
        <v>0</v>
      </c>
      <c r="G82" s="69">
        <f>IFERROR(VLOOKUP($A82,GanttChart!$A:$JD,264,FALSE),0)</f>
        <v>0</v>
      </c>
      <c r="H82" s="70"/>
      <c r="I82" s="69">
        <f t="shared" si="0"/>
        <v>0</v>
      </c>
    </row>
    <row r="83" spans="1:12" ht="14.25" hidden="1">
      <c r="A83" s="62">
        <v>4.1399999999999997</v>
      </c>
      <c r="B83" s="62"/>
      <c r="C83" s="67" t="str">
        <f>IFERROR(VLOOKUP($A83,GanttChart!$A:$JD,2,FALSE),"خطا")</f>
        <v>خطا</v>
      </c>
      <c r="D83" s="68">
        <f>IFERROR(VLOOKUP($A83,GanttChart!$A:$JD,261,FALSE),0)</f>
        <v>0</v>
      </c>
      <c r="E83" s="68">
        <f>IFERROR(VLOOKUP($A83,GanttChart!$A:$JD,262,FALSE),0)</f>
        <v>0</v>
      </c>
      <c r="F83" s="68">
        <f>IFERROR(VLOOKUP($A83,GanttChart!$A:$JD,263,FALSE),0)</f>
        <v>0</v>
      </c>
      <c r="G83" s="69">
        <f>IFERROR(VLOOKUP($A83,GanttChart!$A:$JD,264,FALSE),0)</f>
        <v>0</v>
      </c>
      <c r="H83" s="70"/>
      <c r="I83" s="69">
        <f t="shared" si="0"/>
        <v>0</v>
      </c>
    </row>
    <row r="84" spans="1:12" ht="14.25" hidden="1">
      <c r="A84" s="62">
        <v>4.1500000000000004</v>
      </c>
      <c r="B84" s="62"/>
      <c r="C84" s="67" t="str">
        <f>IFERROR(VLOOKUP($A84,GanttChart!$A:$JD,2,FALSE),"خطا")</f>
        <v>خطا</v>
      </c>
      <c r="D84" s="68">
        <f>IFERROR(VLOOKUP($A84,GanttChart!$A:$JD,261,FALSE),0)</f>
        <v>0</v>
      </c>
      <c r="E84" s="68">
        <f>IFERROR(VLOOKUP($A84,GanttChart!$A:$JD,262,FALSE),0)</f>
        <v>0</v>
      </c>
      <c r="F84" s="68">
        <f>IFERROR(VLOOKUP($A84,GanttChart!$A:$JD,263,FALSE),0)</f>
        <v>0</v>
      </c>
      <c r="G84" s="69">
        <f>IFERROR(VLOOKUP($A84,GanttChart!$A:$JD,264,FALSE),0)</f>
        <v>0</v>
      </c>
      <c r="H84" s="70"/>
      <c r="I84" s="69">
        <f t="shared" si="0"/>
        <v>0</v>
      </c>
    </row>
    <row r="85" spans="1:12" ht="14.25" hidden="1">
      <c r="A85" s="62">
        <v>4.16</v>
      </c>
      <c r="B85" s="62"/>
      <c r="C85" s="67" t="str">
        <f>IFERROR(VLOOKUP($A85,GanttChart!$A:$JD,2,FALSE),"خطا")</f>
        <v>خطا</v>
      </c>
      <c r="D85" s="68">
        <f>IFERROR(VLOOKUP($A85,GanttChart!$A:$JD,261,FALSE),0)</f>
        <v>0</v>
      </c>
      <c r="E85" s="68">
        <f>IFERROR(VLOOKUP($A85,GanttChart!$A:$JD,262,FALSE),0)</f>
        <v>0</v>
      </c>
      <c r="F85" s="68">
        <f>IFERROR(VLOOKUP($A85,GanttChart!$A:$JD,263,FALSE),0)</f>
        <v>0</v>
      </c>
      <c r="G85" s="69">
        <f>IFERROR(VLOOKUP($A85,GanttChart!$A:$JD,264,FALSE),0)</f>
        <v>0</v>
      </c>
      <c r="H85" s="70"/>
      <c r="I85" s="69">
        <f t="shared" si="0"/>
        <v>0</v>
      </c>
    </row>
    <row r="86" spans="1:12" ht="14.25" hidden="1">
      <c r="A86" s="62">
        <v>4.17</v>
      </c>
      <c r="B86" s="62"/>
      <c r="C86" s="67" t="str">
        <f>IFERROR(VLOOKUP($A86,GanttChart!$A:$JD,2,FALSE),"خطا")</f>
        <v>خطا</v>
      </c>
      <c r="D86" s="68">
        <f>IFERROR(VLOOKUP($A86,GanttChart!$A:$JD,261,FALSE),0)</f>
        <v>0</v>
      </c>
      <c r="E86" s="68">
        <f>IFERROR(VLOOKUP($A86,GanttChart!$A:$JD,262,FALSE),0)</f>
        <v>0</v>
      </c>
      <c r="F86" s="68">
        <f>IFERROR(VLOOKUP($A86,GanttChart!$A:$JD,263,FALSE),0)</f>
        <v>0</v>
      </c>
      <c r="G86" s="69">
        <f>IFERROR(VLOOKUP($A86,GanttChart!$A:$JD,264,FALSE),0)</f>
        <v>0</v>
      </c>
      <c r="H86" s="70"/>
      <c r="I86" s="69">
        <f t="shared" si="0"/>
        <v>0</v>
      </c>
    </row>
    <row r="87" spans="1:12" ht="14.25" hidden="1">
      <c r="A87" s="62">
        <v>4.18</v>
      </c>
      <c r="B87" s="62"/>
      <c r="C87" s="67" t="str">
        <f>IFERROR(VLOOKUP($A87,GanttChart!$A:$JD,2,FALSE),"خطا")</f>
        <v>خطا</v>
      </c>
      <c r="D87" s="68">
        <f>IFERROR(VLOOKUP($A87,GanttChart!$A:$JD,261,FALSE),0)</f>
        <v>0</v>
      </c>
      <c r="E87" s="68">
        <f>IFERROR(VLOOKUP($A87,GanttChart!$A:$JD,262,FALSE),0)</f>
        <v>0</v>
      </c>
      <c r="F87" s="68">
        <f>IFERROR(VLOOKUP($A87,GanttChart!$A:$JD,263,FALSE),0)</f>
        <v>0</v>
      </c>
      <c r="G87" s="69">
        <f>IFERROR(VLOOKUP($A87,GanttChart!$A:$JD,264,FALSE),0)</f>
        <v>0</v>
      </c>
      <c r="H87" s="70"/>
      <c r="I87" s="69">
        <f t="shared" si="0"/>
        <v>0</v>
      </c>
    </row>
    <row r="88" spans="1:12" ht="14.25" hidden="1">
      <c r="A88" s="62">
        <v>4.1900000000000004</v>
      </c>
      <c r="B88" s="62"/>
      <c r="C88" s="67" t="str">
        <f>IFERROR(VLOOKUP($A88,GanttChart!$A:$JD,2,FALSE),"خطا")</f>
        <v>خطا</v>
      </c>
      <c r="D88" s="68">
        <f>IFERROR(VLOOKUP($A88,GanttChart!$A:$JD,261,FALSE),0)</f>
        <v>0</v>
      </c>
      <c r="E88" s="68">
        <f>IFERROR(VLOOKUP($A88,GanttChart!$A:$JD,262,FALSE),0)</f>
        <v>0</v>
      </c>
      <c r="F88" s="68">
        <f>IFERROR(VLOOKUP($A88,GanttChart!$A:$JD,263,FALSE),0)</f>
        <v>0</v>
      </c>
      <c r="G88" s="69">
        <f>IFERROR(VLOOKUP($A88,GanttChart!$A:$JD,264,FALSE),0)</f>
        <v>0</v>
      </c>
      <c r="H88" s="70"/>
      <c r="I88" s="69">
        <f t="shared" si="0"/>
        <v>0</v>
      </c>
    </row>
    <row r="89" spans="1:12" ht="14.25" hidden="1">
      <c r="A89" s="62">
        <v>4.21</v>
      </c>
      <c r="B89" s="62"/>
      <c r="C89" s="67" t="str">
        <f>IFERROR(VLOOKUP($A89,GanttChart!$A:$JD,2,FALSE),"خطا")</f>
        <v>خطا</v>
      </c>
      <c r="D89" s="68">
        <f>IFERROR(VLOOKUP($A89,GanttChart!$A:$JD,261,FALSE),0)</f>
        <v>0</v>
      </c>
      <c r="E89" s="68">
        <f>IFERROR(VLOOKUP($A89,GanttChart!$A:$JD,262,FALSE),0)</f>
        <v>0</v>
      </c>
      <c r="F89" s="68">
        <f>IFERROR(VLOOKUP($A89,GanttChart!$A:$JD,263,FALSE),0)</f>
        <v>0</v>
      </c>
      <c r="G89" s="69">
        <f>IFERROR(VLOOKUP($A89,GanttChart!$A:$JD,264,FALSE),0)</f>
        <v>0</v>
      </c>
      <c r="H89" s="70"/>
      <c r="I89" s="69">
        <f t="shared" si="0"/>
        <v>0</v>
      </c>
    </row>
    <row r="90" spans="1:12" ht="14.25" hidden="1">
      <c r="A90" s="62">
        <v>4.22</v>
      </c>
      <c r="B90" s="62"/>
      <c r="C90" s="67" t="str">
        <f>IFERROR(VLOOKUP($A90,GanttChart!$A:$JD,2,FALSE),"خطا")</f>
        <v>خطا</v>
      </c>
      <c r="D90" s="68">
        <f>IFERROR(VLOOKUP($A90,GanttChart!$A:$JD,261,FALSE),0)</f>
        <v>0</v>
      </c>
      <c r="E90" s="68">
        <f>IFERROR(VLOOKUP($A90,GanttChart!$A:$JD,262,FALSE),0)</f>
        <v>0</v>
      </c>
      <c r="F90" s="68">
        <f>IFERROR(VLOOKUP($A90,GanttChart!$A:$JD,263,FALSE),0)</f>
        <v>0</v>
      </c>
      <c r="G90" s="69">
        <f>IFERROR(VLOOKUP($A90,GanttChart!$A:$JD,264,FALSE),0)</f>
        <v>0</v>
      </c>
      <c r="H90" s="70"/>
      <c r="I90" s="69">
        <f t="shared" si="0"/>
        <v>0</v>
      </c>
    </row>
    <row r="91" spans="1:12" ht="14.25" hidden="1">
      <c r="A91" s="62">
        <v>4.2300000000000004</v>
      </c>
      <c r="B91" s="62"/>
      <c r="C91" s="67" t="str">
        <f>IFERROR(VLOOKUP($A91,GanttChart!$A:$JD,2,FALSE),"خطا")</f>
        <v>خطا</v>
      </c>
      <c r="D91" s="68">
        <f>IFERROR(VLOOKUP($A91,GanttChart!$A:$JD,261,FALSE),0)</f>
        <v>0</v>
      </c>
      <c r="E91" s="68">
        <f>IFERROR(VLOOKUP($A91,GanttChart!$A:$JD,262,FALSE),0)</f>
        <v>0</v>
      </c>
      <c r="F91" s="68">
        <f>IFERROR(VLOOKUP($A91,GanttChart!$A:$JD,263,FALSE),0)</f>
        <v>0</v>
      </c>
      <c r="G91" s="69">
        <f>IFERROR(VLOOKUP($A91,GanttChart!$A:$JD,264,FALSE),0)</f>
        <v>0</v>
      </c>
      <c r="H91" s="70"/>
      <c r="I91" s="69">
        <f t="shared" si="0"/>
        <v>0</v>
      </c>
    </row>
    <row r="92" spans="1:12" ht="14.25">
      <c r="A92" s="62">
        <v>5</v>
      </c>
      <c r="B92" s="62"/>
      <c r="C92" s="67" t="str">
        <f>IFERROR(VLOOKUP($A92,GanttChart!$A:$JD,2,FALSE),"خطا")</f>
        <v>کانورت مکانیزه اطلاعات</v>
      </c>
      <c r="D92" s="68">
        <f>SUM(D93:D113)</f>
        <v>0</v>
      </c>
      <c r="E92" s="68">
        <f>SUM(E93:E113)</f>
        <v>0</v>
      </c>
      <c r="F92" s="68">
        <f>SUM(F93:F113)</f>
        <v>0</v>
      </c>
      <c r="G92" s="69">
        <f>SUM(G93:G113)</f>
        <v>0</v>
      </c>
      <c r="H92" s="167"/>
      <c r="I92" s="69">
        <f t="shared" si="0"/>
        <v>0</v>
      </c>
    </row>
    <row r="93" spans="1:12" ht="14.25" hidden="1">
      <c r="A93" s="62">
        <v>5.0999999999999996</v>
      </c>
      <c r="C93" s="67" t="str">
        <f>IFERROR(VLOOKUP($A93,GanttChart!$A:$JD,2,FALSE),"خطا")</f>
        <v>اعلام ماژول های محتوایی کارفرما</v>
      </c>
      <c r="D93" s="68">
        <f>IFERROR(VLOOKUP($A93,GanttChart!$A:$JD,261,FALSE),0)</f>
        <v>0</v>
      </c>
      <c r="E93" s="68">
        <f>IFERROR(VLOOKUP($A93,GanttChart!$A:$JD,262,FALSE),0)</f>
        <v>0</v>
      </c>
      <c r="F93" s="68">
        <f>IFERROR(VLOOKUP($A93,GanttChart!$A:$JD,263,FALSE),0)</f>
        <v>0</v>
      </c>
      <c r="G93" s="69">
        <f>IFERROR(VLOOKUP($A93,GanttChart!$A:$JD,264,FALSE),0)</f>
        <v>0</v>
      </c>
      <c r="H93" s="70"/>
      <c r="I93" s="69">
        <f t="shared" si="0"/>
        <v>0</v>
      </c>
      <c r="K93" s="66"/>
      <c r="L93" s="72"/>
    </row>
    <row r="94" spans="1:12" ht="14.25" hidden="1">
      <c r="A94" s="62">
        <v>5.2</v>
      </c>
      <c r="C94" s="67" t="str">
        <f>IFERROR(VLOOKUP($A94,GanttChart!$A:$JD,2,FALSE),"خطا")</f>
        <v>ارایه فایل های اکسل ماژول های محتوایی اعلام شده از طرف کارفرما</v>
      </c>
      <c r="D94" s="68">
        <f>IFERROR(VLOOKUP($A94,GanttChart!$A:$JD,261,FALSE),0)</f>
        <v>0</v>
      </c>
      <c r="E94" s="68">
        <f>IFERROR(VLOOKUP($A94,GanttChart!$A:$JD,262,FALSE),0)</f>
        <v>0</v>
      </c>
      <c r="F94" s="68">
        <f>IFERROR(VLOOKUP($A94,GanttChart!$A:$JD,263,FALSE),0)</f>
        <v>0</v>
      </c>
      <c r="G94" s="69">
        <f>IFERROR(VLOOKUP($A94,GanttChart!$A:$JD,264,FALSE),0)</f>
        <v>0</v>
      </c>
      <c r="H94" s="70"/>
      <c r="I94" s="69">
        <f t="shared" si="0"/>
        <v>0</v>
      </c>
    </row>
    <row r="95" spans="1:12" ht="14.25" hidden="1">
      <c r="A95" s="62">
        <v>5.3</v>
      </c>
      <c r="C95" s="67" t="str">
        <f>IFERROR(VLOOKUP($A95,GanttChart!$A:$JD,2,FALSE),"خطا")</f>
        <v>تکمیل و ارسال اطلاعات</v>
      </c>
      <c r="D95" s="68">
        <f>IFERROR(VLOOKUP($A95,GanttChart!$A:$JD,261,FALSE),0)</f>
        <v>0</v>
      </c>
      <c r="E95" s="68">
        <f>IFERROR(VLOOKUP($A95,GanttChart!$A:$JD,262,FALSE),0)</f>
        <v>0</v>
      </c>
      <c r="F95" s="68">
        <f>IFERROR(VLOOKUP($A95,GanttChart!$A:$JD,263,FALSE),0)</f>
        <v>0</v>
      </c>
      <c r="G95" s="69">
        <f>IFERROR(VLOOKUP($A95,GanttChart!$A:$JD,264,FALSE),0)</f>
        <v>0</v>
      </c>
      <c r="H95" s="70"/>
      <c r="I95" s="69">
        <f t="shared" si="0"/>
        <v>0</v>
      </c>
    </row>
    <row r="96" spans="1:12" ht="14.25" hidden="1">
      <c r="A96" s="62">
        <v>5.4</v>
      </c>
      <c r="C96" s="67" t="str">
        <f>IFERROR(VLOOKUP($A96,GanttChart!$A:$JD,2,FALSE),"خطا")</f>
        <v>کانورت مکانیزه اطلاعات</v>
      </c>
      <c r="D96" s="68">
        <f>IFERROR(VLOOKUP($A96,GanttChart!$A:$JD,261,FALSE),0)</f>
        <v>0</v>
      </c>
      <c r="E96" s="68">
        <f>IFERROR(VLOOKUP($A96,GanttChart!$A:$JD,262,FALSE),0)</f>
        <v>0</v>
      </c>
      <c r="F96" s="68">
        <f>IFERROR(VLOOKUP($A96,GanttChart!$A:$JD,263,FALSE),0)</f>
        <v>0</v>
      </c>
      <c r="G96" s="69">
        <f>IFERROR(VLOOKUP($A96,GanttChart!$A:$JD,264,FALSE),0)</f>
        <v>0</v>
      </c>
      <c r="H96" s="70"/>
      <c r="I96" s="69">
        <f t="shared" si="0"/>
        <v>0</v>
      </c>
    </row>
    <row r="97" spans="1:9" ht="14.25" hidden="1">
      <c r="A97" s="62">
        <v>5.5</v>
      </c>
      <c r="C97" s="67" t="str">
        <f>IFERROR(VLOOKUP($A97,GanttChart!$A:$JD,2,FALSE),"خطا")</f>
        <v>تصحیح محتوای درج شده به صورت مکانیزه در زیر ساخت جدید</v>
      </c>
      <c r="D97" s="68">
        <f>IFERROR(VLOOKUP($A97,GanttChart!$A:$JD,261,FALSE),0)</f>
        <v>0</v>
      </c>
      <c r="E97" s="68">
        <f>IFERROR(VLOOKUP($A97,GanttChart!$A:$JD,262,FALSE),0)</f>
        <v>0</v>
      </c>
      <c r="F97" s="68">
        <f>IFERROR(VLOOKUP($A97,GanttChart!$A:$JD,263,FALSE),0)</f>
        <v>0</v>
      </c>
      <c r="G97" s="69">
        <f>IFERROR(VLOOKUP($A97,GanttChart!$A:$JD,264,FALSE),0)</f>
        <v>0</v>
      </c>
      <c r="H97" s="70"/>
      <c r="I97" s="69">
        <f t="shared" si="0"/>
        <v>0</v>
      </c>
    </row>
    <row r="98" spans="1:9" ht="22.5" hidden="1">
      <c r="A98" s="62">
        <v>5.6</v>
      </c>
      <c r="C98" s="67" t="str">
        <f>IFERROR(VLOOKUP($A98,GanttChart!$A:$JD,2,FALSE),"خطا")</f>
        <v>تکمیل محتوای درج شده در وب سایت قبلی حد فاصل زمان انتقال اطلاعات در پورتال جدید</v>
      </c>
      <c r="D98" s="68">
        <f>IFERROR(VLOOKUP($A98,GanttChart!$A:$JD,261,FALSE),0)</f>
        <v>0</v>
      </c>
      <c r="E98" s="68">
        <f>IFERROR(VLOOKUP($A98,GanttChart!$A:$JD,262,FALSE),0)</f>
        <v>0</v>
      </c>
      <c r="F98" s="68">
        <f>IFERROR(VLOOKUP($A98,GanttChart!$A:$JD,263,FALSE),0)</f>
        <v>0</v>
      </c>
      <c r="G98" s="69">
        <f>IFERROR(VLOOKUP($A98,GanttChart!$A:$JD,264,FALSE),0)</f>
        <v>0</v>
      </c>
      <c r="H98" s="70"/>
      <c r="I98" s="69">
        <f t="shared" si="0"/>
        <v>0</v>
      </c>
    </row>
    <row r="99" spans="1:9" ht="14.25" hidden="1">
      <c r="A99" s="62">
        <v>5.7</v>
      </c>
      <c r="C99" s="67" t="str">
        <f>IFERROR(VLOOKUP($A99,GanttChart!$A:$JD,2,FALSE),"خطا")</f>
        <v>خطا</v>
      </c>
      <c r="D99" s="68">
        <f>IFERROR(VLOOKUP($A99,GanttChart!$A:$JD,261,FALSE),0)</f>
        <v>0</v>
      </c>
      <c r="E99" s="68">
        <f>IFERROR(VLOOKUP($A99,GanttChart!$A:$JD,262,FALSE),0)</f>
        <v>0</v>
      </c>
      <c r="F99" s="68">
        <f>IFERROR(VLOOKUP($A99,GanttChart!$A:$JD,263,FALSE),0)</f>
        <v>0</v>
      </c>
      <c r="G99" s="69">
        <f>IFERROR(VLOOKUP($A99,GanttChart!$A:$JD,264,FALSE),0)</f>
        <v>0</v>
      </c>
      <c r="H99" s="70"/>
      <c r="I99" s="69">
        <f t="shared" si="0"/>
        <v>0</v>
      </c>
    </row>
    <row r="100" spans="1:9" ht="14.25" hidden="1">
      <c r="A100" s="62">
        <v>5.8</v>
      </c>
      <c r="C100" s="67" t="str">
        <f>IFERROR(VLOOKUP($A100,GanttChart!$A:$JD,2,FALSE),"خطا")</f>
        <v>خطا</v>
      </c>
      <c r="D100" s="68">
        <f>IFERROR(VLOOKUP($A100,GanttChart!$A:$JD,261,FALSE),0)</f>
        <v>0</v>
      </c>
      <c r="E100" s="68">
        <f>IFERROR(VLOOKUP($A100,GanttChart!$A:$JD,262,FALSE),0)</f>
        <v>0</v>
      </c>
      <c r="F100" s="68">
        <f>IFERROR(VLOOKUP($A100,GanttChart!$A:$JD,263,FALSE),0)</f>
        <v>0</v>
      </c>
      <c r="G100" s="69">
        <f>IFERROR(VLOOKUP($A100,GanttChart!$A:$JD,264,FALSE),0)</f>
        <v>0</v>
      </c>
      <c r="H100" s="70"/>
      <c r="I100" s="69">
        <f t="shared" si="0"/>
        <v>0</v>
      </c>
    </row>
    <row r="101" spans="1:9" ht="14.25" hidden="1">
      <c r="A101" s="62">
        <v>5.9</v>
      </c>
      <c r="C101" s="67" t="str">
        <f>IFERROR(VLOOKUP($A101,GanttChart!$A:$JD,2,FALSE),"خطا")</f>
        <v>خطا</v>
      </c>
      <c r="D101" s="68">
        <f>IFERROR(VLOOKUP($A101,GanttChart!$A:$JD,261,FALSE),0)</f>
        <v>0</v>
      </c>
      <c r="E101" s="68">
        <f>IFERROR(VLOOKUP($A101,GanttChart!$A:$JD,262,FALSE),0)</f>
        <v>0</v>
      </c>
      <c r="F101" s="68">
        <f>IFERROR(VLOOKUP($A101,GanttChart!$A:$JD,263,FALSE),0)</f>
        <v>0</v>
      </c>
      <c r="G101" s="69">
        <f>IFERROR(VLOOKUP($A101,GanttChart!$A:$JD,264,FALSE),0)</f>
        <v>0</v>
      </c>
      <c r="H101" s="70"/>
      <c r="I101" s="69">
        <f t="shared" si="0"/>
        <v>0</v>
      </c>
    </row>
    <row r="102" spans="1:9" ht="14.25" hidden="1">
      <c r="A102" s="62">
        <v>5.1100000000000003</v>
      </c>
      <c r="C102" s="67" t="str">
        <f>IFERROR(VLOOKUP($A102,GanttChart!$A:$JD,2,FALSE),"خطا")</f>
        <v>خطا</v>
      </c>
      <c r="D102" s="68">
        <f>IFERROR(VLOOKUP($A102,GanttChart!$A:$JD,261,FALSE),0)</f>
        <v>0</v>
      </c>
      <c r="E102" s="68">
        <f>IFERROR(VLOOKUP($A102,GanttChart!$A:$JD,262,FALSE),0)</f>
        <v>0</v>
      </c>
      <c r="F102" s="68">
        <f>IFERROR(VLOOKUP($A102,GanttChart!$A:$JD,263,FALSE),0)</f>
        <v>0</v>
      </c>
      <c r="G102" s="69">
        <f>IFERROR(VLOOKUP($A102,GanttChart!$A:$JD,264,FALSE),0)</f>
        <v>0</v>
      </c>
      <c r="H102" s="70"/>
      <c r="I102" s="69">
        <f t="shared" si="0"/>
        <v>0</v>
      </c>
    </row>
    <row r="103" spans="1:9" ht="14.25" hidden="1">
      <c r="A103" s="62">
        <v>5.12</v>
      </c>
      <c r="C103" s="67" t="str">
        <f>IFERROR(VLOOKUP($A103,GanttChart!$A:$JD,2,FALSE),"خطا")</f>
        <v>خطا</v>
      </c>
      <c r="D103" s="68">
        <f>IFERROR(VLOOKUP($A103,GanttChart!$A:$JD,261,FALSE),0)</f>
        <v>0</v>
      </c>
      <c r="E103" s="68">
        <f>IFERROR(VLOOKUP($A103,GanttChart!$A:$JD,262,FALSE),0)</f>
        <v>0</v>
      </c>
      <c r="F103" s="68">
        <f>IFERROR(VLOOKUP($A103,GanttChart!$A:$JD,263,FALSE),0)</f>
        <v>0</v>
      </c>
      <c r="G103" s="69">
        <f>IFERROR(VLOOKUP($A103,GanttChart!$A:$JD,264,FALSE),0)</f>
        <v>0</v>
      </c>
      <c r="H103" s="70"/>
      <c r="I103" s="69">
        <f t="shared" si="0"/>
        <v>0</v>
      </c>
    </row>
    <row r="104" spans="1:9" ht="14.25" hidden="1">
      <c r="A104" s="62">
        <v>5.13</v>
      </c>
      <c r="C104" s="67" t="str">
        <f>IFERROR(VLOOKUP($A104,GanttChart!$A:$JD,2,FALSE),"خطا")</f>
        <v>خطا</v>
      </c>
      <c r="D104" s="68">
        <f>IFERROR(VLOOKUP($A104,GanttChart!$A:$JD,261,FALSE),0)</f>
        <v>0</v>
      </c>
      <c r="E104" s="68">
        <f>IFERROR(VLOOKUP($A104,GanttChart!$A:$JD,262,FALSE),0)</f>
        <v>0</v>
      </c>
      <c r="F104" s="68">
        <f>IFERROR(VLOOKUP($A104,GanttChart!$A:$JD,263,FALSE),0)</f>
        <v>0</v>
      </c>
      <c r="G104" s="69">
        <f>IFERROR(VLOOKUP($A104,GanttChart!$A:$JD,264,FALSE),0)</f>
        <v>0</v>
      </c>
      <c r="H104" s="70"/>
      <c r="I104" s="69">
        <f t="shared" si="0"/>
        <v>0</v>
      </c>
    </row>
    <row r="105" spans="1:9" ht="14.25" hidden="1">
      <c r="A105" s="62">
        <v>5.14</v>
      </c>
      <c r="C105" s="67" t="str">
        <f>IFERROR(VLOOKUP($A105,GanttChart!$A:$JD,2,FALSE),"خطا")</f>
        <v>خطا</v>
      </c>
      <c r="D105" s="68">
        <f>IFERROR(VLOOKUP($A105,GanttChart!$A:$JD,261,FALSE),0)</f>
        <v>0</v>
      </c>
      <c r="E105" s="68">
        <f>IFERROR(VLOOKUP($A105,GanttChart!$A:$JD,262,FALSE),0)</f>
        <v>0</v>
      </c>
      <c r="F105" s="68">
        <f>IFERROR(VLOOKUP($A105,GanttChart!$A:$JD,263,FALSE),0)</f>
        <v>0</v>
      </c>
      <c r="G105" s="69">
        <f>IFERROR(VLOOKUP($A105,GanttChart!$A:$JD,264,FALSE),0)</f>
        <v>0</v>
      </c>
      <c r="H105" s="70"/>
      <c r="I105" s="69">
        <f t="shared" si="0"/>
        <v>0</v>
      </c>
    </row>
    <row r="106" spans="1:9" ht="14.25" hidden="1">
      <c r="A106" s="62">
        <v>5.15</v>
      </c>
      <c r="C106" s="67" t="str">
        <f>IFERROR(VLOOKUP($A106,GanttChart!$A:$JD,2,FALSE),"خطا")</f>
        <v>خطا</v>
      </c>
      <c r="D106" s="68">
        <f>IFERROR(VLOOKUP($A106,GanttChart!$A:$JD,261,FALSE),0)</f>
        <v>0</v>
      </c>
      <c r="E106" s="68">
        <f>IFERROR(VLOOKUP($A106,GanttChart!$A:$JD,262,FALSE),0)</f>
        <v>0</v>
      </c>
      <c r="F106" s="68">
        <f>IFERROR(VLOOKUP($A106,GanttChart!$A:$JD,263,FALSE),0)</f>
        <v>0</v>
      </c>
      <c r="G106" s="69">
        <f>IFERROR(VLOOKUP($A106,GanttChart!$A:$JD,264,FALSE),0)</f>
        <v>0</v>
      </c>
      <c r="H106" s="70"/>
      <c r="I106" s="69">
        <f t="shared" si="0"/>
        <v>0</v>
      </c>
    </row>
    <row r="107" spans="1:9" ht="14.25" hidden="1">
      <c r="A107" s="62">
        <v>5.16</v>
      </c>
      <c r="C107" s="67" t="str">
        <f>IFERROR(VLOOKUP($A107,GanttChart!$A:$JD,2,FALSE),"خطا")</f>
        <v>خطا</v>
      </c>
      <c r="D107" s="68">
        <f>IFERROR(VLOOKUP($A107,GanttChart!$A:$JD,261,FALSE),0)</f>
        <v>0</v>
      </c>
      <c r="E107" s="68">
        <f>IFERROR(VLOOKUP($A107,GanttChart!$A:$JD,262,FALSE),0)</f>
        <v>0</v>
      </c>
      <c r="F107" s="68">
        <f>IFERROR(VLOOKUP($A107,GanttChart!$A:$JD,263,FALSE),0)</f>
        <v>0</v>
      </c>
      <c r="G107" s="69">
        <f>IFERROR(VLOOKUP($A107,GanttChart!$A:$JD,264,FALSE),0)</f>
        <v>0</v>
      </c>
      <c r="H107" s="70"/>
      <c r="I107" s="69">
        <f t="shared" si="0"/>
        <v>0</v>
      </c>
    </row>
    <row r="108" spans="1:9" ht="14.25" hidden="1">
      <c r="A108" s="62">
        <v>5.17</v>
      </c>
      <c r="C108" s="67" t="str">
        <f>IFERROR(VLOOKUP($A108,GanttChart!$A:$JD,2,FALSE),"خطا")</f>
        <v>خطا</v>
      </c>
      <c r="D108" s="68">
        <f>IFERROR(VLOOKUP($A108,GanttChart!$A:$JD,261,FALSE),0)</f>
        <v>0</v>
      </c>
      <c r="E108" s="68">
        <f>IFERROR(VLOOKUP($A108,GanttChart!$A:$JD,262,FALSE),0)</f>
        <v>0</v>
      </c>
      <c r="F108" s="68">
        <f>IFERROR(VLOOKUP($A108,GanttChart!$A:$JD,263,FALSE),0)</f>
        <v>0</v>
      </c>
      <c r="G108" s="69">
        <f>IFERROR(VLOOKUP($A108,GanttChart!$A:$JD,264,FALSE),0)</f>
        <v>0</v>
      </c>
      <c r="H108" s="70"/>
      <c r="I108" s="69">
        <f t="shared" si="0"/>
        <v>0</v>
      </c>
    </row>
    <row r="109" spans="1:9" ht="14.25" hidden="1">
      <c r="A109" s="62">
        <v>5.18</v>
      </c>
      <c r="C109" s="67" t="str">
        <f>IFERROR(VLOOKUP($A109,GanttChart!$A:$JD,2,FALSE),"خطا")</f>
        <v>خطا</v>
      </c>
      <c r="D109" s="68">
        <f>IFERROR(VLOOKUP($A109,GanttChart!$A:$JD,261,FALSE),0)</f>
        <v>0</v>
      </c>
      <c r="E109" s="68">
        <f>IFERROR(VLOOKUP($A109,GanttChart!$A:$JD,262,FALSE),0)</f>
        <v>0</v>
      </c>
      <c r="F109" s="68">
        <f>IFERROR(VLOOKUP($A109,GanttChart!$A:$JD,263,FALSE),0)</f>
        <v>0</v>
      </c>
      <c r="G109" s="69">
        <f>IFERROR(VLOOKUP($A109,GanttChart!$A:$JD,264,FALSE),0)</f>
        <v>0</v>
      </c>
      <c r="H109" s="70"/>
      <c r="I109" s="69">
        <f t="shared" si="0"/>
        <v>0</v>
      </c>
    </row>
    <row r="110" spans="1:9" ht="14.25" hidden="1">
      <c r="A110" s="62">
        <v>5.19</v>
      </c>
      <c r="C110" s="67" t="str">
        <f>IFERROR(VLOOKUP($A110,GanttChart!$A:$JD,2,FALSE),"خطا")</f>
        <v>خطا</v>
      </c>
      <c r="D110" s="68">
        <f>IFERROR(VLOOKUP($A110,GanttChart!$A:$JD,261,FALSE),0)</f>
        <v>0</v>
      </c>
      <c r="E110" s="68">
        <f>IFERROR(VLOOKUP($A110,GanttChart!$A:$JD,262,FALSE),0)</f>
        <v>0</v>
      </c>
      <c r="F110" s="68">
        <f>IFERROR(VLOOKUP($A110,GanttChart!$A:$JD,263,FALSE),0)</f>
        <v>0</v>
      </c>
      <c r="G110" s="69">
        <f>IFERROR(VLOOKUP($A110,GanttChart!$A:$JD,264,FALSE),0)</f>
        <v>0</v>
      </c>
      <c r="H110" s="70"/>
      <c r="I110" s="69">
        <f t="shared" si="0"/>
        <v>0</v>
      </c>
    </row>
    <row r="111" spans="1:9" ht="14.25" hidden="1">
      <c r="A111" s="62">
        <v>5.21</v>
      </c>
      <c r="C111" s="67" t="str">
        <f>IFERROR(VLOOKUP($A111,GanttChart!$A:$JD,2,FALSE),"خطا")</f>
        <v>خطا</v>
      </c>
      <c r="D111" s="68">
        <f>IFERROR(VLOOKUP($A111,GanttChart!$A:$JD,261,FALSE),0)</f>
        <v>0</v>
      </c>
      <c r="E111" s="68">
        <f>IFERROR(VLOOKUP($A111,GanttChart!$A:$JD,262,FALSE),0)</f>
        <v>0</v>
      </c>
      <c r="F111" s="68">
        <f>IFERROR(VLOOKUP($A111,GanttChart!$A:$JD,263,FALSE),0)</f>
        <v>0</v>
      </c>
      <c r="G111" s="69">
        <f>IFERROR(VLOOKUP($A111,GanttChart!$A:$JD,264,FALSE),0)</f>
        <v>0</v>
      </c>
      <c r="H111" s="70"/>
      <c r="I111" s="69">
        <f t="shared" si="0"/>
        <v>0</v>
      </c>
    </row>
    <row r="112" spans="1:9" ht="14.25" hidden="1">
      <c r="A112" s="62">
        <v>5.22</v>
      </c>
      <c r="C112" s="67" t="str">
        <f>IFERROR(VLOOKUP($A112,GanttChart!$A:$JD,2,FALSE),"خطا")</f>
        <v>خطا</v>
      </c>
      <c r="D112" s="68">
        <f>IFERROR(VLOOKUP($A112,GanttChart!$A:$JD,261,FALSE),0)</f>
        <v>0</v>
      </c>
      <c r="E112" s="68">
        <f>IFERROR(VLOOKUP($A112,GanttChart!$A:$JD,262,FALSE),0)</f>
        <v>0</v>
      </c>
      <c r="F112" s="68">
        <f>IFERROR(VLOOKUP($A112,GanttChart!$A:$JD,263,FALSE),0)</f>
        <v>0</v>
      </c>
      <c r="G112" s="69">
        <f>IFERROR(VLOOKUP($A112,GanttChart!$A:$JD,264,FALSE),0)</f>
        <v>0</v>
      </c>
      <c r="H112" s="70"/>
      <c r="I112" s="69">
        <f t="shared" si="0"/>
        <v>0</v>
      </c>
    </row>
    <row r="113" spans="1:9" ht="14.25" hidden="1">
      <c r="A113" s="62">
        <v>5.23</v>
      </c>
      <c r="C113" s="67" t="str">
        <f>IFERROR(VLOOKUP($A113,GanttChart!$A:$JD,2,FALSE),"خطا")</f>
        <v>خطا</v>
      </c>
      <c r="D113" s="68">
        <f>IFERROR(VLOOKUP($A113,GanttChart!$A:$JD,261,FALSE),0)</f>
        <v>0</v>
      </c>
      <c r="E113" s="68">
        <f>IFERROR(VLOOKUP($A113,GanttChart!$A:$JD,262,FALSE),0)</f>
        <v>0</v>
      </c>
      <c r="F113" s="68">
        <f>IFERROR(VLOOKUP($A113,GanttChart!$A:$JD,263,FALSE),0)</f>
        <v>0</v>
      </c>
      <c r="G113" s="69">
        <f>IFERROR(VLOOKUP($A113,GanttChart!$A:$JD,264,FALSE),0)</f>
        <v>0</v>
      </c>
      <c r="H113" s="70"/>
      <c r="I113" s="69">
        <f t="shared" si="0"/>
        <v>0</v>
      </c>
    </row>
    <row r="114" spans="1:9" ht="14.25">
      <c r="A114" s="62">
        <v>6</v>
      </c>
      <c r="C114" s="67" t="str">
        <f>IFERROR(VLOOKUP($A114,GanttChart!$A:$JD,2,FALSE),"خطا")</f>
        <v>اقدامات اجرایی پیکربندی، مدیریت و کاربرد نرم افزار</v>
      </c>
      <c r="D114" s="68">
        <f>SUM(D115:D135)</f>
        <v>0</v>
      </c>
      <c r="E114" s="68">
        <f>SUM(E115:E135)</f>
        <v>0</v>
      </c>
      <c r="F114" s="68">
        <f>SUM(F115:F135)</f>
        <v>0</v>
      </c>
      <c r="G114" s="69">
        <f>SUM(G115:G135)</f>
        <v>0</v>
      </c>
      <c r="H114" s="167"/>
      <c r="I114" s="69">
        <f t="shared" si="0"/>
        <v>0</v>
      </c>
    </row>
    <row r="115" spans="1:9" ht="22.5" hidden="1">
      <c r="A115" s="62">
        <v>6.1</v>
      </c>
      <c r="C115" s="67" t="str">
        <f>IFERROR(VLOOKUP($A115,GanttChart!$A:$JD,2,FALSE),"خطا")</f>
        <v>اعلام نام های کاربری و حقوق دسترسی مورد نیاز هر یک از کاربران و اطلاعات مورد نیاز جهت تنظیم</v>
      </c>
      <c r="D115" s="68">
        <f>IFERROR(VLOOKUP($A115,GanttChart!$A:$JD,261,FALSE),0)</f>
        <v>0</v>
      </c>
      <c r="E115" s="68">
        <f>IFERROR(VLOOKUP($A115,GanttChart!$A:$JD,262,FALSE),0)</f>
        <v>0</v>
      </c>
      <c r="F115" s="68">
        <f>IFERROR(VLOOKUP($A115,GanttChart!$A:$JD,263,FALSE),0)</f>
        <v>0</v>
      </c>
      <c r="G115" s="69">
        <f>IFERROR(VLOOKUP($A115,GanttChart!$A:$JD,264,FALSE),0)</f>
        <v>0</v>
      </c>
      <c r="H115" s="70"/>
      <c r="I115" s="69">
        <f t="shared" si="0"/>
        <v>0</v>
      </c>
    </row>
    <row r="116" spans="1:9" ht="14.25" hidden="1">
      <c r="A116" s="62">
        <v>6.2</v>
      </c>
      <c r="C116" s="67" t="str">
        <f>IFERROR(VLOOKUP($A116,GanttChart!$A:$JD,2,FALSE),"خطا")</f>
        <v>تعریف و اعطای حق دسترسی به کاربران و گروه های کاربری اعلام شده</v>
      </c>
      <c r="D116" s="68">
        <f>IFERROR(VLOOKUP($A116,GanttChart!$A:$JD,261,FALSE),0)</f>
        <v>0</v>
      </c>
      <c r="E116" s="68">
        <f>IFERROR(VLOOKUP($A116,GanttChart!$A:$JD,262,FALSE),0)</f>
        <v>0</v>
      </c>
      <c r="F116" s="68">
        <f>IFERROR(VLOOKUP($A116,GanttChart!$A:$JD,263,FALSE),0)</f>
        <v>0</v>
      </c>
      <c r="G116" s="69">
        <f>IFERROR(VLOOKUP($A116,GanttChart!$A:$JD,264,FALSE),0)</f>
        <v>0</v>
      </c>
      <c r="H116" s="70"/>
      <c r="I116" s="69">
        <f t="shared" si="0"/>
        <v>0</v>
      </c>
    </row>
    <row r="117" spans="1:9" ht="22.5" hidden="1">
      <c r="A117" s="62">
        <v>6.3</v>
      </c>
      <c r="C117" s="67" t="str">
        <f>IFERROR(VLOOKUP($A117,GanttChart!$A:$JD,2,FALSE),"خطا")</f>
        <v>پیکربندی ماژول های پست الکترونیک و پیام کوتاه  بر روی سرویس دهنده های پست الکترونیک و پیام کوتاه کارفرما</v>
      </c>
      <c r="D117" s="68">
        <f>IFERROR(VLOOKUP($A117,GanttChart!$A:$JD,261,FALSE),0)</f>
        <v>0</v>
      </c>
      <c r="E117" s="68">
        <f>IFERROR(VLOOKUP($A117,GanttChart!$A:$JD,262,FALSE),0)</f>
        <v>0</v>
      </c>
      <c r="F117" s="68">
        <f>IFERROR(VLOOKUP($A117,GanttChart!$A:$JD,263,FALSE),0)</f>
        <v>0</v>
      </c>
      <c r="G117" s="69">
        <f>IFERROR(VLOOKUP($A117,GanttChart!$A:$JD,264,FALSE),0)</f>
        <v>0</v>
      </c>
      <c r="H117" s="70"/>
      <c r="I117" s="69">
        <f t="shared" si="0"/>
        <v>0</v>
      </c>
    </row>
    <row r="118" spans="1:9" ht="14.25" hidden="1">
      <c r="A118" s="62">
        <v>6.4</v>
      </c>
      <c r="C118" s="67" t="str">
        <f>IFERROR(VLOOKUP($A118,GanttChart!$A:$JD,2,FALSE),"خطا")</f>
        <v>ارائه دسترسی به وب سرویس استعلام ضمانت و شبا</v>
      </c>
      <c r="D118" s="68">
        <f>IFERROR(VLOOKUP($A118,GanttChart!$A:$JD,261,FALSE),0)</f>
        <v>0</v>
      </c>
      <c r="E118" s="68">
        <f>IFERROR(VLOOKUP($A118,GanttChart!$A:$JD,262,FALSE),0)</f>
        <v>0</v>
      </c>
      <c r="F118" s="68">
        <f>IFERROR(VLOOKUP($A118,GanttChart!$A:$JD,263,FALSE),0)</f>
        <v>0</v>
      </c>
      <c r="G118" s="69">
        <f>IFERROR(VLOOKUP($A118,GanttChart!$A:$JD,264,FALSE),0)</f>
        <v>0</v>
      </c>
      <c r="H118" s="70"/>
      <c r="I118" s="69">
        <f t="shared" si="0"/>
        <v>0</v>
      </c>
    </row>
    <row r="119" spans="1:9" ht="14.25" hidden="1">
      <c r="A119" s="62">
        <v>6.5</v>
      </c>
      <c r="C119" s="67" t="str">
        <f>IFERROR(VLOOKUP($A119,GanttChart!$A:$JD,2,FALSE),"خطا")</f>
        <v>تنظیم ماژول های استعلام ضمانت نامه و شبا</v>
      </c>
      <c r="D119" s="68">
        <f>IFERROR(VLOOKUP($A119,GanttChart!$A:$JD,261,FALSE),0)</f>
        <v>0</v>
      </c>
      <c r="E119" s="68">
        <f>IFERROR(VLOOKUP($A119,GanttChart!$A:$JD,262,FALSE),0)</f>
        <v>0</v>
      </c>
      <c r="F119" s="68">
        <f>IFERROR(VLOOKUP($A119,GanttChart!$A:$JD,263,FALSE),0)</f>
        <v>0</v>
      </c>
      <c r="G119" s="69">
        <f>IFERROR(VLOOKUP($A119,GanttChart!$A:$JD,264,FALSE),0)</f>
        <v>0</v>
      </c>
      <c r="H119" s="70"/>
      <c r="I119" s="69">
        <f t="shared" si="0"/>
        <v>0</v>
      </c>
    </row>
    <row r="120" spans="1:9" ht="14.25" hidden="1">
      <c r="A120" s="62">
        <v>6.6</v>
      </c>
      <c r="C120" s="67" t="str">
        <f>IFERROR(VLOOKUP($A120,GanttChart!$A:$JD,2,FALSE),"خطا")</f>
        <v>خطا</v>
      </c>
      <c r="D120" s="68">
        <f>IFERROR(VLOOKUP($A120,GanttChart!$A:$JD,261,FALSE),0)</f>
        <v>0</v>
      </c>
      <c r="E120" s="68">
        <f>IFERROR(VLOOKUP($A120,GanttChart!$A:$JD,262,FALSE),0)</f>
        <v>0</v>
      </c>
      <c r="F120" s="68">
        <f>IFERROR(VLOOKUP($A120,GanttChart!$A:$JD,263,FALSE),0)</f>
        <v>0</v>
      </c>
      <c r="G120" s="69">
        <f>IFERROR(VLOOKUP($A120,GanttChart!$A:$JD,264,FALSE),0)</f>
        <v>0</v>
      </c>
      <c r="H120" s="70"/>
      <c r="I120" s="69">
        <f t="shared" si="0"/>
        <v>0</v>
      </c>
    </row>
    <row r="121" spans="1:9" ht="14.25" hidden="1">
      <c r="A121" s="62">
        <v>6.7</v>
      </c>
      <c r="C121" s="67" t="str">
        <f>IFERROR(VLOOKUP($A121,GanttChart!$A:$JD,2,FALSE),"خطا")</f>
        <v>خطا</v>
      </c>
      <c r="D121" s="68">
        <f>IFERROR(VLOOKUP($A121,GanttChart!$A:$JD,261,FALSE),0)</f>
        <v>0</v>
      </c>
      <c r="E121" s="68">
        <f>IFERROR(VLOOKUP($A121,GanttChart!$A:$JD,262,FALSE),0)</f>
        <v>0</v>
      </c>
      <c r="F121" s="68">
        <f>IFERROR(VLOOKUP($A121,GanttChart!$A:$JD,263,FALSE),0)</f>
        <v>0</v>
      </c>
      <c r="G121" s="69">
        <f>IFERROR(VLOOKUP($A121,GanttChart!$A:$JD,264,FALSE),0)</f>
        <v>0</v>
      </c>
      <c r="H121" s="70"/>
      <c r="I121" s="69">
        <f t="shared" si="0"/>
        <v>0</v>
      </c>
    </row>
    <row r="122" spans="1:9" ht="14.25" hidden="1">
      <c r="A122" s="62">
        <v>6.8</v>
      </c>
      <c r="C122" s="67" t="str">
        <f>IFERROR(VLOOKUP($A122,GanttChart!$A:$JD,2,FALSE),"خطا")</f>
        <v>خطا</v>
      </c>
      <c r="D122" s="68">
        <f>IFERROR(VLOOKUP($A122,GanttChart!$A:$JD,261,FALSE),0)</f>
        <v>0</v>
      </c>
      <c r="E122" s="68">
        <f>IFERROR(VLOOKUP($A122,GanttChart!$A:$JD,262,FALSE),0)</f>
        <v>0</v>
      </c>
      <c r="F122" s="68">
        <f>IFERROR(VLOOKUP($A122,GanttChart!$A:$JD,263,FALSE),0)</f>
        <v>0</v>
      </c>
      <c r="G122" s="69">
        <f>IFERROR(VLOOKUP($A122,GanttChart!$A:$JD,264,FALSE),0)</f>
        <v>0</v>
      </c>
      <c r="H122" s="70"/>
      <c r="I122" s="69">
        <f t="shared" si="0"/>
        <v>0</v>
      </c>
    </row>
    <row r="123" spans="1:9" ht="14.25" hidden="1">
      <c r="A123" s="62">
        <v>6.9</v>
      </c>
      <c r="C123" s="67" t="str">
        <f>IFERROR(VLOOKUP($A123,GanttChart!$A:$JD,2,FALSE),"خطا")</f>
        <v>خطا</v>
      </c>
      <c r="D123" s="68">
        <f>IFERROR(VLOOKUP($A123,GanttChart!$A:$JD,261,FALSE),0)</f>
        <v>0</v>
      </c>
      <c r="E123" s="68">
        <f>IFERROR(VLOOKUP($A123,GanttChart!$A:$JD,262,FALSE),0)</f>
        <v>0</v>
      </c>
      <c r="F123" s="68">
        <f>IFERROR(VLOOKUP($A123,GanttChart!$A:$JD,263,FALSE),0)</f>
        <v>0</v>
      </c>
      <c r="G123" s="69">
        <f>IFERROR(VLOOKUP($A123,GanttChart!$A:$JD,264,FALSE),0)</f>
        <v>0</v>
      </c>
      <c r="H123" s="70"/>
      <c r="I123" s="69">
        <f t="shared" si="0"/>
        <v>0</v>
      </c>
    </row>
    <row r="124" spans="1:9" ht="14.25" hidden="1">
      <c r="A124" s="62">
        <v>6.11</v>
      </c>
      <c r="C124" s="67" t="str">
        <f>IFERROR(VLOOKUP($A124,GanttChart!$A:$JD,2,FALSE),"خطا")</f>
        <v>خطا</v>
      </c>
      <c r="D124" s="68">
        <f>IFERROR(VLOOKUP($A124,GanttChart!$A:$JD,261,FALSE),0)</f>
        <v>0</v>
      </c>
      <c r="E124" s="68">
        <f>IFERROR(VLOOKUP($A124,GanttChart!$A:$JD,262,FALSE),0)</f>
        <v>0</v>
      </c>
      <c r="F124" s="68">
        <f>IFERROR(VLOOKUP($A124,GanttChart!$A:$JD,263,FALSE),0)</f>
        <v>0</v>
      </c>
      <c r="G124" s="69">
        <f>IFERROR(VLOOKUP($A124,GanttChart!$A:$JD,264,FALSE),0)</f>
        <v>0</v>
      </c>
      <c r="H124" s="70"/>
      <c r="I124" s="69">
        <f t="shared" si="0"/>
        <v>0</v>
      </c>
    </row>
    <row r="125" spans="1:9" ht="14.25" hidden="1">
      <c r="A125" s="62">
        <v>6.12</v>
      </c>
      <c r="C125" s="67" t="str">
        <f>IFERROR(VLOOKUP($A125,GanttChart!$A:$JD,2,FALSE),"خطا")</f>
        <v>خطا</v>
      </c>
      <c r="D125" s="68">
        <f>IFERROR(VLOOKUP($A125,GanttChart!$A:$JD,261,FALSE),0)</f>
        <v>0</v>
      </c>
      <c r="E125" s="68">
        <f>IFERROR(VLOOKUP($A125,GanttChart!$A:$JD,262,FALSE),0)</f>
        <v>0</v>
      </c>
      <c r="F125" s="68">
        <f>IFERROR(VLOOKUP($A125,GanttChart!$A:$JD,263,FALSE),0)</f>
        <v>0</v>
      </c>
      <c r="G125" s="69">
        <f>IFERROR(VLOOKUP($A125,GanttChart!$A:$JD,264,FALSE),0)</f>
        <v>0</v>
      </c>
      <c r="H125" s="70"/>
      <c r="I125" s="69">
        <f t="shared" si="0"/>
        <v>0</v>
      </c>
    </row>
    <row r="126" spans="1:9" ht="14.25" hidden="1">
      <c r="A126" s="62">
        <v>6.13</v>
      </c>
      <c r="C126" s="67" t="str">
        <f>IFERROR(VLOOKUP($A126,GanttChart!$A:$JD,2,FALSE),"خطا")</f>
        <v>خطا</v>
      </c>
      <c r="D126" s="68">
        <f>IFERROR(VLOOKUP($A126,GanttChart!$A:$JD,261,FALSE),0)</f>
        <v>0</v>
      </c>
      <c r="E126" s="68">
        <f>IFERROR(VLOOKUP($A126,GanttChart!$A:$JD,262,FALSE),0)</f>
        <v>0</v>
      </c>
      <c r="F126" s="68">
        <f>IFERROR(VLOOKUP($A126,GanttChart!$A:$JD,263,FALSE),0)</f>
        <v>0</v>
      </c>
      <c r="G126" s="69">
        <f>IFERROR(VLOOKUP($A126,GanttChart!$A:$JD,264,FALSE),0)</f>
        <v>0</v>
      </c>
      <c r="H126" s="70"/>
      <c r="I126" s="69">
        <f t="shared" si="0"/>
        <v>0</v>
      </c>
    </row>
    <row r="127" spans="1:9" ht="14.25" hidden="1">
      <c r="A127" s="62">
        <v>6.14</v>
      </c>
      <c r="C127" s="67" t="str">
        <f>IFERROR(VLOOKUP($A127,GanttChart!$A:$JD,2,FALSE),"خطا")</f>
        <v>خطا</v>
      </c>
      <c r="D127" s="68">
        <f>IFERROR(VLOOKUP($A127,GanttChart!$A:$JD,261,FALSE),0)</f>
        <v>0</v>
      </c>
      <c r="E127" s="68">
        <f>IFERROR(VLOOKUP($A127,GanttChart!$A:$JD,262,FALSE),0)</f>
        <v>0</v>
      </c>
      <c r="F127" s="68">
        <f>IFERROR(VLOOKUP($A127,GanttChart!$A:$JD,263,FALSE),0)</f>
        <v>0</v>
      </c>
      <c r="G127" s="69">
        <f>IFERROR(VLOOKUP($A127,GanttChart!$A:$JD,264,FALSE),0)</f>
        <v>0</v>
      </c>
      <c r="H127" s="70"/>
      <c r="I127" s="69">
        <f t="shared" si="0"/>
        <v>0</v>
      </c>
    </row>
    <row r="128" spans="1:9" ht="14.25" hidden="1">
      <c r="A128" s="62">
        <v>6.15</v>
      </c>
      <c r="C128" s="67" t="str">
        <f>IFERROR(VLOOKUP($A128,GanttChart!$A:$JD,2,FALSE),"خطا")</f>
        <v>خطا</v>
      </c>
      <c r="D128" s="68">
        <f>IFERROR(VLOOKUP($A128,GanttChart!$A:$JD,261,FALSE),0)</f>
        <v>0</v>
      </c>
      <c r="E128" s="68">
        <f>IFERROR(VLOOKUP($A128,GanttChart!$A:$JD,262,FALSE),0)</f>
        <v>0</v>
      </c>
      <c r="F128" s="68">
        <f>IFERROR(VLOOKUP($A128,GanttChart!$A:$JD,263,FALSE),0)</f>
        <v>0</v>
      </c>
      <c r="G128" s="69">
        <f>IFERROR(VLOOKUP($A128,GanttChart!$A:$JD,264,FALSE),0)</f>
        <v>0</v>
      </c>
      <c r="H128" s="70"/>
      <c r="I128" s="69">
        <f t="shared" si="0"/>
        <v>0</v>
      </c>
    </row>
    <row r="129" spans="1:9" ht="14.25" hidden="1">
      <c r="A129" s="62">
        <v>6.16</v>
      </c>
      <c r="C129" s="67" t="str">
        <f>IFERROR(VLOOKUP($A129,GanttChart!$A:$JD,2,FALSE),"خطا")</f>
        <v>خطا</v>
      </c>
      <c r="D129" s="68">
        <f>IFERROR(VLOOKUP($A129,GanttChart!$A:$JD,261,FALSE),0)</f>
        <v>0</v>
      </c>
      <c r="E129" s="68">
        <f>IFERROR(VLOOKUP($A129,GanttChart!$A:$JD,262,FALSE),0)</f>
        <v>0</v>
      </c>
      <c r="F129" s="68">
        <f>IFERROR(VLOOKUP($A129,GanttChart!$A:$JD,263,FALSE),0)</f>
        <v>0</v>
      </c>
      <c r="G129" s="69">
        <f>IFERROR(VLOOKUP($A129,GanttChart!$A:$JD,264,FALSE),0)</f>
        <v>0</v>
      </c>
      <c r="H129" s="70"/>
      <c r="I129" s="69">
        <f t="shared" si="0"/>
        <v>0</v>
      </c>
    </row>
    <row r="130" spans="1:9" ht="14.25" hidden="1">
      <c r="A130" s="62">
        <v>6.17</v>
      </c>
      <c r="C130" s="67" t="str">
        <f>IFERROR(VLOOKUP($A130,GanttChart!$A:$JD,2,FALSE),"خطا")</f>
        <v>خطا</v>
      </c>
      <c r="D130" s="68">
        <f>IFERROR(VLOOKUP($A130,GanttChart!$A:$JD,261,FALSE),0)</f>
        <v>0</v>
      </c>
      <c r="E130" s="68">
        <f>IFERROR(VLOOKUP($A130,GanttChart!$A:$JD,262,FALSE),0)</f>
        <v>0</v>
      </c>
      <c r="F130" s="68">
        <f>IFERROR(VLOOKUP($A130,GanttChart!$A:$JD,263,FALSE),0)</f>
        <v>0</v>
      </c>
      <c r="G130" s="69">
        <f>IFERROR(VLOOKUP($A130,GanttChart!$A:$JD,264,FALSE),0)</f>
        <v>0</v>
      </c>
      <c r="H130" s="70"/>
      <c r="I130" s="69">
        <f t="shared" si="0"/>
        <v>0</v>
      </c>
    </row>
    <row r="131" spans="1:9" ht="14.25" hidden="1">
      <c r="A131" s="62">
        <v>6.18</v>
      </c>
      <c r="C131" s="67" t="str">
        <f>IFERROR(VLOOKUP($A131,GanttChart!$A:$JD,2,FALSE),"خطا")</f>
        <v>خطا</v>
      </c>
      <c r="D131" s="68">
        <f>IFERROR(VLOOKUP($A131,GanttChart!$A:$JD,261,FALSE),0)</f>
        <v>0</v>
      </c>
      <c r="E131" s="68">
        <f>IFERROR(VLOOKUP($A131,GanttChart!$A:$JD,262,FALSE),0)</f>
        <v>0</v>
      </c>
      <c r="F131" s="68">
        <f>IFERROR(VLOOKUP($A131,GanttChart!$A:$JD,263,FALSE),0)</f>
        <v>0</v>
      </c>
      <c r="G131" s="69">
        <f>IFERROR(VLOOKUP($A131,GanttChart!$A:$JD,264,FALSE),0)</f>
        <v>0</v>
      </c>
      <c r="H131" s="70"/>
      <c r="I131" s="69">
        <f t="shared" si="0"/>
        <v>0</v>
      </c>
    </row>
    <row r="132" spans="1:9" ht="14.25" hidden="1">
      <c r="A132" s="62">
        <v>6.19</v>
      </c>
      <c r="C132" s="67" t="str">
        <f>IFERROR(VLOOKUP($A132,GanttChart!$A:$JD,2,FALSE),"خطا")</f>
        <v>خطا</v>
      </c>
      <c r="D132" s="68">
        <f>IFERROR(VLOOKUP($A132,GanttChart!$A:$JD,261,FALSE),0)</f>
        <v>0</v>
      </c>
      <c r="E132" s="68">
        <f>IFERROR(VLOOKUP($A132,GanttChart!$A:$JD,262,FALSE),0)</f>
        <v>0</v>
      </c>
      <c r="F132" s="68">
        <f>IFERROR(VLOOKUP($A132,GanttChart!$A:$JD,263,FALSE),0)</f>
        <v>0</v>
      </c>
      <c r="G132" s="69">
        <f>IFERROR(VLOOKUP($A132,GanttChart!$A:$JD,264,FALSE),0)</f>
        <v>0</v>
      </c>
      <c r="H132" s="70"/>
      <c r="I132" s="69">
        <f t="shared" si="0"/>
        <v>0</v>
      </c>
    </row>
    <row r="133" spans="1:9" ht="14.25" hidden="1">
      <c r="A133" s="62">
        <v>6.21</v>
      </c>
      <c r="C133" s="67" t="str">
        <f>IFERROR(VLOOKUP($A133,GanttChart!$A:$JD,2,FALSE),"خطا")</f>
        <v>خطا</v>
      </c>
      <c r="D133" s="68">
        <f>IFERROR(VLOOKUP($A133,GanttChart!$A:$JD,261,FALSE),0)</f>
        <v>0</v>
      </c>
      <c r="E133" s="68">
        <f>IFERROR(VLOOKUP($A133,GanttChart!$A:$JD,262,FALSE),0)</f>
        <v>0</v>
      </c>
      <c r="F133" s="68">
        <f>IFERROR(VLOOKUP($A133,GanttChart!$A:$JD,263,FALSE),0)</f>
        <v>0</v>
      </c>
      <c r="G133" s="69">
        <f>IFERROR(VLOOKUP($A133,GanttChart!$A:$JD,264,FALSE),0)</f>
        <v>0</v>
      </c>
      <c r="H133" s="70"/>
      <c r="I133" s="69">
        <f t="shared" si="0"/>
        <v>0</v>
      </c>
    </row>
    <row r="134" spans="1:9" ht="14.25" hidden="1">
      <c r="A134" s="62">
        <v>6.22</v>
      </c>
      <c r="C134" s="67" t="str">
        <f>IFERROR(VLOOKUP($A134,GanttChart!$A:$JD,2,FALSE),"خطا")</f>
        <v>خطا</v>
      </c>
      <c r="D134" s="68">
        <f>IFERROR(VLOOKUP($A134,GanttChart!$A:$JD,261,FALSE),0)</f>
        <v>0</v>
      </c>
      <c r="E134" s="68">
        <f>IFERROR(VLOOKUP($A134,GanttChart!$A:$JD,262,FALSE),0)</f>
        <v>0</v>
      </c>
      <c r="F134" s="68">
        <f>IFERROR(VLOOKUP($A134,GanttChart!$A:$JD,263,FALSE),0)</f>
        <v>0</v>
      </c>
      <c r="G134" s="69">
        <f>IFERROR(VLOOKUP($A134,GanttChart!$A:$JD,264,FALSE),0)</f>
        <v>0</v>
      </c>
      <c r="H134" s="70"/>
      <c r="I134" s="69">
        <f t="shared" si="0"/>
        <v>0</v>
      </c>
    </row>
    <row r="135" spans="1:9" ht="14.25" hidden="1">
      <c r="A135" s="62">
        <v>6.23</v>
      </c>
      <c r="C135" s="67" t="str">
        <f>IFERROR(VLOOKUP($A135,GanttChart!$A:$JD,2,FALSE),"خطا")</f>
        <v>خطا</v>
      </c>
      <c r="D135" s="68">
        <f>IFERROR(VLOOKUP($A135,GanttChart!$A:$JD,261,FALSE),0)</f>
        <v>0</v>
      </c>
      <c r="E135" s="68">
        <f>IFERROR(VLOOKUP($A135,GanttChart!$A:$JD,262,FALSE),0)</f>
        <v>0</v>
      </c>
      <c r="F135" s="68">
        <f>IFERROR(VLOOKUP($A135,GanttChart!$A:$JD,263,FALSE),0)</f>
        <v>0</v>
      </c>
      <c r="G135" s="69">
        <f>IFERROR(VLOOKUP($A135,GanttChart!$A:$JD,264,FALSE),0)</f>
        <v>0</v>
      </c>
      <c r="H135" s="70"/>
      <c r="I135" s="69">
        <f t="shared" si="0"/>
        <v>0</v>
      </c>
    </row>
    <row r="136" spans="1:9" ht="14.25">
      <c r="A136" s="62">
        <v>7</v>
      </c>
      <c r="C136" s="67" t="str">
        <f>IFERROR(VLOOKUP($A136,GanttChart!$A:$JD,2,FALSE),"خطا")</f>
        <v>اقدامات تست امنیت زیر ساخت نرم افزاری استقرار یافته</v>
      </c>
      <c r="D136" s="68">
        <f>SUM(D137:D157)</f>
        <v>0</v>
      </c>
      <c r="E136" s="68">
        <f>SUM(E137:E157)</f>
        <v>0</v>
      </c>
      <c r="F136" s="68">
        <f>SUM(F137:F157)</f>
        <v>0</v>
      </c>
      <c r="G136" s="69">
        <f>SUM(G137:G157)</f>
        <v>0</v>
      </c>
      <c r="H136" s="167">
        <v>1</v>
      </c>
      <c r="I136" s="69">
        <f t="shared" si="0"/>
        <v>0</v>
      </c>
    </row>
    <row r="137" spans="1:9" ht="14.25" hidden="1">
      <c r="A137" s="62">
        <v>7.1</v>
      </c>
      <c r="C137" s="67" t="str">
        <f>IFERROR(VLOOKUP($A137,GanttChart!$A:$JD,2,FALSE),"خطا")</f>
        <v>تنظیم و امضاء صورت جلسه اقدامات اجرایی پروژه</v>
      </c>
      <c r="D137" s="68">
        <f>IFERROR(VLOOKUP($A137,GanttChart!$A:$JD,261,FALSE),0)</f>
        <v>0</v>
      </c>
      <c r="E137" s="68">
        <f>IFERROR(VLOOKUP($A137,GanttChart!$A:$JD,262,FALSE),0)</f>
        <v>0</v>
      </c>
      <c r="F137" s="68">
        <f>IFERROR(VLOOKUP($A137,GanttChart!$A:$JD,263,FALSE),0)</f>
        <v>0</v>
      </c>
      <c r="G137" s="69">
        <f>IFERROR(VLOOKUP($A137,GanttChart!$A:$JD,264,FALSE),0)</f>
        <v>0</v>
      </c>
      <c r="H137" s="70"/>
      <c r="I137" s="69">
        <f t="shared" si="0"/>
        <v>0</v>
      </c>
    </row>
    <row r="138" spans="1:9" ht="22.5" hidden="1">
      <c r="A138" s="62">
        <v>7.2</v>
      </c>
      <c r="C138" s="67" t="str">
        <f>IFERROR(VLOOKUP($A138,GanttChart!$A:$JD,2,FALSE),"خطا")</f>
        <v>انجام اقدامات پیکربندی امنیتی در سطح WAF  و قرار گیری سرور در محیط عملیاتی</v>
      </c>
      <c r="D138" s="68">
        <f>IFERROR(VLOOKUP($A138,GanttChart!$A:$JD,261,FALSE),0)</f>
        <v>0</v>
      </c>
      <c r="E138" s="68">
        <f>IFERROR(VLOOKUP($A138,GanttChart!$A:$JD,262,FALSE),0)</f>
        <v>0</v>
      </c>
      <c r="F138" s="68">
        <f>IFERROR(VLOOKUP($A138,GanttChart!$A:$JD,263,FALSE),0)</f>
        <v>0</v>
      </c>
      <c r="G138" s="69">
        <f>IFERROR(VLOOKUP($A138,GanttChart!$A:$JD,264,FALSE),0)</f>
        <v>0</v>
      </c>
      <c r="H138" s="70"/>
      <c r="I138" s="69">
        <f t="shared" si="0"/>
        <v>0</v>
      </c>
    </row>
    <row r="139" spans="1:9" ht="14.25" hidden="1">
      <c r="A139" s="62">
        <v>7.3</v>
      </c>
      <c r="C139" s="67" t="str">
        <f>IFERROR(VLOOKUP($A139,GanttChart!$A:$JD,2,FALSE),"خطا")</f>
        <v>اجرای تست امنیت و ارائه گزارش مربوطه</v>
      </c>
      <c r="D139" s="68">
        <f>IFERROR(VLOOKUP($A139,GanttChart!$A:$JD,261,FALSE),0)</f>
        <v>0</v>
      </c>
      <c r="E139" s="68">
        <f>IFERROR(VLOOKUP($A139,GanttChart!$A:$JD,262,FALSE),0)</f>
        <v>0</v>
      </c>
      <c r="F139" s="68">
        <f>IFERROR(VLOOKUP($A139,GanttChart!$A:$JD,263,FALSE),0)</f>
        <v>0</v>
      </c>
      <c r="G139" s="69">
        <f>IFERROR(VLOOKUP($A139,GanttChart!$A:$JD,264,FALSE),0)</f>
        <v>0</v>
      </c>
      <c r="H139" s="70"/>
      <c r="I139" s="69">
        <f t="shared" si="0"/>
        <v>0</v>
      </c>
    </row>
    <row r="140" spans="1:9" ht="14.25" hidden="1">
      <c r="A140" s="62">
        <v>7.4</v>
      </c>
      <c r="C140" s="67" t="str">
        <f>IFERROR(VLOOKUP($A140,GanttChart!$A:$JD,2,FALSE),"خطا")</f>
        <v>رفع اشکالات گزارش شده در سطح نرم افزار بر روی سرور اصلی</v>
      </c>
      <c r="D140" s="68">
        <f>IFERROR(VLOOKUP($A140,GanttChart!$A:$JD,261,FALSE),0)</f>
        <v>0</v>
      </c>
      <c r="E140" s="68">
        <f>IFERROR(VLOOKUP($A140,GanttChart!$A:$JD,262,FALSE),0)</f>
        <v>0</v>
      </c>
      <c r="F140" s="68">
        <f>IFERROR(VLOOKUP($A140,GanttChart!$A:$JD,263,FALSE),0)</f>
        <v>0</v>
      </c>
      <c r="G140" s="69">
        <f>IFERROR(VLOOKUP($A140,GanttChart!$A:$JD,264,FALSE),0)</f>
        <v>0</v>
      </c>
      <c r="H140" s="70"/>
      <c r="I140" s="69">
        <f t="shared" si="0"/>
        <v>0</v>
      </c>
    </row>
    <row r="141" spans="1:9" ht="14.25" hidden="1">
      <c r="A141" s="62">
        <v>7.5</v>
      </c>
      <c r="C141" s="67" t="str">
        <f>IFERROR(VLOOKUP($A141,GanttChart!$A:$JD,2,FALSE),"خطا")</f>
        <v>تست مجدد سامانه</v>
      </c>
      <c r="D141" s="68">
        <f>IFERROR(VLOOKUP($A141,GanttChart!$A:$JD,261,FALSE),0)</f>
        <v>0</v>
      </c>
      <c r="E141" s="68">
        <f>IFERROR(VLOOKUP($A141,GanttChart!$A:$JD,262,FALSE),0)</f>
        <v>0</v>
      </c>
      <c r="F141" s="68">
        <f>IFERROR(VLOOKUP($A141,GanttChart!$A:$JD,263,FALSE),0)</f>
        <v>0</v>
      </c>
      <c r="G141" s="69">
        <f>IFERROR(VLOOKUP($A141,GanttChart!$A:$JD,264,FALSE),0)</f>
        <v>0</v>
      </c>
      <c r="H141" s="70"/>
      <c r="I141" s="69">
        <f t="shared" si="0"/>
        <v>0</v>
      </c>
    </row>
    <row r="142" spans="1:9" ht="14.25" hidden="1">
      <c r="A142" s="62">
        <v>7.6</v>
      </c>
      <c r="C142" s="67" t="str">
        <f>IFERROR(VLOOKUP($A142,GanttChart!$A:$JD,2,FALSE),"خطا")</f>
        <v>تایید امنیت سامانه</v>
      </c>
      <c r="D142" s="68">
        <f>IFERROR(VLOOKUP($A142,GanttChart!$A:$JD,261,FALSE),0)</f>
        <v>0</v>
      </c>
      <c r="E142" s="68">
        <f>IFERROR(VLOOKUP($A142,GanttChart!$A:$JD,262,FALSE),0)</f>
        <v>0</v>
      </c>
      <c r="F142" s="68">
        <f>IFERROR(VLOOKUP($A142,GanttChart!$A:$JD,263,FALSE),0)</f>
        <v>0</v>
      </c>
      <c r="G142" s="69">
        <f>IFERROR(VLOOKUP($A142,GanttChart!$A:$JD,264,FALSE),0)</f>
        <v>0</v>
      </c>
      <c r="H142" s="70"/>
      <c r="I142" s="69">
        <f t="shared" si="0"/>
        <v>0</v>
      </c>
    </row>
    <row r="143" spans="1:9" ht="14.25" hidden="1">
      <c r="A143" s="62">
        <v>7.7</v>
      </c>
      <c r="C143" s="67" t="str">
        <f>IFERROR(VLOOKUP($A143,GanttChart!$A:$JD,2,FALSE),"خطا")</f>
        <v>خطا</v>
      </c>
      <c r="D143" s="68">
        <f>IFERROR(VLOOKUP($A143,GanttChart!$A:$JD,261,FALSE),0)</f>
        <v>0</v>
      </c>
      <c r="E143" s="68">
        <f>IFERROR(VLOOKUP($A143,GanttChart!$A:$JD,262,FALSE),0)</f>
        <v>0</v>
      </c>
      <c r="F143" s="68">
        <f>IFERROR(VLOOKUP($A143,GanttChart!$A:$JD,263,FALSE),0)</f>
        <v>0</v>
      </c>
      <c r="G143" s="69">
        <f>IFERROR(VLOOKUP($A143,GanttChart!$A:$JD,264,FALSE),0)</f>
        <v>0</v>
      </c>
      <c r="H143" s="70"/>
      <c r="I143" s="69">
        <f t="shared" si="0"/>
        <v>0</v>
      </c>
    </row>
    <row r="144" spans="1:9" ht="14.25" hidden="1">
      <c r="A144" s="62">
        <v>7.8</v>
      </c>
      <c r="C144" s="67" t="str">
        <f>IFERROR(VLOOKUP($A144,GanttChart!$A:$JD,2,FALSE),"خطا")</f>
        <v>خطا</v>
      </c>
      <c r="D144" s="68">
        <f>IFERROR(VLOOKUP($A144,GanttChart!$A:$JD,261,FALSE),0)</f>
        <v>0</v>
      </c>
      <c r="E144" s="68">
        <f>IFERROR(VLOOKUP($A144,GanttChart!$A:$JD,262,FALSE),0)</f>
        <v>0</v>
      </c>
      <c r="F144" s="68">
        <f>IFERROR(VLOOKUP($A144,GanttChart!$A:$JD,263,FALSE),0)</f>
        <v>0</v>
      </c>
      <c r="G144" s="69">
        <f>IFERROR(VLOOKUP($A144,GanttChart!$A:$JD,264,FALSE),0)</f>
        <v>0</v>
      </c>
      <c r="H144" s="70"/>
      <c r="I144" s="69">
        <f t="shared" si="0"/>
        <v>0</v>
      </c>
    </row>
    <row r="145" spans="1:9" ht="14.25" hidden="1">
      <c r="A145" s="62">
        <v>7.9</v>
      </c>
      <c r="C145" s="67" t="str">
        <f>IFERROR(VLOOKUP($A145,GanttChart!$A:$JD,2,FALSE),"خطا")</f>
        <v>خطا</v>
      </c>
      <c r="D145" s="68">
        <f>IFERROR(VLOOKUP($A145,GanttChart!$A:$JD,261,FALSE),0)</f>
        <v>0</v>
      </c>
      <c r="E145" s="68">
        <f>IFERROR(VLOOKUP($A145,GanttChart!$A:$JD,262,FALSE),0)</f>
        <v>0</v>
      </c>
      <c r="F145" s="68">
        <f>IFERROR(VLOOKUP($A145,GanttChart!$A:$JD,263,FALSE),0)</f>
        <v>0</v>
      </c>
      <c r="G145" s="69">
        <f>IFERROR(VLOOKUP($A145,GanttChart!$A:$JD,264,FALSE),0)</f>
        <v>0</v>
      </c>
      <c r="H145" s="70"/>
      <c r="I145" s="69">
        <f t="shared" si="0"/>
        <v>0</v>
      </c>
    </row>
    <row r="146" spans="1:9" ht="14.25" hidden="1">
      <c r="A146" s="62">
        <v>7.11</v>
      </c>
      <c r="C146" s="67" t="str">
        <f>IFERROR(VLOOKUP($A146,GanttChart!$A:$JD,2,FALSE),"خطا")</f>
        <v>خطا</v>
      </c>
      <c r="D146" s="68">
        <f>IFERROR(VLOOKUP($A146,GanttChart!$A:$JD,261,FALSE),0)</f>
        <v>0</v>
      </c>
      <c r="E146" s="68">
        <f>IFERROR(VLOOKUP($A146,GanttChart!$A:$JD,262,FALSE),0)</f>
        <v>0</v>
      </c>
      <c r="F146" s="68">
        <f>IFERROR(VLOOKUP($A146,GanttChart!$A:$JD,263,FALSE),0)</f>
        <v>0</v>
      </c>
      <c r="G146" s="69">
        <f>IFERROR(VLOOKUP($A146,GanttChart!$A:$JD,264,FALSE),0)</f>
        <v>0</v>
      </c>
      <c r="H146" s="70"/>
      <c r="I146" s="69">
        <f t="shared" si="0"/>
        <v>0</v>
      </c>
    </row>
    <row r="147" spans="1:9" ht="14.25" hidden="1">
      <c r="A147" s="62">
        <v>7.12</v>
      </c>
      <c r="C147" s="67" t="str">
        <f>IFERROR(VLOOKUP($A147,GanttChart!$A:$JD,2,FALSE),"خطا")</f>
        <v>خطا</v>
      </c>
      <c r="D147" s="68">
        <f>IFERROR(VLOOKUP($A147,GanttChart!$A:$JD,261,FALSE),0)</f>
        <v>0</v>
      </c>
      <c r="E147" s="68">
        <f>IFERROR(VLOOKUP($A147,GanttChart!$A:$JD,262,FALSE),0)</f>
        <v>0</v>
      </c>
      <c r="F147" s="68">
        <f>IFERROR(VLOOKUP($A147,GanttChart!$A:$JD,263,FALSE),0)</f>
        <v>0</v>
      </c>
      <c r="G147" s="69">
        <f>IFERROR(VLOOKUP($A147,GanttChart!$A:$JD,264,FALSE),0)</f>
        <v>0</v>
      </c>
      <c r="H147" s="70"/>
      <c r="I147" s="69">
        <f t="shared" si="0"/>
        <v>0</v>
      </c>
    </row>
    <row r="148" spans="1:9" ht="14.25" hidden="1">
      <c r="A148" s="62">
        <v>7.13</v>
      </c>
      <c r="C148" s="67" t="str">
        <f>IFERROR(VLOOKUP($A148,GanttChart!$A:$JD,2,FALSE),"خطا")</f>
        <v>خطا</v>
      </c>
      <c r="D148" s="68">
        <f>IFERROR(VLOOKUP($A148,GanttChart!$A:$JD,261,FALSE),0)</f>
        <v>0</v>
      </c>
      <c r="E148" s="68">
        <f>IFERROR(VLOOKUP($A148,GanttChart!$A:$JD,262,FALSE),0)</f>
        <v>0</v>
      </c>
      <c r="F148" s="68">
        <f>IFERROR(VLOOKUP($A148,GanttChart!$A:$JD,263,FALSE),0)</f>
        <v>0</v>
      </c>
      <c r="G148" s="69">
        <f>IFERROR(VLOOKUP($A148,GanttChart!$A:$JD,264,FALSE),0)</f>
        <v>0</v>
      </c>
      <c r="H148" s="70"/>
      <c r="I148" s="69">
        <f t="shared" si="0"/>
        <v>0</v>
      </c>
    </row>
    <row r="149" spans="1:9" ht="14.25" hidden="1">
      <c r="A149" s="62">
        <v>7.14</v>
      </c>
      <c r="C149" s="67" t="str">
        <f>IFERROR(VLOOKUP($A149,GanttChart!$A:$JD,2,FALSE),"خطا")</f>
        <v>خطا</v>
      </c>
      <c r="D149" s="68">
        <f>IFERROR(VLOOKUP($A149,GanttChart!$A:$JD,261,FALSE),0)</f>
        <v>0</v>
      </c>
      <c r="E149" s="68">
        <f>IFERROR(VLOOKUP($A149,GanttChart!$A:$JD,262,FALSE),0)</f>
        <v>0</v>
      </c>
      <c r="F149" s="68">
        <f>IFERROR(VLOOKUP($A149,GanttChart!$A:$JD,263,FALSE),0)</f>
        <v>0</v>
      </c>
      <c r="G149" s="69">
        <f>IFERROR(VLOOKUP($A149,GanttChart!$A:$JD,264,FALSE),0)</f>
        <v>0</v>
      </c>
      <c r="H149" s="70"/>
      <c r="I149" s="69">
        <f t="shared" si="0"/>
        <v>0</v>
      </c>
    </row>
    <row r="150" spans="1:9" ht="14.25" hidden="1">
      <c r="A150" s="62">
        <v>7.15</v>
      </c>
      <c r="C150" s="67" t="str">
        <f>IFERROR(VLOOKUP($A150,GanttChart!$A:$JD,2,FALSE),"خطا")</f>
        <v>خطا</v>
      </c>
      <c r="D150" s="68">
        <f>IFERROR(VLOOKUP($A150,GanttChart!$A:$JD,261,FALSE),0)</f>
        <v>0</v>
      </c>
      <c r="E150" s="68">
        <f>IFERROR(VLOOKUP($A150,GanttChart!$A:$JD,262,FALSE),0)</f>
        <v>0</v>
      </c>
      <c r="F150" s="68">
        <f>IFERROR(VLOOKUP($A150,GanttChart!$A:$JD,263,FALSE),0)</f>
        <v>0</v>
      </c>
      <c r="G150" s="69">
        <f>IFERROR(VLOOKUP($A150,GanttChart!$A:$JD,264,FALSE),0)</f>
        <v>0</v>
      </c>
      <c r="H150" s="70"/>
      <c r="I150" s="69">
        <f t="shared" si="0"/>
        <v>0</v>
      </c>
    </row>
    <row r="151" spans="1:9" ht="14.25" hidden="1">
      <c r="A151" s="62">
        <v>7.16</v>
      </c>
      <c r="C151" s="67" t="str">
        <f>IFERROR(VLOOKUP($A151,GanttChart!$A:$JD,2,FALSE),"خطا")</f>
        <v>خطا</v>
      </c>
      <c r="D151" s="68">
        <f>IFERROR(VLOOKUP($A151,GanttChart!$A:$JD,261,FALSE),0)</f>
        <v>0</v>
      </c>
      <c r="E151" s="68">
        <f>IFERROR(VLOOKUP($A151,GanttChart!$A:$JD,262,FALSE),0)</f>
        <v>0</v>
      </c>
      <c r="F151" s="68">
        <f>IFERROR(VLOOKUP($A151,GanttChart!$A:$JD,263,FALSE),0)</f>
        <v>0</v>
      </c>
      <c r="G151" s="69">
        <f>IFERROR(VLOOKUP($A151,GanttChart!$A:$JD,264,FALSE),0)</f>
        <v>0</v>
      </c>
      <c r="H151" s="70"/>
      <c r="I151" s="69">
        <f t="shared" si="0"/>
        <v>0</v>
      </c>
    </row>
    <row r="152" spans="1:9" ht="14.25" hidden="1">
      <c r="A152" s="62">
        <v>7.17</v>
      </c>
      <c r="C152" s="67" t="str">
        <f>IFERROR(VLOOKUP($A152,GanttChart!$A:$JD,2,FALSE),"خطا")</f>
        <v>خطا</v>
      </c>
      <c r="D152" s="68">
        <f>IFERROR(VLOOKUP($A152,GanttChart!$A:$JD,261,FALSE),0)</f>
        <v>0</v>
      </c>
      <c r="E152" s="68">
        <f>IFERROR(VLOOKUP($A152,GanttChart!$A:$JD,262,FALSE),0)</f>
        <v>0</v>
      </c>
      <c r="F152" s="68">
        <f>IFERROR(VLOOKUP($A152,GanttChart!$A:$JD,263,FALSE),0)</f>
        <v>0</v>
      </c>
      <c r="G152" s="69">
        <f>IFERROR(VLOOKUP($A152,GanttChart!$A:$JD,264,FALSE),0)</f>
        <v>0</v>
      </c>
      <c r="H152" s="70"/>
      <c r="I152" s="69">
        <f t="shared" si="0"/>
        <v>0</v>
      </c>
    </row>
    <row r="153" spans="1:9" ht="14.25" hidden="1">
      <c r="A153" s="62">
        <v>7.18</v>
      </c>
      <c r="C153" s="67" t="str">
        <f>IFERROR(VLOOKUP($A153,GanttChart!$A:$JD,2,FALSE),"خطا")</f>
        <v>خطا</v>
      </c>
      <c r="D153" s="68">
        <f>IFERROR(VLOOKUP($A153,GanttChart!$A:$JD,261,FALSE),0)</f>
        <v>0</v>
      </c>
      <c r="E153" s="68">
        <f>IFERROR(VLOOKUP($A153,GanttChart!$A:$JD,262,FALSE),0)</f>
        <v>0</v>
      </c>
      <c r="F153" s="68">
        <f>IFERROR(VLOOKUP($A153,GanttChart!$A:$JD,263,FALSE),0)</f>
        <v>0</v>
      </c>
      <c r="G153" s="69">
        <f>IFERROR(VLOOKUP($A153,GanttChart!$A:$JD,264,FALSE),0)</f>
        <v>0</v>
      </c>
      <c r="H153" s="70"/>
      <c r="I153" s="69">
        <f t="shared" si="0"/>
        <v>0</v>
      </c>
    </row>
    <row r="154" spans="1:9" ht="14.25" hidden="1">
      <c r="A154" s="62">
        <v>7.19</v>
      </c>
      <c r="C154" s="67" t="str">
        <f>IFERROR(VLOOKUP($A154,GanttChart!$A:$JD,2,FALSE),"خطا")</f>
        <v>خطا</v>
      </c>
      <c r="D154" s="68">
        <f>IFERROR(VLOOKUP($A154,GanttChart!$A:$JD,261,FALSE),0)</f>
        <v>0</v>
      </c>
      <c r="E154" s="68">
        <f>IFERROR(VLOOKUP($A154,GanttChart!$A:$JD,262,FALSE),0)</f>
        <v>0</v>
      </c>
      <c r="F154" s="68">
        <f>IFERROR(VLOOKUP($A154,GanttChart!$A:$JD,263,FALSE),0)</f>
        <v>0</v>
      </c>
      <c r="G154" s="69">
        <f>IFERROR(VLOOKUP($A154,GanttChart!$A:$JD,264,FALSE),0)</f>
        <v>0</v>
      </c>
      <c r="H154" s="70"/>
      <c r="I154" s="69">
        <f t="shared" si="0"/>
        <v>0</v>
      </c>
    </row>
    <row r="155" spans="1:9" ht="14.25" hidden="1">
      <c r="A155" s="62">
        <v>7.21</v>
      </c>
      <c r="C155" s="67" t="str">
        <f>IFERROR(VLOOKUP($A155,GanttChart!$A:$JD,2,FALSE),"خطا")</f>
        <v>خطا</v>
      </c>
      <c r="D155" s="68">
        <f>IFERROR(VLOOKUP($A155,GanttChart!$A:$JD,261,FALSE),0)</f>
        <v>0</v>
      </c>
      <c r="E155" s="68">
        <f>IFERROR(VLOOKUP($A155,GanttChart!$A:$JD,262,FALSE),0)</f>
        <v>0</v>
      </c>
      <c r="F155" s="68">
        <f>IFERROR(VLOOKUP($A155,GanttChart!$A:$JD,263,FALSE),0)</f>
        <v>0</v>
      </c>
      <c r="G155" s="69">
        <f>IFERROR(VLOOKUP($A155,GanttChart!$A:$JD,264,FALSE),0)</f>
        <v>0</v>
      </c>
      <c r="H155" s="70"/>
      <c r="I155" s="69">
        <f t="shared" si="0"/>
        <v>0</v>
      </c>
    </row>
    <row r="156" spans="1:9" ht="14.25" hidden="1">
      <c r="A156" s="62">
        <v>7.22</v>
      </c>
      <c r="C156" s="67" t="str">
        <f>IFERROR(VLOOKUP($A156,GanttChart!$A:$JD,2,FALSE),"خطا")</f>
        <v>خطا</v>
      </c>
      <c r="D156" s="68">
        <f>IFERROR(VLOOKUP($A156,GanttChart!$A:$JD,261,FALSE),0)</f>
        <v>0</v>
      </c>
      <c r="E156" s="68">
        <f>IFERROR(VLOOKUP($A156,GanttChart!$A:$JD,262,FALSE),0)</f>
        <v>0</v>
      </c>
      <c r="F156" s="68">
        <f>IFERROR(VLOOKUP($A156,GanttChart!$A:$JD,263,FALSE),0)</f>
        <v>0</v>
      </c>
      <c r="G156" s="69">
        <f>IFERROR(VLOOKUP($A156,GanttChart!$A:$JD,264,FALSE),0)</f>
        <v>0</v>
      </c>
      <c r="H156" s="70"/>
      <c r="I156" s="69">
        <f t="shared" si="0"/>
        <v>0</v>
      </c>
    </row>
    <row r="157" spans="1:9" ht="14.25" hidden="1">
      <c r="A157" s="62">
        <v>7.23</v>
      </c>
      <c r="C157" s="67" t="str">
        <f>IFERROR(VLOOKUP($A157,GanttChart!$A:$JD,2,FALSE),"خطا")</f>
        <v>خطا</v>
      </c>
      <c r="D157" s="68">
        <f>IFERROR(VLOOKUP($A157,GanttChart!$A:$JD,261,FALSE),0)</f>
        <v>0</v>
      </c>
      <c r="E157" s="68">
        <f>IFERROR(VLOOKUP($A157,GanttChart!$A:$JD,262,FALSE),0)</f>
        <v>0</v>
      </c>
      <c r="F157" s="68">
        <f>IFERROR(VLOOKUP($A157,GanttChart!$A:$JD,263,FALSE),0)</f>
        <v>0</v>
      </c>
      <c r="G157" s="69">
        <f>IFERROR(VLOOKUP($A157,GanttChart!$A:$JD,264,FALSE),0)</f>
        <v>0</v>
      </c>
      <c r="H157" s="70"/>
      <c r="I157" s="69">
        <f t="shared" si="0"/>
        <v>0</v>
      </c>
    </row>
    <row r="158" spans="1:9" ht="14.25">
      <c r="A158" s="62">
        <v>8</v>
      </c>
      <c r="C158" s="67" t="str">
        <f>IFERROR(VLOOKUP($A158,GanttChart!$A:$JD,2,FALSE),"خطا")</f>
        <v>تحویل نهايي دستاوردهای پروژه</v>
      </c>
      <c r="D158" s="68">
        <f>SUM(D159:D179)</f>
        <v>0</v>
      </c>
      <c r="E158" s="68">
        <f>SUM(E159:E179)</f>
        <v>0</v>
      </c>
      <c r="F158" s="68">
        <f>SUM(F159:F179)</f>
        <v>0</v>
      </c>
      <c r="G158" s="69">
        <f>SUM(G159:G179)</f>
        <v>0</v>
      </c>
      <c r="H158" s="167">
        <v>1</v>
      </c>
      <c r="I158" s="69">
        <f t="shared" si="0"/>
        <v>0</v>
      </c>
    </row>
    <row r="159" spans="1:9" ht="14.25" hidden="1">
      <c r="A159" s="62">
        <v>8.1</v>
      </c>
      <c r="C159" s="67" t="str">
        <f>IFERROR(VLOOKUP($A159,GanttChart!$A:$JD,2,FALSE),"خطا")</f>
        <v>تنظیم و امضاء صورت جلسه تحویل پروژه</v>
      </c>
      <c r="D159" s="68">
        <f>IFERROR(VLOOKUP($A159,GanttChart!$A:$JD,261,FALSE),0)</f>
        <v>0</v>
      </c>
      <c r="E159" s="68">
        <f>IFERROR(VLOOKUP($A159,GanttChart!$A:$JD,262,FALSE),0)</f>
        <v>0</v>
      </c>
      <c r="F159" s="68">
        <f>IFERROR(VLOOKUP($A159,GanttChart!$A:$JD,263,FALSE),0)</f>
        <v>0</v>
      </c>
      <c r="G159" s="69">
        <f>IFERROR(VLOOKUP($A159,GanttChart!$A:$JD,264,FALSE),0)</f>
        <v>0</v>
      </c>
      <c r="H159" s="70"/>
      <c r="I159" s="69">
        <f t="shared" si="0"/>
        <v>0</v>
      </c>
    </row>
    <row r="160" spans="1:9" ht="14.25" hidden="1">
      <c r="A160" s="62">
        <v>8.1999999999999993</v>
      </c>
      <c r="C160" s="67" t="str">
        <f>IFERROR(VLOOKUP($A160,GanttChart!$A:$JD,2,FALSE),"خطا")</f>
        <v>انتقال پورتال به دامنه اصلی کارفرما</v>
      </c>
      <c r="D160" s="68">
        <f>IFERROR(VLOOKUP($A160,GanttChart!$A:$JD,261,FALSE),0)</f>
        <v>0</v>
      </c>
      <c r="E160" s="68">
        <f>IFERROR(VLOOKUP($A160,GanttChart!$A:$JD,262,FALSE),0)</f>
        <v>0</v>
      </c>
      <c r="F160" s="68">
        <f>IFERROR(VLOOKUP($A160,GanttChart!$A:$JD,263,FALSE),0)</f>
        <v>0</v>
      </c>
      <c r="G160" s="69">
        <f>IFERROR(VLOOKUP($A160,GanttChart!$A:$JD,264,FALSE),0)</f>
        <v>0</v>
      </c>
      <c r="H160" s="70"/>
      <c r="I160" s="69">
        <f t="shared" si="0"/>
        <v>0</v>
      </c>
    </row>
    <row r="161" spans="1:9" ht="14.25" hidden="1">
      <c r="A161" s="73">
        <v>8.3000000000000007</v>
      </c>
      <c r="C161" s="67" t="str">
        <f>IFERROR(VLOOKUP($A161,GanttChart!$A:$JD,2,FALSE),"خطا")</f>
        <v>خطا</v>
      </c>
      <c r="D161" s="68">
        <f>IFERROR(VLOOKUP($A161,GanttChart!$A:$JD,261,FALSE),0)</f>
        <v>0</v>
      </c>
      <c r="E161" s="68">
        <f>IFERROR(VLOOKUP($A161,GanttChart!$A:$JD,262,FALSE),0)</f>
        <v>0</v>
      </c>
      <c r="F161" s="68">
        <f>IFERROR(VLOOKUP($A161,GanttChart!$A:$JD,263,FALSE),0)</f>
        <v>0</v>
      </c>
      <c r="G161" s="69">
        <f>IFERROR(VLOOKUP($A161,GanttChart!$A:$JD,264,FALSE),0)</f>
        <v>0</v>
      </c>
      <c r="H161" s="74"/>
      <c r="I161" s="69">
        <f t="shared" ref="I161:I179" si="1">G161-(H161*G161)</f>
        <v>0</v>
      </c>
    </row>
    <row r="162" spans="1:9" ht="14.25" hidden="1">
      <c r="A162" s="73">
        <v>8.4</v>
      </c>
      <c r="C162" s="67" t="str">
        <f>IFERROR(VLOOKUP($A162,GanttChart!$A:$JD,2,FALSE),"خطا")</f>
        <v>خطا</v>
      </c>
      <c r="D162" s="68">
        <f>IFERROR(VLOOKUP($A162,GanttChart!$A:$JD,261,FALSE),0)</f>
        <v>0</v>
      </c>
      <c r="E162" s="68">
        <f>IFERROR(VLOOKUP($A162,GanttChart!$A:$JD,262,FALSE),0)</f>
        <v>0</v>
      </c>
      <c r="F162" s="68">
        <f>IFERROR(VLOOKUP($A162,GanttChart!$A:$JD,263,FALSE),0)</f>
        <v>0</v>
      </c>
      <c r="G162" s="69">
        <f>IFERROR(VLOOKUP($A162,GanttChart!$A:$JD,264,FALSE),0)</f>
        <v>0</v>
      </c>
      <c r="H162" s="74"/>
      <c r="I162" s="69">
        <f t="shared" si="1"/>
        <v>0</v>
      </c>
    </row>
    <row r="163" spans="1:9" ht="14.25" hidden="1">
      <c r="A163" s="62">
        <v>8.5</v>
      </c>
      <c r="C163" s="67" t="str">
        <f>IFERROR(VLOOKUP($A163,GanttChart!$A:$JD,2,FALSE),"خطا")</f>
        <v>خطا</v>
      </c>
      <c r="D163" s="68">
        <f>IFERROR(VLOOKUP($A163,GanttChart!$A:$JD,261,FALSE),0)</f>
        <v>0</v>
      </c>
      <c r="E163" s="68">
        <f>IFERROR(VLOOKUP($A163,GanttChart!$A:$JD,262,FALSE),0)</f>
        <v>0</v>
      </c>
      <c r="F163" s="68">
        <f>IFERROR(VLOOKUP($A163,GanttChart!$A:$JD,263,FALSE),0)</f>
        <v>0</v>
      </c>
      <c r="G163" s="69">
        <f>IFERROR(VLOOKUP($A163,GanttChart!$A:$JD,264,FALSE),0)</f>
        <v>0</v>
      </c>
      <c r="H163" s="74"/>
      <c r="I163" s="69">
        <f t="shared" si="1"/>
        <v>0</v>
      </c>
    </row>
    <row r="164" spans="1:9" ht="14.25" hidden="1">
      <c r="A164" s="73">
        <v>8.6</v>
      </c>
      <c r="C164" s="67" t="str">
        <f>IFERROR(VLOOKUP($A164,GanttChart!$A:$JD,2,FALSE),"خطا")</f>
        <v>خطا</v>
      </c>
      <c r="D164" s="68">
        <f>IFERROR(VLOOKUP($A164,GanttChart!$A:$JD,261,FALSE),0)</f>
        <v>0</v>
      </c>
      <c r="E164" s="68">
        <f>IFERROR(VLOOKUP($A164,GanttChart!$A:$JD,262,FALSE),0)</f>
        <v>0</v>
      </c>
      <c r="F164" s="68">
        <f>IFERROR(VLOOKUP($A164,GanttChart!$A:$JD,263,FALSE),0)</f>
        <v>0</v>
      </c>
      <c r="G164" s="69">
        <f>IFERROR(VLOOKUP($A164,GanttChart!$A:$JD,264,FALSE),0)</f>
        <v>0</v>
      </c>
      <c r="H164" s="74"/>
      <c r="I164" s="69">
        <f t="shared" si="1"/>
        <v>0</v>
      </c>
    </row>
    <row r="165" spans="1:9" ht="14.25" hidden="1">
      <c r="A165" s="73">
        <v>8.7000000000000099</v>
      </c>
      <c r="C165" s="67" t="str">
        <f>IFERROR(VLOOKUP($A165,GanttChart!$A:$JD,2,FALSE),"خطا")</f>
        <v>خطا</v>
      </c>
      <c r="D165" s="68">
        <f>IFERROR(VLOOKUP($A165,GanttChart!$A:$JD,261,FALSE),0)</f>
        <v>0</v>
      </c>
      <c r="E165" s="68">
        <f>IFERROR(VLOOKUP($A165,GanttChart!$A:$JD,262,FALSE),0)</f>
        <v>0</v>
      </c>
      <c r="F165" s="68">
        <f>IFERROR(VLOOKUP($A165,GanttChart!$A:$JD,263,FALSE),0)</f>
        <v>0</v>
      </c>
      <c r="G165" s="69">
        <f>IFERROR(VLOOKUP($A165,GanttChart!$A:$JD,264,FALSE),0)</f>
        <v>0</v>
      </c>
      <c r="H165" s="74"/>
      <c r="I165" s="69">
        <f t="shared" si="1"/>
        <v>0</v>
      </c>
    </row>
    <row r="166" spans="1:9" ht="14.25" hidden="1">
      <c r="A166" s="62">
        <v>8.8000000000000096</v>
      </c>
      <c r="C166" s="67" t="str">
        <f>IFERROR(VLOOKUP($A166,GanttChart!$A:$JD,2,FALSE),"خطا")</f>
        <v>خطا</v>
      </c>
      <c r="D166" s="68">
        <f>IFERROR(VLOOKUP($A166,GanttChart!$A:$JD,261,FALSE),0)</f>
        <v>0</v>
      </c>
      <c r="E166" s="68">
        <f>IFERROR(VLOOKUP($A166,GanttChart!$A:$JD,262,FALSE),0)</f>
        <v>0</v>
      </c>
      <c r="F166" s="68">
        <f>IFERROR(VLOOKUP($A166,GanttChart!$A:$JD,263,FALSE),0)</f>
        <v>0</v>
      </c>
      <c r="G166" s="69">
        <f>IFERROR(VLOOKUP($A166,GanttChart!$A:$JD,264,FALSE),0)</f>
        <v>0</v>
      </c>
      <c r="H166" s="74"/>
      <c r="I166" s="69">
        <f t="shared" si="1"/>
        <v>0</v>
      </c>
    </row>
    <row r="167" spans="1:9" ht="14.25" hidden="1">
      <c r="A167" s="73">
        <v>8.9000000000000092</v>
      </c>
      <c r="C167" s="67" t="str">
        <f>IFERROR(VLOOKUP($A167,GanttChart!$A:$JD,2,FALSE),"خطا")</f>
        <v>خطا</v>
      </c>
      <c r="D167" s="68">
        <f>IFERROR(VLOOKUP($A167,GanttChart!$A:$JD,261,FALSE),0)</f>
        <v>0</v>
      </c>
      <c r="E167" s="68">
        <f>IFERROR(VLOOKUP($A167,GanttChart!$A:$JD,262,FALSE),0)</f>
        <v>0</v>
      </c>
      <c r="F167" s="68">
        <f>IFERROR(VLOOKUP($A167,GanttChart!$A:$JD,263,FALSE),0)</f>
        <v>0</v>
      </c>
      <c r="G167" s="69">
        <f>IFERROR(VLOOKUP($A167,GanttChart!$A:$JD,264,FALSE),0)</f>
        <v>0</v>
      </c>
      <c r="H167" s="74"/>
      <c r="I167" s="69">
        <f t="shared" si="1"/>
        <v>0</v>
      </c>
    </row>
    <row r="168" spans="1:9" ht="14.25" hidden="1">
      <c r="A168" s="73">
        <v>8.11</v>
      </c>
      <c r="C168" s="67" t="str">
        <f>IFERROR(VLOOKUP($A168,GanttChart!$A:$JD,2,FALSE),"خطا")</f>
        <v>خطا</v>
      </c>
      <c r="D168" s="68">
        <f>IFERROR(VLOOKUP($A168,GanttChart!$A:$JD,261,FALSE),0)</f>
        <v>0</v>
      </c>
      <c r="E168" s="68">
        <f>IFERROR(VLOOKUP($A168,GanttChart!$A:$JD,262,FALSE),0)</f>
        <v>0</v>
      </c>
      <c r="F168" s="68">
        <f>IFERROR(VLOOKUP($A168,GanttChart!$A:$JD,263,FALSE),0)</f>
        <v>0</v>
      </c>
      <c r="G168" s="69">
        <f>IFERROR(VLOOKUP($A168,GanttChart!$A:$JD,264,FALSE),0)</f>
        <v>0</v>
      </c>
      <c r="H168" s="74"/>
      <c r="I168" s="69">
        <f t="shared" si="1"/>
        <v>0</v>
      </c>
    </row>
    <row r="169" spans="1:9" ht="14.25" hidden="1">
      <c r="A169" s="73">
        <v>8.1199999999999992</v>
      </c>
      <c r="C169" s="67" t="str">
        <f>IFERROR(VLOOKUP($A169,GanttChart!$A:$JD,2,FALSE),"خطا")</f>
        <v>خطا</v>
      </c>
      <c r="D169" s="68">
        <f>IFERROR(VLOOKUP($A169,GanttChart!$A:$JD,261,FALSE),0)</f>
        <v>0</v>
      </c>
      <c r="E169" s="68">
        <f>IFERROR(VLOOKUP($A169,GanttChart!$A:$JD,262,FALSE),0)</f>
        <v>0</v>
      </c>
      <c r="F169" s="68">
        <f>IFERROR(VLOOKUP($A169,GanttChart!$A:$JD,263,FALSE),0)</f>
        <v>0</v>
      </c>
      <c r="G169" s="69">
        <f>IFERROR(VLOOKUP($A169,GanttChart!$A:$JD,264,FALSE),0)</f>
        <v>0</v>
      </c>
      <c r="H169" s="74"/>
      <c r="I169" s="69">
        <f t="shared" si="1"/>
        <v>0</v>
      </c>
    </row>
    <row r="170" spans="1:9" ht="14.25" hidden="1">
      <c r="A170" s="73">
        <v>8.1300000000000008</v>
      </c>
      <c r="C170" s="67" t="str">
        <f>IFERROR(VLOOKUP($A170,GanttChart!$A:$JD,2,FALSE),"خطا")</f>
        <v>خطا</v>
      </c>
      <c r="D170" s="68">
        <f>IFERROR(VLOOKUP($A170,GanttChart!$A:$JD,261,FALSE),0)</f>
        <v>0</v>
      </c>
      <c r="E170" s="68">
        <f>IFERROR(VLOOKUP($A170,GanttChart!$A:$JD,262,FALSE),0)</f>
        <v>0</v>
      </c>
      <c r="F170" s="68">
        <f>IFERROR(VLOOKUP($A170,GanttChart!$A:$JD,263,FALSE),0)</f>
        <v>0</v>
      </c>
      <c r="G170" s="69">
        <f>IFERROR(VLOOKUP($A170,GanttChart!$A:$JD,264,FALSE),0)</f>
        <v>0</v>
      </c>
      <c r="H170" s="74"/>
      <c r="I170" s="69">
        <f t="shared" si="1"/>
        <v>0</v>
      </c>
    </row>
    <row r="171" spans="1:9" ht="14.25" hidden="1">
      <c r="A171" s="73">
        <v>8.14</v>
      </c>
      <c r="C171" s="67" t="str">
        <f>IFERROR(VLOOKUP($A171,GanttChart!$A:$JD,2,FALSE),"خطا")</f>
        <v>خطا</v>
      </c>
      <c r="D171" s="68">
        <f>IFERROR(VLOOKUP($A171,GanttChart!$A:$JD,261,FALSE),0)</f>
        <v>0</v>
      </c>
      <c r="E171" s="68">
        <f>IFERROR(VLOOKUP($A171,GanttChart!$A:$JD,262,FALSE),0)</f>
        <v>0</v>
      </c>
      <c r="F171" s="68">
        <f>IFERROR(VLOOKUP($A171,GanttChart!$A:$JD,263,FALSE),0)</f>
        <v>0</v>
      </c>
      <c r="G171" s="69">
        <f>IFERROR(VLOOKUP($A171,GanttChart!$A:$JD,264,FALSE),0)</f>
        <v>0</v>
      </c>
      <c r="H171" s="74"/>
      <c r="I171" s="69">
        <f t="shared" si="1"/>
        <v>0</v>
      </c>
    </row>
    <row r="172" spans="1:9" ht="14.25" hidden="1">
      <c r="A172" s="73">
        <v>8.15</v>
      </c>
      <c r="C172" s="67" t="str">
        <f>IFERROR(VLOOKUP($A172,GanttChart!$A:$JD,2,FALSE),"خطا")</f>
        <v>خطا</v>
      </c>
      <c r="D172" s="68">
        <f>IFERROR(VLOOKUP($A172,GanttChart!$A:$JD,261,FALSE),0)</f>
        <v>0</v>
      </c>
      <c r="E172" s="68">
        <f>IFERROR(VLOOKUP($A172,GanttChart!$A:$JD,262,FALSE),0)</f>
        <v>0</v>
      </c>
      <c r="F172" s="68">
        <f>IFERROR(VLOOKUP($A172,GanttChart!$A:$JD,263,FALSE),0)</f>
        <v>0</v>
      </c>
      <c r="G172" s="69">
        <f>IFERROR(VLOOKUP($A172,GanttChart!$A:$JD,264,FALSE),0)</f>
        <v>0</v>
      </c>
      <c r="H172" s="74"/>
      <c r="I172" s="69">
        <f t="shared" si="1"/>
        <v>0</v>
      </c>
    </row>
    <row r="173" spans="1:9" ht="14.25" hidden="1">
      <c r="A173" s="73">
        <v>8.16</v>
      </c>
      <c r="C173" s="67" t="str">
        <f>IFERROR(VLOOKUP($A173,GanttChart!$A:$JD,2,FALSE),"خطا")</f>
        <v>خطا</v>
      </c>
      <c r="D173" s="68">
        <f>IFERROR(VLOOKUP($A173,GanttChart!$A:$JD,261,FALSE),0)</f>
        <v>0</v>
      </c>
      <c r="E173" s="68">
        <f>IFERROR(VLOOKUP($A173,GanttChart!$A:$JD,262,FALSE),0)</f>
        <v>0</v>
      </c>
      <c r="F173" s="68">
        <f>IFERROR(VLOOKUP($A173,GanttChart!$A:$JD,263,FALSE),0)</f>
        <v>0</v>
      </c>
      <c r="G173" s="69">
        <f>IFERROR(VLOOKUP($A173,GanttChart!$A:$JD,264,FALSE),0)</f>
        <v>0</v>
      </c>
      <c r="H173" s="74"/>
      <c r="I173" s="69">
        <f t="shared" si="1"/>
        <v>0</v>
      </c>
    </row>
    <row r="174" spans="1:9" ht="14.25" hidden="1">
      <c r="A174" s="73">
        <v>8.17</v>
      </c>
      <c r="C174" s="67" t="str">
        <f>IFERROR(VLOOKUP($A174,GanttChart!$A:$JD,2,FALSE),"خطا")</f>
        <v>خطا</v>
      </c>
      <c r="D174" s="68">
        <f>IFERROR(VLOOKUP($A174,GanttChart!$A:$JD,261,FALSE),0)</f>
        <v>0</v>
      </c>
      <c r="E174" s="68">
        <f>IFERROR(VLOOKUP($A174,GanttChart!$A:$JD,262,FALSE),0)</f>
        <v>0</v>
      </c>
      <c r="F174" s="68">
        <f>IFERROR(VLOOKUP($A174,GanttChart!$A:$JD,263,FALSE),0)</f>
        <v>0</v>
      </c>
      <c r="G174" s="69">
        <f>IFERROR(VLOOKUP($A174,GanttChart!$A:$JD,264,FALSE),0)</f>
        <v>0</v>
      </c>
      <c r="H174" s="74"/>
      <c r="I174" s="69">
        <f t="shared" si="1"/>
        <v>0</v>
      </c>
    </row>
    <row r="175" spans="1:9" ht="14.25" hidden="1">
      <c r="A175" s="73">
        <v>8.18</v>
      </c>
      <c r="C175" s="67" t="str">
        <f>IFERROR(VLOOKUP($A175,GanttChart!$A:$JD,2,FALSE),"خطا")</f>
        <v>خطا</v>
      </c>
      <c r="D175" s="68">
        <f>IFERROR(VLOOKUP($A175,GanttChart!$A:$JD,261,FALSE),0)</f>
        <v>0</v>
      </c>
      <c r="E175" s="68">
        <f>IFERROR(VLOOKUP($A175,GanttChart!$A:$JD,262,FALSE),0)</f>
        <v>0</v>
      </c>
      <c r="F175" s="68">
        <f>IFERROR(VLOOKUP($A175,GanttChart!$A:$JD,263,FALSE),0)</f>
        <v>0</v>
      </c>
      <c r="G175" s="69">
        <f>IFERROR(VLOOKUP($A175,GanttChart!$A:$JD,264,FALSE),0)</f>
        <v>0</v>
      </c>
      <c r="H175" s="74"/>
      <c r="I175" s="69">
        <f t="shared" si="1"/>
        <v>0</v>
      </c>
    </row>
    <row r="176" spans="1:9" ht="14.25" hidden="1">
      <c r="A176" s="73">
        <v>8.19</v>
      </c>
      <c r="C176" s="67" t="str">
        <f>IFERROR(VLOOKUP($A176,GanttChart!$A:$JD,2,FALSE),"خطا")</f>
        <v>خطا</v>
      </c>
      <c r="D176" s="68">
        <f>IFERROR(VLOOKUP($A176,GanttChart!$A:$JD,261,FALSE),0)</f>
        <v>0</v>
      </c>
      <c r="E176" s="68">
        <f>IFERROR(VLOOKUP($A176,GanttChart!$A:$JD,262,FALSE),0)</f>
        <v>0</v>
      </c>
      <c r="F176" s="68">
        <f>IFERROR(VLOOKUP($A176,GanttChart!$A:$JD,263,FALSE),0)</f>
        <v>0</v>
      </c>
      <c r="G176" s="69">
        <f>IFERROR(VLOOKUP($A176,GanttChart!$A:$JD,264,FALSE),0)</f>
        <v>0</v>
      </c>
      <c r="H176" s="74"/>
      <c r="I176" s="69">
        <f t="shared" si="1"/>
        <v>0</v>
      </c>
    </row>
    <row r="177" spans="1:9" ht="14.25" hidden="1">
      <c r="A177" s="73">
        <v>8.2100000000000009</v>
      </c>
      <c r="C177" s="67" t="str">
        <f>IFERROR(VLOOKUP($A177,GanttChart!$A:$JD,2,FALSE),"خطا")</f>
        <v>خطا</v>
      </c>
      <c r="D177" s="68">
        <f>IFERROR(VLOOKUP($A177,GanttChart!$A:$JD,261,FALSE),0)</f>
        <v>0</v>
      </c>
      <c r="E177" s="68">
        <f>IFERROR(VLOOKUP($A177,GanttChart!$A:$JD,262,FALSE),0)</f>
        <v>0</v>
      </c>
      <c r="F177" s="68">
        <f>IFERROR(VLOOKUP($A177,GanttChart!$A:$JD,263,FALSE),0)</f>
        <v>0</v>
      </c>
      <c r="G177" s="69">
        <f>IFERROR(VLOOKUP($A177,GanttChart!$A:$JD,264,FALSE),0)</f>
        <v>0</v>
      </c>
      <c r="H177" s="74"/>
      <c r="I177" s="69">
        <f t="shared" si="1"/>
        <v>0</v>
      </c>
    </row>
    <row r="178" spans="1:9" ht="14.25" hidden="1">
      <c r="A178" s="73">
        <v>8.2200000000000006</v>
      </c>
      <c r="C178" s="67" t="str">
        <f>IFERROR(VLOOKUP($A178,GanttChart!$A:$JD,2,FALSE),"خطا")</f>
        <v>خطا</v>
      </c>
      <c r="D178" s="68">
        <f>IFERROR(VLOOKUP($A178,GanttChart!$A:$JD,261,FALSE),0)</f>
        <v>0</v>
      </c>
      <c r="E178" s="68">
        <f>IFERROR(VLOOKUP($A178,GanttChart!$A:$JD,262,FALSE),0)</f>
        <v>0</v>
      </c>
      <c r="F178" s="68">
        <f>IFERROR(VLOOKUP($A178,GanttChart!$A:$JD,263,FALSE),0)</f>
        <v>0</v>
      </c>
      <c r="G178" s="69">
        <f>IFERROR(VLOOKUP($A178,GanttChart!$A:$JD,264,FALSE),0)</f>
        <v>0</v>
      </c>
      <c r="H178" s="74"/>
      <c r="I178" s="69">
        <f t="shared" si="1"/>
        <v>0</v>
      </c>
    </row>
    <row r="179" spans="1:9" ht="14.25" hidden="1">
      <c r="A179" s="73">
        <v>8.23</v>
      </c>
      <c r="C179" s="77" t="str">
        <f>IFERROR(VLOOKUP($A179,GanttChart!$A:$JD,2,FALSE),"خطا")</f>
        <v>خطا</v>
      </c>
      <c r="D179" s="78">
        <f>IFERROR(VLOOKUP($A179,GanttChart!$A:$JD,261,FALSE),0)</f>
        <v>0</v>
      </c>
      <c r="E179" s="78">
        <f>IFERROR(VLOOKUP($A179,GanttChart!$A:$JD,262,FALSE),0)</f>
        <v>0</v>
      </c>
      <c r="F179" s="78">
        <f>IFERROR(VLOOKUP($A179,GanttChart!$A:$JD,263,FALSE),0)</f>
        <v>0</v>
      </c>
      <c r="G179" s="75">
        <f>IFERROR(VLOOKUP($A179,GanttChart!$A:$JD,264,FALSE),0)</f>
        <v>0</v>
      </c>
      <c r="H179" s="74"/>
      <c r="I179" s="75">
        <f t="shared" si="1"/>
        <v>0</v>
      </c>
    </row>
    <row r="180" spans="1:9" ht="15">
      <c r="A180" s="82">
        <v>10</v>
      </c>
      <c r="C180" s="79" t="s">
        <v>51</v>
      </c>
      <c r="D180" s="80">
        <f>SUM(D4,D26,D48,D70,D92,D114,D136,D158)</f>
        <v>0</v>
      </c>
      <c r="E180" s="80">
        <f>SUM(E4,E26,E48,E70,E92,F114,F136,F158)</f>
        <v>0</v>
      </c>
      <c r="F180" s="80">
        <f>SUM(F4,F26,F48,F70,F92,F114,F136,F158)</f>
        <v>0</v>
      </c>
      <c r="G180" s="76">
        <f>SUM(G4,G26,G48,G70,G92,G114,G136,G158)</f>
        <v>0</v>
      </c>
      <c r="H180" s="81"/>
      <c r="I180" s="76" t="e">
        <f>SUM(I4,I26,I48,I70,I92,I114,I136,I158)</f>
        <v>#DIV/0!</v>
      </c>
    </row>
  </sheetData>
  <sheetProtection algorithmName="SHA-512" hashValue="sRy+B+P6ntOBVIXzsbqnWDFK+Zf68XZBt8Rgwb9VaLD6zHoCKNiyiWS5WK6EGg/DagW+5GqF6SUDyHCNLowfZg==" saltValue="V1kJdvDvREK39+q/ddYGmg==" spinCount="100000" sheet="1" objects="1" scenarios="1" selectLockedCells="1"/>
  <autoFilter ref="A1:I180">
    <filterColumn colId="0">
      <filters blank="1">
        <filter val="1"/>
        <filter val="10"/>
        <filter val="2"/>
        <filter val="3"/>
        <filter val="4"/>
        <filter val="5"/>
        <filter val="6"/>
        <filter val="7"/>
        <filter val="8"/>
        <filter val="WBS"/>
      </filters>
    </filterColumn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</autoFilter>
  <mergeCells count="8">
    <mergeCell ref="B1:I1"/>
    <mergeCell ref="A2:A3"/>
    <mergeCell ref="B2:B3"/>
    <mergeCell ref="C2:C3"/>
    <mergeCell ref="D2:F2"/>
    <mergeCell ref="G2:G3"/>
    <mergeCell ref="H2:H3"/>
    <mergeCell ref="I2:I3"/>
  </mergeCells>
  <pageMargins left="0.27559055118110237" right="0.27559055118110237" top="0.74803149606299213" bottom="0.74803149606299213" header="0.31496062992125984" footer="0.31496062992125984"/>
  <pageSetup paperSize="9" scale="85" orientation="portrait" r:id="rId1"/>
  <headerFooter>
    <oddHeader>&amp;C&amp;"B Mitra,پررنگ"&amp;12پیوست شماره 1</oddHeader>
  </headerFooter>
  <ignoredErrors>
    <ignoredError sqref="D26:G158 E180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ه5"/>
  <dimension ref="A1:F54"/>
  <sheetViews>
    <sheetView rightToLeft="1" workbookViewId="0">
      <selection activeCell="A12" sqref="A12"/>
    </sheetView>
  </sheetViews>
  <sheetFormatPr defaultRowHeight="12.75"/>
  <cols>
    <col min="2" max="2" width="19.5703125" bestFit="1" customWidth="1"/>
    <col min="3" max="3" width="19.5703125" customWidth="1"/>
    <col min="4" max="4" width="10.42578125" customWidth="1"/>
    <col min="5" max="5" width="15" customWidth="1"/>
    <col min="6" max="6" width="39.7109375" bestFit="1" customWidth="1"/>
  </cols>
  <sheetData>
    <row r="1" spans="1:6" ht="15">
      <c r="A1" s="9" t="s">
        <v>34</v>
      </c>
      <c r="B1" s="9" t="s">
        <v>38</v>
      </c>
      <c r="C1" s="9" t="s">
        <v>37</v>
      </c>
      <c r="D1" s="9" t="s">
        <v>35</v>
      </c>
      <c r="E1" s="9" t="s">
        <v>36</v>
      </c>
      <c r="F1" s="9" t="s">
        <v>11</v>
      </c>
    </row>
    <row r="2" spans="1:6" ht="15">
      <c r="A2" s="10" t="s">
        <v>75</v>
      </c>
      <c r="B2" s="10" t="str">
        <f t="shared" ref="B2:B27" si="0">LEFT(A2,4)</f>
        <v>1398</v>
      </c>
      <c r="C2" s="10" t="str">
        <f t="shared" ref="C2:C27" si="1">MID(A2,6,2)</f>
        <v>01</v>
      </c>
      <c r="D2" s="10">
        <v>1</v>
      </c>
      <c r="E2" s="9" t="str">
        <f>IF(j_WEEKDAY(A2)=6,1,"")</f>
        <v/>
      </c>
      <c r="F2" s="11" t="s">
        <v>12</v>
      </c>
    </row>
    <row r="3" spans="1:6" ht="15">
      <c r="A3" s="10" t="s">
        <v>76</v>
      </c>
      <c r="B3" s="10" t="str">
        <f t="shared" si="0"/>
        <v>1398</v>
      </c>
      <c r="C3" s="10" t="str">
        <f t="shared" si="1"/>
        <v>01</v>
      </c>
      <c r="D3" s="10">
        <v>1</v>
      </c>
      <c r="E3" s="9">
        <f>IF(j_WEEKDAY(A3)=6,1,"")</f>
        <v>1</v>
      </c>
      <c r="F3" s="11" t="s">
        <v>12</v>
      </c>
    </row>
    <row r="4" spans="1:6" ht="15">
      <c r="A4" s="10" t="s">
        <v>77</v>
      </c>
      <c r="B4" s="10" t="str">
        <f t="shared" si="0"/>
        <v>1398</v>
      </c>
      <c r="C4" s="10" t="str">
        <f t="shared" si="1"/>
        <v>01</v>
      </c>
      <c r="D4" s="10">
        <v>1</v>
      </c>
      <c r="E4" s="9" t="str">
        <f>IF(j_WEEKDAY(A4)=6,1,"")</f>
        <v/>
      </c>
      <c r="F4" s="11" t="s">
        <v>12</v>
      </c>
    </row>
    <row r="5" spans="1:6" ht="15">
      <c r="A5" s="10" t="s">
        <v>78</v>
      </c>
      <c r="B5" s="10" t="str">
        <f t="shared" si="0"/>
        <v>1398</v>
      </c>
      <c r="C5" s="10" t="str">
        <f t="shared" si="1"/>
        <v>01</v>
      </c>
      <c r="D5" s="10">
        <v>1</v>
      </c>
      <c r="E5" s="9" t="str">
        <f>IF(j_WEEKDAY(A5)=6,1,"")</f>
        <v/>
      </c>
      <c r="F5" s="11" t="s">
        <v>12</v>
      </c>
    </row>
    <row r="6" spans="1:6" ht="15">
      <c r="A6" s="10" t="s">
        <v>79</v>
      </c>
      <c r="B6" s="10" t="str">
        <f t="shared" si="0"/>
        <v>1398</v>
      </c>
      <c r="C6" s="10" t="str">
        <f t="shared" si="1"/>
        <v>01</v>
      </c>
      <c r="D6" s="10">
        <v>1</v>
      </c>
      <c r="E6" s="9" t="str">
        <f>IF(j_WEEKDAY(A6)=6,1,"")</f>
        <v/>
      </c>
      <c r="F6" s="11" t="s">
        <v>13</v>
      </c>
    </row>
    <row r="7" spans="1:6" ht="15">
      <c r="A7" s="10" t="s">
        <v>80</v>
      </c>
      <c r="B7" s="10" t="str">
        <f t="shared" si="0"/>
        <v>1398</v>
      </c>
      <c r="C7" s="10" t="str">
        <f t="shared" si="1"/>
        <v>01</v>
      </c>
      <c r="D7" s="10">
        <v>1</v>
      </c>
      <c r="E7" s="9" t="str">
        <f>IF(j_WEEKDAY(A7)=6,1,"")</f>
        <v/>
      </c>
      <c r="F7" s="11" t="s">
        <v>14</v>
      </c>
    </row>
    <row r="8" spans="1:6" ht="15">
      <c r="A8" s="10" t="s">
        <v>85</v>
      </c>
      <c r="B8" s="10" t="str">
        <f t="shared" si="0"/>
        <v>1398</v>
      </c>
      <c r="C8" s="10" t="str">
        <f t="shared" si="1"/>
        <v>01</v>
      </c>
      <c r="D8" s="10">
        <v>1</v>
      </c>
      <c r="E8" s="9" t="str">
        <f>IF(j_WEEKDAY(A8)=6,1,"")</f>
        <v/>
      </c>
      <c r="F8" s="11" t="s">
        <v>19</v>
      </c>
    </row>
    <row r="9" spans="1:6" ht="15">
      <c r="A9" s="10" t="s">
        <v>86</v>
      </c>
      <c r="B9" s="10" t="str">
        <f t="shared" si="0"/>
        <v>1398</v>
      </c>
      <c r="C9" s="10" t="str">
        <f t="shared" si="1"/>
        <v>02</v>
      </c>
      <c r="D9" s="10">
        <v>1</v>
      </c>
      <c r="E9" s="9" t="str">
        <f>IF(j_WEEKDAY(A9)=6,1,"")</f>
        <v/>
      </c>
      <c r="F9" s="12" t="s">
        <v>20</v>
      </c>
    </row>
    <row r="10" spans="1:6" ht="15">
      <c r="A10" s="10" t="s">
        <v>87</v>
      </c>
      <c r="B10" s="10" t="str">
        <f t="shared" si="0"/>
        <v>1398</v>
      </c>
      <c r="C10" s="10" t="str">
        <f t="shared" si="1"/>
        <v>03</v>
      </c>
      <c r="D10" s="10">
        <v>1</v>
      </c>
      <c r="E10" s="9" t="str">
        <f>IF(j_WEEKDAY(A10)=6,1,"")</f>
        <v/>
      </c>
      <c r="F10" s="11" t="s">
        <v>21</v>
      </c>
    </row>
    <row r="11" spans="1:6" ht="15">
      <c r="A11" s="10" t="s">
        <v>81</v>
      </c>
      <c r="B11" s="10" t="str">
        <f t="shared" si="0"/>
        <v>1398</v>
      </c>
      <c r="C11" s="10" t="str">
        <f t="shared" si="1"/>
        <v>03</v>
      </c>
      <c r="D11" s="10">
        <v>1</v>
      </c>
      <c r="E11" s="9" t="str">
        <f>IF(j_WEEKDAY(A11)=6,1,"")</f>
        <v/>
      </c>
      <c r="F11" s="11" t="s">
        <v>17</v>
      </c>
    </row>
    <row r="12" spans="1:6" ht="15">
      <c r="A12" s="10" t="s">
        <v>82</v>
      </c>
      <c r="B12" s="10" t="str">
        <f t="shared" si="0"/>
        <v>1398</v>
      </c>
      <c r="C12" s="10" t="str">
        <f t="shared" si="1"/>
        <v>03</v>
      </c>
      <c r="D12" s="10">
        <v>1</v>
      </c>
      <c r="E12" s="9" t="str">
        <f>IF(j_WEEKDAY(A12)=6,1,"")</f>
        <v/>
      </c>
      <c r="F12" s="11" t="s">
        <v>18</v>
      </c>
    </row>
    <row r="13" spans="1:6" ht="15">
      <c r="A13" s="10" t="s">
        <v>88</v>
      </c>
      <c r="B13" s="10" t="str">
        <f t="shared" si="0"/>
        <v>1398</v>
      </c>
      <c r="C13" s="10" t="str">
        <f t="shared" si="1"/>
        <v>03</v>
      </c>
      <c r="D13" s="10">
        <v>1</v>
      </c>
      <c r="E13" s="9" t="str">
        <f>IF(j_WEEKDAY(A13)=6,1,"")</f>
        <v/>
      </c>
      <c r="F13" s="11" t="s">
        <v>22</v>
      </c>
    </row>
    <row r="14" spans="1:6" ht="15">
      <c r="A14" s="10" t="s">
        <v>89</v>
      </c>
      <c r="B14" s="10" t="str">
        <f t="shared" si="0"/>
        <v>1398</v>
      </c>
      <c r="C14" s="10" t="str">
        <f t="shared" si="1"/>
        <v>04</v>
      </c>
      <c r="D14" s="10">
        <v>1</v>
      </c>
      <c r="E14" s="9" t="str">
        <f>IF(j_WEEKDAY(A14)=6,1,"")</f>
        <v/>
      </c>
      <c r="F14" s="11" t="s">
        <v>23</v>
      </c>
    </row>
    <row r="15" spans="1:6" ht="15">
      <c r="A15" s="10" t="s">
        <v>90</v>
      </c>
      <c r="B15" s="10" t="str">
        <f t="shared" si="0"/>
        <v>1398</v>
      </c>
      <c r="C15" s="10" t="str">
        <f t="shared" si="1"/>
        <v>05</v>
      </c>
      <c r="D15" s="10">
        <v>1</v>
      </c>
      <c r="E15" s="9" t="str">
        <f>IF(j_WEEKDAY(A15)=6,1,"")</f>
        <v/>
      </c>
      <c r="F15" s="11" t="s">
        <v>24</v>
      </c>
    </row>
    <row r="16" spans="1:6" ht="15">
      <c r="A16" s="10" t="s">
        <v>91</v>
      </c>
      <c r="B16" s="10" t="str">
        <f t="shared" si="0"/>
        <v>1398</v>
      </c>
      <c r="C16" s="10" t="str">
        <f t="shared" si="1"/>
        <v>05</v>
      </c>
      <c r="D16" s="10">
        <v>1</v>
      </c>
      <c r="E16" s="9" t="str">
        <f>IF(j_WEEKDAY(A16)=6,1,"")</f>
        <v/>
      </c>
      <c r="F16" s="11" t="s">
        <v>25</v>
      </c>
    </row>
    <row r="17" spans="1:6" ht="15">
      <c r="A17" s="10" t="s">
        <v>92</v>
      </c>
      <c r="B17" s="10" t="str">
        <f t="shared" si="0"/>
        <v>1398</v>
      </c>
      <c r="C17" s="10" t="str">
        <f t="shared" si="1"/>
        <v>06</v>
      </c>
      <c r="D17" s="10">
        <v>1</v>
      </c>
      <c r="E17" s="9" t="str">
        <f>IF(j_WEEKDAY(A17)=6,1,"")</f>
        <v/>
      </c>
      <c r="F17" s="11" t="s">
        <v>26</v>
      </c>
    </row>
    <row r="18" spans="1:6" ht="15">
      <c r="A18" s="10" t="s">
        <v>93</v>
      </c>
      <c r="B18" s="10" t="str">
        <f t="shared" si="0"/>
        <v>1398</v>
      </c>
      <c r="C18" s="10" t="str">
        <f t="shared" si="1"/>
        <v>06</v>
      </c>
      <c r="D18" s="10">
        <v>1</v>
      </c>
      <c r="E18" s="9" t="str">
        <f>IF(j_WEEKDAY(A18)=6,1,"")</f>
        <v/>
      </c>
      <c r="F18" s="11" t="s">
        <v>27</v>
      </c>
    </row>
    <row r="19" spans="1:6" ht="15">
      <c r="A19" s="10" t="s">
        <v>94</v>
      </c>
      <c r="B19" s="10" t="str">
        <f t="shared" si="0"/>
        <v>1398</v>
      </c>
      <c r="C19" s="10" t="str">
        <f t="shared" si="1"/>
        <v>07</v>
      </c>
      <c r="D19" s="10">
        <v>1</v>
      </c>
      <c r="E19" s="9" t="str">
        <f>IF(j_WEEKDAY(A19)=6,1,"")</f>
        <v/>
      </c>
      <c r="F19" s="11" t="s">
        <v>28</v>
      </c>
    </row>
    <row r="20" spans="1:6" ht="15">
      <c r="A20" s="10" t="s">
        <v>95</v>
      </c>
      <c r="B20" s="10" t="str">
        <f t="shared" si="0"/>
        <v>1398</v>
      </c>
      <c r="C20" s="10" t="str">
        <f t="shared" si="1"/>
        <v>08</v>
      </c>
      <c r="D20" s="10">
        <v>1</v>
      </c>
      <c r="E20" s="9" t="str">
        <f>IF(j_WEEKDAY(A20)=6,1,"")</f>
        <v/>
      </c>
      <c r="F20" s="11" t="s">
        <v>29</v>
      </c>
    </row>
    <row r="21" spans="1:6" ht="15">
      <c r="A21" s="10" t="s">
        <v>96</v>
      </c>
      <c r="B21" s="10" t="str">
        <f t="shared" si="0"/>
        <v>1398</v>
      </c>
      <c r="C21" s="10" t="str">
        <f t="shared" si="1"/>
        <v>08</v>
      </c>
      <c r="D21" s="10">
        <v>1</v>
      </c>
      <c r="E21" s="9" t="str">
        <f>IF(j_WEEKDAY(A21)=6,1,"")</f>
        <v/>
      </c>
      <c r="F21" s="11" t="s">
        <v>30</v>
      </c>
    </row>
    <row r="22" spans="1:6" ht="15">
      <c r="A22" s="10" t="s">
        <v>97</v>
      </c>
      <c r="B22" s="10" t="str">
        <f t="shared" si="0"/>
        <v>1398</v>
      </c>
      <c r="C22" s="10" t="str">
        <f t="shared" si="1"/>
        <v>08</v>
      </c>
      <c r="D22" s="10">
        <v>1</v>
      </c>
      <c r="E22" s="9" t="str">
        <f>IF(j_WEEKDAY(A22)=6,1,"")</f>
        <v/>
      </c>
      <c r="F22" s="11" t="s">
        <v>98</v>
      </c>
    </row>
    <row r="23" spans="1:6" ht="15">
      <c r="A23" s="10" t="s">
        <v>99</v>
      </c>
      <c r="B23" s="10" t="str">
        <f t="shared" si="0"/>
        <v>1398</v>
      </c>
      <c r="C23" s="10" t="str">
        <f t="shared" si="1"/>
        <v>08</v>
      </c>
      <c r="D23" s="10">
        <v>1</v>
      </c>
      <c r="E23" s="9">
        <f>IF(j_WEEKDAY(A23)=6,1,"")</f>
        <v>1</v>
      </c>
      <c r="F23" s="11" t="s">
        <v>31</v>
      </c>
    </row>
    <row r="24" spans="1:6" ht="15">
      <c r="A24" s="10" t="s">
        <v>100</v>
      </c>
      <c r="B24" s="10" t="str">
        <f t="shared" si="0"/>
        <v>1398</v>
      </c>
      <c r="C24" s="10" t="str">
        <f t="shared" si="1"/>
        <v>11</v>
      </c>
      <c r="D24" s="10">
        <v>1</v>
      </c>
      <c r="E24" s="9" t="str">
        <f>IF(j_WEEKDAY(A24)=6,1,"")</f>
        <v/>
      </c>
      <c r="F24" s="11" t="s">
        <v>15</v>
      </c>
    </row>
    <row r="25" spans="1:6" ht="15">
      <c r="A25" s="10" t="s">
        <v>83</v>
      </c>
      <c r="B25" s="10" t="str">
        <f t="shared" si="0"/>
        <v>1398</v>
      </c>
      <c r="C25" s="10" t="str">
        <f t="shared" si="1"/>
        <v>11</v>
      </c>
      <c r="D25" s="10">
        <v>1</v>
      </c>
      <c r="E25" s="9" t="str">
        <f>IF(j_WEEKDAY(A25)=6,1,"")</f>
        <v/>
      </c>
      <c r="F25" s="11" t="s">
        <v>32</v>
      </c>
    </row>
    <row r="26" spans="1:6" ht="15">
      <c r="A26" s="10" t="s">
        <v>101</v>
      </c>
      <c r="B26" s="10" t="str">
        <f t="shared" si="0"/>
        <v>1398</v>
      </c>
      <c r="C26" s="10" t="str">
        <f t="shared" si="1"/>
        <v>12</v>
      </c>
      <c r="D26" s="10">
        <v>1</v>
      </c>
      <c r="E26" s="9" t="str">
        <f>IF(j_WEEKDAY(A26)=6,1,"")</f>
        <v/>
      </c>
      <c r="F26" s="11" t="s">
        <v>16</v>
      </c>
    </row>
    <row r="27" spans="1:6" ht="15">
      <c r="A27" s="10" t="s">
        <v>84</v>
      </c>
      <c r="B27" s="10" t="str">
        <f t="shared" si="0"/>
        <v>1398</v>
      </c>
      <c r="C27" s="10" t="str">
        <f t="shared" si="1"/>
        <v>12</v>
      </c>
      <c r="D27" s="10">
        <v>1</v>
      </c>
      <c r="E27" s="9" t="str">
        <f>IF(j_WEEKDAY(A27)=6,1,"")</f>
        <v/>
      </c>
      <c r="F27" s="11" t="s">
        <v>33</v>
      </c>
    </row>
    <row r="28" spans="1:6" ht="15">
      <c r="A28" s="168" t="s">
        <v>51</v>
      </c>
      <c r="B28" s="168"/>
      <c r="C28" s="168"/>
      <c r="D28" s="168">
        <f>SUBTOTAL(109,Holieday[ok])</f>
        <v>26</v>
      </c>
      <c r="E28" s="168">
        <f>SUBTOTAL(109,Holieday[Friday])</f>
        <v>2</v>
      </c>
      <c r="F28" s="169"/>
    </row>
    <row r="29" spans="1:6" ht="15">
      <c r="A29" s="10"/>
      <c r="B29" s="10" t="str">
        <f t="shared" ref="B29:B54" si="2">LEFT(A29,4)</f>
        <v/>
      </c>
      <c r="C29" s="10" t="str">
        <f t="shared" ref="C29:C54" si="3">MID(A29,6,2)</f>
        <v/>
      </c>
      <c r="D29" s="10"/>
      <c r="E29" s="9"/>
      <c r="F29" s="11"/>
    </row>
    <row r="30" spans="1:6" ht="15">
      <c r="A30" s="10"/>
      <c r="B30" s="10" t="str">
        <f t="shared" si="2"/>
        <v/>
      </c>
      <c r="C30" s="10" t="str">
        <f t="shared" si="3"/>
        <v/>
      </c>
      <c r="D30" s="10"/>
      <c r="E30" s="9"/>
      <c r="F30" s="11"/>
    </row>
    <row r="31" spans="1:6" ht="15">
      <c r="A31" s="10"/>
      <c r="B31" s="10" t="str">
        <f t="shared" si="2"/>
        <v/>
      </c>
      <c r="C31" s="10" t="str">
        <f t="shared" si="3"/>
        <v/>
      </c>
      <c r="D31" s="10"/>
      <c r="E31" s="9"/>
      <c r="F31" s="11"/>
    </row>
    <row r="32" spans="1:6" ht="15">
      <c r="A32" s="10"/>
      <c r="B32" s="10" t="str">
        <f t="shared" si="2"/>
        <v/>
      </c>
      <c r="C32" s="10" t="str">
        <f t="shared" si="3"/>
        <v/>
      </c>
      <c r="D32" s="10"/>
      <c r="E32" s="9"/>
      <c r="F32" s="11"/>
    </row>
    <row r="33" spans="1:6" ht="15">
      <c r="A33" s="10"/>
      <c r="B33" s="10" t="str">
        <f t="shared" si="2"/>
        <v/>
      </c>
      <c r="C33" s="10" t="str">
        <f t="shared" si="3"/>
        <v/>
      </c>
      <c r="D33" s="10"/>
      <c r="E33" s="9"/>
      <c r="F33" s="11"/>
    </row>
    <row r="34" spans="1:6" ht="15">
      <c r="A34" s="10"/>
      <c r="B34" s="10" t="str">
        <f t="shared" si="2"/>
        <v/>
      </c>
      <c r="C34" s="10" t="str">
        <f t="shared" si="3"/>
        <v/>
      </c>
      <c r="D34" s="10"/>
      <c r="E34" s="9"/>
      <c r="F34" s="11"/>
    </row>
    <row r="35" spans="1:6" ht="15">
      <c r="A35" s="10"/>
      <c r="B35" s="10" t="str">
        <f t="shared" si="2"/>
        <v/>
      </c>
      <c r="C35" s="10" t="str">
        <f t="shared" si="3"/>
        <v/>
      </c>
      <c r="D35" s="10"/>
      <c r="E35" s="9"/>
      <c r="F35" s="11"/>
    </row>
    <row r="36" spans="1:6" ht="15">
      <c r="A36" s="10"/>
      <c r="B36" s="10" t="str">
        <f t="shared" si="2"/>
        <v/>
      </c>
      <c r="C36" s="10" t="str">
        <f t="shared" si="3"/>
        <v/>
      </c>
      <c r="D36" s="10"/>
      <c r="E36" s="9"/>
      <c r="F36" s="11"/>
    </row>
    <row r="37" spans="1:6" ht="15">
      <c r="A37" s="10"/>
      <c r="B37" s="10" t="str">
        <f t="shared" si="2"/>
        <v/>
      </c>
      <c r="C37" s="10" t="str">
        <f t="shared" si="3"/>
        <v/>
      </c>
      <c r="D37" s="10"/>
      <c r="E37" s="9"/>
      <c r="F37" s="11"/>
    </row>
    <row r="38" spans="1:6" ht="15">
      <c r="A38" s="10"/>
      <c r="B38" s="10" t="str">
        <f t="shared" si="2"/>
        <v/>
      </c>
      <c r="C38" s="10" t="str">
        <f t="shared" si="3"/>
        <v/>
      </c>
      <c r="D38" s="10"/>
      <c r="E38" s="9"/>
      <c r="F38" s="11"/>
    </row>
    <row r="39" spans="1:6" ht="15">
      <c r="A39" s="10"/>
      <c r="B39" s="10" t="str">
        <f t="shared" si="2"/>
        <v/>
      </c>
      <c r="C39" s="10" t="str">
        <f t="shared" si="3"/>
        <v/>
      </c>
      <c r="D39" s="10"/>
      <c r="E39" s="9"/>
      <c r="F39" s="11"/>
    </row>
    <row r="40" spans="1:6" ht="15">
      <c r="A40" s="10"/>
      <c r="B40" s="10" t="str">
        <f t="shared" si="2"/>
        <v/>
      </c>
      <c r="C40" s="10" t="str">
        <f t="shared" si="3"/>
        <v/>
      </c>
      <c r="D40" s="10"/>
      <c r="E40" s="9"/>
      <c r="F40" s="11"/>
    </row>
    <row r="41" spans="1:6" ht="15">
      <c r="A41" s="10"/>
      <c r="B41" s="10" t="str">
        <f t="shared" si="2"/>
        <v/>
      </c>
      <c r="C41" s="10" t="str">
        <f t="shared" si="3"/>
        <v/>
      </c>
      <c r="D41" s="10"/>
      <c r="E41" s="9"/>
      <c r="F41" s="11"/>
    </row>
    <row r="42" spans="1:6" ht="15">
      <c r="A42" s="10"/>
      <c r="B42" s="10" t="str">
        <f t="shared" si="2"/>
        <v/>
      </c>
      <c r="C42" s="10" t="str">
        <f t="shared" si="3"/>
        <v/>
      </c>
      <c r="D42" s="10"/>
      <c r="E42" s="9"/>
      <c r="F42" s="11"/>
    </row>
    <row r="43" spans="1:6" ht="15">
      <c r="A43" s="10"/>
      <c r="B43" s="10" t="str">
        <f t="shared" si="2"/>
        <v/>
      </c>
      <c r="C43" s="10" t="str">
        <f t="shared" si="3"/>
        <v/>
      </c>
      <c r="D43" s="10"/>
      <c r="E43" s="9"/>
      <c r="F43" s="11"/>
    </row>
    <row r="44" spans="1:6" ht="15">
      <c r="A44" s="10"/>
      <c r="B44" s="10" t="str">
        <f t="shared" si="2"/>
        <v/>
      </c>
      <c r="C44" s="10" t="str">
        <f t="shared" si="3"/>
        <v/>
      </c>
      <c r="D44" s="10"/>
      <c r="E44" s="9"/>
      <c r="F44" s="11"/>
    </row>
    <row r="45" spans="1:6" ht="15">
      <c r="A45" s="10"/>
      <c r="B45" s="10" t="str">
        <f t="shared" si="2"/>
        <v/>
      </c>
      <c r="C45" s="10" t="str">
        <f t="shared" si="3"/>
        <v/>
      </c>
      <c r="D45" s="10"/>
      <c r="E45" s="9"/>
      <c r="F45" s="11"/>
    </row>
    <row r="46" spans="1:6" ht="15">
      <c r="A46" s="10"/>
      <c r="B46" s="10" t="str">
        <f t="shared" si="2"/>
        <v/>
      </c>
      <c r="C46" s="10" t="str">
        <f t="shared" si="3"/>
        <v/>
      </c>
      <c r="D46" s="10"/>
      <c r="E46" s="9"/>
      <c r="F46" s="11"/>
    </row>
    <row r="47" spans="1:6" ht="15">
      <c r="A47" s="10"/>
      <c r="B47" s="10" t="str">
        <f t="shared" si="2"/>
        <v/>
      </c>
      <c r="C47" s="10" t="str">
        <f t="shared" si="3"/>
        <v/>
      </c>
      <c r="D47" s="10"/>
      <c r="E47" s="9"/>
      <c r="F47" s="11"/>
    </row>
    <row r="48" spans="1:6" ht="15">
      <c r="A48" s="10"/>
      <c r="B48" s="10" t="str">
        <f t="shared" si="2"/>
        <v/>
      </c>
      <c r="C48" s="10" t="str">
        <f t="shared" si="3"/>
        <v/>
      </c>
      <c r="D48" s="10"/>
      <c r="E48" s="9"/>
      <c r="F48" s="11"/>
    </row>
    <row r="49" spans="1:6" ht="15">
      <c r="A49" s="10"/>
      <c r="B49" s="10" t="str">
        <f t="shared" si="2"/>
        <v/>
      </c>
      <c r="C49" s="10" t="str">
        <f t="shared" si="3"/>
        <v/>
      </c>
      <c r="D49" s="10"/>
      <c r="E49" s="9"/>
      <c r="F49" s="11"/>
    </row>
    <row r="50" spans="1:6" ht="15">
      <c r="A50" s="10"/>
      <c r="B50" s="10" t="str">
        <f t="shared" si="2"/>
        <v/>
      </c>
      <c r="C50" s="10" t="str">
        <f t="shared" si="3"/>
        <v/>
      </c>
      <c r="D50" s="10"/>
      <c r="E50" s="9"/>
      <c r="F50" s="11"/>
    </row>
    <row r="51" spans="1:6" ht="15">
      <c r="A51" s="10"/>
      <c r="B51" s="10" t="str">
        <f t="shared" si="2"/>
        <v/>
      </c>
      <c r="C51" s="10" t="str">
        <f t="shared" si="3"/>
        <v/>
      </c>
      <c r="D51" s="10"/>
      <c r="E51" s="9"/>
      <c r="F51" s="11"/>
    </row>
    <row r="52" spans="1:6" ht="15">
      <c r="A52" s="10"/>
      <c r="B52" s="10" t="str">
        <f t="shared" si="2"/>
        <v/>
      </c>
      <c r="C52" s="10" t="str">
        <f t="shared" si="3"/>
        <v/>
      </c>
      <c r="D52" s="10"/>
      <c r="E52" s="9"/>
      <c r="F52" s="11"/>
    </row>
    <row r="53" spans="1:6" ht="15">
      <c r="A53" s="10"/>
      <c r="B53" s="10" t="str">
        <f t="shared" si="2"/>
        <v/>
      </c>
      <c r="C53" s="10" t="str">
        <f t="shared" si="3"/>
        <v/>
      </c>
      <c r="D53" s="10"/>
      <c r="E53" s="9"/>
      <c r="F53" s="11"/>
    </row>
    <row r="54" spans="1:6" ht="15">
      <c r="A54" s="10"/>
      <c r="B54" s="10" t="str">
        <f t="shared" si="2"/>
        <v/>
      </c>
      <c r="C54" s="10" t="str">
        <f t="shared" si="3"/>
        <v/>
      </c>
      <c r="D54" s="10"/>
      <c r="E54" s="9"/>
      <c r="F54" s="11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GanttChart</vt:lpstr>
      <vt:lpstr>Income Person-hours</vt:lpstr>
      <vt:lpstr>Report 1</vt:lpstr>
      <vt:lpstr>Report 2</vt:lpstr>
      <vt:lpstr>Holidays</vt:lpstr>
      <vt:lpstr>GanttChart!a</vt:lpstr>
      <vt:lpstr>GanttChart!Print_Area</vt:lpstr>
      <vt:lpstr>'Report 1'!Print_Area</vt:lpstr>
      <vt:lpstr>'Report 2'!Print_Area</vt:lpstr>
    </vt:vector>
  </TitlesOfParts>
  <Manager>گروه اکسل ایران</Manager>
  <Company>www.exceliran.com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نمونه فایل زمانبندی پروژه</dc:title>
  <dc:subject>نمونه گانت چارت</dc:subject>
  <dc:creator>سعید علی محمدی-09155016029</dc:creator>
  <dc:description>این فایل نمونه جهت کاربران که در مدیریت پروژه ها کار میکنندتهیه گردیده است- www.exceliran.com</dc:description>
  <cp:lastModifiedBy>امید لک</cp:lastModifiedBy>
  <cp:lastPrinted>2019-09-24T16:20:13Z</cp:lastPrinted>
  <dcterms:created xsi:type="dcterms:W3CDTF">2006-11-11T15:27:14Z</dcterms:created>
  <dcterms:modified xsi:type="dcterms:W3CDTF">2020-01-04T16:09:42Z</dcterms:modified>
  <cp:category>gant</cp:category>
</cp:coreProperties>
</file>