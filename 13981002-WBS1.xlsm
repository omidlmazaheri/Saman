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3.3\Project\2-Current Projects\Bank Eghtesad Novin\02-Planning ( MSP . WBS )\"/>
    </mc:Choice>
  </mc:AlternateContent>
  <bookViews>
    <workbookView minimized="1" showSheetTabs="0" xWindow="0" yWindow="0" windowWidth="20400" windowHeight="7755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r:id="rId5"/>
  </sheets>
  <functionGroups builtInGroupCount="18"/>
  <definedNames>
    <definedName name="_xlnm._FilterDatabase" localSheetId="0" hidden="1">GanttChart!$A$8:$Q$79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GanttChart!$B$1:$GA$79</definedName>
    <definedName name="_xlnm.Print_Area" localSheetId="0">GanttChart!$A$1:$DI$79</definedName>
    <definedName name="_xlnm.Print_Area" localSheetId="2">'Report 1'!$B$1:$I$180</definedName>
    <definedName name="_xlnm.Print_Area" localSheetId="3">'Report 2'!$B$1:$I$180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L16" i="8" l="1"/>
  <c r="IH16" i="8"/>
  <c r="E16" i="8"/>
  <c r="IX18" i="8" l="1"/>
  <c r="IR15" i="8"/>
  <c r="IN15" i="8"/>
  <c r="IX14" i="8"/>
  <c r="E18" i="8"/>
  <c r="E14" i="8"/>
  <c r="E15" i="8"/>
  <c r="IT18" i="8" l="1"/>
  <c r="IT14" i="8"/>
  <c r="K56" i="8"/>
  <c r="K57" i="8"/>
  <c r="K58" i="8"/>
  <c r="C3" i="8"/>
  <c r="B1" i="8" l="1"/>
  <c r="E27" i="9"/>
  <c r="E7" i="9"/>
  <c r="E20" i="9"/>
  <c r="E17" i="9"/>
  <c r="E22" i="9"/>
  <c r="E13" i="9"/>
  <c r="E12" i="9"/>
  <c r="E4" i="9"/>
  <c r="E5" i="9"/>
  <c r="E23" i="9"/>
  <c r="E25" i="9"/>
  <c r="E16" i="9"/>
  <c r="E24" i="9"/>
  <c r="E14" i="9"/>
  <c r="E2" i="9"/>
  <c r="E11" i="9"/>
  <c r="E9" i="9"/>
  <c r="E26" i="9"/>
  <c r="E15" i="9"/>
  <c r="E21" i="9"/>
  <c r="E18" i="9"/>
  <c r="E8" i="9"/>
  <c r="E8" i="8"/>
  <c r="E6" i="9"/>
  <c r="E3" i="9"/>
  <c r="E10" i="9"/>
  <c r="E19" i="9"/>
  <c r="K21" i="8" l="1"/>
  <c r="K20" i="8"/>
  <c r="K10" i="8"/>
  <c r="D3" i="8"/>
  <c r="D28" i="9" l="1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D180" i="13" l="1"/>
  <c r="E180" i="13"/>
  <c r="F180" i="13"/>
  <c r="K27" i="8"/>
  <c r="K28" i="8"/>
  <c r="K36" i="8"/>
  <c r="K38" i="8"/>
  <c r="K42" i="8"/>
  <c r="K44" i="8"/>
  <c r="K47" i="8"/>
  <c r="K48" i="8"/>
  <c r="K49" i="8"/>
  <c r="K50" i="8"/>
  <c r="K51" i="8"/>
  <c r="K52" i="8"/>
  <c r="K53" i="8"/>
  <c r="K54" i="8"/>
  <c r="K55" i="8"/>
  <c r="K64" i="8"/>
  <c r="K65" i="8"/>
  <c r="K71" i="8"/>
  <c r="K72" i="8"/>
  <c r="JD79" i="8"/>
  <c r="JD78" i="8"/>
  <c r="JD75" i="8"/>
  <c r="JD76" i="8"/>
  <c r="JD74" i="8"/>
  <c r="JD70" i="8"/>
  <c r="JD71" i="8"/>
  <c r="JD72" i="8"/>
  <c r="JD61" i="8"/>
  <c r="JD62" i="8"/>
  <c r="JD63" i="8"/>
  <c r="JD64" i="8"/>
  <c r="JD65" i="8"/>
  <c r="JD60" i="8"/>
  <c r="JD35" i="8"/>
  <c r="JD36" i="8"/>
  <c r="JD38" i="8"/>
  <c r="JD42" i="8"/>
  <c r="JD44" i="8"/>
  <c r="JD47" i="8"/>
  <c r="JD48" i="8"/>
  <c r="JD49" i="8"/>
  <c r="JD50" i="8"/>
  <c r="JD51" i="8"/>
  <c r="JD52" i="8"/>
  <c r="JD53" i="8"/>
  <c r="JD54" i="8"/>
  <c r="JD55" i="8"/>
  <c r="G24" i="14" l="1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79" i="8"/>
  <c r="K78" i="8"/>
  <c r="K76" i="8"/>
  <c r="K75" i="8"/>
  <c r="K74" i="8"/>
  <c r="K17" i="8"/>
  <c r="K13" i="8"/>
  <c r="K12" i="8"/>
  <c r="K11" i="8"/>
  <c r="K26" i="8"/>
  <c r="K25" i="8"/>
  <c r="K24" i="8"/>
  <c r="K23" i="8"/>
  <c r="K22" i="8"/>
  <c r="K35" i="8"/>
  <c r="K34" i="8"/>
  <c r="K33" i="8"/>
  <c r="K32" i="8"/>
  <c r="K31" i="8"/>
  <c r="K30" i="8"/>
  <c r="K63" i="8"/>
  <c r="K62" i="8"/>
  <c r="K61" i="8"/>
  <c r="K60" i="8"/>
  <c r="K77" i="8" l="1"/>
  <c r="I159" i="13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JD17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69" i="8"/>
  <c r="JD68" i="8"/>
  <c r="JD67" i="8"/>
  <c r="JD34" i="8"/>
  <c r="JD33" i="8"/>
  <c r="JD32" i="8"/>
  <c r="JD31" i="8"/>
  <c r="JD30" i="8"/>
  <c r="JD28" i="8"/>
  <c r="JD27" i="8"/>
  <c r="JD26" i="8"/>
  <c r="JD25" i="8"/>
  <c r="JD24" i="8"/>
  <c r="JD23" i="8"/>
  <c r="JD22" i="8"/>
  <c r="JD21" i="8"/>
  <c r="JD20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70" i="8"/>
  <c r="E28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69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D9" i="8" l="1"/>
  <c r="D10" i="8" s="1"/>
  <c r="J9" i="8"/>
  <c r="E9" i="8"/>
  <c r="IZ64" i="8" l="1"/>
  <c r="IZ65" i="8"/>
  <c r="IZ26" i="8"/>
  <c r="IZ27" i="8"/>
  <c r="IZ28" i="8"/>
  <c r="IZ23" i="8"/>
  <c r="IZ24" i="8"/>
  <c r="IZ25" i="8"/>
  <c r="IZ70" i="8" l="1"/>
  <c r="IZ69" i="8"/>
  <c r="IZ35" i="8"/>
  <c r="IZ34" i="8"/>
  <c r="IZ33" i="8"/>
  <c r="IZ32" i="8"/>
  <c r="IZ31" i="8"/>
  <c r="IZ30" i="8"/>
  <c r="IZ22" i="8"/>
  <c r="IZ21" i="8"/>
  <c r="IZ20" i="8"/>
  <c r="IZ17" i="8"/>
  <c r="IZ13" i="8"/>
  <c r="IZ12" i="8"/>
  <c r="IZ11" i="8"/>
  <c r="IZ10" i="8"/>
  <c r="K29" i="8" l="1"/>
  <c r="K19" i="8"/>
  <c r="K9" i="8"/>
  <c r="K68" i="8" l="1"/>
  <c r="IZ68" i="8" s="1"/>
  <c r="K67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IZ67" i="8" l="1"/>
  <c r="K66" i="8"/>
  <c r="C10" i="10"/>
  <c r="J10" i="8"/>
  <c r="F10" i="8"/>
  <c r="E10" i="8"/>
  <c r="E10" i="10" l="1"/>
  <c r="D10" i="10"/>
  <c r="IZ60" i="8"/>
  <c r="IZ74" i="8"/>
  <c r="IZ61" i="8"/>
  <c r="IZ75" i="8"/>
  <c r="G10" i="8"/>
  <c r="D20" i="8"/>
  <c r="L10" i="8"/>
  <c r="D11" i="8"/>
  <c r="O10" i="8" l="1"/>
  <c r="G10" i="10"/>
  <c r="F10" i="10"/>
  <c r="IZ62" i="8"/>
  <c r="IZ76" i="8"/>
  <c r="E20" i="8"/>
  <c r="P10" i="8"/>
  <c r="E11" i="8"/>
  <c r="J20" i="8"/>
  <c r="J11" i="8"/>
  <c r="F11" i="8"/>
  <c r="F20" i="8"/>
  <c r="Q10" i="8" l="1"/>
  <c r="K73" i="8"/>
  <c r="IZ63" i="8"/>
  <c r="C11" i="10"/>
  <c r="L11" i="8"/>
  <c r="G11" i="8"/>
  <c r="D12" i="8"/>
  <c r="L20" i="8"/>
  <c r="G20" i="8"/>
  <c r="D21" i="8"/>
  <c r="O11" i="8" l="1"/>
  <c r="E11" i="10"/>
  <c r="D11" i="10"/>
  <c r="D12" i="10" s="1"/>
  <c r="K59" i="8"/>
  <c r="K8" i="8" s="1"/>
  <c r="C12" i="10"/>
  <c r="G14" i="10" s="1"/>
  <c r="P11" i="8"/>
  <c r="J12" i="8"/>
  <c r="F21" i="8"/>
  <c r="E21" i="8"/>
  <c r="F12" i="8"/>
  <c r="E12" i="8"/>
  <c r="Q11" i="8" l="1"/>
  <c r="G11" i="10"/>
  <c r="G12" i="10" s="1"/>
  <c r="F11" i="10"/>
  <c r="F12" i="10" s="1"/>
  <c r="E12" i="10"/>
  <c r="L12" i="8"/>
  <c r="L21" i="8"/>
  <c r="G21" i="8"/>
  <c r="D22" i="8"/>
  <c r="D13" i="8"/>
  <c r="D30" i="8"/>
  <c r="G12" i="8"/>
  <c r="D60" i="8"/>
  <c r="O12" i="8" l="1"/>
  <c r="J60" i="8"/>
  <c r="E60" i="8"/>
  <c r="D67" i="8"/>
  <c r="F13" i="8"/>
  <c r="E30" i="8"/>
  <c r="J13" i="8"/>
  <c r="F30" i="8"/>
  <c r="E13" i="8"/>
  <c r="F22" i="8"/>
  <c r="J30" i="8"/>
  <c r="F60" i="8"/>
  <c r="P12" i="8"/>
  <c r="J22" i="8"/>
  <c r="E22" i="8"/>
  <c r="O20" i="8" l="1"/>
  <c r="Q12" i="8"/>
  <c r="D14" i="8"/>
  <c r="L22" i="8"/>
  <c r="P20" i="8"/>
  <c r="L13" i="8"/>
  <c r="L30" i="8"/>
  <c r="E67" i="8"/>
  <c r="L60" i="8"/>
  <c r="D23" i="8"/>
  <c r="G60" i="8"/>
  <c r="F67" i="8"/>
  <c r="D17" i="8"/>
  <c r="D31" i="8"/>
  <c r="G22" i="8"/>
  <c r="J67" i="8"/>
  <c r="G30" i="8"/>
  <c r="G13" i="8"/>
  <c r="O13" i="8" l="1"/>
  <c r="Q13" i="8" s="1"/>
  <c r="O60" i="8"/>
  <c r="Q60" i="8" s="1"/>
  <c r="Q20" i="8"/>
  <c r="F23" i="8"/>
  <c r="J17" i="8"/>
  <c r="L67" i="8"/>
  <c r="D68" i="8"/>
  <c r="F14" i="8"/>
  <c r="J23" i="8"/>
  <c r="P13" i="8"/>
  <c r="J31" i="8"/>
  <c r="G67" i="8"/>
  <c r="E17" i="8"/>
  <c r="P60" i="8"/>
  <c r="E23" i="8"/>
  <c r="F31" i="8"/>
  <c r="E31" i="8"/>
  <c r="F17" i="8"/>
  <c r="O21" i="8" l="1"/>
  <c r="L14" i="8"/>
  <c r="L23" i="8"/>
  <c r="L17" i="8"/>
  <c r="J68" i="8"/>
  <c r="G17" i="8"/>
  <c r="F68" i="8"/>
  <c r="D15" i="8"/>
  <c r="G31" i="8"/>
  <c r="L31" i="8"/>
  <c r="D24" i="8"/>
  <c r="G23" i="8"/>
  <c r="E68" i="8"/>
  <c r="O17" i="8" l="1"/>
  <c r="Q17" i="8" s="1"/>
  <c r="O23" i="8"/>
  <c r="Q23" i="8" s="1"/>
  <c r="Q21" i="8"/>
  <c r="O22" i="8"/>
  <c r="L68" i="8"/>
  <c r="P23" i="8"/>
  <c r="D69" i="8"/>
  <c r="J24" i="8"/>
  <c r="G68" i="8"/>
  <c r="F24" i="8"/>
  <c r="F15" i="8"/>
  <c r="E24" i="8"/>
  <c r="L15" i="8"/>
  <c r="Q22" i="8" l="1"/>
  <c r="G24" i="8"/>
  <c r="D25" i="8"/>
  <c r="J69" i="8"/>
  <c r="F69" i="8"/>
  <c r="D18" i="8"/>
  <c r="P21" i="8"/>
  <c r="J18" i="8"/>
  <c r="P17" i="8"/>
  <c r="E69" i="8"/>
  <c r="L24" i="8"/>
  <c r="P22" i="8"/>
  <c r="O24" i="8" l="1"/>
  <c r="Q24" i="8" s="1"/>
  <c r="F18" i="8"/>
  <c r="G69" i="8"/>
  <c r="D26" i="8"/>
  <c r="L18" i="8"/>
  <c r="E25" i="8"/>
  <c r="L69" i="8"/>
  <c r="J25" i="8"/>
  <c r="F25" i="8"/>
  <c r="L25" i="8"/>
  <c r="G25" i="8"/>
  <c r="J26" i="8"/>
  <c r="E26" i="8"/>
  <c r="F26" i="8"/>
  <c r="O25" i="8" l="1"/>
  <c r="Q25" i="8" s="1"/>
  <c r="D27" i="8"/>
  <c r="D70" i="8"/>
  <c r="L26" i="8"/>
  <c r="P25" i="8"/>
  <c r="G26" i="8"/>
  <c r="O26" i="8" l="1"/>
  <c r="Q26" i="8" s="1"/>
  <c r="E27" i="8"/>
  <c r="J27" i="8"/>
  <c r="F70" i="8"/>
  <c r="E70" i="8"/>
  <c r="J70" i="8"/>
  <c r="F27" i="8"/>
  <c r="G27" i="8"/>
  <c r="L70" i="8"/>
  <c r="L27" i="8"/>
  <c r="D71" i="8"/>
  <c r="G70" i="8"/>
  <c r="O27" i="8" l="1"/>
  <c r="Q27" i="8" s="1"/>
  <c r="O30" i="8"/>
  <c r="P24" i="8"/>
  <c r="F71" i="8"/>
  <c r="P30" i="8"/>
  <c r="P26" i="8"/>
  <c r="P27" i="8"/>
  <c r="J71" i="8"/>
  <c r="E71" i="8"/>
  <c r="O31" i="8" l="1"/>
  <c r="O70" i="8"/>
  <c r="O69" i="8"/>
  <c r="O68" i="8"/>
  <c r="O67" i="8"/>
  <c r="Q30" i="8"/>
  <c r="L71" i="8"/>
  <c r="P67" i="8"/>
  <c r="P68" i="8"/>
  <c r="P70" i="8"/>
  <c r="P69" i="8"/>
  <c r="G71" i="8"/>
  <c r="P31" i="8"/>
  <c r="O71" i="8" l="1"/>
  <c r="Q71" i="8" s="1"/>
  <c r="Q68" i="8"/>
  <c r="Q70" i="8"/>
  <c r="O32" i="8"/>
  <c r="O33" i="8"/>
  <c r="Q67" i="8"/>
  <c r="Q69" i="8"/>
  <c r="Q31" i="8"/>
  <c r="P71" i="8"/>
  <c r="Q33" i="8" l="1"/>
  <c r="Q32" i="8"/>
  <c r="D72" i="8"/>
  <c r="D38" i="8"/>
  <c r="D74" i="8"/>
  <c r="D37" i="8"/>
  <c r="D61" i="8"/>
  <c r="F61" i="8"/>
  <c r="E74" i="8"/>
  <c r="J37" i="8"/>
  <c r="D32" i="8"/>
  <c r="J32" i="8"/>
  <c r="E72" i="8"/>
  <c r="E38" i="8"/>
  <c r="F72" i="8"/>
  <c r="J74" i="8"/>
  <c r="E32" i="8"/>
  <c r="F37" i="8"/>
  <c r="J38" i="8"/>
  <c r="G72" i="8"/>
  <c r="J72" i="8"/>
  <c r="F38" i="8"/>
  <c r="L38" i="8" s="1"/>
  <c r="J61" i="8"/>
  <c r="L72" i="8"/>
  <c r="G38" i="8"/>
  <c r="S5" i="8"/>
  <c r="F32" i="8"/>
  <c r="G32" i="8" s="1"/>
  <c r="P32" i="8"/>
  <c r="O72" i="8" l="1"/>
  <c r="Q72" i="8" s="1"/>
  <c r="O38" i="8"/>
  <c r="Q38" i="8" s="1"/>
  <c r="S4" i="8"/>
  <c r="L37" i="8"/>
  <c r="D33" i="8"/>
  <c r="P38" i="8"/>
  <c r="G61" i="8"/>
  <c r="J33" i="8"/>
  <c r="F33" i="8"/>
  <c r="D62" i="8"/>
  <c r="D39" i="8"/>
  <c r="J62" i="8"/>
  <c r="P33" i="8"/>
  <c r="E61" i="8"/>
  <c r="F39" i="8"/>
  <c r="E62" i="8"/>
  <c r="L61" i="8"/>
  <c r="F74" i="8"/>
  <c r="P72" i="8"/>
  <c r="E33" i="8"/>
  <c r="T5" i="8"/>
  <c r="S6" i="8"/>
  <c r="U5" i="8"/>
  <c r="V5" i="8"/>
  <c r="G74" i="8"/>
  <c r="L74" i="8"/>
  <c r="O74" i="8" l="1"/>
  <c r="O61" i="8"/>
  <c r="T4" i="8"/>
  <c r="U4" i="8"/>
  <c r="V4" i="8"/>
  <c r="D75" i="8"/>
  <c r="L39" i="8"/>
  <c r="G33" i="8"/>
  <c r="L9" i="8"/>
  <c r="F62" i="8"/>
  <c r="P74" i="8"/>
  <c r="P61" i="8"/>
  <c r="J39" i="8"/>
  <c r="D41" i="8"/>
  <c r="J41" i="8" s="1"/>
  <c r="F41" i="8"/>
  <c r="L41" i="8"/>
  <c r="D34" i="8"/>
  <c r="D40" i="8"/>
  <c r="J40" i="8" s="1"/>
  <c r="G62" i="8"/>
  <c r="F34" i="8"/>
  <c r="F40" i="8"/>
  <c r="W5" i="8"/>
  <c r="F75" i="8"/>
  <c r="E75" i="8"/>
  <c r="J34" i="8"/>
  <c r="E34" i="8"/>
  <c r="G34" i="8"/>
  <c r="L34" i="8"/>
  <c r="G75" i="8"/>
  <c r="L75" i="8"/>
  <c r="O75" i="8" l="1"/>
  <c r="Q61" i="8"/>
  <c r="Q74" i="8"/>
  <c r="O34" i="8"/>
  <c r="Q34" i="8" s="1"/>
  <c r="Q75" i="8"/>
  <c r="W4" i="8"/>
  <c r="P75" i="8"/>
  <c r="L62" i="8"/>
  <c r="D42" i="8"/>
  <c r="E42" i="8"/>
  <c r="F9" i="8"/>
  <c r="G9" i="8"/>
  <c r="D76" i="8"/>
  <c r="J75" i="8"/>
  <c r="L40" i="8"/>
  <c r="D63" i="8"/>
  <c r="F63" i="8" s="1"/>
  <c r="L63" i="8" s="1"/>
  <c r="E63" i="8"/>
  <c r="D35" i="8"/>
  <c r="J63" i="8"/>
  <c r="F42" i="8"/>
  <c r="P34" i="8"/>
  <c r="D43" i="8"/>
  <c r="X5" i="8"/>
  <c r="E76" i="8"/>
  <c r="J76" i="8"/>
  <c r="F76" i="8"/>
  <c r="E35" i="8"/>
  <c r="J35" i="8"/>
  <c r="F35" i="8"/>
  <c r="L42" i="8"/>
  <c r="L76" i="8"/>
  <c r="G76" i="8"/>
  <c r="L35" i="8"/>
  <c r="O76" i="8" l="1"/>
  <c r="O62" i="8"/>
  <c r="Q62" i="8" s="1"/>
  <c r="O35" i="8"/>
  <c r="O42" i="8"/>
  <c r="Q42" i="8" s="1"/>
  <c r="O63" i="8"/>
  <c r="Q63" i="8" s="1"/>
  <c r="M66" i="8"/>
  <c r="Q76" i="8"/>
  <c r="X4" i="8"/>
  <c r="P76" i="8"/>
  <c r="G35" i="8"/>
  <c r="F43" i="8"/>
  <c r="P62" i="8"/>
  <c r="N9" i="8"/>
  <c r="P42" i="8"/>
  <c r="G63" i="8"/>
  <c r="J43" i="8"/>
  <c r="P35" i="8"/>
  <c r="D64" i="8"/>
  <c r="J64" i="8"/>
  <c r="G42" i="8"/>
  <c r="J42" i="8"/>
  <c r="P63" i="8"/>
  <c r="D45" i="8"/>
  <c r="D66" i="8"/>
  <c r="D36" i="8"/>
  <c r="J36" i="8" s="1"/>
  <c r="J45" i="8"/>
  <c r="E36" i="8"/>
  <c r="F64" i="8"/>
  <c r="G64" i="8" s="1"/>
  <c r="J66" i="8"/>
  <c r="F36" i="8"/>
  <c r="G36" i="8"/>
  <c r="Y5" i="8"/>
  <c r="X6" i="8"/>
  <c r="L66" i="8"/>
  <c r="E66" i="8"/>
  <c r="O66" i="8" l="1"/>
  <c r="Q66" i="8" s="1"/>
  <c r="Q35" i="8"/>
  <c r="Y4" i="8"/>
  <c r="F66" i="8"/>
  <c r="D44" i="8"/>
  <c r="L64" i="8"/>
  <c r="D47" i="8"/>
  <c r="J47" i="8"/>
  <c r="E47" i="8"/>
  <c r="L36" i="8"/>
  <c r="L43" i="8"/>
  <c r="D16" i="8"/>
  <c r="F16" i="8" s="1"/>
  <c r="E64" i="8"/>
  <c r="P66" i="8"/>
  <c r="D65" i="8"/>
  <c r="F45" i="8"/>
  <c r="F47" i="8"/>
  <c r="L47" i="8" s="1"/>
  <c r="F65" i="8"/>
  <c r="G65" i="8" s="1"/>
  <c r="G47" i="8"/>
  <c r="L65" i="8"/>
  <c r="Z5" i="8"/>
  <c r="G66" i="8"/>
  <c r="E44" i="8"/>
  <c r="J44" i="8"/>
  <c r="J65" i="8"/>
  <c r="E65" i="8"/>
  <c r="O36" i="8" l="1"/>
  <c r="O65" i="8"/>
  <c r="O47" i="8"/>
  <c r="O64" i="8"/>
  <c r="Q64" i="8" s="1"/>
  <c r="M59" i="8"/>
  <c r="Q36" i="8"/>
  <c r="Z4" i="8"/>
  <c r="L45" i="8"/>
  <c r="P36" i="8"/>
  <c r="F44" i="8"/>
  <c r="N66" i="8"/>
  <c r="D48" i="8"/>
  <c r="P64" i="8"/>
  <c r="J48" i="8"/>
  <c r="P65" i="8"/>
  <c r="D59" i="8"/>
  <c r="D73" i="8"/>
  <c r="L73" i="8"/>
  <c r="F73" i="8" s="1"/>
  <c r="G73" i="8" s="1"/>
  <c r="L16" i="8"/>
  <c r="D46" i="8"/>
  <c r="J46" i="8" s="1"/>
  <c r="F48" i="8"/>
  <c r="L48" i="8" s="1"/>
  <c r="G48" i="8"/>
  <c r="P47" i="8"/>
  <c r="E48" i="8"/>
  <c r="L59" i="8"/>
  <c r="F59" i="8"/>
  <c r="AA5" i="8"/>
  <c r="G44" i="8"/>
  <c r="E73" i="8"/>
  <c r="J73" i="8"/>
  <c r="M73" i="8" l="1"/>
  <c r="O73" i="8" s="1"/>
  <c r="M9" i="8"/>
  <c r="O9" i="8" s="1"/>
  <c r="AA4" i="8"/>
  <c r="O48" i="8"/>
  <c r="O59" i="8"/>
  <c r="Q59" i="8" s="1"/>
  <c r="Q47" i="8"/>
  <c r="Q65" i="8"/>
  <c r="G59" i="8"/>
  <c r="J59" i="8"/>
  <c r="P59" i="8"/>
  <c r="N73" i="8"/>
  <c r="F46" i="8"/>
  <c r="E59" i="8"/>
  <c r="P73" i="8"/>
  <c r="L44" i="8"/>
  <c r="D49" i="8"/>
  <c r="P48" i="8"/>
  <c r="N59" i="8"/>
  <c r="P9" i="8"/>
  <c r="F49" i="8"/>
  <c r="L49" i="8" s="1"/>
  <c r="J49" i="8"/>
  <c r="AB5" i="8"/>
  <c r="AC5" i="8" s="1"/>
  <c r="AC6" i="8"/>
  <c r="AD5" i="8"/>
  <c r="AE5" i="8"/>
  <c r="AF5" i="8"/>
  <c r="AG5" i="8"/>
  <c r="AH5" i="8"/>
  <c r="AI5" i="8"/>
  <c r="AH6" i="8"/>
  <c r="AJ5" i="8"/>
  <c r="AK5" i="8"/>
  <c r="AL5" i="8"/>
  <c r="AK4" i="8" l="1"/>
  <c r="AJ4" i="8"/>
  <c r="AI4" i="8"/>
  <c r="AH4" i="8"/>
  <c r="AG4" i="8"/>
  <c r="AF4" i="8"/>
  <c r="AE4" i="8"/>
  <c r="AD4" i="8"/>
  <c r="AC4" i="8"/>
  <c r="O44" i="8"/>
  <c r="Q73" i="8"/>
  <c r="AB4" i="8"/>
  <c r="O49" i="8"/>
  <c r="Q49" i="8" s="1"/>
  <c r="Q48" i="8"/>
  <c r="AL4" i="8"/>
  <c r="Q9" i="8"/>
  <c r="P49" i="8"/>
  <c r="L46" i="8"/>
  <c r="E49" i="8"/>
  <c r="G49" i="8"/>
  <c r="P44" i="8"/>
  <c r="D50" i="8"/>
  <c r="AM5" i="8"/>
  <c r="AN5" i="8"/>
  <c r="E50" i="8"/>
  <c r="J50" i="8"/>
  <c r="F50" i="8"/>
  <c r="L50" i="8" s="1"/>
  <c r="Q44" i="8" l="1"/>
  <c r="O50" i="8"/>
  <c r="Q50" i="8" s="1"/>
  <c r="AN4" i="8"/>
  <c r="AM4" i="8"/>
  <c r="P50" i="8"/>
  <c r="D51" i="8"/>
  <c r="F51" i="8"/>
  <c r="G51" i="8"/>
  <c r="G50" i="8"/>
  <c r="J51" i="8"/>
  <c r="E51" i="8"/>
  <c r="L51" i="8"/>
  <c r="AO5" i="8"/>
  <c r="AP5" i="8" s="1"/>
  <c r="AM6" i="8"/>
  <c r="AQ5" i="8"/>
  <c r="AR5" i="8" s="1"/>
  <c r="AS5" i="8"/>
  <c r="AR6" i="8"/>
  <c r="AT5" i="8"/>
  <c r="AS4" i="8" l="1"/>
  <c r="AR4" i="8"/>
  <c r="AP4" i="8"/>
  <c r="AO4" i="8"/>
  <c r="AQ4" i="8"/>
  <c r="AT4" i="8"/>
  <c r="O51" i="8"/>
  <c r="Q51" i="8" s="1"/>
  <c r="P51" i="8"/>
  <c r="D52" i="8"/>
  <c r="AU5" i="8"/>
  <c r="J52" i="8"/>
  <c r="E52" i="8"/>
  <c r="F52" i="8"/>
  <c r="G52" i="8"/>
  <c r="L52" i="8"/>
  <c r="AU4" i="8" l="1"/>
  <c r="O52" i="8"/>
  <c r="D53" i="8"/>
  <c r="P52" i="8"/>
  <c r="F53" i="8"/>
  <c r="AV5" i="8"/>
  <c r="E53" i="8"/>
  <c r="J53" i="8"/>
  <c r="G53" i="8"/>
  <c r="AV4" i="8" l="1"/>
  <c r="Q52" i="8"/>
  <c r="L53" i="8"/>
  <c r="D54" i="8"/>
  <c r="E54" i="8"/>
  <c r="F54" i="8"/>
  <c r="L54" i="8"/>
  <c r="J54" i="8"/>
  <c r="G54" i="8"/>
  <c r="AW5" i="8"/>
  <c r="AX5" i="8"/>
  <c r="AW6" i="8"/>
  <c r="AY5" i="8"/>
  <c r="AZ5" i="8"/>
  <c r="BA5" i="8"/>
  <c r="BB5" i="8"/>
  <c r="BC5" i="8"/>
  <c r="BB6" i="8"/>
  <c r="BD5" i="8"/>
  <c r="BE5" i="8"/>
  <c r="BF5" i="8"/>
  <c r="BG5" i="8"/>
  <c r="BH5" i="8"/>
  <c r="BG6" i="8"/>
  <c r="BI5" i="8"/>
  <c r="BJ5" i="8"/>
  <c r="BK5" i="8"/>
  <c r="BL5" i="8"/>
  <c r="BM5" i="8"/>
  <c r="BL6" i="8"/>
  <c r="BN5" i="8"/>
  <c r="BO5" i="8"/>
  <c r="BP5" i="8"/>
  <c r="BQ5" i="8"/>
  <c r="BR5" i="8"/>
  <c r="BQ6" i="8"/>
  <c r="BS5" i="8"/>
  <c r="BT5" i="8"/>
  <c r="BU5" i="8"/>
  <c r="BV5" i="8"/>
  <c r="BW5" i="8"/>
  <c r="BV6" i="8"/>
  <c r="BX5" i="8"/>
  <c r="BY5" i="8"/>
  <c r="BZ5" i="8"/>
  <c r="CA5" i="8"/>
  <c r="CB5" i="8"/>
  <c r="CA6" i="8"/>
  <c r="CC5" i="8"/>
  <c r="CD5" i="8"/>
  <c r="CE5" i="8"/>
  <c r="CF5" i="8"/>
  <c r="CG5" i="8"/>
  <c r="CF6" i="8"/>
  <c r="CH5" i="8"/>
  <c r="CI5" i="8"/>
  <c r="CJ5" i="8"/>
  <c r="CK5" i="8"/>
  <c r="CL5" i="8"/>
  <c r="CK6" i="8"/>
  <c r="CM5" i="8"/>
  <c r="CN5" i="8"/>
  <c r="CO5" i="8"/>
  <c r="CP5" i="8"/>
  <c r="CQ5" i="8"/>
  <c r="CP6" i="8"/>
  <c r="CR5" i="8"/>
  <c r="CS5" i="8"/>
  <c r="CT5" i="8"/>
  <c r="CU5" i="8"/>
  <c r="CV5" i="8"/>
  <c r="CU6" i="8"/>
  <c r="CW5" i="8"/>
  <c r="CX5" i="8"/>
  <c r="CY5" i="8"/>
  <c r="CZ5" i="8"/>
  <c r="DA5" i="8"/>
  <c r="CZ6" i="8"/>
  <c r="DB5" i="8"/>
  <c r="DC5" i="8"/>
  <c r="DD5" i="8"/>
  <c r="DE5" i="8"/>
  <c r="DF5" i="8"/>
  <c r="DE6" i="8"/>
  <c r="DG5" i="8"/>
  <c r="DH5" i="8"/>
  <c r="DI5" i="8"/>
  <c r="DJ5" i="8"/>
  <c r="DK5" i="8"/>
  <c r="DJ6" i="8"/>
  <c r="DL5" i="8"/>
  <c r="DM5" i="8"/>
  <c r="DN5" i="8"/>
  <c r="DO5" i="8"/>
  <c r="DP5" i="8"/>
  <c r="DO6" i="8"/>
  <c r="DQ5" i="8"/>
  <c r="DR5" i="8"/>
  <c r="DS5" i="8"/>
  <c r="DT5" i="8"/>
  <c r="DU5" i="8"/>
  <c r="DT6" i="8"/>
  <c r="DV5" i="8"/>
  <c r="DW5" i="8"/>
  <c r="DX5" i="8"/>
  <c r="DY5" i="8"/>
  <c r="DZ5" i="8"/>
  <c r="DY6" i="8"/>
  <c r="EA5" i="8"/>
  <c r="EB5" i="8"/>
  <c r="EC5" i="8"/>
  <c r="ED5" i="8"/>
  <c r="EE5" i="8"/>
  <c r="ED6" i="8"/>
  <c r="EF5" i="8"/>
  <c r="EG5" i="8"/>
  <c r="EH5" i="8"/>
  <c r="EI5" i="8"/>
  <c r="EJ5" i="8"/>
  <c r="EI6" i="8"/>
  <c r="EK5" i="8"/>
  <c r="EL5" i="8"/>
  <c r="EM5" i="8"/>
  <c r="EN5" i="8"/>
  <c r="EO5" i="8"/>
  <c r="EN6" i="8"/>
  <c r="EP5" i="8"/>
  <c r="EQ5" i="8"/>
  <c r="ER5" i="8"/>
  <c r="ES5" i="8"/>
  <c r="ET5" i="8"/>
  <c r="ES6" i="8"/>
  <c r="EU5" i="8"/>
  <c r="EV5" i="8"/>
  <c r="EW5" i="8"/>
  <c r="EX5" i="8"/>
  <c r="EY5" i="8"/>
  <c r="EX6" i="8"/>
  <c r="EZ5" i="8"/>
  <c r="FA5" i="8"/>
  <c r="FB5" i="8"/>
  <c r="FC5" i="8"/>
  <c r="FD5" i="8"/>
  <c r="FC6" i="8"/>
  <c r="FE5" i="8"/>
  <c r="FF5" i="8"/>
  <c r="FG5" i="8"/>
  <c r="FH5" i="8"/>
  <c r="FI5" i="8"/>
  <c r="FH6" i="8"/>
  <c r="FJ5" i="8"/>
  <c r="FK5" i="8"/>
  <c r="FL5" i="8"/>
  <c r="FM5" i="8"/>
  <c r="FN5" i="8"/>
  <c r="FM6" i="8"/>
  <c r="FO5" i="8"/>
  <c r="FP5" i="8"/>
  <c r="FQ5" i="8"/>
  <c r="FR5" i="8"/>
  <c r="FS5" i="8"/>
  <c r="FR6" i="8"/>
  <c r="FT5" i="8"/>
  <c r="FU5" i="8"/>
  <c r="FV5" i="8"/>
  <c r="FW5" i="8"/>
  <c r="FX5" i="8"/>
  <c r="FW6" i="8"/>
  <c r="FY5" i="8"/>
  <c r="FZ5" i="8"/>
  <c r="GA5" i="8"/>
  <c r="GB5" i="8"/>
  <c r="GC5" i="8"/>
  <c r="GB6" i="8"/>
  <c r="GD5" i="8"/>
  <c r="GE5" i="8"/>
  <c r="GF5" i="8"/>
  <c r="GG5" i="8"/>
  <c r="GH5" i="8"/>
  <c r="GG6" i="8"/>
  <c r="GI5" i="8"/>
  <c r="GJ5" i="8"/>
  <c r="GK5" i="8"/>
  <c r="GL5" i="8"/>
  <c r="GM5" i="8"/>
  <c r="GL6" i="8"/>
  <c r="GN5" i="8"/>
  <c r="GO5" i="8"/>
  <c r="GP5" i="8"/>
  <c r="GQ5" i="8"/>
  <c r="GR5" i="8"/>
  <c r="GQ6" i="8"/>
  <c r="GS5" i="8"/>
  <c r="GT5" i="8"/>
  <c r="GU5" i="8"/>
  <c r="GV5" i="8"/>
  <c r="GW5" i="8"/>
  <c r="GV6" i="8"/>
  <c r="GX5" i="8"/>
  <c r="GY5" i="8"/>
  <c r="GZ5" i="8"/>
  <c r="HA5" i="8"/>
  <c r="HB5" i="8"/>
  <c r="HA6" i="8"/>
  <c r="HC5" i="8"/>
  <c r="HD5" i="8"/>
  <c r="HE5" i="8"/>
  <c r="HF5" i="8"/>
  <c r="HG5" i="8"/>
  <c r="HF6" i="8"/>
  <c r="HH5" i="8"/>
  <c r="HI5" i="8"/>
  <c r="HJ5" i="8"/>
  <c r="HK5" i="8"/>
  <c r="HL5" i="8"/>
  <c r="HK6" i="8"/>
  <c r="HM5" i="8"/>
  <c r="HN5" i="8"/>
  <c r="HO5" i="8"/>
  <c r="HP5" i="8"/>
  <c r="HQ5" i="8"/>
  <c r="HP6" i="8"/>
  <c r="HR5" i="8"/>
  <c r="HS5" i="8"/>
  <c r="HT5" i="8"/>
  <c r="HU5" i="8"/>
  <c r="HV5" i="8"/>
  <c r="HU6" i="8"/>
  <c r="HW5" i="8"/>
  <c r="HX5" i="8"/>
  <c r="HY5" i="8"/>
  <c r="HZ5" i="8"/>
  <c r="IA5" i="8"/>
  <c r="HZ6" i="8"/>
  <c r="IB5" i="8"/>
  <c r="IC5" i="8"/>
  <c r="ID5" i="8"/>
  <c r="IE5" i="8"/>
  <c r="IF5" i="8"/>
  <c r="IE6" i="8"/>
  <c r="IG5" i="8"/>
  <c r="IH5" i="8"/>
  <c r="II5" i="8"/>
  <c r="IJ5" i="8"/>
  <c r="IJ6" i="8"/>
  <c r="IK5" i="8"/>
  <c r="IL5" i="8"/>
  <c r="IM5" i="8"/>
  <c r="IN5" i="8"/>
  <c r="IO5" i="8"/>
  <c r="IO6" i="8"/>
  <c r="IP5" i="8"/>
  <c r="IQ5" i="8"/>
  <c r="IR5" i="8"/>
  <c r="IS5" i="8"/>
  <c r="IT5" i="8"/>
  <c r="IU5" i="8"/>
  <c r="IT6" i="8"/>
  <c r="IV5" i="8"/>
  <c r="IW5" i="8"/>
  <c r="IX5" i="8" l="1"/>
  <c r="IW4" i="8"/>
  <c r="IV4" i="8"/>
  <c r="C5" i="8"/>
  <c r="IU4" i="8"/>
  <c r="IS4" i="8"/>
  <c r="IR4" i="8"/>
  <c r="IQ4" i="8"/>
  <c r="IP4" i="8"/>
  <c r="IN4" i="8"/>
  <c r="IM4" i="8"/>
  <c r="IL4" i="8"/>
  <c r="IK4" i="8"/>
  <c r="II4" i="8"/>
  <c r="IH4" i="8"/>
  <c r="IG4" i="8"/>
  <c r="IF4" i="8"/>
  <c r="ID4" i="8"/>
  <c r="IC4" i="8"/>
  <c r="IB4" i="8"/>
  <c r="IA4" i="8"/>
  <c r="HY4" i="8"/>
  <c r="HX4" i="8"/>
  <c r="HW4" i="8"/>
  <c r="HV4" i="8"/>
  <c r="HT4" i="8"/>
  <c r="HS4" i="8"/>
  <c r="HR4" i="8"/>
  <c r="HQ4" i="8"/>
  <c r="HO4" i="8"/>
  <c r="HN4" i="8"/>
  <c r="HM4" i="8"/>
  <c r="HL4" i="8"/>
  <c r="HJ4" i="8"/>
  <c r="HI4" i="8"/>
  <c r="HH4" i="8"/>
  <c r="HG4" i="8"/>
  <c r="HE4" i="8"/>
  <c r="HD4" i="8"/>
  <c r="HC4" i="8"/>
  <c r="HB4" i="8"/>
  <c r="GZ4" i="8"/>
  <c r="GY4" i="8"/>
  <c r="GX4" i="8"/>
  <c r="GW4" i="8"/>
  <c r="GU4" i="8"/>
  <c r="GT4" i="8"/>
  <c r="GS4" i="8"/>
  <c r="GR4" i="8"/>
  <c r="GP4" i="8"/>
  <c r="GO4" i="8"/>
  <c r="GN4" i="8"/>
  <c r="GM4" i="8"/>
  <c r="GK4" i="8"/>
  <c r="GJ4" i="8"/>
  <c r="GI4" i="8"/>
  <c r="GH4" i="8"/>
  <c r="GF4" i="8"/>
  <c r="GE4" i="8"/>
  <c r="GD4" i="8"/>
  <c r="GC4" i="8"/>
  <c r="GA4" i="8"/>
  <c r="FZ4" i="8"/>
  <c r="FY4" i="8"/>
  <c r="FX4" i="8"/>
  <c r="FV4" i="8"/>
  <c r="FU4" i="8"/>
  <c r="FT4" i="8"/>
  <c r="FS4" i="8"/>
  <c r="FQ4" i="8"/>
  <c r="FP4" i="8"/>
  <c r="FO4" i="8"/>
  <c r="FN4" i="8"/>
  <c r="FL4" i="8"/>
  <c r="FK4" i="8"/>
  <c r="FJ4" i="8"/>
  <c r="FI4" i="8"/>
  <c r="FG4" i="8"/>
  <c r="FF4" i="8"/>
  <c r="FE4" i="8"/>
  <c r="FD4" i="8"/>
  <c r="FB4" i="8"/>
  <c r="FA4" i="8"/>
  <c r="EZ4" i="8"/>
  <c r="EY4" i="8"/>
  <c r="EW4" i="8"/>
  <c r="EV4" i="8"/>
  <c r="EU4" i="8"/>
  <c r="ET4" i="8"/>
  <c r="ER4" i="8"/>
  <c r="EQ4" i="8"/>
  <c r="EP4" i="8"/>
  <c r="EO4" i="8"/>
  <c r="EM4" i="8"/>
  <c r="EL4" i="8"/>
  <c r="EK4" i="8"/>
  <c r="EJ4" i="8"/>
  <c r="EH4" i="8"/>
  <c r="EG4" i="8"/>
  <c r="EF4" i="8"/>
  <c r="EE4" i="8"/>
  <c r="EC4" i="8"/>
  <c r="EB4" i="8"/>
  <c r="EA4" i="8"/>
  <c r="DZ4" i="8"/>
  <c r="DX4" i="8"/>
  <c r="DW4" i="8"/>
  <c r="DV4" i="8"/>
  <c r="DU4" i="8"/>
  <c r="DS4" i="8"/>
  <c r="DR4" i="8"/>
  <c r="DQ4" i="8"/>
  <c r="DP4" i="8"/>
  <c r="DN4" i="8"/>
  <c r="DM4" i="8"/>
  <c r="DL4" i="8"/>
  <c r="DK4" i="8"/>
  <c r="DI4" i="8"/>
  <c r="DH4" i="8"/>
  <c r="DG4" i="8"/>
  <c r="DF4" i="8"/>
  <c r="DD4" i="8"/>
  <c r="DC4" i="8"/>
  <c r="DB4" i="8"/>
  <c r="DA4" i="8"/>
  <c r="CY4" i="8"/>
  <c r="CX4" i="8"/>
  <c r="CW4" i="8"/>
  <c r="CV4" i="8"/>
  <c r="CT4" i="8"/>
  <c r="CS4" i="8"/>
  <c r="CR4" i="8"/>
  <c r="CQ4" i="8"/>
  <c r="CO4" i="8"/>
  <c r="CN4" i="8"/>
  <c r="CM4" i="8"/>
  <c r="CL4" i="8"/>
  <c r="CJ4" i="8"/>
  <c r="CI4" i="8"/>
  <c r="CH4" i="8"/>
  <c r="CG4" i="8"/>
  <c r="CE4" i="8"/>
  <c r="CD4" i="8"/>
  <c r="CC4" i="8"/>
  <c r="CB4" i="8"/>
  <c r="BZ4" i="8"/>
  <c r="BY4" i="8"/>
  <c r="BX4" i="8"/>
  <c r="BW4" i="8"/>
  <c r="BU4" i="8"/>
  <c r="BT4" i="8"/>
  <c r="BS4" i="8"/>
  <c r="BR4" i="8"/>
  <c r="BP4" i="8"/>
  <c r="BO4" i="8"/>
  <c r="BN4" i="8"/>
  <c r="BM4" i="8"/>
  <c r="BK4" i="8"/>
  <c r="BJ4" i="8"/>
  <c r="BI4" i="8"/>
  <c r="BH4" i="8"/>
  <c r="BF4" i="8"/>
  <c r="BE4" i="8"/>
  <c r="BD4" i="8"/>
  <c r="BC4" i="8"/>
  <c r="BA4" i="8"/>
  <c r="AZ4" i="8"/>
  <c r="AY4" i="8"/>
  <c r="AX4" i="8"/>
  <c r="O53" i="8"/>
  <c r="IJ4" i="8"/>
  <c r="HZ4" i="8"/>
  <c r="HP4" i="8"/>
  <c r="HF4" i="8"/>
  <c r="GV4" i="8"/>
  <c r="GL4" i="8"/>
  <c r="FR4" i="8"/>
  <c r="EX4" i="8"/>
  <c r="ED4" i="8"/>
  <c r="DJ4" i="8"/>
  <c r="CP4" i="8"/>
  <c r="BV4" i="8"/>
  <c r="BB4" i="8"/>
  <c r="IO4" i="8"/>
  <c r="GB4" i="8"/>
  <c r="FH4" i="8"/>
  <c r="EN4" i="8"/>
  <c r="DT4" i="8"/>
  <c r="CZ4" i="8"/>
  <c r="CF4" i="8"/>
  <c r="BL4" i="8"/>
  <c r="IE4" i="8"/>
  <c r="HU4" i="8"/>
  <c r="HK4" i="8"/>
  <c r="HA4" i="8"/>
  <c r="GQ4" i="8"/>
  <c r="GG4" i="8"/>
  <c r="FW4" i="8"/>
  <c r="FM4" i="8"/>
  <c r="FC4" i="8"/>
  <c r="ES4" i="8"/>
  <c r="EI4" i="8"/>
  <c r="DY4" i="8"/>
  <c r="DO4" i="8"/>
  <c r="DE4" i="8"/>
  <c r="CU4" i="8"/>
  <c r="CK4" i="8"/>
  <c r="CA4" i="8"/>
  <c r="BQ4" i="8"/>
  <c r="BG4" i="8"/>
  <c r="AW4" i="8"/>
  <c r="IT4" i="8"/>
  <c r="O54" i="8"/>
  <c r="P54" i="8"/>
  <c r="D78" i="8"/>
  <c r="E78" i="8"/>
  <c r="J78" i="8"/>
  <c r="P53" i="8"/>
  <c r="D55" i="8"/>
  <c r="F55" i="8"/>
  <c r="F78" i="8"/>
  <c r="G55" i="8"/>
  <c r="Q53" i="8" l="1"/>
  <c r="Q54" i="8"/>
  <c r="L78" i="8"/>
  <c r="E55" i="8"/>
  <c r="D79" i="8"/>
  <c r="E79" i="8"/>
  <c r="G78" i="8"/>
  <c r="F79" i="8"/>
  <c r="L79" i="8"/>
  <c r="L55" i="8"/>
  <c r="J79" i="8"/>
  <c r="J55" i="8"/>
  <c r="D56" i="8"/>
  <c r="E56" i="8"/>
  <c r="F56" i="8"/>
  <c r="L56" i="8"/>
  <c r="G56" i="8"/>
  <c r="O55" i="8" l="1"/>
  <c r="O78" i="8"/>
  <c r="Q78" i="8" s="1"/>
  <c r="O79" i="8"/>
  <c r="Q79" i="8" s="1"/>
  <c r="O56" i="8"/>
  <c r="G79" i="8"/>
  <c r="P78" i="8"/>
  <c r="D28" i="8"/>
  <c r="F28" i="8"/>
  <c r="L28" i="8"/>
  <c r="P55" i="8"/>
  <c r="D57" i="8"/>
  <c r="E57" i="8" s="1"/>
  <c r="P56" i="8"/>
  <c r="F57" i="8"/>
  <c r="P79" i="8"/>
  <c r="E28" i="8"/>
  <c r="G57" i="8"/>
  <c r="Q55" i="8" l="1"/>
  <c r="O28" i="8"/>
  <c r="M19" i="8"/>
  <c r="Q28" i="8"/>
  <c r="Q56" i="8"/>
  <c r="J28" i="8"/>
  <c r="L57" i="8"/>
  <c r="P28" i="8"/>
  <c r="D19" i="8"/>
  <c r="J19" i="8"/>
  <c r="G28" i="8"/>
  <c r="D58" i="8"/>
  <c r="E58" i="8" s="1"/>
  <c r="J58" i="8"/>
  <c r="D77" i="8"/>
  <c r="F58" i="8"/>
  <c r="L58" i="8"/>
  <c r="J77" i="8"/>
  <c r="M77" i="8" l="1"/>
  <c r="O58" i="8"/>
  <c r="Q58" i="8" s="1"/>
  <c r="O57" i="8"/>
  <c r="Q57" i="8" s="1"/>
  <c r="G58" i="8"/>
  <c r="E77" i="8"/>
  <c r="P57" i="8"/>
  <c r="E19" i="8"/>
  <c r="L77" i="8"/>
  <c r="F77" i="8" s="1"/>
  <c r="L19" i="8"/>
  <c r="P58" i="8"/>
  <c r="F19" i="8"/>
  <c r="O19" i="8" l="1"/>
  <c r="O77" i="8"/>
  <c r="N19" i="8"/>
  <c r="N77" i="8"/>
  <c r="G77" i="8"/>
  <c r="G19" i="8"/>
  <c r="P19" i="8"/>
  <c r="P77" i="8"/>
  <c r="Q19" i="8" l="1"/>
  <c r="Q77" i="8"/>
  <c r="M29" i="8" l="1"/>
  <c r="D29" i="8"/>
  <c r="E29" i="8" s="1"/>
  <c r="J29" i="8"/>
  <c r="L29" i="8"/>
  <c r="M8" i="8" l="1"/>
  <c r="O29" i="8"/>
  <c r="F29" i="8"/>
  <c r="G29" i="8" s="1"/>
  <c r="P29" i="8"/>
  <c r="O8" i="8" l="1"/>
  <c r="Q29" i="8"/>
  <c r="L8" i="8"/>
  <c r="P8" i="8"/>
  <c r="N29" i="8"/>
  <c r="F8" i="8"/>
  <c r="F13" i="10" l="1"/>
  <c r="B14" i="10"/>
  <c r="F14" i="10"/>
  <c r="Q8" i="8"/>
  <c r="N8" i="8"/>
  <c r="G8" i="8"/>
  <c r="D14" i="10" l="1"/>
</calcChain>
</file>

<file path=xl/sharedStrings.xml><?xml version="1.0" encoding="utf-8"?>
<sst xmlns="http://schemas.openxmlformats.org/spreadsheetml/2006/main" count="260" uniqueCount="176">
  <si>
    <t>WBS</t>
  </si>
  <si>
    <t>شروع</t>
  </si>
  <si>
    <t>پایان</t>
  </si>
  <si>
    <t>مدت دوره (روز)</t>
  </si>
  <si>
    <t>% تکمیل</t>
  </si>
  <si>
    <t>روزهای کاری</t>
  </si>
  <si>
    <t>روزهای مانده</t>
  </si>
  <si>
    <t>مدیر پروژه</t>
  </si>
  <si>
    <t>وظیفه</t>
  </si>
  <si>
    <t>شخص</t>
  </si>
  <si>
    <t>میزان کار انجام شده (روز)</t>
  </si>
  <si>
    <t>مناسبت</t>
  </si>
  <si>
    <t>عید نوروز</t>
  </si>
  <si>
    <t>روز جمهوري اسلامي ايران</t>
  </si>
  <si>
    <t>جشن سيزده بدر</t>
  </si>
  <si>
    <t>شهادت حضرت فاطمه زهرا سلام الله عليها </t>
  </si>
  <si>
    <t>ولادت امام علي عليه السلام</t>
  </si>
  <si>
    <t>رحلت حضرت امام خميني</t>
  </si>
  <si>
    <t>قيام 15 خرداد</t>
  </si>
  <si>
    <t>مبعث رسول اكرم </t>
  </si>
  <si>
    <t>ولادت حضرت قائم عجل الله تعالي فرجه و جشن نيمه شعبان </t>
  </si>
  <si>
    <t>شهادت حضرت علي عليه السلام</t>
  </si>
  <si>
    <t>تعطيل به مناسبت عيد سعيد فطر</t>
  </si>
  <si>
    <t>شهادت امام جعفر صادق عليه السلام</t>
  </si>
  <si>
    <t>عيد سعيد قربان</t>
  </si>
  <si>
    <t>عيد سعيد غدير خم</t>
  </si>
  <si>
    <t>تاسوعاي حسيني</t>
  </si>
  <si>
    <t>عاشوراي حسيني</t>
  </si>
  <si>
    <t>اربعين حسيني</t>
  </si>
  <si>
    <t>رحلت رسول اكرم؛شهادت امام حسن مجتبي عليه السلام</t>
  </si>
  <si>
    <t>شهادت امام رضا عليه السلام </t>
  </si>
  <si>
    <t>ميلاد رسول اكرم و امام جعفر صادق عليه السلام</t>
  </si>
  <si>
    <t>پيروزي انقلاب اسلامي</t>
  </si>
  <si>
    <t>روز ملي شدن صنعت نفت ايران</t>
  </si>
  <si>
    <t>date</t>
  </si>
  <si>
    <t>ok</t>
  </si>
  <si>
    <t>Friday</t>
  </si>
  <si>
    <t>month</t>
  </si>
  <si>
    <t>year</t>
  </si>
  <si>
    <t>0</t>
  </si>
  <si>
    <t>روز شروع فعالیت(روز هفته)</t>
  </si>
  <si>
    <t>تعداد روز بعد از فعالیت</t>
  </si>
  <si>
    <t>پیش نیاز فعالیت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</si>
  <si>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</si>
  <si>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</si>
  <si>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</si>
  <si>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</si>
  <si>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</si>
  <si>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</si>
  <si>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</si>
  <si>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</si>
  <si>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</si>
  <si>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</si>
  <si>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</si>
  <si>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</si>
  <si>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</si>
  <si>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</si>
  <si>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</si>
  <si>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</si>
  <si>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</si>
  <si>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</si>
  <si>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</si>
  <si>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</si>
  <si>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</si>
  <si>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</si>
  <si>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</si>
  <si>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</si>
  <si>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</si>
  <si>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تحویل نهايي دستاوردهای پروژه</t>
  </si>
  <si>
    <t>میزان تخفیف (همکاری ویژه)</t>
  </si>
  <si>
    <t>هزینه نفر ماه (قرارداد)</t>
  </si>
  <si>
    <t>هفته در حال نمایش :</t>
  </si>
  <si>
    <t>کارفرما</t>
  </si>
  <si>
    <t>انتقال پورتال به دامنه اصلی کارفرما</t>
  </si>
  <si>
    <t xml:space="preserve">ارائه سند نيازمنديهاي شبکه و سخت افزار سرور و نرم افزار های مورد نیاز به کارفرما </t>
  </si>
  <si>
    <t>1398/01/01</t>
  </si>
  <si>
    <t>1398/01/02</t>
  </si>
  <si>
    <t>1398/01/03</t>
  </si>
  <si>
    <t>1398/01/04</t>
  </si>
  <si>
    <t>1398/01/12</t>
  </si>
  <si>
    <t>1398/01/13</t>
  </si>
  <si>
    <t>1398/03/14</t>
  </si>
  <si>
    <t>1398/03/15</t>
  </si>
  <si>
    <t>1398/11/22</t>
  </si>
  <si>
    <t>1398/12/29</t>
  </si>
  <si>
    <t>1398/01/14</t>
  </si>
  <si>
    <t>1398/02/01</t>
  </si>
  <si>
    <t>1398/03/05</t>
  </si>
  <si>
    <t>1398/03/16</t>
  </si>
  <si>
    <t>1398/04/08</t>
  </si>
  <si>
    <t>1398/05/21</t>
  </si>
  <si>
    <t>1398/05/29</t>
  </si>
  <si>
    <t>1398/06/18</t>
  </si>
  <si>
    <t>1398/06/19</t>
  </si>
  <si>
    <t>1398/07/27</t>
  </si>
  <si>
    <t>1398/08/05</t>
  </si>
  <si>
    <t>1398/08/07</t>
  </si>
  <si>
    <t>1398/08/15</t>
  </si>
  <si>
    <t>شهادت امام حسن عسکری علیه السلام</t>
  </si>
  <si>
    <t>1398/08/24</t>
  </si>
  <si>
    <t>1398/11/09</t>
  </si>
  <si>
    <t>1398/12/18</t>
  </si>
  <si>
    <t>مصطفی ابراهیمی مطلق</t>
  </si>
  <si>
    <t>مشترک</t>
  </si>
  <si>
    <t>پیمانکار</t>
  </si>
  <si>
    <t>تدوین سند شناخت وضع جاری</t>
  </si>
  <si>
    <t>معرفی مدیر پروژه کارفرما به پیمانکار</t>
  </si>
  <si>
    <t>اقدامات اجرایی پیکربندی، مدیریت و کاربرد نرم افزار</t>
  </si>
  <si>
    <t>ارائه طرح آموزش و برنامه زمانبندی و مکانی برگزاری جلسات آموزشی</t>
  </si>
  <si>
    <t>مدیریت، برنامه ریزی مالی و کنترل پیشرفت پروژه</t>
  </si>
  <si>
    <t>تنظیم و امضاء صورت جلسه تحویل پروژه</t>
  </si>
  <si>
    <t>پیکربندی ماژول های پست الکترونیک و پیام کوتاه  بر روی سرویس دهنده های پست الکترونیک و پیام کوتاه کارفرما</t>
  </si>
  <si>
    <t xml:space="preserve">تامين و آماده سازي شبکه و زيرساخت سخت افزاری و نرم افزاری مورد نياز (سرور  اصلی و میرور) توسط کارفرما </t>
  </si>
  <si>
    <t>پرداخت پیش پرداخت قرارداد</t>
  </si>
  <si>
    <t>استقرار زيرساخت  وآماده سازی  زیر ساخت نرم افزاری سامان سوئیت</t>
  </si>
  <si>
    <t>کانورت مکانیزه اطلاعات</t>
  </si>
  <si>
    <t>اعلام ماژول های محتوایی کارفرما</t>
  </si>
  <si>
    <t>ارایه فایل های اکسل ماژول های محتوایی اعلام شده از طرف کارفرما</t>
  </si>
  <si>
    <t>تکمیل و ارسال اطلاعات</t>
  </si>
  <si>
    <t>تصحیح محتوای درج شده به صورت مکانیزه در زیر ساخت جدید</t>
  </si>
  <si>
    <t>تکمیل محتوای درج شده در وب سایت قبلی حد فاصل زمان انتقال اطلاعات در پورتال جدید</t>
  </si>
  <si>
    <t>ارائه دسترسی راه دور به سرور از طریق (ssh) با حق دسترسی مدیریت</t>
  </si>
  <si>
    <t>نصب و پیکربندی سرور پورتال و زیر ساخت نرم افزاری پایه آن</t>
  </si>
  <si>
    <t>جمع بندی نيازمنديهای فرايند شناخت و تدوین سند معماری محتوا (تدریجی)</t>
  </si>
  <si>
    <t>ارائه سر صفحه اختصاصی زیر پورتال بیمه مسافرتی</t>
  </si>
  <si>
    <t>معرفی نمایندگان کارفرما به تفکیک سطوح کاربری دارای دانش و مهارت های پیش نیاز آموزش نرم افزار</t>
  </si>
  <si>
    <t>برگزاری جلسات آموزش راهبر زیر پورتال (4 ساعت)</t>
  </si>
  <si>
    <t>ارائه خدمات آموزش</t>
  </si>
  <si>
    <t>برگزاری جلسات آموزش زیر ساخت توسعه پذیری نرم افزار (6 ساعت)</t>
  </si>
  <si>
    <t>اعلام نام های کاربری و حقوق دسترسی مورد نیاز هر یک از کاربران و اطلاعات مورد نیاز جهت تنظیم</t>
  </si>
  <si>
    <t>معرفی مدیر پروژه پیمانکار به کارفرما پس از ابلاغ قرارداد</t>
  </si>
  <si>
    <t>نصب و پیکربندی نرم افزار سامان سوئیت و سایر نرم افزاری های موضوع قرارداد بر روی سرور</t>
  </si>
  <si>
    <t>تهیه و نگهداری نسخه های پشتیبان نرم افزار سامان سوئیت</t>
  </si>
  <si>
    <t>تحویل نرم افزار نصب شده مطابق با مجوزهای جدول الف و ب پیوست 8 قرارداد بر روی سرور کارفرما به کارفرما</t>
  </si>
  <si>
    <t>ارائه خدمات اجرایی موضوع قرارداد</t>
  </si>
  <si>
    <t>تعریف و اعطای حق دسترسی به کاربران و گروه های کاربری اعلام شده</t>
  </si>
  <si>
    <t>برگزاری جلسات آموزش  راهبری و مدیریتی  (9 ساعت)</t>
  </si>
  <si>
    <t>برگزاری جلسات آموزش کاربری(9 ساعت)</t>
  </si>
  <si>
    <t>تحویل سرور اصلی  به کارفرما</t>
  </si>
  <si>
    <t>تکمیل پرسش نامه های نیاز سنجی محتوایی و گرافیکی  پورتال اصلی (فارسی)</t>
  </si>
  <si>
    <t xml:space="preserve">ارائه پرسش نامه های نیازسنجی محتوایی و گرافیکی </t>
  </si>
  <si>
    <t xml:space="preserve"> بررسی و تایید مستند معماری محتوا توسط کارفرما (تدریجی)</t>
  </si>
  <si>
    <t>راه اندازی اولیه زیرپورتال عمر</t>
  </si>
  <si>
    <t>تحویل راه اندازی اولیه زیر پورتال عمر   (1 روز تست پیمانکار ، 2 روز تست  کارفرما)</t>
  </si>
  <si>
    <t>راه اندازی  اولیه زیرپورتال بیمه مسافرتی</t>
  </si>
  <si>
    <t>تحویل راه اندازی اولیه زیر پورتال مسافرتی (1 روز تست پیمانکار ، 2 روز تست  کارفرما)</t>
  </si>
  <si>
    <t>تحویل راه اندازی اولیه  زیرپورتال سهامداران (1 روز تست پیمانکار ، 2 روز تست  کارفرما)</t>
  </si>
  <si>
    <r>
      <t xml:space="preserve">ارائه یک قالب گرافیکی  فارسی  برای </t>
    </r>
    <r>
      <rPr>
        <b/>
        <sz val="8"/>
        <rFont val="B Nazanin"/>
        <charset val="178"/>
      </rPr>
      <t>زیر پورتال اینترنتی(فارسی)</t>
    </r>
  </si>
  <si>
    <r>
      <rPr>
        <b/>
        <sz val="10"/>
        <rFont val="B Nazanin"/>
        <charset val="178"/>
      </rPr>
      <t>راه اندازی اولیه</t>
    </r>
    <r>
      <rPr>
        <sz val="9"/>
        <rFont val="B Nazanin"/>
        <charset val="178"/>
      </rPr>
      <t xml:space="preserve"> زیر پورتال شامل موارد زیر می گردد:
ایجاد زیرپورتال بر اساس ماژولهای منتخب از پورتال اصلی
ایجاد ساختار محتوا و سرفصل های اطلاعاتی
پیاده سازی چیدمان صفحه اصلی
طراحی سرصفحه نمای گرافیکی (منطبق بر طرح پایه)
</t>
    </r>
    <r>
      <rPr>
        <sz val="10"/>
        <rFont val="B Nazanin"/>
        <charset val="178"/>
      </rPr>
      <t>راه اندازی کامل</t>
    </r>
    <r>
      <rPr>
        <sz val="9"/>
        <rFont val="B Nazanin"/>
        <charset val="178"/>
      </rPr>
      <t xml:space="preserve"> زیر پورتال مازاد بر راه اندازی اولیه زیر پورتال شامل موارد زیر می گردد:
تعریف کاربران و تنظیم حقوق دسترسی
ورود اطلاعات محتوا
آموزش راهبر پورتال</t>
    </r>
  </si>
  <si>
    <t>تکمیل پرسش نامه های نیاز سنجی محتوایی پورتال بیمه عمر و سرمایه گزاری</t>
  </si>
  <si>
    <t>تکمیل پرسش نامه های نیاز سنجی محتوایی پورتال  بیمه مسافرتی</t>
  </si>
  <si>
    <t>ارائه سر صفحه اختصاصی زیر پورتال بیمه عمر و سرمایه گزاری</t>
  </si>
  <si>
    <t>نهایی سازی سر صفحه اختصاصی زیر پورتال بیمه عمر و سرمایه گزاری مطابق نظر کارفرما (اعلام نظر کارفرما : 1 روز کاری و  نهایی سازی: 2 روزکاری)</t>
  </si>
  <si>
    <t>نهایی سازی سر صفحه اختصاصی زیر پورتال بیمه مسافرتی مطابق نظر کارفرما (اعلام نظر کارفرما و نهایی سازی: 2 روزکاری)</t>
  </si>
  <si>
    <t>جلسه دوم پروژه (بررسی واسط کاربری)</t>
  </si>
  <si>
    <t>پرداخت مرحله اول قرارداد</t>
  </si>
  <si>
    <t>جلسه سوم (نهایی سازی واسط کاربری)</t>
  </si>
  <si>
    <t>1.9</t>
  </si>
  <si>
    <t>جلسه چهارم (بررسی سامانه سهامداران)</t>
  </si>
  <si>
    <r>
      <t xml:space="preserve">نهایی سازی سر صفحه اختصاصی زیر پورتال </t>
    </r>
    <r>
      <rPr>
        <b/>
        <sz val="8"/>
        <rFont val="B Nazanin"/>
        <charset val="178"/>
      </rPr>
      <t>نمایندگان</t>
    </r>
    <r>
      <rPr>
        <sz val="8"/>
        <rFont val="B Nazanin"/>
        <charset val="178"/>
      </rPr>
      <t xml:space="preserve"> مطابق نظر کارفرما (اعلام نظر کارفرما: 1 روز کاری  و نهایی سازی: 2 روزکاری)</t>
    </r>
  </si>
  <si>
    <r>
      <t xml:space="preserve">ارائه سر صفحه اختصاصی زیر پورتال </t>
    </r>
    <r>
      <rPr>
        <b/>
        <sz val="8"/>
        <rFont val="B Nazanin"/>
        <charset val="178"/>
      </rPr>
      <t>نمایندگان</t>
    </r>
  </si>
  <si>
    <r>
      <t xml:space="preserve">ارائه سر صفحه اختصاصی برای زیر پورتال </t>
    </r>
    <r>
      <rPr>
        <b/>
        <sz val="8"/>
        <rFont val="B Nazanin"/>
        <charset val="178"/>
      </rPr>
      <t>سهامداران</t>
    </r>
    <r>
      <rPr>
        <sz val="8"/>
        <rFont val="B Nazanin"/>
        <charset val="178"/>
      </rPr>
      <t xml:space="preserve"> </t>
    </r>
  </si>
  <si>
    <r>
      <t xml:space="preserve">نهایی سازی سر صفحه اختصاصی  برای زیر پورتال </t>
    </r>
    <r>
      <rPr>
        <b/>
        <sz val="8"/>
        <rFont val="B Nazanin"/>
        <charset val="178"/>
      </rPr>
      <t>سهامداران</t>
    </r>
    <r>
      <rPr>
        <sz val="8"/>
        <rFont val="B Nazanin"/>
        <charset val="178"/>
      </rPr>
      <t xml:space="preserve"> مطابق نظر کارفرما (اعلام نظر کارفرما : 1 روز کاری و نهایی سازی: 2 روزکاری)</t>
    </r>
  </si>
  <si>
    <r>
      <t xml:space="preserve">راه اندازی کامل زیرپورتال </t>
    </r>
    <r>
      <rPr>
        <b/>
        <sz val="8"/>
        <rFont val="B Nazanin"/>
        <charset val="178"/>
      </rPr>
      <t>اینترنتی</t>
    </r>
    <r>
      <rPr>
        <sz val="8"/>
        <rFont val="B Nazanin"/>
        <charset val="178"/>
      </rPr>
      <t xml:space="preserve"> (نسخه فارسی)</t>
    </r>
  </si>
  <si>
    <r>
      <t xml:space="preserve">نهایی سازی قالب گرافیکی  برای پورتال </t>
    </r>
    <r>
      <rPr>
        <b/>
        <sz val="8"/>
        <rFont val="B Nazanin"/>
        <charset val="178"/>
      </rPr>
      <t>اینترنتی</t>
    </r>
    <r>
      <rPr>
        <sz val="8"/>
        <rFont val="B Nazanin"/>
        <charset val="178"/>
      </rPr>
      <t xml:space="preserve"> مطابق نظر کارفرما (اعلام نظر کارفرما: 3 روز کاری، نهایی سازی: 2 روزکاری)</t>
    </r>
  </si>
  <si>
    <r>
      <t xml:space="preserve">راه اندازی کامل زیر پورتال  </t>
    </r>
    <r>
      <rPr>
        <b/>
        <sz val="8"/>
        <rFont val="B Nazanin"/>
        <charset val="178"/>
      </rPr>
      <t>نمایندگان</t>
    </r>
  </si>
  <si>
    <r>
      <t xml:space="preserve">تحویل راه اندازی کامل زیر پورتال </t>
    </r>
    <r>
      <rPr>
        <b/>
        <sz val="8"/>
        <rFont val="B Nazanin"/>
        <charset val="178"/>
      </rPr>
      <t>اینترنتی</t>
    </r>
    <r>
      <rPr>
        <sz val="8"/>
        <rFont val="B Nazanin"/>
        <charset val="178"/>
      </rPr>
      <t xml:space="preserve"> (نسخه فارسی)  (1 روز تست پیمانکار ، 2 روز تست  کارفرما)</t>
    </r>
  </si>
  <si>
    <r>
      <t xml:space="preserve">تحویل راه اندازی کامل زیر پورتال </t>
    </r>
    <r>
      <rPr>
        <b/>
        <sz val="8"/>
        <rFont val="B Nazanin"/>
        <charset val="178"/>
      </rPr>
      <t>نمایندگان</t>
    </r>
    <r>
      <rPr>
        <sz val="8"/>
        <rFont val="B Nazanin"/>
        <charset val="178"/>
      </rPr>
      <t xml:space="preserve"> (1 روز تست پیمانکار ، 2 روز تست  کارفرما)</t>
    </r>
  </si>
  <si>
    <r>
      <t xml:space="preserve">راه اندازی اولیه زیرپورتال </t>
    </r>
    <r>
      <rPr>
        <b/>
        <sz val="8"/>
        <rFont val="B Nazanin"/>
        <charset val="178"/>
      </rPr>
      <t>سهامداران</t>
    </r>
  </si>
  <si>
    <r>
      <t xml:space="preserve">تکمیل پرسش نامه های نیاز سنجی محتوایی پورتال </t>
    </r>
    <r>
      <rPr>
        <b/>
        <sz val="8"/>
        <rFont val="B Nazanin"/>
        <charset val="178"/>
      </rPr>
      <t>نمایندگان</t>
    </r>
  </si>
  <si>
    <r>
      <t xml:space="preserve">تکمیل پرسش نامه های نیاز سنجی محتوایی پورتال </t>
    </r>
    <r>
      <rPr>
        <b/>
        <sz val="8"/>
        <rFont val="B Nazanin"/>
        <charset val="178"/>
      </rPr>
      <t>سهامداران</t>
    </r>
  </si>
  <si>
    <r>
      <t>تهيه برنامه زمانبندي msp  و گ</t>
    </r>
    <r>
      <rPr>
        <b/>
        <sz val="8"/>
        <rFont val="B Nazanin"/>
        <charset val="178"/>
      </rPr>
      <t>انت چارت</t>
    </r>
    <r>
      <rPr>
        <sz val="8"/>
        <rFont val="B Nazanin"/>
        <charset val="178"/>
      </rPr>
      <t xml:space="preserve"> اجرايي پروژه</t>
    </r>
  </si>
  <si>
    <r>
      <t xml:space="preserve">تنظیم روال های تهیه </t>
    </r>
    <r>
      <rPr>
        <b/>
        <sz val="8"/>
        <rFont val="B Nazanin"/>
        <charset val="178"/>
      </rPr>
      <t>نسخه پشتیبان</t>
    </r>
    <r>
      <rPr>
        <sz val="8"/>
        <rFont val="B Nazanin"/>
        <charset val="178"/>
      </rPr>
      <t xml:space="preserve"> دوره ای از نرم افزار سامان سوئیت</t>
    </r>
  </si>
  <si>
    <t>طراحی و پیاده سازی پورتال اینترنتی و زیر پورتال های بانک اقتصاد نوین</t>
  </si>
  <si>
    <t>1398/10/01</t>
  </si>
  <si>
    <t>جلسه اول پروژه (معارفه)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</si>
</sst>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33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b/>
      <sz val="14"/>
      <color indexed="1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11"/>
      <color theme="1"/>
      <name val="B Mitra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8"/>
      <name val="B Nazanin"/>
      <charset val="178"/>
    </font>
    <font>
      <sz val="8"/>
      <name val="B Nazanin"/>
      <charset val="178"/>
    </font>
    <font>
      <sz val="11"/>
      <name val="B Nazanin"/>
      <charset val="178"/>
    </font>
    <font>
      <sz val="9"/>
      <name val="B Nazanin"/>
      <charset val="178"/>
    </font>
    <font>
      <b/>
      <sz val="10"/>
      <name val="B Nazanin"/>
      <charset val="178"/>
    </font>
    <font>
      <sz val="10"/>
      <name val="B Nazanin"/>
      <charset val="178"/>
    </font>
    <font>
      <u/>
      <sz val="10"/>
      <color indexed="12"/>
      <name val="B Nazanin"/>
      <charset val="178"/>
    </font>
    <font>
      <b/>
      <sz val="14"/>
      <color indexed="16"/>
      <name val="B Nazanin"/>
      <charset val="178"/>
    </font>
    <font>
      <sz val="9"/>
      <color theme="0"/>
      <name val="B Nazanin"/>
      <charset val="178"/>
    </font>
    <font>
      <b/>
      <sz val="11"/>
      <color indexed="16"/>
      <name val="B Nazanin"/>
      <charset val="178"/>
    </font>
    <font>
      <u/>
      <sz val="8"/>
      <color indexed="12"/>
      <name val="B Nazanin"/>
      <charset val="178"/>
    </font>
    <font>
      <sz val="6"/>
      <name val="B Nazanin"/>
      <charset val="17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0" fillId="0" borderId="0"/>
    <xf numFmtId="164" fontId="14" fillId="0" borderId="0" applyFont="0" applyFill="0" applyBorder="0" applyAlignment="0" applyProtection="0"/>
    <xf numFmtId="0" fontId="10" fillId="0" borderId="0"/>
    <xf numFmtId="0" fontId="19" fillId="0" borderId="0" applyNumberFormat="0" applyFill="0" applyBorder="0" applyAlignment="0" applyProtection="0"/>
    <xf numFmtId="0" fontId="20" fillId="0" borderId="0"/>
  </cellStyleXfs>
  <cellXfs count="342">
    <xf numFmtId="0" fontId="0" fillId="0" borderId="0" xfId="0"/>
    <xf numFmtId="0" fontId="4" fillId="2" borderId="2" xfId="0" applyFont="1" applyFill="1" applyBorder="1"/>
    <xf numFmtId="1" fontId="4" fillId="2" borderId="2" xfId="0" applyNumberFormat="1" applyFont="1" applyFill="1" applyBorder="1"/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0" fontId="4" fillId="0" borderId="0" xfId="0" applyFont="1"/>
    <xf numFmtId="0" fontId="11" fillId="0" borderId="0" xfId="3" applyFont="1" applyFill="1" applyAlignment="1">
      <alignment horizontal="center" vertical="center"/>
    </xf>
    <xf numFmtId="0" fontId="11" fillId="0" borderId="0" xfId="3" applyNumberFormat="1" applyFont="1" applyFill="1" applyAlignment="1">
      <alignment horizontal="center" vertical="center"/>
    </xf>
    <xf numFmtId="0" fontId="11" fillId="0" borderId="0" xfId="3" applyFont="1" applyFill="1" applyAlignment="1">
      <alignment horizontal="right" vertical="center"/>
    </xf>
    <xf numFmtId="0" fontId="12" fillId="0" borderId="0" xfId="3" applyFont="1" applyFill="1" applyAlignment="1">
      <alignment horizontal="right" vertical="center"/>
    </xf>
    <xf numFmtId="165" fontId="4" fillId="0" borderId="2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6" fillId="0" borderId="0" xfId="0" applyFont="1"/>
    <xf numFmtId="166" fontId="16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6" fillId="0" borderId="0" xfId="4" applyNumberFormat="1" applyFont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/>
    </xf>
    <xf numFmtId="167" fontId="6" fillId="2" borderId="0" xfId="4" applyNumberFormat="1" applyFont="1" applyFill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167" fontId="16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16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166" fontId="16" fillId="0" borderId="5" xfId="4" applyNumberFormat="1" applyFont="1" applyBorder="1" applyAlignment="1">
      <alignment horizontal="center"/>
    </xf>
    <xf numFmtId="167" fontId="16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16" fillId="0" borderId="0" xfId="0" applyNumberFormat="1" applyFont="1"/>
    <xf numFmtId="1" fontId="4" fillId="0" borderId="0" xfId="0" applyNumberFormat="1" applyFont="1"/>
    <xf numFmtId="165" fontId="18" fillId="0" borderId="10" xfId="0" applyNumberFormat="1" applyFont="1" applyBorder="1" applyAlignment="1">
      <alignment horizontal="center"/>
    </xf>
    <xf numFmtId="167" fontId="17" fillId="0" borderId="10" xfId="0" applyNumberFormat="1" applyFont="1" applyBorder="1" applyAlignment="1">
      <alignment horizontal="center"/>
    </xf>
    <xf numFmtId="168" fontId="17" fillId="0" borderId="10" xfId="2" applyNumberFormat="1" applyFont="1" applyBorder="1" applyAlignment="1">
      <alignment horizontal="center"/>
    </xf>
    <xf numFmtId="1" fontId="18" fillId="0" borderId="5" xfId="4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18" fillId="0" borderId="0" xfId="0" applyNumberFormat="1" applyFont="1" applyBorder="1" applyAlignment="1">
      <alignment horizontal="center" readingOrder="2"/>
    </xf>
    <xf numFmtId="164" fontId="16" fillId="0" borderId="0" xfId="4" applyFont="1"/>
    <xf numFmtId="164" fontId="16" fillId="0" borderId="5" xfId="4" applyFont="1" applyBorder="1"/>
    <xf numFmtId="167" fontId="4" fillId="0" borderId="5" xfId="4" applyNumberFormat="1" applyFont="1" applyBorder="1"/>
    <xf numFmtId="167" fontId="17" fillId="0" borderId="5" xfId="4" applyNumberFormat="1" applyFont="1" applyBorder="1"/>
    <xf numFmtId="166" fontId="16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6" fillId="0" borderId="14" xfId="0" applyNumberFormat="1" applyFont="1" applyFill="1" applyBorder="1" applyAlignment="1">
      <alignment horizontal="center" vertical="center" wrapText="1"/>
    </xf>
    <xf numFmtId="166" fontId="16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16" fillId="0" borderId="16" xfId="4" applyNumberFormat="1" applyFont="1" applyBorder="1" applyAlignment="1">
      <alignment horizontal="center" vertical="center"/>
    </xf>
    <xf numFmtId="167" fontId="17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6" fillId="0" borderId="16" xfId="0" applyNumberFormat="1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right" wrapText="1"/>
    </xf>
    <xf numFmtId="165" fontId="6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15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16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15" fillId="0" borderId="2" xfId="0" applyFont="1" applyFill="1" applyBorder="1" applyAlignment="1">
      <alignment wrapText="1"/>
    </xf>
    <xf numFmtId="0" fontId="4" fillId="0" borderId="2" xfId="0" applyFont="1" applyFill="1" applyBorder="1" applyProtection="1"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5" fillId="2" borderId="0" xfId="0" applyFont="1" applyFill="1" applyAlignment="1" applyProtection="1">
      <alignment vertical="center"/>
    </xf>
    <xf numFmtId="165" fontId="5" fillId="0" borderId="0" xfId="0" applyNumberFormat="1" applyFont="1" applyFill="1" applyAlignment="1" applyProtection="1">
      <alignment horizontal="center" vertical="center"/>
    </xf>
    <xf numFmtId="0" fontId="6" fillId="0" borderId="0" xfId="0" applyFont="1" applyProtection="1"/>
    <xf numFmtId="0" fontId="6" fillId="0" borderId="0" xfId="0" applyFont="1" applyFill="1" applyBorder="1" applyProtection="1"/>
    <xf numFmtId="0" fontId="6" fillId="0" borderId="0" xfId="0" applyFont="1" applyBorder="1" applyAlignment="1" applyProtection="1">
      <alignment horizontal="left"/>
    </xf>
    <xf numFmtId="0" fontId="6" fillId="0" borderId="0" xfId="0" applyNumberFormat="1" applyFont="1" applyBorder="1" applyAlignment="1" applyProtection="1">
      <alignment horizontal="left"/>
    </xf>
    <xf numFmtId="165" fontId="6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/>
    <xf numFmtId="14" fontId="4" fillId="0" borderId="0" xfId="0" applyNumberFormat="1" applyFont="1" applyBorder="1" applyAlignment="1" applyProtection="1">
      <alignment horizontal="left"/>
    </xf>
    <xf numFmtId="14" fontId="7" fillId="0" borderId="0" xfId="0" applyNumberFormat="1" applyFont="1" applyBorder="1" applyAlignment="1" applyProtection="1">
      <alignment horizontal="left"/>
    </xf>
    <xf numFmtId="165" fontId="7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13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6" fillId="0" borderId="17" xfId="0" applyFont="1" applyBorder="1" applyAlignment="1" applyProtection="1">
      <alignment horizontal="right" indent="1"/>
    </xf>
    <xf numFmtId="14" fontId="6" fillId="0" borderId="0" xfId="0" applyNumberFormat="1" applyFont="1" applyBorder="1" applyAlignment="1" applyProtection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Alignment="1" applyProtection="1">
      <alignment horizontal="right"/>
    </xf>
    <xf numFmtId="14" fontId="6" fillId="0" borderId="0" xfId="0" applyNumberFormat="1" applyFont="1" applyFill="1" applyProtection="1"/>
    <xf numFmtId="0" fontId="8" fillId="0" borderId="1" xfId="0" applyFont="1" applyBorder="1" applyAlignment="1" applyProtection="1">
      <alignment horizontal="center"/>
    </xf>
    <xf numFmtId="165" fontId="8" fillId="0" borderId="1" xfId="0" applyNumberFormat="1" applyFont="1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6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65" fontId="4" fillId="6" borderId="2" xfId="0" applyNumberFormat="1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0" fontId="4" fillId="0" borderId="2" xfId="0" applyFont="1" applyFill="1" applyBorder="1" applyProtection="1"/>
    <xf numFmtId="1" fontId="4" fillId="0" borderId="2" xfId="0" applyNumberFormat="1" applyFont="1" applyFill="1" applyBorder="1" applyAlignment="1" applyProtection="1">
      <alignment horizontal="center"/>
    </xf>
    <xf numFmtId="165" fontId="4" fillId="0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165" fontId="6" fillId="0" borderId="0" xfId="0" applyNumberFormat="1" applyFont="1" applyAlignment="1" applyProtection="1">
      <alignment horizontal="center" vertical="center"/>
    </xf>
    <xf numFmtId="167" fontId="6" fillId="0" borderId="0" xfId="4" applyNumberFormat="1" applyFont="1" applyAlignment="1" applyProtection="1">
      <alignment horizontal="center" readingOrder="2"/>
    </xf>
    <xf numFmtId="165" fontId="6" fillId="0" borderId="0" xfId="0" applyNumberFormat="1" applyFont="1" applyFill="1" applyBorder="1" applyAlignment="1" applyProtection="1">
      <alignment horizontal="center" vertical="center"/>
    </xf>
    <xf numFmtId="167" fontId="6" fillId="0" borderId="0" xfId="4" applyNumberFormat="1" applyFont="1" applyFill="1" applyBorder="1" applyAlignment="1" applyProtection="1">
      <alignment horizontal="center" readingOrder="2"/>
    </xf>
    <xf numFmtId="165" fontId="6" fillId="2" borderId="0" xfId="0" applyNumberFormat="1" applyFont="1" applyFill="1" applyAlignment="1" applyProtection="1">
      <alignment horizontal="center" vertical="center"/>
    </xf>
    <xf numFmtId="167" fontId="6" fillId="2" borderId="0" xfId="4" applyNumberFormat="1" applyFont="1" applyFill="1" applyAlignment="1" applyProtection="1">
      <alignment horizontal="center" readingOrder="2"/>
    </xf>
    <xf numFmtId="0" fontId="6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6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16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6" fillId="0" borderId="0" xfId="0" applyFont="1" applyAlignment="1" applyProtection="1">
      <alignment horizontal="right" indent="1"/>
    </xf>
    <xf numFmtId="0" fontId="6" fillId="0" borderId="0" xfId="0" applyFont="1" applyAlignment="1" applyProtection="1">
      <alignment horizontal="center"/>
    </xf>
    <xf numFmtId="0" fontId="6" fillId="0" borderId="0" xfId="0" applyNumberFormat="1" applyFont="1" applyProtection="1"/>
    <xf numFmtId="0" fontId="13" fillId="0" borderId="0" xfId="0" applyFont="1" applyAlignment="1" applyProtection="1">
      <alignment horizontal="center"/>
    </xf>
    <xf numFmtId="165" fontId="6" fillId="0" borderId="0" xfId="0" applyNumberFormat="1" applyFont="1" applyAlignment="1" applyProtection="1">
      <alignment horizontal="center"/>
    </xf>
    <xf numFmtId="167" fontId="16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167" fontId="4" fillId="0" borderId="2" xfId="4" applyNumberFormat="1" applyFont="1" applyFill="1" applyBorder="1" applyAlignment="1" applyProtection="1">
      <alignment horizontal="center" readingOrder="2"/>
    </xf>
    <xf numFmtId="165" fontId="4" fillId="0" borderId="2" xfId="0" applyNumberFormat="1" applyFont="1" applyFill="1" applyBorder="1" applyProtection="1">
      <protection locked="0"/>
    </xf>
    <xf numFmtId="49" fontId="22" fillId="0" borderId="2" xfId="0" applyNumberFormat="1" applyFont="1" applyBorder="1" applyAlignment="1" applyProtection="1">
      <alignment horizontal="left"/>
    </xf>
    <xf numFmtId="0" fontId="22" fillId="0" borderId="2" xfId="0" applyFont="1" applyFill="1" applyBorder="1" applyProtection="1">
      <protection locked="0"/>
    </xf>
    <xf numFmtId="1" fontId="22" fillId="0" borderId="2" xfId="0" applyNumberFormat="1" applyFont="1" applyFill="1" applyBorder="1" applyAlignment="1" applyProtection="1">
      <alignment horizontal="center"/>
    </xf>
    <xf numFmtId="1" fontId="22" fillId="0" borderId="2" xfId="0" applyNumberFormat="1" applyFont="1" applyFill="1" applyBorder="1" applyProtection="1">
      <protection locked="0"/>
    </xf>
    <xf numFmtId="0" fontId="22" fillId="0" borderId="2" xfId="0" applyNumberFormat="1" applyFont="1" applyFill="1" applyBorder="1" applyProtection="1">
      <protection locked="0"/>
    </xf>
    <xf numFmtId="1" fontId="22" fillId="3" borderId="2" xfId="0" applyNumberFormat="1" applyFont="1" applyFill="1" applyBorder="1" applyAlignment="1" applyProtection="1">
      <alignment horizontal="center"/>
    </xf>
    <xf numFmtId="9" fontId="22" fillId="3" borderId="2" xfId="2" applyFont="1" applyFill="1" applyBorder="1" applyAlignment="1" applyProtection="1">
      <alignment horizontal="center"/>
      <protection locked="0"/>
    </xf>
    <xf numFmtId="1" fontId="22" fillId="0" borderId="2" xfId="0" applyNumberFormat="1" applyFont="1" applyFill="1" applyBorder="1" applyAlignment="1" applyProtection="1">
      <alignment horizontal="center"/>
      <protection locked="0"/>
    </xf>
    <xf numFmtId="0" fontId="22" fillId="0" borderId="2" xfId="0" applyFont="1" applyFill="1" applyBorder="1" applyProtection="1"/>
    <xf numFmtId="0" fontId="22" fillId="0" borderId="2" xfId="0" applyFont="1" applyBorder="1" applyAlignment="1">
      <alignment horizontal="center" vertical="center"/>
    </xf>
    <xf numFmtId="167" fontId="22" fillId="0" borderId="2" xfId="4" applyNumberFormat="1" applyFont="1" applyBorder="1" applyAlignment="1">
      <alignment horizontal="center" vertical="center"/>
    </xf>
    <xf numFmtId="165" fontId="22" fillId="0" borderId="2" xfId="0" applyNumberFormat="1" applyFont="1" applyBorder="1" applyAlignment="1" applyProtection="1">
      <alignment horizontal="center" vertical="center"/>
      <protection locked="0"/>
    </xf>
    <xf numFmtId="167" fontId="22" fillId="0" borderId="2" xfId="4" applyNumberFormat="1" applyFont="1" applyBorder="1" applyAlignment="1" applyProtection="1">
      <alignment horizontal="center" readingOrder="2"/>
    </xf>
    <xf numFmtId="0" fontId="22" fillId="0" borderId="2" xfId="0" applyFont="1" applyBorder="1" applyProtection="1"/>
    <xf numFmtId="0" fontId="22" fillId="0" borderId="2" xfId="0" applyFont="1" applyFill="1" applyBorder="1" applyAlignment="1" applyProtection="1">
      <alignment horizontal="right" wrapText="1" indent="1"/>
      <protection locked="0"/>
    </xf>
    <xf numFmtId="0" fontId="8" fillId="0" borderId="2" xfId="0" applyFont="1" applyBorder="1" applyProtection="1"/>
    <xf numFmtId="0" fontId="22" fillId="0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Protection="1"/>
    <xf numFmtId="1" fontId="22" fillId="0" borderId="2" xfId="0" applyNumberFormat="1" applyFont="1" applyFill="1" applyBorder="1" applyAlignment="1">
      <alignment horizontal="center"/>
    </xf>
    <xf numFmtId="1" fontId="22" fillId="3" borderId="2" xfId="0" applyNumberFormat="1" applyFont="1" applyFill="1" applyBorder="1" applyAlignment="1">
      <alignment horizontal="center"/>
    </xf>
    <xf numFmtId="0" fontId="22" fillId="0" borderId="2" xfId="0" applyFont="1" applyFill="1" applyBorder="1"/>
    <xf numFmtId="0" fontId="22" fillId="0" borderId="2" xfId="0" applyFont="1" applyFill="1" applyBorder="1" applyAlignment="1">
      <alignment horizontal="center" vertical="center"/>
    </xf>
    <xf numFmtId="165" fontId="22" fillId="0" borderId="2" xfId="0" applyNumberFormat="1" applyFont="1" applyFill="1" applyBorder="1" applyAlignment="1" applyProtection="1">
      <alignment horizontal="center" vertical="center"/>
      <protection locked="0"/>
    </xf>
    <xf numFmtId="167" fontId="22" fillId="0" borderId="2" xfId="4" applyNumberFormat="1" applyFont="1" applyFill="1" applyBorder="1" applyAlignment="1">
      <alignment horizontal="center" readingOrder="2"/>
    </xf>
    <xf numFmtId="1" fontId="22" fillId="0" borderId="2" xfId="0" applyNumberFormat="1" applyFont="1" applyFill="1" applyBorder="1"/>
    <xf numFmtId="0" fontId="22" fillId="0" borderId="2" xfId="0" applyNumberFormat="1" applyFont="1" applyBorder="1" applyAlignment="1" applyProtection="1">
      <alignment horizontal="left"/>
    </xf>
    <xf numFmtId="0" fontId="22" fillId="0" borderId="2" xfId="0" applyFont="1" applyBorder="1" applyProtection="1">
      <protection locked="0"/>
    </xf>
    <xf numFmtId="167" fontId="22" fillId="0" borderId="2" xfId="4" applyNumberFormat="1" applyFont="1" applyBorder="1" applyAlignment="1">
      <alignment horizontal="center" readingOrder="2"/>
    </xf>
    <xf numFmtId="0" fontId="22" fillId="0" borderId="2" xfId="0" applyFont="1" applyBorder="1"/>
    <xf numFmtId="0" fontId="22" fillId="0" borderId="2" xfId="0" applyNumberFormat="1" applyFont="1" applyBorder="1" applyAlignment="1">
      <alignment horizontal="left"/>
    </xf>
    <xf numFmtId="0" fontId="22" fillId="0" borderId="2" xfId="0" applyNumberFormat="1" applyFont="1" applyFill="1" applyBorder="1" applyAlignment="1">
      <alignment horizontal="left"/>
    </xf>
    <xf numFmtId="1" fontId="22" fillId="10" borderId="2" xfId="0" applyNumberFormat="1" applyFont="1" applyFill="1" applyBorder="1" applyAlignment="1">
      <alignment horizontal="center"/>
    </xf>
    <xf numFmtId="49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right" wrapText="1" indent="1"/>
      <protection locked="0"/>
    </xf>
    <xf numFmtId="0" fontId="22" fillId="2" borderId="2" xfId="0" applyFont="1" applyFill="1" applyBorder="1" applyProtection="1">
      <protection locked="0"/>
    </xf>
    <xf numFmtId="1" fontId="22" fillId="2" borderId="2" xfId="0" applyNumberFormat="1" applyFont="1" applyFill="1" applyBorder="1" applyProtection="1">
      <protection locked="0"/>
    </xf>
    <xf numFmtId="0" fontId="22" fillId="2" borderId="2" xfId="0" applyNumberFormat="1" applyFont="1" applyFill="1" applyBorder="1" applyProtection="1">
      <protection locked="0"/>
    </xf>
    <xf numFmtId="1" fontId="22" fillId="2" borderId="2" xfId="0" applyNumberFormat="1" applyFont="1" applyFill="1" applyBorder="1" applyAlignment="1" applyProtection="1">
      <alignment horizontal="center"/>
    </xf>
    <xf numFmtId="1" fontId="22" fillId="4" borderId="2" xfId="0" applyNumberFormat="1" applyFont="1" applyFill="1" applyBorder="1" applyAlignment="1" applyProtection="1">
      <alignment horizontal="center"/>
    </xf>
    <xf numFmtId="9" fontId="22" fillId="4" borderId="2" xfId="2" applyFont="1" applyFill="1" applyBorder="1" applyAlignment="1" applyProtection="1">
      <alignment horizontal="center"/>
    </xf>
    <xf numFmtId="1" fontId="22" fillId="5" borderId="2" xfId="0" applyNumberFormat="1" applyFont="1" applyFill="1" applyBorder="1" applyAlignment="1" applyProtection="1">
      <alignment horizontal="center"/>
    </xf>
    <xf numFmtId="0" fontId="22" fillId="0" borderId="2" xfId="0" applyFont="1" applyBorder="1" applyAlignment="1" applyProtection="1">
      <alignment horizontal="right" indent="1"/>
    </xf>
    <xf numFmtId="49" fontId="22" fillId="0" borderId="2" xfId="0" applyNumberFormat="1" applyFont="1" applyFill="1" applyBorder="1" applyAlignment="1" applyProtection="1">
      <alignment horizontal="left"/>
    </xf>
    <xf numFmtId="1" fontId="22" fillId="10" borderId="2" xfId="0" applyNumberFormat="1" applyFont="1" applyFill="1" applyBorder="1" applyAlignment="1" applyProtection="1">
      <alignment horizontal="center"/>
    </xf>
    <xf numFmtId="9" fontId="22" fillId="10" borderId="2" xfId="2" applyFont="1" applyFill="1" applyBorder="1" applyAlignment="1" applyProtection="1">
      <alignment horizontal="center"/>
      <protection locked="0"/>
    </xf>
    <xf numFmtId="165" fontId="22" fillId="0" borderId="2" xfId="0" applyNumberFormat="1" applyFont="1" applyFill="1" applyBorder="1" applyAlignment="1">
      <alignment horizontal="center" vertical="center"/>
    </xf>
    <xf numFmtId="165" fontId="22" fillId="0" borderId="2" xfId="4" applyNumberFormat="1" applyFont="1" applyFill="1" applyBorder="1" applyAlignment="1" applyProtection="1">
      <alignment horizontal="center" readingOrder="2"/>
      <protection locked="0"/>
    </xf>
    <xf numFmtId="20" fontId="22" fillId="0" borderId="2" xfId="0" applyNumberFormat="1" applyFont="1" applyFill="1" applyBorder="1" applyProtection="1">
      <protection locked="0"/>
    </xf>
    <xf numFmtId="167" fontId="22" fillId="0" borderId="2" xfId="4" applyNumberFormat="1" applyFont="1" applyFill="1" applyBorder="1" applyAlignment="1" applyProtection="1">
      <alignment horizontal="center" readingOrder="2"/>
    </xf>
    <xf numFmtId="0" fontId="22" fillId="0" borderId="0" xfId="0" applyFont="1" applyFill="1" applyBorder="1" applyProtection="1"/>
    <xf numFmtId="165" fontId="22" fillId="0" borderId="2" xfId="0" applyNumberFormat="1" applyFont="1" applyFill="1" applyBorder="1" applyProtection="1">
      <protection locked="0"/>
    </xf>
    <xf numFmtId="49" fontId="22" fillId="6" borderId="0" xfId="0" applyNumberFormat="1" applyFont="1" applyFill="1" applyBorder="1" applyProtection="1"/>
    <xf numFmtId="0" fontId="22" fillId="6" borderId="0" xfId="0" applyFont="1" applyFill="1" applyBorder="1" applyAlignment="1" applyProtection="1">
      <alignment horizontal="right" indent="1"/>
      <protection locked="0"/>
    </xf>
    <xf numFmtId="0" fontId="22" fillId="6" borderId="0" xfId="0" applyFont="1" applyFill="1" applyBorder="1" applyProtection="1">
      <protection locked="0"/>
    </xf>
    <xf numFmtId="0" fontId="22" fillId="6" borderId="0" xfId="0" applyFont="1" applyFill="1" applyBorder="1" applyAlignment="1" applyProtection="1">
      <alignment horizontal="center"/>
      <protection locked="0"/>
    </xf>
    <xf numFmtId="1" fontId="22" fillId="6" borderId="2" xfId="0" applyNumberFormat="1" applyFont="1" applyFill="1" applyBorder="1" applyAlignment="1" applyProtection="1">
      <alignment horizontal="center"/>
    </xf>
    <xf numFmtId="1" fontId="22" fillId="6" borderId="2" xfId="0" applyNumberFormat="1" applyFont="1" applyFill="1" applyBorder="1" applyProtection="1">
      <protection locked="0"/>
    </xf>
    <xf numFmtId="0" fontId="22" fillId="6" borderId="2" xfId="0" applyNumberFormat="1" applyFont="1" applyFill="1" applyBorder="1" applyProtection="1">
      <protection locked="0"/>
    </xf>
    <xf numFmtId="1" fontId="23" fillId="6" borderId="2" xfId="0" applyNumberFormat="1" applyFont="1" applyFill="1" applyBorder="1" applyAlignment="1" applyProtection="1">
      <alignment horizontal="center"/>
    </xf>
    <xf numFmtId="1" fontId="22" fillId="7" borderId="2" xfId="0" applyNumberFormat="1" applyFont="1" applyFill="1" applyBorder="1" applyAlignment="1" applyProtection="1">
      <alignment horizontal="center"/>
    </xf>
    <xf numFmtId="9" fontId="22" fillId="7" borderId="2" xfId="2" applyFont="1" applyFill="1" applyBorder="1" applyAlignment="1" applyProtection="1">
      <alignment horizontal="center"/>
    </xf>
    <xf numFmtId="1" fontId="22" fillId="6" borderId="2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Border="1" applyProtection="1"/>
    <xf numFmtId="0" fontId="22" fillId="6" borderId="0" xfId="0" applyFont="1" applyFill="1" applyBorder="1" applyAlignment="1">
      <alignment horizontal="center" vertical="center"/>
    </xf>
    <xf numFmtId="167" fontId="22" fillId="6" borderId="0" xfId="4" applyNumberFormat="1" applyFont="1" applyFill="1" applyBorder="1" applyAlignment="1">
      <alignment horizontal="center" vertical="center"/>
    </xf>
    <xf numFmtId="165" fontId="22" fillId="6" borderId="0" xfId="0" applyNumberFormat="1" applyFont="1" applyFill="1" applyBorder="1" applyAlignment="1" applyProtection="1">
      <alignment horizontal="center" vertical="center"/>
    </xf>
    <xf numFmtId="167" fontId="22" fillId="6" borderId="0" xfId="4" applyNumberFormat="1" applyFont="1" applyFill="1" applyBorder="1" applyAlignment="1" applyProtection="1">
      <alignment horizontal="center" readingOrder="2"/>
    </xf>
    <xf numFmtId="0" fontId="24" fillId="0" borderId="0" xfId="0" applyFont="1" applyAlignment="1" applyProtection="1">
      <alignment horizontal="right" wrapText="1" indent="1"/>
    </xf>
    <xf numFmtId="0" fontId="27" fillId="0" borderId="0" xfId="1" applyFont="1" applyFill="1" applyAlignment="1" applyProtection="1">
      <alignment horizontal="center" vertical="center"/>
    </xf>
    <xf numFmtId="0" fontId="28" fillId="2" borderId="0" xfId="0" applyFont="1" applyFill="1" applyAlignment="1" applyProtection="1">
      <alignment horizontal="right" vertical="center" indent="1"/>
    </xf>
    <xf numFmtId="0" fontId="28" fillId="2" borderId="0" xfId="0" applyFont="1" applyFill="1" applyAlignment="1" applyProtection="1">
      <alignment vertical="center"/>
    </xf>
    <xf numFmtId="0" fontId="28" fillId="2" borderId="0" xfId="0" applyFont="1" applyFill="1" applyAlignment="1" applyProtection="1">
      <alignment horizontal="center" vertical="center"/>
    </xf>
    <xf numFmtId="0" fontId="26" fillId="0" borderId="0" xfId="0" applyFont="1" applyFill="1" applyBorder="1" applyProtection="1"/>
    <xf numFmtId="0" fontId="26" fillId="0" borderId="17" xfId="0" applyFont="1" applyBorder="1" applyAlignment="1" applyProtection="1">
      <alignment horizontal="right"/>
    </xf>
    <xf numFmtId="0" fontId="26" fillId="0" borderId="18" xfId="0" applyFont="1" applyBorder="1" applyAlignment="1" applyProtection="1">
      <alignment horizontal="right"/>
    </xf>
    <xf numFmtId="14" fontId="21" fillId="0" borderId="0" xfId="0" applyNumberFormat="1" applyFont="1" applyBorder="1" applyAlignment="1" applyProtection="1">
      <alignment horizontal="left"/>
    </xf>
    <xf numFmtId="14" fontId="29" fillId="0" borderId="0" xfId="0" applyNumberFormat="1" applyFont="1" applyFill="1" applyBorder="1" applyAlignment="1" applyProtection="1">
      <alignment horizontal="left"/>
    </xf>
    <xf numFmtId="14" fontId="24" fillId="0" borderId="0" xfId="0" applyNumberFormat="1" applyFont="1" applyBorder="1" applyAlignment="1" applyProtection="1">
      <alignment horizontal="center"/>
    </xf>
    <xf numFmtId="0" fontId="28" fillId="2" borderId="0" xfId="0" applyNumberFormat="1" applyFont="1" applyFill="1" applyAlignment="1" applyProtection="1">
      <alignment vertical="center"/>
    </xf>
    <xf numFmtId="0" fontId="30" fillId="2" borderId="0" xfId="0" applyFont="1" applyFill="1" applyAlignment="1" applyProtection="1">
      <alignment horizontal="center" vertical="center"/>
    </xf>
    <xf numFmtId="0" fontId="26" fillId="0" borderId="0" xfId="0" applyFont="1" applyBorder="1" applyAlignment="1" applyProtection="1">
      <alignment horizontal="left"/>
    </xf>
    <xf numFmtId="0" fontId="26" fillId="0" borderId="0" xfId="0" applyNumberFormat="1" applyFont="1" applyBorder="1" applyAlignment="1" applyProtection="1">
      <alignment horizontal="left"/>
    </xf>
    <xf numFmtId="0" fontId="23" fillId="0" borderId="0" xfId="0" applyFont="1" applyBorder="1" applyAlignment="1" applyProtection="1">
      <alignment horizontal="center"/>
    </xf>
    <xf numFmtId="14" fontId="24" fillId="0" borderId="0" xfId="0" applyNumberFormat="1" applyFont="1" applyBorder="1" applyAlignment="1" applyProtection="1">
      <alignment horizontal="left"/>
    </xf>
    <xf numFmtId="0" fontId="24" fillId="0" borderId="0" xfId="0" applyNumberFormat="1" applyFont="1" applyBorder="1" applyAlignment="1" applyProtection="1">
      <alignment horizontal="left"/>
    </xf>
    <xf numFmtId="14" fontId="23" fillId="0" borderId="0" xfId="0" applyNumberFormat="1" applyFont="1" applyBorder="1" applyAlignment="1" applyProtection="1">
      <alignment horizontal="center"/>
    </xf>
    <xf numFmtId="0" fontId="28" fillId="9" borderId="0" xfId="0" applyFont="1" applyFill="1" applyAlignment="1" applyProtection="1">
      <alignment vertical="center"/>
    </xf>
    <xf numFmtId="0" fontId="31" fillId="0" borderId="0" xfId="1" applyFont="1" applyFill="1" applyAlignment="1" applyProtection="1">
      <alignment horizontal="right"/>
    </xf>
    <xf numFmtId="0" fontId="32" fillId="0" borderId="0" xfId="0" applyFont="1" applyFill="1" applyProtection="1"/>
    <xf numFmtId="0" fontId="26" fillId="0" borderId="0" xfId="0" applyFont="1" applyAlignment="1" applyProtection="1"/>
    <xf numFmtId="0" fontId="26" fillId="0" borderId="0" xfId="0" applyFont="1" applyProtection="1"/>
    <xf numFmtId="0" fontId="21" fillId="0" borderId="1" xfId="0" applyFont="1" applyFill="1" applyBorder="1" applyAlignment="1" applyProtection="1">
      <alignment horizontal="center"/>
    </xf>
    <xf numFmtId="0" fontId="21" fillId="0" borderId="1" xfId="0" applyFont="1" applyBorder="1" applyAlignment="1" applyProtection="1">
      <alignment horizontal="right" indent="1"/>
    </xf>
    <xf numFmtId="0" fontId="21" fillId="0" borderId="1" xfId="0" applyFont="1" applyBorder="1" applyAlignment="1" applyProtection="1">
      <alignment horizontal="center"/>
    </xf>
    <xf numFmtId="0" fontId="21" fillId="0" borderId="1" xfId="0" applyFont="1" applyBorder="1" applyAlignment="1" applyProtection="1">
      <alignment horizontal="center" textRotation="90"/>
    </xf>
    <xf numFmtId="0" fontId="21" fillId="0" borderId="1" xfId="0" applyNumberFormat="1" applyFont="1" applyBorder="1" applyAlignment="1" applyProtection="1">
      <alignment horizontal="center" textRotation="90"/>
    </xf>
    <xf numFmtId="0" fontId="26" fillId="0" borderId="1" xfId="0" applyFont="1" applyBorder="1" applyAlignment="1" applyProtection="1">
      <alignment horizontal="center" textRotation="90" wrapText="1"/>
    </xf>
    <xf numFmtId="0" fontId="26" fillId="0" borderId="1" xfId="0" applyFont="1" applyBorder="1" applyAlignment="1" applyProtection="1">
      <alignment horizontal="center" textRotation="90"/>
    </xf>
    <xf numFmtId="0" fontId="21" fillId="2" borderId="2" xfId="0" applyNumberFormat="1" applyFont="1" applyFill="1" applyBorder="1" applyAlignment="1" applyProtection="1">
      <alignment horizontal="left"/>
    </xf>
    <xf numFmtId="0" fontId="21" fillId="2" borderId="2" xfId="0" applyFont="1" applyFill="1" applyBorder="1" applyAlignment="1" applyProtection="1">
      <alignment horizontal="right" wrapText="1" indent="1"/>
      <protection locked="0"/>
    </xf>
    <xf numFmtId="0" fontId="21" fillId="2" borderId="2" xfId="0" applyFont="1" applyFill="1" applyBorder="1" applyProtection="1">
      <protection locked="0"/>
    </xf>
    <xf numFmtId="1" fontId="21" fillId="2" borderId="2" xfId="0" applyNumberFormat="1" applyFont="1" applyFill="1" applyBorder="1" applyAlignment="1" applyProtection="1">
      <alignment horizontal="center"/>
    </xf>
    <xf numFmtId="1" fontId="21" fillId="8" borderId="2" xfId="0" applyNumberFormat="1" applyFont="1" applyFill="1" applyBorder="1" applyProtection="1">
      <protection locked="0"/>
    </xf>
    <xf numFmtId="0" fontId="21" fillId="8" borderId="2" xfId="0" applyNumberFormat="1" applyFont="1" applyFill="1" applyBorder="1" applyProtection="1">
      <protection locked="0"/>
    </xf>
    <xf numFmtId="1" fontId="21" fillId="4" borderId="2" xfId="0" applyNumberFormat="1" applyFont="1" applyFill="1" applyBorder="1" applyAlignment="1" applyProtection="1">
      <alignment horizontal="center"/>
    </xf>
    <xf numFmtId="9" fontId="21" fillId="4" borderId="2" xfId="2" applyFont="1" applyFill="1" applyBorder="1" applyAlignment="1" applyProtection="1">
      <alignment horizontal="center"/>
    </xf>
    <xf numFmtId="1" fontId="21" fillId="5" borderId="2" xfId="0" applyNumberFormat="1" applyFont="1" applyFill="1" applyBorder="1" applyAlignment="1" applyProtection="1">
      <alignment horizontal="center"/>
    </xf>
    <xf numFmtId="0" fontId="8" fillId="2" borderId="2" xfId="0" applyFont="1" applyFill="1" applyBorder="1" applyProtection="1"/>
    <xf numFmtId="0" fontId="8" fillId="2" borderId="2" xfId="0" applyFont="1" applyFill="1" applyBorder="1" applyAlignment="1">
      <alignment horizontal="center" vertical="center"/>
    </xf>
    <xf numFmtId="167" fontId="8" fillId="2" borderId="2" xfId="4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 applyProtection="1">
      <alignment horizontal="center" vertical="center"/>
    </xf>
    <xf numFmtId="167" fontId="8" fillId="2" borderId="2" xfId="4" applyNumberFormat="1" applyFont="1" applyFill="1" applyBorder="1" applyAlignment="1" applyProtection="1">
      <alignment horizontal="center" readingOrder="2"/>
    </xf>
    <xf numFmtId="49" fontId="21" fillId="2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Protection="1">
      <protection locked="0"/>
    </xf>
    <xf numFmtId="0" fontId="21" fillId="2" borderId="2" xfId="0" applyNumberFormat="1" applyFont="1" applyFill="1" applyBorder="1" applyProtection="1">
      <protection locked="0"/>
    </xf>
    <xf numFmtId="1" fontId="21" fillId="2" borderId="2" xfId="0" applyNumberFormat="1" applyFont="1" applyFill="1" applyBorder="1" applyProtection="1"/>
    <xf numFmtId="0" fontId="21" fillId="2" borderId="2" xfId="0" applyFont="1" applyFill="1" applyBorder="1" applyProtection="1"/>
    <xf numFmtId="0" fontId="21" fillId="2" borderId="2" xfId="0" applyFont="1" applyFill="1" applyBorder="1" applyAlignment="1">
      <alignment horizontal="center" vertical="center"/>
    </xf>
    <xf numFmtId="167" fontId="21" fillId="2" borderId="2" xfId="4" applyNumberFormat="1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 applyProtection="1">
      <alignment horizontal="center" vertical="center"/>
    </xf>
    <xf numFmtId="167" fontId="21" fillId="2" borderId="2" xfId="4" applyNumberFormat="1" applyFont="1" applyFill="1" applyBorder="1" applyAlignment="1" applyProtection="1">
      <alignment horizontal="center" readingOrder="2"/>
    </xf>
    <xf numFmtId="0" fontId="21" fillId="8" borderId="2" xfId="0" applyFont="1" applyFill="1" applyBorder="1" applyAlignment="1" applyProtection="1">
      <alignment horizontal="right" wrapText="1" indent="1"/>
      <protection locked="0"/>
    </xf>
    <xf numFmtId="0" fontId="21" fillId="8" borderId="2" xfId="0" applyFont="1" applyFill="1" applyBorder="1" applyProtection="1">
      <protection locked="0"/>
    </xf>
    <xf numFmtId="165" fontId="8" fillId="2" borderId="2" xfId="0" applyNumberFormat="1" applyFont="1" applyFill="1" applyBorder="1" applyAlignment="1">
      <alignment horizontal="center" vertical="center"/>
    </xf>
    <xf numFmtId="165" fontId="8" fillId="2" borderId="2" xfId="4" applyNumberFormat="1" applyFont="1" applyFill="1" applyBorder="1" applyAlignment="1" applyProtection="1">
      <alignment horizontal="center" readingOrder="2"/>
    </xf>
    <xf numFmtId="1" fontId="8" fillId="2" borderId="2" xfId="0" applyNumberFormat="1" applyFont="1" applyFill="1" applyBorder="1" applyAlignment="1" applyProtection="1">
      <alignment horizontal="center"/>
    </xf>
    <xf numFmtId="0" fontId="22" fillId="0" borderId="2" xfId="0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Alignment="1" applyProtection="1">
      <alignment horizontal="left" readingOrder="1"/>
    </xf>
    <xf numFmtId="1" fontId="21" fillId="2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>
      <alignment horizontal="left"/>
    </xf>
    <xf numFmtId="1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left"/>
    </xf>
    <xf numFmtId="0" fontId="22" fillId="0" borderId="2" xfId="0" applyFont="1" applyFill="1" applyBorder="1" applyAlignment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0" fontId="16" fillId="0" borderId="5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167" fontId="16" fillId="0" borderId="5" xfId="4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166" fontId="16" fillId="0" borderId="6" xfId="4" applyNumberFormat="1" applyFont="1" applyBorder="1" applyAlignment="1">
      <alignment horizontal="center"/>
    </xf>
    <xf numFmtId="166" fontId="16" fillId="0" borderId="7" xfId="4" applyNumberFormat="1" applyFont="1" applyBorder="1" applyAlignment="1">
      <alignment horizontal="center"/>
    </xf>
    <xf numFmtId="166" fontId="16" fillId="0" borderId="6" xfId="4" applyNumberFormat="1" applyFont="1" applyBorder="1" applyAlignment="1" applyProtection="1">
      <alignment horizontal="center"/>
      <protection locked="0"/>
    </xf>
    <xf numFmtId="166" fontId="16" fillId="0" borderId="7" xfId="4" applyNumberFormat="1" applyFont="1" applyBorder="1" applyAlignment="1" applyProtection="1">
      <alignment horizontal="center"/>
      <protection locked="0"/>
    </xf>
    <xf numFmtId="165" fontId="18" fillId="0" borderId="2" xfId="0" applyNumberFormat="1" applyFont="1" applyFill="1" applyBorder="1" applyAlignment="1">
      <alignment horizontal="center" vertical="center" wrapText="1"/>
    </xf>
    <xf numFmtId="165" fontId="18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3"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99FF99"/>
      <color rgb="FF66FF66"/>
      <color rgb="FF99FF66"/>
      <color rgb="FF00FF00"/>
      <color rgb="FFEAEAEA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0</xdr:colOff>
          <xdr:row>5</xdr:row>
          <xdr:rowOff>238125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lieday" displayName="Holieday" ref="A1:F28" totalsRowCount="1" headerRowDxfId="22" dataDxfId="21" headerRowCellStyle="Normal 2" dataCellStyle="Normal 2">
  <autoFilter ref="A1:F27"/>
  <tableColumns count="6">
    <tableColumn id="1" name="date" totalsRowLabel="مجموع" dataDxfId="20" totalsRowDxfId="19" dataCellStyle="Normal 2"/>
    <tableColumn id="2" name="year" dataDxfId="18" totalsRowDxfId="17" dataCellStyle="Normal 2">
      <calculatedColumnFormula>LEFT(A2,4)</calculatedColumnFormula>
    </tableColumn>
    <tableColumn id="6" name="month" dataDxfId="16" totalsRowDxfId="15" dataCellStyle="Normal 2">
      <calculatedColumnFormula>MID(A2,6,2)</calculatedColumnFormula>
    </tableColumn>
    <tableColumn id="3" name="ok" totalsRowFunction="sum" dataDxfId="14" totalsRowDxfId="13" dataCellStyle="Normal 2"/>
    <tableColumn id="4" name="Friday" totalsRowFunction="sum" dataDxfId="12" totalsRowDxfId="11" dataCellStyle="Normal 2"/>
    <tableColumn id="5" name="مناسبت" dataDxfId="10" totalsRowDxfId="9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>
    <tabColor rgb="FF92D050"/>
  </sheetPr>
  <dimension ref="A1:XFD82"/>
  <sheetViews>
    <sheetView showGridLines="0" rightToLeft="1" tabSelected="1" topLeftCell="A48" zoomScale="118" zoomScaleNormal="118" workbookViewId="0">
      <selection activeCell="H62" sqref="H62"/>
    </sheetView>
  </sheetViews>
  <sheetFormatPr defaultColWidth="9.140625" defaultRowHeight="14.25"/>
  <cols>
    <col min="1" max="1" width="4.42578125" style="98" bestFit="1" customWidth="1"/>
    <col min="2" max="2" width="85" style="161" customWidth="1"/>
    <col min="3" max="3" width="8.7109375" style="97" customWidth="1"/>
    <col min="4" max="4" width="9.85546875" style="162" customWidth="1"/>
    <col min="5" max="5" width="7.85546875" style="97" hidden="1" customWidth="1"/>
    <col min="6" max="6" width="9.28515625" style="162" customWidth="1"/>
    <col min="7" max="7" width="7.85546875" style="97" hidden="1" customWidth="1"/>
    <col min="8" max="8" width="4.7109375" style="97" customWidth="1"/>
    <col min="9" max="9" width="4.42578125" style="163" customWidth="1"/>
    <col min="10" max="10" width="5.28515625" style="164" customWidth="1"/>
    <col min="11" max="11" width="6.7109375" style="165" hidden="1" customWidth="1"/>
    <col min="12" max="12" width="7" style="97" bestFit="1" customWidth="1"/>
    <col min="13" max="13" width="9" style="97" customWidth="1"/>
    <col min="14" max="14" width="3.5703125" style="97" customWidth="1"/>
    <col min="15" max="15" width="3.85546875" style="97" hidden="1" customWidth="1"/>
    <col min="16" max="16" width="7.85546875" style="97" hidden="1" customWidth="1"/>
    <col min="17" max="17" width="5.85546875" style="97" hidden="1" customWidth="1"/>
    <col min="18" max="18" width="2.7109375" style="97" customWidth="1"/>
    <col min="19" max="234" width="0.42578125" style="97" customWidth="1"/>
    <col min="235" max="258" width="0.42578125" style="98" customWidth="1"/>
    <col min="259" max="259" width="4.42578125" style="16" customWidth="1"/>
    <col min="260" max="260" width="20.7109375" style="26" customWidth="1"/>
    <col min="261" max="261" width="4.7109375" style="147" bestFit="1" customWidth="1"/>
    <col min="262" max="263" width="5.5703125" style="147" bestFit="1" customWidth="1"/>
    <col min="264" max="264" width="20.5703125" style="148" customWidth="1"/>
    <col min="265" max="16384" width="9.140625" style="98"/>
  </cols>
  <sheetData>
    <row r="1" spans="1:264" s="97" customFormat="1" ht="22.5">
      <c r="A1" s="240"/>
      <c r="B1" s="241" t="str">
        <f>CONCATENATE("برنامه زمانبندی ",B8)</f>
        <v>برنامه زمانبندی طراحی و پیاده سازی پورتال اینترنتی و زیر پورتال های بانک اقتصاد نوین</v>
      </c>
      <c r="C1" s="242"/>
      <c r="D1" s="243"/>
      <c r="E1" s="95"/>
      <c r="F1" s="243"/>
      <c r="G1" s="95"/>
      <c r="H1" s="242"/>
      <c r="I1" s="250"/>
      <c r="J1" s="251"/>
      <c r="K1" s="96"/>
      <c r="L1" s="258"/>
      <c r="M1" s="259"/>
      <c r="N1" s="260"/>
      <c r="IY1" s="15"/>
      <c r="IZ1" s="25"/>
      <c r="JA1" s="145"/>
      <c r="JB1" s="145"/>
      <c r="JC1" s="145"/>
      <c r="JD1" s="146"/>
    </row>
    <row r="2" spans="1:264" ht="18">
      <c r="A2" s="244"/>
      <c r="B2" s="245" t="s">
        <v>7</v>
      </c>
      <c r="C2" s="307" t="s">
        <v>102</v>
      </c>
      <c r="D2" s="307"/>
      <c r="E2" s="308"/>
      <c r="F2" s="307"/>
      <c r="G2" s="99"/>
      <c r="H2" s="252"/>
      <c r="I2" s="253"/>
      <c r="J2" s="254"/>
      <c r="K2" s="101"/>
      <c r="L2" s="261"/>
      <c r="M2" s="261"/>
      <c r="N2" s="262"/>
    </row>
    <row r="3" spans="1:264" ht="18">
      <c r="A3" s="244"/>
      <c r="B3" s="246"/>
      <c r="C3" s="247" t="str">
        <f ca="1">J_TODAY(1)</f>
        <v>1398/10/02</v>
      </c>
      <c r="D3" s="248">
        <f ca="1">VALUE(J_normdate(C3))</f>
        <v>13981002</v>
      </c>
      <c r="E3" s="104"/>
      <c r="F3" s="249"/>
      <c r="G3" s="104"/>
      <c r="H3" s="255"/>
      <c r="I3" s="256"/>
      <c r="J3" s="257"/>
      <c r="K3" s="105"/>
      <c r="L3" s="261"/>
      <c r="M3" s="261"/>
      <c r="N3" s="262"/>
    </row>
    <row r="4" spans="1:264" hidden="1">
      <c r="B4" s="106"/>
      <c r="C4" s="103"/>
      <c r="D4" s="103"/>
      <c r="E4" s="103"/>
      <c r="F4" s="107"/>
      <c r="G4" s="108"/>
      <c r="H4" s="108"/>
      <c r="I4" s="109"/>
      <c r="J4" s="110"/>
      <c r="K4" s="111"/>
      <c r="L4" s="102"/>
      <c r="M4" s="102"/>
      <c r="S4" s="97" t="e">
        <f t="shared" ref="S4:CD4" ca="1" si="0">VALUE(S5)</f>
        <v>#VALUE!</v>
      </c>
      <c r="T4" s="97" t="e">
        <f t="shared" ca="1" si="0"/>
        <v>#VALUE!</v>
      </c>
      <c r="U4" s="97" t="e">
        <f t="shared" ca="1" si="0"/>
        <v>#VALUE!</v>
      </c>
      <c r="V4" s="97" t="e">
        <f t="shared" ca="1" si="0"/>
        <v>#VALUE!</v>
      </c>
      <c r="W4" s="97" t="e">
        <f t="shared" ca="1" si="0"/>
        <v>#VALUE!</v>
      </c>
      <c r="X4" s="97" t="e">
        <f t="shared" ca="1" si="0"/>
        <v>#VALUE!</v>
      </c>
      <c r="Y4" s="97" t="e">
        <f t="shared" ca="1" si="0"/>
        <v>#VALUE!</v>
      </c>
      <c r="Z4" s="97" t="e">
        <f t="shared" ca="1" si="0"/>
        <v>#VALUE!</v>
      </c>
      <c r="AA4" s="97" t="e">
        <f t="shared" ca="1" si="0"/>
        <v>#VALUE!</v>
      </c>
      <c r="AB4" s="97" t="e">
        <f t="shared" ca="1" si="0"/>
        <v>#VALUE!</v>
      </c>
      <c r="AC4" s="97" t="e">
        <f t="shared" ca="1" si="0"/>
        <v>#VALUE!</v>
      </c>
      <c r="AD4" s="97" t="e">
        <f t="shared" ca="1" si="0"/>
        <v>#VALUE!</v>
      </c>
      <c r="AE4" s="97" t="e">
        <f t="shared" ca="1" si="0"/>
        <v>#VALUE!</v>
      </c>
      <c r="AF4" s="97" t="e">
        <f t="shared" ca="1" si="0"/>
        <v>#VALUE!</v>
      </c>
      <c r="AG4" s="97" t="e">
        <f t="shared" ca="1" si="0"/>
        <v>#VALUE!</v>
      </c>
      <c r="AH4" s="97" t="e">
        <f t="shared" ca="1" si="0"/>
        <v>#VALUE!</v>
      </c>
      <c r="AI4" s="97" t="e">
        <f t="shared" ca="1" si="0"/>
        <v>#VALUE!</v>
      </c>
      <c r="AJ4" s="97" t="e">
        <f t="shared" ca="1" si="0"/>
        <v>#VALUE!</v>
      </c>
      <c r="AK4" s="97" t="e">
        <f t="shared" ca="1" si="0"/>
        <v>#VALUE!</v>
      </c>
      <c r="AL4" s="97" t="e">
        <f t="shared" ca="1" si="0"/>
        <v>#VALUE!</v>
      </c>
      <c r="AM4" s="97" t="e">
        <f t="shared" ca="1" si="0"/>
        <v>#VALUE!</v>
      </c>
      <c r="AN4" s="97" t="e">
        <f t="shared" ca="1" si="0"/>
        <v>#VALUE!</v>
      </c>
      <c r="AO4" s="97" t="e">
        <f t="shared" ca="1" si="0"/>
        <v>#VALUE!</v>
      </c>
      <c r="AP4" s="97" t="e">
        <f t="shared" ca="1" si="0"/>
        <v>#VALUE!</v>
      </c>
      <c r="AQ4" s="97" t="e">
        <f t="shared" ca="1" si="0"/>
        <v>#VALUE!</v>
      </c>
      <c r="AR4" s="97" t="e">
        <f t="shared" ca="1" si="0"/>
        <v>#VALUE!</v>
      </c>
      <c r="AS4" s="97" t="e">
        <f t="shared" ca="1" si="0"/>
        <v>#VALUE!</v>
      </c>
      <c r="AT4" s="97" t="e">
        <f t="shared" ca="1" si="0"/>
        <v>#VALUE!</v>
      </c>
      <c r="AU4" s="97" t="e">
        <f t="shared" ca="1" si="0"/>
        <v>#VALUE!</v>
      </c>
      <c r="AV4" s="97" t="e">
        <f t="shared" ca="1" si="0"/>
        <v>#VALUE!</v>
      </c>
      <c r="AW4" s="97" t="e">
        <f t="shared" ca="1" si="0"/>
        <v>#VALUE!</v>
      </c>
      <c r="AX4" s="97" t="e">
        <f t="shared" ca="1" si="0"/>
        <v>#VALUE!</v>
      </c>
      <c r="AY4" s="97" t="e">
        <f t="shared" ca="1" si="0"/>
        <v>#VALUE!</v>
      </c>
      <c r="AZ4" s="97" t="e">
        <f t="shared" ca="1" si="0"/>
        <v>#VALUE!</v>
      </c>
      <c r="BA4" s="97" t="e">
        <f t="shared" ca="1" si="0"/>
        <v>#VALUE!</v>
      </c>
      <c r="BB4" s="97" t="e">
        <f t="shared" ca="1" si="0"/>
        <v>#VALUE!</v>
      </c>
      <c r="BC4" s="97" t="e">
        <f t="shared" ca="1" si="0"/>
        <v>#VALUE!</v>
      </c>
      <c r="BD4" s="97" t="e">
        <f t="shared" ca="1" si="0"/>
        <v>#VALUE!</v>
      </c>
      <c r="BE4" s="97" t="e">
        <f t="shared" ca="1" si="0"/>
        <v>#VALUE!</v>
      </c>
      <c r="BF4" s="97" t="e">
        <f t="shared" ca="1" si="0"/>
        <v>#VALUE!</v>
      </c>
      <c r="BG4" s="97" t="e">
        <f t="shared" ca="1" si="0"/>
        <v>#VALUE!</v>
      </c>
      <c r="BH4" s="97" t="e">
        <f t="shared" ca="1" si="0"/>
        <v>#VALUE!</v>
      </c>
      <c r="BI4" s="97" t="e">
        <f t="shared" ca="1" si="0"/>
        <v>#VALUE!</v>
      </c>
      <c r="BJ4" s="97" t="e">
        <f t="shared" ca="1" si="0"/>
        <v>#VALUE!</v>
      </c>
      <c r="BK4" s="97" t="e">
        <f t="shared" ca="1" si="0"/>
        <v>#VALUE!</v>
      </c>
      <c r="BL4" s="97" t="e">
        <f t="shared" ca="1" si="0"/>
        <v>#VALUE!</v>
      </c>
      <c r="BM4" s="97" t="e">
        <f t="shared" ca="1" si="0"/>
        <v>#VALUE!</v>
      </c>
      <c r="BN4" s="97" t="e">
        <f t="shared" ca="1" si="0"/>
        <v>#VALUE!</v>
      </c>
      <c r="BO4" s="97" t="e">
        <f t="shared" ca="1" si="0"/>
        <v>#VALUE!</v>
      </c>
      <c r="BP4" s="97" t="e">
        <f t="shared" ca="1" si="0"/>
        <v>#VALUE!</v>
      </c>
      <c r="BQ4" s="97" t="e">
        <f t="shared" ca="1" si="0"/>
        <v>#VALUE!</v>
      </c>
      <c r="BR4" s="97" t="e">
        <f t="shared" ca="1" si="0"/>
        <v>#VALUE!</v>
      </c>
      <c r="BS4" s="97" t="e">
        <f t="shared" ca="1" si="0"/>
        <v>#VALUE!</v>
      </c>
      <c r="BT4" s="97" t="e">
        <f t="shared" ca="1" si="0"/>
        <v>#VALUE!</v>
      </c>
      <c r="BU4" s="97" t="e">
        <f t="shared" ca="1" si="0"/>
        <v>#VALUE!</v>
      </c>
      <c r="BV4" s="97" t="e">
        <f t="shared" ca="1" si="0"/>
        <v>#VALUE!</v>
      </c>
      <c r="BW4" s="97" t="e">
        <f t="shared" ca="1" si="0"/>
        <v>#VALUE!</v>
      </c>
      <c r="BX4" s="97" t="e">
        <f t="shared" ca="1" si="0"/>
        <v>#VALUE!</v>
      </c>
      <c r="BY4" s="97" t="e">
        <f t="shared" ca="1" si="0"/>
        <v>#VALUE!</v>
      </c>
      <c r="BZ4" s="97" t="e">
        <f t="shared" ca="1" si="0"/>
        <v>#VALUE!</v>
      </c>
      <c r="CA4" s="97" t="e">
        <f t="shared" ca="1" si="0"/>
        <v>#VALUE!</v>
      </c>
      <c r="CB4" s="97" t="e">
        <f t="shared" ca="1" si="0"/>
        <v>#VALUE!</v>
      </c>
      <c r="CC4" s="97" t="e">
        <f t="shared" ca="1" si="0"/>
        <v>#VALUE!</v>
      </c>
      <c r="CD4" s="97" t="e">
        <f t="shared" ca="1" si="0"/>
        <v>#VALUE!</v>
      </c>
      <c r="CE4" s="97" t="e">
        <f t="shared" ref="CE4:EP4" ca="1" si="1">VALUE(CE5)</f>
        <v>#VALUE!</v>
      </c>
      <c r="CF4" s="97" t="e">
        <f t="shared" ca="1" si="1"/>
        <v>#VALUE!</v>
      </c>
      <c r="CG4" s="97" t="e">
        <f t="shared" ca="1" si="1"/>
        <v>#VALUE!</v>
      </c>
      <c r="CH4" s="97" t="e">
        <f t="shared" ca="1" si="1"/>
        <v>#VALUE!</v>
      </c>
      <c r="CI4" s="97" t="e">
        <f t="shared" ca="1" si="1"/>
        <v>#VALUE!</v>
      </c>
      <c r="CJ4" s="97" t="e">
        <f t="shared" ca="1" si="1"/>
        <v>#VALUE!</v>
      </c>
      <c r="CK4" s="97" t="e">
        <f t="shared" ca="1" si="1"/>
        <v>#VALUE!</v>
      </c>
      <c r="CL4" s="97" t="e">
        <f t="shared" ca="1" si="1"/>
        <v>#VALUE!</v>
      </c>
      <c r="CM4" s="97" t="e">
        <f t="shared" ca="1" si="1"/>
        <v>#VALUE!</v>
      </c>
      <c r="CN4" s="97" t="e">
        <f t="shared" ca="1" si="1"/>
        <v>#VALUE!</v>
      </c>
      <c r="CO4" s="97" t="e">
        <f t="shared" ca="1" si="1"/>
        <v>#VALUE!</v>
      </c>
      <c r="CP4" s="97" t="e">
        <f t="shared" ca="1" si="1"/>
        <v>#VALUE!</v>
      </c>
      <c r="CQ4" s="97" t="e">
        <f t="shared" ca="1" si="1"/>
        <v>#VALUE!</v>
      </c>
      <c r="CR4" s="97" t="e">
        <f t="shared" ca="1" si="1"/>
        <v>#VALUE!</v>
      </c>
      <c r="CS4" s="97" t="e">
        <f t="shared" ca="1" si="1"/>
        <v>#VALUE!</v>
      </c>
      <c r="CT4" s="97" t="e">
        <f t="shared" ca="1" si="1"/>
        <v>#VALUE!</v>
      </c>
      <c r="CU4" s="97" t="e">
        <f t="shared" ca="1" si="1"/>
        <v>#VALUE!</v>
      </c>
      <c r="CV4" s="97" t="e">
        <f t="shared" ca="1" si="1"/>
        <v>#VALUE!</v>
      </c>
      <c r="CW4" s="97" t="e">
        <f t="shared" ca="1" si="1"/>
        <v>#VALUE!</v>
      </c>
      <c r="CX4" s="97" t="e">
        <f t="shared" ca="1" si="1"/>
        <v>#VALUE!</v>
      </c>
      <c r="CY4" s="97" t="e">
        <f t="shared" ca="1" si="1"/>
        <v>#VALUE!</v>
      </c>
      <c r="CZ4" s="97" t="e">
        <f t="shared" ca="1" si="1"/>
        <v>#VALUE!</v>
      </c>
      <c r="DA4" s="97" t="e">
        <f t="shared" ca="1" si="1"/>
        <v>#VALUE!</v>
      </c>
      <c r="DB4" s="97" t="e">
        <f t="shared" ca="1" si="1"/>
        <v>#VALUE!</v>
      </c>
      <c r="DC4" s="97" t="e">
        <f t="shared" ca="1" si="1"/>
        <v>#VALUE!</v>
      </c>
      <c r="DD4" s="97" t="e">
        <f t="shared" ca="1" si="1"/>
        <v>#VALUE!</v>
      </c>
      <c r="DE4" s="97" t="e">
        <f t="shared" ca="1" si="1"/>
        <v>#VALUE!</v>
      </c>
      <c r="DF4" s="97" t="e">
        <f t="shared" ca="1" si="1"/>
        <v>#VALUE!</v>
      </c>
      <c r="DG4" s="97" t="e">
        <f t="shared" ca="1" si="1"/>
        <v>#VALUE!</v>
      </c>
      <c r="DH4" s="97" t="e">
        <f t="shared" ca="1" si="1"/>
        <v>#VALUE!</v>
      </c>
      <c r="DI4" s="97" t="e">
        <f t="shared" ca="1" si="1"/>
        <v>#VALUE!</v>
      </c>
      <c r="DJ4" s="97" t="e">
        <f t="shared" ca="1" si="1"/>
        <v>#VALUE!</v>
      </c>
      <c r="DK4" s="97" t="e">
        <f t="shared" ca="1" si="1"/>
        <v>#VALUE!</v>
      </c>
      <c r="DL4" s="97" t="e">
        <f t="shared" ca="1" si="1"/>
        <v>#VALUE!</v>
      </c>
      <c r="DM4" s="97" t="e">
        <f t="shared" ca="1" si="1"/>
        <v>#VALUE!</v>
      </c>
      <c r="DN4" s="97" t="e">
        <f t="shared" ca="1" si="1"/>
        <v>#VALUE!</v>
      </c>
      <c r="DO4" s="97" t="e">
        <f t="shared" ca="1" si="1"/>
        <v>#VALUE!</v>
      </c>
      <c r="DP4" s="97" t="e">
        <f t="shared" ca="1" si="1"/>
        <v>#VALUE!</v>
      </c>
      <c r="DQ4" s="97" t="e">
        <f t="shared" ca="1" si="1"/>
        <v>#VALUE!</v>
      </c>
      <c r="DR4" s="97" t="e">
        <f t="shared" ca="1" si="1"/>
        <v>#VALUE!</v>
      </c>
      <c r="DS4" s="97" t="e">
        <f t="shared" ca="1" si="1"/>
        <v>#VALUE!</v>
      </c>
      <c r="DT4" s="97" t="e">
        <f t="shared" ca="1" si="1"/>
        <v>#VALUE!</v>
      </c>
      <c r="DU4" s="97" t="e">
        <f t="shared" ca="1" si="1"/>
        <v>#VALUE!</v>
      </c>
      <c r="DV4" s="97" t="e">
        <f t="shared" ca="1" si="1"/>
        <v>#VALUE!</v>
      </c>
      <c r="DW4" s="97" t="e">
        <f t="shared" ca="1" si="1"/>
        <v>#VALUE!</v>
      </c>
      <c r="DX4" s="97" t="e">
        <f t="shared" ca="1" si="1"/>
        <v>#VALUE!</v>
      </c>
      <c r="DY4" s="97" t="e">
        <f t="shared" ca="1" si="1"/>
        <v>#VALUE!</v>
      </c>
      <c r="DZ4" s="97" t="e">
        <f t="shared" ca="1" si="1"/>
        <v>#VALUE!</v>
      </c>
      <c r="EA4" s="97" t="e">
        <f t="shared" ca="1" si="1"/>
        <v>#VALUE!</v>
      </c>
      <c r="EB4" s="97" t="e">
        <f t="shared" ca="1" si="1"/>
        <v>#VALUE!</v>
      </c>
      <c r="EC4" s="97" t="e">
        <f t="shared" ca="1" si="1"/>
        <v>#VALUE!</v>
      </c>
      <c r="ED4" s="97" t="e">
        <f t="shared" ca="1" si="1"/>
        <v>#VALUE!</v>
      </c>
      <c r="EE4" s="97" t="e">
        <f t="shared" ca="1" si="1"/>
        <v>#VALUE!</v>
      </c>
      <c r="EF4" s="97" t="e">
        <f t="shared" ca="1" si="1"/>
        <v>#VALUE!</v>
      </c>
      <c r="EG4" s="97" t="e">
        <f t="shared" ca="1" si="1"/>
        <v>#VALUE!</v>
      </c>
      <c r="EH4" s="97" t="e">
        <f t="shared" ca="1" si="1"/>
        <v>#VALUE!</v>
      </c>
      <c r="EI4" s="97" t="e">
        <f t="shared" ca="1" si="1"/>
        <v>#VALUE!</v>
      </c>
      <c r="EJ4" s="97" t="e">
        <f t="shared" ca="1" si="1"/>
        <v>#VALUE!</v>
      </c>
      <c r="EK4" s="97" t="e">
        <f t="shared" ca="1" si="1"/>
        <v>#VALUE!</v>
      </c>
      <c r="EL4" s="97" t="e">
        <f t="shared" ca="1" si="1"/>
        <v>#VALUE!</v>
      </c>
      <c r="EM4" s="97" t="e">
        <f t="shared" ca="1" si="1"/>
        <v>#VALUE!</v>
      </c>
      <c r="EN4" s="97" t="e">
        <f t="shared" ca="1" si="1"/>
        <v>#VALUE!</v>
      </c>
      <c r="EO4" s="97" t="e">
        <f t="shared" ca="1" si="1"/>
        <v>#VALUE!</v>
      </c>
      <c r="EP4" s="97" t="e">
        <f t="shared" ca="1" si="1"/>
        <v>#VALUE!</v>
      </c>
      <c r="EQ4" s="97" t="e">
        <f t="shared" ref="EQ4:HB4" ca="1" si="2">VALUE(EQ5)</f>
        <v>#VALUE!</v>
      </c>
      <c r="ER4" s="97" t="e">
        <f t="shared" ca="1" si="2"/>
        <v>#VALUE!</v>
      </c>
      <c r="ES4" s="97" t="e">
        <f t="shared" ca="1" si="2"/>
        <v>#VALUE!</v>
      </c>
      <c r="ET4" s="97" t="e">
        <f t="shared" ca="1" si="2"/>
        <v>#VALUE!</v>
      </c>
      <c r="EU4" s="97" t="e">
        <f t="shared" ca="1" si="2"/>
        <v>#VALUE!</v>
      </c>
      <c r="EV4" s="97" t="e">
        <f t="shared" ca="1" si="2"/>
        <v>#VALUE!</v>
      </c>
      <c r="EW4" s="97" t="e">
        <f t="shared" ca="1" si="2"/>
        <v>#VALUE!</v>
      </c>
      <c r="EX4" s="97" t="e">
        <f t="shared" ca="1" si="2"/>
        <v>#VALUE!</v>
      </c>
      <c r="EY4" s="97" t="e">
        <f t="shared" ca="1" si="2"/>
        <v>#VALUE!</v>
      </c>
      <c r="EZ4" s="97" t="e">
        <f t="shared" ca="1" si="2"/>
        <v>#VALUE!</v>
      </c>
      <c r="FA4" s="97" t="e">
        <f t="shared" ca="1" si="2"/>
        <v>#VALUE!</v>
      </c>
      <c r="FB4" s="97" t="e">
        <f t="shared" ca="1" si="2"/>
        <v>#VALUE!</v>
      </c>
      <c r="FC4" s="97" t="e">
        <f t="shared" ca="1" si="2"/>
        <v>#VALUE!</v>
      </c>
      <c r="FD4" s="97" t="e">
        <f t="shared" ca="1" si="2"/>
        <v>#VALUE!</v>
      </c>
      <c r="FE4" s="97" t="e">
        <f t="shared" ca="1" si="2"/>
        <v>#VALUE!</v>
      </c>
      <c r="FF4" s="97" t="e">
        <f t="shared" ca="1" si="2"/>
        <v>#VALUE!</v>
      </c>
      <c r="FG4" s="97" t="e">
        <f t="shared" ca="1" si="2"/>
        <v>#VALUE!</v>
      </c>
      <c r="FH4" s="97" t="e">
        <f t="shared" ca="1" si="2"/>
        <v>#VALUE!</v>
      </c>
      <c r="FI4" s="97" t="e">
        <f t="shared" ca="1" si="2"/>
        <v>#VALUE!</v>
      </c>
      <c r="FJ4" s="97" t="e">
        <f t="shared" ca="1" si="2"/>
        <v>#VALUE!</v>
      </c>
      <c r="FK4" s="97" t="e">
        <f t="shared" ca="1" si="2"/>
        <v>#VALUE!</v>
      </c>
      <c r="FL4" s="97" t="e">
        <f t="shared" ca="1" si="2"/>
        <v>#VALUE!</v>
      </c>
      <c r="FM4" s="97" t="e">
        <f t="shared" ca="1" si="2"/>
        <v>#VALUE!</v>
      </c>
      <c r="FN4" s="97" t="e">
        <f t="shared" ca="1" si="2"/>
        <v>#VALUE!</v>
      </c>
      <c r="FO4" s="97" t="e">
        <f t="shared" ca="1" si="2"/>
        <v>#VALUE!</v>
      </c>
      <c r="FP4" s="97" t="e">
        <f t="shared" ca="1" si="2"/>
        <v>#VALUE!</v>
      </c>
      <c r="FQ4" s="97" t="e">
        <f t="shared" ca="1" si="2"/>
        <v>#VALUE!</v>
      </c>
      <c r="FR4" s="97" t="e">
        <f t="shared" ca="1" si="2"/>
        <v>#VALUE!</v>
      </c>
      <c r="FS4" s="97" t="e">
        <f t="shared" ca="1" si="2"/>
        <v>#VALUE!</v>
      </c>
      <c r="FT4" s="97" t="e">
        <f t="shared" ca="1" si="2"/>
        <v>#VALUE!</v>
      </c>
      <c r="FU4" s="97" t="e">
        <f t="shared" ca="1" si="2"/>
        <v>#VALUE!</v>
      </c>
      <c r="FV4" s="97" t="e">
        <f t="shared" ca="1" si="2"/>
        <v>#VALUE!</v>
      </c>
      <c r="FW4" s="97" t="e">
        <f t="shared" ca="1" si="2"/>
        <v>#VALUE!</v>
      </c>
      <c r="FX4" s="97" t="e">
        <f t="shared" ca="1" si="2"/>
        <v>#VALUE!</v>
      </c>
      <c r="FY4" s="97" t="e">
        <f t="shared" ca="1" si="2"/>
        <v>#VALUE!</v>
      </c>
      <c r="FZ4" s="97" t="e">
        <f t="shared" ca="1" si="2"/>
        <v>#VALUE!</v>
      </c>
      <c r="GA4" s="97" t="e">
        <f t="shared" ca="1" si="2"/>
        <v>#VALUE!</v>
      </c>
      <c r="GB4" s="97" t="e">
        <f t="shared" ca="1" si="2"/>
        <v>#VALUE!</v>
      </c>
      <c r="GC4" s="97" t="e">
        <f t="shared" ca="1" si="2"/>
        <v>#VALUE!</v>
      </c>
      <c r="GD4" s="97" t="e">
        <f t="shared" ca="1" si="2"/>
        <v>#VALUE!</v>
      </c>
      <c r="GE4" s="97" t="e">
        <f t="shared" ca="1" si="2"/>
        <v>#VALUE!</v>
      </c>
      <c r="GF4" s="97" t="e">
        <f t="shared" ca="1" si="2"/>
        <v>#VALUE!</v>
      </c>
      <c r="GG4" s="97" t="e">
        <f t="shared" ca="1" si="2"/>
        <v>#VALUE!</v>
      </c>
      <c r="GH4" s="97" t="e">
        <f t="shared" ca="1" si="2"/>
        <v>#VALUE!</v>
      </c>
      <c r="GI4" s="97" t="e">
        <f t="shared" ca="1" si="2"/>
        <v>#VALUE!</v>
      </c>
      <c r="GJ4" s="97" t="e">
        <f t="shared" ca="1" si="2"/>
        <v>#VALUE!</v>
      </c>
      <c r="GK4" s="97" t="e">
        <f t="shared" ca="1" si="2"/>
        <v>#VALUE!</v>
      </c>
      <c r="GL4" s="97" t="e">
        <f t="shared" ca="1" si="2"/>
        <v>#VALUE!</v>
      </c>
      <c r="GM4" s="97" t="e">
        <f t="shared" ca="1" si="2"/>
        <v>#VALUE!</v>
      </c>
      <c r="GN4" s="97" t="e">
        <f t="shared" ca="1" si="2"/>
        <v>#VALUE!</v>
      </c>
      <c r="GO4" s="97" t="e">
        <f t="shared" ca="1" si="2"/>
        <v>#VALUE!</v>
      </c>
      <c r="GP4" s="97" t="e">
        <f t="shared" ca="1" si="2"/>
        <v>#VALUE!</v>
      </c>
      <c r="GQ4" s="97" t="e">
        <f t="shared" ca="1" si="2"/>
        <v>#VALUE!</v>
      </c>
      <c r="GR4" s="97" t="e">
        <f t="shared" ca="1" si="2"/>
        <v>#VALUE!</v>
      </c>
      <c r="GS4" s="97" t="e">
        <f t="shared" ca="1" si="2"/>
        <v>#VALUE!</v>
      </c>
      <c r="GT4" s="97" t="e">
        <f t="shared" ca="1" si="2"/>
        <v>#VALUE!</v>
      </c>
      <c r="GU4" s="97" t="e">
        <f t="shared" ca="1" si="2"/>
        <v>#VALUE!</v>
      </c>
      <c r="GV4" s="97" t="e">
        <f t="shared" ca="1" si="2"/>
        <v>#VALUE!</v>
      </c>
      <c r="GW4" s="97" t="e">
        <f t="shared" ca="1" si="2"/>
        <v>#VALUE!</v>
      </c>
      <c r="GX4" s="97" t="e">
        <f t="shared" ca="1" si="2"/>
        <v>#VALUE!</v>
      </c>
      <c r="GY4" s="97" t="e">
        <f t="shared" ca="1" si="2"/>
        <v>#VALUE!</v>
      </c>
      <c r="GZ4" s="97" t="e">
        <f t="shared" ca="1" si="2"/>
        <v>#VALUE!</v>
      </c>
      <c r="HA4" s="97" t="e">
        <f t="shared" ca="1" si="2"/>
        <v>#VALUE!</v>
      </c>
      <c r="HB4" s="97" t="e">
        <f t="shared" ca="1" si="2"/>
        <v>#VALUE!</v>
      </c>
      <c r="HC4" s="97" t="e">
        <f t="shared" ref="HC4:IW4" ca="1" si="3">VALUE(HC5)</f>
        <v>#VALUE!</v>
      </c>
      <c r="HD4" s="97" t="e">
        <f t="shared" ca="1" si="3"/>
        <v>#VALUE!</v>
      </c>
      <c r="HE4" s="97" t="e">
        <f t="shared" ca="1" si="3"/>
        <v>#VALUE!</v>
      </c>
      <c r="HF4" s="97" t="e">
        <f t="shared" ca="1" si="3"/>
        <v>#VALUE!</v>
      </c>
      <c r="HG4" s="97" t="e">
        <f t="shared" ca="1" si="3"/>
        <v>#VALUE!</v>
      </c>
      <c r="HH4" s="97" t="e">
        <f t="shared" ca="1" si="3"/>
        <v>#VALUE!</v>
      </c>
      <c r="HI4" s="97" t="e">
        <f t="shared" ca="1" si="3"/>
        <v>#VALUE!</v>
      </c>
      <c r="HJ4" s="97" t="e">
        <f t="shared" ca="1" si="3"/>
        <v>#VALUE!</v>
      </c>
      <c r="HK4" s="97" t="e">
        <f t="shared" ca="1" si="3"/>
        <v>#VALUE!</v>
      </c>
      <c r="HL4" s="97" t="e">
        <f t="shared" ca="1" si="3"/>
        <v>#VALUE!</v>
      </c>
      <c r="HM4" s="97" t="e">
        <f t="shared" ca="1" si="3"/>
        <v>#VALUE!</v>
      </c>
      <c r="HN4" s="97" t="e">
        <f t="shared" ca="1" si="3"/>
        <v>#VALUE!</v>
      </c>
      <c r="HO4" s="97" t="e">
        <f t="shared" ca="1" si="3"/>
        <v>#VALUE!</v>
      </c>
      <c r="HP4" s="97" t="e">
        <f t="shared" ca="1" si="3"/>
        <v>#VALUE!</v>
      </c>
      <c r="HQ4" s="97" t="e">
        <f t="shared" ca="1" si="3"/>
        <v>#VALUE!</v>
      </c>
      <c r="HR4" s="97" t="e">
        <f t="shared" ca="1" si="3"/>
        <v>#VALUE!</v>
      </c>
      <c r="HS4" s="97" t="e">
        <f t="shared" ca="1" si="3"/>
        <v>#VALUE!</v>
      </c>
      <c r="HT4" s="97" t="e">
        <f t="shared" ca="1" si="3"/>
        <v>#VALUE!</v>
      </c>
      <c r="HU4" s="97" t="e">
        <f t="shared" ca="1" si="3"/>
        <v>#VALUE!</v>
      </c>
      <c r="HV4" s="97" t="e">
        <f t="shared" ca="1" si="3"/>
        <v>#VALUE!</v>
      </c>
      <c r="HW4" s="97" t="e">
        <f t="shared" ca="1" si="3"/>
        <v>#VALUE!</v>
      </c>
      <c r="HX4" s="97" t="e">
        <f t="shared" ca="1" si="3"/>
        <v>#VALUE!</v>
      </c>
      <c r="HY4" s="97" t="e">
        <f t="shared" ca="1" si="3"/>
        <v>#VALUE!</v>
      </c>
      <c r="HZ4" s="97" t="e">
        <f t="shared" ca="1" si="3"/>
        <v>#VALUE!</v>
      </c>
      <c r="IA4" s="97" t="e">
        <f t="shared" ca="1" si="3"/>
        <v>#VALUE!</v>
      </c>
      <c r="IB4" s="97" t="e">
        <f t="shared" ca="1" si="3"/>
        <v>#VALUE!</v>
      </c>
      <c r="IC4" s="97" t="e">
        <f t="shared" ca="1" si="3"/>
        <v>#VALUE!</v>
      </c>
      <c r="ID4" s="97" t="e">
        <f t="shared" ca="1" si="3"/>
        <v>#VALUE!</v>
      </c>
      <c r="IE4" s="97" t="e">
        <f t="shared" ca="1" si="3"/>
        <v>#VALUE!</v>
      </c>
      <c r="IF4" s="97" t="e">
        <f t="shared" ca="1" si="3"/>
        <v>#VALUE!</v>
      </c>
      <c r="IG4" s="97" t="e">
        <f t="shared" ca="1" si="3"/>
        <v>#VALUE!</v>
      </c>
      <c r="IH4" s="97" t="e">
        <f t="shared" ca="1" si="3"/>
        <v>#VALUE!</v>
      </c>
      <c r="II4" s="97" t="e">
        <f t="shared" ca="1" si="3"/>
        <v>#VALUE!</v>
      </c>
      <c r="IJ4" s="97" t="e">
        <f t="shared" ca="1" si="3"/>
        <v>#VALUE!</v>
      </c>
      <c r="IK4" s="97" t="e">
        <f t="shared" ca="1" si="3"/>
        <v>#VALUE!</v>
      </c>
      <c r="IL4" s="97" t="e">
        <f t="shared" ca="1" si="3"/>
        <v>#VALUE!</v>
      </c>
      <c r="IM4" s="97" t="e">
        <f t="shared" ca="1" si="3"/>
        <v>#VALUE!</v>
      </c>
      <c r="IN4" s="97" t="e">
        <f t="shared" ca="1" si="3"/>
        <v>#VALUE!</v>
      </c>
      <c r="IO4" s="97" t="e">
        <f t="shared" ca="1" si="3"/>
        <v>#VALUE!</v>
      </c>
      <c r="IP4" s="97" t="e">
        <f t="shared" ca="1" si="3"/>
        <v>#VALUE!</v>
      </c>
      <c r="IQ4" s="97" t="e">
        <f t="shared" ca="1" si="3"/>
        <v>#VALUE!</v>
      </c>
      <c r="IR4" s="97" t="e">
        <f t="shared" ca="1" si="3"/>
        <v>#VALUE!</v>
      </c>
      <c r="IS4" s="97" t="e">
        <f t="shared" ca="1" si="3"/>
        <v>#VALUE!</v>
      </c>
      <c r="IT4" s="97" t="e">
        <f t="shared" ca="1" si="3"/>
        <v>#VALUE!</v>
      </c>
      <c r="IU4" s="97" t="e">
        <f t="shared" ca="1" si="3"/>
        <v>#VALUE!</v>
      </c>
      <c r="IV4" s="97" t="e">
        <f t="shared" ca="1" si="3"/>
        <v>#VALUE!</v>
      </c>
      <c r="IW4" s="97" t="e">
        <f t="shared" ca="1" si="3"/>
        <v>#VALUE!</v>
      </c>
    </row>
    <row r="5" spans="1:264" s="151" customFormat="1" ht="12.75" hidden="1">
      <c r="A5" s="98"/>
      <c r="B5" s="112" t="s">
        <v>71</v>
      </c>
      <c r="C5" s="306" t="e">
        <f ca="1">S6&amp;" - "&amp;IT6</f>
        <v>#VALUE!</v>
      </c>
      <c r="D5" s="306"/>
      <c r="E5" s="306"/>
      <c r="F5" s="306"/>
      <c r="G5" s="306"/>
      <c r="H5" s="306"/>
      <c r="I5" s="100"/>
      <c r="J5" s="114"/>
      <c r="K5" s="101"/>
      <c r="L5" s="113"/>
      <c r="M5" s="102"/>
      <c r="N5" s="97"/>
      <c r="O5" s="102"/>
      <c r="P5" s="102"/>
      <c r="Q5" s="97"/>
      <c r="R5" s="115">
        <v>0</v>
      </c>
      <c r="S5" s="116" t="e">
        <f ca="1">J_normdate(J_ADDDAY(J_SUBDAY(FDate(MIN(OFFSET(E6,0,0,500,1))),j_WEEKDAY(FDate(MIN(OFFSET(E6,0,0,500,1))),0),1),7*R5,1))</f>
        <v>#VALUE!</v>
      </c>
      <c r="T5" s="116" t="e">
        <f ca="1">J_normdate(J_ADDDAY(FDate(S5),1,1))</f>
        <v>#VALUE!</v>
      </c>
      <c r="U5" s="116" t="e">
        <f ca="1">J_normdate(J_ADDDAY(FDate(T5),1,1))</f>
        <v>#VALUE!</v>
      </c>
      <c r="V5" s="116" t="e">
        <f ca="1">J_normdate(J_ADDDAY(FDate(U5),1,1))</f>
        <v>#VALUE!</v>
      </c>
      <c r="W5" s="116" t="e">
        <f ca="1">J_normdate(J_ADDDAY(FDate(V5),1,1))</f>
        <v>#VALUE!</v>
      </c>
      <c r="X5" s="116" t="e">
        <f ca="1">J_normdate(J_ADDDAY(FDate(W5),1,1))</f>
        <v>#VALUE!</v>
      </c>
      <c r="Y5" s="116" t="e">
        <f ca="1">J_normdate(J_ADDDAY(FDate(X5),1,1))</f>
        <v>#VALUE!</v>
      </c>
      <c r="Z5" s="116" t="e">
        <f ca="1">J_normdate(J_ADDDAY(FDate(Y5),1,1))</f>
        <v>#VALUE!</v>
      </c>
      <c r="AA5" s="116" t="e">
        <f ca="1">J_normdate(J_ADDDAY(FDate(Z5),1,1))</f>
        <v>#VALUE!</v>
      </c>
      <c r="AB5" s="116" t="e">
        <f ca="1">J_normdate(J_ADDDAY(FDate(AA5),1,1))</f>
        <v>#VALUE!</v>
      </c>
      <c r="AC5" s="116" t="e">
        <f ca="1">J_normdate(J_ADDDAY(FDate(AB5),1,1))</f>
        <v>#VALUE!</v>
      </c>
      <c r="AD5" s="116" t="e">
        <f ca="1">J_normdate(J_ADDDAY(FDate(AC5),1,1))</f>
        <v>#VALUE!</v>
      </c>
      <c r="AE5" s="116" t="e">
        <f ca="1">J_normdate(J_ADDDAY(FDate(AD5),1,1))</f>
        <v>#VALUE!</v>
      </c>
      <c r="AF5" s="116" t="e">
        <f ca="1">J_normdate(J_ADDDAY(FDate(AE5),1,1))</f>
        <v>#VALUE!</v>
      </c>
      <c r="AG5" s="116" t="e">
        <f ca="1">J_normdate(J_ADDDAY(FDate(AF5),1,1))</f>
        <v>#VALUE!</v>
      </c>
      <c r="AH5" s="116" t="e">
        <f ca="1">J_normdate(J_ADDDAY(FDate(AG5),1,1))</f>
        <v>#VALUE!</v>
      </c>
      <c r="AI5" s="116" t="e">
        <f ca="1">J_normdate(J_ADDDAY(FDate(AH5),1,1))</f>
        <v>#VALUE!</v>
      </c>
      <c r="AJ5" s="116" t="e">
        <f ca="1">J_normdate(J_ADDDAY(FDate(AI5),1,1))</f>
        <v>#VALUE!</v>
      </c>
      <c r="AK5" s="116" t="e">
        <f ca="1">J_normdate(J_ADDDAY(FDate(AJ5),1,1))</f>
        <v>#VALUE!</v>
      </c>
      <c r="AL5" s="116" t="e">
        <f ca="1">J_normdate(J_ADDDAY(FDate(AK5),1,1))</f>
        <v>#VALUE!</v>
      </c>
      <c r="AM5" s="116" t="e">
        <f ca="1">J_normdate(J_ADDDAY(FDate(AL5),1,1))</f>
        <v>#VALUE!</v>
      </c>
      <c r="AN5" s="116" t="e">
        <f ca="1">J_normdate(J_ADDDAY(FDate(AM5),1,1))</f>
        <v>#VALUE!</v>
      </c>
      <c r="AO5" s="116" t="e">
        <f ca="1">J_normdate(J_ADDDAY(FDate(AN5),1,1))</f>
        <v>#VALUE!</v>
      </c>
      <c r="AP5" s="116" t="e">
        <f ca="1">J_normdate(J_ADDDAY(FDate(AO5),1,1))</f>
        <v>#VALUE!</v>
      </c>
      <c r="AQ5" s="116" t="e">
        <f ca="1">J_normdate(J_ADDDAY(FDate(AP5),1,1))</f>
        <v>#VALUE!</v>
      </c>
      <c r="AR5" s="116" t="e">
        <f ca="1">J_normdate(J_ADDDAY(FDate(AQ5),1,1))</f>
        <v>#VALUE!</v>
      </c>
      <c r="AS5" s="116" t="e">
        <f ca="1">J_normdate(J_ADDDAY(FDate(AR5),1,1))</f>
        <v>#VALUE!</v>
      </c>
      <c r="AT5" s="116" t="e">
        <f ca="1">J_normdate(J_ADDDAY(FDate(AS5),1,1))</f>
        <v>#VALUE!</v>
      </c>
      <c r="AU5" s="116" t="e">
        <f ca="1">J_normdate(J_ADDDAY(FDate(AT5),1,1))</f>
        <v>#VALUE!</v>
      </c>
      <c r="AV5" s="116" t="e">
        <f ca="1">J_normdate(J_ADDDAY(FDate(AU5),1,1))</f>
        <v>#VALUE!</v>
      </c>
      <c r="AW5" s="116" t="e">
        <f ca="1">J_normdate(J_ADDDAY(FDate(AV5),1,1))</f>
        <v>#VALUE!</v>
      </c>
      <c r="AX5" s="116" t="e">
        <f ca="1">J_normdate(J_ADDDAY(FDate(AW5),1,1))</f>
        <v>#VALUE!</v>
      </c>
      <c r="AY5" s="116" t="e">
        <f ca="1">J_normdate(J_ADDDAY(FDate(AX5),1,1))</f>
        <v>#VALUE!</v>
      </c>
      <c r="AZ5" s="116" t="e">
        <f ca="1">J_normdate(J_ADDDAY(FDate(AY5),1,1))</f>
        <v>#VALUE!</v>
      </c>
      <c r="BA5" s="116" t="e">
        <f ca="1">J_normdate(J_ADDDAY(FDate(AZ5),1,1))</f>
        <v>#VALUE!</v>
      </c>
      <c r="BB5" s="116" t="e">
        <f ca="1">J_normdate(J_ADDDAY(FDate(BA5),1,1))</f>
        <v>#VALUE!</v>
      </c>
      <c r="BC5" s="116" t="e">
        <f ca="1">J_normdate(J_ADDDAY(FDate(BB5),1,1))</f>
        <v>#VALUE!</v>
      </c>
      <c r="BD5" s="116" t="e">
        <f ca="1">J_normdate(J_ADDDAY(FDate(BC5),1,1))</f>
        <v>#VALUE!</v>
      </c>
      <c r="BE5" s="116" t="e">
        <f ca="1">J_normdate(J_ADDDAY(FDate(BD5),1,1))</f>
        <v>#VALUE!</v>
      </c>
      <c r="BF5" s="116" t="e">
        <f ca="1">J_normdate(J_ADDDAY(FDate(BE5),1,1))</f>
        <v>#VALUE!</v>
      </c>
      <c r="BG5" s="116" t="e">
        <f ca="1">J_normdate(J_ADDDAY(FDate(BF5),1,1))</f>
        <v>#VALUE!</v>
      </c>
      <c r="BH5" s="116" t="e">
        <f ca="1">J_normdate(J_ADDDAY(FDate(BG5),1,1))</f>
        <v>#VALUE!</v>
      </c>
      <c r="BI5" s="116" t="e">
        <f ca="1">J_normdate(J_ADDDAY(FDate(BH5),1,1))</f>
        <v>#VALUE!</v>
      </c>
      <c r="BJ5" s="116" t="e">
        <f ca="1">J_normdate(J_ADDDAY(FDate(BI5),1,1))</f>
        <v>#VALUE!</v>
      </c>
      <c r="BK5" s="116" t="e">
        <f ca="1">J_normdate(J_ADDDAY(FDate(BJ5),1,1))</f>
        <v>#VALUE!</v>
      </c>
      <c r="BL5" s="116" t="e">
        <f ca="1">J_normdate(J_ADDDAY(FDate(BK5),1,1))</f>
        <v>#VALUE!</v>
      </c>
      <c r="BM5" s="116" t="e">
        <f ca="1">J_normdate(J_ADDDAY(FDate(BL5),1,1))</f>
        <v>#VALUE!</v>
      </c>
      <c r="BN5" s="116" t="e">
        <f ca="1">J_normdate(J_ADDDAY(FDate(BM5),1,1))</f>
        <v>#VALUE!</v>
      </c>
      <c r="BO5" s="116" t="e">
        <f ca="1">J_normdate(J_ADDDAY(FDate(BN5),1,1))</f>
        <v>#VALUE!</v>
      </c>
      <c r="BP5" s="116" t="e">
        <f ca="1">J_normdate(J_ADDDAY(FDate(BO5),1,1))</f>
        <v>#VALUE!</v>
      </c>
      <c r="BQ5" s="116" t="e">
        <f ca="1">J_normdate(J_ADDDAY(FDate(BP5),1,1))</f>
        <v>#VALUE!</v>
      </c>
      <c r="BR5" s="116" t="e">
        <f ca="1">J_normdate(J_ADDDAY(FDate(BQ5),1,1))</f>
        <v>#VALUE!</v>
      </c>
      <c r="BS5" s="116" t="e">
        <f ca="1">J_normdate(J_ADDDAY(FDate(BR5),1,1))</f>
        <v>#VALUE!</v>
      </c>
      <c r="BT5" s="116" t="e">
        <f ca="1">J_normdate(J_ADDDAY(FDate(BS5),1,1))</f>
        <v>#VALUE!</v>
      </c>
      <c r="BU5" s="116" t="e">
        <f ca="1">J_normdate(J_ADDDAY(FDate(BT5),1,1))</f>
        <v>#VALUE!</v>
      </c>
      <c r="BV5" s="116" t="e">
        <f ca="1">J_normdate(J_ADDDAY(FDate(BU5),1,1))</f>
        <v>#VALUE!</v>
      </c>
      <c r="BW5" s="116" t="e">
        <f ca="1">J_normdate(J_ADDDAY(FDate(BV5),1,1))</f>
        <v>#VALUE!</v>
      </c>
      <c r="BX5" s="116" t="e">
        <f ca="1">J_normdate(J_ADDDAY(FDate(BW5),1,1))</f>
        <v>#VALUE!</v>
      </c>
      <c r="BY5" s="116" t="e">
        <f ca="1">J_normdate(J_ADDDAY(FDate(BX5),1,1))</f>
        <v>#VALUE!</v>
      </c>
      <c r="BZ5" s="116" t="e">
        <f ca="1">J_normdate(J_ADDDAY(FDate(BY5),1,1))</f>
        <v>#VALUE!</v>
      </c>
      <c r="CA5" s="116" t="e">
        <f ca="1">J_normdate(J_ADDDAY(FDate(BZ5),1,1))</f>
        <v>#VALUE!</v>
      </c>
      <c r="CB5" s="116" t="e">
        <f ca="1">J_normdate(J_ADDDAY(FDate(CA5),1,1))</f>
        <v>#VALUE!</v>
      </c>
      <c r="CC5" s="116" t="e">
        <f ca="1">J_normdate(J_ADDDAY(FDate(CB5),1,1))</f>
        <v>#VALUE!</v>
      </c>
      <c r="CD5" s="116" t="e">
        <f ca="1">J_normdate(J_ADDDAY(FDate(CC5),1,1))</f>
        <v>#VALUE!</v>
      </c>
      <c r="CE5" s="116" t="e">
        <f ca="1">J_normdate(J_ADDDAY(FDate(CD5),1,1))</f>
        <v>#VALUE!</v>
      </c>
      <c r="CF5" s="116" t="e">
        <f ca="1">J_normdate(J_ADDDAY(FDate(CE5),1,1))</f>
        <v>#VALUE!</v>
      </c>
      <c r="CG5" s="116" t="e">
        <f ca="1">J_normdate(J_ADDDAY(FDate(CF5),1,1))</f>
        <v>#VALUE!</v>
      </c>
      <c r="CH5" s="116" t="e">
        <f ca="1">J_normdate(J_ADDDAY(FDate(CG5),1,1))</f>
        <v>#VALUE!</v>
      </c>
      <c r="CI5" s="116" t="e">
        <f ca="1">J_normdate(J_ADDDAY(FDate(CH5),1,1))</f>
        <v>#VALUE!</v>
      </c>
      <c r="CJ5" s="116" t="e">
        <f ca="1">J_normdate(J_ADDDAY(FDate(CI5),1,1))</f>
        <v>#VALUE!</v>
      </c>
      <c r="CK5" s="116" t="e">
        <f ca="1">J_normdate(J_ADDDAY(FDate(CJ5),1,1))</f>
        <v>#VALUE!</v>
      </c>
      <c r="CL5" s="116" t="e">
        <f ca="1">J_normdate(J_ADDDAY(FDate(CK5),1,1))</f>
        <v>#VALUE!</v>
      </c>
      <c r="CM5" s="116" t="e">
        <f ca="1">J_normdate(J_ADDDAY(FDate(CL5),1,1))</f>
        <v>#VALUE!</v>
      </c>
      <c r="CN5" s="116" t="e">
        <f ca="1">J_normdate(J_ADDDAY(FDate(CM5),1,1))</f>
        <v>#VALUE!</v>
      </c>
      <c r="CO5" s="116" t="e">
        <f ca="1">J_normdate(J_ADDDAY(FDate(CN5),1,1))</f>
        <v>#VALUE!</v>
      </c>
      <c r="CP5" s="116" t="e">
        <f ca="1">J_normdate(J_ADDDAY(FDate(CO5),1,1))</f>
        <v>#VALUE!</v>
      </c>
      <c r="CQ5" s="116" t="e">
        <f ca="1">J_normdate(J_ADDDAY(FDate(CP5),1,1))</f>
        <v>#VALUE!</v>
      </c>
      <c r="CR5" s="116" t="e">
        <f ca="1">J_normdate(J_ADDDAY(FDate(CQ5),1,1))</f>
        <v>#VALUE!</v>
      </c>
      <c r="CS5" s="116" t="e">
        <f ca="1">J_normdate(J_ADDDAY(FDate(CR5),1,1))</f>
        <v>#VALUE!</v>
      </c>
      <c r="CT5" s="116" t="e">
        <f ca="1">J_normdate(J_ADDDAY(FDate(CS5),1,1))</f>
        <v>#VALUE!</v>
      </c>
      <c r="CU5" s="116" t="e">
        <f ca="1">J_normdate(J_ADDDAY(FDate(CT5),1,1))</f>
        <v>#VALUE!</v>
      </c>
      <c r="CV5" s="116" t="e">
        <f ca="1">J_normdate(J_ADDDAY(FDate(CU5),1,1))</f>
        <v>#VALUE!</v>
      </c>
      <c r="CW5" s="116" t="e">
        <f ca="1">J_normdate(J_ADDDAY(FDate(CV5),1,1))</f>
        <v>#VALUE!</v>
      </c>
      <c r="CX5" s="116" t="e">
        <f ca="1">J_normdate(J_ADDDAY(FDate(CW5),1,1))</f>
        <v>#VALUE!</v>
      </c>
      <c r="CY5" s="116" t="e">
        <f ca="1">J_normdate(J_ADDDAY(FDate(CX5),1,1))</f>
        <v>#VALUE!</v>
      </c>
      <c r="CZ5" s="116" t="e">
        <f ca="1">J_normdate(J_ADDDAY(FDate(CY5),1,1))</f>
        <v>#VALUE!</v>
      </c>
      <c r="DA5" s="116" t="e">
        <f ca="1">J_normdate(J_ADDDAY(FDate(CZ5),1,1))</f>
        <v>#VALUE!</v>
      </c>
      <c r="DB5" s="116" t="e">
        <f ca="1">J_normdate(J_ADDDAY(FDate(DA5),1,1))</f>
        <v>#VALUE!</v>
      </c>
      <c r="DC5" s="116" t="e">
        <f ca="1">J_normdate(J_ADDDAY(FDate(DB5),1,1))</f>
        <v>#VALUE!</v>
      </c>
      <c r="DD5" s="116" t="e">
        <f ca="1">J_normdate(J_ADDDAY(FDate(DC5),1,1))</f>
        <v>#VALUE!</v>
      </c>
      <c r="DE5" s="116" t="e">
        <f ca="1">J_normdate(J_ADDDAY(FDate(DD5),1,1))</f>
        <v>#VALUE!</v>
      </c>
      <c r="DF5" s="116" t="e">
        <f ca="1">J_normdate(J_ADDDAY(FDate(DE5),1,1))</f>
        <v>#VALUE!</v>
      </c>
      <c r="DG5" s="116" t="e">
        <f ca="1">J_normdate(J_ADDDAY(FDate(DF5),1,1))</f>
        <v>#VALUE!</v>
      </c>
      <c r="DH5" s="116" t="e">
        <f ca="1">J_normdate(J_ADDDAY(FDate(DG5),1,1))</f>
        <v>#VALUE!</v>
      </c>
      <c r="DI5" s="116" t="e">
        <f ca="1">J_normdate(J_ADDDAY(FDate(DH5),1,1))</f>
        <v>#VALUE!</v>
      </c>
      <c r="DJ5" s="116" t="e">
        <f ca="1">J_normdate(J_ADDDAY(FDate(DI5),1,1))</f>
        <v>#VALUE!</v>
      </c>
      <c r="DK5" s="116" t="e">
        <f ca="1">J_normdate(J_ADDDAY(FDate(DJ5),1,1))</f>
        <v>#VALUE!</v>
      </c>
      <c r="DL5" s="116" t="e">
        <f ca="1">J_normdate(J_ADDDAY(FDate(DK5),1,1))</f>
        <v>#VALUE!</v>
      </c>
      <c r="DM5" s="116" t="e">
        <f ca="1">J_normdate(J_ADDDAY(FDate(DL5),1,1))</f>
        <v>#VALUE!</v>
      </c>
      <c r="DN5" s="116" t="e">
        <f ca="1">J_normdate(J_ADDDAY(FDate(DM5),1,1))</f>
        <v>#VALUE!</v>
      </c>
      <c r="DO5" s="116" t="e">
        <f ca="1">J_normdate(J_ADDDAY(FDate(DN5),1,1))</f>
        <v>#VALUE!</v>
      </c>
      <c r="DP5" s="116" t="e">
        <f ca="1">J_normdate(J_ADDDAY(FDate(DO5),1,1))</f>
        <v>#VALUE!</v>
      </c>
      <c r="DQ5" s="116" t="e">
        <f ca="1">J_normdate(J_ADDDAY(FDate(DP5),1,1))</f>
        <v>#VALUE!</v>
      </c>
      <c r="DR5" s="116" t="e">
        <f ca="1">J_normdate(J_ADDDAY(FDate(DQ5),1,1))</f>
        <v>#VALUE!</v>
      </c>
      <c r="DS5" s="116" t="e">
        <f ca="1">J_normdate(J_ADDDAY(FDate(DR5),1,1))</f>
        <v>#VALUE!</v>
      </c>
      <c r="DT5" s="116" t="e">
        <f ca="1">J_normdate(J_ADDDAY(FDate(DS5),1,1))</f>
        <v>#VALUE!</v>
      </c>
      <c r="DU5" s="116" t="e">
        <f ca="1">J_normdate(J_ADDDAY(FDate(DT5),1,1))</f>
        <v>#VALUE!</v>
      </c>
      <c r="DV5" s="116" t="e">
        <f ca="1">J_normdate(J_ADDDAY(FDate(DU5),1,1))</f>
        <v>#VALUE!</v>
      </c>
      <c r="DW5" s="116" t="e">
        <f ca="1">J_normdate(J_ADDDAY(FDate(DV5),1,1))</f>
        <v>#VALUE!</v>
      </c>
      <c r="DX5" s="116" t="e">
        <f ca="1">J_normdate(J_ADDDAY(FDate(DW5),1,1))</f>
        <v>#VALUE!</v>
      </c>
      <c r="DY5" s="116" t="e">
        <f ca="1">J_normdate(J_ADDDAY(FDate(DX5),1,1))</f>
        <v>#VALUE!</v>
      </c>
      <c r="DZ5" s="116" t="e">
        <f ca="1">J_normdate(J_ADDDAY(FDate(DY5),1,1))</f>
        <v>#VALUE!</v>
      </c>
      <c r="EA5" s="116" t="e">
        <f ca="1">J_normdate(J_ADDDAY(FDate(DZ5),1,1))</f>
        <v>#VALUE!</v>
      </c>
      <c r="EB5" s="116" t="e">
        <f ca="1">J_normdate(J_ADDDAY(FDate(EA5),1,1))</f>
        <v>#VALUE!</v>
      </c>
      <c r="EC5" s="116" t="e">
        <f ca="1">J_normdate(J_ADDDAY(FDate(EB5),1,1))</f>
        <v>#VALUE!</v>
      </c>
      <c r="ED5" s="116" t="e">
        <f ca="1">J_normdate(J_ADDDAY(FDate(EC5),1,1))</f>
        <v>#VALUE!</v>
      </c>
      <c r="EE5" s="116" t="e">
        <f ca="1">J_normdate(J_ADDDAY(FDate(ED5),1,1))</f>
        <v>#VALUE!</v>
      </c>
      <c r="EF5" s="116" t="e">
        <f ca="1">J_normdate(J_ADDDAY(FDate(EE5),1,1))</f>
        <v>#VALUE!</v>
      </c>
      <c r="EG5" s="116" t="e">
        <f ca="1">J_normdate(J_ADDDAY(FDate(EF5),1,1))</f>
        <v>#VALUE!</v>
      </c>
      <c r="EH5" s="116" t="e">
        <f ca="1">J_normdate(J_ADDDAY(FDate(EG5),1,1))</f>
        <v>#VALUE!</v>
      </c>
      <c r="EI5" s="116" t="e">
        <f ca="1">J_normdate(J_ADDDAY(FDate(EH5),1,1))</f>
        <v>#VALUE!</v>
      </c>
      <c r="EJ5" s="116" t="e">
        <f ca="1">J_normdate(J_ADDDAY(FDate(EI5),1,1))</f>
        <v>#VALUE!</v>
      </c>
      <c r="EK5" s="116" t="e">
        <f ca="1">J_normdate(J_ADDDAY(FDate(EJ5),1,1))</f>
        <v>#VALUE!</v>
      </c>
      <c r="EL5" s="116" t="e">
        <f ca="1">J_normdate(J_ADDDAY(FDate(EK5),1,1))</f>
        <v>#VALUE!</v>
      </c>
      <c r="EM5" s="116" t="e">
        <f ca="1">J_normdate(J_ADDDAY(FDate(EL5),1,1))</f>
        <v>#VALUE!</v>
      </c>
      <c r="EN5" s="116" t="e">
        <f ca="1">J_normdate(J_ADDDAY(FDate(EM5),1,1))</f>
        <v>#VALUE!</v>
      </c>
      <c r="EO5" s="116" t="e">
        <f ca="1">J_normdate(J_ADDDAY(FDate(EN5),1,1))</f>
        <v>#VALUE!</v>
      </c>
      <c r="EP5" s="116" t="e">
        <f ca="1">J_normdate(J_ADDDAY(FDate(EO5),1,1))</f>
        <v>#VALUE!</v>
      </c>
      <c r="EQ5" s="116" t="e">
        <f ca="1">J_normdate(J_ADDDAY(FDate(EP5),1,1))</f>
        <v>#VALUE!</v>
      </c>
      <c r="ER5" s="116" t="e">
        <f ca="1">J_normdate(J_ADDDAY(FDate(EQ5),1,1))</f>
        <v>#VALUE!</v>
      </c>
      <c r="ES5" s="116" t="e">
        <f ca="1">J_normdate(J_ADDDAY(FDate(ER5),1,1))</f>
        <v>#VALUE!</v>
      </c>
      <c r="ET5" s="116" t="e">
        <f ca="1">J_normdate(J_ADDDAY(FDate(ES5),1,1))</f>
        <v>#VALUE!</v>
      </c>
      <c r="EU5" s="116" t="e">
        <f ca="1">J_normdate(J_ADDDAY(FDate(ET5),1,1))</f>
        <v>#VALUE!</v>
      </c>
      <c r="EV5" s="116" t="e">
        <f ca="1">J_normdate(J_ADDDAY(FDate(EU5),1,1))</f>
        <v>#VALUE!</v>
      </c>
      <c r="EW5" s="116" t="e">
        <f ca="1">J_normdate(J_ADDDAY(FDate(EV5),1,1))</f>
        <v>#VALUE!</v>
      </c>
      <c r="EX5" s="116" t="e">
        <f ca="1">J_normdate(J_ADDDAY(FDate(EW5),1,1))</f>
        <v>#VALUE!</v>
      </c>
      <c r="EY5" s="116" t="e">
        <f ca="1">J_normdate(J_ADDDAY(FDate(EX5),1,1))</f>
        <v>#VALUE!</v>
      </c>
      <c r="EZ5" s="116" t="e">
        <f ca="1">J_normdate(J_ADDDAY(FDate(EY5),1,1))</f>
        <v>#VALUE!</v>
      </c>
      <c r="FA5" s="116" t="e">
        <f ca="1">J_normdate(J_ADDDAY(FDate(EZ5),1,1))</f>
        <v>#VALUE!</v>
      </c>
      <c r="FB5" s="116" t="e">
        <f ca="1">J_normdate(J_ADDDAY(FDate(FA5),1,1))</f>
        <v>#VALUE!</v>
      </c>
      <c r="FC5" s="116" t="e">
        <f ca="1">J_normdate(J_ADDDAY(FDate(FB5),1,1))</f>
        <v>#VALUE!</v>
      </c>
      <c r="FD5" s="116" t="e">
        <f ca="1">J_normdate(J_ADDDAY(FDate(FC5),1,1))</f>
        <v>#VALUE!</v>
      </c>
      <c r="FE5" s="116" t="e">
        <f ca="1">J_normdate(J_ADDDAY(FDate(FD5),1,1))</f>
        <v>#VALUE!</v>
      </c>
      <c r="FF5" s="116" t="e">
        <f ca="1">J_normdate(J_ADDDAY(FDate(FE5),1,1))</f>
        <v>#VALUE!</v>
      </c>
      <c r="FG5" s="116" t="e">
        <f ca="1">J_normdate(J_ADDDAY(FDate(FF5),1,1))</f>
        <v>#VALUE!</v>
      </c>
      <c r="FH5" s="116" t="e">
        <f ca="1">J_normdate(J_ADDDAY(FDate(FG5),1,1))</f>
        <v>#VALUE!</v>
      </c>
      <c r="FI5" s="116" t="e">
        <f ca="1">J_normdate(J_ADDDAY(FDate(FH5),1,1))</f>
        <v>#VALUE!</v>
      </c>
      <c r="FJ5" s="116" t="e">
        <f ca="1">J_normdate(J_ADDDAY(FDate(FI5),1,1))</f>
        <v>#VALUE!</v>
      </c>
      <c r="FK5" s="116" t="e">
        <f ca="1">J_normdate(J_ADDDAY(FDate(FJ5),1,1))</f>
        <v>#VALUE!</v>
      </c>
      <c r="FL5" s="116" t="e">
        <f ca="1">J_normdate(J_ADDDAY(FDate(FK5),1,1))</f>
        <v>#VALUE!</v>
      </c>
      <c r="FM5" s="116" t="e">
        <f ca="1">J_normdate(J_ADDDAY(FDate(FL5),1,1))</f>
        <v>#VALUE!</v>
      </c>
      <c r="FN5" s="116" t="e">
        <f ca="1">J_normdate(J_ADDDAY(FDate(FM5),1,1))</f>
        <v>#VALUE!</v>
      </c>
      <c r="FO5" s="116" t="e">
        <f ca="1">J_normdate(J_ADDDAY(FDate(FN5),1,1))</f>
        <v>#VALUE!</v>
      </c>
      <c r="FP5" s="116" t="e">
        <f ca="1">J_normdate(J_ADDDAY(FDate(FO5),1,1))</f>
        <v>#VALUE!</v>
      </c>
      <c r="FQ5" s="116" t="e">
        <f ca="1">J_normdate(J_ADDDAY(FDate(FP5),1,1))</f>
        <v>#VALUE!</v>
      </c>
      <c r="FR5" s="116" t="e">
        <f ca="1">J_normdate(J_ADDDAY(FDate(FQ5),1,1))</f>
        <v>#VALUE!</v>
      </c>
      <c r="FS5" s="116" t="e">
        <f ca="1">J_normdate(J_ADDDAY(FDate(FR5),1,1))</f>
        <v>#VALUE!</v>
      </c>
      <c r="FT5" s="116" t="e">
        <f ca="1">J_normdate(J_ADDDAY(FDate(FS5),1,1))</f>
        <v>#VALUE!</v>
      </c>
      <c r="FU5" s="116" t="e">
        <f ca="1">J_normdate(J_ADDDAY(FDate(FT5),1,1))</f>
        <v>#VALUE!</v>
      </c>
      <c r="FV5" s="116" t="e">
        <f ca="1">J_normdate(J_ADDDAY(FDate(FU5),1,1))</f>
        <v>#VALUE!</v>
      </c>
      <c r="FW5" s="116" t="e">
        <f ca="1">J_normdate(J_ADDDAY(FDate(FV5),1,1))</f>
        <v>#VALUE!</v>
      </c>
      <c r="FX5" s="116" t="e">
        <f ca="1">J_normdate(J_ADDDAY(FDate(FW5),1,1))</f>
        <v>#VALUE!</v>
      </c>
      <c r="FY5" s="116" t="e">
        <f ca="1">J_normdate(J_ADDDAY(FDate(FX5),1,1))</f>
        <v>#VALUE!</v>
      </c>
      <c r="FZ5" s="116" t="e">
        <f ca="1">J_normdate(J_ADDDAY(FDate(FY5),1,1))</f>
        <v>#VALUE!</v>
      </c>
      <c r="GA5" s="116" t="e">
        <f ca="1">J_normdate(J_ADDDAY(FDate(FZ5),1,1))</f>
        <v>#VALUE!</v>
      </c>
      <c r="GB5" s="116" t="e">
        <f ca="1">J_normdate(J_ADDDAY(FDate(GA5),1,1))</f>
        <v>#VALUE!</v>
      </c>
      <c r="GC5" s="116" t="e">
        <f ca="1">J_normdate(J_ADDDAY(FDate(GB5),1,1))</f>
        <v>#VALUE!</v>
      </c>
      <c r="GD5" s="116" t="e">
        <f ca="1">J_normdate(J_ADDDAY(FDate(GC5),1,1))</f>
        <v>#VALUE!</v>
      </c>
      <c r="GE5" s="116" t="e">
        <f ca="1">J_normdate(J_ADDDAY(FDate(GD5),1,1))</f>
        <v>#VALUE!</v>
      </c>
      <c r="GF5" s="116" t="e">
        <f ca="1">J_normdate(J_ADDDAY(FDate(GE5),1,1))</f>
        <v>#VALUE!</v>
      </c>
      <c r="GG5" s="116" t="e">
        <f ca="1">J_normdate(J_ADDDAY(FDate(GF5),1,1))</f>
        <v>#VALUE!</v>
      </c>
      <c r="GH5" s="116" t="e">
        <f ca="1">J_normdate(J_ADDDAY(FDate(GG5),1,1))</f>
        <v>#VALUE!</v>
      </c>
      <c r="GI5" s="116" t="e">
        <f ca="1">J_normdate(J_ADDDAY(FDate(GH5),1,1))</f>
        <v>#VALUE!</v>
      </c>
      <c r="GJ5" s="116" t="e">
        <f ca="1">J_normdate(J_ADDDAY(FDate(GI5),1,1))</f>
        <v>#VALUE!</v>
      </c>
      <c r="GK5" s="116" t="e">
        <f ca="1">J_normdate(J_ADDDAY(FDate(GJ5),1,1))</f>
        <v>#VALUE!</v>
      </c>
      <c r="GL5" s="116" t="e">
        <f ca="1">J_normdate(J_ADDDAY(FDate(GK5),1,1))</f>
        <v>#VALUE!</v>
      </c>
      <c r="GM5" s="116" t="e">
        <f ca="1">J_normdate(J_ADDDAY(FDate(GL5),1,1))</f>
        <v>#VALUE!</v>
      </c>
      <c r="GN5" s="116" t="e">
        <f ca="1">J_normdate(J_ADDDAY(FDate(GM5),1,1))</f>
        <v>#VALUE!</v>
      </c>
      <c r="GO5" s="116" t="e">
        <f ca="1">J_normdate(J_ADDDAY(FDate(GN5),1,1))</f>
        <v>#VALUE!</v>
      </c>
      <c r="GP5" s="116" t="e">
        <f ca="1">J_normdate(J_ADDDAY(FDate(GO5),1,1))</f>
        <v>#VALUE!</v>
      </c>
      <c r="GQ5" s="116" t="e">
        <f ca="1">J_normdate(J_ADDDAY(FDate(GP5),1,1))</f>
        <v>#VALUE!</v>
      </c>
      <c r="GR5" s="116" t="e">
        <f ca="1">J_normdate(J_ADDDAY(FDate(GQ5),1,1))</f>
        <v>#VALUE!</v>
      </c>
      <c r="GS5" s="116" t="e">
        <f ca="1">J_normdate(J_ADDDAY(FDate(GR5),1,1))</f>
        <v>#VALUE!</v>
      </c>
      <c r="GT5" s="116" t="e">
        <f ca="1">J_normdate(J_ADDDAY(FDate(GS5),1,1))</f>
        <v>#VALUE!</v>
      </c>
      <c r="GU5" s="116" t="e">
        <f ca="1">J_normdate(J_ADDDAY(FDate(GT5),1,1))</f>
        <v>#VALUE!</v>
      </c>
      <c r="GV5" s="116" t="e">
        <f ca="1">J_normdate(J_ADDDAY(FDate(GU5),1,1))</f>
        <v>#VALUE!</v>
      </c>
      <c r="GW5" s="116" t="e">
        <f ca="1">J_normdate(J_ADDDAY(FDate(GV5),1,1))</f>
        <v>#VALUE!</v>
      </c>
      <c r="GX5" s="116" t="e">
        <f ca="1">J_normdate(J_ADDDAY(FDate(GW5),1,1))</f>
        <v>#VALUE!</v>
      </c>
      <c r="GY5" s="116" t="e">
        <f ca="1">J_normdate(J_ADDDAY(FDate(GX5),1,1))</f>
        <v>#VALUE!</v>
      </c>
      <c r="GZ5" s="116" t="e">
        <f ca="1">J_normdate(J_ADDDAY(FDate(GY5),1,1))</f>
        <v>#VALUE!</v>
      </c>
      <c r="HA5" s="116" t="e">
        <f ca="1">J_normdate(J_ADDDAY(FDate(GZ5),1,1))</f>
        <v>#VALUE!</v>
      </c>
      <c r="HB5" s="116" t="e">
        <f ca="1">J_normdate(J_ADDDAY(FDate(HA5),1,1))</f>
        <v>#VALUE!</v>
      </c>
      <c r="HC5" s="116" t="e">
        <f ca="1">J_normdate(J_ADDDAY(FDate(HB5),1,1))</f>
        <v>#VALUE!</v>
      </c>
      <c r="HD5" s="116" t="e">
        <f ca="1">J_normdate(J_ADDDAY(FDate(HC5),1,1))</f>
        <v>#VALUE!</v>
      </c>
      <c r="HE5" s="116" t="e">
        <f ca="1">J_normdate(J_ADDDAY(FDate(HD5),1,1))</f>
        <v>#VALUE!</v>
      </c>
      <c r="HF5" s="116" t="e">
        <f ca="1">J_normdate(J_ADDDAY(FDate(HE5),1,1))</f>
        <v>#VALUE!</v>
      </c>
      <c r="HG5" s="116" t="e">
        <f ca="1">J_normdate(J_ADDDAY(FDate(HF5),1,1))</f>
        <v>#VALUE!</v>
      </c>
      <c r="HH5" s="116" t="e">
        <f ca="1">J_normdate(J_ADDDAY(FDate(HG5),1,1))</f>
        <v>#VALUE!</v>
      </c>
      <c r="HI5" s="116" t="e">
        <f ca="1">J_normdate(J_ADDDAY(FDate(HH5),1,1))</f>
        <v>#VALUE!</v>
      </c>
      <c r="HJ5" s="116" t="e">
        <f ca="1">J_normdate(J_ADDDAY(FDate(HI5),1,1))</f>
        <v>#VALUE!</v>
      </c>
      <c r="HK5" s="116" t="e">
        <f ca="1">J_normdate(J_ADDDAY(FDate(HJ5),1,1))</f>
        <v>#VALUE!</v>
      </c>
      <c r="HL5" s="116" t="e">
        <f ca="1">J_normdate(J_ADDDAY(FDate(HK5),1,1))</f>
        <v>#VALUE!</v>
      </c>
      <c r="HM5" s="116" t="e">
        <f ca="1">J_normdate(J_ADDDAY(FDate(HL5),1,1))</f>
        <v>#VALUE!</v>
      </c>
      <c r="HN5" s="116" t="e">
        <f ca="1">J_normdate(J_ADDDAY(FDate(HM5),1,1))</f>
        <v>#VALUE!</v>
      </c>
      <c r="HO5" s="116" t="e">
        <f ca="1">J_normdate(J_ADDDAY(FDate(HN5),1,1))</f>
        <v>#VALUE!</v>
      </c>
      <c r="HP5" s="116" t="e">
        <f ca="1">J_normdate(J_ADDDAY(FDate(HO5),1,1))</f>
        <v>#VALUE!</v>
      </c>
      <c r="HQ5" s="116" t="e">
        <f ca="1">J_normdate(J_ADDDAY(FDate(HP5),1,1))</f>
        <v>#VALUE!</v>
      </c>
      <c r="HR5" s="116" t="e">
        <f ca="1">J_normdate(J_ADDDAY(FDate(HQ5),1,1))</f>
        <v>#VALUE!</v>
      </c>
      <c r="HS5" s="116" t="e">
        <f ca="1">J_normdate(J_ADDDAY(FDate(HR5),1,1))</f>
        <v>#VALUE!</v>
      </c>
      <c r="HT5" s="116" t="e">
        <f ca="1">J_normdate(J_ADDDAY(FDate(HS5),1,1))</f>
        <v>#VALUE!</v>
      </c>
      <c r="HU5" s="116" t="e">
        <f ca="1">J_normdate(J_ADDDAY(FDate(HT5),1,1))</f>
        <v>#VALUE!</v>
      </c>
      <c r="HV5" s="116" t="e">
        <f ca="1">J_normdate(J_ADDDAY(FDate(HU5),1,1))</f>
        <v>#VALUE!</v>
      </c>
      <c r="HW5" s="116" t="e">
        <f ca="1">J_normdate(J_ADDDAY(FDate(HV5),1,1))</f>
        <v>#VALUE!</v>
      </c>
      <c r="HX5" s="116" t="e">
        <f ca="1">J_normdate(J_ADDDAY(FDate(HW5),1,1))</f>
        <v>#VALUE!</v>
      </c>
      <c r="HY5" s="116" t="e">
        <f ca="1">J_normdate(J_ADDDAY(FDate(HX5),1,1))</f>
        <v>#VALUE!</v>
      </c>
      <c r="HZ5" s="116" t="e">
        <f ca="1">J_normdate(J_ADDDAY(FDate(HY5),1,1))</f>
        <v>#VALUE!</v>
      </c>
      <c r="IA5" s="116" t="e">
        <f ca="1">J_normdate(J_ADDDAY(FDate(HZ5),1,1))</f>
        <v>#VALUE!</v>
      </c>
      <c r="IB5" s="116" t="e">
        <f ca="1">J_normdate(J_ADDDAY(FDate(IA5),1,1))</f>
        <v>#VALUE!</v>
      </c>
      <c r="IC5" s="116" t="e">
        <f ca="1">J_normdate(J_ADDDAY(FDate(IB5),1,1))</f>
        <v>#VALUE!</v>
      </c>
      <c r="ID5" s="116" t="e">
        <f ca="1">J_normdate(J_ADDDAY(FDate(IC5),1,1))</f>
        <v>#VALUE!</v>
      </c>
      <c r="IE5" s="116" t="e">
        <f ca="1">J_normdate(J_ADDDAY(FDate(ID5),1,1))</f>
        <v>#VALUE!</v>
      </c>
      <c r="IF5" s="116" t="e">
        <f ca="1">J_normdate(J_ADDDAY(FDate(IE5),1,1))</f>
        <v>#VALUE!</v>
      </c>
      <c r="IG5" s="116" t="e">
        <f ca="1">J_normdate(J_ADDDAY(FDate(IF5),1,1))</f>
        <v>#VALUE!</v>
      </c>
      <c r="IH5" s="116" t="e">
        <f ca="1">J_normdate(J_ADDDAY(FDate(IG5),1,1))</f>
        <v>#VALUE!</v>
      </c>
      <c r="II5" s="116" t="e">
        <f ca="1">J_normdate(J_ADDDAY(FDate(IH5),1,1))</f>
        <v>#VALUE!</v>
      </c>
      <c r="IJ5" s="116" t="e">
        <f ca="1">J_normdate(J_ADDDAY(FDate(II5),1,1))</f>
        <v>#VALUE!</v>
      </c>
      <c r="IK5" s="116" t="e">
        <f ca="1">J_normdate(J_ADDDAY(FDate(IJ5),1,1))</f>
        <v>#VALUE!</v>
      </c>
      <c r="IL5" s="116" t="e">
        <f ca="1">J_normdate(J_ADDDAY(FDate(IK5),1,1))</f>
        <v>#VALUE!</v>
      </c>
      <c r="IM5" s="116" t="e">
        <f ca="1">J_normdate(J_ADDDAY(FDate(IL5),1,1))</f>
        <v>#VALUE!</v>
      </c>
      <c r="IN5" s="116" t="e">
        <f ca="1">J_normdate(J_ADDDAY(FDate(IM5),1,1))</f>
        <v>#VALUE!</v>
      </c>
      <c r="IO5" s="116" t="e">
        <f ca="1">J_normdate(J_ADDDAY(FDate(IN5),1,1))</f>
        <v>#VALUE!</v>
      </c>
      <c r="IP5" s="116" t="e">
        <f ca="1">J_normdate(J_ADDDAY(FDate(IO5),1,1))</f>
        <v>#VALUE!</v>
      </c>
      <c r="IQ5" s="116" t="e">
        <f ca="1">J_normdate(J_ADDDAY(FDate(IP5),1,1))</f>
        <v>#VALUE!</v>
      </c>
      <c r="IR5" s="116" t="e">
        <f ca="1">J_normdate(J_ADDDAY(FDate(IQ5),1,1))</f>
        <v>#VALUE!</v>
      </c>
      <c r="IS5" s="116" t="e">
        <f ca="1">J_normdate(J_ADDDAY(FDate(IR5),1,1))</f>
        <v>#VALUE!</v>
      </c>
      <c r="IT5" s="116" t="e">
        <f ca="1">J_normdate(J_ADDDAY(FDate(IS5),1,1))</f>
        <v>#VALUE!</v>
      </c>
      <c r="IU5" s="116" t="e">
        <f ca="1">J_normdate(J_ADDDAY(FDate(IT5),1,1))</f>
        <v>#VALUE!</v>
      </c>
      <c r="IV5" s="116" t="e">
        <f ca="1">J_normdate(J_ADDDAY(FDate(IU5),1,1))</f>
        <v>#VALUE!</v>
      </c>
      <c r="IW5" s="116" t="e">
        <f ca="1">J_normdate(J_ADDDAY(FDate(IV5),1,1))</f>
        <v>#VALUE!</v>
      </c>
      <c r="IX5" s="116" t="e">
        <f ca="1">IW5+1</f>
        <v>#VALUE!</v>
      </c>
      <c r="IY5" s="17"/>
      <c r="IZ5" s="27"/>
      <c r="JA5" s="149"/>
      <c r="JB5" s="149"/>
      <c r="JC5" s="149"/>
      <c r="JD5" s="150"/>
    </row>
    <row r="6" spans="1:264" s="153" customFormat="1" ht="81.75" customHeight="1" thickBot="1">
      <c r="A6" s="263" t="s">
        <v>0</v>
      </c>
      <c r="B6" s="264" t="s">
        <v>8</v>
      </c>
      <c r="C6" s="265" t="s">
        <v>9</v>
      </c>
      <c r="D6" s="265" t="s">
        <v>1</v>
      </c>
      <c r="E6" s="117" t="s">
        <v>1</v>
      </c>
      <c r="F6" s="265" t="s">
        <v>2</v>
      </c>
      <c r="G6" s="117" t="s">
        <v>2</v>
      </c>
      <c r="H6" s="266" t="s">
        <v>41</v>
      </c>
      <c r="I6" s="267" t="s">
        <v>42</v>
      </c>
      <c r="J6" s="266" t="s">
        <v>40</v>
      </c>
      <c r="K6" s="118" t="s">
        <v>43</v>
      </c>
      <c r="L6" s="268" t="s">
        <v>3</v>
      </c>
      <c r="M6" s="269" t="s">
        <v>4</v>
      </c>
      <c r="N6" s="268" t="s">
        <v>5</v>
      </c>
      <c r="O6" s="120" t="s">
        <v>10</v>
      </c>
      <c r="P6" s="121" t="s">
        <v>44</v>
      </c>
      <c r="Q6" s="119" t="s">
        <v>6</v>
      </c>
      <c r="R6" s="122"/>
      <c r="S6" s="309" t="e">
        <f ca="1">FDate(S5)</f>
        <v>#VALUE!</v>
      </c>
      <c r="T6" s="310"/>
      <c r="U6" s="310"/>
      <c r="V6" s="310"/>
      <c r="W6" s="311"/>
      <c r="X6" s="309" t="e">
        <f ca="1">FDate(X5)</f>
        <v>#VALUE!</v>
      </c>
      <c r="Y6" s="310"/>
      <c r="Z6" s="310"/>
      <c r="AA6" s="310"/>
      <c r="AB6" s="311"/>
      <c r="AC6" s="309" t="e">
        <f ca="1">FDate(AC5)</f>
        <v>#VALUE!</v>
      </c>
      <c r="AD6" s="310"/>
      <c r="AE6" s="310"/>
      <c r="AF6" s="310"/>
      <c r="AG6" s="311"/>
      <c r="AH6" s="309" t="e">
        <f ca="1">FDate(AH5)</f>
        <v>#VALUE!</v>
      </c>
      <c r="AI6" s="310"/>
      <c r="AJ6" s="310"/>
      <c r="AK6" s="310"/>
      <c r="AL6" s="311"/>
      <c r="AM6" s="309" t="e">
        <f ca="1">FDate(AM5)</f>
        <v>#VALUE!</v>
      </c>
      <c r="AN6" s="310"/>
      <c r="AO6" s="310"/>
      <c r="AP6" s="310"/>
      <c r="AQ6" s="311"/>
      <c r="AR6" s="309" t="e">
        <f ca="1">FDate(AR5)</f>
        <v>#VALUE!</v>
      </c>
      <c r="AS6" s="310"/>
      <c r="AT6" s="310"/>
      <c r="AU6" s="310"/>
      <c r="AV6" s="311"/>
      <c r="AW6" s="309" t="e">
        <f ca="1">FDate(AW5)</f>
        <v>#VALUE!</v>
      </c>
      <c r="AX6" s="310"/>
      <c r="AY6" s="310"/>
      <c r="AZ6" s="310"/>
      <c r="BA6" s="311"/>
      <c r="BB6" s="309" t="e">
        <f ca="1">FDate(BB5)</f>
        <v>#VALUE!</v>
      </c>
      <c r="BC6" s="310"/>
      <c r="BD6" s="310"/>
      <c r="BE6" s="310"/>
      <c r="BF6" s="311"/>
      <c r="BG6" s="309" t="e">
        <f ca="1">FDate(BG5)</f>
        <v>#VALUE!</v>
      </c>
      <c r="BH6" s="310"/>
      <c r="BI6" s="310"/>
      <c r="BJ6" s="310"/>
      <c r="BK6" s="311"/>
      <c r="BL6" s="309" t="e">
        <f ca="1">FDate(BL5)</f>
        <v>#VALUE!</v>
      </c>
      <c r="BM6" s="310"/>
      <c r="BN6" s="310"/>
      <c r="BO6" s="310"/>
      <c r="BP6" s="311"/>
      <c r="BQ6" s="309" t="e">
        <f ca="1">FDate(BQ5)</f>
        <v>#VALUE!</v>
      </c>
      <c r="BR6" s="310"/>
      <c r="BS6" s="310"/>
      <c r="BT6" s="310"/>
      <c r="BU6" s="311"/>
      <c r="BV6" s="309" t="e">
        <f ca="1">FDate(BV5)</f>
        <v>#VALUE!</v>
      </c>
      <c r="BW6" s="310"/>
      <c r="BX6" s="310"/>
      <c r="BY6" s="310"/>
      <c r="BZ6" s="311"/>
      <c r="CA6" s="309" t="e">
        <f ca="1">FDate(CA5)</f>
        <v>#VALUE!</v>
      </c>
      <c r="CB6" s="310"/>
      <c r="CC6" s="310"/>
      <c r="CD6" s="310"/>
      <c r="CE6" s="311"/>
      <c r="CF6" s="309" t="e">
        <f ca="1">FDate(CF5)</f>
        <v>#VALUE!</v>
      </c>
      <c r="CG6" s="310"/>
      <c r="CH6" s="310"/>
      <c r="CI6" s="310"/>
      <c r="CJ6" s="311"/>
      <c r="CK6" s="309" t="e">
        <f ca="1">FDate(CK5)</f>
        <v>#VALUE!</v>
      </c>
      <c r="CL6" s="310"/>
      <c r="CM6" s="310"/>
      <c r="CN6" s="310"/>
      <c r="CO6" s="311"/>
      <c r="CP6" s="309" t="e">
        <f ca="1">FDate(CP5)</f>
        <v>#VALUE!</v>
      </c>
      <c r="CQ6" s="310"/>
      <c r="CR6" s="310"/>
      <c r="CS6" s="310"/>
      <c r="CT6" s="311"/>
      <c r="CU6" s="309" t="e">
        <f ca="1">FDate(CU5)</f>
        <v>#VALUE!</v>
      </c>
      <c r="CV6" s="310"/>
      <c r="CW6" s="310"/>
      <c r="CX6" s="310"/>
      <c r="CY6" s="311"/>
      <c r="CZ6" s="309" t="e">
        <f ca="1">FDate(CZ5)</f>
        <v>#VALUE!</v>
      </c>
      <c r="DA6" s="310"/>
      <c r="DB6" s="310"/>
      <c r="DC6" s="310"/>
      <c r="DD6" s="311"/>
      <c r="DE6" s="309" t="e">
        <f ca="1">FDate(DE5)</f>
        <v>#VALUE!</v>
      </c>
      <c r="DF6" s="310"/>
      <c r="DG6" s="310"/>
      <c r="DH6" s="310"/>
      <c r="DI6" s="311"/>
      <c r="DJ6" s="309" t="e">
        <f ca="1">FDate(DJ5)</f>
        <v>#VALUE!</v>
      </c>
      <c r="DK6" s="310"/>
      <c r="DL6" s="310"/>
      <c r="DM6" s="310"/>
      <c r="DN6" s="311"/>
      <c r="DO6" s="309" t="e">
        <f ca="1">FDate(DO5)</f>
        <v>#VALUE!</v>
      </c>
      <c r="DP6" s="310"/>
      <c r="DQ6" s="310"/>
      <c r="DR6" s="310"/>
      <c r="DS6" s="311"/>
      <c r="DT6" s="309" t="e">
        <f ca="1">FDate(DT5)</f>
        <v>#VALUE!</v>
      </c>
      <c r="DU6" s="310"/>
      <c r="DV6" s="310"/>
      <c r="DW6" s="310"/>
      <c r="DX6" s="311"/>
      <c r="DY6" s="309" t="e">
        <f ca="1">FDate(DY5)</f>
        <v>#VALUE!</v>
      </c>
      <c r="DZ6" s="310"/>
      <c r="EA6" s="310"/>
      <c r="EB6" s="310"/>
      <c r="EC6" s="311"/>
      <c r="ED6" s="309" t="e">
        <f ca="1">FDate(ED5)</f>
        <v>#VALUE!</v>
      </c>
      <c r="EE6" s="310"/>
      <c r="EF6" s="310"/>
      <c r="EG6" s="310"/>
      <c r="EH6" s="311"/>
      <c r="EI6" s="309" t="e">
        <f ca="1">FDate(EI5)</f>
        <v>#VALUE!</v>
      </c>
      <c r="EJ6" s="310"/>
      <c r="EK6" s="310"/>
      <c r="EL6" s="310"/>
      <c r="EM6" s="311"/>
      <c r="EN6" s="309" t="e">
        <f ca="1">FDate(EN5)</f>
        <v>#VALUE!</v>
      </c>
      <c r="EO6" s="310"/>
      <c r="EP6" s="310"/>
      <c r="EQ6" s="310"/>
      <c r="ER6" s="311"/>
      <c r="ES6" s="309" t="e">
        <f ca="1">FDate(ES5)</f>
        <v>#VALUE!</v>
      </c>
      <c r="ET6" s="310"/>
      <c r="EU6" s="310"/>
      <c r="EV6" s="310"/>
      <c r="EW6" s="311"/>
      <c r="EX6" s="309" t="e">
        <f ca="1">FDate(EX5)</f>
        <v>#VALUE!</v>
      </c>
      <c r="EY6" s="310"/>
      <c r="EZ6" s="310"/>
      <c r="FA6" s="310"/>
      <c r="FB6" s="311"/>
      <c r="FC6" s="309" t="e">
        <f ca="1">FDate(FC5)</f>
        <v>#VALUE!</v>
      </c>
      <c r="FD6" s="310"/>
      <c r="FE6" s="310"/>
      <c r="FF6" s="310"/>
      <c r="FG6" s="311"/>
      <c r="FH6" s="309" t="e">
        <f ca="1">FDate(FH5)</f>
        <v>#VALUE!</v>
      </c>
      <c r="FI6" s="310"/>
      <c r="FJ6" s="310"/>
      <c r="FK6" s="310"/>
      <c r="FL6" s="311"/>
      <c r="FM6" s="309" t="e">
        <f ca="1">FDate(FM5)</f>
        <v>#VALUE!</v>
      </c>
      <c r="FN6" s="310"/>
      <c r="FO6" s="310"/>
      <c r="FP6" s="310"/>
      <c r="FQ6" s="311"/>
      <c r="FR6" s="309" t="e">
        <f ca="1">FDate(FR5)</f>
        <v>#VALUE!</v>
      </c>
      <c r="FS6" s="310"/>
      <c r="FT6" s="310"/>
      <c r="FU6" s="310"/>
      <c r="FV6" s="311"/>
      <c r="FW6" s="309" t="e">
        <f ca="1">FDate(FW5)</f>
        <v>#VALUE!</v>
      </c>
      <c r="FX6" s="310"/>
      <c r="FY6" s="310"/>
      <c r="FZ6" s="310"/>
      <c r="GA6" s="311"/>
      <c r="GB6" s="309" t="e">
        <f ca="1">FDate(GB5)</f>
        <v>#VALUE!</v>
      </c>
      <c r="GC6" s="310"/>
      <c r="GD6" s="310"/>
      <c r="GE6" s="310"/>
      <c r="GF6" s="311"/>
      <c r="GG6" s="309" t="e">
        <f ca="1">FDate(GG5)</f>
        <v>#VALUE!</v>
      </c>
      <c r="GH6" s="310"/>
      <c r="GI6" s="310"/>
      <c r="GJ6" s="310"/>
      <c r="GK6" s="311"/>
      <c r="GL6" s="309" t="e">
        <f ca="1">FDate(GL5)</f>
        <v>#VALUE!</v>
      </c>
      <c r="GM6" s="310"/>
      <c r="GN6" s="310"/>
      <c r="GO6" s="310"/>
      <c r="GP6" s="311"/>
      <c r="GQ6" s="309" t="e">
        <f ca="1">FDate(GQ5)</f>
        <v>#VALUE!</v>
      </c>
      <c r="GR6" s="310"/>
      <c r="GS6" s="310"/>
      <c r="GT6" s="310"/>
      <c r="GU6" s="311"/>
      <c r="GV6" s="309" t="e">
        <f ca="1">FDate(GV5)</f>
        <v>#VALUE!</v>
      </c>
      <c r="GW6" s="310"/>
      <c r="GX6" s="310"/>
      <c r="GY6" s="310"/>
      <c r="GZ6" s="311"/>
      <c r="HA6" s="309" t="e">
        <f ca="1">FDate(HA5)</f>
        <v>#VALUE!</v>
      </c>
      <c r="HB6" s="310"/>
      <c r="HC6" s="310"/>
      <c r="HD6" s="310"/>
      <c r="HE6" s="311"/>
      <c r="HF6" s="309" t="e">
        <f ca="1">FDate(HF5)</f>
        <v>#VALUE!</v>
      </c>
      <c r="HG6" s="310"/>
      <c r="HH6" s="310"/>
      <c r="HI6" s="310"/>
      <c r="HJ6" s="311"/>
      <c r="HK6" s="309" t="e">
        <f ca="1">FDate(HK5)</f>
        <v>#VALUE!</v>
      </c>
      <c r="HL6" s="310"/>
      <c r="HM6" s="310"/>
      <c r="HN6" s="310"/>
      <c r="HO6" s="311"/>
      <c r="HP6" s="309" t="e">
        <f ca="1">FDate(HP5)</f>
        <v>#VALUE!</v>
      </c>
      <c r="HQ6" s="310"/>
      <c r="HR6" s="310"/>
      <c r="HS6" s="310"/>
      <c r="HT6" s="311"/>
      <c r="HU6" s="309" t="e">
        <f ca="1">FDate(HU5)</f>
        <v>#VALUE!</v>
      </c>
      <c r="HV6" s="310"/>
      <c r="HW6" s="310"/>
      <c r="HX6" s="310"/>
      <c r="HY6" s="311"/>
      <c r="HZ6" s="309" t="e">
        <f ca="1">FDate(HZ5)</f>
        <v>#VALUE!</v>
      </c>
      <c r="IA6" s="310"/>
      <c r="IB6" s="310"/>
      <c r="IC6" s="310"/>
      <c r="ID6" s="311"/>
      <c r="IE6" s="309" t="e">
        <f ca="1">FDate(IE5)</f>
        <v>#VALUE!</v>
      </c>
      <c r="IF6" s="310"/>
      <c r="IG6" s="310"/>
      <c r="IH6" s="310"/>
      <c r="II6" s="311"/>
      <c r="IJ6" s="309" t="e">
        <f ca="1">FDate(IJ5)</f>
        <v>#VALUE!</v>
      </c>
      <c r="IK6" s="310"/>
      <c r="IL6" s="310"/>
      <c r="IM6" s="310"/>
      <c r="IN6" s="311"/>
      <c r="IO6" s="309" t="e">
        <f ca="1">FDate(IO5)</f>
        <v>#VALUE!</v>
      </c>
      <c r="IP6" s="310"/>
      <c r="IQ6" s="310"/>
      <c r="IR6" s="310"/>
      <c r="IS6" s="311"/>
      <c r="IT6" s="309" t="e">
        <f ca="1">FDate(IT5)</f>
        <v>#VALUE!</v>
      </c>
      <c r="IU6" s="310"/>
      <c r="IV6" s="310"/>
      <c r="IW6" s="310"/>
      <c r="IX6" s="311"/>
      <c r="IY6" s="18"/>
      <c r="IZ6" s="28"/>
      <c r="JA6" s="152" t="s">
        <v>7</v>
      </c>
      <c r="JB6" s="152" t="s">
        <v>55</v>
      </c>
      <c r="JC6" s="152" t="s">
        <v>56</v>
      </c>
      <c r="JD6" s="148"/>
    </row>
    <row r="7" spans="1:264" s="125" customFormat="1">
      <c r="A7" s="123"/>
      <c r="B7" s="124"/>
      <c r="D7" s="126"/>
      <c r="F7" s="126"/>
      <c r="I7" s="127"/>
      <c r="J7" s="128"/>
      <c r="K7" s="129"/>
      <c r="L7" s="127"/>
      <c r="N7" s="127"/>
      <c r="IY7" s="19"/>
      <c r="IZ7" s="29"/>
      <c r="JA7" s="154"/>
      <c r="JB7" s="154"/>
      <c r="JC7" s="154"/>
      <c r="JD7" s="155"/>
    </row>
    <row r="8" spans="1:264" s="234" customFormat="1" ht="18">
      <c r="A8" s="223" t="s">
        <v>39</v>
      </c>
      <c r="B8" s="224" t="s">
        <v>173</v>
      </c>
      <c r="C8" s="225"/>
      <c r="D8" s="226" t="s">
        <v>174</v>
      </c>
      <c r="E8" s="130">
        <f t="shared" ref="E8:E27" si="4">VALUE(J_normdate(D8))</f>
        <v>13981001</v>
      </c>
      <c r="F8" s="227" t="str">
        <f>J_SUBDAY(J_ADDDAY(D8,L8,1),1,1)</f>
        <v>1399/01/20</v>
      </c>
      <c r="G8" s="132">
        <f t="shared" ref="G8:G27" si="5">VALUE(J_normdate(F8))</f>
        <v>13990120</v>
      </c>
      <c r="H8" s="228"/>
      <c r="I8" s="229"/>
      <c r="J8" s="230"/>
      <c r="K8" s="133" t="e">
        <f>SUM(K9,K19,K29,K59,K66,K73,#REF!)</f>
        <v>#REF!</v>
      </c>
      <c r="L8" s="231">
        <f>J_DIFF(D8,FDate(MAX(G9:G9704)))+1</f>
        <v>109</v>
      </c>
      <c r="M8" s="232" t="e">
        <f>(L9*M9+L19*M19+L29*M29+L59*M59+L66*M66+L73*M73+L77*M77+#REF!*#REF!+#REF!*#REF!+#REF!*#REF!)/SUM(L9,L19,L29,L59,L66,L73,L77,#REF!,#REF!,#REF!)</f>
        <v>#REF!</v>
      </c>
      <c r="N8" s="233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90</v>
      </c>
      <c r="O8" s="134" t="e">
        <f>SUM(O9,O19,O29,O59,O66,O73,O77,#REF!,#REF!,#REF!)</f>
        <v>#REF!</v>
      </c>
      <c r="P8" s="135" t="e">
        <f>VALUE(J_normdate(J_ADDDAY($D8,$O8,1)))</f>
        <v>#VALUE!</v>
      </c>
      <c r="Q8" s="131" t="e">
        <f t="shared" ref="Q8:Q13" si="6">L8-O8</f>
        <v>#REF!</v>
      </c>
      <c r="IY8" s="235"/>
      <c r="IZ8" s="236"/>
      <c r="JA8" s="237"/>
      <c r="JB8" s="237"/>
      <c r="JC8" s="237"/>
      <c r="JD8" s="238"/>
    </row>
    <row r="9" spans="1:264" s="136" customFormat="1" ht="13.5">
      <c r="A9" s="204">
        <v>1</v>
      </c>
      <c r="B9" s="205" t="s">
        <v>109</v>
      </c>
      <c r="C9" s="206"/>
      <c r="D9" s="304" t="str">
        <f>D8</f>
        <v>1398/10/01</v>
      </c>
      <c r="E9" s="136">
        <f t="shared" si="4"/>
        <v>13981001</v>
      </c>
      <c r="F9" s="303" t="str">
        <f>J_SUBDAY(J_ADDDAY(D9,L9,1),1,1)</f>
        <v>1398/10/11</v>
      </c>
      <c r="G9" s="139">
        <f t="shared" si="5"/>
        <v>13981011</v>
      </c>
      <c r="H9" s="207"/>
      <c r="I9" s="208"/>
      <c r="J9" s="209">
        <f>j_WEEKDAY(D9,2)</f>
        <v>1</v>
      </c>
      <c r="K9" s="140">
        <f>SUM(K10:K17)</f>
        <v>3</v>
      </c>
      <c r="L9" s="210">
        <f>J_DIFF(D9,FDate(MAX(G10:G17)))+1</f>
        <v>11</v>
      </c>
      <c r="M9" s="211">
        <f>IF(SUM(L10:L17)&lt;&gt;0,SUMPRODUCT(L10:L17,M10:M17)/SUM(L10:L17),0)</f>
        <v>1</v>
      </c>
      <c r="N9" s="212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10</v>
      </c>
      <c r="O9" s="135">
        <f>ROUNDDOWN(M9*L9,0)</f>
        <v>11</v>
      </c>
      <c r="P9" s="135">
        <f>VALUE(J_normdate(J_ADDDAY($D9,$O9,1)))</f>
        <v>13981012</v>
      </c>
      <c r="Q9" s="138">
        <f t="shared" si="6"/>
        <v>0</v>
      </c>
      <c r="IY9" s="20"/>
      <c r="IZ9" s="30"/>
      <c r="JA9" s="156"/>
      <c r="JB9" s="156"/>
      <c r="JC9" s="156"/>
      <c r="JD9" s="157"/>
    </row>
    <row r="10" spans="1:264" s="159" customFormat="1" ht="16.5">
      <c r="A10" s="172">
        <v>1.1000000000000001</v>
      </c>
      <c r="B10" s="186" t="s">
        <v>171</v>
      </c>
      <c r="C10" s="173" t="s">
        <v>104</v>
      </c>
      <c r="D10" s="298" t="str">
        <f>D9</f>
        <v>1398/10/01</v>
      </c>
      <c r="E10" s="136">
        <f t="shared" si="4"/>
        <v>13981001</v>
      </c>
      <c r="F10" s="299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1398/10/01</v>
      </c>
      <c r="G10" s="139">
        <f t="shared" si="5"/>
        <v>13981001</v>
      </c>
      <c r="H10" s="175"/>
      <c r="I10" s="176">
        <v>1</v>
      </c>
      <c r="J10" s="174">
        <f>j_WEEKDAY(D10,2)</f>
        <v>1</v>
      </c>
      <c r="K10" s="143">
        <f t="shared" ref="K10:K17" si="7">SUM(JA10:JC10)</f>
        <v>0</v>
      </c>
      <c r="L10" s="177">
        <f t="shared" ref="L10:L18" si="8">J_DIFF(D10,F10)+1</f>
        <v>1</v>
      </c>
      <c r="M10" s="178">
        <v>1</v>
      </c>
      <c r="N10" s="179">
        <v>1</v>
      </c>
      <c r="O10" s="144">
        <f>ROUNDDOWN(M10*L10,0)</f>
        <v>1</v>
      </c>
      <c r="P10" s="144">
        <f>VALUE(J_normdate(J_ADDDAY($D10,$O10,1)))</f>
        <v>13981002</v>
      </c>
      <c r="Q10" s="142">
        <f t="shared" si="6"/>
        <v>0</v>
      </c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  <c r="CK10" s="141"/>
      <c r="CL10" s="141"/>
      <c r="CM10" s="141"/>
      <c r="CN10" s="141"/>
      <c r="CO10" s="141"/>
      <c r="CP10" s="141"/>
      <c r="CQ10" s="141"/>
      <c r="CR10" s="141"/>
      <c r="CS10" s="141"/>
      <c r="CT10" s="141"/>
      <c r="CU10" s="141"/>
      <c r="CV10" s="141"/>
      <c r="CW10" s="141"/>
      <c r="CX10" s="141"/>
      <c r="CY10" s="141"/>
      <c r="CZ10" s="141"/>
      <c r="DA10" s="141"/>
      <c r="DB10" s="141"/>
      <c r="DC10" s="141"/>
      <c r="DD10" s="141"/>
      <c r="DE10" s="141"/>
      <c r="DF10" s="141"/>
      <c r="DG10" s="141"/>
      <c r="DH10" s="141"/>
      <c r="DI10" s="141"/>
      <c r="DJ10" s="141"/>
      <c r="DK10" s="141"/>
      <c r="DL10" s="141"/>
      <c r="DM10" s="141"/>
      <c r="DN10" s="141"/>
      <c r="DO10" s="141"/>
      <c r="DP10" s="141"/>
      <c r="DQ10" s="141"/>
      <c r="DR10" s="141"/>
      <c r="DS10" s="141"/>
      <c r="DT10" s="141"/>
      <c r="DU10" s="141"/>
      <c r="DV10" s="141"/>
      <c r="DW10" s="141"/>
      <c r="DX10" s="141"/>
      <c r="DY10" s="141"/>
      <c r="DZ10" s="141"/>
      <c r="EA10" s="141"/>
      <c r="EB10" s="141"/>
      <c r="EC10" s="141"/>
      <c r="ED10" s="141"/>
      <c r="EE10" s="141"/>
      <c r="EF10" s="141"/>
      <c r="EG10" s="141"/>
      <c r="EH10" s="141"/>
      <c r="EI10" s="141"/>
      <c r="EJ10" s="141"/>
      <c r="EK10" s="141"/>
      <c r="EL10" s="141"/>
      <c r="EM10" s="141"/>
      <c r="EN10" s="141"/>
      <c r="EO10" s="141"/>
      <c r="EP10" s="141"/>
      <c r="EQ10" s="141"/>
      <c r="ER10" s="141"/>
      <c r="ES10" s="141"/>
      <c r="ET10" s="141"/>
      <c r="EU10" s="141"/>
      <c r="EV10" s="141"/>
      <c r="EW10" s="141"/>
      <c r="EX10" s="141"/>
      <c r="EY10" s="141"/>
      <c r="EZ10" s="141"/>
      <c r="FA10" s="141"/>
      <c r="FB10" s="141"/>
      <c r="FC10" s="141"/>
      <c r="FD10" s="141"/>
      <c r="FE10" s="141"/>
      <c r="FF10" s="141"/>
      <c r="FG10" s="141"/>
      <c r="FH10" s="141"/>
      <c r="FI10" s="141"/>
      <c r="FJ10" s="141"/>
      <c r="FK10" s="141"/>
      <c r="FL10" s="141"/>
      <c r="FM10" s="141"/>
      <c r="FN10" s="141"/>
      <c r="FO10" s="141"/>
      <c r="FP10" s="141"/>
      <c r="FQ10" s="141"/>
      <c r="FR10" s="141"/>
      <c r="FS10" s="141"/>
      <c r="FT10" s="141"/>
      <c r="FU10" s="141"/>
      <c r="FV10" s="141"/>
      <c r="FW10" s="141"/>
      <c r="FX10" s="141"/>
      <c r="FY10" s="141"/>
      <c r="FZ10" s="141"/>
      <c r="GA10" s="141"/>
      <c r="GB10" s="141"/>
      <c r="GC10" s="141"/>
      <c r="GD10" s="141"/>
      <c r="GE10" s="141"/>
      <c r="GF10" s="141"/>
      <c r="GG10" s="141"/>
      <c r="GH10" s="141"/>
      <c r="GI10" s="141"/>
      <c r="GJ10" s="141"/>
      <c r="GK10" s="141"/>
      <c r="GL10" s="141"/>
      <c r="GM10" s="141"/>
      <c r="GN10" s="141"/>
      <c r="GO10" s="141"/>
      <c r="GP10" s="141"/>
      <c r="GQ10" s="141"/>
      <c r="GR10" s="141"/>
      <c r="GS10" s="141"/>
      <c r="GT10" s="141"/>
      <c r="GU10" s="141"/>
      <c r="GV10" s="141"/>
      <c r="GW10" s="141"/>
      <c r="GX10" s="141"/>
      <c r="GY10" s="141"/>
      <c r="GZ10" s="141"/>
      <c r="HA10" s="141"/>
      <c r="HB10" s="141"/>
      <c r="HC10" s="141"/>
      <c r="HD10" s="141"/>
      <c r="HE10" s="141"/>
      <c r="HF10" s="141"/>
      <c r="HG10" s="141"/>
      <c r="HH10" s="141"/>
      <c r="HI10" s="141"/>
      <c r="HJ10" s="141"/>
      <c r="HK10" s="141"/>
      <c r="HL10" s="141"/>
      <c r="HM10" s="141"/>
      <c r="HN10" s="141"/>
      <c r="HO10" s="141"/>
      <c r="HP10" s="141"/>
      <c r="HQ10" s="141"/>
      <c r="HR10" s="141"/>
      <c r="HS10" s="141"/>
      <c r="HT10" s="141"/>
      <c r="HU10" s="141"/>
      <c r="HV10" s="141"/>
      <c r="HW10" s="141"/>
      <c r="HX10" s="141"/>
      <c r="HY10" s="141"/>
      <c r="HZ10" s="141"/>
      <c r="IA10" s="141"/>
      <c r="IB10" s="141"/>
      <c r="IC10" s="141"/>
      <c r="ID10" s="141"/>
      <c r="IE10" s="141"/>
      <c r="IF10" s="141"/>
      <c r="IG10" s="141"/>
      <c r="IH10" s="141"/>
      <c r="II10" s="141"/>
      <c r="IJ10" s="141"/>
      <c r="IK10" s="141"/>
      <c r="IL10" s="141"/>
      <c r="IM10" s="141"/>
      <c r="IN10" s="141"/>
      <c r="IO10" s="141"/>
      <c r="IP10" s="141"/>
      <c r="IQ10" s="141"/>
      <c r="IR10" s="141"/>
      <c r="IS10" s="141"/>
      <c r="IT10" s="141"/>
      <c r="IU10" s="141"/>
      <c r="IV10" s="141"/>
      <c r="IW10" s="141"/>
      <c r="IX10" s="141"/>
      <c r="IY10" s="21">
        <v>1</v>
      </c>
      <c r="IZ10" s="31">
        <f>(TEXT(K10,"[m]")/60)*VLOOKUP(IY10,'Income Person-hours'!A$2:C$5,3,FALSE)</f>
        <v>0</v>
      </c>
      <c r="JA10" s="91"/>
      <c r="JB10" s="91"/>
      <c r="JC10" s="91"/>
      <c r="JD10" s="158">
        <f>SUM((TEXT(JA10,"[M]")/60)*'Income Person-hours'!$D$3,(TEXT(JB10,"[M]")/60)*'Income Person-hours'!$D$4,(TEXT(JC10,"[M]")/60)*'Income Person-hours'!$D$5)</f>
        <v>0</v>
      </c>
    </row>
    <row r="11" spans="1:264" s="159" customFormat="1" ht="13.5">
      <c r="A11" s="172">
        <v>1.2</v>
      </c>
      <c r="B11" s="186" t="s">
        <v>130</v>
      </c>
      <c r="C11" s="173" t="s">
        <v>104</v>
      </c>
      <c r="D11" s="298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1398/10/01</v>
      </c>
      <c r="E11" s="136">
        <f t="shared" si="4"/>
        <v>13981001</v>
      </c>
      <c r="F11" s="299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1398/10/03</v>
      </c>
      <c r="G11" s="139">
        <f t="shared" si="5"/>
        <v>13981003</v>
      </c>
      <c r="H11" s="175"/>
      <c r="I11" s="176">
        <v>1.1000000000000001</v>
      </c>
      <c r="J11" s="174">
        <f>j_WEEKDAY(D11,2)</f>
        <v>1</v>
      </c>
      <c r="K11" s="143">
        <f t="shared" si="7"/>
        <v>0</v>
      </c>
      <c r="L11" s="177">
        <f t="shared" si="8"/>
        <v>3</v>
      </c>
      <c r="M11" s="178">
        <v>1</v>
      </c>
      <c r="N11" s="179">
        <v>3</v>
      </c>
      <c r="O11" s="144">
        <f>ROUNDDOWN(M11*L11,0)</f>
        <v>3</v>
      </c>
      <c r="P11" s="144">
        <f>VALUE(J_normdate(J_ADDDAY($D11,$O11,1)))</f>
        <v>13981004</v>
      </c>
      <c r="Q11" s="142">
        <f t="shared" si="6"/>
        <v>0</v>
      </c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1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1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1"/>
      <c r="DZ11" s="141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21">
        <v>2</v>
      </c>
      <c r="IZ11" s="31">
        <f>(TEXT(K11,"[m]")/60)*VLOOKUP(IY11,'Income Person-hours'!A$2:C$5,3,FALSE)</f>
        <v>0</v>
      </c>
      <c r="JA11" s="91"/>
      <c r="JB11" s="91"/>
      <c r="JC11" s="91"/>
      <c r="JD11" s="160">
        <f>SUM((TEXT(JA11,"[M]")/60)*'Income Person-hours'!$D$3,(TEXT(JB11,"[M]")/60)*'Income Person-hours'!$D$4,(TEXT(JC11,"[M]")/60)*'Income Person-hours'!$D$5)</f>
        <v>0</v>
      </c>
    </row>
    <row r="12" spans="1:264" s="159" customFormat="1" ht="13.5">
      <c r="A12" s="172">
        <v>1.3</v>
      </c>
      <c r="B12" s="186" t="s">
        <v>106</v>
      </c>
      <c r="C12" s="173" t="s">
        <v>72</v>
      </c>
      <c r="D12" s="298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1398/10/01</v>
      </c>
      <c r="E12" s="136">
        <f t="shared" si="4"/>
        <v>13981001</v>
      </c>
      <c r="F12" s="299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1398/10/03</v>
      </c>
      <c r="G12" s="139">
        <f t="shared" si="5"/>
        <v>13981003</v>
      </c>
      <c r="H12" s="175"/>
      <c r="I12" s="176">
        <v>1.1000000000000001</v>
      </c>
      <c r="J12" s="174">
        <f>j_WEEKDAY(D12,2)</f>
        <v>1</v>
      </c>
      <c r="K12" s="143">
        <f t="shared" si="7"/>
        <v>0</v>
      </c>
      <c r="L12" s="177">
        <f t="shared" si="8"/>
        <v>3</v>
      </c>
      <c r="M12" s="178">
        <v>1</v>
      </c>
      <c r="N12" s="179">
        <v>3</v>
      </c>
      <c r="O12" s="144">
        <f>ROUNDDOWN(M12*L12,0)</f>
        <v>3</v>
      </c>
      <c r="P12" s="144">
        <f>VALUE(J_normdate(J_ADDDAY($D12,$O12,1)))</f>
        <v>13981004</v>
      </c>
      <c r="Q12" s="142">
        <f t="shared" si="6"/>
        <v>0</v>
      </c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  <c r="AH12" s="141"/>
      <c r="AI12" s="141"/>
      <c r="AJ12" s="141"/>
      <c r="AK12" s="141"/>
      <c r="AL12" s="141"/>
      <c r="AM12" s="141"/>
      <c r="AN12" s="141"/>
      <c r="AO12" s="141"/>
      <c r="AP12" s="141"/>
      <c r="AQ12" s="141"/>
      <c r="AR12" s="141"/>
      <c r="AS12" s="141"/>
      <c r="AT12" s="141"/>
      <c r="AU12" s="141"/>
      <c r="AV12" s="141"/>
      <c r="AW12" s="141"/>
      <c r="AX12" s="141"/>
      <c r="AY12" s="141"/>
      <c r="AZ12" s="141"/>
      <c r="BA12" s="141"/>
      <c r="BB12" s="141"/>
      <c r="BC12" s="141"/>
      <c r="BD12" s="141"/>
      <c r="BE12" s="141"/>
      <c r="BF12" s="141"/>
      <c r="BG12" s="141"/>
      <c r="BH12" s="141"/>
      <c r="BI12" s="141"/>
      <c r="BJ12" s="141"/>
      <c r="BK12" s="141"/>
      <c r="BL12" s="141"/>
      <c r="BM12" s="141"/>
      <c r="BN12" s="141"/>
      <c r="BO12" s="141"/>
      <c r="BP12" s="141"/>
      <c r="BQ12" s="141"/>
      <c r="BR12" s="141"/>
      <c r="BS12" s="141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  <c r="CK12" s="141"/>
      <c r="CL12" s="141"/>
      <c r="CM12" s="141"/>
      <c r="CN12" s="141"/>
      <c r="CO12" s="141"/>
      <c r="CP12" s="141"/>
      <c r="CQ12" s="141"/>
      <c r="CR12" s="141"/>
      <c r="CS12" s="141"/>
      <c r="CT12" s="141"/>
      <c r="CU12" s="141"/>
      <c r="CV12" s="141"/>
      <c r="CW12" s="141"/>
      <c r="CX12" s="141"/>
      <c r="CY12" s="141"/>
      <c r="CZ12" s="141"/>
      <c r="DA12" s="141"/>
      <c r="DB12" s="141"/>
      <c r="DC12" s="141"/>
      <c r="DD12" s="141"/>
      <c r="DE12" s="141"/>
      <c r="DF12" s="141"/>
      <c r="DG12" s="141"/>
      <c r="DH12" s="141"/>
      <c r="DI12" s="141"/>
      <c r="DJ12" s="141"/>
      <c r="DK12" s="141"/>
      <c r="DL12" s="141"/>
      <c r="DM12" s="141"/>
      <c r="DN12" s="141"/>
      <c r="DO12" s="141"/>
      <c r="DP12" s="141"/>
      <c r="DQ12" s="141"/>
      <c r="DR12" s="141"/>
      <c r="DS12" s="141"/>
      <c r="DT12" s="141"/>
      <c r="DU12" s="141"/>
      <c r="DV12" s="141"/>
      <c r="DW12" s="141"/>
      <c r="DX12" s="141"/>
      <c r="DY12" s="141"/>
      <c r="DZ12" s="141"/>
      <c r="EA12" s="141"/>
      <c r="EB12" s="141"/>
      <c r="EC12" s="141"/>
      <c r="ED12" s="141"/>
      <c r="EE12" s="141"/>
      <c r="EF12" s="141"/>
      <c r="EG12" s="141"/>
      <c r="EH12" s="141"/>
      <c r="EI12" s="141"/>
      <c r="EJ12" s="141"/>
      <c r="EK12" s="141"/>
      <c r="EL12" s="141"/>
      <c r="EM12" s="141"/>
      <c r="EN12" s="141"/>
      <c r="EO12" s="141"/>
      <c r="EP12" s="141"/>
      <c r="EQ12" s="141"/>
      <c r="ER12" s="141"/>
      <c r="ES12" s="141"/>
      <c r="ET12" s="141"/>
      <c r="EU12" s="141"/>
      <c r="EV12" s="141"/>
      <c r="EW12" s="141"/>
      <c r="EX12" s="141"/>
      <c r="EY12" s="141"/>
      <c r="EZ12" s="141"/>
      <c r="FA12" s="141"/>
      <c r="FB12" s="141"/>
      <c r="FC12" s="141"/>
      <c r="FD12" s="141"/>
      <c r="FE12" s="141"/>
      <c r="FF12" s="141"/>
      <c r="FG12" s="141"/>
      <c r="FH12" s="141"/>
      <c r="FI12" s="141"/>
      <c r="FJ12" s="141"/>
      <c r="FK12" s="141"/>
      <c r="FL12" s="141"/>
      <c r="FM12" s="141"/>
      <c r="FN12" s="141"/>
      <c r="FO12" s="141"/>
      <c r="FP12" s="141"/>
      <c r="FQ12" s="141"/>
      <c r="FR12" s="141"/>
      <c r="FS12" s="141"/>
      <c r="FT12" s="141"/>
      <c r="FU12" s="141"/>
      <c r="FV12" s="141"/>
      <c r="FW12" s="141"/>
      <c r="FX12" s="141"/>
      <c r="FY12" s="141"/>
      <c r="FZ12" s="141"/>
      <c r="GA12" s="141"/>
      <c r="GB12" s="141"/>
      <c r="GC12" s="141"/>
      <c r="GD12" s="141"/>
      <c r="GE12" s="141"/>
      <c r="GF12" s="141"/>
      <c r="GG12" s="141"/>
      <c r="GH12" s="141"/>
      <c r="GI12" s="141"/>
      <c r="GJ12" s="141"/>
      <c r="GK12" s="141"/>
      <c r="GL12" s="141"/>
      <c r="GM12" s="141"/>
      <c r="GN12" s="141"/>
      <c r="GO12" s="141"/>
      <c r="GP12" s="141"/>
      <c r="GQ12" s="141"/>
      <c r="GR12" s="141"/>
      <c r="GS12" s="141"/>
      <c r="GT12" s="141"/>
      <c r="GU12" s="141"/>
      <c r="GV12" s="141"/>
      <c r="GW12" s="141"/>
      <c r="GX12" s="141"/>
      <c r="GY12" s="141"/>
      <c r="GZ12" s="141"/>
      <c r="HA12" s="141"/>
      <c r="HB12" s="141"/>
      <c r="HC12" s="141"/>
      <c r="HD12" s="141"/>
      <c r="HE12" s="141"/>
      <c r="HF12" s="141"/>
      <c r="HG12" s="141"/>
      <c r="HH12" s="141"/>
      <c r="HI12" s="141"/>
      <c r="HJ12" s="141"/>
      <c r="HK12" s="141"/>
      <c r="HL12" s="141"/>
      <c r="HM12" s="141"/>
      <c r="HN12" s="141"/>
      <c r="HO12" s="141"/>
      <c r="HP12" s="141"/>
      <c r="HQ12" s="141"/>
      <c r="HR12" s="141"/>
      <c r="HS12" s="141"/>
      <c r="HT12" s="141"/>
      <c r="HU12" s="141"/>
      <c r="HV12" s="141"/>
      <c r="HW12" s="141"/>
      <c r="HX12" s="141"/>
      <c r="HY12" s="141"/>
      <c r="HZ12" s="141"/>
      <c r="IA12" s="141"/>
      <c r="IB12" s="141"/>
      <c r="IC12" s="141"/>
      <c r="ID12" s="141"/>
      <c r="IE12" s="141"/>
      <c r="IF12" s="141"/>
      <c r="IG12" s="141"/>
      <c r="IH12" s="141"/>
      <c r="II12" s="141"/>
      <c r="IJ12" s="141"/>
      <c r="IK12" s="141"/>
      <c r="IL12" s="141"/>
      <c r="IM12" s="141"/>
      <c r="IN12" s="141"/>
      <c r="IO12" s="141"/>
      <c r="IP12" s="141"/>
      <c r="IQ12" s="141"/>
      <c r="IR12" s="141"/>
      <c r="IS12" s="141"/>
      <c r="IT12" s="141"/>
      <c r="IU12" s="141"/>
      <c r="IV12" s="141"/>
      <c r="IW12" s="141"/>
      <c r="IX12" s="141"/>
      <c r="IY12" s="21">
        <v>2</v>
      </c>
      <c r="IZ12" s="31">
        <f>(TEXT(K12,"[m]")/60)*VLOOKUP(IY12,'Income Person-hours'!A$2:C$5,3,FALSE)</f>
        <v>0</v>
      </c>
      <c r="JA12" s="91"/>
      <c r="JB12" s="91"/>
      <c r="JC12" s="91"/>
      <c r="JD12" s="160">
        <f>SUM((TEXT(JA12,"[M]")/60)*'Income Person-hours'!$D$3,(TEXT(JB12,"[M]")/60)*'Income Person-hours'!$D$4,(TEXT(JC12,"[M]")/60)*'Income Person-hours'!$D$5)</f>
        <v>0</v>
      </c>
    </row>
    <row r="13" spans="1:264" s="159" customFormat="1" ht="13.5">
      <c r="A13" s="172">
        <v>1.4</v>
      </c>
      <c r="B13" s="186" t="s">
        <v>175</v>
      </c>
      <c r="C13" s="173" t="s">
        <v>103</v>
      </c>
      <c r="D13" s="180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1398/10/03</v>
      </c>
      <c r="E13" s="136">
        <f t="shared" si="4"/>
        <v>13981003</v>
      </c>
      <c r="F13" s="189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1398/10/03</v>
      </c>
      <c r="G13" s="139">
        <f t="shared" si="5"/>
        <v>13981003</v>
      </c>
      <c r="H13" s="175">
        <v>2</v>
      </c>
      <c r="I13" s="176">
        <v>1.1000000000000001</v>
      </c>
      <c r="J13" s="174">
        <f>j_WEEKDAY(D13,2)</f>
        <v>3</v>
      </c>
      <c r="K13" s="143">
        <f t="shared" si="7"/>
        <v>0</v>
      </c>
      <c r="L13" s="177">
        <f t="shared" si="8"/>
        <v>1</v>
      </c>
      <c r="M13" s="178">
        <v>1</v>
      </c>
      <c r="N13" s="179">
        <v>1</v>
      </c>
      <c r="O13" s="144">
        <f>ROUNDDOWN(M13*L13,0)</f>
        <v>1</v>
      </c>
      <c r="P13" s="144">
        <f>VALUE(J_normdate(J_ADDDAY($D13,$O13,1)))</f>
        <v>13981004</v>
      </c>
      <c r="Q13" s="142">
        <f t="shared" si="6"/>
        <v>0</v>
      </c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1"/>
      <c r="AZ13" s="141"/>
      <c r="BA13" s="141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1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  <c r="CK13" s="141"/>
      <c r="CL13" s="141"/>
      <c r="CM13" s="141"/>
      <c r="CN13" s="141"/>
      <c r="CO13" s="141"/>
      <c r="CP13" s="141"/>
      <c r="CQ13" s="141"/>
      <c r="CR13" s="141"/>
      <c r="CS13" s="141"/>
      <c r="CT13" s="141"/>
      <c r="CU13" s="141"/>
      <c r="CV13" s="141"/>
      <c r="CW13" s="141"/>
      <c r="CX13" s="141"/>
      <c r="CY13" s="141"/>
      <c r="CZ13" s="141"/>
      <c r="DA13" s="141"/>
      <c r="DB13" s="141"/>
      <c r="DC13" s="141"/>
      <c r="DD13" s="141"/>
      <c r="DE13" s="141"/>
      <c r="DF13" s="141"/>
      <c r="DG13" s="141"/>
      <c r="DH13" s="141"/>
      <c r="DI13" s="141"/>
      <c r="DJ13" s="141"/>
      <c r="DK13" s="141"/>
      <c r="DL13" s="141"/>
      <c r="DM13" s="141"/>
      <c r="DN13" s="141"/>
      <c r="DO13" s="141"/>
      <c r="DP13" s="141"/>
      <c r="DQ13" s="141"/>
      <c r="DR13" s="141"/>
      <c r="DS13" s="141"/>
      <c r="DT13" s="141"/>
      <c r="DU13" s="141"/>
      <c r="DV13" s="141"/>
      <c r="DW13" s="141"/>
      <c r="DX13" s="141"/>
      <c r="DY13" s="141"/>
      <c r="DZ13" s="141"/>
      <c r="EA13" s="141"/>
      <c r="EB13" s="141"/>
      <c r="EC13" s="141"/>
      <c r="ED13" s="141"/>
      <c r="EE13" s="141"/>
      <c r="EF13" s="141"/>
      <c r="EG13" s="141"/>
      <c r="EH13" s="141"/>
      <c r="EI13" s="141"/>
      <c r="EJ13" s="141"/>
      <c r="EK13" s="141"/>
      <c r="EL13" s="141"/>
      <c r="EM13" s="141"/>
      <c r="EN13" s="141"/>
      <c r="EO13" s="141"/>
      <c r="EP13" s="141"/>
      <c r="EQ13" s="141"/>
      <c r="ER13" s="141"/>
      <c r="ES13" s="141"/>
      <c r="ET13" s="141"/>
      <c r="EU13" s="141"/>
      <c r="EV13" s="141"/>
      <c r="EW13" s="141"/>
      <c r="EX13" s="141"/>
      <c r="EY13" s="141"/>
      <c r="EZ13" s="141"/>
      <c r="FA13" s="141"/>
      <c r="FB13" s="141"/>
      <c r="FC13" s="141"/>
      <c r="FD13" s="141"/>
      <c r="FE13" s="141"/>
      <c r="FF13" s="141"/>
      <c r="FG13" s="141"/>
      <c r="FH13" s="141"/>
      <c r="FI13" s="141"/>
      <c r="FJ13" s="141"/>
      <c r="FK13" s="141"/>
      <c r="FL13" s="141"/>
      <c r="FM13" s="141"/>
      <c r="FN13" s="141"/>
      <c r="FO13" s="141"/>
      <c r="FP13" s="141"/>
      <c r="FQ13" s="141"/>
      <c r="FR13" s="141"/>
      <c r="FS13" s="141"/>
      <c r="FT13" s="141"/>
      <c r="FU13" s="141"/>
      <c r="FV13" s="141"/>
      <c r="FW13" s="141"/>
      <c r="FX13" s="141"/>
      <c r="FY13" s="141"/>
      <c r="FZ13" s="141"/>
      <c r="GA13" s="141"/>
      <c r="GB13" s="141"/>
      <c r="GC13" s="141"/>
      <c r="GD13" s="141"/>
      <c r="GE13" s="141"/>
      <c r="GF13" s="141"/>
      <c r="GG13" s="141"/>
      <c r="GH13" s="141"/>
      <c r="GI13" s="141"/>
      <c r="GJ13" s="141"/>
      <c r="GK13" s="141"/>
      <c r="GL13" s="141"/>
      <c r="GM13" s="141"/>
      <c r="GN13" s="141"/>
      <c r="GO13" s="141"/>
      <c r="GP13" s="141"/>
      <c r="GQ13" s="141"/>
      <c r="GR13" s="141"/>
      <c r="GS13" s="141"/>
      <c r="GT13" s="141"/>
      <c r="GU13" s="141"/>
      <c r="GV13" s="141"/>
      <c r="GW13" s="141"/>
      <c r="GX13" s="141"/>
      <c r="GY13" s="141"/>
      <c r="GZ13" s="141"/>
      <c r="HA13" s="141"/>
      <c r="HB13" s="141"/>
      <c r="HC13" s="141"/>
      <c r="HD13" s="141"/>
      <c r="HE13" s="141"/>
      <c r="HF13" s="141"/>
      <c r="HG13" s="141"/>
      <c r="HH13" s="141"/>
      <c r="HI13" s="141"/>
      <c r="HJ13" s="141"/>
      <c r="HK13" s="141"/>
      <c r="HL13" s="141"/>
      <c r="HM13" s="141"/>
      <c r="HN13" s="141"/>
      <c r="HO13" s="141"/>
      <c r="HP13" s="141"/>
      <c r="HQ13" s="141"/>
      <c r="HR13" s="141"/>
      <c r="HS13" s="141"/>
      <c r="HT13" s="141"/>
      <c r="HU13" s="141"/>
      <c r="HV13" s="141"/>
      <c r="HW13" s="141"/>
      <c r="HX13" s="141"/>
      <c r="HY13" s="141"/>
      <c r="HZ13" s="141"/>
      <c r="IA13" s="141"/>
      <c r="IB13" s="141"/>
      <c r="IC13" s="141"/>
      <c r="ID13" s="141"/>
      <c r="IE13" s="141"/>
      <c r="IF13" s="141"/>
      <c r="IG13" s="141"/>
      <c r="IH13" s="141"/>
      <c r="II13" s="141"/>
      <c r="IJ13" s="141"/>
      <c r="IK13" s="141"/>
      <c r="IL13" s="141"/>
      <c r="IM13" s="141"/>
      <c r="IN13" s="141"/>
      <c r="IO13" s="141"/>
      <c r="IP13" s="141"/>
      <c r="IQ13" s="141"/>
      <c r="IR13" s="141"/>
      <c r="IS13" s="141"/>
      <c r="IT13" s="141"/>
      <c r="IU13" s="141"/>
      <c r="IV13" s="141"/>
      <c r="IW13" s="141"/>
      <c r="IX13" s="141"/>
      <c r="IY13" s="21">
        <v>1</v>
      </c>
      <c r="IZ13" s="31">
        <f>(TEXT(K13,"[m]")/60)*VLOOKUP(IY13,'Income Person-hours'!A$2:C$5,3,FALSE)</f>
        <v>0</v>
      </c>
      <c r="JA13" s="91"/>
      <c r="JB13" s="91"/>
      <c r="JC13" s="91"/>
      <c r="JD13" s="160">
        <f>SUM((TEXT(JA13,"[M]")/60)*'Income Person-hours'!$D$3,(TEXT(JB13,"[M]")/60)*'Income Person-hours'!$D$4,(TEXT(JC13,"[M]")/60)*'Income Person-hours'!$D$5)</f>
        <v>0</v>
      </c>
    </row>
    <row r="14" spans="1:264" s="159" customFormat="1" ht="13.5">
      <c r="A14" s="197">
        <v>1.5</v>
      </c>
      <c r="B14" s="186" t="s">
        <v>154</v>
      </c>
      <c r="C14" s="173" t="s">
        <v>103</v>
      </c>
      <c r="D14" s="180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1398/10/24</v>
      </c>
      <c r="E14" s="136" t="e">
        <f>IF(M14=0,J_SUBDAY(C14,1,1),IF((M14-(NETWORKDAYS.INTL(J_GregorianDate(C14,1),J_GregorianDate(J_SUBDAY(J_ADDDAY(C14,M14,1),1,1),1),16,1)))+SUMIFS(Holieday[ok],Holieday[date],CONCATENATE("&gt;","=",C14),Holieday[date],CONCATENATE("&lt;","=",J_SUBDAY(J_ADDDAY(C14,M14,1),1,1)))-SUMIFS(Holieday[Friday],Holieday[date],CONCATENATE("&gt;","=",C14),Holieday[date],CONCATENATE("&lt;","=",J_SUBDAY(J_ADDDAY(C14,M14,1),1,1)))=0,J_SUBDAY(J_ADDDAY(C14,M14,1),1,1),IF((M14+1-(NETWORKDAYS.INTL(J_GregorianDate(C14,1),J_GregorianDate(J_SUBDAY(J_ADDDAY(C14,M14+1,1),1,1),1),16,1)))+SUMIFS(Holieday[ok],Holieday[date],CONCATENATE("&gt;","=",C14),Holieday[date],CONCATENATE("&lt;","=",J_SUBDAY(J_ADDDAY(C14,M14+1,1),1,1)))-SUMIFS(Holieday[Friday],Holieday[date],CONCATENATE("&gt;","=",C14),Holieday[date],CONCATENATE("&lt;","=",J_SUBDAY(J_ADDDAY(C14,M14+1,1),1,1)))=1,J_SUBDAY(J_ADDDAY(C14,M14+1,1),1,1),IF((M14+2-(NETWORKDAYS.INTL(J_GregorianDate(C14,1),J_GregorianDate(J_SUBDAY(J_ADDDAY(C14,M14+2,1),1,1),1),16,1)))+SUMIFS(Holieday[ok],Holieday[date],CONCATENATE("&gt;","=",C14),Holieday[date],CONCATENATE("&lt;","=",J_SUBDAY(J_ADDDAY(C14,M14+2,1),1,1)))-SUMIFS(Holieday[Friday],Holieday[date],CONCATENATE("&gt;","=",C14),Holieday[date],CONCATENATE("&lt;","=",J_SUBDAY(J_ADDDAY(C14,M14+2,1),1,1)))=2,J_SUBDAY(J_ADDDAY(C14,M14+2,1),1,1),IF((M14+3-(NETWORKDAYS.INTL(J_GregorianDate(C14,1),J_GregorianDate(J_SUBDAY(J_ADDDAY(C14,M14+3,1),1,1),1),16,1)))+SUMIFS(Holieday[ok],Holieday[date],CONCATENATE("&gt;","=",C14),Holieday[date],CONCATENATE("&lt;","=",J_SUBDAY(J_ADDDAY(C14,M14+3,1),1,1)))-SUMIFS(Holieday[Friday],Holieday[date],CONCATENATE("&gt;","=",C14),Holieday[date],CONCATENATE("&lt;","=",J_SUBDAY(J_ADDDAY(C14,M14+3,1),1,1)))=3,J_SUBDAY(J_ADDDAY(C14,M14+3,1),1,1),IF((M14+4-(NETWORKDAYS.INTL(J_GregorianDate(C14,1),J_GregorianDate(J_SUBDAY(J_ADDDAY(C14,M14+4,1),1,1),1),16,1)))+SUMIFS(Holieday[ok],Holieday[date],CONCATENATE("&gt;","=",C14),Holieday[date],CONCATENATE("&lt;","=",J_SUBDAY(J_ADDDAY(C14,M14+4,1),1,1)))-SUMIFS(Holieday[Friday],Holieday[date],CONCATENATE("&gt;","=",C14),Holieday[date],CONCATENATE("&lt;","=",J_SUBDAY(J_ADDDAY(C14,M14+4,1),1,1)))=4,J_SUBDAY(J_ADDDAY(C14,M14+4,1),1,1),IF((M14+5-(NETWORKDAYS.INTL(J_GregorianDate(C14,1),J_GregorianDate(J_SUBDAY(J_ADDDAY(C14,M14+5,1),1,1),1),16,1)))+SUMIFS(Holieday[ok],Holieday[date],CONCATENATE("&gt;","=",C14),Holieday[date],CONCATENATE("&lt;","=",J_SUBDAY(J_ADDDAY(C14,M14+5,1),1,1)))-SUMIFS(Holieday[Friday],Holieday[date],CONCATENATE("&gt;","=",C14),Holieday[date],CONCATENATE("&lt;","=",J_SUBDAY(J_ADDDAY(C14,M14+5,1),1,1)))=5,J_SUBDAY(J_ADDDAY(C14,M14+5,1),1,1),J_SUBDAY(J_ADDDAY(C14,M14+6,1),1,1))))))))</f>
        <v>#VALUE!</v>
      </c>
      <c r="F14" s="189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1398/10/24</v>
      </c>
      <c r="G14" s="139">
        <v>1.1000000000000001</v>
      </c>
      <c r="H14" s="175">
        <v>21</v>
      </c>
      <c r="I14" s="176">
        <v>1.4</v>
      </c>
      <c r="J14" s="174">
        <v>1</v>
      </c>
      <c r="K14" s="143">
        <v>1</v>
      </c>
      <c r="L14" s="177">
        <f t="shared" si="8"/>
        <v>1</v>
      </c>
      <c r="M14" s="178">
        <v>1</v>
      </c>
      <c r="N14" s="179">
        <v>1</v>
      </c>
      <c r="O14" s="144"/>
      <c r="P14" s="144"/>
      <c r="Q14" s="142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1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  <c r="CK14" s="141"/>
      <c r="CL14" s="141"/>
      <c r="CM14" s="141"/>
      <c r="CN14" s="141"/>
      <c r="CO14" s="141"/>
      <c r="CP14" s="141"/>
      <c r="CQ14" s="141"/>
      <c r="CR14" s="141"/>
      <c r="CS14" s="141"/>
      <c r="CT14" s="141"/>
      <c r="CU14" s="141"/>
      <c r="CV14" s="141"/>
      <c r="CW14" s="141"/>
      <c r="CX14" s="141"/>
      <c r="CY14" s="141"/>
      <c r="CZ14" s="141"/>
      <c r="DA14" s="141"/>
      <c r="DB14" s="141"/>
      <c r="DC14" s="141"/>
      <c r="DD14" s="141"/>
      <c r="DE14" s="141"/>
      <c r="DF14" s="141"/>
      <c r="DG14" s="141"/>
      <c r="DH14" s="141"/>
      <c r="DI14" s="141"/>
      <c r="DJ14" s="141"/>
      <c r="DK14" s="141"/>
      <c r="DL14" s="141"/>
      <c r="DM14" s="141"/>
      <c r="DN14" s="141"/>
      <c r="DO14" s="141"/>
      <c r="DP14" s="141"/>
      <c r="DQ14" s="141"/>
      <c r="DR14" s="141"/>
      <c r="DS14" s="141"/>
      <c r="DT14" s="141"/>
      <c r="DU14" s="141"/>
      <c r="DV14" s="141"/>
      <c r="DW14" s="141"/>
      <c r="DX14" s="141"/>
      <c r="DY14" s="141"/>
      <c r="DZ14" s="141"/>
      <c r="EA14" s="141"/>
      <c r="EB14" s="141"/>
      <c r="EC14" s="141"/>
      <c r="ED14" s="141"/>
      <c r="EE14" s="141"/>
      <c r="EF14" s="141"/>
      <c r="EG14" s="141"/>
      <c r="EH14" s="141"/>
      <c r="EI14" s="141"/>
      <c r="EJ14" s="141"/>
      <c r="EK14" s="141"/>
      <c r="EL14" s="141"/>
      <c r="EM14" s="141"/>
      <c r="EN14" s="141"/>
      <c r="EO14" s="141"/>
      <c r="EP14" s="141"/>
      <c r="EQ14" s="141"/>
      <c r="ER14" s="141"/>
      <c r="ES14" s="141"/>
      <c r="ET14" s="141"/>
      <c r="EU14" s="141"/>
      <c r="EV14" s="141"/>
      <c r="EW14" s="141"/>
      <c r="EX14" s="141"/>
      <c r="EY14" s="141"/>
      <c r="EZ14" s="141"/>
      <c r="FA14" s="141"/>
      <c r="FB14" s="141"/>
      <c r="FC14" s="141"/>
      <c r="FD14" s="141"/>
      <c r="FE14" s="141"/>
      <c r="FF14" s="141"/>
      <c r="FG14" s="141"/>
      <c r="FH14" s="141"/>
      <c r="FI14" s="141"/>
      <c r="FJ14" s="141"/>
      <c r="FK14" s="141"/>
      <c r="FL14" s="141"/>
      <c r="FM14" s="141"/>
      <c r="FN14" s="141"/>
      <c r="FO14" s="141"/>
      <c r="FP14" s="141"/>
      <c r="FQ14" s="141"/>
      <c r="FR14" s="141"/>
      <c r="FS14" s="141"/>
      <c r="FT14" s="141"/>
      <c r="FU14" s="141"/>
      <c r="FV14" s="141"/>
      <c r="FW14" s="141"/>
      <c r="FX14" s="141"/>
      <c r="FY14" s="141"/>
      <c r="FZ14" s="141"/>
      <c r="GA14" s="141"/>
      <c r="GB14" s="141"/>
      <c r="GC14" s="141"/>
      <c r="GD14" s="141"/>
      <c r="GE14" s="141"/>
      <c r="GF14" s="141"/>
      <c r="GG14" s="141"/>
      <c r="GH14" s="141"/>
      <c r="GI14" s="141"/>
      <c r="GJ14" s="141"/>
      <c r="GK14" s="141"/>
      <c r="GL14" s="141"/>
      <c r="GM14" s="141"/>
      <c r="GN14" s="141"/>
      <c r="GO14" s="141"/>
      <c r="GP14" s="141"/>
      <c r="GQ14" s="141"/>
      <c r="GR14" s="141"/>
      <c r="GS14" s="141"/>
      <c r="GT14" s="141"/>
      <c r="GU14" s="141"/>
      <c r="GV14" s="141"/>
      <c r="GW14" s="141"/>
      <c r="GX14" s="141"/>
      <c r="GY14" s="141"/>
      <c r="GZ14" s="141"/>
      <c r="HA14" s="141"/>
      <c r="HB14" s="141"/>
      <c r="HC14" s="141"/>
      <c r="HD14" s="141"/>
      <c r="HE14" s="141"/>
      <c r="HF14" s="141"/>
      <c r="HG14" s="141"/>
      <c r="HH14" s="141"/>
      <c r="HI14" s="141"/>
      <c r="HJ14" s="141"/>
      <c r="HK14" s="141"/>
      <c r="HL14" s="141"/>
      <c r="HM14" s="141"/>
      <c r="HN14" s="141"/>
      <c r="HO14" s="141"/>
      <c r="HP14" s="141"/>
      <c r="HQ14" s="141"/>
      <c r="HR14" s="141"/>
      <c r="HS14" s="141"/>
      <c r="HT14" s="141"/>
      <c r="HU14" s="141"/>
      <c r="HV14" s="141"/>
      <c r="HW14" s="141"/>
      <c r="HX14" s="141"/>
      <c r="HY14" s="141"/>
      <c r="HZ14" s="141"/>
      <c r="IA14" s="141"/>
      <c r="IB14" s="141"/>
      <c r="IC14" s="141"/>
      <c r="ID14" s="141"/>
      <c r="IE14" s="141"/>
      <c r="IF14" s="141"/>
      <c r="IG14" s="141"/>
      <c r="IH14" s="141"/>
      <c r="II14" s="141"/>
      <c r="IJ14" s="141"/>
      <c r="IK14" s="141"/>
      <c r="IL14" s="141"/>
      <c r="IM14" s="141"/>
      <c r="IN14" s="141"/>
      <c r="IO14" s="141"/>
      <c r="IP14" s="141"/>
      <c r="IQ14" s="141"/>
      <c r="IR14" s="141"/>
      <c r="IS14" s="141">
        <v>1</v>
      </c>
      <c r="IT14" s="141" t="e">
        <f>(TEXT(E14,"[m]")/60)*VLOOKUP(IS14,'Income Person-hours'!#REF!,3,FALSE)</f>
        <v>#VALUE!</v>
      </c>
      <c r="IU14" s="141"/>
      <c r="IV14" s="141"/>
      <c r="IW14" s="141"/>
      <c r="IX14" s="141">
        <f>SUM((TEXT(IU14,"[M]")/60)*'Income Person-hours'!$D$3,(TEXT(IV14,"[M]")/60)*'Income Person-hours'!$D$4,(TEXT(IW14,"[M]")/60)*'Income Person-hours'!$D$5)</f>
        <v>0</v>
      </c>
      <c r="IY14" s="21"/>
      <c r="IZ14" s="31"/>
      <c r="JA14" s="91"/>
      <c r="JB14" s="91"/>
      <c r="JC14" s="91"/>
      <c r="JD14" s="160"/>
    </row>
    <row r="15" spans="1:264" s="159" customFormat="1" ht="13.5">
      <c r="A15" s="197">
        <v>1.6</v>
      </c>
      <c r="B15" s="186" t="s">
        <v>156</v>
      </c>
      <c r="C15" s="173" t="s">
        <v>103</v>
      </c>
      <c r="D15" s="180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1398/10/28</v>
      </c>
      <c r="E15" s="136" t="e">
        <f>IF(M15=0,J_SUBDAY(C15,1,1),IF((M15-(NETWORKDAYS.INTL(J_GregorianDate(C15,1),J_GregorianDate(J_SUBDAY(J_ADDDAY(C15,M15,1),1,1),1),16,1)))+SUMIFS(Holieday[ok],Holieday[date],CONCATENATE("&gt;","=",C15),Holieday[date],CONCATENATE("&lt;","=",J_SUBDAY(J_ADDDAY(C15,M15,1),1,1)))-SUMIFS(Holieday[Friday],Holieday[date],CONCATENATE("&gt;","=",C15),Holieday[date],CONCATENATE("&lt;","=",J_SUBDAY(J_ADDDAY(C15,M15,1),1,1)))=0,J_SUBDAY(J_ADDDAY(C15,M15,1),1,1),IF((M15+1-(NETWORKDAYS.INTL(J_GregorianDate(C15,1),J_GregorianDate(J_SUBDAY(J_ADDDAY(C15,M15+1,1),1,1),1),16,1)))+SUMIFS(Holieday[ok],Holieday[date],CONCATENATE("&gt;","=",C15),Holieday[date],CONCATENATE("&lt;","=",J_SUBDAY(J_ADDDAY(C15,M15+1,1),1,1)))-SUMIFS(Holieday[Friday],Holieday[date],CONCATENATE("&gt;","=",C15),Holieday[date],CONCATENATE("&lt;","=",J_SUBDAY(J_ADDDAY(C15,M15+1,1),1,1)))=1,J_SUBDAY(J_ADDDAY(C15,M15+1,1),1,1),IF((M15+2-(NETWORKDAYS.INTL(J_GregorianDate(C15,1),J_GregorianDate(J_SUBDAY(J_ADDDAY(C15,M15+2,1),1,1),1),16,1)))+SUMIFS(Holieday[ok],Holieday[date],CONCATENATE("&gt;","=",C15),Holieday[date],CONCATENATE("&lt;","=",J_SUBDAY(J_ADDDAY(C15,M15+2,1),1,1)))-SUMIFS(Holieday[Friday],Holieday[date],CONCATENATE("&gt;","=",C15),Holieday[date],CONCATENATE("&lt;","=",J_SUBDAY(J_ADDDAY(C15,M15+2,1),1,1)))=2,J_SUBDAY(J_ADDDAY(C15,M15+2,1),1,1),IF((M15+3-(NETWORKDAYS.INTL(J_GregorianDate(C15,1),J_GregorianDate(J_SUBDAY(J_ADDDAY(C15,M15+3,1),1,1),1),16,1)))+SUMIFS(Holieday[ok],Holieday[date],CONCATENATE("&gt;","=",C15),Holieday[date],CONCATENATE("&lt;","=",J_SUBDAY(J_ADDDAY(C15,M15+3,1),1,1)))-SUMIFS(Holieday[Friday],Holieday[date],CONCATENATE("&gt;","=",C15),Holieday[date],CONCATENATE("&lt;","=",J_SUBDAY(J_ADDDAY(C15,M15+3,1),1,1)))=3,J_SUBDAY(J_ADDDAY(C15,M15+3,1),1,1),IF((M15+4-(NETWORKDAYS.INTL(J_GregorianDate(C15,1),J_GregorianDate(J_SUBDAY(J_ADDDAY(C15,M15+4,1),1,1),1),16,1)))+SUMIFS(Holieday[ok],Holieday[date],CONCATENATE("&gt;","=",C15),Holieday[date],CONCATENATE("&lt;","=",J_SUBDAY(J_ADDDAY(C15,M15+4,1),1,1)))-SUMIFS(Holieday[Friday],Holieday[date],CONCATENATE("&gt;","=",C15),Holieday[date],CONCATENATE("&lt;","=",J_SUBDAY(J_ADDDAY(C15,M15+4,1),1,1)))=4,J_SUBDAY(J_ADDDAY(C15,M15+4,1),1,1),IF((M15+5-(NETWORKDAYS.INTL(J_GregorianDate(C15,1),J_GregorianDate(J_SUBDAY(J_ADDDAY(C15,M15+5,1),1,1),1),16,1)))+SUMIFS(Holieday[ok],Holieday[date],CONCATENATE("&gt;","=",C15),Holieday[date],CONCATENATE("&lt;","=",J_SUBDAY(J_ADDDAY(C15,M15+5,1),1,1)))-SUMIFS(Holieday[Friday],Holieday[date],CONCATENATE("&gt;","=",C15),Holieday[date],CONCATENATE("&lt;","=",J_SUBDAY(J_ADDDAY(C15,M15+5,1),1,1)))=5,J_SUBDAY(J_ADDDAY(C15,M15+5,1),1,1),J_SUBDAY(J_ADDDAY(C15,M15+6,1),1,1))))))))</f>
        <v>#VALUE!</v>
      </c>
      <c r="F15" s="189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1398/10/28</v>
      </c>
      <c r="G15" s="139">
        <v>1.4</v>
      </c>
      <c r="H15" s="175">
        <v>3</v>
      </c>
      <c r="I15" s="176">
        <v>1.5</v>
      </c>
      <c r="J15" s="174">
        <v>1</v>
      </c>
      <c r="K15" s="143">
        <v>1</v>
      </c>
      <c r="L15" s="177">
        <f t="shared" si="8"/>
        <v>1</v>
      </c>
      <c r="M15" s="178">
        <v>1</v>
      </c>
      <c r="N15" s="179">
        <v>1</v>
      </c>
      <c r="O15" s="144"/>
      <c r="P15" s="144"/>
      <c r="Q15" s="142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1"/>
      <c r="AZ15" s="141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1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  <c r="CK15" s="141"/>
      <c r="CL15" s="141"/>
      <c r="CM15" s="141"/>
      <c r="CN15" s="141"/>
      <c r="CO15" s="141"/>
      <c r="CP15" s="141"/>
      <c r="CQ15" s="141"/>
      <c r="CR15" s="141"/>
      <c r="CS15" s="141"/>
      <c r="CT15" s="141"/>
      <c r="CU15" s="141"/>
      <c r="CV15" s="141"/>
      <c r="CW15" s="141"/>
      <c r="CX15" s="141"/>
      <c r="CY15" s="141"/>
      <c r="CZ15" s="141"/>
      <c r="DA15" s="141"/>
      <c r="DB15" s="141"/>
      <c r="DC15" s="141"/>
      <c r="DD15" s="141"/>
      <c r="DE15" s="141"/>
      <c r="DF15" s="141"/>
      <c r="DG15" s="141"/>
      <c r="DH15" s="141"/>
      <c r="DI15" s="141"/>
      <c r="DJ15" s="141"/>
      <c r="DK15" s="141"/>
      <c r="DL15" s="141"/>
      <c r="DM15" s="141"/>
      <c r="DN15" s="141"/>
      <c r="DO15" s="141"/>
      <c r="DP15" s="141"/>
      <c r="DQ15" s="141"/>
      <c r="DR15" s="141"/>
      <c r="DS15" s="141"/>
      <c r="DT15" s="141"/>
      <c r="DU15" s="141"/>
      <c r="DV15" s="141"/>
      <c r="DW15" s="141"/>
      <c r="DX15" s="141"/>
      <c r="DY15" s="141"/>
      <c r="DZ15" s="141"/>
      <c r="EA15" s="141"/>
      <c r="EB15" s="141"/>
      <c r="EC15" s="141"/>
      <c r="ED15" s="141"/>
      <c r="EE15" s="141"/>
      <c r="EF15" s="141"/>
      <c r="EG15" s="141"/>
      <c r="EH15" s="141"/>
      <c r="EI15" s="141"/>
      <c r="EJ15" s="141"/>
      <c r="EK15" s="141"/>
      <c r="EL15" s="141"/>
      <c r="EM15" s="141"/>
      <c r="EN15" s="141"/>
      <c r="EO15" s="141"/>
      <c r="EP15" s="141"/>
      <c r="EQ15" s="141"/>
      <c r="ER15" s="141"/>
      <c r="ES15" s="141"/>
      <c r="ET15" s="141"/>
      <c r="EU15" s="141"/>
      <c r="EV15" s="141"/>
      <c r="EW15" s="141"/>
      <c r="EX15" s="141"/>
      <c r="EY15" s="141"/>
      <c r="EZ15" s="141"/>
      <c r="FA15" s="141"/>
      <c r="FB15" s="141"/>
      <c r="FC15" s="141"/>
      <c r="FD15" s="141"/>
      <c r="FE15" s="141"/>
      <c r="FF15" s="141"/>
      <c r="FG15" s="141"/>
      <c r="FH15" s="141"/>
      <c r="FI15" s="141"/>
      <c r="FJ15" s="141"/>
      <c r="FK15" s="141"/>
      <c r="FL15" s="141"/>
      <c r="FM15" s="141"/>
      <c r="FN15" s="141"/>
      <c r="FO15" s="141"/>
      <c r="FP15" s="141"/>
      <c r="FQ15" s="141"/>
      <c r="FR15" s="141"/>
      <c r="FS15" s="141"/>
      <c r="FT15" s="141"/>
      <c r="FU15" s="141"/>
      <c r="FV15" s="141"/>
      <c r="FW15" s="141"/>
      <c r="FX15" s="141"/>
      <c r="FY15" s="141"/>
      <c r="FZ15" s="141"/>
      <c r="GA15" s="141"/>
      <c r="GB15" s="141"/>
      <c r="GC15" s="141"/>
      <c r="GD15" s="141"/>
      <c r="GE15" s="141"/>
      <c r="GF15" s="141"/>
      <c r="GG15" s="141"/>
      <c r="GH15" s="141"/>
      <c r="GI15" s="141"/>
      <c r="GJ15" s="141"/>
      <c r="GK15" s="141"/>
      <c r="GL15" s="141"/>
      <c r="GM15" s="141"/>
      <c r="GN15" s="141"/>
      <c r="GO15" s="141"/>
      <c r="GP15" s="141"/>
      <c r="GQ15" s="141"/>
      <c r="GR15" s="141"/>
      <c r="GS15" s="141"/>
      <c r="GT15" s="141"/>
      <c r="GU15" s="141"/>
      <c r="GV15" s="141"/>
      <c r="GW15" s="141"/>
      <c r="GX15" s="141"/>
      <c r="GY15" s="141"/>
      <c r="GZ15" s="141"/>
      <c r="HA15" s="141"/>
      <c r="HB15" s="141"/>
      <c r="HC15" s="141"/>
      <c r="HD15" s="141"/>
      <c r="HE15" s="141"/>
      <c r="HF15" s="141"/>
      <c r="HG15" s="141"/>
      <c r="HH15" s="141"/>
      <c r="HI15" s="141"/>
      <c r="HJ15" s="141"/>
      <c r="HK15" s="141"/>
      <c r="HL15" s="141"/>
      <c r="HM15" s="141"/>
      <c r="HN15" s="141"/>
      <c r="HO15" s="141"/>
      <c r="HP15" s="141"/>
      <c r="HQ15" s="141"/>
      <c r="HR15" s="141"/>
      <c r="HS15" s="141"/>
      <c r="HT15" s="141"/>
      <c r="HU15" s="141"/>
      <c r="HV15" s="141"/>
      <c r="HW15" s="141"/>
      <c r="HX15" s="141"/>
      <c r="HY15" s="141"/>
      <c r="HZ15" s="141"/>
      <c r="IA15" s="141"/>
      <c r="IB15" s="141"/>
      <c r="IC15" s="141"/>
      <c r="ID15" s="141"/>
      <c r="IE15" s="141"/>
      <c r="IF15" s="141"/>
      <c r="IG15" s="141"/>
      <c r="IH15" s="141"/>
      <c r="II15" s="141"/>
      <c r="IJ15" s="141"/>
      <c r="IK15" s="141"/>
      <c r="IL15" s="141"/>
      <c r="IM15" s="141">
        <v>1</v>
      </c>
      <c r="IN15" s="141" t="e">
        <f>(TEXT(#REF!,"[m]")/60)*VLOOKUP(IM15,'Income Person-hours'!#REF!,3,FALSE)</f>
        <v>#REF!</v>
      </c>
      <c r="IO15" s="141"/>
      <c r="IP15" s="141"/>
      <c r="IQ15" s="141"/>
      <c r="IR15" s="141">
        <f>SUM((TEXT(IO15,"[M]")/60)*'Income Person-hours'!$D$3,(TEXT(IP15,"[M]")/60)*'Income Person-hours'!$D$4,(TEXT(IQ15,"[M]")/60)*'Income Person-hours'!$D$5)</f>
        <v>0</v>
      </c>
      <c r="IS15" s="141"/>
      <c r="IT15" s="141"/>
      <c r="IU15" s="141"/>
      <c r="IV15" s="141"/>
      <c r="IW15" s="141"/>
      <c r="IX15" s="141"/>
      <c r="IY15" s="21"/>
      <c r="IZ15" s="31"/>
      <c r="JA15" s="91"/>
      <c r="JB15" s="91"/>
      <c r="JC15" s="91"/>
      <c r="JD15" s="160"/>
    </row>
    <row r="16" spans="1:264" s="159" customFormat="1" ht="13.5">
      <c r="A16" s="197">
        <v>1.7</v>
      </c>
      <c r="B16" s="186" t="s">
        <v>158</v>
      </c>
      <c r="C16" s="173" t="s">
        <v>103</v>
      </c>
      <c r="D16" s="180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1398/11/08</v>
      </c>
      <c r="E16" s="136" t="e">
        <f>IF(M16=0,J_SUBDAY(C16,1,1),IF((M16-(NETWORKDAYS.INTL(J_GregorianDate(C16,1),J_GregorianDate(J_SUBDAY(J_ADDDAY(C16,M16,1),1,1),1),16,1)))+SUMIFS(Holieday[ok],Holieday[date],CONCATENATE("&gt;","=",C16),Holieday[date],CONCATENATE("&lt;","=",J_SUBDAY(J_ADDDAY(C16,M16,1),1,1)))-SUMIFS(Holieday[Friday],Holieday[date],CONCATENATE("&gt;","=",C16),Holieday[date],CONCATENATE("&lt;","=",J_SUBDAY(J_ADDDAY(C16,M16,1),1,1)))=0,J_SUBDAY(J_ADDDAY(C16,M16,1),1,1),IF((M16+1-(NETWORKDAYS.INTL(J_GregorianDate(C16,1),J_GregorianDate(J_SUBDAY(J_ADDDAY(C16,M16+1,1),1,1),1),16,1)))+SUMIFS(Holieday[ok],Holieday[date],CONCATENATE("&gt;","=",C16),Holieday[date],CONCATENATE("&lt;","=",J_SUBDAY(J_ADDDAY(C16,M16+1,1),1,1)))-SUMIFS(Holieday[Friday],Holieday[date],CONCATENATE("&gt;","=",C16),Holieday[date],CONCATENATE("&lt;","=",J_SUBDAY(J_ADDDAY(C16,M16+1,1),1,1)))=1,J_SUBDAY(J_ADDDAY(C16,M16+1,1),1,1),IF((M16+2-(NETWORKDAYS.INTL(J_GregorianDate(C16,1),J_GregorianDate(J_SUBDAY(J_ADDDAY(C16,M16+2,1),1,1),1),16,1)))+SUMIFS(Holieday[ok],Holieday[date],CONCATENATE("&gt;","=",C16),Holieday[date],CONCATENATE("&lt;","=",J_SUBDAY(J_ADDDAY(C16,M16+2,1),1,1)))-SUMIFS(Holieday[Friday],Holieday[date],CONCATENATE("&gt;","=",C16),Holieday[date],CONCATENATE("&lt;","=",J_SUBDAY(J_ADDDAY(C16,M16+2,1),1,1)))=2,J_SUBDAY(J_ADDDAY(C16,M16+2,1),1,1),IF((M16+3-(NETWORKDAYS.INTL(J_GregorianDate(C16,1),J_GregorianDate(J_SUBDAY(J_ADDDAY(C16,M16+3,1),1,1),1),16,1)))+SUMIFS(Holieday[ok],Holieday[date],CONCATENATE("&gt;","=",C16),Holieday[date],CONCATENATE("&lt;","=",J_SUBDAY(J_ADDDAY(C16,M16+3,1),1,1)))-SUMIFS(Holieday[Friday],Holieday[date],CONCATENATE("&gt;","=",C16),Holieday[date],CONCATENATE("&lt;","=",J_SUBDAY(J_ADDDAY(C16,M16+3,1),1,1)))=3,J_SUBDAY(J_ADDDAY(C16,M16+3,1),1,1),IF((M16+4-(NETWORKDAYS.INTL(J_GregorianDate(C16,1),J_GregorianDate(J_SUBDAY(J_ADDDAY(C16,M16+4,1),1,1),1),16,1)))+SUMIFS(Holieday[ok],Holieday[date],CONCATENATE("&gt;","=",C16),Holieday[date],CONCATENATE("&lt;","=",J_SUBDAY(J_ADDDAY(C16,M16+4,1),1,1)))-SUMIFS(Holieday[Friday],Holieday[date],CONCATENATE("&gt;","=",C16),Holieday[date],CONCATENATE("&lt;","=",J_SUBDAY(J_ADDDAY(C16,M16+4,1),1,1)))=4,J_SUBDAY(J_ADDDAY(C16,M16+4,1),1,1),IF((M16+5-(NETWORKDAYS.INTL(J_GregorianDate(C16,1),J_GregorianDate(J_SUBDAY(J_ADDDAY(C16,M16+5,1),1,1),1),16,1)))+SUMIFS(Holieday[ok],Holieday[date],CONCATENATE("&gt;","=",C16),Holieday[date],CONCATENATE("&lt;","=",J_SUBDAY(J_ADDDAY(C16,M16+5,1),1,1)))-SUMIFS(Holieday[Friday],Holieday[date],CONCATENATE("&gt;","=",C16),Holieday[date],CONCATENATE("&lt;","=",J_SUBDAY(J_ADDDAY(C16,M16+5,1),1,1)))=5,J_SUBDAY(J_ADDDAY(C16,M16+5,1),1,1),J_SUBDAY(J_ADDDAY(C16,M16+6,1),1,1))))))))</f>
        <v>#VALUE!</v>
      </c>
      <c r="F16" s="189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1398/11/08</v>
      </c>
      <c r="G16" s="139">
        <v>1.5</v>
      </c>
      <c r="H16" s="175">
        <v>10</v>
      </c>
      <c r="I16" s="176">
        <v>1.6</v>
      </c>
      <c r="J16" s="174">
        <v>1</v>
      </c>
      <c r="K16" s="143">
        <v>1</v>
      </c>
      <c r="L16" s="177">
        <f t="shared" si="8"/>
        <v>1</v>
      </c>
      <c r="M16" s="178">
        <v>1</v>
      </c>
      <c r="N16" s="179">
        <v>1</v>
      </c>
      <c r="O16" s="144"/>
      <c r="P16" s="144"/>
      <c r="Q16" s="142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1"/>
      <c r="AT16" s="141"/>
      <c r="AU16" s="141"/>
      <c r="AV16" s="141"/>
      <c r="AW16" s="141"/>
      <c r="AX16" s="141"/>
      <c r="AY16" s="141"/>
      <c r="AZ16" s="141"/>
      <c r="BA16" s="141"/>
      <c r="BB16" s="141"/>
      <c r="BC16" s="141"/>
      <c r="BD16" s="141"/>
      <c r="BE16" s="141"/>
      <c r="BF16" s="141"/>
      <c r="BG16" s="141"/>
      <c r="BH16" s="141"/>
      <c r="BI16" s="141"/>
      <c r="BJ16" s="141"/>
      <c r="BK16" s="141"/>
      <c r="BL16" s="141"/>
      <c r="BM16" s="141"/>
      <c r="BN16" s="141"/>
      <c r="BO16" s="141"/>
      <c r="BP16" s="141"/>
      <c r="BQ16" s="141"/>
      <c r="BR16" s="141"/>
      <c r="BS16" s="141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  <c r="CK16" s="141"/>
      <c r="CL16" s="141"/>
      <c r="CM16" s="141"/>
      <c r="CN16" s="141"/>
      <c r="CO16" s="141"/>
      <c r="CP16" s="141"/>
      <c r="CQ16" s="141"/>
      <c r="CR16" s="141"/>
      <c r="CS16" s="141"/>
      <c r="CT16" s="141"/>
      <c r="CU16" s="141"/>
      <c r="CV16" s="141"/>
      <c r="CW16" s="141"/>
      <c r="CX16" s="141"/>
      <c r="CY16" s="141"/>
      <c r="CZ16" s="141"/>
      <c r="DA16" s="141"/>
      <c r="DB16" s="141"/>
      <c r="DC16" s="141"/>
      <c r="DD16" s="141"/>
      <c r="DE16" s="141"/>
      <c r="DF16" s="141"/>
      <c r="DG16" s="141"/>
      <c r="DH16" s="141"/>
      <c r="DI16" s="141"/>
      <c r="DJ16" s="141"/>
      <c r="DK16" s="141"/>
      <c r="DL16" s="141"/>
      <c r="DM16" s="141"/>
      <c r="DN16" s="141"/>
      <c r="DO16" s="141"/>
      <c r="DP16" s="141"/>
      <c r="DQ16" s="141"/>
      <c r="DR16" s="141"/>
      <c r="DS16" s="141"/>
      <c r="DT16" s="141"/>
      <c r="DU16" s="141"/>
      <c r="DV16" s="141"/>
      <c r="DW16" s="141"/>
      <c r="DX16" s="141"/>
      <c r="DY16" s="141"/>
      <c r="DZ16" s="141"/>
      <c r="EA16" s="141"/>
      <c r="EB16" s="141"/>
      <c r="EC16" s="141"/>
      <c r="ED16" s="141"/>
      <c r="EE16" s="141"/>
      <c r="EF16" s="141"/>
      <c r="EG16" s="141"/>
      <c r="EH16" s="141"/>
      <c r="EI16" s="141"/>
      <c r="EJ16" s="141"/>
      <c r="EK16" s="141"/>
      <c r="EL16" s="141"/>
      <c r="EM16" s="141"/>
      <c r="EN16" s="141"/>
      <c r="EO16" s="141"/>
      <c r="EP16" s="141"/>
      <c r="EQ16" s="141"/>
      <c r="ER16" s="141"/>
      <c r="ES16" s="141"/>
      <c r="ET16" s="141"/>
      <c r="EU16" s="141"/>
      <c r="EV16" s="141"/>
      <c r="EW16" s="141"/>
      <c r="EX16" s="141"/>
      <c r="EY16" s="141"/>
      <c r="EZ16" s="141"/>
      <c r="FA16" s="141"/>
      <c r="FB16" s="141"/>
      <c r="FC16" s="141"/>
      <c r="FD16" s="141"/>
      <c r="FE16" s="141"/>
      <c r="FF16" s="141"/>
      <c r="FG16" s="141"/>
      <c r="FH16" s="141"/>
      <c r="FI16" s="141"/>
      <c r="FJ16" s="141"/>
      <c r="FK16" s="141"/>
      <c r="FL16" s="141"/>
      <c r="FM16" s="141"/>
      <c r="FN16" s="141"/>
      <c r="FO16" s="141"/>
      <c r="FP16" s="141"/>
      <c r="FQ16" s="141"/>
      <c r="FR16" s="141"/>
      <c r="FS16" s="141"/>
      <c r="FT16" s="141"/>
      <c r="FU16" s="141"/>
      <c r="FV16" s="141"/>
      <c r="FW16" s="141"/>
      <c r="FX16" s="141"/>
      <c r="FY16" s="141"/>
      <c r="FZ16" s="141"/>
      <c r="GA16" s="141"/>
      <c r="GB16" s="141"/>
      <c r="GC16" s="141"/>
      <c r="GD16" s="141"/>
      <c r="GE16" s="141"/>
      <c r="GF16" s="141"/>
      <c r="GG16" s="141"/>
      <c r="GH16" s="141"/>
      <c r="GI16" s="141"/>
      <c r="GJ16" s="141"/>
      <c r="GK16" s="141"/>
      <c r="GL16" s="141"/>
      <c r="GM16" s="141"/>
      <c r="GN16" s="141"/>
      <c r="GO16" s="141"/>
      <c r="GP16" s="141"/>
      <c r="GQ16" s="141"/>
      <c r="GR16" s="141"/>
      <c r="GS16" s="141"/>
      <c r="GT16" s="141"/>
      <c r="GU16" s="141"/>
      <c r="GV16" s="141"/>
      <c r="GW16" s="141"/>
      <c r="GX16" s="141"/>
      <c r="GY16" s="141"/>
      <c r="GZ16" s="141"/>
      <c r="HA16" s="141"/>
      <c r="HB16" s="141"/>
      <c r="HC16" s="141"/>
      <c r="HD16" s="141"/>
      <c r="HE16" s="141"/>
      <c r="HF16" s="141"/>
      <c r="HG16" s="141"/>
      <c r="HH16" s="141"/>
      <c r="HI16" s="141"/>
      <c r="HJ16" s="141"/>
      <c r="HK16" s="141"/>
      <c r="HL16" s="141"/>
      <c r="HM16" s="141"/>
      <c r="HN16" s="141"/>
      <c r="HO16" s="141"/>
      <c r="HP16" s="141"/>
      <c r="HQ16" s="141"/>
      <c r="HR16" s="141"/>
      <c r="HS16" s="141"/>
      <c r="HT16" s="141"/>
      <c r="HU16" s="141"/>
      <c r="HV16" s="141"/>
      <c r="HW16" s="141"/>
      <c r="HX16" s="141"/>
      <c r="HY16" s="141"/>
      <c r="HZ16" s="141"/>
      <c r="IA16" s="141"/>
      <c r="IB16" s="141"/>
      <c r="IC16" s="141"/>
      <c r="ID16" s="141"/>
      <c r="IE16" s="141"/>
      <c r="IF16" s="141"/>
      <c r="IG16" s="141">
        <v>1</v>
      </c>
      <c r="IH16" s="141" t="e">
        <f>(TEXT(#REF!,"[m]")/60)*VLOOKUP(IG16,'Income Person-hours'!#REF!,3,FALSE)</f>
        <v>#REF!</v>
      </c>
      <c r="II16" s="141"/>
      <c r="IJ16" s="141"/>
      <c r="IK16" s="141"/>
      <c r="IL16" s="141">
        <f>SUM((TEXT(II16,"[M]")/60)*'Income Person-hours'!$D$3,(TEXT(IJ16,"[M]")/60)*'Income Person-hours'!$D$4,(TEXT(IK16,"[M]")/60)*'Income Person-hours'!$D$5)</f>
        <v>0</v>
      </c>
      <c r="IM16" s="141"/>
      <c r="IN16" s="141"/>
      <c r="IO16" s="141"/>
      <c r="IP16" s="141"/>
      <c r="IQ16" s="141"/>
      <c r="IR16" s="141"/>
      <c r="IS16" s="141"/>
      <c r="IT16" s="141"/>
      <c r="IU16" s="141"/>
      <c r="IV16" s="141"/>
      <c r="IW16" s="141"/>
      <c r="IX16" s="141"/>
      <c r="IY16" s="21"/>
      <c r="IZ16" s="31"/>
      <c r="JA16" s="91"/>
      <c r="JB16" s="91"/>
      <c r="JC16" s="91"/>
      <c r="JD16" s="160"/>
    </row>
    <row r="17" spans="1:16384" s="159" customFormat="1" ht="13.5">
      <c r="A17" s="197">
        <v>1.8</v>
      </c>
      <c r="B17" s="186" t="s">
        <v>113</v>
      </c>
      <c r="C17" s="173" t="s">
        <v>72</v>
      </c>
      <c r="D17" s="180" t="str">
        <f>IF(OR(j_WEEKDAY(J_ADDDAY(VLOOKUP(I17,A:F,6,FALSE),H17,1),0)=6,SUMIFS(Holieday[ok],Holieday[date],J_ADDDAY(VLOOKUP(I17,A:F,6,FALSE),H17,1)))=FALSE(),J_ADDDAY(VLOOKUP(I17,A:F,6,FALSE),H17,1),IF(OR(j_WEEKDAY(J_ADDDAY(VLOOKUP(I17,A:F,6,FALSE),H17+1,1),0)=6,SUMIFS(Holieday[ok],Holieday[date],J_ADDDAY(VLOOKUP(I17,A:F,6,FALSE),H17+1,1)))=FALSE(),J_ADDDAY(VLOOKUP(I17,A:F,6,FALSE),H17+1,1),IF(OR(j_WEEKDAY(J_ADDDAY(VLOOKUP(I17,A:F,6,FALSE),H17+2,1),0)=6,SUMIFS(Holieday[ok],Holieday[date],J_ADDDAY(VLOOKUP(I17,A:F,6,FALSE),H17+2,1)))=FALSE(),J_ADDDAY(VLOOKUP(I17,A:F,6,FALSE),H17+2,1),IF(OR(j_WEEKDAY(J_ADDDAY(VLOOKUP(I17,A:F,6,FALSE),H17+3,1),0)=6,SUMIFS(Holieday[ok],Holieday[date],J_ADDDAY(VLOOKUP(I17,A:F,6,FALSE),H17+3,1)))=FALSE(),J_ADDDAY(VLOOKUP(I17,A:F,6,FALSE),H17+3,1),IF(OR(j_WEEKDAY(J_ADDDAY(VLOOKUP(I17,A:F,6,FALSE),H17+4,1),0)=6,SUMIFS(Holieday[ok],Holieday[date],J_ADDDAY(VLOOKUP(I17,A:F,6,FALSE),H17+4,1)))=FALSE(),J_ADDDAY(VLOOKUP(I17,A:F,6,FALSE),H17+4,1),J_ADDDAY(VLOOKUP(I17,A:F,6,FALSE),H17+5,1))))))</f>
        <v>1398/10/07</v>
      </c>
      <c r="E17" s="136">
        <f t="shared" si="4"/>
        <v>13981007</v>
      </c>
      <c r="F17" s="189" t="str">
        <f>IF(N17=0,J_SUBDAY(D17,1,1),IF((N17-(NETWORKDAYS.INTL(J_GregorianDate(D17,1),J_GregorianDate(J_SUBDAY(J_ADDDAY(D17,N17,1),1,1),1),16,1)))+SUMIFS(Holieday[ok],Holieday[date],CONCATENATE("&gt;","=",D17),Holieday[date],CONCATENATE("&lt;","=",J_SUBDAY(J_ADDDAY(D17,N17,1),1,1)))-SUMIFS(Holieday[Friday],Holieday[date],CONCATENATE("&gt;","=",D17),Holieday[date],CONCATENATE("&lt;","=",J_SUBDAY(J_ADDDAY(D17,N17,1),1,1)))=0,J_SUBDAY(J_ADDDAY(D17,N17,1),1,1),IF((N17+1-(NETWORKDAYS.INTL(J_GregorianDate(D17,1),J_GregorianDate(J_SUBDAY(J_ADDDAY(D17,N17+1,1),1,1),1),16,1)))+SUMIFS(Holieday[ok],Holieday[date],CONCATENATE("&gt;","=",D17),Holieday[date],CONCATENATE("&lt;","=",J_SUBDAY(J_ADDDAY(D17,N17+1,1),1,1)))-SUMIFS(Holieday[Friday],Holieday[date],CONCATENATE("&gt;","=",D17),Holieday[date],CONCATENATE("&lt;","=",J_SUBDAY(J_ADDDAY(D17,N17+1,1),1,1)))=1,J_SUBDAY(J_ADDDAY(D17,N17+1,1),1,1),IF((N17+2-(NETWORKDAYS.INTL(J_GregorianDate(D17,1),J_GregorianDate(J_SUBDAY(J_ADDDAY(D17,N17+2,1),1,1),1),16,1)))+SUMIFS(Holieday[ok],Holieday[date],CONCATENATE("&gt;","=",D17),Holieday[date],CONCATENATE("&lt;","=",J_SUBDAY(J_ADDDAY(D17,N17+2,1),1,1)))-SUMIFS(Holieday[Friday],Holieday[date],CONCATENATE("&gt;","=",D17),Holieday[date],CONCATENATE("&lt;","=",J_SUBDAY(J_ADDDAY(D17,N17+2,1),1,1)))=2,J_SUBDAY(J_ADDDAY(D17,N17+2,1),1,1),IF((N17+3-(NETWORKDAYS.INTL(J_GregorianDate(D17,1),J_GregorianDate(J_SUBDAY(J_ADDDAY(D17,N17+3,1),1,1),1),16,1)))+SUMIFS(Holieday[ok],Holieday[date],CONCATENATE("&gt;","=",D17),Holieday[date],CONCATENATE("&lt;","=",J_SUBDAY(J_ADDDAY(D17,N17+3,1),1,1)))-SUMIFS(Holieday[Friday],Holieday[date],CONCATENATE("&gt;","=",D17),Holieday[date],CONCATENATE("&lt;","=",J_SUBDAY(J_ADDDAY(D17,N17+3,1),1,1)))=3,J_SUBDAY(J_ADDDAY(D17,N17+3,1),1,1),IF((N17+4-(NETWORKDAYS.INTL(J_GregorianDate(D17,1),J_GregorianDate(J_SUBDAY(J_ADDDAY(D17,N17+4,1),1,1),1),16,1)))+SUMIFS(Holieday[ok],Holieday[date],CONCATENATE("&gt;","=",D17),Holieday[date],CONCATENATE("&lt;","=",J_SUBDAY(J_ADDDAY(D17,N17+4,1),1,1)))-SUMIFS(Holieday[Friday],Holieday[date],CONCATENATE("&gt;","=",D17),Holieday[date],CONCATENATE("&lt;","=",J_SUBDAY(J_ADDDAY(D17,N17+4,1),1,1)))=4,J_SUBDAY(J_ADDDAY(D17,N17+4,1),1,1),IF((N17+5-(NETWORKDAYS.INTL(J_GregorianDate(D17,1),J_GregorianDate(J_SUBDAY(J_ADDDAY(D17,N17+5,1),1,1),1),16,1)))+SUMIFS(Holieday[ok],Holieday[date],CONCATENATE("&gt;","=",D17),Holieday[date],CONCATENATE("&lt;","=",J_SUBDAY(J_ADDDAY(D17,N17+5,1),1,1)))-SUMIFS(Holieday[Friday],Holieday[date],CONCATENATE("&gt;","=",D17),Holieday[date],CONCATENATE("&lt;","=",J_SUBDAY(J_ADDDAY(D17,N17+5,1),1,1)))=5,J_SUBDAY(J_ADDDAY(D17,N17+5,1),1,1),J_SUBDAY(J_ADDDAY(D17,N17+6,1),1,1))))))))</f>
        <v>1398/10/11</v>
      </c>
      <c r="G17" s="139">
        <f t="shared" si="5"/>
        <v>13981011</v>
      </c>
      <c r="H17" s="175">
        <v>4</v>
      </c>
      <c r="I17" s="176">
        <v>1.4</v>
      </c>
      <c r="J17" s="174">
        <f>j_WEEKDAY(D17,2)</f>
        <v>0</v>
      </c>
      <c r="K17" s="143">
        <f t="shared" si="7"/>
        <v>0</v>
      </c>
      <c r="L17" s="177">
        <f t="shared" si="8"/>
        <v>5</v>
      </c>
      <c r="M17" s="178">
        <v>1</v>
      </c>
      <c r="N17" s="179">
        <v>5</v>
      </c>
      <c r="O17" s="144">
        <f t="shared" ref="O17" si="9">ROUNDDOWN(M17*L17,0)</f>
        <v>5</v>
      </c>
      <c r="P17" s="144">
        <f>VALUE(J_normdate(J_ADDDAY($D17,$O17,1)))</f>
        <v>13981012</v>
      </c>
      <c r="Q17" s="142">
        <f t="shared" ref="Q17" si="10">L17-O17</f>
        <v>0</v>
      </c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1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141"/>
      <c r="DA17" s="141"/>
      <c r="DB17" s="141"/>
      <c r="DC17" s="141"/>
      <c r="DD17" s="141"/>
      <c r="DE17" s="141"/>
      <c r="DF17" s="141"/>
      <c r="DG17" s="141"/>
      <c r="DH17" s="141"/>
      <c r="DI17" s="141"/>
      <c r="DJ17" s="141"/>
      <c r="DK17" s="141"/>
      <c r="DL17" s="141"/>
      <c r="DM17" s="141"/>
      <c r="DN17" s="141"/>
      <c r="DO17" s="141"/>
      <c r="DP17" s="141"/>
      <c r="DQ17" s="141"/>
      <c r="DR17" s="141"/>
      <c r="DS17" s="141"/>
      <c r="DT17" s="141"/>
      <c r="DU17" s="141"/>
      <c r="DV17" s="141"/>
      <c r="DW17" s="141"/>
      <c r="DX17" s="141"/>
      <c r="DY17" s="141"/>
      <c r="DZ17" s="141"/>
      <c r="EA17" s="141"/>
      <c r="EB17" s="141"/>
      <c r="EC17" s="141"/>
      <c r="ED17" s="141"/>
      <c r="EE17" s="141"/>
      <c r="EF17" s="141"/>
      <c r="EG17" s="141"/>
      <c r="EH17" s="141"/>
      <c r="EI17" s="141"/>
      <c r="EJ17" s="141"/>
      <c r="EK17" s="141"/>
      <c r="EL17" s="141"/>
      <c r="EM17" s="141"/>
      <c r="EN17" s="141"/>
      <c r="EO17" s="141"/>
      <c r="EP17" s="141"/>
      <c r="EQ17" s="141"/>
      <c r="ER17" s="141"/>
      <c r="ES17" s="141"/>
      <c r="ET17" s="141"/>
      <c r="EU17" s="141"/>
      <c r="EV17" s="141"/>
      <c r="EW17" s="141"/>
      <c r="EX17" s="141"/>
      <c r="EY17" s="141"/>
      <c r="EZ17" s="141"/>
      <c r="FA17" s="141"/>
      <c r="FB17" s="141"/>
      <c r="FC17" s="141"/>
      <c r="FD17" s="141"/>
      <c r="FE17" s="141"/>
      <c r="FF17" s="141"/>
      <c r="FG17" s="141"/>
      <c r="FH17" s="141"/>
      <c r="FI17" s="141"/>
      <c r="FJ17" s="141"/>
      <c r="FK17" s="141"/>
      <c r="FL17" s="141"/>
      <c r="FM17" s="141"/>
      <c r="FN17" s="141"/>
      <c r="FO17" s="141"/>
      <c r="FP17" s="141"/>
      <c r="FQ17" s="141"/>
      <c r="FR17" s="141"/>
      <c r="FS17" s="141"/>
      <c r="FT17" s="141"/>
      <c r="FU17" s="141"/>
      <c r="FV17" s="141"/>
      <c r="FW17" s="141"/>
      <c r="FX17" s="141"/>
      <c r="FY17" s="141"/>
      <c r="FZ17" s="141"/>
      <c r="GA17" s="141"/>
      <c r="GB17" s="141"/>
      <c r="GC17" s="141"/>
      <c r="GD17" s="141"/>
      <c r="GE17" s="141"/>
      <c r="GF17" s="141"/>
      <c r="GG17" s="141"/>
      <c r="GH17" s="141"/>
      <c r="GI17" s="141"/>
      <c r="GJ17" s="141"/>
      <c r="GK17" s="141"/>
      <c r="GL17" s="141"/>
      <c r="GM17" s="141"/>
      <c r="GN17" s="141"/>
      <c r="GO17" s="141"/>
      <c r="GP17" s="141"/>
      <c r="GQ17" s="141"/>
      <c r="GR17" s="141"/>
      <c r="GS17" s="141"/>
      <c r="GT17" s="141"/>
      <c r="GU17" s="141"/>
      <c r="GV17" s="141"/>
      <c r="GW17" s="141"/>
      <c r="GX17" s="141"/>
      <c r="GY17" s="141"/>
      <c r="GZ17" s="141"/>
      <c r="HA17" s="141"/>
      <c r="HB17" s="141"/>
      <c r="HC17" s="141"/>
      <c r="HD17" s="141"/>
      <c r="HE17" s="141"/>
      <c r="HF17" s="141"/>
      <c r="HG17" s="141"/>
      <c r="HH17" s="141"/>
      <c r="HI17" s="141"/>
      <c r="HJ17" s="141"/>
      <c r="HK17" s="141"/>
      <c r="HL17" s="141"/>
      <c r="HM17" s="141"/>
      <c r="HN17" s="141"/>
      <c r="HO17" s="141"/>
      <c r="HP17" s="141"/>
      <c r="HQ17" s="141"/>
      <c r="HR17" s="141"/>
      <c r="HS17" s="141"/>
      <c r="HT17" s="141"/>
      <c r="HU17" s="141"/>
      <c r="HV17" s="141"/>
      <c r="HW17" s="141"/>
      <c r="HX17" s="141"/>
      <c r="HY17" s="141"/>
      <c r="HZ17" s="141"/>
      <c r="IA17" s="141"/>
      <c r="IB17" s="141"/>
      <c r="IC17" s="141"/>
      <c r="ID17" s="141"/>
      <c r="IE17" s="141"/>
      <c r="IF17" s="141"/>
      <c r="IG17" s="141"/>
      <c r="IH17" s="141"/>
      <c r="II17" s="141"/>
      <c r="IJ17" s="141"/>
      <c r="IK17" s="141"/>
      <c r="IL17" s="141"/>
      <c r="IM17" s="141"/>
      <c r="IN17" s="141"/>
      <c r="IO17" s="141"/>
      <c r="IP17" s="141"/>
      <c r="IQ17" s="141"/>
      <c r="IR17" s="141"/>
      <c r="IS17" s="141"/>
      <c r="IT17" s="141"/>
      <c r="IU17" s="141"/>
      <c r="IV17" s="141"/>
      <c r="IW17" s="141"/>
      <c r="IX17" s="141"/>
      <c r="IY17" s="21">
        <v>1</v>
      </c>
      <c r="IZ17" s="31">
        <f>(TEXT(K17,"[m]")/60)*VLOOKUP(IY17,'Income Person-hours'!A$2:C$5,3,FALSE)</f>
        <v>0</v>
      </c>
      <c r="JA17" s="91"/>
      <c r="JB17" s="91"/>
      <c r="JC17" s="91"/>
      <c r="JD17" s="160">
        <f>SUM((TEXT(JA17,"[M]")/60)*'Income Person-hours'!$D$3,(TEXT(JB17,"[M]")/60)*'Income Person-hours'!$D$4,(TEXT(JC17,"[M]")/60)*'Income Person-hours'!$D$5)</f>
        <v>0</v>
      </c>
    </row>
    <row r="18" spans="1:16384" s="7" customFormat="1" ht="13.5">
      <c r="A18" s="172" t="s">
        <v>157</v>
      </c>
      <c r="B18" s="186" t="s">
        <v>155</v>
      </c>
      <c r="C18" s="173" t="s">
        <v>72</v>
      </c>
      <c r="D18" s="180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1398/11/08</v>
      </c>
      <c r="E18" s="189" t="e">
        <f>IF(M18=0,J_SUBDAY(C18,1,1),IF((M18-(NETWORKDAYS.INTL(J_GregorianDate(C18,1),J_GregorianDate(J_SUBDAY(J_ADDDAY(C18,M18,1),1,1),1),16,1)))+SUMIFS(Holieday[ok],Holieday[date],CONCATENATE("&gt;","=",C18),Holieday[date],CONCATENATE("&lt;","=",J_SUBDAY(J_ADDDAY(C18,M18,1),1,1)))-SUMIFS(Holieday[Friday],Holieday[date],CONCATENATE("&gt;","=",C18),Holieday[date],CONCATENATE("&lt;","=",J_SUBDAY(J_ADDDAY(C18,M18,1),1,1)))=0,J_SUBDAY(J_ADDDAY(C18,M18,1),1,1),IF((M18+1-(NETWORKDAYS.INTL(J_GregorianDate(C18,1),J_GregorianDate(J_SUBDAY(J_ADDDAY(C18,M18+1,1),1,1),1),16,1)))+SUMIFS(Holieday[ok],Holieday[date],CONCATENATE("&gt;","=",C18),Holieday[date],CONCATENATE("&lt;","=",J_SUBDAY(J_ADDDAY(C18,M18+1,1),1,1)))-SUMIFS(Holieday[Friday],Holieday[date],CONCATENATE("&gt;","=",C18),Holieday[date],CONCATENATE("&lt;","=",J_SUBDAY(J_ADDDAY(C18,M18+1,1),1,1)))=1,J_SUBDAY(J_ADDDAY(C18,M18+1,1),1,1),IF((M18+2-(NETWORKDAYS.INTL(J_GregorianDate(C18,1),J_GregorianDate(J_SUBDAY(J_ADDDAY(C18,M18+2,1),1,1),1),16,1)))+SUMIFS(Holieday[ok],Holieday[date],CONCATENATE("&gt;","=",C18),Holieday[date],CONCATENATE("&lt;","=",J_SUBDAY(J_ADDDAY(C18,M18+2,1),1,1)))-SUMIFS(Holieday[Friday],Holieday[date],CONCATENATE("&gt;","=",C18),Holieday[date],CONCATENATE("&lt;","=",J_SUBDAY(J_ADDDAY(C18,M18+2,1),1,1)))=2,J_SUBDAY(J_ADDDAY(C18,M18+2,1),1,1),IF((M18+3-(NETWORKDAYS.INTL(J_GregorianDate(C18,1),J_GregorianDate(J_SUBDAY(J_ADDDAY(C18,M18+3,1),1,1),1),16,1)))+SUMIFS(Holieday[ok],Holieday[date],CONCATENATE("&gt;","=",C18),Holieday[date],CONCATENATE("&lt;","=",J_SUBDAY(J_ADDDAY(C18,M18+3,1),1,1)))-SUMIFS(Holieday[Friday],Holieday[date],CONCATENATE("&gt;","=",C18),Holieday[date],CONCATENATE("&lt;","=",J_SUBDAY(J_ADDDAY(C18,M18+3,1),1,1)))=3,J_SUBDAY(J_ADDDAY(C18,M18+3,1),1,1),IF((M18+4-(NETWORKDAYS.INTL(J_GregorianDate(C18,1),J_GregorianDate(J_SUBDAY(J_ADDDAY(C18,M18+4,1),1,1),1),16,1)))+SUMIFS(Holieday[ok],Holieday[date],CONCATENATE("&gt;","=",C18),Holieday[date],CONCATENATE("&lt;","=",J_SUBDAY(J_ADDDAY(C18,M18+4,1),1,1)))-SUMIFS(Holieday[Friday],Holieday[date],CONCATENATE("&gt;","=",C18),Holieday[date],CONCATENATE("&lt;","=",J_SUBDAY(J_ADDDAY(C18,M18+4,1),1,1)))=4,J_SUBDAY(J_ADDDAY(C18,M18+4,1),1,1),IF((M18+5-(NETWORKDAYS.INTL(J_GregorianDate(C18,1),J_GregorianDate(J_SUBDAY(J_ADDDAY(C18,M18+5,1),1,1),1),16,1)))+SUMIFS(Holieday[ok],Holieday[date],CONCATENATE("&gt;","=",C18),Holieday[date],CONCATENATE("&lt;","=",J_SUBDAY(J_ADDDAY(C18,M18+5,1),1,1)))-SUMIFS(Holieday[Friday],Holieday[date],CONCATENATE("&gt;","=",C18),Holieday[date],CONCATENATE("&lt;","=",J_SUBDAY(J_ADDDAY(C18,M18+5,1),1,1)))=5,J_SUBDAY(J_ADDDAY(C18,M18+5,1),1,1),J_SUBDAY(J_ADDDAY(C18,M18+6,1),1,1))))))))</f>
        <v>#VALUE!</v>
      </c>
      <c r="F18" s="189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1398/11/16</v>
      </c>
      <c r="G18" s="176">
        <v>1.4</v>
      </c>
      <c r="H18" s="175">
        <v>10</v>
      </c>
      <c r="I18" s="176">
        <v>1.6</v>
      </c>
      <c r="J18" s="174">
        <f>j_WEEKDAY(D18,2)</f>
        <v>3</v>
      </c>
      <c r="K18" s="179">
        <v>5</v>
      </c>
      <c r="L18" s="177">
        <f t="shared" si="8"/>
        <v>9</v>
      </c>
      <c r="M18" s="178">
        <v>1</v>
      </c>
      <c r="N18" s="179">
        <v>7</v>
      </c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41"/>
      <c r="BA18" s="141"/>
      <c r="BB18" s="141"/>
      <c r="BC18" s="141"/>
      <c r="BD18" s="141"/>
      <c r="BE18" s="141"/>
      <c r="BF18" s="141"/>
      <c r="BG18" s="141"/>
      <c r="BH18" s="141"/>
      <c r="BI18" s="141"/>
      <c r="BJ18" s="141"/>
      <c r="BK18" s="141"/>
      <c r="BL18" s="141"/>
      <c r="BM18" s="141"/>
      <c r="BN18" s="141"/>
      <c r="BO18" s="141"/>
      <c r="BP18" s="141"/>
      <c r="BQ18" s="141"/>
      <c r="BR18" s="141"/>
      <c r="BS18" s="141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  <c r="CK18" s="141"/>
      <c r="CL18" s="141"/>
      <c r="CM18" s="141"/>
      <c r="CN18" s="141"/>
      <c r="CO18" s="141"/>
      <c r="CP18" s="141"/>
      <c r="CQ18" s="141"/>
      <c r="CR18" s="141"/>
      <c r="CS18" s="141"/>
      <c r="CT18" s="141"/>
      <c r="CU18" s="141"/>
      <c r="CV18" s="141"/>
      <c r="CW18" s="141"/>
      <c r="CX18" s="141"/>
      <c r="CY18" s="141"/>
      <c r="CZ18" s="141"/>
      <c r="DA18" s="141"/>
      <c r="DB18" s="141"/>
      <c r="DC18" s="141"/>
      <c r="DD18" s="141"/>
      <c r="DE18" s="141"/>
      <c r="DF18" s="141"/>
      <c r="DG18" s="141"/>
      <c r="DH18" s="141"/>
      <c r="DI18" s="141"/>
      <c r="DJ18" s="141"/>
      <c r="DK18" s="141"/>
      <c r="DL18" s="141"/>
      <c r="DM18" s="141"/>
      <c r="DN18" s="141"/>
      <c r="DO18" s="141"/>
      <c r="DP18" s="141"/>
      <c r="DQ18" s="141"/>
      <c r="DR18" s="141"/>
      <c r="DS18" s="141"/>
      <c r="DT18" s="141"/>
      <c r="DU18" s="141"/>
      <c r="DV18" s="141"/>
      <c r="DW18" s="141"/>
      <c r="DX18" s="141"/>
      <c r="DY18" s="141"/>
      <c r="DZ18" s="141"/>
      <c r="EA18" s="141"/>
      <c r="EB18" s="141"/>
      <c r="EC18" s="141"/>
      <c r="ED18" s="141"/>
      <c r="EE18" s="141"/>
      <c r="EF18" s="141"/>
      <c r="EG18" s="141"/>
      <c r="EH18" s="141"/>
      <c r="EI18" s="141"/>
      <c r="EJ18" s="141"/>
      <c r="EK18" s="141"/>
      <c r="EL18" s="141"/>
      <c r="EM18" s="141"/>
      <c r="EN18" s="141"/>
      <c r="EO18" s="141"/>
      <c r="EP18" s="141"/>
      <c r="EQ18" s="141"/>
      <c r="ER18" s="141"/>
      <c r="ES18" s="141"/>
      <c r="ET18" s="141"/>
      <c r="EU18" s="141"/>
      <c r="EV18" s="141"/>
      <c r="EW18" s="141"/>
      <c r="EX18" s="141"/>
      <c r="EY18" s="141"/>
      <c r="EZ18" s="141"/>
      <c r="FA18" s="141"/>
      <c r="FB18" s="141"/>
      <c r="FC18" s="141"/>
      <c r="FD18" s="141"/>
      <c r="FE18" s="141"/>
      <c r="FF18" s="141"/>
      <c r="FG18" s="141"/>
      <c r="FH18" s="141"/>
      <c r="FI18" s="141"/>
      <c r="FJ18" s="141"/>
      <c r="FK18" s="141"/>
      <c r="FL18" s="141"/>
      <c r="FM18" s="141"/>
      <c r="FN18" s="141"/>
      <c r="FO18" s="141"/>
      <c r="FP18" s="141"/>
      <c r="FQ18" s="141"/>
      <c r="FR18" s="141"/>
      <c r="FS18" s="141"/>
      <c r="FT18" s="141"/>
      <c r="FU18" s="141"/>
      <c r="FV18" s="141"/>
      <c r="FW18" s="141"/>
      <c r="FX18" s="141"/>
      <c r="FY18" s="141"/>
      <c r="FZ18" s="141"/>
      <c r="GA18" s="141"/>
      <c r="GB18" s="141"/>
      <c r="GC18" s="141"/>
      <c r="GD18" s="141"/>
      <c r="GE18" s="141"/>
      <c r="GF18" s="141"/>
      <c r="GG18" s="141"/>
      <c r="GH18" s="141"/>
      <c r="GI18" s="141"/>
      <c r="GJ18" s="141"/>
      <c r="GK18" s="141"/>
      <c r="GL18" s="141"/>
      <c r="GM18" s="141"/>
      <c r="GN18" s="141"/>
      <c r="GO18" s="141"/>
      <c r="GP18" s="141"/>
      <c r="GQ18" s="141"/>
      <c r="GR18" s="141"/>
      <c r="GS18" s="141"/>
      <c r="GT18" s="141"/>
      <c r="GU18" s="141"/>
      <c r="GV18" s="141"/>
      <c r="GW18" s="141"/>
      <c r="GX18" s="141"/>
      <c r="GY18" s="141"/>
      <c r="GZ18" s="141"/>
      <c r="HA18" s="141"/>
      <c r="HB18" s="141"/>
      <c r="HC18" s="141"/>
      <c r="HD18" s="141"/>
      <c r="HE18" s="141"/>
      <c r="HF18" s="141"/>
      <c r="HG18" s="141"/>
      <c r="HH18" s="141"/>
      <c r="HI18" s="141"/>
      <c r="HJ18" s="141"/>
      <c r="HK18" s="141"/>
      <c r="HL18" s="141"/>
      <c r="HM18" s="141"/>
      <c r="HN18" s="141"/>
      <c r="HO18" s="141"/>
      <c r="HP18" s="141"/>
      <c r="HQ18" s="141"/>
      <c r="HR18" s="141"/>
      <c r="HS18" s="141"/>
      <c r="HT18" s="141"/>
      <c r="HU18" s="141"/>
      <c r="HV18" s="141"/>
      <c r="HW18" s="141"/>
      <c r="HX18" s="141"/>
      <c r="HY18" s="141"/>
      <c r="HZ18" s="141"/>
      <c r="IA18" s="141"/>
      <c r="IB18" s="141"/>
      <c r="IC18" s="141"/>
      <c r="ID18" s="141"/>
      <c r="IE18" s="141"/>
      <c r="IF18" s="141"/>
      <c r="IG18" s="141"/>
      <c r="IH18" s="141"/>
      <c r="II18" s="141"/>
      <c r="IJ18" s="141"/>
      <c r="IK18" s="141"/>
      <c r="IL18" s="141"/>
      <c r="IM18" s="141"/>
      <c r="IN18" s="141"/>
      <c r="IO18" s="141"/>
      <c r="IP18" s="141"/>
      <c r="IQ18" s="141"/>
      <c r="IR18" s="141"/>
      <c r="IS18" s="21">
        <v>1</v>
      </c>
      <c r="IT18" s="31" t="e">
        <f>(TEXT(E18,"[m]")/60)*VLOOKUP(IS18,'Income Person-hours'!#REF!,3,FALSE)</f>
        <v>#VALUE!</v>
      </c>
      <c r="IU18" s="91"/>
      <c r="IV18" s="91"/>
      <c r="IW18" s="91"/>
      <c r="IX18" s="160">
        <f>SUM((TEXT(IU18,"[M]")/60)*'Income Person-hours'!$D$3,(TEXT(IV18,"[M]")/60)*'Income Person-hours'!$D$4,(TEXT(IW18,"[M]")/60)*'Income Person-hours'!$D$5)</f>
        <v>0</v>
      </c>
      <c r="IY18" s="159"/>
      <c r="IZ18" s="159"/>
      <c r="JA18" s="159"/>
      <c r="JB18" s="159"/>
      <c r="JC18" s="159"/>
      <c r="JD18" s="159"/>
      <c r="JE18" s="159"/>
      <c r="JF18" s="159"/>
      <c r="JG18" s="159"/>
      <c r="JH18" s="159"/>
      <c r="JI18" s="159"/>
      <c r="JJ18" s="159"/>
      <c r="JK18" s="159"/>
      <c r="JL18" s="159"/>
      <c r="JM18" s="159"/>
      <c r="JN18" s="159"/>
      <c r="JO18" s="159"/>
      <c r="JP18" s="159"/>
      <c r="JQ18" s="159"/>
      <c r="JR18" s="159"/>
      <c r="JS18" s="159"/>
      <c r="JT18" s="159"/>
      <c r="JU18" s="159"/>
      <c r="JV18" s="159"/>
      <c r="JW18" s="159"/>
      <c r="JX18" s="159"/>
      <c r="JY18" s="159"/>
      <c r="JZ18" s="159"/>
      <c r="KA18" s="159"/>
      <c r="KB18" s="159"/>
      <c r="KC18" s="159"/>
      <c r="KD18" s="159"/>
      <c r="KE18" s="159"/>
      <c r="KF18" s="159"/>
      <c r="KG18" s="159"/>
      <c r="KH18" s="159"/>
      <c r="KI18" s="159"/>
      <c r="KJ18" s="159"/>
      <c r="KK18" s="159"/>
      <c r="KL18" s="159"/>
      <c r="KM18" s="159"/>
      <c r="KN18" s="159"/>
      <c r="KO18" s="159"/>
      <c r="KP18" s="159"/>
      <c r="KQ18" s="159"/>
      <c r="KR18" s="159"/>
      <c r="KS18" s="159"/>
      <c r="KT18" s="159"/>
      <c r="KU18" s="159"/>
      <c r="KV18" s="159"/>
      <c r="KW18" s="159"/>
      <c r="KX18" s="159"/>
      <c r="KY18" s="159"/>
      <c r="KZ18" s="159"/>
      <c r="LA18" s="159"/>
      <c r="LB18" s="159"/>
      <c r="LC18" s="159"/>
      <c r="LD18" s="159"/>
      <c r="LE18" s="159"/>
      <c r="LF18" s="159"/>
      <c r="LG18" s="159"/>
      <c r="LH18" s="159"/>
      <c r="LI18" s="159"/>
      <c r="LJ18" s="159"/>
      <c r="LK18" s="159"/>
      <c r="LL18" s="159"/>
      <c r="LM18" s="159"/>
      <c r="LN18" s="159"/>
      <c r="LO18" s="159"/>
      <c r="LP18" s="159"/>
      <c r="LQ18" s="159"/>
      <c r="LR18" s="159"/>
      <c r="LS18" s="159"/>
      <c r="LT18" s="159"/>
      <c r="LU18" s="159"/>
      <c r="LV18" s="159"/>
      <c r="LW18" s="159"/>
      <c r="LX18" s="159"/>
      <c r="LY18" s="159"/>
      <c r="LZ18" s="159"/>
      <c r="MA18" s="159"/>
      <c r="MB18" s="159"/>
      <c r="MC18" s="159"/>
      <c r="MD18" s="159"/>
      <c r="ME18" s="159"/>
      <c r="MF18" s="159"/>
      <c r="MG18" s="159"/>
      <c r="MH18" s="159"/>
      <c r="MI18" s="159"/>
      <c r="MJ18" s="159"/>
      <c r="MK18" s="159"/>
      <c r="ML18" s="159"/>
      <c r="MM18" s="159"/>
      <c r="MN18" s="159"/>
      <c r="MO18" s="159"/>
      <c r="MP18" s="159"/>
      <c r="MQ18" s="159"/>
      <c r="MR18" s="159"/>
      <c r="MS18" s="159"/>
      <c r="MT18" s="159"/>
      <c r="MU18" s="159"/>
      <c r="MV18" s="159"/>
      <c r="MW18" s="159"/>
      <c r="MX18" s="159"/>
      <c r="MY18" s="159"/>
      <c r="MZ18" s="159"/>
      <c r="NA18" s="159"/>
      <c r="NB18" s="159"/>
      <c r="NC18" s="159"/>
      <c r="ND18" s="159"/>
      <c r="NE18" s="159"/>
      <c r="NF18" s="159"/>
      <c r="NG18" s="159"/>
      <c r="NH18" s="159"/>
      <c r="NI18" s="159"/>
      <c r="NJ18" s="159"/>
      <c r="NK18" s="159"/>
      <c r="NL18" s="159"/>
      <c r="NM18" s="159"/>
      <c r="NN18" s="159"/>
      <c r="NO18" s="159"/>
      <c r="NP18" s="159"/>
      <c r="NQ18" s="159"/>
      <c r="NR18" s="159"/>
      <c r="NS18" s="159"/>
      <c r="NT18" s="159"/>
      <c r="NU18" s="159"/>
      <c r="NV18" s="159"/>
      <c r="NW18" s="159"/>
      <c r="NX18" s="159"/>
      <c r="NY18" s="159"/>
      <c r="NZ18" s="159"/>
      <c r="OA18" s="159"/>
      <c r="OB18" s="159"/>
      <c r="OC18" s="159"/>
      <c r="OD18" s="159"/>
      <c r="OE18" s="159"/>
      <c r="OF18" s="159"/>
      <c r="OG18" s="159"/>
      <c r="OH18" s="159"/>
      <c r="OI18" s="159"/>
      <c r="OJ18" s="159"/>
      <c r="OK18" s="159"/>
      <c r="OL18" s="159"/>
      <c r="OM18" s="159"/>
      <c r="ON18" s="159"/>
      <c r="OO18" s="159"/>
      <c r="OP18" s="159"/>
      <c r="OQ18" s="159"/>
      <c r="OR18" s="159"/>
      <c r="OS18" s="159"/>
      <c r="OT18" s="159"/>
      <c r="OU18" s="159"/>
      <c r="OV18" s="159"/>
      <c r="OW18" s="159"/>
      <c r="OX18" s="159"/>
      <c r="OY18" s="159"/>
      <c r="OZ18" s="159"/>
      <c r="PA18" s="159"/>
      <c r="PB18" s="159"/>
      <c r="PC18" s="159"/>
      <c r="PD18" s="159"/>
      <c r="PE18" s="159"/>
      <c r="PF18" s="159"/>
      <c r="PG18" s="159"/>
      <c r="PH18" s="159"/>
      <c r="PI18" s="159"/>
      <c r="PJ18" s="159"/>
      <c r="PK18" s="159"/>
      <c r="PL18" s="159"/>
      <c r="PM18" s="159"/>
      <c r="PN18" s="159"/>
      <c r="PO18" s="159"/>
      <c r="PP18" s="159"/>
      <c r="PQ18" s="159"/>
      <c r="PR18" s="159"/>
      <c r="PS18" s="159"/>
      <c r="PT18" s="159"/>
      <c r="PU18" s="159"/>
      <c r="PV18" s="159"/>
      <c r="PW18" s="159"/>
      <c r="PX18" s="159"/>
      <c r="PY18" s="159"/>
      <c r="PZ18" s="159"/>
      <c r="QA18" s="159"/>
      <c r="QB18" s="159"/>
      <c r="QC18" s="159"/>
      <c r="QD18" s="159"/>
      <c r="QE18" s="159"/>
      <c r="QF18" s="159"/>
      <c r="QG18" s="159"/>
      <c r="QH18" s="159"/>
      <c r="QI18" s="159"/>
      <c r="QJ18" s="159"/>
      <c r="QK18" s="159"/>
      <c r="QL18" s="159"/>
      <c r="QM18" s="159"/>
      <c r="QN18" s="159"/>
      <c r="QO18" s="159"/>
      <c r="QP18" s="159"/>
      <c r="QQ18" s="159"/>
      <c r="QR18" s="159"/>
      <c r="QS18" s="159"/>
      <c r="QT18" s="159"/>
      <c r="QU18" s="159"/>
      <c r="QV18" s="159"/>
      <c r="QW18" s="159"/>
      <c r="QX18" s="159"/>
      <c r="QY18" s="159"/>
      <c r="QZ18" s="159"/>
      <c r="RA18" s="159"/>
      <c r="RB18" s="159"/>
      <c r="RC18" s="159"/>
      <c r="RD18" s="159"/>
      <c r="RE18" s="159"/>
      <c r="RF18" s="159"/>
      <c r="RG18" s="159"/>
      <c r="RH18" s="159"/>
      <c r="RI18" s="159"/>
      <c r="RJ18" s="159"/>
      <c r="RK18" s="159"/>
      <c r="RL18" s="159"/>
      <c r="RM18" s="159"/>
      <c r="RN18" s="159"/>
      <c r="RO18" s="159"/>
      <c r="RP18" s="159"/>
      <c r="RQ18" s="159"/>
      <c r="RR18" s="159"/>
      <c r="RS18" s="159"/>
      <c r="RT18" s="159"/>
      <c r="RU18" s="159"/>
      <c r="RV18" s="159"/>
      <c r="RW18" s="159"/>
      <c r="RX18" s="159"/>
      <c r="RY18" s="159"/>
      <c r="RZ18" s="159"/>
      <c r="SA18" s="159"/>
      <c r="SB18" s="159"/>
      <c r="SC18" s="159"/>
      <c r="SD18" s="159"/>
      <c r="SE18" s="159"/>
      <c r="SF18" s="159"/>
      <c r="SG18" s="159"/>
      <c r="SH18" s="159"/>
      <c r="SI18" s="159"/>
      <c r="SJ18" s="159"/>
      <c r="SK18" s="159"/>
      <c r="SL18" s="159"/>
      <c r="SM18" s="159"/>
      <c r="SN18" s="159"/>
      <c r="SO18" s="159"/>
      <c r="SP18" s="159"/>
      <c r="SQ18" s="159"/>
      <c r="SR18" s="159"/>
      <c r="SS18" s="159"/>
      <c r="ST18" s="159"/>
      <c r="SU18" s="159"/>
      <c r="SV18" s="159"/>
      <c r="SW18" s="159"/>
      <c r="SX18" s="159"/>
      <c r="SY18" s="159"/>
      <c r="SZ18" s="159"/>
      <c r="TA18" s="159"/>
      <c r="TB18" s="159"/>
      <c r="TC18" s="159"/>
      <c r="TD18" s="159"/>
      <c r="TE18" s="159"/>
      <c r="TF18" s="159"/>
      <c r="TG18" s="159"/>
      <c r="TH18" s="159"/>
      <c r="TI18" s="159"/>
      <c r="TJ18" s="159"/>
      <c r="TK18" s="159"/>
      <c r="TL18" s="159"/>
      <c r="TM18" s="159"/>
      <c r="TN18" s="159"/>
      <c r="TO18" s="159"/>
      <c r="TP18" s="159"/>
      <c r="TQ18" s="159"/>
      <c r="TR18" s="159"/>
      <c r="TS18" s="159"/>
      <c r="TT18" s="159"/>
      <c r="TU18" s="159"/>
      <c r="TV18" s="159"/>
      <c r="TW18" s="159"/>
      <c r="TX18" s="159"/>
      <c r="TY18" s="159"/>
      <c r="TZ18" s="159"/>
      <c r="UA18" s="159"/>
      <c r="UB18" s="159"/>
      <c r="UC18" s="159"/>
      <c r="UD18" s="159"/>
      <c r="UE18" s="159"/>
      <c r="UF18" s="159"/>
      <c r="UG18" s="159"/>
      <c r="UH18" s="159"/>
      <c r="UI18" s="159"/>
      <c r="UJ18" s="159"/>
      <c r="UK18" s="159"/>
      <c r="UL18" s="159"/>
      <c r="UM18" s="159"/>
      <c r="UN18" s="159"/>
      <c r="UO18" s="159"/>
      <c r="UP18" s="159"/>
      <c r="UQ18" s="159"/>
      <c r="UR18" s="159"/>
      <c r="US18" s="159"/>
      <c r="UT18" s="159"/>
      <c r="UU18" s="159"/>
      <c r="UV18" s="159"/>
      <c r="UW18" s="159"/>
      <c r="UX18" s="159"/>
      <c r="UY18" s="159"/>
      <c r="UZ18" s="159"/>
      <c r="VA18" s="159"/>
      <c r="VB18" s="159"/>
      <c r="VC18" s="159"/>
      <c r="VD18" s="159"/>
      <c r="VE18" s="159"/>
      <c r="VF18" s="159"/>
      <c r="VG18" s="159"/>
      <c r="VH18" s="159"/>
      <c r="VI18" s="159"/>
      <c r="VJ18" s="159"/>
      <c r="VK18" s="159"/>
      <c r="VL18" s="159"/>
      <c r="VM18" s="159"/>
      <c r="VN18" s="159"/>
      <c r="VO18" s="159"/>
      <c r="VP18" s="159"/>
      <c r="VQ18" s="159"/>
      <c r="VR18" s="159"/>
      <c r="VS18" s="159"/>
      <c r="VT18" s="159"/>
      <c r="VU18" s="159"/>
      <c r="VV18" s="159"/>
      <c r="VW18" s="159"/>
      <c r="VX18" s="159"/>
      <c r="VY18" s="159"/>
      <c r="VZ18" s="159"/>
      <c r="WA18" s="159"/>
      <c r="WB18" s="159"/>
      <c r="WC18" s="159"/>
      <c r="WD18" s="159"/>
      <c r="WE18" s="159"/>
      <c r="WF18" s="159"/>
      <c r="WG18" s="159"/>
      <c r="WH18" s="159"/>
      <c r="WI18" s="159"/>
      <c r="WJ18" s="159"/>
      <c r="WK18" s="159"/>
      <c r="WL18" s="159"/>
      <c r="WM18" s="159"/>
      <c r="WN18" s="159"/>
      <c r="WO18" s="159"/>
      <c r="WP18" s="159"/>
      <c r="WQ18" s="159"/>
      <c r="WR18" s="159"/>
      <c r="WS18" s="159"/>
      <c r="WT18" s="159"/>
      <c r="WU18" s="159"/>
      <c r="WV18" s="159"/>
      <c r="WW18" s="159"/>
      <c r="WX18" s="159"/>
      <c r="WY18" s="159"/>
      <c r="WZ18" s="159"/>
      <c r="XA18" s="159"/>
      <c r="XB18" s="159"/>
      <c r="XC18" s="159"/>
      <c r="XD18" s="159"/>
      <c r="XE18" s="159"/>
      <c r="XF18" s="159"/>
      <c r="XG18" s="159"/>
      <c r="XH18" s="159"/>
      <c r="XI18" s="159"/>
      <c r="XJ18" s="159"/>
      <c r="XK18" s="159"/>
      <c r="XL18" s="159"/>
      <c r="XM18" s="159"/>
      <c r="XN18" s="159"/>
      <c r="XO18" s="159"/>
      <c r="XP18" s="159"/>
      <c r="XQ18" s="159"/>
      <c r="XR18" s="159"/>
      <c r="XS18" s="159"/>
      <c r="XT18" s="159"/>
      <c r="XU18" s="159"/>
      <c r="XV18" s="159"/>
      <c r="XW18" s="159"/>
      <c r="XX18" s="159"/>
      <c r="XY18" s="159"/>
      <c r="XZ18" s="159"/>
      <c r="YA18" s="159"/>
      <c r="YB18" s="159"/>
      <c r="YC18" s="159"/>
      <c r="YD18" s="159"/>
      <c r="YE18" s="159"/>
      <c r="YF18" s="159"/>
      <c r="YG18" s="159"/>
      <c r="YH18" s="159"/>
      <c r="YI18" s="159"/>
      <c r="YJ18" s="159"/>
      <c r="YK18" s="159"/>
      <c r="YL18" s="159"/>
      <c r="YM18" s="159"/>
      <c r="YN18" s="159"/>
      <c r="YO18" s="159"/>
      <c r="YP18" s="159"/>
      <c r="YQ18" s="159"/>
      <c r="YR18" s="159"/>
      <c r="YS18" s="159"/>
      <c r="YT18" s="159"/>
      <c r="YU18" s="159"/>
      <c r="YV18" s="159"/>
      <c r="YW18" s="159"/>
      <c r="YX18" s="159"/>
      <c r="YY18" s="159"/>
      <c r="YZ18" s="159"/>
      <c r="ZA18" s="159"/>
      <c r="ZB18" s="159"/>
      <c r="ZC18" s="159"/>
      <c r="ZD18" s="159"/>
      <c r="ZE18" s="159"/>
      <c r="ZF18" s="159"/>
      <c r="ZG18" s="159"/>
      <c r="ZH18" s="159"/>
      <c r="ZI18" s="159"/>
      <c r="ZJ18" s="159"/>
      <c r="ZK18" s="159"/>
      <c r="ZL18" s="159"/>
      <c r="ZM18" s="159"/>
      <c r="ZN18" s="159"/>
      <c r="ZO18" s="159"/>
      <c r="ZP18" s="159"/>
      <c r="ZQ18" s="159"/>
      <c r="ZR18" s="159"/>
      <c r="ZS18" s="159"/>
      <c r="ZT18" s="159"/>
      <c r="ZU18" s="159"/>
      <c r="ZV18" s="159"/>
      <c r="ZW18" s="159"/>
      <c r="ZX18" s="159"/>
      <c r="ZY18" s="159"/>
      <c r="ZZ18" s="159"/>
      <c r="AAA18" s="159"/>
      <c r="AAB18" s="159"/>
      <c r="AAC18" s="159"/>
      <c r="AAD18" s="159"/>
      <c r="AAE18" s="159"/>
      <c r="AAF18" s="159"/>
      <c r="AAG18" s="159"/>
      <c r="AAH18" s="159"/>
      <c r="AAI18" s="159"/>
      <c r="AAJ18" s="159"/>
      <c r="AAK18" s="159"/>
      <c r="AAL18" s="159"/>
      <c r="AAM18" s="159"/>
      <c r="AAN18" s="159"/>
      <c r="AAO18" s="159"/>
      <c r="AAP18" s="159"/>
      <c r="AAQ18" s="159"/>
      <c r="AAR18" s="159"/>
      <c r="AAS18" s="159"/>
      <c r="AAT18" s="159"/>
      <c r="AAU18" s="159"/>
      <c r="AAV18" s="159"/>
      <c r="AAW18" s="159"/>
      <c r="AAX18" s="159"/>
      <c r="AAY18" s="159"/>
      <c r="AAZ18" s="159"/>
      <c r="ABA18" s="159"/>
      <c r="ABB18" s="159"/>
      <c r="ABC18" s="159"/>
      <c r="ABD18" s="159"/>
      <c r="ABE18" s="159"/>
      <c r="ABF18" s="159"/>
      <c r="ABG18" s="159"/>
      <c r="ABH18" s="159"/>
      <c r="ABI18" s="159"/>
      <c r="ABJ18" s="159"/>
      <c r="ABK18" s="159"/>
      <c r="ABL18" s="159"/>
      <c r="ABM18" s="159"/>
      <c r="ABN18" s="159"/>
      <c r="ABO18" s="159"/>
      <c r="ABP18" s="159"/>
      <c r="ABQ18" s="159"/>
      <c r="ABR18" s="159"/>
      <c r="ABS18" s="159"/>
      <c r="ABT18" s="159"/>
      <c r="ABU18" s="159"/>
      <c r="ABV18" s="159"/>
      <c r="ABW18" s="159"/>
      <c r="ABX18" s="159"/>
      <c r="ABY18" s="159"/>
      <c r="ABZ18" s="159"/>
      <c r="ACA18" s="159"/>
      <c r="ACB18" s="159"/>
      <c r="ACC18" s="159"/>
      <c r="ACD18" s="159"/>
      <c r="ACE18" s="159"/>
      <c r="ACF18" s="159"/>
      <c r="ACG18" s="159"/>
      <c r="ACH18" s="159"/>
      <c r="ACI18" s="159"/>
      <c r="ACJ18" s="159"/>
      <c r="ACK18" s="159"/>
      <c r="ACL18" s="159"/>
      <c r="ACM18" s="159"/>
      <c r="ACN18" s="159"/>
      <c r="ACO18" s="159"/>
      <c r="ACP18" s="159"/>
      <c r="ACQ18" s="159"/>
      <c r="ACR18" s="159"/>
      <c r="ACS18" s="159"/>
      <c r="ACT18" s="159"/>
      <c r="ACU18" s="159"/>
      <c r="ACV18" s="159"/>
      <c r="ACW18" s="159"/>
      <c r="ACX18" s="159"/>
      <c r="ACY18" s="159"/>
      <c r="ACZ18" s="159"/>
      <c r="ADA18" s="159"/>
      <c r="ADB18" s="159"/>
      <c r="ADC18" s="159"/>
      <c r="ADD18" s="159"/>
      <c r="ADE18" s="159"/>
      <c r="ADF18" s="159"/>
      <c r="ADG18" s="159"/>
      <c r="ADH18" s="159"/>
      <c r="ADI18" s="159"/>
      <c r="ADJ18" s="159"/>
      <c r="ADK18" s="159"/>
      <c r="ADL18" s="159"/>
      <c r="ADM18" s="159"/>
      <c r="ADN18" s="159"/>
      <c r="ADO18" s="159"/>
      <c r="ADP18" s="159"/>
      <c r="ADQ18" s="159"/>
      <c r="ADR18" s="159"/>
      <c r="ADS18" s="159"/>
      <c r="ADT18" s="159"/>
      <c r="ADU18" s="159"/>
      <c r="ADV18" s="159"/>
      <c r="ADW18" s="159"/>
      <c r="ADX18" s="159"/>
      <c r="ADY18" s="159"/>
      <c r="ADZ18" s="159"/>
      <c r="AEA18" s="159"/>
      <c r="AEB18" s="159"/>
      <c r="AEC18" s="159"/>
      <c r="AED18" s="159"/>
      <c r="AEE18" s="159"/>
      <c r="AEF18" s="159"/>
      <c r="AEG18" s="159"/>
      <c r="AEH18" s="159"/>
      <c r="AEI18" s="159"/>
      <c r="AEJ18" s="159"/>
      <c r="AEK18" s="159"/>
      <c r="AEL18" s="159"/>
      <c r="AEM18" s="159"/>
      <c r="AEN18" s="159"/>
      <c r="AEO18" s="159"/>
      <c r="AEP18" s="159"/>
      <c r="AEQ18" s="159"/>
      <c r="AER18" s="159"/>
      <c r="AES18" s="159"/>
      <c r="AET18" s="159"/>
      <c r="AEU18" s="159"/>
      <c r="AEV18" s="159"/>
      <c r="AEW18" s="159"/>
      <c r="AEX18" s="159"/>
      <c r="AEY18" s="159"/>
      <c r="AEZ18" s="159"/>
      <c r="AFA18" s="159"/>
      <c r="AFB18" s="159"/>
      <c r="AFC18" s="159"/>
      <c r="AFD18" s="159"/>
      <c r="AFE18" s="159"/>
      <c r="AFF18" s="159"/>
      <c r="AFG18" s="159"/>
      <c r="AFH18" s="159"/>
      <c r="AFI18" s="159"/>
      <c r="AFJ18" s="159"/>
      <c r="AFK18" s="159"/>
      <c r="AFL18" s="159"/>
      <c r="AFM18" s="159"/>
      <c r="AFN18" s="159"/>
      <c r="AFO18" s="159"/>
      <c r="AFP18" s="159"/>
      <c r="AFQ18" s="159"/>
      <c r="AFR18" s="159"/>
      <c r="AFS18" s="159"/>
      <c r="AFT18" s="159"/>
      <c r="AFU18" s="159"/>
      <c r="AFV18" s="159"/>
      <c r="AFW18" s="159"/>
      <c r="AFX18" s="159"/>
      <c r="AFY18" s="159"/>
      <c r="AFZ18" s="159"/>
      <c r="AGA18" s="159"/>
      <c r="AGB18" s="159"/>
      <c r="AGC18" s="159"/>
      <c r="AGD18" s="159"/>
      <c r="AGE18" s="159"/>
      <c r="AGF18" s="159"/>
      <c r="AGG18" s="159"/>
      <c r="AGH18" s="159"/>
      <c r="AGI18" s="159"/>
      <c r="AGJ18" s="159"/>
      <c r="AGK18" s="159"/>
      <c r="AGL18" s="159"/>
      <c r="AGM18" s="159"/>
      <c r="AGN18" s="159"/>
      <c r="AGO18" s="159"/>
      <c r="AGP18" s="159"/>
      <c r="AGQ18" s="159"/>
      <c r="AGR18" s="159"/>
      <c r="AGS18" s="159"/>
      <c r="AGT18" s="159"/>
      <c r="AGU18" s="159"/>
      <c r="AGV18" s="159"/>
      <c r="AGW18" s="159"/>
      <c r="AGX18" s="159"/>
      <c r="AGY18" s="159"/>
      <c r="AGZ18" s="159"/>
      <c r="AHA18" s="159"/>
      <c r="AHB18" s="159"/>
      <c r="AHC18" s="159"/>
      <c r="AHD18" s="159"/>
      <c r="AHE18" s="159"/>
      <c r="AHF18" s="159"/>
      <c r="AHG18" s="159"/>
      <c r="AHH18" s="159"/>
      <c r="AHI18" s="159"/>
      <c r="AHJ18" s="159"/>
      <c r="AHK18" s="159"/>
      <c r="AHL18" s="159"/>
      <c r="AHM18" s="159"/>
      <c r="AHN18" s="159"/>
      <c r="AHO18" s="159"/>
      <c r="AHP18" s="159"/>
      <c r="AHQ18" s="159"/>
      <c r="AHR18" s="159"/>
      <c r="AHS18" s="159"/>
      <c r="AHT18" s="159"/>
      <c r="AHU18" s="159"/>
      <c r="AHV18" s="159"/>
      <c r="AHW18" s="159"/>
      <c r="AHX18" s="159"/>
      <c r="AHY18" s="159"/>
      <c r="AHZ18" s="159"/>
      <c r="AIA18" s="159"/>
      <c r="AIB18" s="159"/>
      <c r="AIC18" s="159"/>
      <c r="AID18" s="159"/>
      <c r="AIE18" s="159"/>
      <c r="AIF18" s="159"/>
      <c r="AIG18" s="159"/>
      <c r="AIH18" s="159"/>
      <c r="AII18" s="159"/>
      <c r="AIJ18" s="159"/>
      <c r="AIK18" s="159"/>
      <c r="AIL18" s="159"/>
      <c r="AIM18" s="159"/>
      <c r="AIN18" s="159"/>
      <c r="AIO18" s="159"/>
      <c r="AIP18" s="159"/>
      <c r="AIQ18" s="159"/>
      <c r="AIR18" s="159"/>
      <c r="AIS18" s="159"/>
      <c r="AIT18" s="159"/>
      <c r="AIU18" s="159"/>
      <c r="AIV18" s="159"/>
      <c r="AIW18" s="159"/>
      <c r="AIX18" s="159"/>
      <c r="AIY18" s="159"/>
      <c r="AIZ18" s="159"/>
      <c r="AJA18" s="159"/>
      <c r="AJB18" s="159"/>
      <c r="AJC18" s="159"/>
      <c r="AJD18" s="159"/>
      <c r="AJE18" s="159"/>
      <c r="AJF18" s="159"/>
      <c r="AJG18" s="159"/>
      <c r="AJH18" s="159"/>
      <c r="AJI18" s="159"/>
      <c r="AJJ18" s="159"/>
      <c r="AJK18" s="159"/>
      <c r="AJL18" s="159"/>
      <c r="AJM18" s="159"/>
      <c r="AJN18" s="159"/>
      <c r="AJO18" s="159"/>
      <c r="AJP18" s="159"/>
      <c r="AJQ18" s="159"/>
      <c r="AJR18" s="159"/>
      <c r="AJS18" s="159"/>
      <c r="AJT18" s="159"/>
      <c r="AJU18" s="159"/>
      <c r="AJV18" s="159"/>
      <c r="AJW18" s="159"/>
      <c r="AJX18" s="159"/>
      <c r="AJY18" s="159"/>
      <c r="AJZ18" s="159"/>
      <c r="AKA18" s="159"/>
      <c r="AKB18" s="159"/>
      <c r="AKC18" s="159"/>
      <c r="AKD18" s="159"/>
      <c r="AKE18" s="159"/>
      <c r="AKF18" s="159"/>
      <c r="AKG18" s="159"/>
      <c r="AKH18" s="159"/>
      <c r="AKI18" s="159"/>
      <c r="AKJ18" s="159"/>
      <c r="AKK18" s="159"/>
      <c r="AKL18" s="159"/>
      <c r="AKM18" s="159"/>
      <c r="AKN18" s="159"/>
      <c r="AKO18" s="159"/>
      <c r="AKP18" s="159"/>
      <c r="AKQ18" s="159"/>
      <c r="AKR18" s="159"/>
      <c r="AKS18" s="159"/>
      <c r="AKT18" s="159"/>
      <c r="AKU18" s="159"/>
      <c r="AKV18" s="159"/>
      <c r="AKW18" s="159"/>
      <c r="AKX18" s="159"/>
      <c r="AKY18" s="159"/>
      <c r="AKZ18" s="159"/>
      <c r="ALA18" s="159"/>
      <c r="ALB18" s="159"/>
      <c r="ALC18" s="159"/>
      <c r="ALD18" s="159"/>
      <c r="ALE18" s="159"/>
      <c r="ALF18" s="159"/>
      <c r="ALG18" s="159"/>
      <c r="ALH18" s="159"/>
      <c r="ALI18" s="159"/>
      <c r="ALJ18" s="159"/>
      <c r="ALK18" s="159"/>
      <c r="ALL18" s="159"/>
      <c r="ALM18" s="159"/>
      <c r="ALN18" s="159"/>
      <c r="ALO18" s="159"/>
      <c r="ALP18" s="159"/>
      <c r="ALQ18" s="159"/>
      <c r="ALR18" s="159"/>
      <c r="ALS18" s="159"/>
      <c r="ALT18" s="159"/>
      <c r="ALU18" s="159"/>
      <c r="ALV18" s="159"/>
      <c r="ALW18" s="159"/>
      <c r="ALX18" s="159"/>
      <c r="ALY18" s="159"/>
      <c r="ALZ18" s="159"/>
      <c r="AMA18" s="159"/>
      <c r="AMB18" s="159"/>
      <c r="AMC18" s="159"/>
      <c r="AMD18" s="159"/>
      <c r="AME18" s="159"/>
      <c r="AMF18" s="159"/>
      <c r="AMG18" s="159"/>
      <c r="AMH18" s="159"/>
      <c r="AMI18" s="159"/>
      <c r="AMJ18" s="159"/>
      <c r="AMK18" s="159"/>
      <c r="AML18" s="159"/>
      <c r="AMM18" s="159"/>
      <c r="AMN18" s="159"/>
      <c r="AMO18" s="159"/>
      <c r="AMP18" s="159"/>
      <c r="AMQ18" s="159"/>
      <c r="AMR18" s="159"/>
      <c r="AMS18" s="159"/>
      <c r="AMT18" s="159"/>
      <c r="AMU18" s="159"/>
      <c r="AMV18" s="159"/>
      <c r="AMW18" s="159"/>
      <c r="AMX18" s="159"/>
      <c r="AMY18" s="159"/>
      <c r="AMZ18" s="159"/>
      <c r="ANA18" s="159"/>
      <c r="ANB18" s="159"/>
      <c r="ANC18" s="159"/>
      <c r="AND18" s="159"/>
      <c r="ANE18" s="159"/>
      <c r="ANF18" s="159"/>
      <c r="ANG18" s="159"/>
      <c r="ANH18" s="159"/>
      <c r="ANI18" s="159"/>
      <c r="ANJ18" s="159"/>
      <c r="ANK18" s="159"/>
      <c r="ANL18" s="159"/>
      <c r="ANM18" s="159"/>
      <c r="ANN18" s="159"/>
      <c r="ANO18" s="159"/>
      <c r="ANP18" s="159"/>
      <c r="ANQ18" s="159"/>
      <c r="ANR18" s="159"/>
      <c r="ANS18" s="159"/>
      <c r="ANT18" s="159"/>
      <c r="ANU18" s="159"/>
      <c r="ANV18" s="159"/>
      <c r="ANW18" s="159"/>
      <c r="ANX18" s="159"/>
      <c r="ANY18" s="159"/>
      <c r="ANZ18" s="159"/>
      <c r="AOA18" s="159"/>
      <c r="AOB18" s="159"/>
      <c r="AOC18" s="159"/>
      <c r="AOD18" s="159"/>
      <c r="AOE18" s="159"/>
      <c r="AOF18" s="159"/>
      <c r="AOG18" s="159"/>
      <c r="AOH18" s="159"/>
      <c r="AOI18" s="159"/>
      <c r="AOJ18" s="159"/>
      <c r="AOK18" s="159"/>
      <c r="AOL18" s="159"/>
      <c r="AOM18" s="159"/>
      <c r="AON18" s="159"/>
      <c r="AOO18" s="159"/>
      <c r="AOP18" s="159"/>
      <c r="AOQ18" s="159"/>
      <c r="AOR18" s="159"/>
      <c r="AOS18" s="159"/>
      <c r="AOT18" s="159"/>
      <c r="AOU18" s="159"/>
      <c r="AOV18" s="159"/>
      <c r="AOW18" s="159"/>
      <c r="AOX18" s="159"/>
      <c r="AOY18" s="159"/>
      <c r="AOZ18" s="159"/>
      <c r="APA18" s="159"/>
      <c r="APB18" s="159"/>
      <c r="APC18" s="159"/>
      <c r="APD18" s="159"/>
      <c r="APE18" s="159"/>
      <c r="APF18" s="159"/>
      <c r="APG18" s="159"/>
      <c r="APH18" s="159"/>
      <c r="API18" s="159"/>
      <c r="APJ18" s="159"/>
      <c r="APK18" s="159"/>
      <c r="APL18" s="159"/>
      <c r="APM18" s="159"/>
      <c r="APN18" s="159"/>
      <c r="APO18" s="159"/>
      <c r="APP18" s="159"/>
      <c r="APQ18" s="159"/>
      <c r="APR18" s="159"/>
      <c r="APS18" s="159"/>
      <c r="APT18" s="159"/>
      <c r="APU18" s="159"/>
      <c r="APV18" s="159"/>
      <c r="APW18" s="159"/>
      <c r="APX18" s="159"/>
      <c r="APY18" s="159"/>
      <c r="APZ18" s="159"/>
      <c r="AQA18" s="159"/>
      <c r="AQB18" s="159"/>
      <c r="AQC18" s="159"/>
      <c r="AQD18" s="159"/>
      <c r="AQE18" s="159"/>
      <c r="AQF18" s="159"/>
      <c r="AQG18" s="159"/>
      <c r="AQH18" s="159"/>
      <c r="AQI18" s="159"/>
      <c r="AQJ18" s="159"/>
      <c r="AQK18" s="159"/>
      <c r="AQL18" s="159"/>
      <c r="AQM18" s="159"/>
      <c r="AQN18" s="159"/>
      <c r="AQO18" s="159"/>
      <c r="AQP18" s="159"/>
      <c r="AQQ18" s="159"/>
      <c r="AQR18" s="159"/>
      <c r="AQS18" s="159"/>
      <c r="AQT18" s="159"/>
      <c r="AQU18" s="159"/>
      <c r="AQV18" s="159"/>
      <c r="AQW18" s="159"/>
      <c r="AQX18" s="159"/>
      <c r="AQY18" s="159"/>
      <c r="AQZ18" s="159"/>
      <c r="ARA18" s="159"/>
      <c r="ARB18" s="159"/>
      <c r="ARC18" s="159"/>
      <c r="ARD18" s="159"/>
      <c r="ARE18" s="159"/>
      <c r="ARF18" s="159"/>
      <c r="ARG18" s="159"/>
      <c r="ARH18" s="159"/>
      <c r="ARI18" s="159"/>
      <c r="ARJ18" s="159"/>
      <c r="ARK18" s="159"/>
      <c r="ARL18" s="159"/>
      <c r="ARM18" s="159"/>
      <c r="ARN18" s="159"/>
      <c r="ARO18" s="159"/>
      <c r="ARP18" s="159"/>
      <c r="ARQ18" s="159"/>
      <c r="ARR18" s="159"/>
      <c r="ARS18" s="159"/>
      <c r="ART18" s="159"/>
      <c r="ARU18" s="159"/>
      <c r="ARV18" s="159"/>
      <c r="ARW18" s="159"/>
      <c r="ARX18" s="159"/>
      <c r="ARY18" s="159"/>
      <c r="ARZ18" s="159"/>
      <c r="ASA18" s="159"/>
      <c r="ASB18" s="159"/>
      <c r="ASC18" s="159"/>
      <c r="ASD18" s="159"/>
      <c r="ASE18" s="159"/>
      <c r="ASF18" s="159"/>
      <c r="ASG18" s="159"/>
      <c r="ASH18" s="159"/>
      <c r="ASI18" s="159"/>
      <c r="ASJ18" s="159"/>
      <c r="ASK18" s="159"/>
      <c r="ASL18" s="159"/>
      <c r="ASM18" s="159"/>
      <c r="ASN18" s="159"/>
      <c r="ASO18" s="159"/>
      <c r="ASP18" s="159"/>
      <c r="ASQ18" s="159"/>
      <c r="ASR18" s="159"/>
      <c r="ASS18" s="159"/>
      <c r="AST18" s="159"/>
      <c r="ASU18" s="159"/>
      <c r="ASV18" s="159"/>
      <c r="ASW18" s="159"/>
      <c r="ASX18" s="159"/>
      <c r="ASY18" s="159"/>
      <c r="ASZ18" s="159"/>
      <c r="ATA18" s="159"/>
      <c r="ATB18" s="159"/>
      <c r="ATC18" s="159"/>
      <c r="ATD18" s="159"/>
      <c r="ATE18" s="159"/>
      <c r="ATF18" s="159"/>
      <c r="ATG18" s="159"/>
      <c r="ATH18" s="159"/>
      <c r="ATI18" s="159"/>
      <c r="ATJ18" s="159"/>
      <c r="ATK18" s="159"/>
      <c r="ATL18" s="159"/>
      <c r="ATM18" s="159"/>
      <c r="ATN18" s="159"/>
      <c r="ATO18" s="159"/>
      <c r="ATP18" s="159"/>
      <c r="ATQ18" s="159"/>
      <c r="ATR18" s="159"/>
      <c r="ATS18" s="159"/>
      <c r="ATT18" s="159"/>
      <c r="ATU18" s="159"/>
      <c r="ATV18" s="159"/>
      <c r="ATW18" s="159"/>
      <c r="ATX18" s="159"/>
      <c r="ATY18" s="159"/>
      <c r="ATZ18" s="159"/>
      <c r="AUA18" s="159"/>
      <c r="AUB18" s="159"/>
      <c r="AUC18" s="159"/>
      <c r="AUD18" s="159"/>
      <c r="AUE18" s="159"/>
      <c r="AUF18" s="159"/>
      <c r="AUG18" s="159"/>
      <c r="AUH18" s="159"/>
      <c r="AUI18" s="159"/>
      <c r="AUJ18" s="159"/>
      <c r="AUK18" s="159"/>
      <c r="AUL18" s="159"/>
      <c r="AUM18" s="159"/>
      <c r="AUN18" s="159"/>
      <c r="AUO18" s="159"/>
      <c r="AUP18" s="159"/>
      <c r="AUQ18" s="159"/>
      <c r="AUR18" s="159"/>
      <c r="AUS18" s="159"/>
      <c r="AUT18" s="159"/>
      <c r="AUU18" s="159"/>
      <c r="AUV18" s="159"/>
      <c r="AUW18" s="159"/>
      <c r="AUX18" s="159"/>
      <c r="AUY18" s="159"/>
      <c r="AUZ18" s="159"/>
      <c r="AVA18" s="159"/>
      <c r="AVB18" s="159"/>
      <c r="AVC18" s="159"/>
      <c r="AVD18" s="159"/>
      <c r="AVE18" s="159"/>
      <c r="AVF18" s="159"/>
      <c r="AVG18" s="159"/>
      <c r="AVH18" s="159"/>
      <c r="AVI18" s="159"/>
      <c r="AVJ18" s="159"/>
      <c r="AVK18" s="159"/>
      <c r="AVL18" s="159"/>
      <c r="AVM18" s="159"/>
      <c r="AVN18" s="159"/>
      <c r="AVO18" s="159"/>
      <c r="AVP18" s="159"/>
      <c r="AVQ18" s="159"/>
      <c r="AVR18" s="159"/>
      <c r="AVS18" s="159"/>
      <c r="AVT18" s="159"/>
      <c r="AVU18" s="159"/>
      <c r="AVV18" s="159"/>
      <c r="AVW18" s="159"/>
      <c r="AVX18" s="159"/>
      <c r="AVY18" s="159"/>
      <c r="AVZ18" s="159"/>
      <c r="AWA18" s="159"/>
      <c r="AWB18" s="159"/>
      <c r="AWC18" s="159"/>
      <c r="AWD18" s="159"/>
      <c r="AWE18" s="159"/>
      <c r="AWF18" s="159"/>
      <c r="AWG18" s="159"/>
      <c r="AWH18" s="159"/>
      <c r="AWI18" s="159"/>
      <c r="AWJ18" s="159"/>
      <c r="AWK18" s="159"/>
      <c r="AWL18" s="159"/>
      <c r="AWM18" s="159"/>
      <c r="AWN18" s="159"/>
      <c r="AWO18" s="159"/>
      <c r="AWP18" s="159"/>
      <c r="AWQ18" s="159"/>
      <c r="AWR18" s="159"/>
      <c r="AWS18" s="159"/>
      <c r="AWT18" s="159"/>
      <c r="AWU18" s="159"/>
      <c r="AWV18" s="159"/>
      <c r="AWW18" s="159"/>
      <c r="AWX18" s="159"/>
      <c r="AWY18" s="159"/>
      <c r="AWZ18" s="159"/>
      <c r="AXA18" s="159"/>
      <c r="AXB18" s="159"/>
      <c r="AXC18" s="159"/>
      <c r="AXD18" s="159"/>
      <c r="AXE18" s="159"/>
      <c r="AXF18" s="159"/>
      <c r="AXG18" s="159"/>
      <c r="AXH18" s="159"/>
      <c r="AXI18" s="159"/>
      <c r="AXJ18" s="159"/>
      <c r="AXK18" s="159"/>
      <c r="AXL18" s="159"/>
      <c r="AXM18" s="159"/>
      <c r="AXN18" s="159"/>
      <c r="AXO18" s="159"/>
      <c r="AXP18" s="159"/>
      <c r="AXQ18" s="159"/>
      <c r="AXR18" s="159"/>
      <c r="AXS18" s="159"/>
      <c r="AXT18" s="159"/>
      <c r="AXU18" s="159"/>
      <c r="AXV18" s="159"/>
      <c r="AXW18" s="159"/>
      <c r="AXX18" s="159"/>
      <c r="AXY18" s="159"/>
      <c r="AXZ18" s="159"/>
      <c r="AYA18" s="159"/>
      <c r="AYB18" s="159"/>
      <c r="AYC18" s="159"/>
      <c r="AYD18" s="159"/>
      <c r="AYE18" s="159"/>
      <c r="AYF18" s="159"/>
      <c r="AYG18" s="159"/>
      <c r="AYH18" s="159"/>
      <c r="AYI18" s="159"/>
      <c r="AYJ18" s="159"/>
      <c r="AYK18" s="159"/>
      <c r="AYL18" s="159"/>
      <c r="AYM18" s="159"/>
      <c r="AYN18" s="159"/>
      <c r="AYO18" s="159"/>
      <c r="AYP18" s="159"/>
      <c r="AYQ18" s="159"/>
      <c r="AYR18" s="159"/>
      <c r="AYS18" s="159"/>
      <c r="AYT18" s="159"/>
      <c r="AYU18" s="159"/>
      <c r="AYV18" s="159"/>
      <c r="AYW18" s="159"/>
      <c r="AYX18" s="159"/>
      <c r="AYY18" s="159"/>
      <c r="AYZ18" s="159"/>
      <c r="AZA18" s="159"/>
      <c r="AZB18" s="159"/>
      <c r="AZC18" s="159"/>
      <c r="AZD18" s="159"/>
      <c r="AZE18" s="159"/>
      <c r="AZF18" s="159"/>
      <c r="AZG18" s="159"/>
      <c r="AZH18" s="159"/>
      <c r="AZI18" s="159"/>
      <c r="AZJ18" s="159"/>
      <c r="AZK18" s="159"/>
      <c r="AZL18" s="159"/>
      <c r="AZM18" s="159"/>
      <c r="AZN18" s="159"/>
      <c r="AZO18" s="159"/>
      <c r="AZP18" s="159"/>
      <c r="AZQ18" s="159"/>
      <c r="AZR18" s="159"/>
      <c r="AZS18" s="159"/>
      <c r="AZT18" s="159"/>
      <c r="AZU18" s="159"/>
      <c r="AZV18" s="159"/>
      <c r="AZW18" s="159"/>
      <c r="AZX18" s="159"/>
      <c r="AZY18" s="159"/>
      <c r="AZZ18" s="159"/>
      <c r="BAA18" s="159"/>
      <c r="BAB18" s="159"/>
      <c r="BAC18" s="159"/>
      <c r="BAD18" s="159"/>
      <c r="BAE18" s="159"/>
      <c r="BAF18" s="159"/>
      <c r="BAG18" s="159"/>
      <c r="BAH18" s="159"/>
      <c r="BAI18" s="159"/>
      <c r="BAJ18" s="159"/>
      <c r="BAK18" s="159"/>
      <c r="BAL18" s="159"/>
      <c r="BAM18" s="159"/>
      <c r="BAN18" s="159"/>
      <c r="BAO18" s="159"/>
      <c r="BAP18" s="159"/>
      <c r="BAQ18" s="159"/>
      <c r="BAR18" s="159"/>
      <c r="BAS18" s="159"/>
      <c r="BAT18" s="159"/>
      <c r="BAU18" s="159"/>
      <c r="BAV18" s="159"/>
      <c r="BAW18" s="159"/>
      <c r="BAX18" s="159"/>
      <c r="BAY18" s="159"/>
      <c r="BAZ18" s="159"/>
      <c r="BBA18" s="159"/>
      <c r="BBB18" s="159"/>
      <c r="BBC18" s="159"/>
      <c r="BBD18" s="159"/>
      <c r="BBE18" s="159"/>
      <c r="BBF18" s="159"/>
      <c r="BBG18" s="159"/>
      <c r="BBH18" s="159"/>
      <c r="BBI18" s="159"/>
      <c r="BBJ18" s="159"/>
      <c r="BBK18" s="159"/>
      <c r="BBL18" s="159"/>
      <c r="BBM18" s="159"/>
      <c r="BBN18" s="159"/>
      <c r="BBO18" s="159"/>
      <c r="BBP18" s="159"/>
      <c r="BBQ18" s="159"/>
      <c r="BBR18" s="159"/>
      <c r="BBS18" s="159"/>
      <c r="BBT18" s="159"/>
      <c r="BBU18" s="159"/>
      <c r="BBV18" s="159"/>
      <c r="BBW18" s="159"/>
      <c r="BBX18" s="159"/>
      <c r="BBY18" s="159"/>
      <c r="BBZ18" s="159"/>
      <c r="BCA18" s="159"/>
      <c r="BCB18" s="159"/>
      <c r="BCC18" s="159"/>
      <c r="BCD18" s="159"/>
      <c r="BCE18" s="159"/>
      <c r="BCF18" s="159"/>
      <c r="BCG18" s="159"/>
      <c r="BCH18" s="159"/>
      <c r="BCI18" s="159"/>
      <c r="BCJ18" s="159"/>
      <c r="BCK18" s="159"/>
      <c r="BCL18" s="159"/>
      <c r="BCM18" s="159"/>
      <c r="BCN18" s="159"/>
      <c r="BCO18" s="159"/>
      <c r="BCP18" s="159"/>
      <c r="BCQ18" s="159"/>
      <c r="BCR18" s="159"/>
      <c r="BCS18" s="159"/>
      <c r="BCT18" s="159"/>
      <c r="BCU18" s="159"/>
      <c r="BCV18" s="159"/>
      <c r="BCW18" s="159"/>
      <c r="BCX18" s="159"/>
      <c r="BCY18" s="159"/>
      <c r="BCZ18" s="159"/>
      <c r="BDA18" s="159"/>
      <c r="BDB18" s="159"/>
      <c r="BDC18" s="159"/>
      <c r="BDD18" s="159"/>
      <c r="BDE18" s="159"/>
      <c r="BDF18" s="159"/>
      <c r="BDG18" s="159"/>
      <c r="BDH18" s="159"/>
      <c r="BDI18" s="159"/>
      <c r="BDJ18" s="159"/>
      <c r="BDK18" s="159"/>
      <c r="BDL18" s="159"/>
      <c r="BDM18" s="159"/>
      <c r="BDN18" s="159"/>
      <c r="BDO18" s="159"/>
      <c r="BDP18" s="159"/>
      <c r="BDQ18" s="159"/>
      <c r="BDR18" s="159"/>
      <c r="BDS18" s="159"/>
      <c r="BDT18" s="159"/>
      <c r="BDU18" s="159"/>
      <c r="BDV18" s="159"/>
      <c r="BDW18" s="159"/>
      <c r="BDX18" s="159"/>
      <c r="BDY18" s="159"/>
      <c r="BDZ18" s="159"/>
      <c r="BEA18" s="159"/>
      <c r="BEB18" s="159"/>
      <c r="BEC18" s="159"/>
      <c r="BED18" s="159"/>
      <c r="BEE18" s="159"/>
      <c r="BEF18" s="159"/>
      <c r="BEG18" s="159"/>
      <c r="BEH18" s="159"/>
      <c r="BEI18" s="159"/>
      <c r="BEJ18" s="159"/>
      <c r="BEK18" s="159"/>
      <c r="BEL18" s="159"/>
      <c r="BEM18" s="159"/>
      <c r="BEN18" s="159"/>
      <c r="BEO18" s="159"/>
      <c r="BEP18" s="159"/>
      <c r="BEQ18" s="159"/>
      <c r="BER18" s="159"/>
      <c r="BES18" s="159"/>
      <c r="BET18" s="159"/>
      <c r="BEU18" s="159"/>
      <c r="BEV18" s="159"/>
      <c r="BEW18" s="159"/>
      <c r="BEX18" s="159"/>
      <c r="BEY18" s="159"/>
      <c r="BEZ18" s="159"/>
      <c r="BFA18" s="159"/>
      <c r="BFB18" s="159"/>
      <c r="BFC18" s="159"/>
      <c r="BFD18" s="159"/>
      <c r="BFE18" s="159"/>
      <c r="BFF18" s="159"/>
      <c r="BFG18" s="159"/>
      <c r="BFH18" s="159"/>
      <c r="BFI18" s="159"/>
      <c r="BFJ18" s="159"/>
      <c r="BFK18" s="159"/>
      <c r="BFL18" s="159"/>
      <c r="BFM18" s="159"/>
      <c r="BFN18" s="159"/>
      <c r="BFO18" s="159"/>
      <c r="BFP18" s="159"/>
      <c r="BFQ18" s="159"/>
      <c r="BFR18" s="159"/>
      <c r="BFS18" s="159"/>
      <c r="BFT18" s="159"/>
      <c r="BFU18" s="159"/>
      <c r="BFV18" s="159"/>
      <c r="BFW18" s="159"/>
      <c r="BFX18" s="159"/>
      <c r="BFY18" s="159"/>
      <c r="BFZ18" s="159"/>
      <c r="BGA18" s="159"/>
      <c r="BGB18" s="159"/>
      <c r="BGC18" s="159"/>
      <c r="BGD18" s="159"/>
      <c r="BGE18" s="159"/>
      <c r="BGF18" s="159"/>
      <c r="BGG18" s="159"/>
      <c r="BGH18" s="159"/>
      <c r="BGI18" s="159"/>
      <c r="BGJ18" s="159"/>
      <c r="BGK18" s="159"/>
      <c r="BGL18" s="159"/>
      <c r="BGM18" s="159"/>
      <c r="BGN18" s="159"/>
      <c r="BGO18" s="159"/>
      <c r="BGP18" s="159"/>
      <c r="BGQ18" s="159"/>
      <c r="BGR18" s="159"/>
      <c r="BGS18" s="159"/>
      <c r="BGT18" s="159"/>
      <c r="BGU18" s="159"/>
      <c r="BGV18" s="159"/>
      <c r="BGW18" s="159"/>
      <c r="BGX18" s="159"/>
      <c r="BGY18" s="159"/>
      <c r="BGZ18" s="159"/>
      <c r="BHA18" s="159"/>
      <c r="BHB18" s="159"/>
      <c r="BHC18" s="159"/>
      <c r="BHD18" s="159"/>
      <c r="BHE18" s="159"/>
      <c r="BHF18" s="159"/>
      <c r="BHG18" s="159"/>
      <c r="BHH18" s="159"/>
      <c r="BHI18" s="159"/>
      <c r="BHJ18" s="159"/>
      <c r="BHK18" s="159"/>
      <c r="BHL18" s="159"/>
      <c r="BHM18" s="159"/>
      <c r="BHN18" s="159"/>
      <c r="BHO18" s="159"/>
      <c r="BHP18" s="159"/>
      <c r="BHQ18" s="159"/>
      <c r="BHR18" s="159"/>
      <c r="BHS18" s="159"/>
      <c r="BHT18" s="159"/>
      <c r="BHU18" s="159"/>
      <c r="BHV18" s="159"/>
      <c r="BHW18" s="159"/>
      <c r="BHX18" s="159"/>
      <c r="BHY18" s="159"/>
      <c r="BHZ18" s="159"/>
      <c r="BIA18" s="159"/>
      <c r="BIB18" s="159"/>
      <c r="BIC18" s="159"/>
      <c r="BID18" s="159"/>
      <c r="BIE18" s="159"/>
      <c r="BIF18" s="159"/>
      <c r="BIG18" s="159"/>
      <c r="BIH18" s="159"/>
      <c r="BII18" s="159"/>
      <c r="BIJ18" s="159"/>
      <c r="BIK18" s="159"/>
      <c r="BIL18" s="159"/>
      <c r="BIM18" s="159"/>
      <c r="BIN18" s="159"/>
      <c r="BIO18" s="159"/>
      <c r="BIP18" s="159"/>
      <c r="BIQ18" s="159"/>
      <c r="BIR18" s="159"/>
      <c r="BIS18" s="159"/>
      <c r="BIT18" s="159"/>
      <c r="BIU18" s="159"/>
      <c r="BIV18" s="159"/>
      <c r="BIW18" s="159"/>
      <c r="BIX18" s="159"/>
      <c r="BIY18" s="159"/>
      <c r="BIZ18" s="159"/>
      <c r="BJA18" s="159"/>
      <c r="BJB18" s="159"/>
      <c r="BJC18" s="159"/>
      <c r="BJD18" s="159"/>
      <c r="BJE18" s="159"/>
      <c r="BJF18" s="159"/>
      <c r="BJG18" s="159"/>
      <c r="BJH18" s="159"/>
      <c r="BJI18" s="159"/>
      <c r="BJJ18" s="159"/>
      <c r="BJK18" s="159"/>
      <c r="BJL18" s="159"/>
      <c r="BJM18" s="159"/>
      <c r="BJN18" s="159"/>
      <c r="BJO18" s="159"/>
      <c r="BJP18" s="159"/>
      <c r="BJQ18" s="159"/>
      <c r="BJR18" s="159"/>
      <c r="BJS18" s="159"/>
      <c r="BJT18" s="159"/>
      <c r="BJU18" s="159"/>
      <c r="BJV18" s="159"/>
      <c r="BJW18" s="159"/>
      <c r="BJX18" s="159"/>
      <c r="BJY18" s="159"/>
      <c r="BJZ18" s="159"/>
      <c r="BKA18" s="159"/>
      <c r="BKB18" s="159"/>
      <c r="BKC18" s="159"/>
      <c r="BKD18" s="159"/>
      <c r="BKE18" s="159"/>
      <c r="BKF18" s="159"/>
      <c r="BKG18" s="159"/>
      <c r="BKH18" s="159"/>
      <c r="BKI18" s="159"/>
      <c r="BKJ18" s="159"/>
      <c r="BKK18" s="159"/>
      <c r="BKL18" s="159"/>
      <c r="BKM18" s="159"/>
      <c r="BKN18" s="159"/>
      <c r="BKO18" s="159"/>
      <c r="BKP18" s="159"/>
      <c r="BKQ18" s="159"/>
      <c r="BKR18" s="159"/>
      <c r="BKS18" s="159"/>
      <c r="BKT18" s="159"/>
      <c r="BKU18" s="159"/>
      <c r="BKV18" s="159"/>
      <c r="BKW18" s="159"/>
      <c r="BKX18" s="159"/>
      <c r="BKY18" s="159"/>
      <c r="BKZ18" s="159"/>
      <c r="BLA18" s="159"/>
      <c r="BLB18" s="159"/>
      <c r="BLC18" s="159"/>
      <c r="BLD18" s="159"/>
      <c r="BLE18" s="159"/>
      <c r="BLF18" s="159"/>
      <c r="BLG18" s="159"/>
      <c r="BLH18" s="159"/>
      <c r="BLI18" s="159"/>
      <c r="BLJ18" s="159"/>
      <c r="BLK18" s="159"/>
      <c r="BLL18" s="159"/>
      <c r="BLM18" s="159"/>
      <c r="BLN18" s="159"/>
      <c r="BLO18" s="159"/>
      <c r="BLP18" s="159"/>
      <c r="BLQ18" s="159"/>
      <c r="BLR18" s="159"/>
      <c r="BLS18" s="159"/>
      <c r="BLT18" s="159"/>
      <c r="BLU18" s="159"/>
      <c r="BLV18" s="159"/>
      <c r="BLW18" s="159"/>
      <c r="BLX18" s="159"/>
      <c r="BLY18" s="159"/>
      <c r="BLZ18" s="159"/>
      <c r="BMA18" s="159"/>
      <c r="BMB18" s="159"/>
      <c r="BMC18" s="159"/>
      <c r="BMD18" s="159"/>
      <c r="BME18" s="159"/>
      <c r="BMF18" s="159"/>
      <c r="BMG18" s="159"/>
      <c r="BMH18" s="159"/>
      <c r="BMI18" s="159"/>
      <c r="BMJ18" s="159"/>
      <c r="BMK18" s="159"/>
      <c r="BML18" s="159"/>
      <c r="BMM18" s="159"/>
      <c r="BMN18" s="159"/>
      <c r="BMO18" s="159"/>
      <c r="BMP18" s="159"/>
      <c r="BMQ18" s="159"/>
      <c r="BMR18" s="159"/>
      <c r="BMS18" s="159"/>
      <c r="BMT18" s="159"/>
      <c r="BMU18" s="159"/>
      <c r="BMV18" s="159"/>
      <c r="BMW18" s="159"/>
      <c r="BMX18" s="159"/>
      <c r="BMY18" s="159"/>
      <c r="BMZ18" s="159"/>
      <c r="BNA18" s="159"/>
      <c r="BNB18" s="159"/>
      <c r="BNC18" s="159"/>
      <c r="BND18" s="159"/>
      <c r="BNE18" s="159"/>
      <c r="BNF18" s="159"/>
      <c r="BNG18" s="159"/>
      <c r="BNH18" s="159"/>
      <c r="BNI18" s="159"/>
      <c r="BNJ18" s="159"/>
      <c r="BNK18" s="159"/>
      <c r="BNL18" s="159"/>
      <c r="BNM18" s="159"/>
      <c r="BNN18" s="159"/>
      <c r="BNO18" s="159"/>
      <c r="BNP18" s="159"/>
      <c r="BNQ18" s="159"/>
      <c r="BNR18" s="159"/>
      <c r="BNS18" s="159"/>
      <c r="BNT18" s="159"/>
      <c r="BNU18" s="159"/>
      <c r="BNV18" s="159"/>
      <c r="BNW18" s="159"/>
      <c r="BNX18" s="159"/>
      <c r="BNY18" s="159"/>
      <c r="BNZ18" s="159"/>
      <c r="BOA18" s="159"/>
      <c r="BOB18" s="159"/>
      <c r="BOC18" s="159"/>
      <c r="BOD18" s="159"/>
      <c r="BOE18" s="159"/>
      <c r="BOF18" s="159"/>
      <c r="BOG18" s="159"/>
      <c r="BOH18" s="159"/>
      <c r="BOI18" s="159"/>
      <c r="BOJ18" s="159"/>
      <c r="BOK18" s="159"/>
      <c r="BOL18" s="159"/>
      <c r="BOM18" s="159"/>
      <c r="BON18" s="159"/>
      <c r="BOO18" s="159"/>
      <c r="BOP18" s="159"/>
      <c r="BOQ18" s="159"/>
      <c r="BOR18" s="159"/>
      <c r="BOS18" s="159"/>
      <c r="BOT18" s="159"/>
      <c r="BOU18" s="159"/>
      <c r="BOV18" s="159"/>
      <c r="BOW18" s="159"/>
      <c r="BOX18" s="159"/>
      <c r="BOY18" s="159"/>
      <c r="BOZ18" s="159"/>
      <c r="BPA18" s="159"/>
      <c r="BPB18" s="159"/>
      <c r="BPC18" s="159"/>
      <c r="BPD18" s="159"/>
      <c r="BPE18" s="159"/>
      <c r="BPF18" s="159"/>
      <c r="BPG18" s="159"/>
      <c r="BPH18" s="159"/>
      <c r="BPI18" s="159"/>
      <c r="BPJ18" s="159"/>
      <c r="BPK18" s="159"/>
      <c r="BPL18" s="159"/>
      <c r="BPM18" s="159"/>
      <c r="BPN18" s="159"/>
      <c r="BPO18" s="159"/>
      <c r="BPP18" s="159"/>
      <c r="BPQ18" s="159"/>
      <c r="BPR18" s="159"/>
      <c r="BPS18" s="159"/>
      <c r="BPT18" s="159"/>
      <c r="BPU18" s="159"/>
      <c r="BPV18" s="159"/>
      <c r="BPW18" s="159"/>
      <c r="BPX18" s="159"/>
      <c r="BPY18" s="159"/>
      <c r="BPZ18" s="159"/>
      <c r="BQA18" s="159"/>
      <c r="BQB18" s="159"/>
      <c r="BQC18" s="159"/>
      <c r="BQD18" s="159"/>
      <c r="BQE18" s="159"/>
      <c r="BQF18" s="159"/>
      <c r="BQG18" s="159"/>
      <c r="BQH18" s="159"/>
      <c r="BQI18" s="159"/>
      <c r="BQJ18" s="159"/>
      <c r="BQK18" s="159"/>
      <c r="BQL18" s="159"/>
      <c r="BQM18" s="159"/>
      <c r="BQN18" s="159"/>
      <c r="BQO18" s="159"/>
      <c r="BQP18" s="159"/>
      <c r="BQQ18" s="159"/>
      <c r="BQR18" s="159"/>
      <c r="BQS18" s="159"/>
      <c r="BQT18" s="159"/>
      <c r="BQU18" s="159"/>
      <c r="BQV18" s="159"/>
      <c r="BQW18" s="159"/>
      <c r="BQX18" s="159"/>
      <c r="BQY18" s="159"/>
      <c r="BQZ18" s="159"/>
      <c r="BRA18" s="159"/>
      <c r="BRB18" s="159"/>
      <c r="BRC18" s="159"/>
      <c r="BRD18" s="159"/>
      <c r="BRE18" s="159"/>
      <c r="BRF18" s="159"/>
      <c r="BRG18" s="159"/>
      <c r="BRH18" s="159"/>
      <c r="BRI18" s="159"/>
      <c r="BRJ18" s="159"/>
      <c r="BRK18" s="159"/>
      <c r="BRL18" s="159"/>
      <c r="BRM18" s="159"/>
      <c r="BRN18" s="159"/>
      <c r="BRO18" s="159"/>
      <c r="BRP18" s="159"/>
      <c r="BRQ18" s="159"/>
      <c r="BRR18" s="159"/>
      <c r="BRS18" s="159"/>
      <c r="BRT18" s="159"/>
      <c r="BRU18" s="159"/>
      <c r="BRV18" s="159"/>
      <c r="BRW18" s="159"/>
      <c r="BRX18" s="159"/>
      <c r="BRY18" s="159"/>
      <c r="BRZ18" s="159"/>
      <c r="BSA18" s="159"/>
      <c r="BSB18" s="159"/>
      <c r="BSC18" s="159"/>
      <c r="BSD18" s="159"/>
      <c r="BSE18" s="159"/>
      <c r="BSF18" s="159"/>
      <c r="BSG18" s="159"/>
      <c r="BSH18" s="159"/>
      <c r="BSI18" s="159"/>
      <c r="BSJ18" s="159"/>
      <c r="BSK18" s="159"/>
      <c r="BSL18" s="159"/>
      <c r="BSM18" s="159"/>
      <c r="BSN18" s="159"/>
      <c r="BSO18" s="159"/>
      <c r="BSP18" s="159"/>
      <c r="BSQ18" s="159"/>
      <c r="BSR18" s="159"/>
      <c r="BSS18" s="159"/>
      <c r="BST18" s="159"/>
      <c r="BSU18" s="159"/>
      <c r="BSV18" s="159"/>
      <c r="BSW18" s="159"/>
      <c r="BSX18" s="159"/>
      <c r="BSY18" s="159"/>
      <c r="BSZ18" s="159"/>
      <c r="BTA18" s="159"/>
      <c r="BTB18" s="159"/>
      <c r="BTC18" s="159"/>
      <c r="BTD18" s="159"/>
      <c r="BTE18" s="159"/>
      <c r="BTF18" s="159"/>
      <c r="BTG18" s="159"/>
      <c r="BTH18" s="159"/>
      <c r="BTI18" s="159"/>
      <c r="BTJ18" s="159"/>
      <c r="BTK18" s="159"/>
      <c r="BTL18" s="159"/>
      <c r="BTM18" s="159"/>
      <c r="BTN18" s="159"/>
      <c r="BTO18" s="159"/>
      <c r="BTP18" s="159"/>
      <c r="BTQ18" s="159"/>
      <c r="BTR18" s="159"/>
      <c r="BTS18" s="159"/>
      <c r="BTT18" s="159"/>
      <c r="BTU18" s="159"/>
      <c r="BTV18" s="159"/>
      <c r="BTW18" s="159"/>
      <c r="BTX18" s="159"/>
      <c r="BTY18" s="159"/>
      <c r="BTZ18" s="159"/>
      <c r="BUA18" s="159"/>
      <c r="BUB18" s="159"/>
      <c r="BUC18" s="159"/>
      <c r="BUD18" s="159"/>
      <c r="BUE18" s="159"/>
      <c r="BUF18" s="159"/>
      <c r="BUG18" s="159"/>
      <c r="BUH18" s="159"/>
      <c r="BUI18" s="159"/>
      <c r="BUJ18" s="159"/>
      <c r="BUK18" s="159"/>
      <c r="BUL18" s="159"/>
      <c r="BUM18" s="159"/>
      <c r="BUN18" s="159"/>
      <c r="BUO18" s="159"/>
      <c r="BUP18" s="159"/>
      <c r="BUQ18" s="159"/>
      <c r="BUR18" s="159"/>
      <c r="BUS18" s="159"/>
      <c r="BUT18" s="159"/>
      <c r="BUU18" s="159"/>
      <c r="BUV18" s="159"/>
      <c r="BUW18" s="159"/>
      <c r="BUX18" s="159"/>
      <c r="BUY18" s="159"/>
      <c r="BUZ18" s="159"/>
      <c r="BVA18" s="159"/>
      <c r="BVB18" s="159"/>
      <c r="BVC18" s="159"/>
      <c r="BVD18" s="159"/>
      <c r="BVE18" s="159"/>
      <c r="BVF18" s="159"/>
      <c r="BVG18" s="159"/>
      <c r="BVH18" s="159"/>
      <c r="BVI18" s="159"/>
      <c r="BVJ18" s="159"/>
      <c r="BVK18" s="159"/>
      <c r="BVL18" s="159"/>
      <c r="BVM18" s="159"/>
      <c r="BVN18" s="159"/>
      <c r="BVO18" s="159"/>
      <c r="BVP18" s="159"/>
      <c r="BVQ18" s="159"/>
      <c r="BVR18" s="159"/>
      <c r="BVS18" s="159"/>
      <c r="BVT18" s="159"/>
      <c r="BVU18" s="159"/>
      <c r="BVV18" s="159"/>
      <c r="BVW18" s="159"/>
      <c r="BVX18" s="159"/>
      <c r="BVY18" s="159"/>
      <c r="BVZ18" s="159"/>
      <c r="BWA18" s="159"/>
      <c r="BWB18" s="159"/>
      <c r="BWC18" s="159"/>
      <c r="BWD18" s="159"/>
      <c r="BWE18" s="159"/>
      <c r="BWF18" s="159"/>
      <c r="BWG18" s="159"/>
      <c r="BWH18" s="159"/>
      <c r="BWI18" s="159"/>
      <c r="BWJ18" s="159"/>
      <c r="BWK18" s="159"/>
      <c r="BWL18" s="159"/>
      <c r="BWM18" s="159"/>
      <c r="BWN18" s="159"/>
      <c r="BWO18" s="159"/>
      <c r="BWP18" s="159"/>
      <c r="BWQ18" s="159"/>
      <c r="BWR18" s="159"/>
      <c r="BWS18" s="159"/>
      <c r="BWT18" s="159"/>
      <c r="BWU18" s="159"/>
      <c r="BWV18" s="159"/>
      <c r="BWW18" s="159"/>
      <c r="BWX18" s="159"/>
      <c r="BWY18" s="159"/>
      <c r="BWZ18" s="159"/>
      <c r="BXA18" s="159"/>
      <c r="BXB18" s="159"/>
      <c r="BXC18" s="159"/>
      <c r="BXD18" s="159"/>
      <c r="BXE18" s="159"/>
      <c r="BXF18" s="159"/>
      <c r="BXG18" s="159"/>
      <c r="BXH18" s="159"/>
      <c r="BXI18" s="159"/>
      <c r="BXJ18" s="159"/>
      <c r="BXK18" s="159"/>
      <c r="BXL18" s="159"/>
      <c r="BXM18" s="159"/>
      <c r="BXN18" s="159"/>
      <c r="BXO18" s="159"/>
      <c r="BXP18" s="159"/>
      <c r="BXQ18" s="159"/>
      <c r="BXR18" s="159"/>
      <c r="BXS18" s="159"/>
      <c r="BXT18" s="159"/>
      <c r="BXU18" s="159"/>
      <c r="BXV18" s="159"/>
      <c r="BXW18" s="159"/>
      <c r="BXX18" s="159"/>
      <c r="BXY18" s="159"/>
      <c r="BXZ18" s="159"/>
      <c r="BYA18" s="159"/>
      <c r="BYB18" s="159"/>
      <c r="BYC18" s="159"/>
      <c r="BYD18" s="159"/>
      <c r="BYE18" s="159"/>
      <c r="BYF18" s="159"/>
      <c r="BYG18" s="159"/>
      <c r="BYH18" s="159"/>
      <c r="BYI18" s="159"/>
      <c r="BYJ18" s="159"/>
      <c r="BYK18" s="159"/>
      <c r="BYL18" s="159"/>
      <c r="BYM18" s="159"/>
      <c r="BYN18" s="159"/>
      <c r="BYO18" s="159"/>
      <c r="BYP18" s="159"/>
      <c r="BYQ18" s="159"/>
      <c r="BYR18" s="159"/>
      <c r="BYS18" s="159"/>
      <c r="BYT18" s="159"/>
      <c r="BYU18" s="159"/>
      <c r="BYV18" s="159"/>
      <c r="BYW18" s="159"/>
      <c r="BYX18" s="159"/>
      <c r="BYY18" s="159"/>
      <c r="BYZ18" s="159"/>
      <c r="BZA18" s="159"/>
      <c r="BZB18" s="159"/>
      <c r="BZC18" s="159"/>
      <c r="BZD18" s="159"/>
      <c r="BZE18" s="159"/>
      <c r="BZF18" s="159"/>
      <c r="BZG18" s="159"/>
      <c r="BZH18" s="159"/>
      <c r="BZI18" s="159"/>
      <c r="BZJ18" s="159"/>
      <c r="BZK18" s="159"/>
      <c r="BZL18" s="159"/>
      <c r="BZM18" s="159"/>
      <c r="BZN18" s="159"/>
      <c r="BZO18" s="159"/>
      <c r="BZP18" s="159"/>
      <c r="BZQ18" s="159"/>
      <c r="BZR18" s="159"/>
      <c r="BZS18" s="159"/>
      <c r="BZT18" s="159"/>
      <c r="BZU18" s="159"/>
      <c r="BZV18" s="159"/>
      <c r="BZW18" s="159"/>
      <c r="BZX18" s="159"/>
      <c r="BZY18" s="159"/>
      <c r="BZZ18" s="159"/>
      <c r="CAA18" s="159"/>
      <c r="CAB18" s="159"/>
      <c r="CAC18" s="159"/>
      <c r="CAD18" s="159"/>
      <c r="CAE18" s="159"/>
      <c r="CAF18" s="159"/>
      <c r="CAG18" s="159"/>
      <c r="CAH18" s="159"/>
      <c r="CAI18" s="159"/>
      <c r="CAJ18" s="159"/>
      <c r="CAK18" s="159"/>
      <c r="CAL18" s="159"/>
      <c r="CAM18" s="159"/>
      <c r="CAN18" s="159"/>
      <c r="CAO18" s="159"/>
      <c r="CAP18" s="159"/>
      <c r="CAQ18" s="159"/>
      <c r="CAR18" s="159"/>
      <c r="CAS18" s="159"/>
      <c r="CAT18" s="159"/>
      <c r="CAU18" s="159"/>
      <c r="CAV18" s="159"/>
      <c r="CAW18" s="159"/>
      <c r="CAX18" s="159"/>
      <c r="CAY18" s="159"/>
      <c r="CAZ18" s="159"/>
      <c r="CBA18" s="159"/>
      <c r="CBB18" s="159"/>
      <c r="CBC18" s="159"/>
      <c r="CBD18" s="159"/>
      <c r="CBE18" s="159"/>
      <c r="CBF18" s="159"/>
      <c r="CBG18" s="159"/>
      <c r="CBH18" s="159"/>
      <c r="CBI18" s="159"/>
      <c r="CBJ18" s="159"/>
      <c r="CBK18" s="159"/>
      <c r="CBL18" s="159"/>
      <c r="CBM18" s="159"/>
      <c r="CBN18" s="159"/>
      <c r="CBO18" s="159"/>
      <c r="CBP18" s="159"/>
      <c r="CBQ18" s="159"/>
      <c r="CBR18" s="159"/>
      <c r="CBS18" s="159"/>
      <c r="CBT18" s="159"/>
      <c r="CBU18" s="159"/>
      <c r="CBV18" s="159"/>
      <c r="CBW18" s="159"/>
      <c r="CBX18" s="159"/>
      <c r="CBY18" s="159"/>
      <c r="CBZ18" s="159"/>
      <c r="CCA18" s="159"/>
      <c r="CCB18" s="159"/>
      <c r="CCC18" s="159"/>
      <c r="CCD18" s="159"/>
      <c r="CCE18" s="159"/>
      <c r="CCF18" s="159"/>
      <c r="CCG18" s="159"/>
      <c r="CCH18" s="159"/>
      <c r="CCI18" s="159"/>
      <c r="CCJ18" s="159"/>
      <c r="CCK18" s="159"/>
      <c r="CCL18" s="159"/>
      <c r="CCM18" s="159"/>
      <c r="CCN18" s="159"/>
      <c r="CCO18" s="159"/>
      <c r="CCP18" s="159"/>
      <c r="CCQ18" s="159"/>
      <c r="CCR18" s="159"/>
      <c r="CCS18" s="159"/>
      <c r="CCT18" s="159"/>
      <c r="CCU18" s="159"/>
      <c r="CCV18" s="159"/>
      <c r="CCW18" s="159"/>
      <c r="CCX18" s="159"/>
      <c r="CCY18" s="159"/>
      <c r="CCZ18" s="159"/>
      <c r="CDA18" s="159"/>
      <c r="CDB18" s="159"/>
      <c r="CDC18" s="159"/>
      <c r="CDD18" s="159"/>
      <c r="CDE18" s="159"/>
      <c r="CDF18" s="159"/>
      <c r="CDG18" s="159"/>
      <c r="CDH18" s="159"/>
      <c r="CDI18" s="159"/>
      <c r="CDJ18" s="159"/>
      <c r="CDK18" s="159"/>
      <c r="CDL18" s="159"/>
      <c r="CDM18" s="159"/>
      <c r="CDN18" s="159"/>
      <c r="CDO18" s="159"/>
      <c r="CDP18" s="159"/>
      <c r="CDQ18" s="159"/>
      <c r="CDR18" s="159"/>
      <c r="CDS18" s="159"/>
      <c r="CDT18" s="159"/>
      <c r="CDU18" s="159"/>
      <c r="CDV18" s="159"/>
      <c r="CDW18" s="159"/>
      <c r="CDX18" s="159"/>
      <c r="CDY18" s="159"/>
      <c r="CDZ18" s="159"/>
      <c r="CEA18" s="159"/>
      <c r="CEB18" s="159"/>
      <c r="CEC18" s="159"/>
      <c r="CED18" s="159"/>
      <c r="CEE18" s="159"/>
      <c r="CEF18" s="159"/>
      <c r="CEG18" s="159"/>
      <c r="CEH18" s="159"/>
      <c r="CEI18" s="159"/>
      <c r="CEJ18" s="159"/>
      <c r="CEK18" s="159"/>
      <c r="CEL18" s="159"/>
      <c r="CEM18" s="159"/>
      <c r="CEN18" s="159"/>
      <c r="CEO18" s="159"/>
      <c r="CEP18" s="159"/>
      <c r="CEQ18" s="159"/>
      <c r="CER18" s="159"/>
      <c r="CES18" s="159"/>
      <c r="CET18" s="159"/>
      <c r="CEU18" s="159"/>
      <c r="CEV18" s="159"/>
      <c r="CEW18" s="159"/>
      <c r="CEX18" s="159"/>
      <c r="CEY18" s="159"/>
      <c r="CEZ18" s="159"/>
      <c r="CFA18" s="159"/>
      <c r="CFB18" s="159"/>
      <c r="CFC18" s="159"/>
      <c r="CFD18" s="159"/>
      <c r="CFE18" s="159"/>
      <c r="CFF18" s="159"/>
      <c r="CFG18" s="159"/>
      <c r="CFH18" s="159"/>
      <c r="CFI18" s="159"/>
      <c r="CFJ18" s="159"/>
      <c r="CFK18" s="159"/>
      <c r="CFL18" s="159"/>
      <c r="CFM18" s="159"/>
      <c r="CFN18" s="159"/>
      <c r="CFO18" s="159"/>
      <c r="CFP18" s="159"/>
      <c r="CFQ18" s="159"/>
      <c r="CFR18" s="159"/>
      <c r="CFS18" s="159"/>
      <c r="CFT18" s="159"/>
      <c r="CFU18" s="159"/>
      <c r="CFV18" s="159"/>
      <c r="CFW18" s="159"/>
      <c r="CFX18" s="159"/>
      <c r="CFY18" s="159"/>
      <c r="CFZ18" s="159"/>
      <c r="CGA18" s="159"/>
      <c r="CGB18" s="159"/>
      <c r="CGC18" s="159"/>
      <c r="CGD18" s="159"/>
      <c r="CGE18" s="159"/>
      <c r="CGF18" s="159"/>
      <c r="CGG18" s="159"/>
      <c r="CGH18" s="159"/>
      <c r="CGI18" s="159"/>
      <c r="CGJ18" s="159"/>
      <c r="CGK18" s="159"/>
      <c r="CGL18" s="159"/>
      <c r="CGM18" s="159"/>
      <c r="CGN18" s="159"/>
      <c r="CGO18" s="159"/>
      <c r="CGP18" s="159"/>
      <c r="CGQ18" s="159"/>
      <c r="CGR18" s="159"/>
      <c r="CGS18" s="159"/>
      <c r="CGT18" s="159"/>
      <c r="CGU18" s="159"/>
      <c r="CGV18" s="159"/>
      <c r="CGW18" s="159"/>
      <c r="CGX18" s="159"/>
      <c r="CGY18" s="159"/>
      <c r="CGZ18" s="159"/>
      <c r="CHA18" s="159"/>
      <c r="CHB18" s="159"/>
      <c r="CHC18" s="159"/>
      <c r="CHD18" s="159"/>
      <c r="CHE18" s="159"/>
      <c r="CHF18" s="159"/>
      <c r="CHG18" s="159"/>
      <c r="CHH18" s="159"/>
      <c r="CHI18" s="159"/>
      <c r="CHJ18" s="159"/>
      <c r="CHK18" s="159"/>
      <c r="CHL18" s="159"/>
      <c r="CHM18" s="159"/>
      <c r="CHN18" s="159"/>
      <c r="CHO18" s="159"/>
      <c r="CHP18" s="159"/>
      <c r="CHQ18" s="159"/>
      <c r="CHR18" s="159"/>
      <c r="CHS18" s="159"/>
      <c r="CHT18" s="159"/>
      <c r="CHU18" s="159"/>
      <c r="CHV18" s="159"/>
      <c r="CHW18" s="159"/>
      <c r="CHX18" s="159"/>
      <c r="CHY18" s="159"/>
      <c r="CHZ18" s="159"/>
      <c r="CIA18" s="159"/>
      <c r="CIB18" s="159"/>
      <c r="CIC18" s="159"/>
      <c r="CID18" s="159"/>
      <c r="CIE18" s="159"/>
      <c r="CIF18" s="159"/>
      <c r="CIG18" s="159"/>
      <c r="CIH18" s="159"/>
      <c r="CII18" s="159"/>
      <c r="CIJ18" s="159"/>
      <c r="CIK18" s="159"/>
      <c r="CIL18" s="159"/>
      <c r="CIM18" s="159"/>
      <c r="CIN18" s="159"/>
      <c r="CIO18" s="159"/>
      <c r="CIP18" s="159"/>
      <c r="CIQ18" s="159"/>
      <c r="CIR18" s="159"/>
      <c r="CIS18" s="159"/>
      <c r="CIT18" s="159"/>
      <c r="CIU18" s="159"/>
      <c r="CIV18" s="159"/>
      <c r="CIW18" s="159"/>
      <c r="CIX18" s="159"/>
      <c r="CIY18" s="159"/>
      <c r="CIZ18" s="159"/>
      <c r="CJA18" s="159"/>
      <c r="CJB18" s="159"/>
      <c r="CJC18" s="159"/>
      <c r="CJD18" s="159"/>
      <c r="CJE18" s="159"/>
      <c r="CJF18" s="159"/>
      <c r="CJG18" s="159"/>
      <c r="CJH18" s="159"/>
      <c r="CJI18" s="159"/>
      <c r="CJJ18" s="159"/>
      <c r="CJK18" s="159"/>
      <c r="CJL18" s="159"/>
      <c r="CJM18" s="159"/>
      <c r="CJN18" s="159"/>
      <c r="CJO18" s="159"/>
      <c r="CJP18" s="159"/>
      <c r="CJQ18" s="159"/>
      <c r="CJR18" s="159"/>
      <c r="CJS18" s="159"/>
      <c r="CJT18" s="159"/>
      <c r="CJU18" s="159"/>
      <c r="CJV18" s="159"/>
      <c r="CJW18" s="159"/>
      <c r="CJX18" s="159"/>
      <c r="CJY18" s="159"/>
      <c r="CJZ18" s="159"/>
      <c r="CKA18" s="159"/>
      <c r="CKB18" s="159"/>
      <c r="CKC18" s="159"/>
      <c r="CKD18" s="159"/>
      <c r="CKE18" s="159"/>
      <c r="CKF18" s="159"/>
      <c r="CKG18" s="159"/>
      <c r="CKH18" s="159"/>
      <c r="CKI18" s="159"/>
      <c r="CKJ18" s="159"/>
      <c r="CKK18" s="159"/>
      <c r="CKL18" s="159"/>
      <c r="CKM18" s="159"/>
      <c r="CKN18" s="159"/>
      <c r="CKO18" s="159"/>
      <c r="CKP18" s="159"/>
      <c r="CKQ18" s="159"/>
      <c r="CKR18" s="159"/>
      <c r="CKS18" s="159"/>
      <c r="CKT18" s="159"/>
      <c r="CKU18" s="159"/>
      <c r="CKV18" s="159"/>
      <c r="CKW18" s="159"/>
      <c r="CKX18" s="159"/>
      <c r="CKY18" s="159"/>
      <c r="CKZ18" s="159"/>
      <c r="CLA18" s="159"/>
      <c r="CLB18" s="159"/>
      <c r="CLC18" s="159"/>
      <c r="CLD18" s="159"/>
      <c r="CLE18" s="159"/>
      <c r="CLF18" s="159"/>
      <c r="CLG18" s="159"/>
      <c r="CLH18" s="159"/>
      <c r="CLI18" s="159"/>
      <c r="CLJ18" s="159"/>
      <c r="CLK18" s="159"/>
      <c r="CLL18" s="159"/>
      <c r="CLM18" s="159"/>
      <c r="CLN18" s="159"/>
      <c r="CLO18" s="159"/>
      <c r="CLP18" s="159"/>
      <c r="CLQ18" s="159"/>
      <c r="CLR18" s="159"/>
      <c r="CLS18" s="159"/>
      <c r="CLT18" s="159"/>
      <c r="CLU18" s="159"/>
      <c r="CLV18" s="159"/>
      <c r="CLW18" s="159"/>
      <c r="CLX18" s="159"/>
      <c r="CLY18" s="159"/>
      <c r="CLZ18" s="159"/>
      <c r="CMA18" s="159"/>
      <c r="CMB18" s="159"/>
      <c r="CMC18" s="159"/>
      <c r="CMD18" s="159"/>
      <c r="CME18" s="159"/>
      <c r="CMF18" s="159"/>
      <c r="CMG18" s="159"/>
      <c r="CMH18" s="159"/>
      <c r="CMI18" s="159"/>
      <c r="CMJ18" s="159"/>
      <c r="CMK18" s="159"/>
      <c r="CML18" s="159"/>
      <c r="CMM18" s="159"/>
      <c r="CMN18" s="159"/>
      <c r="CMO18" s="159"/>
      <c r="CMP18" s="159"/>
      <c r="CMQ18" s="159"/>
      <c r="CMR18" s="159"/>
      <c r="CMS18" s="159"/>
      <c r="CMT18" s="159"/>
      <c r="CMU18" s="159"/>
      <c r="CMV18" s="159"/>
      <c r="CMW18" s="159"/>
      <c r="CMX18" s="159"/>
      <c r="CMY18" s="159"/>
      <c r="CMZ18" s="159"/>
      <c r="CNA18" s="159"/>
      <c r="CNB18" s="159"/>
      <c r="CNC18" s="159"/>
      <c r="CND18" s="159"/>
      <c r="CNE18" s="159"/>
      <c r="CNF18" s="159"/>
      <c r="CNG18" s="159"/>
      <c r="CNH18" s="159"/>
      <c r="CNI18" s="159"/>
      <c r="CNJ18" s="159"/>
      <c r="CNK18" s="159"/>
      <c r="CNL18" s="159"/>
      <c r="CNM18" s="159"/>
      <c r="CNN18" s="159"/>
      <c r="CNO18" s="159"/>
      <c r="CNP18" s="159"/>
      <c r="CNQ18" s="159"/>
      <c r="CNR18" s="159"/>
      <c r="CNS18" s="159"/>
      <c r="CNT18" s="159"/>
      <c r="CNU18" s="159"/>
      <c r="CNV18" s="159"/>
      <c r="CNW18" s="159"/>
      <c r="CNX18" s="159"/>
      <c r="CNY18" s="159"/>
      <c r="CNZ18" s="159"/>
      <c r="COA18" s="159"/>
      <c r="COB18" s="159"/>
      <c r="COC18" s="159"/>
      <c r="COD18" s="159"/>
      <c r="COE18" s="159"/>
      <c r="COF18" s="159"/>
      <c r="COG18" s="159"/>
      <c r="COH18" s="159"/>
      <c r="COI18" s="159"/>
      <c r="COJ18" s="159"/>
      <c r="COK18" s="159"/>
      <c r="COL18" s="159"/>
      <c r="COM18" s="159"/>
      <c r="CON18" s="159"/>
      <c r="COO18" s="159"/>
      <c r="COP18" s="159"/>
      <c r="COQ18" s="159"/>
      <c r="COR18" s="159"/>
      <c r="COS18" s="159"/>
      <c r="COT18" s="159"/>
      <c r="COU18" s="159"/>
      <c r="COV18" s="159"/>
      <c r="COW18" s="159"/>
      <c r="COX18" s="159"/>
      <c r="COY18" s="159"/>
      <c r="COZ18" s="159"/>
      <c r="CPA18" s="159"/>
      <c r="CPB18" s="159"/>
      <c r="CPC18" s="159"/>
      <c r="CPD18" s="159"/>
      <c r="CPE18" s="159"/>
      <c r="CPF18" s="159"/>
      <c r="CPG18" s="159"/>
      <c r="CPH18" s="159"/>
      <c r="CPI18" s="159"/>
      <c r="CPJ18" s="159"/>
      <c r="CPK18" s="159"/>
      <c r="CPL18" s="159"/>
      <c r="CPM18" s="159"/>
      <c r="CPN18" s="159"/>
      <c r="CPO18" s="159"/>
      <c r="CPP18" s="159"/>
      <c r="CPQ18" s="159"/>
      <c r="CPR18" s="159"/>
      <c r="CPS18" s="159"/>
      <c r="CPT18" s="159"/>
      <c r="CPU18" s="159"/>
      <c r="CPV18" s="159"/>
      <c r="CPW18" s="159"/>
      <c r="CPX18" s="159"/>
      <c r="CPY18" s="159"/>
      <c r="CPZ18" s="159"/>
      <c r="CQA18" s="159"/>
      <c r="CQB18" s="159"/>
      <c r="CQC18" s="159"/>
      <c r="CQD18" s="159"/>
      <c r="CQE18" s="159"/>
      <c r="CQF18" s="159"/>
      <c r="CQG18" s="159"/>
      <c r="CQH18" s="159"/>
      <c r="CQI18" s="159"/>
      <c r="CQJ18" s="159"/>
      <c r="CQK18" s="159"/>
      <c r="CQL18" s="159"/>
      <c r="CQM18" s="159"/>
      <c r="CQN18" s="159"/>
      <c r="CQO18" s="159"/>
      <c r="CQP18" s="159"/>
      <c r="CQQ18" s="159"/>
      <c r="CQR18" s="159"/>
      <c r="CQS18" s="159"/>
      <c r="CQT18" s="159"/>
      <c r="CQU18" s="159"/>
      <c r="CQV18" s="159"/>
      <c r="CQW18" s="159"/>
      <c r="CQX18" s="159"/>
      <c r="CQY18" s="159"/>
      <c r="CQZ18" s="159"/>
      <c r="CRA18" s="159"/>
      <c r="CRB18" s="159"/>
      <c r="CRC18" s="159"/>
      <c r="CRD18" s="159"/>
      <c r="CRE18" s="159"/>
      <c r="CRF18" s="159"/>
      <c r="CRG18" s="159"/>
      <c r="CRH18" s="159"/>
      <c r="CRI18" s="159"/>
      <c r="CRJ18" s="159"/>
      <c r="CRK18" s="159"/>
      <c r="CRL18" s="159"/>
      <c r="CRM18" s="159"/>
      <c r="CRN18" s="159"/>
      <c r="CRO18" s="159"/>
      <c r="CRP18" s="159"/>
      <c r="CRQ18" s="159"/>
      <c r="CRR18" s="159"/>
      <c r="CRS18" s="159"/>
      <c r="CRT18" s="159"/>
      <c r="CRU18" s="159"/>
      <c r="CRV18" s="159"/>
      <c r="CRW18" s="159"/>
      <c r="CRX18" s="159"/>
      <c r="CRY18" s="159"/>
      <c r="CRZ18" s="159"/>
      <c r="CSA18" s="159"/>
      <c r="CSB18" s="159"/>
      <c r="CSC18" s="159"/>
      <c r="CSD18" s="159"/>
      <c r="CSE18" s="159"/>
      <c r="CSF18" s="159"/>
      <c r="CSG18" s="159"/>
      <c r="CSH18" s="159"/>
      <c r="CSI18" s="159"/>
      <c r="CSJ18" s="159"/>
      <c r="CSK18" s="159"/>
      <c r="CSL18" s="159"/>
      <c r="CSM18" s="159"/>
      <c r="CSN18" s="159"/>
      <c r="CSO18" s="159"/>
      <c r="CSP18" s="159"/>
      <c r="CSQ18" s="159"/>
      <c r="CSR18" s="159"/>
      <c r="CSS18" s="159"/>
      <c r="CST18" s="159"/>
      <c r="CSU18" s="159"/>
      <c r="CSV18" s="159"/>
      <c r="CSW18" s="159"/>
      <c r="CSX18" s="159"/>
      <c r="CSY18" s="159"/>
      <c r="CSZ18" s="159"/>
      <c r="CTA18" s="159"/>
      <c r="CTB18" s="159"/>
      <c r="CTC18" s="159"/>
      <c r="CTD18" s="159"/>
      <c r="CTE18" s="159"/>
      <c r="CTF18" s="159"/>
      <c r="CTG18" s="159"/>
      <c r="CTH18" s="159"/>
      <c r="CTI18" s="159"/>
      <c r="CTJ18" s="159"/>
      <c r="CTK18" s="159"/>
      <c r="CTL18" s="159"/>
      <c r="CTM18" s="159"/>
      <c r="CTN18" s="159"/>
      <c r="CTO18" s="159"/>
      <c r="CTP18" s="159"/>
      <c r="CTQ18" s="159"/>
      <c r="CTR18" s="159"/>
      <c r="CTS18" s="159"/>
      <c r="CTT18" s="159"/>
      <c r="CTU18" s="159"/>
      <c r="CTV18" s="159"/>
      <c r="CTW18" s="159"/>
      <c r="CTX18" s="159"/>
      <c r="CTY18" s="159"/>
      <c r="CTZ18" s="159"/>
      <c r="CUA18" s="159"/>
      <c r="CUB18" s="159"/>
      <c r="CUC18" s="159"/>
      <c r="CUD18" s="159"/>
      <c r="CUE18" s="159"/>
      <c r="CUF18" s="159"/>
      <c r="CUG18" s="159"/>
      <c r="CUH18" s="159"/>
      <c r="CUI18" s="159"/>
      <c r="CUJ18" s="159"/>
      <c r="CUK18" s="159"/>
      <c r="CUL18" s="159"/>
      <c r="CUM18" s="159"/>
      <c r="CUN18" s="159"/>
      <c r="CUO18" s="159"/>
      <c r="CUP18" s="159"/>
      <c r="CUQ18" s="159"/>
      <c r="CUR18" s="159"/>
      <c r="CUS18" s="159"/>
      <c r="CUT18" s="159"/>
      <c r="CUU18" s="159"/>
      <c r="CUV18" s="159"/>
      <c r="CUW18" s="159"/>
      <c r="CUX18" s="159"/>
      <c r="CUY18" s="159"/>
      <c r="CUZ18" s="159"/>
      <c r="CVA18" s="159"/>
      <c r="CVB18" s="159"/>
      <c r="CVC18" s="159"/>
      <c r="CVD18" s="159"/>
      <c r="CVE18" s="159"/>
      <c r="CVF18" s="159"/>
      <c r="CVG18" s="159"/>
      <c r="CVH18" s="159"/>
      <c r="CVI18" s="159"/>
      <c r="CVJ18" s="159"/>
      <c r="CVK18" s="159"/>
      <c r="CVL18" s="159"/>
      <c r="CVM18" s="159"/>
      <c r="CVN18" s="159"/>
      <c r="CVO18" s="159"/>
      <c r="CVP18" s="159"/>
      <c r="CVQ18" s="159"/>
      <c r="CVR18" s="159"/>
      <c r="CVS18" s="159"/>
      <c r="CVT18" s="159"/>
      <c r="CVU18" s="159"/>
      <c r="CVV18" s="159"/>
      <c r="CVW18" s="159"/>
      <c r="CVX18" s="159"/>
      <c r="CVY18" s="159"/>
      <c r="CVZ18" s="159"/>
      <c r="CWA18" s="159"/>
      <c r="CWB18" s="159"/>
      <c r="CWC18" s="159"/>
      <c r="CWD18" s="159"/>
      <c r="CWE18" s="159"/>
      <c r="CWF18" s="159"/>
      <c r="CWG18" s="159"/>
      <c r="CWH18" s="159"/>
      <c r="CWI18" s="159"/>
      <c r="CWJ18" s="159"/>
      <c r="CWK18" s="159"/>
      <c r="CWL18" s="159"/>
      <c r="CWM18" s="159"/>
      <c r="CWN18" s="159"/>
      <c r="CWO18" s="159"/>
      <c r="CWP18" s="159"/>
      <c r="CWQ18" s="159"/>
      <c r="CWR18" s="159"/>
      <c r="CWS18" s="159"/>
      <c r="CWT18" s="159"/>
      <c r="CWU18" s="159"/>
      <c r="CWV18" s="159"/>
      <c r="CWW18" s="159"/>
      <c r="CWX18" s="159"/>
      <c r="CWY18" s="159"/>
      <c r="CWZ18" s="159"/>
      <c r="CXA18" s="159"/>
      <c r="CXB18" s="159"/>
      <c r="CXC18" s="159"/>
      <c r="CXD18" s="159"/>
      <c r="CXE18" s="159"/>
      <c r="CXF18" s="159"/>
      <c r="CXG18" s="159"/>
      <c r="CXH18" s="159"/>
      <c r="CXI18" s="159"/>
      <c r="CXJ18" s="159"/>
      <c r="CXK18" s="159"/>
      <c r="CXL18" s="159"/>
      <c r="CXM18" s="159"/>
      <c r="CXN18" s="159"/>
      <c r="CXO18" s="159"/>
      <c r="CXP18" s="159"/>
      <c r="CXQ18" s="159"/>
      <c r="CXR18" s="159"/>
      <c r="CXS18" s="159"/>
      <c r="CXT18" s="159"/>
      <c r="CXU18" s="159"/>
      <c r="CXV18" s="159"/>
      <c r="CXW18" s="159"/>
      <c r="CXX18" s="159"/>
      <c r="CXY18" s="159"/>
      <c r="CXZ18" s="159"/>
      <c r="CYA18" s="159"/>
      <c r="CYB18" s="159"/>
      <c r="CYC18" s="159"/>
      <c r="CYD18" s="159"/>
      <c r="CYE18" s="159"/>
      <c r="CYF18" s="159"/>
      <c r="CYG18" s="159"/>
      <c r="CYH18" s="159"/>
      <c r="CYI18" s="159"/>
      <c r="CYJ18" s="159"/>
      <c r="CYK18" s="159"/>
      <c r="CYL18" s="159"/>
      <c r="CYM18" s="159"/>
      <c r="CYN18" s="159"/>
      <c r="CYO18" s="159"/>
      <c r="CYP18" s="159"/>
      <c r="CYQ18" s="159"/>
      <c r="CYR18" s="159"/>
      <c r="CYS18" s="159"/>
      <c r="CYT18" s="159"/>
      <c r="CYU18" s="159"/>
      <c r="CYV18" s="159"/>
      <c r="CYW18" s="159"/>
      <c r="CYX18" s="159"/>
      <c r="CYY18" s="159"/>
      <c r="CYZ18" s="159"/>
      <c r="CZA18" s="159"/>
      <c r="CZB18" s="159"/>
      <c r="CZC18" s="159"/>
      <c r="CZD18" s="159"/>
      <c r="CZE18" s="159"/>
      <c r="CZF18" s="159"/>
      <c r="CZG18" s="159"/>
      <c r="CZH18" s="159"/>
      <c r="CZI18" s="159"/>
      <c r="CZJ18" s="159"/>
      <c r="CZK18" s="159"/>
      <c r="CZL18" s="159"/>
      <c r="CZM18" s="159"/>
      <c r="CZN18" s="159"/>
      <c r="CZO18" s="159"/>
      <c r="CZP18" s="159"/>
      <c r="CZQ18" s="159"/>
      <c r="CZR18" s="159"/>
      <c r="CZS18" s="159"/>
      <c r="CZT18" s="159"/>
      <c r="CZU18" s="159"/>
      <c r="CZV18" s="159"/>
      <c r="CZW18" s="159"/>
      <c r="CZX18" s="159"/>
      <c r="CZY18" s="159"/>
      <c r="CZZ18" s="159"/>
      <c r="DAA18" s="159"/>
      <c r="DAB18" s="159"/>
      <c r="DAC18" s="159"/>
      <c r="DAD18" s="159"/>
      <c r="DAE18" s="159"/>
      <c r="DAF18" s="159"/>
      <c r="DAG18" s="159"/>
      <c r="DAH18" s="159"/>
      <c r="DAI18" s="159"/>
      <c r="DAJ18" s="159"/>
      <c r="DAK18" s="159"/>
      <c r="DAL18" s="159"/>
      <c r="DAM18" s="159"/>
      <c r="DAN18" s="159"/>
      <c r="DAO18" s="159"/>
      <c r="DAP18" s="159"/>
      <c r="DAQ18" s="159"/>
      <c r="DAR18" s="159"/>
      <c r="DAS18" s="159"/>
      <c r="DAT18" s="159"/>
      <c r="DAU18" s="159"/>
      <c r="DAV18" s="159"/>
      <c r="DAW18" s="159"/>
      <c r="DAX18" s="159"/>
      <c r="DAY18" s="159"/>
      <c r="DAZ18" s="159"/>
      <c r="DBA18" s="159"/>
      <c r="DBB18" s="159"/>
      <c r="DBC18" s="159"/>
      <c r="DBD18" s="159"/>
      <c r="DBE18" s="159"/>
      <c r="DBF18" s="159"/>
      <c r="DBG18" s="159"/>
      <c r="DBH18" s="159"/>
      <c r="DBI18" s="159"/>
      <c r="DBJ18" s="159"/>
      <c r="DBK18" s="159"/>
      <c r="DBL18" s="159"/>
      <c r="DBM18" s="159"/>
      <c r="DBN18" s="159"/>
      <c r="DBO18" s="159"/>
      <c r="DBP18" s="159"/>
      <c r="DBQ18" s="159"/>
      <c r="DBR18" s="159"/>
      <c r="DBS18" s="159"/>
      <c r="DBT18" s="159"/>
      <c r="DBU18" s="159"/>
      <c r="DBV18" s="159"/>
      <c r="DBW18" s="159"/>
      <c r="DBX18" s="159"/>
      <c r="DBY18" s="159"/>
      <c r="DBZ18" s="159"/>
      <c r="DCA18" s="159"/>
      <c r="DCB18" s="159"/>
      <c r="DCC18" s="159"/>
      <c r="DCD18" s="159"/>
      <c r="DCE18" s="159"/>
      <c r="DCF18" s="159"/>
      <c r="DCG18" s="159"/>
      <c r="DCH18" s="159"/>
      <c r="DCI18" s="159"/>
      <c r="DCJ18" s="159"/>
      <c r="DCK18" s="159"/>
      <c r="DCL18" s="159"/>
      <c r="DCM18" s="159"/>
      <c r="DCN18" s="159"/>
      <c r="DCO18" s="159"/>
      <c r="DCP18" s="159"/>
      <c r="DCQ18" s="159"/>
      <c r="DCR18" s="159"/>
      <c r="DCS18" s="159"/>
      <c r="DCT18" s="159"/>
      <c r="DCU18" s="159"/>
      <c r="DCV18" s="159"/>
      <c r="DCW18" s="159"/>
      <c r="DCX18" s="159"/>
      <c r="DCY18" s="159"/>
      <c r="DCZ18" s="159"/>
      <c r="DDA18" s="159"/>
      <c r="DDB18" s="159"/>
      <c r="DDC18" s="159"/>
      <c r="DDD18" s="159"/>
      <c r="DDE18" s="159"/>
      <c r="DDF18" s="159"/>
      <c r="DDG18" s="159"/>
      <c r="DDH18" s="159"/>
      <c r="DDI18" s="159"/>
      <c r="DDJ18" s="159"/>
      <c r="DDK18" s="159"/>
      <c r="DDL18" s="159"/>
      <c r="DDM18" s="159"/>
      <c r="DDN18" s="159"/>
      <c r="DDO18" s="159"/>
      <c r="DDP18" s="159"/>
      <c r="DDQ18" s="159"/>
      <c r="DDR18" s="159"/>
      <c r="DDS18" s="159"/>
      <c r="DDT18" s="159"/>
      <c r="DDU18" s="159"/>
      <c r="DDV18" s="159"/>
      <c r="DDW18" s="159"/>
      <c r="DDX18" s="159"/>
      <c r="DDY18" s="159"/>
      <c r="DDZ18" s="159"/>
      <c r="DEA18" s="159"/>
      <c r="DEB18" s="159"/>
      <c r="DEC18" s="159"/>
      <c r="DED18" s="159"/>
      <c r="DEE18" s="159"/>
      <c r="DEF18" s="159"/>
      <c r="DEG18" s="159"/>
      <c r="DEH18" s="159"/>
      <c r="DEI18" s="159"/>
      <c r="DEJ18" s="159"/>
      <c r="DEK18" s="159"/>
      <c r="DEL18" s="159"/>
      <c r="DEM18" s="159"/>
      <c r="DEN18" s="159"/>
      <c r="DEO18" s="159"/>
      <c r="DEP18" s="159"/>
      <c r="DEQ18" s="159"/>
      <c r="DER18" s="159"/>
      <c r="DES18" s="159"/>
      <c r="DET18" s="159"/>
      <c r="DEU18" s="159"/>
      <c r="DEV18" s="159"/>
      <c r="DEW18" s="159"/>
      <c r="DEX18" s="159"/>
      <c r="DEY18" s="159"/>
      <c r="DEZ18" s="159"/>
      <c r="DFA18" s="159"/>
      <c r="DFB18" s="159"/>
      <c r="DFC18" s="159"/>
      <c r="DFD18" s="159"/>
      <c r="DFE18" s="159"/>
      <c r="DFF18" s="159"/>
      <c r="DFG18" s="159"/>
      <c r="DFH18" s="159"/>
      <c r="DFI18" s="159"/>
      <c r="DFJ18" s="159"/>
      <c r="DFK18" s="159"/>
      <c r="DFL18" s="159"/>
      <c r="DFM18" s="159"/>
      <c r="DFN18" s="159"/>
      <c r="DFO18" s="159"/>
      <c r="DFP18" s="159"/>
      <c r="DFQ18" s="159"/>
      <c r="DFR18" s="159"/>
      <c r="DFS18" s="159"/>
      <c r="DFT18" s="159"/>
      <c r="DFU18" s="159"/>
      <c r="DFV18" s="159"/>
      <c r="DFW18" s="159"/>
      <c r="DFX18" s="159"/>
      <c r="DFY18" s="159"/>
      <c r="DFZ18" s="159"/>
      <c r="DGA18" s="159"/>
      <c r="DGB18" s="159"/>
      <c r="DGC18" s="159"/>
      <c r="DGD18" s="159"/>
      <c r="DGE18" s="159"/>
      <c r="DGF18" s="159"/>
      <c r="DGG18" s="159"/>
      <c r="DGH18" s="159"/>
      <c r="DGI18" s="159"/>
      <c r="DGJ18" s="159"/>
      <c r="DGK18" s="159"/>
      <c r="DGL18" s="159"/>
      <c r="DGM18" s="159"/>
      <c r="DGN18" s="159"/>
      <c r="DGO18" s="159"/>
      <c r="DGP18" s="159"/>
      <c r="DGQ18" s="159"/>
      <c r="DGR18" s="159"/>
      <c r="DGS18" s="159"/>
      <c r="DGT18" s="159"/>
      <c r="DGU18" s="159"/>
      <c r="DGV18" s="159"/>
      <c r="DGW18" s="159"/>
      <c r="DGX18" s="159"/>
      <c r="DGY18" s="159"/>
      <c r="DGZ18" s="159"/>
      <c r="DHA18" s="159"/>
      <c r="DHB18" s="159"/>
      <c r="DHC18" s="159"/>
      <c r="DHD18" s="159"/>
      <c r="DHE18" s="159"/>
      <c r="DHF18" s="159"/>
      <c r="DHG18" s="159"/>
      <c r="DHH18" s="159"/>
      <c r="DHI18" s="159"/>
      <c r="DHJ18" s="159"/>
      <c r="DHK18" s="159"/>
      <c r="DHL18" s="159"/>
      <c r="DHM18" s="159"/>
      <c r="DHN18" s="159"/>
      <c r="DHO18" s="159"/>
      <c r="DHP18" s="159"/>
      <c r="DHQ18" s="159"/>
      <c r="DHR18" s="159"/>
      <c r="DHS18" s="159"/>
      <c r="DHT18" s="159"/>
      <c r="DHU18" s="159"/>
      <c r="DHV18" s="159"/>
      <c r="DHW18" s="159"/>
      <c r="DHX18" s="159"/>
      <c r="DHY18" s="159"/>
      <c r="DHZ18" s="159"/>
      <c r="DIA18" s="159"/>
      <c r="DIB18" s="159"/>
      <c r="DIC18" s="159"/>
      <c r="DID18" s="159"/>
      <c r="DIE18" s="159"/>
      <c r="DIF18" s="159"/>
      <c r="DIG18" s="159"/>
      <c r="DIH18" s="159"/>
      <c r="DII18" s="159"/>
      <c r="DIJ18" s="159"/>
      <c r="DIK18" s="159"/>
      <c r="DIL18" s="159"/>
      <c r="DIM18" s="159"/>
      <c r="DIN18" s="159"/>
      <c r="DIO18" s="159"/>
      <c r="DIP18" s="159"/>
      <c r="DIQ18" s="159"/>
      <c r="DIR18" s="159"/>
      <c r="DIS18" s="159"/>
      <c r="DIT18" s="159"/>
      <c r="DIU18" s="159"/>
      <c r="DIV18" s="159"/>
      <c r="DIW18" s="159"/>
      <c r="DIX18" s="159"/>
      <c r="DIY18" s="159"/>
      <c r="DIZ18" s="159"/>
      <c r="DJA18" s="159"/>
      <c r="DJB18" s="159"/>
      <c r="DJC18" s="159"/>
      <c r="DJD18" s="159"/>
      <c r="DJE18" s="159"/>
      <c r="DJF18" s="159"/>
      <c r="DJG18" s="159"/>
      <c r="DJH18" s="159"/>
      <c r="DJI18" s="159"/>
      <c r="DJJ18" s="159"/>
      <c r="DJK18" s="159"/>
      <c r="DJL18" s="159"/>
      <c r="DJM18" s="159"/>
      <c r="DJN18" s="159"/>
      <c r="DJO18" s="159"/>
      <c r="DJP18" s="159"/>
      <c r="DJQ18" s="159"/>
      <c r="DJR18" s="159"/>
      <c r="DJS18" s="159"/>
      <c r="DJT18" s="159"/>
      <c r="DJU18" s="159"/>
      <c r="DJV18" s="159"/>
      <c r="DJW18" s="159"/>
      <c r="DJX18" s="159"/>
      <c r="DJY18" s="159"/>
      <c r="DJZ18" s="159"/>
      <c r="DKA18" s="159"/>
      <c r="DKB18" s="159"/>
      <c r="DKC18" s="159"/>
      <c r="DKD18" s="159"/>
      <c r="DKE18" s="159"/>
      <c r="DKF18" s="159"/>
      <c r="DKG18" s="159"/>
      <c r="DKH18" s="159"/>
      <c r="DKI18" s="159"/>
      <c r="DKJ18" s="159"/>
      <c r="DKK18" s="159"/>
      <c r="DKL18" s="159"/>
      <c r="DKM18" s="159"/>
      <c r="DKN18" s="159"/>
      <c r="DKO18" s="159"/>
      <c r="DKP18" s="159"/>
      <c r="DKQ18" s="159"/>
      <c r="DKR18" s="159"/>
      <c r="DKS18" s="159"/>
      <c r="DKT18" s="159"/>
      <c r="DKU18" s="159"/>
      <c r="DKV18" s="159"/>
      <c r="DKW18" s="159"/>
      <c r="DKX18" s="159"/>
      <c r="DKY18" s="159"/>
      <c r="DKZ18" s="159"/>
      <c r="DLA18" s="159"/>
      <c r="DLB18" s="159"/>
      <c r="DLC18" s="159"/>
      <c r="DLD18" s="159"/>
      <c r="DLE18" s="159"/>
      <c r="DLF18" s="159"/>
      <c r="DLG18" s="159"/>
      <c r="DLH18" s="159"/>
      <c r="DLI18" s="159"/>
      <c r="DLJ18" s="159"/>
      <c r="DLK18" s="159"/>
      <c r="DLL18" s="159"/>
      <c r="DLM18" s="159"/>
      <c r="DLN18" s="159"/>
      <c r="DLO18" s="159"/>
      <c r="DLP18" s="159"/>
      <c r="DLQ18" s="159"/>
      <c r="DLR18" s="159"/>
      <c r="DLS18" s="159"/>
      <c r="DLT18" s="159"/>
      <c r="DLU18" s="159"/>
      <c r="DLV18" s="159"/>
      <c r="DLW18" s="159"/>
      <c r="DLX18" s="159"/>
      <c r="DLY18" s="159"/>
      <c r="DLZ18" s="159"/>
      <c r="DMA18" s="159"/>
      <c r="DMB18" s="159"/>
      <c r="DMC18" s="159"/>
      <c r="DMD18" s="159"/>
      <c r="DME18" s="159"/>
      <c r="DMF18" s="159"/>
      <c r="DMG18" s="159"/>
      <c r="DMH18" s="159"/>
      <c r="DMI18" s="159"/>
      <c r="DMJ18" s="159"/>
      <c r="DMK18" s="159"/>
      <c r="DML18" s="159"/>
      <c r="DMM18" s="159"/>
      <c r="DMN18" s="159"/>
      <c r="DMO18" s="159"/>
      <c r="DMP18" s="159"/>
      <c r="DMQ18" s="159"/>
      <c r="DMR18" s="159"/>
      <c r="DMS18" s="159"/>
      <c r="DMT18" s="159"/>
      <c r="DMU18" s="159"/>
      <c r="DMV18" s="159"/>
      <c r="DMW18" s="159"/>
      <c r="DMX18" s="159"/>
      <c r="DMY18" s="159"/>
      <c r="DMZ18" s="159"/>
      <c r="DNA18" s="159"/>
      <c r="DNB18" s="159"/>
      <c r="DNC18" s="159"/>
      <c r="DND18" s="159"/>
      <c r="DNE18" s="159"/>
      <c r="DNF18" s="159"/>
      <c r="DNG18" s="159"/>
      <c r="DNH18" s="159"/>
      <c r="DNI18" s="159"/>
      <c r="DNJ18" s="159"/>
      <c r="DNK18" s="159"/>
      <c r="DNL18" s="159"/>
      <c r="DNM18" s="159"/>
      <c r="DNN18" s="159"/>
      <c r="DNO18" s="159"/>
      <c r="DNP18" s="159"/>
      <c r="DNQ18" s="159"/>
      <c r="DNR18" s="159"/>
      <c r="DNS18" s="159"/>
      <c r="DNT18" s="159"/>
      <c r="DNU18" s="159"/>
      <c r="DNV18" s="159"/>
      <c r="DNW18" s="159"/>
      <c r="DNX18" s="159"/>
      <c r="DNY18" s="159"/>
      <c r="DNZ18" s="159"/>
      <c r="DOA18" s="159"/>
      <c r="DOB18" s="159"/>
      <c r="DOC18" s="159"/>
      <c r="DOD18" s="159"/>
      <c r="DOE18" s="159"/>
      <c r="DOF18" s="159"/>
      <c r="DOG18" s="159"/>
      <c r="DOH18" s="159"/>
      <c r="DOI18" s="159"/>
      <c r="DOJ18" s="159"/>
      <c r="DOK18" s="159"/>
      <c r="DOL18" s="159"/>
      <c r="DOM18" s="159"/>
      <c r="DON18" s="159"/>
      <c r="DOO18" s="159"/>
      <c r="DOP18" s="159"/>
      <c r="DOQ18" s="159"/>
      <c r="DOR18" s="159"/>
      <c r="DOS18" s="159"/>
      <c r="DOT18" s="159"/>
      <c r="DOU18" s="159"/>
      <c r="DOV18" s="159"/>
      <c r="DOW18" s="159"/>
      <c r="DOX18" s="159"/>
      <c r="DOY18" s="159"/>
      <c r="DOZ18" s="159"/>
      <c r="DPA18" s="159"/>
      <c r="DPB18" s="159"/>
      <c r="DPC18" s="159"/>
      <c r="DPD18" s="159"/>
      <c r="DPE18" s="159"/>
      <c r="DPF18" s="159"/>
      <c r="DPG18" s="159"/>
      <c r="DPH18" s="159"/>
      <c r="DPI18" s="159"/>
      <c r="DPJ18" s="159"/>
      <c r="DPK18" s="159"/>
      <c r="DPL18" s="159"/>
      <c r="DPM18" s="159"/>
      <c r="DPN18" s="159"/>
      <c r="DPO18" s="159"/>
      <c r="DPP18" s="159"/>
      <c r="DPQ18" s="159"/>
      <c r="DPR18" s="159"/>
      <c r="DPS18" s="159"/>
      <c r="DPT18" s="159"/>
      <c r="DPU18" s="159"/>
      <c r="DPV18" s="159"/>
      <c r="DPW18" s="159"/>
      <c r="DPX18" s="159"/>
      <c r="DPY18" s="159"/>
      <c r="DPZ18" s="159"/>
      <c r="DQA18" s="159"/>
      <c r="DQB18" s="159"/>
      <c r="DQC18" s="159"/>
      <c r="DQD18" s="159"/>
      <c r="DQE18" s="159"/>
      <c r="DQF18" s="159"/>
      <c r="DQG18" s="159"/>
      <c r="DQH18" s="159"/>
      <c r="DQI18" s="159"/>
      <c r="DQJ18" s="159"/>
      <c r="DQK18" s="159"/>
      <c r="DQL18" s="159"/>
      <c r="DQM18" s="159"/>
      <c r="DQN18" s="159"/>
      <c r="DQO18" s="159"/>
      <c r="DQP18" s="159"/>
      <c r="DQQ18" s="159"/>
      <c r="DQR18" s="159"/>
      <c r="DQS18" s="159"/>
      <c r="DQT18" s="159"/>
      <c r="DQU18" s="159"/>
      <c r="DQV18" s="159"/>
      <c r="DQW18" s="159"/>
      <c r="DQX18" s="159"/>
      <c r="DQY18" s="159"/>
      <c r="DQZ18" s="159"/>
      <c r="DRA18" s="159"/>
      <c r="DRB18" s="159"/>
      <c r="DRC18" s="159"/>
      <c r="DRD18" s="159"/>
      <c r="DRE18" s="159"/>
      <c r="DRF18" s="159"/>
      <c r="DRG18" s="159"/>
      <c r="DRH18" s="159"/>
      <c r="DRI18" s="159"/>
      <c r="DRJ18" s="159"/>
      <c r="DRK18" s="159"/>
      <c r="DRL18" s="159"/>
      <c r="DRM18" s="159"/>
      <c r="DRN18" s="159"/>
      <c r="DRO18" s="159"/>
      <c r="DRP18" s="159"/>
      <c r="DRQ18" s="159"/>
      <c r="DRR18" s="159"/>
      <c r="DRS18" s="159"/>
      <c r="DRT18" s="159"/>
      <c r="DRU18" s="159"/>
      <c r="DRV18" s="159"/>
      <c r="DRW18" s="159"/>
      <c r="DRX18" s="159"/>
      <c r="DRY18" s="159"/>
      <c r="DRZ18" s="159"/>
      <c r="DSA18" s="159"/>
      <c r="DSB18" s="159"/>
      <c r="DSC18" s="159"/>
      <c r="DSD18" s="159"/>
      <c r="DSE18" s="159"/>
      <c r="DSF18" s="159"/>
      <c r="DSG18" s="159"/>
      <c r="DSH18" s="159"/>
      <c r="DSI18" s="159"/>
      <c r="DSJ18" s="159"/>
      <c r="DSK18" s="159"/>
      <c r="DSL18" s="159"/>
      <c r="DSM18" s="159"/>
      <c r="DSN18" s="159"/>
      <c r="DSO18" s="159"/>
      <c r="DSP18" s="159"/>
      <c r="DSQ18" s="159"/>
      <c r="DSR18" s="159"/>
      <c r="DSS18" s="159"/>
      <c r="DST18" s="159"/>
      <c r="DSU18" s="159"/>
      <c r="DSV18" s="159"/>
      <c r="DSW18" s="159"/>
      <c r="DSX18" s="159"/>
      <c r="DSY18" s="159"/>
      <c r="DSZ18" s="159"/>
      <c r="DTA18" s="159"/>
      <c r="DTB18" s="159"/>
      <c r="DTC18" s="159"/>
      <c r="DTD18" s="159"/>
      <c r="DTE18" s="159"/>
      <c r="DTF18" s="159"/>
      <c r="DTG18" s="159"/>
      <c r="DTH18" s="159"/>
      <c r="DTI18" s="159"/>
      <c r="DTJ18" s="159"/>
      <c r="DTK18" s="159"/>
      <c r="DTL18" s="159"/>
      <c r="DTM18" s="159"/>
      <c r="DTN18" s="159"/>
      <c r="DTO18" s="159"/>
      <c r="DTP18" s="159"/>
      <c r="DTQ18" s="159"/>
      <c r="DTR18" s="159"/>
      <c r="DTS18" s="159"/>
      <c r="DTT18" s="159"/>
      <c r="DTU18" s="159"/>
      <c r="DTV18" s="159"/>
      <c r="DTW18" s="159"/>
      <c r="DTX18" s="159"/>
      <c r="DTY18" s="159"/>
      <c r="DTZ18" s="159"/>
      <c r="DUA18" s="159"/>
      <c r="DUB18" s="159"/>
      <c r="DUC18" s="159"/>
      <c r="DUD18" s="159"/>
      <c r="DUE18" s="159"/>
      <c r="DUF18" s="159"/>
      <c r="DUG18" s="159"/>
      <c r="DUH18" s="159"/>
      <c r="DUI18" s="159"/>
      <c r="DUJ18" s="159"/>
      <c r="DUK18" s="159"/>
      <c r="DUL18" s="159"/>
      <c r="DUM18" s="159"/>
      <c r="DUN18" s="159"/>
      <c r="DUO18" s="159"/>
      <c r="DUP18" s="159"/>
      <c r="DUQ18" s="159"/>
      <c r="DUR18" s="159"/>
      <c r="DUS18" s="159"/>
      <c r="DUT18" s="159"/>
      <c r="DUU18" s="159"/>
      <c r="DUV18" s="159"/>
      <c r="DUW18" s="159"/>
      <c r="DUX18" s="159"/>
      <c r="DUY18" s="159"/>
      <c r="DUZ18" s="159"/>
      <c r="DVA18" s="159"/>
      <c r="DVB18" s="159"/>
      <c r="DVC18" s="159"/>
      <c r="DVD18" s="159"/>
      <c r="DVE18" s="159"/>
      <c r="DVF18" s="159"/>
      <c r="DVG18" s="159"/>
      <c r="DVH18" s="159"/>
      <c r="DVI18" s="159"/>
      <c r="DVJ18" s="159"/>
      <c r="DVK18" s="159"/>
      <c r="DVL18" s="159"/>
      <c r="DVM18" s="159"/>
      <c r="DVN18" s="159"/>
      <c r="DVO18" s="159"/>
      <c r="DVP18" s="159"/>
      <c r="DVQ18" s="159"/>
      <c r="DVR18" s="159"/>
      <c r="DVS18" s="159"/>
      <c r="DVT18" s="159"/>
      <c r="DVU18" s="159"/>
      <c r="DVV18" s="159"/>
      <c r="DVW18" s="159"/>
      <c r="DVX18" s="159"/>
      <c r="DVY18" s="159"/>
      <c r="DVZ18" s="159"/>
      <c r="DWA18" s="159"/>
      <c r="DWB18" s="159"/>
      <c r="DWC18" s="159"/>
      <c r="DWD18" s="159"/>
      <c r="DWE18" s="159"/>
      <c r="DWF18" s="159"/>
      <c r="DWG18" s="159"/>
      <c r="DWH18" s="159"/>
      <c r="DWI18" s="159"/>
      <c r="DWJ18" s="159"/>
      <c r="DWK18" s="159"/>
      <c r="DWL18" s="159"/>
      <c r="DWM18" s="159"/>
      <c r="DWN18" s="159"/>
      <c r="DWO18" s="159"/>
      <c r="DWP18" s="159"/>
      <c r="DWQ18" s="159"/>
      <c r="DWR18" s="159"/>
      <c r="DWS18" s="159"/>
      <c r="DWT18" s="159"/>
      <c r="DWU18" s="159"/>
      <c r="DWV18" s="159"/>
      <c r="DWW18" s="159"/>
      <c r="DWX18" s="159"/>
      <c r="DWY18" s="159"/>
      <c r="DWZ18" s="159"/>
      <c r="DXA18" s="159"/>
      <c r="DXB18" s="159"/>
      <c r="DXC18" s="159"/>
      <c r="DXD18" s="159"/>
      <c r="DXE18" s="159"/>
      <c r="DXF18" s="159"/>
      <c r="DXG18" s="159"/>
      <c r="DXH18" s="159"/>
      <c r="DXI18" s="159"/>
      <c r="DXJ18" s="159"/>
      <c r="DXK18" s="159"/>
      <c r="DXL18" s="159"/>
      <c r="DXM18" s="159"/>
      <c r="DXN18" s="159"/>
      <c r="DXO18" s="159"/>
      <c r="DXP18" s="159"/>
      <c r="DXQ18" s="159"/>
      <c r="DXR18" s="159"/>
      <c r="DXS18" s="159"/>
      <c r="DXT18" s="159"/>
      <c r="DXU18" s="159"/>
      <c r="DXV18" s="159"/>
      <c r="DXW18" s="159"/>
      <c r="DXX18" s="159"/>
      <c r="DXY18" s="159"/>
      <c r="DXZ18" s="159"/>
      <c r="DYA18" s="159"/>
      <c r="DYB18" s="159"/>
      <c r="DYC18" s="159"/>
      <c r="DYD18" s="159"/>
      <c r="DYE18" s="159"/>
      <c r="DYF18" s="159"/>
      <c r="DYG18" s="159"/>
      <c r="DYH18" s="159"/>
      <c r="DYI18" s="159"/>
      <c r="DYJ18" s="159"/>
      <c r="DYK18" s="159"/>
      <c r="DYL18" s="159"/>
      <c r="DYM18" s="159"/>
      <c r="DYN18" s="159"/>
      <c r="DYO18" s="159"/>
      <c r="DYP18" s="159"/>
      <c r="DYQ18" s="159"/>
      <c r="DYR18" s="159"/>
      <c r="DYS18" s="159"/>
      <c r="DYT18" s="159"/>
      <c r="DYU18" s="159"/>
      <c r="DYV18" s="159"/>
      <c r="DYW18" s="159"/>
      <c r="DYX18" s="159"/>
      <c r="DYY18" s="159"/>
      <c r="DYZ18" s="159"/>
      <c r="DZA18" s="159"/>
      <c r="DZB18" s="159"/>
      <c r="DZC18" s="159"/>
      <c r="DZD18" s="159"/>
      <c r="DZE18" s="159"/>
      <c r="DZF18" s="159"/>
      <c r="DZG18" s="159"/>
      <c r="DZH18" s="159"/>
      <c r="DZI18" s="159"/>
      <c r="DZJ18" s="159"/>
      <c r="DZK18" s="159"/>
      <c r="DZL18" s="159"/>
      <c r="DZM18" s="159"/>
      <c r="DZN18" s="159"/>
      <c r="DZO18" s="159"/>
      <c r="DZP18" s="159"/>
      <c r="DZQ18" s="159"/>
      <c r="DZR18" s="159"/>
      <c r="DZS18" s="159"/>
      <c r="DZT18" s="159"/>
      <c r="DZU18" s="159"/>
      <c r="DZV18" s="159"/>
      <c r="DZW18" s="159"/>
      <c r="DZX18" s="159"/>
      <c r="DZY18" s="159"/>
      <c r="DZZ18" s="159"/>
      <c r="EAA18" s="159"/>
      <c r="EAB18" s="159"/>
      <c r="EAC18" s="159"/>
      <c r="EAD18" s="159"/>
      <c r="EAE18" s="159"/>
      <c r="EAF18" s="159"/>
      <c r="EAG18" s="159"/>
      <c r="EAH18" s="159"/>
      <c r="EAI18" s="159"/>
      <c r="EAJ18" s="159"/>
      <c r="EAK18" s="159"/>
      <c r="EAL18" s="159"/>
      <c r="EAM18" s="159"/>
      <c r="EAN18" s="159"/>
      <c r="EAO18" s="159"/>
      <c r="EAP18" s="159"/>
      <c r="EAQ18" s="159"/>
      <c r="EAR18" s="159"/>
      <c r="EAS18" s="159"/>
      <c r="EAT18" s="159"/>
      <c r="EAU18" s="159"/>
      <c r="EAV18" s="159"/>
      <c r="EAW18" s="159"/>
      <c r="EAX18" s="159"/>
      <c r="EAY18" s="159"/>
      <c r="EAZ18" s="159"/>
      <c r="EBA18" s="159"/>
      <c r="EBB18" s="159"/>
      <c r="EBC18" s="159"/>
      <c r="EBD18" s="159"/>
      <c r="EBE18" s="159"/>
      <c r="EBF18" s="159"/>
      <c r="EBG18" s="159"/>
      <c r="EBH18" s="159"/>
      <c r="EBI18" s="159"/>
      <c r="EBJ18" s="159"/>
      <c r="EBK18" s="159"/>
      <c r="EBL18" s="159"/>
      <c r="EBM18" s="159"/>
      <c r="EBN18" s="159"/>
      <c r="EBO18" s="159"/>
      <c r="EBP18" s="159"/>
      <c r="EBQ18" s="159"/>
      <c r="EBR18" s="159"/>
      <c r="EBS18" s="159"/>
      <c r="EBT18" s="159"/>
      <c r="EBU18" s="159"/>
      <c r="EBV18" s="159"/>
      <c r="EBW18" s="159"/>
      <c r="EBX18" s="159"/>
      <c r="EBY18" s="159"/>
      <c r="EBZ18" s="159"/>
      <c r="ECA18" s="159"/>
      <c r="ECB18" s="159"/>
      <c r="ECC18" s="159"/>
      <c r="ECD18" s="159"/>
      <c r="ECE18" s="159"/>
      <c r="ECF18" s="159"/>
      <c r="ECG18" s="159"/>
      <c r="ECH18" s="159"/>
      <c r="ECI18" s="159"/>
      <c r="ECJ18" s="159"/>
      <c r="ECK18" s="159"/>
      <c r="ECL18" s="159"/>
      <c r="ECM18" s="159"/>
      <c r="ECN18" s="159"/>
      <c r="ECO18" s="159"/>
      <c r="ECP18" s="159"/>
      <c r="ECQ18" s="159"/>
      <c r="ECR18" s="159"/>
      <c r="ECS18" s="159"/>
      <c r="ECT18" s="159"/>
      <c r="ECU18" s="159"/>
      <c r="ECV18" s="159"/>
      <c r="ECW18" s="159"/>
      <c r="ECX18" s="159"/>
      <c r="ECY18" s="159"/>
      <c r="ECZ18" s="159"/>
      <c r="EDA18" s="159"/>
      <c r="EDB18" s="159"/>
      <c r="EDC18" s="159"/>
      <c r="EDD18" s="159"/>
      <c r="EDE18" s="159"/>
      <c r="EDF18" s="159"/>
      <c r="EDG18" s="159"/>
      <c r="EDH18" s="159"/>
      <c r="EDI18" s="159"/>
      <c r="EDJ18" s="159"/>
      <c r="EDK18" s="159"/>
      <c r="EDL18" s="159"/>
      <c r="EDM18" s="159"/>
      <c r="EDN18" s="159"/>
      <c r="EDO18" s="159"/>
      <c r="EDP18" s="159"/>
      <c r="EDQ18" s="159"/>
      <c r="EDR18" s="159"/>
      <c r="EDS18" s="159"/>
      <c r="EDT18" s="159"/>
      <c r="EDU18" s="159"/>
      <c r="EDV18" s="159"/>
      <c r="EDW18" s="159"/>
      <c r="EDX18" s="159"/>
      <c r="EDY18" s="159"/>
      <c r="EDZ18" s="159"/>
      <c r="EEA18" s="159"/>
      <c r="EEB18" s="159"/>
      <c r="EEC18" s="159"/>
      <c r="EED18" s="159"/>
      <c r="EEE18" s="159"/>
      <c r="EEF18" s="159"/>
      <c r="EEG18" s="159"/>
      <c r="EEH18" s="159"/>
      <c r="EEI18" s="159"/>
      <c r="EEJ18" s="159"/>
      <c r="EEK18" s="159"/>
      <c r="EEL18" s="159"/>
      <c r="EEM18" s="159"/>
      <c r="EEN18" s="159"/>
      <c r="EEO18" s="159"/>
      <c r="EEP18" s="159"/>
      <c r="EEQ18" s="159"/>
      <c r="EER18" s="159"/>
      <c r="EES18" s="159"/>
      <c r="EET18" s="159"/>
      <c r="EEU18" s="159"/>
      <c r="EEV18" s="159"/>
      <c r="EEW18" s="159"/>
      <c r="EEX18" s="159"/>
      <c r="EEY18" s="159"/>
      <c r="EEZ18" s="159"/>
      <c r="EFA18" s="159"/>
      <c r="EFB18" s="159"/>
      <c r="EFC18" s="159"/>
      <c r="EFD18" s="159"/>
      <c r="EFE18" s="159"/>
      <c r="EFF18" s="159"/>
      <c r="EFG18" s="159"/>
      <c r="EFH18" s="159"/>
      <c r="EFI18" s="159"/>
      <c r="EFJ18" s="159"/>
      <c r="EFK18" s="159"/>
      <c r="EFL18" s="159"/>
      <c r="EFM18" s="159"/>
      <c r="EFN18" s="159"/>
      <c r="EFO18" s="159"/>
      <c r="EFP18" s="159"/>
      <c r="EFQ18" s="159"/>
      <c r="EFR18" s="159"/>
      <c r="EFS18" s="159"/>
      <c r="EFT18" s="159"/>
      <c r="EFU18" s="159"/>
      <c r="EFV18" s="159"/>
      <c r="EFW18" s="159"/>
      <c r="EFX18" s="159"/>
      <c r="EFY18" s="159"/>
      <c r="EFZ18" s="159"/>
      <c r="EGA18" s="159"/>
      <c r="EGB18" s="159"/>
      <c r="EGC18" s="159"/>
      <c r="EGD18" s="159"/>
      <c r="EGE18" s="159"/>
      <c r="EGF18" s="159"/>
      <c r="EGG18" s="159"/>
      <c r="EGH18" s="159"/>
      <c r="EGI18" s="159"/>
      <c r="EGJ18" s="159"/>
      <c r="EGK18" s="159"/>
      <c r="EGL18" s="159"/>
      <c r="EGM18" s="159"/>
      <c r="EGN18" s="159"/>
      <c r="EGO18" s="159"/>
      <c r="EGP18" s="159"/>
      <c r="EGQ18" s="159"/>
      <c r="EGR18" s="159"/>
      <c r="EGS18" s="159"/>
      <c r="EGT18" s="159"/>
      <c r="EGU18" s="159"/>
      <c r="EGV18" s="159"/>
      <c r="EGW18" s="159"/>
      <c r="EGX18" s="159"/>
      <c r="EGY18" s="159"/>
      <c r="EGZ18" s="159"/>
      <c r="EHA18" s="159"/>
      <c r="EHB18" s="159"/>
      <c r="EHC18" s="159"/>
      <c r="EHD18" s="159"/>
      <c r="EHE18" s="159"/>
      <c r="EHF18" s="159"/>
      <c r="EHG18" s="159"/>
      <c r="EHH18" s="159"/>
      <c r="EHI18" s="159"/>
      <c r="EHJ18" s="159"/>
      <c r="EHK18" s="159"/>
      <c r="EHL18" s="159"/>
      <c r="EHM18" s="159"/>
      <c r="EHN18" s="159"/>
      <c r="EHO18" s="159"/>
      <c r="EHP18" s="159"/>
      <c r="EHQ18" s="159"/>
      <c r="EHR18" s="159"/>
      <c r="EHS18" s="159"/>
      <c r="EHT18" s="159"/>
      <c r="EHU18" s="159"/>
      <c r="EHV18" s="159"/>
      <c r="EHW18" s="159"/>
      <c r="EHX18" s="159"/>
      <c r="EHY18" s="159"/>
      <c r="EHZ18" s="159"/>
      <c r="EIA18" s="159"/>
      <c r="EIB18" s="159"/>
      <c r="EIC18" s="159"/>
      <c r="EID18" s="159"/>
      <c r="EIE18" s="159"/>
      <c r="EIF18" s="159"/>
      <c r="EIG18" s="159"/>
      <c r="EIH18" s="159"/>
      <c r="EII18" s="159"/>
      <c r="EIJ18" s="159"/>
      <c r="EIK18" s="159"/>
      <c r="EIL18" s="159"/>
      <c r="EIM18" s="159"/>
      <c r="EIN18" s="159"/>
      <c r="EIO18" s="159"/>
      <c r="EIP18" s="159"/>
      <c r="EIQ18" s="159"/>
      <c r="EIR18" s="159"/>
      <c r="EIS18" s="159"/>
      <c r="EIT18" s="159"/>
      <c r="EIU18" s="159"/>
      <c r="EIV18" s="159"/>
      <c r="EIW18" s="159"/>
      <c r="EIX18" s="159"/>
      <c r="EIY18" s="159"/>
      <c r="EIZ18" s="159"/>
      <c r="EJA18" s="159"/>
      <c r="EJB18" s="159"/>
      <c r="EJC18" s="159"/>
      <c r="EJD18" s="159"/>
      <c r="EJE18" s="159"/>
      <c r="EJF18" s="159"/>
      <c r="EJG18" s="159"/>
      <c r="EJH18" s="159"/>
      <c r="EJI18" s="159"/>
      <c r="EJJ18" s="159"/>
      <c r="EJK18" s="159"/>
      <c r="EJL18" s="159"/>
      <c r="EJM18" s="159"/>
      <c r="EJN18" s="159"/>
      <c r="EJO18" s="159"/>
      <c r="EJP18" s="159"/>
      <c r="EJQ18" s="159"/>
      <c r="EJR18" s="159"/>
      <c r="EJS18" s="159"/>
      <c r="EJT18" s="159"/>
      <c r="EJU18" s="159"/>
      <c r="EJV18" s="159"/>
      <c r="EJW18" s="159"/>
      <c r="EJX18" s="159"/>
      <c r="EJY18" s="159"/>
      <c r="EJZ18" s="159"/>
      <c r="EKA18" s="159"/>
      <c r="EKB18" s="159"/>
      <c r="EKC18" s="159"/>
      <c r="EKD18" s="159"/>
      <c r="EKE18" s="159"/>
      <c r="EKF18" s="159"/>
      <c r="EKG18" s="159"/>
      <c r="EKH18" s="159"/>
      <c r="EKI18" s="159"/>
      <c r="EKJ18" s="159"/>
      <c r="EKK18" s="159"/>
      <c r="EKL18" s="159"/>
      <c r="EKM18" s="159"/>
      <c r="EKN18" s="159"/>
      <c r="EKO18" s="159"/>
      <c r="EKP18" s="159"/>
      <c r="EKQ18" s="159"/>
      <c r="EKR18" s="159"/>
      <c r="EKS18" s="159"/>
      <c r="EKT18" s="159"/>
      <c r="EKU18" s="159"/>
      <c r="EKV18" s="159"/>
      <c r="EKW18" s="159"/>
      <c r="EKX18" s="159"/>
      <c r="EKY18" s="159"/>
      <c r="EKZ18" s="159"/>
      <c r="ELA18" s="159"/>
      <c r="ELB18" s="159"/>
      <c r="ELC18" s="159"/>
      <c r="ELD18" s="159"/>
      <c r="ELE18" s="159"/>
      <c r="ELF18" s="159"/>
      <c r="ELG18" s="159"/>
      <c r="ELH18" s="159"/>
      <c r="ELI18" s="159"/>
      <c r="ELJ18" s="159"/>
      <c r="ELK18" s="159"/>
      <c r="ELL18" s="159"/>
      <c r="ELM18" s="159"/>
      <c r="ELN18" s="159"/>
      <c r="ELO18" s="159"/>
      <c r="ELP18" s="159"/>
      <c r="ELQ18" s="159"/>
      <c r="ELR18" s="159"/>
      <c r="ELS18" s="159"/>
      <c r="ELT18" s="159"/>
      <c r="ELU18" s="159"/>
      <c r="ELV18" s="159"/>
      <c r="ELW18" s="159"/>
      <c r="ELX18" s="159"/>
      <c r="ELY18" s="159"/>
      <c r="ELZ18" s="159"/>
      <c r="EMA18" s="159"/>
      <c r="EMB18" s="159"/>
      <c r="EMC18" s="159"/>
      <c r="EMD18" s="159"/>
      <c r="EME18" s="159"/>
      <c r="EMF18" s="159"/>
      <c r="EMG18" s="159"/>
      <c r="EMH18" s="159"/>
      <c r="EMI18" s="159"/>
      <c r="EMJ18" s="159"/>
      <c r="EMK18" s="159"/>
      <c r="EML18" s="159"/>
      <c r="EMM18" s="159"/>
      <c r="EMN18" s="159"/>
      <c r="EMO18" s="159"/>
      <c r="EMP18" s="159"/>
      <c r="EMQ18" s="159"/>
      <c r="EMR18" s="159"/>
      <c r="EMS18" s="159"/>
      <c r="EMT18" s="159"/>
      <c r="EMU18" s="159"/>
      <c r="EMV18" s="159"/>
      <c r="EMW18" s="159"/>
      <c r="EMX18" s="159"/>
      <c r="EMY18" s="159"/>
      <c r="EMZ18" s="159"/>
      <c r="ENA18" s="159"/>
      <c r="ENB18" s="159"/>
      <c r="ENC18" s="159"/>
      <c r="END18" s="159"/>
      <c r="ENE18" s="159"/>
      <c r="ENF18" s="159"/>
      <c r="ENG18" s="159"/>
      <c r="ENH18" s="159"/>
      <c r="ENI18" s="159"/>
      <c r="ENJ18" s="159"/>
      <c r="ENK18" s="159"/>
      <c r="ENL18" s="159"/>
      <c r="ENM18" s="159"/>
      <c r="ENN18" s="159"/>
      <c r="ENO18" s="159"/>
      <c r="ENP18" s="159"/>
      <c r="ENQ18" s="159"/>
      <c r="ENR18" s="159"/>
      <c r="ENS18" s="159"/>
      <c r="ENT18" s="159"/>
      <c r="ENU18" s="159"/>
      <c r="ENV18" s="159"/>
      <c r="ENW18" s="159"/>
      <c r="ENX18" s="159"/>
      <c r="ENY18" s="159"/>
      <c r="ENZ18" s="159"/>
      <c r="EOA18" s="159"/>
      <c r="EOB18" s="159"/>
      <c r="EOC18" s="159"/>
      <c r="EOD18" s="159"/>
      <c r="EOE18" s="159"/>
      <c r="EOF18" s="159"/>
      <c r="EOG18" s="159"/>
      <c r="EOH18" s="159"/>
      <c r="EOI18" s="159"/>
      <c r="EOJ18" s="159"/>
      <c r="EOK18" s="159"/>
      <c r="EOL18" s="159"/>
      <c r="EOM18" s="159"/>
      <c r="EON18" s="159"/>
      <c r="EOO18" s="159"/>
      <c r="EOP18" s="159"/>
      <c r="EOQ18" s="159"/>
      <c r="EOR18" s="159"/>
      <c r="EOS18" s="159"/>
      <c r="EOT18" s="159"/>
      <c r="EOU18" s="159"/>
      <c r="EOV18" s="159"/>
      <c r="EOW18" s="159"/>
      <c r="EOX18" s="159"/>
      <c r="EOY18" s="159"/>
      <c r="EOZ18" s="159"/>
      <c r="EPA18" s="159"/>
      <c r="EPB18" s="159"/>
      <c r="EPC18" s="159"/>
      <c r="EPD18" s="159"/>
      <c r="EPE18" s="159"/>
      <c r="EPF18" s="159"/>
      <c r="EPG18" s="159"/>
      <c r="EPH18" s="159"/>
      <c r="EPI18" s="159"/>
      <c r="EPJ18" s="159"/>
      <c r="EPK18" s="159"/>
      <c r="EPL18" s="159"/>
      <c r="EPM18" s="159"/>
      <c r="EPN18" s="159"/>
      <c r="EPO18" s="159"/>
      <c r="EPP18" s="159"/>
      <c r="EPQ18" s="159"/>
      <c r="EPR18" s="159"/>
      <c r="EPS18" s="159"/>
      <c r="EPT18" s="159"/>
      <c r="EPU18" s="159"/>
      <c r="EPV18" s="159"/>
      <c r="EPW18" s="159"/>
      <c r="EPX18" s="159"/>
      <c r="EPY18" s="159"/>
      <c r="EPZ18" s="159"/>
      <c r="EQA18" s="159"/>
      <c r="EQB18" s="159"/>
      <c r="EQC18" s="159"/>
      <c r="EQD18" s="159"/>
      <c r="EQE18" s="159"/>
      <c r="EQF18" s="159"/>
      <c r="EQG18" s="159"/>
      <c r="EQH18" s="159"/>
      <c r="EQI18" s="159"/>
      <c r="EQJ18" s="159"/>
      <c r="EQK18" s="159"/>
      <c r="EQL18" s="159"/>
      <c r="EQM18" s="159"/>
      <c r="EQN18" s="159"/>
      <c r="EQO18" s="159"/>
      <c r="EQP18" s="159"/>
      <c r="EQQ18" s="159"/>
      <c r="EQR18" s="159"/>
      <c r="EQS18" s="159"/>
      <c r="EQT18" s="159"/>
      <c r="EQU18" s="159"/>
      <c r="EQV18" s="159"/>
      <c r="EQW18" s="159"/>
      <c r="EQX18" s="159"/>
      <c r="EQY18" s="159"/>
      <c r="EQZ18" s="159"/>
      <c r="ERA18" s="159"/>
      <c r="ERB18" s="159"/>
      <c r="ERC18" s="159"/>
      <c r="ERD18" s="159"/>
      <c r="ERE18" s="159"/>
      <c r="ERF18" s="159"/>
      <c r="ERG18" s="159"/>
      <c r="ERH18" s="159"/>
      <c r="ERI18" s="159"/>
      <c r="ERJ18" s="159"/>
      <c r="ERK18" s="159"/>
      <c r="ERL18" s="159"/>
      <c r="ERM18" s="159"/>
      <c r="ERN18" s="159"/>
      <c r="ERO18" s="159"/>
      <c r="ERP18" s="159"/>
      <c r="ERQ18" s="159"/>
      <c r="ERR18" s="159"/>
      <c r="ERS18" s="159"/>
      <c r="ERT18" s="159"/>
      <c r="ERU18" s="159"/>
      <c r="ERV18" s="159"/>
      <c r="ERW18" s="159"/>
      <c r="ERX18" s="159"/>
      <c r="ERY18" s="159"/>
      <c r="ERZ18" s="159"/>
      <c r="ESA18" s="159"/>
      <c r="ESB18" s="159"/>
      <c r="ESC18" s="159"/>
      <c r="ESD18" s="159"/>
      <c r="ESE18" s="159"/>
      <c r="ESF18" s="159"/>
      <c r="ESG18" s="159"/>
      <c r="ESH18" s="159"/>
      <c r="ESI18" s="159"/>
      <c r="ESJ18" s="159"/>
      <c r="ESK18" s="159"/>
      <c r="ESL18" s="159"/>
      <c r="ESM18" s="159"/>
      <c r="ESN18" s="159"/>
      <c r="ESO18" s="159"/>
      <c r="ESP18" s="159"/>
      <c r="ESQ18" s="159"/>
      <c r="ESR18" s="159"/>
      <c r="ESS18" s="159"/>
      <c r="EST18" s="159"/>
      <c r="ESU18" s="159"/>
      <c r="ESV18" s="159"/>
      <c r="ESW18" s="159"/>
      <c r="ESX18" s="159"/>
      <c r="ESY18" s="159"/>
      <c r="ESZ18" s="159"/>
      <c r="ETA18" s="159"/>
      <c r="ETB18" s="159"/>
      <c r="ETC18" s="159"/>
      <c r="ETD18" s="159"/>
      <c r="ETE18" s="159"/>
      <c r="ETF18" s="159"/>
      <c r="ETG18" s="159"/>
      <c r="ETH18" s="159"/>
      <c r="ETI18" s="159"/>
      <c r="ETJ18" s="159"/>
      <c r="ETK18" s="159"/>
      <c r="ETL18" s="159"/>
      <c r="ETM18" s="159"/>
      <c r="ETN18" s="159"/>
      <c r="ETO18" s="159"/>
      <c r="ETP18" s="159"/>
      <c r="ETQ18" s="159"/>
      <c r="ETR18" s="159"/>
      <c r="ETS18" s="159"/>
      <c r="ETT18" s="159"/>
      <c r="ETU18" s="159"/>
      <c r="ETV18" s="159"/>
      <c r="ETW18" s="159"/>
      <c r="ETX18" s="159"/>
      <c r="ETY18" s="159"/>
      <c r="ETZ18" s="159"/>
      <c r="EUA18" s="159"/>
      <c r="EUB18" s="159"/>
      <c r="EUC18" s="159"/>
      <c r="EUD18" s="159"/>
      <c r="EUE18" s="159"/>
      <c r="EUF18" s="159"/>
      <c r="EUG18" s="159"/>
      <c r="EUH18" s="159"/>
      <c r="EUI18" s="159"/>
      <c r="EUJ18" s="159"/>
      <c r="EUK18" s="159"/>
      <c r="EUL18" s="159"/>
      <c r="EUM18" s="159"/>
      <c r="EUN18" s="159"/>
      <c r="EUO18" s="159"/>
      <c r="EUP18" s="159"/>
      <c r="EUQ18" s="159"/>
      <c r="EUR18" s="159"/>
      <c r="EUS18" s="159"/>
      <c r="EUT18" s="159"/>
      <c r="EUU18" s="159"/>
      <c r="EUV18" s="159"/>
      <c r="EUW18" s="159"/>
      <c r="EUX18" s="159"/>
      <c r="EUY18" s="159"/>
      <c r="EUZ18" s="159"/>
      <c r="EVA18" s="159"/>
      <c r="EVB18" s="159"/>
      <c r="EVC18" s="159"/>
      <c r="EVD18" s="159"/>
      <c r="EVE18" s="159"/>
      <c r="EVF18" s="159"/>
      <c r="EVG18" s="159"/>
      <c r="EVH18" s="159"/>
      <c r="EVI18" s="159"/>
      <c r="EVJ18" s="159"/>
      <c r="EVK18" s="159"/>
      <c r="EVL18" s="159"/>
      <c r="EVM18" s="159"/>
      <c r="EVN18" s="159"/>
      <c r="EVO18" s="159"/>
      <c r="EVP18" s="159"/>
      <c r="EVQ18" s="159"/>
      <c r="EVR18" s="159"/>
      <c r="EVS18" s="159"/>
      <c r="EVT18" s="159"/>
      <c r="EVU18" s="159"/>
      <c r="EVV18" s="159"/>
      <c r="EVW18" s="159"/>
      <c r="EVX18" s="159"/>
      <c r="EVY18" s="159"/>
      <c r="EVZ18" s="159"/>
      <c r="EWA18" s="159"/>
      <c r="EWB18" s="159"/>
      <c r="EWC18" s="159"/>
      <c r="EWD18" s="159"/>
      <c r="EWE18" s="159"/>
      <c r="EWF18" s="159"/>
      <c r="EWG18" s="159"/>
      <c r="EWH18" s="159"/>
      <c r="EWI18" s="159"/>
      <c r="EWJ18" s="159"/>
      <c r="EWK18" s="159"/>
      <c r="EWL18" s="159"/>
      <c r="EWM18" s="159"/>
      <c r="EWN18" s="159"/>
      <c r="EWO18" s="159"/>
      <c r="EWP18" s="159"/>
      <c r="EWQ18" s="159"/>
      <c r="EWR18" s="159"/>
      <c r="EWS18" s="159"/>
      <c r="EWT18" s="159"/>
      <c r="EWU18" s="159"/>
      <c r="EWV18" s="159"/>
      <c r="EWW18" s="159"/>
      <c r="EWX18" s="159"/>
      <c r="EWY18" s="159"/>
      <c r="EWZ18" s="159"/>
      <c r="EXA18" s="159"/>
      <c r="EXB18" s="159"/>
      <c r="EXC18" s="159"/>
      <c r="EXD18" s="159"/>
      <c r="EXE18" s="159"/>
      <c r="EXF18" s="159"/>
      <c r="EXG18" s="159"/>
      <c r="EXH18" s="159"/>
      <c r="EXI18" s="159"/>
      <c r="EXJ18" s="159"/>
      <c r="EXK18" s="159"/>
      <c r="EXL18" s="159"/>
      <c r="EXM18" s="159"/>
      <c r="EXN18" s="159"/>
      <c r="EXO18" s="159"/>
      <c r="EXP18" s="159"/>
      <c r="EXQ18" s="159"/>
      <c r="EXR18" s="159"/>
      <c r="EXS18" s="159"/>
      <c r="EXT18" s="159"/>
      <c r="EXU18" s="159"/>
      <c r="EXV18" s="159"/>
      <c r="EXW18" s="159"/>
      <c r="EXX18" s="159"/>
      <c r="EXY18" s="159"/>
      <c r="EXZ18" s="159"/>
      <c r="EYA18" s="159"/>
      <c r="EYB18" s="159"/>
      <c r="EYC18" s="159"/>
      <c r="EYD18" s="159"/>
      <c r="EYE18" s="159"/>
      <c r="EYF18" s="159"/>
      <c r="EYG18" s="159"/>
      <c r="EYH18" s="159"/>
      <c r="EYI18" s="159"/>
      <c r="EYJ18" s="159"/>
      <c r="EYK18" s="159"/>
      <c r="EYL18" s="159"/>
      <c r="EYM18" s="159"/>
      <c r="EYN18" s="159"/>
      <c r="EYO18" s="159"/>
      <c r="EYP18" s="159"/>
      <c r="EYQ18" s="159"/>
      <c r="EYR18" s="159"/>
      <c r="EYS18" s="159"/>
      <c r="EYT18" s="159"/>
      <c r="EYU18" s="159"/>
      <c r="EYV18" s="159"/>
      <c r="EYW18" s="159"/>
      <c r="EYX18" s="159"/>
      <c r="EYY18" s="159"/>
      <c r="EYZ18" s="159"/>
      <c r="EZA18" s="159"/>
      <c r="EZB18" s="159"/>
      <c r="EZC18" s="159"/>
      <c r="EZD18" s="159"/>
      <c r="EZE18" s="159"/>
      <c r="EZF18" s="159"/>
      <c r="EZG18" s="159"/>
      <c r="EZH18" s="159"/>
      <c r="EZI18" s="159"/>
      <c r="EZJ18" s="159"/>
      <c r="EZK18" s="159"/>
      <c r="EZL18" s="159"/>
      <c r="EZM18" s="159"/>
      <c r="EZN18" s="159"/>
      <c r="EZO18" s="159"/>
      <c r="EZP18" s="159"/>
      <c r="EZQ18" s="159"/>
      <c r="EZR18" s="159"/>
      <c r="EZS18" s="159"/>
      <c r="EZT18" s="159"/>
      <c r="EZU18" s="159"/>
      <c r="EZV18" s="159"/>
      <c r="EZW18" s="159"/>
      <c r="EZX18" s="159"/>
      <c r="EZY18" s="159"/>
      <c r="EZZ18" s="159"/>
      <c r="FAA18" s="159"/>
      <c r="FAB18" s="159"/>
      <c r="FAC18" s="159"/>
      <c r="FAD18" s="159"/>
      <c r="FAE18" s="159"/>
      <c r="FAF18" s="159"/>
      <c r="FAG18" s="159"/>
      <c r="FAH18" s="159"/>
      <c r="FAI18" s="159"/>
      <c r="FAJ18" s="159"/>
      <c r="FAK18" s="159"/>
      <c r="FAL18" s="159"/>
      <c r="FAM18" s="159"/>
      <c r="FAN18" s="159"/>
      <c r="FAO18" s="159"/>
      <c r="FAP18" s="159"/>
      <c r="FAQ18" s="159"/>
      <c r="FAR18" s="159"/>
      <c r="FAS18" s="159"/>
      <c r="FAT18" s="159"/>
      <c r="FAU18" s="159"/>
      <c r="FAV18" s="159"/>
      <c r="FAW18" s="159"/>
      <c r="FAX18" s="159"/>
      <c r="FAY18" s="159"/>
      <c r="FAZ18" s="159"/>
      <c r="FBA18" s="159"/>
      <c r="FBB18" s="159"/>
      <c r="FBC18" s="159"/>
      <c r="FBD18" s="159"/>
      <c r="FBE18" s="159"/>
      <c r="FBF18" s="159"/>
      <c r="FBG18" s="159"/>
      <c r="FBH18" s="159"/>
      <c r="FBI18" s="159"/>
      <c r="FBJ18" s="159"/>
      <c r="FBK18" s="159"/>
      <c r="FBL18" s="159"/>
      <c r="FBM18" s="159"/>
      <c r="FBN18" s="159"/>
      <c r="FBO18" s="159"/>
      <c r="FBP18" s="159"/>
      <c r="FBQ18" s="159"/>
      <c r="FBR18" s="159"/>
      <c r="FBS18" s="159"/>
      <c r="FBT18" s="159"/>
      <c r="FBU18" s="159"/>
      <c r="FBV18" s="159"/>
      <c r="FBW18" s="159"/>
      <c r="FBX18" s="159"/>
      <c r="FBY18" s="159"/>
      <c r="FBZ18" s="159"/>
      <c r="FCA18" s="159"/>
      <c r="FCB18" s="159"/>
      <c r="FCC18" s="159"/>
      <c r="FCD18" s="159"/>
      <c r="FCE18" s="159"/>
      <c r="FCF18" s="159"/>
      <c r="FCG18" s="159"/>
      <c r="FCH18" s="159"/>
      <c r="FCI18" s="159"/>
      <c r="FCJ18" s="159"/>
      <c r="FCK18" s="159"/>
      <c r="FCL18" s="159"/>
      <c r="FCM18" s="159"/>
      <c r="FCN18" s="159"/>
      <c r="FCO18" s="159"/>
      <c r="FCP18" s="159"/>
      <c r="FCQ18" s="159"/>
      <c r="FCR18" s="159"/>
      <c r="FCS18" s="159"/>
      <c r="FCT18" s="159"/>
      <c r="FCU18" s="159"/>
      <c r="FCV18" s="159"/>
      <c r="FCW18" s="159"/>
      <c r="FCX18" s="159"/>
      <c r="FCY18" s="159"/>
      <c r="FCZ18" s="159"/>
      <c r="FDA18" s="159"/>
      <c r="FDB18" s="159"/>
      <c r="FDC18" s="159"/>
      <c r="FDD18" s="159"/>
      <c r="FDE18" s="159"/>
      <c r="FDF18" s="159"/>
      <c r="FDG18" s="159"/>
      <c r="FDH18" s="159"/>
      <c r="FDI18" s="159"/>
      <c r="FDJ18" s="159"/>
      <c r="FDK18" s="159"/>
      <c r="FDL18" s="159"/>
      <c r="FDM18" s="159"/>
      <c r="FDN18" s="159"/>
      <c r="FDO18" s="159"/>
      <c r="FDP18" s="159"/>
      <c r="FDQ18" s="159"/>
      <c r="FDR18" s="159"/>
      <c r="FDS18" s="159"/>
      <c r="FDT18" s="159"/>
      <c r="FDU18" s="159"/>
      <c r="FDV18" s="159"/>
      <c r="FDW18" s="159"/>
      <c r="FDX18" s="159"/>
      <c r="FDY18" s="159"/>
      <c r="FDZ18" s="159"/>
      <c r="FEA18" s="159"/>
      <c r="FEB18" s="159"/>
      <c r="FEC18" s="159"/>
      <c r="FED18" s="159"/>
      <c r="FEE18" s="159"/>
      <c r="FEF18" s="159"/>
      <c r="FEG18" s="159"/>
      <c r="FEH18" s="159"/>
      <c r="FEI18" s="159"/>
      <c r="FEJ18" s="159"/>
      <c r="FEK18" s="159"/>
      <c r="FEL18" s="159"/>
      <c r="FEM18" s="159"/>
      <c r="FEN18" s="159"/>
      <c r="FEO18" s="159"/>
      <c r="FEP18" s="159"/>
      <c r="FEQ18" s="159"/>
      <c r="FER18" s="159"/>
      <c r="FES18" s="159"/>
      <c r="FET18" s="159"/>
      <c r="FEU18" s="159"/>
      <c r="FEV18" s="159"/>
      <c r="FEW18" s="159"/>
      <c r="FEX18" s="159"/>
      <c r="FEY18" s="159"/>
      <c r="FEZ18" s="159"/>
      <c r="FFA18" s="159"/>
      <c r="FFB18" s="159"/>
      <c r="FFC18" s="159"/>
      <c r="FFD18" s="159"/>
      <c r="FFE18" s="159"/>
      <c r="FFF18" s="159"/>
      <c r="FFG18" s="159"/>
      <c r="FFH18" s="159"/>
      <c r="FFI18" s="159"/>
      <c r="FFJ18" s="159"/>
      <c r="FFK18" s="159"/>
      <c r="FFL18" s="159"/>
      <c r="FFM18" s="159"/>
      <c r="FFN18" s="159"/>
      <c r="FFO18" s="159"/>
      <c r="FFP18" s="159"/>
      <c r="FFQ18" s="159"/>
      <c r="FFR18" s="159"/>
      <c r="FFS18" s="159"/>
      <c r="FFT18" s="159"/>
      <c r="FFU18" s="159"/>
      <c r="FFV18" s="159"/>
      <c r="FFW18" s="159"/>
      <c r="FFX18" s="159"/>
      <c r="FFY18" s="159"/>
      <c r="FFZ18" s="159"/>
      <c r="FGA18" s="159"/>
      <c r="FGB18" s="159"/>
      <c r="FGC18" s="159"/>
      <c r="FGD18" s="159"/>
      <c r="FGE18" s="159"/>
      <c r="FGF18" s="159"/>
      <c r="FGG18" s="159"/>
      <c r="FGH18" s="159"/>
      <c r="FGI18" s="159"/>
      <c r="FGJ18" s="159"/>
      <c r="FGK18" s="159"/>
      <c r="FGL18" s="159"/>
      <c r="FGM18" s="159"/>
      <c r="FGN18" s="159"/>
      <c r="FGO18" s="159"/>
      <c r="FGP18" s="159"/>
      <c r="FGQ18" s="159"/>
      <c r="FGR18" s="159"/>
      <c r="FGS18" s="159"/>
      <c r="FGT18" s="159"/>
      <c r="FGU18" s="159"/>
      <c r="FGV18" s="159"/>
      <c r="FGW18" s="159"/>
      <c r="FGX18" s="159"/>
      <c r="FGY18" s="159"/>
      <c r="FGZ18" s="159"/>
      <c r="FHA18" s="159"/>
      <c r="FHB18" s="159"/>
      <c r="FHC18" s="159"/>
      <c r="FHD18" s="159"/>
      <c r="FHE18" s="159"/>
      <c r="FHF18" s="159"/>
      <c r="FHG18" s="159"/>
      <c r="FHH18" s="159"/>
      <c r="FHI18" s="159"/>
      <c r="FHJ18" s="159"/>
      <c r="FHK18" s="159"/>
      <c r="FHL18" s="159"/>
      <c r="FHM18" s="159"/>
      <c r="FHN18" s="159"/>
      <c r="FHO18" s="159"/>
      <c r="FHP18" s="159"/>
      <c r="FHQ18" s="159"/>
      <c r="FHR18" s="159"/>
      <c r="FHS18" s="159"/>
      <c r="FHT18" s="159"/>
      <c r="FHU18" s="159"/>
      <c r="FHV18" s="159"/>
      <c r="FHW18" s="159"/>
      <c r="FHX18" s="159"/>
      <c r="FHY18" s="159"/>
      <c r="FHZ18" s="159"/>
      <c r="FIA18" s="159"/>
      <c r="FIB18" s="159"/>
      <c r="FIC18" s="159"/>
      <c r="FID18" s="159"/>
      <c r="FIE18" s="159"/>
      <c r="FIF18" s="159"/>
      <c r="FIG18" s="159"/>
      <c r="FIH18" s="159"/>
      <c r="FII18" s="159"/>
      <c r="FIJ18" s="159"/>
      <c r="FIK18" s="159"/>
      <c r="FIL18" s="159"/>
      <c r="FIM18" s="159"/>
      <c r="FIN18" s="159"/>
      <c r="FIO18" s="159"/>
      <c r="FIP18" s="159"/>
      <c r="FIQ18" s="159"/>
      <c r="FIR18" s="159"/>
      <c r="FIS18" s="159"/>
      <c r="FIT18" s="159"/>
      <c r="FIU18" s="159"/>
      <c r="FIV18" s="159"/>
      <c r="FIW18" s="159"/>
      <c r="FIX18" s="159"/>
      <c r="FIY18" s="159"/>
      <c r="FIZ18" s="159"/>
      <c r="FJA18" s="159"/>
      <c r="FJB18" s="159"/>
      <c r="FJC18" s="159"/>
      <c r="FJD18" s="159"/>
      <c r="FJE18" s="159"/>
      <c r="FJF18" s="159"/>
      <c r="FJG18" s="159"/>
      <c r="FJH18" s="159"/>
      <c r="FJI18" s="159"/>
      <c r="FJJ18" s="159"/>
      <c r="FJK18" s="159"/>
      <c r="FJL18" s="159"/>
      <c r="FJM18" s="159"/>
      <c r="FJN18" s="159"/>
      <c r="FJO18" s="159"/>
      <c r="FJP18" s="159"/>
      <c r="FJQ18" s="159"/>
      <c r="FJR18" s="159"/>
      <c r="FJS18" s="159"/>
      <c r="FJT18" s="159"/>
      <c r="FJU18" s="159"/>
      <c r="FJV18" s="159"/>
      <c r="FJW18" s="159"/>
      <c r="FJX18" s="159"/>
      <c r="FJY18" s="159"/>
      <c r="FJZ18" s="159"/>
      <c r="FKA18" s="159"/>
      <c r="FKB18" s="159"/>
      <c r="FKC18" s="159"/>
      <c r="FKD18" s="159"/>
      <c r="FKE18" s="159"/>
      <c r="FKF18" s="159"/>
      <c r="FKG18" s="159"/>
      <c r="FKH18" s="159"/>
      <c r="FKI18" s="159"/>
      <c r="FKJ18" s="159"/>
      <c r="FKK18" s="159"/>
      <c r="FKL18" s="159"/>
      <c r="FKM18" s="159"/>
      <c r="FKN18" s="159"/>
      <c r="FKO18" s="159"/>
      <c r="FKP18" s="159"/>
      <c r="FKQ18" s="159"/>
      <c r="FKR18" s="159"/>
      <c r="FKS18" s="159"/>
      <c r="FKT18" s="159"/>
      <c r="FKU18" s="159"/>
      <c r="FKV18" s="159"/>
      <c r="FKW18" s="159"/>
      <c r="FKX18" s="159"/>
      <c r="FKY18" s="159"/>
      <c r="FKZ18" s="159"/>
      <c r="FLA18" s="159"/>
      <c r="FLB18" s="159"/>
      <c r="FLC18" s="159"/>
      <c r="FLD18" s="159"/>
      <c r="FLE18" s="159"/>
      <c r="FLF18" s="159"/>
      <c r="FLG18" s="159"/>
      <c r="FLH18" s="159"/>
      <c r="FLI18" s="159"/>
      <c r="FLJ18" s="159"/>
      <c r="FLK18" s="159"/>
      <c r="FLL18" s="159"/>
      <c r="FLM18" s="159"/>
      <c r="FLN18" s="159"/>
      <c r="FLO18" s="159"/>
      <c r="FLP18" s="159"/>
      <c r="FLQ18" s="159"/>
      <c r="FLR18" s="159"/>
      <c r="FLS18" s="159"/>
      <c r="FLT18" s="159"/>
      <c r="FLU18" s="159"/>
      <c r="FLV18" s="159"/>
      <c r="FLW18" s="159"/>
      <c r="FLX18" s="159"/>
      <c r="FLY18" s="159"/>
      <c r="FLZ18" s="159"/>
      <c r="FMA18" s="159"/>
      <c r="FMB18" s="159"/>
      <c r="FMC18" s="159"/>
      <c r="FMD18" s="159"/>
      <c r="FME18" s="159"/>
      <c r="FMF18" s="159"/>
      <c r="FMG18" s="159"/>
      <c r="FMH18" s="159"/>
      <c r="FMI18" s="159"/>
      <c r="FMJ18" s="159"/>
      <c r="FMK18" s="159"/>
      <c r="FML18" s="159"/>
      <c r="FMM18" s="159"/>
      <c r="FMN18" s="159"/>
      <c r="FMO18" s="159"/>
      <c r="FMP18" s="159"/>
      <c r="FMQ18" s="159"/>
      <c r="FMR18" s="159"/>
      <c r="FMS18" s="159"/>
      <c r="FMT18" s="159"/>
      <c r="FMU18" s="159"/>
      <c r="FMV18" s="159"/>
      <c r="FMW18" s="159"/>
      <c r="FMX18" s="159"/>
      <c r="FMY18" s="159"/>
      <c r="FMZ18" s="159"/>
      <c r="FNA18" s="159"/>
      <c r="FNB18" s="159"/>
      <c r="FNC18" s="159"/>
      <c r="FND18" s="159"/>
      <c r="FNE18" s="159"/>
      <c r="FNF18" s="159"/>
      <c r="FNG18" s="159"/>
      <c r="FNH18" s="159"/>
      <c r="FNI18" s="159"/>
      <c r="FNJ18" s="159"/>
      <c r="FNK18" s="159"/>
      <c r="FNL18" s="159"/>
      <c r="FNM18" s="159"/>
      <c r="FNN18" s="159"/>
      <c r="FNO18" s="159"/>
      <c r="FNP18" s="159"/>
      <c r="FNQ18" s="159"/>
      <c r="FNR18" s="159"/>
      <c r="FNS18" s="159"/>
      <c r="FNT18" s="159"/>
      <c r="FNU18" s="159"/>
      <c r="FNV18" s="159"/>
      <c r="FNW18" s="159"/>
      <c r="FNX18" s="159"/>
      <c r="FNY18" s="159"/>
      <c r="FNZ18" s="159"/>
      <c r="FOA18" s="159"/>
      <c r="FOB18" s="159"/>
      <c r="FOC18" s="159"/>
      <c r="FOD18" s="159"/>
      <c r="FOE18" s="159"/>
      <c r="FOF18" s="159"/>
      <c r="FOG18" s="159"/>
      <c r="FOH18" s="159"/>
      <c r="FOI18" s="159"/>
      <c r="FOJ18" s="159"/>
      <c r="FOK18" s="159"/>
      <c r="FOL18" s="159"/>
      <c r="FOM18" s="159"/>
      <c r="FON18" s="159"/>
      <c r="FOO18" s="159"/>
      <c r="FOP18" s="159"/>
      <c r="FOQ18" s="159"/>
      <c r="FOR18" s="159"/>
      <c r="FOS18" s="159"/>
      <c r="FOT18" s="159"/>
      <c r="FOU18" s="159"/>
      <c r="FOV18" s="159"/>
      <c r="FOW18" s="159"/>
      <c r="FOX18" s="159"/>
      <c r="FOY18" s="159"/>
      <c r="FOZ18" s="159"/>
      <c r="FPA18" s="159"/>
      <c r="FPB18" s="159"/>
      <c r="FPC18" s="159"/>
      <c r="FPD18" s="159"/>
      <c r="FPE18" s="159"/>
      <c r="FPF18" s="159"/>
      <c r="FPG18" s="159"/>
      <c r="FPH18" s="159"/>
      <c r="FPI18" s="159"/>
      <c r="FPJ18" s="159"/>
      <c r="FPK18" s="159"/>
      <c r="FPL18" s="159"/>
      <c r="FPM18" s="159"/>
      <c r="FPN18" s="159"/>
      <c r="FPO18" s="159"/>
      <c r="FPP18" s="159"/>
      <c r="FPQ18" s="159"/>
      <c r="FPR18" s="159"/>
      <c r="FPS18" s="159"/>
      <c r="FPT18" s="159"/>
      <c r="FPU18" s="159"/>
      <c r="FPV18" s="159"/>
      <c r="FPW18" s="159"/>
      <c r="FPX18" s="159"/>
      <c r="FPY18" s="159"/>
      <c r="FPZ18" s="159"/>
      <c r="FQA18" s="159"/>
      <c r="FQB18" s="159"/>
      <c r="FQC18" s="159"/>
      <c r="FQD18" s="159"/>
      <c r="FQE18" s="159"/>
      <c r="FQF18" s="159"/>
      <c r="FQG18" s="159"/>
      <c r="FQH18" s="159"/>
      <c r="FQI18" s="159"/>
      <c r="FQJ18" s="159"/>
      <c r="FQK18" s="159"/>
      <c r="FQL18" s="159"/>
      <c r="FQM18" s="159"/>
      <c r="FQN18" s="159"/>
      <c r="FQO18" s="159"/>
      <c r="FQP18" s="159"/>
      <c r="FQQ18" s="159"/>
      <c r="FQR18" s="159"/>
      <c r="FQS18" s="159"/>
      <c r="FQT18" s="159"/>
      <c r="FQU18" s="159"/>
      <c r="FQV18" s="159"/>
      <c r="FQW18" s="159"/>
      <c r="FQX18" s="159"/>
      <c r="FQY18" s="159"/>
      <c r="FQZ18" s="159"/>
      <c r="FRA18" s="159"/>
      <c r="FRB18" s="159"/>
      <c r="FRC18" s="159"/>
      <c r="FRD18" s="159"/>
      <c r="FRE18" s="159"/>
      <c r="FRF18" s="159"/>
      <c r="FRG18" s="159"/>
      <c r="FRH18" s="159"/>
      <c r="FRI18" s="159"/>
      <c r="FRJ18" s="159"/>
      <c r="FRK18" s="159"/>
      <c r="FRL18" s="159"/>
      <c r="FRM18" s="159"/>
      <c r="FRN18" s="159"/>
      <c r="FRO18" s="159"/>
      <c r="FRP18" s="159"/>
      <c r="FRQ18" s="159"/>
      <c r="FRR18" s="159"/>
      <c r="FRS18" s="159"/>
      <c r="FRT18" s="159"/>
      <c r="FRU18" s="159"/>
      <c r="FRV18" s="159"/>
      <c r="FRW18" s="159"/>
      <c r="FRX18" s="159"/>
      <c r="FRY18" s="159"/>
      <c r="FRZ18" s="159"/>
      <c r="FSA18" s="159"/>
      <c r="FSB18" s="159"/>
      <c r="FSC18" s="159"/>
      <c r="FSD18" s="159"/>
      <c r="FSE18" s="159"/>
      <c r="FSF18" s="159"/>
      <c r="FSG18" s="159"/>
      <c r="FSH18" s="159"/>
      <c r="FSI18" s="159"/>
      <c r="FSJ18" s="159"/>
      <c r="FSK18" s="159"/>
      <c r="FSL18" s="159"/>
      <c r="FSM18" s="159"/>
      <c r="FSN18" s="159"/>
      <c r="FSO18" s="159"/>
      <c r="FSP18" s="159"/>
      <c r="FSQ18" s="159"/>
      <c r="FSR18" s="159"/>
      <c r="FSS18" s="159"/>
      <c r="FST18" s="159"/>
      <c r="FSU18" s="159"/>
      <c r="FSV18" s="159"/>
      <c r="FSW18" s="159"/>
      <c r="FSX18" s="159"/>
      <c r="FSY18" s="159"/>
      <c r="FSZ18" s="159"/>
      <c r="FTA18" s="159"/>
      <c r="FTB18" s="159"/>
      <c r="FTC18" s="159"/>
      <c r="FTD18" s="159"/>
      <c r="FTE18" s="159"/>
      <c r="FTF18" s="159"/>
      <c r="FTG18" s="159"/>
      <c r="FTH18" s="159"/>
      <c r="FTI18" s="159"/>
      <c r="FTJ18" s="159"/>
      <c r="FTK18" s="159"/>
      <c r="FTL18" s="159"/>
      <c r="FTM18" s="159"/>
      <c r="FTN18" s="159"/>
      <c r="FTO18" s="159"/>
      <c r="FTP18" s="159"/>
      <c r="FTQ18" s="159"/>
      <c r="FTR18" s="159"/>
      <c r="FTS18" s="159"/>
      <c r="FTT18" s="159"/>
      <c r="FTU18" s="159"/>
      <c r="FTV18" s="159"/>
      <c r="FTW18" s="159"/>
      <c r="FTX18" s="159"/>
      <c r="FTY18" s="159"/>
      <c r="FTZ18" s="159"/>
      <c r="FUA18" s="159"/>
      <c r="FUB18" s="159"/>
      <c r="FUC18" s="159"/>
      <c r="FUD18" s="159"/>
      <c r="FUE18" s="159"/>
      <c r="FUF18" s="159"/>
      <c r="FUG18" s="159"/>
      <c r="FUH18" s="159"/>
      <c r="FUI18" s="159"/>
      <c r="FUJ18" s="159"/>
      <c r="FUK18" s="159"/>
      <c r="FUL18" s="159"/>
      <c r="FUM18" s="159"/>
      <c r="FUN18" s="159"/>
      <c r="FUO18" s="159"/>
      <c r="FUP18" s="159"/>
      <c r="FUQ18" s="159"/>
      <c r="FUR18" s="159"/>
      <c r="FUS18" s="159"/>
      <c r="FUT18" s="159"/>
      <c r="FUU18" s="159"/>
      <c r="FUV18" s="159"/>
      <c r="FUW18" s="159"/>
      <c r="FUX18" s="159"/>
      <c r="FUY18" s="159"/>
      <c r="FUZ18" s="159"/>
      <c r="FVA18" s="159"/>
      <c r="FVB18" s="159"/>
      <c r="FVC18" s="159"/>
      <c r="FVD18" s="159"/>
      <c r="FVE18" s="159"/>
      <c r="FVF18" s="159"/>
      <c r="FVG18" s="159"/>
      <c r="FVH18" s="159"/>
      <c r="FVI18" s="159"/>
      <c r="FVJ18" s="159"/>
      <c r="FVK18" s="159"/>
      <c r="FVL18" s="159"/>
      <c r="FVM18" s="159"/>
      <c r="FVN18" s="159"/>
      <c r="FVO18" s="159"/>
      <c r="FVP18" s="159"/>
      <c r="FVQ18" s="159"/>
      <c r="FVR18" s="159"/>
      <c r="FVS18" s="159"/>
      <c r="FVT18" s="159"/>
      <c r="FVU18" s="159"/>
      <c r="FVV18" s="159"/>
      <c r="FVW18" s="159"/>
      <c r="FVX18" s="159"/>
      <c r="FVY18" s="159"/>
      <c r="FVZ18" s="159"/>
      <c r="FWA18" s="159"/>
      <c r="FWB18" s="159"/>
      <c r="FWC18" s="159"/>
      <c r="FWD18" s="159"/>
      <c r="FWE18" s="159"/>
      <c r="FWF18" s="159"/>
      <c r="FWG18" s="159"/>
      <c r="FWH18" s="159"/>
      <c r="FWI18" s="159"/>
      <c r="FWJ18" s="159"/>
      <c r="FWK18" s="159"/>
      <c r="FWL18" s="159"/>
      <c r="FWM18" s="159"/>
      <c r="FWN18" s="159"/>
      <c r="FWO18" s="159"/>
      <c r="FWP18" s="159"/>
      <c r="FWQ18" s="159"/>
      <c r="FWR18" s="159"/>
      <c r="FWS18" s="159"/>
      <c r="FWT18" s="159"/>
      <c r="FWU18" s="159"/>
      <c r="FWV18" s="159"/>
      <c r="FWW18" s="159"/>
      <c r="FWX18" s="159"/>
      <c r="FWY18" s="159"/>
      <c r="FWZ18" s="159"/>
      <c r="FXA18" s="159"/>
      <c r="FXB18" s="159"/>
      <c r="FXC18" s="159"/>
      <c r="FXD18" s="159"/>
      <c r="FXE18" s="159"/>
      <c r="FXF18" s="159"/>
      <c r="FXG18" s="159"/>
      <c r="FXH18" s="159"/>
      <c r="FXI18" s="159"/>
      <c r="FXJ18" s="159"/>
      <c r="FXK18" s="159"/>
      <c r="FXL18" s="159"/>
      <c r="FXM18" s="159"/>
      <c r="FXN18" s="159"/>
      <c r="FXO18" s="159"/>
      <c r="FXP18" s="159"/>
      <c r="FXQ18" s="159"/>
      <c r="FXR18" s="159"/>
      <c r="FXS18" s="159"/>
      <c r="FXT18" s="159"/>
      <c r="FXU18" s="159"/>
      <c r="FXV18" s="159"/>
      <c r="FXW18" s="159"/>
      <c r="FXX18" s="159"/>
      <c r="FXY18" s="159"/>
      <c r="FXZ18" s="159"/>
      <c r="FYA18" s="159"/>
      <c r="FYB18" s="159"/>
      <c r="FYC18" s="159"/>
      <c r="FYD18" s="159"/>
      <c r="FYE18" s="159"/>
      <c r="FYF18" s="159"/>
      <c r="FYG18" s="159"/>
      <c r="FYH18" s="159"/>
      <c r="FYI18" s="159"/>
      <c r="FYJ18" s="159"/>
      <c r="FYK18" s="159"/>
      <c r="FYL18" s="159"/>
      <c r="FYM18" s="159"/>
      <c r="FYN18" s="159"/>
      <c r="FYO18" s="159"/>
      <c r="FYP18" s="159"/>
      <c r="FYQ18" s="159"/>
      <c r="FYR18" s="159"/>
      <c r="FYS18" s="159"/>
      <c r="FYT18" s="159"/>
      <c r="FYU18" s="159"/>
      <c r="FYV18" s="159"/>
      <c r="FYW18" s="159"/>
      <c r="FYX18" s="159"/>
      <c r="FYY18" s="159"/>
      <c r="FYZ18" s="159"/>
      <c r="FZA18" s="159"/>
      <c r="FZB18" s="159"/>
      <c r="FZC18" s="159"/>
      <c r="FZD18" s="159"/>
      <c r="FZE18" s="159"/>
      <c r="FZF18" s="159"/>
      <c r="FZG18" s="159"/>
      <c r="FZH18" s="159"/>
      <c r="FZI18" s="159"/>
      <c r="FZJ18" s="159"/>
      <c r="FZK18" s="159"/>
      <c r="FZL18" s="159"/>
      <c r="FZM18" s="159"/>
      <c r="FZN18" s="159"/>
      <c r="FZO18" s="159"/>
      <c r="FZP18" s="159"/>
      <c r="FZQ18" s="159"/>
      <c r="FZR18" s="159"/>
      <c r="FZS18" s="159"/>
      <c r="FZT18" s="159"/>
      <c r="FZU18" s="159"/>
      <c r="FZV18" s="159"/>
      <c r="FZW18" s="159"/>
      <c r="FZX18" s="159"/>
      <c r="FZY18" s="159"/>
      <c r="FZZ18" s="159"/>
      <c r="GAA18" s="159"/>
      <c r="GAB18" s="159"/>
      <c r="GAC18" s="159"/>
      <c r="GAD18" s="159"/>
      <c r="GAE18" s="159"/>
      <c r="GAF18" s="159"/>
      <c r="GAG18" s="159"/>
      <c r="GAH18" s="159"/>
      <c r="GAI18" s="159"/>
      <c r="GAJ18" s="159"/>
      <c r="GAK18" s="159"/>
      <c r="GAL18" s="159"/>
      <c r="GAM18" s="159"/>
      <c r="GAN18" s="159"/>
      <c r="GAO18" s="159"/>
      <c r="GAP18" s="159"/>
      <c r="GAQ18" s="159"/>
      <c r="GAR18" s="159"/>
      <c r="GAS18" s="159"/>
      <c r="GAT18" s="159"/>
      <c r="GAU18" s="159"/>
      <c r="GAV18" s="159"/>
      <c r="GAW18" s="159"/>
      <c r="GAX18" s="159"/>
      <c r="GAY18" s="159"/>
      <c r="GAZ18" s="159"/>
      <c r="GBA18" s="159"/>
      <c r="GBB18" s="159"/>
      <c r="GBC18" s="159"/>
      <c r="GBD18" s="159"/>
      <c r="GBE18" s="159"/>
      <c r="GBF18" s="159"/>
      <c r="GBG18" s="159"/>
      <c r="GBH18" s="159"/>
      <c r="GBI18" s="159"/>
      <c r="GBJ18" s="159"/>
      <c r="GBK18" s="159"/>
      <c r="GBL18" s="159"/>
      <c r="GBM18" s="159"/>
      <c r="GBN18" s="159"/>
      <c r="GBO18" s="159"/>
      <c r="GBP18" s="159"/>
      <c r="GBQ18" s="159"/>
      <c r="GBR18" s="159"/>
      <c r="GBS18" s="159"/>
      <c r="GBT18" s="159"/>
      <c r="GBU18" s="159"/>
      <c r="GBV18" s="159"/>
      <c r="GBW18" s="159"/>
      <c r="GBX18" s="159"/>
      <c r="GBY18" s="159"/>
      <c r="GBZ18" s="159"/>
      <c r="GCA18" s="159"/>
      <c r="GCB18" s="159"/>
      <c r="GCC18" s="159"/>
      <c r="GCD18" s="159"/>
      <c r="GCE18" s="159"/>
      <c r="GCF18" s="159"/>
      <c r="GCG18" s="159"/>
      <c r="GCH18" s="159"/>
      <c r="GCI18" s="159"/>
      <c r="GCJ18" s="159"/>
      <c r="GCK18" s="159"/>
      <c r="GCL18" s="159"/>
      <c r="GCM18" s="159"/>
      <c r="GCN18" s="159"/>
      <c r="GCO18" s="159"/>
      <c r="GCP18" s="159"/>
      <c r="GCQ18" s="159"/>
      <c r="GCR18" s="159"/>
      <c r="GCS18" s="159"/>
      <c r="GCT18" s="159"/>
      <c r="GCU18" s="159"/>
      <c r="GCV18" s="159"/>
      <c r="GCW18" s="159"/>
      <c r="GCX18" s="159"/>
      <c r="GCY18" s="159"/>
      <c r="GCZ18" s="159"/>
      <c r="GDA18" s="159"/>
      <c r="GDB18" s="159"/>
      <c r="GDC18" s="159"/>
      <c r="GDD18" s="159"/>
      <c r="GDE18" s="159"/>
      <c r="GDF18" s="159"/>
      <c r="GDG18" s="159"/>
      <c r="GDH18" s="159"/>
      <c r="GDI18" s="159"/>
      <c r="GDJ18" s="159"/>
      <c r="GDK18" s="159"/>
      <c r="GDL18" s="159"/>
      <c r="GDM18" s="159"/>
      <c r="GDN18" s="159"/>
      <c r="GDO18" s="159"/>
      <c r="GDP18" s="159"/>
      <c r="GDQ18" s="159"/>
      <c r="GDR18" s="159"/>
      <c r="GDS18" s="159"/>
      <c r="GDT18" s="159"/>
      <c r="GDU18" s="159"/>
      <c r="GDV18" s="159"/>
      <c r="GDW18" s="159"/>
      <c r="GDX18" s="159"/>
      <c r="GDY18" s="159"/>
      <c r="GDZ18" s="159"/>
      <c r="GEA18" s="159"/>
      <c r="GEB18" s="159"/>
      <c r="GEC18" s="159"/>
      <c r="GED18" s="159"/>
      <c r="GEE18" s="159"/>
      <c r="GEF18" s="159"/>
      <c r="GEG18" s="159"/>
      <c r="GEH18" s="159"/>
      <c r="GEI18" s="159"/>
      <c r="GEJ18" s="159"/>
      <c r="GEK18" s="159"/>
      <c r="GEL18" s="159"/>
      <c r="GEM18" s="159"/>
      <c r="GEN18" s="159"/>
      <c r="GEO18" s="159"/>
      <c r="GEP18" s="159"/>
      <c r="GEQ18" s="159"/>
      <c r="GER18" s="159"/>
      <c r="GES18" s="159"/>
      <c r="GET18" s="159"/>
      <c r="GEU18" s="159"/>
      <c r="GEV18" s="159"/>
      <c r="GEW18" s="159"/>
      <c r="GEX18" s="159"/>
      <c r="GEY18" s="159"/>
      <c r="GEZ18" s="159"/>
      <c r="GFA18" s="159"/>
      <c r="GFB18" s="159"/>
      <c r="GFC18" s="159"/>
      <c r="GFD18" s="159"/>
      <c r="GFE18" s="159"/>
      <c r="GFF18" s="159"/>
      <c r="GFG18" s="159"/>
      <c r="GFH18" s="159"/>
      <c r="GFI18" s="159"/>
      <c r="GFJ18" s="159"/>
      <c r="GFK18" s="159"/>
      <c r="GFL18" s="159"/>
      <c r="GFM18" s="159"/>
      <c r="GFN18" s="159"/>
      <c r="GFO18" s="159"/>
      <c r="GFP18" s="159"/>
      <c r="GFQ18" s="159"/>
      <c r="GFR18" s="159"/>
      <c r="GFS18" s="159"/>
      <c r="GFT18" s="159"/>
      <c r="GFU18" s="159"/>
      <c r="GFV18" s="159"/>
      <c r="GFW18" s="159"/>
      <c r="GFX18" s="159"/>
      <c r="GFY18" s="159"/>
      <c r="GFZ18" s="159"/>
      <c r="GGA18" s="159"/>
      <c r="GGB18" s="159"/>
      <c r="GGC18" s="159"/>
      <c r="GGD18" s="159"/>
      <c r="GGE18" s="159"/>
      <c r="GGF18" s="159"/>
      <c r="GGG18" s="159"/>
      <c r="GGH18" s="159"/>
      <c r="GGI18" s="159"/>
      <c r="GGJ18" s="159"/>
      <c r="GGK18" s="159"/>
      <c r="GGL18" s="159"/>
      <c r="GGM18" s="159"/>
      <c r="GGN18" s="159"/>
      <c r="GGO18" s="159"/>
      <c r="GGP18" s="159"/>
      <c r="GGQ18" s="159"/>
      <c r="GGR18" s="159"/>
      <c r="GGS18" s="159"/>
      <c r="GGT18" s="159"/>
      <c r="GGU18" s="159"/>
      <c r="GGV18" s="159"/>
      <c r="GGW18" s="159"/>
      <c r="GGX18" s="159"/>
      <c r="GGY18" s="159"/>
      <c r="GGZ18" s="159"/>
      <c r="GHA18" s="159"/>
      <c r="GHB18" s="159"/>
      <c r="GHC18" s="159"/>
      <c r="GHD18" s="159"/>
      <c r="GHE18" s="159"/>
      <c r="GHF18" s="159"/>
      <c r="GHG18" s="159"/>
      <c r="GHH18" s="159"/>
      <c r="GHI18" s="159"/>
      <c r="GHJ18" s="159"/>
      <c r="GHK18" s="159"/>
      <c r="GHL18" s="159"/>
      <c r="GHM18" s="159"/>
      <c r="GHN18" s="159"/>
      <c r="GHO18" s="159"/>
      <c r="GHP18" s="159"/>
      <c r="GHQ18" s="159"/>
      <c r="GHR18" s="159"/>
      <c r="GHS18" s="159"/>
      <c r="GHT18" s="159"/>
      <c r="GHU18" s="159"/>
      <c r="GHV18" s="159"/>
      <c r="GHW18" s="159"/>
      <c r="GHX18" s="159"/>
      <c r="GHY18" s="159"/>
      <c r="GHZ18" s="159"/>
      <c r="GIA18" s="159"/>
      <c r="GIB18" s="159"/>
      <c r="GIC18" s="159"/>
      <c r="GID18" s="159"/>
      <c r="GIE18" s="159"/>
      <c r="GIF18" s="159"/>
      <c r="GIG18" s="159"/>
      <c r="GIH18" s="159"/>
      <c r="GII18" s="159"/>
      <c r="GIJ18" s="159"/>
      <c r="GIK18" s="159"/>
      <c r="GIL18" s="159"/>
      <c r="GIM18" s="159"/>
      <c r="GIN18" s="159"/>
      <c r="GIO18" s="159"/>
      <c r="GIP18" s="159"/>
      <c r="GIQ18" s="159"/>
      <c r="GIR18" s="159"/>
      <c r="GIS18" s="159"/>
      <c r="GIT18" s="159"/>
      <c r="GIU18" s="159"/>
      <c r="GIV18" s="159"/>
      <c r="GIW18" s="159"/>
      <c r="GIX18" s="159"/>
      <c r="GIY18" s="159"/>
      <c r="GIZ18" s="159"/>
      <c r="GJA18" s="159"/>
      <c r="GJB18" s="159"/>
      <c r="GJC18" s="159"/>
      <c r="GJD18" s="159"/>
      <c r="GJE18" s="159"/>
      <c r="GJF18" s="159"/>
      <c r="GJG18" s="159"/>
      <c r="GJH18" s="159"/>
      <c r="GJI18" s="159"/>
      <c r="GJJ18" s="159"/>
      <c r="GJK18" s="159"/>
      <c r="GJL18" s="159"/>
      <c r="GJM18" s="159"/>
      <c r="GJN18" s="159"/>
      <c r="GJO18" s="159"/>
      <c r="GJP18" s="159"/>
      <c r="GJQ18" s="159"/>
      <c r="GJR18" s="159"/>
      <c r="GJS18" s="159"/>
      <c r="GJT18" s="159"/>
      <c r="GJU18" s="159"/>
      <c r="GJV18" s="159"/>
      <c r="GJW18" s="159"/>
      <c r="GJX18" s="159"/>
      <c r="GJY18" s="159"/>
      <c r="GJZ18" s="159"/>
      <c r="GKA18" s="159"/>
      <c r="GKB18" s="159"/>
      <c r="GKC18" s="159"/>
      <c r="GKD18" s="159"/>
      <c r="GKE18" s="159"/>
      <c r="GKF18" s="159"/>
      <c r="GKG18" s="159"/>
      <c r="GKH18" s="159"/>
      <c r="GKI18" s="159"/>
      <c r="GKJ18" s="159"/>
      <c r="GKK18" s="159"/>
      <c r="GKL18" s="159"/>
      <c r="GKM18" s="159"/>
      <c r="GKN18" s="159"/>
      <c r="GKO18" s="159"/>
      <c r="GKP18" s="159"/>
      <c r="GKQ18" s="159"/>
      <c r="GKR18" s="159"/>
      <c r="GKS18" s="159"/>
      <c r="GKT18" s="159"/>
      <c r="GKU18" s="159"/>
      <c r="GKV18" s="159"/>
      <c r="GKW18" s="159"/>
      <c r="GKX18" s="159"/>
      <c r="GKY18" s="159"/>
      <c r="GKZ18" s="159"/>
      <c r="GLA18" s="159"/>
      <c r="GLB18" s="159"/>
      <c r="GLC18" s="159"/>
      <c r="GLD18" s="159"/>
      <c r="GLE18" s="159"/>
      <c r="GLF18" s="159"/>
      <c r="GLG18" s="159"/>
      <c r="GLH18" s="159"/>
      <c r="GLI18" s="159"/>
      <c r="GLJ18" s="159"/>
      <c r="GLK18" s="159"/>
      <c r="GLL18" s="159"/>
      <c r="GLM18" s="159"/>
      <c r="GLN18" s="159"/>
      <c r="GLO18" s="159"/>
      <c r="GLP18" s="159"/>
      <c r="GLQ18" s="159"/>
      <c r="GLR18" s="159"/>
      <c r="GLS18" s="159"/>
      <c r="GLT18" s="159"/>
      <c r="GLU18" s="159"/>
      <c r="GLV18" s="159"/>
      <c r="GLW18" s="159"/>
      <c r="GLX18" s="159"/>
      <c r="GLY18" s="159"/>
      <c r="GLZ18" s="159"/>
      <c r="GMA18" s="159"/>
      <c r="GMB18" s="159"/>
      <c r="GMC18" s="159"/>
      <c r="GMD18" s="159"/>
      <c r="GME18" s="159"/>
      <c r="GMF18" s="159"/>
      <c r="GMG18" s="159"/>
      <c r="GMH18" s="159"/>
      <c r="GMI18" s="159"/>
      <c r="GMJ18" s="159"/>
      <c r="GMK18" s="159"/>
      <c r="GML18" s="159"/>
      <c r="GMM18" s="159"/>
      <c r="GMN18" s="159"/>
      <c r="GMO18" s="159"/>
      <c r="GMP18" s="159"/>
      <c r="GMQ18" s="159"/>
      <c r="GMR18" s="159"/>
      <c r="GMS18" s="159"/>
      <c r="GMT18" s="159"/>
      <c r="GMU18" s="159"/>
      <c r="GMV18" s="159"/>
      <c r="GMW18" s="159"/>
      <c r="GMX18" s="159"/>
      <c r="GMY18" s="159"/>
      <c r="GMZ18" s="159"/>
      <c r="GNA18" s="159"/>
      <c r="GNB18" s="159"/>
      <c r="GNC18" s="159"/>
      <c r="GND18" s="159"/>
      <c r="GNE18" s="159"/>
      <c r="GNF18" s="159"/>
      <c r="GNG18" s="159"/>
      <c r="GNH18" s="159"/>
      <c r="GNI18" s="159"/>
      <c r="GNJ18" s="159"/>
      <c r="GNK18" s="159"/>
      <c r="GNL18" s="159"/>
      <c r="GNM18" s="159"/>
      <c r="GNN18" s="159"/>
      <c r="GNO18" s="159"/>
      <c r="GNP18" s="159"/>
      <c r="GNQ18" s="159"/>
      <c r="GNR18" s="159"/>
      <c r="GNS18" s="159"/>
      <c r="GNT18" s="159"/>
      <c r="GNU18" s="159"/>
      <c r="GNV18" s="159"/>
      <c r="GNW18" s="159"/>
      <c r="GNX18" s="159"/>
      <c r="GNY18" s="159"/>
      <c r="GNZ18" s="159"/>
      <c r="GOA18" s="159"/>
      <c r="GOB18" s="159"/>
      <c r="GOC18" s="159"/>
      <c r="GOD18" s="159"/>
      <c r="GOE18" s="159"/>
      <c r="GOF18" s="159"/>
      <c r="GOG18" s="159"/>
      <c r="GOH18" s="159"/>
      <c r="GOI18" s="159"/>
      <c r="GOJ18" s="159"/>
      <c r="GOK18" s="159"/>
      <c r="GOL18" s="159"/>
      <c r="GOM18" s="159"/>
      <c r="GON18" s="159"/>
      <c r="GOO18" s="159"/>
      <c r="GOP18" s="159"/>
      <c r="GOQ18" s="159"/>
      <c r="GOR18" s="159"/>
      <c r="GOS18" s="159"/>
      <c r="GOT18" s="159"/>
      <c r="GOU18" s="159"/>
      <c r="GOV18" s="159"/>
      <c r="GOW18" s="159"/>
      <c r="GOX18" s="159"/>
      <c r="GOY18" s="159"/>
      <c r="GOZ18" s="159"/>
      <c r="GPA18" s="159"/>
      <c r="GPB18" s="159"/>
      <c r="GPC18" s="159"/>
      <c r="GPD18" s="159"/>
      <c r="GPE18" s="159"/>
      <c r="GPF18" s="159"/>
      <c r="GPG18" s="159"/>
      <c r="GPH18" s="159"/>
      <c r="GPI18" s="159"/>
      <c r="GPJ18" s="159"/>
      <c r="GPK18" s="159"/>
      <c r="GPL18" s="159"/>
      <c r="GPM18" s="159"/>
      <c r="GPN18" s="159"/>
      <c r="GPO18" s="159"/>
      <c r="GPP18" s="159"/>
      <c r="GPQ18" s="159"/>
      <c r="GPR18" s="159"/>
      <c r="GPS18" s="159"/>
      <c r="GPT18" s="159"/>
      <c r="GPU18" s="159"/>
      <c r="GPV18" s="159"/>
      <c r="GPW18" s="159"/>
      <c r="GPX18" s="159"/>
      <c r="GPY18" s="159"/>
      <c r="GPZ18" s="159"/>
      <c r="GQA18" s="159"/>
      <c r="GQB18" s="159"/>
      <c r="GQC18" s="159"/>
      <c r="GQD18" s="159"/>
      <c r="GQE18" s="159"/>
      <c r="GQF18" s="159"/>
      <c r="GQG18" s="159"/>
      <c r="GQH18" s="159"/>
      <c r="GQI18" s="159"/>
      <c r="GQJ18" s="159"/>
      <c r="GQK18" s="159"/>
      <c r="GQL18" s="159"/>
      <c r="GQM18" s="159"/>
      <c r="GQN18" s="159"/>
      <c r="GQO18" s="159"/>
      <c r="GQP18" s="159"/>
      <c r="GQQ18" s="159"/>
      <c r="GQR18" s="159"/>
      <c r="GQS18" s="159"/>
      <c r="GQT18" s="159"/>
      <c r="GQU18" s="159"/>
      <c r="GQV18" s="159"/>
      <c r="GQW18" s="159"/>
      <c r="GQX18" s="159"/>
      <c r="GQY18" s="159"/>
      <c r="GQZ18" s="159"/>
      <c r="GRA18" s="159"/>
      <c r="GRB18" s="159"/>
      <c r="GRC18" s="159"/>
      <c r="GRD18" s="159"/>
      <c r="GRE18" s="159"/>
      <c r="GRF18" s="159"/>
      <c r="GRG18" s="159"/>
      <c r="GRH18" s="159"/>
      <c r="GRI18" s="159"/>
      <c r="GRJ18" s="159"/>
      <c r="GRK18" s="159"/>
      <c r="GRL18" s="159"/>
      <c r="GRM18" s="159"/>
      <c r="GRN18" s="159"/>
      <c r="GRO18" s="159"/>
      <c r="GRP18" s="159"/>
      <c r="GRQ18" s="159"/>
      <c r="GRR18" s="159"/>
      <c r="GRS18" s="159"/>
      <c r="GRT18" s="159"/>
      <c r="GRU18" s="159"/>
      <c r="GRV18" s="159"/>
      <c r="GRW18" s="159"/>
      <c r="GRX18" s="159"/>
      <c r="GRY18" s="159"/>
      <c r="GRZ18" s="159"/>
      <c r="GSA18" s="159"/>
      <c r="GSB18" s="159"/>
      <c r="GSC18" s="159"/>
      <c r="GSD18" s="159"/>
      <c r="GSE18" s="159"/>
      <c r="GSF18" s="159"/>
      <c r="GSG18" s="159"/>
      <c r="GSH18" s="159"/>
      <c r="GSI18" s="159"/>
      <c r="GSJ18" s="159"/>
      <c r="GSK18" s="159"/>
      <c r="GSL18" s="159"/>
      <c r="GSM18" s="159"/>
      <c r="GSN18" s="159"/>
      <c r="GSO18" s="159"/>
      <c r="GSP18" s="159"/>
      <c r="GSQ18" s="159"/>
      <c r="GSR18" s="159"/>
      <c r="GSS18" s="159"/>
      <c r="GST18" s="159"/>
      <c r="GSU18" s="159"/>
      <c r="GSV18" s="159"/>
      <c r="GSW18" s="159"/>
      <c r="GSX18" s="159"/>
      <c r="GSY18" s="159"/>
      <c r="GSZ18" s="159"/>
      <c r="GTA18" s="159"/>
      <c r="GTB18" s="159"/>
      <c r="GTC18" s="159"/>
      <c r="GTD18" s="159"/>
      <c r="GTE18" s="159"/>
      <c r="GTF18" s="159"/>
      <c r="GTG18" s="159"/>
      <c r="GTH18" s="159"/>
      <c r="GTI18" s="159"/>
      <c r="GTJ18" s="159"/>
      <c r="GTK18" s="159"/>
      <c r="GTL18" s="159"/>
      <c r="GTM18" s="159"/>
      <c r="GTN18" s="159"/>
      <c r="GTO18" s="159"/>
      <c r="GTP18" s="159"/>
      <c r="GTQ18" s="159"/>
      <c r="GTR18" s="159"/>
      <c r="GTS18" s="159"/>
      <c r="GTT18" s="159"/>
      <c r="GTU18" s="159"/>
      <c r="GTV18" s="159"/>
      <c r="GTW18" s="159"/>
      <c r="GTX18" s="159"/>
      <c r="GTY18" s="159"/>
      <c r="GTZ18" s="159"/>
      <c r="GUA18" s="159"/>
      <c r="GUB18" s="159"/>
      <c r="GUC18" s="159"/>
      <c r="GUD18" s="159"/>
      <c r="GUE18" s="159"/>
      <c r="GUF18" s="159"/>
      <c r="GUG18" s="159"/>
      <c r="GUH18" s="159"/>
      <c r="GUI18" s="159"/>
      <c r="GUJ18" s="159"/>
      <c r="GUK18" s="159"/>
      <c r="GUL18" s="159"/>
      <c r="GUM18" s="159"/>
      <c r="GUN18" s="159"/>
      <c r="GUO18" s="159"/>
      <c r="GUP18" s="159"/>
      <c r="GUQ18" s="159"/>
      <c r="GUR18" s="159"/>
      <c r="GUS18" s="159"/>
      <c r="GUT18" s="159"/>
      <c r="GUU18" s="159"/>
      <c r="GUV18" s="159"/>
      <c r="GUW18" s="159"/>
      <c r="GUX18" s="159"/>
      <c r="GUY18" s="159"/>
      <c r="GUZ18" s="159"/>
      <c r="GVA18" s="159"/>
      <c r="GVB18" s="159"/>
      <c r="GVC18" s="159"/>
      <c r="GVD18" s="159"/>
      <c r="GVE18" s="159"/>
      <c r="GVF18" s="159"/>
      <c r="GVG18" s="159"/>
      <c r="GVH18" s="159"/>
      <c r="GVI18" s="159"/>
      <c r="GVJ18" s="159"/>
      <c r="GVK18" s="159"/>
      <c r="GVL18" s="159"/>
      <c r="GVM18" s="159"/>
      <c r="GVN18" s="159"/>
      <c r="GVO18" s="159"/>
      <c r="GVP18" s="159"/>
      <c r="GVQ18" s="159"/>
      <c r="GVR18" s="159"/>
      <c r="GVS18" s="159"/>
      <c r="GVT18" s="159"/>
      <c r="GVU18" s="159"/>
      <c r="GVV18" s="159"/>
      <c r="GVW18" s="159"/>
      <c r="GVX18" s="159"/>
      <c r="GVY18" s="159"/>
      <c r="GVZ18" s="159"/>
      <c r="GWA18" s="159"/>
      <c r="GWB18" s="159"/>
      <c r="GWC18" s="159"/>
      <c r="GWD18" s="159"/>
      <c r="GWE18" s="159"/>
      <c r="GWF18" s="159"/>
      <c r="GWG18" s="159"/>
      <c r="GWH18" s="159"/>
      <c r="GWI18" s="159"/>
      <c r="GWJ18" s="159"/>
      <c r="GWK18" s="159"/>
      <c r="GWL18" s="159"/>
      <c r="GWM18" s="159"/>
      <c r="GWN18" s="159"/>
      <c r="GWO18" s="159"/>
      <c r="GWP18" s="159"/>
      <c r="GWQ18" s="159"/>
      <c r="GWR18" s="159"/>
      <c r="GWS18" s="159"/>
      <c r="GWT18" s="159"/>
      <c r="GWU18" s="159"/>
      <c r="GWV18" s="159"/>
      <c r="GWW18" s="159"/>
      <c r="GWX18" s="159"/>
      <c r="GWY18" s="159"/>
      <c r="GWZ18" s="159"/>
      <c r="GXA18" s="159"/>
      <c r="GXB18" s="159"/>
      <c r="GXC18" s="159"/>
      <c r="GXD18" s="159"/>
      <c r="GXE18" s="159"/>
      <c r="GXF18" s="159"/>
      <c r="GXG18" s="159"/>
      <c r="GXH18" s="159"/>
      <c r="GXI18" s="159"/>
      <c r="GXJ18" s="159"/>
      <c r="GXK18" s="159"/>
      <c r="GXL18" s="159"/>
      <c r="GXM18" s="159"/>
      <c r="GXN18" s="159"/>
      <c r="GXO18" s="159"/>
      <c r="GXP18" s="159"/>
      <c r="GXQ18" s="159"/>
      <c r="GXR18" s="159"/>
      <c r="GXS18" s="159"/>
      <c r="GXT18" s="159"/>
      <c r="GXU18" s="159"/>
      <c r="GXV18" s="159"/>
      <c r="GXW18" s="159"/>
      <c r="GXX18" s="159"/>
      <c r="GXY18" s="159"/>
      <c r="GXZ18" s="159"/>
      <c r="GYA18" s="159"/>
      <c r="GYB18" s="159"/>
      <c r="GYC18" s="159"/>
      <c r="GYD18" s="159"/>
      <c r="GYE18" s="159"/>
      <c r="GYF18" s="159"/>
      <c r="GYG18" s="159"/>
      <c r="GYH18" s="159"/>
      <c r="GYI18" s="159"/>
      <c r="GYJ18" s="159"/>
      <c r="GYK18" s="159"/>
      <c r="GYL18" s="159"/>
      <c r="GYM18" s="159"/>
      <c r="GYN18" s="159"/>
      <c r="GYO18" s="159"/>
      <c r="GYP18" s="159"/>
      <c r="GYQ18" s="159"/>
      <c r="GYR18" s="159"/>
      <c r="GYS18" s="159"/>
      <c r="GYT18" s="159"/>
      <c r="GYU18" s="159"/>
      <c r="GYV18" s="159"/>
      <c r="GYW18" s="159"/>
      <c r="GYX18" s="159"/>
      <c r="GYY18" s="159"/>
      <c r="GYZ18" s="159"/>
      <c r="GZA18" s="159"/>
      <c r="GZB18" s="159"/>
      <c r="GZC18" s="159"/>
      <c r="GZD18" s="159"/>
      <c r="GZE18" s="159"/>
      <c r="GZF18" s="159"/>
      <c r="GZG18" s="159"/>
      <c r="GZH18" s="159"/>
      <c r="GZI18" s="159"/>
      <c r="GZJ18" s="159"/>
      <c r="GZK18" s="159"/>
      <c r="GZL18" s="159"/>
      <c r="GZM18" s="159"/>
      <c r="GZN18" s="159"/>
      <c r="GZO18" s="159"/>
      <c r="GZP18" s="159"/>
      <c r="GZQ18" s="159"/>
      <c r="GZR18" s="159"/>
      <c r="GZS18" s="159"/>
      <c r="GZT18" s="159"/>
      <c r="GZU18" s="159"/>
      <c r="GZV18" s="159"/>
      <c r="GZW18" s="159"/>
      <c r="GZX18" s="159"/>
      <c r="GZY18" s="159"/>
      <c r="GZZ18" s="159"/>
      <c r="HAA18" s="159"/>
      <c r="HAB18" s="159"/>
      <c r="HAC18" s="159"/>
      <c r="HAD18" s="159"/>
      <c r="HAE18" s="159"/>
      <c r="HAF18" s="159"/>
      <c r="HAG18" s="159"/>
      <c r="HAH18" s="159"/>
      <c r="HAI18" s="159"/>
      <c r="HAJ18" s="159"/>
      <c r="HAK18" s="159"/>
      <c r="HAL18" s="159"/>
      <c r="HAM18" s="159"/>
      <c r="HAN18" s="159"/>
      <c r="HAO18" s="159"/>
      <c r="HAP18" s="159"/>
      <c r="HAQ18" s="159"/>
      <c r="HAR18" s="159"/>
      <c r="HAS18" s="159"/>
      <c r="HAT18" s="159"/>
      <c r="HAU18" s="159"/>
      <c r="HAV18" s="159"/>
      <c r="HAW18" s="159"/>
      <c r="HAX18" s="159"/>
      <c r="HAY18" s="159"/>
      <c r="HAZ18" s="159"/>
      <c r="HBA18" s="159"/>
      <c r="HBB18" s="159"/>
      <c r="HBC18" s="159"/>
      <c r="HBD18" s="159"/>
      <c r="HBE18" s="159"/>
      <c r="HBF18" s="159"/>
      <c r="HBG18" s="159"/>
      <c r="HBH18" s="159"/>
      <c r="HBI18" s="159"/>
      <c r="HBJ18" s="159"/>
      <c r="HBK18" s="159"/>
      <c r="HBL18" s="159"/>
      <c r="HBM18" s="159"/>
      <c r="HBN18" s="159"/>
      <c r="HBO18" s="159"/>
      <c r="HBP18" s="159"/>
      <c r="HBQ18" s="159"/>
      <c r="HBR18" s="159"/>
      <c r="HBS18" s="159"/>
      <c r="HBT18" s="159"/>
      <c r="HBU18" s="159"/>
      <c r="HBV18" s="159"/>
      <c r="HBW18" s="159"/>
      <c r="HBX18" s="159"/>
      <c r="HBY18" s="159"/>
      <c r="HBZ18" s="159"/>
      <c r="HCA18" s="159"/>
      <c r="HCB18" s="159"/>
      <c r="HCC18" s="159"/>
      <c r="HCD18" s="159"/>
      <c r="HCE18" s="159"/>
      <c r="HCF18" s="159"/>
      <c r="HCG18" s="159"/>
      <c r="HCH18" s="159"/>
      <c r="HCI18" s="159"/>
      <c r="HCJ18" s="159"/>
      <c r="HCK18" s="159"/>
      <c r="HCL18" s="159"/>
      <c r="HCM18" s="159"/>
      <c r="HCN18" s="159"/>
      <c r="HCO18" s="159"/>
      <c r="HCP18" s="159"/>
      <c r="HCQ18" s="159"/>
      <c r="HCR18" s="159"/>
      <c r="HCS18" s="159"/>
      <c r="HCT18" s="159"/>
      <c r="HCU18" s="159"/>
      <c r="HCV18" s="159"/>
      <c r="HCW18" s="159"/>
      <c r="HCX18" s="159"/>
      <c r="HCY18" s="159"/>
      <c r="HCZ18" s="159"/>
      <c r="HDA18" s="159"/>
      <c r="HDB18" s="159"/>
      <c r="HDC18" s="159"/>
      <c r="HDD18" s="159"/>
      <c r="HDE18" s="159"/>
      <c r="HDF18" s="159"/>
      <c r="HDG18" s="159"/>
      <c r="HDH18" s="159"/>
      <c r="HDI18" s="159"/>
      <c r="HDJ18" s="159"/>
      <c r="HDK18" s="159"/>
      <c r="HDL18" s="159"/>
      <c r="HDM18" s="159"/>
      <c r="HDN18" s="159"/>
      <c r="HDO18" s="159"/>
      <c r="HDP18" s="159"/>
      <c r="HDQ18" s="159"/>
      <c r="HDR18" s="159"/>
      <c r="HDS18" s="159"/>
      <c r="HDT18" s="159"/>
      <c r="HDU18" s="159"/>
      <c r="HDV18" s="159"/>
      <c r="HDW18" s="159"/>
      <c r="HDX18" s="159"/>
      <c r="HDY18" s="159"/>
      <c r="HDZ18" s="159"/>
      <c r="HEA18" s="159"/>
      <c r="HEB18" s="159"/>
      <c r="HEC18" s="159"/>
      <c r="HED18" s="159"/>
      <c r="HEE18" s="159"/>
      <c r="HEF18" s="159"/>
      <c r="HEG18" s="159"/>
      <c r="HEH18" s="159"/>
      <c r="HEI18" s="159"/>
      <c r="HEJ18" s="159"/>
      <c r="HEK18" s="159"/>
      <c r="HEL18" s="159"/>
      <c r="HEM18" s="159"/>
      <c r="HEN18" s="159"/>
      <c r="HEO18" s="159"/>
      <c r="HEP18" s="159"/>
      <c r="HEQ18" s="159"/>
      <c r="HER18" s="159"/>
      <c r="HES18" s="159"/>
      <c r="HET18" s="159"/>
      <c r="HEU18" s="159"/>
      <c r="HEV18" s="159"/>
      <c r="HEW18" s="159"/>
      <c r="HEX18" s="159"/>
      <c r="HEY18" s="159"/>
      <c r="HEZ18" s="159"/>
      <c r="HFA18" s="159"/>
      <c r="HFB18" s="159"/>
      <c r="HFC18" s="159"/>
      <c r="HFD18" s="159"/>
      <c r="HFE18" s="159"/>
      <c r="HFF18" s="159"/>
      <c r="HFG18" s="159"/>
      <c r="HFH18" s="159"/>
      <c r="HFI18" s="159"/>
      <c r="HFJ18" s="159"/>
      <c r="HFK18" s="159"/>
      <c r="HFL18" s="159"/>
      <c r="HFM18" s="159"/>
      <c r="HFN18" s="159"/>
      <c r="HFO18" s="159"/>
      <c r="HFP18" s="159"/>
      <c r="HFQ18" s="159"/>
      <c r="HFR18" s="159"/>
      <c r="HFS18" s="159"/>
      <c r="HFT18" s="159"/>
      <c r="HFU18" s="159"/>
      <c r="HFV18" s="159"/>
      <c r="HFW18" s="159"/>
      <c r="HFX18" s="159"/>
      <c r="HFY18" s="159"/>
      <c r="HFZ18" s="159"/>
      <c r="HGA18" s="159"/>
      <c r="HGB18" s="159"/>
      <c r="HGC18" s="159"/>
      <c r="HGD18" s="159"/>
      <c r="HGE18" s="159"/>
      <c r="HGF18" s="159"/>
      <c r="HGG18" s="159"/>
      <c r="HGH18" s="159"/>
      <c r="HGI18" s="159"/>
      <c r="HGJ18" s="159"/>
      <c r="HGK18" s="159"/>
      <c r="HGL18" s="159"/>
      <c r="HGM18" s="159"/>
      <c r="HGN18" s="159"/>
      <c r="HGO18" s="159"/>
      <c r="HGP18" s="159"/>
      <c r="HGQ18" s="159"/>
      <c r="HGR18" s="159"/>
      <c r="HGS18" s="159"/>
      <c r="HGT18" s="159"/>
      <c r="HGU18" s="159"/>
      <c r="HGV18" s="159"/>
      <c r="HGW18" s="159"/>
      <c r="HGX18" s="159"/>
      <c r="HGY18" s="159"/>
      <c r="HGZ18" s="159"/>
      <c r="HHA18" s="159"/>
      <c r="HHB18" s="159"/>
      <c r="HHC18" s="159"/>
      <c r="HHD18" s="159"/>
      <c r="HHE18" s="159"/>
      <c r="HHF18" s="159"/>
      <c r="HHG18" s="159"/>
      <c r="HHH18" s="159"/>
      <c r="HHI18" s="159"/>
      <c r="HHJ18" s="159"/>
      <c r="HHK18" s="159"/>
      <c r="HHL18" s="159"/>
      <c r="HHM18" s="159"/>
      <c r="HHN18" s="159"/>
      <c r="HHO18" s="159"/>
      <c r="HHP18" s="159"/>
      <c r="HHQ18" s="159"/>
      <c r="HHR18" s="159"/>
      <c r="HHS18" s="159"/>
      <c r="HHT18" s="159"/>
      <c r="HHU18" s="159"/>
      <c r="HHV18" s="159"/>
      <c r="HHW18" s="159"/>
      <c r="HHX18" s="159"/>
      <c r="HHY18" s="159"/>
      <c r="HHZ18" s="159"/>
      <c r="HIA18" s="159"/>
      <c r="HIB18" s="159"/>
      <c r="HIC18" s="159"/>
      <c r="HID18" s="159"/>
      <c r="HIE18" s="159"/>
      <c r="HIF18" s="159"/>
      <c r="HIG18" s="159"/>
      <c r="HIH18" s="159"/>
      <c r="HII18" s="159"/>
      <c r="HIJ18" s="159"/>
      <c r="HIK18" s="159"/>
      <c r="HIL18" s="159"/>
      <c r="HIM18" s="159"/>
      <c r="HIN18" s="159"/>
      <c r="HIO18" s="159"/>
      <c r="HIP18" s="159"/>
      <c r="HIQ18" s="159"/>
      <c r="HIR18" s="159"/>
      <c r="HIS18" s="159"/>
      <c r="HIT18" s="159"/>
      <c r="HIU18" s="159"/>
      <c r="HIV18" s="159"/>
      <c r="HIW18" s="159"/>
      <c r="HIX18" s="159"/>
      <c r="HIY18" s="159"/>
      <c r="HIZ18" s="159"/>
      <c r="HJA18" s="159"/>
      <c r="HJB18" s="159"/>
      <c r="HJC18" s="159"/>
      <c r="HJD18" s="159"/>
      <c r="HJE18" s="159"/>
      <c r="HJF18" s="159"/>
      <c r="HJG18" s="159"/>
      <c r="HJH18" s="159"/>
      <c r="HJI18" s="159"/>
      <c r="HJJ18" s="159"/>
      <c r="HJK18" s="159"/>
      <c r="HJL18" s="159"/>
      <c r="HJM18" s="159"/>
      <c r="HJN18" s="159"/>
      <c r="HJO18" s="159"/>
      <c r="HJP18" s="159"/>
      <c r="HJQ18" s="159"/>
      <c r="HJR18" s="159"/>
      <c r="HJS18" s="159"/>
      <c r="HJT18" s="159"/>
      <c r="HJU18" s="159"/>
      <c r="HJV18" s="159"/>
      <c r="HJW18" s="159"/>
      <c r="HJX18" s="159"/>
      <c r="HJY18" s="159"/>
      <c r="HJZ18" s="159"/>
      <c r="HKA18" s="159"/>
      <c r="HKB18" s="159"/>
      <c r="HKC18" s="159"/>
      <c r="HKD18" s="159"/>
      <c r="HKE18" s="159"/>
      <c r="HKF18" s="159"/>
      <c r="HKG18" s="159"/>
      <c r="HKH18" s="159"/>
      <c r="HKI18" s="159"/>
      <c r="HKJ18" s="159"/>
      <c r="HKK18" s="159"/>
      <c r="HKL18" s="159"/>
      <c r="HKM18" s="159"/>
      <c r="HKN18" s="159"/>
      <c r="HKO18" s="159"/>
      <c r="HKP18" s="159"/>
      <c r="HKQ18" s="159"/>
      <c r="HKR18" s="159"/>
      <c r="HKS18" s="159"/>
      <c r="HKT18" s="159"/>
      <c r="HKU18" s="159"/>
      <c r="HKV18" s="159"/>
      <c r="HKW18" s="159"/>
      <c r="HKX18" s="159"/>
      <c r="HKY18" s="159"/>
      <c r="HKZ18" s="159"/>
      <c r="HLA18" s="159"/>
      <c r="HLB18" s="159"/>
      <c r="HLC18" s="159"/>
      <c r="HLD18" s="159"/>
      <c r="HLE18" s="159"/>
      <c r="HLF18" s="159"/>
      <c r="HLG18" s="159"/>
      <c r="HLH18" s="159"/>
      <c r="HLI18" s="159"/>
      <c r="HLJ18" s="159"/>
      <c r="HLK18" s="159"/>
      <c r="HLL18" s="159"/>
      <c r="HLM18" s="159"/>
      <c r="HLN18" s="159"/>
      <c r="HLO18" s="159"/>
      <c r="HLP18" s="159"/>
      <c r="HLQ18" s="159"/>
      <c r="HLR18" s="159"/>
      <c r="HLS18" s="159"/>
      <c r="HLT18" s="159"/>
      <c r="HLU18" s="159"/>
      <c r="HLV18" s="159"/>
      <c r="HLW18" s="159"/>
      <c r="HLX18" s="159"/>
      <c r="HLY18" s="159"/>
      <c r="HLZ18" s="159"/>
      <c r="HMA18" s="159"/>
      <c r="HMB18" s="159"/>
      <c r="HMC18" s="159"/>
      <c r="HMD18" s="159"/>
      <c r="HME18" s="159"/>
      <c r="HMF18" s="159"/>
      <c r="HMG18" s="159"/>
      <c r="HMH18" s="159"/>
      <c r="HMI18" s="159"/>
      <c r="HMJ18" s="159"/>
      <c r="HMK18" s="159"/>
      <c r="HML18" s="159"/>
      <c r="HMM18" s="159"/>
      <c r="HMN18" s="159"/>
      <c r="HMO18" s="159"/>
      <c r="HMP18" s="159"/>
      <c r="HMQ18" s="159"/>
      <c r="HMR18" s="159"/>
      <c r="HMS18" s="159"/>
      <c r="HMT18" s="159"/>
      <c r="HMU18" s="159"/>
      <c r="HMV18" s="159"/>
      <c r="HMW18" s="159"/>
      <c r="HMX18" s="159"/>
      <c r="HMY18" s="159"/>
      <c r="HMZ18" s="159"/>
      <c r="HNA18" s="159"/>
      <c r="HNB18" s="159"/>
      <c r="HNC18" s="159"/>
      <c r="HND18" s="159"/>
      <c r="HNE18" s="159"/>
      <c r="HNF18" s="159"/>
      <c r="HNG18" s="159"/>
      <c r="HNH18" s="159"/>
      <c r="HNI18" s="159"/>
      <c r="HNJ18" s="159"/>
      <c r="HNK18" s="159"/>
      <c r="HNL18" s="159"/>
      <c r="HNM18" s="159"/>
      <c r="HNN18" s="159"/>
      <c r="HNO18" s="159"/>
      <c r="HNP18" s="159"/>
      <c r="HNQ18" s="159"/>
      <c r="HNR18" s="159"/>
      <c r="HNS18" s="159"/>
      <c r="HNT18" s="159"/>
      <c r="HNU18" s="159"/>
      <c r="HNV18" s="159"/>
      <c r="HNW18" s="159"/>
      <c r="HNX18" s="159"/>
      <c r="HNY18" s="159"/>
      <c r="HNZ18" s="159"/>
      <c r="HOA18" s="159"/>
      <c r="HOB18" s="159"/>
      <c r="HOC18" s="159"/>
      <c r="HOD18" s="159"/>
      <c r="HOE18" s="159"/>
      <c r="HOF18" s="159"/>
      <c r="HOG18" s="159"/>
      <c r="HOH18" s="159"/>
      <c r="HOI18" s="159"/>
      <c r="HOJ18" s="159"/>
      <c r="HOK18" s="159"/>
      <c r="HOL18" s="159"/>
      <c r="HOM18" s="159"/>
      <c r="HON18" s="159"/>
      <c r="HOO18" s="159"/>
      <c r="HOP18" s="159"/>
      <c r="HOQ18" s="159"/>
      <c r="HOR18" s="159"/>
      <c r="HOS18" s="159"/>
      <c r="HOT18" s="159"/>
      <c r="HOU18" s="159"/>
      <c r="HOV18" s="159"/>
      <c r="HOW18" s="159"/>
      <c r="HOX18" s="159"/>
      <c r="HOY18" s="159"/>
      <c r="HOZ18" s="159"/>
      <c r="HPA18" s="159"/>
      <c r="HPB18" s="159"/>
      <c r="HPC18" s="159"/>
      <c r="HPD18" s="159"/>
      <c r="HPE18" s="159"/>
      <c r="HPF18" s="159"/>
      <c r="HPG18" s="159"/>
      <c r="HPH18" s="159"/>
      <c r="HPI18" s="159"/>
      <c r="HPJ18" s="159"/>
      <c r="HPK18" s="159"/>
      <c r="HPL18" s="159"/>
      <c r="HPM18" s="159"/>
      <c r="HPN18" s="159"/>
      <c r="HPO18" s="159"/>
      <c r="HPP18" s="159"/>
      <c r="HPQ18" s="159"/>
      <c r="HPR18" s="159"/>
      <c r="HPS18" s="159"/>
      <c r="HPT18" s="159"/>
      <c r="HPU18" s="159"/>
      <c r="HPV18" s="159"/>
      <c r="HPW18" s="159"/>
      <c r="HPX18" s="159"/>
      <c r="HPY18" s="159"/>
      <c r="HPZ18" s="159"/>
      <c r="HQA18" s="159"/>
      <c r="HQB18" s="159"/>
      <c r="HQC18" s="159"/>
      <c r="HQD18" s="159"/>
      <c r="HQE18" s="159"/>
      <c r="HQF18" s="159"/>
      <c r="HQG18" s="159"/>
      <c r="HQH18" s="159"/>
      <c r="HQI18" s="159"/>
      <c r="HQJ18" s="159"/>
      <c r="HQK18" s="159"/>
      <c r="HQL18" s="159"/>
      <c r="HQM18" s="159"/>
      <c r="HQN18" s="159"/>
      <c r="HQO18" s="159"/>
      <c r="HQP18" s="159"/>
      <c r="HQQ18" s="159"/>
      <c r="HQR18" s="159"/>
      <c r="HQS18" s="159"/>
      <c r="HQT18" s="159"/>
      <c r="HQU18" s="159"/>
      <c r="HQV18" s="159"/>
      <c r="HQW18" s="159"/>
      <c r="HQX18" s="159"/>
      <c r="HQY18" s="159"/>
      <c r="HQZ18" s="159"/>
      <c r="HRA18" s="159"/>
      <c r="HRB18" s="159"/>
      <c r="HRC18" s="159"/>
      <c r="HRD18" s="159"/>
      <c r="HRE18" s="159"/>
      <c r="HRF18" s="159"/>
      <c r="HRG18" s="159"/>
      <c r="HRH18" s="159"/>
      <c r="HRI18" s="159"/>
      <c r="HRJ18" s="159"/>
      <c r="HRK18" s="159"/>
      <c r="HRL18" s="159"/>
      <c r="HRM18" s="159"/>
      <c r="HRN18" s="159"/>
      <c r="HRO18" s="159"/>
      <c r="HRP18" s="159"/>
      <c r="HRQ18" s="159"/>
      <c r="HRR18" s="159"/>
      <c r="HRS18" s="159"/>
      <c r="HRT18" s="159"/>
      <c r="HRU18" s="159"/>
      <c r="HRV18" s="159"/>
      <c r="HRW18" s="159"/>
      <c r="HRX18" s="159"/>
      <c r="HRY18" s="159"/>
      <c r="HRZ18" s="159"/>
      <c r="HSA18" s="159"/>
      <c r="HSB18" s="159"/>
      <c r="HSC18" s="159"/>
      <c r="HSD18" s="159"/>
      <c r="HSE18" s="159"/>
      <c r="HSF18" s="159"/>
      <c r="HSG18" s="159"/>
      <c r="HSH18" s="159"/>
      <c r="HSI18" s="159"/>
      <c r="HSJ18" s="159"/>
      <c r="HSK18" s="159"/>
      <c r="HSL18" s="159"/>
      <c r="HSM18" s="159"/>
      <c r="HSN18" s="159"/>
      <c r="HSO18" s="159"/>
      <c r="HSP18" s="159"/>
      <c r="HSQ18" s="159"/>
      <c r="HSR18" s="159"/>
      <c r="HSS18" s="159"/>
      <c r="HST18" s="159"/>
      <c r="HSU18" s="159"/>
      <c r="HSV18" s="159"/>
      <c r="HSW18" s="159"/>
      <c r="HSX18" s="159"/>
      <c r="HSY18" s="159"/>
      <c r="HSZ18" s="159"/>
      <c r="HTA18" s="159"/>
      <c r="HTB18" s="159"/>
      <c r="HTC18" s="159"/>
      <c r="HTD18" s="159"/>
      <c r="HTE18" s="159"/>
      <c r="HTF18" s="159"/>
      <c r="HTG18" s="159"/>
      <c r="HTH18" s="159"/>
      <c r="HTI18" s="159"/>
      <c r="HTJ18" s="159"/>
      <c r="HTK18" s="159"/>
      <c r="HTL18" s="159"/>
      <c r="HTM18" s="159"/>
      <c r="HTN18" s="159"/>
      <c r="HTO18" s="159"/>
      <c r="HTP18" s="159"/>
      <c r="HTQ18" s="159"/>
      <c r="HTR18" s="159"/>
      <c r="HTS18" s="159"/>
      <c r="HTT18" s="159"/>
      <c r="HTU18" s="159"/>
      <c r="HTV18" s="159"/>
      <c r="HTW18" s="159"/>
      <c r="HTX18" s="159"/>
      <c r="HTY18" s="159"/>
      <c r="HTZ18" s="159"/>
      <c r="HUA18" s="159"/>
      <c r="HUB18" s="159"/>
      <c r="HUC18" s="159"/>
      <c r="HUD18" s="159"/>
      <c r="HUE18" s="159"/>
      <c r="HUF18" s="159"/>
      <c r="HUG18" s="159"/>
      <c r="HUH18" s="159"/>
      <c r="HUI18" s="159"/>
      <c r="HUJ18" s="159"/>
      <c r="HUK18" s="159"/>
      <c r="HUL18" s="159"/>
      <c r="HUM18" s="159"/>
      <c r="HUN18" s="159"/>
      <c r="HUO18" s="159"/>
      <c r="HUP18" s="159"/>
      <c r="HUQ18" s="159"/>
      <c r="HUR18" s="159"/>
      <c r="HUS18" s="159"/>
      <c r="HUT18" s="159"/>
      <c r="HUU18" s="159"/>
      <c r="HUV18" s="159"/>
      <c r="HUW18" s="159"/>
      <c r="HUX18" s="159"/>
      <c r="HUY18" s="159"/>
      <c r="HUZ18" s="159"/>
      <c r="HVA18" s="159"/>
      <c r="HVB18" s="159"/>
      <c r="HVC18" s="159"/>
      <c r="HVD18" s="159"/>
      <c r="HVE18" s="159"/>
      <c r="HVF18" s="159"/>
      <c r="HVG18" s="159"/>
      <c r="HVH18" s="159"/>
      <c r="HVI18" s="159"/>
      <c r="HVJ18" s="159"/>
      <c r="HVK18" s="159"/>
      <c r="HVL18" s="159"/>
      <c r="HVM18" s="159"/>
      <c r="HVN18" s="159"/>
      <c r="HVO18" s="159"/>
      <c r="HVP18" s="159"/>
      <c r="HVQ18" s="159"/>
      <c r="HVR18" s="159"/>
      <c r="HVS18" s="159"/>
      <c r="HVT18" s="159"/>
      <c r="HVU18" s="159"/>
      <c r="HVV18" s="159"/>
      <c r="HVW18" s="159"/>
      <c r="HVX18" s="159"/>
      <c r="HVY18" s="159"/>
      <c r="HVZ18" s="159"/>
      <c r="HWA18" s="159"/>
      <c r="HWB18" s="159"/>
      <c r="HWC18" s="159"/>
      <c r="HWD18" s="159"/>
      <c r="HWE18" s="159"/>
      <c r="HWF18" s="159"/>
      <c r="HWG18" s="159"/>
      <c r="HWH18" s="159"/>
      <c r="HWI18" s="159"/>
      <c r="HWJ18" s="159"/>
      <c r="HWK18" s="159"/>
      <c r="HWL18" s="159"/>
      <c r="HWM18" s="159"/>
      <c r="HWN18" s="159"/>
      <c r="HWO18" s="159"/>
      <c r="HWP18" s="159"/>
      <c r="HWQ18" s="159"/>
      <c r="HWR18" s="159"/>
      <c r="HWS18" s="159"/>
      <c r="HWT18" s="159"/>
      <c r="HWU18" s="159"/>
      <c r="HWV18" s="159"/>
      <c r="HWW18" s="159"/>
      <c r="HWX18" s="159"/>
      <c r="HWY18" s="159"/>
      <c r="HWZ18" s="159"/>
      <c r="HXA18" s="159"/>
      <c r="HXB18" s="159"/>
      <c r="HXC18" s="159"/>
      <c r="HXD18" s="159"/>
      <c r="HXE18" s="159"/>
      <c r="HXF18" s="159"/>
      <c r="HXG18" s="159"/>
      <c r="HXH18" s="159"/>
      <c r="HXI18" s="159"/>
      <c r="HXJ18" s="159"/>
      <c r="HXK18" s="159"/>
      <c r="HXL18" s="159"/>
      <c r="HXM18" s="159"/>
      <c r="HXN18" s="159"/>
      <c r="HXO18" s="159"/>
      <c r="HXP18" s="159"/>
      <c r="HXQ18" s="159"/>
      <c r="HXR18" s="159"/>
      <c r="HXS18" s="159"/>
      <c r="HXT18" s="159"/>
      <c r="HXU18" s="159"/>
      <c r="HXV18" s="159"/>
      <c r="HXW18" s="159"/>
      <c r="HXX18" s="159"/>
      <c r="HXY18" s="159"/>
      <c r="HXZ18" s="159"/>
      <c r="HYA18" s="159"/>
      <c r="HYB18" s="159"/>
      <c r="HYC18" s="159"/>
      <c r="HYD18" s="159"/>
      <c r="HYE18" s="159"/>
      <c r="HYF18" s="159"/>
      <c r="HYG18" s="159"/>
      <c r="HYH18" s="159"/>
      <c r="HYI18" s="159"/>
      <c r="HYJ18" s="159"/>
      <c r="HYK18" s="159"/>
      <c r="HYL18" s="159"/>
      <c r="HYM18" s="159"/>
      <c r="HYN18" s="159"/>
      <c r="HYO18" s="159"/>
      <c r="HYP18" s="159"/>
      <c r="HYQ18" s="159"/>
      <c r="HYR18" s="159"/>
      <c r="HYS18" s="159"/>
      <c r="HYT18" s="159"/>
      <c r="HYU18" s="159"/>
      <c r="HYV18" s="159"/>
      <c r="HYW18" s="159"/>
      <c r="HYX18" s="159"/>
      <c r="HYY18" s="159"/>
      <c r="HYZ18" s="159"/>
      <c r="HZA18" s="159"/>
      <c r="HZB18" s="159"/>
      <c r="HZC18" s="159"/>
      <c r="HZD18" s="159"/>
      <c r="HZE18" s="159"/>
      <c r="HZF18" s="159"/>
      <c r="HZG18" s="159"/>
      <c r="HZH18" s="159"/>
      <c r="HZI18" s="159"/>
      <c r="HZJ18" s="159"/>
      <c r="HZK18" s="159"/>
      <c r="HZL18" s="159"/>
      <c r="HZM18" s="159"/>
      <c r="HZN18" s="159"/>
      <c r="HZO18" s="159"/>
      <c r="HZP18" s="159"/>
      <c r="HZQ18" s="159"/>
      <c r="HZR18" s="159"/>
      <c r="HZS18" s="159"/>
      <c r="HZT18" s="159"/>
      <c r="HZU18" s="159"/>
      <c r="HZV18" s="159"/>
      <c r="HZW18" s="159"/>
      <c r="HZX18" s="159"/>
      <c r="HZY18" s="159"/>
      <c r="HZZ18" s="159"/>
      <c r="IAA18" s="159"/>
      <c r="IAB18" s="159"/>
      <c r="IAC18" s="159"/>
      <c r="IAD18" s="159"/>
      <c r="IAE18" s="159"/>
      <c r="IAF18" s="159"/>
      <c r="IAG18" s="159"/>
      <c r="IAH18" s="159"/>
      <c r="IAI18" s="159"/>
      <c r="IAJ18" s="159"/>
      <c r="IAK18" s="159"/>
      <c r="IAL18" s="159"/>
      <c r="IAM18" s="159"/>
      <c r="IAN18" s="159"/>
      <c r="IAO18" s="159"/>
      <c r="IAP18" s="159"/>
      <c r="IAQ18" s="159"/>
      <c r="IAR18" s="159"/>
      <c r="IAS18" s="159"/>
      <c r="IAT18" s="159"/>
      <c r="IAU18" s="159"/>
      <c r="IAV18" s="159"/>
      <c r="IAW18" s="159"/>
      <c r="IAX18" s="159"/>
      <c r="IAY18" s="159"/>
      <c r="IAZ18" s="159"/>
      <c r="IBA18" s="159"/>
      <c r="IBB18" s="159"/>
      <c r="IBC18" s="159"/>
      <c r="IBD18" s="159"/>
      <c r="IBE18" s="159"/>
      <c r="IBF18" s="159"/>
      <c r="IBG18" s="159"/>
      <c r="IBH18" s="159"/>
      <c r="IBI18" s="159"/>
      <c r="IBJ18" s="159"/>
      <c r="IBK18" s="159"/>
      <c r="IBL18" s="159"/>
      <c r="IBM18" s="159"/>
      <c r="IBN18" s="159"/>
      <c r="IBO18" s="159"/>
      <c r="IBP18" s="159"/>
      <c r="IBQ18" s="159"/>
      <c r="IBR18" s="159"/>
      <c r="IBS18" s="159"/>
      <c r="IBT18" s="159"/>
      <c r="IBU18" s="159"/>
      <c r="IBV18" s="159"/>
      <c r="IBW18" s="159"/>
      <c r="IBX18" s="159"/>
      <c r="IBY18" s="159"/>
      <c r="IBZ18" s="159"/>
      <c r="ICA18" s="159"/>
      <c r="ICB18" s="159"/>
      <c r="ICC18" s="159"/>
      <c r="ICD18" s="159"/>
      <c r="ICE18" s="159"/>
      <c r="ICF18" s="159"/>
      <c r="ICG18" s="159"/>
      <c r="ICH18" s="159"/>
      <c r="ICI18" s="159"/>
      <c r="ICJ18" s="159"/>
      <c r="ICK18" s="159"/>
      <c r="ICL18" s="159"/>
      <c r="ICM18" s="159"/>
      <c r="ICN18" s="159"/>
      <c r="ICO18" s="159"/>
      <c r="ICP18" s="159"/>
      <c r="ICQ18" s="159"/>
      <c r="ICR18" s="159"/>
      <c r="ICS18" s="159"/>
      <c r="ICT18" s="159"/>
      <c r="ICU18" s="159"/>
      <c r="ICV18" s="159"/>
      <c r="ICW18" s="159"/>
      <c r="ICX18" s="159"/>
      <c r="ICY18" s="159"/>
      <c r="ICZ18" s="159"/>
      <c r="IDA18" s="159"/>
      <c r="IDB18" s="159"/>
      <c r="IDC18" s="159"/>
      <c r="IDD18" s="159"/>
      <c r="IDE18" s="159"/>
      <c r="IDF18" s="159"/>
      <c r="IDG18" s="159"/>
      <c r="IDH18" s="159"/>
      <c r="IDI18" s="159"/>
      <c r="IDJ18" s="159"/>
      <c r="IDK18" s="159"/>
      <c r="IDL18" s="159"/>
      <c r="IDM18" s="159"/>
      <c r="IDN18" s="159"/>
      <c r="IDO18" s="159"/>
      <c r="IDP18" s="159"/>
      <c r="IDQ18" s="159"/>
      <c r="IDR18" s="159"/>
      <c r="IDS18" s="159"/>
      <c r="IDT18" s="159"/>
      <c r="IDU18" s="159"/>
      <c r="IDV18" s="159"/>
      <c r="IDW18" s="159"/>
      <c r="IDX18" s="159"/>
      <c r="IDY18" s="159"/>
      <c r="IDZ18" s="159"/>
      <c r="IEA18" s="159"/>
      <c r="IEB18" s="159"/>
      <c r="IEC18" s="159"/>
      <c r="IED18" s="159"/>
      <c r="IEE18" s="159"/>
      <c r="IEF18" s="159"/>
      <c r="IEG18" s="159"/>
      <c r="IEH18" s="159"/>
      <c r="IEI18" s="159"/>
      <c r="IEJ18" s="159"/>
      <c r="IEK18" s="159"/>
      <c r="IEL18" s="159"/>
      <c r="IEM18" s="159"/>
      <c r="IEN18" s="159"/>
      <c r="IEO18" s="159"/>
      <c r="IEP18" s="159"/>
      <c r="IEQ18" s="159"/>
      <c r="IER18" s="159"/>
      <c r="IES18" s="159"/>
      <c r="IET18" s="159"/>
      <c r="IEU18" s="159"/>
      <c r="IEV18" s="159"/>
      <c r="IEW18" s="159"/>
      <c r="IEX18" s="159"/>
      <c r="IEY18" s="159"/>
      <c r="IEZ18" s="159"/>
      <c r="IFA18" s="159"/>
      <c r="IFB18" s="159"/>
      <c r="IFC18" s="159"/>
      <c r="IFD18" s="159"/>
      <c r="IFE18" s="159"/>
      <c r="IFF18" s="159"/>
      <c r="IFG18" s="159"/>
      <c r="IFH18" s="159"/>
      <c r="IFI18" s="159"/>
      <c r="IFJ18" s="159"/>
      <c r="IFK18" s="159"/>
      <c r="IFL18" s="159"/>
      <c r="IFM18" s="159"/>
      <c r="IFN18" s="159"/>
      <c r="IFO18" s="159"/>
      <c r="IFP18" s="159"/>
      <c r="IFQ18" s="159"/>
      <c r="IFR18" s="159"/>
      <c r="IFS18" s="159"/>
      <c r="IFT18" s="159"/>
      <c r="IFU18" s="159"/>
      <c r="IFV18" s="159"/>
      <c r="IFW18" s="159"/>
      <c r="IFX18" s="159"/>
      <c r="IFY18" s="159"/>
      <c r="IFZ18" s="159"/>
      <c r="IGA18" s="159"/>
      <c r="IGB18" s="159"/>
      <c r="IGC18" s="159"/>
      <c r="IGD18" s="159"/>
      <c r="IGE18" s="159"/>
      <c r="IGF18" s="159"/>
      <c r="IGG18" s="159"/>
      <c r="IGH18" s="159"/>
      <c r="IGI18" s="159"/>
      <c r="IGJ18" s="159"/>
      <c r="IGK18" s="159"/>
      <c r="IGL18" s="159"/>
      <c r="IGM18" s="159"/>
      <c r="IGN18" s="159"/>
      <c r="IGO18" s="159"/>
      <c r="IGP18" s="159"/>
      <c r="IGQ18" s="159"/>
      <c r="IGR18" s="159"/>
      <c r="IGS18" s="159"/>
      <c r="IGT18" s="159"/>
      <c r="IGU18" s="159"/>
      <c r="IGV18" s="159"/>
      <c r="IGW18" s="159"/>
      <c r="IGX18" s="159"/>
      <c r="IGY18" s="159"/>
      <c r="IGZ18" s="159"/>
      <c r="IHA18" s="159"/>
      <c r="IHB18" s="159"/>
      <c r="IHC18" s="159"/>
      <c r="IHD18" s="159"/>
      <c r="IHE18" s="159"/>
      <c r="IHF18" s="159"/>
      <c r="IHG18" s="159"/>
      <c r="IHH18" s="159"/>
      <c r="IHI18" s="159"/>
      <c r="IHJ18" s="159"/>
      <c r="IHK18" s="159"/>
      <c r="IHL18" s="159"/>
      <c r="IHM18" s="159"/>
      <c r="IHN18" s="159"/>
      <c r="IHO18" s="159"/>
      <c r="IHP18" s="159"/>
      <c r="IHQ18" s="159"/>
      <c r="IHR18" s="159"/>
      <c r="IHS18" s="159"/>
      <c r="IHT18" s="159"/>
      <c r="IHU18" s="159"/>
      <c r="IHV18" s="159"/>
      <c r="IHW18" s="159"/>
      <c r="IHX18" s="159"/>
      <c r="IHY18" s="159"/>
      <c r="IHZ18" s="159"/>
      <c r="IIA18" s="159"/>
      <c r="IIB18" s="159"/>
      <c r="IIC18" s="159"/>
      <c r="IID18" s="159"/>
      <c r="IIE18" s="159"/>
      <c r="IIF18" s="159"/>
      <c r="IIG18" s="159"/>
      <c r="IIH18" s="159"/>
      <c r="III18" s="159"/>
      <c r="IIJ18" s="159"/>
      <c r="IIK18" s="159"/>
      <c r="IIL18" s="159"/>
      <c r="IIM18" s="159"/>
      <c r="IIN18" s="159"/>
      <c r="IIO18" s="159"/>
      <c r="IIP18" s="159"/>
      <c r="IIQ18" s="159"/>
      <c r="IIR18" s="159"/>
      <c r="IIS18" s="159"/>
      <c r="IIT18" s="159"/>
      <c r="IIU18" s="159"/>
      <c r="IIV18" s="159"/>
      <c r="IIW18" s="159"/>
      <c r="IIX18" s="159"/>
      <c r="IIY18" s="159"/>
      <c r="IIZ18" s="159"/>
      <c r="IJA18" s="159"/>
      <c r="IJB18" s="159"/>
      <c r="IJC18" s="159"/>
      <c r="IJD18" s="159"/>
      <c r="IJE18" s="159"/>
      <c r="IJF18" s="159"/>
      <c r="IJG18" s="159"/>
      <c r="IJH18" s="159"/>
      <c r="IJI18" s="159"/>
      <c r="IJJ18" s="159"/>
      <c r="IJK18" s="159"/>
      <c r="IJL18" s="159"/>
      <c r="IJM18" s="159"/>
      <c r="IJN18" s="159"/>
      <c r="IJO18" s="159"/>
      <c r="IJP18" s="159"/>
      <c r="IJQ18" s="159"/>
      <c r="IJR18" s="159"/>
      <c r="IJS18" s="159"/>
      <c r="IJT18" s="159"/>
      <c r="IJU18" s="159"/>
      <c r="IJV18" s="159"/>
      <c r="IJW18" s="159"/>
      <c r="IJX18" s="159"/>
      <c r="IJY18" s="159"/>
      <c r="IJZ18" s="159"/>
      <c r="IKA18" s="159"/>
      <c r="IKB18" s="159"/>
      <c r="IKC18" s="159"/>
      <c r="IKD18" s="159"/>
      <c r="IKE18" s="159"/>
      <c r="IKF18" s="159"/>
      <c r="IKG18" s="159"/>
      <c r="IKH18" s="159"/>
      <c r="IKI18" s="159"/>
      <c r="IKJ18" s="159"/>
      <c r="IKK18" s="159"/>
      <c r="IKL18" s="159"/>
      <c r="IKM18" s="159"/>
      <c r="IKN18" s="159"/>
      <c r="IKO18" s="159"/>
      <c r="IKP18" s="159"/>
      <c r="IKQ18" s="159"/>
      <c r="IKR18" s="159"/>
      <c r="IKS18" s="159"/>
      <c r="IKT18" s="159"/>
      <c r="IKU18" s="159"/>
      <c r="IKV18" s="159"/>
      <c r="IKW18" s="159"/>
      <c r="IKX18" s="159"/>
      <c r="IKY18" s="159"/>
      <c r="IKZ18" s="159"/>
      <c r="ILA18" s="159"/>
      <c r="ILB18" s="159"/>
      <c r="ILC18" s="159"/>
      <c r="ILD18" s="159"/>
      <c r="ILE18" s="159"/>
      <c r="ILF18" s="159"/>
      <c r="ILG18" s="159"/>
      <c r="ILH18" s="159"/>
      <c r="ILI18" s="159"/>
      <c r="ILJ18" s="159"/>
      <c r="ILK18" s="159"/>
      <c r="ILL18" s="159"/>
      <c r="ILM18" s="159"/>
      <c r="ILN18" s="159"/>
      <c r="ILO18" s="159"/>
      <c r="ILP18" s="159"/>
      <c r="ILQ18" s="159"/>
      <c r="ILR18" s="159"/>
      <c r="ILS18" s="159"/>
      <c r="ILT18" s="159"/>
      <c r="ILU18" s="159"/>
      <c r="ILV18" s="159"/>
      <c r="ILW18" s="159"/>
      <c r="ILX18" s="159"/>
      <c r="ILY18" s="159"/>
      <c r="ILZ18" s="159"/>
      <c r="IMA18" s="159"/>
      <c r="IMB18" s="159"/>
      <c r="IMC18" s="159"/>
      <c r="IMD18" s="159"/>
      <c r="IME18" s="159"/>
      <c r="IMF18" s="159"/>
      <c r="IMG18" s="159"/>
      <c r="IMH18" s="159"/>
      <c r="IMI18" s="159"/>
      <c r="IMJ18" s="159"/>
      <c r="IMK18" s="159"/>
      <c r="IML18" s="159"/>
      <c r="IMM18" s="159"/>
      <c r="IMN18" s="159"/>
      <c r="IMO18" s="159"/>
      <c r="IMP18" s="159"/>
      <c r="IMQ18" s="159"/>
      <c r="IMR18" s="159"/>
      <c r="IMS18" s="159"/>
      <c r="IMT18" s="159"/>
      <c r="IMU18" s="159"/>
      <c r="IMV18" s="159"/>
      <c r="IMW18" s="159"/>
      <c r="IMX18" s="159"/>
      <c r="IMY18" s="159"/>
      <c r="IMZ18" s="159"/>
      <c r="INA18" s="159"/>
      <c r="INB18" s="159"/>
      <c r="INC18" s="159"/>
      <c r="IND18" s="159"/>
      <c r="INE18" s="159"/>
      <c r="INF18" s="159"/>
      <c r="ING18" s="159"/>
      <c r="INH18" s="159"/>
      <c r="INI18" s="159"/>
      <c r="INJ18" s="159"/>
      <c r="INK18" s="159"/>
      <c r="INL18" s="159"/>
      <c r="INM18" s="159"/>
      <c r="INN18" s="159"/>
      <c r="INO18" s="159"/>
      <c r="INP18" s="159"/>
      <c r="INQ18" s="159"/>
      <c r="INR18" s="159"/>
      <c r="INS18" s="159"/>
      <c r="INT18" s="159"/>
      <c r="INU18" s="159"/>
      <c r="INV18" s="159"/>
      <c r="INW18" s="159"/>
      <c r="INX18" s="159"/>
      <c r="INY18" s="159"/>
      <c r="INZ18" s="159"/>
      <c r="IOA18" s="159"/>
      <c r="IOB18" s="159"/>
      <c r="IOC18" s="159"/>
      <c r="IOD18" s="159"/>
      <c r="IOE18" s="159"/>
      <c r="IOF18" s="159"/>
      <c r="IOG18" s="159"/>
      <c r="IOH18" s="159"/>
      <c r="IOI18" s="159"/>
      <c r="IOJ18" s="159"/>
      <c r="IOK18" s="159"/>
      <c r="IOL18" s="159"/>
      <c r="IOM18" s="159"/>
      <c r="ION18" s="159"/>
      <c r="IOO18" s="159"/>
      <c r="IOP18" s="159"/>
      <c r="IOQ18" s="159"/>
      <c r="IOR18" s="159"/>
      <c r="IOS18" s="159"/>
      <c r="IOT18" s="159"/>
      <c r="IOU18" s="159"/>
      <c r="IOV18" s="159"/>
      <c r="IOW18" s="159"/>
      <c r="IOX18" s="159"/>
      <c r="IOY18" s="159"/>
      <c r="IOZ18" s="159"/>
      <c r="IPA18" s="159"/>
      <c r="IPB18" s="159"/>
      <c r="IPC18" s="159"/>
      <c r="IPD18" s="159"/>
      <c r="IPE18" s="159"/>
      <c r="IPF18" s="159"/>
      <c r="IPG18" s="159"/>
      <c r="IPH18" s="159"/>
      <c r="IPI18" s="159"/>
      <c r="IPJ18" s="159"/>
      <c r="IPK18" s="159"/>
      <c r="IPL18" s="159"/>
      <c r="IPM18" s="159"/>
      <c r="IPN18" s="159"/>
      <c r="IPO18" s="159"/>
      <c r="IPP18" s="159"/>
      <c r="IPQ18" s="159"/>
      <c r="IPR18" s="159"/>
      <c r="IPS18" s="159"/>
      <c r="IPT18" s="159"/>
      <c r="IPU18" s="159"/>
      <c r="IPV18" s="159"/>
      <c r="IPW18" s="159"/>
      <c r="IPX18" s="159"/>
      <c r="IPY18" s="159"/>
      <c r="IPZ18" s="159"/>
      <c r="IQA18" s="159"/>
      <c r="IQB18" s="159"/>
      <c r="IQC18" s="159"/>
      <c r="IQD18" s="159"/>
      <c r="IQE18" s="159"/>
      <c r="IQF18" s="159"/>
      <c r="IQG18" s="159"/>
      <c r="IQH18" s="159"/>
      <c r="IQI18" s="159"/>
      <c r="IQJ18" s="159"/>
      <c r="IQK18" s="159"/>
      <c r="IQL18" s="159"/>
      <c r="IQM18" s="159"/>
      <c r="IQN18" s="159"/>
      <c r="IQO18" s="159"/>
      <c r="IQP18" s="159"/>
      <c r="IQQ18" s="159"/>
      <c r="IQR18" s="159"/>
      <c r="IQS18" s="159"/>
      <c r="IQT18" s="159"/>
      <c r="IQU18" s="159"/>
      <c r="IQV18" s="159"/>
      <c r="IQW18" s="159"/>
      <c r="IQX18" s="159"/>
      <c r="IQY18" s="159"/>
      <c r="IQZ18" s="159"/>
      <c r="IRA18" s="159"/>
      <c r="IRB18" s="159"/>
      <c r="IRC18" s="159"/>
      <c r="IRD18" s="159"/>
      <c r="IRE18" s="159"/>
      <c r="IRF18" s="159"/>
      <c r="IRG18" s="159"/>
      <c r="IRH18" s="159"/>
      <c r="IRI18" s="159"/>
      <c r="IRJ18" s="159"/>
      <c r="IRK18" s="159"/>
      <c r="IRL18" s="159"/>
      <c r="IRM18" s="159"/>
      <c r="IRN18" s="159"/>
      <c r="IRO18" s="159"/>
      <c r="IRP18" s="159"/>
      <c r="IRQ18" s="159"/>
      <c r="IRR18" s="159"/>
      <c r="IRS18" s="159"/>
      <c r="IRT18" s="159"/>
      <c r="IRU18" s="159"/>
      <c r="IRV18" s="159"/>
      <c r="IRW18" s="159"/>
      <c r="IRX18" s="159"/>
      <c r="IRY18" s="159"/>
      <c r="IRZ18" s="159"/>
      <c r="ISA18" s="159"/>
      <c r="ISB18" s="159"/>
      <c r="ISC18" s="159"/>
      <c r="ISD18" s="159"/>
      <c r="ISE18" s="159"/>
      <c r="ISF18" s="159"/>
      <c r="ISG18" s="159"/>
      <c r="ISH18" s="159"/>
      <c r="ISI18" s="159"/>
      <c r="ISJ18" s="159"/>
      <c r="ISK18" s="159"/>
      <c r="ISL18" s="159"/>
      <c r="ISM18" s="159"/>
      <c r="ISN18" s="159"/>
      <c r="ISO18" s="159"/>
      <c r="ISP18" s="159"/>
      <c r="ISQ18" s="159"/>
      <c r="ISR18" s="159"/>
      <c r="ISS18" s="159"/>
      <c r="IST18" s="159"/>
      <c r="ISU18" s="159"/>
      <c r="ISV18" s="159"/>
      <c r="ISW18" s="159"/>
      <c r="ISX18" s="159"/>
      <c r="ISY18" s="159"/>
      <c r="ISZ18" s="159"/>
      <c r="ITA18" s="159"/>
      <c r="ITB18" s="159"/>
      <c r="ITC18" s="159"/>
      <c r="ITD18" s="159"/>
      <c r="ITE18" s="159"/>
      <c r="ITF18" s="159"/>
      <c r="ITG18" s="159"/>
      <c r="ITH18" s="159"/>
      <c r="ITI18" s="159"/>
      <c r="ITJ18" s="159"/>
      <c r="ITK18" s="159"/>
      <c r="ITL18" s="159"/>
      <c r="ITM18" s="159"/>
      <c r="ITN18" s="159"/>
      <c r="ITO18" s="159"/>
      <c r="ITP18" s="159"/>
      <c r="ITQ18" s="159"/>
      <c r="ITR18" s="159"/>
      <c r="ITS18" s="159"/>
      <c r="ITT18" s="159"/>
      <c r="ITU18" s="159"/>
      <c r="ITV18" s="159"/>
      <c r="ITW18" s="159"/>
      <c r="ITX18" s="159"/>
      <c r="ITY18" s="159"/>
      <c r="ITZ18" s="159"/>
      <c r="IUA18" s="159"/>
      <c r="IUB18" s="159"/>
      <c r="IUC18" s="159"/>
      <c r="IUD18" s="159"/>
      <c r="IUE18" s="159"/>
      <c r="IUF18" s="159"/>
      <c r="IUG18" s="159"/>
      <c r="IUH18" s="159"/>
      <c r="IUI18" s="159"/>
      <c r="IUJ18" s="159"/>
      <c r="IUK18" s="159"/>
      <c r="IUL18" s="159"/>
      <c r="IUM18" s="159"/>
      <c r="IUN18" s="159"/>
      <c r="IUO18" s="159"/>
      <c r="IUP18" s="159"/>
      <c r="IUQ18" s="159"/>
      <c r="IUR18" s="159"/>
      <c r="IUS18" s="159"/>
      <c r="IUT18" s="159"/>
      <c r="IUU18" s="159"/>
      <c r="IUV18" s="159"/>
      <c r="IUW18" s="159"/>
      <c r="IUX18" s="159"/>
      <c r="IUY18" s="159"/>
      <c r="IUZ18" s="159"/>
      <c r="IVA18" s="159"/>
      <c r="IVB18" s="159"/>
      <c r="IVC18" s="159"/>
      <c r="IVD18" s="159"/>
      <c r="IVE18" s="159"/>
      <c r="IVF18" s="159"/>
      <c r="IVG18" s="159"/>
      <c r="IVH18" s="159"/>
      <c r="IVI18" s="159"/>
      <c r="IVJ18" s="159"/>
      <c r="IVK18" s="159"/>
      <c r="IVL18" s="159"/>
      <c r="IVM18" s="159"/>
      <c r="IVN18" s="159"/>
      <c r="IVO18" s="159"/>
      <c r="IVP18" s="159"/>
      <c r="IVQ18" s="159"/>
      <c r="IVR18" s="159"/>
      <c r="IVS18" s="159"/>
      <c r="IVT18" s="159"/>
      <c r="IVU18" s="159"/>
      <c r="IVV18" s="159"/>
      <c r="IVW18" s="159"/>
      <c r="IVX18" s="159"/>
      <c r="IVY18" s="159"/>
      <c r="IVZ18" s="159"/>
      <c r="IWA18" s="159"/>
      <c r="IWB18" s="159"/>
      <c r="IWC18" s="159"/>
      <c r="IWD18" s="159"/>
      <c r="IWE18" s="159"/>
      <c r="IWF18" s="159"/>
      <c r="IWG18" s="159"/>
      <c r="IWH18" s="159"/>
      <c r="IWI18" s="159"/>
      <c r="IWJ18" s="159"/>
      <c r="IWK18" s="159"/>
      <c r="IWL18" s="159"/>
      <c r="IWM18" s="159"/>
      <c r="IWN18" s="159"/>
      <c r="IWO18" s="159"/>
      <c r="IWP18" s="159"/>
      <c r="IWQ18" s="159"/>
      <c r="IWR18" s="159"/>
      <c r="IWS18" s="159"/>
      <c r="IWT18" s="159"/>
      <c r="IWU18" s="159"/>
      <c r="IWV18" s="159"/>
      <c r="IWW18" s="159"/>
      <c r="IWX18" s="159"/>
      <c r="IWY18" s="159"/>
      <c r="IWZ18" s="159"/>
      <c r="IXA18" s="159"/>
      <c r="IXB18" s="159"/>
      <c r="IXC18" s="159"/>
      <c r="IXD18" s="159"/>
      <c r="IXE18" s="159"/>
      <c r="IXF18" s="159"/>
      <c r="IXG18" s="159"/>
      <c r="IXH18" s="159"/>
      <c r="IXI18" s="159"/>
      <c r="IXJ18" s="159"/>
      <c r="IXK18" s="159"/>
      <c r="IXL18" s="159"/>
      <c r="IXM18" s="159"/>
      <c r="IXN18" s="159"/>
      <c r="IXO18" s="159"/>
      <c r="IXP18" s="159"/>
      <c r="IXQ18" s="159"/>
      <c r="IXR18" s="159"/>
      <c r="IXS18" s="159"/>
      <c r="IXT18" s="159"/>
      <c r="IXU18" s="159"/>
      <c r="IXV18" s="159"/>
      <c r="IXW18" s="159"/>
      <c r="IXX18" s="159"/>
      <c r="IXY18" s="159"/>
      <c r="IXZ18" s="159"/>
      <c r="IYA18" s="159"/>
      <c r="IYB18" s="159"/>
      <c r="IYC18" s="159"/>
      <c r="IYD18" s="159"/>
      <c r="IYE18" s="159"/>
      <c r="IYF18" s="159"/>
      <c r="IYG18" s="159"/>
      <c r="IYH18" s="159"/>
      <c r="IYI18" s="159"/>
      <c r="IYJ18" s="159"/>
      <c r="IYK18" s="159"/>
      <c r="IYL18" s="159"/>
      <c r="IYM18" s="159"/>
      <c r="IYN18" s="159"/>
      <c r="IYO18" s="159"/>
      <c r="IYP18" s="159"/>
      <c r="IYQ18" s="159"/>
      <c r="IYR18" s="159"/>
      <c r="IYS18" s="159"/>
      <c r="IYT18" s="159"/>
      <c r="IYU18" s="159"/>
      <c r="IYV18" s="159"/>
      <c r="IYW18" s="159"/>
      <c r="IYX18" s="159"/>
      <c r="IYY18" s="159"/>
      <c r="IYZ18" s="159"/>
      <c r="IZA18" s="159"/>
      <c r="IZB18" s="159"/>
      <c r="IZC18" s="159"/>
      <c r="IZD18" s="159"/>
      <c r="IZE18" s="159"/>
      <c r="IZF18" s="159"/>
      <c r="IZG18" s="159"/>
      <c r="IZH18" s="159"/>
      <c r="IZI18" s="159"/>
      <c r="IZJ18" s="159"/>
      <c r="IZK18" s="159"/>
      <c r="IZL18" s="159"/>
      <c r="IZM18" s="159"/>
      <c r="IZN18" s="159"/>
      <c r="IZO18" s="159"/>
      <c r="IZP18" s="159"/>
      <c r="IZQ18" s="159"/>
      <c r="IZR18" s="159"/>
      <c r="IZS18" s="159"/>
      <c r="IZT18" s="159"/>
      <c r="IZU18" s="159"/>
      <c r="IZV18" s="159"/>
      <c r="IZW18" s="159"/>
      <c r="IZX18" s="159"/>
      <c r="IZY18" s="159"/>
      <c r="IZZ18" s="159"/>
      <c r="JAA18" s="159"/>
      <c r="JAB18" s="159"/>
      <c r="JAC18" s="159"/>
      <c r="JAD18" s="159"/>
      <c r="JAE18" s="159"/>
      <c r="JAF18" s="159"/>
      <c r="JAG18" s="159"/>
      <c r="JAH18" s="159"/>
      <c r="JAI18" s="159"/>
      <c r="JAJ18" s="159"/>
      <c r="JAK18" s="159"/>
      <c r="JAL18" s="159"/>
      <c r="JAM18" s="159"/>
      <c r="JAN18" s="159"/>
      <c r="JAO18" s="159"/>
      <c r="JAP18" s="159"/>
      <c r="JAQ18" s="159"/>
      <c r="JAR18" s="159"/>
      <c r="JAS18" s="159"/>
      <c r="JAT18" s="159"/>
      <c r="JAU18" s="159"/>
      <c r="JAV18" s="159"/>
      <c r="JAW18" s="159"/>
      <c r="JAX18" s="159"/>
      <c r="JAY18" s="159"/>
      <c r="JAZ18" s="159"/>
      <c r="JBA18" s="159"/>
      <c r="JBB18" s="159"/>
      <c r="JBC18" s="159"/>
      <c r="JBD18" s="159"/>
      <c r="JBE18" s="159"/>
      <c r="JBF18" s="159"/>
      <c r="JBG18" s="159"/>
      <c r="JBH18" s="159"/>
      <c r="JBI18" s="159"/>
      <c r="JBJ18" s="159"/>
      <c r="JBK18" s="159"/>
      <c r="JBL18" s="159"/>
      <c r="JBM18" s="159"/>
      <c r="JBN18" s="159"/>
      <c r="JBO18" s="159"/>
      <c r="JBP18" s="159"/>
      <c r="JBQ18" s="159"/>
      <c r="JBR18" s="159"/>
      <c r="JBS18" s="159"/>
      <c r="JBT18" s="159"/>
      <c r="JBU18" s="159"/>
      <c r="JBV18" s="159"/>
      <c r="JBW18" s="159"/>
      <c r="JBX18" s="159"/>
      <c r="JBY18" s="159"/>
      <c r="JBZ18" s="159"/>
      <c r="JCA18" s="159"/>
      <c r="JCB18" s="159"/>
      <c r="JCC18" s="159"/>
      <c r="JCD18" s="159"/>
      <c r="JCE18" s="159"/>
      <c r="JCF18" s="159"/>
      <c r="JCG18" s="159"/>
      <c r="JCH18" s="159"/>
      <c r="JCI18" s="159"/>
      <c r="JCJ18" s="159"/>
      <c r="JCK18" s="159"/>
      <c r="JCL18" s="159"/>
      <c r="JCM18" s="159"/>
      <c r="JCN18" s="159"/>
      <c r="JCO18" s="159"/>
      <c r="JCP18" s="159"/>
      <c r="JCQ18" s="159"/>
      <c r="JCR18" s="159"/>
      <c r="JCS18" s="159"/>
      <c r="JCT18" s="159"/>
      <c r="JCU18" s="159"/>
      <c r="JCV18" s="159"/>
      <c r="JCW18" s="159"/>
      <c r="JCX18" s="159"/>
      <c r="JCY18" s="159"/>
      <c r="JCZ18" s="159"/>
      <c r="JDA18" s="159"/>
      <c r="JDB18" s="159"/>
      <c r="JDC18" s="159"/>
      <c r="JDD18" s="159"/>
      <c r="JDE18" s="159"/>
      <c r="JDF18" s="159"/>
      <c r="JDG18" s="159"/>
      <c r="JDH18" s="159"/>
      <c r="JDI18" s="159"/>
      <c r="JDJ18" s="159"/>
      <c r="JDK18" s="159"/>
      <c r="JDL18" s="159"/>
      <c r="JDM18" s="159"/>
      <c r="JDN18" s="159"/>
      <c r="JDO18" s="159"/>
      <c r="JDP18" s="159"/>
      <c r="JDQ18" s="159"/>
      <c r="JDR18" s="159"/>
      <c r="JDS18" s="159"/>
      <c r="JDT18" s="159"/>
      <c r="JDU18" s="159"/>
      <c r="JDV18" s="159"/>
      <c r="JDW18" s="159"/>
      <c r="JDX18" s="159"/>
      <c r="JDY18" s="159"/>
      <c r="JDZ18" s="159"/>
      <c r="JEA18" s="159"/>
      <c r="JEB18" s="159"/>
      <c r="JEC18" s="159"/>
      <c r="JED18" s="159"/>
      <c r="JEE18" s="159"/>
      <c r="JEF18" s="159"/>
      <c r="JEG18" s="159"/>
      <c r="JEH18" s="159"/>
      <c r="JEI18" s="159"/>
      <c r="JEJ18" s="159"/>
      <c r="JEK18" s="159"/>
      <c r="JEL18" s="159"/>
      <c r="JEM18" s="159"/>
      <c r="JEN18" s="159"/>
      <c r="JEO18" s="159"/>
      <c r="JEP18" s="159"/>
      <c r="JEQ18" s="159"/>
      <c r="JER18" s="159"/>
      <c r="JES18" s="159"/>
      <c r="JET18" s="159"/>
      <c r="JEU18" s="159"/>
      <c r="JEV18" s="159"/>
      <c r="JEW18" s="159"/>
      <c r="JEX18" s="159"/>
      <c r="JEY18" s="159"/>
      <c r="JEZ18" s="159"/>
      <c r="JFA18" s="159"/>
      <c r="JFB18" s="159"/>
      <c r="JFC18" s="159"/>
      <c r="JFD18" s="159"/>
      <c r="JFE18" s="159"/>
      <c r="JFF18" s="159"/>
      <c r="JFG18" s="159"/>
      <c r="JFH18" s="159"/>
      <c r="JFI18" s="159"/>
      <c r="JFJ18" s="159"/>
      <c r="JFK18" s="159"/>
      <c r="JFL18" s="159"/>
      <c r="JFM18" s="159"/>
      <c r="JFN18" s="159"/>
      <c r="JFO18" s="159"/>
      <c r="JFP18" s="159"/>
      <c r="JFQ18" s="159"/>
      <c r="JFR18" s="159"/>
      <c r="JFS18" s="159"/>
      <c r="JFT18" s="159"/>
      <c r="JFU18" s="159"/>
      <c r="JFV18" s="159"/>
      <c r="JFW18" s="159"/>
      <c r="JFX18" s="159"/>
      <c r="JFY18" s="159"/>
      <c r="JFZ18" s="159"/>
      <c r="JGA18" s="159"/>
      <c r="JGB18" s="159"/>
      <c r="JGC18" s="159"/>
      <c r="JGD18" s="159"/>
      <c r="JGE18" s="159"/>
      <c r="JGF18" s="159"/>
      <c r="JGG18" s="159"/>
      <c r="JGH18" s="159"/>
      <c r="JGI18" s="159"/>
      <c r="JGJ18" s="159"/>
      <c r="JGK18" s="159"/>
      <c r="JGL18" s="159"/>
      <c r="JGM18" s="159"/>
      <c r="JGN18" s="159"/>
      <c r="JGO18" s="159"/>
      <c r="JGP18" s="159"/>
      <c r="JGQ18" s="159"/>
      <c r="JGR18" s="159"/>
      <c r="JGS18" s="159"/>
      <c r="JGT18" s="159"/>
      <c r="JGU18" s="159"/>
      <c r="JGV18" s="159"/>
      <c r="JGW18" s="159"/>
      <c r="JGX18" s="159"/>
      <c r="JGY18" s="159"/>
      <c r="JGZ18" s="159"/>
      <c r="JHA18" s="159"/>
      <c r="JHB18" s="159"/>
      <c r="JHC18" s="159"/>
      <c r="JHD18" s="159"/>
      <c r="JHE18" s="159"/>
      <c r="JHF18" s="159"/>
      <c r="JHG18" s="159"/>
      <c r="JHH18" s="159"/>
      <c r="JHI18" s="159"/>
      <c r="JHJ18" s="159"/>
      <c r="JHK18" s="159"/>
      <c r="JHL18" s="159"/>
      <c r="JHM18" s="159"/>
      <c r="JHN18" s="159"/>
      <c r="JHO18" s="159"/>
      <c r="JHP18" s="159"/>
      <c r="JHQ18" s="159"/>
      <c r="JHR18" s="159"/>
      <c r="JHS18" s="159"/>
      <c r="JHT18" s="159"/>
      <c r="JHU18" s="159"/>
      <c r="JHV18" s="159"/>
      <c r="JHW18" s="159"/>
      <c r="JHX18" s="159"/>
      <c r="JHY18" s="159"/>
      <c r="JHZ18" s="159"/>
      <c r="JIA18" s="159"/>
      <c r="JIB18" s="159"/>
      <c r="JIC18" s="159"/>
      <c r="JID18" s="159"/>
      <c r="JIE18" s="159"/>
      <c r="JIF18" s="159"/>
      <c r="JIG18" s="159"/>
      <c r="JIH18" s="159"/>
      <c r="JII18" s="159"/>
      <c r="JIJ18" s="159"/>
      <c r="JIK18" s="159"/>
      <c r="JIL18" s="159"/>
      <c r="JIM18" s="159"/>
      <c r="JIN18" s="159"/>
      <c r="JIO18" s="159"/>
      <c r="JIP18" s="159"/>
      <c r="JIQ18" s="159"/>
      <c r="JIR18" s="159"/>
      <c r="JIS18" s="159"/>
      <c r="JIT18" s="159"/>
      <c r="JIU18" s="159"/>
      <c r="JIV18" s="159"/>
      <c r="JIW18" s="159"/>
      <c r="JIX18" s="159"/>
      <c r="JIY18" s="159"/>
      <c r="JIZ18" s="159"/>
      <c r="JJA18" s="159"/>
      <c r="JJB18" s="159"/>
      <c r="JJC18" s="159"/>
      <c r="JJD18" s="159"/>
      <c r="JJE18" s="159"/>
      <c r="JJF18" s="159"/>
      <c r="JJG18" s="159"/>
      <c r="JJH18" s="159"/>
      <c r="JJI18" s="159"/>
      <c r="JJJ18" s="159"/>
      <c r="JJK18" s="159"/>
      <c r="JJL18" s="159"/>
      <c r="JJM18" s="159"/>
      <c r="JJN18" s="159"/>
      <c r="JJO18" s="159"/>
      <c r="JJP18" s="159"/>
      <c r="JJQ18" s="159"/>
      <c r="JJR18" s="159"/>
      <c r="JJS18" s="159"/>
      <c r="JJT18" s="159"/>
      <c r="JJU18" s="159"/>
      <c r="JJV18" s="159"/>
      <c r="JJW18" s="159"/>
      <c r="JJX18" s="159"/>
      <c r="JJY18" s="159"/>
      <c r="JJZ18" s="159"/>
      <c r="JKA18" s="159"/>
      <c r="JKB18" s="159"/>
      <c r="JKC18" s="159"/>
      <c r="JKD18" s="159"/>
      <c r="JKE18" s="159"/>
      <c r="JKF18" s="159"/>
      <c r="JKG18" s="159"/>
      <c r="JKH18" s="159"/>
      <c r="JKI18" s="159"/>
      <c r="JKJ18" s="159"/>
      <c r="JKK18" s="159"/>
      <c r="JKL18" s="159"/>
      <c r="JKM18" s="159"/>
      <c r="JKN18" s="159"/>
      <c r="JKO18" s="159"/>
      <c r="JKP18" s="159"/>
      <c r="JKQ18" s="159"/>
      <c r="JKR18" s="159"/>
      <c r="JKS18" s="159"/>
      <c r="JKT18" s="159"/>
      <c r="JKU18" s="159"/>
      <c r="JKV18" s="159"/>
      <c r="JKW18" s="159"/>
      <c r="JKX18" s="159"/>
      <c r="JKY18" s="159"/>
      <c r="JKZ18" s="159"/>
      <c r="JLA18" s="159"/>
      <c r="JLB18" s="159"/>
      <c r="JLC18" s="159"/>
      <c r="JLD18" s="159"/>
      <c r="JLE18" s="159"/>
      <c r="JLF18" s="159"/>
      <c r="JLG18" s="159"/>
      <c r="JLH18" s="159"/>
      <c r="JLI18" s="159"/>
      <c r="JLJ18" s="159"/>
      <c r="JLK18" s="159"/>
      <c r="JLL18" s="159"/>
      <c r="JLM18" s="159"/>
      <c r="JLN18" s="159"/>
      <c r="JLO18" s="159"/>
      <c r="JLP18" s="159"/>
      <c r="JLQ18" s="159"/>
      <c r="JLR18" s="159"/>
      <c r="JLS18" s="159"/>
      <c r="JLT18" s="159"/>
      <c r="JLU18" s="159"/>
      <c r="JLV18" s="159"/>
      <c r="JLW18" s="159"/>
      <c r="JLX18" s="159"/>
      <c r="JLY18" s="159"/>
      <c r="JLZ18" s="159"/>
      <c r="JMA18" s="159"/>
      <c r="JMB18" s="159"/>
      <c r="JMC18" s="159"/>
      <c r="JMD18" s="159"/>
      <c r="JME18" s="159"/>
      <c r="JMF18" s="159"/>
      <c r="JMG18" s="159"/>
      <c r="JMH18" s="159"/>
      <c r="JMI18" s="159"/>
      <c r="JMJ18" s="159"/>
      <c r="JMK18" s="159"/>
      <c r="JML18" s="159"/>
      <c r="JMM18" s="159"/>
      <c r="JMN18" s="159"/>
      <c r="JMO18" s="159"/>
      <c r="JMP18" s="159"/>
      <c r="JMQ18" s="159"/>
      <c r="JMR18" s="159"/>
      <c r="JMS18" s="159"/>
      <c r="JMT18" s="159"/>
      <c r="JMU18" s="159"/>
      <c r="JMV18" s="159"/>
      <c r="JMW18" s="159"/>
      <c r="JMX18" s="159"/>
      <c r="JMY18" s="159"/>
      <c r="JMZ18" s="159"/>
      <c r="JNA18" s="159"/>
      <c r="JNB18" s="159"/>
      <c r="JNC18" s="159"/>
      <c r="JND18" s="159"/>
      <c r="JNE18" s="159"/>
      <c r="JNF18" s="159"/>
      <c r="JNG18" s="159"/>
      <c r="JNH18" s="159"/>
      <c r="JNI18" s="159"/>
      <c r="JNJ18" s="159"/>
      <c r="JNK18" s="159"/>
      <c r="JNL18" s="159"/>
      <c r="JNM18" s="159"/>
      <c r="JNN18" s="159"/>
      <c r="JNO18" s="159"/>
      <c r="JNP18" s="159"/>
      <c r="JNQ18" s="159"/>
      <c r="JNR18" s="159"/>
      <c r="JNS18" s="159"/>
      <c r="JNT18" s="159"/>
      <c r="JNU18" s="159"/>
      <c r="JNV18" s="159"/>
      <c r="JNW18" s="159"/>
      <c r="JNX18" s="159"/>
      <c r="JNY18" s="159"/>
      <c r="JNZ18" s="159"/>
      <c r="JOA18" s="159"/>
      <c r="JOB18" s="159"/>
      <c r="JOC18" s="159"/>
      <c r="JOD18" s="159"/>
      <c r="JOE18" s="159"/>
      <c r="JOF18" s="159"/>
      <c r="JOG18" s="159"/>
      <c r="JOH18" s="159"/>
      <c r="JOI18" s="159"/>
      <c r="JOJ18" s="159"/>
      <c r="JOK18" s="159"/>
      <c r="JOL18" s="159"/>
      <c r="JOM18" s="159"/>
      <c r="JON18" s="159"/>
      <c r="JOO18" s="159"/>
      <c r="JOP18" s="159"/>
      <c r="JOQ18" s="159"/>
      <c r="JOR18" s="159"/>
      <c r="JOS18" s="159"/>
      <c r="JOT18" s="159"/>
      <c r="JOU18" s="159"/>
      <c r="JOV18" s="159"/>
      <c r="JOW18" s="159"/>
      <c r="JOX18" s="159"/>
      <c r="JOY18" s="159"/>
      <c r="JOZ18" s="159"/>
      <c r="JPA18" s="159"/>
      <c r="JPB18" s="159"/>
      <c r="JPC18" s="159"/>
      <c r="JPD18" s="159"/>
      <c r="JPE18" s="159"/>
      <c r="JPF18" s="159"/>
      <c r="JPG18" s="159"/>
      <c r="JPH18" s="159"/>
      <c r="JPI18" s="159"/>
      <c r="JPJ18" s="159"/>
      <c r="JPK18" s="159"/>
      <c r="JPL18" s="159"/>
      <c r="JPM18" s="159"/>
      <c r="JPN18" s="159"/>
      <c r="JPO18" s="159"/>
      <c r="JPP18" s="159"/>
      <c r="JPQ18" s="159"/>
      <c r="JPR18" s="159"/>
      <c r="JPS18" s="159"/>
      <c r="JPT18" s="159"/>
      <c r="JPU18" s="159"/>
      <c r="JPV18" s="159"/>
      <c r="JPW18" s="159"/>
      <c r="JPX18" s="159"/>
      <c r="JPY18" s="159"/>
      <c r="JPZ18" s="159"/>
      <c r="JQA18" s="159"/>
      <c r="JQB18" s="159"/>
      <c r="JQC18" s="159"/>
      <c r="JQD18" s="159"/>
      <c r="JQE18" s="159"/>
      <c r="JQF18" s="159"/>
      <c r="JQG18" s="159"/>
      <c r="JQH18" s="159"/>
      <c r="JQI18" s="159"/>
      <c r="JQJ18" s="159"/>
      <c r="JQK18" s="159"/>
      <c r="JQL18" s="159"/>
      <c r="JQM18" s="159"/>
      <c r="JQN18" s="159"/>
      <c r="JQO18" s="159"/>
      <c r="JQP18" s="159"/>
      <c r="JQQ18" s="159"/>
      <c r="JQR18" s="159"/>
      <c r="JQS18" s="159"/>
      <c r="JQT18" s="159"/>
      <c r="JQU18" s="159"/>
      <c r="JQV18" s="159"/>
      <c r="JQW18" s="159"/>
      <c r="JQX18" s="159"/>
      <c r="JQY18" s="159"/>
      <c r="JQZ18" s="159"/>
      <c r="JRA18" s="159"/>
      <c r="JRB18" s="159"/>
      <c r="JRC18" s="159"/>
      <c r="JRD18" s="159"/>
      <c r="JRE18" s="159"/>
      <c r="JRF18" s="159"/>
      <c r="JRG18" s="159"/>
      <c r="JRH18" s="159"/>
      <c r="JRI18" s="159"/>
      <c r="JRJ18" s="159"/>
      <c r="JRK18" s="159"/>
      <c r="JRL18" s="159"/>
      <c r="JRM18" s="159"/>
      <c r="JRN18" s="159"/>
      <c r="JRO18" s="159"/>
      <c r="JRP18" s="159"/>
      <c r="JRQ18" s="159"/>
      <c r="JRR18" s="159"/>
      <c r="JRS18" s="159"/>
      <c r="JRT18" s="159"/>
      <c r="JRU18" s="159"/>
      <c r="JRV18" s="159"/>
      <c r="JRW18" s="159"/>
      <c r="JRX18" s="159"/>
      <c r="JRY18" s="159"/>
      <c r="JRZ18" s="159"/>
      <c r="JSA18" s="159"/>
      <c r="JSB18" s="159"/>
      <c r="JSC18" s="159"/>
      <c r="JSD18" s="159"/>
      <c r="JSE18" s="159"/>
      <c r="JSF18" s="159"/>
      <c r="JSG18" s="159"/>
      <c r="JSH18" s="159"/>
      <c r="JSI18" s="159"/>
      <c r="JSJ18" s="159"/>
      <c r="JSK18" s="159"/>
      <c r="JSL18" s="159"/>
      <c r="JSM18" s="159"/>
      <c r="JSN18" s="159"/>
      <c r="JSO18" s="159"/>
      <c r="JSP18" s="159"/>
      <c r="JSQ18" s="159"/>
      <c r="JSR18" s="159"/>
      <c r="JSS18" s="159"/>
      <c r="JST18" s="159"/>
      <c r="JSU18" s="159"/>
      <c r="JSV18" s="159"/>
      <c r="JSW18" s="159"/>
      <c r="JSX18" s="159"/>
      <c r="JSY18" s="159"/>
      <c r="JSZ18" s="159"/>
      <c r="JTA18" s="159"/>
      <c r="JTB18" s="159"/>
      <c r="JTC18" s="159"/>
      <c r="JTD18" s="159"/>
      <c r="JTE18" s="159"/>
      <c r="JTF18" s="159"/>
      <c r="JTG18" s="159"/>
      <c r="JTH18" s="159"/>
      <c r="JTI18" s="159"/>
      <c r="JTJ18" s="159"/>
      <c r="JTK18" s="159"/>
      <c r="JTL18" s="159"/>
      <c r="JTM18" s="159"/>
      <c r="JTN18" s="159"/>
      <c r="JTO18" s="159"/>
      <c r="JTP18" s="159"/>
      <c r="JTQ18" s="159"/>
      <c r="JTR18" s="159"/>
      <c r="JTS18" s="159"/>
      <c r="JTT18" s="159"/>
      <c r="JTU18" s="159"/>
      <c r="JTV18" s="159"/>
      <c r="JTW18" s="159"/>
      <c r="JTX18" s="159"/>
      <c r="JTY18" s="159"/>
      <c r="JTZ18" s="159"/>
      <c r="JUA18" s="159"/>
      <c r="JUB18" s="159"/>
      <c r="JUC18" s="159"/>
      <c r="JUD18" s="159"/>
      <c r="JUE18" s="159"/>
      <c r="JUF18" s="159"/>
      <c r="JUG18" s="159"/>
      <c r="JUH18" s="159"/>
      <c r="JUI18" s="159"/>
      <c r="JUJ18" s="159"/>
      <c r="JUK18" s="159"/>
      <c r="JUL18" s="159"/>
      <c r="JUM18" s="159"/>
      <c r="JUN18" s="159"/>
      <c r="JUO18" s="159"/>
      <c r="JUP18" s="159"/>
      <c r="JUQ18" s="159"/>
      <c r="JUR18" s="159"/>
      <c r="JUS18" s="159"/>
      <c r="JUT18" s="159"/>
      <c r="JUU18" s="159"/>
      <c r="JUV18" s="159"/>
      <c r="JUW18" s="159"/>
      <c r="JUX18" s="159"/>
      <c r="JUY18" s="159"/>
      <c r="JUZ18" s="159"/>
      <c r="JVA18" s="159"/>
      <c r="JVB18" s="159"/>
      <c r="JVC18" s="159"/>
      <c r="JVD18" s="159"/>
      <c r="JVE18" s="159"/>
      <c r="JVF18" s="159"/>
      <c r="JVG18" s="159"/>
      <c r="JVH18" s="159"/>
      <c r="JVI18" s="159"/>
      <c r="JVJ18" s="159"/>
      <c r="JVK18" s="159"/>
      <c r="JVL18" s="159"/>
      <c r="JVM18" s="159"/>
      <c r="JVN18" s="159"/>
      <c r="JVO18" s="159"/>
      <c r="JVP18" s="159"/>
      <c r="JVQ18" s="159"/>
      <c r="JVR18" s="159"/>
      <c r="JVS18" s="159"/>
      <c r="JVT18" s="159"/>
      <c r="JVU18" s="159"/>
      <c r="JVV18" s="159"/>
      <c r="JVW18" s="159"/>
      <c r="JVX18" s="159"/>
      <c r="JVY18" s="159"/>
      <c r="JVZ18" s="159"/>
      <c r="JWA18" s="159"/>
      <c r="JWB18" s="159"/>
      <c r="JWC18" s="159"/>
      <c r="JWD18" s="159"/>
      <c r="JWE18" s="159"/>
      <c r="JWF18" s="159"/>
      <c r="JWG18" s="159"/>
      <c r="JWH18" s="159"/>
      <c r="JWI18" s="159"/>
      <c r="JWJ18" s="159"/>
      <c r="JWK18" s="159"/>
      <c r="JWL18" s="159"/>
      <c r="JWM18" s="159"/>
      <c r="JWN18" s="159"/>
      <c r="JWO18" s="159"/>
      <c r="JWP18" s="159"/>
      <c r="JWQ18" s="159"/>
      <c r="JWR18" s="159"/>
      <c r="JWS18" s="159"/>
      <c r="JWT18" s="159"/>
      <c r="JWU18" s="159"/>
      <c r="JWV18" s="159"/>
      <c r="JWW18" s="159"/>
      <c r="JWX18" s="159"/>
      <c r="JWY18" s="159"/>
      <c r="JWZ18" s="159"/>
      <c r="JXA18" s="159"/>
      <c r="JXB18" s="159"/>
      <c r="JXC18" s="159"/>
      <c r="JXD18" s="159"/>
      <c r="JXE18" s="159"/>
      <c r="JXF18" s="159"/>
      <c r="JXG18" s="159"/>
      <c r="JXH18" s="159"/>
      <c r="JXI18" s="159"/>
      <c r="JXJ18" s="159"/>
      <c r="JXK18" s="159"/>
      <c r="JXL18" s="159"/>
      <c r="JXM18" s="159"/>
      <c r="JXN18" s="159"/>
      <c r="JXO18" s="159"/>
      <c r="JXP18" s="159"/>
      <c r="JXQ18" s="159"/>
      <c r="JXR18" s="159"/>
      <c r="JXS18" s="159"/>
      <c r="JXT18" s="159"/>
      <c r="JXU18" s="159"/>
      <c r="JXV18" s="159"/>
      <c r="JXW18" s="159"/>
      <c r="JXX18" s="159"/>
      <c r="JXY18" s="159"/>
      <c r="JXZ18" s="159"/>
      <c r="JYA18" s="159"/>
      <c r="JYB18" s="159"/>
      <c r="JYC18" s="159"/>
      <c r="JYD18" s="159"/>
      <c r="JYE18" s="159"/>
      <c r="JYF18" s="159"/>
      <c r="JYG18" s="159"/>
      <c r="JYH18" s="159"/>
      <c r="JYI18" s="159"/>
      <c r="JYJ18" s="159"/>
      <c r="JYK18" s="159"/>
      <c r="JYL18" s="159"/>
      <c r="JYM18" s="159"/>
      <c r="JYN18" s="159"/>
      <c r="JYO18" s="159"/>
      <c r="JYP18" s="159"/>
      <c r="JYQ18" s="159"/>
      <c r="JYR18" s="159"/>
      <c r="JYS18" s="159"/>
      <c r="JYT18" s="159"/>
      <c r="JYU18" s="159"/>
      <c r="JYV18" s="159"/>
      <c r="JYW18" s="159"/>
      <c r="JYX18" s="159"/>
      <c r="JYY18" s="159"/>
      <c r="JYZ18" s="159"/>
      <c r="JZA18" s="159"/>
      <c r="JZB18" s="159"/>
      <c r="JZC18" s="159"/>
      <c r="JZD18" s="159"/>
      <c r="JZE18" s="159"/>
      <c r="JZF18" s="159"/>
      <c r="JZG18" s="159"/>
      <c r="JZH18" s="159"/>
      <c r="JZI18" s="159"/>
      <c r="JZJ18" s="159"/>
      <c r="JZK18" s="159"/>
      <c r="JZL18" s="159"/>
      <c r="JZM18" s="159"/>
      <c r="JZN18" s="159"/>
      <c r="JZO18" s="159"/>
      <c r="JZP18" s="159"/>
      <c r="JZQ18" s="159"/>
      <c r="JZR18" s="159"/>
      <c r="JZS18" s="159"/>
      <c r="JZT18" s="159"/>
      <c r="JZU18" s="159"/>
      <c r="JZV18" s="159"/>
      <c r="JZW18" s="159"/>
      <c r="JZX18" s="159"/>
      <c r="JZY18" s="159"/>
      <c r="JZZ18" s="159"/>
      <c r="KAA18" s="159"/>
      <c r="KAB18" s="159"/>
      <c r="KAC18" s="159"/>
      <c r="KAD18" s="159"/>
      <c r="KAE18" s="159"/>
      <c r="KAF18" s="159"/>
      <c r="KAG18" s="159"/>
      <c r="KAH18" s="159"/>
      <c r="KAI18" s="159"/>
      <c r="KAJ18" s="159"/>
      <c r="KAK18" s="159"/>
      <c r="KAL18" s="159"/>
      <c r="KAM18" s="159"/>
      <c r="KAN18" s="159"/>
      <c r="KAO18" s="159"/>
      <c r="KAP18" s="159"/>
      <c r="KAQ18" s="159"/>
      <c r="KAR18" s="159"/>
      <c r="KAS18" s="159"/>
      <c r="KAT18" s="159"/>
      <c r="KAU18" s="159"/>
      <c r="KAV18" s="159"/>
      <c r="KAW18" s="159"/>
      <c r="KAX18" s="159"/>
      <c r="KAY18" s="159"/>
      <c r="KAZ18" s="159"/>
      <c r="KBA18" s="159"/>
      <c r="KBB18" s="159"/>
      <c r="KBC18" s="159"/>
      <c r="KBD18" s="159"/>
      <c r="KBE18" s="159"/>
      <c r="KBF18" s="159"/>
      <c r="KBG18" s="159"/>
      <c r="KBH18" s="159"/>
      <c r="KBI18" s="159"/>
      <c r="KBJ18" s="159"/>
      <c r="KBK18" s="159"/>
      <c r="KBL18" s="159"/>
      <c r="KBM18" s="159"/>
      <c r="KBN18" s="159"/>
      <c r="KBO18" s="159"/>
      <c r="KBP18" s="159"/>
      <c r="KBQ18" s="159"/>
      <c r="KBR18" s="159"/>
      <c r="KBS18" s="159"/>
      <c r="KBT18" s="159"/>
      <c r="KBU18" s="159"/>
      <c r="KBV18" s="159"/>
      <c r="KBW18" s="159"/>
      <c r="KBX18" s="159"/>
      <c r="KBY18" s="159"/>
      <c r="KBZ18" s="159"/>
      <c r="KCA18" s="159"/>
      <c r="KCB18" s="159"/>
      <c r="KCC18" s="159"/>
      <c r="KCD18" s="159"/>
      <c r="KCE18" s="159"/>
      <c r="KCF18" s="159"/>
      <c r="KCG18" s="159"/>
      <c r="KCH18" s="159"/>
      <c r="KCI18" s="159"/>
      <c r="KCJ18" s="159"/>
      <c r="KCK18" s="159"/>
      <c r="KCL18" s="159"/>
      <c r="KCM18" s="159"/>
      <c r="KCN18" s="159"/>
      <c r="KCO18" s="159"/>
      <c r="KCP18" s="159"/>
      <c r="KCQ18" s="159"/>
      <c r="KCR18" s="159"/>
      <c r="KCS18" s="159"/>
      <c r="KCT18" s="159"/>
      <c r="KCU18" s="159"/>
      <c r="KCV18" s="159"/>
      <c r="KCW18" s="159"/>
      <c r="KCX18" s="159"/>
      <c r="KCY18" s="159"/>
      <c r="KCZ18" s="159"/>
      <c r="KDA18" s="159"/>
      <c r="KDB18" s="159"/>
      <c r="KDC18" s="159"/>
      <c r="KDD18" s="159"/>
      <c r="KDE18" s="159"/>
      <c r="KDF18" s="159"/>
      <c r="KDG18" s="159"/>
      <c r="KDH18" s="159"/>
      <c r="KDI18" s="159"/>
      <c r="KDJ18" s="159"/>
      <c r="KDK18" s="159"/>
      <c r="KDL18" s="159"/>
      <c r="KDM18" s="159"/>
      <c r="KDN18" s="159"/>
      <c r="KDO18" s="159"/>
      <c r="KDP18" s="159"/>
      <c r="KDQ18" s="159"/>
      <c r="KDR18" s="159"/>
      <c r="KDS18" s="159"/>
      <c r="KDT18" s="159"/>
      <c r="KDU18" s="159"/>
      <c r="KDV18" s="159"/>
      <c r="KDW18" s="159"/>
      <c r="KDX18" s="159"/>
      <c r="KDY18" s="159"/>
      <c r="KDZ18" s="159"/>
      <c r="KEA18" s="159"/>
      <c r="KEB18" s="159"/>
      <c r="KEC18" s="159"/>
      <c r="KED18" s="159"/>
      <c r="KEE18" s="159"/>
      <c r="KEF18" s="159"/>
      <c r="KEG18" s="159"/>
      <c r="KEH18" s="159"/>
      <c r="KEI18" s="159"/>
      <c r="KEJ18" s="159"/>
      <c r="KEK18" s="159"/>
      <c r="KEL18" s="159"/>
      <c r="KEM18" s="159"/>
      <c r="KEN18" s="159"/>
      <c r="KEO18" s="159"/>
      <c r="KEP18" s="159"/>
      <c r="KEQ18" s="159"/>
      <c r="KER18" s="159"/>
      <c r="KES18" s="159"/>
      <c r="KET18" s="159"/>
      <c r="KEU18" s="159"/>
      <c r="KEV18" s="159"/>
      <c r="KEW18" s="159"/>
      <c r="KEX18" s="159"/>
      <c r="KEY18" s="159"/>
      <c r="KEZ18" s="159"/>
      <c r="KFA18" s="159"/>
      <c r="KFB18" s="159"/>
      <c r="KFC18" s="159"/>
      <c r="KFD18" s="159"/>
      <c r="KFE18" s="159"/>
      <c r="KFF18" s="159"/>
      <c r="KFG18" s="159"/>
      <c r="KFH18" s="159"/>
      <c r="KFI18" s="159"/>
      <c r="KFJ18" s="159"/>
      <c r="KFK18" s="159"/>
      <c r="KFL18" s="159"/>
      <c r="KFM18" s="159"/>
      <c r="KFN18" s="159"/>
      <c r="KFO18" s="159"/>
      <c r="KFP18" s="159"/>
      <c r="KFQ18" s="159"/>
      <c r="KFR18" s="159"/>
      <c r="KFS18" s="159"/>
      <c r="KFT18" s="159"/>
      <c r="KFU18" s="159"/>
      <c r="KFV18" s="159"/>
      <c r="KFW18" s="159"/>
      <c r="KFX18" s="159"/>
      <c r="KFY18" s="159"/>
      <c r="KFZ18" s="159"/>
      <c r="KGA18" s="159"/>
      <c r="KGB18" s="159"/>
      <c r="KGC18" s="159"/>
      <c r="KGD18" s="159"/>
      <c r="KGE18" s="159"/>
      <c r="KGF18" s="159"/>
      <c r="KGG18" s="159"/>
      <c r="KGH18" s="159"/>
      <c r="KGI18" s="159"/>
      <c r="KGJ18" s="159"/>
      <c r="KGK18" s="159"/>
      <c r="KGL18" s="159"/>
      <c r="KGM18" s="159"/>
      <c r="KGN18" s="159"/>
      <c r="KGO18" s="159"/>
      <c r="KGP18" s="159"/>
      <c r="KGQ18" s="159"/>
      <c r="KGR18" s="159"/>
      <c r="KGS18" s="159"/>
      <c r="KGT18" s="159"/>
      <c r="KGU18" s="159"/>
      <c r="KGV18" s="159"/>
      <c r="KGW18" s="159"/>
      <c r="KGX18" s="159"/>
      <c r="KGY18" s="159"/>
      <c r="KGZ18" s="159"/>
      <c r="KHA18" s="159"/>
      <c r="KHB18" s="159"/>
      <c r="KHC18" s="159"/>
      <c r="KHD18" s="159"/>
      <c r="KHE18" s="159"/>
      <c r="KHF18" s="159"/>
      <c r="KHG18" s="159"/>
      <c r="KHH18" s="159"/>
      <c r="KHI18" s="159"/>
      <c r="KHJ18" s="159"/>
      <c r="KHK18" s="159"/>
      <c r="KHL18" s="159"/>
      <c r="KHM18" s="159"/>
      <c r="KHN18" s="159"/>
      <c r="KHO18" s="159"/>
      <c r="KHP18" s="159"/>
      <c r="KHQ18" s="159"/>
      <c r="KHR18" s="159"/>
      <c r="KHS18" s="159"/>
      <c r="KHT18" s="159"/>
      <c r="KHU18" s="159"/>
      <c r="KHV18" s="159"/>
      <c r="KHW18" s="159"/>
      <c r="KHX18" s="159"/>
      <c r="KHY18" s="159"/>
      <c r="KHZ18" s="159"/>
      <c r="KIA18" s="159"/>
      <c r="KIB18" s="159"/>
      <c r="KIC18" s="159"/>
      <c r="KID18" s="159"/>
      <c r="KIE18" s="159"/>
      <c r="KIF18" s="159"/>
      <c r="KIG18" s="159"/>
      <c r="KIH18" s="159"/>
      <c r="KII18" s="159"/>
      <c r="KIJ18" s="159"/>
      <c r="KIK18" s="159"/>
      <c r="KIL18" s="159"/>
      <c r="KIM18" s="159"/>
      <c r="KIN18" s="159"/>
      <c r="KIO18" s="159"/>
      <c r="KIP18" s="159"/>
      <c r="KIQ18" s="159"/>
      <c r="KIR18" s="159"/>
      <c r="KIS18" s="159"/>
      <c r="KIT18" s="159"/>
      <c r="KIU18" s="159"/>
      <c r="KIV18" s="159"/>
      <c r="KIW18" s="159"/>
      <c r="KIX18" s="159"/>
      <c r="KIY18" s="159"/>
      <c r="KIZ18" s="159"/>
      <c r="KJA18" s="159"/>
      <c r="KJB18" s="159"/>
      <c r="KJC18" s="159"/>
      <c r="KJD18" s="159"/>
      <c r="KJE18" s="159"/>
      <c r="KJF18" s="159"/>
      <c r="KJG18" s="159"/>
      <c r="KJH18" s="159"/>
      <c r="KJI18" s="159"/>
      <c r="KJJ18" s="159"/>
      <c r="KJK18" s="159"/>
      <c r="KJL18" s="159"/>
      <c r="KJM18" s="159"/>
      <c r="KJN18" s="159"/>
      <c r="KJO18" s="159"/>
      <c r="KJP18" s="159"/>
      <c r="KJQ18" s="159"/>
      <c r="KJR18" s="159"/>
      <c r="KJS18" s="159"/>
      <c r="KJT18" s="159"/>
      <c r="KJU18" s="159"/>
      <c r="KJV18" s="159"/>
      <c r="KJW18" s="159"/>
      <c r="KJX18" s="159"/>
      <c r="KJY18" s="159"/>
      <c r="KJZ18" s="159"/>
      <c r="KKA18" s="159"/>
      <c r="KKB18" s="159"/>
      <c r="KKC18" s="159"/>
      <c r="KKD18" s="159"/>
      <c r="KKE18" s="159"/>
      <c r="KKF18" s="159"/>
      <c r="KKG18" s="159"/>
      <c r="KKH18" s="159"/>
      <c r="KKI18" s="159"/>
      <c r="KKJ18" s="159"/>
      <c r="KKK18" s="159"/>
      <c r="KKL18" s="159"/>
      <c r="KKM18" s="159"/>
      <c r="KKN18" s="159"/>
      <c r="KKO18" s="159"/>
      <c r="KKP18" s="159"/>
      <c r="KKQ18" s="159"/>
      <c r="KKR18" s="159"/>
      <c r="KKS18" s="159"/>
      <c r="KKT18" s="159"/>
      <c r="KKU18" s="159"/>
      <c r="KKV18" s="159"/>
      <c r="KKW18" s="159"/>
      <c r="KKX18" s="159"/>
      <c r="KKY18" s="159"/>
      <c r="KKZ18" s="159"/>
      <c r="KLA18" s="159"/>
      <c r="KLB18" s="159"/>
      <c r="KLC18" s="159"/>
      <c r="KLD18" s="159"/>
      <c r="KLE18" s="159"/>
      <c r="KLF18" s="159"/>
      <c r="KLG18" s="159"/>
      <c r="KLH18" s="159"/>
      <c r="KLI18" s="159"/>
      <c r="KLJ18" s="159"/>
      <c r="KLK18" s="159"/>
      <c r="KLL18" s="159"/>
      <c r="KLM18" s="159"/>
      <c r="KLN18" s="159"/>
      <c r="KLO18" s="159"/>
      <c r="KLP18" s="159"/>
      <c r="KLQ18" s="159"/>
      <c r="KLR18" s="159"/>
      <c r="KLS18" s="159"/>
      <c r="KLT18" s="159"/>
      <c r="KLU18" s="159"/>
      <c r="KLV18" s="159"/>
      <c r="KLW18" s="159"/>
      <c r="KLX18" s="159"/>
      <c r="KLY18" s="159"/>
      <c r="KLZ18" s="159"/>
      <c r="KMA18" s="159"/>
      <c r="KMB18" s="159"/>
      <c r="KMC18" s="159"/>
      <c r="KMD18" s="159"/>
      <c r="KME18" s="159"/>
      <c r="KMF18" s="159"/>
      <c r="KMG18" s="159"/>
      <c r="KMH18" s="159"/>
      <c r="KMI18" s="159"/>
      <c r="KMJ18" s="159"/>
      <c r="KMK18" s="159"/>
      <c r="KML18" s="159"/>
      <c r="KMM18" s="159"/>
      <c r="KMN18" s="159"/>
      <c r="KMO18" s="159"/>
      <c r="KMP18" s="159"/>
      <c r="KMQ18" s="159"/>
      <c r="KMR18" s="159"/>
      <c r="KMS18" s="159"/>
      <c r="KMT18" s="159"/>
      <c r="KMU18" s="159"/>
      <c r="KMV18" s="159"/>
      <c r="KMW18" s="159"/>
      <c r="KMX18" s="159"/>
      <c r="KMY18" s="159"/>
      <c r="KMZ18" s="159"/>
      <c r="KNA18" s="159"/>
      <c r="KNB18" s="159"/>
      <c r="KNC18" s="159"/>
      <c r="KND18" s="159"/>
      <c r="KNE18" s="159"/>
      <c r="KNF18" s="159"/>
      <c r="KNG18" s="159"/>
      <c r="KNH18" s="159"/>
      <c r="KNI18" s="159"/>
      <c r="KNJ18" s="159"/>
      <c r="KNK18" s="159"/>
      <c r="KNL18" s="159"/>
      <c r="KNM18" s="159"/>
      <c r="KNN18" s="159"/>
      <c r="KNO18" s="159"/>
      <c r="KNP18" s="159"/>
      <c r="KNQ18" s="159"/>
      <c r="KNR18" s="159"/>
      <c r="KNS18" s="159"/>
      <c r="KNT18" s="159"/>
      <c r="KNU18" s="159"/>
      <c r="KNV18" s="159"/>
      <c r="KNW18" s="159"/>
      <c r="KNX18" s="159"/>
      <c r="KNY18" s="159"/>
      <c r="KNZ18" s="159"/>
      <c r="KOA18" s="159"/>
      <c r="KOB18" s="159"/>
      <c r="KOC18" s="159"/>
      <c r="KOD18" s="159"/>
      <c r="KOE18" s="159"/>
      <c r="KOF18" s="159"/>
      <c r="KOG18" s="159"/>
      <c r="KOH18" s="159"/>
      <c r="KOI18" s="159"/>
      <c r="KOJ18" s="159"/>
      <c r="KOK18" s="159"/>
      <c r="KOL18" s="159"/>
      <c r="KOM18" s="159"/>
      <c r="KON18" s="159"/>
      <c r="KOO18" s="159"/>
      <c r="KOP18" s="159"/>
      <c r="KOQ18" s="159"/>
      <c r="KOR18" s="159"/>
      <c r="KOS18" s="159"/>
      <c r="KOT18" s="159"/>
      <c r="KOU18" s="159"/>
      <c r="KOV18" s="159"/>
      <c r="KOW18" s="159"/>
      <c r="KOX18" s="159"/>
      <c r="KOY18" s="159"/>
      <c r="KOZ18" s="159"/>
      <c r="KPA18" s="159"/>
      <c r="KPB18" s="159"/>
      <c r="KPC18" s="159"/>
      <c r="KPD18" s="159"/>
      <c r="KPE18" s="159"/>
      <c r="KPF18" s="159"/>
      <c r="KPG18" s="159"/>
      <c r="KPH18" s="159"/>
      <c r="KPI18" s="159"/>
      <c r="KPJ18" s="159"/>
      <c r="KPK18" s="159"/>
      <c r="KPL18" s="159"/>
      <c r="KPM18" s="159"/>
      <c r="KPN18" s="159"/>
      <c r="KPO18" s="159"/>
      <c r="KPP18" s="159"/>
      <c r="KPQ18" s="159"/>
      <c r="KPR18" s="159"/>
      <c r="KPS18" s="159"/>
      <c r="KPT18" s="159"/>
      <c r="KPU18" s="159"/>
      <c r="KPV18" s="159"/>
      <c r="KPW18" s="159"/>
      <c r="KPX18" s="159"/>
      <c r="KPY18" s="159"/>
      <c r="KPZ18" s="159"/>
      <c r="KQA18" s="159"/>
      <c r="KQB18" s="159"/>
      <c r="KQC18" s="159"/>
      <c r="KQD18" s="159"/>
      <c r="KQE18" s="159"/>
      <c r="KQF18" s="159"/>
      <c r="KQG18" s="159"/>
      <c r="KQH18" s="159"/>
      <c r="KQI18" s="159"/>
      <c r="KQJ18" s="159"/>
      <c r="KQK18" s="159"/>
      <c r="KQL18" s="159"/>
      <c r="KQM18" s="159"/>
      <c r="KQN18" s="159"/>
      <c r="KQO18" s="159"/>
      <c r="KQP18" s="159"/>
      <c r="KQQ18" s="159"/>
      <c r="KQR18" s="159"/>
      <c r="KQS18" s="159"/>
      <c r="KQT18" s="159"/>
      <c r="KQU18" s="159"/>
      <c r="KQV18" s="159"/>
      <c r="KQW18" s="159"/>
      <c r="KQX18" s="159"/>
      <c r="KQY18" s="159"/>
      <c r="KQZ18" s="159"/>
      <c r="KRA18" s="159"/>
      <c r="KRB18" s="159"/>
      <c r="KRC18" s="159"/>
      <c r="KRD18" s="159"/>
      <c r="KRE18" s="159"/>
      <c r="KRF18" s="159"/>
      <c r="KRG18" s="159"/>
      <c r="KRH18" s="159"/>
      <c r="KRI18" s="159"/>
      <c r="KRJ18" s="159"/>
      <c r="KRK18" s="159"/>
      <c r="KRL18" s="159"/>
      <c r="KRM18" s="159"/>
      <c r="KRN18" s="159"/>
      <c r="KRO18" s="159"/>
      <c r="KRP18" s="159"/>
      <c r="KRQ18" s="159"/>
      <c r="KRR18" s="159"/>
      <c r="KRS18" s="159"/>
      <c r="KRT18" s="159"/>
      <c r="KRU18" s="159"/>
      <c r="KRV18" s="159"/>
      <c r="KRW18" s="159"/>
      <c r="KRX18" s="159"/>
      <c r="KRY18" s="159"/>
      <c r="KRZ18" s="159"/>
      <c r="KSA18" s="159"/>
      <c r="KSB18" s="159"/>
      <c r="KSC18" s="159"/>
      <c r="KSD18" s="159"/>
      <c r="KSE18" s="159"/>
      <c r="KSF18" s="159"/>
      <c r="KSG18" s="159"/>
      <c r="KSH18" s="159"/>
      <c r="KSI18" s="159"/>
      <c r="KSJ18" s="159"/>
      <c r="KSK18" s="159"/>
      <c r="KSL18" s="159"/>
      <c r="KSM18" s="159"/>
      <c r="KSN18" s="159"/>
      <c r="KSO18" s="159"/>
      <c r="KSP18" s="159"/>
      <c r="KSQ18" s="159"/>
      <c r="KSR18" s="159"/>
      <c r="KSS18" s="159"/>
      <c r="KST18" s="159"/>
      <c r="KSU18" s="159"/>
      <c r="KSV18" s="159"/>
      <c r="KSW18" s="159"/>
      <c r="KSX18" s="159"/>
      <c r="KSY18" s="159"/>
      <c r="KSZ18" s="159"/>
      <c r="KTA18" s="159"/>
      <c r="KTB18" s="159"/>
      <c r="KTC18" s="159"/>
      <c r="KTD18" s="159"/>
      <c r="KTE18" s="159"/>
      <c r="KTF18" s="159"/>
      <c r="KTG18" s="159"/>
      <c r="KTH18" s="159"/>
      <c r="KTI18" s="159"/>
      <c r="KTJ18" s="159"/>
      <c r="KTK18" s="159"/>
      <c r="KTL18" s="159"/>
      <c r="KTM18" s="159"/>
      <c r="KTN18" s="159"/>
      <c r="KTO18" s="159"/>
      <c r="KTP18" s="159"/>
      <c r="KTQ18" s="159"/>
      <c r="KTR18" s="159"/>
      <c r="KTS18" s="159"/>
      <c r="KTT18" s="159"/>
      <c r="KTU18" s="159"/>
      <c r="KTV18" s="159"/>
      <c r="KTW18" s="159"/>
      <c r="KTX18" s="159"/>
      <c r="KTY18" s="159"/>
      <c r="KTZ18" s="159"/>
      <c r="KUA18" s="159"/>
      <c r="KUB18" s="159"/>
      <c r="KUC18" s="159"/>
      <c r="KUD18" s="159"/>
      <c r="KUE18" s="159"/>
      <c r="KUF18" s="159"/>
      <c r="KUG18" s="159"/>
      <c r="KUH18" s="159"/>
      <c r="KUI18" s="159"/>
      <c r="KUJ18" s="159"/>
      <c r="KUK18" s="159"/>
      <c r="KUL18" s="159"/>
      <c r="KUM18" s="159"/>
      <c r="KUN18" s="159"/>
      <c r="KUO18" s="159"/>
      <c r="KUP18" s="159"/>
      <c r="KUQ18" s="159"/>
      <c r="KUR18" s="159"/>
      <c r="KUS18" s="159"/>
      <c r="KUT18" s="159"/>
      <c r="KUU18" s="159"/>
      <c r="KUV18" s="159"/>
      <c r="KUW18" s="159"/>
      <c r="KUX18" s="159"/>
      <c r="KUY18" s="159"/>
      <c r="KUZ18" s="159"/>
      <c r="KVA18" s="159"/>
      <c r="KVB18" s="159"/>
      <c r="KVC18" s="159"/>
      <c r="KVD18" s="159"/>
      <c r="KVE18" s="159"/>
      <c r="KVF18" s="159"/>
      <c r="KVG18" s="159"/>
      <c r="KVH18" s="159"/>
      <c r="KVI18" s="159"/>
      <c r="KVJ18" s="159"/>
      <c r="KVK18" s="159"/>
      <c r="KVL18" s="159"/>
      <c r="KVM18" s="159"/>
      <c r="KVN18" s="159"/>
      <c r="KVO18" s="159"/>
      <c r="KVP18" s="159"/>
      <c r="KVQ18" s="159"/>
      <c r="KVR18" s="159"/>
      <c r="KVS18" s="159"/>
      <c r="KVT18" s="159"/>
      <c r="KVU18" s="159"/>
      <c r="KVV18" s="159"/>
      <c r="KVW18" s="159"/>
      <c r="KVX18" s="159"/>
      <c r="KVY18" s="159"/>
      <c r="KVZ18" s="159"/>
      <c r="KWA18" s="159"/>
      <c r="KWB18" s="159"/>
      <c r="KWC18" s="159"/>
      <c r="KWD18" s="159"/>
      <c r="KWE18" s="159"/>
      <c r="KWF18" s="159"/>
      <c r="KWG18" s="159"/>
      <c r="KWH18" s="159"/>
      <c r="KWI18" s="159"/>
      <c r="KWJ18" s="159"/>
      <c r="KWK18" s="159"/>
      <c r="KWL18" s="159"/>
      <c r="KWM18" s="159"/>
      <c r="KWN18" s="159"/>
      <c r="KWO18" s="159"/>
      <c r="KWP18" s="159"/>
      <c r="KWQ18" s="159"/>
      <c r="KWR18" s="159"/>
      <c r="KWS18" s="159"/>
      <c r="KWT18" s="159"/>
      <c r="KWU18" s="159"/>
      <c r="KWV18" s="159"/>
      <c r="KWW18" s="159"/>
      <c r="KWX18" s="159"/>
      <c r="KWY18" s="159"/>
      <c r="KWZ18" s="159"/>
      <c r="KXA18" s="159"/>
      <c r="KXB18" s="159"/>
      <c r="KXC18" s="159"/>
      <c r="KXD18" s="159"/>
      <c r="KXE18" s="159"/>
      <c r="KXF18" s="159"/>
      <c r="KXG18" s="159"/>
      <c r="KXH18" s="159"/>
      <c r="KXI18" s="159"/>
      <c r="KXJ18" s="159"/>
      <c r="KXK18" s="159"/>
      <c r="KXL18" s="159"/>
      <c r="KXM18" s="159"/>
      <c r="KXN18" s="159"/>
      <c r="KXO18" s="159"/>
      <c r="KXP18" s="159"/>
      <c r="KXQ18" s="159"/>
      <c r="KXR18" s="159"/>
      <c r="KXS18" s="159"/>
      <c r="KXT18" s="159"/>
      <c r="KXU18" s="159"/>
      <c r="KXV18" s="159"/>
      <c r="KXW18" s="159"/>
      <c r="KXX18" s="159"/>
      <c r="KXY18" s="159"/>
      <c r="KXZ18" s="159"/>
      <c r="KYA18" s="159"/>
      <c r="KYB18" s="159"/>
      <c r="KYC18" s="159"/>
      <c r="KYD18" s="159"/>
      <c r="KYE18" s="159"/>
      <c r="KYF18" s="159"/>
      <c r="KYG18" s="159"/>
      <c r="KYH18" s="159"/>
      <c r="KYI18" s="159"/>
      <c r="KYJ18" s="159"/>
      <c r="KYK18" s="159"/>
      <c r="KYL18" s="159"/>
      <c r="KYM18" s="159"/>
      <c r="KYN18" s="159"/>
      <c r="KYO18" s="159"/>
      <c r="KYP18" s="159"/>
      <c r="KYQ18" s="159"/>
      <c r="KYR18" s="159"/>
      <c r="KYS18" s="159"/>
      <c r="KYT18" s="159"/>
      <c r="KYU18" s="159"/>
      <c r="KYV18" s="159"/>
      <c r="KYW18" s="159"/>
      <c r="KYX18" s="159"/>
      <c r="KYY18" s="159"/>
      <c r="KYZ18" s="159"/>
      <c r="KZA18" s="159"/>
      <c r="KZB18" s="159"/>
      <c r="KZC18" s="159"/>
      <c r="KZD18" s="159"/>
      <c r="KZE18" s="159"/>
      <c r="KZF18" s="159"/>
      <c r="KZG18" s="159"/>
      <c r="KZH18" s="159"/>
      <c r="KZI18" s="159"/>
      <c r="KZJ18" s="159"/>
      <c r="KZK18" s="159"/>
      <c r="KZL18" s="159"/>
      <c r="KZM18" s="159"/>
      <c r="KZN18" s="159"/>
      <c r="KZO18" s="159"/>
      <c r="KZP18" s="159"/>
      <c r="KZQ18" s="159"/>
      <c r="KZR18" s="159"/>
      <c r="KZS18" s="159"/>
      <c r="KZT18" s="159"/>
      <c r="KZU18" s="159"/>
      <c r="KZV18" s="159"/>
      <c r="KZW18" s="159"/>
      <c r="KZX18" s="159"/>
      <c r="KZY18" s="159"/>
      <c r="KZZ18" s="159"/>
      <c r="LAA18" s="159"/>
      <c r="LAB18" s="159"/>
      <c r="LAC18" s="159"/>
      <c r="LAD18" s="159"/>
      <c r="LAE18" s="159"/>
      <c r="LAF18" s="159"/>
      <c r="LAG18" s="159"/>
      <c r="LAH18" s="159"/>
      <c r="LAI18" s="159"/>
      <c r="LAJ18" s="159"/>
      <c r="LAK18" s="159"/>
      <c r="LAL18" s="159"/>
      <c r="LAM18" s="159"/>
      <c r="LAN18" s="159"/>
      <c r="LAO18" s="159"/>
      <c r="LAP18" s="159"/>
      <c r="LAQ18" s="159"/>
      <c r="LAR18" s="159"/>
      <c r="LAS18" s="159"/>
      <c r="LAT18" s="159"/>
      <c r="LAU18" s="159"/>
      <c r="LAV18" s="159"/>
      <c r="LAW18" s="159"/>
      <c r="LAX18" s="159"/>
      <c r="LAY18" s="159"/>
      <c r="LAZ18" s="159"/>
      <c r="LBA18" s="159"/>
      <c r="LBB18" s="159"/>
      <c r="LBC18" s="159"/>
      <c r="LBD18" s="159"/>
      <c r="LBE18" s="159"/>
      <c r="LBF18" s="159"/>
      <c r="LBG18" s="159"/>
      <c r="LBH18" s="159"/>
      <c r="LBI18" s="159"/>
      <c r="LBJ18" s="159"/>
      <c r="LBK18" s="159"/>
      <c r="LBL18" s="159"/>
      <c r="LBM18" s="159"/>
      <c r="LBN18" s="159"/>
      <c r="LBO18" s="159"/>
      <c r="LBP18" s="159"/>
      <c r="LBQ18" s="159"/>
      <c r="LBR18" s="159"/>
      <c r="LBS18" s="159"/>
      <c r="LBT18" s="159"/>
      <c r="LBU18" s="159"/>
      <c r="LBV18" s="159"/>
      <c r="LBW18" s="159"/>
      <c r="LBX18" s="159"/>
      <c r="LBY18" s="159"/>
      <c r="LBZ18" s="159"/>
      <c r="LCA18" s="159"/>
      <c r="LCB18" s="159"/>
      <c r="LCC18" s="159"/>
      <c r="LCD18" s="159"/>
      <c r="LCE18" s="159"/>
      <c r="LCF18" s="159"/>
      <c r="LCG18" s="159"/>
      <c r="LCH18" s="159"/>
      <c r="LCI18" s="159"/>
      <c r="LCJ18" s="159"/>
      <c r="LCK18" s="159"/>
      <c r="LCL18" s="159"/>
      <c r="LCM18" s="159"/>
      <c r="LCN18" s="159"/>
      <c r="LCO18" s="159"/>
      <c r="LCP18" s="159"/>
      <c r="LCQ18" s="159"/>
      <c r="LCR18" s="159"/>
      <c r="LCS18" s="159"/>
      <c r="LCT18" s="159"/>
      <c r="LCU18" s="159"/>
      <c r="LCV18" s="159"/>
      <c r="LCW18" s="159"/>
      <c r="LCX18" s="159"/>
      <c r="LCY18" s="159"/>
      <c r="LCZ18" s="159"/>
      <c r="LDA18" s="159"/>
      <c r="LDB18" s="159"/>
      <c r="LDC18" s="159"/>
      <c r="LDD18" s="159"/>
      <c r="LDE18" s="159"/>
      <c r="LDF18" s="159"/>
      <c r="LDG18" s="159"/>
      <c r="LDH18" s="159"/>
      <c r="LDI18" s="159"/>
      <c r="LDJ18" s="159"/>
      <c r="LDK18" s="159"/>
      <c r="LDL18" s="159"/>
      <c r="LDM18" s="159"/>
      <c r="LDN18" s="159"/>
      <c r="LDO18" s="159"/>
      <c r="LDP18" s="159"/>
      <c r="LDQ18" s="159"/>
      <c r="LDR18" s="159"/>
      <c r="LDS18" s="159"/>
      <c r="LDT18" s="159"/>
      <c r="LDU18" s="159"/>
      <c r="LDV18" s="159"/>
      <c r="LDW18" s="159"/>
      <c r="LDX18" s="159"/>
      <c r="LDY18" s="159"/>
      <c r="LDZ18" s="159"/>
      <c r="LEA18" s="159"/>
      <c r="LEB18" s="159"/>
      <c r="LEC18" s="159"/>
      <c r="LED18" s="159"/>
      <c r="LEE18" s="159"/>
      <c r="LEF18" s="159"/>
      <c r="LEG18" s="159"/>
      <c r="LEH18" s="159"/>
      <c r="LEI18" s="159"/>
      <c r="LEJ18" s="159"/>
      <c r="LEK18" s="159"/>
      <c r="LEL18" s="159"/>
      <c r="LEM18" s="159"/>
      <c r="LEN18" s="159"/>
      <c r="LEO18" s="159"/>
      <c r="LEP18" s="159"/>
      <c r="LEQ18" s="159"/>
      <c r="LER18" s="159"/>
      <c r="LES18" s="159"/>
      <c r="LET18" s="159"/>
      <c r="LEU18" s="159"/>
      <c r="LEV18" s="159"/>
      <c r="LEW18" s="159"/>
      <c r="LEX18" s="159"/>
      <c r="LEY18" s="159"/>
      <c r="LEZ18" s="159"/>
      <c r="LFA18" s="159"/>
      <c r="LFB18" s="159"/>
      <c r="LFC18" s="159"/>
      <c r="LFD18" s="159"/>
      <c r="LFE18" s="159"/>
      <c r="LFF18" s="159"/>
      <c r="LFG18" s="159"/>
      <c r="LFH18" s="159"/>
      <c r="LFI18" s="159"/>
      <c r="LFJ18" s="159"/>
      <c r="LFK18" s="159"/>
      <c r="LFL18" s="159"/>
      <c r="LFM18" s="159"/>
      <c r="LFN18" s="159"/>
      <c r="LFO18" s="159"/>
      <c r="LFP18" s="159"/>
      <c r="LFQ18" s="159"/>
      <c r="LFR18" s="159"/>
      <c r="LFS18" s="159"/>
      <c r="LFT18" s="159"/>
      <c r="LFU18" s="159"/>
      <c r="LFV18" s="159"/>
      <c r="LFW18" s="159"/>
      <c r="LFX18" s="159"/>
      <c r="LFY18" s="159"/>
      <c r="LFZ18" s="159"/>
      <c r="LGA18" s="159"/>
      <c r="LGB18" s="159"/>
      <c r="LGC18" s="159"/>
      <c r="LGD18" s="159"/>
      <c r="LGE18" s="159"/>
      <c r="LGF18" s="159"/>
      <c r="LGG18" s="159"/>
      <c r="LGH18" s="159"/>
      <c r="LGI18" s="159"/>
      <c r="LGJ18" s="159"/>
      <c r="LGK18" s="159"/>
      <c r="LGL18" s="159"/>
      <c r="LGM18" s="159"/>
      <c r="LGN18" s="159"/>
      <c r="LGO18" s="159"/>
      <c r="LGP18" s="159"/>
      <c r="LGQ18" s="159"/>
      <c r="LGR18" s="159"/>
      <c r="LGS18" s="159"/>
      <c r="LGT18" s="159"/>
      <c r="LGU18" s="159"/>
      <c r="LGV18" s="159"/>
      <c r="LGW18" s="159"/>
      <c r="LGX18" s="159"/>
      <c r="LGY18" s="159"/>
      <c r="LGZ18" s="159"/>
      <c r="LHA18" s="159"/>
      <c r="LHB18" s="159"/>
      <c r="LHC18" s="159"/>
      <c r="LHD18" s="159"/>
      <c r="LHE18" s="159"/>
      <c r="LHF18" s="159"/>
      <c r="LHG18" s="159"/>
      <c r="LHH18" s="159"/>
      <c r="LHI18" s="159"/>
      <c r="LHJ18" s="159"/>
      <c r="LHK18" s="159"/>
      <c r="LHL18" s="159"/>
      <c r="LHM18" s="159"/>
      <c r="LHN18" s="159"/>
      <c r="LHO18" s="159"/>
      <c r="LHP18" s="159"/>
      <c r="LHQ18" s="159"/>
      <c r="LHR18" s="159"/>
      <c r="LHS18" s="159"/>
      <c r="LHT18" s="159"/>
      <c r="LHU18" s="159"/>
      <c r="LHV18" s="159"/>
      <c r="LHW18" s="159"/>
      <c r="LHX18" s="159"/>
      <c r="LHY18" s="159"/>
      <c r="LHZ18" s="159"/>
      <c r="LIA18" s="159"/>
      <c r="LIB18" s="159"/>
      <c r="LIC18" s="159"/>
      <c r="LID18" s="159"/>
      <c r="LIE18" s="159"/>
      <c r="LIF18" s="159"/>
      <c r="LIG18" s="159"/>
      <c r="LIH18" s="159"/>
      <c r="LII18" s="159"/>
      <c r="LIJ18" s="159"/>
      <c r="LIK18" s="159"/>
      <c r="LIL18" s="159"/>
      <c r="LIM18" s="159"/>
      <c r="LIN18" s="159"/>
      <c r="LIO18" s="159"/>
      <c r="LIP18" s="159"/>
      <c r="LIQ18" s="159"/>
      <c r="LIR18" s="159"/>
      <c r="LIS18" s="159"/>
      <c r="LIT18" s="159"/>
      <c r="LIU18" s="159"/>
      <c r="LIV18" s="159"/>
      <c r="LIW18" s="159"/>
      <c r="LIX18" s="159"/>
      <c r="LIY18" s="159"/>
      <c r="LIZ18" s="159"/>
      <c r="LJA18" s="159"/>
      <c r="LJB18" s="159"/>
      <c r="LJC18" s="159"/>
      <c r="LJD18" s="159"/>
      <c r="LJE18" s="159"/>
      <c r="LJF18" s="159"/>
      <c r="LJG18" s="159"/>
      <c r="LJH18" s="159"/>
      <c r="LJI18" s="159"/>
      <c r="LJJ18" s="159"/>
      <c r="LJK18" s="159"/>
      <c r="LJL18" s="159"/>
      <c r="LJM18" s="159"/>
      <c r="LJN18" s="159"/>
      <c r="LJO18" s="159"/>
      <c r="LJP18" s="159"/>
      <c r="LJQ18" s="159"/>
      <c r="LJR18" s="159"/>
      <c r="LJS18" s="159"/>
      <c r="LJT18" s="159"/>
      <c r="LJU18" s="159"/>
      <c r="LJV18" s="159"/>
      <c r="LJW18" s="159"/>
      <c r="LJX18" s="159"/>
      <c r="LJY18" s="159"/>
      <c r="LJZ18" s="159"/>
      <c r="LKA18" s="159"/>
      <c r="LKB18" s="159"/>
      <c r="LKC18" s="159"/>
      <c r="LKD18" s="159"/>
      <c r="LKE18" s="159"/>
      <c r="LKF18" s="159"/>
      <c r="LKG18" s="159"/>
      <c r="LKH18" s="159"/>
      <c r="LKI18" s="159"/>
      <c r="LKJ18" s="159"/>
      <c r="LKK18" s="159"/>
      <c r="LKL18" s="159"/>
      <c r="LKM18" s="159"/>
      <c r="LKN18" s="159"/>
      <c r="LKO18" s="159"/>
      <c r="LKP18" s="159"/>
      <c r="LKQ18" s="159"/>
      <c r="LKR18" s="159"/>
      <c r="LKS18" s="159"/>
      <c r="LKT18" s="159"/>
      <c r="LKU18" s="159"/>
      <c r="LKV18" s="159"/>
      <c r="LKW18" s="159"/>
      <c r="LKX18" s="159"/>
      <c r="LKY18" s="159"/>
      <c r="LKZ18" s="159"/>
      <c r="LLA18" s="159"/>
      <c r="LLB18" s="159"/>
      <c r="LLC18" s="159"/>
      <c r="LLD18" s="159"/>
      <c r="LLE18" s="159"/>
      <c r="LLF18" s="159"/>
      <c r="LLG18" s="159"/>
      <c r="LLH18" s="159"/>
      <c r="LLI18" s="159"/>
      <c r="LLJ18" s="159"/>
      <c r="LLK18" s="159"/>
      <c r="LLL18" s="159"/>
      <c r="LLM18" s="159"/>
      <c r="LLN18" s="159"/>
      <c r="LLO18" s="159"/>
      <c r="LLP18" s="159"/>
      <c r="LLQ18" s="159"/>
      <c r="LLR18" s="159"/>
      <c r="LLS18" s="159"/>
      <c r="LLT18" s="159"/>
      <c r="LLU18" s="159"/>
      <c r="LLV18" s="159"/>
      <c r="LLW18" s="159"/>
      <c r="LLX18" s="159"/>
      <c r="LLY18" s="159"/>
      <c r="LLZ18" s="159"/>
      <c r="LMA18" s="159"/>
      <c r="LMB18" s="159"/>
      <c r="LMC18" s="159"/>
      <c r="LMD18" s="159"/>
      <c r="LME18" s="159"/>
      <c r="LMF18" s="159"/>
      <c r="LMG18" s="159"/>
      <c r="LMH18" s="159"/>
      <c r="LMI18" s="159"/>
      <c r="LMJ18" s="159"/>
      <c r="LMK18" s="159"/>
      <c r="LML18" s="159"/>
      <c r="LMM18" s="159"/>
      <c r="LMN18" s="159"/>
      <c r="LMO18" s="159"/>
      <c r="LMP18" s="159"/>
      <c r="LMQ18" s="159"/>
      <c r="LMR18" s="159"/>
      <c r="LMS18" s="159"/>
      <c r="LMT18" s="159"/>
      <c r="LMU18" s="159"/>
      <c r="LMV18" s="159"/>
      <c r="LMW18" s="159"/>
      <c r="LMX18" s="159"/>
      <c r="LMY18" s="159"/>
      <c r="LMZ18" s="159"/>
      <c r="LNA18" s="159"/>
      <c r="LNB18" s="159"/>
      <c r="LNC18" s="159"/>
      <c r="LND18" s="159"/>
      <c r="LNE18" s="159"/>
      <c r="LNF18" s="159"/>
      <c r="LNG18" s="159"/>
      <c r="LNH18" s="159"/>
      <c r="LNI18" s="159"/>
      <c r="LNJ18" s="159"/>
      <c r="LNK18" s="159"/>
      <c r="LNL18" s="159"/>
      <c r="LNM18" s="159"/>
      <c r="LNN18" s="159"/>
      <c r="LNO18" s="159"/>
      <c r="LNP18" s="159"/>
      <c r="LNQ18" s="159"/>
      <c r="LNR18" s="159"/>
      <c r="LNS18" s="159"/>
      <c r="LNT18" s="159"/>
      <c r="LNU18" s="159"/>
      <c r="LNV18" s="159"/>
      <c r="LNW18" s="159"/>
      <c r="LNX18" s="159"/>
      <c r="LNY18" s="159"/>
      <c r="LNZ18" s="159"/>
      <c r="LOA18" s="159"/>
      <c r="LOB18" s="159"/>
      <c r="LOC18" s="159"/>
      <c r="LOD18" s="159"/>
      <c r="LOE18" s="159"/>
      <c r="LOF18" s="159"/>
      <c r="LOG18" s="159"/>
      <c r="LOH18" s="159"/>
      <c r="LOI18" s="159"/>
      <c r="LOJ18" s="159"/>
      <c r="LOK18" s="159"/>
      <c r="LOL18" s="159"/>
      <c r="LOM18" s="159"/>
      <c r="LON18" s="159"/>
      <c r="LOO18" s="159"/>
      <c r="LOP18" s="159"/>
      <c r="LOQ18" s="159"/>
      <c r="LOR18" s="159"/>
      <c r="LOS18" s="159"/>
      <c r="LOT18" s="159"/>
      <c r="LOU18" s="159"/>
      <c r="LOV18" s="159"/>
      <c r="LOW18" s="159"/>
      <c r="LOX18" s="159"/>
      <c r="LOY18" s="159"/>
      <c r="LOZ18" s="159"/>
      <c r="LPA18" s="159"/>
      <c r="LPB18" s="159"/>
      <c r="LPC18" s="159"/>
      <c r="LPD18" s="159"/>
      <c r="LPE18" s="159"/>
      <c r="LPF18" s="159"/>
      <c r="LPG18" s="159"/>
      <c r="LPH18" s="159"/>
      <c r="LPI18" s="159"/>
      <c r="LPJ18" s="159"/>
      <c r="LPK18" s="159"/>
      <c r="LPL18" s="159"/>
      <c r="LPM18" s="159"/>
      <c r="LPN18" s="159"/>
      <c r="LPO18" s="159"/>
      <c r="LPP18" s="159"/>
      <c r="LPQ18" s="159"/>
      <c r="LPR18" s="159"/>
      <c r="LPS18" s="159"/>
      <c r="LPT18" s="159"/>
      <c r="LPU18" s="159"/>
      <c r="LPV18" s="159"/>
      <c r="LPW18" s="159"/>
      <c r="LPX18" s="159"/>
      <c r="LPY18" s="159"/>
      <c r="LPZ18" s="159"/>
      <c r="LQA18" s="159"/>
      <c r="LQB18" s="159"/>
      <c r="LQC18" s="159"/>
      <c r="LQD18" s="159"/>
      <c r="LQE18" s="159"/>
      <c r="LQF18" s="159"/>
      <c r="LQG18" s="159"/>
      <c r="LQH18" s="159"/>
      <c r="LQI18" s="159"/>
      <c r="LQJ18" s="159"/>
      <c r="LQK18" s="159"/>
      <c r="LQL18" s="159"/>
      <c r="LQM18" s="159"/>
      <c r="LQN18" s="159"/>
      <c r="LQO18" s="159"/>
      <c r="LQP18" s="159"/>
      <c r="LQQ18" s="159"/>
      <c r="LQR18" s="159"/>
      <c r="LQS18" s="159"/>
      <c r="LQT18" s="159"/>
      <c r="LQU18" s="159"/>
      <c r="LQV18" s="159"/>
      <c r="LQW18" s="159"/>
      <c r="LQX18" s="159"/>
      <c r="LQY18" s="159"/>
      <c r="LQZ18" s="159"/>
      <c r="LRA18" s="159"/>
      <c r="LRB18" s="159"/>
      <c r="LRC18" s="159"/>
      <c r="LRD18" s="159"/>
      <c r="LRE18" s="159"/>
      <c r="LRF18" s="159"/>
      <c r="LRG18" s="159"/>
      <c r="LRH18" s="159"/>
      <c r="LRI18" s="159"/>
      <c r="LRJ18" s="159"/>
      <c r="LRK18" s="159"/>
      <c r="LRL18" s="159"/>
      <c r="LRM18" s="159"/>
      <c r="LRN18" s="159"/>
      <c r="LRO18" s="159"/>
      <c r="LRP18" s="159"/>
      <c r="LRQ18" s="159"/>
      <c r="LRR18" s="159"/>
      <c r="LRS18" s="159"/>
      <c r="LRT18" s="159"/>
      <c r="LRU18" s="159"/>
      <c r="LRV18" s="159"/>
      <c r="LRW18" s="159"/>
      <c r="LRX18" s="159"/>
      <c r="LRY18" s="159"/>
      <c r="LRZ18" s="159"/>
      <c r="LSA18" s="159"/>
      <c r="LSB18" s="159"/>
      <c r="LSC18" s="159"/>
      <c r="LSD18" s="159"/>
      <c r="LSE18" s="159"/>
      <c r="LSF18" s="159"/>
      <c r="LSG18" s="159"/>
      <c r="LSH18" s="159"/>
      <c r="LSI18" s="159"/>
      <c r="LSJ18" s="159"/>
      <c r="LSK18" s="159"/>
      <c r="LSL18" s="159"/>
      <c r="LSM18" s="159"/>
      <c r="LSN18" s="159"/>
      <c r="LSO18" s="159"/>
      <c r="LSP18" s="159"/>
      <c r="LSQ18" s="159"/>
      <c r="LSR18" s="159"/>
      <c r="LSS18" s="159"/>
      <c r="LST18" s="159"/>
      <c r="LSU18" s="159"/>
      <c r="LSV18" s="159"/>
      <c r="LSW18" s="159"/>
      <c r="LSX18" s="159"/>
      <c r="LSY18" s="159"/>
      <c r="LSZ18" s="159"/>
      <c r="LTA18" s="159"/>
      <c r="LTB18" s="159"/>
      <c r="LTC18" s="159"/>
      <c r="LTD18" s="159"/>
      <c r="LTE18" s="159"/>
      <c r="LTF18" s="159"/>
      <c r="LTG18" s="159"/>
      <c r="LTH18" s="159"/>
      <c r="LTI18" s="159"/>
      <c r="LTJ18" s="159"/>
      <c r="LTK18" s="159"/>
      <c r="LTL18" s="159"/>
      <c r="LTM18" s="159"/>
      <c r="LTN18" s="159"/>
      <c r="LTO18" s="159"/>
      <c r="LTP18" s="159"/>
      <c r="LTQ18" s="159"/>
      <c r="LTR18" s="159"/>
      <c r="LTS18" s="159"/>
      <c r="LTT18" s="159"/>
      <c r="LTU18" s="159"/>
      <c r="LTV18" s="159"/>
      <c r="LTW18" s="159"/>
      <c r="LTX18" s="159"/>
      <c r="LTY18" s="159"/>
      <c r="LTZ18" s="159"/>
      <c r="LUA18" s="159"/>
      <c r="LUB18" s="159"/>
      <c r="LUC18" s="159"/>
      <c r="LUD18" s="159"/>
      <c r="LUE18" s="159"/>
      <c r="LUF18" s="159"/>
      <c r="LUG18" s="159"/>
      <c r="LUH18" s="159"/>
      <c r="LUI18" s="159"/>
      <c r="LUJ18" s="159"/>
      <c r="LUK18" s="159"/>
      <c r="LUL18" s="159"/>
      <c r="LUM18" s="159"/>
      <c r="LUN18" s="159"/>
      <c r="LUO18" s="159"/>
      <c r="LUP18" s="159"/>
      <c r="LUQ18" s="159"/>
      <c r="LUR18" s="159"/>
      <c r="LUS18" s="159"/>
      <c r="LUT18" s="159"/>
      <c r="LUU18" s="159"/>
      <c r="LUV18" s="159"/>
      <c r="LUW18" s="159"/>
      <c r="LUX18" s="159"/>
      <c r="LUY18" s="159"/>
      <c r="LUZ18" s="159"/>
      <c r="LVA18" s="159"/>
      <c r="LVB18" s="159"/>
      <c r="LVC18" s="159"/>
      <c r="LVD18" s="159"/>
      <c r="LVE18" s="159"/>
      <c r="LVF18" s="159"/>
      <c r="LVG18" s="159"/>
      <c r="LVH18" s="159"/>
      <c r="LVI18" s="159"/>
      <c r="LVJ18" s="159"/>
      <c r="LVK18" s="159"/>
      <c r="LVL18" s="159"/>
      <c r="LVM18" s="159"/>
      <c r="LVN18" s="159"/>
      <c r="LVO18" s="159"/>
      <c r="LVP18" s="159"/>
      <c r="LVQ18" s="159"/>
      <c r="LVR18" s="159"/>
      <c r="LVS18" s="159"/>
      <c r="LVT18" s="159"/>
      <c r="LVU18" s="159"/>
      <c r="LVV18" s="159"/>
      <c r="LVW18" s="159"/>
      <c r="LVX18" s="159"/>
      <c r="LVY18" s="159"/>
      <c r="LVZ18" s="159"/>
      <c r="LWA18" s="159"/>
      <c r="LWB18" s="159"/>
      <c r="LWC18" s="159"/>
      <c r="LWD18" s="159"/>
      <c r="LWE18" s="159"/>
      <c r="LWF18" s="159"/>
      <c r="LWG18" s="159"/>
      <c r="LWH18" s="159"/>
      <c r="LWI18" s="159"/>
      <c r="LWJ18" s="159"/>
      <c r="LWK18" s="159"/>
      <c r="LWL18" s="159"/>
      <c r="LWM18" s="159"/>
      <c r="LWN18" s="159"/>
      <c r="LWO18" s="159"/>
      <c r="LWP18" s="159"/>
      <c r="LWQ18" s="159"/>
      <c r="LWR18" s="159"/>
      <c r="LWS18" s="159"/>
      <c r="LWT18" s="159"/>
      <c r="LWU18" s="159"/>
      <c r="LWV18" s="159"/>
      <c r="LWW18" s="159"/>
      <c r="LWX18" s="159"/>
      <c r="LWY18" s="159"/>
      <c r="LWZ18" s="159"/>
      <c r="LXA18" s="159"/>
      <c r="LXB18" s="159"/>
      <c r="LXC18" s="159"/>
      <c r="LXD18" s="159"/>
      <c r="LXE18" s="159"/>
      <c r="LXF18" s="159"/>
      <c r="LXG18" s="159"/>
      <c r="LXH18" s="159"/>
      <c r="LXI18" s="159"/>
      <c r="LXJ18" s="159"/>
      <c r="LXK18" s="159"/>
      <c r="LXL18" s="159"/>
      <c r="LXM18" s="159"/>
      <c r="LXN18" s="159"/>
      <c r="LXO18" s="159"/>
      <c r="LXP18" s="159"/>
      <c r="LXQ18" s="159"/>
      <c r="LXR18" s="159"/>
      <c r="LXS18" s="159"/>
      <c r="LXT18" s="159"/>
      <c r="LXU18" s="159"/>
      <c r="LXV18" s="159"/>
      <c r="LXW18" s="159"/>
      <c r="LXX18" s="159"/>
      <c r="LXY18" s="159"/>
      <c r="LXZ18" s="159"/>
      <c r="LYA18" s="159"/>
      <c r="LYB18" s="159"/>
      <c r="LYC18" s="159"/>
      <c r="LYD18" s="159"/>
      <c r="LYE18" s="159"/>
      <c r="LYF18" s="159"/>
      <c r="LYG18" s="159"/>
      <c r="LYH18" s="159"/>
      <c r="LYI18" s="159"/>
      <c r="LYJ18" s="159"/>
      <c r="LYK18" s="159"/>
      <c r="LYL18" s="159"/>
      <c r="LYM18" s="159"/>
      <c r="LYN18" s="159"/>
      <c r="LYO18" s="159"/>
      <c r="LYP18" s="159"/>
      <c r="LYQ18" s="159"/>
      <c r="LYR18" s="159"/>
      <c r="LYS18" s="159"/>
      <c r="LYT18" s="159"/>
      <c r="LYU18" s="159"/>
      <c r="LYV18" s="159"/>
      <c r="LYW18" s="159"/>
      <c r="LYX18" s="159"/>
      <c r="LYY18" s="159"/>
      <c r="LYZ18" s="159"/>
      <c r="LZA18" s="159"/>
      <c r="LZB18" s="159"/>
      <c r="LZC18" s="159"/>
      <c r="LZD18" s="159"/>
      <c r="LZE18" s="159"/>
      <c r="LZF18" s="159"/>
      <c r="LZG18" s="159"/>
      <c r="LZH18" s="159"/>
      <c r="LZI18" s="159"/>
      <c r="LZJ18" s="159"/>
      <c r="LZK18" s="159"/>
      <c r="LZL18" s="159"/>
      <c r="LZM18" s="159"/>
      <c r="LZN18" s="159"/>
      <c r="LZO18" s="159"/>
      <c r="LZP18" s="159"/>
      <c r="LZQ18" s="159"/>
      <c r="LZR18" s="159"/>
      <c r="LZS18" s="159"/>
      <c r="LZT18" s="159"/>
      <c r="LZU18" s="159"/>
      <c r="LZV18" s="159"/>
      <c r="LZW18" s="159"/>
      <c r="LZX18" s="159"/>
      <c r="LZY18" s="159"/>
      <c r="LZZ18" s="159"/>
      <c r="MAA18" s="159"/>
      <c r="MAB18" s="159"/>
      <c r="MAC18" s="159"/>
      <c r="MAD18" s="159"/>
      <c r="MAE18" s="159"/>
      <c r="MAF18" s="159"/>
      <c r="MAG18" s="159"/>
      <c r="MAH18" s="159"/>
      <c r="MAI18" s="159"/>
      <c r="MAJ18" s="159"/>
      <c r="MAK18" s="159"/>
      <c r="MAL18" s="159"/>
      <c r="MAM18" s="159"/>
      <c r="MAN18" s="159"/>
      <c r="MAO18" s="159"/>
      <c r="MAP18" s="159"/>
      <c r="MAQ18" s="159"/>
      <c r="MAR18" s="159"/>
      <c r="MAS18" s="159"/>
      <c r="MAT18" s="159"/>
      <c r="MAU18" s="159"/>
      <c r="MAV18" s="159"/>
      <c r="MAW18" s="159"/>
      <c r="MAX18" s="159"/>
      <c r="MAY18" s="159"/>
      <c r="MAZ18" s="159"/>
      <c r="MBA18" s="159"/>
      <c r="MBB18" s="159"/>
      <c r="MBC18" s="159"/>
      <c r="MBD18" s="159"/>
      <c r="MBE18" s="159"/>
      <c r="MBF18" s="159"/>
      <c r="MBG18" s="159"/>
      <c r="MBH18" s="159"/>
      <c r="MBI18" s="159"/>
      <c r="MBJ18" s="159"/>
      <c r="MBK18" s="159"/>
      <c r="MBL18" s="159"/>
      <c r="MBM18" s="159"/>
      <c r="MBN18" s="159"/>
      <c r="MBO18" s="159"/>
      <c r="MBP18" s="159"/>
      <c r="MBQ18" s="159"/>
      <c r="MBR18" s="159"/>
      <c r="MBS18" s="159"/>
      <c r="MBT18" s="159"/>
      <c r="MBU18" s="159"/>
      <c r="MBV18" s="159"/>
      <c r="MBW18" s="159"/>
      <c r="MBX18" s="159"/>
      <c r="MBY18" s="159"/>
      <c r="MBZ18" s="159"/>
      <c r="MCA18" s="159"/>
      <c r="MCB18" s="159"/>
      <c r="MCC18" s="159"/>
      <c r="MCD18" s="159"/>
      <c r="MCE18" s="159"/>
      <c r="MCF18" s="159"/>
      <c r="MCG18" s="159"/>
      <c r="MCH18" s="159"/>
      <c r="MCI18" s="159"/>
      <c r="MCJ18" s="159"/>
      <c r="MCK18" s="159"/>
      <c r="MCL18" s="159"/>
      <c r="MCM18" s="159"/>
      <c r="MCN18" s="159"/>
      <c r="MCO18" s="159"/>
      <c r="MCP18" s="159"/>
      <c r="MCQ18" s="159"/>
      <c r="MCR18" s="159"/>
      <c r="MCS18" s="159"/>
      <c r="MCT18" s="159"/>
      <c r="MCU18" s="159"/>
      <c r="MCV18" s="159"/>
      <c r="MCW18" s="159"/>
      <c r="MCX18" s="159"/>
      <c r="MCY18" s="159"/>
      <c r="MCZ18" s="159"/>
      <c r="MDA18" s="159"/>
      <c r="MDB18" s="159"/>
      <c r="MDC18" s="159"/>
      <c r="MDD18" s="159"/>
      <c r="MDE18" s="159"/>
      <c r="MDF18" s="159"/>
      <c r="MDG18" s="159"/>
      <c r="MDH18" s="159"/>
      <c r="MDI18" s="159"/>
      <c r="MDJ18" s="159"/>
      <c r="MDK18" s="159"/>
      <c r="MDL18" s="159"/>
      <c r="MDM18" s="159"/>
      <c r="MDN18" s="159"/>
      <c r="MDO18" s="159"/>
      <c r="MDP18" s="159"/>
      <c r="MDQ18" s="159"/>
      <c r="MDR18" s="159"/>
      <c r="MDS18" s="159"/>
      <c r="MDT18" s="159"/>
      <c r="MDU18" s="159"/>
      <c r="MDV18" s="159"/>
      <c r="MDW18" s="159"/>
      <c r="MDX18" s="159"/>
      <c r="MDY18" s="159"/>
      <c r="MDZ18" s="159"/>
      <c r="MEA18" s="159"/>
      <c r="MEB18" s="159"/>
      <c r="MEC18" s="159"/>
      <c r="MED18" s="159"/>
      <c r="MEE18" s="159"/>
      <c r="MEF18" s="159"/>
      <c r="MEG18" s="159"/>
      <c r="MEH18" s="159"/>
      <c r="MEI18" s="159"/>
      <c r="MEJ18" s="159"/>
      <c r="MEK18" s="159"/>
      <c r="MEL18" s="159"/>
      <c r="MEM18" s="159"/>
      <c r="MEN18" s="159"/>
      <c r="MEO18" s="159"/>
      <c r="MEP18" s="159"/>
      <c r="MEQ18" s="159"/>
      <c r="MER18" s="159"/>
      <c r="MES18" s="159"/>
      <c r="MET18" s="159"/>
      <c r="MEU18" s="159"/>
      <c r="MEV18" s="159"/>
      <c r="MEW18" s="159"/>
      <c r="MEX18" s="159"/>
      <c r="MEY18" s="159"/>
      <c r="MEZ18" s="159"/>
      <c r="MFA18" s="159"/>
      <c r="MFB18" s="159"/>
      <c r="MFC18" s="159"/>
      <c r="MFD18" s="159"/>
      <c r="MFE18" s="159"/>
      <c r="MFF18" s="159"/>
      <c r="MFG18" s="159"/>
      <c r="MFH18" s="159"/>
      <c r="MFI18" s="159"/>
      <c r="MFJ18" s="159"/>
      <c r="MFK18" s="159"/>
      <c r="MFL18" s="159"/>
      <c r="MFM18" s="159"/>
      <c r="MFN18" s="159"/>
      <c r="MFO18" s="159"/>
      <c r="MFP18" s="159"/>
      <c r="MFQ18" s="159"/>
      <c r="MFR18" s="159"/>
      <c r="MFS18" s="159"/>
      <c r="MFT18" s="159"/>
      <c r="MFU18" s="159"/>
      <c r="MFV18" s="159"/>
      <c r="MFW18" s="159"/>
      <c r="MFX18" s="159"/>
      <c r="MFY18" s="159"/>
      <c r="MFZ18" s="159"/>
      <c r="MGA18" s="159"/>
      <c r="MGB18" s="159"/>
      <c r="MGC18" s="159"/>
      <c r="MGD18" s="159"/>
      <c r="MGE18" s="159"/>
      <c r="MGF18" s="159"/>
      <c r="MGG18" s="159"/>
      <c r="MGH18" s="159"/>
      <c r="MGI18" s="159"/>
      <c r="MGJ18" s="159"/>
      <c r="MGK18" s="159"/>
      <c r="MGL18" s="159"/>
      <c r="MGM18" s="159"/>
      <c r="MGN18" s="159"/>
      <c r="MGO18" s="159"/>
      <c r="MGP18" s="159"/>
      <c r="MGQ18" s="159"/>
      <c r="MGR18" s="159"/>
      <c r="MGS18" s="159"/>
      <c r="MGT18" s="159"/>
      <c r="MGU18" s="159"/>
      <c r="MGV18" s="159"/>
      <c r="MGW18" s="159"/>
      <c r="MGX18" s="159"/>
      <c r="MGY18" s="159"/>
      <c r="MGZ18" s="159"/>
      <c r="MHA18" s="159"/>
      <c r="MHB18" s="159"/>
      <c r="MHC18" s="159"/>
      <c r="MHD18" s="159"/>
      <c r="MHE18" s="159"/>
      <c r="MHF18" s="159"/>
      <c r="MHG18" s="159"/>
      <c r="MHH18" s="159"/>
      <c r="MHI18" s="159"/>
      <c r="MHJ18" s="159"/>
      <c r="MHK18" s="159"/>
      <c r="MHL18" s="159"/>
      <c r="MHM18" s="159"/>
      <c r="MHN18" s="159"/>
      <c r="MHO18" s="159"/>
      <c r="MHP18" s="159"/>
      <c r="MHQ18" s="159"/>
      <c r="MHR18" s="159"/>
      <c r="MHS18" s="159"/>
      <c r="MHT18" s="159"/>
      <c r="MHU18" s="159"/>
      <c r="MHV18" s="159"/>
      <c r="MHW18" s="159"/>
      <c r="MHX18" s="159"/>
      <c r="MHY18" s="159"/>
      <c r="MHZ18" s="159"/>
      <c r="MIA18" s="159"/>
      <c r="MIB18" s="159"/>
      <c r="MIC18" s="159"/>
      <c r="MID18" s="159"/>
      <c r="MIE18" s="159"/>
      <c r="MIF18" s="159"/>
      <c r="MIG18" s="159"/>
      <c r="MIH18" s="159"/>
      <c r="MII18" s="159"/>
      <c r="MIJ18" s="159"/>
      <c r="MIK18" s="159"/>
      <c r="MIL18" s="159"/>
      <c r="MIM18" s="159"/>
      <c r="MIN18" s="159"/>
      <c r="MIO18" s="159"/>
      <c r="MIP18" s="159"/>
      <c r="MIQ18" s="159"/>
      <c r="MIR18" s="159"/>
      <c r="MIS18" s="159"/>
      <c r="MIT18" s="159"/>
      <c r="MIU18" s="159"/>
      <c r="MIV18" s="159"/>
      <c r="MIW18" s="159"/>
      <c r="MIX18" s="159"/>
      <c r="MIY18" s="159"/>
      <c r="MIZ18" s="159"/>
      <c r="MJA18" s="159"/>
      <c r="MJB18" s="159"/>
      <c r="MJC18" s="159"/>
      <c r="MJD18" s="159"/>
      <c r="MJE18" s="159"/>
      <c r="MJF18" s="159"/>
      <c r="MJG18" s="159"/>
      <c r="MJH18" s="159"/>
      <c r="MJI18" s="159"/>
      <c r="MJJ18" s="159"/>
      <c r="MJK18" s="159"/>
      <c r="MJL18" s="159"/>
      <c r="MJM18" s="159"/>
      <c r="MJN18" s="159"/>
      <c r="MJO18" s="159"/>
      <c r="MJP18" s="159"/>
      <c r="MJQ18" s="159"/>
      <c r="MJR18" s="159"/>
      <c r="MJS18" s="159"/>
      <c r="MJT18" s="159"/>
      <c r="MJU18" s="159"/>
      <c r="MJV18" s="159"/>
      <c r="MJW18" s="159"/>
      <c r="MJX18" s="159"/>
      <c r="MJY18" s="159"/>
      <c r="MJZ18" s="159"/>
      <c r="MKA18" s="159"/>
      <c r="MKB18" s="159"/>
      <c r="MKC18" s="159"/>
      <c r="MKD18" s="159"/>
      <c r="MKE18" s="159"/>
      <c r="MKF18" s="159"/>
      <c r="MKG18" s="159"/>
      <c r="MKH18" s="159"/>
      <c r="MKI18" s="159"/>
      <c r="MKJ18" s="159"/>
      <c r="MKK18" s="159"/>
      <c r="MKL18" s="159"/>
      <c r="MKM18" s="159"/>
      <c r="MKN18" s="159"/>
      <c r="MKO18" s="159"/>
      <c r="MKP18" s="159"/>
      <c r="MKQ18" s="159"/>
      <c r="MKR18" s="159"/>
      <c r="MKS18" s="159"/>
      <c r="MKT18" s="159"/>
      <c r="MKU18" s="159"/>
      <c r="MKV18" s="159"/>
      <c r="MKW18" s="159"/>
      <c r="MKX18" s="159"/>
      <c r="MKY18" s="159"/>
      <c r="MKZ18" s="159"/>
      <c r="MLA18" s="159"/>
      <c r="MLB18" s="159"/>
      <c r="MLC18" s="159"/>
      <c r="MLD18" s="159"/>
      <c r="MLE18" s="159"/>
      <c r="MLF18" s="159"/>
      <c r="MLG18" s="159"/>
      <c r="MLH18" s="159"/>
      <c r="MLI18" s="159"/>
      <c r="MLJ18" s="159"/>
      <c r="MLK18" s="159"/>
      <c r="MLL18" s="159"/>
      <c r="MLM18" s="159"/>
      <c r="MLN18" s="159"/>
      <c r="MLO18" s="159"/>
      <c r="MLP18" s="159"/>
      <c r="MLQ18" s="159"/>
      <c r="MLR18" s="159"/>
      <c r="MLS18" s="159"/>
      <c r="MLT18" s="159"/>
      <c r="MLU18" s="159"/>
      <c r="MLV18" s="159"/>
      <c r="MLW18" s="159"/>
      <c r="MLX18" s="159"/>
      <c r="MLY18" s="159"/>
      <c r="MLZ18" s="159"/>
      <c r="MMA18" s="159"/>
      <c r="MMB18" s="159"/>
      <c r="MMC18" s="159"/>
      <c r="MMD18" s="159"/>
      <c r="MME18" s="159"/>
      <c r="MMF18" s="159"/>
      <c r="MMG18" s="159"/>
      <c r="MMH18" s="159"/>
      <c r="MMI18" s="159"/>
      <c r="MMJ18" s="159"/>
      <c r="MMK18" s="159"/>
      <c r="MML18" s="159"/>
      <c r="MMM18" s="159"/>
      <c r="MMN18" s="159"/>
      <c r="MMO18" s="159"/>
      <c r="MMP18" s="159"/>
      <c r="MMQ18" s="159"/>
      <c r="MMR18" s="159"/>
      <c r="MMS18" s="159"/>
      <c r="MMT18" s="159"/>
      <c r="MMU18" s="159"/>
      <c r="MMV18" s="159"/>
      <c r="MMW18" s="159"/>
      <c r="MMX18" s="159"/>
      <c r="MMY18" s="159"/>
      <c r="MMZ18" s="159"/>
      <c r="MNA18" s="159"/>
      <c r="MNB18" s="159"/>
      <c r="MNC18" s="159"/>
      <c r="MND18" s="159"/>
      <c r="MNE18" s="159"/>
      <c r="MNF18" s="159"/>
      <c r="MNG18" s="159"/>
      <c r="MNH18" s="159"/>
      <c r="MNI18" s="159"/>
      <c r="MNJ18" s="159"/>
      <c r="MNK18" s="159"/>
      <c r="MNL18" s="159"/>
      <c r="MNM18" s="159"/>
      <c r="MNN18" s="159"/>
      <c r="MNO18" s="159"/>
      <c r="MNP18" s="159"/>
      <c r="MNQ18" s="159"/>
      <c r="MNR18" s="159"/>
      <c r="MNS18" s="159"/>
      <c r="MNT18" s="159"/>
      <c r="MNU18" s="159"/>
      <c r="MNV18" s="159"/>
      <c r="MNW18" s="159"/>
      <c r="MNX18" s="159"/>
      <c r="MNY18" s="159"/>
      <c r="MNZ18" s="159"/>
      <c r="MOA18" s="159"/>
      <c r="MOB18" s="159"/>
      <c r="MOC18" s="159"/>
      <c r="MOD18" s="159"/>
      <c r="MOE18" s="159"/>
      <c r="MOF18" s="159"/>
      <c r="MOG18" s="159"/>
      <c r="MOH18" s="159"/>
      <c r="MOI18" s="159"/>
      <c r="MOJ18" s="159"/>
      <c r="MOK18" s="159"/>
      <c r="MOL18" s="159"/>
      <c r="MOM18" s="159"/>
      <c r="MON18" s="159"/>
      <c r="MOO18" s="159"/>
      <c r="MOP18" s="159"/>
      <c r="MOQ18" s="159"/>
      <c r="MOR18" s="159"/>
      <c r="MOS18" s="159"/>
      <c r="MOT18" s="159"/>
      <c r="MOU18" s="159"/>
      <c r="MOV18" s="159"/>
      <c r="MOW18" s="159"/>
      <c r="MOX18" s="159"/>
      <c r="MOY18" s="159"/>
      <c r="MOZ18" s="159"/>
      <c r="MPA18" s="159"/>
      <c r="MPB18" s="159"/>
      <c r="MPC18" s="159"/>
      <c r="MPD18" s="159"/>
      <c r="MPE18" s="159"/>
      <c r="MPF18" s="159"/>
      <c r="MPG18" s="159"/>
      <c r="MPH18" s="159"/>
      <c r="MPI18" s="159"/>
      <c r="MPJ18" s="159"/>
      <c r="MPK18" s="159"/>
      <c r="MPL18" s="159"/>
      <c r="MPM18" s="159"/>
      <c r="MPN18" s="159"/>
      <c r="MPO18" s="159"/>
      <c r="MPP18" s="159"/>
      <c r="MPQ18" s="159"/>
      <c r="MPR18" s="159"/>
      <c r="MPS18" s="159"/>
      <c r="MPT18" s="159"/>
      <c r="MPU18" s="159"/>
      <c r="MPV18" s="159"/>
      <c r="MPW18" s="159"/>
      <c r="MPX18" s="159"/>
      <c r="MPY18" s="159"/>
      <c r="MPZ18" s="159"/>
      <c r="MQA18" s="159"/>
      <c r="MQB18" s="159"/>
      <c r="MQC18" s="159"/>
      <c r="MQD18" s="159"/>
      <c r="MQE18" s="159"/>
      <c r="MQF18" s="159"/>
      <c r="MQG18" s="159"/>
      <c r="MQH18" s="159"/>
      <c r="MQI18" s="159"/>
      <c r="MQJ18" s="159"/>
      <c r="MQK18" s="159"/>
      <c r="MQL18" s="159"/>
      <c r="MQM18" s="159"/>
      <c r="MQN18" s="159"/>
      <c r="MQO18" s="159"/>
      <c r="MQP18" s="159"/>
      <c r="MQQ18" s="159"/>
      <c r="MQR18" s="159"/>
      <c r="MQS18" s="159"/>
      <c r="MQT18" s="159"/>
      <c r="MQU18" s="159"/>
      <c r="MQV18" s="159"/>
      <c r="MQW18" s="159"/>
      <c r="MQX18" s="159"/>
      <c r="MQY18" s="159"/>
      <c r="MQZ18" s="159"/>
      <c r="MRA18" s="159"/>
      <c r="MRB18" s="159"/>
      <c r="MRC18" s="159"/>
      <c r="MRD18" s="159"/>
      <c r="MRE18" s="159"/>
      <c r="MRF18" s="159"/>
      <c r="MRG18" s="159"/>
      <c r="MRH18" s="159"/>
      <c r="MRI18" s="159"/>
      <c r="MRJ18" s="159"/>
      <c r="MRK18" s="159"/>
      <c r="MRL18" s="159"/>
      <c r="MRM18" s="159"/>
      <c r="MRN18" s="159"/>
      <c r="MRO18" s="159"/>
      <c r="MRP18" s="159"/>
      <c r="MRQ18" s="159"/>
      <c r="MRR18" s="159"/>
      <c r="MRS18" s="159"/>
      <c r="MRT18" s="159"/>
      <c r="MRU18" s="159"/>
      <c r="MRV18" s="159"/>
      <c r="MRW18" s="159"/>
      <c r="MRX18" s="159"/>
      <c r="MRY18" s="159"/>
      <c r="MRZ18" s="159"/>
      <c r="MSA18" s="159"/>
      <c r="MSB18" s="159"/>
      <c r="MSC18" s="159"/>
      <c r="MSD18" s="159"/>
      <c r="MSE18" s="159"/>
      <c r="MSF18" s="159"/>
      <c r="MSG18" s="159"/>
      <c r="MSH18" s="159"/>
      <c r="MSI18" s="159"/>
      <c r="MSJ18" s="159"/>
      <c r="MSK18" s="159"/>
      <c r="MSL18" s="159"/>
      <c r="MSM18" s="159"/>
      <c r="MSN18" s="159"/>
      <c r="MSO18" s="159"/>
      <c r="MSP18" s="159"/>
      <c r="MSQ18" s="159"/>
      <c r="MSR18" s="159"/>
      <c r="MSS18" s="159"/>
      <c r="MST18" s="159"/>
      <c r="MSU18" s="159"/>
      <c r="MSV18" s="159"/>
      <c r="MSW18" s="159"/>
      <c r="MSX18" s="159"/>
      <c r="MSY18" s="159"/>
      <c r="MSZ18" s="159"/>
      <c r="MTA18" s="159"/>
      <c r="MTB18" s="159"/>
      <c r="MTC18" s="159"/>
      <c r="MTD18" s="159"/>
      <c r="MTE18" s="159"/>
      <c r="MTF18" s="159"/>
      <c r="MTG18" s="159"/>
      <c r="MTH18" s="159"/>
      <c r="MTI18" s="159"/>
      <c r="MTJ18" s="159"/>
      <c r="MTK18" s="159"/>
      <c r="MTL18" s="159"/>
      <c r="MTM18" s="159"/>
      <c r="MTN18" s="159"/>
      <c r="MTO18" s="159"/>
      <c r="MTP18" s="159"/>
      <c r="MTQ18" s="159"/>
      <c r="MTR18" s="159"/>
      <c r="MTS18" s="159"/>
      <c r="MTT18" s="159"/>
      <c r="MTU18" s="159"/>
      <c r="MTV18" s="159"/>
      <c r="MTW18" s="159"/>
      <c r="MTX18" s="159"/>
      <c r="MTY18" s="159"/>
      <c r="MTZ18" s="159"/>
      <c r="MUA18" s="159"/>
      <c r="MUB18" s="159"/>
      <c r="MUC18" s="159"/>
      <c r="MUD18" s="159"/>
      <c r="MUE18" s="159"/>
      <c r="MUF18" s="159"/>
      <c r="MUG18" s="159"/>
      <c r="MUH18" s="159"/>
      <c r="MUI18" s="159"/>
      <c r="MUJ18" s="159"/>
      <c r="MUK18" s="159"/>
      <c r="MUL18" s="159"/>
      <c r="MUM18" s="159"/>
      <c r="MUN18" s="159"/>
      <c r="MUO18" s="159"/>
      <c r="MUP18" s="159"/>
      <c r="MUQ18" s="159"/>
      <c r="MUR18" s="159"/>
      <c r="MUS18" s="159"/>
      <c r="MUT18" s="159"/>
      <c r="MUU18" s="159"/>
      <c r="MUV18" s="159"/>
      <c r="MUW18" s="159"/>
      <c r="MUX18" s="159"/>
      <c r="MUY18" s="159"/>
      <c r="MUZ18" s="159"/>
      <c r="MVA18" s="159"/>
      <c r="MVB18" s="159"/>
      <c r="MVC18" s="159"/>
      <c r="MVD18" s="159"/>
      <c r="MVE18" s="159"/>
      <c r="MVF18" s="159"/>
      <c r="MVG18" s="159"/>
      <c r="MVH18" s="159"/>
      <c r="MVI18" s="159"/>
      <c r="MVJ18" s="159"/>
      <c r="MVK18" s="159"/>
      <c r="MVL18" s="159"/>
      <c r="MVM18" s="159"/>
      <c r="MVN18" s="159"/>
      <c r="MVO18" s="159"/>
      <c r="MVP18" s="159"/>
      <c r="MVQ18" s="159"/>
      <c r="MVR18" s="159"/>
      <c r="MVS18" s="159"/>
      <c r="MVT18" s="159"/>
      <c r="MVU18" s="159"/>
      <c r="MVV18" s="159"/>
      <c r="MVW18" s="159"/>
      <c r="MVX18" s="159"/>
      <c r="MVY18" s="159"/>
      <c r="MVZ18" s="159"/>
      <c r="MWA18" s="159"/>
      <c r="MWB18" s="159"/>
      <c r="MWC18" s="159"/>
      <c r="MWD18" s="159"/>
      <c r="MWE18" s="159"/>
      <c r="MWF18" s="159"/>
      <c r="MWG18" s="159"/>
      <c r="MWH18" s="159"/>
      <c r="MWI18" s="159"/>
      <c r="MWJ18" s="159"/>
      <c r="MWK18" s="159"/>
      <c r="MWL18" s="159"/>
      <c r="MWM18" s="159"/>
      <c r="MWN18" s="159"/>
      <c r="MWO18" s="159"/>
      <c r="MWP18" s="159"/>
      <c r="MWQ18" s="159"/>
      <c r="MWR18" s="159"/>
      <c r="MWS18" s="159"/>
      <c r="MWT18" s="159"/>
      <c r="MWU18" s="159"/>
      <c r="MWV18" s="159"/>
      <c r="MWW18" s="159"/>
      <c r="MWX18" s="159"/>
      <c r="MWY18" s="159"/>
      <c r="MWZ18" s="159"/>
      <c r="MXA18" s="159"/>
      <c r="MXB18" s="159"/>
      <c r="MXC18" s="159"/>
      <c r="MXD18" s="159"/>
      <c r="MXE18" s="159"/>
      <c r="MXF18" s="159"/>
      <c r="MXG18" s="159"/>
      <c r="MXH18" s="159"/>
      <c r="MXI18" s="159"/>
      <c r="MXJ18" s="159"/>
      <c r="MXK18" s="159"/>
      <c r="MXL18" s="159"/>
      <c r="MXM18" s="159"/>
      <c r="MXN18" s="159"/>
      <c r="MXO18" s="159"/>
      <c r="MXP18" s="159"/>
      <c r="MXQ18" s="159"/>
      <c r="MXR18" s="159"/>
      <c r="MXS18" s="159"/>
      <c r="MXT18" s="159"/>
      <c r="MXU18" s="159"/>
      <c r="MXV18" s="159"/>
      <c r="MXW18" s="159"/>
      <c r="MXX18" s="159"/>
      <c r="MXY18" s="159"/>
      <c r="MXZ18" s="159"/>
      <c r="MYA18" s="159"/>
      <c r="MYB18" s="159"/>
      <c r="MYC18" s="159"/>
      <c r="MYD18" s="159"/>
      <c r="MYE18" s="159"/>
      <c r="MYF18" s="159"/>
      <c r="MYG18" s="159"/>
      <c r="MYH18" s="159"/>
      <c r="MYI18" s="159"/>
      <c r="MYJ18" s="159"/>
      <c r="MYK18" s="159"/>
      <c r="MYL18" s="159"/>
      <c r="MYM18" s="159"/>
      <c r="MYN18" s="159"/>
      <c r="MYO18" s="159"/>
      <c r="MYP18" s="159"/>
      <c r="MYQ18" s="159"/>
      <c r="MYR18" s="159"/>
      <c r="MYS18" s="159"/>
      <c r="MYT18" s="159"/>
      <c r="MYU18" s="159"/>
      <c r="MYV18" s="159"/>
      <c r="MYW18" s="159"/>
      <c r="MYX18" s="159"/>
      <c r="MYY18" s="159"/>
      <c r="MYZ18" s="159"/>
      <c r="MZA18" s="159"/>
      <c r="MZB18" s="159"/>
      <c r="MZC18" s="159"/>
      <c r="MZD18" s="159"/>
      <c r="MZE18" s="159"/>
      <c r="MZF18" s="159"/>
      <c r="MZG18" s="159"/>
      <c r="MZH18" s="159"/>
      <c r="MZI18" s="159"/>
      <c r="MZJ18" s="159"/>
      <c r="MZK18" s="159"/>
      <c r="MZL18" s="159"/>
      <c r="MZM18" s="159"/>
      <c r="MZN18" s="159"/>
      <c r="MZO18" s="159"/>
      <c r="MZP18" s="159"/>
      <c r="MZQ18" s="159"/>
      <c r="MZR18" s="159"/>
      <c r="MZS18" s="159"/>
      <c r="MZT18" s="159"/>
      <c r="MZU18" s="159"/>
      <c r="MZV18" s="159"/>
      <c r="MZW18" s="159"/>
      <c r="MZX18" s="159"/>
      <c r="MZY18" s="159"/>
      <c r="MZZ18" s="159"/>
      <c r="NAA18" s="159"/>
      <c r="NAB18" s="159"/>
      <c r="NAC18" s="159"/>
      <c r="NAD18" s="159"/>
      <c r="NAE18" s="159"/>
      <c r="NAF18" s="159"/>
      <c r="NAG18" s="159"/>
      <c r="NAH18" s="159"/>
      <c r="NAI18" s="159"/>
      <c r="NAJ18" s="159"/>
      <c r="NAK18" s="159"/>
      <c r="NAL18" s="159"/>
      <c r="NAM18" s="159"/>
      <c r="NAN18" s="159"/>
      <c r="NAO18" s="159"/>
      <c r="NAP18" s="159"/>
      <c r="NAQ18" s="159"/>
      <c r="NAR18" s="159"/>
      <c r="NAS18" s="159"/>
      <c r="NAT18" s="159"/>
      <c r="NAU18" s="159"/>
      <c r="NAV18" s="159"/>
      <c r="NAW18" s="159"/>
      <c r="NAX18" s="159"/>
      <c r="NAY18" s="159"/>
      <c r="NAZ18" s="159"/>
      <c r="NBA18" s="159"/>
      <c r="NBB18" s="159"/>
      <c r="NBC18" s="159"/>
      <c r="NBD18" s="159"/>
      <c r="NBE18" s="159"/>
      <c r="NBF18" s="159"/>
      <c r="NBG18" s="159"/>
      <c r="NBH18" s="159"/>
      <c r="NBI18" s="159"/>
      <c r="NBJ18" s="159"/>
      <c r="NBK18" s="159"/>
      <c r="NBL18" s="159"/>
      <c r="NBM18" s="159"/>
      <c r="NBN18" s="159"/>
      <c r="NBO18" s="159"/>
      <c r="NBP18" s="159"/>
      <c r="NBQ18" s="159"/>
      <c r="NBR18" s="159"/>
      <c r="NBS18" s="159"/>
      <c r="NBT18" s="159"/>
      <c r="NBU18" s="159"/>
      <c r="NBV18" s="159"/>
      <c r="NBW18" s="159"/>
      <c r="NBX18" s="159"/>
      <c r="NBY18" s="159"/>
      <c r="NBZ18" s="159"/>
      <c r="NCA18" s="159"/>
      <c r="NCB18" s="159"/>
      <c r="NCC18" s="159"/>
      <c r="NCD18" s="159"/>
      <c r="NCE18" s="159"/>
      <c r="NCF18" s="159"/>
      <c r="NCG18" s="159"/>
      <c r="NCH18" s="159"/>
      <c r="NCI18" s="159"/>
      <c r="NCJ18" s="159"/>
      <c r="NCK18" s="159"/>
      <c r="NCL18" s="159"/>
      <c r="NCM18" s="159"/>
      <c r="NCN18" s="159"/>
      <c r="NCO18" s="159"/>
      <c r="NCP18" s="159"/>
      <c r="NCQ18" s="159"/>
      <c r="NCR18" s="159"/>
      <c r="NCS18" s="159"/>
      <c r="NCT18" s="159"/>
      <c r="NCU18" s="159"/>
      <c r="NCV18" s="159"/>
      <c r="NCW18" s="159"/>
      <c r="NCX18" s="159"/>
      <c r="NCY18" s="159"/>
      <c r="NCZ18" s="159"/>
      <c r="NDA18" s="159"/>
      <c r="NDB18" s="159"/>
      <c r="NDC18" s="159"/>
      <c r="NDD18" s="159"/>
      <c r="NDE18" s="159"/>
      <c r="NDF18" s="159"/>
      <c r="NDG18" s="159"/>
      <c r="NDH18" s="159"/>
      <c r="NDI18" s="159"/>
      <c r="NDJ18" s="159"/>
      <c r="NDK18" s="159"/>
      <c r="NDL18" s="159"/>
      <c r="NDM18" s="159"/>
      <c r="NDN18" s="159"/>
      <c r="NDO18" s="159"/>
      <c r="NDP18" s="159"/>
      <c r="NDQ18" s="159"/>
      <c r="NDR18" s="159"/>
      <c r="NDS18" s="159"/>
      <c r="NDT18" s="159"/>
      <c r="NDU18" s="159"/>
      <c r="NDV18" s="159"/>
      <c r="NDW18" s="159"/>
      <c r="NDX18" s="159"/>
      <c r="NDY18" s="159"/>
      <c r="NDZ18" s="159"/>
      <c r="NEA18" s="159"/>
      <c r="NEB18" s="159"/>
      <c r="NEC18" s="159"/>
      <c r="NED18" s="159"/>
      <c r="NEE18" s="159"/>
      <c r="NEF18" s="159"/>
      <c r="NEG18" s="159"/>
      <c r="NEH18" s="159"/>
      <c r="NEI18" s="159"/>
      <c r="NEJ18" s="159"/>
      <c r="NEK18" s="159"/>
      <c r="NEL18" s="159"/>
      <c r="NEM18" s="159"/>
      <c r="NEN18" s="159"/>
      <c r="NEO18" s="159"/>
      <c r="NEP18" s="159"/>
      <c r="NEQ18" s="159"/>
      <c r="NER18" s="159"/>
      <c r="NES18" s="159"/>
      <c r="NET18" s="159"/>
      <c r="NEU18" s="159"/>
      <c r="NEV18" s="159"/>
      <c r="NEW18" s="159"/>
      <c r="NEX18" s="159"/>
      <c r="NEY18" s="159"/>
      <c r="NEZ18" s="159"/>
      <c r="NFA18" s="159"/>
      <c r="NFB18" s="159"/>
      <c r="NFC18" s="159"/>
      <c r="NFD18" s="159"/>
      <c r="NFE18" s="159"/>
      <c r="NFF18" s="159"/>
      <c r="NFG18" s="159"/>
      <c r="NFH18" s="159"/>
      <c r="NFI18" s="159"/>
      <c r="NFJ18" s="159"/>
      <c r="NFK18" s="159"/>
      <c r="NFL18" s="159"/>
      <c r="NFM18" s="159"/>
      <c r="NFN18" s="159"/>
      <c r="NFO18" s="159"/>
      <c r="NFP18" s="159"/>
      <c r="NFQ18" s="159"/>
      <c r="NFR18" s="159"/>
      <c r="NFS18" s="159"/>
      <c r="NFT18" s="159"/>
      <c r="NFU18" s="159"/>
      <c r="NFV18" s="159"/>
      <c r="NFW18" s="159"/>
      <c r="NFX18" s="159"/>
      <c r="NFY18" s="159"/>
      <c r="NFZ18" s="159"/>
      <c r="NGA18" s="159"/>
      <c r="NGB18" s="159"/>
      <c r="NGC18" s="159"/>
      <c r="NGD18" s="159"/>
      <c r="NGE18" s="159"/>
      <c r="NGF18" s="159"/>
      <c r="NGG18" s="159"/>
      <c r="NGH18" s="159"/>
      <c r="NGI18" s="159"/>
      <c r="NGJ18" s="159"/>
      <c r="NGK18" s="159"/>
      <c r="NGL18" s="159"/>
      <c r="NGM18" s="159"/>
      <c r="NGN18" s="159"/>
      <c r="NGO18" s="159"/>
      <c r="NGP18" s="159"/>
      <c r="NGQ18" s="159"/>
      <c r="NGR18" s="159"/>
      <c r="NGS18" s="159"/>
      <c r="NGT18" s="159"/>
      <c r="NGU18" s="159"/>
      <c r="NGV18" s="159"/>
      <c r="NGW18" s="159"/>
      <c r="NGX18" s="159"/>
      <c r="NGY18" s="159"/>
      <c r="NGZ18" s="159"/>
      <c r="NHA18" s="159"/>
      <c r="NHB18" s="159"/>
      <c r="NHC18" s="159"/>
      <c r="NHD18" s="159"/>
      <c r="NHE18" s="159"/>
      <c r="NHF18" s="159"/>
      <c r="NHG18" s="159"/>
      <c r="NHH18" s="159"/>
      <c r="NHI18" s="159"/>
      <c r="NHJ18" s="159"/>
      <c r="NHK18" s="159"/>
      <c r="NHL18" s="159"/>
      <c r="NHM18" s="159"/>
      <c r="NHN18" s="159"/>
      <c r="NHO18" s="159"/>
      <c r="NHP18" s="159"/>
      <c r="NHQ18" s="159"/>
      <c r="NHR18" s="159"/>
      <c r="NHS18" s="159"/>
      <c r="NHT18" s="159"/>
      <c r="NHU18" s="159"/>
      <c r="NHV18" s="159"/>
      <c r="NHW18" s="159"/>
      <c r="NHX18" s="159"/>
      <c r="NHY18" s="159"/>
      <c r="NHZ18" s="159"/>
      <c r="NIA18" s="159"/>
      <c r="NIB18" s="159"/>
      <c r="NIC18" s="159"/>
      <c r="NID18" s="159"/>
      <c r="NIE18" s="159"/>
      <c r="NIF18" s="159"/>
      <c r="NIG18" s="159"/>
      <c r="NIH18" s="159"/>
      <c r="NII18" s="159"/>
      <c r="NIJ18" s="159"/>
      <c r="NIK18" s="159"/>
      <c r="NIL18" s="159"/>
      <c r="NIM18" s="159"/>
      <c r="NIN18" s="159"/>
      <c r="NIO18" s="159"/>
      <c r="NIP18" s="159"/>
      <c r="NIQ18" s="159"/>
      <c r="NIR18" s="159"/>
      <c r="NIS18" s="159"/>
      <c r="NIT18" s="159"/>
      <c r="NIU18" s="159"/>
      <c r="NIV18" s="159"/>
      <c r="NIW18" s="159"/>
      <c r="NIX18" s="159"/>
      <c r="NIY18" s="159"/>
      <c r="NIZ18" s="159"/>
      <c r="NJA18" s="159"/>
      <c r="NJB18" s="159"/>
      <c r="NJC18" s="159"/>
      <c r="NJD18" s="159"/>
      <c r="NJE18" s="159"/>
      <c r="NJF18" s="159"/>
      <c r="NJG18" s="159"/>
      <c r="NJH18" s="159"/>
      <c r="NJI18" s="159"/>
      <c r="NJJ18" s="159"/>
      <c r="NJK18" s="159"/>
      <c r="NJL18" s="159"/>
      <c r="NJM18" s="159"/>
      <c r="NJN18" s="159"/>
      <c r="NJO18" s="159"/>
      <c r="NJP18" s="159"/>
      <c r="NJQ18" s="159"/>
      <c r="NJR18" s="159"/>
      <c r="NJS18" s="159"/>
      <c r="NJT18" s="159"/>
      <c r="NJU18" s="159"/>
      <c r="NJV18" s="159"/>
      <c r="NJW18" s="159"/>
      <c r="NJX18" s="159"/>
      <c r="NJY18" s="159"/>
      <c r="NJZ18" s="159"/>
      <c r="NKA18" s="159"/>
      <c r="NKB18" s="159"/>
      <c r="NKC18" s="159"/>
      <c r="NKD18" s="159"/>
      <c r="NKE18" s="159"/>
      <c r="NKF18" s="159"/>
      <c r="NKG18" s="159"/>
      <c r="NKH18" s="159"/>
      <c r="NKI18" s="159"/>
      <c r="NKJ18" s="159"/>
      <c r="NKK18" s="159"/>
      <c r="NKL18" s="159"/>
      <c r="NKM18" s="159"/>
      <c r="NKN18" s="159"/>
      <c r="NKO18" s="159"/>
      <c r="NKP18" s="159"/>
      <c r="NKQ18" s="159"/>
      <c r="NKR18" s="159"/>
      <c r="NKS18" s="159"/>
      <c r="NKT18" s="159"/>
      <c r="NKU18" s="159"/>
      <c r="NKV18" s="159"/>
      <c r="NKW18" s="159"/>
      <c r="NKX18" s="159"/>
      <c r="NKY18" s="159"/>
      <c r="NKZ18" s="159"/>
      <c r="NLA18" s="159"/>
      <c r="NLB18" s="159"/>
      <c r="NLC18" s="159"/>
      <c r="NLD18" s="159"/>
      <c r="NLE18" s="159"/>
      <c r="NLF18" s="159"/>
      <c r="NLG18" s="159"/>
      <c r="NLH18" s="159"/>
      <c r="NLI18" s="159"/>
      <c r="NLJ18" s="159"/>
      <c r="NLK18" s="159"/>
      <c r="NLL18" s="159"/>
      <c r="NLM18" s="159"/>
      <c r="NLN18" s="159"/>
      <c r="NLO18" s="159"/>
      <c r="NLP18" s="159"/>
      <c r="NLQ18" s="159"/>
      <c r="NLR18" s="159"/>
      <c r="NLS18" s="159"/>
      <c r="NLT18" s="159"/>
      <c r="NLU18" s="159"/>
      <c r="NLV18" s="159"/>
      <c r="NLW18" s="159"/>
      <c r="NLX18" s="159"/>
      <c r="NLY18" s="159"/>
      <c r="NLZ18" s="159"/>
      <c r="NMA18" s="159"/>
      <c r="NMB18" s="159"/>
      <c r="NMC18" s="159"/>
      <c r="NMD18" s="159"/>
      <c r="NME18" s="159"/>
      <c r="NMF18" s="159"/>
      <c r="NMG18" s="159"/>
      <c r="NMH18" s="159"/>
      <c r="NMI18" s="159"/>
      <c r="NMJ18" s="159"/>
      <c r="NMK18" s="159"/>
      <c r="NML18" s="159"/>
      <c r="NMM18" s="159"/>
      <c r="NMN18" s="159"/>
      <c r="NMO18" s="159"/>
      <c r="NMP18" s="159"/>
      <c r="NMQ18" s="159"/>
      <c r="NMR18" s="159"/>
      <c r="NMS18" s="159"/>
      <c r="NMT18" s="159"/>
      <c r="NMU18" s="159"/>
      <c r="NMV18" s="159"/>
      <c r="NMW18" s="159"/>
      <c r="NMX18" s="159"/>
      <c r="NMY18" s="159"/>
      <c r="NMZ18" s="159"/>
      <c r="NNA18" s="159"/>
      <c r="NNB18" s="159"/>
      <c r="NNC18" s="159"/>
      <c r="NND18" s="159"/>
      <c r="NNE18" s="159"/>
      <c r="NNF18" s="159"/>
      <c r="NNG18" s="159"/>
      <c r="NNH18" s="159"/>
      <c r="NNI18" s="159"/>
      <c r="NNJ18" s="159"/>
      <c r="NNK18" s="159"/>
      <c r="NNL18" s="159"/>
      <c r="NNM18" s="159"/>
      <c r="NNN18" s="159"/>
      <c r="NNO18" s="159"/>
      <c r="NNP18" s="159"/>
      <c r="NNQ18" s="159"/>
      <c r="NNR18" s="159"/>
      <c r="NNS18" s="159"/>
      <c r="NNT18" s="159"/>
      <c r="NNU18" s="159"/>
      <c r="NNV18" s="159"/>
      <c r="NNW18" s="159"/>
      <c r="NNX18" s="159"/>
      <c r="NNY18" s="159"/>
      <c r="NNZ18" s="159"/>
      <c r="NOA18" s="159"/>
      <c r="NOB18" s="159"/>
      <c r="NOC18" s="159"/>
      <c r="NOD18" s="159"/>
      <c r="NOE18" s="159"/>
      <c r="NOF18" s="159"/>
      <c r="NOG18" s="159"/>
      <c r="NOH18" s="159"/>
      <c r="NOI18" s="159"/>
      <c r="NOJ18" s="159"/>
      <c r="NOK18" s="159"/>
      <c r="NOL18" s="159"/>
      <c r="NOM18" s="159"/>
      <c r="NON18" s="159"/>
      <c r="NOO18" s="159"/>
      <c r="NOP18" s="159"/>
      <c r="NOQ18" s="159"/>
      <c r="NOR18" s="159"/>
      <c r="NOS18" s="159"/>
      <c r="NOT18" s="159"/>
      <c r="NOU18" s="159"/>
      <c r="NOV18" s="159"/>
      <c r="NOW18" s="159"/>
      <c r="NOX18" s="159"/>
      <c r="NOY18" s="159"/>
      <c r="NOZ18" s="159"/>
      <c r="NPA18" s="159"/>
      <c r="NPB18" s="159"/>
      <c r="NPC18" s="159"/>
      <c r="NPD18" s="159"/>
      <c r="NPE18" s="159"/>
      <c r="NPF18" s="159"/>
      <c r="NPG18" s="159"/>
      <c r="NPH18" s="159"/>
      <c r="NPI18" s="159"/>
      <c r="NPJ18" s="159"/>
      <c r="NPK18" s="159"/>
      <c r="NPL18" s="159"/>
      <c r="NPM18" s="159"/>
      <c r="NPN18" s="159"/>
      <c r="NPO18" s="159"/>
      <c r="NPP18" s="159"/>
      <c r="NPQ18" s="159"/>
      <c r="NPR18" s="159"/>
      <c r="NPS18" s="159"/>
      <c r="NPT18" s="159"/>
      <c r="NPU18" s="159"/>
      <c r="NPV18" s="159"/>
      <c r="NPW18" s="159"/>
      <c r="NPX18" s="159"/>
      <c r="NPY18" s="159"/>
      <c r="NPZ18" s="159"/>
      <c r="NQA18" s="159"/>
      <c r="NQB18" s="159"/>
      <c r="NQC18" s="159"/>
      <c r="NQD18" s="159"/>
      <c r="NQE18" s="159"/>
      <c r="NQF18" s="159"/>
      <c r="NQG18" s="159"/>
      <c r="NQH18" s="159"/>
      <c r="NQI18" s="159"/>
      <c r="NQJ18" s="159"/>
      <c r="NQK18" s="159"/>
      <c r="NQL18" s="159"/>
      <c r="NQM18" s="159"/>
      <c r="NQN18" s="159"/>
      <c r="NQO18" s="159"/>
      <c r="NQP18" s="159"/>
      <c r="NQQ18" s="159"/>
      <c r="NQR18" s="159"/>
      <c r="NQS18" s="159"/>
      <c r="NQT18" s="159"/>
      <c r="NQU18" s="159"/>
      <c r="NQV18" s="159"/>
      <c r="NQW18" s="159"/>
      <c r="NQX18" s="159"/>
      <c r="NQY18" s="159"/>
      <c r="NQZ18" s="159"/>
      <c r="NRA18" s="159"/>
      <c r="NRB18" s="159"/>
      <c r="NRC18" s="159"/>
      <c r="NRD18" s="159"/>
      <c r="NRE18" s="159"/>
      <c r="NRF18" s="159"/>
      <c r="NRG18" s="159"/>
      <c r="NRH18" s="159"/>
      <c r="NRI18" s="159"/>
      <c r="NRJ18" s="159"/>
      <c r="NRK18" s="159"/>
      <c r="NRL18" s="159"/>
      <c r="NRM18" s="159"/>
      <c r="NRN18" s="159"/>
      <c r="NRO18" s="159"/>
      <c r="NRP18" s="159"/>
      <c r="NRQ18" s="159"/>
      <c r="NRR18" s="159"/>
      <c r="NRS18" s="159"/>
      <c r="NRT18" s="159"/>
      <c r="NRU18" s="159"/>
      <c r="NRV18" s="159"/>
      <c r="NRW18" s="159"/>
      <c r="NRX18" s="159"/>
      <c r="NRY18" s="159"/>
      <c r="NRZ18" s="159"/>
      <c r="NSA18" s="159"/>
      <c r="NSB18" s="159"/>
      <c r="NSC18" s="159"/>
      <c r="NSD18" s="159"/>
      <c r="NSE18" s="159"/>
      <c r="NSF18" s="159"/>
      <c r="NSG18" s="159"/>
      <c r="NSH18" s="159"/>
      <c r="NSI18" s="159"/>
      <c r="NSJ18" s="159"/>
      <c r="NSK18" s="159"/>
      <c r="NSL18" s="159"/>
      <c r="NSM18" s="159"/>
      <c r="NSN18" s="159"/>
      <c r="NSO18" s="159"/>
      <c r="NSP18" s="159"/>
      <c r="NSQ18" s="159"/>
      <c r="NSR18" s="159"/>
      <c r="NSS18" s="159"/>
      <c r="NST18" s="159"/>
      <c r="NSU18" s="159"/>
      <c r="NSV18" s="159"/>
      <c r="NSW18" s="159"/>
      <c r="NSX18" s="159"/>
      <c r="NSY18" s="159"/>
      <c r="NSZ18" s="159"/>
      <c r="NTA18" s="159"/>
      <c r="NTB18" s="159"/>
      <c r="NTC18" s="159"/>
      <c r="NTD18" s="159"/>
      <c r="NTE18" s="159"/>
      <c r="NTF18" s="159"/>
      <c r="NTG18" s="159"/>
      <c r="NTH18" s="159"/>
      <c r="NTI18" s="159"/>
      <c r="NTJ18" s="159"/>
      <c r="NTK18" s="159"/>
      <c r="NTL18" s="159"/>
      <c r="NTM18" s="159"/>
      <c r="NTN18" s="159"/>
      <c r="NTO18" s="159"/>
      <c r="NTP18" s="159"/>
      <c r="NTQ18" s="159"/>
      <c r="NTR18" s="159"/>
      <c r="NTS18" s="159"/>
      <c r="NTT18" s="159"/>
      <c r="NTU18" s="159"/>
      <c r="NTV18" s="159"/>
      <c r="NTW18" s="159"/>
      <c r="NTX18" s="159"/>
      <c r="NTY18" s="159"/>
      <c r="NTZ18" s="159"/>
      <c r="NUA18" s="159"/>
      <c r="NUB18" s="159"/>
      <c r="NUC18" s="159"/>
      <c r="NUD18" s="159"/>
      <c r="NUE18" s="159"/>
      <c r="NUF18" s="159"/>
      <c r="NUG18" s="159"/>
      <c r="NUH18" s="159"/>
      <c r="NUI18" s="159"/>
      <c r="NUJ18" s="159"/>
      <c r="NUK18" s="159"/>
      <c r="NUL18" s="159"/>
      <c r="NUM18" s="159"/>
      <c r="NUN18" s="159"/>
      <c r="NUO18" s="159"/>
      <c r="NUP18" s="159"/>
      <c r="NUQ18" s="159"/>
      <c r="NUR18" s="159"/>
      <c r="NUS18" s="159"/>
      <c r="NUT18" s="159"/>
      <c r="NUU18" s="159"/>
      <c r="NUV18" s="159"/>
      <c r="NUW18" s="159"/>
      <c r="NUX18" s="159"/>
      <c r="NUY18" s="159"/>
      <c r="NUZ18" s="159"/>
      <c r="NVA18" s="159"/>
      <c r="NVB18" s="159"/>
      <c r="NVC18" s="159"/>
      <c r="NVD18" s="159"/>
      <c r="NVE18" s="159"/>
      <c r="NVF18" s="159"/>
      <c r="NVG18" s="159"/>
      <c r="NVH18" s="159"/>
      <c r="NVI18" s="159"/>
      <c r="NVJ18" s="159"/>
      <c r="NVK18" s="159"/>
      <c r="NVL18" s="159"/>
      <c r="NVM18" s="159"/>
      <c r="NVN18" s="159"/>
      <c r="NVO18" s="159"/>
      <c r="NVP18" s="159"/>
      <c r="NVQ18" s="159"/>
      <c r="NVR18" s="159"/>
      <c r="NVS18" s="159"/>
      <c r="NVT18" s="159"/>
      <c r="NVU18" s="159"/>
      <c r="NVV18" s="159"/>
      <c r="NVW18" s="159"/>
      <c r="NVX18" s="159"/>
      <c r="NVY18" s="159"/>
      <c r="NVZ18" s="159"/>
      <c r="NWA18" s="159"/>
      <c r="NWB18" s="159"/>
      <c r="NWC18" s="159"/>
      <c r="NWD18" s="159"/>
      <c r="NWE18" s="159"/>
      <c r="NWF18" s="159"/>
      <c r="NWG18" s="159"/>
      <c r="NWH18" s="159"/>
      <c r="NWI18" s="159"/>
      <c r="NWJ18" s="159"/>
      <c r="NWK18" s="159"/>
      <c r="NWL18" s="159"/>
      <c r="NWM18" s="159"/>
      <c r="NWN18" s="159"/>
      <c r="NWO18" s="159"/>
      <c r="NWP18" s="159"/>
      <c r="NWQ18" s="159"/>
      <c r="NWR18" s="159"/>
      <c r="NWS18" s="159"/>
      <c r="NWT18" s="159"/>
      <c r="NWU18" s="159"/>
      <c r="NWV18" s="159"/>
      <c r="NWW18" s="159"/>
      <c r="NWX18" s="159"/>
      <c r="NWY18" s="159"/>
      <c r="NWZ18" s="159"/>
      <c r="NXA18" s="159"/>
      <c r="NXB18" s="159"/>
      <c r="NXC18" s="159"/>
      <c r="NXD18" s="159"/>
      <c r="NXE18" s="159"/>
      <c r="NXF18" s="159"/>
      <c r="NXG18" s="159"/>
      <c r="NXH18" s="159"/>
      <c r="NXI18" s="159"/>
      <c r="NXJ18" s="159"/>
      <c r="NXK18" s="159"/>
      <c r="NXL18" s="159"/>
      <c r="NXM18" s="159"/>
      <c r="NXN18" s="159"/>
      <c r="NXO18" s="159"/>
      <c r="NXP18" s="159"/>
      <c r="NXQ18" s="159"/>
      <c r="NXR18" s="159"/>
      <c r="NXS18" s="159"/>
      <c r="NXT18" s="159"/>
      <c r="NXU18" s="159"/>
      <c r="NXV18" s="159"/>
      <c r="NXW18" s="159"/>
      <c r="NXX18" s="159"/>
      <c r="NXY18" s="159"/>
      <c r="NXZ18" s="159"/>
      <c r="NYA18" s="159"/>
      <c r="NYB18" s="159"/>
      <c r="NYC18" s="159"/>
      <c r="NYD18" s="159"/>
      <c r="NYE18" s="159"/>
      <c r="NYF18" s="159"/>
      <c r="NYG18" s="159"/>
      <c r="NYH18" s="159"/>
      <c r="NYI18" s="159"/>
      <c r="NYJ18" s="159"/>
      <c r="NYK18" s="159"/>
      <c r="NYL18" s="159"/>
      <c r="NYM18" s="159"/>
      <c r="NYN18" s="159"/>
      <c r="NYO18" s="159"/>
      <c r="NYP18" s="159"/>
      <c r="NYQ18" s="159"/>
      <c r="NYR18" s="159"/>
      <c r="NYS18" s="159"/>
      <c r="NYT18" s="159"/>
      <c r="NYU18" s="159"/>
      <c r="NYV18" s="159"/>
      <c r="NYW18" s="159"/>
      <c r="NYX18" s="159"/>
      <c r="NYY18" s="159"/>
      <c r="NYZ18" s="159"/>
      <c r="NZA18" s="159"/>
      <c r="NZB18" s="159"/>
      <c r="NZC18" s="159"/>
      <c r="NZD18" s="159"/>
      <c r="NZE18" s="159"/>
      <c r="NZF18" s="159"/>
      <c r="NZG18" s="159"/>
      <c r="NZH18" s="159"/>
      <c r="NZI18" s="159"/>
      <c r="NZJ18" s="159"/>
      <c r="NZK18" s="159"/>
      <c r="NZL18" s="159"/>
      <c r="NZM18" s="159"/>
      <c r="NZN18" s="159"/>
      <c r="NZO18" s="159"/>
      <c r="NZP18" s="159"/>
      <c r="NZQ18" s="159"/>
      <c r="NZR18" s="159"/>
      <c r="NZS18" s="159"/>
      <c r="NZT18" s="159"/>
      <c r="NZU18" s="159"/>
      <c r="NZV18" s="159"/>
      <c r="NZW18" s="159"/>
      <c r="NZX18" s="159"/>
      <c r="NZY18" s="159"/>
      <c r="NZZ18" s="159"/>
      <c r="OAA18" s="159"/>
      <c r="OAB18" s="159"/>
      <c r="OAC18" s="159"/>
      <c r="OAD18" s="159"/>
      <c r="OAE18" s="159"/>
      <c r="OAF18" s="159"/>
      <c r="OAG18" s="159"/>
      <c r="OAH18" s="159"/>
      <c r="OAI18" s="159"/>
      <c r="OAJ18" s="159"/>
      <c r="OAK18" s="159"/>
      <c r="OAL18" s="159"/>
      <c r="OAM18" s="159"/>
      <c r="OAN18" s="159"/>
      <c r="OAO18" s="159"/>
      <c r="OAP18" s="159"/>
      <c r="OAQ18" s="159"/>
      <c r="OAR18" s="159"/>
      <c r="OAS18" s="159"/>
      <c r="OAT18" s="159"/>
      <c r="OAU18" s="159"/>
      <c r="OAV18" s="159"/>
      <c r="OAW18" s="159"/>
      <c r="OAX18" s="159"/>
      <c r="OAY18" s="159"/>
      <c r="OAZ18" s="159"/>
      <c r="OBA18" s="159"/>
      <c r="OBB18" s="159"/>
      <c r="OBC18" s="159"/>
      <c r="OBD18" s="159"/>
      <c r="OBE18" s="159"/>
      <c r="OBF18" s="159"/>
      <c r="OBG18" s="159"/>
      <c r="OBH18" s="159"/>
      <c r="OBI18" s="159"/>
      <c r="OBJ18" s="159"/>
      <c r="OBK18" s="159"/>
      <c r="OBL18" s="159"/>
      <c r="OBM18" s="159"/>
      <c r="OBN18" s="159"/>
      <c r="OBO18" s="159"/>
      <c r="OBP18" s="159"/>
      <c r="OBQ18" s="159"/>
      <c r="OBR18" s="159"/>
      <c r="OBS18" s="159"/>
      <c r="OBT18" s="159"/>
      <c r="OBU18" s="159"/>
      <c r="OBV18" s="159"/>
      <c r="OBW18" s="159"/>
      <c r="OBX18" s="159"/>
      <c r="OBY18" s="159"/>
      <c r="OBZ18" s="159"/>
      <c r="OCA18" s="159"/>
      <c r="OCB18" s="159"/>
      <c r="OCC18" s="159"/>
      <c r="OCD18" s="159"/>
      <c r="OCE18" s="159"/>
      <c r="OCF18" s="159"/>
      <c r="OCG18" s="159"/>
      <c r="OCH18" s="159"/>
      <c r="OCI18" s="159"/>
      <c r="OCJ18" s="159"/>
      <c r="OCK18" s="159"/>
      <c r="OCL18" s="159"/>
      <c r="OCM18" s="159"/>
      <c r="OCN18" s="159"/>
      <c r="OCO18" s="159"/>
      <c r="OCP18" s="159"/>
      <c r="OCQ18" s="159"/>
      <c r="OCR18" s="159"/>
      <c r="OCS18" s="159"/>
      <c r="OCT18" s="159"/>
      <c r="OCU18" s="159"/>
      <c r="OCV18" s="159"/>
      <c r="OCW18" s="159"/>
      <c r="OCX18" s="159"/>
      <c r="OCY18" s="159"/>
      <c r="OCZ18" s="159"/>
      <c r="ODA18" s="159"/>
      <c r="ODB18" s="159"/>
      <c r="ODC18" s="159"/>
      <c r="ODD18" s="159"/>
      <c r="ODE18" s="159"/>
      <c r="ODF18" s="159"/>
      <c r="ODG18" s="159"/>
      <c r="ODH18" s="159"/>
      <c r="ODI18" s="159"/>
      <c r="ODJ18" s="159"/>
      <c r="ODK18" s="159"/>
      <c r="ODL18" s="159"/>
      <c r="ODM18" s="159"/>
      <c r="ODN18" s="159"/>
      <c r="ODO18" s="159"/>
      <c r="ODP18" s="159"/>
      <c r="ODQ18" s="159"/>
      <c r="ODR18" s="159"/>
      <c r="ODS18" s="159"/>
      <c r="ODT18" s="159"/>
      <c r="ODU18" s="159"/>
      <c r="ODV18" s="159"/>
      <c r="ODW18" s="159"/>
      <c r="ODX18" s="159"/>
      <c r="ODY18" s="159"/>
      <c r="ODZ18" s="159"/>
      <c r="OEA18" s="159"/>
      <c r="OEB18" s="159"/>
      <c r="OEC18" s="159"/>
      <c r="OED18" s="159"/>
      <c r="OEE18" s="159"/>
      <c r="OEF18" s="159"/>
      <c r="OEG18" s="159"/>
      <c r="OEH18" s="159"/>
      <c r="OEI18" s="159"/>
      <c r="OEJ18" s="159"/>
      <c r="OEK18" s="159"/>
      <c r="OEL18" s="159"/>
      <c r="OEM18" s="159"/>
      <c r="OEN18" s="159"/>
      <c r="OEO18" s="159"/>
      <c r="OEP18" s="159"/>
      <c r="OEQ18" s="159"/>
      <c r="OER18" s="159"/>
      <c r="OES18" s="159"/>
      <c r="OET18" s="159"/>
      <c r="OEU18" s="159"/>
      <c r="OEV18" s="159"/>
      <c r="OEW18" s="159"/>
      <c r="OEX18" s="159"/>
      <c r="OEY18" s="159"/>
      <c r="OEZ18" s="159"/>
      <c r="OFA18" s="159"/>
      <c r="OFB18" s="159"/>
      <c r="OFC18" s="159"/>
      <c r="OFD18" s="159"/>
      <c r="OFE18" s="159"/>
      <c r="OFF18" s="159"/>
      <c r="OFG18" s="159"/>
      <c r="OFH18" s="159"/>
      <c r="OFI18" s="159"/>
      <c r="OFJ18" s="159"/>
      <c r="OFK18" s="159"/>
      <c r="OFL18" s="159"/>
      <c r="OFM18" s="159"/>
      <c r="OFN18" s="159"/>
      <c r="OFO18" s="159"/>
      <c r="OFP18" s="159"/>
      <c r="OFQ18" s="159"/>
      <c r="OFR18" s="159"/>
      <c r="OFS18" s="159"/>
      <c r="OFT18" s="159"/>
      <c r="OFU18" s="159"/>
      <c r="OFV18" s="159"/>
      <c r="OFW18" s="159"/>
      <c r="OFX18" s="159"/>
      <c r="OFY18" s="159"/>
      <c r="OFZ18" s="159"/>
      <c r="OGA18" s="159"/>
      <c r="OGB18" s="159"/>
      <c r="OGC18" s="159"/>
      <c r="OGD18" s="159"/>
      <c r="OGE18" s="159"/>
      <c r="OGF18" s="159"/>
      <c r="OGG18" s="159"/>
      <c r="OGH18" s="159"/>
      <c r="OGI18" s="159"/>
      <c r="OGJ18" s="159"/>
      <c r="OGK18" s="159"/>
      <c r="OGL18" s="159"/>
      <c r="OGM18" s="159"/>
      <c r="OGN18" s="159"/>
      <c r="OGO18" s="159"/>
      <c r="OGP18" s="159"/>
      <c r="OGQ18" s="159"/>
      <c r="OGR18" s="159"/>
      <c r="OGS18" s="159"/>
      <c r="OGT18" s="159"/>
      <c r="OGU18" s="159"/>
      <c r="OGV18" s="159"/>
      <c r="OGW18" s="159"/>
      <c r="OGX18" s="159"/>
      <c r="OGY18" s="159"/>
      <c r="OGZ18" s="159"/>
      <c r="OHA18" s="159"/>
      <c r="OHB18" s="159"/>
      <c r="OHC18" s="159"/>
      <c r="OHD18" s="159"/>
      <c r="OHE18" s="159"/>
      <c r="OHF18" s="159"/>
      <c r="OHG18" s="159"/>
      <c r="OHH18" s="159"/>
      <c r="OHI18" s="159"/>
      <c r="OHJ18" s="159"/>
      <c r="OHK18" s="159"/>
      <c r="OHL18" s="159"/>
      <c r="OHM18" s="159"/>
      <c r="OHN18" s="159"/>
      <c r="OHO18" s="159"/>
      <c r="OHP18" s="159"/>
      <c r="OHQ18" s="159"/>
      <c r="OHR18" s="159"/>
      <c r="OHS18" s="159"/>
      <c r="OHT18" s="159"/>
      <c r="OHU18" s="159"/>
      <c r="OHV18" s="159"/>
      <c r="OHW18" s="159"/>
      <c r="OHX18" s="159"/>
      <c r="OHY18" s="159"/>
      <c r="OHZ18" s="159"/>
      <c r="OIA18" s="159"/>
      <c r="OIB18" s="159"/>
      <c r="OIC18" s="159"/>
      <c r="OID18" s="159"/>
      <c r="OIE18" s="159"/>
      <c r="OIF18" s="159"/>
      <c r="OIG18" s="159"/>
      <c r="OIH18" s="159"/>
      <c r="OII18" s="159"/>
      <c r="OIJ18" s="159"/>
      <c r="OIK18" s="159"/>
      <c r="OIL18" s="159"/>
      <c r="OIM18" s="159"/>
      <c r="OIN18" s="159"/>
      <c r="OIO18" s="159"/>
      <c r="OIP18" s="159"/>
      <c r="OIQ18" s="159"/>
      <c r="OIR18" s="159"/>
      <c r="OIS18" s="159"/>
      <c r="OIT18" s="159"/>
      <c r="OIU18" s="159"/>
      <c r="OIV18" s="159"/>
      <c r="OIW18" s="159"/>
      <c r="OIX18" s="159"/>
      <c r="OIY18" s="159"/>
      <c r="OIZ18" s="159"/>
      <c r="OJA18" s="159"/>
      <c r="OJB18" s="159"/>
      <c r="OJC18" s="159"/>
      <c r="OJD18" s="159"/>
      <c r="OJE18" s="159"/>
      <c r="OJF18" s="159"/>
      <c r="OJG18" s="159"/>
      <c r="OJH18" s="159"/>
      <c r="OJI18" s="159"/>
      <c r="OJJ18" s="159"/>
      <c r="OJK18" s="159"/>
      <c r="OJL18" s="159"/>
      <c r="OJM18" s="159"/>
      <c r="OJN18" s="159"/>
      <c r="OJO18" s="159"/>
      <c r="OJP18" s="159"/>
      <c r="OJQ18" s="159"/>
      <c r="OJR18" s="159"/>
      <c r="OJS18" s="159"/>
      <c r="OJT18" s="159"/>
      <c r="OJU18" s="159"/>
      <c r="OJV18" s="159"/>
      <c r="OJW18" s="159"/>
      <c r="OJX18" s="159"/>
      <c r="OJY18" s="159"/>
      <c r="OJZ18" s="159"/>
      <c r="OKA18" s="159"/>
      <c r="OKB18" s="159"/>
      <c r="OKC18" s="159"/>
      <c r="OKD18" s="159"/>
      <c r="OKE18" s="159"/>
      <c r="OKF18" s="159"/>
      <c r="OKG18" s="159"/>
      <c r="OKH18" s="159"/>
      <c r="OKI18" s="159"/>
      <c r="OKJ18" s="159"/>
      <c r="OKK18" s="159"/>
      <c r="OKL18" s="159"/>
      <c r="OKM18" s="159"/>
      <c r="OKN18" s="159"/>
      <c r="OKO18" s="159"/>
      <c r="OKP18" s="159"/>
      <c r="OKQ18" s="159"/>
      <c r="OKR18" s="159"/>
      <c r="OKS18" s="159"/>
      <c r="OKT18" s="159"/>
      <c r="OKU18" s="159"/>
      <c r="OKV18" s="159"/>
      <c r="OKW18" s="159"/>
      <c r="OKX18" s="159"/>
      <c r="OKY18" s="159"/>
      <c r="OKZ18" s="159"/>
      <c r="OLA18" s="159"/>
      <c r="OLB18" s="159"/>
      <c r="OLC18" s="159"/>
      <c r="OLD18" s="159"/>
      <c r="OLE18" s="159"/>
      <c r="OLF18" s="159"/>
      <c r="OLG18" s="159"/>
      <c r="OLH18" s="159"/>
      <c r="OLI18" s="159"/>
      <c r="OLJ18" s="159"/>
      <c r="OLK18" s="159"/>
      <c r="OLL18" s="159"/>
      <c r="OLM18" s="159"/>
      <c r="OLN18" s="159"/>
      <c r="OLO18" s="159"/>
      <c r="OLP18" s="159"/>
      <c r="OLQ18" s="159"/>
      <c r="OLR18" s="159"/>
      <c r="OLS18" s="159"/>
      <c r="OLT18" s="159"/>
      <c r="OLU18" s="159"/>
      <c r="OLV18" s="159"/>
      <c r="OLW18" s="159"/>
      <c r="OLX18" s="159"/>
      <c r="OLY18" s="159"/>
      <c r="OLZ18" s="159"/>
      <c r="OMA18" s="159"/>
      <c r="OMB18" s="159"/>
      <c r="OMC18" s="159"/>
      <c r="OMD18" s="159"/>
      <c r="OME18" s="159"/>
      <c r="OMF18" s="159"/>
      <c r="OMG18" s="159"/>
      <c r="OMH18" s="159"/>
      <c r="OMI18" s="159"/>
      <c r="OMJ18" s="159"/>
      <c r="OMK18" s="159"/>
      <c r="OML18" s="159"/>
      <c r="OMM18" s="159"/>
      <c r="OMN18" s="159"/>
      <c r="OMO18" s="159"/>
      <c r="OMP18" s="159"/>
      <c r="OMQ18" s="159"/>
      <c r="OMR18" s="159"/>
      <c r="OMS18" s="159"/>
      <c r="OMT18" s="159"/>
      <c r="OMU18" s="159"/>
      <c r="OMV18" s="159"/>
      <c r="OMW18" s="159"/>
      <c r="OMX18" s="159"/>
      <c r="OMY18" s="159"/>
      <c r="OMZ18" s="159"/>
      <c r="ONA18" s="159"/>
      <c r="ONB18" s="159"/>
      <c r="ONC18" s="159"/>
      <c r="OND18" s="159"/>
      <c r="ONE18" s="159"/>
      <c r="ONF18" s="159"/>
      <c r="ONG18" s="159"/>
      <c r="ONH18" s="159"/>
      <c r="ONI18" s="159"/>
      <c r="ONJ18" s="159"/>
      <c r="ONK18" s="159"/>
      <c r="ONL18" s="159"/>
      <c r="ONM18" s="159"/>
      <c r="ONN18" s="159"/>
      <c r="ONO18" s="159"/>
      <c r="ONP18" s="159"/>
      <c r="ONQ18" s="159"/>
      <c r="ONR18" s="159"/>
      <c r="ONS18" s="159"/>
      <c r="ONT18" s="159"/>
      <c r="ONU18" s="159"/>
      <c r="ONV18" s="159"/>
      <c r="ONW18" s="159"/>
      <c r="ONX18" s="159"/>
      <c r="ONY18" s="159"/>
      <c r="ONZ18" s="159"/>
      <c r="OOA18" s="159"/>
      <c r="OOB18" s="159"/>
      <c r="OOC18" s="159"/>
      <c r="OOD18" s="159"/>
      <c r="OOE18" s="159"/>
      <c r="OOF18" s="159"/>
      <c r="OOG18" s="159"/>
      <c r="OOH18" s="159"/>
      <c r="OOI18" s="159"/>
      <c r="OOJ18" s="159"/>
      <c r="OOK18" s="159"/>
      <c r="OOL18" s="159"/>
      <c r="OOM18" s="159"/>
      <c r="OON18" s="159"/>
      <c r="OOO18" s="159"/>
      <c r="OOP18" s="159"/>
      <c r="OOQ18" s="159"/>
      <c r="OOR18" s="159"/>
      <c r="OOS18" s="159"/>
      <c r="OOT18" s="159"/>
      <c r="OOU18" s="159"/>
      <c r="OOV18" s="159"/>
      <c r="OOW18" s="159"/>
      <c r="OOX18" s="159"/>
      <c r="OOY18" s="159"/>
      <c r="OOZ18" s="159"/>
      <c r="OPA18" s="159"/>
      <c r="OPB18" s="159"/>
      <c r="OPC18" s="159"/>
      <c r="OPD18" s="159"/>
      <c r="OPE18" s="159"/>
      <c r="OPF18" s="159"/>
      <c r="OPG18" s="159"/>
      <c r="OPH18" s="159"/>
      <c r="OPI18" s="159"/>
      <c r="OPJ18" s="159"/>
      <c r="OPK18" s="159"/>
      <c r="OPL18" s="159"/>
      <c r="OPM18" s="159"/>
      <c r="OPN18" s="159"/>
      <c r="OPO18" s="159"/>
      <c r="OPP18" s="159"/>
      <c r="OPQ18" s="159"/>
      <c r="OPR18" s="159"/>
      <c r="OPS18" s="159"/>
      <c r="OPT18" s="159"/>
      <c r="OPU18" s="159"/>
      <c r="OPV18" s="159"/>
      <c r="OPW18" s="159"/>
      <c r="OPX18" s="159"/>
      <c r="OPY18" s="159"/>
      <c r="OPZ18" s="159"/>
      <c r="OQA18" s="159"/>
      <c r="OQB18" s="159"/>
      <c r="OQC18" s="159"/>
      <c r="OQD18" s="159"/>
      <c r="OQE18" s="159"/>
      <c r="OQF18" s="159"/>
      <c r="OQG18" s="159"/>
      <c r="OQH18" s="159"/>
      <c r="OQI18" s="159"/>
      <c r="OQJ18" s="159"/>
      <c r="OQK18" s="159"/>
      <c r="OQL18" s="159"/>
      <c r="OQM18" s="159"/>
      <c r="OQN18" s="159"/>
      <c r="OQO18" s="159"/>
      <c r="OQP18" s="159"/>
      <c r="OQQ18" s="159"/>
      <c r="OQR18" s="159"/>
      <c r="OQS18" s="159"/>
      <c r="OQT18" s="159"/>
      <c r="OQU18" s="159"/>
      <c r="OQV18" s="159"/>
      <c r="OQW18" s="159"/>
      <c r="OQX18" s="159"/>
      <c r="OQY18" s="159"/>
      <c r="OQZ18" s="159"/>
      <c r="ORA18" s="159"/>
      <c r="ORB18" s="159"/>
      <c r="ORC18" s="159"/>
      <c r="ORD18" s="159"/>
      <c r="ORE18" s="159"/>
      <c r="ORF18" s="159"/>
      <c r="ORG18" s="159"/>
      <c r="ORH18" s="159"/>
      <c r="ORI18" s="159"/>
      <c r="ORJ18" s="159"/>
      <c r="ORK18" s="159"/>
      <c r="ORL18" s="159"/>
      <c r="ORM18" s="159"/>
      <c r="ORN18" s="159"/>
      <c r="ORO18" s="159"/>
      <c r="ORP18" s="159"/>
      <c r="ORQ18" s="159"/>
      <c r="ORR18" s="159"/>
      <c r="ORS18" s="159"/>
      <c r="ORT18" s="159"/>
      <c r="ORU18" s="159"/>
      <c r="ORV18" s="159"/>
      <c r="ORW18" s="159"/>
      <c r="ORX18" s="159"/>
      <c r="ORY18" s="159"/>
      <c r="ORZ18" s="159"/>
      <c r="OSA18" s="159"/>
      <c r="OSB18" s="159"/>
      <c r="OSC18" s="159"/>
      <c r="OSD18" s="159"/>
      <c r="OSE18" s="159"/>
      <c r="OSF18" s="159"/>
      <c r="OSG18" s="159"/>
      <c r="OSH18" s="159"/>
      <c r="OSI18" s="159"/>
      <c r="OSJ18" s="159"/>
      <c r="OSK18" s="159"/>
      <c r="OSL18" s="159"/>
      <c r="OSM18" s="159"/>
      <c r="OSN18" s="159"/>
      <c r="OSO18" s="159"/>
      <c r="OSP18" s="159"/>
      <c r="OSQ18" s="159"/>
      <c r="OSR18" s="159"/>
      <c r="OSS18" s="159"/>
      <c r="OST18" s="159"/>
      <c r="OSU18" s="159"/>
      <c r="OSV18" s="159"/>
      <c r="OSW18" s="159"/>
      <c r="OSX18" s="159"/>
      <c r="OSY18" s="159"/>
      <c r="OSZ18" s="159"/>
      <c r="OTA18" s="159"/>
      <c r="OTB18" s="159"/>
      <c r="OTC18" s="159"/>
      <c r="OTD18" s="159"/>
      <c r="OTE18" s="159"/>
      <c r="OTF18" s="159"/>
      <c r="OTG18" s="159"/>
      <c r="OTH18" s="159"/>
      <c r="OTI18" s="159"/>
      <c r="OTJ18" s="159"/>
      <c r="OTK18" s="159"/>
      <c r="OTL18" s="159"/>
      <c r="OTM18" s="159"/>
      <c r="OTN18" s="159"/>
      <c r="OTO18" s="159"/>
      <c r="OTP18" s="159"/>
      <c r="OTQ18" s="159"/>
      <c r="OTR18" s="159"/>
      <c r="OTS18" s="159"/>
      <c r="OTT18" s="159"/>
      <c r="OTU18" s="159"/>
      <c r="OTV18" s="159"/>
      <c r="OTW18" s="159"/>
      <c r="OTX18" s="159"/>
      <c r="OTY18" s="159"/>
      <c r="OTZ18" s="159"/>
      <c r="OUA18" s="159"/>
      <c r="OUB18" s="159"/>
      <c r="OUC18" s="159"/>
      <c r="OUD18" s="159"/>
      <c r="OUE18" s="159"/>
      <c r="OUF18" s="159"/>
      <c r="OUG18" s="159"/>
      <c r="OUH18" s="159"/>
      <c r="OUI18" s="159"/>
      <c r="OUJ18" s="159"/>
      <c r="OUK18" s="159"/>
      <c r="OUL18" s="159"/>
      <c r="OUM18" s="159"/>
      <c r="OUN18" s="159"/>
      <c r="OUO18" s="159"/>
      <c r="OUP18" s="159"/>
      <c r="OUQ18" s="159"/>
      <c r="OUR18" s="159"/>
      <c r="OUS18" s="159"/>
      <c r="OUT18" s="159"/>
      <c r="OUU18" s="159"/>
      <c r="OUV18" s="159"/>
      <c r="OUW18" s="159"/>
      <c r="OUX18" s="159"/>
      <c r="OUY18" s="159"/>
      <c r="OUZ18" s="159"/>
      <c r="OVA18" s="159"/>
      <c r="OVB18" s="159"/>
      <c r="OVC18" s="159"/>
      <c r="OVD18" s="159"/>
      <c r="OVE18" s="159"/>
      <c r="OVF18" s="159"/>
      <c r="OVG18" s="159"/>
      <c r="OVH18" s="159"/>
      <c r="OVI18" s="159"/>
      <c r="OVJ18" s="159"/>
      <c r="OVK18" s="159"/>
      <c r="OVL18" s="159"/>
      <c r="OVM18" s="159"/>
      <c r="OVN18" s="159"/>
      <c r="OVO18" s="159"/>
      <c r="OVP18" s="159"/>
      <c r="OVQ18" s="159"/>
      <c r="OVR18" s="159"/>
      <c r="OVS18" s="159"/>
      <c r="OVT18" s="159"/>
      <c r="OVU18" s="159"/>
      <c r="OVV18" s="159"/>
      <c r="OVW18" s="159"/>
      <c r="OVX18" s="159"/>
      <c r="OVY18" s="159"/>
      <c r="OVZ18" s="159"/>
      <c r="OWA18" s="159"/>
      <c r="OWB18" s="159"/>
      <c r="OWC18" s="159"/>
      <c r="OWD18" s="159"/>
      <c r="OWE18" s="159"/>
      <c r="OWF18" s="159"/>
      <c r="OWG18" s="159"/>
      <c r="OWH18" s="159"/>
      <c r="OWI18" s="159"/>
      <c r="OWJ18" s="159"/>
      <c r="OWK18" s="159"/>
      <c r="OWL18" s="159"/>
      <c r="OWM18" s="159"/>
      <c r="OWN18" s="159"/>
      <c r="OWO18" s="159"/>
      <c r="OWP18" s="159"/>
      <c r="OWQ18" s="159"/>
      <c r="OWR18" s="159"/>
      <c r="OWS18" s="159"/>
      <c r="OWT18" s="159"/>
      <c r="OWU18" s="159"/>
      <c r="OWV18" s="159"/>
      <c r="OWW18" s="159"/>
      <c r="OWX18" s="159"/>
      <c r="OWY18" s="159"/>
      <c r="OWZ18" s="159"/>
      <c r="OXA18" s="159"/>
      <c r="OXB18" s="159"/>
      <c r="OXC18" s="159"/>
      <c r="OXD18" s="159"/>
      <c r="OXE18" s="159"/>
      <c r="OXF18" s="159"/>
      <c r="OXG18" s="159"/>
      <c r="OXH18" s="159"/>
      <c r="OXI18" s="159"/>
      <c r="OXJ18" s="159"/>
      <c r="OXK18" s="159"/>
      <c r="OXL18" s="159"/>
      <c r="OXM18" s="159"/>
      <c r="OXN18" s="159"/>
      <c r="OXO18" s="159"/>
      <c r="OXP18" s="159"/>
      <c r="OXQ18" s="159"/>
      <c r="OXR18" s="159"/>
      <c r="OXS18" s="159"/>
      <c r="OXT18" s="159"/>
      <c r="OXU18" s="159"/>
      <c r="OXV18" s="159"/>
      <c r="OXW18" s="159"/>
      <c r="OXX18" s="159"/>
      <c r="OXY18" s="159"/>
      <c r="OXZ18" s="159"/>
      <c r="OYA18" s="159"/>
      <c r="OYB18" s="159"/>
      <c r="OYC18" s="159"/>
      <c r="OYD18" s="159"/>
      <c r="OYE18" s="159"/>
      <c r="OYF18" s="159"/>
      <c r="OYG18" s="159"/>
      <c r="OYH18" s="159"/>
      <c r="OYI18" s="159"/>
      <c r="OYJ18" s="159"/>
      <c r="OYK18" s="159"/>
      <c r="OYL18" s="159"/>
      <c r="OYM18" s="159"/>
      <c r="OYN18" s="159"/>
      <c r="OYO18" s="159"/>
      <c r="OYP18" s="159"/>
      <c r="OYQ18" s="159"/>
      <c r="OYR18" s="159"/>
      <c r="OYS18" s="159"/>
      <c r="OYT18" s="159"/>
      <c r="OYU18" s="159"/>
      <c r="OYV18" s="159"/>
      <c r="OYW18" s="159"/>
      <c r="OYX18" s="159"/>
      <c r="OYY18" s="159"/>
      <c r="OYZ18" s="159"/>
      <c r="OZA18" s="159"/>
      <c r="OZB18" s="159"/>
      <c r="OZC18" s="159"/>
      <c r="OZD18" s="159"/>
      <c r="OZE18" s="159"/>
      <c r="OZF18" s="159"/>
      <c r="OZG18" s="159"/>
      <c r="OZH18" s="159"/>
      <c r="OZI18" s="159"/>
      <c r="OZJ18" s="159"/>
      <c r="OZK18" s="159"/>
      <c r="OZL18" s="159"/>
      <c r="OZM18" s="159"/>
      <c r="OZN18" s="159"/>
      <c r="OZO18" s="159"/>
      <c r="OZP18" s="159"/>
      <c r="OZQ18" s="159"/>
      <c r="OZR18" s="159"/>
      <c r="OZS18" s="159"/>
      <c r="OZT18" s="159"/>
      <c r="OZU18" s="159"/>
      <c r="OZV18" s="159"/>
      <c r="OZW18" s="159"/>
      <c r="OZX18" s="159"/>
      <c r="OZY18" s="159"/>
      <c r="OZZ18" s="159"/>
      <c r="PAA18" s="159"/>
      <c r="PAB18" s="159"/>
      <c r="PAC18" s="159"/>
      <c r="PAD18" s="159"/>
      <c r="PAE18" s="159"/>
      <c r="PAF18" s="159"/>
      <c r="PAG18" s="159"/>
      <c r="PAH18" s="159"/>
      <c r="PAI18" s="159"/>
      <c r="PAJ18" s="159"/>
      <c r="PAK18" s="159"/>
      <c r="PAL18" s="159"/>
      <c r="PAM18" s="159"/>
      <c r="PAN18" s="159"/>
      <c r="PAO18" s="159"/>
      <c r="PAP18" s="159"/>
      <c r="PAQ18" s="159"/>
      <c r="PAR18" s="159"/>
      <c r="PAS18" s="159"/>
      <c r="PAT18" s="159"/>
      <c r="PAU18" s="159"/>
      <c r="PAV18" s="159"/>
      <c r="PAW18" s="159"/>
      <c r="PAX18" s="159"/>
      <c r="PAY18" s="159"/>
      <c r="PAZ18" s="159"/>
      <c r="PBA18" s="159"/>
      <c r="PBB18" s="159"/>
      <c r="PBC18" s="159"/>
      <c r="PBD18" s="159"/>
      <c r="PBE18" s="159"/>
      <c r="PBF18" s="159"/>
      <c r="PBG18" s="159"/>
      <c r="PBH18" s="159"/>
      <c r="PBI18" s="159"/>
      <c r="PBJ18" s="159"/>
      <c r="PBK18" s="159"/>
      <c r="PBL18" s="159"/>
      <c r="PBM18" s="159"/>
      <c r="PBN18" s="159"/>
      <c r="PBO18" s="159"/>
      <c r="PBP18" s="159"/>
      <c r="PBQ18" s="159"/>
      <c r="PBR18" s="159"/>
      <c r="PBS18" s="159"/>
      <c r="PBT18" s="159"/>
      <c r="PBU18" s="159"/>
      <c r="PBV18" s="159"/>
      <c r="PBW18" s="159"/>
      <c r="PBX18" s="159"/>
      <c r="PBY18" s="159"/>
      <c r="PBZ18" s="159"/>
      <c r="PCA18" s="159"/>
      <c r="PCB18" s="159"/>
      <c r="PCC18" s="159"/>
      <c r="PCD18" s="159"/>
      <c r="PCE18" s="159"/>
      <c r="PCF18" s="159"/>
      <c r="PCG18" s="159"/>
      <c r="PCH18" s="159"/>
      <c r="PCI18" s="159"/>
      <c r="PCJ18" s="159"/>
      <c r="PCK18" s="159"/>
      <c r="PCL18" s="159"/>
      <c r="PCM18" s="159"/>
      <c r="PCN18" s="159"/>
      <c r="PCO18" s="159"/>
      <c r="PCP18" s="159"/>
      <c r="PCQ18" s="159"/>
      <c r="PCR18" s="159"/>
      <c r="PCS18" s="159"/>
      <c r="PCT18" s="159"/>
      <c r="PCU18" s="159"/>
      <c r="PCV18" s="159"/>
      <c r="PCW18" s="159"/>
      <c r="PCX18" s="159"/>
      <c r="PCY18" s="159"/>
      <c r="PCZ18" s="159"/>
      <c r="PDA18" s="159"/>
      <c r="PDB18" s="159"/>
      <c r="PDC18" s="159"/>
      <c r="PDD18" s="159"/>
      <c r="PDE18" s="159"/>
      <c r="PDF18" s="159"/>
      <c r="PDG18" s="159"/>
      <c r="PDH18" s="159"/>
      <c r="PDI18" s="159"/>
      <c r="PDJ18" s="159"/>
      <c r="PDK18" s="159"/>
      <c r="PDL18" s="159"/>
      <c r="PDM18" s="159"/>
      <c r="PDN18" s="159"/>
      <c r="PDO18" s="159"/>
      <c r="PDP18" s="159"/>
      <c r="PDQ18" s="159"/>
      <c r="PDR18" s="159"/>
      <c r="PDS18" s="159"/>
      <c r="PDT18" s="159"/>
      <c r="PDU18" s="159"/>
      <c r="PDV18" s="159"/>
      <c r="PDW18" s="159"/>
      <c r="PDX18" s="159"/>
      <c r="PDY18" s="159"/>
      <c r="PDZ18" s="159"/>
      <c r="PEA18" s="159"/>
      <c r="PEB18" s="159"/>
      <c r="PEC18" s="159"/>
      <c r="PED18" s="159"/>
      <c r="PEE18" s="159"/>
      <c r="PEF18" s="159"/>
      <c r="PEG18" s="159"/>
      <c r="PEH18" s="159"/>
      <c r="PEI18" s="159"/>
      <c r="PEJ18" s="159"/>
      <c r="PEK18" s="159"/>
      <c r="PEL18" s="159"/>
      <c r="PEM18" s="159"/>
      <c r="PEN18" s="159"/>
      <c r="PEO18" s="159"/>
      <c r="PEP18" s="159"/>
      <c r="PEQ18" s="159"/>
      <c r="PER18" s="159"/>
      <c r="PES18" s="159"/>
      <c r="PET18" s="159"/>
      <c r="PEU18" s="159"/>
      <c r="PEV18" s="159"/>
      <c r="PEW18" s="159"/>
      <c r="PEX18" s="159"/>
      <c r="PEY18" s="159"/>
      <c r="PEZ18" s="159"/>
      <c r="PFA18" s="159"/>
      <c r="PFB18" s="159"/>
      <c r="PFC18" s="159"/>
      <c r="PFD18" s="159"/>
      <c r="PFE18" s="159"/>
      <c r="PFF18" s="159"/>
      <c r="PFG18" s="159"/>
      <c r="PFH18" s="159"/>
      <c r="PFI18" s="159"/>
      <c r="PFJ18" s="159"/>
      <c r="PFK18" s="159"/>
      <c r="PFL18" s="159"/>
      <c r="PFM18" s="159"/>
      <c r="PFN18" s="159"/>
      <c r="PFO18" s="159"/>
      <c r="PFP18" s="159"/>
      <c r="PFQ18" s="159"/>
      <c r="PFR18" s="159"/>
      <c r="PFS18" s="159"/>
      <c r="PFT18" s="159"/>
      <c r="PFU18" s="159"/>
      <c r="PFV18" s="159"/>
      <c r="PFW18" s="159"/>
      <c r="PFX18" s="159"/>
      <c r="PFY18" s="159"/>
      <c r="PFZ18" s="159"/>
      <c r="PGA18" s="159"/>
      <c r="PGB18" s="159"/>
      <c r="PGC18" s="159"/>
      <c r="PGD18" s="159"/>
      <c r="PGE18" s="159"/>
      <c r="PGF18" s="159"/>
      <c r="PGG18" s="159"/>
      <c r="PGH18" s="159"/>
      <c r="PGI18" s="159"/>
      <c r="PGJ18" s="159"/>
      <c r="PGK18" s="159"/>
      <c r="PGL18" s="159"/>
      <c r="PGM18" s="159"/>
      <c r="PGN18" s="159"/>
      <c r="PGO18" s="159"/>
      <c r="PGP18" s="159"/>
      <c r="PGQ18" s="159"/>
      <c r="PGR18" s="159"/>
      <c r="PGS18" s="159"/>
      <c r="PGT18" s="159"/>
      <c r="PGU18" s="159"/>
      <c r="PGV18" s="159"/>
      <c r="PGW18" s="159"/>
      <c r="PGX18" s="159"/>
      <c r="PGY18" s="159"/>
      <c r="PGZ18" s="159"/>
      <c r="PHA18" s="159"/>
      <c r="PHB18" s="159"/>
      <c r="PHC18" s="159"/>
      <c r="PHD18" s="159"/>
      <c r="PHE18" s="159"/>
      <c r="PHF18" s="159"/>
      <c r="PHG18" s="159"/>
      <c r="PHH18" s="159"/>
      <c r="PHI18" s="159"/>
      <c r="PHJ18" s="159"/>
      <c r="PHK18" s="159"/>
      <c r="PHL18" s="159"/>
      <c r="PHM18" s="159"/>
      <c r="PHN18" s="159"/>
      <c r="PHO18" s="159"/>
      <c r="PHP18" s="159"/>
      <c r="PHQ18" s="159"/>
      <c r="PHR18" s="159"/>
      <c r="PHS18" s="159"/>
      <c r="PHT18" s="159"/>
      <c r="PHU18" s="159"/>
      <c r="PHV18" s="159"/>
      <c r="PHW18" s="159"/>
      <c r="PHX18" s="159"/>
      <c r="PHY18" s="159"/>
      <c r="PHZ18" s="159"/>
      <c r="PIA18" s="159"/>
      <c r="PIB18" s="159"/>
      <c r="PIC18" s="159"/>
      <c r="PID18" s="159"/>
      <c r="PIE18" s="159"/>
      <c r="PIF18" s="159"/>
      <c r="PIG18" s="159"/>
      <c r="PIH18" s="159"/>
      <c r="PII18" s="159"/>
      <c r="PIJ18" s="159"/>
      <c r="PIK18" s="159"/>
      <c r="PIL18" s="159"/>
      <c r="PIM18" s="159"/>
      <c r="PIN18" s="159"/>
      <c r="PIO18" s="159"/>
      <c r="PIP18" s="159"/>
      <c r="PIQ18" s="159"/>
      <c r="PIR18" s="159"/>
      <c r="PIS18" s="159"/>
      <c r="PIT18" s="159"/>
      <c r="PIU18" s="159"/>
      <c r="PIV18" s="159"/>
      <c r="PIW18" s="159"/>
      <c r="PIX18" s="159"/>
      <c r="PIY18" s="159"/>
      <c r="PIZ18" s="159"/>
      <c r="PJA18" s="159"/>
      <c r="PJB18" s="159"/>
      <c r="PJC18" s="159"/>
      <c r="PJD18" s="159"/>
      <c r="PJE18" s="159"/>
      <c r="PJF18" s="159"/>
      <c r="PJG18" s="159"/>
      <c r="PJH18" s="159"/>
      <c r="PJI18" s="159"/>
      <c r="PJJ18" s="159"/>
      <c r="PJK18" s="159"/>
      <c r="PJL18" s="159"/>
      <c r="PJM18" s="159"/>
      <c r="PJN18" s="159"/>
      <c r="PJO18" s="159"/>
      <c r="PJP18" s="159"/>
      <c r="PJQ18" s="159"/>
      <c r="PJR18" s="159"/>
      <c r="PJS18" s="159"/>
      <c r="PJT18" s="159"/>
      <c r="PJU18" s="159"/>
      <c r="PJV18" s="159"/>
      <c r="PJW18" s="159"/>
      <c r="PJX18" s="159"/>
      <c r="PJY18" s="159"/>
      <c r="PJZ18" s="159"/>
      <c r="PKA18" s="159"/>
      <c r="PKB18" s="159"/>
      <c r="PKC18" s="159"/>
      <c r="PKD18" s="159"/>
      <c r="PKE18" s="159"/>
      <c r="PKF18" s="159"/>
      <c r="PKG18" s="159"/>
      <c r="PKH18" s="159"/>
      <c r="PKI18" s="159"/>
      <c r="PKJ18" s="159"/>
      <c r="PKK18" s="159"/>
      <c r="PKL18" s="159"/>
      <c r="PKM18" s="159"/>
      <c r="PKN18" s="159"/>
      <c r="PKO18" s="159"/>
      <c r="PKP18" s="159"/>
      <c r="PKQ18" s="159"/>
      <c r="PKR18" s="159"/>
      <c r="PKS18" s="159"/>
      <c r="PKT18" s="159"/>
      <c r="PKU18" s="159"/>
      <c r="PKV18" s="159"/>
      <c r="PKW18" s="159"/>
      <c r="PKX18" s="159"/>
      <c r="PKY18" s="159"/>
      <c r="PKZ18" s="159"/>
      <c r="PLA18" s="159"/>
      <c r="PLB18" s="159"/>
      <c r="PLC18" s="159"/>
      <c r="PLD18" s="159"/>
      <c r="PLE18" s="159"/>
      <c r="PLF18" s="159"/>
      <c r="PLG18" s="159"/>
      <c r="PLH18" s="159"/>
      <c r="PLI18" s="159"/>
      <c r="PLJ18" s="159"/>
      <c r="PLK18" s="159"/>
      <c r="PLL18" s="159"/>
      <c r="PLM18" s="159"/>
      <c r="PLN18" s="159"/>
      <c r="PLO18" s="159"/>
      <c r="PLP18" s="159"/>
      <c r="PLQ18" s="159"/>
      <c r="PLR18" s="159"/>
      <c r="PLS18" s="159"/>
      <c r="PLT18" s="159"/>
      <c r="PLU18" s="159"/>
      <c r="PLV18" s="159"/>
      <c r="PLW18" s="159"/>
      <c r="PLX18" s="159"/>
      <c r="PLY18" s="159"/>
      <c r="PLZ18" s="159"/>
      <c r="PMA18" s="159"/>
      <c r="PMB18" s="159"/>
      <c r="PMC18" s="159"/>
      <c r="PMD18" s="159"/>
      <c r="PME18" s="159"/>
      <c r="PMF18" s="159"/>
      <c r="PMG18" s="159"/>
      <c r="PMH18" s="159"/>
      <c r="PMI18" s="159"/>
      <c r="PMJ18" s="159"/>
      <c r="PMK18" s="159"/>
      <c r="PML18" s="159"/>
      <c r="PMM18" s="159"/>
      <c r="PMN18" s="159"/>
      <c r="PMO18" s="159"/>
      <c r="PMP18" s="159"/>
      <c r="PMQ18" s="159"/>
      <c r="PMR18" s="159"/>
      <c r="PMS18" s="159"/>
      <c r="PMT18" s="159"/>
      <c r="PMU18" s="159"/>
      <c r="PMV18" s="159"/>
      <c r="PMW18" s="159"/>
      <c r="PMX18" s="159"/>
      <c r="PMY18" s="159"/>
      <c r="PMZ18" s="159"/>
      <c r="PNA18" s="159"/>
      <c r="PNB18" s="159"/>
      <c r="PNC18" s="159"/>
      <c r="PND18" s="159"/>
      <c r="PNE18" s="159"/>
      <c r="PNF18" s="159"/>
      <c r="PNG18" s="159"/>
      <c r="PNH18" s="159"/>
      <c r="PNI18" s="159"/>
      <c r="PNJ18" s="159"/>
      <c r="PNK18" s="159"/>
      <c r="PNL18" s="159"/>
      <c r="PNM18" s="159"/>
      <c r="PNN18" s="159"/>
      <c r="PNO18" s="159"/>
      <c r="PNP18" s="159"/>
      <c r="PNQ18" s="159"/>
      <c r="PNR18" s="159"/>
      <c r="PNS18" s="159"/>
      <c r="PNT18" s="159"/>
      <c r="PNU18" s="159"/>
      <c r="PNV18" s="159"/>
      <c r="PNW18" s="159"/>
      <c r="PNX18" s="159"/>
      <c r="PNY18" s="159"/>
      <c r="PNZ18" s="159"/>
      <c r="POA18" s="159"/>
      <c r="POB18" s="159"/>
      <c r="POC18" s="159"/>
      <c r="POD18" s="159"/>
      <c r="POE18" s="159"/>
      <c r="POF18" s="159"/>
      <c r="POG18" s="159"/>
      <c r="POH18" s="159"/>
      <c r="POI18" s="159"/>
      <c r="POJ18" s="159"/>
      <c r="POK18" s="159"/>
      <c r="POL18" s="159"/>
      <c r="POM18" s="159"/>
      <c r="PON18" s="159"/>
      <c r="POO18" s="159"/>
      <c r="POP18" s="159"/>
      <c r="POQ18" s="159"/>
      <c r="POR18" s="159"/>
      <c r="POS18" s="159"/>
      <c r="POT18" s="159"/>
      <c r="POU18" s="159"/>
      <c r="POV18" s="159"/>
      <c r="POW18" s="159"/>
      <c r="POX18" s="159"/>
      <c r="POY18" s="159"/>
      <c r="POZ18" s="159"/>
      <c r="PPA18" s="159"/>
      <c r="PPB18" s="159"/>
      <c r="PPC18" s="159"/>
      <c r="PPD18" s="159"/>
      <c r="PPE18" s="159"/>
      <c r="PPF18" s="159"/>
      <c r="PPG18" s="159"/>
      <c r="PPH18" s="159"/>
      <c r="PPI18" s="159"/>
      <c r="PPJ18" s="159"/>
      <c r="PPK18" s="159"/>
      <c r="PPL18" s="159"/>
      <c r="PPM18" s="159"/>
      <c r="PPN18" s="159"/>
      <c r="PPO18" s="159"/>
      <c r="PPP18" s="159"/>
      <c r="PPQ18" s="159"/>
      <c r="PPR18" s="159"/>
      <c r="PPS18" s="159"/>
      <c r="PPT18" s="159"/>
      <c r="PPU18" s="159"/>
      <c r="PPV18" s="159"/>
      <c r="PPW18" s="159"/>
      <c r="PPX18" s="159"/>
      <c r="PPY18" s="159"/>
      <c r="PPZ18" s="159"/>
      <c r="PQA18" s="159"/>
      <c r="PQB18" s="159"/>
      <c r="PQC18" s="159"/>
      <c r="PQD18" s="159"/>
      <c r="PQE18" s="159"/>
      <c r="PQF18" s="159"/>
      <c r="PQG18" s="159"/>
      <c r="PQH18" s="159"/>
      <c r="PQI18" s="159"/>
      <c r="PQJ18" s="159"/>
      <c r="PQK18" s="159"/>
      <c r="PQL18" s="159"/>
      <c r="PQM18" s="159"/>
      <c r="PQN18" s="159"/>
      <c r="PQO18" s="159"/>
      <c r="PQP18" s="159"/>
      <c r="PQQ18" s="159"/>
      <c r="PQR18" s="159"/>
      <c r="PQS18" s="159"/>
      <c r="PQT18" s="159"/>
      <c r="PQU18" s="159"/>
      <c r="PQV18" s="159"/>
      <c r="PQW18" s="159"/>
      <c r="PQX18" s="159"/>
      <c r="PQY18" s="159"/>
      <c r="PQZ18" s="159"/>
      <c r="PRA18" s="159"/>
      <c r="PRB18" s="159"/>
      <c r="PRC18" s="159"/>
      <c r="PRD18" s="159"/>
      <c r="PRE18" s="159"/>
      <c r="PRF18" s="159"/>
      <c r="PRG18" s="159"/>
      <c r="PRH18" s="159"/>
      <c r="PRI18" s="159"/>
      <c r="PRJ18" s="159"/>
      <c r="PRK18" s="159"/>
      <c r="PRL18" s="159"/>
      <c r="PRM18" s="159"/>
      <c r="PRN18" s="159"/>
      <c r="PRO18" s="159"/>
      <c r="PRP18" s="159"/>
      <c r="PRQ18" s="159"/>
      <c r="PRR18" s="159"/>
      <c r="PRS18" s="159"/>
      <c r="PRT18" s="159"/>
      <c r="PRU18" s="159"/>
      <c r="PRV18" s="159"/>
      <c r="PRW18" s="159"/>
      <c r="PRX18" s="159"/>
      <c r="PRY18" s="159"/>
      <c r="PRZ18" s="159"/>
      <c r="PSA18" s="159"/>
      <c r="PSB18" s="159"/>
      <c r="PSC18" s="159"/>
      <c r="PSD18" s="159"/>
      <c r="PSE18" s="159"/>
      <c r="PSF18" s="159"/>
      <c r="PSG18" s="159"/>
      <c r="PSH18" s="159"/>
      <c r="PSI18" s="159"/>
      <c r="PSJ18" s="159"/>
      <c r="PSK18" s="159"/>
      <c r="PSL18" s="159"/>
      <c r="PSM18" s="159"/>
      <c r="PSN18" s="159"/>
      <c r="PSO18" s="159"/>
      <c r="PSP18" s="159"/>
      <c r="PSQ18" s="159"/>
      <c r="PSR18" s="159"/>
      <c r="PSS18" s="159"/>
      <c r="PST18" s="159"/>
      <c r="PSU18" s="159"/>
      <c r="PSV18" s="159"/>
      <c r="PSW18" s="159"/>
      <c r="PSX18" s="159"/>
      <c r="PSY18" s="159"/>
      <c r="PSZ18" s="159"/>
      <c r="PTA18" s="159"/>
      <c r="PTB18" s="159"/>
      <c r="PTC18" s="159"/>
      <c r="PTD18" s="159"/>
      <c r="PTE18" s="159"/>
      <c r="PTF18" s="159"/>
      <c r="PTG18" s="159"/>
      <c r="PTH18" s="159"/>
      <c r="PTI18" s="159"/>
      <c r="PTJ18" s="159"/>
      <c r="PTK18" s="159"/>
      <c r="PTL18" s="159"/>
      <c r="PTM18" s="159"/>
      <c r="PTN18" s="159"/>
      <c r="PTO18" s="159"/>
      <c r="PTP18" s="159"/>
      <c r="PTQ18" s="159"/>
      <c r="PTR18" s="159"/>
      <c r="PTS18" s="159"/>
      <c r="PTT18" s="159"/>
      <c r="PTU18" s="159"/>
      <c r="PTV18" s="159"/>
      <c r="PTW18" s="159"/>
      <c r="PTX18" s="159"/>
      <c r="PTY18" s="159"/>
      <c r="PTZ18" s="159"/>
      <c r="PUA18" s="159"/>
      <c r="PUB18" s="159"/>
      <c r="PUC18" s="159"/>
      <c r="PUD18" s="159"/>
      <c r="PUE18" s="159"/>
      <c r="PUF18" s="159"/>
      <c r="PUG18" s="159"/>
      <c r="PUH18" s="159"/>
      <c r="PUI18" s="159"/>
      <c r="PUJ18" s="159"/>
      <c r="PUK18" s="159"/>
      <c r="PUL18" s="159"/>
      <c r="PUM18" s="159"/>
      <c r="PUN18" s="159"/>
      <c r="PUO18" s="159"/>
      <c r="PUP18" s="159"/>
      <c r="PUQ18" s="159"/>
      <c r="PUR18" s="159"/>
      <c r="PUS18" s="159"/>
      <c r="PUT18" s="159"/>
      <c r="PUU18" s="159"/>
      <c r="PUV18" s="159"/>
      <c r="PUW18" s="159"/>
      <c r="PUX18" s="159"/>
      <c r="PUY18" s="159"/>
      <c r="PUZ18" s="159"/>
      <c r="PVA18" s="159"/>
      <c r="PVB18" s="159"/>
      <c r="PVC18" s="159"/>
      <c r="PVD18" s="159"/>
      <c r="PVE18" s="159"/>
      <c r="PVF18" s="159"/>
      <c r="PVG18" s="159"/>
      <c r="PVH18" s="159"/>
      <c r="PVI18" s="159"/>
      <c r="PVJ18" s="159"/>
      <c r="PVK18" s="159"/>
      <c r="PVL18" s="159"/>
      <c r="PVM18" s="159"/>
      <c r="PVN18" s="159"/>
      <c r="PVO18" s="159"/>
      <c r="PVP18" s="159"/>
      <c r="PVQ18" s="159"/>
      <c r="PVR18" s="159"/>
      <c r="PVS18" s="159"/>
      <c r="PVT18" s="159"/>
      <c r="PVU18" s="159"/>
      <c r="PVV18" s="159"/>
      <c r="PVW18" s="159"/>
      <c r="PVX18" s="159"/>
      <c r="PVY18" s="159"/>
      <c r="PVZ18" s="159"/>
      <c r="PWA18" s="159"/>
      <c r="PWB18" s="159"/>
      <c r="PWC18" s="159"/>
      <c r="PWD18" s="159"/>
      <c r="PWE18" s="159"/>
      <c r="PWF18" s="159"/>
      <c r="PWG18" s="159"/>
      <c r="PWH18" s="159"/>
      <c r="PWI18" s="159"/>
      <c r="PWJ18" s="159"/>
      <c r="PWK18" s="159"/>
      <c r="PWL18" s="159"/>
      <c r="PWM18" s="159"/>
      <c r="PWN18" s="159"/>
      <c r="PWO18" s="159"/>
      <c r="PWP18" s="159"/>
      <c r="PWQ18" s="159"/>
      <c r="PWR18" s="159"/>
      <c r="PWS18" s="159"/>
      <c r="PWT18" s="159"/>
      <c r="PWU18" s="159"/>
      <c r="PWV18" s="159"/>
      <c r="PWW18" s="159"/>
      <c r="PWX18" s="159"/>
      <c r="PWY18" s="159"/>
      <c r="PWZ18" s="159"/>
      <c r="PXA18" s="159"/>
      <c r="PXB18" s="159"/>
      <c r="PXC18" s="159"/>
      <c r="PXD18" s="159"/>
      <c r="PXE18" s="159"/>
      <c r="PXF18" s="159"/>
      <c r="PXG18" s="159"/>
      <c r="PXH18" s="159"/>
      <c r="PXI18" s="159"/>
      <c r="PXJ18" s="159"/>
      <c r="PXK18" s="159"/>
      <c r="PXL18" s="159"/>
      <c r="PXM18" s="159"/>
      <c r="PXN18" s="159"/>
      <c r="PXO18" s="159"/>
      <c r="PXP18" s="159"/>
      <c r="PXQ18" s="159"/>
      <c r="PXR18" s="159"/>
      <c r="PXS18" s="159"/>
      <c r="PXT18" s="159"/>
      <c r="PXU18" s="159"/>
      <c r="PXV18" s="159"/>
      <c r="PXW18" s="159"/>
      <c r="PXX18" s="159"/>
      <c r="PXY18" s="159"/>
      <c r="PXZ18" s="159"/>
      <c r="PYA18" s="159"/>
      <c r="PYB18" s="159"/>
      <c r="PYC18" s="159"/>
      <c r="PYD18" s="159"/>
      <c r="PYE18" s="159"/>
      <c r="PYF18" s="159"/>
      <c r="PYG18" s="159"/>
      <c r="PYH18" s="159"/>
      <c r="PYI18" s="159"/>
      <c r="PYJ18" s="159"/>
      <c r="PYK18" s="159"/>
      <c r="PYL18" s="159"/>
      <c r="PYM18" s="159"/>
      <c r="PYN18" s="159"/>
      <c r="PYO18" s="159"/>
      <c r="PYP18" s="159"/>
      <c r="PYQ18" s="159"/>
      <c r="PYR18" s="159"/>
      <c r="PYS18" s="159"/>
      <c r="PYT18" s="159"/>
      <c r="PYU18" s="159"/>
      <c r="PYV18" s="159"/>
      <c r="PYW18" s="159"/>
      <c r="PYX18" s="159"/>
      <c r="PYY18" s="159"/>
      <c r="PYZ18" s="159"/>
      <c r="PZA18" s="159"/>
      <c r="PZB18" s="159"/>
      <c r="PZC18" s="159"/>
      <c r="PZD18" s="159"/>
      <c r="PZE18" s="159"/>
      <c r="PZF18" s="159"/>
      <c r="PZG18" s="159"/>
      <c r="PZH18" s="159"/>
      <c r="PZI18" s="159"/>
      <c r="PZJ18" s="159"/>
      <c r="PZK18" s="159"/>
      <c r="PZL18" s="159"/>
      <c r="PZM18" s="159"/>
      <c r="PZN18" s="159"/>
      <c r="PZO18" s="159"/>
      <c r="PZP18" s="159"/>
      <c r="PZQ18" s="159"/>
      <c r="PZR18" s="159"/>
      <c r="PZS18" s="159"/>
      <c r="PZT18" s="159"/>
      <c r="PZU18" s="159"/>
      <c r="PZV18" s="159"/>
      <c r="PZW18" s="159"/>
      <c r="PZX18" s="159"/>
      <c r="PZY18" s="159"/>
      <c r="PZZ18" s="159"/>
      <c r="QAA18" s="159"/>
      <c r="QAB18" s="159"/>
      <c r="QAC18" s="159"/>
      <c r="QAD18" s="159"/>
      <c r="QAE18" s="159"/>
      <c r="QAF18" s="159"/>
      <c r="QAG18" s="159"/>
      <c r="QAH18" s="159"/>
      <c r="QAI18" s="159"/>
      <c r="QAJ18" s="159"/>
      <c r="QAK18" s="159"/>
      <c r="QAL18" s="159"/>
      <c r="QAM18" s="159"/>
      <c r="QAN18" s="159"/>
      <c r="QAO18" s="159"/>
      <c r="QAP18" s="159"/>
      <c r="QAQ18" s="159"/>
      <c r="QAR18" s="159"/>
      <c r="QAS18" s="159"/>
      <c r="QAT18" s="159"/>
      <c r="QAU18" s="159"/>
      <c r="QAV18" s="159"/>
      <c r="QAW18" s="159"/>
      <c r="QAX18" s="159"/>
      <c r="QAY18" s="159"/>
      <c r="QAZ18" s="159"/>
      <c r="QBA18" s="159"/>
      <c r="QBB18" s="159"/>
      <c r="QBC18" s="159"/>
      <c r="QBD18" s="159"/>
      <c r="QBE18" s="159"/>
      <c r="QBF18" s="159"/>
      <c r="QBG18" s="159"/>
      <c r="QBH18" s="159"/>
      <c r="QBI18" s="159"/>
      <c r="QBJ18" s="159"/>
      <c r="QBK18" s="159"/>
      <c r="QBL18" s="159"/>
      <c r="QBM18" s="159"/>
      <c r="QBN18" s="159"/>
      <c r="QBO18" s="159"/>
      <c r="QBP18" s="159"/>
      <c r="QBQ18" s="159"/>
      <c r="QBR18" s="159"/>
      <c r="QBS18" s="159"/>
      <c r="QBT18" s="159"/>
      <c r="QBU18" s="159"/>
      <c r="QBV18" s="159"/>
      <c r="QBW18" s="159"/>
      <c r="QBX18" s="159"/>
      <c r="QBY18" s="159"/>
      <c r="QBZ18" s="159"/>
      <c r="QCA18" s="159"/>
      <c r="QCB18" s="159"/>
      <c r="QCC18" s="159"/>
      <c r="QCD18" s="159"/>
      <c r="QCE18" s="159"/>
      <c r="QCF18" s="159"/>
      <c r="QCG18" s="159"/>
      <c r="QCH18" s="159"/>
      <c r="QCI18" s="159"/>
      <c r="QCJ18" s="159"/>
      <c r="QCK18" s="159"/>
      <c r="QCL18" s="159"/>
      <c r="QCM18" s="159"/>
      <c r="QCN18" s="159"/>
      <c r="QCO18" s="159"/>
      <c r="QCP18" s="159"/>
      <c r="QCQ18" s="159"/>
      <c r="QCR18" s="159"/>
      <c r="QCS18" s="159"/>
      <c r="QCT18" s="159"/>
      <c r="QCU18" s="159"/>
      <c r="QCV18" s="159"/>
      <c r="QCW18" s="159"/>
      <c r="QCX18" s="159"/>
      <c r="QCY18" s="159"/>
      <c r="QCZ18" s="159"/>
      <c r="QDA18" s="159"/>
      <c r="QDB18" s="159"/>
      <c r="QDC18" s="159"/>
      <c r="QDD18" s="159"/>
      <c r="QDE18" s="159"/>
      <c r="QDF18" s="159"/>
      <c r="QDG18" s="159"/>
      <c r="QDH18" s="159"/>
      <c r="QDI18" s="159"/>
      <c r="QDJ18" s="159"/>
      <c r="QDK18" s="159"/>
      <c r="QDL18" s="159"/>
      <c r="QDM18" s="159"/>
      <c r="QDN18" s="159"/>
      <c r="QDO18" s="159"/>
      <c r="QDP18" s="159"/>
      <c r="QDQ18" s="159"/>
      <c r="QDR18" s="159"/>
      <c r="QDS18" s="159"/>
      <c r="QDT18" s="159"/>
      <c r="QDU18" s="159"/>
      <c r="QDV18" s="159"/>
      <c r="QDW18" s="159"/>
      <c r="QDX18" s="159"/>
      <c r="QDY18" s="159"/>
      <c r="QDZ18" s="159"/>
      <c r="QEA18" s="159"/>
      <c r="QEB18" s="159"/>
      <c r="QEC18" s="159"/>
      <c r="QED18" s="159"/>
      <c r="QEE18" s="159"/>
      <c r="QEF18" s="159"/>
      <c r="QEG18" s="159"/>
      <c r="QEH18" s="159"/>
      <c r="QEI18" s="159"/>
      <c r="QEJ18" s="159"/>
      <c r="QEK18" s="159"/>
      <c r="QEL18" s="159"/>
      <c r="QEM18" s="159"/>
      <c r="QEN18" s="159"/>
      <c r="QEO18" s="159"/>
      <c r="QEP18" s="159"/>
      <c r="QEQ18" s="159"/>
      <c r="QER18" s="159"/>
      <c r="QES18" s="159"/>
      <c r="QET18" s="159"/>
      <c r="QEU18" s="159"/>
      <c r="QEV18" s="159"/>
      <c r="QEW18" s="159"/>
      <c r="QEX18" s="159"/>
      <c r="QEY18" s="159"/>
      <c r="QEZ18" s="159"/>
      <c r="QFA18" s="159"/>
      <c r="QFB18" s="159"/>
      <c r="QFC18" s="159"/>
      <c r="QFD18" s="159"/>
      <c r="QFE18" s="159"/>
      <c r="QFF18" s="159"/>
      <c r="QFG18" s="159"/>
      <c r="QFH18" s="159"/>
      <c r="QFI18" s="159"/>
      <c r="QFJ18" s="159"/>
      <c r="QFK18" s="159"/>
      <c r="QFL18" s="159"/>
      <c r="QFM18" s="159"/>
      <c r="QFN18" s="159"/>
      <c r="QFO18" s="159"/>
      <c r="QFP18" s="159"/>
      <c r="QFQ18" s="159"/>
      <c r="QFR18" s="159"/>
      <c r="QFS18" s="159"/>
      <c r="QFT18" s="159"/>
      <c r="QFU18" s="159"/>
      <c r="QFV18" s="159"/>
      <c r="QFW18" s="159"/>
      <c r="QFX18" s="159"/>
      <c r="QFY18" s="159"/>
      <c r="QFZ18" s="159"/>
      <c r="QGA18" s="159"/>
      <c r="QGB18" s="159"/>
      <c r="QGC18" s="159"/>
      <c r="QGD18" s="159"/>
      <c r="QGE18" s="159"/>
      <c r="QGF18" s="159"/>
      <c r="QGG18" s="159"/>
      <c r="QGH18" s="159"/>
      <c r="QGI18" s="159"/>
      <c r="QGJ18" s="159"/>
      <c r="QGK18" s="159"/>
      <c r="QGL18" s="159"/>
      <c r="QGM18" s="159"/>
      <c r="QGN18" s="159"/>
      <c r="QGO18" s="159"/>
      <c r="QGP18" s="159"/>
      <c r="QGQ18" s="159"/>
      <c r="QGR18" s="159"/>
      <c r="QGS18" s="159"/>
      <c r="QGT18" s="159"/>
      <c r="QGU18" s="159"/>
      <c r="QGV18" s="159"/>
      <c r="QGW18" s="159"/>
      <c r="QGX18" s="159"/>
      <c r="QGY18" s="159"/>
      <c r="QGZ18" s="159"/>
      <c r="QHA18" s="159"/>
      <c r="QHB18" s="159"/>
      <c r="QHC18" s="159"/>
      <c r="QHD18" s="159"/>
      <c r="QHE18" s="159"/>
      <c r="QHF18" s="159"/>
      <c r="QHG18" s="159"/>
      <c r="QHH18" s="159"/>
      <c r="QHI18" s="159"/>
      <c r="QHJ18" s="159"/>
      <c r="QHK18" s="159"/>
      <c r="QHL18" s="159"/>
      <c r="QHM18" s="159"/>
      <c r="QHN18" s="159"/>
      <c r="QHO18" s="159"/>
      <c r="QHP18" s="159"/>
      <c r="QHQ18" s="159"/>
      <c r="QHR18" s="159"/>
      <c r="QHS18" s="159"/>
      <c r="QHT18" s="159"/>
      <c r="QHU18" s="159"/>
      <c r="QHV18" s="159"/>
      <c r="QHW18" s="159"/>
      <c r="QHX18" s="159"/>
      <c r="QHY18" s="159"/>
      <c r="QHZ18" s="159"/>
      <c r="QIA18" s="159"/>
      <c r="QIB18" s="159"/>
      <c r="QIC18" s="159"/>
      <c r="QID18" s="159"/>
      <c r="QIE18" s="159"/>
      <c r="QIF18" s="159"/>
      <c r="QIG18" s="159"/>
      <c r="QIH18" s="159"/>
      <c r="QII18" s="159"/>
      <c r="QIJ18" s="159"/>
      <c r="QIK18" s="159"/>
      <c r="QIL18" s="159"/>
      <c r="QIM18" s="159"/>
      <c r="QIN18" s="159"/>
      <c r="QIO18" s="159"/>
      <c r="QIP18" s="159"/>
      <c r="QIQ18" s="159"/>
      <c r="QIR18" s="159"/>
      <c r="QIS18" s="159"/>
      <c r="QIT18" s="159"/>
      <c r="QIU18" s="159"/>
      <c r="QIV18" s="159"/>
      <c r="QIW18" s="159"/>
      <c r="QIX18" s="159"/>
      <c r="QIY18" s="159"/>
      <c r="QIZ18" s="159"/>
      <c r="QJA18" s="159"/>
      <c r="QJB18" s="159"/>
      <c r="QJC18" s="159"/>
      <c r="QJD18" s="159"/>
      <c r="QJE18" s="159"/>
      <c r="QJF18" s="159"/>
      <c r="QJG18" s="159"/>
      <c r="QJH18" s="159"/>
      <c r="QJI18" s="159"/>
      <c r="QJJ18" s="159"/>
      <c r="QJK18" s="159"/>
      <c r="QJL18" s="159"/>
      <c r="QJM18" s="159"/>
      <c r="QJN18" s="159"/>
      <c r="QJO18" s="159"/>
      <c r="QJP18" s="159"/>
      <c r="QJQ18" s="159"/>
      <c r="QJR18" s="159"/>
      <c r="QJS18" s="159"/>
      <c r="QJT18" s="159"/>
      <c r="QJU18" s="159"/>
      <c r="QJV18" s="159"/>
      <c r="QJW18" s="159"/>
      <c r="QJX18" s="159"/>
      <c r="QJY18" s="159"/>
      <c r="QJZ18" s="159"/>
      <c r="QKA18" s="159"/>
      <c r="QKB18" s="159"/>
      <c r="QKC18" s="159"/>
      <c r="QKD18" s="159"/>
      <c r="QKE18" s="159"/>
      <c r="QKF18" s="159"/>
      <c r="QKG18" s="159"/>
      <c r="QKH18" s="159"/>
      <c r="QKI18" s="159"/>
      <c r="QKJ18" s="159"/>
      <c r="QKK18" s="159"/>
      <c r="QKL18" s="159"/>
      <c r="QKM18" s="159"/>
      <c r="QKN18" s="159"/>
      <c r="QKO18" s="159"/>
      <c r="QKP18" s="159"/>
      <c r="QKQ18" s="159"/>
      <c r="QKR18" s="159"/>
      <c r="QKS18" s="159"/>
      <c r="QKT18" s="159"/>
      <c r="QKU18" s="159"/>
      <c r="QKV18" s="159"/>
      <c r="QKW18" s="159"/>
      <c r="QKX18" s="159"/>
      <c r="QKY18" s="159"/>
      <c r="QKZ18" s="159"/>
      <c r="QLA18" s="159"/>
      <c r="QLB18" s="159"/>
      <c r="QLC18" s="159"/>
      <c r="QLD18" s="159"/>
      <c r="QLE18" s="159"/>
      <c r="QLF18" s="159"/>
      <c r="QLG18" s="159"/>
      <c r="QLH18" s="159"/>
      <c r="QLI18" s="159"/>
      <c r="QLJ18" s="159"/>
      <c r="QLK18" s="159"/>
      <c r="QLL18" s="159"/>
      <c r="QLM18" s="159"/>
      <c r="QLN18" s="159"/>
      <c r="QLO18" s="159"/>
      <c r="QLP18" s="159"/>
      <c r="QLQ18" s="159"/>
      <c r="QLR18" s="159"/>
      <c r="QLS18" s="159"/>
      <c r="QLT18" s="159"/>
      <c r="QLU18" s="159"/>
      <c r="QLV18" s="159"/>
      <c r="QLW18" s="159"/>
      <c r="QLX18" s="159"/>
      <c r="QLY18" s="159"/>
      <c r="QLZ18" s="159"/>
      <c r="QMA18" s="159"/>
      <c r="QMB18" s="159"/>
      <c r="QMC18" s="159"/>
      <c r="QMD18" s="159"/>
      <c r="QME18" s="159"/>
      <c r="QMF18" s="159"/>
      <c r="QMG18" s="159"/>
      <c r="QMH18" s="159"/>
      <c r="QMI18" s="159"/>
      <c r="QMJ18" s="159"/>
      <c r="QMK18" s="159"/>
      <c r="QML18" s="159"/>
      <c r="QMM18" s="159"/>
      <c r="QMN18" s="159"/>
      <c r="QMO18" s="159"/>
      <c r="QMP18" s="159"/>
      <c r="QMQ18" s="159"/>
      <c r="QMR18" s="159"/>
      <c r="QMS18" s="159"/>
      <c r="QMT18" s="159"/>
      <c r="QMU18" s="159"/>
      <c r="QMV18" s="159"/>
      <c r="QMW18" s="159"/>
      <c r="QMX18" s="159"/>
      <c r="QMY18" s="159"/>
      <c r="QMZ18" s="159"/>
      <c r="QNA18" s="159"/>
      <c r="QNB18" s="159"/>
      <c r="QNC18" s="159"/>
      <c r="QND18" s="159"/>
      <c r="QNE18" s="159"/>
      <c r="QNF18" s="159"/>
      <c r="QNG18" s="159"/>
      <c r="QNH18" s="159"/>
      <c r="QNI18" s="159"/>
      <c r="QNJ18" s="159"/>
      <c r="QNK18" s="159"/>
      <c r="QNL18" s="159"/>
      <c r="QNM18" s="159"/>
      <c r="QNN18" s="159"/>
      <c r="QNO18" s="159"/>
      <c r="QNP18" s="159"/>
      <c r="QNQ18" s="159"/>
      <c r="QNR18" s="159"/>
      <c r="QNS18" s="159"/>
      <c r="QNT18" s="159"/>
      <c r="QNU18" s="159"/>
      <c r="QNV18" s="159"/>
      <c r="QNW18" s="159"/>
      <c r="QNX18" s="159"/>
      <c r="QNY18" s="159"/>
      <c r="QNZ18" s="159"/>
      <c r="QOA18" s="159"/>
      <c r="QOB18" s="159"/>
      <c r="QOC18" s="159"/>
      <c r="QOD18" s="159"/>
      <c r="QOE18" s="159"/>
      <c r="QOF18" s="159"/>
      <c r="QOG18" s="159"/>
      <c r="QOH18" s="159"/>
      <c r="QOI18" s="159"/>
      <c r="QOJ18" s="159"/>
      <c r="QOK18" s="159"/>
      <c r="QOL18" s="159"/>
      <c r="QOM18" s="159"/>
      <c r="QON18" s="159"/>
      <c r="QOO18" s="159"/>
      <c r="QOP18" s="159"/>
      <c r="QOQ18" s="159"/>
      <c r="QOR18" s="159"/>
      <c r="QOS18" s="159"/>
      <c r="QOT18" s="159"/>
      <c r="QOU18" s="159"/>
      <c r="QOV18" s="159"/>
      <c r="QOW18" s="159"/>
      <c r="QOX18" s="159"/>
      <c r="QOY18" s="159"/>
      <c r="QOZ18" s="159"/>
      <c r="QPA18" s="159"/>
      <c r="QPB18" s="159"/>
      <c r="QPC18" s="159"/>
      <c r="QPD18" s="159"/>
      <c r="QPE18" s="159"/>
      <c r="QPF18" s="159"/>
      <c r="QPG18" s="159"/>
      <c r="QPH18" s="159"/>
      <c r="QPI18" s="159"/>
      <c r="QPJ18" s="159"/>
      <c r="QPK18" s="159"/>
      <c r="QPL18" s="159"/>
      <c r="QPM18" s="159"/>
      <c r="QPN18" s="159"/>
      <c r="QPO18" s="159"/>
      <c r="QPP18" s="159"/>
      <c r="QPQ18" s="159"/>
      <c r="QPR18" s="159"/>
      <c r="QPS18" s="159"/>
      <c r="QPT18" s="159"/>
      <c r="QPU18" s="159"/>
      <c r="QPV18" s="159"/>
      <c r="QPW18" s="159"/>
      <c r="QPX18" s="159"/>
      <c r="QPY18" s="159"/>
      <c r="QPZ18" s="159"/>
      <c r="QQA18" s="159"/>
      <c r="QQB18" s="159"/>
      <c r="QQC18" s="159"/>
      <c r="QQD18" s="159"/>
      <c r="QQE18" s="159"/>
      <c r="QQF18" s="159"/>
      <c r="QQG18" s="159"/>
      <c r="QQH18" s="159"/>
      <c r="QQI18" s="159"/>
      <c r="QQJ18" s="159"/>
      <c r="QQK18" s="159"/>
      <c r="QQL18" s="159"/>
      <c r="QQM18" s="159"/>
      <c r="QQN18" s="159"/>
      <c r="QQO18" s="159"/>
      <c r="QQP18" s="159"/>
      <c r="QQQ18" s="159"/>
      <c r="QQR18" s="159"/>
      <c r="QQS18" s="159"/>
      <c r="QQT18" s="159"/>
      <c r="QQU18" s="159"/>
      <c r="QQV18" s="159"/>
      <c r="QQW18" s="159"/>
      <c r="QQX18" s="159"/>
      <c r="QQY18" s="159"/>
      <c r="QQZ18" s="159"/>
      <c r="QRA18" s="159"/>
      <c r="QRB18" s="159"/>
      <c r="QRC18" s="159"/>
      <c r="QRD18" s="159"/>
      <c r="QRE18" s="159"/>
      <c r="QRF18" s="159"/>
      <c r="QRG18" s="159"/>
      <c r="QRH18" s="159"/>
      <c r="QRI18" s="159"/>
      <c r="QRJ18" s="159"/>
      <c r="QRK18" s="159"/>
      <c r="QRL18" s="159"/>
      <c r="QRM18" s="159"/>
      <c r="QRN18" s="159"/>
      <c r="QRO18" s="159"/>
      <c r="QRP18" s="159"/>
      <c r="QRQ18" s="159"/>
      <c r="QRR18" s="159"/>
      <c r="QRS18" s="159"/>
      <c r="QRT18" s="159"/>
      <c r="QRU18" s="159"/>
      <c r="QRV18" s="159"/>
      <c r="QRW18" s="159"/>
      <c r="QRX18" s="159"/>
      <c r="QRY18" s="159"/>
      <c r="QRZ18" s="159"/>
      <c r="QSA18" s="159"/>
      <c r="QSB18" s="159"/>
      <c r="QSC18" s="159"/>
      <c r="QSD18" s="159"/>
      <c r="QSE18" s="159"/>
      <c r="QSF18" s="159"/>
      <c r="QSG18" s="159"/>
      <c r="QSH18" s="159"/>
      <c r="QSI18" s="159"/>
      <c r="QSJ18" s="159"/>
      <c r="QSK18" s="159"/>
      <c r="QSL18" s="159"/>
      <c r="QSM18" s="159"/>
      <c r="QSN18" s="159"/>
      <c r="QSO18" s="159"/>
      <c r="QSP18" s="159"/>
      <c r="QSQ18" s="159"/>
      <c r="QSR18" s="159"/>
      <c r="QSS18" s="159"/>
      <c r="QST18" s="159"/>
      <c r="QSU18" s="159"/>
      <c r="QSV18" s="159"/>
      <c r="QSW18" s="159"/>
      <c r="QSX18" s="159"/>
      <c r="QSY18" s="159"/>
      <c r="QSZ18" s="159"/>
      <c r="QTA18" s="159"/>
      <c r="QTB18" s="159"/>
      <c r="QTC18" s="159"/>
      <c r="QTD18" s="159"/>
      <c r="QTE18" s="159"/>
      <c r="QTF18" s="159"/>
      <c r="QTG18" s="159"/>
      <c r="QTH18" s="159"/>
      <c r="QTI18" s="159"/>
      <c r="QTJ18" s="159"/>
      <c r="QTK18" s="159"/>
      <c r="QTL18" s="159"/>
      <c r="QTM18" s="159"/>
      <c r="QTN18" s="159"/>
      <c r="QTO18" s="159"/>
      <c r="QTP18" s="159"/>
      <c r="QTQ18" s="159"/>
      <c r="QTR18" s="159"/>
      <c r="QTS18" s="159"/>
      <c r="QTT18" s="159"/>
      <c r="QTU18" s="159"/>
      <c r="QTV18" s="159"/>
      <c r="QTW18" s="159"/>
      <c r="QTX18" s="159"/>
      <c r="QTY18" s="159"/>
      <c r="QTZ18" s="159"/>
      <c r="QUA18" s="159"/>
      <c r="QUB18" s="159"/>
      <c r="QUC18" s="159"/>
      <c r="QUD18" s="159"/>
      <c r="QUE18" s="159"/>
      <c r="QUF18" s="159"/>
      <c r="QUG18" s="159"/>
      <c r="QUH18" s="159"/>
      <c r="QUI18" s="159"/>
      <c r="QUJ18" s="159"/>
      <c r="QUK18" s="159"/>
      <c r="QUL18" s="159"/>
      <c r="QUM18" s="159"/>
      <c r="QUN18" s="159"/>
      <c r="QUO18" s="159"/>
      <c r="QUP18" s="159"/>
      <c r="QUQ18" s="159"/>
      <c r="QUR18" s="159"/>
      <c r="QUS18" s="159"/>
      <c r="QUT18" s="159"/>
      <c r="QUU18" s="159"/>
      <c r="QUV18" s="159"/>
      <c r="QUW18" s="159"/>
      <c r="QUX18" s="159"/>
      <c r="QUY18" s="159"/>
      <c r="QUZ18" s="159"/>
      <c r="QVA18" s="159"/>
      <c r="QVB18" s="159"/>
      <c r="QVC18" s="159"/>
      <c r="QVD18" s="159"/>
      <c r="QVE18" s="159"/>
      <c r="QVF18" s="159"/>
      <c r="QVG18" s="159"/>
      <c r="QVH18" s="159"/>
      <c r="QVI18" s="159"/>
      <c r="QVJ18" s="159"/>
      <c r="QVK18" s="159"/>
      <c r="QVL18" s="159"/>
      <c r="QVM18" s="159"/>
      <c r="QVN18" s="159"/>
      <c r="QVO18" s="159"/>
      <c r="QVP18" s="159"/>
      <c r="QVQ18" s="159"/>
      <c r="QVR18" s="159"/>
      <c r="QVS18" s="159"/>
      <c r="QVT18" s="159"/>
      <c r="QVU18" s="159"/>
      <c r="QVV18" s="159"/>
      <c r="QVW18" s="159"/>
      <c r="QVX18" s="159"/>
      <c r="QVY18" s="159"/>
      <c r="QVZ18" s="159"/>
      <c r="QWA18" s="159"/>
      <c r="QWB18" s="159"/>
      <c r="QWC18" s="159"/>
      <c r="QWD18" s="159"/>
      <c r="QWE18" s="159"/>
      <c r="QWF18" s="159"/>
      <c r="QWG18" s="159"/>
      <c r="QWH18" s="159"/>
      <c r="QWI18" s="159"/>
      <c r="QWJ18" s="159"/>
      <c r="QWK18" s="159"/>
      <c r="QWL18" s="159"/>
      <c r="QWM18" s="159"/>
      <c r="QWN18" s="159"/>
      <c r="QWO18" s="159"/>
      <c r="QWP18" s="159"/>
      <c r="QWQ18" s="159"/>
      <c r="QWR18" s="159"/>
      <c r="QWS18" s="159"/>
      <c r="QWT18" s="159"/>
      <c r="QWU18" s="159"/>
      <c r="QWV18" s="159"/>
      <c r="QWW18" s="159"/>
      <c r="QWX18" s="159"/>
      <c r="QWY18" s="159"/>
      <c r="QWZ18" s="159"/>
      <c r="QXA18" s="159"/>
      <c r="QXB18" s="159"/>
      <c r="QXC18" s="159"/>
      <c r="QXD18" s="159"/>
      <c r="QXE18" s="159"/>
      <c r="QXF18" s="159"/>
      <c r="QXG18" s="159"/>
      <c r="QXH18" s="159"/>
      <c r="QXI18" s="159"/>
      <c r="QXJ18" s="159"/>
      <c r="QXK18" s="159"/>
      <c r="QXL18" s="159"/>
      <c r="QXM18" s="159"/>
      <c r="QXN18" s="159"/>
      <c r="QXO18" s="159"/>
      <c r="QXP18" s="159"/>
      <c r="QXQ18" s="159"/>
      <c r="QXR18" s="159"/>
      <c r="QXS18" s="159"/>
      <c r="QXT18" s="159"/>
      <c r="QXU18" s="159"/>
      <c r="QXV18" s="159"/>
      <c r="QXW18" s="159"/>
      <c r="QXX18" s="159"/>
      <c r="QXY18" s="159"/>
      <c r="QXZ18" s="159"/>
      <c r="QYA18" s="159"/>
      <c r="QYB18" s="159"/>
      <c r="QYC18" s="159"/>
      <c r="QYD18" s="159"/>
      <c r="QYE18" s="159"/>
      <c r="QYF18" s="159"/>
      <c r="QYG18" s="159"/>
      <c r="QYH18" s="159"/>
      <c r="QYI18" s="159"/>
      <c r="QYJ18" s="159"/>
      <c r="QYK18" s="159"/>
      <c r="QYL18" s="159"/>
      <c r="QYM18" s="159"/>
      <c r="QYN18" s="159"/>
      <c r="QYO18" s="159"/>
      <c r="QYP18" s="159"/>
      <c r="QYQ18" s="159"/>
      <c r="QYR18" s="159"/>
      <c r="QYS18" s="159"/>
      <c r="QYT18" s="159"/>
      <c r="QYU18" s="159"/>
      <c r="QYV18" s="159"/>
      <c r="QYW18" s="159"/>
      <c r="QYX18" s="159"/>
      <c r="QYY18" s="159"/>
      <c r="QYZ18" s="159"/>
      <c r="QZA18" s="159"/>
      <c r="QZB18" s="159"/>
      <c r="QZC18" s="159"/>
      <c r="QZD18" s="159"/>
      <c r="QZE18" s="159"/>
      <c r="QZF18" s="159"/>
      <c r="QZG18" s="159"/>
      <c r="QZH18" s="159"/>
      <c r="QZI18" s="159"/>
      <c r="QZJ18" s="159"/>
      <c r="QZK18" s="159"/>
      <c r="QZL18" s="159"/>
      <c r="QZM18" s="159"/>
      <c r="QZN18" s="159"/>
      <c r="QZO18" s="159"/>
      <c r="QZP18" s="159"/>
      <c r="QZQ18" s="159"/>
      <c r="QZR18" s="159"/>
      <c r="QZS18" s="159"/>
      <c r="QZT18" s="159"/>
      <c r="QZU18" s="159"/>
      <c r="QZV18" s="159"/>
      <c r="QZW18" s="159"/>
      <c r="QZX18" s="159"/>
      <c r="QZY18" s="159"/>
      <c r="QZZ18" s="159"/>
      <c r="RAA18" s="159"/>
      <c r="RAB18" s="159"/>
      <c r="RAC18" s="159"/>
      <c r="RAD18" s="159"/>
      <c r="RAE18" s="159"/>
      <c r="RAF18" s="159"/>
      <c r="RAG18" s="159"/>
      <c r="RAH18" s="159"/>
      <c r="RAI18" s="159"/>
      <c r="RAJ18" s="159"/>
      <c r="RAK18" s="159"/>
      <c r="RAL18" s="159"/>
      <c r="RAM18" s="159"/>
      <c r="RAN18" s="159"/>
      <c r="RAO18" s="159"/>
      <c r="RAP18" s="159"/>
      <c r="RAQ18" s="159"/>
      <c r="RAR18" s="159"/>
      <c r="RAS18" s="159"/>
      <c r="RAT18" s="159"/>
      <c r="RAU18" s="159"/>
      <c r="RAV18" s="159"/>
      <c r="RAW18" s="159"/>
      <c r="RAX18" s="159"/>
      <c r="RAY18" s="159"/>
      <c r="RAZ18" s="159"/>
      <c r="RBA18" s="159"/>
      <c r="RBB18" s="159"/>
      <c r="RBC18" s="159"/>
      <c r="RBD18" s="159"/>
      <c r="RBE18" s="159"/>
      <c r="RBF18" s="159"/>
      <c r="RBG18" s="159"/>
      <c r="RBH18" s="159"/>
      <c r="RBI18" s="159"/>
      <c r="RBJ18" s="159"/>
      <c r="RBK18" s="159"/>
      <c r="RBL18" s="159"/>
      <c r="RBM18" s="159"/>
      <c r="RBN18" s="159"/>
      <c r="RBO18" s="159"/>
      <c r="RBP18" s="159"/>
      <c r="RBQ18" s="159"/>
      <c r="RBR18" s="159"/>
      <c r="RBS18" s="159"/>
      <c r="RBT18" s="159"/>
      <c r="RBU18" s="159"/>
      <c r="RBV18" s="159"/>
      <c r="RBW18" s="159"/>
      <c r="RBX18" s="159"/>
      <c r="RBY18" s="159"/>
      <c r="RBZ18" s="159"/>
      <c r="RCA18" s="159"/>
      <c r="RCB18" s="159"/>
      <c r="RCC18" s="159"/>
      <c r="RCD18" s="159"/>
      <c r="RCE18" s="159"/>
      <c r="RCF18" s="159"/>
      <c r="RCG18" s="159"/>
      <c r="RCH18" s="159"/>
      <c r="RCI18" s="159"/>
      <c r="RCJ18" s="159"/>
      <c r="RCK18" s="159"/>
      <c r="RCL18" s="159"/>
      <c r="RCM18" s="159"/>
      <c r="RCN18" s="159"/>
      <c r="RCO18" s="159"/>
      <c r="RCP18" s="159"/>
      <c r="RCQ18" s="159"/>
      <c r="RCR18" s="159"/>
      <c r="RCS18" s="159"/>
      <c r="RCT18" s="159"/>
      <c r="RCU18" s="159"/>
      <c r="RCV18" s="159"/>
      <c r="RCW18" s="159"/>
      <c r="RCX18" s="159"/>
      <c r="RCY18" s="159"/>
      <c r="RCZ18" s="159"/>
      <c r="RDA18" s="159"/>
      <c r="RDB18" s="159"/>
      <c r="RDC18" s="159"/>
      <c r="RDD18" s="159"/>
      <c r="RDE18" s="159"/>
      <c r="RDF18" s="159"/>
      <c r="RDG18" s="159"/>
      <c r="RDH18" s="159"/>
      <c r="RDI18" s="159"/>
      <c r="RDJ18" s="159"/>
      <c r="RDK18" s="159"/>
      <c r="RDL18" s="159"/>
      <c r="RDM18" s="159"/>
      <c r="RDN18" s="159"/>
      <c r="RDO18" s="159"/>
      <c r="RDP18" s="159"/>
      <c r="RDQ18" s="159"/>
      <c r="RDR18" s="159"/>
      <c r="RDS18" s="159"/>
      <c r="RDT18" s="159"/>
      <c r="RDU18" s="159"/>
      <c r="RDV18" s="159"/>
      <c r="RDW18" s="159"/>
      <c r="RDX18" s="159"/>
      <c r="RDY18" s="159"/>
      <c r="RDZ18" s="159"/>
      <c r="REA18" s="159"/>
      <c r="REB18" s="159"/>
      <c r="REC18" s="159"/>
      <c r="RED18" s="159"/>
      <c r="REE18" s="159"/>
      <c r="REF18" s="159"/>
      <c r="REG18" s="159"/>
      <c r="REH18" s="159"/>
      <c r="REI18" s="159"/>
      <c r="REJ18" s="159"/>
      <c r="REK18" s="159"/>
      <c r="REL18" s="159"/>
      <c r="REM18" s="159"/>
      <c r="REN18" s="159"/>
      <c r="REO18" s="159"/>
      <c r="REP18" s="159"/>
      <c r="REQ18" s="159"/>
      <c r="RER18" s="159"/>
      <c r="RES18" s="159"/>
      <c r="RET18" s="159"/>
      <c r="REU18" s="159"/>
      <c r="REV18" s="159"/>
      <c r="REW18" s="159"/>
      <c r="REX18" s="159"/>
      <c r="REY18" s="159"/>
      <c r="REZ18" s="159"/>
      <c r="RFA18" s="159"/>
      <c r="RFB18" s="159"/>
      <c r="RFC18" s="159"/>
      <c r="RFD18" s="159"/>
      <c r="RFE18" s="159"/>
      <c r="RFF18" s="159"/>
      <c r="RFG18" s="159"/>
      <c r="RFH18" s="159"/>
      <c r="RFI18" s="159"/>
      <c r="RFJ18" s="159"/>
      <c r="RFK18" s="159"/>
      <c r="RFL18" s="159"/>
      <c r="RFM18" s="159"/>
      <c r="RFN18" s="159"/>
      <c r="RFO18" s="159"/>
      <c r="RFP18" s="159"/>
      <c r="RFQ18" s="159"/>
      <c r="RFR18" s="159"/>
      <c r="RFS18" s="159"/>
      <c r="RFT18" s="159"/>
      <c r="RFU18" s="159"/>
      <c r="RFV18" s="159"/>
      <c r="RFW18" s="159"/>
      <c r="RFX18" s="159"/>
      <c r="RFY18" s="159"/>
      <c r="RFZ18" s="159"/>
      <c r="RGA18" s="159"/>
      <c r="RGB18" s="159"/>
      <c r="RGC18" s="159"/>
      <c r="RGD18" s="159"/>
      <c r="RGE18" s="159"/>
      <c r="RGF18" s="159"/>
      <c r="RGG18" s="159"/>
      <c r="RGH18" s="159"/>
      <c r="RGI18" s="159"/>
      <c r="RGJ18" s="159"/>
      <c r="RGK18" s="159"/>
      <c r="RGL18" s="159"/>
      <c r="RGM18" s="159"/>
      <c r="RGN18" s="159"/>
      <c r="RGO18" s="159"/>
      <c r="RGP18" s="159"/>
      <c r="RGQ18" s="159"/>
      <c r="RGR18" s="159"/>
      <c r="RGS18" s="159"/>
      <c r="RGT18" s="159"/>
      <c r="RGU18" s="159"/>
      <c r="RGV18" s="159"/>
      <c r="RGW18" s="159"/>
      <c r="RGX18" s="159"/>
      <c r="RGY18" s="159"/>
      <c r="RGZ18" s="159"/>
      <c r="RHA18" s="159"/>
      <c r="RHB18" s="159"/>
      <c r="RHC18" s="159"/>
      <c r="RHD18" s="159"/>
      <c r="RHE18" s="159"/>
      <c r="RHF18" s="159"/>
      <c r="RHG18" s="159"/>
      <c r="RHH18" s="159"/>
      <c r="RHI18" s="159"/>
      <c r="RHJ18" s="159"/>
      <c r="RHK18" s="159"/>
      <c r="RHL18" s="159"/>
      <c r="RHM18" s="159"/>
      <c r="RHN18" s="159"/>
      <c r="RHO18" s="159"/>
      <c r="RHP18" s="159"/>
      <c r="RHQ18" s="159"/>
      <c r="RHR18" s="159"/>
      <c r="RHS18" s="159"/>
      <c r="RHT18" s="159"/>
      <c r="RHU18" s="159"/>
      <c r="RHV18" s="159"/>
      <c r="RHW18" s="159"/>
      <c r="RHX18" s="159"/>
      <c r="RHY18" s="159"/>
      <c r="RHZ18" s="159"/>
      <c r="RIA18" s="159"/>
      <c r="RIB18" s="159"/>
      <c r="RIC18" s="159"/>
      <c r="RID18" s="159"/>
      <c r="RIE18" s="159"/>
      <c r="RIF18" s="159"/>
      <c r="RIG18" s="159"/>
      <c r="RIH18" s="159"/>
      <c r="RII18" s="159"/>
      <c r="RIJ18" s="159"/>
      <c r="RIK18" s="159"/>
      <c r="RIL18" s="159"/>
      <c r="RIM18" s="159"/>
      <c r="RIN18" s="159"/>
      <c r="RIO18" s="159"/>
      <c r="RIP18" s="159"/>
      <c r="RIQ18" s="159"/>
      <c r="RIR18" s="159"/>
      <c r="RIS18" s="159"/>
      <c r="RIT18" s="159"/>
      <c r="RIU18" s="159"/>
      <c r="RIV18" s="159"/>
      <c r="RIW18" s="159"/>
      <c r="RIX18" s="159"/>
      <c r="RIY18" s="159"/>
      <c r="RIZ18" s="159"/>
      <c r="RJA18" s="159"/>
      <c r="RJB18" s="159"/>
      <c r="RJC18" s="159"/>
      <c r="RJD18" s="159"/>
      <c r="RJE18" s="159"/>
      <c r="RJF18" s="159"/>
      <c r="RJG18" s="159"/>
      <c r="RJH18" s="159"/>
      <c r="RJI18" s="159"/>
      <c r="RJJ18" s="159"/>
      <c r="RJK18" s="159"/>
      <c r="RJL18" s="159"/>
      <c r="RJM18" s="159"/>
      <c r="RJN18" s="159"/>
      <c r="RJO18" s="159"/>
      <c r="RJP18" s="159"/>
      <c r="RJQ18" s="159"/>
      <c r="RJR18" s="159"/>
      <c r="RJS18" s="159"/>
      <c r="RJT18" s="159"/>
      <c r="RJU18" s="159"/>
      <c r="RJV18" s="159"/>
      <c r="RJW18" s="159"/>
      <c r="RJX18" s="159"/>
      <c r="RJY18" s="159"/>
      <c r="RJZ18" s="159"/>
      <c r="RKA18" s="159"/>
      <c r="RKB18" s="159"/>
      <c r="RKC18" s="159"/>
      <c r="RKD18" s="159"/>
      <c r="RKE18" s="159"/>
      <c r="RKF18" s="159"/>
      <c r="RKG18" s="159"/>
      <c r="RKH18" s="159"/>
      <c r="RKI18" s="159"/>
      <c r="RKJ18" s="159"/>
      <c r="RKK18" s="159"/>
      <c r="RKL18" s="159"/>
      <c r="RKM18" s="159"/>
      <c r="RKN18" s="159"/>
      <c r="RKO18" s="159"/>
      <c r="RKP18" s="159"/>
      <c r="RKQ18" s="159"/>
      <c r="RKR18" s="159"/>
      <c r="RKS18" s="159"/>
      <c r="RKT18" s="159"/>
      <c r="RKU18" s="159"/>
      <c r="RKV18" s="159"/>
      <c r="RKW18" s="159"/>
      <c r="RKX18" s="159"/>
      <c r="RKY18" s="159"/>
      <c r="RKZ18" s="159"/>
      <c r="RLA18" s="159"/>
      <c r="RLB18" s="159"/>
      <c r="RLC18" s="159"/>
      <c r="RLD18" s="159"/>
      <c r="RLE18" s="159"/>
      <c r="RLF18" s="159"/>
      <c r="RLG18" s="159"/>
      <c r="RLH18" s="159"/>
      <c r="RLI18" s="159"/>
      <c r="RLJ18" s="159"/>
      <c r="RLK18" s="159"/>
      <c r="RLL18" s="159"/>
      <c r="RLM18" s="159"/>
      <c r="RLN18" s="159"/>
      <c r="RLO18" s="159"/>
      <c r="RLP18" s="159"/>
      <c r="RLQ18" s="159"/>
      <c r="RLR18" s="159"/>
      <c r="RLS18" s="159"/>
      <c r="RLT18" s="159"/>
      <c r="RLU18" s="159"/>
      <c r="RLV18" s="159"/>
      <c r="RLW18" s="159"/>
      <c r="RLX18" s="159"/>
      <c r="RLY18" s="159"/>
      <c r="RLZ18" s="159"/>
      <c r="RMA18" s="159"/>
      <c r="RMB18" s="159"/>
      <c r="RMC18" s="159"/>
      <c r="RMD18" s="159"/>
      <c r="RME18" s="159"/>
      <c r="RMF18" s="159"/>
      <c r="RMG18" s="159"/>
      <c r="RMH18" s="159"/>
      <c r="RMI18" s="159"/>
      <c r="RMJ18" s="159"/>
      <c r="RMK18" s="159"/>
      <c r="RML18" s="159"/>
      <c r="RMM18" s="159"/>
      <c r="RMN18" s="159"/>
      <c r="RMO18" s="159"/>
      <c r="RMP18" s="159"/>
      <c r="RMQ18" s="159"/>
      <c r="RMR18" s="159"/>
      <c r="RMS18" s="159"/>
      <c r="RMT18" s="159"/>
      <c r="RMU18" s="159"/>
      <c r="RMV18" s="159"/>
      <c r="RMW18" s="159"/>
      <c r="RMX18" s="159"/>
      <c r="RMY18" s="159"/>
      <c r="RMZ18" s="159"/>
      <c r="RNA18" s="159"/>
      <c r="RNB18" s="159"/>
      <c r="RNC18" s="159"/>
      <c r="RND18" s="159"/>
      <c r="RNE18" s="159"/>
      <c r="RNF18" s="159"/>
      <c r="RNG18" s="159"/>
      <c r="RNH18" s="159"/>
      <c r="RNI18" s="159"/>
      <c r="RNJ18" s="159"/>
      <c r="RNK18" s="159"/>
      <c r="RNL18" s="159"/>
      <c r="RNM18" s="159"/>
      <c r="RNN18" s="159"/>
      <c r="RNO18" s="159"/>
      <c r="RNP18" s="159"/>
      <c r="RNQ18" s="159"/>
      <c r="RNR18" s="159"/>
      <c r="RNS18" s="159"/>
      <c r="RNT18" s="159"/>
      <c r="RNU18" s="159"/>
      <c r="RNV18" s="159"/>
      <c r="RNW18" s="159"/>
      <c r="RNX18" s="159"/>
      <c r="RNY18" s="159"/>
      <c r="RNZ18" s="159"/>
      <c r="ROA18" s="159"/>
      <c r="ROB18" s="159"/>
      <c r="ROC18" s="159"/>
      <c r="ROD18" s="159"/>
      <c r="ROE18" s="159"/>
      <c r="ROF18" s="159"/>
      <c r="ROG18" s="159"/>
      <c r="ROH18" s="159"/>
      <c r="ROI18" s="159"/>
      <c r="ROJ18" s="159"/>
      <c r="ROK18" s="159"/>
      <c r="ROL18" s="159"/>
      <c r="ROM18" s="159"/>
      <c r="RON18" s="159"/>
      <c r="ROO18" s="159"/>
      <c r="ROP18" s="159"/>
      <c r="ROQ18" s="159"/>
      <c r="ROR18" s="159"/>
      <c r="ROS18" s="159"/>
      <c r="ROT18" s="159"/>
      <c r="ROU18" s="159"/>
      <c r="ROV18" s="159"/>
      <c r="ROW18" s="159"/>
      <c r="ROX18" s="159"/>
      <c r="ROY18" s="159"/>
      <c r="ROZ18" s="159"/>
      <c r="RPA18" s="159"/>
      <c r="RPB18" s="159"/>
      <c r="RPC18" s="159"/>
      <c r="RPD18" s="159"/>
      <c r="RPE18" s="159"/>
      <c r="RPF18" s="159"/>
      <c r="RPG18" s="159"/>
      <c r="RPH18" s="159"/>
      <c r="RPI18" s="159"/>
      <c r="RPJ18" s="159"/>
      <c r="RPK18" s="159"/>
      <c r="RPL18" s="159"/>
      <c r="RPM18" s="159"/>
      <c r="RPN18" s="159"/>
      <c r="RPO18" s="159"/>
      <c r="RPP18" s="159"/>
      <c r="RPQ18" s="159"/>
      <c r="RPR18" s="159"/>
      <c r="RPS18" s="159"/>
      <c r="RPT18" s="159"/>
      <c r="RPU18" s="159"/>
      <c r="RPV18" s="159"/>
      <c r="RPW18" s="159"/>
      <c r="RPX18" s="159"/>
      <c r="RPY18" s="159"/>
      <c r="RPZ18" s="159"/>
      <c r="RQA18" s="159"/>
      <c r="RQB18" s="159"/>
      <c r="RQC18" s="159"/>
      <c r="RQD18" s="159"/>
      <c r="RQE18" s="159"/>
      <c r="RQF18" s="159"/>
      <c r="RQG18" s="159"/>
      <c r="RQH18" s="159"/>
      <c r="RQI18" s="159"/>
      <c r="RQJ18" s="159"/>
      <c r="RQK18" s="159"/>
      <c r="RQL18" s="159"/>
      <c r="RQM18" s="159"/>
      <c r="RQN18" s="159"/>
      <c r="RQO18" s="159"/>
      <c r="RQP18" s="159"/>
      <c r="RQQ18" s="159"/>
      <c r="RQR18" s="159"/>
      <c r="RQS18" s="159"/>
      <c r="RQT18" s="159"/>
      <c r="RQU18" s="159"/>
      <c r="RQV18" s="159"/>
      <c r="RQW18" s="159"/>
      <c r="RQX18" s="159"/>
      <c r="RQY18" s="159"/>
      <c r="RQZ18" s="159"/>
      <c r="RRA18" s="159"/>
      <c r="RRB18" s="159"/>
      <c r="RRC18" s="159"/>
      <c r="RRD18" s="159"/>
      <c r="RRE18" s="159"/>
      <c r="RRF18" s="159"/>
      <c r="RRG18" s="159"/>
      <c r="RRH18" s="159"/>
      <c r="RRI18" s="159"/>
      <c r="RRJ18" s="159"/>
      <c r="RRK18" s="159"/>
      <c r="RRL18" s="159"/>
      <c r="RRM18" s="159"/>
      <c r="RRN18" s="159"/>
      <c r="RRO18" s="159"/>
      <c r="RRP18" s="159"/>
      <c r="RRQ18" s="159"/>
      <c r="RRR18" s="159"/>
      <c r="RRS18" s="159"/>
      <c r="RRT18" s="159"/>
      <c r="RRU18" s="159"/>
      <c r="RRV18" s="159"/>
      <c r="RRW18" s="159"/>
      <c r="RRX18" s="159"/>
      <c r="RRY18" s="159"/>
      <c r="RRZ18" s="159"/>
      <c r="RSA18" s="159"/>
      <c r="RSB18" s="159"/>
      <c r="RSC18" s="159"/>
      <c r="RSD18" s="159"/>
      <c r="RSE18" s="159"/>
      <c r="RSF18" s="159"/>
      <c r="RSG18" s="159"/>
      <c r="RSH18" s="159"/>
      <c r="RSI18" s="159"/>
      <c r="RSJ18" s="159"/>
      <c r="RSK18" s="159"/>
      <c r="RSL18" s="159"/>
      <c r="RSM18" s="159"/>
      <c r="RSN18" s="159"/>
      <c r="RSO18" s="159"/>
      <c r="RSP18" s="159"/>
      <c r="RSQ18" s="159"/>
      <c r="RSR18" s="159"/>
      <c r="RSS18" s="159"/>
      <c r="RST18" s="159"/>
      <c r="RSU18" s="159"/>
      <c r="RSV18" s="159"/>
      <c r="RSW18" s="159"/>
      <c r="RSX18" s="159"/>
      <c r="RSY18" s="159"/>
      <c r="RSZ18" s="159"/>
      <c r="RTA18" s="159"/>
      <c r="RTB18" s="159"/>
      <c r="RTC18" s="159"/>
      <c r="RTD18" s="159"/>
      <c r="RTE18" s="159"/>
      <c r="RTF18" s="159"/>
      <c r="RTG18" s="159"/>
      <c r="RTH18" s="159"/>
      <c r="RTI18" s="159"/>
      <c r="RTJ18" s="159"/>
      <c r="RTK18" s="159"/>
      <c r="RTL18" s="159"/>
      <c r="RTM18" s="159"/>
      <c r="RTN18" s="159"/>
      <c r="RTO18" s="159"/>
      <c r="RTP18" s="159"/>
      <c r="RTQ18" s="159"/>
      <c r="RTR18" s="159"/>
      <c r="RTS18" s="159"/>
      <c r="RTT18" s="159"/>
      <c r="RTU18" s="159"/>
      <c r="RTV18" s="159"/>
      <c r="RTW18" s="159"/>
      <c r="RTX18" s="159"/>
      <c r="RTY18" s="159"/>
      <c r="RTZ18" s="159"/>
      <c r="RUA18" s="159"/>
      <c r="RUB18" s="159"/>
      <c r="RUC18" s="159"/>
      <c r="RUD18" s="159"/>
      <c r="RUE18" s="159"/>
      <c r="RUF18" s="159"/>
      <c r="RUG18" s="159"/>
      <c r="RUH18" s="159"/>
      <c r="RUI18" s="159"/>
      <c r="RUJ18" s="159"/>
      <c r="RUK18" s="159"/>
      <c r="RUL18" s="159"/>
      <c r="RUM18" s="159"/>
      <c r="RUN18" s="159"/>
      <c r="RUO18" s="159"/>
      <c r="RUP18" s="159"/>
      <c r="RUQ18" s="159"/>
      <c r="RUR18" s="159"/>
      <c r="RUS18" s="159"/>
      <c r="RUT18" s="159"/>
      <c r="RUU18" s="159"/>
      <c r="RUV18" s="159"/>
      <c r="RUW18" s="159"/>
      <c r="RUX18" s="159"/>
      <c r="RUY18" s="159"/>
      <c r="RUZ18" s="159"/>
      <c r="RVA18" s="159"/>
      <c r="RVB18" s="159"/>
      <c r="RVC18" s="159"/>
      <c r="RVD18" s="159"/>
      <c r="RVE18" s="159"/>
      <c r="RVF18" s="159"/>
      <c r="RVG18" s="159"/>
      <c r="RVH18" s="159"/>
      <c r="RVI18" s="159"/>
      <c r="RVJ18" s="159"/>
      <c r="RVK18" s="159"/>
      <c r="RVL18" s="159"/>
      <c r="RVM18" s="159"/>
      <c r="RVN18" s="159"/>
      <c r="RVO18" s="159"/>
      <c r="RVP18" s="159"/>
      <c r="RVQ18" s="159"/>
      <c r="RVR18" s="159"/>
      <c r="RVS18" s="159"/>
      <c r="RVT18" s="159"/>
      <c r="RVU18" s="159"/>
      <c r="RVV18" s="159"/>
      <c r="RVW18" s="159"/>
      <c r="RVX18" s="159"/>
      <c r="RVY18" s="159"/>
      <c r="RVZ18" s="159"/>
      <c r="RWA18" s="159"/>
      <c r="RWB18" s="159"/>
      <c r="RWC18" s="159"/>
      <c r="RWD18" s="159"/>
      <c r="RWE18" s="159"/>
      <c r="RWF18" s="159"/>
      <c r="RWG18" s="159"/>
      <c r="RWH18" s="159"/>
      <c r="RWI18" s="159"/>
      <c r="RWJ18" s="159"/>
      <c r="RWK18" s="159"/>
      <c r="RWL18" s="159"/>
      <c r="RWM18" s="159"/>
      <c r="RWN18" s="159"/>
      <c r="RWO18" s="159"/>
      <c r="RWP18" s="159"/>
      <c r="RWQ18" s="159"/>
      <c r="RWR18" s="159"/>
      <c r="RWS18" s="159"/>
      <c r="RWT18" s="159"/>
      <c r="RWU18" s="159"/>
      <c r="RWV18" s="159"/>
      <c r="RWW18" s="159"/>
      <c r="RWX18" s="159"/>
      <c r="RWY18" s="159"/>
      <c r="RWZ18" s="159"/>
      <c r="RXA18" s="159"/>
      <c r="RXB18" s="159"/>
      <c r="RXC18" s="159"/>
      <c r="RXD18" s="159"/>
      <c r="RXE18" s="159"/>
      <c r="RXF18" s="159"/>
      <c r="RXG18" s="159"/>
      <c r="RXH18" s="159"/>
      <c r="RXI18" s="159"/>
      <c r="RXJ18" s="159"/>
      <c r="RXK18" s="159"/>
      <c r="RXL18" s="159"/>
      <c r="RXM18" s="159"/>
      <c r="RXN18" s="159"/>
      <c r="RXO18" s="159"/>
      <c r="RXP18" s="159"/>
      <c r="RXQ18" s="159"/>
      <c r="RXR18" s="159"/>
      <c r="RXS18" s="159"/>
      <c r="RXT18" s="159"/>
      <c r="RXU18" s="159"/>
      <c r="RXV18" s="159"/>
      <c r="RXW18" s="159"/>
      <c r="RXX18" s="159"/>
      <c r="RXY18" s="159"/>
      <c r="RXZ18" s="159"/>
      <c r="RYA18" s="159"/>
      <c r="RYB18" s="159"/>
      <c r="RYC18" s="159"/>
      <c r="RYD18" s="159"/>
      <c r="RYE18" s="159"/>
      <c r="RYF18" s="159"/>
      <c r="RYG18" s="159"/>
      <c r="RYH18" s="159"/>
      <c r="RYI18" s="159"/>
      <c r="RYJ18" s="159"/>
      <c r="RYK18" s="159"/>
      <c r="RYL18" s="159"/>
      <c r="RYM18" s="159"/>
      <c r="RYN18" s="159"/>
      <c r="RYO18" s="159"/>
      <c r="RYP18" s="159"/>
      <c r="RYQ18" s="159"/>
      <c r="RYR18" s="159"/>
      <c r="RYS18" s="159"/>
      <c r="RYT18" s="159"/>
      <c r="RYU18" s="159"/>
      <c r="RYV18" s="159"/>
      <c r="RYW18" s="159"/>
      <c r="RYX18" s="159"/>
      <c r="RYY18" s="159"/>
      <c r="RYZ18" s="159"/>
      <c r="RZA18" s="159"/>
      <c r="RZB18" s="159"/>
      <c r="RZC18" s="159"/>
      <c r="RZD18" s="159"/>
      <c r="RZE18" s="159"/>
      <c r="RZF18" s="159"/>
      <c r="RZG18" s="159"/>
      <c r="RZH18" s="159"/>
      <c r="RZI18" s="159"/>
      <c r="RZJ18" s="159"/>
      <c r="RZK18" s="159"/>
      <c r="RZL18" s="159"/>
      <c r="RZM18" s="159"/>
      <c r="RZN18" s="159"/>
      <c r="RZO18" s="159"/>
      <c r="RZP18" s="159"/>
      <c r="RZQ18" s="159"/>
      <c r="RZR18" s="159"/>
      <c r="RZS18" s="159"/>
      <c r="RZT18" s="159"/>
      <c r="RZU18" s="159"/>
      <c r="RZV18" s="159"/>
      <c r="RZW18" s="159"/>
      <c r="RZX18" s="159"/>
      <c r="RZY18" s="159"/>
      <c r="RZZ18" s="159"/>
      <c r="SAA18" s="159"/>
      <c r="SAB18" s="159"/>
      <c r="SAC18" s="159"/>
      <c r="SAD18" s="159"/>
      <c r="SAE18" s="159"/>
      <c r="SAF18" s="159"/>
      <c r="SAG18" s="159"/>
      <c r="SAH18" s="159"/>
      <c r="SAI18" s="159"/>
      <c r="SAJ18" s="159"/>
      <c r="SAK18" s="159"/>
      <c r="SAL18" s="159"/>
      <c r="SAM18" s="159"/>
      <c r="SAN18" s="159"/>
      <c r="SAO18" s="159"/>
      <c r="SAP18" s="159"/>
      <c r="SAQ18" s="159"/>
      <c r="SAR18" s="159"/>
      <c r="SAS18" s="159"/>
      <c r="SAT18" s="159"/>
      <c r="SAU18" s="159"/>
      <c r="SAV18" s="159"/>
      <c r="SAW18" s="159"/>
      <c r="SAX18" s="159"/>
      <c r="SAY18" s="159"/>
      <c r="SAZ18" s="159"/>
      <c r="SBA18" s="159"/>
      <c r="SBB18" s="159"/>
      <c r="SBC18" s="159"/>
      <c r="SBD18" s="159"/>
      <c r="SBE18" s="159"/>
      <c r="SBF18" s="159"/>
      <c r="SBG18" s="159"/>
      <c r="SBH18" s="159"/>
      <c r="SBI18" s="159"/>
      <c r="SBJ18" s="159"/>
      <c r="SBK18" s="159"/>
      <c r="SBL18" s="159"/>
      <c r="SBM18" s="159"/>
      <c r="SBN18" s="159"/>
      <c r="SBO18" s="159"/>
      <c r="SBP18" s="159"/>
      <c r="SBQ18" s="159"/>
      <c r="SBR18" s="159"/>
      <c r="SBS18" s="159"/>
      <c r="SBT18" s="159"/>
      <c r="SBU18" s="159"/>
      <c r="SBV18" s="159"/>
      <c r="SBW18" s="159"/>
      <c r="SBX18" s="159"/>
      <c r="SBY18" s="159"/>
      <c r="SBZ18" s="159"/>
      <c r="SCA18" s="159"/>
      <c r="SCB18" s="159"/>
      <c r="SCC18" s="159"/>
      <c r="SCD18" s="159"/>
      <c r="SCE18" s="159"/>
      <c r="SCF18" s="159"/>
      <c r="SCG18" s="159"/>
      <c r="SCH18" s="159"/>
      <c r="SCI18" s="159"/>
      <c r="SCJ18" s="159"/>
      <c r="SCK18" s="159"/>
      <c r="SCL18" s="159"/>
      <c r="SCM18" s="159"/>
      <c r="SCN18" s="159"/>
      <c r="SCO18" s="159"/>
      <c r="SCP18" s="159"/>
      <c r="SCQ18" s="159"/>
      <c r="SCR18" s="159"/>
      <c r="SCS18" s="159"/>
      <c r="SCT18" s="159"/>
      <c r="SCU18" s="159"/>
      <c r="SCV18" s="159"/>
      <c r="SCW18" s="159"/>
      <c r="SCX18" s="159"/>
      <c r="SCY18" s="159"/>
      <c r="SCZ18" s="159"/>
      <c r="SDA18" s="159"/>
      <c r="SDB18" s="159"/>
      <c r="SDC18" s="159"/>
      <c r="SDD18" s="159"/>
      <c r="SDE18" s="159"/>
      <c r="SDF18" s="159"/>
      <c r="SDG18" s="159"/>
      <c r="SDH18" s="159"/>
      <c r="SDI18" s="159"/>
      <c r="SDJ18" s="159"/>
      <c r="SDK18" s="159"/>
      <c r="SDL18" s="159"/>
      <c r="SDM18" s="159"/>
      <c r="SDN18" s="159"/>
      <c r="SDO18" s="159"/>
      <c r="SDP18" s="159"/>
      <c r="SDQ18" s="159"/>
      <c r="SDR18" s="159"/>
      <c r="SDS18" s="159"/>
      <c r="SDT18" s="159"/>
      <c r="SDU18" s="159"/>
      <c r="SDV18" s="159"/>
      <c r="SDW18" s="159"/>
      <c r="SDX18" s="159"/>
      <c r="SDY18" s="159"/>
      <c r="SDZ18" s="159"/>
      <c r="SEA18" s="159"/>
      <c r="SEB18" s="159"/>
      <c r="SEC18" s="159"/>
      <c r="SED18" s="159"/>
      <c r="SEE18" s="159"/>
      <c r="SEF18" s="159"/>
      <c r="SEG18" s="159"/>
      <c r="SEH18" s="159"/>
      <c r="SEI18" s="159"/>
      <c r="SEJ18" s="159"/>
      <c r="SEK18" s="159"/>
      <c r="SEL18" s="159"/>
      <c r="SEM18" s="159"/>
      <c r="SEN18" s="159"/>
      <c r="SEO18" s="159"/>
      <c r="SEP18" s="159"/>
      <c r="SEQ18" s="159"/>
      <c r="SER18" s="159"/>
      <c r="SES18" s="159"/>
      <c r="SET18" s="159"/>
      <c r="SEU18" s="159"/>
      <c r="SEV18" s="159"/>
      <c r="SEW18" s="159"/>
      <c r="SEX18" s="159"/>
      <c r="SEY18" s="159"/>
      <c r="SEZ18" s="159"/>
      <c r="SFA18" s="159"/>
      <c r="SFB18" s="159"/>
      <c r="SFC18" s="159"/>
      <c r="SFD18" s="159"/>
      <c r="SFE18" s="159"/>
      <c r="SFF18" s="159"/>
      <c r="SFG18" s="159"/>
      <c r="SFH18" s="159"/>
      <c r="SFI18" s="159"/>
      <c r="SFJ18" s="159"/>
      <c r="SFK18" s="159"/>
      <c r="SFL18" s="159"/>
      <c r="SFM18" s="159"/>
      <c r="SFN18" s="159"/>
      <c r="SFO18" s="159"/>
      <c r="SFP18" s="159"/>
      <c r="SFQ18" s="159"/>
      <c r="SFR18" s="159"/>
      <c r="SFS18" s="159"/>
      <c r="SFT18" s="159"/>
      <c r="SFU18" s="159"/>
      <c r="SFV18" s="159"/>
      <c r="SFW18" s="159"/>
      <c r="SFX18" s="159"/>
      <c r="SFY18" s="159"/>
      <c r="SFZ18" s="159"/>
      <c r="SGA18" s="159"/>
      <c r="SGB18" s="159"/>
      <c r="SGC18" s="159"/>
      <c r="SGD18" s="159"/>
      <c r="SGE18" s="159"/>
      <c r="SGF18" s="159"/>
      <c r="SGG18" s="159"/>
      <c r="SGH18" s="159"/>
      <c r="SGI18" s="159"/>
      <c r="SGJ18" s="159"/>
      <c r="SGK18" s="159"/>
      <c r="SGL18" s="159"/>
      <c r="SGM18" s="159"/>
      <c r="SGN18" s="159"/>
      <c r="SGO18" s="159"/>
      <c r="SGP18" s="159"/>
      <c r="SGQ18" s="159"/>
      <c r="SGR18" s="159"/>
      <c r="SGS18" s="159"/>
      <c r="SGT18" s="159"/>
      <c r="SGU18" s="159"/>
      <c r="SGV18" s="159"/>
      <c r="SGW18" s="159"/>
      <c r="SGX18" s="159"/>
      <c r="SGY18" s="159"/>
      <c r="SGZ18" s="159"/>
      <c r="SHA18" s="159"/>
      <c r="SHB18" s="159"/>
      <c r="SHC18" s="159"/>
      <c r="SHD18" s="159"/>
      <c r="SHE18" s="159"/>
      <c r="SHF18" s="159"/>
      <c r="SHG18" s="159"/>
      <c r="SHH18" s="159"/>
      <c r="SHI18" s="159"/>
      <c r="SHJ18" s="159"/>
      <c r="SHK18" s="159"/>
      <c r="SHL18" s="159"/>
      <c r="SHM18" s="159"/>
      <c r="SHN18" s="159"/>
      <c r="SHO18" s="159"/>
      <c r="SHP18" s="159"/>
      <c r="SHQ18" s="159"/>
      <c r="SHR18" s="159"/>
      <c r="SHS18" s="159"/>
      <c r="SHT18" s="159"/>
      <c r="SHU18" s="159"/>
      <c r="SHV18" s="159"/>
      <c r="SHW18" s="159"/>
      <c r="SHX18" s="159"/>
      <c r="SHY18" s="159"/>
      <c r="SHZ18" s="159"/>
      <c r="SIA18" s="159"/>
      <c r="SIB18" s="159"/>
      <c r="SIC18" s="159"/>
      <c r="SID18" s="159"/>
      <c r="SIE18" s="159"/>
      <c r="SIF18" s="159"/>
      <c r="SIG18" s="159"/>
      <c r="SIH18" s="159"/>
      <c r="SII18" s="159"/>
      <c r="SIJ18" s="159"/>
      <c r="SIK18" s="159"/>
      <c r="SIL18" s="159"/>
      <c r="SIM18" s="159"/>
      <c r="SIN18" s="159"/>
      <c r="SIO18" s="159"/>
      <c r="SIP18" s="159"/>
      <c r="SIQ18" s="159"/>
      <c r="SIR18" s="159"/>
      <c r="SIS18" s="159"/>
      <c r="SIT18" s="159"/>
      <c r="SIU18" s="159"/>
      <c r="SIV18" s="159"/>
      <c r="SIW18" s="159"/>
      <c r="SIX18" s="159"/>
      <c r="SIY18" s="159"/>
      <c r="SIZ18" s="159"/>
      <c r="SJA18" s="159"/>
      <c r="SJB18" s="159"/>
      <c r="SJC18" s="159"/>
      <c r="SJD18" s="159"/>
      <c r="SJE18" s="159"/>
      <c r="SJF18" s="159"/>
      <c r="SJG18" s="159"/>
      <c r="SJH18" s="159"/>
      <c r="SJI18" s="159"/>
      <c r="SJJ18" s="159"/>
      <c r="SJK18" s="159"/>
      <c r="SJL18" s="159"/>
      <c r="SJM18" s="159"/>
      <c r="SJN18" s="159"/>
      <c r="SJO18" s="159"/>
      <c r="SJP18" s="159"/>
      <c r="SJQ18" s="159"/>
      <c r="SJR18" s="159"/>
      <c r="SJS18" s="159"/>
      <c r="SJT18" s="159"/>
      <c r="SJU18" s="159"/>
      <c r="SJV18" s="159"/>
      <c r="SJW18" s="159"/>
      <c r="SJX18" s="159"/>
      <c r="SJY18" s="159"/>
      <c r="SJZ18" s="159"/>
      <c r="SKA18" s="159"/>
      <c r="SKB18" s="159"/>
      <c r="SKC18" s="159"/>
      <c r="SKD18" s="159"/>
      <c r="SKE18" s="159"/>
      <c r="SKF18" s="159"/>
      <c r="SKG18" s="159"/>
      <c r="SKH18" s="159"/>
      <c r="SKI18" s="159"/>
      <c r="SKJ18" s="159"/>
      <c r="SKK18" s="159"/>
      <c r="SKL18" s="159"/>
      <c r="SKM18" s="159"/>
      <c r="SKN18" s="159"/>
      <c r="SKO18" s="159"/>
      <c r="SKP18" s="159"/>
      <c r="SKQ18" s="159"/>
      <c r="SKR18" s="159"/>
      <c r="SKS18" s="159"/>
      <c r="SKT18" s="159"/>
      <c r="SKU18" s="159"/>
      <c r="SKV18" s="159"/>
      <c r="SKW18" s="159"/>
      <c r="SKX18" s="159"/>
      <c r="SKY18" s="159"/>
      <c r="SKZ18" s="159"/>
      <c r="SLA18" s="159"/>
      <c r="SLB18" s="159"/>
      <c r="SLC18" s="159"/>
      <c r="SLD18" s="159"/>
      <c r="SLE18" s="159"/>
      <c r="SLF18" s="159"/>
      <c r="SLG18" s="159"/>
      <c r="SLH18" s="159"/>
      <c r="SLI18" s="159"/>
      <c r="SLJ18" s="159"/>
      <c r="SLK18" s="159"/>
      <c r="SLL18" s="159"/>
      <c r="SLM18" s="159"/>
      <c r="SLN18" s="159"/>
      <c r="SLO18" s="159"/>
      <c r="SLP18" s="159"/>
      <c r="SLQ18" s="159"/>
      <c r="SLR18" s="159"/>
      <c r="SLS18" s="159"/>
      <c r="SLT18" s="159"/>
      <c r="SLU18" s="159"/>
      <c r="SLV18" s="159"/>
      <c r="SLW18" s="159"/>
      <c r="SLX18" s="159"/>
      <c r="SLY18" s="159"/>
      <c r="SLZ18" s="159"/>
      <c r="SMA18" s="159"/>
      <c r="SMB18" s="159"/>
      <c r="SMC18" s="159"/>
      <c r="SMD18" s="159"/>
      <c r="SME18" s="159"/>
      <c r="SMF18" s="159"/>
      <c r="SMG18" s="159"/>
      <c r="SMH18" s="159"/>
      <c r="SMI18" s="159"/>
      <c r="SMJ18" s="159"/>
      <c r="SMK18" s="159"/>
      <c r="SML18" s="159"/>
      <c r="SMM18" s="159"/>
      <c r="SMN18" s="159"/>
      <c r="SMO18" s="159"/>
      <c r="SMP18" s="159"/>
      <c r="SMQ18" s="159"/>
      <c r="SMR18" s="159"/>
      <c r="SMS18" s="159"/>
      <c r="SMT18" s="159"/>
      <c r="SMU18" s="159"/>
      <c r="SMV18" s="159"/>
      <c r="SMW18" s="159"/>
      <c r="SMX18" s="159"/>
      <c r="SMY18" s="159"/>
      <c r="SMZ18" s="159"/>
      <c r="SNA18" s="159"/>
      <c r="SNB18" s="159"/>
      <c r="SNC18" s="159"/>
      <c r="SND18" s="159"/>
      <c r="SNE18" s="159"/>
      <c r="SNF18" s="159"/>
      <c r="SNG18" s="159"/>
      <c r="SNH18" s="159"/>
      <c r="SNI18" s="159"/>
      <c r="SNJ18" s="159"/>
      <c r="SNK18" s="159"/>
      <c r="SNL18" s="159"/>
      <c r="SNM18" s="159"/>
      <c r="SNN18" s="159"/>
      <c r="SNO18" s="159"/>
      <c r="SNP18" s="159"/>
      <c r="SNQ18" s="159"/>
      <c r="SNR18" s="159"/>
      <c r="SNS18" s="159"/>
      <c r="SNT18" s="159"/>
      <c r="SNU18" s="159"/>
      <c r="SNV18" s="159"/>
      <c r="SNW18" s="159"/>
      <c r="SNX18" s="159"/>
      <c r="SNY18" s="159"/>
      <c r="SNZ18" s="159"/>
      <c r="SOA18" s="159"/>
      <c r="SOB18" s="159"/>
      <c r="SOC18" s="159"/>
      <c r="SOD18" s="159"/>
      <c r="SOE18" s="159"/>
      <c r="SOF18" s="159"/>
      <c r="SOG18" s="159"/>
      <c r="SOH18" s="159"/>
      <c r="SOI18" s="159"/>
      <c r="SOJ18" s="159"/>
      <c r="SOK18" s="159"/>
      <c r="SOL18" s="159"/>
      <c r="SOM18" s="159"/>
      <c r="SON18" s="159"/>
      <c r="SOO18" s="159"/>
      <c r="SOP18" s="159"/>
      <c r="SOQ18" s="159"/>
      <c r="SOR18" s="159"/>
      <c r="SOS18" s="159"/>
      <c r="SOT18" s="159"/>
      <c r="SOU18" s="159"/>
      <c r="SOV18" s="159"/>
      <c r="SOW18" s="159"/>
      <c r="SOX18" s="159"/>
      <c r="SOY18" s="159"/>
      <c r="SOZ18" s="159"/>
      <c r="SPA18" s="159"/>
      <c r="SPB18" s="159"/>
      <c r="SPC18" s="159"/>
      <c r="SPD18" s="159"/>
      <c r="SPE18" s="159"/>
      <c r="SPF18" s="159"/>
      <c r="SPG18" s="159"/>
      <c r="SPH18" s="159"/>
      <c r="SPI18" s="159"/>
      <c r="SPJ18" s="159"/>
      <c r="SPK18" s="159"/>
      <c r="SPL18" s="159"/>
      <c r="SPM18" s="159"/>
      <c r="SPN18" s="159"/>
      <c r="SPO18" s="159"/>
      <c r="SPP18" s="159"/>
      <c r="SPQ18" s="159"/>
      <c r="SPR18" s="159"/>
      <c r="SPS18" s="159"/>
      <c r="SPT18" s="159"/>
      <c r="SPU18" s="159"/>
      <c r="SPV18" s="159"/>
      <c r="SPW18" s="159"/>
      <c r="SPX18" s="159"/>
      <c r="SPY18" s="159"/>
      <c r="SPZ18" s="159"/>
      <c r="SQA18" s="159"/>
      <c r="SQB18" s="159"/>
      <c r="SQC18" s="159"/>
      <c r="SQD18" s="159"/>
      <c r="SQE18" s="159"/>
      <c r="SQF18" s="159"/>
      <c r="SQG18" s="159"/>
      <c r="SQH18" s="159"/>
      <c r="SQI18" s="159"/>
      <c r="SQJ18" s="159"/>
      <c r="SQK18" s="159"/>
      <c r="SQL18" s="159"/>
      <c r="SQM18" s="159"/>
      <c r="SQN18" s="159"/>
      <c r="SQO18" s="159"/>
      <c r="SQP18" s="159"/>
      <c r="SQQ18" s="159"/>
      <c r="SQR18" s="159"/>
      <c r="SQS18" s="159"/>
      <c r="SQT18" s="159"/>
      <c r="SQU18" s="159"/>
      <c r="SQV18" s="159"/>
      <c r="SQW18" s="159"/>
      <c r="SQX18" s="159"/>
      <c r="SQY18" s="159"/>
      <c r="SQZ18" s="159"/>
      <c r="SRA18" s="159"/>
      <c r="SRB18" s="159"/>
      <c r="SRC18" s="159"/>
      <c r="SRD18" s="159"/>
      <c r="SRE18" s="159"/>
      <c r="SRF18" s="159"/>
      <c r="SRG18" s="159"/>
      <c r="SRH18" s="159"/>
      <c r="SRI18" s="159"/>
      <c r="SRJ18" s="159"/>
      <c r="SRK18" s="159"/>
      <c r="SRL18" s="159"/>
      <c r="SRM18" s="159"/>
      <c r="SRN18" s="159"/>
      <c r="SRO18" s="159"/>
      <c r="SRP18" s="159"/>
      <c r="SRQ18" s="159"/>
      <c r="SRR18" s="159"/>
      <c r="SRS18" s="159"/>
      <c r="SRT18" s="159"/>
      <c r="SRU18" s="159"/>
      <c r="SRV18" s="159"/>
      <c r="SRW18" s="159"/>
      <c r="SRX18" s="159"/>
      <c r="SRY18" s="159"/>
      <c r="SRZ18" s="159"/>
      <c r="SSA18" s="159"/>
      <c r="SSB18" s="159"/>
      <c r="SSC18" s="159"/>
      <c r="SSD18" s="159"/>
      <c r="SSE18" s="159"/>
      <c r="SSF18" s="159"/>
      <c r="SSG18" s="159"/>
      <c r="SSH18" s="159"/>
      <c r="SSI18" s="159"/>
      <c r="SSJ18" s="159"/>
      <c r="SSK18" s="159"/>
      <c r="SSL18" s="159"/>
      <c r="SSM18" s="159"/>
      <c r="SSN18" s="159"/>
      <c r="SSO18" s="159"/>
      <c r="SSP18" s="159"/>
      <c r="SSQ18" s="159"/>
      <c r="SSR18" s="159"/>
      <c r="SSS18" s="159"/>
      <c r="SST18" s="159"/>
      <c r="SSU18" s="159"/>
      <c r="SSV18" s="159"/>
      <c r="SSW18" s="159"/>
      <c r="SSX18" s="159"/>
      <c r="SSY18" s="159"/>
      <c r="SSZ18" s="159"/>
      <c r="STA18" s="159"/>
      <c r="STB18" s="159"/>
      <c r="STC18" s="159"/>
      <c r="STD18" s="159"/>
      <c r="STE18" s="159"/>
      <c r="STF18" s="159"/>
      <c r="STG18" s="159"/>
      <c r="STH18" s="159"/>
      <c r="STI18" s="159"/>
      <c r="STJ18" s="159"/>
      <c r="STK18" s="159"/>
      <c r="STL18" s="159"/>
      <c r="STM18" s="159"/>
      <c r="STN18" s="159"/>
      <c r="STO18" s="159"/>
      <c r="STP18" s="159"/>
      <c r="STQ18" s="159"/>
      <c r="STR18" s="159"/>
      <c r="STS18" s="159"/>
      <c r="STT18" s="159"/>
      <c r="STU18" s="159"/>
      <c r="STV18" s="159"/>
      <c r="STW18" s="159"/>
      <c r="STX18" s="159"/>
      <c r="STY18" s="159"/>
      <c r="STZ18" s="159"/>
      <c r="SUA18" s="159"/>
      <c r="SUB18" s="159"/>
      <c r="SUC18" s="159"/>
      <c r="SUD18" s="159"/>
      <c r="SUE18" s="159"/>
      <c r="SUF18" s="159"/>
      <c r="SUG18" s="159"/>
      <c r="SUH18" s="159"/>
      <c r="SUI18" s="159"/>
      <c r="SUJ18" s="159"/>
      <c r="SUK18" s="159"/>
      <c r="SUL18" s="159"/>
      <c r="SUM18" s="159"/>
      <c r="SUN18" s="159"/>
      <c r="SUO18" s="159"/>
      <c r="SUP18" s="159"/>
      <c r="SUQ18" s="159"/>
      <c r="SUR18" s="159"/>
      <c r="SUS18" s="159"/>
      <c r="SUT18" s="159"/>
      <c r="SUU18" s="159"/>
      <c r="SUV18" s="159"/>
      <c r="SUW18" s="159"/>
      <c r="SUX18" s="159"/>
      <c r="SUY18" s="159"/>
      <c r="SUZ18" s="159"/>
      <c r="SVA18" s="159"/>
      <c r="SVB18" s="159"/>
      <c r="SVC18" s="159"/>
      <c r="SVD18" s="159"/>
      <c r="SVE18" s="159"/>
      <c r="SVF18" s="159"/>
      <c r="SVG18" s="159"/>
      <c r="SVH18" s="159"/>
      <c r="SVI18" s="159"/>
      <c r="SVJ18" s="159"/>
      <c r="SVK18" s="159"/>
      <c r="SVL18" s="159"/>
      <c r="SVM18" s="159"/>
      <c r="SVN18" s="159"/>
      <c r="SVO18" s="159"/>
      <c r="SVP18" s="159"/>
      <c r="SVQ18" s="159"/>
      <c r="SVR18" s="159"/>
      <c r="SVS18" s="159"/>
      <c r="SVT18" s="159"/>
      <c r="SVU18" s="159"/>
      <c r="SVV18" s="159"/>
      <c r="SVW18" s="159"/>
      <c r="SVX18" s="159"/>
      <c r="SVY18" s="159"/>
      <c r="SVZ18" s="159"/>
      <c r="SWA18" s="159"/>
      <c r="SWB18" s="159"/>
      <c r="SWC18" s="159"/>
      <c r="SWD18" s="159"/>
      <c r="SWE18" s="159"/>
      <c r="SWF18" s="159"/>
      <c r="SWG18" s="159"/>
      <c r="SWH18" s="159"/>
      <c r="SWI18" s="159"/>
      <c r="SWJ18" s="159"/>
      <c r="SWK18" s="159"/>
      <c r="SWL18" s="159"/>
      <c r="SWM18" s="159"/>
      <c r="SWN18" s="159"/>
      <c r="SWO18" s="159"/>
      <c r="SWP18" s="159"/>
      <c r="SWQ18" s="159"/>
      <c r="SWR18" s="159"/>
      <c r="SWS18" s="159"/>
      <c r="SWT18" s="159"/>
      <c r="SWU18" s="159"/>
      <c r="SWV18" s="159"/>
      <c r="SWW18" s="159"/>
      <c r="SWX18" s="159"/>
      <c r="SWY18" s="159"/>
      <c r="SWZ18" s="159"/>
      <c r="SXA18" s="159"/>
      <c r="SXB18" s="159"/>
      <c r="SXC18" s="159"/>
      <c r="SXD18" s="159"/>
      <c r="SXE18" s="159"/>
      <c r="SXF18" s="159"/>
      <c r="SXG18" s="159"/>
      <c r="SXH18" s="159"/>
      <c r="SXI18" s="159"/>
      <c r="SXJ18" s="159"/>
      <c r="SXK18" s="159"/>
      <c r="SXL18" s="159"/>
      <c r="SXM18" s="159"/>
      <c r="SXN18" s="159"/>
      <c r="SXO18" s="159"/>
      <c r="SXP18" s="159"/>
      <c r="SXQ18" s="159"/>
      <c r="SXR18" s="159"/>
      <c r="SXS18" s="159"/>
      <c r="SXT18" s="159"/>
      <c r="SXU18" s="159"/>
      <c r="SXV18" s="159"/>
      <c r="SXW18" s="159"/>
      <c r="SXX18" s="159"/>
      <c r="SXY18" s="159"/>
      <c r="SXZ18" s="159"/>
      <c r="SYA18" s="159"/>
      <c r="SYB18" s="159"/>
      <c r="SYC18" s="159"/>
      <c r="SYD18" s="159"/>
      <c r="SYE18" s="159"/>
      <c r="SYF18" s="159"/>
      <c r="SYG18" s="159"/>
      <c r="SYH18" s="159"/>
      <c r="SYI18" s="159"/>
      <c r="SYJ18" s="159"/>
      <c r="SYK18" s="159"/>
      <c r="SYL18" s="159"/>
      <c r="SYM18" s="159"/>
      <c r="SYN18" s="159"/>
      <c r="SYO18" s="159"/>
      <c r="SYP18" s="159"/>
      <c r="SYQ18" s="159"/>
      <c r="SYR18" s="159"/>
      <c r="SYS18" s="159"/>
      <c r="SYT18" s="159"/>
      <c r="SYU18" s="159"/>
      <c r="SYV18" s="159"/>
      <c r="SYW18" s="159"/>
      <c r="SYX18" s="159"/>
      <c r="SYY18" s="159"/>
      <c r="SYZ18" s="159"/>
      <c r="SZA18" s="159"/>
      <c r="SZB18" s="159"/>
      <c r="SZC18" s="159"/>
      <c r="SZD18" s="159"/>
      <c r="SZE18" s="159"/>
      <c r="SZF18" s="159"/>
      <c r="SZG18" s="159"/>
      <c r="SZH18" s="159"/>
      <c r="SZI18" s="159"/>
      <c r="SZJ18" s="159"/>
      <c r="SZK18" s="159"/>
      <c r="SZL18" s="159"/>
      <c r="SZM18" s="159"/>
      <c r="SZN18" s="159"/>
      <c r="SZO18" s="159"/>
      <c r="SZP18" s="159"/>
      <c r="SZQ18" s="159"/>
      <c r="SZR18" s="159"/>
      <c r="SZS18" s="159"/>
      <c r="SZT18" s="159"/>
      <c r="SZU18" s="159"/>
      <c r="SZV18" s="159"/>
      <c r="SZW18" s="159"/>
      <c r="SZX18" s="159"/>
      <c r="SZY18" s="159"/>
      <c r="SZZ18" s="159"/>
      <c r="TAA18" s="159"/>
      <c r="TAB18" s="159"/>
      <c r="TAC18" s="159"/>
      <c r="TAD18" s="159"/>
      <c r="TAE18" s="159"/>
      <c r="TAF18" s="159"/>
      <c r="TAG18" s="159"/>
      <c r="TAH18" s="159"/>
      <c r="TAI18" s="159"/>
      <c r="TAJ18" s="159"/>
      <c r="TAK18" s="159"/>
      <c r="TAL18" s="159"/>
      <c r="TAM18" s="159"/>
      <c r="TAN18" s="159"/>
      <c r="TAO18" s="159"/>
      <c r="TAP18" s="159"/>
      <c r="TAQ18" s="159"/>
      <c r="TAR18" s="159"/>
      <c r="TAS18" s="159"/>
      <c r="TAT18" s="159"/>
      <c r="TAU18" s="159"/>
      <c r="TAV18" s="159"/>
      <c r="TAW18" s="159"/>
      <c r="TAX18" s="159"/>
      <c r="TAY18" s="159"/>
      <c r="TAZ18" s="159"/>
      <c r="TBA18" s="159"/>
      <c r="TBB18" s="159"/>
      <c r="TBC18" s="159"/>
      <c r="TBD18" s="159"/>
      <c r="TBE18" s="159"/>
      <c r="TBF18" s="159"/>
      <c r="TBG18" s="159"/>
      <c r="TBH18" s="159"/>
      <c r="TBI18" s="159"/>
      <c r="TBJ18" s="159"/>
      <c r="TBK18" s="159"/>
      <c r="TBL18" s="159"/>
      <c r="TBM18" s="159"/>
      <c r="TBN18" s="159"/>
      <c r="TBO18" s="159"/>
      <c r="TBP18" s="159"/>
      <c r="TBQ18" s="159"/>
      <c r="TBR18" s="159"/>
      <c r="TBS18" s="159"/>
      <c r="TBT18" s="159"/>
      <c r="TBU18" s="159"/>
      <c r="TBV18" s="159"/>
      <c r="TBW18" s="159"/>
      <c r="TBX18" s="159"/>
      <c r="TBY18" s="159"/>
      <c r="TBZ18" s="159"/>
      <c r="TCA18" s="159"/>
      <c r="TCB18" s="159"/>
      <c r="TCC18" s="159"/>
      <c r="TCD18" s="159"/>
      <c r="TCE18" s="159"/>
      <c r="TCF18" s="159"/>
      <c r="TCG18" s="159"/>
      <c r="TCH18" s="159"/>
      <c r="TCI18" s="159"/>
      <c r="TCJ18" s="159"/>
      <c r="TCK18" s="159"/>
      <c r="TCL18" s="159"/>
      <c r="TCM18" s="159"/>
      <c r="TCN18" s="159"/>
      <c r="TCO18" s="159"/>
      <c r="TCP18" s="159"/>
      <c r="TCQ18" s="159"/>
      <c r="TCR18" s="159"/>
      <c r="TCS18" s="159"/>
      <c r="TCT18" s="159"/>
      <c r="TCU18" s="159"/>
      <c r="TCV18" s="159"/>
      <c r="TCW18" s="159"/>
      <c r="TCX18" s="159"/>
      <c r="TCY18" s="159"/>
      <c r="TCZ18" s="159"/>
      <c r="TDA18" s="159"/>
      <c r="TDB18" s="159"/>
      <c r="TDC18" s="159"/>
      <c r="TDD18" s="159"/>
      <c r="TDE18" s="159"/>
      <c r="TDF18" s="159"/>
      <c r="TDG18" s="159"/>
      <c r="TDH18" s="159"/>
      <c r="TDI18" s="159"/>
      <c r="TDJ18" s="159"/>
      <c r="TDK18" s="159"/>
      <c r="TDL18" s="159"/>
      <c r="TDM18" s="159"/>
      <c r="TDN18" s="159"/>
      <c r="TDO18" s="159"/>
      <c r="TDP18" s="159"/>
      <c r="TDQ18" s="159"/>
      <c r="TDR18" s="159"/>
      <c r="TDS18" s="159"/>
      <c r="TDT18" s="159"/>
      <c r="TDU18" s="159"/>
      <c r="TDV18" s="159"/>
      <c r="TDW18" s="159"/>
      <c r="TDX18" s="159"/>
      <c r="TDY18" s="159"/>
      <c r="TDZ18" s="159"/>
      <c r="TEA18" s="159"/>
      <c r="TEB18" s="159"/>
      <c r="TEC18" s="159"/>
      <c r="TED18" s="159"/>
      <c r="TEE18" s="159"/>
      <c r="TEF18" s="159"/>
      <c r="TEG18" s="159"/>
      <c r="TEH18" s="159"/>
      <c r="TEI18" s="159"/>
      <c r="TEJ18" s="159"/>
      <c r="TEK18" s="159"/>
      <c r="TEL18" s="159"/>
      <c r="TEM18" s="159"/>
      <c r="TEN18" s="159"/>
      <c r="TEO18" s="159"/>
      <c r="TEP18" s="159"/>
      <c r="TEQ18" s="159"/>
      <c r="TER18" s="159"/>
      <c r="TES18" s="159"/>
      <c r="TET18" s="159"/>
      <c r="TEU18" s="159"/>
      <c r="TEV18" s="159"/>
      <c r="TEW18" s="159"/>
      <c r="TEX18" s="159"/>
      <c r="TEY18" s="159"/>
      <c r="TEZ18" s="159"/>
      <c r="TFA18" s="159"/>
      <c r="TFB18" s="159"/>
      <c r="TFC18" s="159"/>
      <c r="TFD18" s="159"/>
      <c r="TFE18" s="159"/>
      <c r="TFF18" s="159"/>
      <c r="TFG18" s="159"/>
      <c r="TFH18" s="159"/>
      <c r="TFI18" s="159"/>
      <c r="TFJ18" s="159"/>
      <c r="TFK18" s="159"/>
      <c r="TFL18" s="159"/>
      <c r="TFM18" s="159"/>
      <c r="TFN18" s="159"/>
      <c r="TFO18" s="159"/>
      <c r="TFP18" s="159"/>
      <c r="TFQ18" s="159"/>
      <c r="TFR18" s="159"/>
      <c r="TFS18" s="159"/>
      <c r="TFT18" s="159"/>
      <c r="TFU18" s="159"/>
      <c r="TFV18" s="159"/>
      <c r="TFW18" s="159"/>
      <c r="TFX18" s="159"/>
      <c r="TFY18" s="159"/>
      <c r="TFZ18" s="159"/>
      <c r="TGA18" s="159"/>
      <c r="TGB18" s="159"/>
      <c r="TGC18" s="159"/>
      <c r="TGD18" s="159"/>
      <c r="TGE18" s="159"/>
      <c r="TGF18" s="159"/>
      <c r="TGG18" s="159"/>
      <c r="TGH18" s="159"/>
      <c r="TGI18" s="159"/>
      <c r="TGJ18" s="159"/>
      <c r="TGK18" s="159"/>
      <c r="TGL18" s="159"/>
      <c r="TGM18" s="159"/>
      <c r="TGN18" s="159"/>
      <c r="TGO18" s="159"/>
      <c r="TGP18" s="159"/>
      <c r="TGQ18" s="159"/>
      <c r="TGR18" s="159"/>
      <c r="TGS18" s="159"/>
      <c r="TGT18" s="159"/>
      <c r="TGU18" s="159"/>
      <c r="TGV18" s="159"/>
      <c r="TGW18" s="159"/>
      <c r="TGX18" s="159"/>
      <c r="TGY18" s="159"/>
      <c r="TGZ18" s="159"/>
      <c r="THA18" s="159"/>
      <c r="THB18" s="159"/>
      <c r="THC18" s="159"/>
      <c r="THD18" s="159"/>
      <c r="THE18" s="159"/>
      <c r="THF18" s="159"/>
      <c r="THG18" s="159"/>
      <c r="THH18" s="159"/>
      <c r="THI18" s="159"/>
      <c r="THJ18" s="159"/>
      <c r="THK18" s="159"/>
      <c r="THL18" s="159"/>
      <c r="THM18" s="159"/>
      <c r="THN18" s="159"/>
      <c r="THO18" s="159"/>
      <c r="THP18" s="159"/>
      <c r="THQ18" s="159"/>
      <c r="THR18" s="159"/>
      <c r="THS18" s="159"/>
      <c r="THT18" s="159"/>
      <c r="THU18" s="159"/>
      <c r="THV18" s="159"/>
      <c r="THW18" s="159"/>
      <c r="THX18" s="159"/>
      <c r="THY18" s="159"/>
      <c r="THZ18" s="159"/>
      <c r="TIA18" s="159"/>
      <c r="TIB18" s="159"/>
      <c r="TIC18" s="159"/>
      <c r="TID18" s="159"/>
      <c r="TIE18" s="159"/>
      <c r="TIF18" s="159"/>
      <c r="TIG18" s="159"/>
      <c r="TIH18" s="159"/>
      <c r="TII18" s="159"/>
      <c r="TIJ18" s="159"/>
      <c r="TIK18" s="159"/>
      <c r="TIL18" s="159"/>
      <c r="TIM18" s="159"/>
      <c r="TIN18" s="159"/>
      <c r="TIO18" s="159"/>
      <c r="TIP18" s="159"/>
      <c r="TIQ18" s="159"/>
      <c r="TIR18" s="159"/>
      <c r="TIS18" s="159"/>
      <c r="TIT18" s="159"/>
      <c r="TIU18" s="159"/>
      <c r="TIV18" s="159"/>
      <c r="TIW18" s="159"/>
      <c r="TIX18" s="159"/>
      <c r="TIY18" s="159"/>
      <c r="TIZ18" s="159"/>
      <c r="TJA18" s="159"/>
      <c r="TJB18" s="159"/>
      <c r="TJC18" s="159"/>
      <c r="TJD18" s="159"/>
      <c r="TJE18" s="159"/>
      <c r="TJF18" s="159"/>
      <c r="TJG18" s="159"/>
      <c r="TJH18" s="159"/>
      <c r="TJI18" s="159"/>
      <c r="TJJ18" s="159"/>
      <c r="TJK18" s="159"/>
      <c r="TJL18" s="159"/>
      <c r="TJM18" s="159"/>
      <c r="TJN18" s="159"/>
      <c r="TJO18" s="159"/>
      <c r="TJP18" s="159"/>
      <c r="TJQ18" s="159"/>
      <c r="TJR18" s="159"/>
      <c r="TJS18" s="159"/>
      <c r="TJT18" s="159"/>
      <c r="TJU18" s="159"/>
      <c r="TJV18" s="159"/>
      <c r="TJW18" s="159"/>
      <c r="TJX18" s="159"/>
      <c r="TJY18" s="159"/>
      <c r="TJZ18" s="159"/>
      <c r="TKA18" s="159"/>
      <c r="TKB18" s="159"/>
      <c r="TKC18" s="159"/>
      <c r="TKD18" s="159"/>
      <c r="TKE18" s="159"/>
      <c r="TKF18" s="159"/>
      <c r="TKG18" s="159"/>
      <c r="TKH18" s="159"/>
      <c r="TKI18" s="159"/>
      <c r="TKJ18" s="159"/>
      <c r="TKK18" s="159"/>
      <c r="TKL18" s="159"/>
      <c r="TKM18" s="159"/>
      <c r="TKN18" s="159"/>
      <c r="TKO18" s="159"/>
      <c r="TKP18" s="159"/>
      <c r="TKQ18" s="159"/>
      <c r="TKR18" s="159"/>
      <c r="TKS18" s="159"/>
      <c r="TKT18" s="159"/>
      <c r="TKU18" s="159"/>
      <c r="TKV18" s="159"/>
      <c r="TKW18" s="159"/>
      <c r="TKX18" s="159"/>
      <c r="TKY18" s="159"/>
      <c r="TKZ18" s="159"/>
      <c r="TLA18" s="159"/>
      <c r="TLB18" s="159"/>
      <c r="TLC18" s="159"/>
      <c r="TLD18" s="159"/>
      <c r="TLE18" s="159"/>
      <c r="TLF18" s="159"/>
      <c r="TLG18" s="159"/>
      <c r="TLH18" s="159"/>
      <c r="TLI18" s="159"/>
      <c r="TLJ18" s="159"/>
      <c r="TLK18" s="159"/>
      <c r="TLL18" s="159"/>
      <c r="TLM18" s="159"/>
      <c r="TLN18" s="159"/>
      <c r="TLO18" s="159"/>
      <c r="TLP18" s="159"/>
      <c r="TLQ18" s="159"/>
      <c r="TLR18" s="159"/>
      <c r="TLS18" s="159"/>
      <c r="TLT18" s="159"/>
      <c r="TLU18" s="159"/>
      <c r="TLV18" s="159"/>
      <c r="TLW18" s="159"/>
      <c r="TLX18" s="159"/>
      <c r="TLY18" s="159"/>
      <c r="TLZ18" s="159"/>
      <c r="TMA18" s="159"/>
      <c r="TMB18" s="159"/>
      <c r="TMC18" s="159"/>
      <c r="TMD18" s="159"/>
      <c r="TME18" s="159"/>
      <c r="TMF18" s="159"/>
      <c r="TMG18" s="159"/>
      <c r="TMH18" s="159"/>
      <c r="TMI18" s="159"/>
      <c r="TMJ18" s="159"/>
      <c r="TMK18" s="159"/>
      <c r="TML18" s="159"/>
      <c r="TMM18" s="159"/>
      <c r="TMN18" s="159"/>
      <c r="TMO18" s="159"/>
      <c r="TMP18" s="159"/>
      <c r="TMQ18" s="159"/>
      <c r="TMR18" s="159"/>
      <c r="TMS18" s="159"/>
      <c r="TMT18" s="159"/>
      <c r="TMU18" s="159"/>
      <c r="TMV18" s="159"/>
      <c r="TMW18" s="159"/>
      <c r="TMX18" s="159"/>
      <c r="TMY18" s="159"/>
      <c r="TMZ18" s="159"/>
      <c r="TNA18" s="159"/>
      <c r="TNB18" s="159"/>
      <c r="TNC18" s="159"/>
      <c r="TND18" s="159"/>
      <c r="TNE18" s="159"/>
      <c r="TNF18" s="159"/>
      <c r="TNG18" s="159"/>
      <c r="TNH18" s="159"/>
      <c r="TNI18" s="159"/>
      <c r="TNJ18" s="159"/>
      <c r="TNK18" s="159"/>
      <c r="TNL18" s="159"/>
      <c r="TNM18" s="159"/>
      <c r="TNN18" s="159"/>
      <c r="TNO18" s="159"/>
      <c r="TNP18" s="159"/>
      <c r="TNQ18" s="159"/>
      <c r="TNR18" s="159"/>
      <c r="TNS18" s="159"/>
      <c r="TNT18" s="159"/>
      <c r="TNU18" s="159"/>
      <c r="TNV18" s="159"/>
      <c r="TNW18" s="159"/>
      <c r="TNX18" s="159"/>
      <c r="TNY18" s="159"/>
      <c r="TNZ18" s="159"/>
      <c r="TOA18" s="159"/>
      <c r="TOB18" s="159"/>
      <c r="TOC18" s="159"/>
      <c r="TOD18" s="159"/>
      <c r="TOE18" s="159"/>
      <c r="TOF18" s="159"/>
      <c r="TOG18" s="159"/>
      <c r="TOH18" s="159"/>
      <c r="TOI18" s="159"/>
      <c r="TOJ18" s="159"/>
      <c r="TOK18" s="159"/>
      <c r="TOL18" s="159"/>
      <c r="TOM18" s="159"/>
      <c r="TON18" s="159"/>
      <c r="TOO18" s="159"/>
      <c r="TOP18" s="159"/>
      <c r="TOQ18" s="159"/>
      <c r="TOR18" s="159"/>
      <c r="TOS18" s="159"/>
      <c r="TOT18" s="159"/>
      <c r="TOU18" s="159"/>
      <c r="TOV18" s="159"/>
      <c r="TOW18" s="159"/>
      <c r="TOX18" s="159"/>
      <c r="TOY18" s="159"/>
      <c r="TOZ18" s="159"/>
      <c r="TPA18" s="159"/>
      <c r="TPB18" s="159"/>
      <c r="TPC18" s="159"/>
      <c r="TPD18" s="159"/>
      <c r="TPE18" s="159"/>
      <c r="TPF18" s="159"/>
      <c r="TPG18" s="159"/>
      <c r="TPH18" s="159"/>
      <c r="TPI18" s="159"/>
      <c r="TPJ18" s="159"/>
      <c r="TPK18" s="159"/>
      <c r="TPL18" s="159"/>
      <c r="TPM18" s="159"/>
      <c r="TPN18" s="159"/>
      <c r="TPO18" s="159"/>
      <c r="TPP18" s="159"/>
      <c r="TPQ18" s="159"/>
      <c r="TPR18" s="159"/>
      <c r="TPS18" s="159"/>
      <c r="TPT18" s="159"/>
      <c r="TPU18" s="159"/>
      <c r="TPV18" s="159"/>
      <c r="TPW18" s="159"/>
      <c r="TPX18" s="159"/>
      <c r="TPY18" s="159"/>
      <c r="TPZ18" s="159"/>
      <c r="TQA18" s="159"/>
      <c r="TQB18" s="159"/>
      <c r="TQC18" s="159"/>
      <c r="TQD18" s="159"/>
      <c r="TQE18" s="159"/>
      <c r="TQF18" s="159"/>
      <c r="TQG18" s="159"/>
      <c r="TQH18" s="159"/>
      <c r="TQI18" s="159"/>
      <c r="TQJ18" s="159"/>
      <c r="TQK18" s="159"/>
      <c r="TQL18" s="159"/>
      <c r="TQM18" s="159"/>
      <c r="TQN18" s="159"/>
      <c r="TQO18" s="159"/>
      <c r="TQP18" s="159"/>
      <c r="TQQ18" s="159"/>
      <c r="TQR18" s="159"/>
      <c r="TQS18" s="159"/>
      <c r="TQT18" s="159"/>
      <c r="TQU18" s="159"/>
      <c r="TQV18" s="159"/>
      <c r="TQW18" s="159"/>
      <c r="TQX18" s="159"/>
      <c r="TQY18" s="159"/>
      <c r="TQZ18" s="159"/>
      <c r="TRA18" s="159"/>
      <c r="TRB18" s="159"/>
      <c r="TRC18" s="159"/>
      <c r="TRD18" s="159"/>
      <c r="TRE18" s="159"/>
      <c r="TRF18" s="159"/>
      <c r="TRG18" s="159"/>
      <c r="TRH18" s="159"/>
      <c r="TRI18" s="159"/>
      <c r="TRJ18" s="159"/>
      <c r="TRK18" s="159"/>
      <c r="TRL18" s="159"/>
      <c r="TRM18" s="159"/>
      <c r="TRN18" s="159"/>
      <c r="TRO18" s="159"/>
      <c r="TRP18" s="159"/>
      <c r="TRQ18" s="159"/>
      <c r="TRR18" s="159"/>
      <c r="TRS18" s="159"/>
      <c r="TRT18" s="159"/>
      <c r="TRU18" s="159"/>
      <c r="TRV18" s="159"/>
      <c r="TRW18" s="159"/>
      <c r="TRX18" s="159"/>
      <c r="TRY18" s="159"/>
      <c r="TRZ18" s="159"/>
      <c r="TSA18" s="159"/>
      <c r="TSB18" s="159"/>
      <c r="TSC18" s="159"/>
      <c r="TSD18" s="159"/>
      <c r="TSE18" s="159"/>
      <c r="TSF18" s="159"/>
      <c r="TSG18" s="159"/>
      <c r="TSH18" s="159"/>
      <c r="TSI18" s="159"/>
      <c r="TSJ18" s="159"/>
      <c r="TSK18" s="159"/>
      <c r="TSL18" s="159"/>
      <c r="TSM18" s="159"/>
      <c r="TSN18" s="159"/>
      <c r="TSO18" s="159"/>
      <c r="TSP18" s="159"/>
      <c r="TSQ18" s="159"/>
      <c r="TSR18" s="159"/>
      <c r="TSS18" s="159"/>
      <c r="TST18" s="159"/>
      <c r="TSU18" s="159"/>
      <c r="TSV18" s="159"/>
      <c r="TSW18" s="159"/>
      <c r="TSX18" s="159"/>
      <c r="TSY18" s="159"/>
      <c r="TSZ18" s="159"/>
      <c r="TTA18" s="159"/>
      <c r="TTB18" s="159"/>
      <c r="TTC18" s="159"/>
      <c r="TTD18" s="159"/>
      <c r="TTE18" s="159"/>
      <c r="TTF18" s="159"/>
      <c r="TTG18" s="159"/>
      <c r="TTH18" s="159"/>
      <c r="TTI18" s="159"/>
      <c r="TTJ18" s="159"/>
      <c r="TTK18" s="159"/>
      <c r="TTL18" s="159"/>
      <c r="TTM18" s="159"/>
      <c r="TTN18" s="159"/>
      <c r="TTO18" s="159"/>
      <c r="TTP18" s="159"/>
      <c r="TTQ18" s="159"/>
      <c r="TTR18" s="159"/>
      <c r="TTS18" s="159"/>
      <c r="TTT18" s="159"/>
      <c r="TTU18" s="159"/>
      <c r="TTV18" s="159"/>
      <c r="TTW18" s="159"/>
      <c r="TTX18" s="159"/>
      <c r="TTY18" s="159"/>
      <c r="TTZ18" s="159"/>
      <c r="TUA18" s="159"/>
      <c r="TUB18" s="159"/>
      <c r="TUC18" s="159"/>
      <c r="TUD18" s="159"/>
      <c r="TUE18" s="159"/>
      <c r="TUF18" s="159"/>
      <c r="TUG18" s="159"/>
      <c r="TUH18" s="159"/>
      <c r="TUI18" s="159"/>
      <c r="TUJ18" s="159"/>
      <c r="TUK18" s="159"/>
      <c r="TUL18" s="159"/>
      <c r="TUM18" s="159"/>
      <c r="TUN18" s="159"/>
      <c r="TUO18" s="159"/>
      <c r="TUP18" s="159"/>
      <c r="TUQ18" s="159"/>
      <c r="TUR18" s="159"/>
      <c r="TUS18" s="159"/>
      <c r="TUT18" s="159"/>
      <c r="TUU18" s="159"/>
      <c r="TUV18" s="159"/>
      <c r="TUW18" s="159"/>
      <c r="TUX18" s="159"/>
      <c r="TUY18" s="159"/>
      <c r="TUZ18" s="159"/>
      <c r="TVA18" s="159"/>
      <c r="TVB18" s="159"/>
      <c r="TVC18" s="159"/>
      <c r="TVD18" s="159"/>
      <c r="TVE18" s="159"/>
      <c r="TVF18" s="159"/>
      <c r="TVG18" s="159"/>
      <c r="TVH18" s="159"/>
      <c r="TVI18" s="159"/>
      <c r="TVJ18" s="159"/>
      <c r="TVK18" s="159"/>
      <c r="TVL18" s="159"/>
      <c r="TVM18" s="159"/>
      <c r="TVN18" s="159"/>
      <c r="TVO18" s="159"/>
      <c r="TVP18" s="159"/>
      <c r="TVQ18" s="159"/>
      <c r="TVR18" s="159"/>
      <c r="TVS18" s="159"/>
      <c r="TVT18" s="159"/>
      <c r="TVU18" s="159"/>
      <c r="TVV18" s="159"/>
      <c r="TVW18" s="159"/>
      <c r="TVX18" s="159"/>
      <c r="TVY18" s="159"/>
      <c r="TVZ18" s="159"/>
      <c r="TWA18" s="159"/>
      <c r="TWB18" s="159"/>
      <c r="TWC18" s="159"/>
      <c r="TWD18" s="159"/>
      <c r="TWE18" s="159"/>
      <c r="TWF18" s="159"/>
      <c r="TWG18" s="159"/>
      <c r="TWH18" s="159"/>
      <c r="TWI18" s="159"/>
      <c r="TWJ18" s="159"/>
      <c r="TWK18" s="159"/>
      <c r="TWL18" s="159"/>
      <c r="TWM18" s="159"/>
      <c r="TWN18" s="159"/>
      <c r="TWO18" s="159"/>
      <c r="TWP18" s="159"/>
      <c r="TWQ18" s="159"/>
      <c r="TWR18" s="159"/>
      <c r="TWS18" s="159"/>
      <c r="TWT18" s="159"/>
      <c r="TWU18" s="159"/>
      <c r="TWV18" s="159"/>
      <c r="TWW18" s="159"/>
      <c r="TWX18" s="159"/>
      <c r="TWY18" s="159"/>
      <c r="TWZ18" s="159"/>
      <c r="TXA18" s="159"/>
      <c r="TXB18" s="159"/>
      <c r="TXC18" s="159"/>
      <c r="TXD18" s="159"/>
      <c r="TXE18" s="159"/>
      <c r="TXF18" s="159"/>
      <c r="TXG18" s="159"/>
      <c r="TXH18" s="159"/>
      <c r="TXI18" s="159"/>
      <c r="TXJ18" s="159"/>
      <c r="TXK18" s="159"/>
      <c r="TXL18" s="159"/>
      <c r="TXM18" s="159"/>
      <c r="TXN18" s="159"/>
      <c r="TXO18" s="159"/>
      <c r="TXP18" s="159"/>
      <c r="TXQ18" s="159"/>
      <c r="TXR18" s="159"/>
      <c r="TXS18" s="159"/>
      <c r="TXT18" s="159"/>
      <c r="TXU18" s="159"/>
      <c r="TXV18" s="159"/>
      <c r="TXW18" s="159"/>
      <c r="TXX18" s="159"/>
      <c r="TXY18" s="159"/>
      <c r="TXZ18" s="159"/>
      <c r="TYA18" s="159"/>
      <c r="TYB18" s="159"/>
      <c r="TYC18" s="159"/>
      <c r="TYD18" s="159"/>
      <c r="TYE18" s="159"/>
      <c r="TYF18" s="159"/>
      <c r="TYG18" s="159"/>
      <c r="TYH18" s="159"/>
      <c r="TYI18" s="159"/>
      <c r="TYJ18" s="159"/>
      <c r="TYK18" s="159"/>
      <c r="TYL18" s="159"/>
      <c r="TYM18" s="159"/>
      <c r="TYN18" s="159"/>
      <c r="TYO18" s="159"/>
      <c r="TYP18" s="159"/>
      <c r="TYQ18" s="159"/>
      <c r="TYR18" s="159"/>
      <c r="TYS18" s="159"/>
      <c r="TYT18" s="159"/>
      <c r="TYU18" s="159"/>
      <c r="TYV18" s="159"/>
      <c r="TYW18" s="159"/>
      <c r="TYX18" s="159"/>
      <c r="TYY18" s="159"/>
      <c r="TYZ18" s="159"/>
      <c r="TZA18" s="159"/>
      <c r="TZB18" s="159"/>
      <c r="TZC18" s="159"/>
      <c r="TZD18" s="159"/>
      <c r="TZE18" s="159"/>
      <c r="TZF18" s="159"/>
      <c r="TZG18" s="159"/>
      <c r="TZH18" s="159"/>
      <c r="TZI18" s="159"/>
      <c r="TZJ18" s="159"/>
      <c r="TZK18" s="159"/>
      <c r="TZL18" s="159"/>
      <c r="TZM18" s="159"/>
      <c r="TZN18" s="159"/>
      <c r="TZO18" s="159"/>
      <c r="TZP18" s="159"/>
      <c r="TZQ18" s="159"/>
      <c r="TZR18" s="159"/>
      <c r="TZS18" s="159"/>
      <c r="TZT18" s="159"/>
      <c r="TZU18" s="159"/>
      <c r="TZV18" s="159"/>
      <c r="TZW18" s="159"/>
      <c r="TZX18" s="159"/>
      <c r="TZY18" s="159"/>
      <c r="TZZ18" s="159"/>
      <c r="UAA18" s="159"/>
      <c r="UAB18" s="159"/>
      <c r="UAC18" s="159"/>
      <c r="UAD18" s="159"/>
      <c r="UAE18" s="159"/>
      <c r="UAF18" s="159"/>
      <c r="UAG18" s="159"/>
      <c r="UAH18" s="159"/>
      <c r="UAI18" s="159"/>
      <c r="UAJ18" s="159"/>
      <c r="UAK18" s="159"/>
      <c r="UAL18" s="159"/>
      <c r="UAM18" s="159"/>
      <c r="UAN18" s="159"/>
      <c r="UAO18" s="159"/>
      <c r="UAP18" s="159"/>
      <c r="UAQ18" s="159"/>
      <c r="UAR18" s="159"/>
      <c r="UAS18" s="159"/>
      <c r="UAT18" s="159"/>
      <c r="UAU18" s="159"/>
      <c r="UAV18" s="159"/>
      <c r="UAW18" s="159"/>
      <c r="UAX18" s="159"/>
      <c r="UAY18" s="159"/>
      <c r="UAZ18" s="159"/>
      <c r="UBA18" s="159"/>
      <c r="UBB18" s="159"/>
      <c r="UBC18" s="159"/>
      <c r="UBD18" s="159"/>
      <c r="UBE18" s="159"/>
      <c r="UBF18" s="159"/>
      <c r="UBG18" s="159"/>
      <c r="UBH18" s="159"/>
      <c r="UBI18" s="159"/>
      <c r="UBJ18" s="159"/>
      <c r="UBK18" s="159"/>
      <c r="UBL18" s="159"/>
      <c r="UBM18" s="159"/>
      <c r="UBN18" s="159"/>
      <c r="UBO18" s="159"/>
      <c r="UBP18" s="159"/>
      <c r="UBQ18" s="159"/>
      <c r="UBR18" s="159"/>
      <c r="UBS18" s="159"/>
      <c r="UBT18" s="159"/>
      <c r="UBU18" s="159"/>
      <c r="UBV18" s="159"/>
      <c r="UBW18" s="159"/>
      <c r="UBX18" s="159"/>
      <c r="UBY18" s="159"/>
      <c r="UBZ18" s="159"/>
      <c r="UCA18" s="159"/>
      <c r="UCB18" s="159"/>
      <c r="UCC18" s="159"/>
      <c r="UCD18" s="159"/>
      <c r="UCE18" s="159"/>
      <c r="UCF18" s="159"/>
      <c r="UCG18" s="159"/>
      <c r="UCH18" s="159"/>
      <c r="UCI18" s="159"/>
      <c r="UCJ18" s="159"/>
      <c r="UCK18" s="159"/>
      <c r="UCL18" s="159"/>
      <c r="UCM18" s="159"/>
      <c r="UCN18" s="159"/>
      <c r="UCO18" s="159"/>
      <c r="UCP18" s="159"/>
      <c r="UCQ18" s="159"/>
      <c r="UCR18" s="159"/>
      <c r="UCS18" s="159"/>
      <c r="UCT18" s="159"/>
      <c r="UCU18" s="159"/>
      <c r="UCV18" s="159"/>
      <c r="UCW18" s="159"/>
      <c r="UCX18" s="159"/>
      <c r="UCY18" s="159"/>
      <c r="UCZ18" s="159"/>
      <c r="UDA18" s="159"/>
      <c r="UDB18" s="159"/>
      <c r="UDC18" s="159"/>
      <c r="UDD18" s="159"/>
      <c r="UDE18" s="159"/>
      <c r="UDF18" s="159"/>
      <c r="UDG18" s="159"/>
      <c r="UDH18" s="159"/>
      <c r="UDI18" s="159"/>
      <c r="UDJ18" s="159"/>
      <c r="UDK18" s="159"/>
      <c r="UDL18" s="159"/>
      <c r="UDM18" s="159"/>
      <c r="UDN18" s="159"/>
      <c r="UDO18" s="159"/>
      <c r="UDP18" s="159"/>
      <c r="UDQ18" s="159"/>
      <c r="UDR18" s="159"/>
      <c r="UDS18" s="159"/>
      <c r="UDT18" s="159"/>
      <c r="UDU18" s="159"/>
      <c r="UDV18" s="159"/>
      <c r="UDW18" s="159"/>
      <c r="UDX18" s="159"/>
      <c r="UDY18" s="159"/>
      <c r="UDZ18" s="159"/>
      <c r="UEA18" s="159"/>
      <c r="UEB18" s="159"/>
      <c r="UEC18" s="159"/>
      <c r="UED18" s="159"/>
      <c r="UEE18" s="159"/>
      <c r="UEF18" s="159"/>
      <c r="UEG18" s="159"/>
      <c r="UEH18" s="159"/>
      <c r="UEI18" s="159"/>
      <c r="UEJ18" s="159"/>
      <c r="UEK18" s="159"/>
      <c r="UEL18" s="159"/>
      <c r="UEM18" s="159"/>
      <c r="UEN18" s="159"/>
      <c r="UEO18" s="159"/>
      <c r="UEP18" s="159"/>
      <c r="UEQ18" s="159"/>
      <c r="UER18" s="159"/>
      <c r="UES18" s="159"/>
      <c r="UET18" s="159"/>
      <c r="UEU18" s="159"/>
      <c r="UEV18" s="159"/>
      <c r="UEW18" s="159"/>
      <c r="UEX18" s="159"/>
      <c r="UEY18" s="159"/>
      <c r="UEZ18" s="159"/>
      <c r="UFA18" s="159"/>
      <c r="UFB18" s="159"/>
      <c r="UFC18" s="159"/>
      <c r="UFD18" s="159"/>
      <c r="UFE18" s="159"/>
      <c r="UFF18" s="159"/>
      <c r="UFG18" s="159"/>
      <c r="UFH18" s="159"/>
      <c r="UFI18" s="159"/>
      <c r="UFJ18" s="159"/>
      <c r="UFK18" s="159"/>
      <c r="UFL18" s="159"/>
      <c r="UFM18" s="159"/>
      <c r="UFN18" s="159"/>
      <c r="UFO18" s="159"/>
      <c r="UFP18" s="159"/>
      <c r="UFQ18" s="159"/>
      <c r="UFR18" s="159"/>
      <c r="UFS18" s="159"/>
      <c r="UFT18" s="159"/>
      <c r="UFU18" s="159"/>
      <c r="UFV18" s="159"/>
      <c r="UFW18" s="159"/>
      <c r="UFX18" s="159"/>
      <c r="UFY18" s="159"/>
      <c r="UFZ18" s="159"/>
      <c r="UGA18" s="159"/>
      <c r="UGB18" s="159"/>
      <c r="UGC18" s="159"/>
      <c r="UGD18" s="159"/>
      <c r="UGE18" s="159"/>
      <c r="UGF18" s="159"/>
      <c r="UGG18" s="159"/>
      <c r="UGH18" s="159"/>
      <c r="UGI18" s="159"/>
      <c r="UGJ18" s="159"/>
      <c r="UGK18" s="159"/>
      <c r="UGL18" s="159"/>
      <c r="UGM18" s="159"/>
      <c r="UGN18" s="159"/>
      <c r="UGO18" s="159"/>
      <c r="UGP18" s="159"/>
      <c r="UGQ18" s="159"/>
      <c r="UGR18" s="159"/>
      <c r="UGS18" s="159"/>
      <c r="UGT18" s="159"/>
      <c r="UGU18" s="159"/>
      <c r="UGV18" s="159"/>
      <c r="UGW18" s="159"/>
      <c r="UGX18" s="159"/>
      <c r="UGY18" s="159"/>
      <c r="UGZ18" s="159"/>
      <c r="UHA18" s="159"/>
      <c r="UHB18" s="159"/>
      <c r="UHC18" s="159"/>
      <c r="UHD18" s="159"/>
      <c r="UHE18" s="159"/>
      <c r="UHF18" s="159"/>
      <c r="UHG18" s="159"/>
      <c r="UHH18" s="159"/>
      <c r="UHI18" s="159"/>
      <c r="UHJ18" s="159"/>
      <c r="UHK18" s="159"/>
      <c r="UHL18" s="159"/>
      <c r="UHM18" s="159"/>
      <c r="UHN18" s="159"/>
      <c r="UHO18" s="159"/>
      <c r="UHP18" s="159"/>
      <c r="UHQ18" s="159"/>
      <c r="UHR18" s="159"/>
      <c r="UHS18" s="159"/>
      <c r="UHT18" s="159"/>
      <c r="UHU18" s="159"/>
      <c r="UHV18" s="159"/>
      <c r="UHW18" s="159"/>
      <c r="UHX18" s="159"/>
      <c r="UHY18" s="159"/>
      <c r="UHZ18" s="159"/>
      <c r="UIA18" s="159"/>
      <c r="UIB18" s="159"/>
      <c r="UIC18" s="159"/>
      <c r="UID18" s="159"/>
      <c r="UIE18" s="159"/>
      <c r="UIF18" s="159"/>
      <c r="UIG18" s="159"/>
      <c r="UIH18" s="159"/>
      <c r="UII18" s="159"/>
      <c r="UIJ18" s="159"/>
      <c r="UIK18" s="159"/>
      <c r="UIL18" s="159"/>
      <c r="UIM18" s="159"/>
      <c r="UIN18" s="159"/>
      <c r="UIO18" s="159"/>
      <c r="UIP18" s="159"/>
      <c r="UIQ18" s="159"/>
      <c r="UIR18" s="159"/>
      <c r="UIS18" s="159"/>
      <c r="UIT18" s="159"/>
      <c r="UIU18" s="159"/>
      <c r="UIV18" s="159"/>
      <c r="UIW18" s="159"/>
      <c r="UIX18" s="159"/>
      <c r="UIY18" s="159"/>
      <c r="UIZ18" s="159"/>
      <c r="UJA18" s="159"/>
      <c r="UJB18" s="159"/>
      <c r="UJC18" s="159"/>
      <c r="UJD18" s="159"/>
      <c r="UJE18" s="159"/>
      <c r="UJF18" s="159"/>
      <c r="UJG18" s="159"/>
      <c r="UJH18" s="159"/>
      <c r="UJI18" s="159"/>
      <c r="UJJ18" s="159"/>
      <c r="UJK18" s="159"/>
      <c r="UJL18" s="159"/>
      <c r="UJM18" s="159"/>
      <c r="UJN18" s="159"/>
      <c r="UJO18" s="159"/>
      <c r="UJP18" s="159"/>
      <c r="UJQ18" s="159"/>
      <c r="UJR18" s="159"/>
      <c r="UJS18" s="159"/>
      <c r="UJT18" s="159"/>
      <c r="UJU18" s="159"/>
      <c r="UJV18" s="159"/>
      <c r="UJW18" s="159"/>
      <c r="UJX18" s="159"/>
      <c r="UJY18" s="159"/>
      <c r="UJZ18" s="159"/>
      <c r="UKA18" s="159"/>
      <c r="UKB18" s="159"/>
      <c r="UKC18" s="159"/>
      <c r="UKD18" s="159"/>
      <c r="UKE18" s="159"/>
      <c r="UKF18" s="159"/>
      <c r="UKG18" s="159"/>
      <c r="UKH18" s="159"/>
      <c r="UKI18" s="159"/>
      <c r="UKJ18" s="159"/>
      <c r="UKK18" s="159"/>
      <c r="UKL18" s="159"/>
      <c r="UKM18" s="159"/>
      <c r="UKN18" s="159"/>
      <c r="UKO18" s="159"/>
      <c r="UKP18" s="159"/>
      <c r="UKQ18" s="159"/>
      <c r="UKR18" s="159"/>
      <c r="UKS18" s="159"/>
      <c r="UKT18" s="159"/>
      <c r="UKU18" s="159"/>
      <c r="UKV18" s="159"/>
      <c r="UKW18" s="159"/>
      <c r="UKX18" s="159"/>
      <c r="UKY18" s="159"/>
      <c r="UKZ18" s="159"/>
      <c r="ULA18" s="159"/>
      <c r="ULB18" s="159"/>
      <c r="ULC18" s="159"/>
      <c r="ULD18" s="159"/>
      <c r="ULE18" s="159"/>
      <c r="ULF18" s="159"/>
      <c r="ULG18" s="159"/>
      <c r="ULH18" s="159"/>
      <c r="ULI18" s="159"/>
      <c r="ULJ18" s="159"/>
      <c r="ULK18" s="159"/>
      <c r="ULL18" s="159"/>
      <c r="ULM18" s="159"/>
      <c r="ULN18" s="159"/>
      <c r="ULO18" s="159"/>
      <c r="ULP18" s="159"/>
      <c r="ULQ18" s="159"/>
      <c r="ULR18" s="159"/>
      <c r="ULS18" s="159"/>
      <c r="ULT18" s="159"/>
      <c r="ULU18" s="159"/>
      <c r="ULV18" s="159"/>
      <c r="ULW18" s="159"/>
      <c r="ULX18" s="159"/>
      <c r="ULY18" s="159"/>
      <c r="ULZ18" s="159"/>
      <c r="UMA18" s="159"/>
      <c r="UMB18" s="159"/>
      <c r="UMC18" s="159"/>
      <c r="UMD18" s="159"/>
      <c r="UME18" s="159"/>
      <c r="UMF18" s="159"/>
      <c r="UMG18" s="159"/>
      <c r="UMH18" s="159"/>
      <c r="UMI18" s="159"/>
      <c r="UMJ18" s="159"/>
      <c r="UMK18" s="159"/>
      <c r="UML18" s="159"/>
      <c r="UMM18" s="159"/>
      <c r="UMN18" s="159"/>
      <c r="UMO18" s="159"/>
      <c r="UMP18" s="159"/>
      <c r="UMQ18" s="159"/>
      <c r="UMR18" s="159"/>
      <c r="UMS18" s="159"/>
      <c r="UMT18" s="159"/>
      <c r="UMU18" s="159"/>
      <c r="UMV18" s="159"/>
      <c r="UMW18" s="159"/>
      <c r="UMX18" s="159"/>
      <c r="UMY18" s="159"/>
      <c r="UMZ18" s="159"/>
      <c r="UNA18" s="159"/>
      <c r="UNB18" s="159"/>
      <c r="UNC18" s="159"/>
      <c r="UND18" s="159"/>
      <c r="UNE18" s="159"/>
      <c r="UNF18" s="159"/>
      <c r="UNG18" s="159"/>
      <c r="UNH18" s="159"/>
      <c r="UNI18" s="159"/>
      <c r="UNJ18" s="159"/>
      <c r="UNK18" s="159"/>
      <c r="UNL18" s="159"/>
      <c r="UNM18" s="159"/>
      <c r="UNN18" s="159"/>
      <c r="UNO18" s="159"/>
      <c r="UNP18" s="159"/>
      <c r="UNQ18" s="159"/>
      <c r="UNR18" s="159"/>
      <c r="UNS18" s="159"/>
      <c r="UNT18" s="159"/>
      <c r="UNU18" s="159"/>
      <c r="UNV18" s="159"/>
      <c r="UNW18" s="159"/>
      <c r="UNX18" s="159"/>
      <c r="UNY18" s="159"/>
      <c r="UNZ18" s="159"/>
      <c r="UOA18" s="159"/>
      <c r="UOB18" s="159"/>
      <c r="UOC18" s="159"/>
      <c r="UOD18" s="159"/>
      <c r="UOE18" s="159"/>
      <c r="UOF18" s="159"/>
      <c r="UOG18" s="159"/>
      <c r="UOH18" s="159"/>
      <c r="UOI18" s="159"/>
      <c r="UOJ18" s="159"/>
      <c r="UOK18" s="159"/>
      <c r="UOL18" s="159"/>
      <c r="UOM18" s="159"/>
      <c r="UON18" s="159"/>
      <c r="UOO18" s="159"/>
      <c r="UOP18" s="159"/>
      <c r="UOQ18" s="159"/>
      <c r="UOR18" s="159"/>
      <c r="UOS18" s="159"/>
      <c r="UOT18" s="159"/>
      <c r="UOU18" s="159"/>
      <c r="UOV18" s="159"/>
      <c r="UOW18" s="159"/>
      <c r="UOX18" s="159"/>
      <c r="UOY18" s="159"/>
      <c r="UOZ18" s="159"/>
      <c r="UPA18" s="159"/>
      <c r="UPB18" s="159"/>
      <c r="UPC18" s="159"/>
      <c r="UPD18" s="159"/>
      <c r="UPE18" s="159"/>
      <c r="UPF18" s="159"/>
      <c r="UPG18" s="159"/>
      <c r="UPH18" s="159"/>
      <c r="UPI18" s="159"/>
      <c r="UPJ18" s="159"/>
      <c r="UPK18" s="159"/>
      <c r="UPL18" s="159"/>
      <c r="UPM18" s="159"/>
      <c r="UPN18" s="159"/>
      <c r="UPO18" s="159"/>
      <c r="UPP18" s="159"/>
      <c r="UPQ18" s="159"/>
      <c r="UPR18" s="159"/>
      <c r="UPS18" s="159"/>
      <c r="UPT18" s="159"/>
      <c r="UPU18" s="159"/>
      <c r="UPV18" s="159"/>
      <c r="UPW18" s="159"/>
      <c r="UPX18" s="159"/>
      <c r="UPY18" s="159"/>
      <c r="UPZ18" s="159"/>
      <c r="UQA18" s="159"/>
      <c r="UQB18" s="159"/>
      <c r="UQC18" s="159"/>
      <c r="UQD18" s="159"/>
      <c r="UQE18" s="159"/>
      <c r="UQF18" s="159"/>
      <c r="UQG18" s="159"/>
      <c r="UQH18" s="159"/>
      <c r="UQI18" s="159"/>
      <c r="UQJ18" s="159"/>
      <c r="UQK18" s="159"/>
      <c r="UQL18" s="159"/>
      <c r="UQM18" s="159"/>
      <c r="UQN18" s="159"/>
      <c r="UQO18" s="159"/>
      <c r="UQP18" s="159"/>
      <c r="UQQ18" s="159"/>
      <c r="UQR18" s="159"/>
      <c r="UQS18" s="159"/>
      <c r="UQT18" s="159"/>
      <c r="UQU18" s="159"/>
      <c r="UQV18" s="159"/>
      <c r="UQW18" s="159"/>
      <c r="UQX18" s="159"/>
      <c r="UQY18" s="159"/>
      <c r="UQZ18" s="159"/>
      <c r="URA18" s="159"/>
      <c r="URB18" s="159"/>
      <c r="URC18" s="159"/>
      <c r="URD18" s="159"/>
      <c r="URE18" s="159"/>
      <c r="URF18" s="159"/>
      <c r="URG18" s="159"/>
      <c r="URH18" s="159"/>
      <c r="URI18" s="159"/>
      <c r="URJ18" s="159"/>
      <c r="URK18" s="159"/>
      <c r="URL18" s="159"/>
      <c r="URM18" s="159"/>
      <c r="URN18" s="159"/>
      <c r="URO18" s="159"/>
      <c r="URP18" s="159"/>
      <c r="URQ18" s="159"/>
      <c r="URR18" s="159"/>
      <c r="URS18" s="159"/>
      <c r="URT18" s="159"/>
      <c r="URU18" s="159"/>
      <c r="URV18" s="159"/>
      <c r="URW18" s="159"/>
      <c r="URX18" s="159"/>
      <c r="URY18" s="159"/>
      <c r="URZ18" s="159"/>
      <c r="USA18" s="159"/>
      <c r="USB18" s="159"/>
      <c r="USC18" s="159"/>
      <c r="USD18" s="159"/>
      <c r="USE18" s="159"/>
      <c r="USF18" s="159"/>
      <c r="USG18" s="159"/>
      <c r="USH18" s="159"/>
      <c r="USI18" s="159"/>
      <c r="USJ18" s="159"/>
      <c r="USK18" s="159"/>
      <c r="USL18" s="159"/>
      <c r="USM18" s="159"/>
      <c r="USN18" s="159"/>
      <c r="USO18" s="159"/>
      <c r="USP18" s="159"/>
      <c r="USQ18" s="159"/>
      <c r="USR18" s="159"/>
      <c r="USS18" s="159"/>
      <c r="UST18" s="159"/>
      <c r="USU18" s="159"/>
      <c r="USV18" s="159"/>
      <c r="USW18" s="159"/>
      <c r="USX18" s="159"/>
      <c r="USY18" s="159"/>
      <c r="USZ18" s="159"/>
      <c r="UTA18" s="159"/>
      <c r="UTB18" s="159"/>
      <c r="UTC18" s="159"/>
      <c r="UTD18" s="159"/>
      <c r="UTE18" s="159"/>
      <c r="UTF18" s="159"/>
      <c r="UTG18" s="159"/>
      <c r="UTH18" s="159"/>
      <c r="UTI18" s="159"/>
      <c r="UTJ18" s="159"/>
      <c r="UTK18" s="159"/>
      <c r="UTL18" s="159"/>
      <c r="UTM18" s="159"/>
      <c r="UTN18" s="159"/>
      <c r="UTO18" s="159"/>
      <c r="UTP18" s="159"/>
      <c r="UTQ18" s="159"/>
      <c r="UTR18" s="159"/>
      <c r="UTS18" s="159"/>
      <c r="UTT18" s="159"/>
      <c r="UTU18" s="159"/>
      <c r="UTV18" s="159"/>
      <c r="UTW18" s="159"/>
      <c r="UTX18" s="159"/>
      <c r="UTY18" s="159"/>
      <c r="UTZ18" s="159"/>
      <c r="UUA18" s="159"/>
      <c r="UUB18" s="159"/>
      <c r="UUC18" s="159"/>
      <c r="UUD18" s="159"/>
      <c r="UUE18" s="159"/>
      <c r="UUF18" s="159"/>
      <c r="UUG18" s="159"/>
      <c r="UUH18" s="159"/>
      <c r="UUI18" s="159"/>
      <c r="UUJ18" s="159"/>
      <c r="UUK18" s="159"/>
      <c r="UUL18" s="159"/>
      <c r="UUM18" s="159"/>
      <c r="UUN18" s="159"/>
      <c r="UUO18" s="159"/>
      <c r="UUP18" s="159"/>
      <c r="UUQ18" s="159"/>
      <c r="UUR18" s="159"/>
      <c r="UUS18" s="159"/>
      <c r="UUT18" s="159"/>
      <c r="UUU18" s="159"/>
      <c r="UUV18" s="159"/>
      <c r="UUW18" s="159"/>
      <c r="UUX18" s="159"/>
      <c r="UUY18" s="159"/>
      <c r="UUZ18" s="159"/>
      <c r="UVA18" s="159"/>
      <c r="UVB18" s="159"/>
      <c r="UVC18" s="159"/>
      <c r="UVD18" s="159"/>
      <c r="UVE18" s="159"/>
      <c r="UVF18" s="159"/>
      <c r="UVG18" s="159"/>
      <c r="UVH18" s="159"/>
      <c r="UVI18" s="159"/>
      <c r="UVJ18" s="159"/>
      <c r="UVK18" s="159"/>
      <c r="UVL18" s="159"/>
      <c r="UVM18" s="159"/>
      <c r="UVN18" s="159"/>
      <c r="UVO18" s="159"/>
      <c r="UVP18" s="159"/>
      <c r="UVQ18" s="159"/>
      <c r="UVR18" s="159"/>
      <c r="UVS18" s="159"/>
      <c r="UVT18" s="159"/>
      <c r="UVU18" s="159"/>
      <c r="UVV18" s="159"/>
      <c r="UVW18" s="159"/>
      <c r="UVX18" s="159"/>
      <c r="UVY18" s="159"/>
      <c r="UVZ18" s="159"/>
      <c r="UWA18" s="159"/>
      <c r="UWB18" s="159"/>
      <c r="UWC18" s="159"/>
      <c r="UWD18" s="159"/>
      <c r="UWE18" s="159"/>
      <c r="UWF18" s="159"/>
      <c r="UWG18" s="159"/>
      <c r="UWH18" s="159"/>
      <c r="UWI18" s="159"/>
      <c r="UWJ18" s="159"/>
      <c r="UWK18" s="159"/>
      <c r="UWL18" s="159"/>
      <c r="UWM18" s="159"/>
      <c r="UWN18" s="159"/>
      <c r="UWO18" s="159"/>
      <c r="UWP18" s="159"/>
      <c r="UWQ18" s="159"/>
      <c r="UWR18" s="159"/>
      <c r="UWS18" s="159"/>
      <c r="UWT18" s="159"/>
      <c r="UWU18" s="159"/>
      <c r="UWV18" s="159"/>
      <c r="UWW18" s="159"/>
      <c r="UWX18" s="159"/>
      <c r="UWY18" s="159"/>
      <c r="UWZ18" s="159"/>
      <c r="UXA18" s="159"/>
      <c r="UXB18" s="159"/>
      <c r="UXC18" s="159"/>
      <c r="UXD18" s="159"/>
      <c r="UXE18" s="159"/>
      <c r="UXF18" s="159"/>
      <c r="UXG18" s="159"/>
      <c r="UXH18" s="159"/>
      <c r="UXI18" s="159"/>
      <c r="UXJ18" s="159"/>
      <c r="UXK18" s="159"/>
      <c r="UXL18" s="159"/>
      <c r="UXM18" s="159"/>
      <c r="UXN18" s="159"/>
      <c r="UXO18" s="159"/>
      <c r="UXP18" s="159"/>
      <c r="UXQ18" s="159"/>
      <c r="UXR18" s="159"/>
      <c r="UXS18" s="159"/>
      <c r="UXT18" s="159"/>
      <c r="UXU18" s="159"/>
      <c r="UXV18" s="159"/>
      <c r="UXW18" s="159"/>
      <c r="UXX18" s="159"/>
      <c r="UXY18" s="159"/>
      <c r="UXZ18" s="159"/>
      <c r="UYA18" s="159"/>
      <c r="UYB18" s="159"/>
      <c r="UYC18" s="159"/>
      <c r="UYD18" s="159"/>
      <c r="UYE18" s="159"/>
      <c r="UYF18" s="159"/>
      <c r="UYG18" s="159"/>
      <c r="UYH18" s="159"/>
      <c r="UYI18" s="159"/>
      <c r="UYJ18" s="159"/>
      <c r="UYK18" s="159"/>
      <c r="UYL18" s="159"/>
      <c r="UYM18" s="159"/>
      <c r="UYN18" s="159"/>
      <c r="UYO18" s="159"/>
      <c r="UYP18" s="159"/>
      <c r="UYQ18" s="159"/>
      <c r="UYR18" s="159"/>
      <c r="UYS18" s="159"/>
      <c r="UYT18" s="159"/>
      <c r="UYU18" s="159"/>
      <c r="UYV18" s="159"/>
      <c r="UYW18" s="159"/>
      <c r="UYX18" s="159"/>
      <c r="UYY18" s="159"/>
      <c r="UYZ18" s="159"/>
      <c r="UZA18" s="159"/>
      <c r="UZB18" s="159"/>
      <c r="UZC18" s="159"/>
      <c r="UZD18" s="159"/>
      <c r="UZE18" s="159"/>
      <c r="UZF18" s="159"/>
      <c r="UZG18" s="159"/>
      <c r="UZH18" s="159"/>
      <c r="UZI18" s="159"/>
      <c r="UZJ18" s="159"/>
      <c r="UZK18" s="159"/>
      <c r="UZL18" s="159"/>
      <c r="UZM18" s="159"/>
      <c r="UZN18" s="159"/>
      <c r="UZO18" s="159"/>
      <c r="UZP18" s="159"/>
      <c r="UZQ18" s="159"/>
      <c r="UZR18" s="159"/>
      <c r="UZS18" s="159"/>
      <c r="UZT18" s="159"/>
      <c r="UZU18" s="159"/>
      <c r="UZV18" s="159"/>
      <c r="UZW18" s="159"/>
      <c r="UZX18" s="159"/>
      <c r="UZY18" s="159"/>
      <c r="UZZ18" s="159"/>
      <c r="VAA18" s="159"/>
      <c r="VAB18" s="159"/>
      <c r="VAC18" s="159"/>
      <c r="VAD18" s="159"/>
      <c r="VAE18" s="159"/>
      <c r="VAF18" s="159"/>
      <c r="VAG18" s="159"/>
      <c r="VAH18" s="159"/>
      <c r="VAI18" s="159"/>
      <c r="VAJ18" s="159"/>
      <c r="VAK18" s="159"/>
      <c r="VAL18" s="159"/>
      <c r="VAM18" s="159"/>
      <c r="VAN18" s="159"/>
      <c r="VAO18" s="159"/>
      <c r="VAP18" s="159"/>
      <c r="VAQ18" s="159"/>
      <c r="VAR18" s="159"/>
      <c r="VAS18" s="159"/>
      <c r="VAT18" s="159"/>
      <c r="VAU18" s="159"/>
      <c r="VAV18" s="159"/>
      <c r="VAW18" s="159"/>
      <c r="VAX18" s="159"/>
      <c r="VAY18" s="159"/>
      <c r="VAZ18" s="159"/>
      <c r="VBA18" s="159"/>
      <c r="VBB18" s="159"/>
      <c r="VBC18" s="159"/>
      <c r="VBD18" s="159"/>
      <c r="VBE18" s="159"/>
      <c r="VBF18" s="159"/>
      <c r="VBG18" s="159"/>
      <c r="VBH18" s="159"/>
      <c r="VBI18" s="159"/>
      <c r="VBJ18" s="159"/>
      <c r="VBK18" s="159"/>
      <c r="VBL18" s="159"/>
      <c r="VBM18" s="159"/>
      <c r="VBN18" s="159"/>
      <c r="VBO18" s="159"/>
      <c r="VBP18" s="159"/>
      <c r="VBQ18" s="159"/>
      <c r="VBR18" s="159"/>
      <c r="VBS18" s="159"/>
      <c r="VBT18" s="159"/>
      <c r="VBU18" s="159"/>
      <c r="VBV18" s="159"/>
      <c r="VBW18" s="159"/>
      <c r="VBX18" s="159"/>
      <c r="VBY18" s="159"/>
      <c r="VBZ18" s="159"/>
      <c r="VCA18" s="159"/>
      <c r="VCB18" s="159"/>
      <c r="VCC18" s="159"/>
      <c r="VCD18" s="159"/>
      <c r="VCE18" s="159"/>
      <c r="VCF18" s="159"/>
      <c r="VCG18" s="159"/>
      <c r="VCH18" s="159"/>
      <c r="VCI18" s="159"/>
      <c r="VCJ18" s="159"/>
      <c r="VCK18" s="159"/>
      <c r="VCL18" s="159"/>
      <c r="VCM18" s="159"/>
      <c r="VCN18" s="159"/>
      <c r="VCO18" s="159"/>
      <c r="VCP18" s="159"/>
      <c r="VCQ18" s="159"/>
      <c r="VCR18" s="159"/>
      <c r="VCS18" s="159"/>
      <c r="VCT18" s="159"/>
      <c r="VCU18" s="159"/>
      <c r="VCV18" s="159"/>
      <c r="VCW18" s="159"/>
      <c r="VCX18" s="159"/>
      <c r="VCY18" s="159"/>
      <c r="VCZ18" s="159"/>
      <c r="VDA18" s="159"/>
      <c r="VDB18" s="159"/>
      <c r="VDC18" s="159"/>
      <c r="VDD18" s="159"/>
      <c r="VDE18" s="159"/>
      <c r="VDF18" s="159"/>
      <c r="VDG18" s="159"/>
      <c r="VDH18" s="159"/>
      <c r="VDI18" s="159"/>
      <c r="VDJ18" s="159"/>
      <c r="VDK18" s="159"/>
      <c r="VDL18" s="159"/>
      <c r="VDM18" s="159"/>
      <c r="VDN18" s="159"/>
      <c r="VDO18" s="159"/>
      <c r="VDP18" s="159"/>
      <c r="VDQ18" s="159"/>
      <c r="VDR18" s="159"/>
      <c r="VDS18" s="159"/>
      <c r="VDT18" s="159"/>
      <c r="VDU18" s="159"/>
      <c r="VDV18" s="159"/>
      <c r="VDW18" s="159"/>
      <c r="VDX18" s="159"/>
      <c r="VDY18" s="159"/>
      <c r="VDZ18" s="159"/>
      <c r="VEA18" s="159"/>
      <c r="VEB18" s="159"/>
      <c r="VEC18" s="159"/>
      <c r="VED18" s="159"/>
      <c r="VEE18" s="159"/>
      <c r="VEF18" s="159"/>
      <c r="VEG18" s="159"/>
      <c r="VEH18" s="159"/>
      <c r="VEI18" s="159"/>
      <c r="VEJ18" s="159"/>
      <c r="VEK18" s="159"/>
      <c r="VEL18" s="159"/>
      <c r="VEM18" s="159"/>
      <c r="VEN18" s="159"/>
      <c r="VEO18" s="159"/>
      <c r="VEP18" s="159"/>
      <c r="VEQ18" s="159"/>
      <c r="VER18" s="159"/>
      <c r="VES18" s="159"/>
      <c r="VET18" s="159"/>
      <c r="VEU18" s="159"/>
      <c r="VEV18" s="159"/>
      <c r="VEW18" s="159"/>
      <c r="VEX18" s="159"/>
      <c r="VEY18" s="159"/>
      <c r="VEZ18" s="159"/>
      <c r="VFA18" s="159"/>
      <c r="VFB18" s="159"/>
      <c r="VFC18" s="159"/>
      <c r="VFD18" s="159"/>
      <c r="VFE18" s="159"/>
      <c r="VFF18" s="159"/>
      <c r="VFG18" s="159"/>
      <c r="VFH18" s="159"/>
      <c r="VFI18" s="159"/>
      <c r="VFJ18" s="159"/>
      <c r="VFK18" s="159"/>
      <c r="VFL18" s="159"/>
      <c r="VFM18" s="159"/>
      <c r="VFN18" s="159"/>
      <c r="VFO18" s="159"/>
      <c r="VFP18" s="159"/>
      <c r="VFQ18" s="159"/>
      <c r="VFR18" s="159"/>
      <c r="VFS18" s="159"/>
      <c r="VFT18" s="159"/>
      <c r="VFU18" s="159"/>
      <c r="VFV18" s="159"/>
      <c r="VFW18" s="159"/>
      <c r="VFX18" s="159"/>
      <c r="VFY18" s="159"/>
      <c r="VFZ18" s="159"/>
      <c r="VGA18" s="159"/>
      <c r="VGB18" s="159"/>
      <c r="VGC18" s="159"/>
      <c r="VGD18" s="159"/>
      <c r="VGE18" s="159"/>
      <c r="VGF18" s="159"/>
      <c r="VGG18" s="159"/>
      <c r="VGH18" s="159"/>
      <c r="VGI18" s="159"/>
      <c r="VGJ18" s="159"/>
      <c r="VGK18" s="159"/>
      <c r="VGL18" s="159"/>
      <c r="VGM18" s="159"/>
      <c r="VGN18" s="159"/>
      <c r="VGO18" s="159"/>
      <c r="VGP18" s="159"/>
      <c r="VGQ18" s="159"/>
      <c r="VGR18" s="159"/>
      <c r="VGS18" s="159"/>
      <c r="VGT18" s="159"/>
      <c r="VGU18" s="159"/>
      <c r="VGV18" s="159"/>
      <c r="VGW18" s="159"/>
      <c r="VGX18" s="159"/>
      <c r="VGY18" s="159"/>
      <c r="VGZ18" s="159"/>
      <c r="VHA18" s="159"/>
      <c r="VHB18" s="159"/>
      <c r="VHC18" s="159"/>
      <c r="VHD18" s="159"/>
      <c r="VHE18" s="159"/>
      <c r="VHF18" s="159"/>
      <c r="VHG18" s="159"/>
      <c r="VHH18" s="159"/>
      <c r="VHI18" s="159"/>
      <c r="VHJ18" s="159"/>
      <c r="VHK18" s="159"/>
      <c r="VHL18" s="159"/>
      <c r="VHM18" s="159"/>
      <c r="VHN18" s="159"/>
      <c r="VHO18" s="159"/>
      <c r="VHP18" s="159"/>
      <c r="VHQ18" s="159"/>
      <c r="VHR18" s="159"/>
      <c r="VHS18" s="159"/>
      <c r="VHT18" s="159"/>
      <c r="VHU18" s="159"/>
      <c r="VHV18" s="159"/>
      <c r="VHW18" s="159"/>
      <c r="VHX18" s="159"/>
      <c r="VHY18" s="159"/>
      <c r="VHZ18" s="159"/>
      <c r="VIA18" s="159"/>
      <c r="VIB18" s="159"/>
      <c r="VIC18" s="159"/>
      <c r="VID18" s="159"/>
      <c r="VIE18" s="159"/>
      <c r="VIF18" s="159"/>
      <c r="VIG18" s="159"/>
      <c r="VIH18" s="159"/>
      <c r="VII18" s="159"/>
      <c r="VIJ18" s="159"/>
      <c r="VIK18" s="159"/>
      <c r="VIL18" s="159"/>
      <c r="VIM18" s="159"/>
      <c r="VIN18" s="159"/>
      <c r="VIO18" s="159"/>
      <c r="VIP18" s="159"/>
      <c r="VIQ18" s="159"/>
      <c r="VIR18" s="159"/>
      <c r="VIS18" s="159"/>
      <c r="VIT18" s="159"/>
      <c r="VIU18" s="159"/>
      <c r="VIV18" s="159"/>
      <c r="VIW18" s="159"/>
      <c r="VIX18" s="159"/>
      <c r="VIY18" s="159"/>
      <c r="VIZ18" s="159"/>
      <c r="VJA18" s="159"/>
      <c r="VJB18" s="159"/>
      <c r="VJC18" s="159"/>
      <c r="VJD18" s="159"/>
      <c r="VJE18" s="159"/>
      <c r="VJF18" s="159"/>
      <c r="VJG18" s="159"/>
      <c r="VJH18" s="159"/>
      <c r="VJI18" s="159"/>
      <c r="VJJ18" s="159"/>
      <c r="VJK18" s="159"/>
      <c r="VJL18" s="159"/>
      <c r="VJM18" s="159"/>
      <c r="VJN18" s="159"/>
      <c r="VJO18" s="159"/>
      <c r="VJP18" s="159"/>
      <c r="VJQ18" s="159"/>
      <c r="VJR18" s="159"/>
      <c r="VJS18" s="159"/>
      <c r="VJT18" s="159"/>
      <c r="VJU18" s="159"/>
      <c r="VJV18" s="159"/>
      <c r="VJW18" s="159"/>
      <c r="VJX18" s="159"/>
      <c r="VJY18" s="159"/>
      <c r="VJZ18" s="159"/>
      <c r="VKA18" s="159"/>
      <c r="VKB18" s="159"/>
      <c r="VKC18" s="159"/>
      <c r="VKD18" s="159"/>
      <c r="VKE18" s="159"/>
      <c r="VKF18" s="159"/>
      <c r="VKG18" s="159"/>
      <c r="VKH18" s="159"/>
      <c r="VKI18" s="159"/>
      <c r="VKJ18" s="159"/>
      <c r="VKK18" s="159"/>
      <c r="VKL18" s="159"/>
      <c r="VKM18" s="159"/>
      <c r="VKN18" s="159"/>
      <c r="VKO18" s="159"/>
      <c r="VKP18" s="159"/>
      <c r="VKQ18" s="159"/>
      <c r="VKR18" s="159"/>
      <c r="VKS18" s="159"/>
      <c r="VKT18" s="159"/>
      <c r="VKU18" s="159"/>
      <c r="VKV18" s="159"/>
      <c r="VKW18" s="159"/>
      <c r="VKX18" s="159"/>
      <c r="VKY18" s="159"/>
      <c r="VKZ18" s="159"/>
      <c r="VLA18" s="159"/>
      <c r="VLB18" s="159"/>
      <c r="VLC18" s="159"/>
      <c r="VLD18" s="159"/>
      <c r="VLE18" s="159"/>
      <c r="VLF18" s="159"/>
      <c r="VLG18" s="159"/>
      <c r="VLH18" s="159"/>
      <c r="VLI18" s="159"/>
      <c r="VLJ18" s="159"/>
      <c r="VLK18" s="159"/>
      <c r="VLL18" s="159"/>
      <c r="VLM18" s="159"/>
      <c r="VLN18" s="159"/>
      <c r="VLO18" s="159"/>
      <c r="VLP18" s="159"/>
      <c r="VLQ18" s="159"/>
      <c r="VLR18" s="159"/>
      <c r="VLS18" s="159"/>
      <c r="VLT18" s="159"/>
      <c r="VLU18" s="159"/>
      <c r="VLV18" s="159"/>
      <c r="VLW18" s="159"/>
      <c r="VLX18" s="159"/>
      <c r="VLY18" s="159"/>
      <c r="VLZ18" s="159"/>
      <c r="VMA18" s="159"/>
      <c r="VMB18" s="159"/>
      <c r="VMC18" s="159"/>
      <c r="VMD18" s="159"/>
      <c r="VME18" s="159"/>
      <c r="VMF18" s="159"/>
      <c r="VMG18" s="159"/>
      <c r="VMH18" s="159"/>
      <c r="VMI18" s="159"/>
      <c r="VMJ18" s="159"/>
      <c r="VMK18" s="159"/>
      <c r="VML18" s="159"/>
      <c r="VMM18" s="159"/>
      <c r="VMN18" s="159"/>
      <c r="VMO18" s="159"/>
      <c r="VMP18" s="159"/>
      <c r="VMQ18" s="159"/>
      <c r="VMR18" s="159"/>
      <c r="VMS18" s="159"/>
      <c r="VMT18" s="159"/>
      <c r="VMU18" s="159"/>
      <c r="VMV18" s="159"/>
      <c r="VMW18" s="159"/>
      <c r="VMX18" s="159"/>
      <c r="VMY18" s="159"/>
      <c r="VMZ18" s="159"/>
      <c r="VNA18" s="159"/>
      <c r="VNB18" s="159"/>
      <c r="VNC18" s="159"/>
      <c r="VND18" s="159"/>
      <c r="VNE18" s="159"/>
      <c r="VNF18" s="159"/>
      <c r="VNG18" s="159"/>
      <c r="VNH18" s="159"/>
      <c r="VNI18" s="159"/>
      <c r="VNJ18" s="159"/>
      <c r="VNK18" s="159"/>
      <c r="VNL18" s="159"/>
      <c r="VNM18" s="159"/>
      <c r="VNN18" s="159"/>
      <c r="VNO18" s="159"/>
      <c r="VNP18" s="159"/>
      <c r="VNQ18" s="159"/>
      <c r="VNR18" s="159"/>
      <c r="VNS18" s="159"/>
      <c r="VNT18" s="159"/>
      <c r="VNU18" s="159"/>
      <c r="VNV18" s="159"/>
      <c r="VNW18" s="159"/>
      <c r="VNX18" s="159"/>
      <c r="VNY18" s="159"/>
      <c r="VNZ18" s="159"/>
      <c r="VOA18" s="159"/>
      <c r="VOB18" s="159"/>
      <c r="VOC18" s="159"/>
      <c r="VOD18" s="159"/>
      <c r="VOE18" s="159"/>
      <c r="VOF18" s="159"/>
      <c r="VOG18" s="159"/>
      <c r="VOH18" s="159"/>
      <c r="VOI18" s="159"/>
      <c r="VOJ18" s="159"/>
      <c r="VOK18" s="159"/>
      <c r="VOL18" s="159"/>
      <c r="VOM18" s="159"/>
      <c r="VON18" s="159"/>
      <c r="VOO18" s="159"/>
      <c r="VOP18" s="159"/>
      <c r="VOQ18" s="159"/>
      <c r="VOR18" s="159"/>
      <c r="VOS18" s="159"/>
      <c r="VOT18" s="159"/>
      <c r="VOU18" s="159"/>
      <c r="VOV18" s="159"/>
      <c r="VOW18" s="159"/>
      <c r="VOX18" s="159"/>
      <c r="VOY18" s="159"/>
      <c r="VOZ18" s="159"/>
      <c r="VPA18" s="159"/>
      <c r="VPB18" s="159"/>
      <c r="VPC18" s="159"/>
      <c r="VPD18" s="159"/>
      <c r="VPE18" s="159"/>
      <c r="VPF18" s="159"/>
      <c r="VPG18" s="159"/>
      <c r="VPH18" s="159"/>
      <c r="VPI18" s="159"/>
      <c r="VPJ18" s="159"/>
      <c r="VPK18" s="159"/>
      <c r="VPL18" s="159"/>
      <c r="VPM18" s="159"/>
      <c r="VPN18" s="159"/>
      <c r="VPO18" s="159"/>
      <c r="VPP18" s="159"/>
      <c r="VPQ18" s="159"/>
      <c r="VPR18" s="159"/>
      <c r="VPS18" s="159"/>
      <c r="VPT18" s="159"/>
      <c r="VPU18" s="159"/>
      <c r="VPV18" s="159"/>
      <c r="VPW18" s="159"/>
      <c r="VPX18" s="159"/>
      <c r="VPY18" s="159"/>
      <c r="VPZ18" s="159"/>
      <c r="VQA18" s="159"/>
      <c r="VQB18" s="159"/>
      <c r="VQC18" s="159"/>
      <c r="VQD18" s="159"/>
      <c r="VQE18" s="159"/>
      <c r="VQF18" s="159"/>
      <c r="VQG18" s="159"/>
      <c r="VQH18" s="159"/>
      <c r="VQI18" s="159"/>
      <c r="VQJ18" s="159"/>
      <c r="VQK18" s="159"/>
      <c r="VQL18" s="159"/>
      <c r="VQM18" s="159"/>
      <c r="VQN18" s="159"/>
      <c r="VQO18" s="159"/>
      <c r="VQP18" s="159"/>
      <c r="VQQ18" s="159"/>
      <c r="VQR18" s="159"/>
      <c r="VQS18" s="159"/>
      <c r="VQT18" s="159"/>
      <c r="VQU18" s="159"/>
      <c r="VQV18" s="159"/>
      <c r="VQW18" s="159"/>
      <c r="VQX18" s="159"/>
      <c r="VQY18" s="159"/>
      <c r="VQZ18" s="159"/>
      <c r="VRA18" s="159"/>
      <c r="VRB18" s="159"/>
      <c r="VRC18" s="159"/>
      <c r="VRD18" s="159"/>
      <c r="VRE18" s="159"/>
      <c r="VRF18" s="159"/>
      <c r="VRG18" s="159"/>
      <c r="VRH18" s="159"/>
      <c r="VRI18" s="159"/>
      <c r="VRJ18" s="159"/>
      <c r="VRK18" s="159"/>
      <c r="VRL18" s="159"/>
      <c r="VRM18" s="159"/>
      <c r="VRN18" s="159"/>
      <c r="VRO18" s="159"/>
      <c r="VRP18" s="159"/>
      <c r="VRQ18" s="159"/>
      <c r="VRR18" s="159"/>
      <c r="VRS18" s="159"/>
      <c r="VRT18" s="159"/>
      <c r="VRU18" s="159"/>
      <c r="VRV18" s="159"/>
      <c r="VRW18" s="159"/>
      <c r="VRX18" s="159"/>
      <c r="VRY18" s="159"/>
      <c r="VRZ18" s="159"/>
      <c r="VSA18" s="159"/>
      <c r="VSB18" s="159"/>
      <c r="VSC18" s="159"/>
      <c r="VSD18" s="159"/>
      <c r="VSE18" s="159"/>
      <c r="VSF18" s="159"/>
      <c r="VSG18" s="159"/>
      <c r="VSH18" s="159"/>
      <c r="VSI18" s="159"/>
      <c r="VSJ18" s="159"/>
      <c r="VSK18" s="159"/>
      <c r="VSL18" s="159"/>
      <c r="VSM18" s="159"/>
      <c r="VSN18" s="159"/>
      <c r="VSO18" s="159"/>
      <c r="VSP18" s="159"/>
      <c r="VSQ18" s="159"/>
      <c r="VSR18" s="159"/>
      <c r="VSS18" s="159"/>
      <c r="VST18" s="159"/>
      <c r="VSU18" s="159"/>
      <c r="VSV18" s="159"/>
      <c r="VSW18" s="159"/>
      <c r="VSX18" s="159"/>
      <c r="VSY18" s="159"/>
      <c r="VSZ18" s="159"/>
      <c r="VTA18" s="159"/>
      <c r="VTB18" s="159"/>
      <c r="VTC18" s="159"/>
      <c r="VTD18" s="159"/>
      <c r="VTE18" s="159"/>
      <c r="VTF18" s="159"/>
      <c r="VTG18" s="159"/>
      <c r="VTH18" s="159"/>
      <c r="VTI18" s="159"/>
      <c r="VTJ18" s="159"/>
      <c r="VTK18" s="159"/>
      <c r="VTL18" s="159"/>
      <c r="VTM18" s="159"/>
      <c r="VTN18" s="159"/>
      <c r="VTO18" s="159"/>
      <c r="VTP18" s="159"/>
      <c r="VTQ18" s="159"/>
      <c r="VTR18" s="159"/>
      <c r="VTS18" s="159"/>
      <c r="VTT18" s="159"/>
      <c r="VTU18" s="159"/>
      <c r="VTV18" s="159"/>
      <c r="VTW18" s="159"/>
      <c r="VTX18" s="159"/>
      <c r="VTY18" s="159"/>
      <c r="VTZ18" s="159"/>
      <c r="VUA18" s="159"/>
      <c r="VUB18" s="159"/>
      <c r="VUC18" s="159"/>
      <c r="VUD18" s="159"/>
      <c r="VUE18" s="159"/>
      <c r="VUF18" s="159"/>
      <c r="VUG18" s="159"/>
      <c r="VUH18" s="159"/>
      <c r="VUI18" s="159"/>
      <c r="VUJ18" s="159"/>
      <c r="VUK18" s="159"/>
      <c r="VUL18" s="159"/>
      <c r="VUM18" s="159"/>
      <c r="VUN18" s="159"/>
      <c r="VUO18" s="159"/>
      <c r="VUP18" s="159"/>
      <c r="VUQ18" s="159"/>
      <c r="VUR18" s="159"/>
      <c r="VUS18" s="159"/>
      <c r="VUT18" s="159"/>
      <c r="VUU18" s="159"/>
      <c r="VUV18" s="159"/>
      <c r="VUW18" s="159"/>
      <c r="VUX18" s="159"/>
      <c r="VUY18" s="159"/>
      <c r="VUZ18" s="159"/>
      <c r="VVA18" s="159"/>
      <c r="VVB18" s="159"/>
      <c r="VVC18" s="159"/>
      <c r="VVD18" s="159"/>
      <c r="VVE18" s="159"/>
      <c r="VVF18" s="159"/>
      <c r="VVG18" s="159"/>
      <c r="VVH18" s="159"/>
      <c r="VVI18" s="159"/>
      <c r="VVJ18" s="159"/>
      <c r="VVK18" s="159"/>
      <c r="VVL18" s="159"/>
      <c r="VVM18" s="159"/>
      <c r="VVN18" s="159"/>
      <c r="VVO18" s="159"/>
      <c r="VVP18" s="159"/>
      <c r="VVQ18" s="159"/>
      <c r="VVR18" s="159"/>
      <c r="VVS18" s="159"/>
      <c r="VVT18" s="159"/>
      <c r="VVU18" s="159"/>
      <c r="VVV18" s="159"/>
      <c r="VVW18" s="159"/>
      <c r="VVX18" s="159"/>
      <c r="VVY18" s="159"/>
      <c r="VVZ18" s="159"/>
      <c r="VWA18" s="159"/>
      <c r="VWB18" s="159"/>
      <c r="VWC18" s="159"/>
      <c r="VWD18" s="159"/>
      <c r="VWE18" s="159"/>
      <c r="VWF18" s="159"/>
      <c r="VWG18" s="159"/>
      <c r="VWH18" s="159"/>
      <c r="VWI18" s="159"/>
      <c r="VWJ18" s="159"/>
      <c r="VWK18" s="159"/>
      <c r="VWL18" s="159"/>
      <c r="VWM18" s="159"/>
      <c r="VWN18" s="159"/>
      <c r="VWO18" s="159"/>
      <c r="VWP18" s="159"/>
      <c r="VWQ18" s="159"/>
      <c r="VWR18" s="159"/>
      <c r="VWS18" s="159"/>
      <c r="VWT18" s="159"/>
      <c r="VWU18" s="159"/>
      <c r="VWV18" s="159"/>
      <c r="VWW18" s="159"/>
      <c r="VWX18" s="159"/>
      <c r="VWY18" s="159"/>
      <c r="VWZ18" s="159"/>
      <c r="VXA18" s="159"/>
      <c r="VXB18" s="159"/>
      <c r="VXC18" s="159"/>
      <c r="VXD18" s="159"/>
      <c r="VXE18" s="159"/>
      <c r="VXF18" s="159"/>
      <c r="VXG18" s="159"/>
      <c r="VXH18" s="159"/>
      <c r="VXI18" s="159"/>
      <c r="VXJ18" s="159"/>
      <c r="VXK18" s="159"/>
      <c r="VXL18" s="159"/>
      <c r="VXM18" s="159"/>
      <c r="VXN18" s="159"/>
      <c r="VXO18" s="159"/>
      <c r="VXP18" s="159"/>
      <c r="VXQ18" s="159"/>
      <c r="VXR18" s="159"/>
      <c r="VXS18" s="159"/>
      <c r="VXT18" s="159"/>
      <c r="VXU18" s="159"/>
      <c r="VXV18" s="159"/>
      <c r="VXW18" s="159"/>
      <c r="VXX18" s="159"/>
      <c r="VXY18" s="159"/>
      <c r="VXZ18" s="159"/>
      <c r="VYA18" s="159"/>
      <c r="VYB18" s="159"/>
      <c r="VYC18" s="159"/>
      <c r="VYD18" s="159"/>
      <c r="VYE18" s="159"/>
      <c r="VYF18" s="159"/>
      <c r="VYG18" s="159"/>
      <c r="VYH18" s="159"/>
      <c r="VYI18" s="159"/>
      <c r="VYJ18" s="159"/>
      <c r="VYK18" s="159"/>
      <c r="VYL18" s="159"/>
      <c r="VYM18" s="159"/>
      <c r="VYN18" s="159"/>
      <c r="VYO18" s="159"/>
      <c r="VYP18" s="159"/>
      <c r="VYQ18" s="159"/>
      <c r="VYR18" s="159"/>
      <c r="VYS18" s="159"/>
      <c r="VYT18" s="159"/>
      <c r="VYU18" s="159"/>
      <c r="VYV18" s="159"/>
      <c r="VYW18" s="159"/>
      <c r="VYX18" s="159"/>
      <c r="VYY18" s="159"/>
      <c r="VYZ18" s="159"/>
      <c r="VZA18" s="159"/>
      <c r="VZB18" s="159"/>
      <c r="VZC18" s="159"/>
      <c r="VZD18" s="159"/>
      <c r="VZE18" s="159"/>
      <c r="VZF18" s="159"/>
      <c r="VZG18" s="159"/>
      <c r="VZH18" s="159"/>
      <c r="VZI18" s="159"/>
      <c r="VZJ18" s="159"/>
      <c r="VZK18" s="159"/>
      <c r="VZL18" s="159"/>
      <c r="VZM18" s="159"/>
      <c r="VZN18" s="159"/>
      <c r="VZO18" s="159"/>
      <c r="VZP18" s="159"/>
      <c r="VZQ18" s="159"/>
      <c r="VZR18" s="159"/>
      <c r="VZS18" s="159"/>
      <c r="VZT18" s="159"/>
      <c r="VZU18" s="159"/>
      <c r="VZV18" s="159"/>
      <c r="VZW18" s="159"/>
      <c r="VZX18" s="159"/>
      <c r="VZY18" s="159"/>
      <c r="VZZ18" s="159"/>
      <c r="WAA18" s="159"/>
      <c r="WAB18" s="159"/>
      <c r="WAC18" s="159"/>
      <c r="WAD18" s="159"/>
      <c r="WAE18" s="159"/>
      <c r="WAF18" s="159"/>
      <c r="WAG18" s="159"/>
      <c r="WAH18" s="159"/>
      <c r="WAI18" s="159"/>
      <c r="WAJ18" s="159"/>
      <c r="WAK18" s="159"/>
      <c r="WAL18" s="159"/>
      <c r="WAM18" s="159"/>
      <c r="WAN18" s="159"/>
      <c r="WAO18" s="159"/>
      <c r="WAP18" s="159"/>
      <c r="WAQ18" s="159"/>
      <c r="WAR18" s="159"/>
      <c r="WAS18" s="159"/>
      <c r="WAT18" s="159"/>
      <c r="WAU18" s="159"/>
      <c r="WAV18" s="159"/>
      <c r="WAW18" s="159"/>
      <c r="WAX18" s="159"/>
      <c r="WAY18" s="159"/>
      <c r="WAZ18" s="159"/>
      <c r="WBA18" s="159"/>
      <c r="WBB18" s="159"/>
      <c r="WBC18" s="159"/>
      <c r="WBD18" s="159"/>
      <c r="WBE18" s="159"/>
      <c r="WBF18" s="159"/>
      <c r="WBG18" s="159"/>
      <c r="WBH18" s="159"/>
      <c r="WBI18" s="159"/>
      <c r="WBJ18" s="159"/>
      <c r="WBK18" s="159"/>
      <c r="WBL18" s="159"/>
      <c r="WBM18" s="159"/>
      <c r="WBN18" s="159"/>
      <c r="WBO18" s="159"/>
      <c r="WBP18" s="159"/>
      <c r="WBQ18" s="159"/>
      <c r="WBR18" s="159"/>
      <c r="WBS18" s="159"/>
      <c r="WBT18" s="159"/>
      <c r="WBU18" s="159"/>
      <c r="WBV18" s="159"/>
      <c r="WBW18" s="159"/>
      <c r="WBX18" s="159"/>
      <c r="WBY18" s="159"/>
      <c r="WBZ18" s="159"/>
      <c r="WCA18" s="159"/>
      <c r="WCB18" s="159"/>
      <c r="WCC18" s="159"/>
      <c r="WCD18" s="159"/>
      <c r="WCE18" s="159"/>
      <c r="WCF18" s="159"/>
      <c r="WCG18" s="159"/>
      <c r="WCH18" s="159"/>
      <c r="WCI18" s="159"/>
      <c r="WCJ18" s="159"/>
      <c r="WCK18" s="159"/>
      <c r="WCL18" s="159"/>
      <c r="WCM18" s="159"/>
      <c r="WCN18" s="159"/>
      <c r="WCO18" s="159"/>
      <c r="WCP18" s="159"/>
      <c r="WCQ18" s="159"/>
      <c r="WCR18" s="159"/>
      <c r="WCS18" s="159"/>
      <c r="WCT18" s="159"/>
      <c r="WCU18" s="159"/>
      <c r="WCV18" s="159"/>
      <c r="WCW18" s="159"/>
      <c r="WCX18" s="159"/>
      <c r="WCY18" s="159"/>
      <c r="WCZ18" s="159"/>
      <c r="WDA18" s="159"/>
      <c r="WDB18" s="159"/>
      <c r="WDC18" s="159"/>
      <c r="WDD18" s="159"/>
      <c r="WDE18" s="159"/>
      <c r="WDF18" s="159"/>
      <c r="WDG18" s="159"/>
      <c r="WDH18" s="159"/>
      <c r="WDI18" s="159"/>
      <c r="WDJ18" s="159"/>
      <c r="WDK18" s="159"/>
      <c r="WDL18" s="159"/>
      <c r="WDM18" s="159"/>
      <c r="WDN18" s="159"/>
      <c r="WDO18" s="159"/>
      <c r="WDP18" s="159"/>
      <c r="WDQ18" s="159"/>
      <c r="WDR18" s="159"/>
      <c r="WDS18" s="159"/>
      <c r="WDT18" s="159"/>
      <c r="WDU18" s="159"/>
      <c r="WDV18" s="159"/>
      <c r="WDW18" s="159"/>
      <c r="WDX18" s="159"/>
      <c r="WDY18" s="159"/>
      <c r="WDZ18" s="159"/>
      <c r="WEA18" s="159"/>
      <c r="WEB18" s="159"/>
      <c r="WEC18" s="159"/>
      <c r="WED18" s="159"/>
      <c r="WEE18" s="159"/>
      <c r="WEF18" s="159"/>
      <c r="WEG18" s="159"/>
      <c r="WEH18" s="159"/>
      <c r="WEI18" s="159"/>
      <c r="WEJ18" s="159"/>
      <c r="WEK18" s="159"/>
      <c r="WEL18" s="159"/>
      <c r="WEM18" s="159"/>
      <c r="WEN18" s="159"/>
      <c r="WEO18" s="159"/>
      <c r="WEP18" s="159"/>
      <c r="WEQ18" s="159"/>
      <c r="WER18" s="159"/>
      <c r="WES18" s="159"/>
      <c r="WET18" s="159"/>
      <c r="WEU18" s="159"/>
      <c r="WEV18" s="159"/>
      <c r="WEW18" s="159"/>
      <c r="WEX18" s="159"/>
      <c r="WEY18" s="159"/>
      <c r="WEZ18" s="159"/>
      <c r="WFA18" s="159"/>
      <c r="WFB18" s="159"/>
      <c r="WFC18" s="159"/>
      <c r="WFD18" s="159"/>
      <c r="WFE18" s="159"/>
      <c r="WFF18" s="159"/>
      <c r="WFG18" s="159"/>
      <c r="WFH18" s="159"/>
      <c r="WFI18" s="159"/>
      <c r="WFJ18" s="159"/>
      <c r="WFK18" s="159"/>
      <c r="WFL18" s="159"/>
      <c r="WFM18" s="159"/>
      <c r="WFN18" s="159"/>
      <c r="WFO18" s="159"/>
      <c r="WFP18" s="159"/>
      <c r="WFQ18" s="159"/>
      <c r="WFR18" s="159"/>
      <c r="WFS18" s="159"/>
      <c r="WFT18" s="159"/>
      <c r="WFU18" s="159"/>
      <c r="WFV18" s="159"/>
      <c r="WFW18" s="159"/>
      <c r="WFX18" s="159"/>
      <c r="WFY18" s="159"/>
      <c r="WFZ18" s="159"/>
      <c r="WGA18" s="159"/>
      <c r="WGB18" s="159"/>
      <c r="WGC18" s="159"/>
      <c r="WGD18" s="159"/>
      <c r="WGE18" s="159"/>
      <c r="WGF18" s="159"/>
      <c r="WGG18" s="159"/>
      <c r="WGH18" s="159"/>
      <c r="WGI18" s="159"/>
      <c r="WGJ18" s="159"/>
      <c r="WGK18" s="159"/>
      <c r="WGL18" s="159"/>
      <c r="WGM18" s="159"/>
      <c r="WGN18" s="159"/>
      <c r="WGO18" s="159"/>
      <c r="WGP18" s="159"/>
      <c r="WGQ18" s="159"/>
      <c r="WGR18" s="159"/>
      <c r="WGS18" s="159"/>
      <c r="WGT18" s="159"/>
      <c r="WGU18" s="159"/>
      <c r="WGV18" s="159"/>
      <c r="WGW18" s="159"/>
      <c r="WGX18" s="159"/>
      <c r="WGY18" s="159"/>
      <c r="WGZ18" s="159"/>
      <c r="WHA18" s="159"/>
      <c r="WHB18" s="159"/>
      <c r="WHC18" s="159"/>
      <c r="WHD18" s="159"/>
      <c r="WHE18" s="159"/>
      <c r="WHF18" s="159"/>
      <c r="WHG18" s="159"/>
      <c r="WHH18" s="159"/>
      <c r="WHI18" s="159"/>
      <c r="WHJ18" s="159"/>
      <c r="WHK18" s="159"/>
      <c r="WHL18" s="159"/>
      <c r="WHM18" s="159"/>
      <c r="WHN18" s="159"/>
      <c r="WHO18" s="159"/>
      <c r="WHP18" s="159"/>
      <c r="WHQ18" s="159"/>
      <c r="WHR18" s="159"/>
      <c r="WHS18" s="159"/>
      <c r="WHT18" s="159"/>
      <c r="WHU18" s="159"/>
      <c r="WHV18" s="159"/>
      <c r="WHW18" s="159"/>
      <c r="WHX18" s="159"/>
      <c r="WHY18" s="159"/>
      <c r="WHZ18" s="159"/>
      <c r="WIA18" s="159"/>
      <c r="WIB18" s="159"/>
      <c r="WIC18" s="159"/>
      <c r="WID18" s="159"/>
      <c r="WIE18" s="159"/>
      <c r="WIF18" s="159"/>
      <c r="WIG18" s="159"/>
      <c r="WIH18" s="159"/>
      <c r="WII18" s="159"/>
      <c r="WIJ18" s="159"/>
      <c r="WIK18" s="159"/>
      <c r="WIL18" s="159"/>
      <c r="WIM18" s="159"/>
      <c r="WIN18" s="159"/>
      <c r="WIO18" s="159"/>
      <c r="WIP18" s="159"/>
      <c r="WIQ18" s="159"/>
      <c r="WIR18" s="159"/>
      <c r="WIS18" s="159"/>
      <c r="WIT18" s="159"/>
      <c r="WIU18" s="159"/>
      <c r="WIV18" s="159"/>
      <c r="WIW18" s="159"/>
      <c r="WIX18" s="159"/>
      <c r="WIY18" s="159"/>
      <c r="WIZ18" s="159"/>
      <c r="WJA18" s="159"/>
      <c r="WJB18" s="159"/>
      <c r="WJC18" s="159"/>
      <c r="WJD18" s="159"/>
      <c r="WJE18" s="159"/>
      <c r="WJF18" s="159"/>
      <c r="WJG18" s="159"/>
      <c r="WJH18" s="159"/>
      <c r="WJI18" s="159"/>
      <c r="WJJ18" s="159"/>
      <c r="WJK18" s="159"/>
      <c r="WJL18" s="159"/>
      <c r="WJM18" s="159"/>
      <c r="WJN18" s="159"/>
      <c r="WJO18" s="159"/>
      <c r="WJP18" s="159"/>
      <c r="WJQ18" s="159"/>
      <c r="WJR18" s="159"/>
      <c r="WJS18" s="159"/>
      <c r="WJT18" s="159"/>
      <c r="WJU18" s="159"/>
      <c r="WJV18" s="159"/>
      <c r="WJW18" s="159"/>
      <c r="WJX18" s="159"/>
      <c r="WJY18" s="159"/>
      <c r="WJZ18" s="159"/>
      <c r="WKA18" s="159"/>
      <c r="WKB18" s="159"/>
      <c r="WKC18" s="159"/>
      <c r="WKD18" s="159"/>
      <c r="WKE18" s="159"/>
      <c r="WKF18" s="159"/>
      <c r="WKG18" s="159"/>
      <c r="WKH18" s="159"/>
      <c r="WKI18" s="159"/>
      <c r="WKJ18" s="159"/>
      <c r="WKK18" s="159"/>
      <c r="WKL18" s="159"/>
      <c r="WKM18" s="159"/>
      <c r="WKN18" s="159"/>
      <c r="WKO18" s="159"/>
      <c r="WKP18" s="159"/>
      <c r="WKQ18" s="159"/>
      <c r="WKR18" s="159"/>
      <c r="WKS18" s="159"/>
      <c r="WKT18" s="159"/>
      <c r="WKU18" s="159"/>
      <c r="WKV18" s="159"/>
      <c r="WKW18" s="159"/>
      <c r="WKX18" s="159"/>
      <c r="WKY18" s="159"/>
      <c r="WKZ18" s="159"/>
      <c r="WLA18" s="159"/>
      <c r="WLB18" s="159"/>
      <c r="WLC18" s="159"/>
      <c r="WLD18" s="159"/>
      <c r="WLE18" s="159"/>
      <c r="WLF18" s="159"/>
      <c r="WLG18" s="159"/>
      <c r="WLH18" s="159"/>
      <c r="WLI18" s="159"/>
      <c r="WLJ18" s="159"/>
      <c r="WLK18" s="159"/>
      <c r="WLL18" s="159"/>
      <c r="WLM18" s="159"/>
      <c r="WLN18" s="159"/>
      <c r="WLO18" s="159"/>
      <c r="WLP18" s="159"/>
      <c r="WLQ18" s="159"/>
      <c r="WLR18" s="159"/>
      <c r="WLS18" s="159"/>
      <c r="WLT18" s="159"/>
      <c r="WLU18" s="159"/>
      <c r="WLV18" s="159"/>
      <c r="WLW18" s="159"/>
      <c r="WLX18" s="159"/>
      <c r="WLY18" s="159"/>
      <c r="WLZ18" s="159"/>
      <c r="WMA18" s="159"/>
      <c r="WMB18" s="159"/>
      <c r="WMC18" s="159"/>
      <c r="WMD18" s="159"/>
      <c r="WME18" s="159"/>
      <c r="WMF18" s="159"/>
      <c r="WMG18" s="159"/>
      <c r="WMH18" s="159"/>
      <c r="WMI18" s="159"/>
      <c r="WMJ18" s="159"/>
      <c r="WMK18" s="159"/>
      <c r="WML18" s="159"/>
      <c r="WMM18" s="159"/>
      <c r="WMN18" s="159"/>
      <c r="WMO18" s="159"/>
      <c r="WMP18" s="159"/>
      <c r="WMQ18" s="159"/>
      <c r="WMR18" s="159"/>
      <c r="WMS18" s="159"/>
      <c r="WMT18" s="159"/>
      <c r="WMU18" s="159"/>
      <c r="WMV18" s="159"/>
      <c r="WMW18" s="159"/>
      <c r="WMX18" s="159"/>
      <c r="WMY18" s="159"/>
      <c r="WMZ18" s="159"/>
      <c r="WNA18" s="159"/>
      <c r="WNB18" s="159"/>
      <c r="WNC18" s="159"/>
      <c r="WND18" s="159"/>
      <c r="WNE18" s="159"/>
      <c r="WNF18" s="159"/>
      <c r="WNG18" s="159"/>
      <c r="WNH18" s="159"/>
      <c r="WNI18" s="159"/>
      <c r="WNJ18" s="159"/>
      <c r="WNK18" s="159"/>
      <c r="WNL18" s="159"/>
      <c r="WNM18" s="159"/>
      <c r="WNN18" s="159"/>
      <c r="WNO18" s="159"/>
      <c r="WNP18" s="159"/>
      <c r="WNQ18" s="159"/>
      <c r="WNR18" s="159"/>
      <c r="WNS18" s="159"/>
      <c r="WNT18" s="159"/>
      <c r="WNU18" s="159"/>
      <c r="WNV18" s="159"/>
      <c r="WNW18" s="159"/>
      <c r="WNX18" s="159"/>
      <c r="WNY18" s="159"/>
      <c r="WNZ18" s="159"/>
      <c r="WOA18" s="159"/>
      <c r="WOB18" s="159"/>
      <c r="WOC18" s="159"/>
      <c r="WOD18" s="159"/>
      <c r="WOE18" s="159"/>
      <c r="WOF18" s="159"/>
      <c r="WOG18" s="159"/>
      <c r="WOH18" s="159"/>
      <c r="WOI18" s="159"/>
      <c r="WOJ18" s="159"/>
      <c r="WOK18" s="159"/>
      <c r="WOL18" s="159"/>
      <c r="WOM18" s="159"/>
      <c r="WON18" s="159"/>
      <c r="WOO18" s="159"/>
      <c r="WOP18" s="159"/>
      <c r="WOQ18" s="159"/>
      <c r="WOR18" s="159"/>
      <c r="WOS18" s="159"/>
      <c r="WOT18" s="159"/>
      <c r="WOU18" s="159"/>
      <c r="WOV18" s="159"/>
      <c r="WOW18" s="159"/>
      <c r="WOX18" s="159"/>
      <c r="WOY18" s="159"/>
      <c r="WOZ18" s="159"/>
      <c r="WPA18" s="159"/>
      <c r="WPB18" s="159"/>
      <c r="WPC18" s="159"/>
      <c r="WPD18" s="159"/>
      <c r="WPE18" s="159"/>
      <c r="WPF18" s="159"/>
      <c r="WPG18" s="159"/>
      <c r="WPH18" s="159"/>
      <c r="WPI18" s="159"/>
      <c r="WPJ18" s="159"/>
      <c r="WPK18" s="159"/>
      <c r="WPL18" s="159"/>
      <c r="WPM18" s="159"/>
      <c r="WPN18" s="159"/>
      <c r="WPO18" s="159"/>
      <c r="WPP18" s="159"/>
      <c r="WPQ18" s="159"/>
      <c r="WPR18" s="159"/>
      <c r="WPS18" s="159"/>
      <c r="WPT18" s="159"/>
      <c r="WPU18" s="159"/>
      <c r="WPV18" s="159"/>
      <c r="WPW18" s="159"/>
      <c r="WPX18" s="159"/>
      <c r="WPY18" s="159"/>
      <c r="WPZ18" s="159"/>
      <c r="WQA18" s="159"/>
      <c r="WQB18" s="159"/>
      <c r="WQC18" s="159"/>
      <c r="WQD18" s="159"/>
      <c r="WQE18" s="159"/>
      <c r="WQF18" s="159"/>
      <c r="WQG18" s="159"/>
      <c r="WQH18" s="159"/>
      <c r="WQI18" s="159"/>
      <c r="WQJ18" s="159"/>
      <c r="WQK18" s="159"/>
      <c r="WQL18" s="159"/>
      <c r="WQM18" s="159"/>
      <c r="WQN18" s="159"/>
      <c r="WQO18" s="159"/>
      <c r="WQP18" s="159"/>
      <c r="WQQ18" s="159"/>
      <c r="WQR18" s="159"/>
      <c r="WQS18" s="159"/>
      <c r="WQT18" s="159"/>
      <c r="WQU18" s="159"/>
      <c r="WQV18" s="159"/>
      <c r="WQW18" s="159"/>
      <c r="WQX18" s="159"/>
      <c r="WQY18" s="159"/>
      <c r="WQZ18" s="159"/>
      <c r="WRA18" s="159"/>
      <c r="WRB18" s="159"/>
      <c r="WRC18" s="159"/>
      <c r="WRD18" s="159"/>
      <c r="WRE18" s="159"/>
      <c r="WRF18" s="159"/>
      <c r="WRG18" s="159"/>
      <c r="WRH18" s="159"/>
      <c r="WRI18" s="159"/>
      <c r="WRJ18" s="159"/>
      <c r="WRK18" s="159"/>
      <c r="WRL18" s="159"/>
      <c r="WRM18" s="159"/>
      <c r="WRN18" s="159"/>
      <c r="WRO18" s="159"/>
      <c r="WRP18" s="159"/>
      <c r="WRQ18" s="159"/>
      <c r="WRR18" s="159"/>
      <c r="WRS18" s="159"/>
      <c r="WRT18" s="159"/>
      <c r="WRU18" s="159"/>
      <c r="WRV18" s="159"/>
      <c r="WRW18" s="159"/>
      <c r="WRX18" s="159"/>
      <c r="WRY18" s="159"/>
      <c r="WRZ18" s="159"/>
      <c r="WSA18" s="159"/>
      <c r="WSB18" s="159"/>
      <c r="WSC18" s="159"/>
      <c r="WSD18" s="159"/>
      <c r="WSE18" s="159"/>
      <c r="WSF18" s="159"/>
      <c r="WSG18" s="159"/>
      <c r="WSH18" s="159"/>
      <c r="WSI18" s="159"/>
      <c r="WSJ18" s="159"/>
      <c r="WSK18" s="159"/>
      <c r="WSL18" s="159"/>
      <c r="WSM18" s="159"/>
      <c r="WSN18" s="159"/>
      <c r="WSO18" s="159"/>
      <c r="WSP18" s="159"/>
      <c r="WSQ18" s="159"/>
      <c r="WSR18" s="159"/>
      <c r="WSS18" s="159"/>
      <c r="WST18" s="159"/>
      <c r="WSU18" s="159"/>
      <c r="WSV18" s="159"/>
      <c r="WSW18" s="159"/>
      <c r="WSX18" s="159"/>
      <c r="WSY18" s="159"/>
      <c r="WSZ18" s="159"/>
      <c r="WTA18" s="159"/>
      <c r="WTB18" s="159"/>
      <c r="WTC18" s="159"/>
      <c r="WTD18" s="159"/>
      <c r="WTE18" s="159"/>
      <c r="WTF18" s="159"/>
      <c r="WTG18" s="159"/>
      <c r="WTH18" s="159"/>
      <c r="WTI18" s="159"/>
      <c r="WTJ18" s="159"/>
      <c r="WTK18" s="159"/>
      <c r="WTL18" s="159"/>
      <c r="WTM18" s="159"/>
      <c r="WTN18" s="159"/>
      <c r="WTO18" s="159"/>
      <c r="WTP18" s="159"/>
      <c r="WTQ18" s="159"/>
      <c r="WTR18" s="159"/>
      <c r="WTS18" s="159"/>
      <c r="WTT18" s="159"/>
      <c r="WTU18" s="159"/>
      <c r="WTV18" s="159"/>
      <c r="WTW18" s="159"/>
      <c r="WTX18" s="159"/>
      <c r="WTY18" s="159"/>
      <c r="WTZ18" s="159"/>
      <c r="WUA18" s="159"/>
      <c r="WUB18" s="159"/>
      <c r="WUC18" s="159"/>
      <c r="WUD18" s="159"/>
      <c r="WUE18" s="159"/>
      <c r="WUF18" s="159"/>
      <c r="WUG18" s="159"/>
      <c r="WUH18" s="159"/>
      <c r="WUI18" s="159"/>
      <c r="WUJ18" s="159"/>
      <c r="WUK18" s="159"/>
      <c r="WUL18" s="159"/>
      <c r="WUM18" s="159"/>
      <c r="WUN18" s="159"/>
      <c r="WUO18" s="159"/>
      <c r="WUP18" s="159"/>
      <c r="WUQ18" s="159"/>
      <c r="WUR18" s="159"/>
      <c r="WUS18" s="159"/>
      <c r="WUT18" s="159"/>
      <c r="WUU18" s="159"/>
      <c r="WUV18" s="159"/>
      <c r="WUW18" s="159"/>
      <c r="WUX18" s="159"/>
      <c r="WUY18" s="159"/>
      <c r="WUZ18" s="159"/>
      <c r="WVA18" s="159"/>
      <c r="WVB18" s="159"/>
      <c r="WVC18" s="159"/>
      <c r="WVD18" s="159"/>
      <c r="WVE18" s="159"/>
      <c r="WVF18" s="159"/>
      <c r="WVG18" s="159"/>
      <c r="WVH18" s="159"/>
      <c r="WVI18" s="159"/>
      <c r="WVJ18" s="159"/>
      <c r="WVK18" s="159"/>
      <c r="WVL18" s="159"/>
      <c r="WVM18" s="159"/>
      <c r="WVN18" s="159"/>
      <c r="WVO18" s="159"/>
      <c r="WVP18" s="159"/>
      <c r="WVQ18" s="159"/>
      <c r="WVR18" s="159"/>
      <c r="WVS18" s="159"/>
      <c r="WVT18" s="159"/>
      <c r="WVU18" s="159"/>
      <c r="WVV18" s="159"/>
      <c r="WVW18" s="159"/>
      <c r="WVX18" s="159"/>
      <c r="WVY18" s="159"/>
      <c r="WVZ18" s="159"/>
      <c r="WWA18" s="159"/>
      <c r="WWB18" s="159"/>
      <c r="WWC18" s="159"/>
      <c r="WWD18" s="159"/>
      <c r="WWE18" s="159"/>
      <c r="WWF18" s="159"/>
      <c r="WWG18" s="159"/>
      <c r="WWH18" s="159"/>
      <c r="WWI18" s="159"/>
      <c r="WWJ18" s="159"/>
      <c r="WWK18" s="159"/>
      <c r="WWL18" s="159"/>
      <c r="WWM18" s="159"/>
      <c r="WWN18" s="159"/>
      <c r="WWO18" s="159"/>
      <c r="WWP18" s="159"/>
      <c r="WWQ18" s="159"/>
      <c r="WWR18" s="159"/>
      <c r="WWS18" s="159"/>
      <c r="WWT18" s="159"/>
      <c r="WWU18" s="159"/>
      <c r="WWV18" s="159"/>
      <c r="WWW18" s="159"/>
      <c r="WWX18" s="159"/>
      <c r="WWY18" s="159"/>
      <c r="WWZ18" s="159"/>
      <c r="WXA18" s="159"/>
      <c r="WXB18" s="159"/>
      <c r="WXC18" s="159"/>
      <c r="WXD18" s="159"/>
      <c r="WXE18" s="159"/>
      <c r="WXF18" s="159"/>
      <c r="WXG18" s="159"/>
      <c r="WXH18" s="159"/>
      <c r="WXI18" s="159"/>
      <c r="WXJ18" s="159"/>
      <c r="WXK18" s="159"/>
      <c r="WXL18" s="159"/>
      <c r="WXM18" s="159"/>
      <c r="WXN18" s="159"/>
      <c r="WXO18" s="159"/>
      <c r="WXP18" s="159"/>
      <c r="WXQ18" s="159"/>
      <c r="WXR18" s="159"/>
      <c r="WXS18" s="159"/>
      <c r="WXT18" s="159"/>
      <c r="WXU18" s="159"/>
      <c r="WXV18" s="159"/>
      <c r="WXW18" s="159"/>
      <c r="WXX18" s="159"/>
      <c r="WXY18" s="159"/>
      <c r="WXZ18" s="159"/>
      <c r="WYA18" s="159"/>
      <c r="WYB18" s="159"/>
      <c r="WYC18" s="159"/>
      <c r="WYD18" s="159"/>
      <c r="WYE18" s="159"/>
      <c r="WYF18" s="159"/>
      <c r="WYG18" s="159"/>
      <c r="WYH18" s="159"/>
      <c r="WYI18" s="159"/>
      <c r="WYJ18" s="159"/>
      <c r="WYK18" s="159"/>
      <c r="WYL18" s="159"/>
      <c r="WYM18" s="159"/>
      <c r="WYN18" s="159"/>
      <c r="WYO18" s="159"/>
      <c r="WYP18" s="159"/>
      <c r="WYQ18" s="159"/>
      <c r="WYR18" s="159"/>
      <c r="WYS18" s="159"/>
      <c r="WYT18" s="159"/>
      <c r="WYU18" s="159"/>
      <c r="WYV18" s="159"/>
      <c r="WYW18" s="159"/>
      <c r="WYX18" s="159"/>
      <c r="WYY18" s="159"/>
      <c r="WYZ18" s="159"/>
      <c r="WZA18" s="159"/>
      <c r="WZB18" s="159"/>
      <c r="WZC18" s="159"/>
      <c r="WZD18" s="159"/>
      <c r="WZE18" s="159"/>
      <c r="WZF18" s="159"/>
      <c r="WZG18" s="159"/>
      <c r="WZH18" s="159"/>
      <c r="WZI18" s="159"/>
      <c r="WZJ18" s="159"/>
      <c r="WZK18" s="159"/>
      <c r="WZL18" s="159"/>
      <c r="WZM18" s="159"/>
      <c r="WZN18" s="159"/>
      <c r="WZO18" s="159"/>
      <c r="WZP18" s="159"/>
      <c r="WZQ18" s="159"/>
      <c r="WZR18" s="159"/>
      <c r="WZS18" s="159"/>
      <c r="WZT18" s="159"/>
      <c r="WZU18" s="159"/>
      <c r="WZV18" s="159"/>
      <c r="WZW18" s="159"/>
      <c r="WZX18" s="159"/>
      <c r="WZY18" s="159"/>
      <c r="WZZ18" s="159"/>
      <c r="XAA18" s="159"/>
      <c r="XAB18" s="159"/>
      <c r="XAC18" s="159"/>
      <c r="XAD18" s="159"/>
      <c r="XAE18" s="159"/>
      <c r="XAF18" s="159"/>
      <c r="XAG18" s="159"/>
      <c r="XAH18" s="159"/>
      <c r="XAI18" s="159"/>
      <c r="XAJ18" s="159"/>
      <c r="XAK18" s="159"/>
      <c r="XAL18" s="159"/>
      <c r="XAM18" s="159"/>
      <c r="XAN18" s="159"/>
      <c r="XAO18" s="159"/>
      <c r="XAP18" s="159"/>
      <c r="XAQ18" s="159"/>
      <c r="XAR18" s="159"/>
      <c r="XAS18" s="159"/>
      <c r="XAT18" s="159"/>
      <c r="XAU18" s="159"/>
      <c r="XAV18" s="159"/>
      <c r="XAW18" s="159"/>
      <c r="XAX18" s="159"/>
      <c r="XAY18" s="159"/>
      <c r="XAZ18" s="159"/>
      <c r="XBA18" s="159"/>
      <c r="XBB18" s="159"/>
      <c r="XBC18" s="159"/>
      <c r="XBD18" s="159"/>
      <c r="XBE18" s="159"/>
      <c r="XBF18" s="159"/>
      <c r="XBG18" s="159"/>
      <c r="XBH18" s="159"/>
      <c r="XBI18" s="159"/>
      <c r="XBJ18" s="159"/>
      <c r="XBK18" s="159"/>
      <c r="XBL18" s="159"/>
      <c r="XBM18" s="159"/>
      <c r="XBN18" s="159"/>
      <c r="XBO18" s="159"/>
      <c r="XBP18" s="159"/>
      <c r="XBQ18" s="159"/>
      <c r="XBR18" s="159"/>
      <c r="XBS18" s="159"/>
      <c r="XBT18" s="159"/>
      <c r="XBU18" s="159"/>
      <c r="XBV18" s="159"/>
      <c r="XBW18" s="159"/>
      <c r="XBX18" s="159"/>
      <c r="XBY18" s="159"/>
      <c r="XBZ18" s="159"/>
      <c r="XCA18" s="159"/>
      <c r="XCB18" s="159"/>
      <c r="XCC18" s="159"/>
      <c r="XCD18" s="159"/>
      <c r="XCE18" s="159"/>
      <c r="XCF18" s="159"/>
      <c r="XCG18" s="159"/>
      <c r="XCH18" s="159"/>
      <c r="XCI18" s="159"/>
      <c r="XCJ18" s="159"/>
      <c r="XCK18" s="159"/>
      <c r="XCL18" s="159"/>
      <c r="XCM18" s="159"/>
      <c r="XCN18" s="159"/>
      <c r="XCO18" s="159"/>
      <c r="XCP18" s="159"/>
      <c r="XCQ18" s="159"/>
      <c r="XCR18" s="159"/>
      <c r="XCS18" s="159"/>
      <c r="XCT18" s="159"/>
      <c r="XCU18" s="159"/>
      <c r="XCV18" s="159"/>
      <c r="XCW18" s="159"/>
      <c r="XCX18" s="159"/>
      <c r="XCY18" s="159"/>
      <c r="XCZ18" s="159"/>
      <c r="XDA18" s="159"/>
      <c r="XDB18" s="159"/>
      <c r="XDC18" s="159"/>
      <c r="XDD18" s="159"/>
      <c r="XDE18" s="159"/>
      <c r="XDF18" s="159"/>
      <c r="XDG18" s="159"/>
      <c r="XDH18" s="159"/>
      <c r="XDI18" s="159"/>
      <c r="XDJ18" s="159"/>
      <c r="XDK18" s="159"/>
      <c r="XDL18" s="159"/>
      <c r="XDM18" s="159"/>
      <c r="XDN18" s="159"/>
      <c r="XDO18" s="159"/>
      <c r="XDP18" s="159"/>
      <c r="XDQ18" s="159"/>
      <c r="XDR18" s="159"/>
      <c r="XDS18" s="159"/>
      <c r="XDT18" s="159"/>
      <c r="XDU18" s="159"/>
      <c r="XDV18" s="159"/>
      <c r="XDW18" s="159"/>
      <c r="XDX18" s="159"/>
      <c r="XDY18" s="159"/>
      <c r="XDZ18" s="159"/>
      <c r="XEA18" s="159"/>
      <c r="XEB18" s="159"/>
      <c r="XEC18" s="159"/>
      <c r="XED18" s="159"/>
      <c r="XEE18" s="159"/>
      <c r="XEF18" s="159"/>
      <c r="XEG18" s="159"/>
      <c r="XEH18" s="159"/>
      <c r="XEI18" s="159"/>
      <c r="XEJ18" s="159"/>
      <c r="XEK18" s="159"/>
      <c r="XEL18" s="159"/>
      <c r="XEM18" s="159"/>
      <c r="XEN18" s="159"/>
      <c r="XEO18" s="159"/>
      <c r="XEP18" s="159"/>
      <c r="XEQ18" s="159"/>
      <c r="XER18" s="159"/>
      <c r="XES18" s="159"/>
      <c r="XET18" s="159"/>
      <c r="XEU18" s="159"/>
      <c r="XEV18" s="159"/>
      <c r="XEW18" s="159"/>
      <c r="XEX18" s="159"/>
      <c r="XEY18" s="172"/>
      <c r="XEZ18" s="186"/>
      <c r="XFA18" s="173"/>
      <c r="XFB18" s="180"/>
      <c r="XFC18" s="189"/>
    </row>
    <row r="19" spans="1:16384" s="279" customFormat="1" ht="13.5">
      <c r="A19" s="284">
        <v>2</v>
      </c>
      <c r="B19" s="271" t="s">
        <v>114</v>
      </c>
      <c r="C19" s="272"/>
      <c r="D19" s="273" t="str">
        <f>FDate(MIN(E20:E28))</f>
        <v>1398/10/01</v>
      </c>
      <c r="E19" s="136">
        <f t="shared" si="4"/>
        <v>13981001</v>
      </c>
      <c r="F19" s="301" t="str">
        <f>J_SUBDAY(J_ADDDAY(D19,L19,1),1,1)</f>
        <v>1399/01/20</v>
      </c>
      <c r="G19" s="139">
        <f t="shared" si="5"/>
        <v>13990120</v>
      </c>
      <c r="H19" s="285"/>
      <c r="I19" s="286"/>
      <c r="J19" s="273">
        <f>j_WEEKDAY(D19,2)</f>
        <v>1</v>
      </c>
      <c r="K19" s="140">
        <f>SUM(K20:K28)</f>
        <v>0</v>
      </c>
      <c r="L19" s="276">
        <f>J_DIFF(D19,FDate(MAX(G20:G28)))+1</f>
        <v>109</v>
      </c>
      <c r="M19" s="277">
        <f>IF(SUM(L20:L28)&lt;&gt;0,SUMPRODUCT(L20:L28,M20:M28)/SUM(L20:L28),0)</f>
        <v>1</v>
      </c>
      <c r="N19" s="278">
        <f>IF(F19&gt;=D19,NETWORKDAYS.INTL(J_GregorianDate(D19,1),J_GregorianDate(F19,1),16,1)-SUMIFS(Holieday[ok],Holieday[date],CONCATENATE("&gt;","=",D19),Holieday[date],CONCATENATE("&lt;","=",F19))+SUMIFS(Holieday[Friday],Holieday[date],CONCATENATE("&gt;","=",D19),Holieday[date],CONCATENATE("&lt;","=",F19)),0)</f>
        <v>90</v>
      </c>
      <c r="O19" s="135">
        <f>ROUNDDOWN(M19*L19,0)</f>
        <v>109</v>
      </c>
      <c r="P19" s="135">
        <f>VALUE(J_normdate(J_ADDDAY($D19,$O19,1)))</f>
        <v>13990121</v>
      </c>
      <c r="Q19" s="138">
        <f>L19-O19</f>
        <v>0</v>
      </c>
      <c r="IY19" s="280"/>
      <c r="IZ19" s="281"/>
      <c r="JA19" s="282"/>
      <c r="JB19" s="282"/>
      <c r="JC19" s="282"/>
      <c r="JD19" s="283"/>
    </row>
    <row r="20" spans="1:16384" s="159" customFormat="1" ht="13.5">
      <c r="A20" s="197">
        <v>2.1</v>
      </c>
      <c r="B20" s="186" t="s">
        <v>74</v>
      </c>
      <c r="C20" s="173" t="s">
        <v>104</v>
      </c>
      <c r="D20" s="299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1398/10/01</v>
      </c>
      <c r="E20" s="136">
        <f t="shared" si="4"/>
        <v>13981001</v>
      </c>
      <c r="F20" s="299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1398/10/01</v>
      </c>
      <c r="G20" s="139">
        <f t="shared" si="5"/>
        <v>13981001</v>
      </c>
      <c r="H20" s="175"/>
      <c r="I20" s="176">
        <v>1.1000000000000001</v>
      </c>
      <c r="J20" s="174">
        <f>j_WEEKDAY(D20,2)</f>
        <v>1</v>
      </c>
      <c r="K20" s="143">
        <f t="shared" ref="K20:K28" si="11">SUM(JA20:JC20)</f>
        <v>0</v>
      </c>
      <c r="L20" s="177">
        <f t="shared" ref="L20:L28" si="12">J_DIFF(D20,F20)+1</f>
        <v>1</v>
      </c>
      <c r="M20" s="178">
        <v>1</v>
      </c>
      <c r="N20" s="179">
        <v>1</v>
      </c>
      <c r="O20" s="144">
        <f>ROUNDDOWN(M20*L20,0)</f>
        <v>1</v>
      </c>
      <c r="P20" s="144">
        <f>VALUE(J_normdate(J_ADDDAY($D20,$O20,1)))</f>
        <v>13981002</v>
      </c>
      <c r="Q20" s="142">
        <f>L20-O20</f>
        <v>0</v>
      </c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41"/>
      <c r="BH20" s="141"/>
      <c r="BI20" s="141"/>
      <c r="BJ20" s="141"/>
      <c r="BK20" s="141"/>
      <c r="BL20" s="141"/>
      <c r="BM20" s="141"/>
      <c r="BN20" s="141"/>
      <c r="BO20" s="141"/>
      <c r="BP20" s="141"/>
      <c r="BQ20" s="141"/>
      <c r="BR20" s="141"/>
      <c r="BS20" s="141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  <c r="CK20" s="141"/>
      <c r="CL20" s="141"/>
      <c r="CM20" s="141"/>
      <c r="CN20" s="141"/>
      <c r="CO20" s="141"/>
      <c r="CP20" s="141"/>
      <c r="CQ20" s="141"/>
      <c r="CR20" s="141"/>
      <c r="CS20" s="141"/>
      <c r="CT20" s="141"/>
      <c r="CU20" s="141"/>
      <c r="CV20" s="141"/>
      <c r="CW20" s="141"/>
      <c r="CX20" s="141"/>
      <c r="CY20" s="141"/>
      <c r="CZ20" s="141"/>
      <c r="DA20" s="141"/>
      <c r="DB20" s="141"/>
      <c r="DC20" s="141"/>
      <c r="DD20" s="141"/>
      <c r="DE20" s="141"/>
      <c r="DF20" s="141"/>
      <c r="DG20" s="141"/>
      <c r="DH20" s="141"/>
      <c r="DI20" s="141"/>
      <c r="DJ20" s="141"/>
      <c r="DK20" s="141"/>
      <c r="DL20" s="141"/>
      <c r="DM20" s="141"/>
      <c r="DN20" s="141"/>
      <c r="DO20" s="141"/>
      <c r="DP20" s="141"/>
      <c r="DQ20" s="141"/>
      <c r="DR20" s="141"/>
      <c r="DS20" s="141"/>
      <c r="DT20" s="141"/>
      <c r="DU20" s="141"/>
      <c r="DV20" s="141"/>
      <c r="DW20" s="141"/>
      <c r="DX20" s="141"/>
      <c r="DY20" s="141"/>
      <c r="DZ20" s="141"/>
      <c r="EA20" s="141"/>
      <c r="EB20" s="141"/>
      <c r="EC20" s="141"/>
      <c r="ED20" s="141"/>
      <c r="EE20" s="141"/>
      <c r="EF20" s="141"/>
      <c r="EG20" s="141"/>
      <c r="EH20" s="141"/>
      <c r="EI20" s="141"/>
      <c r="EJ20" s="141"/>
      <c r="EK20" s="141"/>
      <c r="EL20" s="141"/>
      <c r="EM20" s="141"/>
      <c r="EN20" s="141"/>
      <c r="EO20" s="141"/>
      <c r="EP20" s="141"/>
      <c r="EQ20" s="141"/>
      <c r="ER20" s="141"/>
      <c r="ES20" s="141"/>
      <c r="ET20" s="141"/>
      <c r="EU20" s="141"/>
      <c r="EV20" s="141"/>
      <c r="EW20" s="141"/>
      <c r="EX20" s="141"/>
      <c r="EY20" s="141"/>
      <c r="EZ20" s="141"/>
      <c r="FA20" s="141"/>
      <c r="FB20" s="141"/>
      <c r="FC20" s="141"/>
      <c r="FD20" s="141"/>
      <c r="FE20" s="141"/>
      <c r="FF20" s="141"/>
      <c r="FG20" s="141"/>
      <c r="FH20" s="141"/>
      <c r="FI20" s="141"/>
      <c r="FJ20" s="141"/>
      <c r="FK20" s="141"/>
      <c r="FL20" s="141"/>
      <c r="FM20" s="141"/>
      <c r="FN20" s="141"/>
      <c r="FO20" s="141"/>
      <c r="FP20" s="141"/>
      <c r="FQ20" s="141"/>
      <c r="FR20" s="141"/>
      <c r="FS20" s="141"/>
      <c r="FT20" s="141"/>
      <c r="FU20" s="141"/>
      <c r="FV20" s="141"/>
      <c r="FW20" s="141"/>
      <c r="FX20" s="141"/>
      <c r="FY20" s="141"/>
      <c r="FZ20" s="141"/>
      <c r="GA20" s="141"/>
      <c r="GB20" s="141"/>
      <c r="GC20" s="141"/>
      <c r="GD20" s="141"/>
      <c r="GE20" s="141"/>
      <c r="GF20" s="141"/>
      <c r="GG20" s="141"/>
      <c r="GH20" s="141"/>
      <c r="GI20" s="141"/>
      <c r="GJ20" s="141"/>
      <c r="GK20" s="141"/>
      <c r="GL20" s="141"/>
      <c r="GM20" s="141"/>
      <c r="GN20" s="141"/>
      <c r="GO20" s="141"/>
      <c r="GP20" s="141"/>
      <c r="GQ20" s="141"/>
      <c r="GR20" s="141"/>
      <c r="GS20" s="141"/>
      <c r="GT20" s="141"/>
      <c r="GU20" s="141"/>
      <c r="GV20" s="141"/>
      <c r="GW20" s="141"/>
      <c r="GX20" s="141"/>
      <c r="GY20" s="141"/>
      <c r="GZ20" s="141"/>
      <c r="HA20" s="141"/>
      <c r="HB20" s="141"/>
      <c r="HC20" s="141"/>
      <c r="HD20" s="141"/>
      <c r="HE20" s="141"/>
      <c r="HF20" s="141"/>
      <c r="HG20" s="141"/>
      <c r="HH20" s="141"/>
      <c r="HI20" s="141"/>
      <c r="HJ20" s="141"/>
      <c r="HK20" s="141"/>
      <c r="HL20" s="141"/>
      <c r="HM20" s="141"/>
      <c r="HN20" s="141"/>
      <c r="HO20" s="141"/>
      <c r="HP20" s="141"/>
      <c r="HQ20" s="141"/>
      <c r="HR20" s="141"/>
      <c r="HS20" s="141"/>
      <c r="HT20" s="141"/>
      <c r="HU20" s="141"/>
      <c r="HV20" s="141"/>
      <c r="HW20" s="141"/>
      <c r="HX20" s="141"/>
      <c r="HY20" s="141"/>
      <c r="HZ20" s="141"/>
      <c r="IA20" s="141"/>
      <c r="IB20" s="141"/>
      <c r="IC20" s="141"/>
      <c r="ID20" s="141"/>
      <c r="IE20" s="141"/>
      <c r="IF20" s="141"/>
      <c r="IG20" s="141"/>
      <c r="IH20" s="141"/>
      <c r="II20" s="141"/>
      <c r="IJ20" s="141"/>
      <c r="IK20" s="141"/>
      <c r="IL20" s="141"/>
      <c r="IM20" s="141"/>
      <c r="IN20" s="141"/>
      <c r="IO20" s="141"/>
      <c r="IP20" s="141"/>
      <c r="IQ20" s="141"/>
      <c r="IR20" s="141"/>
      <c r="IS20" s="141"/>
      <c r="IT20" s="141"/>
      <c r="IU20" s="141"/>
      <c r="IV20" s="141"/>
      <c r="IW20" s="141"/>
      <c r="IX20" s="141"/>
      <c r="IY20" s="21">
        <v>1</v>
      </c>
      <c r="IZ20" s="31">
        <f>(TEXT(K20,"[m]")/60)*VLOOKUP(IY20,'Income Person-hours'!A$2:C$5,3,FALSE)</f>
        <v>0</v>
      </c>
      <c r="JA20" s="91"/>
      <c r="JB20" s="91"/>
      <c r="JC20" s="91"/>
      <c r="JD20" s="160">
        <f>SUM((TEXT(JA20,"[M]")/60)*'Income Person-hours'!$D$3,(TEXT(JB20,"[M]")/60)*'Income Person-hours'!$D$4,(TEXT(JC20,"[M]")/60)*'Income Person-hours'!$D$5)</f>
        <v>0</v>
      </c>
    </row>
    <row r="21" spans="1:16384" s="159" customFormat="1" ht="13.5">
      <c r="A21" s="197">
        <v>2.2000000000000002</v>
      </c>
      <c r="B21" s="186" t="s">
        <v>112</v>
      </c>
      <c r="C21" s="173" t="s">
        <v>72</v>
      </c>
      <c r="D21" s="299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1398/10/01</v>
      </c>
      <c r="E21" s="136">
        <f t="shared" si="4"/>
        <v>13981001</v>
      </c>
      <c r="F21" s="299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1398/10/05</v>
      </c>
      <c r="G21" s="139">
        <f t="shared" si="5"/>
        <v>13981005</v>
      </c>
      <c r="H21" s="175"/>
      <c r="I21" s="176">
        <v>2.1</v>
      </c>
      <c r="J21" s="174">
        <v>1</v>
      </c>
      <c r="K21" s="143">
        <f t="shared" si="11"/>
        <v>0</v>
      </c>
      <c r="L21" s="177">
        <f t="shared" si="12"/>
        <v>5</v>
      </c>
      <c r="M21" s="178">
        <v>1</v>
      </c>
      <c r="N21" s="179">
        <v>5</v>
      </c>
      <c r="O21" s="144">
        <f t="shared" ref="O21:O28" si="13">ROUNDDOWN(M21*L21,0)</f>
        <v>5</v>
      </c>
      <c r="P21" s="144">
        <f>VALUE(J_normdate(J_ADDDAY($D21,$O21,1)))</f>
        <v>13981006</v>
      </c>
      <c r="Q21" s="142">
        <f t="shared" ref="Q21:Q55" si="14">L21-O21</f>
        <v>0</v>
      </c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  <c r="CZ21" s="141"/>
      <c r="DA21" s="141"/>
      <c r="DB21" s="141"/>
      <c r="DC21" s="141"/>
      <c r="DD21" s="141"/>
      <c r="DE21" s="141"/>
      <c r="DF21" s="141"/>
      <c r="DG21" s="141"/>
      <c r="DH21" s="141"/>
      <c r="DI21" s="141"/>
      <c r="DJ21" s="141"/>
      <c r="DK21" s="141"/>
      <c r="DL21" s="141"/>
      <c r="DM21" s="141"/>
      <c r="DN21" s="141"/>
      <c r="DO21" s="141"/>
      <c r="DP21" s="141"/>
      <c r="DQ21" s="141"/>
      <c r="DR21" s="141"/>
      <c r="DS21" s="141"/>
      <c r="DT21" s="141"/>
      <c r="DU21" s="141"/>
      <c r="DV21" s="141"/>
      <c r="DW21" s="141"/>
      <c r="DX21" s="141"/>
      <c r="DY21" s="141"/>
      <c r="DZ21" s="141"/>
      <c r="EA21" s="141"/>
      <c r="EB21" s="141"/>
      <c r="EC21" s="141"/>
      <c r="ED21" s="141"/>
      <c r="EE21" s="141"/>
      <c r="EF21" s="141"/>
      <c r="EG21" s="141"/>
      <c r="EH21" s="141"/>
      <c r="EI21" s="141"/>
      <c r="EJ21" s="141"/>
      <c r="EK21" s="141"/>
      <c r="EL21" s="141"/>
      <c r="EM21" s="141"/>
      <c r="EN21" s="141"/>
      <c r="EO21" s="141"/>
      <c r="EP21" s="141"/>
      <c r="EQ21" s="141"/>
      <c r="ER21" s="141"/>
      <c r="ES21" s="141"/>
      <c r="ET21" s="141"/>
      <c r="EU21" s="141"/>
      <c r="EV21" s="141"/>
      <c r="EW21" s="141"/>
      <c r="EX21" s="141"/>
      <c r="EY21" s="141"/>
      <c r="EZ21" s="141"/>
      <c r="FA21" s="141"/>
      <c r="FB21" s="141"/>
      <c r="FC21" s="141"/>
      <c r="FD21" s="141"/>
      <c r="FE21" s="141"/>
      <c r="FF21" s="141"/>
      <c r="FG21" s="141"/>
      <c r="FH21" s="141"/>
      <c r="FI21" s="141"/>
      <c r="FJ21" s="141"/>
      <c r="FK21" s="141"/>
      <c r="FL21" s="141"/>
      <c r="FM21" s="141"/>
      <c r="FN21" s="141"/>
      <c r="FO21" s="141"/>
      <c r="FP21" s="141"/>
      <c r="FQ21" s="141"/>
      <c r="FR21" s="141"/>
      <c r="FS21" s="141"/>
      <c r="FT21" s="141"/>
      <c r="FU21" s="141"/>
      <c r="FV21" s="141"/>
      <c r="FW21" s="141"/>
      <c r="FX21" s="141"/>
      <c r="FY21" s="141"/>
      <c r="FZ21" s="141"/>
      <c r="GA21" s="141"/>
      <c r="GB21" s="141"/>
      <c r="GC21" s="141"/>
      <c r="GD21" s="141"/>
      <c r="GE21" s="141"/>
      <c r="GF21" s="141"/>
      <c r="GG21" s="141"/>
      <c r="GH21" s="141"/>
      <c r="GI21" s="141"/>
      <c r="GJ21" s="141"/>
      <c r="GK21" s="141"/>
      <c r="GL21" s="141"/>
      <c r="GM21" s="141"/>
      <c r="GN21" s="141"/>
      <c r="GO21" s="141"/>
      <c r="GP21" s="141"/>
      <c r="GQ21" s="141"/>
      <c r="GR21" s="141"/>
      <c r="GS21" s="141"/>
      <c r="GT21" s="141"/>
      <c r="GU21" s="141"/>
      <c r="GV21" s="141"/>
      <c r="GW21" s="141"/>
      <c r="GX21" s="141"/>
      <c r="GY21" s="141"/>
      <c r="GZ21" s="141"/>
      <c r="HA21" s="141"/>
      <c r="HB21" s="141"/>
      <c r="HC21" s="141"/>
      <c r="HD21" s="141"/>
      <c r="HE21" s="141"/>
      <c r="HF21" s="141"/>
      <c r="HG21" s="141"/>
      <c r="HH21" s="141"/>
      <c r="HI21" s="141"/>
      <c r="HJ21" s="141"/>
      <c r="HK21" s="141"/>
      <c r="HL21" s="141"/>
      <c r="HM21" s="141"/>
      <c r="HN21" s="141"/>
      <c r="HO21" s="141"/>
      <c r="HP21" s="141"/>
      <c r="HQ21" s="141"/>
      <c r="HR21" s="141"/>
      <c r="HS21" s="141"/>
      <c r="HT21" s="141"/>
      <c r="HU21" s="141"/>
      <c r="HV21" s="141"/>
      <c r="HW21" s="141"/>
      <c r="HX21" s="141"/>
      <c r="HY21" s="141"/>
      <c r="HZ21" s="141"/>
      <c r="IA21" s="141"/>
      <c r="IB21" s="141"/>
      <c r="IC21" s="141"/>
      <c r="ID21" s="141"/>
      <c r="IE21" s="141"/>
      <c r="IF21" s="141"/>
      <c r="IG21" s="141"/>
      <c r="IH21" s="141"/>
      <c r="II21" s="141"/>
      <c r="IJ21" s="141"/>
      <c r="IK21" s="141"/>
      <c r="IL21" s="141"/>
      <c r="IM21" s="141"/>
      <c r="IN21" s="141"/>
      <c r="IO21" s="141"/>
      <c r="IP21" s="141"/>
      <c r="IQ21" s="141"/>
      <c r="IR21" s="141"/>
      <c r="IS21" s="141"/>
      <c r="IT21" s="141"/>
      <c r="IU21" s="141"/>
      <c r="IV21" s="141"/>
      <c r="IW21" s="141"/>
      <c r="IX21" s="141"/>
      <c r="IY21" s="21">
        <v>1</v>
      </c>
      <c r="IZ21" s="31">
        <f>(TEXT(K21,"[m]")/60)*VLOOKUP(IY21,'Income Person-hours'!A$2:C$5,3,FALSE)</f>
        <v>0</v>
      </c>
      <c r="JA21" s="91"/>
      <c r="JB21" s="91"/>
      <c r="JC21" s="91"/>
      <c r="JD21" s="160">
        <f>SUM((TEXT(JA21,"[M]")/60)*'Income Person-hours'!$D$3,(TEXT(JB21,"[M]")/60)*'Income Person-hours'!$D$4,(TEXT(JC21,"[M]")/60)*'Income Person-hours'!$D$5)</f>
        <v>0</v>
      </c>
    </row>
    <row r="22" spans="1:16384" s="159" customFormat="1" ht="13.5">
      <c r="A22" s="197">
        <v>2.2999999999999998</v>
      </c>
      <c r="B22" s="186" t="s">
        <v>121</v>
      </c>
      <c r="C22" s="173" t="s">
        <v>72</v>
      </c>
      <c r="D22" s="298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1398/10/05</v>
      </c>
      <c r="E22" s="136">
        <f t="shared" si="4"/>
        <v>13981005</v>
      </c>
      <c r="F22" s="299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1398/10/05</v>
      </c>
      <c r="G22" s="139">
        <f t="shared" si="5"/>
        <v>13981005</v>
      </c>
      <c r="H22" s="175"/>
      <c r="I22" s="176">
        <v>2.2000000000000002</v>
      </c>
      <c r="J22" s="174">
        <f>j_WEEKDAY(D22,2)</f>
        <v>5</v>
      </c>
      <c r="K22" s="143">
        <f t="shared" si="11"/>
        <v>0</v>
      </c>
      <c r="L22" s="177">
        <f t="shared" si="12"/>
        <v>1</v>
      </c>
      <c r="M22" s="178">
        <v>1</v>
      </c>
      <c r="N22" s="179">
        <v>1</v>
      </c>
      <c r="O22" s="144">
        <f t="shared" si="13"/>
        <v>1</v>
      </c>
      <c r="P22" s="144">
        <f>VALUE(J_normdate(J_ADDDAY($D22,$O22,1)))</f>
        <v>13981006</v>
      </c>
      <c r="Q22" s="142">
        <f t="shared" si="14"/>
        <v>0</v>
      </c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CW22" s="141"/>
      <c r="CX22" s="141"/>
      <c r="CY22" s="141"/>
      <c r="CZ22" s="141"/>
      <c r="DA22" s="141"/>
      <c r="DB22" s="141"/>
      <c r="DC22" s="141"/>
      <c r="DD22" s="141"/>
      <c r="DE22" s="141"/>
      <c r="DF22" s="141"/>
      <c r="DG22" s="141"/>
      <c r="DH22" s="141"/>
      <c r="DI22" s="141"/>
      <c r="DJ22" s="141"/>
      <c r="DK22" s="141"/>
      <c r="DL22" s="141"/>
      <c r="DM22" s="141"/>
      <c r="DN22" s="141"/>
      <c r="DO22" s="141"/>
      <c r="DP22" s="141"/>
      <c r="DQ22" s="141"/>
      <c r="DR22" s="141"/>
      <c r="DS22" s="141"/>
      <c r="DT22" s="141"/>
      <c r="DU22" s="141"/>
      <c r="DV22" s="141"/>
      <c r="DW22" s="141"/>
      <c r="DX22" s="141"/>
      <c r="DY22" s="141"/>
      <c r="DZ22" s="141"/>
      <c r="EA22" s="141"/>
      <c r="EB22" s="141"/>
      <c r="EC22" s="141"/>
      <c r="ED22" s="141"/>
      <c r="EE22" s="141"/>
      <c r="EF22" s="141"/>
      <c r="EG22" s="141"/>
      <c r="EH22" s="141"/>
      <c r="EI22" s="141"/>
      <c r="EJ22" s="141"/>
      <c r="EK22" s="141"/>
      <c r="EL22" s="141"/>
      <c r="EM22" s="141"/>
      <c r="EN22" s="141"/>
      <c r="EO22" s="141"/>
      <c r="EP22" s="141"/>
      <c r="EQ22" s="141"/>
      <c r="ER22" s="141"/>
      <c r="ES22" s="141"/>
      <c r="ET22" s="141"/>
      <c r="EU22" s="141"/>
      <c r="EV22" s="141"/>
      <c r="EW22" s="141"/>
      <c r="EX22" s="141"/>
      <c r="EY22" s="141"/>
      <c r="EZ22" s="141"/>
      <c r="FA22" s="141"/>
      <c r="FB22" s="141"/>
      <c r="FC22" s="141"/>
      <c r="FD22" s="141"/>
      <c r="FE22" s="141"/>
      <c r="FF22" s="141"/>
      <c r="FG22" s="141"/>
      <c r="FH22" s="141"/>
      <c r="FI22" s="141"/>
      <c r="FJ22" s="141"/>
      <c r="FK22" s="141"/>
      <c r="FL22" s="141"/>
      <c r="FM22" s="141"/>
      <c r="FN22" s="141"/>
      <c r="FO22" s="141"/>
      <c r="FP22" s="141"/>
      <c r="FQ22" s="141"/>
      <c r="FR22" s="141"/>
      <c r="FS22" s="141"/>
      <c r="FT22" s="141"/>
      <c r="FU22" s="141"/>
      <c r="FV22" s="141"/>
      <c r="FW22" s="141"/>
      <c r="FX22" s="141"/>
      <c r="FY22" s="141"/>
      <c r="FZ22" s="141"/>
      <c r="GA22" s="141"/>
      <c r="GB22" s="141"/>
      <c r="GC22" s="141"/>
      <c r="GD22" s="141"/>
      <c r="GE22" s="141"/>
      <c r="GF22" s="141"/>
      <c r="GG22" s="141"/>
      <c r="GH22" s="141"/>
      <c r="GI22" s="141"/>
      <c r="GJ22" s="141"/>
      <c r="GK22" s="141"/>
      <c r="GL22" s="141"/>
      <c r="GM22" s="141"/>
      <c r="GN22" s="141"/>
      <c r="GO22" s="141"/>
      <c r="GP22" s="141"/>
      <c r="GQ22" s="141"/>
      <c r="GR22" s="141"/>
      <c r="GS22" s="141"/>
      <c r="GT22" s="141"/>
      <c r="GU22" s="141"/>
      <c r="GV22" s="141"/>
      <c r="GW22" s="141"/>
      <c r="GX22" s="141"/>
      <c r="GY22" s="141"/>
      <c r="GZ22" s="141"/>
      <c r="HA22" s="141"/>
      <c r="HB22" s="141"/>
      <c r="HC22" s="141"/>
      <c r="HD22" s="141"/>
      <c r="HE22" s="141"/>
      <c r="HF22" s="141"/>
      <c r="HG22" s="141"/>
      <c r="HH22" s="141"/>
      <c r="HI22" s="141"/>
      <c r="HJ22" s="141"/>
      <c r="HK22" s="141"/>
      <c r="HL22" s="141"/>
      <c r="HM22" s="141"/>
      <c r="HN22" s="141"/>
      <c r="HO22" s="141"/>
      <c r="HP22" s="141"/>
      <c r="HQ22" s="141"/>
      <c r="HR22" s="141"/>
      <c r="HS22" s="141"/>
      <c r="HT22" s="141"/>
      <c r="HU22" s="141"/>
      <c r="HV22" s="141"/>
      <c r="HW22" s="141"/>
      <c r="HX22" s="141"/>
      <c r="HY22" s="141"/>
      <c r="HZ22" s="141"/>
      <c r="IA22" s="141"/>
      <c r="IB22" s="141"/>
      <c r="IC22" s="141"/>
      <c r="ID22" s="141"/>
      <c r="IE22" s="141"/>
      <c r="IF22" s="141"/>
      <c r="IG22" s="141"/>
      <c r="IH22" s="141"/>
      <c r="II22" s="141"/>
      <c r="IJ22" s="141"/>
      <c r="IK22" s="141"/>
      <c r="IL22" s="141"/>
      <c r="IM22" s="141"/>
      <c r="IN22" s="141"/>
      <c r="IO22" s="141"/>
      <c r="IP22" s="141"/>
      <c r="IQ22" s="141"/>
      <c r="IR22" s="141"/>
      <c r="IS22" s="141"/>
      <c r="IT22" s="141"/>
      <c r="IU22" s="141"/>
      <c r="IV22" s="141"/>
      <c r="IW22" s="141"/>
      <c r="IX22" s="141"/>
      <c r="IY22" s="21">
        <v>2</v>
      </c>
      <c r="IZ22" s="31">
        <f>(TEXT(K22,"[m]")/60)*VLOOKUP(IY22,'Income Person-hours'!A$2:C$5,3,FALSE)</f>
        <v>0</v>
      </c>
      <c r="JA22" s="91"/>
      <c r="JB22" s="91"/>
      <c r="JC22" s="91"/>
      <c r="JD22" s="160">
        <f>SUM((TEXT(JA22,"[M]")/60)*'Income Person-hours'!$D$3,(TEXT(JB22,"[M]")/60)*'Income Person-hours'!$D$4,(TEXT(JC22,"[M]")/60)*'Income Person-hours'!$D$5)</f>
        <v>0</v>
      </c>
    </row>
    <row r="23" spans="1:16384" s="159" customFormat="1" ht="13.5">
      <c r="A23" s="197">
        <v>2.4</v>
      </c>
      <c r="B23" s="186" t="s">
        <v>122</v>
      </c>
      <c r="C23" s="173" t="s">
        <v>104</v>
      </c>
      <c r="D23" s="298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1398/10/07</v>
      </c>
      <c r="E23" s="136">
        <f t="shared" si="4"/>
        <v>13981007</v>
      </c>
      <c r="F23" s="299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1398/10/08</v>
      </c>
      <c r="G23" s="139">
        <f t="shared" si="5"/>
        <v>13981008</v>
      </c>
      <c r="H23" s="175">
        <v>1</v>
      </c>
      <c r="I23" s="176">
        <v>2.2999999999999998</v>
      </c>
      <c r="J23" s="174">
        <f>j_WEEKDAY(D23,2)</f>
        <v>0</v>
      </c>
      <c r="K23" s="143">
        <f t="shared" si="11"/>
        <v>0</v>
      </c>
      <c r="L23" s="177">
        <f t="shared" si="12"/>
        <v>2</v>
      </c>
      <c r="M23" s="178">
        <v>1</v>
      </c>
      <c r="N23" s="179">
        <v>2</v>
      </c>
      <c r="O23" s="144">
        <f t="shared" si="13"/>
        <v>2</v>
      </c>
      <c r="P23" s="144">
        <f>VALUE(J_normdate(J_ADDDAY($D23,$O23,1)))</f>
        <v>13981009</v>
      </c>
      <c r="Q23" s="142">
        <f t="shared" si="14"/>
        <v>0</v>
      </c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  <c r="CK23" s="141"/>
      <c r="CL23" s="141"/>
      <c r="CM23" s="141"/>
      <c r="CN23" s="141"/>
      <c r="CO23" s="141"/>
      <c r="CP23" s="141"/>
      <c r="CQ23" s="141"/>
      <c r="CR23" s="141"/>
      <c r="CS23" s="141"/>
      <c r="CT23" s="141"/>
      <c r="CU23" s="141"/>
      <c r="CV23" s="141"/>
      <c r="CW23" s="141"/>
      <c r="CX23" s="141"/>
      <c r="CY23" s="141"/>
      <c r="CZ23" s="141"/>
      <c r="DA23" s="141"/>
      <c r="DB23" s="141"/>
      <c r="DC23" s="141"/>
      <c r="DD23" s="141"/>
      <c r="DE23" s="141"/>
      <c r="DF23" s="141"/>
      <c r="DG23" s="141"/>
      <c r="DH23" s="141"/>
      <c r="DI23" s="141"/>
      <c r="DJ23" s="141"/>
      <c r="DK23" s="141"/>
      <c r="DL23" s="141"/>
      <c r="DM23" s="141"/>
      <c r="DN23" s="141"/>
      <c r="DO23" s="141"/>
      <c r="DP23" s="141"/>
      <c r="DQ23" s="141"/>
      <c r="DR23" s="141"/>
      <c r="DS23" s="141"/>
      <c r="DT23" s="141"/>
      <c r="DU23" s="141"/>
      <c r="DV23" s="141"/>
      <c r="DW23" s="141"/>
      <c r="DX23" s="141"/>
      <c r="DY23" s="141"/>
      <c r="DZ23" s="141"/>
      <c r="EA23" s="141"/>
      <c r="EB23" s="141"/>
      <c r="EC23" s="141"/>
      <c r="ED23" s="141"/>
      <c r="EE23" s="141"/>
      <c r="EF23" s="141"/>
      <c r="EG23" s="141"/>
      <c r="EH23" s="141"/>
      <c r="EI23" s="141"/>
      <c r="EJ23" s="141"/>
      <c r="EK23" s="141"/>
      <c r="EL23" s="141"/>
      <c r="EM23" s="141"/>
      <c r="EN23" s="141"/>
      <c r="EO23" s="141"/>
      <c r="EP23" s="141"/>
      <c r="EQ23" s="141"/>
      <c r="ER23" s="141"/>
      <c r="ES23" s="141"/>
      <c r="ET23" s="141"/>
      <c r="EU23" s="141"/>
      <c r="EV23" s="141"/>
      <c r="EW23" s="141"/>
      <c r="EX23" s="141"/>
      <c r="EY23" s="141"/>
      <c r="EZ23" s="141"/>
      <c r="FA23" s="141"/>
      <c r="FB23" s="141"/>
      <c r="FC23" s="141"/>
      <c r="FD23" s="141"/>
      <c r="FE23" s="141"/>
      <c r="FF23" s="141"/>
      <c r="FG23" s="141"/>
      <c r="FH23" s="141"/>
      <c r="FI23" s="141"/>
      <c r="FJ23" s="141"/>
      <c r="FK23" s="141"/>
      <c r="FL23" s="141"/>
      <c r="FM23" s="141"/>
      <c r="FN23" s="141"/>
      <c r="FO23" s="141"/>
      <c r="FP23" s="141"/>
      <c r="FQ23" s="141"/>
      <c r="FR23" s="141"/>
      <c r="FS23" s="141"/>
      <c r="FT23" s="141"/>
      <c r="FU23" s="141"/>
      <c r="FV23" s="141"/>
      <c r="FW23" s="141"/>
      <c r="FX23" s="141"/>
      <c r="FY23" s="141"/>
      <c r="FZ23" s="141"/>
      <c r="GA23" s="141"/>
      <c r="GB23" s="141"/>
      <c r="GC23" s="141"/>
      <c r="GD23" s="141"/>
      <c r="GE23" s="141"/>
      <c r="GF23" s="141"/>
      <c r="GG23" s="141"/>
      <c r="GH23" s="141"/>
      <c r="GI23" s="141"/>
      <c r="GJ23" s="141"/>
      <c r="GK23" s="141"/>
      <c r="GL23" s="141"/>
      <c r="GM23" s="141"/>
      <c r="GN23" s="141"/>
      <c r="GO23" s="141"/>
      <c r="GP23" s="141"/>
      <c r="GQ23" s="141"/>
      <c r="GR23" s="141"/>
      <c r="GS23" s="141"/>
      <c r="GT23" s="141"/>
      <c r="GU23" s="141"/>
      <c r="GV23" s="141"/>
      <c r="GW23" s="141"/>
      <c r="GX23" s="141"/>
      <c r="GY23" s="141"/>
      <c r="GZ23" s="141"/>
      <c r="HA23" s="141"/>
      <c r="HB23" s="141"/>
      <c r="HC23" s="141"/>
      <c r="HD23" s="141"/>
      <c r="HE23" s="141"/>
      <c r="HF23" s="141"/>
      <c r="HG23" s="141"/>
      <c r="HH23" s="141"/>
      <c r="HI23" s="141"/>
      <c r="HJ23" s="141"/>
      <c r="HK23" s="141"/>
      <c r="HL23" s="141"/>
      <c r="HM23" s="141"/>
      <c r="HN23" s="141"/>
      <c r="HO23" s="141"/>
      <c r="HP23" s="141"/>
      <c r="HQ23" s="141"/>
      <c r="HR23" s="141"/>
      <c r="HS23" s="141"/>
      <c r="HT23" s="141"/>
      <c r="HU23" s="141"/>
      <c r="HV23" s="141"/>
      <c r="HW23" s="141"/>
      <c r="HX23" s="141"/>
      <c r="HY23" s="141"/>
      <c r="HZ23" s="141"/>
      <c r="IA23" s="141"/>
      <c r="IB23" s="141"/>
      <c r="IC23" s="141"/>
      <c r="ID23" s="141"/>
      <c r="IE23" s="141"/>
      <c r="IF23" s="141"/>
      <c r="IG23" s="141"/>
      <c r="IH23" s="141"/>
      <c r="II23" s="141"/>
      <c r="IJ23" s="141"/>
      <c r="IK23" s="141"/>
      <c r="IL23" s="141"/>
      <c r="IM23" s="141"/>
      <c r="IN23" s="141"/>
      <c r="IO23" s="141"/>
      <c r="IP23" s="141"/>
      <c r="IQ23" s="141"/>
      <c r="IR23" s="141"/>
      <c r="IS23" s="141"/>
      <c r="IT23" s="141"/>
      <c r="IU23" s="141"/>
      <c r="IV23" s="141"/>
      <c r="IW23" s="141"/>
      <c r="IX23" s="141"/>
      <c r="IY23" s="21">
        <v>1</v>
      </c>
      <c r="IZ23" s="31">
        <f>(TEXT(K23,"[m]")/60)*VLOOKUP(IY23,'Income Person-hours'!A$2:C$5,3,FALSE)</f>
        <v>0</v>
      </c>
      <c r="JA23" s="91"/>
      <c r="JB23" s="91"/>
      <c r="JC23" s="91"/>
      <c r="JD23" s="160">
        <f>SUM((TEXT(JA23,"[M]")/60)*'Income Person-hours'!$D$3,(TEXT(JB23,"[M]")/60)*'Income Person-hours'!$D$4,(TEXT(JC23,"[M]")/60)*'Income Person-hours'!$D$5)</f>
        <v>0</v>
      </c>
    </row>
    <row r="24" spans="1:16384" s="159" customFormat="1" ht="13.5">
      <c r="A24" s="197">
        <v>2.5</v>
      </c>
      <c r="B24" s="186" t="s">
        <v>131</v>
      </c>
      <c r="C24" s="173" t="s">
        <v>104</v>
      </c>
      <c r="D24" s="298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1398/10/09</v>
      </c>
      <c r="E24" s="136">
        <f t="shared" si="4"/>
        <v>13981009</v>
      </c>
      <c r="F24" s="299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1398/10/10</v>
      </c>
      <c r="G24" s="139">
        <f t="shared" si="5"/>
        <v>13981010</v>
      </c>
      <c r="H24" s="175">
        <v>1</v>
      </c>
      <c r="I24" s="176">
        <v>2.4</v>
      </c>
      <c r="J24" s="174">
        <f>j_WEEKDAY(D24,2)</f>
        <v>2</v>
      </c>
      <c r="K24" s="143">
        <f t="shared" si="11"/>
        <v>0</v>
      </c>
      <c r="L24" s="177">
        <f t="shared" si="12"/>
        <v>2</v>
      </c>
      <c r="M24" s="178">
        <v>1</v>
      </c>
      <c r="N24" s="179">
        <v>2</v>
      </c>
      <c r="O24" s="144">
        <f t="shared" si="13"/>
        <v>2</v>
      </c>
      <c r="P24" s="144">
        <f>VALUE(J_normdate(J_ADDDAY($D24,$O24,1)))</f>
        <v>13981011</v>
      </c>
      <c r="Q24" s="142">
        <f t="shared" si="14"/>
        <v>0</v>
      </c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B24" s="141"/>
      <c r="DC24" s="141"/>
      <c r="DD24" s="141"/>
      <c r="DE24" s="141"/>
      <c r="DF24" s="141"/>
      <c r="DG24" s="141"/>
      <c r="DH24" s="141"/>
      <c r="DI24" s="141"/>
      <c r="DJ24" s="141"/>
      <c r="DK24" s="141"/>
      <c r="DL24" s="141"/>
      <c r="DM24" s="141"/>
      <c r="DN24" s="141"/>
      <c r="DO24" s="141"/>
      <c r="DP24" s="141"/>
      <c r="DQ24" s="141"/>
      <c r="DR24" s="141"/>
      <c r="DS24" s="141"/>
      <c r="DT24" s="141"/>
      <c r="DU24" s="141"/>
      <c r="DV24" s="141"/>
      <c r="DW24" s="141"/>
      <c r="DX24" s="141"/>
      <c r="DY24" s="141"/>
      <c r="DZ24" s="141"/>
      <c r="EA24" s="141"/>
      <c r="EB24" s="141"/>
      <c r="EC24" s="141"/>
      <c r="ED24" s="141"/>
      <c r="EE24" s="141"/>
      <c r="EF24" s="141"/>
      <c r="EG24" s="141"/>
      <c r="EH24" s="141"/>
      <c r="EI24" s="141"/>
      <c r="EJ24" s="141"/>
      <c r="EK24" s="141"/>
      <c r="EL24" s="141"/>
      <c r="EM24" s="141"/>
      <c r="EN24" s="141"/>
      <c r="EO24" s="141"/>
      <c r="EP24" s="141"/>
      <c r="EQ24" s="141"/>
      <c r="ER24" s="141"/>
      <c r="ES24" s="141"/>
      <c r="ET24" s="141"/>
      <c r="EU24" s="141"/>
      <c r="EV24" s="141"/>
      <c r="EW24" s="141"/>
      <c r="EX24" s="141"/>
      <c r="EY24" s="141"/>
      <c r="EZ24" s="141"/>
      <c r="FA24" s="141"/>
      <c r="FB24" s="141"/>
      <c r="FC24" s="141"/>
      <c r="FD24" s="141"/>
      <c r="FE24" s="141"/>
      <c r="FF24" s="141"/>
      <c r="FG24" s="141"/>
      <c r="FH24" s="141"/>
      <c r="FI24" s="141"/>
      <c r="FJ24" s="141"/>
      <c r="FK24" s="141"/>
      <c r="FL24" s="141"/>
      <c r="FM24" s="141"/>
      <c r="FN24" s="141"/>
      <c r="FO24" s="141"/>
      <c r="FP24" s="141"/>
      <c r="FQ24" s="141"/>
      <c r="FR24" s="141"/>
      <c r="FS24" s="141"/>
      <c r="FT24" s="141"/>
      <c r="FU24" s="141"/>
      <c r="FV24" s="141"/>
      <c r="FW24" s="141"/>
      <c r="FX24" s="141"/>
      <c r="FY24" s="141"/>
      <c r="FZ24" s="141"/>
      <c r="GA24" s="141"/>
      <c r="GB24" s="141"/>
      <c r="GC24" s="141"/>
      <c r="GD24" s="141"/>
      <c r="GE24" s="141"/>
      <c r="GF24" s="141"/>
      <c r="GG24" s="141"/>
      <c r="GH24" s="141"/>
      <c r="GI24" s="141"/>
      <c r="GJ24" s="141"/>
      <c r="GK24" s="141"/>
      <c r="GL24" s="141"/>
      <c r="GM24" s="141"/>
      <c r="GN24" s="141"/>
      <c r="GO24" s="141"/>
      <c r="GP24" s="141"/>
      <c r="GQ24" s="141"/>
      <c r="GR24" s="141"/>
      <c r="GS24" s="141"/>
      <c r="GT24" s="141"/>
      <c r="GU24" s="141"/>
      <c r="GV24" s="141"/>
      <c r="GW24" s="141"/>
      <c r="GX24" s="141"/>
      <c r="GY24" s="141"/>
      <c r="GZ24" s="141"/>
      <c r="HA24" s="141"/>
      <c r="HB24" s="141"/>
      <c r="HC24" s="141"/>
      <c r="HD24" s="141"/>
      <c r="HE24" s="141"/>
      <c r="HF24" s="141"/>
      <c r="HG24" s="141"/>
      <c r="HH24" s="141"/>
      <c r="HI24" s="141"/>
      <c r="HJ24" s="141"/>
      <c r="HK24" s="141"/>
      <c r="HL24" s="141"/>
      <c r="HM24" s="141"/>
      <c r="HN24" s="141"/>
      <c r="HO24" s="141"/>
      <c r="HP24" s="141"/>
      <c r="HQ24" s="141"/>
      <c r="HR24" s="141"/>
      <c r="HS24" s="141"/>
      <c r="HT24" s="141"/>
      <c r="HU24" s="141"/>
      <c r="HV24" s="141"/>
      <c r="HW24" s="141"/>
      <c r="HX24" s="141"/>
      <c r="HY24" s="141"/>
      <c r="HZ24" s="141"/>
      <c r="IA24" s="141"/>
      <c r="IB24" s="141"/>
      <c r="IC24" s="141"/>
      <c r="ID24" s="141"/>
      <c r="IE24" s="141"/>
      <c r="IF24" s="141"/>
      <c r="IG24" s="141"/>
      <c r="IH24" s="141"/>
      <c r="II24" s="141"/>
      <c r="IJ24" s="141"/>
      <c r="IK24" s="141"/>
      <c r="IL24" s="141"/>
      <c r="IM24" s="141"/>
      <c r="IN24" s="141"/>
      <c r="IO24" s="141"/>
      <c r="IP24" s="141"/>
      <c r="IQ24" s="141"/>
      <c r="IR24" s="141"/>
      <c r="IS24" s="141"/>
      <c r="IT24" s="141"/>
      <c r="IU24" s="141"/>
      <c r="IV24" s="141"/>
      <c r="IW24" s="141"/>
      <c r="IX24" s="141"/>
      <c r="IY24" s="21">
        <v>1</v>
      </c>
      <c r="IZ24" s="31">
        <f>(TEXT(K24,"[m]")/60)*VLOOKUP(IY24,'Income Person-hours'!A$2:C$5,3,FALSE)</f>
        <v>0</v>
      </c>
      <c r="JA24" s="91"/>
      <c r="JB24" s="91"/>
      <c r="JC24" s="91"/>
      <c r="JD24" s="160">
        <f>SUM((TEXT(JA24,"[M]")/60)*'Income Person-hours'!$D$3,(TEXT(JB24,"[M]")/60)*'Income Person-hours'!$D$4,(TEXT(JC24,"[M]")/60)*'Income Person-hours'!$D$5)</f>
        <v>0</v>
      </c>
    </row>
    <row r="25" spans="1:16384" s="159" customFormat="1" ht="13.5">
      <c r="A25" s="188">
        <v>2.6</v>
      </c>
      <c r="B25" s="186" t="s">
        <v>172</v>
      </c>
      <c r="C25" s="173" t="s">
        <v>104</v>
      </c>
      <c r="D25" s="298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1398/10/16</v>
      </c>
      <c r="E25" s="136">
        <f t="shared" si="4"/>
        <v>13981016</v>
      </c>
      <c r="F25" s="299" t="str">
        <f>IF(N25=0,J_SUBDAY(D25,1,1),IF((N25-(NETWORKDAYS.INTL(J_GregorianDate(D25,1),J_GregorianDate(J_SUBDAY(J_ADDDAY(D25,N25,1),1,1),1),16,1)))+SUMIFS(Holieday[ok],Holieday[date],CONCATENATE("&gt;","=",D25),Holieday[date],CONCATENATE("&lt;","=",J_SUBDAY(J_ADDDAY(D25,N25,1),1,1)))-SUMIFS(Holieday[Friday],Holieday[date],CONCATENATE("&gt;","=",D25),Holieday[date],CONCATENATE("&lt;","=",J_SUBDAY(J_ADDDAY(D25,N25,1),1,1)))=0,J_SUBDAY(J_ADDDAY(D25,N25,1),1,1),IF((N25+1-(NETWORKDAYS.INTL(J_GregorianDate(D25,1),J_GregorianDate(J_SUBDAY(J_ADDDAY(D25,N25+1,1),1,1),1),16,1)))+SUMIFS(Holieday[ok],Holieday[date],CONCATENATE("&gt;","=",D25),Holieday[date],CONCATENATE("&lt;","=",J_SUBDAY(J_ADDDAY(D25,N25+1,1),1,1)))-SUMIFS(Holieday[Friday],Holieday[date],CONCATENATE("&gt;","=",D25),Holieday[date],CONCATENATE("&lt;","=",J_SUBDAY(J_ADDDAY(D25,N25+1,1),1,1)))=1,J_SUBDAY(J_ADDDAY(D25,N25+1,1),1,1),IF((N25+2-(NETWORKDAYS.INTL(J_GregorianDate(D25,1),J_GregorianDate(J_SUBDAY(J_ADDDAY(D25,N25+2,1),1,1),1),16,1)))+SUMIFS(Holieday[ok],Holieday[date],CONCATENATE("&gt;","=",D25),Holieday[date],CONCATENATE("&lt;","=",J_SUBDAY(J_ADDDAY(D25,N25+2,1),1,1)))-SUMIFS(Holieday[Friday],Holieday[date],CONCATENATE("&gt;","=",D25),Holieday[date],CONCATENATE("&lt;","=",J_SUBDAY(J_ADDDAY(D25,N25+2,1),1,1)))=2,J_SUBDAY(J_ADDDAY(D25,N25+2,1),1,1),IF((N25+3-(NETWORKDAYS.INTL(J_GregorianDate(D25,1),J_GregorianDate(J_SUBDAY(J_ADDDAY(D25,N25+3,1),1,1),1),16,1)))+SUMIFS(Holieday[ok],Holieday[date],CONCATENATE("&gt;","=",D25),Holieday[date],CONCATENATE("&lt;","=",J_SUBDAY(J_ADDDAY(D25,N25+3,1),1,1)))-SUMIFS(Holieday[Friday],Holieday[date],CONCATENATE("&gt;","=",D25),Holieday[date],CONCATENATE("&lt;","=",J_SUBDAY(J_ADDDAY(D25,N25+3,1),1,1)))=3,J_SUBDAY(J_ADDDAY(D25,N25+3,1),1,1),IF((N25+4-(NETWORKDAYS.INTL(J_GregorianDate(D25,1),J_GregorianDate(J_SUBDAY(J_ADDDAY(D25,N25+4,1),1,1),1),16,1)))+SUMIFS(Holieday[ok],Holieday[date],CONCATENATE("&gt;","=",D25),Holieday[date],CONCATENATE("&lt;","=",J_SUBDAY(J_ADDDAY(D25,N25+4,1),1,1)))-SUMIFS(Holieday[Friday],Holieday[date],CONCATENATE("&gt;","=",D25),Holieday[date],CONCATENATE("&lt;","=",J_SUBDAY(J_ADDDAY(D25,N25+4,1),1,1)))=4,J_SUBDAY(J_ADDDAY(D25,N25+4,1),1,1),IF((N25+5-(NETWORKDAYS.INTL(J_GregorianDate(D25,1),J_GregorianDate(J_SUBDAY(J_ADDDAY(D25,N25+5,1),1,1),1),16,1)))+SUMIFS(Holieday[ok],Holieday[date],CONCATENATE("&gt;","=",D25),Holieday[date],CONCATENATE("&lt;","=",J_SUBDAY(J_ADDDAY(D25,N25+5,1),1,1)))-SUMIFS(Holieday[Friday],Holieday[date],CONCATENATE("&gt;","=",D25),Holieday[date],CONCATENATE("&lt;","=",J_SUBDAY(J_ADDDAY(D25,N25+5,1),1,1)))=5,J_SUBDAY(J_ADDDAY(D25,N25+5,1),1,1),J_SUBDAY(J_ADDDAY(D25,N25+6,1),1,1))))))))</f>
        <v>1398/10/16</v>
      </c>
      <c r="G25" s="139">
        <f t="shared" si="5"/>
        <v>13981016</v>
      </c>
      <c r="H25" s="175">
        <v>6</v>
      </c>
      <c r="I25" s="176">
        <v>2.5</v>
      </c>
      <c r="J25" s="174">
        <f>j_WEEKDAY(D25,2)</f>
        <v>2</v>
      </c>
      <c r="K25" s="143">
        <f t="shared" si="11"/>
        <v>0</v>
      </c>
      <c r="L25" s="177">
        <f t="shared" si="12"/>
        <v>1</v>
      </c>
      <c r="M25" s="178">
        <v>1</v>
      </c>
      <c r="N25" s="179">
        <v>1</v>
      </c>
      <c r="O25" s="144">
        <f t="shared" si="13"/>
        <v>1</v>
      </c>
      <c r="P25" s="144">
        <f>VALUE(J_normdate(J_ADDDAY($D25,$O25,1)))</f>
        <v>13981017</v>
      </c>
      <c r="Q25" s="142">
        <f t="shared" si="14"/>
        <v>0</v>
      </c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141"/>
      <c r="BM25" s="141"/>
      <c r="BN25" s="141"/>
      <c r="BO25" s="141"/>
      <c r="BP25" s="141"/>
      <c r="BQ25" s="141"/>
      <c r="BR25" s="141"/>
      <c r="BS25" s="141"/>
      <c r="BT25" s="141"/>
      <c r="BU25" s="141"/>
      <c r="BV25" s="141"/>
      <c r="BW25" s="141"/>
      <c r="BX25" s="141"/>
      <c r="BY25" s="141"/>
      <c r="BZ25" s="141"/>
      <c r="CA25" s="141"/>
      <c r="CB25" s="141"/>
      <c r="CC25" s="141"/>
      <c r="CD25" s="141"/>
      <c r="CE25" s="141"/>
      <c r="CF25" s="141"/>
      <c r="CG25" s="141"/>
      <c r="CH25" s="141"/>
      <c r="CI25" s="141"/>
      <c r="CJ25" s="141"/>
      <c r="CK25" s="141"/>
      <c r="CL25" s="141"/>
      <c r="CM25" s="141"/>
      <c r="CN25" s="141"/>
      <c r="CO25" s="141"/>
      <c r="CP25" s="141"/>
      <c r="CQ25" s="141"/>
      <c r="CR25" s="141"/>
      <c r="CS25" s="141"/>
      <c r="CT25" s="141"/>
      <c r="CU25" s="141"/>
      <c r="CV25" s="141"/>
      <c r="CW25" s="141"/>
      <c r="CX25" s="141"/>
      <c r="CY25" s="141"/>
      <c r="CZ25" s="141"/>
      <c r="DA25" s="141"/>
      <c r="DB25" s="141"/>
      <c r="DC25" s="141"/>
      <c r="DD25" s="141"/>
      <c r="DE25" s="141"/>
      <c r="DF25" s="141"/>
      <c r="DG25" s="141"/>
      <c r="DH25" s="141"/>
      <c r="DI25" s="141"/>
      <c r="DJ25" s="141"/>
      <c r="DK25" s="141"/>
      <c r="DL25" s="141"/>
      <c r="DM25" s="141"/>
      <c r="DN25" s="141"/>
      <c r="DO25" s="141"/>
      <c r="DP25" s="141"/>
      <c r="DQ25" s="141"/>
      <c r="DR25" s="141"/>
      <c r="DS25" s="141"/>
      <c r="DT25" s="141"/>
      <c r="DU25" s="141"/>
      <c r="DV25" s="141"/>
      <c r="DW25" s="141"/>
      <c r="DX25" s="141"/>
      <c r="DY25" s="141"/>
      <c r="DZ25" s="141"/>
      <c r="EA25" s="141"/>
      <c r="EB25" s="141"/>
      <c r="EC25" s="141"/>
      <c r="ED25" s="141"/>
      <c r="EE25" s="141"/>
      <c r="EF25" s="141"/>
      <c r="EG25" s="141"/>
      <c r="EH25" s="141"/>
      <c r="EI25" s="141"/>
      <c r="EJ25" s="141"/>
      <c r="EK25" s="141"/>
      <c r="EL25" s="141"/>
      <c r="EM25" s="141"/>
      <c r="EN25" s="141"/>
      <c r="EO25" s="141"/>
      <c r="EP25" s="141"/>
      <c r="EQ25" s="141"/>
      <c r="ER25" s="141"/>
      <c r="ES25" s="141"/>
      <c r="ET25" s="141"/>
      <c r="EU25" s="141"/>
      <c r="EV25" s="141"/>
      <c r="EW25" s="141"/>
      <c r="EX25" s="141"/>
      <c r="EY25" s="141"/>
      <c r="EZ25" s="141"/>
      <c r="FA25" s="141"/>
      <c r="FB25" s="141"/>
      <c r="FC25" s="141"/>
      <c r="FD25" s="141"/>
      <c r="FE25" s="141"/>
      <c r="FF25" s="141"/>
      <c r="FG25" s="141"/>
      <c r="FH25" s="141"/>
      <c r="FI25" s="141"/>
      <c r="FJ25" s="141"/>
      <c r="FK25" s="141"/>
      <c r="FL25" s="141"/>
      <c r="FM25" s="141"/>
      <c r="FN25" s="141"/>
      <c r="FO25" s="141"/>
      <c r="FP25" s="141"/>
      <c r="FQ25" s="141"/>
      <c r="FR25" s="141"/>
      <c r="FS25" s="141"/>
      <c r="FT25" s="141"/>
      <c r="FU25" s="141"/>
      <c r="FV25" s="141"/>
      <c r="FW25" s="141"/>
      <c r="FX25" s="141"/>
      <c r="FY25" s="141"/>
      <c r="FZ25" s="141"/>
      <c r="GA25" s="141"/>
      <c r="GB25" s="141"/>
      <c r="GC25" s="141"/>
      <c r="GD25" s="141"/>
      <c r="GE25" s="141"/>
      <c r="GF25" s="141"/>
      <c r="GG25" s="141"/>
      <c r="GH25" s="141"/>
      <c r="GI25" s="141"/>
      <c r="GJ25" s="141"/>
      <c r="GK25" s="141"/>
      <c r="GL25" s="141"/>
      <c r="GM25" s="141"/>
      <c r="GN25" s="141"/>
      <c r="GO25" s="141"/>
      <c r="GP25" s="141"/>
      <c r="GQ25" s="141"/>
      <c r="GR25" s="141"/>
      <c r="GS25" s="141"/>
      <c r="GT25" s="141"/>
      <c r="GU25" s="141"/>
      <c r="GV25" s="141"/>
      <c r="GW25" s="141"/>
      <c r="GX25" s="141"/>
      <c r="GY25" s="141"/>
      <c r="GZ25" s="141"/>
      <c r="HA25" s="141"/>
      <c r="HB25" s="141"/>
      <c r="HC25" s="141"/>
      <c r="HD25" s="141"/>
      <c r="HE25" s="141"/>
      <c r="HF25" s="141"/>
      <c r="HG25" s="141"/>
      <c r="HH25" s="141"/>
      <c r="HI25" s="141"/>
      <c r="HJ25" s="141"/>
      <c r="HK25" s="141"/>
      <c r="HL25" s="141"/>
      <c r="HM25" s="141"/>
      <c r="HN25" s="141"/>
      <c r="HO25" s="141"/>
      <c r="HP25" s="141"/>
      <c r="HQ25" s="141"/>
      <c r="HR25" s="141"/>
      <c r="HS25" s="141"/>
      <c r="HT25" s="141"/>
      <c r="HU25" s="141"/>
      <c r="HV25" s="141"/>
      <c r="HW25" s="141"/>
      <c r="HX25" s="141"/>
      <c r="HY25" s="141"/>
      <c r="HZ25" s="141"/>
      <c r="IA25" s="141"/>
      <c r="IB25" s="141"/>
      <c r="IC25" s="141"/>
      <c r="ID25" s="141"/>
      <c r="IE25" s="141"/>
      <c r="IF25" s="141"/>
      <c r="IG25" s="141"/>
      <c r="IH25" s="141"/>
      <c r="II25" s="141"/>
      <c r="IJ25" s="141"/>
      <c r="IK25" s="141"/>
      <c r="IL25" s="141"/>
      <c r="IM25" s="141"/>
      <c r="IN25" s="141"/>
      <c r="IO25" s="141"/>
      <c r="IP25" s="141"/>
      <c r="IQ25" s="141"/>
      <c r="IR25" s="141"/>
      <c r="IS25" s="141"/>
      <c r="IT25" s="141"/>
      <c r="IU25" s="141"/>
      <c r="IV25" s="141"/>
      <c r="IW25" s="141"/>
      <c r="IX25" s="141"/>
      <c r="IY25" s="21">
        <v>1</v>
      </c>
      <c r="IZ25" s="24">
        <f>(TEXT(K25,"[m]")/60)*VLOOKUP(IY25,'Income Person-hours'!A$2:C$5,3,FALSE)</f>
        <v>0</v>
      </c>
      <c r="JA25" s="91"/>
      <c r="JB25" s="91"/>
      <c r="JC25" s="91"/>
      <c r="JD25" s="160">
        <f>SUM((TEXT(JA25,"[M]")/60)*'Income Person-hours'!$D$3,(TEXT(JB25,"[M]")/60)*'Income Person-hours'!$D$4,(TEXT(JC25,"[M]")/60)*'Income Person-hours'!$D$5)</f>
        <v>0</v>
      </c>
    </row>
    <row r="26" spans="1:16384" s="7" customFormat="1" ht="13.5">
      <c r="A26" s="197">
        <v>2.7</v>
      </c>
      <c r="B26" s="186" t="s">
        <v>133</v>
      </c>
      <c r="C26" s="173" t="s">
        <v>103</v>
      </c>
      <c r="D26" s="305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1398/10/11</v>
      </c>
      <c r="E26" s="1">
        <f t="shared" si="4"/>
        <v>13981011</v>
      </c>
      <c r="F26" s="302" t="str">
        <f>IF(N26=0,J_SUBDAY(D26,1,1),IF((N26-(NETWORKDAYS.INTL(J_GregorianDate(D26,1),J_GregorianDate(J_SUBDAY(J_ADDDAY(D26,N26,1),1,1),1),16,1)))+SUMIFS(Holieday[ok],Holieday[date],CONCATENATE("&gt;","=",D26),Holieday[date],CONCATENATE("&lt;","=",J_SUBDAY(J_ADDDAY(D26,N26,1),1,1)))-SUMIFS(Holieday[Friday],Holieday[date],CONCATENATE("&gt;","=",D26),Holieday[date],CONCATENATE("&lt;","=",J_SUBDAY(J_ADDDAY(D26,N26,1),1,1)))=0,J_SUBDAY(J_ADDDAY(D26,N26,1),1,1),IF((N26+1-(NETWORKDAYS.INTL(J_GregorianDate(D26,1),J_GregorianDate(J_SUBDAY(J_ADDDAY(D26,N26+1,1),1,1),1),16,1)))+SUMIFS(Holieday[ok],Holieday[date],CONCATENATE("&gt;","=",D26),Holieday[date],CONCATENATE("&lt;","=",J_SUBDAY(J_ADDDAY(D26,N26+1,1),1,1)))-SUMIFS(Holieday[Friday],Holieday[date],CONCATENATE("&gt;","=",D26),Holieday[date],CONCATENATE("&lt;","=",J_SUBDAY(J_ADDDAY(D26,N26+1,1),1,1)))=1,J_SUBDAY(J_ADDDAY(D26,N26+1,1),1,1),IF((N26+2-(NETWORKDAYS.INTL(J_GregorianDate(D26,1),J_GregorianDate(J_SUBDAY(J_ADDDAY(D26,N26+2,1),1,1),1),16,1)))+SUMIFS(Holieday[ok],Holieday[date],CONCATENATE("&gt;","=",D26),Holieday[date],CONCATENATE("&lt;","=",J_SUBDAY(J_ADDDAY(D26,N26+2,1),1,1)))-SUMIFS(Holieday[Friday],Holieday[date],CONCATENATE("&gt;","=",D26),Holieday[date],CONCATENATE("&lt;","=",J_SUBDAY(J_ADDDAY(D26,N26+2,1),1,1)))=2,J_SUBDAY(J_ADDDAY(D26,N26+2,1),1,1),IF((N26+3-(NETWORKDAYS.INTL(J_GregorianDate(D26,1),J_GregorianDate(J_SUBDAY(J_ADDDAY(D26,N26+3,1),1,1),1),16,1)))+SUMIFS(Holieday[ok],Holieday[date],CONCATENATE("&gt;","=",D26),Holieday[date],CONCATENATE("&lt;","=",J_SUBDAY(J_ADDDAY(D26,N26+3,1),1,1)))-SUMIFS(Holieday[Friday],Holieday[date],CONCATENATE("&gt;","=",D26),Holieday[date],CONCATENATE("&lt;","=",J_SUBDAY(J_ADDDAY(D26,N26+3,1),1,1)))=3,J_SUBDAY(J_ADDDAY(D26,N26+3,1),1,1),IF((N26+4-(NETWORKDAYS.INTL(J_GregorianDate(D26,1),J_GregorianDate(J_SUBDAY(J_ADDDAY(D26,N26+4,1),1,1),1),16,1)))+SUMIFS(Holieday[ok],Holieday[date],CONCATENATE("&gt;","=",D26),Holieday[date],CONCATENATE("&lt;","=",J_SUBDAY(J_ADDDAY(D26,N26+4,1),1,1)))-SUMIFS(Holieday[Friday],Holieday[date],CONCATENATE("&gt;","=",D26),Holieday[date],CONCATENATE("&lt;","=",J_SUBDAY(J_ADDDAY(D26,N26+4,1),1,1)))=4,J_SUBDAY(J_ADDDAY(D26,N26+4,1),1,1),IF((N26+5-(NETWORKDAYS.INTL(J_GregorianDate(D26,1),J_GregorianDate(J_SUBDAY(J_ADDDAY(D26,N26+5,1),1,1),1),16,1)))+SUMIFS(Holieday[ok],Holieday[date],CONCATENATE("&gt;","=",D26),Holieday[date],CONCATENATE("&lt;","=",J_SUBDAY(J_ADDDAY(D26,N26+5,1),1,1)))-SUMIFS(Holieday[Friday],Holieday[date],CONCATENATE("&gt;","=",D26),Holieday[date],CONCATENATE("&lt;","=",J_SUBDAY(J_ADDDAY(D26,N26+5,1),1,1)))=5,J_SUBDAY(J_ADDDAY(D26,N26+5,1),1,1),J_SUBDAY(J_ADDDAY(D26,N26+6,1),1,1))))))))</f>
        <v>1398/10/11</v>
      </c>
      <c r="G26" s="2">
        <f t="shared" si="5"/>
        <v>13981011</v>
      </c>
      <c r="H26" s="175">
        <v>1</v>
      </c>
      <c r="I26" s="176">
        <v>2.5</v>
      </c>
      <c r="J26" s="190">
        <f>j_WEEKDAY(D26,2)</f>
        <v>4</v>
      </c>
      <c r="K26" s="13">
        <f t="shared" si="11"/>
        <v>0</v>
      </c>
      <c r="L26" s="191">
        <f t="shared" si="12"/>
        <v>1</v>
      </c>
      <c r="M26" s="178">
        <v>1</v>
      </c>
      <c r="N26" s="179">
        <v>1</v>
      </c>
      <c r="O26" s="6">
        <f t="shared" si="13"/>
        <v>1</v>
      </c>
      <c r="P26" s="6">
        <f>VALUE(J_normdate(J_ADDDAY($D26,$O26,1)))</f>
        <v>13981012</v>
      </c>
      <c r="Q26" s="5">
        <f t="shared" si="14"/>
        <v>0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21">
        <v>1</v>
      </c>
      <c r="IZ26" s="24">
        <f>(TEXT(K26,"[m]")/60)*VLOOKUP(IY26,'Income Person-hours'!A$2:C$5,3,FALSE)</f>
        <v>0</v>
      </c>
      <c r="JA26" s="91"/>
      <c r="JB26" s="91"/>
      <c r="JC26" s="91"/>
      <c r="JD26" s="54">
        <f>SUM((TEXT(JA26,"[M]")/60)*'Income Person-hours'!$D$3,(TEXT(JB26,"[M]")/60)*'Income Person-hours'!$D$4,(TEXT(JC26,"[M]")/60)*'Income Person-hours'!$D$5)</f>
        <v>0</v>
      </c>
    </row>
    <row r="27" spans="1:16384" s="7" customFormat="1" ht="13.5">
      <c r="A27" s="197">
        <v>2.8</v>
      </c>
      <c r="B27" s="186" t="s">
        <v>132</v>
      </c>
      <c r="C27" s="173" t="s">
        <v>72</v>
      </c>
      <c r="D27" s="305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1398/10/16</v>
      </c>
      <c r="E27" s="1">
        <f t="shared" si="4"/>
        <v>13981016</v>
      </c>
      <c r="F27" s="302" t="str">
        <f>IF(N27=0,J_SUBDAY(D27,1,1),IF((N27-(NETWORKDAYS.INTL(J_GregorianDate(D27,1),J_GregorianDate(J_SUBDAY(J_ADDDAY(D27,N27,1),1,1),1),16,1)))+SUMIFS(Holieday[ok],Holieday[date],CONCATENATE("&gt;","=",D27),Holieday[date],CONCATENATE("&lt;","=",J_SUBDAY(J_ADDDAY(D27,N27,1),1,1)))-SUMIFS(Holieday[Friday],Holieday[date],CONCATENATE("&gt;","=",D27),Holieday[date],CONCATENATE("&lt;","=",J_SUBDAY(J_ADDDAY(D27,N27,1),1,1)))=0,J_SUBDAY(J_ADDDAY(D27,N27,1),1,1),IF((N27+1-(NETWORKDAYS.INTL(J_GregorianDate(D27,1),J_GregorianDate(J_SUBDAY(J_ADDDAY(D27,N27+1,1),1,1),1),16,1)))+SUMIFS(Holieday[ok],Holieday[date],CONCATENATE("&gt;","=",D27),Holieday[date],CONCATENATE("&lt;","=",J_SUBDAY(J_ADDDAY(D27,N27+1,1),1,1)))-SUMIFS(Holieday[Friday],Holieday[date],CONCATENATE("&gt;","=",D27),Holieday[date],CONCATENATE("&lt;","=",J_SUBDAY(J_ADDDAY(D27,N27+1,1),1,1)))=1,J_SUBDAY(J_ADDDAY(D27,N27+1,1),1,1),IF((N27+2-(NETWORKDAYS.INTL(J_GregorianDate(D27,1),J_GregorianDate(J_SUBDAY(J_ADDDAY(D27,N27+2,1),1,1),1),16,1)))+SUMIFS(Holieday[ok],Holieday[date],CONCATENATE("&gt;","=",D27),Holieday[date],CONCATENATE("&lt;","=",J_SUBDAY(J_ADDDAY(D27,N27+2,1),1,1)))-SUMIFS(Holieday[Friday],Holieday[date],CONCATENATE("&gt;","=",D27),Holieday[date],CONCATENATE("&lt;","=",J_SUBDAY(J_ADDDAY(D27,N27+2,1),1,1)))=2,J_SUBDAY(J_ADDDAY(D27,N27+2,1),1,1),IF((N27+3-(NETWORKDAYS.INTL(J_GregorianDate(D27,1),J_GregorianDate(J_SUBDAY(J_ADDDAY(D27,N27+3,1),1,1),1),16,1)))+SUMIFS(Holieday[ok],Holieday[date],CONCATENATE("&gt;","=",D27),Holieday[date],CONCATENATE("&lt;","=",J_SUBDAY(J_ADDDAY(D27,N27+3,1),1,1)))-SUMIFS(Holieday[Friday],Holieday[date],CONCATENATE("&gt;","=",D27),Holieday[date],CONCATENATE("&lt;","=",J_SUBDAY(J_ADDDAY(D27,N27+3,1),1,1)))=3,J_SUBDAY(J_ADDDAY(D27,N27+3,1),1,1),IF((N27+4-(NETWORKDAYS.INTL(J_GregorianDate(D27,1),J_GregorianDate(J_SUBDAY(J_ADDDAY(D27,N27+4,1),1,1),1),16,1)))+SUMIFS(Holieday[ok],Holieday[date],CONCATENATE("&gt;","=",D27),Holieday[date],CONCATENATE("&lt;","=",J_SUBDAY(J_ADDDAY(D27,N27+4,1),1,1)))-SUMIFS(Holieday[Friday],Holieday[date],CONCATENATE("&gt;","=",D27),Holieday[date],CONCATENATE("&lt;","=",J_SUBDAY(J_ADDDAY(D27,N27+4,1),1,1)))=4,J_SUBDAY(J_ADDDAY(D27,N27+4,1),1,1),IF((N27+5-(NETWORKDAYS.INTL(J_GregorianDate(D27,1),J_GregorianDate(J_SUBDAY(J_ADDDAY(D27,N27+5,1),1,1),1),16,1)))+SUMIFS(Holieday[ok],Holieday[date],CONCATENATE("&gt;","=",D27),Holieday[date],CONCATENATE("&lt;","=",J_SUBDAY(J_ADDDAY(D27,N27+5,1),1,1)))-SUMIFS(Holieday[Friday],Holieday[date],CONCATENATE("&gt;","=",D27),Holieday[date],CONCATENATE("&lt;","=",J_SUBDAY(J_ADDDAY(D27,N27+5,1),1,1)))=5,J_SUBDAY(J_ADDDAY(D27,N27+5,1),1,1),J_SUBDAY(J_ADDDAY(D27,N27+6,1),1,1))))))))</f>
        <v>1398/12/16</v>
      </c>
      <c r="G27" s="2">
        <f t="shared" si="5"/>
        <v>13981216</v>
      </c>
      <c r="H27" s="175"/>
      <c r="I27" s="176">
        <v>2.6</v>
      </c>
      <c r="J27" s="190">
        <f>j_WEEKDAY(D27,2)</f>
        <v>2</v>
      </c>
      <c r="K27" s="13">
        <f t="shared" si="11"/>
        <v>0</v>
      </c>
      <c r="L27" s="191">
        <f t="shared" si="12"/>
        <v>61</v>
      </c>
      <c r="M27" s="178">
        <v>1</v>
      </c>
      <c r="N27" s="179">
        <v>55</v>
      </c>
      <c r="O27" s="6">
        <f t="shared" si="13"/>
        <v>61</v>
      </c>
      <c r="P27" s="6">
        <f>VALUE(J_normdate(J_ADDDAY($D27,$O27,1)))</f>
        <v>13981217</v>
      </c>
      <c r="Q27" s="5">
        <f t="shared" si="14"/>
        <v>0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21">
        <v>1</v>
      </c>
      <c r="IZ27" s="24">
        <f>(TEXT(K27,"[m]")/60)*VLOOKUP(IY27,'Income Person-hours'!A$2:C$5,3,FALSE)</f>
        <v>0</v>
      </c>
      <c r="JA27" s="91"/>
      <c r="JB27" s="91"/>
      <c r="JC27" s="91"/>
      <c r="JD27" s="54">
        <f>SUM((TEXT(JA27,"[M]")/60)*'Income Person-hours'!$D$3,(TEXT(JB27,"[M]")/60)*'Income Person-hours'!$D$4,(TEXT(JC27,"[M]")/60)*'Income Person-hours'!$D$5)</f>
        <v>0</v>
      </c>
    </row>
    <row r="28" spans="1:16384" s="7" customFormat="1" ht="13.5">
      <c r="A28" s="197">
        <v>2.9</v>
      </c>
      <c r="B28" s="186" t="s">
        <v>138</v>
      </c>
      <c r="C28" s="173" t="s">
        <v>103</v>
      </c>
      <c r="D28" s="305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1399/01/20</v>
      </c>
      <c r="E28" s="1">
        <f t="shared" ref="E28:E44" si="15">VALUE(J_normdate(D28))</f>
        <v>13990120</v>
      </c>
      <c r="F28" s="302" t="str">
        <f>IF(N28=0,J_SUBDAY(D28,1,1),IF((N28-(NETWORKDAYS.INTL(J_GregorianDate(D28,1),J_GregorianDate(J_SUBDAY(J_ADDDAY(D28,N28,1),1,1),1),16,1)))+SUMIFS(Holieday[ok],Holieday[date],CONCATENATE("&gt;","=",D28),Holieday[date],CONCATENATE("&lt;","=",J_SUBDAY(J_ADDDAY(D28,N28,1),1,1)))-SUMIFS(Holieday[Friday],Holieday[date],CONCATENATE("&gt;","=",D28),Holieday[date],CONCATENATE("&lt;","=",J_SUBDAY(J_ADDDAY(D28,N28,1),1,1)))=0,J_SUBDAY(J_ADDDAY(D28,N28,1),1,1),IF((N28+1-(NETWORKDAYS.INTL(J_GregorianDate(D28,1),J_GregorianDate(J_SUBDAY(J_ADDDAY(D28,N28+1,1),1,1),1),16,1)))+SUMIFS(Holieday[ok],Holieday[date],CONCATENATE("&gt;","=",D28),Holieday[date],CONCATENATE("&lt;","=",J_SUBDAY(J_ADDDAY(D28,N28+1,1),1,1)))-SUMIFS(Holieday[Friday],Holieday[date],CONCATENATE("&gt;","=",D28),Holieday[date],CONCATENATE("&lt;","=",J_SUBDAY(J_ADDDAY(D28,N28+1,1),1,1)))=1,J_SUBDAY(J_ADDDAY(D28,N28+1,1),1,1),IF((N28+2-(NETWORKDAYS.INTL(J_GregorianDate(D28,1),J_GregorianDate(J_SUBDAY(J_ADDDAY(D28,N28+2,1),1,1),1),16,1)))+SUMIFS(Holieday[ok],Holieday[date],CONCATENATE("&gt;","=",D28),Holieday[date],CONCATENATE("&lt;","=",J_SUBDAY(J_ADDDAY(D28,N28+2,1),1,1)))-SUMIFS(Holieday[Friday],Holieday[date],CONCATENATE("&gt;","=",D28),Holieday[date],CONCATENATE("&lt;","=",J_SUBDAY(J_ADDDAY(D28,N28+2,1),1,1)))=2,J_SUBDAY(J_ADDDAY(D28,N28+2,1),1,1),IF((N28+3-(NETWORKDAYS.INTL(J_GregorianDate(D28,1),J_GregorianDate(J_SUBDAY(J_ADDDAY(D28,N28+3,1),1,1),1),16,1)))+SUMIFS(Holieday[ok],Holieday[date],CONCATENATE("&gt;","=",D28),Holieday[date],CONCATENATE("&lt;","=",J_SUBDAY(J_ADDDAY(D28,N28+3,1),1,1)))-SUMIFS(Holieday[Friday],Holieday[date],CONCATENATE("&gt;","=",D28),Holieday[date],CONCATENATE("&lt;","=",J_SUBDAY(J_ADDDAY(D28,N28+3,1),1,1)))=3,J_SUBDAY(J_ADDDAY(D28,N28+3,1),1,1),IF((N28+4-(NETWORKDAYS.INTL(J_GregorianDate(D28,1),J_GregorianDate(J_SUBDAY(J_ADDDAY(D28,N28+4,1),1,1),1),16,1)))+SUMIFS(Holieday[ok],Holieday[date],CONCATENATE("&gt;","=",D28),Holieday[date],CONCATENATE("&lt;","=",J_SUBDAY(J_ADDDAY(D28,N28+4,1),1,1)))-SUMIFS(Holieday[Friday],Holieday[date],CONCATENATE("&gt;","=",D28),Holieday[date],CONCATENATE("&lt;","=",J_SUBDAY(J_ADDDAY(D28,N28+4,1),1,1)))=4,J_SUBDAY(J_ADDDAY(D28,N28+4,1),1,1),IF((N28+5-(NETWORKDAYS.INTL(J_GregorianDate(D28,1),J_GregorianDate(J_SUBDAY(J_ADDDAY(D28,N28+5,1),1,1),1),16,1)))+SUMIFS(Holieday[ok],Holieday[date],CONCATENATE("&gt;","=",D28),Holieday[date],CONCATENATE("&lt;","=",J_SUBDAY(J_ADDDAY(D28,N28+5,1),1,1)))-SUMIFS(Holieday[Friday],Holieday[date],CONCATENATE("&gt;","=",D28),Holieday[date],CONCATENATE("&lt;","=",J_SUBDAY(J_ADDDAY(D28,N28+5,1),1,1)))=5,J_SUBDAY(J_ADDDAY(D28,N28+5,1),1,1),J_SUBDAY(J_ADDDAY(D28,N28+6,1),1,1))))))))</f>
        <v>1399/01/20</v>
      </c>
      <c r="G28" s="2">
        <f t="shared" ref="G28:G44" si="16">VALUE(J_normdate(F28))</f>
        <v>13990120</v>
      </c>
      <c r="H28" s="175"/>
      <c r="I28" s="176">
        <v>7.2</v>
      </c>
      <c r="J28" s="190">
        <f>j_WEEKDAY(D28,2)</f>
        <v>4</v>
      </c>
      <c r="K28" s="13">
        <f t="shared" si="11"/>
        <v>0</v>
      </c>
      <c r="L28" s="191">
        <f t="shared" si="12"/>
        <v>1</v>
      </c>
      <c r="M28" s="178">
        <v>1</v>
      </c>
      <c r="N28" s="179">
        <v>1</v>
      </c>
      <c r="O28" s="6">
        <f t="shared" si="13"/>
        <v>1</v>
      </c>
      <c r="P28" s="6">
        <f>VALUE(J_normdate(J_ADDDAY($D28,$O28,1)))</f>
        <v>13990121</v>
      </c>
      <c r="Q28" s="5">
        <f t="shared" si="14"/>
        <v>0</v>
      </c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21">
        <v>1</v>
      </c>
      <c r="IZ28" s="24">
        <f>(TEXT(K28,"[m]")/60)*VLOOKUP(IY28,'Income Person-hours'!A$2:C$5,3,FALSE)</f>
        <v>0</v>
      </c>
      <c r="JA28" s="91"/>
      <c r="JB28" s="91"/>
      <c r="JC28" s="91"/>
      <c r="JD28" s="54">
        <f>SUM((TEXT(JA28,"[M]")/60)*'Income Person-hours'!$D$3,(TEXT(JB28,"[M]")/60)*'Income Person-hours'!$D$4,(TEXT(JC28,"[M]")/60)*'Income Person-hours'!$D$5)</f>
        <v>0</v>
      </c>
    </row>
    <row r="29" spans="1:16384" s="187" customFormat="1" ht="13.5">
      <c r="A29" s="270">
        <v>3</v>
      </c>
      <c r="B29" s="271" t="s">
        <v>134</v>
      </c>
      <c r="C29" s="272"/>
      <c r="D29" s="301" t="str">
        <f>FDate(MIN(E30:E58))</f>
        <v>1398/10/01</v>
      </c>
      <c r="E29" s="136">
        <f t="shared" si="15"/>
        <v>13981001</v>
      </c>
      <c r="F29" s="300" t="str">
        <f>J_SUBDAY(J_ADDDAY(D29,L29,1),1,1)</f>
        <v>1399/01/17</v>
      </c>
      <c r="G29" s="139">
        <f t="shared" si="16"/>
        <v>13990117</v>
      </c>
      <c r="H29" s="274"/>
      <c r="I29" s="275"/>
      <c r="J29" s="273">
        <f>j_WEEKDAY(D29,2)</f>
        <v>1</v>
      </c>
      <c r="K29" s="140">
        <f>SUM(K30:K58)</f>
        <v>0</v>
      </c>
      <c r="L29" s="276">
        <f>J_DIFF(D29,FDate(MAX(G30:G58)))+1</f>
        <v>106</v>
      </c>
      <c r="M29" s="277">
        <f>IF(SUM(L30:L58)&lt;&gt;0,SUMPRODUCT(L30:L58,M30:M58)/SUM(L30:L58),0)</f>
        <v>0.81113207547169819</v>
      </c>
      <c r="N29" s="278">
        <f>IF(F29&gt;=D29,NETWORKDAYS.INTL(J_GregorianDate(D29,1),J_GregorianDate(F29,1),16,1)-SUMIFS(Holieday[ok],Holieday[date],CONCATENATE("&gt;","=",D29),Holieday[date],CONCATENATE("&lt;","=",F29))+SUMIFS(Holieday[Friday],Holieday[date],CONCATENATE("&gt;","=",D29),Holieday[date],CONCATENATE("&lt;","=",F29)),0)</f>
        <v>87</v>
      </c>
      <c r="O29" s="135">
        <f t="shared" ref="O29:O44" si="17">ROUNDDOWN(M29*L29,0)</f>
        <v>85</v>
      </c>
      <c r="P29" s="138">
        <f>VALUE(J_normdate(J_ADDDAY($D29,$O29,1)))</f>
        <v>13981226</v>
      </c>
      <c r="Q29" s="137">
        <f>L29-O29</f>
        <v>21</v>
      </c>
      <c r="R29" s="279"/>
      <c r="S29" s="279"/>
      <c r="T29" s="279"/>
      <c r="U29" s="279"/>
      <c r="V29" s="279"/>
      <c r="W29" s="279"/>
      <c r="X29" s="279"/>
      <c r="Y29" s="279"/>
      <c r="Z29" s="279"/>
      <c r="AA29" s="279"/>
      <c r="AB29" s="279"/>
      <c r="AC29" s="279"/>
      <c r="AD29" s="279"/>
      <c r="AE29" s="279"/>
      <c r="AF29" s="279"/>
      <c r="AG29" s="279"/>
      <c r="AH29" s="279"/>
      <c r="AI29" s="279"/>
      <c r="AJ29" s="279"/>
      <c r="AK29" s="279"/>
      <c r="AL29" s="279"/>
      <c r="AM29" s="279"/>
      <c r="AN29" s="279"/>
      <c r="AO29" s="279"/>
      <c r="AP29" s="279"/>
      <c r="AQ29" s="279"/>
      <c r="AR29" s="279"/>
      <c r="AS29" s="279"/>
      <c r="AT29" s="279"/>
      <c r="AU29" s="279"/>
      <c r="AV29" s="279"/>
      <c r="AW29" s="279"/>
      <c r="AX29" s="279"/>
      <c r="AY29" s="279"/>
      <c r="AZ29" s="279"/>
      <c r="BA29" s="279"/>
      <c r="BB29" s="279"/>
      <c r="BC29" s="279"/>
      <c r="BD29" s="279"/>
      <c r="BE29" s="279"/>
      <c r="BF29" s="279"/>
      <c r="BG29" s="279"/>
      <c r="BH29" s="279"/>
      <c r="BI29" s="279"/>
      <c r="BJ29" s="279"/>
      <c r="BK29" s="279"/>
      <c r="BL29" s="279"/>
      <c r="BM29" s="279"/>
      <c r="BN29" s="279"/>
      <c r="BO29" s="279"/>
      <c r="BP29" s="279"/>
      <c r="BQ29" s="279"/>
      <c r="BR29" s="279"/>
      <c r="BS29" s="279"/>
      <c r="BT29" s="279"/>
      <c r="BU29" s="279"/>
      <c r="BV29" s="279"/>
      <c r="BW29" s="279"/>
      <c r="BX29" s="279"/>
      <c r="BY29" s="279"/>
      <c r="BZ29" s="279"/>
      <c r="CA29" s="279"/>
      <c r="CB29" s="279"/>
      <c r="CC29" s="279"/>
      <c r="CD29" s="279"/>
      <c r="CE29" s="279"/>
      <c r="CF29" s="279"/>
      <c r="CG29" s="279"/>
      <c r="CH29" s="279"/>
      <c r="CI29" s="279"/>
      <c r="CJ29" s="279"/>
      <c r="CK29" s="279"/>
      <c r="CL29" s="279"/>
      <c r="CM29" s="279"/>
      <c r="CN29" s="279"/>
      <c r="CO29" s="279"/>
      <c r="CP29" s="279"/>
      <c r="CQ29" s="279"/>
      <c r="CR29" s="279"/>
      <c r="CS29" s="279"/>
      <c r="CT29" s="279"/>
      <c r="CU29" s="279"/>
      <c r="CV29" s="279"/>
      <c r="CW29" s="279"/>
      <c r="CX29" s="279"/>
      <c r="CY29" s="279"/>
      <c r="CZ29" s="279"/>
      <c r="DA29" s="279"/>
      <c r="DB29" s="279"/>
      <c r="DC29" s="279"/>
      <c r="DD29" s="279"/>
      <c r="DE29" s="279"/>
      <c r="DF29" s="279"/>
      <c r="DG29" s="279"/>
      <c r="DH29" s="279"/>
      <c r="DI29" s="279"/>
      <c r="DJ29" s="279"/>
      <c r="DK29" s="279"/>
      <c r="DL29" s="279"/>
      <c r="DM29" s="279"/>
      <c r="DN29" s="279"/>
      <c r="DO29" s="279"/>
      <c r="DP29" s="279"/>
      <c r="DQ29" s="279"/>
      <c r="DR29" s="279"/>
      <c r="DS29" s="279"/>
      <c r="DT29" s="279"/>
      <c r="DU29" s="279"/>
      <c r="DV29" s="279"/>
      <c r="DW29" s="279"/>
      <c r="DX29" s="279"/>
      <c r="DY29" s="279"/>
      <c r="DZ29" s="279"/>
      <c r="EA29" s="279"/>
      <c r="EB29" s="279"/>
      <c r="EC29" s="279"/>
      <c r="ED29" s="279"/>
      <c r="EE29" s="279"/>
      <c r="EF29" s="279"/>
      <c r="EG29" s="279"/>
      <c r="EH29" s="279"/>
      <c r="EI29" s="279"/>
      <c r="EJ29" s="279"/>
      <c r="EK29" s="279"/>
      <c r="EL29" s="279"/>
      <c r="EM29" s="279"/>
      <c r="EN29" s="279"/>
      <c r="EO29" s="279"/>
      <c r="EP29" s="279"/>
      <c r="EQ29" s="279"/>
      <c r="ER29" s="279"/>
      <c r="ES29" s="279"/>
      <c r="ET29" s="279"/>
      <c r="EU29" s="279"/>
      <c r="EV29" s="279"/>
      <c r="EW29" s="279"/>
      <c r="EX29" s="279"/>
      <c r="EY29" s="279"/>
      <c r="EZ29" s="279"/>
      <c r="FA29" s="279"/>
      <c r="FB29" s="279"/>
      <c r="FC29" s="279"/>
      <c r="FD29" s="279"/>
      <c r="FE29" s="279"/>
      <c r="FF29" s="279"/>
      <c r="FG29" s="279"/>
      <c r="FH29" s="279"/>
      <c r="FI29" s="279"/>
      <c r="FJ29" s="279"/>
      <c r="FK29" s="279"/>
      <c r="FL29" s="279"/>
      <c r="FM29" s="279"/>
      <c r="FN29" s="279"/>
      <c r="FO29" s="279"/>
      <c r="FP29" s="279"/>
      <c r="FQ29" s="279"/>
      <c r="FR29" s="279"/>
      <c r="FS29" s="279"/>
      <c r="FT29" s="279"/>
      <c r="FU29" s="279"/>
      <c r="FV29" s="279"/>
      <c r="FW29" s="279"/>
      <c r="FX29" s="279"/>
      <c r="FY29" s="279"/>
      <c r="FZ29" s="279"/>
      <c r="GA29" s="279"/>
      <c r="GB29" s="279"/>
      <c r="GC29" s="279"/>
      <c r="GD29" s="279"/>
      <c r="GE29" s="279"/>
      <c r="GF29" s="279"/>
      <c r="GG29" s="279"/>
      <c r="GH29" s="279"/>
      <c r="GI29" s="279"/>
      <c r="GJ29" s="279"/>
      <c r="GK29" s="279"/>
      <c r="GL29" s="279"/>
      <c r="GM29" s="279"/>
      <c r="GN29" s="279"/>
      <c r="GO29" s="279"/>
      <c r="GP29" s="279"/>
      <c r="GQ29" s="279"/>
      <c r="GR29" s="279"/>
      <c r="GS29" s="279"/>
      <c r="GT29" s="279"/>
      <c r="GU29" s="279"/>
      <c r="GV29" s="279"/>
      <c r="GW29" s="279"/>
      <c r="GX29" s="279"/>
      <c r="GY29" s="279"/>
      <c r="GZ29" s="279"/>
      <c r="HA29" s="279"/>
      <c r="HB29" s="279"/>
      <c r="HC29" s="279"/>
      <c r="HD29" s="279"/>
      <c r="HE29" s="279"/>
      <c r="HF29" s="279"/>
      <c r="HG29" s="279"/>
      <c r="HH29" s="279"/>
      <c r="HI29" s="279"/>
      <c r="HJ29" s="279"/>
      <c r="HK29" s="279"/>
      <c r="HL29" s="279"/>
      <c r="HM29" s="279"/>
      <c r="HN29" s="279"/>
      <c r="HO29" s="279"/>
      <c r="HP29" s="279"/>
      <c r="HQ29" s="279"/>
      <c r="HR29" s="279"/>
      <c r="HS29" s="279"/>
      <c r="HT29" s="279"/>
      <c r="HU29" s="279"/>
      <c r="HV29" s="279"/>
      <c r="HW29" s="279"/>
      <c r="HX29" s="279"/>
      <c r="HY29" s="279"/>
      <c r="HZ29" s="279"/>
      <c r="IA29" s="279"/>
      <c r="IB29" s="279"/>
      <c r="IC29" s="279"/>
      <c r="ID29" s="279"/>
      <c r="IE29" s="279"/>
      <c r="IF29" s="279"/>
      <c r="IG29" s="279"/>
      <c r="IH29" s="279"/>
      <c r="II29" s="279"/>
      <c r="IJ29" s="279"/>
      <c r="IK29" s="279"/>
      <c r="IL29" s="279"/>
      <c r="IM29" s="279"/>
      <c r="IN29" s="279"/>
      <c r="IO29" s="279"/>
      <c r="IP29" s="279"/>
      <c r="IQ29" s="279"/>
      <c r="IR29" s="279"/>
      <c r="IS29" s="279"/>
      <c r="IT29" s="279"/>
      <c r="IU29" s="279"/>
      <c r="IV29" s="279"/>
      <c r="IW29" s="279"/>
      <c r="IX29" s="279"/>
      <c r="IY29" s="280"/>
      <c r="IZ29" s="281"/>
      <c r="JA29" s="282"/>
      <c r="JB29" s="282"/>
      <c r="JC29" s="282"/>
      <c r="JD29" s="283"/>
      <c r="JE29" s="279"/>
      <c r="JF29" s="279"/>
      <c r="JG29" s="279"/>
      <c r="JH29" s="279"/>
      <c r="JI29" s="279"/>
      <c r="JJ29" s="279"/>
      <c r="JK29" s="279"/>
      <c r="JL29" s="279"/>
      <c r="JM29" s="279"/>
      <c r="JN29" s="279"/>
      <c r="JO29" s="279"/>
      <c r="JP29" s="279"/>
      <c r="JQ29" s="279"/>
      <c r="JR29" s="279"/>
      <c r="JS29" s="279"/>
      <c r="JT29" s="279"/>
      <c r="JU29" s="279"/>
      <c r="JV29" s="279"/>
      <c r="JW29" s="279"/>
      <c r="JX29" s="279"/>
      <c r="JY29" s="279"/>
      <c r="JZ29" s="279"/>
      <c r="KA29" s="279"/>
      <c r="KB29" s="279"/>
      <c r="KC29" s="279"/>
      <c r="KD29" s="279"/>
      <c r="KE29" s="279"/>
      <c r="KF29" s="279"/>
      <c r="KG29" s="279"/>
      <c r="KH29" s="279"/>
      <c r="KI29" s="279"/>
      <c r="KJ29" s="279"/>
      <c r="KK29" s="279"/>
      <c r="KL29" s="279"/>
      <c r="KM29" s="279"/>
      <c r="KN29" s="279"/>
      <c r="KO29" s="279"/>
      <c r="KP29" s="279"/>
      <c r="KQ29" s="279"/>
      <c r="KR29" s="279"/>
      <c r="KS29" s="279"/>
      <c r="KT29" s="279"/>
      <c r="KU29" s="279"/>
      <c r="KV29" s="279"/>
      <c r="KW29" s="279"/>
      <c r="KX29" s="279"/>
      <c r="KY29" s="279"/>
      <c r="KZ29" s="279"/>
      <c r="LA29" s="279"/>
      <c r="LB29" s="279"/>
      <c r="LC29" s="279"/>
      <c r="LD29" s="279"/>
      <c r="LE29" s="279"/>
      <c r="LF29" s="279"/>
      <c r="LG29" s="279"/>
      <c r="LH29" s="279"/>
      <c r="LI29" s="279"/>
      <c r="LJ29" s="279"/>
      <c r="LK29" s="279"/>
      <c r="LL29" s="279"/>
      <c r="LM29" s="279"/>
      <c r="LN29" s="279"/>
      <c r="LO29" s="279"/>
      <c r="LP29" s="279"/>
      <c r="LQ29" s="279"/>
      <c r="LR29" s="279"/>
      <c r="LS29" s="279"/>
      <c r="LT29" s="279"/>
      <c r="LU29" s="279"/>
      <c r="LV29" s="279"/>
      <c r="LW29" s="279"/>
      <c r="LX29" s="279"/>
      <c r="LY29" s="279"/>
      <c r="LZ29" s="279"/>
      <c r="MA29" s="279"/>
      <c r="MB29" s="279"/>
      <c r="MC29" s="279"/>
      <c r="MD29" s="279"/>
      <c r="ME29" s="279"/>
      <c r="MF29" s="279"/>
      <c r="MG29" s="279"/>
      <c r="MH29" s="279"/>
      <c r="MI29" s="279"/>
      <c r="MJ29" s="279"/>
      <c r="MK29" s="279"/>
      <c r="ML29" s="279"/>
      <c r="MM29" s="279"/>
      <c r="MN29" s="279"/>
      <c r="MO29" s="279"/>
      <c r="MP29" s="279"/>
      <c r="MQ29" s="279"/>
      <c r="MR29" s="279"/>
      <c r="MS29" s="279"/>
      <c r="MT29" s="279"/>
      <c r="MU29" s="279"/>
      <c r="MV29" s="279"/>
      <c r="MW29" s="279"/>
      <c r="MX29" s="279"/>
      <c r="MY29" s="279"/>
      <c r="MZ29" s="279"/>
      <c r="NA29" s="279"/>
      <c r="NB29" s="279"/>
      <c r="NC29" s="279"/>
      <c r="ND29" s="279"/>
      <c r="NE29" s="279"/>
      <c r="NF29" s="279"/>
      <c r="NG29" s="279"/>
      <c r="NH29" s="279"/>
      <c r="NI29" s="279"/>
      <c r="NJ29" s="279"/>
      <c r="NK29" s="279"/>
      <c r="NL29" s="279"/>
      <c r="NM29" s="279"/>
      <c r="NN29" s="279"/>
      <c r="NO29" s="279"/>
      <c r="NP29" s="279"/>
      <c r="NQ29" s="279"/>
      <c r="NR29" s="279"/>
      <c r="NS29" s="279"/>
      <c r="NT29" s="279"/>
      <c r="NU29" s="279"/>
      <c r="NV29" s="279"/>
      <c r="NW29" s="279"/>
      <c r="NX29" s="279"/>
      <c r="NY29" s="279"/>
      <c r="NZ29" s="279"/>
      <c r="OA29" s="279"/>
      <c r="OB29" s="279"/>
      <c r="OC29" s="279"/>
      <c r="OD29" s="279"/>
      <c r="OE29" s="279"/>
      <c r="OF29" s="279"/>
      <c r="OG29" s="279"/>
      <c r="OH29" s="279"/>
      <c r="OI29" s="279"/>
      <c r="OJ29" s="279"/>
      <c r="OK29" s="279"/>
      <c r="OL29" s="279"/>
      <c r="OM29" s="279"/>
      <c r="ON29" s="279"/>
      <c r="OO29" s="279"/>
      <c r="OP29" s="279"/>
      <c r="OQ29" s="279"/>
      <c r="OR29" s="279"/>
      <c r="OS29" s="279"/>
      <c r="OT29" s="279"/>
      <c r="OU29" s="279"/>
      <c r="OV29" s="279"/>
      <c r="OW29" s="279"/>
      <c r="OX29" s="279"/>
      <c r="OY29" s="279"/>
      <c r="OZ29" s="279"/>
      <c r="PA29" s="279"/>
      <c r="PB29" s="279"/>
      <c r="PC29" s="279"/>
      <c r="PD29" s="279"/>
      <c r="PE29" s="279"/>
      <c r="PF29" s="279"/>
      <c r="PG29" s="279"/>
      <c r="PH29" s="279"/>
      <c r="PI29" s="279"/>
      <c r="PJ29" s="279"/>
      <c r="PK29" s="279"/>
      <c r="PL29" s="279"/>
      <c r="PM29" s="279"/>
      <c r="PN29" s="279"/>
      <c r="PO29" s="279"/>
      <c r="PP29" s="279"/>
      <c r="PQ29" s="279"/>
      <c r="PR29" s="279"/>
      <c r="PS29" s="279"/>
      <c r="PT29" s="279"/>
      <c r="PU29" s="279"/>
      <c r="PV29" s="279"/>
      <c r="PW29" s="279"/>
      <c r="PX29" s="279"/>
      <c r="PY29" s="279"/>
      <c r="PZ29" s="279"/>
      <c r="QA29" s="279"/>
      <c r="QB29" s="279"/>
      <c r="QC29" s="279"/>
      <c r="QD29" s="279"/>
      <c r="QE29" s="279"/>
      <c r="QF29" s="279"/>
      <c r="QG29" s="279"/>
      <c r="QH29" s="279"/>
      <c r="QI29" s="279"/>
      <c r="QJ29" s="279"/>
      <c r="QK29" s="279"/>
      <c r="QL29" s="279"/>
      <c r="QM29" s="279"/>
      <c r="QN29" s="279"/>
      <c r="QO29" s="279"/>
      <c r="QP29" s="279"/>
      <c r="QQ29" s="279"/>
      <c r="QR29" s="279"/>
      <c r="QS29" s="279"/>
      <c r="QT29" s="279"/>
      <c r="QU29" s="279"/>
      <c r="QV29" s="279"/>
      <c r="QW29" s="279"/>
      <c r="QX29" s="279"/>
      <c r="QY29" s="279"/>
      <c r="QZ29" s="279"/>
      <c r="RA29" s="279"/>
      <c r="RB29" s="279"/>
      <c r="RC29" s="279"/>
      <c r="RD29" s="279"/>
      <c r="RE29" s="279"/>
      <c r="RF29" s="279"/>
      <c r="RG29" s="279"/>
      <c r="RH29" s="279"/>
      <c r="RI29" s="279"/>
      <c r="RJ29" s="279"/>
      <c r="RK29" s="279"/>
      <c r="RL29" s="279"/>
      <c r="RM29" s="279"/>
      <c r="RN29" s="279"/>
      <c r="RO29" s="279"/>
      <c r="RP29" s="279"/>
      <c r="RQ29" s="279"/>
      <c r="RR29" s="279"/>
      <c r="RS29" s="279"/>
      <c r="RT29" s="279"/>
      <c r="RU29" s="279"/>
      <c r="RV29" s="279"/>
      <c r="RW29" s="279"/>
      <c r="RX29" s="279"/>
      <c r="RY29" s="279"/>
      <c r="RZ29" s="279"/>
      <c r="SA29" s="279"/>
      <c r="SB29" s="279"/>
      <c r="SC29" s="279"/>
      <c r="SD29" s="279"/>
      <c r="SE29" s="279"/>
      <c r="SF29" s="279"/>
      <c r="SG29" s="279"/>
      <c r="SH29" s="279"/>
      <c r="SI29" s="279"/>
      <c r="SJ29" s="279"/>
      <c r="SK29" s="279"/>
      <c r="SL29" s="279"/>
      <c r="SM29" s="279"/>
      <c r="SN29" s="279"/>
      <c r="SO29" s="279"/>
      <c r="SP29" s="279"/>
      <c r="SQ29" s="279"/>
      <c r="SR29" s="279"/>
      <c r="SS29" s="279"/>
      <c r="ST29" s="279"/>
      <c r="SU29" s="279"/>
      <c r="SV29" s="279"/>
      <c r="SW29" s="279"/>
      <c r="SX29" s="279"/>
      <c r="SY29" s="279"/>
      <c r="SZ29" s="279"/>
      <c r="TA29" s="279"/>
      <c r="TB29" s="279"/>
      <c r="TC29" s="279"/>
      <c r="TD29" s="279"/>
      <c r="TE29" s="279"/>
      <c r="TF29" s="279"/>
      <c r="TG29" s="279"/>
      <c r="TH29" s="279"/>
      <c r="TI29" s="279"/>
      <c r="TJ29" s="279"/>
      <c r="TK29" s="279"/>
      <c r="TL29" s="279"/>
      <c r="TM29" s="279"/>
      <c r="TN29" s="279"/>
      <c r="TO29" s="279"/>
      <c r="TP29" s="279"/>
      <c r="TQ29" s="279"/>
      <c r="TR29" s="279"/>
      <c r="TS29" s="279"/>
      <c r="TT29" s="279"/>
      <c r="TU29" s="279"/>
      <c r="TV29" s="279"/>
      <c r="TW29" s="279"/>
      <c r="TX29" s="279"/>
      <c r="TY29" s="279"/>
      <c r="TZ29" s="279"/>
      <c r="UA29" s="279"/>
      <c r="UB29" s="279"/>
      <c r="UC29" s="279"/>
      <c r="UD29" s="279"/>
      <c r="UE29" s="279"/>
      <c r="UF29" s="279"/>
      <c r="UG29" s="279"/>
      <c r="UH29" s="279"/>
      <c r="UI29" s="279"/>
      <c r="UJ29" s="279"/>
      <c r="UK29" s="279"/>
      <c r="UL29" s="279"/>
      <c r="UM29" s="279"/>
      <c r="UN29" s="279"/>
      <c r="UO29" s="279"/>
      <c r="UP29" s="279"/>
      <c r="UQ29" s="279"/>
      <c r="UR29" s="279"/>
      <c r="US29" s="279"/>
      <c r="UT29" s="279"/>
      <c r="UU29" s="279"/>
      <c r="UV29" s="279"/>
      <c r="UW29" s="279"/>
      <c r="UX29" s="279"/>
      <c r="UY29" s="279"/>
      <c r="UZ29" s="279"/>
      <c r="VA29" s="279"/>
      <c r="VB29" s="279"/>
      <c r="VC29" s="279"/>
      <c r="VD29" s="279"/>
      <c r="VE29" s="279"/>
      <c r="VF29" s="279"/>
      <c r="VG29" s="279"/>
      <c r="VH29" s="279"/>
      <c r="VI29" s="279"/>
      <c r="VJ29" s="279"/>
      <c r="VK29" s="279"/>
      <c r="VL29" s="279"/>
      <c r="VM29" s="279"/>
      <c r="VN29" s="279"/>
      <c r="VO29" s="279"/>
      <c r="VP29" s="279"/>
      <c r="VQ29" s="279"/>
      <c r="VR29" s="279"/>
      <c r="VS29" s="279"/>
      <c r="VT29" s="279"/>
      <c r="VU29" s="279"/>
      <c r="VV29" s="279"/>
      <c r="VW29" s="279"/>
      <c r="VX29" s="279"/>
      <c r="VY29" s="279"/>
      <c r="VZ29" s="279"/>
      <c r="WA29" s="279"/>
      <c r="WB29" s="279"/>
      <c r="WC29" s="279"/>
      <c r="WD29" s="279"/>
      <c r="WE29" s="279"/>
      <c r="WF29" s="279"/>
      <c r="WG29" s="279"/>
      <c r="WH29" s="279"/>
      <c r="WI29" s="279"/>
      <c r="WJ29" s="279"/>
      <c r="WK29" s="279"/>
      <c r="WL29" s="279"/>
      <c r="WM29" s="279"/>
      <c r="WN29" s="279"/>
      <c r="WO29" s="279"/>
      <c r="WP29" s="279"/>
      <c r="WQ29" s="279"/>
      <c r="WR29" s="279"/>
      <c r="WS29" s="279"/>
      <c r="WT29" s="279"/>
      <c r="WU29" s="279"/>
      <c r="WV29" s="279"/>
      <c r="WW29" s="279"/>
      <c r="WX29" s="279"/>
      <c r="WY29" s="279"/>
      <c r="WZ29" s="279"/>
      <c r="XA29" s="279"/>
      <c r="XB29" s="279"/>
      <c r="XC29" s="279"/>
      <c r="XD29" s="279"/>
      <c r="XE29" s="279"/>
      <c r="XF29" s="279"/>
      <c r="XG29" s="279"/>
      <c r="XH29" s="279"/>
      <c r="XI29" s="279"/>
      <c r="XJ29" s="279"/>
      <c r="XK29" s="279"/>
      <c r="XL29" s="279"/>
      <c r="XM29" s="279"/>
      <c r="XN29" s="279"/>
      <c r="XO29" s="279"/>
      <c r="XP29" s="279"/>
      <c r="XQ29" s="279"/>
      <c r="XR29" s="279"/>
      <c r="XS29" s="279"/>
      <c r="XT29" s="279"/>
      <c r="XU29" s="279"/>
      <c r="XV29" s="279"/>
      <c r="XW29" s="279"/>
      <c r="XX29" s="279"/>
      <c r="XY29" s="279"/>
      <c r="XZ29" s="279"/>
      <c r="YA29" s="279"/>
      <c r="YB29" s="279"/>
      <c r="YC29" s="279"/>
      <c r="YD29" s="279"/>
      <c r="YE29" s="279"/>
      <c r="YF29" s="279"/>
      <c r="YG29" s="279"/>
      <c r="YH29" s="279"/>
      <c r="YI29" s="279"/>
      <c r="YJ29" s="279"/>
      <c r="YK29" s="279"/>
      <c r="YL29" s="279"/>
      <c r="YM29" s="279"/>
      <c r="YN29" s="279"/>
      <c r="YO29" s="279"/>
      <c r="YP29" s="279"/>
      <c r="YQ29" s="279"/>
      <c r="YR29" s="279"/>
      <c r="YS29" s="279"/>
      <c r="YT29" s="279"/>
      <c r="YU29" s="279"/>
      <c r="YV29" s="279"/>
      <c r="YW29" s="279"/>
      <c r="YX29" s="279"/>
      <c r="YY29" s="279"/>
      <c r="YZ29" s="279"/>
      <c r="ZA29" s="279"/>
      <c r="ZB29" s="279"/>
      <c r="ZC29" s="279"/>
      <c r="ZD29" s="279"/>
      <c r="ZE29" s="279"/>
      <c r="ZF29" s="279"/>
      <c r="ZG29" s="279"/>
      <c r="ZH29" s="279"/>
      <c r="ZI29" s="279"/>
      <c r="ZJ29" s="279"/>
      <c r="ZK29" s="279"/>
      <c r="ZL29" s="279"/>
      <c r="ZM29" s="279"/>
      <c r="ZN29" s="279"/>
      <c r="ZO29" s="279"/>
      <c r="ZP29" s="279"/>
      <c r="ZQ29" s="279"/>
      <c r="ZR29" s="279"/>
      <c r="ZS29" s="279"/>
      <c r="ZT29" s="279"/>
      <c r="ZU29" s="279"/>
      <c r="ZV29" s="279"/>
      <c r="ZW29" s="279"/>
      <c r="ZX29" s="279"/>
      <c r="ZY29" s="279"/>
      <c r="ZZ29" s="279"/>
      <c r="AAA29" s="279"/>
      <c r="AAB29" s="279"/>
      <c r="AAC29" s="279"/>
      <c r="AAD29" s="279"/>
      <c r="AAE29" s="279"/>
      <c r="AAF29" s="279"/>
      <c r="AAG29" s="279"/>
      <c r="AAH29" s="279"/>
      <c r="AAI29" s="279"/>
      <c r="AAJ29" s="279"/>
      <c r="AAK29" s="279"/>
      <c r="AAL29" s="279"/>
      <c r="AAM29" s="279"/>
      <c r="AAN29" s="279"/>
      <c r="AAO29" s="279"/>
      <c r="AAP29" s="279"/>
      <c r="AAQ29" s="279"/>
      <c r="AAR29" s="279"/>
      <c r="AAS29" s="279"/>
      <c r="AAT29" s="279"/>
      <c r="AAU29" s="279"/>
      <c r="AAV29" s="279"/>
      <c r="AAW29" s="279"/>
      <c r="AAX29" s="279"/>
      <c r="AAY29" s="279"/>
      <c r="AAZ29" s="279"/>
      <c r="ABA29" s="279"/>
      <c r="ABB29" s="279"/>
      <c r="ABC29" s="279"/>
      <c r="ABD29" s="279"/>
      <c r="ABE29" s="279"/>
      <c r="ABF29" s="279"/>
      <c r="ABG29" s="279"/>
      <c r="ABH29" s="279"/>
      <c r="ABI29" s="279"/>
      <c r="ABJ29" s="279"/>
      <c r="ABK29" s="279"/>
      <c r="ABL29" s="279"/>
      <c r="ABM29" s="279"/>
      <c r="ABN29" s="279"/>
      <c r="ABO29" s="279"/>
      <c r="ABP29" s="279"/>
      <c r="ABQ29" s="279"/>
      <c r="ABR29" s="279"/>
      <c r="ABS29" s="279"/>
      <c r="ABT29" s="279"/>
      <c r="ABU29" s="279"/>
      <c r="ABV29" s="279"/>
      <c r="ABW29" s="279"/>
      <c r="ABX29" s="279"/>
      <c r="ABY29" s="279"/>
      <c r="ABZ29" s="279"/>
      <c r="ACA29" s="279"/>
      <c r="ACB29" s="279"/>
      <c r="ACC29" s="279"/>
      <c r="ACD29" s="279"/>
      <c r="ACE29" s="279"/>
      <c r="ACF29" s="279"/>
      <c r="ACG29" s="279"/>
      <c r="ACH29" s="279"/>
      <c r="ACI29" s="279"/>
      <c r="ACJ29" s="279"/>
      <c r="ACK29" s="279"/>
      <c r="ACL29" s="279"/>
      <c r="ACM29" s="279"/>
      <c r="ACN29" s="279"/>
      <c r="ACO29" s="279"/>
      <c r="ACP29" s="279"/>
      <c r="ACQ29" s="279"/>
      <c r="ACR29" s="279"/>
      <c r="ACS29" s="279"/>
      <c r="ACT29" s="279"/>
      <c r="ACU29" s="279"/>
      <c r="ACV29" s="279"/>
      <c r="ACW29" s="279"/>
      <c r="ACX29" s="279"/>
      <c r="ACY29" s="279"/>
      <c r="ACZ29" s="279"/>
      <c r="ADA29" s="279"/>
      <c r="ADB29" s="279"/>
      <c r="ADC29" s="279"/>
      <c r="ADD29" s="279"/>
      <c r="ADE29" s="279"/>
      <c r="ADF29" s="279"/>
      <c r="ADG29" s="279"/>
      <c r="ADH29" s="279"/>
      <c r="ADI29" s="279"/>
      <c r="ADJ29" s="279"/>
      <c r="ADK29" s="279"/>
      <c r="ADL29" s="279"/>
      <c r="ADM29" s="279"/>
      <c r="ADN29" s="279"/>
      <c r="ADO29" s="279"/>
      <c r="ADP29" s="279"/>
      <c r="ADQ29" s="279"/>
      <c r="ADR29" s="279"/>
      <c r="ADS29" s="279"/>
      <c r="ADT29" s="279"/>
      <c r="ADU29" s="279"/>
      <c r="ADV29" s="279"/>
      <c r="ADW29" s="279"/>
      <c r="ADX29" s="279"/>
      <c r="ADY29" s="279"/>
      <c r="ADZ29" s="279"/>
      <c r="AEA29" s="279"/>
      <c r="AEB29" s="279"/>
      <c r="AEC29" s="279"/>
      <c r="AED29" s="279"/>
      <c r="AEE29" s="279"/>
      <c r="AEF29" s="279"/>
      <c r="AEG29" s="279"/>
      <c r="AEH29" s="279"/>
      <c r="AEI29" s="279"/>
      <c r="AEJ29" s="279"/>
      <c r="AEK29" s="279"/>
      <c r="AEL29" s="279"/>
      <c r="AEM29" s="279"/>
      <c r="AEN29" s="279"/>
      <c r="AEO29" s="279"/>
      <c r="AEP29" s="279"/>
      <c r="AEQ29" s="279"/>
      <c r="AER29" s="279"/>
      <c r="AES29" s="279"/>
      <c r="AET29" s="279"/>
      <c r="AEU29" s="279"/>
      <c r="AEV29" s="279"/>
      <c r="AEW29" s="279"/>
      <c r="AEX29" s="279"/>
      <c r="AEY29" s="279"/>
      <c r="AEZ29" s="279"/>
      <c r="AFA29" s="279"/>
      <c r="AFB29" s="279"/>
      <c r="AFC29" s="279"/>
      <c r="AFD29" s="279"/>
      <c r="AFE29" s="279"/>
      <c r="AFF29" s="279"/>
      <c r="AFG29" s="279"/>
      <c r="AFH29" s="279"/>
      <c r="AFI29" s="279"/>
      <c r="AFJ29" s="279"/>
      <c r="AFK29" s="279"/>
      <c r="AFL29" s="279"/>
      <c r="AFM29" s="279"/>
      <c r="AFN29" s="279"/>
      <c r="AFO29" s="279"/>
      <c r="AFP29" s="279"/>
      <c r="AFQ29" s="279"/>
      <c r="AFR29" s="279"/>
      <c r="AFS29" s="279"/>
      <c r="AFT29" s="279"/>
      <c r="AFU29" s="279"/>
      <c r="AFV29" s="279"/>
      <c r="AFW29" s="279"/>
      <c r="AFX29" s="279"/>
      <c r="AFY29" s="279"/>
      <c r="AFZ29" s="279"/>
      <c r="AGA29" s="279"/>
      <c r="AGB29" s="279"/>
      <c r="AGC29" s="279"/>
      <c r="AGD29" s="279"/>
      <c r="AGE29" s="279"/>
      <c r="AGF29" s="279"/>
      <c r="AGG29" s="279"/>
      <c r="AGH29" s="279"/>
      <c r="AGI29" s="279"/>
      <c r="AGJ29" s="279"/>
      <c r="AGK29" s="279"/>
      <c r="AGL29" s="279"/>
      <c r="AGM29" s="279"/>
      <c r="AGN29" s="279"/>
      <c r="AGO29" s="279"/>
      <c r="AGP29" s="279"/>
      <c r="AGQ29" s="279"/>
      <c r="AGR29" s="279"/>
      <c r="AGS29" s="279"/>
      <c r="AGT29" s="279"/>
      <c r="AGU29" s="279"/>
      <c r="AGV29" s="279"/>
      <c r="AGW29" s="279"/>
      <c r="AGX29" s="279"/>
      <c r="AGY29" s="279"/>
      <c r="AGZ29" s="279"/>
      <c r="AHA29" s="279"/>
      <c r="AHB29" s="279"/>
      <c r="AHC29" s="279"/>
      <c r="AHD29" s="279"/>
      <c r="AHE29" s="279"/>
      <c r="AHF29" s="279"/>
      <c r="AHG29" s="279"/>
      <c r="AHH29" s="279"/>
      <c r="AHI29" s="279"/>
      <c r="AHJ29" s="279"/>
      <c r="AHK29" s="279"/>
      <c r="AHL29" s="279"/>
      <c r="AHM29" s="279"/>
      <c r="AHN29" s="279"/>
      <c r="AHO29" s="279"/>
      <c r="AHP29" s="279"/>
      <c r="AHQ29" s="279"/>
      <c r="AHR29" s="279"/>
      <c r="AHS29" s="279"/>
      <c r="AHT29" s="279"/>
      <c r="AHU29" s="279"/>
      <c r="AHV29" s="279"/>
      <c r="AHW29" s="279"/>
      <c r="AHX29" s="279"/>
      <c r="AHY29" s="279"/>
      <c r="AHZ29" s="279"/>
      <c r="AIA29" s="279"/>
      <c r="AIB29" s="279"/>
      <c r="AIC29" s="279"/>
      <c r="AID29" s="279"/>
      <c r="AIE29" s="279"/>
      <c r="AIF29" s="279"/>
      <c r="AIG29" s="279"/>
      <c r="AIH29" s="279"/>
      <c r="AII29" s="279"/>
      <c r="AIJ29" s="279"/>
      <c r="AIK29" s="279"/>
      <c r="AIL29" s="279"/>
      <c r="AIM29" s="279"/>
      <c r="AIN29" s="279"/>
      <c r="AIO29" s="279"/>
      <c r="AIP29" s="279"/>
      <c r="AIQ29" s="279"/>
      <c r="AIR29" s="279"/>
      <c r="AIS29" s="279"/>
      <c r="AIT29" s="279"/>
      <c r="AIU29" s="279"/>
      <c r="AIV29" s="279"/>
      <c r="AIW29" s="279"/>
      <c r="AIX29" s="279"/>
      <c r="AIY29" s="279"/>
      <c r="AIZ29" s="279"/>
      <c r="AJA29" s="279"/>
      <c r="AJB29" s="279"/>
      <c r="AJC29" s="279"/>
      <c r="AJD29" s="279"/>
      <c r="AJE29" s="279"/>
      <c r="AJF29" s="279"/>
      <c r="AJG29" s="279"/>
      <c r="AJH29" s="279"/>
      <c r="AJI29" s="279"/>
      <c r="AJJ29" s="279"/>
      <c r="AJK29" s="279"/>
      <c r="AJL29" s="279"/>
      <c r="AJM29" s="279"/>
      <c r="AJN29" s="279"/>
      <c r="AJO29" s="279"/>
      <c r="AJP29" s="279"/>
      <c r="AJQ29" s="279"/>
      <c r="AJR29" s="279"/>
      <c r="AJS29" s="279"/>
      <c r="AJT29" s="279"/>
      <c r="AJU29" s="279"/>
      <c r="AJV29" s="279"/>
      <c r="AJW29" s="279"/>
      <c r="AJX29" s="279"/>
      <c r="AJY29" s="279"/>
      <c r="AJZ29" s="279"/>
      <c r="AKA29" s="279"/>
      <c r="AKB29" s="279"/>
      <c r="AKC29" s="279"/>
      <c r="AKD29" s="279"/>
      <c r="AKE29" s="279"/>
      <c r="AKF29" s="279"/>
      <c r="AKG29" s="279"/>
      <c r="AKH29" s="279"/>
      <c r="AKI29" s="279"/>
      <c r="AKJ29" s="279"/>
      <c r="AKK29" s="279"/>
      <c r="AKL29" s="279"/>
      <c r="AKM29" s="279"/>
      <c r="AKN29" s="279"/>
      <c r="AKO29" s="279"/>
      <c r="AKP29" s="279"/>
      <c r="AKQ29" s="279"/>
      <c r="AKR29" s="279"/>
      <c r="AKS29" s="279"/>
      <c r="AKT29" s="279"/>
      <c r="AKU29" s="279"/>
      <c r="AKV29" s="279"/>
      <c r="AKW29" s="279"/>
      <c r="AKX29" s="279"/>
      <c r="AKY29" s="279"/>
      <c r="AKZ29" s="279"/>
      <c r="ALA29" s="279"/>
      <c r="ALB29" s="279"/>
      <c r="ALC29" s="279"/>
      <c r="ALD29" s="279"/>
      <c r="ALE29" s="279"/>
      <c r="ALF29" s="279"/>
      <c r="ALG29" s="279"/>
      <c r="ALH29" s="279"/>
      <c r="ALI29" s="279"/>
      <c r="ALJ29" s="279"/>
      <c r="ALK29" s="279"/>
      <c r="ALL29" s="279"/>
      <c r="ALM29" s="279"/>
      <c r="ALN29" s="279"/>
      <c r="ALO29" s="279"/>
      <c r="ALP29" s="279"/>
      <c r="ALQ29" s="279"/>
      <c r="ALR29" s="279"/>
      <c r="ALS29" s="279"/>
      <c r="ALT29" s="279"/>
      <c r="ALU29" s="279"/>
      <c r="ALV29" s="279"/>
      <c r="ALW29" s="279"/>
      <c r="ALX29" s="279"/>
      <c r="ALY29" s="279"/>
      <c r="ALZ29" s="279"/>
      <c r="AMA29" s="279"/>
      <c r="AMB29" s="279"/>
      <c r="AMC29" s="279"/>
      <c r="AMD29" s="279"/>
      <c r="AME29" s="279"/>
      <c r="AMF29" s="279"/>
      <c r="AMG29" s="279"/>
      <c r="AMH29" s="279"/>
      <c r="AMI29" s="279"/>
      <c r="AMJ29" s="279"/>
      <c r="AMK29" s="279"/>
      <c r="AML29" s="279"/>
      <c r="AMM29" s="279"/>
      <c r="AMN29" s="279"/>
      <c r="AMO29" s="279"/>
      <c r="AMP29" s="279"/>
      <c r="AMQ29" s="279"/>
      <c r="AMR29" s="279"/>
      <c r="AMS29" s="279"/>
      <c r="AMT29" s="279"/>
      <c r="AMU29" s="279"/>
      <c r="AMV29" s="279"/>
      <c r="AMW29" s="279"/>
      <c r="AMX29" s="279"/>
      <c r="AMY29" s="279"/>
      <c r="AMZ29" s="279"/>
      <c r="ANA29" s="279"/>
      <c r="ANB29" s="279"/>
      <c r="ANC29" s="279"/>
      <c r="AND29" s="279"/>
      <c r="ANE29" s="279"/>
      <c r="ANF29" s="279"/>
      <c r="ANG29" s="279"/>
      <c r="ANH29" s="279"/>
      <c r="ANI29" s="279"/>
      <c r="ANJ29" s="279"/>
      <c r="ANK29" s="279"/>
      <c r="ANL29" s="279"/>
      <c r="ANM29" s="279"/>
      <c r="ANN29" s="279"/>
      <c r="ANO29" s="279"/>
      <c r="ANP29" s="279"/>
      <c r="ANQ29" s="279"/>
      <c r="ANR29" s="279"/>
      <c r="ANS29" s="279"/>
      <c r="ANT29" s="279"/>
      <c r="ANU29" s="279"/>
      <c r="ANV29" s="279"/>
      <c r="ANW29" s="279"/>
      <c r="ANX29" s="279"/>
      <c r="ANY29" s="279"/>
      <c r="ANZ29" s="279"/>
      <c r="AOA29" s="279"/>
      <c r="AOB29" s="279"/>
      <c r="AOC29" s="279"/>
      <c r="AOD29" s="279"/>
      <c r="AOE29" s="279"/>
      <c r="AOF29" s="279"/>
      <c r="AOG29" s="279"/>
      <c r="AOH29" s="279"/>
      <c r="AOI29" s="279"/>
      <c r="AOJ29" s="279"/>
      <c r="AOK29" s="279"/>
      <c r="AOL29" s="279"/>
      <c r="AOM29" s="279"/>
      <c r="AON29" s="279"/>
      <c r="AOO29" s="279"/>
      <c r="AOP29" s="279"/>
      <c r="AOQ29" s="279"/>
      <c r="AOR29" s="279"/>
      <c r="AOS29" s="279"/>
      <c r="AOT29" s="279"/>
      <c r="AOU29" s="279"/>
      <c r="AOV29" s="279"/>
      <c r="AOW29" s="279"/>
      <c r="AOX29" s="279"/>
      <c r="AOY29" s="279"/>
      <c r="AOZ29" s="279"/>
      <c r="APA29" s="279"/>
      <c r="APB29" s="279"/>
      <c r="APC29" s="279"/>
      <c r="APD29" s="279"/>
      <c r="APE29" s="279"/>
      <c r="APF29" s="279"/>
      <c r="APG29" s="279"/>
      <c r="APH29" s="279"/>
      <c r="API29" s="279"/>
      <c r="APJ29" s="279"/>
      <c r="APK29" s="279"/>
      <c r="APL29" s="279"/>
      <c r="APM29" s="279"/>
      <c r="APN29" s="279"/>
      <c r="APO29" s="279"/>
      <c r="APP29" s="279"/>
      <c r="APQ29" s="279"/>
      <c r="APR29" s="279"/>
      <c r="APS29" s="279"/>
      <c r="APT29" s="279"/>
      <c r="APU29" s="279"/>
      <c r="APV29" s="279"/>
      <c r="APW29" s="279"/>
      <c r="APX29" s="279"/>
      <c r="APY29" s="279"/>
      <c r="APZ29" s="279"/>
      <c r="AQA29" s="279"/>
      <c r="AQB29" s="279"/>
      <c r="AQC29" s="279"/>
      <c r="AQD29" s="279"/>
      <c r="AQE29" s="279"/>
      <c r="AQF29" s="279"/>
      <c r="AQG29" s="279"/>
      <c r="AQH29" s="279"/>
      <c r="AQI29" s="279"/>
      <c r="AQJ29" s="279"/>
      <c r="AQK29" s="279"/>
      <c r="AQL29" s="279"/>
      <c r="AQM29" s="279"/>
      <c r="AQN29" s="279"/>
      <c r="AQO29" s="279"/>
      <c r="AQP29" s="279"/>
      <c r="AQQ29" s="279"/>
      <c r="AQR29" s="279"/>
      <c r="AQS29" s="279"/>
      <c r="AQT29" s="279"/>
      <c r="AQU29" s="279"/>
      <c r="AQV29" s="279"/>
      <c r="AQW29" s="279"/>
      <c r="AQX29" s="279"/>
      <c r="AQY29" s="279"/>
      <c r="AQZ29" s="279"/>
      <c r="ARA29" s="279"/>
      <c r="ARB29" s="279"/>
      <c r="ARC29" s="279"/>
      <c r="ARD29" s="279"/>
      <c r="ARE29" s="279"/>
      <c r="ARF29" s="279"/>
      <c r="ARG29" s="279"/>
      <c r="ARH29" s="279"/>
      <c r="ARI29" s="279"/>
      <c r="ARJ29" s="279"/>
      <c r="ARK29" s="279"/>
      <c r="ARL29" s="279"/>
      <c r="ARM29" s="279"/>
      <c r="ARN29" s="279"/>
      <c r="ARO29" s="279"/>
      <c r="ARP29" s="279"/>
      <c r="ARQ29" s="279"/>
      <c r="ARR29" s="279"/>
      <c r="ARS29" s="279"/>
      <c r="ART29" s="279"/>
      <c r="ARU29" s="279"/>
      <c r="ARV29" s="279"/>
      <c r="ARW29" s="279"/>
      <c r="ARX29" s="279"/>
      <c r="ARY29" s="279"/>
      <c r="ARZ29" s="279"/>
      <c r="ASA29" s="279"/>
      <c r="ASB29" s="279"/>
      <c r="ASC29" s="279"/>
      <c r="ASD29" s="279"/>
      <c r="ASE29" s="279"/>
      <c r="ASF29" s="279"/>
      <c r="ASG29" s="279"/>
      <c r="ASH29" s="279"/>
      <c r="ASI29" s="279"/>
      <c r="ASJ29" s="279"/>
      <c r="ASK29" s="279"/>
      <c r="ASL29" s="279"/>
      <c r="ASM29" s="279"/>
      <c r="ASN29" s="279"/>
      <c r="ASO29" s="279"/>
      <c r="ASP29" s="279"/>
      <c r="ASQ29" s="279"/>
      <c r="ASR29" s="279"/>
      <c r="ASS29" s="279"/>
      <c r="AST29" s="279"/>
      <c r="ASU29" s="279"/>
      <c r="ASV29" s="279"/>
      <c r="ASW29" s="279"/>
      <c r="ASX29" s="279"/>
      <c r="ASY29" s="279"/>
      <c r="ASZ29" s="279"/>
      <c r="ATA29" s="279"/>
      <c r="ATB29" s="279"/>
      <c r="ATC29" s="279"/>
      <c r="ATD29" s="279"/>
      <c r="ATE29" s="279"/>
      <c r="ATF29" s="279"/>
      <c r="ATG29" s="279"/>
      <c r="ATH29" s="279"/>
      <c r="ATI29" s="279"/>
      <c r="ATJ29" s="279"/>
      <c r="ATK29" s="279"/>
      <c r="ATL29" s="279"/>
      <c r="ATM29" s="279"/>
      <c r="ATN29" s="279"/>
      <c r="ATO29" s="279"/>
      <c r="ATP29" s="279"/>
      <c r="ATQ29" s="279"/>
      <c r="ATR29" s="279"/>
      <c r="ATS29" s="279"/>
      <c r="ATT29" s="279"/>
      <c r="ATU29" s="279"/>
      <c r="ATV29" s="279"/>
      <c r="ATW29" s="279"/>
      <c r="ATX29" s="279"/>
      <c r="ATY29" s="279"/>
      <c r="ATZ29" s="279"/>
      <c r="AUA29" s="279"/>
      <c r="AUB29" s="279"/>
      <c r="AUC29" s="279"/>
      <c r="AUD29" s="279"/>
      <c r="AUE29" s="279"/>
      <c r="AUF29" s="279"/>
      <c r="AUG29" s="279"/>
      <c r="AUH29" s="279"/>
      <c r="AUI29" s="279"/>
      <c r="AUJ29" s="279"/>
      <c r="AUK29" s="279"/>
      <c r="AUL29" s="279"/>
      <c r="AUM29" s="279"/>
      <c r="AUN29" s="279"/>
      <c r="AUO29" s="279"/>
      <c r="AUP29" s="279"/>
      <c r="AUQ29" s="279"/>
      <c r="AUR29" s="279"/>
      <c r="AUS29" s="279"/>
      <c r="AUT29" s="279"/>
      <c r="AUU29" s="279"/>
      <c r="AUV29" s="279"/>
      <c r="AUW29" s="279"/>
      <c r="AUX29" s="279"/>
      <c r="AUY29" s="279"/>
      <c r="AUZ29" s="279"/>
      <c r="AVA29" s="279"/>
      <c r="AVB29" s="279"/>
      <c r="AVC29" s="279"/>
      <c r="AVD29" s="279"/>
      <c r="AVE29" s="279"/>
      <c r="AVF29" s="279"/>
      <c r="AVG29" s="279"/>
      <c r="AVH29" s="279"/>
      <c r="AVI29" s="279"/>
      <c r="AVJ29" s="279"/>
      <c r="AVK29" s="279"/>
      <c r="AVL29" s="279"/>
      <c r="AVM29" s="279"/>
      <c r="AVN29" s="279"/>
      <c r="AVO29" s="279"/>
      <c r="AVP29" s="279"/>
      <c r="AVQ29" s="279"/>
      <c r="AVR29" s="279"/>
      <c r="AVS29" s="279"/>
      <c r="AVT29" s="279"/>
      <c r="AVU29" s="279"/>
      <c r="AVV29" s="279"/>
      <c r="AVW29" s="279"/>
      <c r="AVX29" s="279"/>
      <c r="AVY29" s="279"/>
      <c r="AVZ29" s="279"/>
      <c r="AWA29" s="279"/>
      <c r="AWB29" s="279"/>
      <c r="AWC29" s="279"/>
      <c r="AWD29" s="279"/>
      <c r="AWE29" s="279"/>
      <c r="AWF29" s="279"/>
      <c r="AWG29" s="279"/>
      <c r="AWH29" s="279"/>
      <c r="AWI29" s="279"/>
      <c r="AWJ29" s="279"/>
      <c r="AWK29" s="279"/>
      <c r="AWL29" s="279"/>
      <c r="AWM29" s="279"/>
      <c r="AWN29" s="279"/>
      <c r="AWO29" s="279"/>
      <c r="AWP29" s="279"/>
      <c r="AWQ29" s="279"/>
      <c r="AWR29" s="279"/>
      <c r="AWS29" s="279"/>
      <c r="AWT29" s="279"/>
      <c r="AWU29" s="279"/>
      <c r="AWV29" s="279"/>
      <c r="AWW29" s="279"/>
      <c r="AWX29" s="279"/>
      <c r="AWY29" s="279"/>
      <c r="AWZ29" s="279"/>
      <c r="AXA29" s="279"/>
      <c r="AXB29" s="279"/>
      <c r="AXC29" s="279"/>
      <c r="AXD29" s="279"/>
      <c r="AXE29" s="279"/>
      <c r="AXF29" s="279"/>
      <c r="AXG29" s="279"/>
      <c r="AXH29" s="279"/>
      <c r="AXI29" s="279"/>
      <c r="AXJ29" s="279"/>
      <c r="AXK29" s="279"/>
      <c r="AXL29" s="279"/>
      <c r="AXM29" s="279"/>
      <c r="AXN29" s="279"/>
      <c r="AXO29" s="279"/>
      <c r="AXP29" s="279"/>
      <c r="AXQ29" s="279"/>
      <c r="AXR29" s="279"/>
      <c r="AXS29" s="279"/>
      <c r="AXT29" s="279"/>
      <c r="AXU29" s="279"/>
      <c r="AXV29" s="279"/>
      <c r="AXW29" s="279"/>
      <c r="AXX29" s="279"/>
      <c r="AXY29" s="279"/>
      <c r="AXZ29" s="279"/>
      <c r="AYA29" s="279"/>
      <c r="AYB29" s="279"/>
      <c r="AYC29" s="279"/>
      <c r="AYD29" s="279"/>
      <c r="AYE29" s="279"/>
      <c r="AYF29" s="279"/>
      <c r="AYG29" s="279"/>
      <c r="AYH29" s="279"/>
      <c r="AYI29" s="279"/>
      <c r="AYJ29" s="279"/>
      <c r="AYK29" s="279"/>
      <c r="AYL29" s="279"/>
      <c r="AYM29" s="279"/>
      <c r="AYN29" s="279"/>
      <c r="AYO29" s="279"/>
      <c r="AYP29" s="279"/>
      <c r="AYQ29" s="279"/>
      <c r="AYR29" s="279"/>
      <c r="AYS29" s="279"/>
      <c r="AYT29" s="279"/>
      <c r="AYU29" s="279"/>
      <c r="AYV29" s="279"/>
      <c r="AYW29" s="279"/>
      <c r="AYX29" s="279"/>
      <c r="AYY29" s="279"/>
      <c r="AYZ29" s="279"/>
      <c r="AZA29" s="279"/>
      <c r="AZB29" s="279"/>
      <c r="AZC29" s="279"/>
      <c r="AZD29" s="279"/>
      <c r="AZE29" s="279"/>
      <c r="AZF29" s="279"/>
      <c r="AZG29" s="279"/>
      <c r="AZH29" s="279"/>
      <c r="AZI29" s="279"/>
      <c r="AZJ29" s="279"/>
      <c r="AZK29" s="279"/>
      <c r="AZL29" s="279"/>
      <c r="AZM29" s="279"/>
      <c r="AZN29" s="279"/>
      <c r="AZO29" s="279"/>
      <c r="AZP29" s="279"/>
      <c r="AZQ29" s="279"/>
      <c r="AZR29" s="279"/>
      <c r="AZS29" s="279"/>
      <c r="AZT29" s="279"/>
      <c r="AZU29" s="279"/>
      <c r="AZV29" s="279"/>
      <c r="AZW29" s="279"/>
      <c r="AZX29" s="279"/>
      <c r="AZY29" s="279"/>
      <c r="AZZ29" s="279"/>
      <c r="BAA29" s="279"/>
      <c r="BAB29" s="279"/>
      <c r="BAC29" s="279"/>
      <c r="BAD29" s="279"/>
      <c r="BAE29" s="279"/>
      <c r="BAF29" s="279"/>
      <c r="BAG29" s="279"/>
      <c r="BAH29" s="279"/>
      <c r="BAI29" s="279"/>
      <c r="BAJ29" s="279"/>
      <c r="BAK29" s="279"/>
      <c r="BAL29" s="279"/>
      <c r="BAM29" s="279"/>
      <c r="BAN29" s="279"/>
      <c r="BAO29" s="279"/>
      <c r="BAP29" s="279"/>
      <c r="BAQ29" s="279"/>
      <c r="BAR29" s="279"/>
      <c r="BAS29" s="279"/>
      <c r="BAT29" s="279"/>
      <c r="BAU29" s="279"/>
      <c r="BAV29" s="279"/>
      <c r="BAW29" s="279"/>
      <c r="BAX29" s="279"/>
      <c r="BAY29" s="279"/>
      <c r="BAZ29" s="279"/>
      <c r="BBA29" s="279"/>
      <c r="BBB29" s="279"/>
      <c r="BBC29" s="279"/>
      <c r="BBD29" s="279"/>
      <c r="BBE29" s="279"/>
      <c r="BBF29" s="279"/>
      <c r="BBG29" s="279"/>
      <c r="BBH29" s="279"/>
      <c r="BBI29" s="279"/>
      <c r="BBJ29" s="279"/>
      <c r="BBK29" s="279"/>
      <c r="BBL29" s="279"/>
      <c r="BBM29" s="279"/>
      <c r="BBN29" s="279"/>
      <c r="BBO29" s="279"/>
      <c r="BBP29" s="279"/>
      <c r="BBQ29" s="279"/>
      <c r="BBR29" s="279"/>
      <c r="BBS29" s="279"/>
      <c r="BBT29" s="279"/>
      <c r="BBU29" s="279"/>
      <c r="BBV29" s="279"/>
      <c r="BBW29" s="279"/>
      <c r="BBX29" s="279"/>
      <c r="BBY29" s="279"/>
      <c r="BBZ29" s="279"/>
      <c r="BCA29" s="279"/>
      <c r="BCB29" s="279"/>
      <c r="BCC29" s="279"/>
      <c r="BCD29" s="279"/>
      <c r="BCE29" s="279"/>
      <c r="BCF29" s="279"/>
      <c r="BCG29" s="279"/>
      <c r="BCH29" s="279"/>
      <c r="BCI29" s="279"/>
      <c r="BCJ29" s="279"/>
      <c r="BCK29" s="279"/>
      <c r="BCL29" s="279"/>
      <c r="BCM29" s="279"/>
      <c r="BCN29" s="279"/>
      <c r="BCO29" s="279"/>
      <c r="BCP29" s="279"/>
      <c r="BCQ29" s="279"/>
      <c r="BCR29" s="279"/>
      <c r="BCS29" s="279"/>
      <c r="BCT29" s="279"/>
      <c r="BCU29" s="279"/>
      <c r="BCV29" s="279"/>
      <c r="BCW29" s="279"/>
      <c r="BCX29" s="279"/>
      <c r="BCY29" s="279"/>
      <c r="BCZ29" s="279"/>
      <c r="BDA29" s="279"/>
      <c r="BDB29" s="279"/>
      <c r="BDC29" s="279"/>
      <c r="BDD29" s="279"/>
      <c r="BDE29" s="279"/>
      <c r="BDF29" s="279"/>
      <c r="BDG29" s="279"/>
      <c r="BDH29" s="279"/>
      <c r="BDI29" s="279"/>
      <c r="BDJ29" s="279"/>
      <c r="BDK29" s="279"/>
      <c r="BDL29" s="279"/>
      <c r="BDM29" s="279"/>
      <c r="BDN29" s="279"/>
      <c r="BDO29" s="279"/>
      <c r="BDP29" s="279"/>
      <c r="BDQ29" s="279"/>
      <c r="BDR29" s="279"/>
      <c r="BDS29" s="279"/>
      <c r="BDT29" s="279"/>
      <c r="BDU29" s="279"/>
      <c r="BDV29" s="279"/>
      <c r="BDW29" s="279"/>
      <c r="BDX29" s="279"/>
      <c r="BDY29" s="279"/>
      <c r="BDZ29" s="279"/>
      <c r="BEA29" s="279"/>
      <c r="BEB29" s="279"/>
      <c r="BEC29" s="279"/>
      <c r="BED29" s="279"/>
      <c r="BEE29" s="279"/>
      <c r="BEF29" s="279"/>
      <c r="BEG29" s="279"/>
      <c r="BEH29" s="279"/>
      <c r="BEI29" s="279"/>
      <c r="BEJ29" s="279"/>
      <c r="BEK29" s="279"/>
      <c r="BEL29" s="279"/>
      <c r="BEM29" s="279"/>
      <c r="BEN29" s="279"/>
      <c r="BEO29" s="279"/>
      <c r="BEP29" s="279"/>
      <c r="BEQ29" s="279"/>
      <c r="BER29" s="279"/>
      <c r="BES29" s="279"/>
      <c r="BET29" s="279"/>
      <c r="BEU29" s="279"/>
      <c r="BEV29" s="279"/>
      <c r="BEW29" s="279"/>
      <c r="BEX29" s="279"/>
      <c r="BEY29" s="279"/>
      <c r="BEZ29" s="279"/>
      <c r="BFA29" s="279"/>
      <c r="BFB29" s="279"/>
      <c r="BFC29" s="279"/>
      <c r="BFD29" s="279"/>
      <c r="BFE29" s="279"/>
      <c r="BFF29" s="279"/>
      <c r="BFG29" s="279"/>
      <c r="BFH29" s="279"/>
      <c r="BFI29" s="279"/>
      <c r="BFJ29" s="279"/>
      <c r="BFK29" s="279"/>
      <c r="BFL29" s="279"/>
      <c r="BFM29" s="279"/>
      <c r="BFN29" s="279"/>
      <c r="BFO29" s="279"/>
      <c r="BFP29" s="279"/>
      <c r="BFQ29" s="279"/>
      <c r="BFR29" s="279"/>
      <c r="BFS29" s="279"/>
      <c r="BFT29" s="279"/>
      <c r="BFU29" s="279"/>
      <c r="BFV29" s="279"/>
      <c r="BFW29" s="279"/>
      <c r="BFX29" s="279"/>
      <c r="BFY29" s="279"/>
      <c r="BFZ29" s="279"/>
      <c r="BGA29" s="279"/>
      <c r="BGB29" s="279"/>
      <c r="BGC29" s="279"/>
      <c r="BGD29" s="279"/>
      <c r="BGE29" s="279"/>
      <c r="BGF29" s="279"/>
      <c r="BGG29" s="279"/>
      <c r="BGH29" s="279"/>
      <c r="BGI29" s="279"/>
      <c r="BGJ29" s="279"/>
      <c r="BGK29" s="279"/>
      <c r="BGL29" s="279"/>
      <c r="BGM29" s="279"/>
      <c r="BGN29" s="279"/>
      <c r="BGO29" s="279"/>
      <c r="BGP29" s="279"/>
      <c r="BGQ29" s="279"/>
      <c r="BGR29" s="279"/>
      <c r="BGS29" s="279"/>
      <c r="BGT29" s="279"/>
      <c r="BGU29" s="279"/>
      <c r="BGV29" s="279"/>
      <c r="BGW29" s="279"/>
      <c r="BGX29" s="279"/>
      <c r="BGY29" s="279"/>
      <c r="BGZ29" s="279"/>
      <c r="BHA29" s="279"/>
      <c r="BHB29" s="279"/>
      <c r="BHC29" s="279"/>
      <c r="BHD29" s="279"/>
      <c r="BHE29" s="279"/>
      <c r="BHF29" s="279"/>
      <c r="BHG29" s="279"/>
      <c r="BHH29" s="279"/>
      <c r="BHI29" s="279"/>
      <c r="BHJ29" s="279"/>
      <c r="BHK29" s="279"/>
      <c r="BHL29" s="279"/>
      <c r="BHM29" s="279"/>
      <c r="BHN29" s="279"/>
      <c r="BHO29" s="279"/>
      <c r="BHP29" s="279"/>
      <c r="BHQ29" s="279"/>
      <c r="BHR29" s="279"/>
      <c r="BHS29" s="279"/>
      <c r="BHT29" s="279"/>
      <c r="BHU29" s="279"/>
      <c r="BHV29" s="279"/>
      <c r="BHW29" s="279"/>
      <c r="BHX29" s="279"/>
      <c r="BHY29" s="279"/>
      <c r="BHZ29" s="279"/>
      <c r="BIA29" s="279"/>
      <c r="BIB29" s="279"/>
      <c r="BIC29" s="279"/>
      <c r="BID29" s="279"/>
      <c r="BIE29" s="279"/>
      <c r="BIF29" s="279"/>
      <c r="BIG29" s="279"/>
      <c r="BIH29" s="279"/>
      <c r="BII29" s="279"/>
      <c r="BIJ29" s="279"/>
      <c r="BIK29" s="279"/>
      <c r="BIL29" s="279"/>
      <c r="BIM29" s="279"/>
      <c r="BIN29" s="279"/>
      <c r="BIO29" s="279"/>
      <c r="BIP29" s="279"/>
      <c r="BIQ29" s="279"/>
      <c r="BIR29" s="279"/>
      <c r="BIS29" s="279"/>
      <c r="BIT29" s="279"/>
      <c r="BIU29" s="279"/>
      <c r="BIV29" s="279"/>
      <c r="BIW29" s="279"/>
      <c r="BIX29" s="279"/>
      <c r="BIY29" s="279"/>
      <c r="BIZ29" s="279"/>
      <c r="BJA29" s="279"/>
      <c r="BJB29" s="279"/>
      <c r="BJC29" s="279"/>
      <c r="BJD29" s="279"/>
      <c r="BJE29" s="279"/>
      <c r="BJF29" s="279"/>
      <c r="BJG29" s="279"/>
      <c r="BJH29" s="279"/>
      <c r="BJI29" s="279"/>
      <c r="BJJ29" s="279"/>
      <c r="BJK29" s="279"/>
      <c r="BJL29" s="279"/>
      <c r="BJM29" s="279"/>
      <c r="BJN29" s="279"/>
      <c r="BJO29" s="279"/>
      <c r="BJP29" s="279"/>
      <c r="BJQ29" s="279"/>
      <c r="BJR29" s="279"/>
      <c r="BJS29" s="279"/>
      <c r="BJT29" s="279"/>
      <c r="BJU29" s="279"/>
      <c r="BJV29" s="279"/>
      <c r="BJW29" s="279"/>
      <c r="BJX29" s="279"/>
      <c r="BJY29" s="279"/>
      <c r="BJZ29" s="279"/>
      <c r="BKA29" s="279"/>
      <c r="BKB29" s="279"/>
      <c r="BKC29" s="279"/>
      <c r="BKD29" s="279"/>
      <c r="BKE29" s="279"/>
      <c r="BKF29" s="279"/>
      <c r="BKG29" s="279"/>
      <c r="BKH29" s="279"/>
      <c r="BKI29" s="279"/>
      <c r="BKJ29" s="279"/>
      <c r="BKK29" s="279"/>
      <c r="BKL29" s="279"/>
      <c r="BKM29" s="279"/>
      <c r="BKN29" s="279"/>
      <c r="BKO29" s="279"/>
      <c r="BKP29" s="279"/>
      <c r="BKQ29" s="279"/>
      <c r="BKR29" s="279"/>
      <c r="BKS29" s="279"/>
      <c r="BKT29" s="279"/>
      <c r="BKU29" s="279"/>
      <c r="BKV29" s="279"/>
      <c r="BKW29" s="279"/>
      <c r="BKX29" s="279"/>
      <c r="BKY29" s="279"/>
      <c r="BKZ29" s="279"/>
      <c r="BLA29" s="279"/>
      <c r="BLB29" s="279"/>
      <c r="BLC29" s="279"/>
      <c r="BLD29" s="279"/>
      <c r="BLE29" s="279"/>
      <c r="BLF29" s="279"/>
      <c r="BLG29" s="279"/>
      <c r="BLH29" s="279"/>
      <c r="BLI29" s="279"/>
      <c r="BLJ29" s="279"/>
      <c r="BLK29" s="279"/>
      <c r="BLL29" s="279"/>
      <c r="BLM29" s="279"/>
      <c r="BLN29" s="279"/>
      <c r="BLO29" s="279"/>
      <c r="BLP29" s="279"/>
      <c r="BLQ29" s="279"/>
      <c r="BLR29" s="279"/>
      <c r="BLS29" s="279"/>
      <c r="BLT29" s="279"/>
      <c r="BLU29" s="279"/>
      <c r="BLV29" s="279"/>
      <c r="BLW29" s="279"/>
      <c r="BLX29" s="279"/>
      <c r="BLY29" s="279"/>
      <c r="BLZ29" s="279"/>
      <c r="BMA29" s="279"/>
      <c r="BMB29" s="279"/>
      <c r="BMC29" s="279"/>
      <c r="BMD29" s="279"/>
      <c r="BME29" s="279"/>
      <c r="BMF29" s="279"/>
      <c r="BMG29" s="279"/>
      <c r="BMH29" s="279"/>
      <c r="BMI29" s="279"/>
      <c r="BMJ29" s="279"/>
      <c r="BMK29" s="279"/>
      <c r="BML29" s="279"/>
      <c r="BMM29" s="279"/>
      <c r="BMN29" s="279"/>
      <c r="BMO29" s="279"/>
      <c r="BMP29" s="279"/>
      <c r="BMQ29" s="279"/>
      <c r="BMR29" s="279"/>
      <c r="BMS29" s="279"/>
      <c r="BMT29" s="279"/>
      <c r="BMU29" s="279"/>
      <c r="BMV29" s="279"/>
      <c r="BMW29" s="279"/>
      <c r="BMX29" s="279"/>
      <c r="BMY29" s="279"/>
      <c r="BMZ29" s="279"/>
      <c r="BNA29" s="279"/>
      <c r="BNB29" s="279"/>
      <c r="BNC29" s="279"/>
      <c r="BND29" s="279"/>
      <c r="BNE29" s="279"/>
      <c r="BNF29" s="279"/>
      <c r="BNG29" s="279"/>
      <c r="BNH29" s="279"/>
      <c r="BNI29" s="279"/>
      <c r="BNJ29" s="279"/>
      <c r="BNK29" s="279"/>
      <c r="BNL29" s="279"/>
      <c r="BNM29" s="279"/>
      <c r="BNN29" s="279"/>
      <c r="BNO29" s="279"/>
      <c r="BNP29" s="279"/>
      <c r="BNQ29" s="279"/>
      <c r="BNR29" s="279"/>
      <c r="BNS29" s="279"/>
      <c r="BNT29" s="279"/>
      <c r="BNU29" s="279"/>
      <c r="BNV29" s="279"/>
      <c r="BNW29" s="279"/>
      <c r="BNX29" s="279"/>
      <c r="BNY29" s="279"/>
      <c r="BNZ29" s="279"/>
      <c r="BOA29" s="279"/>
      <c r="BOB29" s="279"/>
      <c r="BOC29" s="279"/>
      <c r="BOD29" s="279"/>
      <c r="BOE29" s="279"/>
      <c r="BOF29" s="279"/>
      <c r="BOG29" s="279"/>
      <c r="BOH29" s="279"/>
      <c r="BOI29" s="279"/>
      <c r="BOJ29" s="279"/>
      <c r="BOK29" s="279"/>
      <c r="BOL29" s="279"/>
      <c r="BOM29" s="279"/>
      <c r="BON29" s="279"/>
      <c r="BOO29" s="279"/>
      <c r="BOP29" s="279"/>
      <c r="BOQ29" s="279"/>
      <c r="BOR29" s="279"/>
      <c r="BOS29" s="279"/>
      <c r="BOT29" s="279"/>
      <c r="BOU29" s="279"/>
      <c r="BOV29" s="279"/>
      <c r="BOW29" s="279"/>
      <c r="BOX29" s="279"/>
      <c r="BOY29" s="279"/>
      <c r="BOZ29" s="279"/>
      <c r="BPA29" s="279"/>
      <c r="BPB29" s="279"/>
      <c r="BPC29" s="279"/>
      <c r="BPD29" s="279"/>
      <c r="BPE29" s="279"/>
      <c r="BPF29" s="279"/>
      <c r="BPG29" s="279"/>
      <c r="BPH29" s="279"/>
      <c r="BPI29" s="279"/>
      <c r="BPJ29" s="279"/>
      <c r="BPK29" s="279"/>
      <c r="BPL29" s="279"/>
      <c r="BPM29" s="279"/>
      <c r="BPN29" s="279"/>
      <c r="BPO29" s="279"/>
      <c r="BPP29" s="279"/>
      <c r="BPQ29" s="279"/>
      <c r="BPR29" s="279"/>
      <c r="BPS29" s="279"/>
      <c r="BPT29" s="279"/>
      <c r="BPU29" s="279"/>
      <c r="BPV29" s="279"/>
      <c r="BPW29" s="279"/>
      <c r="BPX29" s="279"/>
      <c r="BPY29" s="279"/>
      <c r="BPZ29" s="279"/>
      <c r="BQA29" s="279"/>
      <c r="BQB29" s="279"/>
      <c r="BQC29" s="279"/>
      <c r="BQD29" s="279"/>
      <c r="BQE29" s="279"/>
      <c r="BQF29" s="279"/>
      <c r="BQG29" s="279"/>
      <c r="BQH29" s="279"/>
      <c r="BQI29" s="279"/>
      <c r="BQJ29" s="279"/>
      <c r="BQK29" s="279"/>
      <c r="BQL29" s="279"/>
      <c r="BQM29" s="279"/>
      <c r="BQN29" s="279"/>
      <c r="BQO29" s="279"/>
      <c r="BQP29" s="279"/>
      <c r="BQQ29" s="279"/>
      <c r="BQR29" s="279"/>
      <c r="BQS29" s="279"/>
      <c r="BQT29" s="279"/>
      <c r="BQU29" s="279"/>
      <c r="BQV29" s="279"/>
      <c r="BQW29" s="279"/>
      <c r="BQX29" s="279"/>
      <c r="BQY29" s="279"/>
      <c r="BQZ29" s="279"/>
      <c r="BRA29" s="279"/>
      <c r="BRB29" s="279"/>
      <c r="BRC29" s="279"/>
      <c r="BRD29" s="279"/>
      <c r="BRE29" s="279"/>
      <c r="BRF29" s="279"/>
      <c r="BRG29" s="279"/>
      <c r="BRH29" s="279"/>
      <c r="BRI29" s="279"/>
      <c r="BRJ29" s="279"/>
      <c r="BRK29" s="279"/>
      <c r="BRL29" s="279"/>
      <c r="BRM29" s="279"/>
      <c r="BRN29" s="279"/>
      <c r="BRO29" s="279"/>
      <c r="BRP29" s="279"/>
      <c r="BRQ29" s="279"/>
      <c r="BRR29" s="279"/>
      <c r="BRS29" s="279"/>
      <c r="BRT29" s="279"/>
      <c r="BRU29" s="279"/>
      <c r="BRV29" s="279"/>
      <c r="BRW29" s="279"/>
      <c r="BRX29" s="279"/>
      <c r="BRY29" s="279"/>
      <c r="BRZ29" s="279"/>
      <c r="BSA29" s="279"/>
      <c r="BSB29" s="279"/>
      <c r="BSC29" s="279"/>
      <c r="BSD29" s="279"/>
      <c r="BSE29" s="279"/>
      <c r="BSF29" s="279"/>
      <c r="BSG29" s="279"/>
      <c r="BSH29" s="279"/>
      <c r="BSI29" s="279"/>
      <c r="BSJ29" s="279"/>
      <c r="BSK29" s="279"/>
      <c r="BSL29" s="279"/>
      <c r="BSM29" s="279"/>
      <c r="BSN29" s="279"/>
      <c r="BSO29" s="279"/>
      <c r="BSP29" s="279"/>
      <c r="BSQ29" s="279"/>
      <c r="BSR29" s="279"/>
      <c r="BSS29" s="279"/>
      <c r="BST29" s="279"/>
      <c r="BSU29" s="279"/>
      <c r="BSV29" s="279"/>
      <c r="BSW29" s="279"/>
      <c r="BSX29" s="279"/>
      <c r="BSY29" s="279"/>
      <c r="BSZ29" s="279"/>
      <c r="BTA29" s="279"/>
      <c r="BTB29" s="279"/>
      <c r="BTC29" s="279"/>
      <c r="BTD29" s="279"/>
      <c r="BTE29" s="279"/>
      <c r="BTF29" s="279"/>
      <c r="BTG29" s="279"/>
      <c r="BTH29" s="279"/>
      <c r="BTI29" s="279"/>
      <c r="BTJ29" s="279"/>
      <c r="BTK29" s="279"/>
      <c r="BTL29" s="279"/>
      <c r="BTM29" s="279"/>
      <c r="BTN29" s="279"/>
      <c r="BTO29" s="279"/>
      <c r="BTP29" s="279"/>
      <c r="BTQ29" s="279"/>
      <c r="BTR29" s="279"/>
      <c r="BTS29" s="279"/>
      <c r="BTT29" s="279"/>
      <c r="BTU29" s="279"/>
      <c r="BTV29" s="279"/>
      <c r="BTW29" s="279"/>
      <c r="BTX29" s="279"/>
      <c r="BTY29" s="279"/>
      <c r="BTZ29" s="279"/>
      <c r="BUA29" s="279"/>
      <c r="BUB29" s="279"/>
      <c r="BUC29" s="279"/>
      <c r="BUD29" s="279"/>
      <c r="BUE29" s="279"/>
      <c r="BUF29" s="279"/>
      <c r="BUG29" s="279"/>
      <c r="BUH29" s="279"/>
      <c r="BUI29" s="279"/>
      <c r="BUJ29" s="279"/>
      <c r="BUK29" s="279"/>
      <c r="BUL29" s="279"/>
      <c r="BUM29" s="279"/>
      <c r="BUN29" s="279"/>
      <c r="BUO29" s="279"/>
      <c r="BUP29" s="279"/>
      <c r="BUQ29" s="279"/>
      <c r="BUR29" s="279"/>
      <c r="BUS29" s="279"/>
      <c r="BUT29" s="279"/>
      <c r="BUU29" s="279"/>
      <c r="BUV29" s="279"/>
      <c r="BUW29" s="279"/>
      <c r="BUX29" s="279"/>
      <c r="BUY29" s="279"/>
      <c r="BUZ29" s="279"/>
      <c r="BVA29" s="279"/>
      <c r="BVB29" s="279"/>
      <c r="BVC29" s="279"/>
      <c r="BVD29" s="279"/>
      <c r="BVE29" s="279"/>
      <c r="BVF29" s="279"/>
      <c r="BVG29" s="279"/>
      <c r="BVH29" s="279"/>
      <c r="BVI29" s="279"/>
      <c r="BVJ29" s="279"/>
      <c r="BVK29" s="279"/>
      <c r="BVL29" s="279"/>
      <c r="BVM29" s="279"/>
      <c r="BVN29" s="279"/>
      <c r="BVO29" s="279"/>
      <c r="BVP29" s="279"/>
      <c r="BVQ29" s="279"/>
      <c r="BVR29" s="279"/>
      <c r="BVS29" s="279"/>
      <c r="BVT29" s="279"/>
      <c r="BVU29" s="279"/>
      <c r="BVV29" s="279"/>
      <c r="BVW29" s="279"/>
      <c r="BVX29" s="279"/>
      <c r="BVY29" s="279"/>
      <c r="BVZ29" s="279"/>
      <c r="BWA29" s="279"/>
      <c r="BWB29" s="279"/>
      <c r="BWC29" s="279"/>
      <c r="BWD29" s="279"/>
      <c r="BWE29" s="279"/>
      <c r="BWF29" s="279"/>
      <c r="BWG29" s="279"/>
      <c r="BWH29" s="279"/>
      <c r="BWI29" s="279"/>
      <c r="BWJ29" s="279"/>
      <c r="BWK29" s="279"/>
      <c r="BWL29" s="279"/>
      <c r="BWM29" s="279"/>
      <c r="BWN29" s="279"/>
      <c r="BWO29" s="279"/>
      <c r="BWP29" s="279"/>
      <c r="BWQ29" s="279"/>
      <c r="BWR29" s="279"/>
      <c r="BWS29" s="279"/>
      <c r="BWT29" s="279"/>
      <c r="BWU29" s="279"/>
      <c r="BWV29" s="279"/>
      <c r="BWW29" s="279"/>
      <c r="BWX29" s="279"/>
      <c r="BWY29" s="279"/>
      <c r="BWZ29" s="279"/>
      <c r="BXA29" s="279"/>
      <c r="BXB29" s="279"/>
      <c r="BXC29" s="279"/>
      <c r="BXD29" s="279"/>
      <c r="BXE29" s="279"/>
      <c r="BXF29" s="279"/>
      <c r="BXG29" s="279"/>
      <c r="BXH29" s="279"/>
      <c r="BXI29" s="279"/>
      <c r="BXJ29" s="279"/>
      <c r="BXK29" s="279"/>
      <c r="BXL29" s="279"/>
      <c r="BXM29" s="279"/>
      <c r="BXN29" s="279"/>
      <c r="BXO29" s="279"/>
      <c r="BXP29" s="279"/>
      <c r="BXQ29" s="279"/>
      <c r="BXR29" s="279"/>
      <c r="BXS29" s="279"/>
      <c r="BXT29" s="279"/>
      <c r="BXU29" s="279"/>
      <c r="BXV29" s="279"/>
      <c r="BXW29" s="279"/>
      <c r="BXX29" s="279"/>
      <c r="BXY29" s="279"/>
      <c r="BXZ29" s="279"/>
      <c r="BYA29" s="279"/>
      <c r="BYB29" s="279"/>
      <c r="BYC29" s="279"/>
      <c r="BYD29" s="279"/>
      <c r="BYE29" s="279"/>
      <c r="BYF29" s="279"/>
      <c r="BYG29" s="279"/>
      <c r="BYH29" s="279"/>
      <c r="BYI29" s="279"/>
      <c r="BYJ29" s="279"/>
      <c r="BYK29" s="279"/>
      <c r="BYL29" s="279"/>
      <c r="BYM29" s="279"/>
      <c r="BYN29" s="279"/>
      <c r="BYO29" s="279"/>
      <c r="BYP29" s="279"/>
      <c r="BYQ29" s="279"/>
      <c r="BYR29" s="279"/>
      <c r="BYS29" s="279"/>
      <c r="BYT29" s="279"/>
      <c r="BYU29" s="279"/>
      <c r="BYV29" s="279"/>
      <c r="BYW29" s="279"/>
      <c r="BYX29" s="279"/>
      <c r="BYY29" s="279"/>
      <c r="BYZ29" s="279"/>
      <c r="BZA29" s="279"/>
      <c r="BZB29" s="279"/>
      <c r="BZC29" s="279"/>
      <c r="BZD29" s="279"/>
      <c r="BZE29" s="279"/>
      <c r="BZF29" s="279"/>
      <c r="BZG29" s="279"/>
      <c r="BZH29" s="279"/>
      <c r="BZI29" s="279"/>
      <c r="BZJ29" s="279"/>
      <c r="BZK29" s="279"/>
      <c r="BZL29" s="279"/>
      <c r="BZM29" s="279"/>
      <c r="BZN29" s="279"/>
      <c r="BZO29" s="279"/>
      <c r="BZP29" s="279"/>
      <c r="BZQ29" s="279"/>
      <c r="BZR29" s="279"/>
      <c r="BZS29" s="279"/>
      <c r="BZT29" s="279"/>
      <c r="BZU29" s="279"/>
      <c r="BZV29" s="279"/>
      <c r="BZW29" s="279"/>
      <c r="BZX29" s="279"/>
      <c r="BZY29" s="279"/>
      <c r="BZZ29" s="279"/>
      <c r="CAA29" s="279"/>
      <c r="CAB29" s="279"/>
      <c r="CAC29" s="279"/>
      <c r="CAD29" s="279"/>
      <c r="CAE29" s="279"/>
      <c r="CAF29" s="279"/>
      <c r="CAG29" s="279"/>
      <c r="CAH29" s="279"/>
      <c r="CAI29" s="279"/>
      <c r="CAJ29" s="279"/>
      <c r="CAK29" s="279"/>
      <c r="CAL29" s="279"/>
      <c r="CAM29" s="279"/>
      <c r="CAN29" s="279"/>
      <c r="CAO29" s="279"/>
      <c r="CAP29" s="279"/>
      <c r="CAQ29" s="279"/>
      <c r="CAR29" s="279"/>
      <c r="CAS29" s="279"/>
      <c r="CAT29" s="279"/>
      <c r="CAU29" s="279"/>
      <c r="CAV29" s="279"/>
      <c r="CAW29" s="279"/>
      <c r="CAX29" s="279"/>
      <c r="CAY29" s="279"/>
      <c r="CAZ29" s="279"/>
      <c r="CBA29" s="279"/>
      <c r="CBB29" s="279"/>
      <c r="CBC29" s="279"/>
      <c r="CBD29" s="279"/>
      <c r="CBE29" s="279"/>
      <c r="CBF29" s="279"/>
      <c r="CBG29" s="279"/>
      <c r="CBH29" s="279"/>
      <c r="CBI29" s="279"/>
      <c r="CBJ29" s="279"/>
      <c r="CBK29" s="279"/>
      <c r="CBL29" s="279"/>
      <c r="CBM29" s="279"/>
      <c r="CBN29" s="279"/>
      <c r="CBO29" s="279"/>
      <c r="CBP29" s="279"/>
      <c r="CBQ29" s="279"/>
      <c r="CBR29" s="279"/>
      <c r="CBS29" s="279"/>
      <c r="CBT29" s="279"/>
      <c r="CBU29" s="279"/>
      <c r="CBV29" s="279"/>
      <c r="CBW29" s="279"/>
      <c r="CBX29" s="279"/>
      <c r="CBY29" s="279"/>
      <c r="CBZ29" s="279"/>
      <c r="CCA29" s="279"/>
      <c r="CCB29" s="279"/>
      <c r="CCC29" s="279"/>
      <c r="CCD29" s="279"/>
      <c r="CCE29" s="279"/>
      <c r="CCF29" s="279"/>
      <c r="CCG29" s="279"/>
      <c r="CCH29" s="279"/>
      <c r="CCI29" s="279"/>
      <c r="CCJ29" s="279"/>
      <c r="CCK29" s="279"/>
      <c r="CCL29" s="279"/>
      <c r="CCM29" s="279"/>
      <c r="CCN29" s="279"/>
      <c r="CCO29" s="279"/>
      <c r="CCP29" s="279"/>
      <c r="CCQ29" s="279"/>
      <c r="CCR29" s="279"/>
      <c r="CCS29" s="279"/>
      <c r="CCT29" s="279"/>
      <c r="CCU29" s="279"/>
      <c r="CCV29" s="279"/>
      <c r="CCW29" s="279"/>
      <c r="CCX29" s="279"/>
      <c r="CCY29" s="279"/>
      <c r="CCZ29" s="279"/>
      <c r="CDA29" s="279"/>
      <c r="CDB29" s="279"/>
      <c r="CDC29" s="279"/>
      <c r="CDD29" s="279"/>
      <c r="CDE29" s="279"/>
      <c r="CDF29" s="279"/>
      <c r="CDG29" s="279"/>
      <c r="CDH29" s="279"/>
      <c r="CDI29" s="279"/>
      <c r="CDJ29" s="279"/>
      <c r="CDK29" s="279"/>
      <c r="CDL29" s="279"/>
      <c r="CDM29" s="279"/>
      <c r="CDN29" s="279"/>
      <c r="CDO29" s="279"/>
      <c r="CDP29" s="279"/>
      <c r="CDQ29" s="279"/>
      <c r="CDR29" s="279"/>
      <c r="CDS29" s="279"/>
      <c r="CDT29" s="279"/>
      <c r="CDU29" s="279"/>
      <c r="CDV29" s="279"/>
      <c r="CDW29" s="279"/>
      <c r="CDX29" s="279"/>
      <c r="CDY29" s="279"/>
      <c r="CDZ29" s="279"/>
      <c r="CEA29" s="279"/>
      <c r="CEB29" s="279"/>
      <c r="CEC29" s="279"/>
      <c r="CED29" s="279"/>
      <c r="CEE29" s="279"/>
      <c r="CEF29" s="279"/>
      <c r="CEG29" s="279"/>
      <c r="CEH29" s="279"/>
      <c r="CEI29" s="279"/>
      <c r="CEJ29" s="279"/>
      <c r="CEK29" s="279"/>
      <c r="CEL29" s="279"/>
      <c r="CEM29" s="279"/>
      <c r="CEN29" s="279"/>
      <c r="CEO29" s="279"/>
      <c r="CEP29" s="279"/>
      <c r="CEQ29" s="279"/>
      <c r="CER29" s="279"/>
      <c r="CES29" s="279"/>
      <c r="CET29" s="279"/>
      <c r="CEU29" s="279"/>
      <c r="CEV29" s="279"/>
      <c r="CEW29" s="279"/>
      <c r="CEX29" s="279"/>
      <c r="CEY29" s="279"/>
      <c r="CEZ29" s="279"/>
      <c r="CFA29" s="279"/>
      <c r="CFB29" s="279"/>
      <c r="CFC29" s="279"/>
      <c r="CFD29" s="279"/>
      <c r="CFE29" s="279"/>
      <c r="CFF29" s="279"/>
      <c r="CFG29" s="279"/>
      <c r="CFH29" s="279"/>
      <c r="CFI29" s="279"/>
      <c r="CFJ29" s="279"/>
      <c r="CFK29" s="279"/>
      <c r="CFL29" s="279"/>
      <c r="CFM29" s="279"/>
      <c r="CFN29" s="279"/>
      <c r="CFO29" s="279"/>
      <c r="CFP29" s="279"/>
      <c r="CFQ29" s="279"/>
      <c r="CFR29" s="279"/>
      <c r="CFS29" s="279"/>
      <c r="CFT29" s="279"/>
      <c r="CFU29" s="279"/>
      <c r="CFV29" s="279"/>
      <c r="CFW29" s="279"/>
      <c r="CFX29" s="279"/>
      <c r="CFY29" s="279"/>
      <c r="CFZ29" s="279"/>
      <c r="CGA29" s="279"/>
      <c r="CGB29" s="279"/>
      <c r="CGC29" s="279"/>
      <c r="CGD29" s="279"/>
      <c r="CGE29" s="279"/>
      <c r="CGF29" s="279"/>
      <c r="CGG29" s="279"/>
      <c r="CGH29" s="279"/>
      <c r="CGI29" s="279"/>
      <c r="CGJ29" s="279"/>
      <c r="CGK29" s="279"/>
      <c r="CGL29" s="279"/>
      <c r="CGM29" s="279"/>
      <c r="CGN29" s="279"/>
      <c r="CGO29" s="279"/>
      <c r="CGP29" s="279"/>
      <c r="CGQ29" s="279"/>
      <c r="CGR29" s="279"/>
      <c r="CGS29" s="279"/>
      <c r="CGT29" s="279"/>
      <c r="CGU29" s="279"/>
      <c r="CGV29" s="279"/>
      <c r="CGW29" s="279"/>
      <c r="CGX29" s="279"/>
      <c r="CGY29" s="279"/>
      <c r="CGZ29" s="279"/>
      <c r="CHA29" s="279"/>
      <c r="CHB29" s="279"/>
      <c r="CHC29" s="279"/>
      <c r="CHD29" s="279"/>
      <c r="CHE29" s="279"/>
      <c r="CHF29" s="279"/>
      <c r="CHG29" s="279"/>
      <c r="CHH29" s="279"/>
      <c r="CHI29" s="279"/>
      <c r="CHJ29" s="279"/>
      <c r="CHK29" s="279"/>
      <c r="CHL29" s="279"/>
      <c r="CHM29" s="279"/>
      <c r="CHN29" s="279"/>
      <c r="CHO29" s="279"/>
      <c r="CHP29" s="279"/>
      <c r="CHQ29" s="279"/>
      <c r="CHR29" s="279"/>
      <c r="CHS29" s="279"/>
      <c r="CHT29" s="279"/>
      <c r="CHU29" s="279"/>
      <c r="CHV29" s="279"/>
      <c r="CHW29" s="279"/>
      <c r="CHX29" s="279"/>
      <c r="CHY29" s="279"/>
      <c r="CHZ29" s="279"/>
      <c r="CIA29" s="279"/>
      <c r="CIB29" s="279"/>
      <c r="CIC29" s="279"/>
      <c r="CID29" s="279"/>
      <c r="CIE29" s="279"/>
      <c r="CIF29" s="279"/>
      <c r="CIG29" s="279"/>
      <c r="CIH29" s="279"/>
      <c r="CII29" s="279"/>
      <c r="CIJ29" s="279"/>
      <c r="CIK29" s="279"/>
      <c r="CIL29" s="279"/>
      <c r="CIM29" s="279"/>
      <c r="CIN29" s="279"/>
      <c r="CIO29" s="279"/>
      <c r="CIP29" s="279"/>
      <c r="CIQ29" s="279"/>
      <c r="CIR29" s="279"/>
      <c r="CIS29" s="279"/>
      <c r="CIT29" s="279"/>
      <c r="CIU29" s="279"/>
      <c r="CIV29" s="279"/>
      <c r="CIW29" s="279"/>
      <c r="CIX29" s="279"/>
      <c r="CIY29" s="279"/>
      <c r="CIZ29" s="279"/>
      <c r="CJA29" s="279"/>
      <c r="CJB29" s="279"/>
      <c r="CJC29" s="279"/>
      <c r="CJD29" s="279"/>
      <c r="CJE29" s="279"/>
      <c r="CJF29" s="279"/>
      <c r="CJG29" s="279"/>
      <c r="CJH29" s="279"/>
      <c r="CJI29" s="279"/>
      <c r="CJJ29" s="279"/>
      <c r="CJK29" s="279"/>
      <c r="CJL29" s="279"/>
      <c r="CJM29" s="279"/>
      <c r="CJN29" s="279"/>
      <c r="CJO29" s="279"/>
      <c r="CJP29" s="279"/>
      <c r="CJQ29" s="279"/>
      <c r="CJR29" s="279"/>
      <c r="CJS29" s="279"/>
      <c r="CJT29" s="279"/>
      <c r="CJU29" s="279"/>
      <c r="CJV29" s="279"/>
      <c r="CJW29" s="279"/>
      <c r="CJX29" s="279"/>
      <c r="CJY29" s="279"/>
      <c r="CJZ29" s="279"/>
      <c r="CKA29" s="279"/>
      <c r="CKB29" s="279"/>
      <c r="CKC29" s="279"/>
      <c r="CKD29" s="279"/>
      <c r="CKE29" s="279"/>
      <c r="CKF29" s="279"/>
      <c r="CKG29" s="279"/>
      <c r="CKH29" s="279"/>
      <c r="CKI29" s="279"/>
      <c r="CKJ29" s="279"/>
      <c r="CKK29" s="279"/>
      <c r="CKL29" s="279"/>
      <c r="CKM29" s="279"/>
      <c r="CKN29" s="279"/>
      <c r="CKO29" s="279"/>
      <c r="CKP29" s="279"/>
      <c r="CKQ29" s="279"/>
      <c r="CKR29" s="279"/>
      <c r="CKS29" s="279"/>
      <c r="CKT29" s="279"/>
      <c r="CKU29" s="279"/>
      <c r="CKV29" s="279"/>
      <c r="CKW29" s="279"/>
      <c r="CKX29" s="279"/>
      <c r="CKY29" s="279"/>
      <c r="CKZ29" s="279"/>
      <c r="CLA29" s="279"/>
      <c r="CLB29" s="279"/>
      <c r="CLC29" s="279"/>
      <c r="CLD29" s="279"/>
      <c r="CLE29" s="279"/>
      <c r="CLF29" s="279"/>
      <c r="CLG29" s="279"/>
      <c r="CLH29" s="279"/>
      <c r="CLI29" s="279"/>
      <c r="CLJ29" s="279"/>
      <c r="CLK29" s="279"/>
      <c r="CLL29" s="279"/>
      <c r="CLM29" s="279"/>
      <c r="CLN29" s="279"/>
      <c r="CLO29" s="279"/>
      <c r="CLP29" s="279"/>
      <c r="CLQ29" s="279"/>
      <c r="CLR29" s="279"/>
      <c r="CLS29" s="279"/>
      <c r="CLT29" s="279"/>
      <c r="CLU29" s="279"/>
      <c r="CLV29" s="279"/>
      <c r="CLW29" s="279"/>
      <c r="CLX29" s="279"/>
      <c r="CLY29" s="279"/>
      <c r="CLZ29" s="279"/>
      <c r="CMA29" s="279"/>
      <c r="CMB29" s="279"/>
      <c r="CMC29" s="279"/>
      <c r="CMD29" s="279"/>
      <c r="CME29" s="279"/>
      <c r="CMF29" s="279"/>
      <c r="CMG29" s="279"/>
      <c r="CMH29" s="279"/>
      <c r="CMI29" s="279"/>
      <c r="CMJ29" s="279"/>
      <c r="CMK29" s="279"/>
      <c r="CML29" s="279"/>
      <c r="CMM29" s="279"/>
      <c r="CMN29" s="279"/>
      <c r="CMO29" s="279"/>
      <c r="CMP29" s="279"/>
      <c r="CMQ29" s="279"/>
      <c r="CMR29" s="279"/>
      <c r="CMS29" s="279"/>
      <c r="CMT29" s="279"/>
      <c r="CMU29" s="279"/>
      <c r="CMV29" s="279"/>
      <c r="CMW29" s="279"/>
      <c r="CMX29" s="279"/>
      <c r="CMY29" s="279"/>
      <c r="CMZ29" s="279"/>
      <c r="CNA29" s="279"/>
      <c r="CNB29" s="279"/>
      <c r="CNC29" s="279"/>
      <c r="CND29" s="279"/>
      <c r="CNE29" s="279"/>
      <c r="CNF29" s="279"/>
      <c r="CNG29" s="279"/>
      <c r="CNH29" s="279"/>
      <c r="CNI29" s="279"/>
      <c r="CNJ29" s="279"/>
      <c r="CNK29" s="279"/>
      <c r="CNL29" s="279"/>
      <c r="CNM29" s="279"/>
      <c r="CNN29" s="279"/>
      <c r="CNO29" s="279"/>
      <c r="CNP29" s="279"/>
      <c r="CNQ29" s="279"/>
      <c r="CNR29" s="279"/>
      <c r="CNS29" s="279"/>
      <c r="CNT29" s="279"/>
      <c r="CNU29" s="279"/>
      <c r="CNV29" s="279"/>
      <c r="CNW29" s="279"/>
      <c r="CNX29" s="279"/>
      <c r="CNY29" s="279"/>
      <c r="CNZ29" s="279"/>
      <c r="COA29" s="279"/>
      <c r="COB29" s="279"/>
      <c r="COC29" s="279"/>
      <c r="COD29" s="279"/>
      <c r="COE29" s="279"/>
      <c r="COF29" s="279"/>
      <c r="COG29" s="279"/>
      <c r="COH29" s="279"/>
      <c r="COI29" s="279"/>
      <c r="COJ29" s="279"/>
      <c r="COK29" s="279"/>
      <c r="COL29" s="279"/>
      <c r="COM29" s="279"/>
      <c r="CON29" s="279"/>
      <c r="COO29" s="279"/>
      <c r="COP29" s="279"/>
      <c r="COQ29" s="279"/>
      <c r="COR29" s="279"/>
      <c r="COS29" s="279"/>
      <c r="COT29" s="279"/>
      <c r="COU29" s="279"/>
      <c r="COV29" s="279"/>
      <c r="COW29" s="279"/>
      <c r="COX29" s="279"/>
      <c r="COY29" s="279"/>
      <c r="COZ29" s="279"/>
      <c r="CPA29" s="279"/>
      <c r="CPB29" s="279"/>
      <c r="CPC29" s="279"/>
      <c r="CPD29" s="279"/>
      <c r="CPE29" s="279"/>
      <c r="CPF29" s="279"/>
      <c r="CPG29" s="279"/>
      <c r="CPH29" s="279"/>
      <c r="CPI29" s="279"/>
      <c r="CPJ29" s="279"/>
      <c r="CPK29" s="279"/>
      <c r="CPL29" s="279"/>
      <c r="CPM29" s="279"/>
      <c r="CPN29" s="279"/>
      <c r="CPO29" s="279"/>
      <c r="CPP29" s="279"/>
      <c r="CPQ29" s="279"/>
      <c r="CPR29" s="279"/>
      <c r="CPS29" s="279"/>
      <c r="CPT29" s="279"/>
      <c r="CPU29" s="279"/>
      <c r="CPV29" s="279"/>
      <c r="CPW29" s="279"/>
      <c r="CPX29" s="279"/>
      <c r="CPY29" s="279"/>
      <c r="CPZ29" s="279"/>
      <c r="CQA29" s="279"/>
      <c r="CQB29" s="279"/>
      <c r="CQC29" s="279"/>
      <c r="CQD29" s="279"/>
      <c r="CQE29" s="279"/>
      <c r="CQF29" s="279"/>
      <c r="CQG29" s="279"/>
      <c r="CQH29" s="279"/>
      <c r="CQI29" s="279"/>
      <c r="CQJ29" s="279"/>
      <c r="CQK29" s="279"/>
      <c r="CQL29" s="279"/>
      <c r="CQM29" s="279"/>
      <c r="CQN29" s="279"/>
      <c r="CQO29" s="279"/>
      <c r="CQP29" s="279"/>
      <c r="CQQ29" s="279"/>
      <c r="CQR29" s="279"/>
      <c r="CQS29" s="279"/>
      <c r="CQT29" s="279"/>
      <c r="CQU29" s="279"/>
      <c r="CQV29" s="279"/>
      <c r="CQW29" s="279"/>
      <c r="CQX29" s="279"/>
      <c r="CQY29" s="279"/>
      <c r="CQZ29" s="279"/>
      <c r="CRA29" s="279"/>
      <c r="CRB29" s="279"/>
      <c r="CRC29" s="279"/>
      <c r="CRD29" s="279"/>
      <c r="CRE29" s="279"/>
      <c r="CRF29" s="279"/>
      <c r="CRG29" s="279"/>
      <c r="CRH29" s="279"/>
      <c r="CRI29" s="279"/>
      <c r="CRJ29" s="279"/>
      <c r="CRK29" s="279"/>
      <c r="CRL29" s="279"/>
      <c r="CRM29" s="279"/>
      <c r="CRN29" s="279"/>
      <c r="CRO29" s="279"/>
      <c r="CRP29" s="279"/>
      <c r="CRQ29" s="279"/>
      <c r="CRR29" s="279"/>
      <c r="CRS29" s="279"/>
      <c r="CRT29" s="279"/>
      <c r="CRU29" s="279"/>
      <c r="CRV29" s="279"/>
      <c r="CRW29" s="279"/>
      <c r="CRX29" s="279"/>
      <c r="CRY29" s="279"/>
      <c r="CRZ29" s="279"/>
      <c r="CSA29" s="279"/>
      <c r="CSB29" s="279"/>
      <c r="CSC29" s="279"/>
      <c r="CSD29" s="279"/>
      <c r="CSE29" s="279"/>
      <c r="CSF29" s="279"/>
      <c r="CSG29" s="279"/>
      <c r="CSH29" s="279"/>
      <c r="CSI29" s="279"/>
      <c r="CSJ29" s="279"/>
      <c r="CSK29" s="279"/>
      <c r="CSL29" s="279"/>
      <c r="CSM29" s="279"/>
      <c r="CSN29" s="279"/>
      <c r="CSO29" s="279"/>
      <c r="CSP29" s="279"/>
      <c r="CSQ29" s="279"/>
      <c r="CSR29" s="279"/>
      <c r="CSS29" s="279"/>
      <c r="CST29" s="279"/>
      <c r="CSU29" s="279"/>
      <c r="CSV29" s="279"/>
      <c r="CSW29" s="279"/>
      <c r="CSX29" s="279"/>
      <c r="CSY29" s="279"/>
      <c r="CSZ29" s="279"/>
      <c r="CTA29" s="279"/>
      <c r="CTB29" s="279"/>
      <c r="CTC29" s="279"/>
      <c r="CTD29" s="279"/>
      <c r="CTE29" s="279"/>
      <c r="CTF29" s="279"/>
      <c r="CTG29" s="279"/>
      <c r="CTH29" s="279"/>
      <c r="CTI29" s="279"/>
      <c r="CTJ29" s="279"/>
      <c r="CTK29" s="279"/>
      <c r="CTL29" s="279"/>
      <c r="CTM29" s="279"/>
      <c r="CTN29" s="279"/>
      <c r="CTO29" s="279"/>
      <c r="CTP29" s="279"/>
      <c r="CTQ29" s="279"/>
      <c r="CTR29" s="279"/>
      <c r="CTS29" s="279"/>
      <c r="CTT29" s="279"/>
      <c r="CTU29" s="279"/>
      <c r="CTV29" s="279"/>
      <c r="CTW29" s="279"/>
      <c r="CTX29" s="279"/>
      <c r="CTY29" s="279"/>
      <c r="CTZ29" s="279"/>
      <c r="CUA29" s="279"/>
      <c r="CUB29" s="279"/>
      <c r="CUC29" s="279"/>
      <c r="CUD29" s="279"/>
      <c r="CUE29" s="279"/>
      <c r="CUF29" s="279"/>
      <c r="CUG29" s="279"/>
      <c r="CUH29" s="279"/>
      <c r="CUI29" s="279"/>
      <c r="CUJ29" s="279"/>
      <c r="CUK29" s="279"/>
      <c r="CUL29" s="279"/>
      <c r="CUM29" s="279"/>
      <c r="CUN29" s="279"/>
      <c r="CUO29" s="279"/>
      <c r="CUP29" s="279"/>
      <c r="CUQ29" s="279"/>
      <c r="CUR29" s="279"/>
      <c r="CUS29" s="279"/>
      <c r="CUT29" s="279"/>
      <c r="CUU29" s="279"/>
      <c r="CUV29" s="279"/>
      <c r="CUW29" s="279"/>
      <c r="CUX29" s="279"/>
      <c r="CUY29" s="279"/>
      <c r="CUZ29" s="279"/>
      <c r="CVA29" s="279"/>
      <c r="CVB29" s="279"/>
      <c r="CVC29" s="279"/>
      <c r="CVD29" s="279"/>
      <c r="CVE29" s="279"/>
      <c r="CVF29" s="279"/>
      <c r="CVG29" s="279"/>
      <c r="CVH29" s="279"/>
      <c r="CVI29" s="279"/>
      <c r="CVJ29" s="279"/>
      <c r="CVK29" s="279"/>
      <c r="CVL29" s="279"/>
      <c r="CVM29" s="279"/>
      <c r="CVN29" s="279"/>
      <c r="CVO29" s="279"/>
      <c r="CVP29" s="279"/>
      <c r="CVQ29" s="279"/>
      <c r="CVR29" s="279"/>
      <c r="CVS29" s="279"/>
      <c r="CVT29" s="279"/>
      <c r="CVU29" s="279"/>
      <c r="CVV29" s="279"/>
      <c r="CVW29" s="279"/>
      <c r="CVX29" s="279"/>
      <c r="CVY29" s="279"/>
      <c r="CVZ29" s="279"/>
      <c r="CWA29" s="279"/>
      <c r="CWB29" s="279"/>
      <c r="CWC29" s="279"/>
      <c r="CWD29" s="279"/>
      <c r="CWE29" s="279"/>
      <c r="CWF29" s="279"/>
      <c r="CWG29" s="279"/>
      <c r="CWH29" s="279"/>
      <c r="CWI29" s="279"/>
      <c r="CWJ29" s="279"/>
      <c r="CWK29" s="279"/>
      <c r="CWL29" s="279"/>
      <c r="CWM29" s="279"/>
      <c r="CWN29" s="279"/>
      <c r="CWO29" s="279"/>
      <c r="CWP29" s="279"/>
      <c r="CWQ29" s="279"/>
      <c r="CWR29" s="279"/>
      <c r="CWS29" s="279"/>
      <c r="CWT29" s="279"/>
      <c r="CWU29" s="279"/>
      <c r="CWV29" s="279"/>
      <c r="CWW29" s="279"/>
      <c r="CWX29" s="279"/>
      <c r="CWY29" s="279"/>
      <c r="CWZ29" s="279"/>
      <c r="CXA29" s="279"/>
      <c r="CXB29" s="279"/>
      <c r="CXC29" s="279"/>
      <c r="CXD29" s="279"/>
      <c r="CXE29" s="279"/>
      <c r="CXF29" s="279"/>
      <c r="CXG29" s="279"/>
      <c r="CXH29" s="279"/>
      <c r="CXI29" s="279"/>
      <c r="CXJ29" s="279"/>
      <c r="CXK29" s="279"/>
      <c r="CXL29" s="279"/>
      <c r="CXM29" s="279"/>
      <c r="CXN29" s="279"/>
      <c r="CXO29" s="279"/>
      <c r="CXP29" s="279"/>
      <c r="CXQ29" s="279"/>
      <c r="CXR29" s="279"/>
      <c r="CXS29" s="279"/>
      <c r="CXT29" s="279"/>
      <c r="CXU29" s="279"/>
      <c r="CXV29" s="279"/>
      <c r="CXW29" s="279"/>
      <c r="CXX29" s="279"/>
      <c r="CXY29" s="279"/>
      <c r="CXZ29" s="279"/>
      <c r="CYA29" s="279"/>
      <c r="CYB29" s="279"/>
      <c r="CYC29" s="279"/>
      <c r="CYD29" s="279"/>
      <c r="CYE29" s="279"/>
      <c r="CYF29" s="279"/>
      <c r="CYG29" s="279"/>
      <c r="CYH29" s="279"/>
      <c r="CYI29" s="279"/>
      <c r="CYJ29" s="279"/>
      <c r="CYK29" s="279"/>
      <c r="CYL29" s="279"/>
      <c r="CYM29" s="279"/>
      <c r="CYN29" s="279"/>
      <c r="CYO29" s="279"/>
      <c r="CYP29" s="279"/>
      <c r="CYQ29" s="279"/>
      <c r="CYR29" s="279"/>
      <c r="CYS29" s="279"/>
      <c r="CYT29" s="279"/>
      <c r="CYU29" s="279"/>
      <c r="CYV29" s="279"/>
      <c r="CYW29" s="279"/>
      <c r="CYX29" s="279"/>
      <c r="CYY29" s="279"/>
      <c r="CYZ29" s="279"/>
      <c r="CZA29" s="279"/>
      <c r="CZB29" s="279"/>
      <c r="CZC29" s="279"/>
      <c r="CZD29" s="279"/>
      <c r="CZE29" s="279"/>
      <c r="CZF29" s="279"/>
      <c r="CZG29" s="279"/>
      <c r="CZH29" s="279"/>
      <c r="CZI29" s="279"/>
      <c r="CZJ29" s="279"/>
      <c r="CZK29" s="279"/>
      <c r="CZL29" s="279"/>
      <c r="CZM29" s="279"/>
      <c r="CZN29" s="279"/>
      <c r="CZO29" s="279"/>
      <c r="CZP29" s="279"/>
      <c r="CZQ29" s="279"/>
      <c r="CZR29" s="279"/>
      <c r="CZS29" s="279"/>
      <c r="CZT29" s="279"/>
      <c r="CZU29" s="279"/>
      <c r="CZV29" s="279"/>
      <c r="CZW29" s="279"/>
      <c r="CZX29" s="279"/>
      <c r="CZY29" s="279"/>
      <c r="CZZ29" s="279"/>
      <c r="DAA29" s="279"/>
      <c r="DAB29" s="279"/>
      <c r="DAC29" s="279"/>
      <c r="DAD29" s="279"/>
      <c r="DAE29" s="279"/>
      <c r="DAF29" s="279"/>
      <c r="DAG29" s="279"/>
      <c r="DAH29" s="279"/>
      <c r="DAI29" s="279"/>
      <c r="DAJ29" s="279"/>
      <c r="DAK29" s="279"/>
      <c r="DAL29" s="279"/>
      <c r="DAM29" s="279"/>
      <c r="DAN29" s="279"/>
      <c r="DAO29" s="279"/>
      <c r="DAP29" s="279"/>
      <c r="DAQ29" s="279"/>
      <c r="DAR29" s="279"/>
      <c r="DAS29" s="279"/>
      <c r="DAT29" s="279"/>
      <c r="DAU29" s="279"/>
      <c r="DAV29" s="279"/>
      <c r="DAW29" s="279"/>
      <c r="DAX29" s="279"/>
      <c r="DAY29" s="279"/>
      <c r="DAZ29" s="279"/>
      <c r="DBA29" s="279"/>
      <c r="DBB29" s="279"/>
      <c r="DBC29" s="279"/>
      <c r="DBD29" s="279"/>
      <c r="DBE29" s="279"/>
      <c r="DBF29" s="279"/>
      <c r="DBG29" s="279"/>
      <c r="DBH29" s="279"/>
      <c r="DBI29" s="279"/>
      <c r="DBJ29" s="279"/>
      <c r="DBK29" s="279"/>
      <c r="DBL29" s="279"/>
      <c r="DBM29" s="279"/>
      <c r="DBN29" s="279"/>
      <c r="DBO29" s="279"/>
      <c r="DBP29" s="279"/>
      <c r="DBQ29" s="279"/>
      <c r="DBR29" s="279"/>
      <c r="DBS29" s="279"/>
      <c r="DBT29" s="279"/>
      <c r="DBU29" s="279"/>
      <c r="DBV29" s="279"/>
      <c r="DBW29" s="279"/>
      <c r="DBX29" s="279"/>
      <c r="DBY29" s="279"/>
      <c r="DBZ29" s="279"/>
      <c r="DCA29" s="279"/>
      <c r="DCB29" s="279"/>
      <c r="DCC29" s="279"/>
      <c r="DCD29" s="279"/>
      <c r="DCE29" s="279"/>
      <c r="DCF29" s="279"/>
      <c r="DCG29" s="279"/>
      <c r="DCH29" s="279"/>
      <c r="DCI29" s="279"/>
      <c r="DCJ29" s="279"/>
      <c r="DCK29" s="279"/>
      <c r="DCL29" s="279"/>
      <c r="DCM29" s="279"/>
      <c r="DCN29" s="279"/>
      <c r="DCO29" s="279"/>
      <c r="DCP29" s="279"/>
      <c r="DCQ29" s="279"/>
      <c r="DCR29" s="279"/>
      <c r="DCS29" s="279"/>
      <c r="DCT29" s="279"/>
      <c r="DCU29" s="279"/>
      <c r="DCV29" s="279"/>
      <c r="DCW29" s="279"/>
      <c r="DCX29" s="279"/>
      <c r="DCY29" s="279"/>
      <c r="DCZ29" s="279"/>
      <c r="DDA29" s="279"/>
      <c r="DDB29" s="279"/>
      <c r="DDC29" s="279"/>
      <c r="DDD29" s="279"/>
      <c r="DDE29" s="279"/>
      <c r="DDF29" s="279"/>
      <c r="DDG29" s="279"/>
      <c r="DDH29" s="279"/>
      <c r="DDI29" s="279"/>
      <c r="DDJ29" s="279"/>
      <c r="DDK29" s="279"/>
      <c r="DDL29" s="279"/>
      <c r="DDM29" s="279"/>
      <c r="DDN29" s="279"/>
      <c r="DDO29" s="279"/>
      <c r="DDP29" s="279"/>
      <c r="DDQ29" s="279"/>
      <c r="DDR29" s="279"/>
      <c r="DDS29" s="279"/>
      <c r="DDT29" s="279"/>
      <c r="DDU29" s="279"/>
      <c r="DDV29" s="279"/>
      <c r="DDW29" s="279"/>
      <c r="DDX29" s="279"/>
      <c r="DDY29" s="279"/>
      <c r="DDZ29" s="279"/>
      <c r="DEA29" s="279"/>
      <c r="DEB29" s="279"/>
      <c r="DEC29" s="279"/>
      <c r="DED29" s="279"/>
      <c r="DEE29" s="279"/>
      <c r="DEF29" s="279"/>
      <c r="DEG29" s="279"/>
      <c r="DEH29" s="279"/>
      <c r="DEI29" s="279"/>
      <c r="DEJ29" s="279"/>
      <c r="DEK29" s="279"/>
      <c r="DEL29" s="279"/>
      <c r="DEM29" s="279"/>
      <c r="DEN29" s="279"/>
      <c r="DEO29" s="279"/>
      <c r="DEP29" s="279"/>
      <c r="DEQ29" s="279"/>
      <c r="DER29" s="279"/>
      <c r="DES29" s="279"/>
      <c r="DET29" s="279"/>
      <c r="DEU29" s="279"/>
      <c r="DEV29" s="279"/>
      <c r="DEW29" s="279"/>
      <c r="DEX29" s="279"/>
      <c r="DEY29" s="279"/>
      <c r="DEZ29" s="279"/>
      <c r="DFA29" s="279"/>
      <c r="DFB29" s="279"/>
      <c r="DFC29" s="279"/>
      <c r="DFD29" s="279"/>
      <c r="DFE29" s="279"/>
      <c r="DFF29" s="279"/>
      <c r="DFG29" s="279"/>
      <c r="DFH29" s="279"/>
      <c r="DFI29" s="279"/>
      <c r="DFJ29" s="279"/>
      <c r="DFK29" s="279"/>
      <c r="DFL29" s="279"/>
      <c r="DFM29" s="279"/>
      <c r="DFN29" s="279"/>
      <c r="DFO29" s="279"/>
      <c r="DFP29" s="279"/>
      <c r="DFQ29" s="279"/>
      <c r="DFR29" s="279"/>
      <c r="DFS29" s="279"/>
      <c r="DFT29" s="279"/>
      <c r="DFU29" s="279"/>
      <c r="DFV29" s="279"/>
      <c r="DFW29" s="279"/>
      <c r="DFX29" s="279"/>
      <c r="DFY29" s="279"/>
      <c r="DFZ29" s="279"/>
      <c r="DGA29" s="279"/>
      <c r="DGB29" s="279"/>
      <c r="DGC29" s="279"/>
      <c r="DGD29" s="279"/>
      <c r="DGE29" s="279"/>
      <c r="DGF29" s="279"/>
      <c r="DGG29" s="279"/>
      <c r="DGH29" s="279"/>
      <c r="DGI29" s="279"/>
      <c r="DGJ29" s="279"/>
      <c r="DGK29" s="279"/>
      <c r="DGL29" s="279"/>
      <c r="DGM29" s="279"/>
      <c r="DGN29" s="279"/>
      <c r="DGO29" s="279"/>
      <c r="DGP29" s="279"/>
      <c r="DGQ29" s="279"/>
      <c r="DGR29" s="279"/>
      <c r="DGS29" s="279"/>
      <c r="DGT29" s="279"/>
      <c r="DGU29" s="279"/>
      <c r="DGV29" s="279"/>
      <c r="DGW29" s="279"/>
      <c r="DGX29" s="279"/>
      <c r="DGY29" s="279"/>
      <c r="DGZ29" s="279"/>
      <c r="DHA29" s="279"/>
      <c r="DHB29" s="279"/>
      <c r="DHC29" s="279"/>
      <c r="DHD29" s="279"/>
      <c r="DHE29" s="279"/>
      <c r="DHF29" s="279"/>
      <c r="DHG29" s="279"/>
      <c r="DHH29" s="279"/>
      <c r="DHI29" s="279"/>
      <c r="DHJ29" s="279"/>
      <c r="DHK29" s="279"/>
      <c r="DHL29" s="279"/>
      <c r="DHM29" s="279"/>
      <c r="DHN29" s="279"/>
      <c r="DHO29" s="279"/>
      <c r="DHP29" s="279"/>
      <c r="DHQ29" s="279"/>
      <c r="DHR29" s="279"/>
      <c r="DHS29" s="279"/>
      <c r="DHT29" s="279"/>
      <c r="DHU29" s="279"/>
      <c r="DHV29" s="279"/>
      <c r="DHW29" s="279"/>
      <c r="DHX29" s="279"/>
      <c r="DHY29" s="279"/>
      <c r="DHZ29" s="279"/>
      <c r="DIA29" s="279"/>
      <c r="DIB29" s="279"/>
      <c r="DIC29" s="279"/>
      <c r="DID29" s="279"/>
      <c r="DIE29" s="279"/>
      <c r="DIF29" s="279"/>
      <c r="DIG29" s="279"/>
      <c r="DIH29" s="279"/>
      <c r="DII29" s="279"/>
      <c r="DIJ29" s="279"/>
      <c r="DIK29" s="279"/>
      <c r="DIL29" s="279"/>
      <c r="DIM29" s="279"/>
      <c r="DIN29" s="279"/>
      <c r="DIO29" s="279"/>
      <c r="DIP29" s="279"/>
      <c r="DIQ29" s="279"/>
      <c r="DIR29" s="279"/>
      <c r="DIS29" s="279"/>
      <c r="DIT29" s="279"/>
      <c r="DIU29" s="279"/>
      <c r="DIV29" s="279"/>
      <c r="DIW29" s="279"/>
      <c r="DIX29" s="279"/>
      <c r="DIY29" s="279"/>
      <c r="DIZ29" s="279"/>
      <c r="DJA29" s="279"/>
      <c r="DJB29" s="279"/>
      <c r="DJC29" s="279"/>
      <c r="DJD29" s="279"/>
      <c r="DJE29" s="279"/>
      <c r="DJF29" s="279"/>
      <c r="DJG29" s="279"/>
      <c r="DJH29" s="279"/>
      <c r="DJI29" s="279"/>
      <c r="DJJ29" s="279"/>
      <c r="DJK29" s="279"/>
      <c r="DJL29" s="279"/>
      <c r="DJM29" s="279"/>
      <c r="DJN29" s="279"/>
      <c r="DJO29" s="279"/>
      <c r="DJP29" s="279"/>
      <c r="DJQ29" s="279"/>
      <c r="DJR29" s="279"/>
      <c r="DJS29" s="279"/>
      <c r="DJT29" s="279"/>
      <c r="DJU29" s="279"/>
      <c r="DJV29" s="279"/>
      <c r="DJW29" s="279"/>
      <c r="DJX29" s="279"/>
      <c r="DJY29" s="279"/>
      <c r="DJZ29" s="279"/>
      <c r="DKA29" s="279"/>
      <c r="DKB29" s="279"/>
      <c r="DKC29" s="279"/>
      <c r="DKD29" s="279"/>
      <c r="DKE29" s="279"/>
      <c r="DKF29" s="279"/>
      <c r="DKG29" s="279"/>
      <c r="DKH29" s="279"/>
      <c r="DKI29" s="279"/>
      <c r="DKJ29" s="279"/>
      <c r="DKK29" s="279"/>
      <c r="DKL29" s="279"/>
      <c r="DKM29" s="279"/>
      <c r="DKN29" s="279"/>
      <c r="DKO29" s="279"/>
      <c r="DKP29" s="279"/>
      <c r="DKQ29" s="279"/>
      <c r="DKR29" s="279"/>
      <c r="DKS29" s="279"/>
      <c r="DKT29" s="279"/>
      <c r="DKU29" s="279"/>
      <c r="DKV29" s="279"/>
      <c r="DKW29" s="279"/>
      <c r="DKX29" s="279"/>
      <c r="DKY29" s="279"/>
      <c r="DKZ29" s="279"/>
      <c r="DLA29" s="279"/>
      <c r="DLB29" s="279"/>
      <c r="DLC29" s="279"/>
      <c r="DLD29" s="279"/>
      <c r="DLE29" s="279"/>
      <c r="DLF29" s="279"/>
      <c r="DLG29" s="279"/>
      <c r="DLH29" s="279"/>
      <c r="DLI29" s="279"/>
      <c r="DLJ29" s="279"/>
      <c r="DLK29" s="279"/>
      <c r="DLL29" s="279"/>
      <c r="DLM29" s="279"/>
      <c r="DLN29" s="279"/>
      <c r="DLO29" s="279"/>
      <c r="DLP29" s="279"/>
      <c r="DLQ29" s="279"/>
      <c r="DLR29" s="279"/>
      <c r="DLS29" s="279"/>
      <c r="DLT29" s="279"/>
      <c r="DLU29" s="279"/>
      <c r="DLV29" s="279"/>
      <c r="DLW29" s="279"/>
      <c r="DLX29" s="279"/>
      <c r="DLY29" s="279"/>
      <c r="DLZ29" s="279"/>
      <c r="DMA29" s="279"/>
      <c r="DMB29" s="279"/>
      <c r="DMC29" s="279"/>
      <c r="DMD29" s="279"/>
      <c r="DME29" s="279"/>
      <c r="DMF29" s="279"/>
      <c r="DMG29" s="279"/>
      <c r="DMH29" s="279"/>
      <c r="DMI29" s="279"/>
      <c r="DMJ29" s="279"/>
      <c r="DMK29" s="279"/>
      <c r="DML29" s="279"/>
      <c r="DMM29" s="279"/>
      <c r="DMN29" s="279"/>
      <c r="DMO29" s="279"/>
      <c r="DMP29" s="279"/>
      <c r="DMQ29" s="279"/>
      <c r="DMR29" s="279"/>
      <c r="DMS29" s="279"/>
      <c r="DMT29" s="279"/>
      <c r="DMU29" s="279"/>
      <c r="DMV29" s="279"/>
      <c r="DMW29" s="279"/>
      <c r="DMX29" s="279"/>
      <c r="DMY29" s="279"/>
      <c r="DMZ29" s="279"/>
      <c r="DNA29" s="279"/>
      <c r="DNB29" s="279"/>
      <c r="DNC29" s="279"/>
      <c r="DND29" s="279"/>
      <c r="DNE29" s="279"/>
      <c r="DNF29" s="279"/>
      <c r="DNG29" s="279"/>
      <c r="DNH29" s="279"/>
      <c r="DNI29" s="279"/>
      <c r="DNJ29" s="279"/>
      <c r="DNK29" s="279"/>
      <c r="DNL29" s="279"/>
      <c r="DNM29" s="279"/>
      <c r="DNN29" s="279"/>
      <c r="DNO29" s="279"/>
      <c r="DNP29" s="279"/>
      <c r="DNQ29" s="279"/>
      <c r="DNR29" s="279"/>
      <c r="DNS29" s="279"/>
      <c r="DNT29" s="279"/>
      <c r="DNU29" s="279"/>
      <c r="DNV29" s="279"/>
      <c r="DNW29" s="279"/>
      <c r="DNX29" s="279"/>
      <c r="DNY29" s="279"/>
      <c r="DNZ29" s="279"/>
      <c r="DOA29" s="279"/>
      <c r="DOB29" s="279"/>
      <c r="DOC29" s="279"/>
      <c r="DOD29" s="279"/>
      <c r="DOE29" s="279"/>
      <c r="DOF29" s="279"/>
      <c r="DOG29" s="279"/>
      <c r="DOH29" s="279"/>
      <c r="DOI29" s="279"/>
      <c r="DOJ29" s="279"/>
      <c r="DOK29" s="279"/>
      <c r="DOL29" s="279"/>
      <c r="DOM29" s="279"/>
      <c r="DON29" s="279"/>
      <c r="DOO29" s="279"/>
      <c r="DOP29" s="279"/>
      <c r="DOQ29" s="279"/>
      <c r="DOR29" s="279"/>
      <c r="DOS29" s="279"/>
      <c r="DOT29" s="279"/>
      <c r="DOU29" s="279"/>
      <c r="DOV29" s="279"/>
      <c r="DOW29" s="279"/>
      <c r="DOX29" s="279"/>
      <c r="DOY29" s="279"/>
      <c r="DOZ29" s="279"/>
      <c r="DPA29" s="279"/>
      <c r="DPB29" s="279"/>
      <c r="DPC29" s="279"/>
      <c r="DPD29" s="279"/>
      <c r="DPE29" s="279"/>
      <c r="DPF29" s="279"/>
      <c r="DPG29" s="279"/>
      <c r="DPH29" s="279"/>
      <c r="DPI29" s="279"/>
      <c r="DPJ29" s="279"/>
      <c r="DPK29" s="279"/>
      <c r="DPL29" s="279"/>
      <c r="DPM29" s="279"/>
      <c r="DPN29" s="279"/>
      <c r="DPO29" s="279"/>
      <c r="DPP29" s="279"/>
      <c r="DPQ29" s="279"/>
      <c r="DPR29" s="279"/>
      <c r="DPS29" s="279"/>
      <c r="DPT29" s="279"/>
      <c r="DPU29" s="279"/>
      <c r="DPV29" s="279"/>
      <c r="DPW29" s="279"/>
      <c r="DPX29" s="279"/>
      <c r="DPY29" s="279"/>
      <c r="DPZ29" s="279"/>
      <c r="DQA29" s="279"/>
      <c r="DQB29" s="279"/>
      <c r="DQC29" s="279"/>
      <c r="DQD29" s="279"/>
      <c r="DQE29" s="279"/>
      <c r="DQF29" s="279"/>
      <c r="DQG29" s="279"/>
      <c r="DQH29" s="279"/>
      <c r="DQI29" s="279"/>
      <c r="DQJ29" s="279"/>
      <c r="DQK29" s="279"/>
      <c r="DQL29" s="279"/>
      <c r="DQM29" s="279"/>
      <c r="DQN29" s="279"/>
      <c r="DQO29" s="279"/>
      <c r="DQP29" s="279"/>
      <c r="DQQ29" s="279"/>
      <c r="DQR29" s="279"/>
      <c r="DQS29" s="279"/>
      <c r="DQT29" s="279"/>
      <c r="DQU29" s="279"/>
      <c r="DQV29" s="279"/>
      <c r="DQW29" s="279"/>
      <c r="DQX29" s="279"/>
      <c r="DQY29" s="279"/>
      <c r="DQZ29" s="279"/>
      <c r="DRA29" s="279"/>
      <c r="DRB29" s="279"/>
      <c r="DRC29" s="279"/>
      <c r="DRD29" s="279"/>
      <c r="DRE29" s="279"/>
      <c r="DRF29" s="279"/>
      <c r="DRG29" s="279"/>
      <c r="DRH29" s="279"/>
      <c r="DRI29" s="279"/>
      <c r="DRJ29" s="279"/>
      <c r="DRK29" s="279"/>
      <c r="DRL29" s="279"/>
      <c r="DRM29" s="279"/>
      <c r="DRN29" s="279"/>
      <c r="DRO29" s="279"/>
      <c r="DRP29" s="279"/>
      <c r="DRQ29" s="279"/>
      <c r="DRR29" s="279"/>
      <c r="DRS29" s="279"/>
      <c r="DRT29" s="279"/>
      <c r="DRU29" s="279"/>
      <c r="DRV29" s="279"/>
      <c r="DRW29" s="279"/>
      <c r="DRX29" s="279"/>
      <c r="DRY29" s="279"/>
      <c r="DRZ29" s="279"/>
      <c r="DSA29" s="279"/>
      <c r="DSB29" s="279"/>
      <c r="DSC29" s="279"/>
      <c r="DSD29" s="279"/>
      <c r="DSE29" s="279"/>
      <c r="DSF29" s="279"/>
      <c r="DSG29" s="279"/>
      <c r="DSH29" s="279"/>
      <c r="DSI29" s="279"/>
      <c r="DSJ29" s="279"/>
      <c r="DSK29" s="279"/>
      <c r="DSL29" s="279"/>
      <c r="DSM29" s="279"/>
      <c r="DSN29" s="279"/>
      <c r="DSO29" s="279"/>
      <c r="DSP29" s="279"/>
      <c r="DSQ29" s="279"/>
      <c r="DSR29" s="279"/>
      <c r="DSS29" s="279"/>
      <c r="DST29" s="279"/>
      <c r="DSU29" s="279"/>
      <c r="DSV29" s="279"/>
      <c r="DSW29" s="279"/>
      <c r="DSX29" s="279"/>
      <c r="DSY29" s="279"/>
      <c r="DSZ29" s="279"/>
      <c r="DTA29" s="279"/>
      <c r="DTB29" s="279"/>
      <c r="DTC29" s="279"/>
      <c r="DTD29" s="279"/>
      <c r="DTE29" s="279"/>
      <c r="DTF29" s="279"/>
      <c r="DTG29" s="279"/>
      <c r="DTH29" s="279"/>
      <c r="DTI29" s="279"/>
      <c r="DTJ29" s="279"/>
      <c r="DTK29" s="279"/>
      <c r="DTL29" s="279"/>
      <c r="DTM29" s="279"/>
      <c r="DTN29" s="279"/>
      <c r="DTO29" s="279"/>
      <c r="DTP29" s="279"/>
      <c r="DTQ29" s="279"/>
      <c r="DTR29" s="279"/>
      <c r="DTS29" s="279"/>
      <c r="DTT29" s="279"/>
      <c r="DTU29" s="279"/>
      <c r="DTV29" s="279"/>
      <c r="DTW29" s="279"/>
      <c r="DTX29" s="279"/>
      <c r="DTY29" s="279"/>
      <c r="DTZ29" s="279"/>
      <c r="DUA29" s="279"/>
      <c r="DUB29" s="279"/>
      <c r="DUC29" s="279"/>
      <c r="DUD29" s="279"/>
      <c r="DUE29" s="279"/>
      <c r="DUF29" s="279"/>
      <c r="DUG29" s="279"/>
      <c r="DUH29" s="279"/>
      <c r="DUI29" s="279"/>
      <c r="DUJ29" s="279"/>
      <c r="DUK29" s="279"/>
      <c r="DUL29" s="279"/>
      <c r="DUM29" s="279"/>
      <c r="DUN29" s="279"/>
      <c r="DUO29" s="279"/>
      <c r="DUP29" s="279"/>
      <c r="DUQ29" s="279"/>
      <c r="DUR29" s="279"/>
      <c r="DUS29" s="279"/>
      <c r="DUT29" s="279"/>
      <c r="DUU29" s="279"/>
      <c r="DUV29" s="279"/>
      <c r="DUW29" s="279"/>
      <c r="DUX29" s="279"/>
      <c r="DUY29" s="279"/>
      <c r="DUZ29" s="279"/>
      <c r="DVA29" s="279"/>
      <c r="DVB29" s="279"/>
      <c r="DVC29" s="279"/>
      <c r="DVD29" s="279"/>
      <c r="DVE29" s="279"/>
      <c r="DVF29" s="279"/>
      <c r="DVG29" s="279"/>
      <c r="DVH29" s="279"/>
      <c r="DVI29" s="279"/>
      <c r="DVJ29" s="279"/>
      <c r="DVK29" s="279"/>
      <c r="DVL29" s="279"/>
      <c r="DVM29" s="279"/>
      <c r="DVN29" s="279"/>
      <c r="DVO29" s="279"/>
      <c r="DVP29" s="279"/>
      <c r="DVQ29" s="279"/>
      <c r="DVR29" s="279"/>
      <c r="DVS29" s="279"/>
      <c r="DVT29" s="279"/>
      <c r="DVU29" s="279"/>
      <c r="DVV29" s="279"/>
      <c r="DVW29" s="279"/>
      <c r="DVX29" s="279"/>
      <c r="DVY29" s="279"/>
      <c r="DVZ29" s="279"/>
      <c r="DWA29" s="279"/>
      <c r="DWB29" s="279"/>
      <c r="DWC29" s="279"/>
      <c r="DWD29" s="279"/>
      <c r="DWE29" s="279"/>
      <c r="DWF29" s="279"/>
      <c r="DWG29" s="279"/>
      <c r="DWH29" s="279"/>
      <c r="DWI29" s="279"/>
      <c r="DWJ29" s="279"/>
      <c r="DWK29" s="279"/>
      <c r="DWL29" s="279"/>
      <c r="DWM29" s="279"/>
      <c r="DWN29" s="279"/>
      <c r="DWO29" s="279"/>
      <c r="DWP29" s="279"/>
      <c r="DWQ29" s="279"/>
      <c r="DWR29" s="279"/>
      <c r="DWS29" s="279"/>
      <c r="DWT29" s="279"/>
      <c r="DWU29" s="279"/>
      <c r="DWV29" s="279"/>
      <c r="DWW29" s="279"/>
      <c r="DWX29" s="279"/>
      <c r="DWY29" s="279"/>
      <c r="DWZ29" s="279"/>
      <c r="DXA29" s="279"/>
      <c r="DXB29" s="279"/>
      <c r="DXC29" s="279"/>
      <c r="DXD29" s="279"/>
      <c r="DXE29" s="279"/>
      <c r="DXF29" s="279"/>
      <c r="DXG29" s="279"/>
      <c r="DXH29" s="279"/>
      <c r="DXI29" s="279"/>
      <c r="DXJ29" s="279"/>
      <c r="DXK29" s="279"/>
      <c r="DXL29" s="279"/>
      <c r="DXM29" s="279"/>
      <c r="DXN29" s="279"/>
      <c r="DXO29" s="279"/>
      <c r="DXP29" s="279"/>
      <c r="DXQ29" s="279"/>
      <c r="DXR29" s="279"/>
      <c r="DXS29" s="279"/>
      <c r="DXT29" s="279"/>
      <c r="DXU29" s="279"/>
      <c r="DXV29" s="279"/>
      <c r="DXW29" s="279"/>
      <c r="DXX29" s="279"/>
      <c r="DXY29" s="279"/>
      <c r="DXZ29" s="279"/>
      <c r="DYA29" s="279"/>
      <c r="DYB29" s="279"/>
      <c r="DYC29" s="279"/>
      <c r="DYD29" s="279"/>
      <c r="DYE29" s="279"/>
      <c r="DYF29" s="279"/>
      <c r="DYG29" s="279"/>
      <c r="DYH29" s="279"/>
      <c r="DYI29" s="279"/>
      <c r="DYJ29" s="279"/>
      <c r="DYK29" s="279"/>
      <c r="DYL29" s="279"/>
      <c r="DYM29" s="279"/>
      <c r="DYN29" s="279"/>
      <c r="DYO29" s="279"/>
      <c r="DYP29" s="279"/>
      <c r="DYQ29" s="279"/>
      <c r="DYR29" s="279"/>
      <c r="DYS29" s="279"/>
      <c r="DYT29" s="279"/>
      <c r="DYU29" s="279"/>
      <c r="DYV29" s="279"/>
      <c r="DYW29" s="279"/>
      <c r="DYX29" s="279"/>
      <c r="DYY29" s="279"/>
      <c r="DYZ29" s="279"/>
      <c r="DZA29" s="279"/>
      <c r="DZB29" s="279"/>
      <c r="DZC29" s="279"/>
      <c r="DZD29" s="279"/>
      <c r="DZE29" s="279"/>
      <c r="DZF29" s="279"/>
      <c r="DZG29" s="279"/>
      <c r="DZH29" s="279"/>
      <c r="DZI29" s="279"/>
      <c r="DZJ29" s="279"/>
      <c r="DZK29" s="279"/>
      <c r="DZL29" s="279"/>
      <c r="DZM29" s="279"/>
      <c r="DZN29" s="279"/>
      <c r="DZO29" s="279"/>
      <c r="DZP29" s="279"/>
      <c r="DZQ29" s="279"/>
      <c r="DZR29" s="279"/>
      <c r="DZS29" s="279"/>
      <c r="DZT29" s="279"/>
      <c r="DZU29" s="279"/>
      <c r="DZV29" s="279"/>
      <c r="DZW29" s="279"/>
      <c r="DZX29" s="279"/>
      <c r="DZY29" s="279"/>
      <c r="DZZ29" s="279"/>
      <c r="EAA29" s="279"/>
      <c r="EAB29" s="279"/>
      <c r="EAC29" s="279"/>
      <c r="EAD29" s="279"/>
      <c r="EAE29" s="279"/>
      <c r="EAF29" s="279"/>
      <c r="EAG29" s="279"/>
      <c r="EAH29" s="279"/>
      <c r="EAI29" s="279"/>
      <c r="EAJ29" s="279"/>
      <c r="EAK29" s="279"/>
      <c r="EAL29" s="279"/>
      <c r="EAM29" s="279"/>
      <c r="EAN29" s="279"/>
      <c r="EAO29" s="279"/>
      <c r="EAP29" s="279"/>
      <c r="EAQ29" s="279"/>
      <c r="EAR29" s="279"/>
      <c r="EAS29" s="279"/>
      <c r="EAT29" s="279"/>
      <c r="EAU29" s="279"/>
      <c r="EAV29" s="279"/>
      <c r="EAW29" s="279"/>
      <c r="EAX29" s="279"/>
      <c r="EAY29" s="279"/>
      <c r="EAZ29" s="279"/>
      <c r="EBA29" s="279"/>
      <c r="EBB29" s="279"/>
      <c r="EBC29" s="279"/>
      <c r="EBD29" s="279"/>
      <c r="EBE29" s="279"/>
      <c r="EBF29" s="279"/>
      <c r="EBG29" s="279"/>
      <c r="EBH29" s="279"/>
      <c r="EBI29" s="279"/>
      <c r="EBJ29" s="279"/>
      <c r="EBK29" s="279"/>
      <c r="EBL29" s="279"/>
      <c r="EBM29" s="279"/>
      <c r="EBN29" s="279"/>
      <c r="EBO29" s="279"/>
      <c r="EBP29" s="279"/>
      <c r="EBQ29" s="279"/>
      <c r="EBR29" s="279"/>
      <c r="EBS29" s="279"/>
      <c r="EBT29" s="279"/>
      <c r="EBU29" s="279"/>
      <c r="EBV29" s="279"/>
      <c r="EBW29" s="279"/>
      <c r="EBX29" s="279"/>
      <c r="EBY29" s="279"/>
      <c r="EBZ29" s="279"/>
      <c r="ECA29" s="279"/>
      <c r="ECB29" s="279"/>
      <c r="ECC29" s="279"/>
      <c r="ECD29" s="279"/>
      <c r="ECE29" s="279"/>
      <c r="ECF29" s="279"/>
      <c r="ECG29" s="279"/>
      <c r="ECH29" s="279"/>
      <c r="ECI29" s="279"/>
      <c r="ECJ29" s="279"/>
      <c r="ECK29" s="279"/>
      <c r="ECL29" s="279"/>
      <c r="ECM29" s="279"/>
      <c r="ECN29" s="279"/>
      <c r="ECO29" s="279"/>
      <c r="ECP29" s="279"/>
      <c r="ECQ29" s="279"/>
      <c r="ECR29" s="279"/>
      <c r="ECS29" s="279"/>
      <c r="ECT29" s="279"/>
      <c r="ECU29" s="279"/>
      <c r="ECV29" s="279"/>
      <c r="ECW29" s="279"/>
      <c r="ECX29" s="279"/>
      <c r="ECY29" s="279"/>
      <c r="ECZ29" s="279"/>
      <c r="EDA29" s="279"/>
      <c r="EDB29" s="279"/>
      <c r="EDC29" s="279"/>
      <c r="EDD29" s="279"/>
      <c r="EDE29" s="279"/>
      <c r="EDF29" s="279"/>
      <c r="EDG29" s="279"/>
      <c r="EDH29" s="279"/>
      <c r="EDI29" s="279"/>
      <c r="EDJ29" s="279"/>
      <c r="EDK29" s="279"/>
      <c r="EDL29" s="279"/>
      <c r="EDM29" s="279"/>
      <c r="EDN29" s="279"/>
      <c r="EDO29" s="279"/>
      <c r="EDP29" s="279"/>
      <c r="EDQ29" s="279"/>
      <c r="EDR29" s="279"/>
      <c r="EDS29" s="279"/>
      <c r="EDT29" s="279"/>
      <c r="EDU29" s="279"/>
      <c r="EDV29" s="279"/>
      <c r="EDW29" s="279"/>
      <c r="EDX29" s="279"/>
      <c r="EDY29" s="279"/>
      <c r="EDZ29" s="279"/>
      <c r="EEA29" s="279"/>
      <c r="EEB29" s="279"/>
      <c r="EEC29" s="279"/>
      <c r="EED29" s="279"/>
      <c r="EEE29" s="279"/>
      <c r="EEF29" s="279"/>
      <c r="EEG29" s="279"/>
      <c r="EEH29" s="279"/>
      <c r="EEI29" s="279"/>
      <c r="EEJ29" s="279"/>
      <c r="EEK29" s="279"/>
      <c r="EEL29" s="279"/>
      <c r="EEM29" s="279"/>
      <c r="EEN29" s="279"/>
      <c r="EEO29" s="279"/>
      <c r="EEP29" s="279"/>
      <c r="EEQ29" s="279"/>
      <c r="EER29" s="279"/>
      <c r="EES29" s="279"/>
      <c r="EET29" s="279"/>
      <c r="EEU29" s="279"/>
      <c r="EEV29" s="279"/>
      <c r="EEW29" s="279"/>
      <c r="EEX29" s="279"/>
      <c r="EEY29" s="279"/>
      <c r="EEZ29" s="279"/>
      <c r="EFA29" s="279"/>
      <c r="EFB29" s="279"/>
      <c r="EFC29" s="279"/>
      <c r="EFD29" s="279"/>
      <c r="EFE29" s="279"/>
      <c r="EFF29" s="279"/>
      <c r="EFG29" s="279"/>
      <c r="EFH29" s="279"/>
      <c r="EFI29" s="279"/>
      <c r="EFJ29" s="279"/>
      <c r="EFK29" s="279"/>
      <c r="EFL29" s="279"/>
      <c r="EFM29" s="279"/>
      <c r="EFN29" s="279"/>
      <c r="EFO29" s="279"/>
      <c r="EFP29" s="279"/>
      <c r="EFQ29" s="279"/>
      <c r="EFR29" s="279"/>
      <c r="EFS29" s="279"/>
      <c r="EFT29" s="279"/>
      <c r="EFU29" s="279"/>
      <c r="EFV29" s="279"/>
      <c r="EFW29" s="279"/>
      <c r="EFX29" s="279"/>
      <c r="EFY29" s="279"/>
      <c r="EFZ29" s="279"/>
      <c r="EGA29" s="279"/>
      <c r="EGB29" s="279"/>
      <c r="EGC29" s="279"/>
      <c r="EGD29" s="279"/>
      <c r="EGE29" s="279"/>
      <c r="EGF29" s="279"/>
      <c r="EGG29" s="279"/>
      <c r="EGH29" s="279"/>
      <c r="EGI29" s="279"/>
      <c r="EGJ29" s="279"/>
      <c r="EGK29" s="279"/>
      <c r="EGL29" s="279"/>
      <c r="EGM29" s="279"/>
      <c r="EGN29" s="279"/>
      <c r="EGO29" s="279"/>
      <c r="EGP29" s="279"/>
      <c r="EGQ29" s="279"/>
      <c r="EGR29" s="279"/>
      <c r="EGS29" s="279"/>
      <c r="EGT29" s="279"/>
      <c r="EGU29" s="279"/>
      <c r="EGV29" s="279"/>
      <c r="EGW29" s="279"/>
      <c r="EGX29" s="279"/>
      <c r="EGY29" s="279"/>
      <c r="EGZ29" s="279"/>
      <c r="EHA29" s="279"/>
      <c r="EHB29" s="279"/>
      <c r="EHC29" s="279"/>
      <c r="EHD29" s="279"/>
      <c r="EHE29" s="279"/>
      <c r="EHF29" s="279"/>
      <c r="EHG29" s="279"/>
      <c r="EHH29" s="279"/>
      <c r="EHI29" s="279"/>
      <c r="EHJ29" s="279"/>
      <c r="EHK29" s="279"/>
      <c r="EHL29" s="279"/>
      <c r="EHM29" s="279"/>
      <c r="EHN29" s="279"/>
      <c r="EHO29" s="279"/>
      <c r="EHP29" s="279"/>
      <c r="EHQ29" s="279"/>
      <c r="EHR29" s="279"/>
      <c r="EHS29" s="279"/>
      <c r="EHT29" s="279"/>
      <c r="EHU29" s="279"/>
      <c r="EHV29" s="279"/>
      <c r="EHW29" s="279"/>
      <c r="EHX29" s="279"/>
      <c r="EHY29" s="279"/>
      <c r="EHZ29" s="279"/>
      <c r="EIA29" s="279"/>
      <c r="EIB29" s="279"/>
      <c r="EIC29" s="279"/>
      <c r="EID29" s="279"/>
      <c r="EIE29" s="279"/>
      <c r="EIF29" s="279"/>
      <c r="EIG29" s="279"/>
      <c r="EIH29" s="279"/>
      <c r="EII29" s="279"/>
      <c r="EIJ29" s="279"/>
      <c r="EIK29" s="279"/>
      <c r="EIL29" s="279"/>
      <c r="EIM29" s="279"/>
      <c r="EIN29" s="279"/>
      <c r="EIO29" s="279"/>
      <c r="EIP29" s="279"/>
      <c r="EIQ29" s="279"/>
      <c r="EIR29" s="279"/>
      <c r="EIS29" s="279"/>
      <c r="EIT29" s="279"/>
      <c r="EIU29" s="279"/>
      <c r="EIV29" s="279"/>
      <c r="EIW29" s="279"/>
      <c r="EIX29" s="279"/>
      <c r="EIY29" s="279"/>
      <c r="EIZ29" s="279"/>
      <c r="EJA29" s="279"/>
      <c r="EJB29" s="279"/>
      <c r="EJC29" s="279"/>
      <c r="EJD29" s="279"/>
      <c r="EJE29" s="279"/>
      <c r="EJF29" s="279"/>
      <c r="EJG29" s="279"/>
      <c r="EJH29" s="279"/>
      <c r="EJI29" s="279"/>
      <c r="EJJ29" s="279"/>
      <c r="EJK29" s="279"/>
      <c r="EJL29" s="279"/>
      <c r="EJM29" s="279"/>
      <c r="EJN29" s="279"/>
      <c r="EJO29" s="279"/>
      <c r="EJP29" s="279"/>
      <c r="EJQ29" s="279"/>
      <c r="EJR29" s="279"/>
      <c r="EJS29" s="279"/>
      <c r="EJT29" s="279"/>
      <c r="EJU29" s="279"/>
      <c r="EJV29" s="279"/>
      <c r="EJW29" s="279"/>
      <c r="EJX29" s="279"/>
      <c r="EJY29" s="279"/>
      <c r="EJZ29" s="279"/>
      <c r="EKA29" s="279"/>
      <c r="EKB29" s="279"/>
      <c r="EKC29" s="279"/>
      <c r="EKD29" s="279"/>
      <c r="EKE29" s="279"/>
      <c r="EKF29" s="279"/>
      <c r="EKG29" s="279"/>
      <c r="EKH29" s="279"/>
      <c r="EKI29" s="279"/>
      <c r="EKJ29" s="279"/>
      <c r="EKK29" s="279"/>
      <c r="EKL29" s="279"/>
      <c r="EKM29" s="279"/>
      <c r="EKN29" s="279"/>
      <c r="EKO29" s="279"/>
      <c r="EKP29" s="279"/>
      <c r="EKQ29" s="279"/>
      <c r="EKR29" s="279"/>
      <c r="EKS29" s="279"/>
      <c r="EKT29" s="279"/>
      <c r="EKU29" s="279"/>
      <c r="EKV29" s="279"/>
      <c r="EKW29" s="279"/>
      <c r="EKX29" s="279"/>
      <c r="EKY29" s="279"/>
      <c r="EKZ29" s="279"/>
      <c r="ELA29" s="279"/>
      <c r="ELB29" s="279"/>
      <c r="ELC29" s="279"/>
      <c r="ELD29" s="279"/>
      <c r="ELE29" s="279"/>
      <c r="ELF29" s="279"/>
      <c r="ELG29" s="279"/>
      <c r="ELH29" s="279"/>
      <c r="ELI29" s="279"/>
      <c r="ELJ29" s="279"/>
      <c r="ELK29" s="279"/>
      <c r="ELL29" s="279"/>
      <c r="ELM29" s="279"/>
      <c r="ELN29" s="279"/>
      <c r="ELO29" s="279"/>
      <c r="ELP29" s="279"/>
      <c r="ELQ29" s="279"/>
      <c r="ELR29" s="279"/>
      <c r="ELS29" s="279"/>
      <c r="ELT29" s="279"/>
      <c r="ELU29" s="279"/>
      <c r="ELV29" s="279"/>
      <c r="ELW29" s="279"/>
      <c r="ELX29" s="279"/>
      <c r="ELY29" s="279"/>
      <c r="ELZ29" s="279"/>
      <c r="EMA29" s="279"/>
      <c r="EMB29" s="279"/>
      <c r="EMC29" s="279"/>
      <c r="EMD29" s="279"/>
      <c r="EME29" s="279"/>
      <c r="EMF29" s="279"/>
      <c r="EMG29" s="279"/>
      <c r="EMH29" s="279"/>
      <c r="EMI29" s="279"/>
      <c r="EMJ29" s="279"/>
      <c r="EMK29" s="279"/>
      <c r="EML29" s="279"/>
      <c r="EMM29" s="279"/>
      <c r="EMN29" s="279"/>
      <c r="EMO29" s="279"/>
      <c r="EMP29" s="279"/>
      <c r="EMQ29" s="279"/>
      <c r="EMR29" s="279"/>
      <c r="EMS29" s="279"/>
      <c r="EMT29" s="279"/>
      <c r="EMU29" s="279"/>
      <c r="EMV29" s="279"/>
      <c r="EMW29" s="279"/>
      <c r="EMX29" s="279"/>
      <c r="EMY29" s="279"/>
      <c r="EMZ29" s="279"/>
      <c r="ENA29" s="279"/>
      <c r="ENB29" s="279"/>
      <c r="ENC29" s="279"/>
      <c r="END29" s="279"/>
      <c r="ENE29" s="279"/>
      <c r="ENF29" s="279"/>
      <c r="ENG29" s="279"/>
      <c r="ENH29" s="279"/>
      <c r="ENI29" s="279"/>
      <c r="ENJ29" s="279"/>
      <c r="ENK29" s="279"/>
      <c r="ENL29" s="279"/>
      <c r="ENM29" s="279"/>
      <c r="ENN29" s="279"/>
      <c r="ENO29" s="279"/>
      <c r="ENP29" s="279"/>
      <c r="ENQ29" s="279"/>
      <c r="ENR29" s="279"/>
      <c r="ENS29" s="279"/>
      <c r="ENT29" s="279"/>
      <c r="ENU29" s="279"/>
      <c r="ENV29" s="279"/>
      <c r="ENW29" s="279"/>
      <c r="ENX29" s="279"/>
      <c r="ENY29" s="279"/>
      <c r="ENZ29" s="279"/>
      <c r="EOA29" s="279"/>
      <c r="EOB29" s="279"/>
      <c r="EOC29" s="279"/>
      <c r="EOD29" s="279"/>
      <c r="EOE29" s="279"/>
      <c r="EOF29" s="279"/>
      <c r="EOG29" s="279"/>
      <c r="EOH29" s="279"/>
      <c r="EOI29" s="279"/>
      <c r="EOJ29" s="279"/>
      <c r="EOK29" s="279"/>
      <c r="EOL29" s="279"/>
      <c r="EOM29" s="279"/>
      <c r="EON29" s="279"/>
      <c r="EOO29" s="279"/>
      <c r="EOP29" s="279"/>
      <c r="EOQ29" s="279"/>
      <c r="EOR29" s="279"/>
      <c r="EOS29" s="279"/>
      <c r="EOT29" s="279"/>
      <c r="EOU29" s="279"/>
      <c r="EOV29" s="279"/>
      <c r="EOW29" s="279"/>
      <c r="EOX29" s="279"/>
      <c r="EOY29" s="279"/>
      <c r="EOZ29" s="279"/>
      <c r="EPA29" s="279"/>
      <c r="EPB29" s="279"/>
      <c r="EPC29" s="279"/>
      <c r="EPD29" s="279"/>
      <c r="EPE29" s="279"/>
      <c r="EPF29" s="279"/>
      <c r="EPG29" s="279"/>
      <c r="EPH29" s="279"/>
      <c r="EPI29" s="279"/>
      <c r="EPJ29" s="279"/>
      <c r="EPK29" s="279"/>
      <c r="EPL29" s="279"/>
      <c r="EPM29" s="279"/>
      <c r="EPN29" s="279"/>
      <c r="EPO29" s="279"/>
      <c r="EPP29" s="279"/>
      <c r="EPQ29" s="279"/>
      <c r="EPR29" s="279"/>
      <c r="EPS29" s="279"/>
      <c r="EPT29" s="279"/>
      <c r="EPU29" s="279"/>
      <c r="EPV29" s="279"/>
      <c r="EPW29" s="279"/>
      <c r="EPX29" s="279"/>
      <c r="EPY29" s="279"/>
      <c r="EPZ29" s="279"/>
      <c r="EQA29" s="279"/>
      <c r="EQB29" s="279"/>
      <c r="EQC29" s="279"/>
      <c r="EQD29" s="279"/>
      <c r="EQE29" s="279"/>
      <c r="EQF29" s="279"/>
      <c r="EQG29" s="279"/>
      <c r="EQH29" s="279"/>
      <c r="EQI29" s="279"/>
      <c r="EQJ29" s="279"/>
      <c r="EQK29" s="279"/>
      <c r="EQL29" s="279"/>
      <c r="EQM29" s="279"/>
      <c r="EQN29" s="279"/>
      <c r="EQO29" s="279"/>
      <c r="EQP29" s="279"/>
      <c r="EQQ29" s="279"/>
      <c r="EQR29" s="279"/>
      <c r="EQS29" s="279"/>
      <c r="EQT29" s="279"/>
      <c r="EQU29" s="279"/>
      <c r="EQV29" s="279"/>
      <c r="EQW29" s="279"/>
      <c r="EQX29" s="279"/>
      <c r="EQY29" s="279"/>
      <c r="EQZ29" s="279"/>
      <c r="ERA29" s="279"/>
      <c r="ERB29" s="279"/>
      <c r="ERC29" s="279"/>
      <c r="ERD29" s="279"/>
      <c r="ERE29" s="279"/>
      <c r="ERF29" s="279"/>
      <c r="ERG29" s="279"/>
      <c r="ERH29" s="279"/>
      <c r="ERI29" s="279"/>
      <c r="ERJ29" s="279"/>
      <c r="ERK29" s="279"/>
      <c r="ERL29" s="279"/>
      <c r="ERM29" s="279"/>
      <c r="ERN29" s="279"/>
      <c r="ERO29" s="279"/>
      <c r="ERP29" s="279"/>
      <c r="ERQ29" s="279"/>
      <c r="ERR29" s="279"/>
      <c r="ERS29" s="279"/>
      <c r="ERT29" s="279"/>
      <c r="ERU29" s="279"/>
      <c r="ERV29" s="279"/>
      <c r="ERW29" s="279"/>
      <c r="ERX29" s="279"/>
      <c r="ERY29" s="279"/>
      <c r="ERZ29" s="279"/>
      <c r="ESA29" s="279"/>
      <c r="ESB29" s="279"/>
      <c r="ESC29" s="279"/>
      <c r="ESD29" s="279"/>
      <c r="ESE29" s="279"/>
      <c r="ESF29" s="279"/>
      <c r="ESG29" s="279"/>
      <c r="ESH29" s="279"/>
      <c r="ESI29" s="279"/>
      <c r="ESJ29" s="279"/>
      <c r="ESK29" s="279"/>
      <c r="ESL29" s="279"/>
      <c r="ESM29" s="279"/>
      <c r="ESN29" s="279"/>
      <c r="ESO29" s="279"/>
      <c r="ESP29" s="279"/>
      <c r="ESQ29" s="279"/>
      <c r="ESR29" s="279"/>
      <c r="ESS29" s="279"/>
      <c r="EST29" s="279"/>
      <c r="ESU29" s="279"/>
      <c r="ESV29" s="279"/>
      <c r="ESW29" s="279"/>
      <c r="ESX29" s="279"/>
      <c r="ESY29" s="279"/>
      <c r="ESZ29" s="279"/>
      <c r="ETA29" s="279"/>
      <c r="ETB29" s="279"/>
      <c r="ETC29" s="279"/>
      <c r="ETD29" s="279"/>
      <c r="ETE29" s="279"/>
      <c r="ETF29" s="279"/>
      <c r="ETG29" s="279"/>
      <c r="ETH29" s="279"/>
      <c r="ETI29" s="279"/>
      <c r="ETJ29" s="279"/>
      <c r="ETK29" s="279"/>
      <c r="ETL29" s="279"/>
      <c r="ETM29" s="279"/>
      <c r="ETN29" s="279"/>
      <c r="ETO29" s="279"/>
      <c r="ETP29" s="279"/>
      <c r="ETQ29" s="279"/>
      <c r="ETR29" s="279"/>
      <c r="ETS29" s="279"/>
      <c r="ETT29" s="279"/>
      <c r="ETU29" s="279"/>
      <c r="ETV29" s="279"/>
      <c r="ETW29" s="279"/>
      <c r="ETX29" s="279"/>
      <c r="ETY29" s="279"/>
      <c r="ETZ29" s="279"/>
      <c r="EUA29" s="279"/>
      <c r="EUB29" s="279"/>
      <c r="EUC29" s="279"/>
      <c r="EUD29" s="279"/>
      <c r="EUE29" s="279"/>
      <c r="EUF29" s="279"/>
      <c r="EUG29" s="279"/>
      <c r="EUH29" s="279"/>
      <c r="EUI29" s="279"/>
      <c r="EUJ29" s="279"/>
      <c r="EUK29" s="279"/>
      <c r="EUL29" s="279"/>
      <c r="EUM29" s="279"/>
      <c r="EUN29" s="279"/>
      <c r="EUO29" s="279"/>
      <c r="EUP29" s="279"/>
      <c r="EUQ29" s="279"/>
      <c r="EUR29" s="279"/>
      <c r="EUS29" s="279"/>
      <c r="EUT29" s="279"/>
      <c r="EUU29" s="279"/>
      <c r="EUV29" s="279"/>
      <c r="EUW29" s="279"/>
      <c r="EUX29" s="279"/>
      <c r="EUY29" s="279"/>
      <c r="EUZ29" s="279"/>
      <c r="EVA29" s="279"/>
      <c r="EVB29" s="279"/>
      <c r="EVC29" s="279"/>
      <c r="EVD29" s="279"/>
      <c r="EVE29" s="279"/>
      <c r="EVF29" s="279"/>
      <c r="EVG29" s="279"/>
      <c r="EVH29" s="279"/>
      <c r="EVI29" s="279"/>
      <c r="EVJ29" s="279"/>
      <c r="EVK29" s="279"/>
      <c r="EVL29" s="279"/>
      <c r="EVM29" s="279"/>
      <c r="EVN29" s="279"/>
      <c r="EVO29" s="279"/>
      <c r="EVP29" s="279"/>
      <c r="EVQ29" s="279"/>
      <c r="EVR29" s="279"/>
      <c r="EVS29" s="279"/>
      <c r="EVT29" s="279"/>
      <c r="EVU29" s="279"/>
      <c r="EVV29" s="279"/>
      <c r="EVW29" s="279"/>
      <c r="EVX29" s="279"/>
      <c r="EVY29" s="279"/>
      <c r="EVZ29" s="279"/>
      <c r="EWA29" s="279"/>
      <c r="EWB29" s="279"/>
      <c r="EWC29" s="279"/>
      <c r="EWD29" s="279"/>
      <c r="EWE29" s="279"/>
      <c r="EWF29" s="279"/>
      <c r="EWG29" s="279"/>
      <c r="EWH29" s="279"/>
      <c r="EWI29" s="279"/>
      <c r="EWJ29" s="279"/>
      <c r="EWK29" s="279"/>
      <c r="EWL29" s="279"/>
      <c r="EWM29" s="279"/>
      <c r="EWN29" s="279"/>
      <c r="EWO29" s="279"/>
      <c r="EWP29" s="279"/>
      <c r="EWQ29" s="279"/>
      <c r="EWR29" s="279"/>
      <c r="EWS29" s="279"/>
      <c r="EWT29" s="279"/>
      <c r="EWU29" s="279"/>
      <c r="EWV29" s="279"/>
      <c r="EWW29" s="279"/>
      <c r="EWX29" s="279"/>
      <c r="EWY29" s="279"/>
      <c r="EWZ29" s="279"/>
      <c r="EXA29" s="279"/>
      <c r="EXB29" s="279"/>
      <c r="EXC29" s="279"/>
      <c r="EXD29" s="279"/>
      <c r="EXE29" s="279"/>
      <c r="EXF29" s="279"/>
      <c r="EXG29" s="279"/>
      <c r="EXH29" s="279"/>
      <c r="EXI29" s="279"/>
      <c r="EXJ29" s="279"/>
      <c r="EXK29" s="279"/>
      <c r="EXL29" s="279"/>
      <c r="EXM29" s="279"/>
      <c r="EXN29" s="279"/>
      <c r="EXO29" s="279"/>
      <c r="EXP29" s="279"/>
      <c r="EXQ29" s="279"/>
      <c r="EXR29" s="279"/>
      <c r="EXS29" s="279"/>
      <c r="EXT29" s="279"/>
      <c r="EXU29" s="279"/>
      <c r="EXV29" s="279"/>
      <c r="EXW29" s="279"/>
      <c r="EXX29" s="279"/>
      <c r="EXY29" s="279"/>
      <c r="EXZ29" s="279"/>
      <c r="EYA29" s="279"/>
      <c r="EYB29" s="279"/>
      <c r="EYC29" s="279"/>
      <c r="EYD29" s="279"/>
      <c r="EYE29" s="279"/>
      <c r="EYF29" s="279"/>
      <c r="EYG29" s="279"/>
      <c r="EYH29" s="279"/>
      <c r="EYI29" s="279"/>
      <c r="EYJ29" s="279"/>
      <c r="EYK29" s="279"/>
      <c r="EYL29" s="279"/>
      <c r="EYM29" s="279"/>
      <c r="EYN29" s="279"/>
      <c r="EYO29" s="279"/>
      <c r="EYP29" s="279"/>
      <c r="EYQ29" s="279"/>
      <c r="EYR29" s="279"/>
      <c r="EYS29" s="279"/>
      <c r="EYT29" s="279"/>
      <c r="EYU29" s="279"/>
      <c r="EYV29" s="279"/>
      <c r="EYW29" s="279"/>
      <c r="EYX29" s="279"/>
      <c r="EYY29" s="279"/>
      <c r="EYZ29" s="279"/>
      <c r="EZA29" s="279"/>
      <c r="EZB29" s="279"/>
      <c r="EZC29" s="279"/>
      <c r="EZD29" s="279"/>
      <c r="EZE29" s="279"/>
      <c r="EZF29" s="279"/>
      <c r="EZG29" s="279"/>
      <c r="EZH29" s="279"/>
      <c r="EZI29" s="279"/>
      <c r="EZJ29" s="279"/>
      <c r="EZK29" s="279"/>
      <c r="EZL29" s="279"/>
      <c r="EZM29" s="279"/>
      <c r="EZN29" s="279"/>
      <c r="EZO29" s="279"/>
      <c r="EZP29" s="279"/>
      <c r="EZQ29" s="279"/>
      <c r="EZR29" s="279"/>
      <c r="EZS29" s="279"/>
      <c r="EZT29" s="279"/>
      <c r="EZU29" s="279"/>
      <c r="EZV29" s="279"/>
      <c r="EZW29" s="279"/>
      <c r="EZX29" s="279"/>
      <c r="EZY29" s="279"/>
      <c r="EZZ29" s="279"/>
      <c r="FAA29" s="279"/>
      <c r="FAB29" s="279"/>
      <c r="FAC29" s="279"/>
      <c r="FAD29" s="279"/>
      <c r="FAE29" s="279"/>
      <c r="FAF29" s="279"/>
      <c r="FAG29" s="279"/>
      <c r="FAH29" s="279"/>
      <c r="FAI29" s="279"/>
      <c r="FAJ29" s="279"/>
      <c r="FAK29" s="279"/>
      <c r="FAL29" s="279"/>
      <c r="FAM29" s="279"/>
      <c r="FAN29" s="279"/>
      <c r="FAO29" s="279"/>
      <c r="FAP29" s="279"/>
      <c r="FAQ29" s="279"/>
      <c r="FAR29" s="279"/>
      <c r="FAS29" s="279"/>
      <c r="FAT29" s="279"/>
      <c r="FAU29" s="279"/>
      <c r="FAV29" s="279"/>
      <c r="FAW29" s="279"/>
      <c r="FAX29" s="279"/>
      <c r="FAY29" s="279"/>
      <c r="FAZ29" s="279"/>
      <c r="FBA29" s="279"/>
      <c r="FBB29" s="279"/>
      <c r="FBC29" s="279"/>
      <c r="FBD29" s="279"/>
      <c r="FBE29" s="279"/>
      <c r="FBF29" s="279"/>
      <c r="FBG29" s="279"/>
      <c r="FBH29" s="279"/>
      <c r="FBI29" s="279"/>
      <c r="FBJ29" s="279"/>
      <c r="FBK29" s="279"/>
      <c r="FBL29" s="279"/>
      <c r="FBM29" s="279"/>
      <c r="FBN29" s="279"/>
      <c r="FBO29" s="279"/>
      <c r="FBP29" s="279"/>
      <c r="FBQ29" s="279"/>
      <c r="FBR29" s="279"/>
      <c r="FBS29" s="279"/>
      <c r="FBT29" s="279"/>
      <c r="FBU29" s="279"/>
      <c r="FBV29" s="279"/>
      <c r="FBW29" s="279"/>
      <c r="FBX29" s="279"/>
      <c r="FBY29" s="279"/>
      <c r="FBZ29" s="279"/>
      <c r="FCA29" s="279"/>
      <c r="FCB29" s="279"/>
      <c r="FCC29" s="279"/>
      <c r="FCD29" s="279"/>
      <c r="FCE29" s="279"/>
      <c r="FCF29" s="279"/>
      <c r="FCG29" s="279"/>
      <c r="FCH29" s="279"/>
      <c r="FCI29" s="279"/>
      <c r="FCJ29" s="279"/>
      <c r="FCK29" s="279"/>
      <c r="FCL29" s="279"/>
      <c r="FCM29" s="279"/>
      <c r="FCN29" s="279"/>
      <c r="FCO29" s="279"/>
      <c r="FCP29" s="279"/>
      <c r="FCQ29" s="279"/>
      <c r="FCR29" s="279"/>
      <c r="FCS29" s="279"/>
      <c r="FCT29" s="279"/>
      <c r="FCU29" s="279"/>
      <c r="FCV29" s="279"/>
      <c r="FCW29" s="279"/>
      <c r="FCX29" s="279"/>
      <c r="FCY29" s="279"/>
      <c r="FCZ29" s="279"/>
      <c r="FDA29" s="279"/>
      <c r="FDB29" s="279"/>
      <c r="FDC29" s="279"/>
      <c r="FDD29" s="279"/>
      <c r="FDE29" s="279"/>
      <c r="FDF29" s="279"/>
      <c r="FDG29" s="279"/>
      <c r="FDH29" s="279"/>
      <c r="FDI29" s="279"/>
      <c r="FDJ29" s="279"/>
      <c r="FDK29" s="279"/>
      <c r="FDL29" s="279"/>
      <c r="FDM29" s="279"/>
      <c r="FDN29" s="279"/>
      <c r="FDO29" s="279"/>
      <c r="FDP29" s="279"/>
      <c r="FDQ29" s="279"/>
      <c r="FDR29" s="279"/>
      <c r="FDS29" s="279"/>
      <c r="FDT29" s="279"/>
      <c r="FDU29" s="279"/>
      <c r="FDV29" s="279"/>
      <c r="FDW29" s="279"/>
      <c r="FDX29" s="279"/>
      <c r="FDY29" s="279"/>
      <c r="FDZ29" s="279"/>
      <c r="FEA29" s="279"/>
      <c r="FEB29" s="279"/>
      <c r="FEC29" s="279"/>
      <c r="FED29" s="279"/>
      <c r="FEE29" s="279"/>
      <c r="FEF29" s="279"/>
      <c r="FEG29" s="279"/>
      <c r="FEH29" s="279"/>
      <c r="FEI29" s="279"/>
      <c r="FEJ29" s="279"/>
      <c r="FEK29" s="279"/>
      <c r="FEL29" s="279"/>
      <c r="FEM29" s="279"/>
      <c r="FEN29" s="279"/>
      <c r="FEO29" s="279"/>
      <c r="FEP29" s="279"/>
      <c r="FEQ29" s="279"/>
      <c r="FER29" s="279"/>
      <c r="FES29" s="279"/>
      <c r="FET29" s="279"/>
      <c r="FEU29" s="279"/>
      <c r="FEV29" s="279"/>
      <c r="FEW29" s="279"/>
      <c r="FEX29" s="279"/>
      <c r="FEY29" s="279"/>
      <c r="FEZ29" s="279"/>
      <c r="FFA29" s="279"/>
      <c r="FFB29" s="279"/>
      <c r="FFC29" s="279"/>
      <c r="FFD29" s="279"/>
      <c r="FFE29" s="279"/>
      <c r="FFF29" s="279"/>
      <c r="FFG29" s="279"/>
      <c r="FFH29" s="279"/>
      <c r="FFI29" s="279"/>
      <c r="FFJ29" s="279"/>
      <c r="FFK29" s="279"/>
      <c r="FFL29" s="279"/>
      <c r="FFM29" s="279"/>
      <c r="FFN29" s="279"/>
      <c r="FFO29" s="279"/>
      <c r="FFP29" s="279"/>
      <c r="FFQ29" s="279"/>
      <c r="FFR29" s="279"/>
      <c r="FFS29" s="279"/>
      <c r="FFT29" s="279"/>
      <c r="FFU29" s="279"/>
      <c r="FFV29" s="279"/>
      <c r="FFW29" s="279"/>
      <c r="FFX29" s="279"/>
      <c r="FFY29" s="279"/>
      <c r="FFZ29" s="279"/>
      <c r="FGA29" s="279"/>
      <c r="FGB29" s="279"/>
      <c r="FGC29" s="279"/>
      <c r="FGD29" s="279"/>
      <c r="FGE29" s="279"/>
      <c r="FGF29" s="279"/>
      <c r="FGG29" s="279"/>
      <c r="FGH29" s="279"/>
      <c r="FGI29" s="279"/>
      <c r="FGJ29" s="279"/>
      <c r="FGK29" s="279"/>
      <c r="FGL29" s="279"/>
      <c r="FGM29" s="279"/>
      <c r="FGN29" s="279"/>
      <c r="FGO29" s="279"/>
      <c r="FGP29" s="279"/>
      <c r="FGQ29" s="279"/>
      <c r="FGR29" s="279"/>
      <c r="FGS29" s="279"/>
      <c r="FGT29" s="279"/>
      <c r="FGU29" s="279"/>
      <c r="FGV29" s="279"/>
      <c r="FGW29" s="279"/>
      <c r="FGX29" s="279"/>
      <c r="FGY29" s="279"/>
      <c r="FGZ29" s="279"/>
      <c r="FHA29" s="279"/>
      <c r="FHB29" s="279"/>
      <c r="FHC29" s="279"/>
      <c r="FHD29" s="279"/>
      <c r="FHE29" s="279"/>
      <c r="FHF29" s="279"/>
      <c r="FHG29" s="279"/>
      <c r="FHH29" s="279"/>
      <c r="FHI29" s="279"/>
      <c r="FHJ29" s="279"/>
      <c r="FHK29" s="279"/>
      <c r="FHL29" s="279"/>
      <c r="FHM29" s="279"/>
      <c r="FHN29" s="279"/>
      <c r="FHO29" s="279"/>
      <c r="FHP29" s="279"/>
      <c r="FHQ29" s="279"/>
      <c r="FHR29" s="279"/>
      <c r="FHS29" s="279"/>
      <c r="FHT29" s="279"/>
      <c r="FHU29" s="279"/>
      <c r="FHV29" s="279"/>
      <c r="FHW29" s="279"/>
      <c r="FHX29" s="279"/>
      <c r="FHY29" s="279"/>
      <c r="FHZ29" s="279"/>
      <c r="FIA29" s="279"/>
      <c r="FIB29" s="279"/>
      <c r="FIC29" s="279"/>
      <c r="FID29" s="279"/>
      <c r="FIE29" s="279"/>
      <c r="FIF29" s="279"/>
      <c r="FIG29" s="279"/>
      <c r="FIH29" s="279"/>
      <c r="FII29" s="279"/>
      <c r="FIJ29" s="279"/>
      <c r="FIK29" s="279"/>
      <c r="FIL29" s="279"/>
      <c r="FIM29" s="279"/>
      <c r="FIN29" s="279"/>
      <c r="FIO29" s="279"/>
      <c r="FIP29" s="279"/>
      <c r="FIQ29" s="279"/>
      <c r="FIR29" s="279"/>
      <c r="FIS29" s="279"/>
      <c r="FIT29" s="279"/>
      <c r="FIU29" s="279"/>
      <c r="FIV29" s="279"/>
      <c r="FIW29" s="279"/>
      <c r="FIX29" s="279"/>
      <c r="FIY29" s="279"/>
      <c r="FIZ29" s="279"/>
      <c r="FJA29" s="279"/>
      <c r="FJB29" s="279"/>
      <c r="FJC29" s="279"/>
      <c r="FJD29" s="279"/>
      <c r="FJE29" s="279"/>
      <c r="FJF29" s="279"/>
      <c r="FJG29" s="279"/>
      <c r="FJH29" s="279"/>
      <c r="FJI29" s="279"/>
      <c r="FJJ29" s="279"/>
      <c r="FJK29" s="279"/>
      <c r="FJL29" s="279"/>
      <c r="FJM29" s="279"/>
      <c r="FJN29" s="279"/>
      <c r="FJO29" s="279"/>
      <c r="FJP29" s="279"/>
      <c r="FJQ29" s="279"/>
      <c r="FJR29" s="279"/>
      <c r="FJS29" s="279"/>
      <c r="FJT29" s="279"/>
      <c r="FJU29" s="279"/>
      <c r="FJV29" s="279"/>
      <c r="FJW29" s="279"/>
      <c r="FJX29" s="279"/>
      <c r="FJY29" s="279"/>
      <c r="FJZ29" s="279"/>
      <c r="FKA29" s="279"/>
      <c r="FKB29" s="279"/>
      <c r="FKC29" s="279"/>
      <c r="FKD29" s="279"/>
      <c r="FKE29" s="279"/>
      <c r="FKF29" s="279"/>
      <c r="FKG29" s="279"/>
      <c r="FKH29" s="279"/>
      <c r="FKI29" s="279"/>
      <c r="FKJ29" s="279"/>
      <c r="FKK29" s="279"/>
      <c r="FKL29" s="279"/>
      <c r="FKM29" s="279"/>
      <c r="FKN29" s="279"/>
      <c r="FKO29" s="279"/>
      <c r="FKP29" s="279"/>
      <c r="FKQ29" s="279"/>
      <c r="FKR29" s="279"/>
      <c r="FKS29" s="279"/>
      <c r="FKT29" s="279"/>
      <c r="FKU29" s="279"/>
      <c r="FKV29" s="279"/>
      <c r="FKW29" s="279"/>
      <c r="FKX29" s="279"/>
      <c r="FKY29" s="279"/>
      <c r="FKZ29" s="279"/>
      <c r="FLA29" s="279"/>
      <c r="FLB29" s="279"/>
      <c r="FLC29" s="279"/>
      <c r="FLD29" s="279"/>
      <c r="FLE29" s="279"/>
      <c r="FLF29" s="279"/>
      <c r="FLG29" s="279"/>
      <c r="FLH29" s="279"/>
      <c r="FLI29" s="279"/>
      <c r="FLJ29" s="279"/>
      <c r="FLK29" s="279"/>
      <c r="FLL29" s="279"/>
      <c r="FLM29" s="279"/>
      <c r="FLN29" s="279"/>
      <c r="FLO29" s="279"/>
      <c r="FLP29" s="279"/>
      <c r="FLQ29" s="279"/>
      <c r="FLR29" s="279"/>
      <c r="FLS29" s="279"/>
      <c r="FLT29" s="279"/>
      <c r="FLU29" s="279"/>
      <c r="FLV29" s="279"/>
      <c r="FLW29" s="279"/>
      <c r="FLX29" s="279"/>
      <c r="FLY29" s="279"/>
      <c r="FLZ29" s="279"/>
      <c r="FMA29" s="279"/>
      <c r="FMB29" s="279"/>
      <c r="FMC29" s="279"/>
      <c r="FMD29" s="279"/>
      <c r="FME29" s="279"/>
      <c r="FMF29" s="279"/>
      <c r="FMG29" s="279"/>
      <c r="FMH29" s="279"/>
      <c r="FMI29" s="279"/>
      <c r="FMJ29" s="279"/>
      <c r="FMK29" s="279"/>
      <c r="FML29" s="279"/>
      <c r="FMM29" s="279"/>
      <c r="FMN29" s="279"/>
      <c r="FMO29" s="279"/>
      <c r="FMP29" s="279"/>
      <c r="FMQ29" s="279"/>
      <c r="FMR29" s="279"/>
      <c r="FMS29" s="279"/>
      <c r="FMT29" s="279"/>
      <c r="FMU29" s="279"/>
      <c r="FMV29" s="279"/>
      <c r="FMW29" s="279"/>
      <c r="FMX29" s="279"/>
      <c r="FMY29" s="279"/>
      <c r="FMZ29" s="279"/>
      <c r="FNA29" s="279"/>
      <c r="FNB29" s="279"/>
      <c r="FNC29" s="279"/>
      <c r="FND29" s="279"/>
      <c r="FNE29" s="279"/>
      <c r="FNF29" s="279"/>
      <c r="FNG29" s="279"/>
      <c r="FNH29" s="279"/>
      <c r="FNI29" s="279"/>
      <c r="FNJ29" s="279"/>
      <c r="FNK29" s="279"/>
      <c r="FNL29" s="279"/>
      <c r="FNM29" s="279"/>
      <c r="FNN29" s="279"/>
      <c r="FNO29" s="279"/>
      <c r="FNP29" s="279"/>
      <c r="FNQ29" s="279"/>
      <c r="FNR29" s="279"/>
      <c r="FNS29" s="279"/>
      <c r="FNT29" s="279"/>
      <c r="FNU29" s="279"/>
      <c r="FNV29" s="279"/>
      <c r="FNW29" s="279"/>
      <c r="FNX29" s="279"/>
      <c r="FNY29" s="279"/>
      <c r="FNZ29" s="279"/>
      <c r="FOA29" s="279"/>
      <c r="FOB29" s="279"/>
      <c r="FOC29" s="279"/>
      <c r="FOD29" s="279"/>
      <c r="FOE29" s="279"/>
      <c r="FOF29" s="279"/>
      <c r="FOG29" s="279"/>
      <c r="FOH29" s="279"/>
      <c r="FOI29" s="279"/>
      <c r="FOJ29" s="279"/>
      <c r="FOK29" s="279"/>
      <c r="FOL29" s="279"/>
      <c r="FOM29" s="279"/>
      <c r="FON29" s="279"/>
      <c r="FOO29" s="279"/>
      <c r="FOP29" s="279"/>
      <c r="FOQ29" s="279"/>
      <c r="FOR29" s="279"/>
      <c r="FOS29" s="279"/>
      <c r="FOT29" s="279"/>
      <c r="FOU29" s="279"/>
      <c r="FOV29" s="279"/>
      <c r="FOW29" s="279"/>
      <c r="FOX29" s="279"/>
      <c r="FOY29" s="279"/>
      <c r="FOZ29" s="279"/>
      <c r="FPA29" s="279"/>
      <c r="FPB29" s="279"/>
      <c r="FPC29" s="279"/>
      <c r="FPD29" s="279"/>
      <c r="FPE29" s="279"/>
      <c r="FPF29" s="279"/>
      <c r="FPG29" s="279"/>
      <c r="FPH29" s="279"/>
      <c r="FPI29" s="279"/>
      <c r="FPJ29" s="279"/>
      <c r="FPK29" s="279"/>
      <c r="FPL29" s="279"/>
      <c r="FPM29" s="279"/>
      <c r="FPN29" s="279"/>
      <c r="FPO29" s="279"/>
      <c r="FPP29" s="279"/>
      <c r="FPQ29" s="279"/>
      <c r="FPR29" s="279"/>
      <c r="FPS29" s="279"/>
      <c r="FPT29" s="279"/>
      <c r="FPU29" s="279"/>
      <c r="FPV29" s="279"/>
      <c r="FPW29" s="279"/>
      <c r="FPX29" s="279"/>
      <c r="FPY29" s="279"/>
      <c r="FPZ29" s="279"/>
      <c r="FQA29" s="279"/>
      <c r="FQB29" s="279"/>
      <c r="FQC29" s="279"/>
      <c r="FQD29" s="279"/>
      <c r="FQE29" s="279"/>
      <c r="FQF29" s="279"/>
      <c r="FQG29" s="279"/>
      <c r="FQH29" s="279"/>
      <c r="FQI29" s="279"/>
      <c r="FQJ29" s="279"/>
      <c r="FQK29" s="279"/>
      <c r="FQL29" s="279"/>
      <c r="FQM29" s="279"/>
      <c r="FQN29" s="279"/>
      <c r="FQO29" s="279"/>
      <c r="FQP29" s="279"/>
      <c r="FQQ29" s="279"/>
      <c r="FQR29" s="279"/>
      <c r="FQS29" s="279"/>
      <c r="FQT29" s="279"/>
      <c r="FQU29" s="279"/>
      <c r="FQV29" s="279"/>
      <c r="FQW29" s="279"/>
      <c r="FQX29" s="279"/>
      <c r="FQY29" s="279"/>
      <c r="FQZ29" s="279"/>
      <c r="FRA29" s="279"/>
      <c r="FRB29" s="279"/>
      <c r="FRC29" s="279"/>
      <c r="FRD29" s="279"/>
      <c r="FRE29" s="279"/>
      <c r="FRF29" s="279"/>
      <c r="FRG29" s="279"/>
      <c r="FRH29" s="279"/>
      <c r="FRI29" s="279"/>
      <c r="FRJ29" s="279"/>
      <c r="FRK29" s="279"/>
      <c r="FRL29" s="279"/>
      <c r="FRM29" s="279"/>
      <c r="FRN29" s="279"/>
      <c r="FRO29" s="279"/>
      <c r="FRP29" s="279"/>
      <c r="FRQ29" s="279"/>
      <c r="FRR29" s="279"/>
      <c r="FRS29" s="279"/>
      <c r="FRT29" s="279"/>
      <c r="FRU29" s="279"/>
      <c r="FRV29" s="279"/>
      <c r="FRW29" s="279"/>
      <c r="FRX29" s="279"/>
      <c r="FRY29" s="279"/>
      <c r="FRZ29" s="279"/>
      <c r="FSA29" s="279"/>
      <c r="FSB29" s="279"/>
      <c r="FSC29" s="279"/>
      <c r="FSD29" s="279"/>
      <c r="FSE29" s="279"/>
      <c r="FSF29" s="279"/>
      <c r="FSG29" s="279"/>
      <c r="FSH29" s="279"/>
      <c r="FSI29" s="279"/>
      <c r="FSJ29" s="279"/>
      <c r="FSK29" s="279"/>
      <c r="FSL29" s="279"/>
      <c r="FSM29" s="279"/>
      <c r="FSN29" s="279"/>
      <c r="FSO29" s="279"/>
      <c r="FSP29" s="279"/>
      <c r="FSQ29" s="279"/>
      <c r="FSR29" s="279"/>
      <c r="FSS29" s="279"/>
      <c r="FST29" s="279"/>
      <c r="FSU29" s="279"/>
      <c r="FSV29" s="279"/>
      <c r="FSW29" s="279"/>
      <c r="FSX29" s="279"/>
      <c r="FSY29" s="279"/>
      <c r="FSZ29" s="279"/>
      <c r="FTA29" s="279"/>
      <c r="FTB29" s="279"/>
      <c r="FTC29" s="279"/>
      <c r="FTD29" s="279"/>
      <c r="FTE29" s="279"/>
      <c r="FTF29" s="279"/>
      <c r="FTG29" s="279"/>
      <c r="FTH29" s="279"/>
      <c r="FTI29" s="279"/>
      <c r="FTJ29" s="279"/>
      <c r="FTK29" s="279"/>
      <c r="FTL29" s="279"/>
      <c r="FTM29" s="279"/>
      <c r="FTN29" s="279"/>
      <c r="FTO29" s="279"/>
      <c r="FTP29" s="279"/>
      <c r="FTQ29" s="279"/>
      <c r="FTR29" s="279"/>
      <c r="FTS29" s="279"/>
      <c r="FTT29" s="279"/>
      <c r="FTU29" s="279"/>
      <c r="FTV29" s="279"/>
      <c r="FTW29" s="279"/>
      <c r="FTX29" s="279"/>
      <c r="FTY29" s="279"/>
      <c r="FTZ29" s="279"/>
      <c r="FUA29" s="279"/>
      <c r="FUB29" s="279"/>
      <c r="FUC29" s="279"/>
      <c r="FUD29" s="279"/>
      <c r="FUE29" s="279"/>
      <c r="FUF29" s="279"/>
      <c r="FUG29" s="279"/>
      <c r="FUH29" s="279"/>
      <c r="FUI29" s="279"/>
      <c r="FUJ29" s="279"/>
      <c r="FUK29" s="279"/>
      <c r="FUL29" s="279"/>
      <c r="FUM29" s="279"/>
      <c r="FUN29" s="279"/>
      <c r="FUO29" s="279"/>
      <c r="FUP29" s="279"/>
      <c r="FUQ29" s="279"/>
      <c r="FUR29" s="279"/>
      <c r="FUS29" s="279"/>
      <c r="FUT29" s="279"/>
      <c r="FUU29" s="279"/>
      <c r="FUV29" s="279"/>
      <c r="FUW29" s="279"/>
      <c r="FUX29" s="279"/>
      <c r="FUY29" s="279"/>
      <c r="FUZ29" s="279"/>
      <c r="FVA29" s="279"/>
      <c r="FVB29" s="279"/>
      <c r="FVC29" s="279"/>
      <c r="FVD29" s="279"/>
      <c r="FVE29" s="279"/>
      <c r="FVF29" s="279"/>
      <c r="FVG29" s="279"/>
      <c r="FVH29" s="279"/>
      <c r="FVI29" s="279"/>
      <c r="FVJ29" s="279"/>
      <c r="FVK29" s="279"/>
      <c r="FVL29" s="279"/>
      <c r="FVM29" s="279"/>
      <c r="FVN29" s="279"/>
      <c r="FVO29" s="279"/>
      <c r="FVP29" s="279"/>
      <c r="FVQ29" s="279"/>
      <c r="FVR29" s="279"/>
      <c r="FVS29" s="279"/>
      <c r="FVT29" s="279"/>
      <c r="FVU29" s="279"/>
      <c r="FVV29" s="279"/>
      <c r="FVW29" s="279"/>
      <c r="FVX29" s="279"/>
      <c r="FVY29" s="279"/>
      <c r="FVZ29" s="279"/>
      <c r="FWA29" s="279"/>
      <c r="FWB29" s="279"/>
      <c r="FWC29" s="279"/>
      <c r="FWD29" s="279"/>
      <c r="FWE29" s="279"/>
      <c r="FWF29" s="279"/>
      <c r="FWG29" s="279"/>
      <c r="FWH29" s="279"/>
      <c r="FWI29" s="279"/>
      <c r="FWJ29" s="279"/>
      <c r="FWK29" s="279"/>
      <c r="FWL29" s="279"/>
      <c r="FWM29" s="279"/>
      <c r="FWN29" s="279"/>
      <c r="FWO29" s="279"/>
      <c r="FWP29" s="279"/>
      <c r="FWQ29" s="279"/>
      <c r="FWR29" s="279"/>
      <c r="FWS29" s="279"/>
      <c r="FWT29" s="279"/>
      <c r="FWU29" s="279"/>
      <c r="FWV29" s="279"/>
      <c r="FWW29" s="279"/>
      <c r="FWX29" s="279"/>
      <c r="FWY29" s="279"/>
      <c r="FWZ29" s="279"/>
      <c r="FXA29" s="279"/>
      <c r="FXB29" s="279"/>
      <c r="FXC29" s="279"/>
      <c r="FXD29" s="279"/>
      <c r="FXE29" s="279"/>
      <c r="FXF29" s="279"/>
      <c r="FXG29" s="279"/>
      <c r="FXH29" s="279"/>
      <c r="FXI29" s="279"/>
      <c r="FXJ29" s="279"/>
      <c r="FXK29" s="279"/>
      <c r="FXL29" s="279"/>
      <c r="FXM29" s="279"/>
      <c r="FXN29" s="279"/>
      <c r="FXO29" s="279"/>
      <c r="FXP29" s="279"/>
      <c r="FXQ29" s="279"/>
      <c r="FXR29" s="279"/>
      <c r="FXS29" s="279"/>
      <c r="FXT29" s="279"/>
      <c r="FXU29" s="279"/>
      <c r="FXV29" s="279"/>
      <c r="FXW29" s="279"/>
      <c r="FXX29" s="279"/>
      <c r="FXY29" s="279"/>
      <c r="FXZ29" s="279"/>
      <c r="FYA29" s="279"/>
      <c r="FYB29" s="279"/>
      <c r="FYC29" s="279"/>
      <c r="FYD29" s="279"/>
      <c r="FYE29" s="279"/>
      <c r="FYF29" s="279"/>
      <c r="FYG29" s="279"/>
      <c r="FYH29" s="279"/>
      <c r="FYI29" s="279"/>
      <c r="FYJ29" s="279"/>
      <c r="FYK29" s="279"/>
      <c r="FYL29" s="279"/>
      <c r="FYM29" s="279"/>
      <c r="FYN29" s="279"/>
      <c r="FYO29" s="279"/>
      <c r="FYP29" s="279"/>
      <c r="FYQ29" s="279"/>
      <c r="FYR29" s="279"/>
      <c r="FYS29" s="279"/>
      <c r="FYT29" s="279"/>
      <c r="FYU29" s="279"/>
      <c r="FYV29" s="279"/>
      <c r="FYW29" s="279"/>
      <c r="FYX29" s="279"/>
      <c r="FYY29" s="279"/>
      <c r="FYZ29" s="279"/>
      <c r="FZA29" s="279"/>
      <c r="FZB29" s="279"/>
      <c r="FZC29" s="279"/>
      <c r="FZD29" s="279"/>
      <c r="FZE29" s="279"/>
      <c r="FZF29" s="279"/>
      <c r="FZG29" s="279"/>
      <c r="FZH29" s="279"/>
      <c r="FZI29" s="279"/>
      <c r="FZJ29" s="279"/>
      <c r="FZK29" s="279"/>
      <c r="FZL29" s="279"/>
      <c r="FZM29" s="279"/>
      <c r="FZN29" s="279"/>
      <c r="FZO29" s="279"/>
      <c r="FZP29" s="279"/>
      <c r="FZQ29" s="279"/>
      <c r="FZR29" s="279"/>
      <c r="FZS29" s="279"/>
      <c r="FZT29" s="279"/>
      <c r="FZU29" s="279"/>
      <c r="FZV29" s="279"/>
      <c r="FZW29" s="279"/>
      <c r="FZX29" s="279"/>
      <c r="FZY29" s="279"/>
      <c r="FZZ29" s="279"/>
      <c r="GAA29" s="279"/>
      <c r="GAB29" s="279"/>
      <c r="GAC29" s="279"/>
      <c r="GAD29" s="279"/>
      <c r="GAE29" s="279"/>
      <c r="GAF29" s="279"/>
      <c r="GAG29" s="279"/>
      <c r="GAH29" s="279"/>
      <c r="GAI29" s="279"/>
      <c r="GAJ29" s="279"/>
      <c r="GAK29" s="279"/>
      <c r="GAL29" s="279"/>
      <c r="GAM29" s="279"/>
      <c r="GAN29" s="279"/>
      <c r="GAO29" s="279"/>
      <c r="GAP29" s="279"/>
      <c r="GAQ29" s="279"/>
      <c r="GAR29" s="279"/>
      <c r="GAS29" s="279"/>
      <c r="GAT29" s="279"/>
      <c r="GAU29" s="279"/>
      <c r="GAV29" s="279"/>
      <c r="GAW29" s="279"/>
      <c r="GAX29" s="279"/>
      <c r="GAY29" s="279"/>
      <c r="GAZ29" s="279"/>
      <c r="GBA29" s="279"/>
      <c r="GBB29" s="279"/>
      <c r="GBC29" s="279"/>
      <c r="GBD29" s="279"/>
      <c r="GBE29" s="279"/>
      <c r="GBF29" s="279"/>
      <c r="GBG29" s="279"/>
      <c r="GBH29" s="279"/>
      <c r="GBI29" s="279"/>
      <c r="GBJ29" s="279"/>
      <c r="GBK29" s="279"/>
      <c r="GBL29" s="279"/>
      <c r="GBM29" s="279"/>
      <c r="GBN29" s="279"/>
      <c r="GBO29" s="279"/>
      <c r="GBP29" s="279"/>
      <c r="GBQ29" s="279"/>
      <c r="GBR29" s="279"/>
      <c r="GBS29" s="279"/>
      <c r="GBT29" s="279"/>
      <c r="GBU29" s="279"/>
      <c r="GBV29" s="279"/>
      <c r="GBW29" s="279"/>
      <c r="GBX29" s="279"/>
      <c r="GBY29" s="279"/>
      <c r="GBZ29" s="279"/>
      <c r="GCA29" s="279"/>
      <c r="GCB29" s="279"/>
      <c r="GCC29" s="279"/>
      <c r="GCD29" s="279"/>
      <c r="GCE29" s="279"/>
      <c r="GCF29" s="279"/>
      <c r="GCG29" s="279"/>
      <c r="GCH29" s="279"/>
      <c r="GCI29" s="279"/>
      <c r="GCJ29" s="279"/>
      <c r="GCK29" s="279"/>
      <c r="GCL29" s="279"/>
      <c r="GCM29" s="279"/>
      <c r="GCN29" s="279"/>
      <c r="GCO29" s="279"/>
      <c r="GCP29" s="279"/>
      <c r="GCQ29" s="279"/>
      <c r="GCR29" s="279"/>
      <c r="GCS29" s="279"/>
      <c r="GCT29" s="279"/>
      <c r="GCU29" s="279"/>
      <c r="GCV29" s="279"/>
      <c r="GCW29" s="279"/>
      <c r="GCX29" s="279"/>
      <c r="GCY29" s="279"/>
      <c r="GCZ29" s="279"/>
      <c r="GDA29" s="279"/>
      <c r="GDB29" s="279"/>
      <c r="GDC29" s="279"/>
      <c r="GDD29" s="279"/>
      <c r="GDE29" s="279"/>
      <c r="GDF29" s="279"/>
      <c r="GDG29" s="279"/>
      <c r="GDH29" s="279"/>
      <c r="GDI29" s="279"/>
      <c r="GDJ29" s="279"/>
      <c r="GDK29" s="279"/>
      <c r="GDL29" s="279"/>
      <c r="GDM29" s="279"/>
      <c r="GDN29" s="279"/>
      <c r="GDO29" s="279"/>
      <c r="GDP29" s="279"/>
      <c r="GDQ29" s="279"/>
      <c r="GDR29" s="279"/>
      <c r="GDS29" s="279"/>
      <c r="GDT29" s="279"/>
      <c r="GDU29" s="279"/>
      <c r="GDV29" s="279"/>
      <c r="GDW29" s="279"/>
      <c r="GDX29" s="279"/>
      <c r="GDY29" s="279"/>
      <c r="GDZ29" s="279"/>
      <c r="GEA29" s="279"/>
      <c r="GEB29" s="279"/>
      <c r="GEC29" s="279"/>
      <c r="GED29" s="279"/>
      <c r="GEE29" s="279"/>
      <c r="GEF29" s="279"/>
      <c r="GEG29" s="279"/>
      <c r="GEH29" s="279"/>
      <c r="GEI29" s="279"/>
      <c r="GEJ29" s="279"/>
      <c r="GEK29" s="279"/>
      <c r="GEL29" s="279"/>
      <c r="GEM29" s="279"/>
      <c r="GEN29" s="279"/>
      <c r="GEO29" s="279"/>
      <c r="GEP29" s="279"/>
      <c r="GEQ29" s="279"/>
      <c r="GER29" s="279"/>
      <c r="GES29" s="279"/>
      <c r="GET29" s="279"/>
      <c r="GEU29" s="279"/>
      <c r="GEV29" s="279"/>
      <c r="GEW29" s="279"/>
      <c r="GEX29" s="279"/>
      <c r="GEY29" s="279"/>
      <c r="GEZ29" s="279"/>
      <c r="GFA29" s="279"/>
      <c r="GFB29" s="279"/>
      <c r="GFC29" s="279"/>
      <c r="GFD29" s="279"/>
      <c r="GFE29" s="279"/>
      <c r="GFF29" s="279"/>
      <c r="GFG29" s="279"/>
      <c r="GFH29" s="279"/>
      <c r="GFI29" s="279"/>
      <c r="GFJ29" s="279"/>
      <c r="GFK29" s="279"/>
      <c r="GFL29" s="279"/>
      <c r="GFM29" s="279"/>
      <c r="GFN29" s="279"/>
      <c r="GFO29" s="279"/>
      <c r="GFP29" s="279"/>
      <c r="GFQ29" s="279"/>
      <c r="GFR29" s="279"/>
      <c r="GFS29" s="279"/>
      <c r="GFT29" s="279"/>
      <c r="GFU29" s="279"/>
      <c r="GFV29" s="279"/>
      <c r="GFW29" s="279"/>
      <c r="GFX29" s="279"/>
      <c r="GFY29" s="279"/>
      <c r="GFZ29" s="279"/>
      <c r="GGA29" s="279"/>
      <c r="GGB29" s="279"/>
      <c r="GGC29" s="279"/>
      <c r="GGD29" s="279"/>
      <c r="GGE29" s="279"/>
      <c r="GGF29" s="279"/>
      <c r="GGG29" s="279"/>
      <c r="GGH29" s="279"/>
      <c r="GGI29" s="279"/>
      <c r="GGJ29" s="279"/>
      <c r="GGK29" s="279"/>
      <c r="GGL29" s="279"/>
      <c r="GGM29" s="279"/>
      <c r="GGN29" s="279"/>
      <c r="GGO29" s="279"/>
      <c r="GGP29" s="279"/>
      <c r="GGQ29" s="279"/>
      <c r="GGR29" s="279"/>
      <c r="GGS29" s="279"/>
      <c r="GGT29" s="279"/>
      <c r="GGU29" s="279"/>
      <c r="GGV29" s="279"/>
      <c r="GGW29" s="279"/>
      <c r="GGX29" s="279"/>
      <c r="GGY29" s="279"/>
      <c r="GGZ29" s="279"/>
      <c r="GHA29" s="279"/>
      <c r="GHB29" s="279"/>
      <c r="GHC29" s="279"/>
      <c r="GHD29" s="279"/>
      <c r="GHE29" s="279"/>
      <c r="GHF29" s="279"/>
      <c r="GHG29" s="279"/>
      <c r="GHH29" s="279"/>
      <c r="GHI29" s="279"/>
      <c r="GHJ29" s="279"/>
      <c r="GHK29" s="279"/>
      <c r="GHL29" s="279"/>
      <c r="GHM29" s="279"/>
      <c r="GHN29" s="279"/>
      <c r="GHO29" s="279"/>
      <c r="GHP29" s="279"/>
      <c r="GHQ29" s="279"/>
      <c r="GHR29" s="279"/>
      <c r="GHS29" s="279"/>
      <c r="GHT29" s="279"/>
      <c r="GHU29" s="279"/>
      <c r="GHV29" s="279"/>
      <c r="GHW29" s="279"/>
      <c r="GHX29" s="279"/>
      <c r="GHY29" s="279"/>
      <c r="GHZ29" s="279"/>
      <c r="GIA29" s="279"/>
      <c r="GIB29" s="279"/>
      <c r="GIC29" s="279"/>
      <c r="GID29" s="279"/>
      <c r="GIE29" s="279"/>
      <c r="GIF29" s="279"/>
      <c r="GIG29" s="279"/>
      <c r="GIH29" s="279"/>
      <c r="GII29" s="279"/>
      <c r="GIJ29" s="279"/>
      <c r="GIK29" s="279"/>
      <c r="GIL29" s="279"/>
      <c r="GIM29" s="279"/>
      <c r="GIN29" s="279"/>
      <c r="GIO29" s="279"/>
      <c r="GIP29" s="279"/>
      <c r="GIQ29" s="279"/>
      <c r="GIR29" s="279"/>
      <c r="GIS29" s="279"/>
      <c r="GIT29" s="279"/>
      <c r="GIU29" s="279"/>
      <c r="GIV29" s="279"/>
      <c r="GIW29" s="279"/>
      <c r="GIX29" s="279"/>
      <c r="GIY29" s="279"/>
      <c r="GIZ29" s="279"/>
      <c r="GJA29" s="279"/>
      <c r="GJB29" s="279"/>
      <c r="GJC29" s="279"/>
      <c r="GJD29" s="279"/>
      <c r="GJE29" s="279"/>
      <c r="GJF29" s="279"/>
      <c r="GJG29" s="279"/>
      <c r="GJH29" s="279"/>
      <c r="GJI29" s="279"/>
      <c r="GJJ29" s="279"/>
      <c r="GJK29" s="279"/>
      <c r="GJL29" s="279"/>
      <c r="GJM29" s="279"/>
      <c r="GJN29" s="279"/>
      <c r="GJO29" s="279"/>
      <c r="GJP29" s="279"/>
      <c r="GJQ29" s="279"/>
      <c r="GJR29" s="279"/>
      <c r="GJS29" s="279"/>
      <c r="GJT29" s="279"/>
      <c r="GJU29" s="279"/>
      <c r="GJV29" s="279"/>
      <c r="GJW29" s="279"/>
      <c r="GJX29" s="279"/>
      <c r="GJY29" s="279"/>
      <c r="GJZ29" s="279"/>
      <c r="GKA29" s="279"/>
      <c r="GKB29" s="279"/>
      <c r="GKC29" s="279"/>
      <c r="GKD29" s="279"/>
      <c r="GKE29" s="279"/>
      <c r="GKF29" s="279"/>
      <c r="GKG29" s="279"/>
      <c r="GKH29" s="279"/>
      <c r="GKI29" s="279"/>
      <c r="GKJ29" s="279"/>
      <c r="GKK29" s="279"/>
      <c r="GKL29" s="279"/>
      <c r="GKM29" s="279"/>
      <c r="GKN29" s="279"/>
      <c r="GKO29" s="279"/>
      <c r="GKP29" s="279"/>
      <c r="GKQ29" s="279"/>
      <c r="GKR29" s="279"/>
      <c r="GKS29" s="279"/>
      <c r="GKT29" s="279"/>
      <c r="GKU29" s="279"/>
      <c r="GKV29" s="279"/>
      <c r="GKW29" s="279"/>
      <c r="GKX29" s="279"/>
      <c r="GKY29" s="279"/>
      <c r="GKZ29" s="279"/>
      <c r="GLA29" s="279"/>
      <c r="GLB29" s="279"/>
      <c r="GLC29" s="279"/>
      <c r="GLD29" s="279"/>
      <c r="GLE29" s="279"/>
      <c r="GLF29" s="279"/>
      <c r="GLG29" s="279"/>
      <c r="GLH29" s="279"/>
      <c r="GLI29" s="279"/>
      <c r="GLJ29" s="279"/>
      <c r="GLK29" s="279"/>
      <c r="GLL29" s="279"/>
      <c r="GLM29" s="279"/>
      <c r="GLN29" s="279"/>
      <c r="GLO29" s="279"/>
      <c r="GLP29" s="279"/>
      <c r="GLQ29" s="279"/>
      <c r="GLR29" s="279"/>
      <c r="GLS29" s="279"/>
      <c r="GLT29" s="279"/>
      <c r="GLU29" s="279"/>
      <c r="GLV29" s="279"/>
      <c r="GLW29" s="279"/>
      <c r="GLX29" s="279"/>
      <c r="GLY29" s="279"/>
      <c r="GLZ29" s="279"/>
      <c r="GMA29" s="279"/>
      <c r="GMB29" s="279"/>
      <c r="GMC29" s="279"/>
      <c r="GMD29" s="279"/>
      <c r="GME29" s="279"/>
      <c r="GMF29" s="279"/>
      <c r="GMG29" s="279"/>
      <c r="GMH29" s="279"/>
      <c r="GMI29" s="279"/>
      <c r="GMJ29" s="279"/>
      <c r="GMK29" s="279"/>
      <c r="GML29" s="279"/>
      <c r="GMM29" s="279"/>
      <c r="GMN29" s="279"/>
      <c r="GMO29" s="279"/>
      <c r="GMP29" s="279"/>
      <c r="GMQ29" s="279"/>
      <c r="GMR29" s="279"/>
      <c r="GMS29" s="279"/>
      <c r="GMT29" s="279"/>
      <c r="GMU29" s="279"/>
      <c r="GMV29" s="279"/>
      <c r="GMW29" s="279"/>
      <c r="GMX29" s="279"/>
      <c r="GMY29" s="279"/>
      <c r="GMZ29" s="279"/>
      <c r="GNA29" s="279"/>
      <c r="GNB29" s="279"/>
      <c r="GNC29" s="279"/>
      <c r="GND29" s="279"/>
      <c r="GNE29" s="279"/>
      <c r="GNF29" s="279"/>
      <c r="GNG29" s="279"/>
      <c r="GNH29" s="279"/>
      <c r="GNI29" s="279"/>
      <c r="GNJ29" s="279"/>
      <c r="GNK29" s="279"/>
      <c r="GNL29" s="279"/>
      <c r="GNM29" s="279"/>
      <c r="GNN29" s="279"/>
      <c r="GNO29" s="279"/>
      <c r="GNP29" s="279"/>
      <c r="GNQ29" s="279"/>
      <c r="GNR29" s="279"/>
      <c r="GNS29" s="279"/>
      <c r="GNT29" s="279"/>
      <c r="GNU29" s="279"/>
      <c r="GNV29" s="279"/>
      <c r="GNW29" s="279"/>
      <c r="GNX29" s="279"/>
      <c r="GNY29" s="279"/>
      <c r="GNZ29" s="279"/>
      <c r="GOA29" s="279"/>
      <c r="GOB29" s="279"/>
      <c r="GOC29" s="279"/>
      <c r="GOD29" s="279"/>
      <c r="GOE29" s="279"/>
      <c r="GOF29" s="279"/>
      <c r="GOG29" s="279"/>
      <c r="GOH29" s="279"/>
      <c r="GOI29" s="279"/>
      <c r="GOJ29" s="279"/>
      <c r="GOK29" s="279"/>
      <c r="GOL29" s="279"/>
      <c r="GOM29" s="279"/>
      <c r="GON29" s="279"/>
      <c r="GOO29" s="279"/>
      <c r="GOP29" s="279"/>
      <c r="GOQ29" s="279"/>
      <c r="GOR29" s="279"/>
      <c r="GOS29" s="279"/>
      <c r="GOT29" s="279"/>
      <c r="GOU29" s="279"/>
      <c r="GOV29" s="279"/>
      <c r="GOW29" s="279"/>
      <c r="GOX29" s="279"/>
      <c r="GOY29" s="279"/>
      <c r="GOZ29" s="279"/>
      <c r="GPA29" s="279"/>
      <c r="GPB29" s="279"/>
      <c r="GPC29" s="279"/>
      <c r="GPD29" s="279"/>
      <c r="GPE29" s="279"/>
      <c r="GPF29" s="279"/>
      <c r="GPG29" s="279"/>
      <c r="GPH29" s="279"/>
      <c r="GPI29" s="279"/>
      <c r="GPJ29" s="279"/>
      <c r="GPK29" s="279"/>
      <c r="GPL29" s="279"/>
      <c r="GPM29" s="279"/>
      <c r="GPN29" s="279"/>
      <c r="GPO29" s="279"/>
      <c r="GPP29" s="279"/>
      <c r="GPQ29" s="279"/>
      <c r="GPR29" s="279"/>
      <c r="GPS29" s="279"/>
      <c r="GPT29" s="279"/>
      <c r="GPU29" s="279"/>
      <c r="GPV29" s="279"/>
      <c r="GPW29" s="279"/>
      <c r="GPX29" s="279"/>
      <c r="GPY29" s="279"/>
      <c r="GPZ29" s="279"/>
      <c r="GQA29" s="279"/>
      <c r="GQB29" s="279"/>
      <c r="GQC29" s="279"/>
      <c r="GQD29" s="279"/>
      <c r="GQE29" s="279"/>
      <c r="GQF29" s="279"/>
      <c r="GQG29" s="279"/>
      <c r="GQH29" s="279"/>
      <c r="GQI29" s="279"/>
      <c r="GQJ29" s="279"/>
      <c r="GQK29" s="279"/>
      <c r="GQL29" s="279"/>
      <c r="GQM29" s="279"/>
      <c r="GQN29" s="279"/>
      <c r="GQO29" s="279"/>
      <c r="GQP29" s="279"/>
      <c r="GQQ29" s="279"/>
      <c r="GQR29" s="279"/>
      <c r="GQS29" s="279"/>
      <c r="GQT29" s="279"/>
      <c r="GQU29" s="279"/>
      <c r="GQV29" s="279"/>
      <c r="GQW29" s="279"/>
      <c r="GQX29" s="279"/>
      <c r="GQY29" s="279"/>
      <c r="GQZ29" s="279"/>
      <c r="GRA29" s="279"/>
      <c r="GRB29" s="279"/>
      <c r="GRC29" s="279"/>
      <c r="GRD29" s="279"/>
      <c r="GRE29" s="279"/>
      <c r="GRF29" s="279"/>
      <c r="GRG29" s="279"/>
      <c r="GRH29" s="279"/>
      <c r="GRI29" s="279"/>
      <c r="GRJ29" s="279"/>
      <c r="GRK29" s="279"/>
      <c r="GRL29" s="279"/>
      <c r="GRM29" s="279"/>
      <c r="GRN29" s="279"/>
      <c r="GRO29" s="279"/>
      <c r="GRP29" s="279"/>
      <c r="GRQ29" s="279"/>
      <c r="GRR29" s="279"/>
      <c r="GRS29" s="279"/>
      <c r="GRT29" s="279"/>
      <c r="GRU29" s="279"/>
      <c r="GRV29" s="279"/>
      <c r="GRW29" s="279"/>
      <c r="GRX29" s="279"/>
      <c r="GRY29" s="279"/>
      <c r="GRZ29" s="279"/>
      <c r="GSA29" s="279"/>
      <c r="GSB29" s="279"/>
      <c r="GSC29" s="279"/>
      <c r="GSD29" s="279"/>
      <c r="GSE29" s="279"/>
      <c r="GSF29" s="279"/>
      <c r="GSG29" s="279"/>
      <c r="GSH29" s="279"/>
      <c r="GSI29" s="279"/>
      <c r="GSJ29" s="279"/>
      <c r="GSK29" s="279"/>
      <c r="GSL29" s="279"/>
      <c r="GSM29" s="279"/>
      <c r="GSN29" s="279"/>
      <c r="GSO29" s="279"/>
      <c r="GSP29" s="279"/>
      <c r="GSQ29" s="279"/>
      <c r="GSR29" s="279"/>
      <c r="GSS29" s="279"/>
      <c r="GST29" s="279"/>
      <c r="GSU29" s="279"/>
      <c r="GSV29" s="279"/>
      <c r="GSW29" s="279"/>
      <c r="GSX29" s="279"/>
      <c r="GSY29" s="279"/>
      <c r="GSZ29" s="279"/>
      <c r="GTA29" s="279"/>
      <c r="GTB29" s="279"/>
      <c r="GTC29" s="279"/>
      <c r="GTD29" s="279"/>
      <c r="GTE29" s="279"/>
      <c r="GTF29" s="279"/>
      <c r="GTG29" s="279"/>
      <c r="GTH29" s="279"/>
      <c r="GTI29" s="279"/>
      <c r="GTJ29" s="279"/>
      <c r="GTK29" s="279"/>
      <c r="GTL29" s="279"/>
      <c r="GTM29" s="279"/>
      <c r="GTN29" s="279"/>
      <c r="GTO29" s="279"/>
      <c r="GTP29" s="279"/>
      <c r="GTQ29" s="279"/>
      <c r="GTR29" s="279"/>
      <c r="GTS29" s="279"/>
      <c r="GTT29" s="279"/>
      <c r="GTU29" s="279"/>
      <c r="GTV29" s="279"/>
      <c r="GTW29" s="279"/>
      <c r="GTX29" s="279"/>
      <c r="GTY29" s="279"/>
      <c r="GTZ29" s="279"/>
      <c r="GUA29" s="279"/>
      <c r="GUB29" s="279"/>
      <c r="GUC29" s="279"/>
      <c r="GUD29" s="279"/>
      <c r="GUE29" s="279"/>
      <c r="GUF29" s="279"/>
      <c r="GUG29" s="279"/>
      <c r="GUH29" s="279"/>
      <c r="GUI29" s="279"/>
      <c r="GUJ29" s="279"/>
      <c r="GUK29" s="279"/>
      <c r="GUL29" s="279"/>
      <c r="GUM29" s="279"/>
      <c r="GUN29" s="279"/>
      <c r="GUO29" s="279"/>
      <c r="GUP29" s="279"/>
      <c r="GUQ29" s="279"/>
      <c r="GUR29" s="279"/>
      <c r="GUS29" s="279"/>
      <c r="GUT29" s="279"/>
      <c r="GUU29" s="279"/>
      <c r="GUV29" s="279"/>
      <c r="GUW29" s="279"/>
      <c r="GUX29" s="279"/>
      <c r="GUY29" s="279"/>
      <c r="GUZ29" s="279"/>
      <c r="GVA29" s="279"/>
      <c r="GVB29" s="279"/>
      <c r="GVC29" s="279"/>
      <c r="GVD29" s="279"/>
      <c r="GVE29" s="279"/>
      <c r="GVF29" s="279"/>
      <c r="GVG29" s="279"/>
      <c r="GVH29" s="279"/>
      <c r="GVI29" s="279"/>
      <c r="GVJ29" s="279"/>
      <c r="GVK29" s="279"/>
      <c r="GVL29" s="279"/>
      <c r="GVM29" s="279"/>
      <c r="GVN29" s="279"/>
      <c r="GVO29" s="279"/>
      <c r="GVP29" s="279"/>
      <c r="GVQ29" s="279"/>
      <c r="GVR29" s="279"/>
      <c r="GVS29" s="279"/>
      <c r="GVT29" s="279"/>
      <c r="GVU29" s="279"/>
      <c r="GVV29" s="279"/>
      <c r="GVW29" s="279"/>
      <c r="GVX29" s="279"/>
      <c r="GVY29" s="279"/>
      <c r="GVZ29" s="279"/>
      <c r="GWA29" s="279"/>
      <c r="GWB29" s="279"/>
      <c r="GWC29" s="279"/>
      <c r="GWD29" s="279"/>
      <c r="GWE29" s="279"/>
      <c r="GWF29" s="279"/>
      <c r="GWG29" s="279"/>
      <c r="GWH29" s="279"/>
      <c r="GWI29" s="279"/>
      <c r="GWJ29" s="279"/>
      <c r="GWK29" s="279"/>
      <c r="GWL29" s="279"/>
      <c r="GWM29" s="279"/>
      <c r="GWN29" s="279"/>
      <c r="GWO29" s="279"/>
      <c r="GWP29" s="279"/>
      <c r="GWQ29" s="279"/>
      <c r="GWR29" s="279"/>
      <c r="GWS29" s="279"/>
      <c r="GWT29" s="279"/>
      <c r="GWU29" s="279"/>
      <c r="GWV29" s="279"/>
      <c r="GWW29" s="279"/>
      <c r="GWX29" s="279"/>
      <c r="GWY29" s="279"/>
      <c r="GWZ29" s="279"/>
      <c r="GXA29" s="279"/>
      <c r="GXB29" s="279"/>
      <c r="GXC29" s="279"/>
      <c r="GXD29" s="279"/>
      <c r="GXE29" s="279"/>
      <c r="GXF29" s="279"/>
      <c r="GXG29" s="279"/>
      <c r="GXH29" s="279"/>
      <c r="GXI29" s="279"/>
      <c r="GXJ29" s="279"/>
      <c r="GXK29" s="279"/>
      <c r="GXL29" s="279"/>
      <c r="GXM29" s="279"/>
      <c r="GXN29" s="279"/>
      <c r="GXO29" s="279"/>
      <c r="GXP29" s="279"/>
      <c r="GXQ29" s="279"/>
      <c r="GXR29" s="279"/>
      <c r="GXS29" s="279"/>
      <c r="GXT29" s="279"/>
      <c r="GXU29" s="279"/>
      <c r="GXV29" s="279"/>
      <c r="GXW29" s="279"/>
      <c r="GXX29" s="279"/>
      <c r="GXY29" s="279"/>
      <c r="GXZ29" s="279"/>
      <c r="GYA29" s="279"/>
      <c r="GYB29" s="279"/>
      <c r="GYC29" s="279"/>
      <c r="GYD29" s="279"/>
      <c r="GYE29" s="279"/>
      <c r="GYF29" s="279"/>
      <c r="GYG29" s="279"/>
      <c r="GYH29" s="279"/>
      <c r="GYI29" s="279"/>
      <c r="GYJ29" s="279"/>
      <c r="GYK29" s="279"/>
      <c r="GYL29" s="279"/>
      <c r="GYM29" s="279"/>
      <c r="GYN29" s="279"/>
      <c r="GYO29" s="279"/>
      <c r="GYP29" s="279"/>
      <c r="GYQ29" s="279"/>
      <c r="GYR29" s="279"/>
      <c r="GYS29" s="279"/>
      <c r="GYT29" s="279"/>
      <c r="GYU29" s="279"/>
      <c r="GYV29" s="279"/>
      <c r="GYW29" s="279"/>
      <c r="GYX29" s="279"/>
      <c r="GYY29" s="279"/>
      <c r="GYZ29" s="279"/>
      <c r="GZA29" s="279"/>
      <c r="GZB29" s="279"/>
      <c r="GZC29" s="279"/>
      <c r="GZD29" s="279"/>
      <c r="GZE29" s="279"/>
      <c r="GZF29" s="279"/>
      <c r="GZG29" s="279"/>
      <c r="GZH29" s="279"/>
      <c r="GZI29" s="279"/>
      <c r="GZJ29" s="279"/>
      <c r="GZK29" s="279"/>
      <c r="GZL29" s="279"/>
      <c r="GZM29" s="279"/>
      <c r="GZN29" s="279"/>
      <c r="GZO29" s="279"/>
      <c r="GZP29" s="279"/>
      <c r="GZQ29" s="279"/>
      <c r="GZR29" s="279"/>
      <c r="GZS29" s="279"/>
      <c r="GZT29" s="279"/>
      <c r="GZU29" s="279"/>
      <c r="GZV29" s="279"/>
      <c r="GZW29" s="279"/>
      <c r="GZX29" s="279"/>
      <c r="GZY29" s="279"/>
      <c r="GZZ29" s="279"/>
      <c r="HAA29" s="279"/>
      <c r="HAB29" s="279"/>
      <c r="HAC29" s="279"/>
      <c r="HAD29" s="279"/>
      <c r="HAE29" s="279"/>
      <c r="HAF29" s="279"/>
      <c r="HAG29" s="279"/>
      <c r="HAH29" s="279"/>
      <c r="HAI29" s="279"/>
      <c r="HAJ29" s="279"/>
      <c r="HAK29" s="279"/>
      <c r="HAL29" s="279"/>
      <c r="HAM29" s="279"/>
      <c r="HAN29" s="279"/>
      <c r="HAO29" s="279"/>
      <c r="HAP29" s="279"/>
      <c r="HAQ29" s="279"/>
      <c r="HAR29" s="279"/>
      <c r="HAS29" s="279"/>
      <c r="HAT29" s="279"/>
      <c r="HAU29" s="279"/>
      <c r="HAV29" s="279"/>
      <c r="HAW29" s="279"/>
      <c r="HAX29" s="279"/>
      <c r="HAY29" s="279"/>
      <c r="HAZ29" s="279"/>
      <c r="HBA29" s="279"/>
      <c r="HBB29" s="279"/>
      <c r="HBC29" s="279"/>
      <c r="HBD29" s="279"/>
      <c r="HBE29" s="279"/>
      <c r="HBF29" s="279"/>
      <c r="HBG29" s="279"/>
      <c r="HBH29" s="279"/>
      <c r="HBI29" s="279"/>
      <c r="HBJ29" s="279"/>
      <c r="HBK29" s="279"/>
      <c r="HBL29" s="279"/>
      <c r="HBM29" s="279"/>
      <c r="HBN29" s="279"/>
      <c r="HBO29" s="279"/>
      <c r="HBP29" s="279"/>
      <c r="HBQ29" s="279"/>
      <c r="HBR29" s="279"/>
      <c r="HBS29" s="279"/>
      <c r="HBT29" s="279"/>
      <c r="HBU29" s="279"/>
      <c r="HBV29" s="279"/>
      <c r="HBW29" s="279"/>
      <c r="HBX29" s="279"/>
      <c r="HBY29" s="279"/>
      <c r="HBZ29" s="279"/>
      <c r="HCA29" s="279"/>
      <c r="HCB29" s="279"/>
      <c r="HCC29" s="279"/>
      <c r="HCD29" s="279"/>
      <c r="HCE29" s="279"/>
      <c r="HCF29" s="279"/>
      <c r="HCG29" s="279"/>
      <c r="HCH29" s="279"/>
      <c r="HCI29" s="279"/>
      <c r="HCJ29" s="279"/>
      <c r="HCK29" s="279"/>
      <c r="HCL29" s="279"/>
      <c r="HCM29" s="279"/>
      <c r="HCN29" s="279"/>
      <c r="HCO29" s="279"/>
      <c r="HCP29" s="279"/>
      <c r="HCQ29" s="279"/>
      <c r="HCR29" s="279"/>
      <c r="HCS29" s="279"/>
      <c r="HCT29" s="279"/>
      <c r="HCU29" s="279"/>
      <c r="HCV29" s="279"/>
      <c r="HCW29" s="279"/>
      <c r="HCX29" s="279"/>
      <c r="HCY29" s="279"/>
      <c r="HCZ29" s="279"/>
      <c r="HDA29" s="279"/>
      <c r="HDB29" s="279"/>
      <c r="HDC29" s="279"/>
      <c r="HDD29" s="279"/>
      <c r="HDE29" s="279"/>
      <c r="HDF29" s="279"/>
      <c r="HDG29" s="279"/>
      <c r="HDH29" s="279"/>
      <c r="HDI29" s="279"/>
      <c r="HDJ29" s="279"/>
      <c r="HDK29" s="279"/>
      <c r="HDL29" s="279"/>
      <c r="HDM29" s="279"/>
      <c r="HDN29" s="279"/>
      <c r="HDO29" s="279"/>
      <c r="HDP29" s="279"/>
      <c r="HDQ29" s="279"/>
      <c r="HDR29" s="279"/>
      <c r="HDS29" s="279"/>
      <c r="HDT29" s="279"/>
      <c r="HDU29" s="279"/>
      <c r="HDV29" s="279"/>
      <c r="HDW29" s="279"/>
      <c r="HDX29" s="279"/>
      <c r="HDY29" s="279"/>
      <c r="HDZ29" s="279"/>
      <c r="HEA29" s="279"/>
      <c r="HEB29" s="279"/>
      <c r="HEC29" s="279"/>
      <c r="HED29" s="279"/>
      <c r="HEE29" s="279"/>
      <c r="HEF29" s="279"/>
      <c r="HEG29" s="279"/>
      <c r="HEH29" s="279"/>
      <c r="HEI29" s="279"/>
      <c r="HEJ29" s="279"/>
      <c r="HEK29" s="279"/>
      <c r="HEL29" s="279"/>
      <c r="HEM29" s="279"/>
      <c r="HEN29" s="279"/>
      <c r="HEO29" s="279"/>
      <c r="HEP29" s="279"/>
      <c r="HEQ29" s="279"/>
      <c r="HER29" s="279"/>
      <c r="HES29" s="279"/>
      <c r="HET29" s="279"/>
      <c r="HEU29" s="279"/>
      <c r="HEV29" s="279"/>
      <c r="HEW29" s="279"/>
      <c r="HEX29" s="279"/>
      <c r="HEY29" s="279"/>
      <c r="HEZ29" s="279"/>
      <c r="HFA29" s="279"/>
      <c r="HFB29" s="279"/>
      <c r="HFC29" s="279"/>
      <c r="HFD29" s="279"/>
      <c r="HFE29" s="279"/>
      <c r="HFF29" s="279"/>
      <c r="HFG29" s="279"/>
      <c r="HFH29" s="279"/>
      <c r="HFI29" s="279"/>
      <c r="HFJ29" s="279"/>
      <c r="HFK29" s="279"/>
      <c r="HFL29" s="279"/>
      <c r="HFM29" s="279"/>
      <c r="HFN29" s="279"/>
      <c r="HFO29" s="279"/>
      <c r="HFP29" s="279"/>
      <c r="HFQ29" s="279"/>
      <c r="HFR29" s="279"/>
      <c r="HFS29" s="279"/>
      <c r="HFT29" s="279"/>
      <c r="HFU29" s="279"/>
      <c r="HFV29" s="279"/>
      <c r="HFW29" s="279"/>
      <c r="HFX29" s="279"/>
      <c r="HFY29" s="279"/>
      <c r="HFZ29" s="279"/>
      <c r="HGA29" s="279"/>
      <c r="HGB29" s="279"/>
      <c r="HGC29" s="279"/>
      <c r="HGD29" s="279"/>
      <c r="HGE29" s="279"/>
      <c r="HGF29" s="279"/>
      <c r="HGG29" s="279"/>
      <c r="HGH29" s="279"/>
      <c r="HGI29" s="279"/>
      <c r="HGJ29" s="279"/>
      <c r="HGK29" s="279"/>
      <c r="HGL29" s="279"/>
      <c r="HGM29" s="279"/>
      <c r="HGN29" s="279"/>
      <c r="HGO29" s="279"/>
      <c r="HGP29" s="279"/>
      <c r="HGQ29" s="279"/>
      <c r="HGR29" s="279"/>
      <c r="HGS29" s="279"/>
      <c r="HGT29" s="279"/>
      <c r="HGU29" s="279"/>
      <c r="HGV29" s="279"/>
      <c r="HGW29" s="279"/>
      <c r="HGX29" s="279"/>
      <c r="HGY29" s="279"/>
      <c r="HGZ29" s="279"/>
      <c r="HHA29" s="279"/>
      <c r="HHB29" s="279"/>
      <c r="HHC29" s="279"/>
      <c r="HHD29" s="279"/>
      <c r="HHE29" s="279"/>
      <c r="HHF29" s="279"/>
      <c r="HHG29" s="279"/>
      <c r="HHH29" s="279"/>
      <c r="HHI29" s="279"/>
      <c r="HHJ29" s="279"/>
      <c r="HHK29" s="279"/>
      <c r="HHL29" s="279"/>
      <c r="HHM29" s="279"/>
      <c r="HHN29" s="279"/>
      <c r="HHO29" s="279"/>
      <c r="HHP29" s="279"/>
      <c r="HHQ29" s="279"/>
      <c r="HHR29" s="279"/>
      <c r="HHS29" s="279"/>
      <c r="HHT29" s="279"/>
      <c r="HHU29" s="279"/>
      <c r="HHV29" s="279"/>
      <c r="HHW29" s="279"/>
      <c r="HHX29" s="279"/>
      <c r="HHY29" s="279"/>
      <c r="HHZ29" s="279"/>
      <c r="HIA29" s="279"/>
      <c r="HIB29" s="279"/>
      <c r="HIC29" s="279"/>
      <c r="HID29" s="279"/>
      <c r="HIE29" s="279"/>
      <c r="HIF29" s="279"/>
      <c r="HIG29" s="279"/>
      <c r="HIH29" s="279"/>
      <c r="HII29" s="279"/>
      <c r="HIJ29" s="279"/>
      <c r="HIK29" s="279"/>
      <c r="HIL29" s="279"/>
      <c r="HIM29" s="279"/>
      <c r="HIN29" s="279"/>
      <c r="HIO29" s="279"/>
      <c r="HIP29" s="279"/>
      <c r="HIQ29" s="279"/>
      <c r="HIR29" s="279"/>
      <c r="HIS29" s="279"/>
      <c r="HIT29" s="279"/>
      <c r="HIU29" s="279"/>
      <c r="HIV29" s="279"/>
      <c r="HIW29" s="279"/>
      <c r="HIX29" s="279"/>
      <c r="HIY29" s="279"/>
      <c r="HIZ29" s="279"/>
      <c r="HJA29" s="279"/>
      <c r="HJB29" s="279"/>
      <c r="HJC29" s="279"/>
      <c r="HJD29" s="279"/>
      <c r="HJE29" s="279"/>
      <c r="HJF29" s="279"/>
      <c r="HJG29" s="279"/>
      <c r="HJH29" s="279"/>
      <c r="HJI29" s="279"/>
      <c r="HJJ29" s="279"/>
      <c r="HJK29" s="279"/>
      <c r="HJL29" s="279"/>
      <c r="HJM29" s="279"/>
      <c r="HJN29" s="279"/>
      <c r="HJO29" s="279"/>
      <c r="HJP29" s="279"/>
      <c r="HJQ29" s="279"/>
      <c r="HJR29" s="279"/>
      <c r="HJS29" s="279"/>
      <c r="HJT29" s="279"/>
      <c r="HJU29" s="279"/>
      <c r="HJV29" s="279"/>
      <c r="HJW29" s="279"/>
      <c r="HJX29" s="279"/>
      <c r="HJY29" s="279"/>
      <c r="HJZ29" s="279"/>
      <c r="HKA29" s="279"/>
      <c r="HKB29" s="279"/>
      <c r="HKC29" s="279"/>
      <c r="HKD29" s="279"/>
      <c r="HKE29" s="279"/>
      <c r="HKF29" s="279"/>
      <c r="HKG29" s="279"/>
      <c r="HKH29" s="279"/>
      <c r="HKI29" s="279"/>
      <c r="HKJ29" s="279"/>
      <c r="HKK29" s="279"/>
      <c r="HKL29" s="279"/>
      <c r="HKM29" s="279"/>
      <c r="HKN29" s="279"/>
      <c r="HKO29" s="279"/>
      <c r="HKP29" s="279"/>
      <c r="HKQ29" s="279"/>
      <c r="HKR29" s="279"/>
      <c r="HKS29" s="279"/>
      <c r="HKT29" s="279"/>
      <c r="HKU29" s="279"/>
      <c r="HKV29" s="279"/>
      <c r="HKW29" s="279"/>
      <c r="HKX29" s="279"/>
      <c r="HKY29" s="279"/>
      <c r="HKZ29" s="279"/>
      <c r="HLA29" s="279"/>
      <c r="HLB29" s="279"/>
      <c r="HLC29" s="279"/>
      <c r="HLD29" s="279"/>
      <c r="HLE29" s="279"/>
      <c r="HLF29" s="279"/>
      <c r="HLG29" s="279"/>
      <c r="HLH29" s="279"/>
      <c r="HLI29" s="279"/>
      <c r="HLJ29" s="279"/>
      <c r="HLK29" s="279"/>
      <c r="HLL29" s="279"/>
      <c r="HLM29" s="279"/>
      <c r="HLN29" s="279"/>
      <c r="HLO29" s="279"/>
      <c r="HLP29" s="279"/>
      <c r="HLQ29" s="279"/>
      <c r="HLR29" s="279"/>
      <c r="HLS29" s="279"/>
      <c r="HLT29" s="279"/>
      <c r="HLU29" s="279"/>
      <c r="HLV29" s="279"/>
      <c r="HLW29" s="279"/>
      <c r="HLX29" s="279"/>
      <c r="HLY29" s="279"/>
      <c r="HLZ29" s="279"/>
      <c r="HMA29" s="279"/>
      <c r="HMB29" s="279"/>
      <c r="HMC29" s="279"/>
      <c r="HMD29" s="279"/>
      <c r="HME29" s="279"/>
      <c r="HMF29" s="279"/>
      <c r="HMG29" s="279"/>
      <c r="HMH29" s="279"/>
      <c r="HMI29" s="279"/>
      <c r="HMJ29" s="279"/>
      <c r="HMK29" s="279"/>
      <c r="HML29" s="279"/>
      <c r="HMM29" s="279"/>
      <c r="HMN29" s="279"/>
      <c r="HMO29" s="279"/>
      <c r="HMP29" s="279"/>
      <c r="HMQ29" s="279"/>
      <c r="HMR29" s="279"/>
      <c r="HMS29" s="279"/>
      <c r="HMT29" s="279"/>
      <c r="HMU29" s="279"/>
      <c r="HMV29" s="279"/>
      <c r="HMW29" s="279"/>
      <c r="HMX29" s="279"/>
      <c r="HMY29" s="279"/>
      <c r="HMZ29" s="279"/>
      <c r="HNA29" s="279"/>
      <c r="HNB29" s="279"/>
      <c r="HNC29" s="279"/>
      <c r="HND29" s="279"/>
      <c r="HNE29" s="279"/>
      <c r="HNF29" s="279"/>
      <c r="HNG29" s="279"/>
      <c r="HNH29" s="279"/>
      <c r="HNI29" s="279"/>
      <c r="HNJ29" s="279"/>
      <c r="HNK29" s="279"/>
      <c r="HNL29" s="279"/>
      <c r="HNM29" s="279"/>
      <c r="HNN29" s="279"/>
      <c r="HNO29" s="279"/>
      <c r="HNP29" s="279"/>
      <c r="HNQ29" s="279"/>
      <c r="HNR29" s="279"/>
      <c r="HNS29" s="279"/>
      <c r="HNT29" s="279"/>
      <c r="HNU29" s="279"/>
      <c r="HNV29" s="279"/>
      <c r="HNW29" s="279"/>
      <c r="HNX29" s="279"/>
      <c r="HNY29" s="279"/>
      <c r="HNZ29" s="279"/>
      <c r="HOA29" s="279"/>
      <c r="HOB29" s="279"/>
      <c r="HOC29" s="279"/>
      <c r="HOD29" s="279"/>
      <c r="HOE29" s="279"/>
      <c r="HOF29" s="279"/>
      <c r="HOG29" s="279"/>
      <c r="HOH29" s="279"/>
      <c r="HOI29" s="279"/>
      <c r="HOJ29" s="279"/>
      <c r="HOK29" s="279"/>
      <c r="HOL29" s="279"/>
      <c r="HOM29" s="279"/>
      <c r="HON29" s="279"/>
      <c r="HOO29" s="279"/>
      <c r="HOP29" s="279"/>
      <c r="HOQ29" s="279"/>
      <c r="HOR29" s="279"/>
      <c r="HOS29" s="279"/>
      <c r="HOT29" s="279"/>
      <c r="HOU29" s="279"/>
      <c r="HOV29" s="279"/>
      <c r="HOW29" s="279"/>
      <c r="HOX29" s="279"/>
      <c r="HOY29" s="279"/>
      <c r="HOZ29" s="279"/>
      <c r="HPA29" s="279"/>
      <c r="HPB29" s="279"/>
      <c r="HPC29" s="279"/>
      <c r="HPD29" s="279"/>
      <c r="HPE29" s="279"/>
      <c r="HPF29" s="279"/>
      <c r="HPG29" s="279"/>
      <c r="HPH29" s="279"/>
      <c r="HPI29" s="279"/>
      <c r="HPJ29" s="279"/>
      <c r="HPK29" s="279"/>
      <c r="HPL29" s="279"/>
      <c r="HPM29" s="279"/>
      <c r="HPN29" s="279"/>
      <c r="HPO29" s="279"/>
      <c r="HPP29" s="279"/>
      <c r="HPQ29" s="279"/>
      <c r="HPR29" s="279"/>
      <c r="HPS29" s="279"/>
      <c r="HPT29" s="279"/>
      <c r="HPU29" s="279"/>
      <c r="HPV29" s="279"/>
      <c r="HPW29" s="279"/>
      <c r="HPX29" s="279"/>
      <c r="HPY29" s="279"/>
      <c r="HPZ29" s="279"/>
      <c r="HQA29" s="279"/>
      <c r="HQB29" s="279"/>
      <c r="HQC29" s="279"/>
      <c r="HQD29" s="279"/>
      <c r="HQE29" s="279"/>
      <c r="HQF29" s="279"/>
      <c r="HQG29" s="279"/>
      <c r="HQH29" s="279"/>
      <c r="HQI29" s="279"/>
      <c r="HQJ29" s="279"/>
      <c r="HQK29" s="279"/>
      <c r="HQL29" s="279"/>
      <c r="HQM29" s="279"/>
      <c r="HQN29" s="279"/>
      <c r="HQO29" s="279"/>
      <c r="HQP29" s="279"/>
      <c r="HQQ29" s="279"/>
      <c r="HQR29" s="279"/>
      <c r="HQS29" s="279"/>
      <c r="HQT29" s="279"/>
      <c r="HQU29" s="279"/>
      <c r="HQV29" s="279"/>
      <c r="HQW29" s="279"/>
      <c r="HQX29" s="279"/>
      <c r="HQY29" s="279"/>
      <c r="HQZ29" s="279"/>
      <c r="HRA29" s="279"/>
      <c r="HRB29" s="279"/>
      <c r="HRC29" s="279"/>
      <c r="HRD29" s="279"/>
      <c r="HRE29" s="279"/>
      <c r="HRF29" s="279"/>
      <c r="HRG29" s="279"/>
      <c r="HRH29" s="279"/>
      <c r="HRI29" s="279"/>
      <c r="HRJ29" s="279"/>
      <c r="HRK29" s="279"/>
      <c r="HRL29" s="279"/>
      <c r="HRM29" s="279"/>
      <c r="HRN29" s="279"/>
      <c r="HRO29" s="279"/>
      <c r="HRP29" s="279"/>
      <c r="HRQ29" s="279"/>
      <c r="HRR29" s="279"/>
      <c r="HRS29" s="279"/>
      <c r="HRT29" s="279"/>
      <c r="HRU29" s="279"/>
      <c r="HRV29" s="279"/>
      <c r="HRW29" s="279"/>
      <c r="HRX29" s="279"/>
      <c r="HRY29" s="279"/>
      <c r="HRZ29" s="279"/>
      <c r="HSA29" s="279"/>
      <c r="HSB29" s="279"/>
      <c r="HSC29" s="279"/>
      <c r="HSD29" s="279"/>
      <c r="HSE29" s="279"/>
      <c r="HSF29" s="279"/>
      <c r="HSG29" s="279"/>
      <c r="HSH29" s="279"/>
      <c r="HSI29" s="279"/>
      <c r="HSJ29" s="279"/>
      <c r="HSK29" s="279"/>
      <c r="HSL29" s="279"/>
      <c r="HSM29" s="279"/>
      <c r="HSN29" s="279"/>
      <c r="HSO29" s="279"/>
      <c r="HSP29" s="279"/>
      <c r="HSQ29" s="279"/>
      <c r="HSR29" s="279"/>
      <c r="HSS29" s="279"/>
      <c r="HST29" s="279"/>
      <c r="HSU29" s="279"/>
      <c r="HSV29" s="279"/>
      <c r="HSW29" s="279"/>
      <c r="HSX29" s="279"/>
      <c r="HSY29" s="279"/>
      <c r="HSZ29" s="279"/>
      <c r="HTA29" s="279"/>
      <c r="HTB29" s="279"/>
      <c r="HTC29" s="279"/>
      <c r="HTD29" s="279"/>
      <c r="HTE29" s="279"/>
      <c r="HTF29" s="279"/>
      <c r="HTG29" s="279"/>
      <c r="HTH29" s="279"/>
      <c r="HTI29" s="279"/>
      <c r="HTJ29" s="279"/>
      <c r="HTK29" s="279"/>
      <c r="HTL29" s="279"/>
      <c r="HTM29" s="279"/>
      <c r="HTN29" s="279"/>
      <c r="HTO29" s="279"/>
      <c r="HTP29" s="279"/>
      <c r="HTQ29" s="279"/>
      <c r="HTR29" s="279"/>
      <c r="HTS29" s="279"/>
      <c r="HTT29" s="279"/>
      <c r="HTU29" s="279"/>
      <c r="HTV29" s="279"/>
      <c r="HTW29" s="279"/>
      <c r="HTX29" s="279"/>
      <c r="HTY29" s="279"/>
      <c r="HTZ29" s="279"/>
      <c r="HUA29" s="279"/>
      <c r="HUB29" s="279"/>
      <c r="HUC29" s="279"/>
      <c r="HUD29" s="279"/>
      <c r="HUE29" s="279"/>
      <c r="HUF29" s="279"/>
      <c r="HUG29" s="279"/>
      <c r="HUH29" s="279"/>
      <c r="HUI29" s="279"/>
      <c r="HUJ29" s="279"/>
      <c r="HUK29" s="279"/>
      <c r="HUL29" s="279"/>
      <c r="HUM29" s="279"/>
      <c r="HUN29" s="279"/>
      <c r="HUO29" s="279"/>
      <c r="HUP29" s="279"/>
      <c r="HUQ29" s="279"/>
      <c r="HUR29" s="279"/>
      <c r="HUS29" s="279"/>
      <c r="HUT29" s="279"/>
      <c r="HUU29" s="279"/>
      <c r="HUV29" s="279"/>
      <c r="HUW29" s="279"/>
      <c r="HUX29" s="279"/>
      <c r="HUY29" s="279"/>
      <c r="HUZ29" s="279"/>
      <c r="HVA29" s="279"/>
      <c r="HVB29" s="279"/>
      <c r="HVC29" s="279"/>
      <c r="HVD29" s="279"/>
      <c r="HVE29" s="279"/>
      <c r="HVF29" s="279"/>
      <c r="HVG29" s="279"/>
      <c r="HVH29" s="279"/>
      <c r="HVI29" s="279"/>
      <c r="HVJ29" s="279"/>
      <c r="HVK29" s="279"/>
      <c r="HVL29" s="279"/>
      <c r="HVM29" s="279"/>
      <c r="HVN29" s="279"/>
      <c r="HVO29" s="279"/>
      <c r="HVP29" s="279"/>
      <c r="HVQ29" s="279"/>
      <c r="HVR29" s="279"/>
      <c r="HVS29" s="279"/>
      <c r="HVT29" s="279"/>
      <c r="HVU29" s="279"/>
      <c r="HVV29" s="279"/>
      <c r="HVW29" s="279"/>
      <c r="HVX29" s="279"/>
      <c r="HVY29" s="279"/>
      <c r="HVZ29" s="279"/>
      <c r="HWA29" s="279"/>
      <c r="HWB29" s="279"/>
      <c r="HWC29" s="279"/>
      <c r="HWD29" s="279"/>
      <c r="HWE29" s="279"/>
      <c r="HWF29" s="279"/>
      <c r="HWG29" s="279"/>
      <c r="HWH29" s="279"/>
      <c r="HWI29" s="279"/>
      <c r="HWJ29" s="279"/>
      <c r="HWK29" s="279"/>
      <c r="HWL29" s="279"/>
      <c r="HWM29" s="279"/>
      <c r="HWN29" s="279"/>
      <c r="HWO29" s="279"/>
      <c r="HWP29" s="279"/>
      <c r="HWQ29" s="279"/>
      <c r="HWR29" s="279"/>
      <c r="HWS29" s="279"/>
      <c r="HWT29" s="279"/>
      <c r="HWU29" s="279"/>
      <c r="HWV29" s="279"/>
      <c r="HWW29" s="279"/>
      <c r="HWX29" s="279"/>
      <c r="HWY29" s="279"/>
      <c r="HWZ29" s="279"/>
      <c r="HXA29" s="279"/>
      <c r="HXB29" s="279"/>
      <c r="HXC29" s="279"/>
      <c r="HXD29" s="279"/>
      <c r="HXE29" s="279"/>
      <c r="HXF29" s="279"/>
      <c r="HXG29" s="279"/>
      <c r="HXH29" s="279"/>
      <c r="HXI29" s="279"/>
      <c r="HXJ29" s="279"/>
      <c r="HXK29" s="279"/>
      <c r="HXL29" s="279"/>
      <c r="HXM29" s="279"/>
      <c r="HXN29" s="279"/>
      <c r="HXO29" s="279"/>
      <c r="HXP29" s="279"/>
      <c r="HXQ29" s="279"/>
      <c r="HXR29" s="279"/>
      <c r="HXS29" s="279"/>
      <c r="HXT29" s="279"/>
      <c r="HXU29" s="279"/>
      <c r="HXV29" s="279"/>
      <c r="HXW29" s="279"/>
      <c r="HXX29" s="279"/>
      <c r="HXY29" s="279"/>
      <c r="HXZ29" s="279"/>
      <c r="HYA29" s="279"/>
      <c r="HYB29" s="279"/>
      <c r="HYC29" s="279"/>
      <c r="HYD29" s="279"/>
      <c r="HYE29" s="279"/>
      <c r="HYF29" s="279"/>
      <c r="HYG29" s="279"/>
      <c r="HYH29" s="279"/>
      <c r="HYI29" s="279"/>
      <c r="HYJ29" s="279"/>
      <c r="HYK29" s="279"/>
      <c r="HYL29" s="279"/>
      <c r="HYM29" s="279"/>
      <c r="HYN29" s="279"/>
      <c r="HYO29" s="279"/>
      <c r="HYP29" s="279"/>
      <c r="HYQ29" s="279"/>
      <c r="HYR29" s="279"/>
      <c r="HYS29" s="279"/>
      <c r="HYT29" s="279"/>
      <c r="HYU29" s="279"/>
      <c r="HYV29" s="279"/>
      <c r="HYW29" s="279"/>
      <c r="HYX29" s="279"/>
      <c r="HYY29" s="279"/>
      <c r="HYZ29" s="279"/>
      <c r="HZA29" s="279"/>
      <c r="HZB29" s="279"/>
      <c r="HZC29" s="279"/>
      <c r="HZD29" s="279"/>
      <c r="HZE29" s="279"/>
      <c r="HZF29" s="279"/>
      <c r="HZG29" s="279"/>
      <c r="HZH29" s="279"/>
      <c r="HZI29" s="279"/>
      <c r="HZJ29" s="279"/>
      <c r="HZK29" s="279"/>
      <c r="HZL29" s="279"/>
      <c r="HZM29" s="279"/>
      <c r="HZN29" s="279"/>
      <c r="HZO29" s="279"/>
      <c r="HZP29" s="279"/>
      <c r="HZQ29" s="279"/>
      <c r="HZR29" s="279"/>
      <c r="HZS29" s="279"/>
      <c r="HZT29" s="279"/>
      <c r="HZU29" s="279"/>
      <c r="HZV29" s="279"/>
      <c r="HZW29" s="279"/>
      <c r="HZX29" s="279"/>
      <c r="HZY29" s="279"/>
      <c r="HZZ29" s="279"/>
      <c r="IAA29" s="279"/>
      <c r="IAB29" s="279"/>
      <c r="IAC29" s="279"/>
      <c r="IAD29" s="279"/>
      <c r="IAE29" s="279"/>
      <c r="IAF29" s="279"/>
      <c r="IAG29" s="279"/>
      <c r="IAH29" s="279"/>
      <c r="IAI29" s="279"/>
      <c r="IAJ29" s="279"/>
      <c r="IAK29" s="279"/>
      <c r="IAL29" s="279"/>
      <c r="IAM29" s="279"/>
      <c r="IAN29" s="279"/>
      <c r="IAO29" s="279"/>
      <c r="IAP29" s="279"/>
      <c r="IAQ29" s="279"/>
      <c r="IAR29" s="279"/>
      <c r="IAS29" s="279"/>
      <c r="IAT29" s="279"/>
      <c r="IAU29" s="279"/>
      <c r="IAV29" s="279"/>
      <c r="IAW29" s="279"/>
      <c r="IAX29" s="279"/>
      <c r="IAY29" s="279"/>
      <c r="IAZ29" s="279"/>
      <c r="IBA29" s="279"/>
      <c r="IBB29" s="279"/>
      <c r="IBC29" s="279"/>
      <c r="IBD29" s="279"/>
      <c r="IBE29" s="279"/>
      <c r="IBF29" s="279"/>
      <c r="IBG29" s="279"/>
      <c r="IBH29" s="279"/>
      <c r="IBI29" s="279"/>
      <c r="IBJ29" s="279"/>
      <c r="IBK29" s="279"/>
      <c r="IBL29" s="279"/>
      <c r="IBM29" s="279"/>
      <c r="IBN29" s="279"/>
      <c r="IBO29" s="279"/>
      <c r="IBP29" s="279"/>
      <c r="IBQ29" s="279"/>
      <c r="IBR29" s="279"/>
      <c r="IBS29" s="279"/>
      <c r="IBT29" s="279"/>
      <c r="IBU29" s="279"/>
      <c r="IBV29" s="279"/>
      <c r="IBW29" s="279"/>
      <c r="IBX29" s="279"/>
      <c r="IBY29" s="279"/>
      <c r="IBZ29" s="279"/>
      <c r="ICA29" s="279"/>
      <c r="ICB29" s="279"/>
      <c r="ICC29" s="279"/>
      <c r="ICD29" s="279"/>
      <c r="ICE29" s="279"/>
      <c r="ICF29" s="279"/>
      <c r="ICG29" s="279"/>
      <c r="ICH29" s="279"/>
      <c r="ICI29" s="279"/>
      <c r="ICJ29" s="279"/>
      <c r="ICK29" s="279"/>
      <c r="ICL29" s="279"/>
      <c r="ICM29" s="279"/>
      <c r="ICN29" s="279"/>
      <c r="ICO29" s="279"/>
      <c r="ICP29" s="279"/>
      <c r="ICQ29" s="279"/>
      <c r="ICR29" s="279"/>
      <c r="ICS29" s="279"/>
      <c r="ICT29" s="279"/>
      <c r="ICU29" s="279"/>
      <c r="ICV29" s="279"/>
      <c r="ICW29" s="279"/>
      <c r="ICX29" s="279"/>
      <c r="ICY29" s="279"/>
      <c r="ICZ29" s="279"/>
      <c r="IDA29" s="279"/>
      <c r="IDB29" s="279"/>
      <c r="IDC29" s="279"/>
      <c r="IDD29" s="279"/>
      <c r="IDE29" s="279"/>
      <c r="IDF29" s="279"/>
      <c r="IDG29" s="279"/>
      <c r="IDH29" s="279"/>
      <c r="IDI29" s="279"/>
      <c r="IDJ29" s="279"/>
      <c r="IDK29" s="279"/>
      <c r="IDL29" s="279"/>
      <c r="IDM29" s="279"/>
      <c r="IDN29" s="279"/>
      <c r="IDO29" s="279"/>
      <c r="IDP29" s="279"/>
      <c r="IDQ29" s="279"/>
      <c r="IDR29" s="279"/>
      <c r="IDS29" s="279"/>
      <c r="IDT29" s="279"/>
      <c r="IDU29" s="279"/>
      <c r="IDV29" s="279"/>
      <c r="IDW29" s="279"/>
      <c r="IDX29" s="279"/>
      <c r="IDY29" s="279"/>
      <c r="IDZ29" s="279"/>
      <c r="IEA29" s="279"/>
      <c r="IEB29" s="279"/>
      <c r="IEC29" s="279"/>
      <c r="IED29" s="279"/>
      <c r="IEE29" s="279"/>
      <c r="IEF29" s="279"/>
      <c r="IEG29" s="279"/>
      <c r="IEH29" s="279"/>
      <c r="IEI29" s="279"/>
      <c r="IEJ29" s="279"/>
      <c r="IEK29" s="279"/>
      <c r="IEL29" s="279"/>
      <c r="IEM29" s="279"/>
      <c r="IEN29" s="279"/>
      <c r="IEO29" s="279"/>
      <c r="IEP29" s="279"/>
      <c r="IEQ29" s="279"/>
      <c r="IER29" s="279"/>
      <c r="IES29" s="279"/>
      <c r="IET29" s="279"/>
      <c r="IEU29" s="279"/>
      <c r="IEV29" s="279"/>
      <c r="IEW29" s="279"/>
      <c r="IEX29" s="279"/>
      <c r="IEY29" s="279"/>
      <c r="IEZ29" s="279"/>
      <c r="IFA29" s="279"/>
      <c r="IFB29" s="279"/>
      <c r="IFC29" s="279"/>
      <c r="IFD29" s="279"/>
      <c r="IFE29" s="279"/>
      <c r="IFF29" s="279"/>
      <c r="IFG29" s="279"/>
      <c r="IFH29" s="279"/>
      <c r="IFI29" s="279"/>
      <c r="IFJ29" s="279"/>
      <c r="IFK29" s="279"/>
      <c r="IFL29" s="279"/>
      <c r="IFM29" s="279"/>
      <c r="IFN29" s="279"/>
      <c r="IFO29" s="279"/>
      <c r="IFP29" s="279"/>
      <c r="IFQ29" s="279"/>
      <c r="IFR29" s="279"/>
      <c r="IFS29" s="279"/>
      <c r="IFT29" s="279"/>
      <c r="IFU29" s="279"/>
      <c r="IFV29" s="279"/>
      <c r="IFW29" s="279"/>
      <c r="IFX29" s="279"/>
      <c r="IFY29" s="279"/>
      <c r="IFZ29" s="279"/>
      <c r="IGA29" s="279"/>
      <c r="IGB29" s="279"/>
      <c r="IGC29" s="279"/>
      <c r="IGD29" s="279"/>
      <c r="IGE29" s="279"/>
      <c r="IGF29" s="279"/>
      <c r="IGG29" s="279"/>
      <c r="IGH29" s="279"/>
      <c r="IGI29" s="279"/>
      <c r="IGJ29" s="279"/>
      <c r="IGK29" s="279"/>
      <c r="IGL29" s="279"/>
      <c r="IGM29" s="279"/>
      <c r="IGN29" s="279"/>
      <c r="IGO29" s="279"/>
      <c r="IGP29" s="279"/>
      <c r="IGQ29" s="279"/>
      <c r="IGR29" s="279"/>
      <c r="IGS29" s="279"/>
      <c r="IGT29" s="279"/>
      <c r="IGU29" s="279"/>
      <c r="IGV29" s="279"/>
      <c r="IGW29" s="279"/>
      <c r="IGX29" s="279"/>
      <c r="IGY29" s="279"/>
      <c r="IGZ29" s="279"/>
      <c r="IHA29" s="279"/>
      <c r="IHB29" s="279"/>
      <c r="IHC29" s="279"/>
      <c r="IHD29" s="279"/>
      <c r="IHE29" s="279"/>
      <c r="IHF29" s="279"/>
      <c r="IHG29" s="279"/>
      <c r="IHH29" s="279"/>
      <c r="IHI29" s="279"/>
      <c r="IHJ29" s="279"/>
      <c r="IHK29" s="279"/>
      <c r="IHL29" s="279"/>
      <c r="IHM29" s="279"/>
      <c r="IHN29" s="279"/>
      <c r="IHO29" s="279"/>
      <c r="IHP29" s="279"/>
      <c r="IHQ29" s="279"/>
      <c r="IHR29" s="279"/>
      <c r="IHS29" s="279"/>
      <c r="IHT29" s="279"/>
      <c r="IHU29" s="279"/>
      <c r="IHV29" s="279"/>
      <c r="IHW29" s="279"/>
      <c r="IHX29" s="279"/>
      <c r="IHY29" s="279"/>
      <c r="IHZ29" s="279"/>
      <c r="IIA29" s="279"/>
      <c r="IIB29" s="279"/>
      <c r="IIC29" s="279"/>
      <c r="IID29" s="279"/>
      <c r="IIE29" s="279"/>
      <c r="IIF29" s="279"/>
      <c r="IIG29" s="279"/>
      <c r="IIH29" s="279"/>
      <c r="III29" s="279"/>
      <c r="IIJ29" s="279"/>
      <c r="IIK29" s="279"/>
      <c r="IIL29" s="279"/>
      <c r="IIM29" s="279"/>
      <c r="IIN29" s="279"/>
      <c r="IIO29" s="279"/>
      <c r="IIP29" s="279"/>
      <c r="IIQ29" s="279"/>
      <c r="IIR29" s="279"/>
      <c r="IIS29" s="279"/>
      <c r="IIT29" s="279"/>
      <c r="IIU29" s="279"/>
      <c r="IIV29" s="279"/>
      <c r="IIW29" s="279"/>
      <c r="IIX29" s="279"/>
      <c r="IIY29" s="279"/>
      <c r="IIZ29" s="279"/>
      <c r="IJA29" s="279"/>
      <c r="IJB29" s="279"/>
      <c r="IJC29" s="279"/>
      <c r="IJD29" s="279"/>
      <c r="IJE29" s="279"/>
      <c r="IJF29" s="279"/>
      <c r="IJG29" s="279"/>
      <c r="IJH29" s="279"/>
      <c r="IJI29" s="279"/>
      <c r="IJJ29" s="279"/>
      <c r="IJK29" s="279"/>
      <c r="IJL29" s="279"/>
      <c r="IJM29" s="279"/>
      <c r="IJN29" s="279"/>
      <c r="IJO29" s="279"/>
      <c r="IJP29" s="279"/>
      <c r="IJQ29" s="279"/>
      <c r="IJR29" s="279"/>
      <c r="IJS29" s="279"/>
      <c r="IJT29" s="279"/>
      <c r="IJU29" s="279"/>
      <c r="IJV29" s="279"/>
      <c r="IJW29" s="279"/>
      <c r="IJX29" s="279"/>
      <c r="IJY29" s="279"/>
      <c r="IJZ29" s="279"/>
      <c r="IKA29" s="279"/>
      <c r="IKB29" s="279"/>
      <c r="IKC29" s="279"/>
      <c r="IKD29" s="279"/>
      <c r="IKE29" s="279"/>
      <c r="IKF29" s="279"/>
      <c r="IKG29" s="279"/>
      <c r="IKH29" s="279"/>
      <c r="IKI29" s="279"/>
      <c r="IKJ29" s="279"/>
      <c r="IKK29" s="279"/>
      <c r="IKL29" s="279"/>
      <c r="IKM29" s="279"/>
      <c r="IKN29" s="279"/>
      <c r="IKO29" s="279"/>
      <c r="IKP29" s="279"/>
      <c r="IKQ29" s="279"/>
      <c r="IKR29" s="279"/>
      <c r="IKS29" s="279"/>
      <c r="IKT29" s="279"/>
      <c r="IKU29" s="279"/>
      <c r="IKV29" s="279"/>
      <c r="IKW29" s="279"/>
      <c r="IKX29" s="279"/>
      <c r="IKY29" s="279"/>
      <c r="IKZ29" s="279"/>
      <c r="ILA29" s="279"/>
      <c r="ILB29" s="279"/>
      <c r="ILC29" s="279"/>
      <c r="ILD29" s="279"/>
      <c r="ILE29" s="279"/>
      <c r="ILF29" s="279"/>
      <c r="ILG29" s="279"/>
      <c r="ILH29" s="279"/>
      <c r="ILI29" s="279"/>
      <c r="ILJ29" s="279"/>
      <c r="ILK29" s="279"/>
      <c r="ILL29" s="279"/>
      <c r="ILM29" s="279"/>
      <c r="ILN29" s="279"/>
      <c r="ILO29" s="279"/>
      <c r="ILP29" s="279"/>
      <c r="ILQ29" s="279"/>
      <c r="ILR29" s="279"/>
      <c r="ILS29" s="279"/>
      <c r="ILT29" s="279"/>
      <c r="ILU29" s="279"/>
      <c r="ILV29" s="279"/>
      <c r="ILW29" s="279"/>
      <c r="ILX29" s="279"/>
      <c r="ILY29" s="279"/>
      <c r="ILZ29" s="279"/>
      <c r="IMA29" s="279"/>
      <c r="IMB29" s="279"/>
      <c r="IMC29" s="279"/>
      <c r="IMD29" s="279"/>
      <c r="IME29" s="279"/>
      <c r="IMF29" s="279"/>
      <c r="IMG29" s="279"/>
      <c r="IMH29" s="279"/>
      <c r="IMI29" s="279"/>
      <c r="IMJ29" s="279"/>
      <c r="IMK29" s="279"/>
      <c r="IML29" s="279"/>
      <c r="IMM29" s="279"/>
      <c r="IMN29" s="279"/>
      <c r="IMO29" s="279"/>
      <c r="IMP29" s="279"/>
      <c r="IMQ29" s="279"/>
      <c r="IMR29" s="279"/>
      <c r="IMS29" s="279"/>
      <c r="IMT29" s="279"/>
      <c r="IMU29" s="279"/>
      <c r="IMV29" s="279"/>
      <c r="IMW29" s="279"/>
      <c r="IMX29" s="279"/>
      <c r="IMY29" s="279"/>
      <c r="IMZ29" s="279"/>
      <c r="INA29" s="279"/>
      <c r="INB29" s="279"/>
      <c r="INC29" s="279"/>
      <c r="IND29" s="279"/>
      <c r="INE29" s="279"/>
      <c r="INF29" s="279"/>
      <c r="ING29" s="279"/>
      <c r="INH29" s="279"/>
      <c r="INI29" s="279"/>
      <c r="INJ29" s="279"/>
      <c r="INK29" s="279"/>
      <c r="INL29" s="279"/>
      <c r="INM29" s="279"/>
      <c r="INN29" s="279"/>
      <c r="INO29" s="279"/>
      <c r="INP29" s="279"/>
      <c r="INQ29" s="279"/>
      <c r="INR29" s="279"/>
      <c r="INS29" s="279"/>
      <c r="INT29" s="279"/>
      <c r="INU29" s="279"/>
      <c r="INV29" s="279"/>
      <c r="INW29" s="279"/>
      <c r="INX29" s="279"/>
      <c r="INY29" s="279"/>
      <c r="INZ29" s="279"/>
      <c r="IOA29" s="279"/>
      <c r="IOB29" s="279"/>
      <c r="IOC29" s="279"/>
      <c r="IOD29" s="279"/>
      <c r="IOE29" s="279"/>
      <c r="IOF29" s="279"/>
      <c r="IOG29" s="279"/>
      <c r="IOH29" s="279"/>
      <c r="IOI29" s="279"/>
      <c r="IOJ29" s="279"/>
      <c r="IOK29" s="279"/>
      <c r="IOL29" s="279"/>
      <c r="IOM29" s="279"/>
      <c r="ION29" s="279"/>
      <c r="IOO29" s="279"/>
      <c r="IOP29" s="279"/>
      <c r="IOQ29" s="279"/>
      <c r="IOR29" s="279"/>
      <c r="IOS29" s="279"/>
      <c r="IOT29" s="279"/>
      <c r="IOU29" s="279"/>
      <c r="IOV29" s="279"/>
      <c r="IOW29" s="279"/>
      <c r="IOX29" s="279"/>
      <c r="IOY29" s="279"/>
      <c r="IOZ29" s="279"/>
      <c r="IPA29" s="279"/>
      <c r="IPB29" s="279"/>
      <c r="IPC29" s="279"/>
      <c r="IPD29" s="279"/>
      <c r="IPE29" s="279"/>
      <c r="IPF29" s="279"/>
      <c r="IPG29" s="279"/>
      <c r="IPH29" s="279"/>
      <c r="IPI29" s="279"/>
      <c r="IPJ29" s="279"/>
      <c r="IPK29" s="279"/>
      <c r="IPL29" s="279"/>
      <c r="IPM29" s="279"/>
      <c r="IPN29" s="279"/>
      <c r="IPO29" s="279"/>
      <c r="IPP29" s="279"/>
      <c r="IPQ29" s="279"/>
      <c r="IPR29" s="279"/>
      <c r="IPS29" s="279"/>
      <c r="IPT29" s="279"/>
      <c r="IPU29" s="279"/>
      <c r="IPV29" s="279"/>
      <c r="IPW29" s="279"/>
      <c r="IPX29" s="279"/>
      <c r="IPY29" s="279"/>
      <c r="IPZ29" s="279"/>
      <c r="IQA29" s="279"/>
      <c r="IQB29" s="279"/>
      <c r="IQC29" s="279"/>
      <c r="IQD29" s="279"/>
      <c r="IQE29" s="279"/>
      <c r="IQF29" s="279"/>
      <c r="IQG29" s="279"/>
      <c r="IQH29" s="279"/>
      <c r="IQI29" s="279"/>
      <c r="IQJ29" s="279"/>
      <c r="IQK29" s="279"/>
      <c r="IQL29" s="279"/>
      <c r="IQM29" s="279"/>
      <c r="IQN29" s="279"/>
      <c r="IQO29" s="279"/>
      <c r="IQP29" s="279"/>
      <c r="IQQ29" s="279"/>
      <c r="IQR29" s="279"/>
      <c r="IQS29" s="279"/>
      <c r="IQT29" s="279"/>
      <c r="IQU29" s="279"/>
      <c r="IQV29" s="279"/>
      <c r="IQW29" s="279"/>
      <c r="IQX29" s="279"/>
      <c r="IQY29" s="279"/>
      <c r="IQZ29" s="279"/>
      <c r="IRA29" s="279"/>
      <c r="IRB29" s="279"/>
      <c r="IRC29" s="279"/>
      <c r="IRD29" s="279"/>
      <c r="IRE29" s="279"/>
      <c r="IRF29" s="279"/>
      <c r="IRG29" s="279"/>
      <c r="IRH29" s="279"/>
      <c r="IRI29" s="279"/>
      <c r="IRJ29" s="279"/>
      <c r="IRK29" s="279"/>
      <c r="IRL29" s="279"/>
      <c r="IRM29" s="279"/>
      <c r="IRN29" s="279"/>
      <c r="IRO29" s="279"/>
      <c r="IRP29" s="279"/>
      <c r="IRQ29" s="279"/>
      <c r="IRR29" s="279"/>
      <c r="IRS29" s="279"/>
      <c r="IRT29" s="279"/>
      <c r="IRU29" s="279"/>
      <c r="IRV29" s="279"/>
      <c r="IRW29" s="279"/>
      <c r="IRX29" s="279"/>
      <c r="IRY29" s="279"/>
      <c r="IRZ29" s="279"/>
      <c r="ISA29" s="279"/>
      <c r="ISB29" s="279"/>
      <c r="ISC29" s="279"/>
      <c r="ISD29" s="279"/>
      <c r="ISE29" s="279"/>
      <c r="ISF29" s="279"/>
      <c r="ISG29" s="279"/>
      <c r="ISH29" s="279"/>
      <c r="ISI29" s="279"/>
      <c r="ISJ29" s="279"/>
      <c r="ISK29" s="279"/>
      <c r="ISL29" s="279"/>
      <c r="ISM29" s="279"/>
      <c r="ISN29" s="279"/>
      <c r="ISO29" s="279"/>
      <c r="ISP29" s="279"/>
      <c r="ISQ29" s="279"/>
      <c r="ISR29" s="279"/>
      <c r="ISS29" s="279"/>
      <c r="IST29" s="279"/>
      <c r="ISU29" s="279"/>
      <c r="ISV29" s="279"/>
      <c r="ISW29" s="279"/>
      <c r="ISX29" s="279"/>
      <c r="ISY29" s="279"/>
      <c r="ISZ29" s="279"/>
      <c r="ITA29" s="279"/>
      <c r="ITB29" s="279"/>
      <c r="ITC29" s="279"/>
      <c r="ITD29" s="279"/>
      <c r="ITE29" s="279"/>
      <c r="ITF29" s="279"/>
      <c r="ITG29" s="279"/>
      <c r="ITH29" s="279"/>
      <c r="ITI29" s="279"/>
      <c r="ITJ29" s="279"/>
      <c r="ITK29" s="279"/>
      <c r="ITL29" s="279"/>
      <c r="ITM29" s="279"/>
      <c r="ITN29" s="279"/>
      <c r="ITO29" s="279"/>
      <c r="ITP29" s="279"/>
      <c r="ITQ29" s="279"/>
      <c r="ITR29" s="279"/>
      <c r="ITS29" s="279"/>
      <c r="ITT29" s="279"/>
      <c r="ITU29" s="279"/>
      <c r="ITV29" s="279"/>
      <c r="ITW29" s="279"/>
      <c r="ITX29" s="279"/>
      <c r="ITY29" s="279"/>
      <c r="ITZ29" s="279"/>
      <c r="IUA29" s="279"/>
      <c r="IUB29" s="279"/>
      <c r="IUC29" s="279"/>
      <c r="IUD29" s="279"/>
      <c r="IUE29" s="279"/>
      <c r="IUF29" s="279"/>
      <c r="IUG29" s="279"/>
      <c r="IUH29" s="279"/>
      <c r="IUI29" s="279"/>
      <c r="IUJ29" s="279"/>
      <c r="IUK29" s="279"/>
      <c r="IUL29" s="279"/>
      <c r="IUM29" s="279"/>
      <c r="IUN29" s="279"/>
      <c r="IUO29" s="279"/>
      <c r="IUP29" s="279"/>
      <c r="IUQ29" s="279"/>
      <c r="IUR29" s="279"/>
      <c r="IUS29" s="279"/>
      <c r="IUT29" s="279"/>
      <c r="IUU29" s="279"/>
      <c r="IUV29" s="279"/>
      <c r="IUW29" s="279"/>
      <c r="IUX29" s="279"/>
      <c r="IUY29" s="279"/>
      <c r="IUZ29" s="279"/>
      <c r="IVA29" s="279"/>
      <c r="IVB29" s="279"/>
      <c r="IVC29" s="279"/>
      <c r="IVD29" s="279"/>
      <c r="IVE29" s="279"/>
      <c r="IVF29" s="279"/>
      <c r="IVG29" s="279"/>
      <c r="IVH29" s="279"/>
      <c r="IVI29" s="279"/>
      <c r="IVJ29" s="279"/>
      <c r="IVK29" s="279"/>
      <c r="IVL29" s="279"/>
      <c r="IVM29" s="279"/>
      <c r="IVN29" s="279"/>
      <c r="IVO29" s="279"/>
      <c r="IVP29" s="279"/>
      <c r="IVQ29" s="279"/>
      <c r="IVR29" s="279"/>
      <c r="IVS29" s="279"/>
      <c r="IVT29" s="279"/>
      <c r="IVU29" s="279"/>
      <c r="IVV29" s="279"/>
      <c r="IVW29" s="279"/>
      <c r="IVX29" s="279"/>
      <c r="IVY29" s="279"/>
      <c r="IVZ29" s="279"/>
      <c r="IWA29" s="279"/>
      <c r="IWB29" s="279"/>
      <c r="IWC29" s="279"/>
      <c r="IWD29" s="279"/>
      <c r="IWE29" s="279"/>
      <c r="IWF29" s="279"/>
      <c r="IWG29" s="279"/>
      <c r="IWH29" s="279"/>
      <c r="IWI29" s="279"/>
      <c r="IWJ29" s="279"/>
      <c r="IWK29" s="279"/>
      <c r="IWL29" s="279"/>
      <c r="IWM29" s="279"/>
      <c r="IWN29" s="279"/>
      <c r="IWO29" s="279"/>
      <c r="IWP29" s="279"/>
      <c r="IWQ29" s="279"/>
      <c r="IWR29" s="279"/>
      <c r="IWS29" s="279"/>
      <c r="IWT29" s="279"/>
      <c r="IWU29" s="279"/>
      <c r="IWV29" s="279"/>
      <c r="IWW29" s="279"/>
      <c r="IWX29" s="279"/>
      <c r="IWY29" s="279"/>
      <c r="IWZ29" s="279"/>
      <c r="IXA29" s="279"/>
      <c r="IXB29" s="279"/>
      <c r="IXC29" s="279"/>
      <c r="IXD29" s="279"/>
      <c r="IXE29" s="279"/>
      <c r="IXF29" s="279"/>
      <c r="IXG29" s="279"/>
      <c r="IXH29" s="279"/>
      <c r="IXI29" s="279"/>
      <c r="IXJ29" s="279"/>
      <c r="IXK29" s="279"/>
      <c r="IXL29" s="279"/>
      <c r="IXM29" s="279"/>
      <c r="IXN29" s="279"/>
      <c r="IXO29" s="279"/>
      <c r="IXP29" s="279"/>
      <c r="IXQ29" s="279"/>
      <c r="IXR29" s="279"/>
      <c r="IXS29" s="279"/>
      <c r="IXT29" s="279"/>
      <c r="IXU29" s="279"/>
      <c r="IXV29" s="279"/>
      <c r="IXW29" s="279"/>
      <c r="IXX29" s="279"/>
      <c r="IXY29" s="279"/>
      <c r="IXZ29" s="279"/>
      <c r="IYA29" s="279"/>
      <c r="IYB29" s="279"/>
      <c r="IYC29" s="279"/>
      <c r="IYD29" s="279"/>
      <c r="IYE29" s="279"/>
      <c r="IYF29" s="279"/>
      <c r="IYG29" s="279"/>
      <c r="IYH29" s="279"/>
      <c r="IYI29" s="279"/>
      <c r="IYJ29" s="279"/>
      <c r="IYK29" s="279"/>
      <c r="IYL29" s="279"/>
      <c r="IYM29" s="279"/>
      <c r="IYN29" s="279"/>
      <c r="IYO29" s="279"/>
      <c r="IYP29" s="279"/>
      <c r="IYQ29" s="279"/>
      <c r="IYR29" s="279"/>
      <c r="IYS29" s="279"/>
      <c r="IYT29" s="279"/>
      <c r="IYU29" s="279"/>
      <c r="IYV29" s="279"/>
      <c r="IYW29" s="279"/>
      <c r="IYX29" s="279"/>
      <c r="IYY29" s="279"/>
      <c r="IYZ29" s="279"/>
      <c r="IZA29" s="279"/>
      <c r="IZB29" s="279"/>
      <c r="IZC29" s="279"/>
      <c r="IZD29" s="279"/>
      <c r="IZE29" s="279"/>
      <c r="IZF29" s="279"/>
      <c r="IZG29" s="279"/>
      <c r="IZH29" s="279"/>
      <c r="IZI29" s="279"/>
      <c r="IZJ29" s="279"/>
      <c r="IZK29" s="279"/>
      <c r="IZL29" s="279"/>
      <c r="IZM29" s="279"/>
      <c r="IZN29" s="279"/>
      <c r="IZO29" s="279"/>
      <c r="IZP29" s="279"/>
      <c r="IZQ29" s="279"/>
      <c r="IZR29" s="279"/>
      <c r="IZS29" s="279"/>
      <c r="IZT29" s="279"/>
      <c r="IZU29" s="279"/>
      <c r="IZV29" s="279"/>
      <c r="IZW29" s="279"/>
      <c r="IZX29" s="279"/>
      <c r="IZY29" s="279"/>
      <c r="IZZ29" s="279"/>
      <c r="JAA29" s="279"/>
      <c r="JAB29" s="279"/>
      <c r="JAC29" s="279"/>
      <c r="JAD29" s="279"/>
      <c r="JAE29" s="279"/>
      <c r="JAF29" s="279"/>
      <c r="JAG29" s="279"/>
      <c r="JAH29" s="279"/>
      <c r="JAI29" s="279"/>
      <c r="JAJ29" s="279"/>
      <c r="JAK29" s="279"/>
      <c r="JAL29" s="279"/>
      <c r="JAM29" s="279"/>
      <c r="JAN29" s="279"/>
      <c r="JAO29" s="279"/>
      <c r="JAP29" s="279"/>
      <c r="JAQ29" s="279"/>
      <c r="JAR29" s="279"/>
      <c r="JAS29" s="279"/>
      <c r="JAT29" s="279"/>
      <c r="JAU29" s="279"/>
      <c r="JAV29" s="279"/>
      <c r="JAW29" s="279"/>
      <c r="JAX29" s="279"/>
      <c r="JAY29" s="279"/>
      <c r="JAZ29" s="279"/>
      <c r="JBA29" s="279"/>
      <c r="JBB29" s="279"/>
      <c r="JBC29" s="279"/>
      <c r="JBD29" s="279"/>
      <c r="JBE29" s="279"/>
      <c r="JBF29" s="279"/>
      <c r="JBG29" s="279"/>
      <c r="JBH29" s="279"/>
      <c r="JBI29" s="279"/>
      <c r="JBJ29" s="279"/>
      <c r="JBK29" s="279"/>
      <c r="JBL29" s="279"/>
      <c r="JBM29" s="279"/>
      <c r="JBN29" s="279"/>
      <c r="JBO29" s="279"/>
      <c r="JBP29" s="279"/>
      <c r="JBQ29" s="279"/>
      <c r="JBR29" s="279"/>
      <c r="JBS29" s="279"/>
      <c r="JBT29" s="279"/>
      <c r="JBU29" s="279"/>
      <c r="JBV29" s="279"/>
      <c r="JBW29" s="279"/>
      <c r="JBX29" s="279"/>
      <c r="JBY29" s="279"/>
      <c r="JBZ29" s="279"/>
      <c r="JCA29" s="279"/>
      <c r="JCB29" s="279"/>
      <c r="JCC29" s="279"/>
      <c r="JCD29" s="279"/>
      <c r="JCE29" s="279"/>
      <c r="JCF29" s="279"/>
      <c r="JCG29" s="279"/>
      <c r="JCH29" s="279"/>
      <c r="JCI29" s="279"/>
      <c r="JCJ29" s="279"/>
      <c r="JCK29" s="279"/>
      <c r="JCL29" s="279"/>
      <c r="JCM29" s="279"/>
      <c r="JCN29" s="279"/>
      <c r="JCO29" s="279"/>
      <c r="JCP29" s="279"/>
      <c r="JCQ29" s="279"/>
      <c r="JCR29" s="279"/>
      <c r="JCS29" s="279"/>
      <c r="JCT29" s="279"/>
      <c r="JCU29" s="279"/>
      <c r="JCV29" s="279"/>
      <c r="JCW29" s="279"/>
      <c r="JCX29" s="279"/>
      <c r="JCY29" s="279"/>
      <c r="JCZ29" s="279"/>
      <c r="JDA29" s="279"/>
      <c r="JDB29" s="279"/>
      <c r="JDC29" s="279"/>
      <c r="JDD29" s="279"/>
      <c r="JDE29" s="279"/>
      <c r="JDF29" s="279"/>
      <c r="JDG29" s="279"/>
      <c r="JDH29" s="279"/>
      <c r="JDI29" s="279"/>
      <c r="JDJ29" s="279"/>
      <c r="JDK29" s="279"/>
      <c r="JDL29" s="279"/>
      <c r="JDM29" s="279"/>
      <c r="JDN29" s="279"/>
      <c r="JDO29" s="279"/>
      <c r="JDP29" s="279"/>
      <c r="JDQ29" s="279"/>
      <c r="JDR29" s="279"/>
      <c r="JDS29" s="279"/>
      <c r="JDT29" s="279"/>
      <c r="JDU29" s="279"/>
      <c r="JDV29" s="279"/>
      <c r="JDW29" s="279"/>
      <c r="JDX29" s="279"/>
      <c r="JDY29" s="279"/>
      <c r="JDZ29" s="279"/>
      <c r="JEA29" s="279"/>
      <c r="JEB29" s="279"/>
      <c r="JEC29" s="279"/>
      <c r="JED29" s="279"/>
      <c r="JEE29" s="279"/>
      <c r="JEF29" s="279"/>
      <c r="JEG29" s="279"/>
      <c r="JEH29" s="279"/>
      <c r="JEI29" s="279"/>
      <c r="JEJ29" s="279"/>
      <c r="JEK29" s="279"/>
      <c r="JEL29" s="279"/>
      <c r="JEM29" s="279"/>
      <c r="JEN29" s="279"/>
      <c r="JEO29" s="279"/>
      <c r="JEP29" s="279"/>
      <c r="JEQ29" s="279"/>
      <c r="JER29" s="279"/>
      <c r="JES29" s="279"/>
      <c r="JET29" s="279"/>
      <c r="JEU29" s="279"/>
      <c r="JEV29" s="279"/>
      <c r="JEW29" s="279"/>
      <c r="JEX29" s="279"/>
      <c r="JEY29" s="279"/>
      <c r="JEZ29" s="279"/>
      <c r="JFA29" s="279"/>
      <c r="JFB29" s="279"/>
      <c r="JFC29" s="279"/>
      <c r="JFD29" s="279"/>
      <c r="JFE29" s="279"/>
      <c r="JFF29" s="279"/>
      <c r="JFG29" s="279"/>
      <c r="JFH29" s="279"/>
      <c r="JFI29" s="279"/>
      <c r="JFJ29" s="279"/>
      <c r="JFK29" s="279"/>
      <c r="JFL29" s="279"/>
      <c r="JFM29" s="279"/>
      <c r="JFN29" s="279"/>
      <c r="JFO29" s="279"/>
      <c r="JFP29" s="279"/>
      <c r="JFQ29" s="279"/>
      <c r="JFR29" s="279"/>
      <c r="JFS29" s="279"/>
      <c r="JFT29" s="279"/>
      <c r="JFU29" s="279"/>
      <c r="JFV29" s="279"/>
      <c r="JFW29" s="279"/>
      <c r="JFX29" s="279"/>
      <c r="JFY29" s="279"/>
      <c r="JFZ29" s="279"/>
      <c r="JGA29" s="279"/>
      <c r="JGB29" s="279"/>
      <c r="JGC29" s="279"/>
      <c r="JGD29" s="279"/>
      <c r="JGE29" s="279"/>
      <c r="JGF29" s="279"/>
      <c r="JGG29" s="279"/>
      <c r="JGH29" s="279"/>
      <c r="JGI29" s="279"/>
      <c r="JGJ29" s="279"/>
      <c r="JGK29" s="279"/>
      <c r="JGL29" s="279"/>
      <c r="JGM29" s="279"/>
      <c r="JGN29" s="279"/>
      <c r="JGO29" s="279"/>
      <c r="JGP29" s="279"/>
      <c r="JGQ29" s="279"/>
      <c r="JGR29" s="279"/>
      <c r="JGS29" s="279"/>
      <c r="JGT29" s="279"/>
      <c r="JGU29" s="279"/>
      <c r="JGV29" s="279"/>
      <c r="JGW29" s="279"/>
      <c r="JGX29" s="279"/>
      <c r="JGY29" s="279"/>
      <c r="JGZ29" s="279"/>
      <c r="JHA29" s="279"/>
      <c r="JHB29" s="279"/>
      <c r="JHC29" s="279"/>
      <c r="JHD29" s="279"/>
      <c r="JHE29" s="279"/>
      <c r="JHF29" s="279"/>
      <c r="JHG29" s="279"/>
      <c r="JHH29" s="279"/>
      <c r="JHI29" s="279"/>
      <c r="JHJ29" s="279"/>
      <c r="JHK29" s="279"/>
      <c r="JHL29" s="279"/>
      <c r="JHM29" s="279"/>
      <c r="JHN29" s="279"/>
      <c r="JHO29" s="279"/>
      <c r="JHP29" s="279"/>
      <c r="JHQ29" s="279"/>
      <c r="JHR29" s="279"/>
      <c r="JHS29" s="279"/>
      <c r="JHT29" s="279"/>
      <c r="JHU29" s="279"/>
      <c r="JHV29" s="279"/>
      <c r="JHW29" s="279"/>
      <c r="JHX29" s="279"/>
      <c r="JHY29" s="279"/>
      <c r="JHZ29" s="279"/>
      <c r="JIA29" s="279"/>
      <c r="JIB29" s="279"/>
      <c r="JIC29" s="279"/>
      <c r="JID29" s="279"/>
      <c r="JIE29" s="279"/>
      <c r="JIF29" s="279"/>
      <c r="JIG29" s="279"/>
      <c r="JIH29" s="279"/>
      <c r="JII29" s="279"/>
      <c r="JIJ29" s="279"/>
      <c r="JIK29" s="279"/>
      <c r="JIL29" s="279"/>
      <c r="JIM29" s="279"/>
      <c r="JIN29" s="279"/>
      <c r="JIO29" s="279"/>
      <c r="JIP29" s="279"/>
      <c r="JIQ29" s="279"/>
      <c r="JIR29" s="279"/>
      <c r="JIS29" s="279"/>
      <c r="JIT29" s="279"/>
      <c r="JIU29" s="279"/>
      <c r="JIV29" s="279"/>
      <c r="JIW29" s="279"/>
      <c r="JIX29" s="279"/>
      <c r="JIY29" s="279"/>
      <c r="JIZ29" s="279"/>
      <c r="JJA29" s="279"/>
      <c r="JJB29" s="279"/>
      <c r="JJC29" s="279"/>
      <c r="JJD29" s="279"/>
      <c r="JJE29" s="279"/>
      <c r="JJF29" s="279"/>
      <c r="JJG29" s="279"/>
      <c r="JJH29" s="279"/>
      <c r="JJI29" s="279"/>
      <c r="JJJ29" s="279"/>
      <c r="JJK29" s="279"/>
      <c r="JJL29" s="279"/>
      <c r="JJM29" s="279"/>
      <c r="JJN29" s="279"/>
      <c r="JJO29" s="279"/>
      <c r="JJP29" s="279"/>
      <c r="JJQ29" s="279"/>
      <c r="JJR29" s="279"/>
      <c r="JJS29" s="279"/>
      <c r="JJT29" s="279"/>
      <c r="JJU29" s="279"/>
      <c r="JJV29" s="279"/>
      <c r="JJW29" s="279"/>
      <c r="JJX29" s="279"/>
      <c r="JJY29" s="279"/>
      <c r="JJZ29" s="279"/>
      <c r="JKA29" s="279"/>
      <c r="JKB29" s="279"/>
      <c r="JKC29" s="279"/>
      <c r="JKD29" s="279"/>
      <c r="JKE29" s="279"/>
      <c r="JKF29" s="279"/>
      <c r="JKG29" s="279"/>
      <c r="JKH29" s="279"/>
      <c r="JKI29" s="279"/>
      <c r="JKJ29" s="279"/>
      <c r="JKK29" s="279"/>
      <c r="JKL29" s="279"/>
      <c r="JKM29" s="279"/>
      <c r="JKN29" s="279"/>
      <c r="JKO29" s="279"/>
      <c r="JKP29" s="279"/>
      <c r="JKQ29" s="279"/>
      <c r="JKR29" s="279"/>
      <c r="JKS29" s="279"/>
      <c r="JKT29" s="279"/>
      <c r="JKU29" s="279"/>
      <c r="JKV29" s="279"/>
      <c r="JKW29" s="279"/>
      <c r="JKX29" s="279"/>
      <c r="JKY29" s="279"/>
      <c r="JKZ29" s="279"/>
      <c r="JLA29" s="279"/>
      <c r="JLB29" s="279"/>
      <c r="JLC29" s="279"/>
      <c r="JLD29" s="279"/>
      <c r="JLE29" s="279"/>
      <c r="JLF29" s="279"/>
      <c r="JLG29" s="279"/>
      <c r="JLH29" s="279"/>
      <c r="JLI29" s="279"/>
      <c r="JLJ29" s="279"/>
      <c r="JLK29" s="279"/>
      <c r="JLL29" s="279"/>
      <c r="JLM29" s="279"/>
      <c r="JLN29" s="279"/>
      <c r="JLO29" s="279"/>
      <c r="JLP29" s="279"/>
      <c r="JLQ29" s="279"/>
      <c r="JLR29" s="279"/>
      <c r="JLS29" s="279"/>
      <c r="JLT29" s="279"/>
      <c r="JLU29" s="279"/>
      <c r="JLV29" s="279"/>
      <c r="JLW29" s="279"/>
      <c r="JLX29" s="279"/>
      <c r="JLY29" s="279"/>
      <c r="JLZ29" s="279"/>
      <c r="JMA29" s="279"/>
      <c r="JMB29" s="279"/>
      <c r="JMC29" s="279"/>
      <c r="JMD29" s="279"/>
      <c r="JME29" s="279"/>
      <c r="JMF29" s="279"/>
      <c r="JMG29" s="279"/>
      <c r="JMH29" s="279"/>
      <c r="JMI29" s="279"/>
      <c r="JMJ29" s="279"/>
      <c r="JMK29" s="279"/>
      <c r="JML29" s="279"/>
      <c r="JMM29" s="279"/>
      <c r="JMN29" s="279"/>
      <c r="JMO29" s="279"/>
      <c r="JMP29" s="279"/>
      <c r="JMQ29" s="279"/>
      <c r="JMR29" s="279"/>
      <c r="JMS29" s="279"/>
      <c r="JMT29" s="279"/>
      <c r="JMU29" s="279"/>
      <c r="JMV29" s="279"/>
      <c r="JMW29" s="279"/>
      <c r="JMX29" s="279"/>
      <c r="JMY29" s="279"/>
      <c r="JMZ29" s="279"/>
      <c r="JNA29" s="279"/>
      <c r="JNB29" s="279"/>
      <c r="JNC29" s="279"/>
      <c r="JND29" s="279"/>
      <c r="JNE29" s="279"/>
      <c r="JNF29" s="279"/>
      <c r="JNG29" s="279"/>
      <c r="JNH29" s="279"/>
      <c r="JNI29" s="279"/>
      <c r="JNJ29" s="279"/>
      <c r="JNK29" s="279"/>
      <c r="JNL29" s="279"/>
      <c r="JNM29" s="279"/>
      <c r="JNN29" s="279"/>
      <c r="JNO29" s="279"/>
      <c r="JNP29" s="279"/>
      <c r="JNQ29" s="279"/>
      <c r="JNR29" s="279"/>
      <c r="JNS29" s="279"/>
      <c r="JNT29" s="279"/>
      <c r="JNU29" s="279"/>
      <c r="JNV29" s="279"/>
      <c r="JNW29" s="279"/>
      <c r="JNX29" s="279"/>
      <c r="JNY29" s="279"/>
      <c r="JNZ29" s="279"/>
      <c r="JOA29" s="279"/>
      <c r="JOB29" s="279"/>
      <c r="JOC29" s="279"/>
      <c r="JOD29" s="279"/>
      <c r="JOE29" s="279"/>
      <c r="JOF29" s="279"/>
      <c r="JOG29" s="279"/>
      <c r="JOH29" s="279"/>
      <c r="JOI29" s="279"/>
      <c r="JOJ29" s="279"/>
      <c r="JOK29" s="279"/>
      <c r="JOL29" s="279"/>
      <c r="JOM29" s="279"/>
      <c r="JON29" s="279"/>
      <c r="JOO29" s="279"/>
      <c r="JOP29" s="279"/>
      <c r="JOQ29" s="279"/>
      <c r="JOR29" s="279"/>
      <c r="JOS29" s="279"/>
      <c r="JOT29" s="279"/>
      <c r="JOU29" s="279"/>
      <c r="JOV29" s="279"/>
      <c r="JOW29" s="279"/>
      <c r="JOX29" s="279"/>
      <c r="JOY29" s="279"/>
      <c r="JOZ29" s="279"/>
      <c r="JPA29" s="279"/>
      <c r="JPB29" s="279"/>
      <c r="JPC29" s="279"/>
      <c r="JPD29" s="279"/>
      <c r="JPE29" s="279"/>
      <c r="JPF29" s="279"/>
      <c r="JPG29" s="279"/>
      <c r="JPH29" s="279"/>
      <c r="JPI29" s="279"/>
      <c r="JPJ29" s="279"/>
      <c r="JPK29" s="279"/>
      <c r="JPL29" s="279"/>
      <c r="JPM29" s="279"/>
      <c r="JPN29" s="279"/>
      <c r="JPO29" s="279"/>
      <c r="JPP29" s="279"/>
      <c r="JPQ29" s="279"/>
      <c r="JPR29" s="279"/>
      <c r="JPS29" s="279"/>
      <c r="JPT29" s="279"/>
      <c r="JPU29" s="279"/>
      <c r="JPV29" s="279"/>
      <c r="JPW29" s="279"/>
      <c r="JPX29" s="279"/>
      <c r="JPY29" s="279"/>
      <c r="JPZ29" s="279"/>
      <c r="JQA29" s="279"/>
      <c r="JQB29" s="279"/>
      <c r="JQC29" s="279"/>
      <c r="JQD29" s="279"/>
      <c r="JQE29" s="279"/>
      <c r="JQF29" s="279"/>
      <c r="JQG29" s="279"/>
      <c r="JQH29" s="279"/>
      <c r="JQI29" s="279"/>
      <c r="JQJ29" s="279"/>
      <c r="JQK29" s="279"/>
      <c r="JQL29" s="279"/>
      <c r="JQM29" s="279"/>
      <c r="JQN29" s="279"/>
      <c r="JQO29" s="279"/>
      <c r="JQP29" s="279"/>
      <c r="JQQ29" s="279"/>
      <c r="JQR29" s="279"/>
      <c r="JQS29" s="279"/>
      <c r="JQT29" s="279"/>
      <c r="JQU29" s="279"/>
      <c r="JQV29" s="279"/>
      <c r="JQW29" s="279"/>
      <c r="JQX29" s="279"/>
      <c r="JQY29" s="279"/>
      <c r="JQZ29" s="279"/>
      <c r="JRA29" s="279"/>
      <c r="JRB29" s="279"/>
      <c r="JRC29" s="279"/>
      <c r="JRD29" s="279"/>
      <c r="JRE29" s="279"/>
      <c r="JRF29" s="279"/>
      <c r="JRG29" s="279"/>
      <c r="JRH29" s="279"/>
      <c r="JRI29" s="279"/>
      <c r="JRJ29" s="279"/>
      <c r="JRK29" s="279"/>
      <c r="JRL29" s="279"/>
      <c r="JRM29" s="279"/>
      <c r="JRN29" s="279"/>
      <c r="JRO29" s="279"/>
      <c r="JRP29" s="279"/>
      <c r="JRQ29" s="279"/>
      <c r="JRR29" s="279"/>
      <c r="JRS29" s="279"/>
      <c r="JRT29" s="279"/>
      <c r="JRU29" s="279"/>
      <c r="JRV29" s="279"/>
      <c r="JRW29" s="279"/>
      <c r="JRX29" s="279"/>
      <c r="JRY29" s="279"/>
      <c r="JRZ29" s="279"/>
      <c r="JSA29" s="279"/>
      <c r="JSB29" s="279"/>
      <c r="JSC29" s="279"/>
      <c r="JSD29" s="279"/>
      <c r="JSE29" s="279"/>
      <c r="JSF29" s="279"/>
      <c r="JSG29" s="279"/>
      <c r="JSH29" s="279"/>
      <c r="JSI29" s="279"/>
      <c r="JSJ29" s="279"/>
      <c r="JSK29" s="279"/>
      <c r="JSL29" s="279"/>
      <c r="JSM29" s="279"/>
      <c r="JSN29" s="279"/>
      <c r="JSO29" s="279"/>
      <c r="JSP29" s="279"/>
      <c r="JSQ29" s="279"/>
      <c r="JSR29" s="279"/>
      <c r="JSS29" s="279"/>
      <c r="JST29" s="279"/>
      <c r="JSU29" s="279"/>
      <c r="JSV29" s="279"/>
      <c r="JSW29" s="279"/>
      <c r="JSX29" s="279"/>
      <c r="JSY29" s="279"/>
      <c r="JSZ29" s="279"/>
      <c r="JTA29" s="279"/>
      <c r="JTB29" s="279"/>
      <c r="JTC29" s="279"/>
      <c r="JTD29" s="279"/>
      <c r="JTE29" s="279"/>
      <c r="JTF29" s="279"/>
      <c r="JTG29" s="279"/>
      <c r="JTH29" s="279"/>
      <c r="JTI29" s="279"/>
      <c r="JTJ29" s="279"/>
      <c r="JTK29" s="279"/>
      <c r="JTL29" s="279"/>
      <c r="JTM29" s="279"/>
      <c r="JTN29" s="279"/>
      <c r="JTO29" s="279"/>
      <c r="JTP29" s="279"/>
      <c r="JTQ29" s="279"/>
      <c r="JTR29" s="279"/>
      <c r="JTS29" s="279"/>
      <c r="JTT29" s="279"/>
      <c r="JTU29" s="279"/>
      <c r="JTV29" s="279"/>
      <c r="JTW29" s="279"/>
      <c r="JTX29" s="279"/>
      <c r="JTY29" s="279"/>
      <c r="JTZ29" s="279"/>
      <c r="JUA29" s="279"/>
      <c r="JUB29" s="279"/>
      <c r="JUC29" s="279"/>
      <c r="JUD29" s="279"/>
      <c r="JUE29" s="279"/>
      <c r="JUF29" s="279"/>
      <c r="JUG29" s="279"/>
      <c r="JUH29" s="279"/>
      <c r="JUI29" s="279"/>
      <c r="JUJ29" s="279"/>
      <c r="JUK29" s="279"/>
      <c r="JUL29" s="279"/>
      <c r="JUM29" s="279"/>
      <c r="JUN29" s="279"/>
      <c r="JUO29" s="279"/>
      <c r="JUP29" s="279"/>
      <c r="JUQ29" s="279"/>
      <c r="JUR29" s="279"/>
      <c r="JUS29" s="279"/>
      <c r="JUT29" s="279"/>
      <c r="JUU29" s="279"/>
      <c r="JUV29" s="279"/>
      <c r="JUW29" s="279"/>
      <c r="JUX29" s="279"/>
      <c r="JUY29" s="279"/>
      <c r="JUZ29" s="279"/>
      <c r="JVA29" s="279"/>
      <c r="JVB29" s="279"/>
      <c r="JVC29" s="279"/>
      <c r="JVD29" s="279"/>
      <c r="JVE29" s="279"/>
      <c r="JVF29" s="279"/>
      <c r="JVG29" s="279"/>
      <c r="JVH29" s="279"/>
      <c r="JVI29" s="279"/>
      <c r="JVJ29" s="279"/>
      <c r="JVK29" s="279"/>
      <c r="JVL29" s="279"/>
      <c r="JVM29" s="279"/>
      <c r="JVN29" s="279"/>
      <c r="JVO29" s="279"/>
      <c r="JVP29" s="279"/>
      <c r="JVQ29" s="279"/>
      <c r="JVR29" s="279"/>
      <c r="JVS29" s="279"/>
      <c r="JVT29" s="279"/>
      <c r="JVU29" s="279"/>
      <c r="JVV29" s="279"/>
      <c r="JVW29" s="279"/>
      <c r="JVX29" s="279"/>
      <c r="JVY29" s="279"/>
      <c r="JVZ29" s="279"/>
      <c r="JWA29" s="279"/>
      <c r="JWB29" s="279"/>
      <c r="JWC29" s="279"/>
      <c r="JWD29" s="279"/>
      <c r="JWE29" s="279"/>
      <c r="JWF29" s="279"/>
      <c r="JWG29" s="279"/>
      <c r="JWH29" s="279"/>
      <c r="JWI29" s="279"/>
      <c r="JWJ29" s="279"/>
      <c r="JWK29" s="279"/>
      <c r="JWL29" s="279"/>
      <c r="JWM29" s="279"/>
      <c r="JWN29" s="279"/>
      <c r="JWO29" s="279"/>
      <c r="JWP29" s="279"/>
      <c r="JWQ29" s="279"/>
      <c r="JWR29" s="279"/>
      <c r="JWS29" s="279"/>
      <c r="JWT29" s="279"/>
      <c r="JWU29" s="279"/>
      <c r="JWV29" s="279"/>
      <c r="JWW29" s="279"/>
      <c r="JWX29" s="279"/>
      <c r="JWY29" s="279"/>
      <c r="JWZ29" s="279"/>
      <c r="JXA29" s="279"/>
      <c r="JXB29" s="279"/>
      <c r="JXC29" s="279"/>
      <c r="JXD29" s="279"/>
      <c r="JXE29" s="279"/>
      <c r="JXF29" s="279"/>
      <c r="JXG29" s="279"/>
      <c r="JXH29" s="279"/>
      <c r="JXI29" s="279"/>
      <c r="JXJ29" s="279"/>
      <c r="JXK29" s="279"/>
      <c r="JXL29" s="279"/>
      <c r="JXM29" s="279"/>
      <c r="JXN29" s="279"/>
      <c r="JXO29" s="279"/>
      <c r="JXP29" s="279"/>
      <c r="JXQ29" s="279"/>
      <c r="JXR29" s="279"/>
      <c r="JXS29" s="279"/>
      <c r="JXT29" s="279"/>
      <c r="JXU29" s="279"/>
      <c r="JXV29" s="279"/>
      <c r="JXW29" s="279"/>
      <c r="JXX29" s="279"/>
      <c r="JXY29" s="279"/>
      <c r="JXZ29" s="279"/>
      <c r="JYA29" s="279"/>
      <c r="JYB29" s="279"/>
      <c r="JYC29" s="279"/>
      <c r="JYD29" s="279"/>
      <c r="JYE29" s="279"/>
      <c r="JYF29" s="279"/>
      <c r="JYG29" s="279"/>
      <c r="JYH29" s="279"/>
      <c r="JYI29" s="279"/>
      <c r="JYJ29" s="279"/>
      <c r="JYK29" s="279"/>
      <c r="JYL29" s="279"/>
      <c r="JYM29" s="279"/>
      <c r="JYN29" s="279"/>
      <c r="JYO29" s="279"/>
      <c r="JYP29" s="279"/>
      <c r="JYQ29" s="279"/>
      <c r="JYR29" s="279"/>
      <c r="JYS29" s="279"/>
      <c r="JYT29" s="279"/>
      <c r="JYU29" s="279"/>
      <c r="JYV29" s="279"/>
      <c r="JYW29" s="279"/>
      <c r="JYX29" s="279"/>
      <c r="JYY29" s="279"/>
      <c r="JYZ29" s="279"/>
      <c r="JZA29" s="279"/>
      <c r="JZB29" s="279"/>
      <c r="JZC29" s="279"/>
      <c r="JZD29" s="279"/>
      <c r="JZE29" s="279"/>
      <c r="JZF29" s="279"/>
      <c r="JZG29" s="279"/>
      <c r="JZH29" s="279"/>
      <c r="JZI29" s="279"/>
      <c r="JZJ29" s="279"/>
      <c r="JZK29" s="279"/>
      <c r="JZL29" s="279"/>
      <c r="JZM29" s="279"/>
      <c r="JZN29" s="279"/>
      <c r="JZO29" s="279"/>
      <c r="JZP29" s="279"/>
      <c r="JZQ29" s="279"/>
      <c r="JZR29" s="279"/>
      <c r="JZS29" s="279"/>
      <c r="JZT29" s="279"/>
      <c r="JZU29" s="279"/>
      <c r="JZV29" s="279"/>
      <c r="JZW29" s="279"/>
      <c r="JZX29" s="279"/>
      <c r="JZY29" s="279"/>
      <c r="JZZ29" s="279"/>
      <c r="KAA29" s="279"/>
      <c r="KAB29" s="279"/>
      <c r="KAC29" s="279"/>
      <c r="KAD29" s="279"/>
      <c r="KAE29" s="279"/>
      <c r="KAF29" s="279"/>
      <c r="KAG29" s="279"/>
      <c r="KAH29" s="279"/>
      <c r="KAI29" s="279"/>
      <c r="KAJ29" s="279"/>
      <c r="KAK29" s="279"/>
      <c r="KAL29" s="279"/>
      <c r="KAM29" s="279"/>
      <c r="KAN29" s="279"/>
      <c r="KAO29" s="279"/>
      <c r="KAP29" s="279"/>
      <c r="KAQ29" s="279"/>
      <c r="KAR29" s="279"/>
      <c r="KAS29" s="279"/>
      <c r="KAT29" s="279"/>
      <c r="KAU29" s="279"/>
      <c r="KAV29" s="279"/>
      <c r="KAW29" s="279"/>
      <c r="KAX29" s="279"/>
      <c r="KAY29" s="279"/>
      <c r="KAZ29" s="279"/>
      <c r="KBA29" s="279"/>
      <c r="KBB29" s="279"/>
      <c r="KBC29" s="279"/>
      <c r="KBD29" s="279"/>
      <c r="KBE29" s="279"/>
      <c r="KBF29" s="279"/>
      <c r="KBG29" s="279"/>
      <c r="KBH29" s="279"/>
      <c r="KBI29" s="279"/>
      <c r="KBJ29" s="279"/>
      <c r="KBK29" s="279"/>
      <c r="KBL29" s="279"/>
      <c r="KBM29" s="279"/>
      <c r="KBN29" s="279"/>
      <c r="KBO29" s="279"/>
      <c r="KBP29" s="279"/>
      <c r="KBQ29" s="279"/>
      <c r="KBR29" s="279"/>
      <c r="KBS29" s="279"/>
      <c r="KBT29" s="279"/>
      <c r="KBU29" s="279"/>
      <c r="KBV29" s="279"/>
      <c r="KBW29" s="279"/>
      <c r="KBX29" s="279"/>
      <c r="KBY29" s="279"/>
      <c r="KBZ29" s="279"/>
      <c r="KCA29" s="279"/>
      <c r="KCB29" s="279"/>
      <c r="KCC29" s="279"/>
      <c r="KCD29" s="279"/>
      <c r="KCE29" s="279"/>
      <c r="KCF29" s="279"/>
      <c r="KCG29" s="279"/>
      <c r="KCH29" s="279"/>
      <c r="KCI29" s="279"/>
      <c r="KCJ29" s="279"/>
      <c r="KCK29" s="279"/>
      <c r="KCL29" s="279"/>
      <c r="KCM29" s="279"/>
      <c r="KCN29" s="279"/>
      <c r="KCO29" s="279"/>
      <c r="KCP29" s="279"/>
      <c r="KCQ29" s="279"/>
      <c r="KCR29" s="279"/>
      <c r="KCS29" s="279"/>
      <c r="KCT29" s="279"/>
      <c r="KCU29" s="279"/>
      <c r="KCV29" s="279"/>
      <c r="KCW29" s="279"/>
      <c r="KCX29" s="279"/>
      <c r="KCY29" s="279"/>
      <c r="KCZ29" s="279"/>
      <c r="KDA29" s="279"/>
      <c r="KDB29" s="279"/>
      <c r="KDC29" s="279"/>
      <c r="KDD29" s="279"/>
      <c r="KDE29" s="279"/>
      <c r="KDF29" s="279"/>
      <c r="KDG29" s="279"/>
      <c r="KDH29" s="279"/>
      <c r="KDI29" s="279"/>
      <c r="KDJ29" s="279"/>
      <c r="KDK29" s="279"/>
      <c r="KDL29" s="279"/>
      <c r="KDM29" s="279"/>
      <c r="KDN29" s="279"/>
      <c r="KDO29" s="279"/>
      <c r="KDP29" s="279"/>
      <c r="KDQ29" s="279"/>
      <c r="KDR29" s="279"/>
      <c r="KDS29" s="279"/>
      <c r="KDT29" s="279"/>
      <c r="KDU29" s="279"/>
      <c r="KDV29" s="279"/>
      <c r="KDW29" s="279"/>
      <c r="KDX29" s="279"/>
      <c r="KDY29" s="279"/>
      <c r="KDZ29" s="279"/>
      <c r="KEA29" s="279"/>
      <c r="KEB29" s="279"/>
      <c r="KEC29" s="279"/>
      <c r="KED29" s="279"/>
      <c r="KEE29" s="279"/>
      <c r="KEF29" s="279"/>
      <c r="KEG29" s="279"/>
      <c r="KEH29" s="279"/>
      <c r="KEI29" s="279"/>
      <c r="KEJ29" s="279"/>
      <c r="KEK29" s="279"/>
      <c r="KEL29" s="279"/>
      <c r="KEM29" s="279"/>
      <c r="KEN29" s="279"/>
      <c r="KEO29" s="279"/>
      <c r="KEP29" s="279"/>
      <c r="KEQ29" s="279"/>
      <c r="KER29" s="279"/>
      <c r="KES29" s="279"/>
      <c r="KET29" s="279"/>
      <c r="KEU29" s="279"/>
      <c r="KEV29" s="279"/>
      <c r="KEW29" s="279"/>
      <c r="KEX29" s="279"/>
      <c r="KEY29" s="279"/>
      <c r="KEZ29" s="279"/>
      <c r="KFA29" s="279"/>
      <c r="KFB29" s="279"/>
      <c r="KFC29" s="279"/>
      <c r="KFD29" s="279"/>
      <c r="KFE29" s="279"/>
      <c r="KFF29" s="279"/>
      <c r="KFG29" s="279"/>
      <c r="KFH29" s="279"/>
      <c r="KFI29" s="279"/>
      <c r="KFJ29" s="279"/>
      <c r="KFK29" s="279"/>
      <c r="KFL29" s="279"/>
      <c r="KFM29" s="279"/>
      <c r="KFN29" s="279"/>
      <c r="KFO29" s="279"/>
      <c r="KFP29" s="279"/>
      <c r="KFQ29" s="279"/>
      <c r="KFR29" s="279"/>
      <c r="KFS29" s="279"/>
      <c r="KFT29" s="279"/>
      <c r="KFU29" s="279"/>
      <c r="KFV29" s="279"/>
      <c r="KFW29" s="279"/>
      <c r="KFX29" s="279"/>
      <c r="KFY29" s="279"/>
      <c r="KFZ29" s="279"/>
      <c r="KGA29" s="279"/>
      <c r="KGB29" s="279"/>
      <c r="KGC29" s="279"/>
      <c r="KGD29" s="279"/>
      <c r="KGE29" s="279"/>
      <c r="KGF29" s="279"/>
      <c r="KGG29" s="279"/>
      <c r="KGH29" s="279"/>
      <c r="KGI29" s="279"/>
      <c r="KGJ29" s="279"/>
      <c r="KGK29" s="279"/>
      <c r="KGL29" s="279"/>
      <c r="KGM29" s="279"/>
      <c r="KGN29" s="279"/>
      <c r="KGO29" s="279"/>
      <c r="KGP29" s="279"/>
      <c r="KGQ29" s="279"/>
      <c r="KGR29" s="279"/>
      <c r="KGS29" s="279"/>
      <c r="KGT29" s="279"/>
      <c r="KGU29" s="279"/>
      <c r="KGV29" s="279"/>
      <c r="KGW29" s="279"/>
      <c r="KGX29" s="279"/>
      <c r="KGY29" s="279"/>
      <c r="KGZ29" s="279"/>
      <c r="KHA29" s="279"/>
      <c r="KHB29" s="279"/>
      <c r="KHC29" s="279"/>
      <c r="KHD29" s="279"/>
      <c r="KHE29" s="279"/>
      <c r="KHF29" s="279"/>
      <c r="KHG29" s="279"/>
      <c r="KHH29" s="279"/>
      <c r="KHI29" s="279"/>
      <c r="KHJ29" s="279"/>
      <c r="KHK29" s="279"/>
      <c r="KHL29" s="279"/>
      <c r="KHM29" s="279"/>
      <c r="KHN29" s="279"/>
      <c r="KHO29" s="279"/>
      <c r="KHP29" s="279"/>
      <c r="KHQ29" s="279"/>
      <c r="KHR29" s="279"/>
      <c r="KHS29" s="279"/>
      <c r="KHT29" s="279"/>
      <c r="KHU29" s="279"/>
      <c r="KHV29" s="279"/>
      <c r="KHW29" s="279"/>
      <c r="KHX29" s="279"/>
      <c r="KHY29" s="279"/>
      <c r="KHZ29" s="279"/>
      <c r="KIA29" s="279"/>
      <c r="KIB29" s="279"/>
      <c r="KIC29" s="279"/>
      <c r="KID29" s="279"/>
      <c r="KIE29" s="279"/>
      <c r="KIF29" s="279"/>
      <c r="KIG29" s="279"/>
      <c r="KIH29" s="279"/>
      <c r="KII29" s="279"/>
      <c r="KIJ29" s="279"/>
      <c r="KIK29" s="279"/>
      <c r="KIL29" s="279"/>
      <c r="KIM29" s="279"/>
      <c r="KIN29" s="279"/>
      <c r="KIO29" s="279"/>
      <c r="KIP29" s="279"/>
      <c r="KIQ29" s="279"/>
      <c r="KIR29" s="279"/>
      <c r="KIS29" s="279"/>
      <c r="KIT29" s="279"/>
      <c r="KIU29" s="279"/>
      <c r="KIV29" s="279"/>
      <c r="KIW29" s="279"/>
      <c r="KIX29" s="279"/>
      <c r="KIY29" s="279"/>
      <c r="KIZ29" s="279"/>
      <c r="KJA29" s="279"/>
      <c r="KJB29" s="279"/>
      <c r="KJC29" s="279"/>
      <c r="KJD29" s="279"/>
      <c r="KJE29" s="279"/>
      <c r="KJF29" s="279"/>
      <c r="KJG29" s="279"/>
      <c r="KJH29" s="279"/>
      <c r="KJI29" s="279"/>
      <c r="KJJ29" s="279"/>
      <c r="KJK29" s="279"/>
      <c r="KJL29" s="279"/>
      <c r="KJM29" s="279"/>
      <c r="KJN29" s="279"/>
      <c r="KJO29" s="279"/>
      <c r="KJP29" s="279"/>
      <c r="KJQ29" s="279"/>
      <c r="KJR29" s="279"/>
      <c r="KJS29" s="279"/>
      <c r="KJT29" s="279"/>
      <c r="KJU29" s="279"/>
      <c r="KJV29" s="279"/>
      <c r="KJW29" s="279"/>
      <c r="KJX29" s="279"/>
      <c r="KJY29" s="279"/>
      <c r="KJZ29" s="279"/>
      <c r="KKA29" s="279"/>
      <c r="KKB29" s="279"/>
      <c r="KKC29" s="279"/>
      <c r="KKD29" s="279"/>
      <c r="KKE29" s="279"/>
      <c r="KKF29" s="279"/>
      <c r="KKG29" s="279"/>
      <c r="KKH29" s="279"/>
      <c r="KKI29" s="279"/>
      <c r="KKJ29" s="279"/>
      <c r="KKK29" s="279"/>
      <c r="KKL29" s="279"/>
      <c r="KKM29" s="279"/>
      <c r="KKN29" s="279"/>
      <c r="KKO29" s="279"/>
      <c r="KKP29" s="279"/>
      <c r="KKQ29" s="279"/>
      <c r="KKR29" s="279"/>
      <c r="KKS29" s="279"/>
      <c r="KKT29" s="279"/>
      <c r="KKU29" s="279"/>
      <c r="KKV29" s="279"/>
      <c r="KKW29" s="279"/>
      <c r="KKX29" s="279"/>
      <c r="KKY29" s="279"/>
      <c r="KKZ29" s="279"/>
      <c r="KLA29" s="279"/>
      <c r="KLB29" s="279"/>
      <c r="KLC29" s="279"/>
      <c r="KLD29" s="279"/>
      <c r="KLE29" s="279"/>
      <c r="KLF29" s="279"/>
      <c r="KLG29" s="279"/>
      <c r="KLH29" s="279"/>
      <c r="KLI29" s="279"/>
      <c r="KLJ29" s="279"/>
      <c r="KLK29" s="279"/>
      <c r="KLL29" s="279"/>
      <c r="KLM29" s="279"/>
      <c r="KLN29" s="279"/>
      <c r="KLO29" s="279"/>
      <c r="KLP29" s="279"/>
      <c r="KLQ29" s="279"/>
      <c r="KLR29" s="279"/>
      <c r="KLS29" s="279"/>
      <c r="KLT29" s="279"/>
      <c r="KLU29" s="279"/>
      <c r="KLV29" s="279"/>
      <c r="KLW29" s="279"/>
      <c r="KLX29" s="279"/>
      <c r="KLY29" s="279"/>
      <c r="KLZ29" s="279"/>
      <c r="KMA29" s="279"/>
      <c r="KMB29" s="279"/>
      <c r="KMC29" s="279"/>
      <c r="KMD29" s="279"/>
      <c r="KME29" s="279"/>
      <c r="KMF29" s="279"/>
      <c r="KMG29" s="279"/>
      <c r="KMH29" s="279"/>
      <c r="KMI29" s="279"/>
      <c r="KMJ29" s="279"/>
      <c r="KMK29" s="279"/>
      <c r="KML29" s="279"/>
      <c r="KMM29" s="279"/>
      <c r="KMN29" s="279"/>
      <c r="KMO29" s="279"/>
      <c r="KMP29" s="279"/>
      <c r="KMQ29" s="279"/>
      <c r="KMR29" s="279"/>
      <c r="KMS29" s="279"/>
      <c r="KMT29" s="279"/>
      <c r="KMU29" s="279"/>
      <c r="KMV29" s="279"/>
      <c r="KMW29" s="279"/>
      <c r="KMX29" s="279"/>
      <c r="KMY29" s="279"/>
      <c r="KMZ29" s="279"/>
      <c r="KNA29" s="279"/>
      <c r="KNB29" s="279"/>
      <c r="KNC29" s="279"/>
      <c r="KND29" s="279"/>
      <c r="KNE29" s="279"/>
      <c r="KNF29" s="279"/>
      <c r="KNG29" s="279"/>
      <c r="KNH29" s="279"/>
      <c r="KNI29" s="279"/>
      <c r="KNJ29" s="279"/>
      <c r="KNK29" s="279"/>
      <c r="KNL29" s="279"/>
      <c r="KNM29" s="279"/>
      <c r="KNN29" s="279"/>
      <c r="KNO29" s="279"/>
      <c r="KNP29" s="279"/>
      <c r="KNQ29" s="279"/>
      <c r="KNR29" s="279"/>
      <c r="KNS29" s="279"/>
      <c r="KNT29" s="279"/>
      <c r="KNU29" s="279"/>
      <c r="KNV29" s="279"/>
      <c r="KNW29" s="279"/>
      <c r="KNX29" s="279"/>
      <c r="KNY29" s="279"/>
      <c r="KNZ29" s="279"/>
      <c r="KOA29" s="279"/>
      <c r="KOB29" s="279"/>
      <c r="KOC29" s="279"/>
      <c r="KOD29" s="279"/>
      <c r="KOE29" s="279"/>
      <c r="KOF29" s="279"/>
      <c r="KOG29" s="279"/>
      <c r="KOH29" s="279"/>
      <c r="KOI29" s="279"/>
      <c r="KOJ29" s="279"/>
      <c r="KOK29" s="279"/>
      <c r="KOL29" s="279"/>
      <c r="KOM29" s="279"/>
      <c r="KON29" s="279"/>
      <c r="KOO29" s="279"/>
      <c r="KOP29" s="279"/>
      <c r="KOQ29" s="279"/>
      <c r="KOR29" s="279"/>
      <c r="KOS29" s="279"/>
      <c r="KOT29" s="279"/>
      <c r="KOU29" s="279"/>
      <c r="KOV29" s="279"/>
      <c r="KOW29" s="279"/>
      <c r="KOX29" s="279"/>
      <c r="KOY29" s="279"/>
      <c r="KOZ29" s="279"/>
      <c r="KPA29" s="279"/>
      <c r="KPB29" s="279"/>
      <c r="KPC29" s="279"/>
      <c r="KPD29" s="279"/>
      <c r="KPE29" s="279"/>
      <c r="KPF29" s="279"/>
      <c r="KPG29" s="279"/>
      <c r="KPH29" s="279"/>
      <c r="KPI29" s="279"/>
      <c r="KPJ29" s="279"/>
      <c r="KPK29" s="279"/>
      <c r="KPL29" s="279"/>
      <c r="KPM29" s="279"/>
      <c r="KPN29" s="279"/>
      <c r="KPO29" s="279"/>
      <c r="KPP29" s="279"/>
      <c r="KPQ29" s="279"/>
      <c r="KPR29" s="279"/>
      <c r="KPS29" s="279"/>
      <c r="KPT29" s="279"/>
      <c r="KPU29" s="279"/>
      <c r="KPV29" s="279"/>
      <c r="KPW29" s="279"/>
      <c r="KPX29" s="279"/>
      <c r="KPY29" s="279"/>
      <c r="KPZ29" s="279"/>
      <c r="KQA29" s="279"/>
      <c r="KQB29" s="279"/>
      <c r="KQC29" s="279"/>
      <c r="KQD29" s="279"/>
      <c r="KQE29" s="279"/>
      <c r="KQF29" s="279"/>
      <c r="KQG29" s="279"/>
      <c r="KQH29" s="279"/>
      <c r="KQI29" s="279"/>
      <c r="KQJ29" s="279"/>
      <c r="KQK29" s="279"/>
      <c r="KQL29" s="279"/>
      <c r="KQM29" s="279"/>
      <c r="KQN29" s="279"/>
      <c r="KQO29" s="279"/>
      <c r="KQP29" s="279"/>
      <c r="KQQ29" s="279"/>
      <c r="KQR29" s="279"/>
      <c r="KQS29" s="279"/>
      <c r="KQT29" s="279"/>
      <c r="KQU29" s="279"/>
      <c r="KQV29" s="279"/>
      <c r="KQW29" s="279"/>
      <c r="KQX29" s="279"/>
      <c r="KQY29" s="279"/>
      <c r="KQZ29" s="279"/>
      <c r="KRA29" s="279"/>
      <c r="KRB29" s="279"/>
      <c r="KRC29" s="279"/>
      <c r="KRD29" s="279"/>
      <c r="KRE29" s="279"/>
      <c r="KRF29" s="279"/>
      <c r="KRG29" s="279"/>
      <c r="KRH29" s="279"/>
      <c r="KRI29" s="279"/>
      <c r="KRJ29" s="279"/>
      <c r="KRK29" s="279"/>
      <c r="KRL29" s="279"/>
      <c r="KRM29" s="279"/>
      <c r="KRN29" s="279"/>
      <c r="KRO29" s="279"/>
      <c r="KRP29" s="279"/>
      <c r="KRQ29" s="279"/>
      <c r="KRR29" s="279"/>
      <c r="KRS29" s="279"/>
      <c r="KRT29" s="279"/>
      <c r="KRU29" s="279"/>
      <c r="KRV29" s="279"/>
      <c r="KRW29" s="279"/>
      <c r="KRX29" s="279"/>
      <c r="KRY29" s="279"/>
      <c r="KRZ29" s="279"/>
      <c r="KSA29" s="279"/>
      <c r="KSB29" s="279"/>
      <c r="KSC29" s="279"/>
      <c r="KSD29" s="279"/>
      <c r="KSE29" s="279"/>
      <c r="KSF29" s="279"/>
      <c r="KSG29" s="279"/>
      <c r="KSH29" s="279"/>
      <c r="KSI29" s="279"/>
      <c r="KSJ29" s="279"/>
      <c r="KSK29" s="279"/>
      <c r="KSL29" s="279"/>
      <c r="KSM29" s="279"/>
      <c r="KSN29" s="279"/>
      <c r="KSO29" s="279"/>
      <c r="KSP29" s="279"/>
      <c r="KSQ29" s="279"/>
      <c r="KSR29" s="279"/>
      <c r="KSS29" s="279"/>
      <c r="KST29" s="279"/>
      <c r="KSU29" s="279"/>
      <c r="KSV29" s="279"/>
      <c r="KSW29" s="279"/>
      <c r="KSX29" s="279"/>
      <c r="KSY29" s="279"/>
      <c r="KSZ29" s="279"/>
      <c r="KTA29" s="279"/>
      <c r="KTB29" s="279"/>
      <c r="KTC29" s="279"/>
      <c r="KTD29" s="279"/>
      <c r="KTE29" s="279"/>
      <c r="KTF29" s="279"/>
      <c r="KTG29" s="279"/>
      <c r="KTH29" s="279"/>
      <c r="KTI29" s="279"/>
      <c r="KTJ29" s="279"/>
      <c r="KTK29" s="279"/>
      <c r="KTL29" s="279"/>
      <c r="KTM29" s="279"/>
      <c r="KTN29" s="279"/>
      <c r="KTO29" s="279"/>
      <c r="KTP29" s="279"/>
      <c r="KTQ29" s="279"/>
      <c r="KTR29" s="279"/>
      <c r="KTS29" s="279"/>
      <c r="KTT29" s="279"/>
      <c r="KTU29" s="279"/>
      <c r="KTV29" s="279"/>
      <c r="KTW29" s="279"/>
      <c r="KTX29" s="279"/>
      <c r="KTY29" s="279"/>
      <c r="KTZ29" s="279"/>
      <c r="KUA29" s="279"/>
      <c r="KUB29" s="279"/>
      <c r="KUC29" s="279"/>
      <c r="KUD29" s="279"/>
      <c r="KUE29" s="279"/>
      <c r="KUF29" s="279"/>
      <c r="KUG29" s="279"/>
      <c r="KUH29" s="279"/>
      <c r="KUI29" s="279"/>
      <c r="KUJ29" s="279"/>
      <c r="KUK29" s="279"/>
      <c r="KUL29" s="279"/>
      <c r="KUM29" s="279"/>
      <c r="KUN29" s="279"/>
      <c r="KUO29" s="279"/>
      <c r="KUP29" s="279"/>
      <c r="KUQ29" s="279"/>
      <c r="KUR29" s="279"/>
      <c r="KUS29" s="279"/>
      <c r="KUT29" s="279"/>
      <c r="KUU29" s="279"/>
      <c r="KUV29" s="279"/>
      <c r="KUW29" s="279"/>
      <c r="KUX29" s="279"/>
      <c r="KUY29" s="279"/>
      <c r="KUZ29" s="279"/>
      <c r="KVA29" s="279"/>
      <c r="KVB29" s="279"/>
      <c r="KVC29" s="279"/>
      <c r="KVD29" s="279"/>
      <c r="KVE29" s="279"/>
      <c r="KVF29" s="279"/>
      <c r="KVG29" s="279"/>
      <c r="KVH29" s="279"/>
      <c r="KVI29" s="279"/>
      <c r="KVJ29" s="279"/>
      <c r="KVK29" s="279"/>
      <c r="KVL29" s="279"/>
      <c r="KVM29" s="279"/>
      <c r="KVN29" s="279"/>
      <c r="KVO29" s="279"/>
      <c r="KVP29" s="279"/>
      <c r="KVQ29" s="279"/>
      <c r="KVR29" s="279"/>
      <c r="KVS29" s="279"/>
      <c r="KVT29" s="279"/>
      <c r="KVU29" s="279"/>
      <c r="KVV29" s="279"/>
      <c r="KVW29" s="279"/>
      <c r="KVX29" s="279"/>
      <c r="KVY29" s="279"/>
      <c r="KVZ29" s="279"/>
      <c r="KWA29" s="279"/>
      <c r="KWB29" s="279"/>
      <c r="KWC29" s="279"/>
      <c r="KWD29" s="279"/>
      <c r="KWE29" s="279"/>
      <c r="KWF29" s="279"/>
      <c r="KWG29" s="279"/>
      <c r="KWH29" s="279"/>
      <c r="KWI29" s="279"/>
      <c r="KWJ29" s="279"/>
      <c r="KWK29" s="279"/>
      <c r="KWL29" s="279"/>
      <c r="KWM29" s="279"/>
      <c r="KWN29" s="279"/>
      <c r="KWO29" s="279"/>
      <c r="KWP29" s="279"/>
      <c r="KWQ29" s="279"/>
      <c r="KWR29" s="279"/>
      <c r="KWS29" s="279"/>
      <c r="KWT29" s="279"/>
      <c r="KWU29" s="279"/>
      <c r="KWV29" s="279"/>
      <c r="KWW29" s="279"/>
      <c r="KWX29" s="279"/>
      <c r="KWY29" s="279"/>
      <c r="KWZ29" s="279"/>
      <c r="KXA29" s="279"/>
      <c r="KXB29" s="279"/>
      <c r="KXC29" s="279"/>
      <c r="KXD29" s="279"/>
      <c r="KXE29" s="279"/>
      <c r="KXF29" s="279"/>
      <c r="KXG29" s="279"/>
      <c r="KXH29" s="279"/>
      <c r="KXI29" s="279"/>
      <c r="KXJ29" s="279"/>
      <c r="KXK29" s="279"/>
      <c r="KXL29" s="279"/>
      <c r="KXM29" s="279"/>
      <c r="KXN29" s="279"/>
      <c r="KXO29" s="279"/>
      <c r="KXP29" s="279"/>
      <c r="KXQ29" s="279"/>
      <c r="KXR29" s="279"/>
      <c r="KXS29" s="279"/>
      <c r="KXT29" s="279"/>
      <c r="KXU29" s="279"/>
      <c r="KXV29" s="279"/>
      <c r="KXW29" s="279"/>
      <c r="KXX29" s="279"/>
      <c r="KXY29" s="279"/>
      <c r="KXZ29" s="279"/>
      <c r="KYA29" s="279"/>
      <c r="KYB29" s="279"/>
      <c r="KYC29" s="279"/>
      <c r="KYD29" s="279"/>
      <c r="KYE29" s="279"/>
      <c r="KYF29" s="279"/>
      <c r="KYG29" s="279"/>
      <c r="KYH29" s="279"/>
      <c r="KYI29" s="279"/>
      <c r="KYJ29" s="279"/>
      <c r="KYK29" s="279"/>
      <c r="KYL29" s="279"/>
      <c r="KYM29" s="279"/>
      <c r="KYN29" s="279"/>
      <c r="KYO29" s="279"/>
      <c r="KYP29" s="279"/>
      <c r="KYQ29" s="279"/>
      <c r="KYR29" s="279"/>
      <c r="KYS29" s="279"/>
      <c r="KYT29" s="279"/>
      <c r="KYU29" s="279"/>
      <c r="KYV29" s="279"/>
      <c r="KYW29" s="279"/>
      <c r="KYX29" s="279"/>
      <c r="KYY29" s="279"/>
      <c r="KYZ29" s="279"/>
      <c r="KZA29" s="279"/>
      <c r="KZB29" s="279"/>
      <c r="KZC29" s="279"/>
      <c r="KZD29" s="279"/>
      <c r="KZE29" s="279"/>
      <c r="KZF29" s="279"/>
      <c r="KZG29" s="279"/>
      <c r="KZH29" s="279"/>
      <c r="KZI29" s="279"/>
      <c r="KZJ29" s="279"/>
      <c r="KZK29" s="279"/>
      <c r="KZL29" s="279"/>
      <c r="KZM29" s="279"/>
      <c r="KZN29" s="279"/>
      <c r="KZO29" s="279"/>
      <c r="KZP29" s="279"/>
      <c r="KZQ29" s="279"/>
      <c r="KZR29" s="279"/>
      <c r="KZS29" s="279"/>
      <c r="KZT29" s="279"/>
      <c r="KZU29" s="279"/>
      <c r="KZV29" s="279"/>
      <c r="KZW29" s="279"/>
      <c r="KZX29" s="279"/>
      <c r="KZY29" s="279"/>
      <c r="KZZ29" s="279"/>
      <c r="LAA29" s="279"/>
      <c r="LAB29" s="279"/>
      <c r="LAC29" s="279"/>
      <c r="LAD29" s="279"/>
      <c r="LAE29" s="279"/>
      <c r="LAF29" s="279"/>
      <c r="LAG29" s="279"/>
      <c r="LAH29" s="279"/>
      <c r="LAI29" s="279"/>
      <c r="LAJ29" s="279"/>
      <c r="LAK29" s="279"/>
      <c r="LAL29" s="279"/>
      <c r="LAM29" s="279"/>
      <c r="LAN29" s="279"/>
      <c r="LAO29" s="279"/>
      <c r="LAP29" s="279"/>
      <c r="LAQ29" s="279"/>
      <c r="LAR29" s="279"/>
      <c r="LAS29" s="279"/>
      <c r="LAT29" s="279"/>
      <c r="LAU29" s="279"/>
      <c r="LAV29" s="279"/>
      <c r="LAW29" s="279"/>
      <c r="LAX29" s="279"/>
      <c r="LAY29" s="279"/>
      <c r="LAZ29" s="279"/>
      <c r="LBA29" s="279"/>
      <c r="LBB29" s="279"/>
      <c r="LBC29" s="279"/>
      <c r="LBD29" s="279"/>
      <c r="LBE29" s="279"/>
      <c r="LBF29" s="279"/>
      <c r="LBG29" s="279"/>
      <c r="LBH29" s="279"/>
      <c r="LBI29" s="279"/>
      <c r="LBJ29" s="279"/>
      <c r="LBK29" s="279"/>
      <c r="LBL29" s="279"/>
      <c r="LBM29" s="279"/>
      <c r="LBN29" s="279"/>
      <c r="LBO29" s="279"/>
      <c r="LBP29" s="279"/>
      <c r="LBQ29" s="279"/>
      <c r="LBR29" s="279"/>
      <c r="LBS29" s="279"/>
      <c r="LBT29" s="279"/>
      <c r="LBU29" s="279"/>
      <c r="LBV29" s="279"/>
      <c r="LBW29" s="279"/>
      <c r="LBX29" s="279"/>
      <c r="LBY29" s="279"/>
      <c r="LBZ29" s="279"/>
      <c r="LCA29" s="279"/>
      <c r="LCB29" s="279"/>
      <c r="LCC29" s="279"/>
      <c r="LCD29" s="279"/>
      <c r="LCE29" s="279"/>
      <c r="LCF29" s="279"/>
      <c r="LCG29" s="279"/>
      <c r="LCH29" s="279"/>
      <c r="LCI29" s="279"/>
      <c r="LCJ29" s="279"/>
      <c r="LCK29" s="279"/>
      <c r="LCL29" s="279"/>
      <c r="LCM29" s="279"/>
      <c r="LCN29" s="279"/>
      <c r="LCO29" s="279"/>
      <c r="LCP29" s="279"/>
      <c r="LCQ29" s="279"/>
      <c r="LCR29" s="279"/>
      <c r="LCS29" s="279"/>
      <c r="LCT29" s="279"/>
      <c r="LCU29" s="279"/>
      <c r="LCV29" s="279"/>
      <c r="LCW29" s="279"/>
      <c r="LCX29" s="279"/>
      <c r="LCY29" s="279"/>
      <c r="LCZ29" s="279"/>
      <c r="LDA29" s="279"/>
      <c r="LDB29" s="279"/>
      <c r="LDC29" s="279"/>
      <c r="LDD29" s="279"/>
      <c r="LDE29" s="279"/>
      <c r="LDF29" s="279"/>
      <c r="LDG29" s="279"/>
      <c r="LDH29" s="279"/>
      <c r="LDI29" s="279"/>
      <c r="LDJ29" s="279"/>
      <c r="LDK29" s="279"/>
      <c r="LDL29" s="279"/>
      <c r="LDM29" s="279"/>
      <c r="LDN29" s="279"/>
      <c r="LDO29" s="279"/>
      <c r="LDP29" s="279"/>
      <c r="LDQ29" s="279"/>
      <c r="LDR29" s="279"/>
      <c r="LDS29" s="279"/>
      <c r="LDT29" s="279"/>
      <c r="LDU29" s="279"/>
      <c r="LDV29" s="279"/>
      <c r="LDW29" s="279"/>
      <c r="LDX29" s="279"/>
      <c r="LDY29" s="279"/>
      <c r="LDZ29" s="279"/>
      <c r="LEA29" s="279"/>
      <c r="LEB29" s="279"/>
      <c r="LEC29" s="279"/>
      <c r="LED29" s="279"/>
      <c r="LEE29" s="279"/>
      <c r="LEF29" s="279"/>
      <c r="LEG29" s="279"/>
      <c r="LEH29" s="279"/>
      <c r="LEI29" s="279"/>
      <c r="LEJ29" s="279"/>
      <c r="LEK29" s="279"/>
      <c r="LEL29" s="279"/>
      <c r="LEM29" s="279"/>
      <c r="LEN29" s="279"/>
      <c r="LEO29" s="279"/>
      <c r="LEP29" s="279"/>
      <c r="LEQ29" s="279"/>
      <c r="LER29" s="279"/>
      <c r="LES29" s="279"/>
      <c r="LET29" s="279"/>
      <c r="LEU29" s="279"/>
      <c r="LEV29" s="279"/>
      <c r="LEW29" s="279"/>
      <c r="LEX29" s="279"/>
      <c r="LEY29" s="279"/>
      <c r="LEZ29" s="279"/>
      <c r="LFA29" s="279"/>
      <c r="LFB29" s="279"/>
      <c r="LFC29" s="279"/>
      <c r="LFD29" s="279"/>
      <c r="LFE29" s="279"/>
      <c r="LFF29" s="279"/>
      <c r="LFG29" s="279"/>
      <c r="LFH29" s="279"/>
      <c r="LFI29" s="279"/>
      <c r="LFJ29" s="279"/>
      <c r="LFK29" s="279"/>
      <c r="LFL29" s="279"/>
      <c r="LFM29" s="279"/>
      <c r="LFN29" s="279"/>
      <c r="LFO29" s="279"/>
      <c r="LFP29" s="279"/>
      <c r="LFQ29" s="279"/>
      <c r="LFR29" s="279"/>
      <c r="LFS29" s="279"/>
      <c r="LFT29" s="279"/>
      <c r="LFU29" s="279"/>
      <c r="LFV29" s="279"/>
      <c r="LFW29" s="279"/>
      <c r="LFX29" s="279"/>
      <c r="LFY29" s="279"/>
      <c r="LFZ29" s="279"/>
      <c r="LGA29" s="279"/>
      <c r="LGB29" s="279"/>
      <c r="LGC29" s="279"/>
      <c r="LGD29" s="279"/>
      <c r="LGE29" s="279"/>
      <c r="LGF29" s="279"/>
      <c r="LGG29" s="279"/>
      <c r="LGH29" s="279"/>
      <c r="LGI29" s="279"/>
      <c r="LGJ29" s="279"/>
      <c r="LGK29" s="279"/>
      <c r="LGL29" s="279"/>
      <c r="LGM29" s="279"/>
      <c r="LGN29" s="279"/>
      <c r="LGO29" s="279"/>
      <c r="LGP29" s="279"/>
      <c r="LGQ29" s="279"/>
      <c r="LGR29" s="279"/>
      <c r="LGS29" s="279"/>
      <c r="LGT29" s="279"/>
      <c r="LGU29" s="279"/>
      <c r="LGV29" s="279"/>
      <c r="LGW29" s="279"/>
      <c r="LGX29" s="279"/>
      <c r="LGY29" s="279"/>
      <c r="LGZ29" s="279"/>
      <c r="LHA29" s="279"/>
      <c r="LHB29" s="279"/>
      <c r="LHC29" s="279"/>
      <c r="LHD29" s="279"/>
      <c r="LHE29" s="279"/>
      <c r="LHF29" s="279"/>
      <c r="LHG29" s="279"/>
      <c r="LHH29" s="279"/>
      <c r="LHI29" s="279"/>
      <c r="LHJ29" s="279"/>
      <c r="LHK29" s="279"/>
      <c r="LHL29" s="279"/>
      <c r="LHM29" s="279"/>
      <c r="LHN29" s="279"/>
      <c r="LHO29" s="279"/>
      <c r="LHP29" s="279"/>
      <c r="LHQ29" s="279"/>
      <c r="LHR29" s="279"/>
      <c r="LHS29" s="279"/>
      <c r="LHT29" s="279"/>
      <c r="LHU29" s="279"/>
      <c r="LHV29" s="279"/>
      <c r="LHW29" s="279"/>
      <c r="LHX29" s="279"/>
      <c r="LHY29" s="279"/>
      <c r="LHZ29" s="279"/>
      <c r="LIA29" s="279"/>
      <c r="LIB29" s="279"/>
      <c r="LIC29" s="279"/>
      <c r="LID29" s="279"/>
      <c r="LIE29" s="279"/>
      <c r="LIF29" s="279"/>
      <c r="LIG29" s="279"/>
      <c r="LIH29" s="279"/>
      <c r="LII29" s="279"/>
      <c r="LIJ29" s="279"/>
      <c r="LIK29" s="279"/>
      <c r="LIL29" s="279"/>
      <c r="LIM29" s="279"/>
      <c r="LIN29" s="279"/>
      <c r="LIO29" s="279"/>
      <c r="LIP29" s="279"/>
      <c r="LIQ29" s="279"/>
      <c r="LIR29" s="279"/>
      <c r="LIS29" s="279"/>
      <c r="LIT29" s="279"/>
      <c r="LIU29" s="279"/>
      <c r="LIV29" s="279"/>
      <c r="LIW29" s="279"/>
      <c r="LIX29" s="279"/>
      <c r="LIY29" s="279"/>
      <c r="LIZ29" s="279"/>
      <c r="LJA29" s="279"/>
      <c r="LJB29" s="279"/>
      <c r="LJC29" s="279"/>
      <c r="LJD29" s="279"/>
      <c r="LJE29" s="279"/>
      <c r="LJF29" s="279"/>
      <c r="LJG29" s="279"/>
      <c r="LJH29" s="279"/>
      <c r="LJI29" s="279"/>
      <c r="LJJ29" s="279"/>
      <c r="LJK29" s="279"/>
      <c r="LJL29" s="279"/>
      <c r="LJM29" s="279"/>
      <c r="LJN29" s="279"/>
      <c r="LJO29" s="279"/>
      <c r="LJP29" s="279"/>
      <c r="LJQ29" s="279"/>
      <c r="LJR29" s="279"/>
      <c r="LJS29" s="279"/>
      <c r="LJT29" s="279"/>
      <c r="LJU29" s="279"/>
      <c r="LJV29" s="279"/>
      <c r="LJW29" s="279"/>
      <c r="LJX29" s="279"/>
      <c r="LJY29" s="279"/>
      <c r="LJZ29" s="279"/>
      <c r="LKA29" s="279"/>
      <c r="LKB29" s="279"/>
      <c r="LKC29" s="279"/>
      <c r="LKD29" s="279"/>
      <c r="LKE29" s="279"/>
      <c r="LKF29" s="279"/>
      <c r="LKG29" s="279"/>
      <c r="LKH29" s="279"/>
      <c r="LKI29" s="279"/>
      <c r="LKJ29" s="279"/>
      <c r="LKK29" s="279"/>
      <c r="LKL29" s="279"/>
      <c r="LKM29" s="279"/>
      <c r="LKN29" s="279"/>
      <c r="LKO29" s="279"/>
      <c r="LKP29" s="279"/>
      <c r="LKQ29" s="279"/>
      <c r="LKR29" s="279"/>
      <c r="LKS29" s="279"/>
      <c r="LKT29" s="279"/>
      <c r="LKU29" s="279"/>
      <c r="LKV29" s="279"/>
      <c r="LKW29" s="279"/>
      <c r="LKX29" s="279"/>
      <c r="LKY29" s="279"/>
      <c r="LKZ29" s="279"/>
      <c r="LLA29" s="279"/>
      <c r="LLB29" s="279"/>
      <c r="LLC29" s="279"/>
      <c r="LLD29" s="279"/>
      <c r="LLE29" s="279"/>
      <c r="LLF29" s="279"/>
      <c r="LLG29" s="279"/>
      <c r="LLH29" s="279"/>
      <c r="LLI29" s="279"/>
      <c r="LLJ29" s="279"/>
      <c r="LLK29" s="279"/>
      <c r="LLL29" s="279"/>
      <c r="LLM29" s="279"/>
      <c r="LLN29" s="279"/>
      <c r="LLO29" s="279"/>
      <c r="LLP29" s="279"/>
      <c r="LLQ29" s="279"/>
      <c r="LLR29" s="279"/>
      <c r="LLS29" s="279"/>
      <c r="LLT29" s="279"/>
      <c r="LLU29" s="279"/>
      <c r="LLV29" s="279"/>
      <c r="LLW29" s="279"/>
      <c r="LLX29" s="279"/>
      <c r="LLY29" s="279"/>
      <c r="LLZ29" s="279"/>
      <c r="LMA29" s="279"/>
      <c r="LMB29" s="279"/>
      <c r="LMC29" s="279"/>
      <c r="LMD29" s="279"/>
      <c r="LME29" s="279"/>
      <c r="LMF29" s="279"/>
      <c r="LMG29" s="279"/>
      <c r="LMH29" s="279"/>
      <c r="LMI29" s="279"/>
      <c r="LMJ29" s="279"/>
      <c r="LMK29" s="279"/>
      <c r="LML29" s="279"/>
      <c r="LMM29" s="279"/>
      <c r="LMN29" s="279"/>
      <c r="LMO29" s="279"/>
      <c r="LMP29" s="279"/>
      <c r="LMQ29" s="279"/>
      <c r="LMR29" s="279"/>
      <c r="LMS29" s="279"/>
      <c r="LMT29" s="279"/>
      <c r="LMU29" s="279"/>
      <c r="LMV29" s="279"/>
      <c r="LMW29" s="279"/>
      <c r="LMX29" s="279"/>
      <c r="LMY29" s="279"/>
      <c r="LMZ29" s="279"/>
      <c r="LNA29" s="279"/>
      <c r="LNB29" s="279"/>
      <c r="LNC29" s="279"/>
      <c r="LND29" s="279"/>
      <c r="LNE29" s="279"/>
      <c r="LNF29" s="279"/>
      <c r="LNG29" s="279"/>
      <c r="LNH29" s="279"/>
      <c r="LNI29" s="279"/>
      <c r="LNJ29" s="279"/>
      <c r="LNK29" s="279"/>
      <c r="LNL29" s="279"/>
      <c r="LNM29" s="279"/>
      <c r="LNN29" s="279"/>
      <c r="LNO29" s="279"/>
      <c r="LNP29" s="279"/>
      <c r="LNQ29" s="279"/>
      <c r="LNR29" s="279"/>
      <c r="LNS29" s="279"/>
      <c r="LNT29" s="279"/>
      <c r="LNU29" s="279"/>
      <c r="LNV29" s="279"/>
      <c r="LNW29" s="279"/>
      <c r="LNX29" s="279"/>
      <c r="LNY29" s="279"/>
      <c r="LNZ29" s="279"/>
      <c r="LOA29" s="279"/>
      <c r="LOB29" s="279"/>
      <c r="LOC29" s="279"/>
      <c r="LOD29" s="279"/>
      <c r="LOE29" s="279"/>
      <c r="LOF29" s="279"/>
      <c r="LOG29" s="279"/>
      <c r="LOH29" s="279"/>
      <c r="LOI29" s="279"/>
      <c r="LOJ29" s="279"/>
      <c r="LOK29" s="279"/>
      <c r="LOL29" s="279"/>
      <c r="LOM29" s="279"/>
      <c r="LON29" s="279"/>
      <c r="LOO29" s="279"/>
      <c r="LOP29" s="279"/>
      <c r="LOQ29" s="279"/>
      <c r="LOR29" s="279"/>
      <c r="LOS29" s="279"/>
      <c r="LOT29" s="279"/>
      <c r="LOU29" s="279"/>
      <c r="LOV29" s="279"/>
      <c r="LOW29" s="279"/>
      <c r="LOX29" s="279"/>
      <c r="LOY29" s="279"/>
      <c r="LOZ29" s="279"/>
      <c r="LPA29" s="279"/>
      <c r="LPB29" s="279"/>
      <c r="LPC29" s="279"/>
      <c r="LPD29" s="279"/>
      <c r="LPE29" s="279"/>
      <c r="LPF29" s="279"/>
      <c r="LPG29" s="279"/>
      <c r="LPH29" s="279"/>
      <c r="LPI29" s="279"/>
      <c r="LPJ29" s="279"/>
      <c r="LPK29" s="279"/>
      <c r="LPL29" s="279"/>
      <c r="LPM29" s="279"/>
      <c r="LPN29" s="279"/>
      <c r="LPO29" s="279"/>
      <c r="LPP29" s="279"/>
      <c r="LPQ29" s="279"/>
      <c r="LPR29" s="279"/>
      <c r="LPS29" s="279"/>
      <c r="LPT29" s="279"/>
      <c r="LPU29" s="279"/>
      <c r="LPV29" s="279"/>
      <c r="LPW29" s="279"/>
      <c r="LPX29" s="279"/>
      <c r="LPY29" s="279"/>
      <c r="LPZ29" s="279"/>
      <c r="LQA29" s="279"/>
      <c r="LQB29" s="279"/>
      <c r="LQC29" s="279"/>
      <c r="LQD29" s="279"/>
      <c r="LQE29" s="279"/>
      <c r="LQF29" s="279"/>
      <c r="LQG29" s="279"/>
      <c r="LQH29" s="279"/>
      <c r="LQI29" s="279"/>
      <c r="LQJ29" s="279"/>
      <c r="LQK29" s="279"/>
      <c r="LQL29" s="279"/>
      <c r="LQM29" s="279"/>
      <c r="LQN29" s="279"/>
      <c r="LQO29" s="279"/>
      <c r="LQP29" s="279"/>
      <c r="LQQ29" s="279"/>
      <c r="LQR29" s="279"/>
      <c r="LQS29" s="279"/>
      <c r="LQT29" s="279"/>
      <c r="LQU29" s="279"/>
      <c r="LQV29" s="279"/>
      <c r="LQW29" s="279"/>
      <c r="LQX29" s="279"/>
      <c r="LQY29" s="279"/>
      <c r="LQZ29" s="279"/>
      <c r="LRA29" s="279"/>
      <c r="LRB29" s="279"/>
      <c r="LRC29" s="279"/>
      <c r="LRD29" s="279"/>
      <c r="LRE29" s="279"/>
      <c r="LRF29" s="279"/>
      <c r="LRG29" s="279"/>
      <c r="LRH29" s="279"/>
      <c r="LRI29" s="279"/>
      <c r="LRJ29" s="279"/>
      <c r="LRK29" s="279"/>
      <c r="LRL29" s="279"/>
      <c r="LRM29" s="279"/>
      <c r="LRN29" s="279"/>
      <c r="LRO29" s="279"/>
      <c r="LRP29" s="279"/>
      <c r="LRQ29" s="279"/>
      <c r="LRR29" s="279"/>
      <c r="LRS29" s="279"/>
      <c r="LRT29" s="279"/>
      <c r="LRU29" s="279"/>
      <c r="LRV29" s="279"/>
      <c r="LRW29" s="279"/>
      <c r="LRX29" s="279"/>
      <c r="LRY29" s="279"/>
      <c r="LRZ29" s="279"/>
      <c r="LSA29" s="279"/>
      <c r="LSB29" s="279"/>
      <c r="LSC29" s="279"/>
      <c r="LSD29" s="279"/>
      <c r="LSE29" s="279"/>
      <c r="LSF29" s="279"/>
      <c r="LSG29" s="279"/>
      <c r="LSH29" s="279"/>
      <c r="LSI29" s="279"/>
      <c r="LSJ29" s="279"/>
      <c r="LSK29" s="279"/>
      <c r="LSL29" s="279"/>
      <c r="LSM29" s="279"/>
      <c r="LSN29" s="279"/>
      <c r="LSO29" s="279"/>
      <c r="LSP29" s="279"/>
      <c r="LSQ29" s="279"/>
      <c r="LSR29" s="279"/>
      <c r="LSS29" s="279"/>
      <c r="LST29" s="279"/>
      <c r="LSU29" s="279"/>
      <c r="LSV29" s="279"/>
      <c r="LSW29" s="279"/>
      <c r="LSX29" s="279"/>
      <c r="LSY29" s="279"/>
      <c r="LSZ29" s="279"/>
      <c r="LTA29" s="279"/>
      <c r="LTB29" s="279"/>
      <c r="LTC29" s="279"/>
      <c r="LTD29" s="279"/>
      <c r="LTE29" s="279"/>
      <c r="LTF29" s="279"/>
      <c r="LTG29" s="279"/>
      <c r="LTH29" s="279"/>
      <c r="LTI29" s="279"/>
      <c r="LTJ29" s="279"/>
      <c r="LTK29" s="279"/>
      <c r="LTL29" s="279"/>
      <c r="LTM29" s="279"/>
      <c r="LTN29" s="279"/>
      <c r="LTO29" s="279"/>
      <c r="LTP29" s="279"/>
      <c r="LTQ29" s="279"/>
      <c r="LTR29" s="279"/>
      <c r="LTS29" s="279"/>
      <c r="LTT29" s="279"/>
      <c r="LTU29" s="279"/>
      <c r="LTV29" s="279"/>
      <c r="LTW29" s="279"/>
      <c r="LTX29" s="279"/>
      <c r="LTY29" s="279"/>
      <c r="LTZ29" s="279"/>
      <c r="LUA29" s="279"/>
      <c r="LUB29" s="279"/>
      <c r="LUC29" s="279"/>
      <c r="LUD29" s="279"/>
      <c r="LUE29" s="279"/>
      <c r="LUF29" s="279"/>
      <c r="LUG29" s="279"/>
      <c r="LUH29" s="279"/>
      <c r="LUI29" s="279"/>
      <c r="LUJ29" s="279"/>
      <c r="LUK29" s="279"/>
      <c r="LUL29" s="279"/>
      <c r="LUM29" s="279"/>
      <c r="LUN29" s="279"/>
      <c r="LUO29" s="279"/>
      <c r="LUP29" s="279"/>
      <c r="LUQ29" s="279"/>
      <c r="LUR29" s="279"/>
      <c r="LUS29" s="279"/>
      <c r="LUT29" s="279"/>
      <c r="LUU29" s="279"/>
      <c r="LUV29" s="279"/>
      <c r="LUW29" s="279"/>
      <c r="LUX29" s="279"/>
      <c r="LUY29" s="279"/>
      <c r="LUZ29" s="279"/>
      <c r="LVA29" s="279"/>
      <c r="LVB29" s="279"/>
      <c r="LVC29" s="279"/>
      <c r="LVD29" s="279"/>
      <c r="LVE29" s="279"/>
      <c r="LVF29" s="279"/>
      <c r="LVG29" s="279"/>
      <c r="LVH29" s="279"/>
      <c r="LVI29" s="279"/>
      <c r="LVJ29" s="279"/>
      <c r="LVK29" s="279"/>
      <c r="LVL29" s="279"/>
      <c r="LVM29" s="279"/>
      <c r="LVN29" s="279"/>
      <c r="LVO29" s="279"/>
      <c r="LVP29" s="279"/>
      <c r="LVQ29" s="279"/>
      <c r="LVR29" s="279"/>
      <c r="LVS29" s="279"/>
      <c r="LVT29" s="279"/>
      <c r="LVU29" s="279"/>
      <c r="LVV29" s="279"/>
      <c r="LVW29" s="279"/>
      <c r="LVX29" s="279"/>
      <c r="LVY29" s="279"/>
      <c r="LVZ29" s="279"/>
      <c r="LWA29" s="279"/>
      <c r="LWB29" s="279"/>
      <c r="LWC29" s="279"/>
      <c r="LWD29" s="279"/>
      <c r="LWE29" s="279"/>
      <c r="LWF29" s="279"/>
      <c r="LWG29" s="279"/>
      <c r="LWH29" s="279"/>
      <c r="LWI29" s="279"/>
      <c r="LWJ29" s="279"/>
      <c r="LWK29" s="279"/>
      <c r="LWL29" s="279"/>
      <c r="LWM29" s="279"/>
      <c r="LWN29" s="279"/>
      <c r="LWO29" s="279"/>
      <c r="LWP29" s="279"/>
      <c r="LWQ29" s="279"/>
      <c r="LWR29" s="279"/>
      <c r="LWS29" s="279"/>
      <c r="LWT29" s="279"/>
      <c r="LWU29" s="279"/>
      <c r="LWV29" s="279"/>
      <c r="LWW29" s="279"/>
      <c r="LWX29" s="279"/>
      <c r="LWY29" s="279"/>
      <c r="LWZ29" s="279"/>
      <c r="LXA29" s="279"/>
      <c r="LXB29" s="279"/>
      <c r="LXC29" s="279"/>
      <c r="LXD29" s="279"/>
      <c r="LXE29" s="279"/>
      <c r="LXF29" s="279"/>
      <c r="LXG29" s="279"/>
      <c r="LXH29" s="279"/>
      <c r="LXI29" s="279"/>
      <c r="LXJ29" s="279"/>
      <c r="LXK29" s="279"/>
      <c r="LXL29" s="279"/>
      <c r="LXM29" s="279"/>
      <c r="LXN29" s="279"/>
      <c r="LXO29" s="279"/>
      <c r="LXP29" s="279"/>
      <c r="LXQ29" s="279"/>
      <c r="LXR29" s="279"/>
      <c r="LXS29" s="279"/>
      <c r="LXT29" s="279"/>
      <c r="LXU29" s="279"/>
      <c r="LXV29" s="279"/>
      <c r="LXW29" s="279"/>
      <c r="LXX29" s="279"/>
      <c r="LXY29" s="279"/>
      <c r="LXZ29" s="279"/>
      <c r="LYA29" s="279"/>
      <c r="LYB29" s="279"/>
      <c r="LYC29" s="279"/>
      <c r="LYD29" s="279"/>
      <c r="LYE29" s="279"/>
      <c r="LYF29" s="279"/>
      <c r="LYG29" s="279"/>
      <c r="LYH29" s="279"/>
      <c r="LYI29" s="279"/>
      <c r="LYJ29" s="279"/>
      <c r="LYK29" s="279"/>
      <c r="LYL29" s="279"/>
      <c r="LYM29" s="279"/>
      <c r="LYN29" s="279"/>
      <c r="LYO29" s="279"/>
      <c r="LYP29" s="279"/>
      <c r="LYQ29" s="279"/>
      <c r="LYR29" s="279"/>
      <c r="LYS29" s="279"/>
      <c r="LYT29" s="279"/>
      <c r="LYU29" s="279"/>
      <c r="LYV29" s="279"/>
      <c r="LYW29" s="279"/>
      <c r="LYX29" s="279"/>
      <c r="LYY29" s="279"/>
      <c r="LYZ29" s="279"/>
      <c r="LZA29" s="279"/>
      <c r="LZB29" s="279"/>
      <c r="LZC29" s="279"/>
      <c r="LZD29" s="279"/>
      <c r="LZE29" s="279"/>
      <c r="LZF29" s="279"/>
      <c r="LZG29" s="279"/>
      <c r="LZH29" s="279"/>
      <c r="LZI29" s="279"/>
      <c r="LZJ29" s="279"/>
      <c r="LZK29" s="279"/>
      <c r="LZL29" s="279"/>
      <c r="LZM29" s="279"/>
      <c r="LZN29" s="279"/>
      <c r="LZO29" s="279"/>
      <c r="LZP29" s="279"/>
      <c r="LZQ29" s="279"/>
      <c r="LZR29" s="279"/>
      <c r="LZS29" s="279"/>
      <c r="LZT29" s="279"/>
      <c r="LZU29" s="279"/>
      <c r="LZV29" s="279"/>
      <c r="LZW29" s="279"/>
      <c r="LZX29" s="279"/>
      <c r="LZY29" s="279"/>
      <c r="LZZ29" s="279"/>
      <c r="MAA29" s="279"/>
      <c r="MAB29" s="279"/>
      <c r="MAC29" s="279"/>
      <c r="MAD29" s="279"/>
      <c r="MAE29" s="279"/>
      <c r="MAF29" s="279"/>
      <c r="MAG29" s="279"/>
      <c r="MAH29" s="279"/>
      <c r="MAI29" s="279"/>
      <c r="MAJ29" s="279"/>
      <c r="MAK29" s="279"/>
      <c r="MAL29" s="279"/>
      <c r="MAM29" s="279"/>
      <c r="MAN29" s="279"/>
      <c r="MAO29" s="279"/>
      <c r="MAP29" s="279"/>
      <c r="MAQ29" s="279"/>
      <c r="MAR29" s="279"/>
      <c r="MAS29" s="279"/>
      <c r="MAT29" s="279"/>
      <c r="MAU29" s="279"/>
      <c r="MAV29" s="279"/>
      <c r="MAW29" s="279"/>
      <c r="MAX29" s="279"/>
      <c r="MAY29" s="279"/>
      <c r="MAZ29" s="279"/>
      <c r="MBA29" s="279"/>
      <c r="MBB29" s="279"/>
      <c r="MBC29" s="279"/>
      <c r="MBD29" s="279"/>
      <c r="MBE29" s="279"/>
      <c r="MBF29" s="279"/>
      <c r="MBG29" s="279"/>
      <c r="MBH29" s="279"/>
      <c r="MBI29" s="279"/>
      <c r="MBJ29" s="279"/>
      <c r="MBK29" s="279"/>
      <c r="MBL29" s="279"/>
      <c r="MBM29" s="279"/>
      <c r="MBN29" s="279"/>
      <c r="MBO29" s="279"/>
      <c r="MBP29" s="279"/>
      <c r="MBQ29" s="279"/>
      <c r="MBR29" s="279"/>
      <c r="MBS29" s="279"/>
      <c r="MBT29" s="279"/>
      <c r="MBU29" s="279"/>
      <c r="MBV29" s="279"/>
      <c r="MBW29" s="279"/>
      <c r="MBX29" s="279"/>
      <c r="MBY29" s="279"/>
      <c r="MBZ29" s="279"/>
      <c r="MCA29" s="279"/>
      <c r="MCB29" s="279"/>
      <c r="MCC29" s="279"/>
      <c r="MCD29" s="279"/>
      <c r="MCE29" s="279"/>
      <c r="MCF29" s="279"/>
      <c r="MCG29" s="279"/>
      <c r="MCH29" s="279"/>
      <c r="MCI29" s="279"/>
      <c r="MCJ29" s="279"/>
      <c r="MCK29" s="279"/>
      <c r="MCL29" s="279"/>
      <c r="MCM29" s="279"/>
      <c r="MCN29" s="279"/>
      <c r="MCO29" s="279"/>
      <c r="MCP29" s="279"/>
      <c r="MCQ29" s="279"/>
      <c r="MCR29" s="279"/>
      <c r="MCS29" s="279"/>
      <c r="MCT29" s="279"/>
      <c r="MCU29" s="279"/>
      <c r="MCV29" s="279"/>
      <c r="MCW29" s="279"/>
      <c r="MCX29" s="279"/>
      <c r="MCY29" s="279"/>
      <c r="MCZ29" s="279"/>
      <c r="MDA29" s="279"/>
      <c r="MDB29" s="279"/>
      <c r="MDC29" s="279"/>
      <c r="MDD29" s="279"/>
      <c r="MDE29" s="279"/>
      <c r="MDF29" s="279"/>
      <c r="MDG29" s="279"/>
      <c r="MDH29" s="279"/>
      <c r="MDI29" s="279"/>
      <c r="MDJ29" s="279"/>
      <c r="MDK29" s="279"/>
      <c r="MDL29" s="279"/>
      <c r="MDM29" s="279"/>
      <c r="MDN29" s="279"/>
      <c r="MDO29" s="279"/>
      <c r="MDP29" s="279"/>
      <c r="MDQ29" s="279"/>
      <c r="MDR29" s="279"/>
      <c r="MDS29" s="279"/>
      <c r="MDT29" s="279"/>
      <c r="MDU29" s="279"/>
      <c r="MDV29" s="279"/>
      <c r="MDW29" s="279"/>
      <c r="MDX29" s="279"/>
      <c r="MDY29" s="279"/>
      <c r="MDZ29" s="279"/>
      <c r="MEA29" s="279"/>
      <c r="MEB29" s="279"/>
      <c r="MEC29" s="279"/>
      <c r="MED29" s="279"/>
      <c r="MEE29" s="279"/>
      <c r="MEF29" s="279"/>
      <c r="MEG29" s="279"/>
      <c r="MEH29" s="279"/>
      <c r="MEI29" s="279"/>
      <c r="MEJ29" s="279"/>
      <c r="MEK29" s="279"/>
      <c r="MEL29" s="279"/>
      <c r="MEM29" s="279"/>
      <c r="MEN29" s="279"/>
      <c r="MEO29" s="279"/>
      <c r="MEP29" s="279"/>
      <c r="MEQ29" s="279"/>
      <c r="MER29" s="279"/>
      <c r="MES29" s="279"/>
      <c r="MET29" s="279"/>
      <c r="MEU29" s="279"/>
      <c r="MEV29" s="279"/>
      <c r="MEW29" s="279"/>
      <c r="MEX29" s="279"/>
      <c r="MEY29" s="279"/>
      <c r="MEZ29" s="279"/>
      <c r="MFA29" s="279"/>
      <c r="MFB29" s="279"/>
      <c r="MFC29" s="279"/>
      <c r="MFD29" s="279"/>
      <c r="MFE29" s="279"/>
      <c r="MFF29" s="279"/>
      <c r="MFG29" s="279"/>
      <c r="MFH29" s="279"/>
      <c r="MFI29" s="279"/>
      <c r="MFJ29" s="279"/>
      <c r="MFK29" s="279"/>
      <c r="MFL29" s="279"/>
      <c r="MFM29" s="279"/>
      <c r="MFN29" s="279"/>
      <c r="MFO29" s="279"/>
      <c r="MFP29" s="279"/>
      <c r="MFQ29" s="279"/>
      <c r="MFR29" s="279"/>
      <c r="MFS29" s="279"/>
      <c r="MFT29" s="279"/>
      <c r="MFU29" s="279"/>
      <c r="MFV29" s="279"/>
      <c r="MFW29" s="279"/>
      <c r="MFX29" s="279"/>
      <c r="MFY29" s="279"/>
      <c r="MFZ29" s="279"/>
      <c r="MGA29" s="279"/>
      <c r="MGB29" s="279"/>
      <c r="MGC29" s="279"/>
      <c r="MGD29" s="279"/>
      <c r="MGE29" s="279"/>
      <c r="MGF29" s="279"/>
      <c r="MGG29" s="279"/>
      <c r="MGH29" s="279"/>
      <c r="MGI29" s="279"/>
      <c r="MGJ29" s="279"/>
      <c r="MGK29" s="279"/>
      <c r="MGL29" s="279"/>
      <c r="MGM29" s="279"/>
      <c r="MGN29" s="279"/>
      <c r="MGO29" s="279"/>
      <c r="MGP29" s="279"/>
      <c r="MGQ29" s="279"/>
      <c r="MGR29" s="279"/>
      <c r="MGS29" s="279"/>
      <c r="MGT29" s="279"/>
      <c r="MGU29" s="279"/>
      <c r="MGV29" s="279"/>
      <c r="MGW29" s="279"/>
      <c r="MGX29" s="279"/>
      <c r="MGY29" s="279"/>
      <c r="MGZ29" s="279"/>
      <c r="MHA29" s="279"/>
      <c r="MHB29" s="279"/>
      <c r="MHC29" s="279"/>
      <c r="MHD29" s="279"/>
      <c r="MHE29" s="279"/>
      <c r="MHF29" s="279"/>
      <c r="MHG29" s="279"/>
      <c r="MHH29" s="279"/>
      <c r="MHI29" s="279"/>
      <c r="MHJ29" s="279"/>
      <c r="MHK29" s="279"/>
      <c r="MHL29" s="279"/>
      <c r="MHM29" s="279"/>
      <c r="MHN29" s="279"/>
      <c r="MHO29" s="279"/>
      <c r="MHP29" s="279"/>
      <c r="MHQ29" s="279"/>
      <c r="MHR29" s="279"/>
      <c r="MHS29" s="279"/>
      <c r="MHT29" s="279"/>
      <c r="MHU29" s="279"/>
      <c r="MHV29" s="279"/>
      <c r="MHW29" s="279"/>
      <c r="MHX29" s="279"/>
      <c r="MHY29" s="279"/>
      <c r="MHZ29" s="279"/>
      <c r="MIA29" s="279"/>
      <c r="MIB29" s="279"/>
      <c r="MIC29" s="279"/>
      <c r="MID29" s="279"/>
      <c r="MIE29" s="279"/>
      <c r="MIF29" s="279"/>
      <c r="MIG29" s="279"/>
      <c r="MIH29" s="279"/>
      <c r="MII29" s="279"/>
      <c r="MIJ29" s="279"/>
      <c r="MIK29" s="279"/>
      <c r="MIL29" s="279"/>
      <c r="MIM29" s="279"/>
      <c r="MIN29" s="279"/>
      <c r="MIO29" s="279"/>
      <c r="MIP29" s="279"/>
      <c r="MIQ29" s="279"/>
      <c r="MIR29" s="279"/>
      <c r="MIS29" s="279"/>
      <c r="MIT29" s="279"/>
      <c r="MIU29" s="279"/>
      <c r="MIV29" s="279"/>
      <c r="MIW29" s="279"/>
      <c r="MIX29" s="279"/>
      <c r="MIY29" s="279"/>
      <c r="MIZ29" s="279"/>
      <c r="MJA29" s="279"/>
      <c r="MJB29" s="279"/>
      <c r="MJC29" s="279"/>
      <c r="MJD29" s="279"/>
      <c r="MJE29" s="279"/>
      <c r="MJF29" s="279"/>
      <c r="MJG29" s="279"/>
      <c r="MJH29" s="279"/>
      <c r="MJI29" s="279"/>
      <c r="MJJ29" s="279"/>
      <c r="MJK29" s="279"/>
      <c r="MJL29" s="279"/>
      <c r="MJM29" s="279"/>
      <c r="MJN29" s="279"/>
      <c r="MJO29" s="279"/>
      <c r="MJP29" s="279"/>
      <c r="MJQ29" s="279"/>
      <c r="MJR29" s="279"/>
      <c r="MJS29" s="279"/>
      <c r="MJT29" s="279"/>
      <c r="MJU29" s="279"/>
      <c r="MJV29" s="279"/>
      <c r="MJW29" s="279"/>
      <c r="MJX29" s="279"/>
      <c r="MJY29" s="279"/>
      <c r="MJZ29" s="279"/>
      <c r="MKA29" s="279"/>
      <c r="MKB29" s="279"/>
      <c r="MKC29" s="279"/>
      <c r="MKD29" s="279"/>
      <c r="MKE29" s="279"/>
      <c r="MKF29" s="279"/>
      <c r="MKG29" s="279"/>
      <c r="MKH29" s="279"/>
      <c r="MKI29" s="279"/>
      <c r="MKJ29" s="279"/>
      <c r="MKK29" s="279"/>
      <c r="MKL29" s="279"/>
      <c r="MKM29" s="279"/>
      <c r="MKN29" s="279"/>
      <c r="MKO29" s="279"/>
      <c r="MKP29" s="279"/>
      <c r="MKQ29" s="279"/>
      <c r="MKR29" s="279"/>
      <c r="MKS29" s="279"/>
      <c r="MKT29" s="279"/>
      <c r="MKU29" s="279"/>
      <c r="MKV29" s="279"/>
      <c r="MKW29" s="279"/>
      <c r="MKX29" s="279"/>
      <c r="MKY29" s="279"/>
      <c r="MKZ29" s="279"/>
      <c r="MLA29" s="279"/>
      <c r="MLB29" s="279"/>
      <c r="MLC29" s="279"/>
      <c r="MLD29" s="279"/>
      <c r="MLE29" s="279"/>
      <c r="MLF29" s="279"/>
      <c r="MLG29" s="279"/>
      <c r="MLH29" s="279"/>
      <c r="MLI29" s="279"/>
      <c r="MLJ29" s="279"/>
      <c r="MLK29" s="279"/>
      <c r="MLL29" s="279"/>
      <c r="MLM29" s="279"/>
      <c r="MLN29" s="279"/>
      <c r="MLO29" s="279"/>
      <c r="MLP29" s="279"/>
      <c r="MLQ29" s="279"/>
      <c r="MLR29" s="279"/>
      <c r="MLS29" s="279"/>
      <c r="MLT29" s="279"/>
      <c r="MLU29" s="279"/>
      <c r="MLV29" s="279"/>
      <c r="MLW29" s="279"/>
      <c r="MLX29" s="279"/>
      <c r="MLY29" s="279"/>
      <c r="MLZ29" s="279"/>
      <c r="MMA29" s="279"/>
      <c r="MMB29" s="279"/>
      <c r="MMC29" s="279"/>
      <c r="MMD29" s="279"/>
      <c r="MME29" s="279"/>
      <c r="MMF29" s="279"/>
      <c r="MMG29" s="279"/>
      <c r="MMH29" s="279"/>
      <c r="MMI29" s="279"/>
      <c r="MMJ29" s="279"/>
      <c r="MMK29" s="279"/>
      <c r="MML29" s="279"/>
      <c r="MMM29" s="279"/>
      <c r="MMN29" s="279"/>
      <c r="MMO29" s="279"/>
      <c r="MMP29" s="279"/>
      <c r="MMQ29" s="279"/>
      <c r="MMR29" s="279"/>
      <c r="MMS29" s="279"/>
      <c r="MMT29" s="279"/>
      <c r="MMU29" s="279"/>
      <c r="MMV29" s="279"/>
      <c r="MMW29" s="279"/>
      <c r="MMX29" s="279"/>
      <c r="MMY29" s="279"/>
      <c r="MMZ29" s="279"/>
      <c r="MNA29" s="279"/>
      <c r="MNB29" s="279"/>
      <c r="MNC29" s="279"/>
      <c r="MND29" s="279"/>
      <c r="MNE29" s="279"/>
      <c r="MNF29" s="279"/>
      <c r="MNG29" s="279"/>
      <c r="MNH29" s="279"/>
      <c r="MNI29" s="279"/>
      <c r="MNJ29" s="279"/>
      <c r="MNK29" s="279"/>
      <c r="MNL29" s="279"/>
      <c r="MNM29" s="279"/>
      <c r="MNN29" s="279"/>
      <c r="MNO29" s="279"/>
      <c r="MNP29" s="279"/>
      <c r="MNQ29" s="279"/>
      <c r="MNR29" s="279"/>
      <c r="MNS29" s="279"/>
      <c r="MNT29" s="279"/>
      <c r="MNU29" s="279"/>
      <c r="MNV29" s="279"/>
      <c r="MNW29" s="279"/>
      <c r="MNX29" s="279"/>
      <c r="MNY29" s="279"/>
      <c r="MNZ29" s="279"/>
      <c r="MOA29" s="279"/>
      <c r="MOB29" s="279"/>
      <c r="MOC29" s="279"/>
      <c r="MOD29" s="279"/>
      <c r="MOE29" s="279"/>
      <c r="MOF29" s="279"/>
      <c r="MOG29" s="279"/>
      <c r="MOH29" s="279"/>
      <c r="MOI29" s="279"/>
      <c r="MOJ29" s="279"/>
      <c r="MOK29" s="279"/>
      <c r="MOL29" s="279"/>
      <c r="MOM29" s="279"/>
      <c r="MON29" s="279"/>
      <c r="MOO29" s="279"/>
      <c r="MOP29" s="279"/>
      <c r="MOQ29" s="279"/>
      <c r="MOR29" s="279"/>
      <c r="MOS29" s="279"/>
      <c r="MOT29" s="279"/>
      <c r="MOU29" s="279"/>
      <c r="MOV29" s="279"/>
      <c r="MOW29" s="279"/>
      <c r="MOX29" s="279"/>
      <c r="MOY29" s="279"/>
      <c r="MOZ29" s="279"/>
      <c r="MPA29" s="279"/>
      <c r="MPB29" s="279"/>
      <c r="MPC29" s="279"/>
      <c r="MPD29" s="279"/>
      <c r="MPE29" s="279"/>
      <c r="MPF29" s="279"/>
      <c r="MPG29" s="279"/>
      <c r="MPH29" s="279"/>
      <c r="MPI29" s="279"/>
      <c r="MPJ29" s="279"/>
      <c r="MPK29" s="279"/>
      <c r="MPL29" s="279"/>
      <c r="MPM29" s="279"/>
      <c r="MPN29" s="279"/>
      <c r="MPO29" s="279"/>
      <c r="MPP29" s="279"/>
      <c r="MPQ29" s="279"/>
      <c r="MPR29" s="279"/>
      <c r="MPS29" s="279"/>
      <c r="MPT29" s="279"/>
      <c r="MPU29" s="279"/>
      <c r="MPV29" s="279"/>
      <c r="MPW29" s="279"/>
      <c r="MPX29" s="279"/>
      <c r="MPY29" s="279"/>
      <c r="MPZ29" s="279"/>
      <c r="MQA29" s="279"/>
      <c r="MQB29" s="279"/>
      <c r="MQC29" s="279"/>
      <c r="MQD29" s="279"/>
      <c r="MQE29" s="279"/>
      <c r="MQF29" s="279"/>
      <c r="MQG29" s="279"/>
      <c r="MQH29" s="279"/>
      <c r="MQI29" s="279"/>
      <c r="MQJ29" s="279"/>
      <c r="MQK29" s="279"/>
      <c r="MQL29" s="279"/>
      <c r="MQM29" s="279"/>
      <c r="MQN29" s="279"/>
      <c r="MQO29" s="279"/>
      <c r="MQP29" s="279"/>
      <c r="MQQ29" s="279"/>
      <c r="MQR29" s="279"/>
      <c r="MQS29" s="279"/>
      <c r="MQT29" s="279"/>
      <c r="MQU29" s="279"/>
      <c r="MQV29" s="279"/>
      <c r="MQW29" s="279"/>
      <c r="MQX29" s="279"/>
      <c r="MQY29" s="279"/>
      <c r="MQZ29" s="279"/>
      <c r="MRA29" s="279"/>
      <c r="MRB29" s="279"/>
      <c r="MRC29" s="279"/>
      <c r="MRD29" s="279"/>
      <c r="MRE29" s="279"/>
      <c r="MRF29" s="279"/>
      <c r="MRG29" s="279"/>
      <c r="MRH29" s="279"/>
      <c r="MRI29" s="279"/>
      <c r="MRJ29" s="279"/>
      <c r="MRK29" s="279"/>
      <c r="MRL29" s="279"/>
      <c r="MRM29" s="279"/>
      <c r="MRN29" s="279"/>
      <c r="MRO29" s="279"/>
      <c r="MRP29" s="279"/>
      <c r="MRQ29" s="279"/>
      <c r="MRR29" s="279"/>
      <c r="MRS29" s="279"/>
      <c r="MRT29" s="279"/>
      <c r="MRU29" s="279"/>
      <c r="MRV29" s="279"/>
      <c r="MRW29" s="279"/>
      <c r="MRX29" s="279"/>
      <c r="MRY29" s="279"/>
      <c r="MRZ29" s="279"/>
      <c r="MSA29" s="279"/>
      <c r="MSB29" s="279"/>
      <c r="MSC29" s="279"/>
      <c r="MSD29" s="279"/>
      <c r="MSE29" s="279"/>
      <c r="MSF29" s="279"/>
      <c r="MSG29" s="279"/>
      <c r="MSH29" s="279"/>
      <c r="MSI29" s="279"/>
      <c r="MSJ29" s="279"/>
      <c r="MSK29" s="279"/>
      <c r="MSL29" s="279"/>
      <c r="MSM29" s="279"/>
      <c r="MSN29" s="279"/>
      <c r="MSO29" s="279"/>
      <c r="MSP29" s="279"/>
      <c r="MSQ29" s="279"/>
      <c r="MSR29" s="279"/>
      <c r="MSS29" s="279"/>
      <c r="MST29" s="279"/>
      <c r="MSU29" s="279"/>
      <c r="MSV29" s="279"/>
      <c r="MSW29" s="279"/>
      <c r="MSX29" s="279"/>
      <c r="MSY29" s="279"/>
      <c r="MSZ29" s="279"/>
      <c r="MTA29" s="279"/>
      <c r="MTB29" s="279"/>
      <c r="MTC29" s="279"/>
      <c r="MTD29" s="279"/>
      <c r="MTE29" s="279"/>
      <c r="MTF29" s="279"/>
      <c r="MTG29" s="279"/>
      <c r="MTH29" s="279"/>
      <c r="MTI29" s="279"/>
      <c r="MTJ29" s="279"/>
      <c r="MTK29" s="279"/>
      <c r="MTL29" s="279"/>
      <c r="MTM29" s="279"/>
      <c r="MTN29" s="279"/>
      <c r="MTO29" s="279"/>
      <c r="MTP29" s="279"/>
      <c r="MTQ29" s="279"/>
      <c r="MTR29" s="279"/>
      <c r="MTS29" s="279"/>
      <c r="MTT29" s="279"/>
      <c r="MTU29" s="279"/>
      <c r="MTV29" s="279"/>
      <c r="MTW29" s="279"/>
      <c r="MTX29" s="279"/>
      <c r="MTY29" s="279"/>
      <c r="MTZ29" s="279"/>
      <c r="MUA29" s="279"/>
      <c r="MUB29" s="279"/>
      <c r="MUC29" s="279"/>
      <c r="MUD29" s="279"/>
      <c r="MUE29" s="279"/>
      <c r="MUF29" s="279"/>
      <c r="MUG29" s="279"/>
      <c r="MUH29" s="279"/>
      <c r="MUI29" s="279"/>
      <c r="MUJ29" s="279"/>
      <c r="MUK29" s="279"/>
      <c r="MUL29" s="279"/>
      <c r="MUM29" s="279"/>
      <c r="MUN29" s="279"/>
      <c r="MUO29" s="279"/>
      <c r="MUP29" s="279"/>
      <c r="MUQ29" s="279"/>
      <c r="MUR29" s="279"/>
      <c r="MUS29" s="279"/>
      <c r="MUT29" s="279"/>
      <c r="MUU29" s="279"/>
      <c r="MUV29" s="279"/>
      <c r="MUW29" s="279"/>
      <c r="MUX29" s="279"/>
      <c r="MUY29" s="279"/>
      <c r="MUZ29" s="279"/>
      <c r="MVA29" s="279"/>
      <c r="MVB29" s="279"/>
      <c r="MVC29" s="279"/>
      <c r="MVD29" s="279"/>
      <c r="MVE29" s="279"/>
      <c r="MVF29" s="279"/>
      <c r="MVG29" s="279"/>
      <c r="MVH29" s="279"/>
      <c r="MVI29" s="279"/>
      <c r="MVJ29" s="279"/>
      <c r="MVK29" s="279"/>
      <c r="MVL29" s="279"/>
      <c r="MVM29" s="279"/>
      <c r="MVN29" s="279"/>
      <c r="MVO29" s="279"/>
      <c r="MVP29" s="279"/>
      <c r="MVQ29" s="279"/>
      <c r="MVR29" s="279"/>
      <c r="MVS29" s="279"/>
      <c r="MVT29" s="279"/>
      <c r="MVU29" s="279"/>
      <c r="MVV29" s="279"/>
      <c r="MVW29" s="279"/>
      <c r="MVX29" s="279"/>
      <c r="MVY29" s="279"/>
      <c r="MVZ29" s="279"/>
      <c r="MWA29" s="279"/>
      <c r="MWB29" s="279"/>
      <c r="MWC29" s="279"/>
      <c r="MWD29" s="279"/>
      <c r="MWE29" s="279"/>
      <c r="MWF29" s="279"/>
      <c r="MWG29" s="279"/>
      <c r="MWH29" s="279"/>
      <c r="MWI29" s="279"/>
      <c r="MWJ29" s="279"/>
      <c r="MWK29" s="279"/>
      <c r="MWL29" s="279"/>
      <c r="MWM29" s="279"/>
      <c r="MWN29" s="279"/>
      <c r="MWO29" s="279"/>
      <c r="MWP29" s="279"/>
      <c r="MWQ29" s="279"/>
      <c r="MWR29" s="279"/>
      <c r="MWS29" s="279"/>
      <c r="MWT29" s="279"/>
      <c r="MWU29" s="279"/>
      <c r="MWV29" s="279"/>
      <c r="MWW29" s="279"/>
      <c r="MWX29" s="279"/>
      <c r="MWY29" s="279"/>
      <c r="MWZ29" s="279"/>
      <c r="MXA29" s="279"/>
      <c r="MXB29" s="279"/>
      <c r="MXC29" s="279"/>
      <c r="MXD29" s="279"/>
      <c r="MXE29" s="279"/>
      <c r="MXF29" s="279"/>
      <c r="MXG29" s="279"/>
      <c r="MXH29" s="279"/>
      <c r="MXI29" s="279"/>
      <c r="MXJ29" s="279"/>
      <c r="MXK29" s="279"/>
      <c r="MXL29" s="279"/>
      <c r="MXM29" s="279"/>
      <c r="MXN29" s="279"/>
      <c r="MXO29" s="279"/>
      <c r="MXP29" s="279"/>
      <c r="MXQ29" s="279"/>
      <c r="MXR29" s="279"/>
      <c r="MXS29" s="279"/>
      <c r="MXT29" s="279"/>
      <c r="MXU29" s="279"/>
      <c r="MXV29" s="279"/>
      <c r="MXW29" s="279"/>
      <c r="MXX29" s="279"/>
      <c r="MXY29" s="279"/>
      <c r="MXZ29" s="279"/>
      <c r="MYA29" s="279"/>
      <c r="MYB29" s="279"/>
      <c r="MYC29" s="279"/>
      <c r="MYD29" s="279"/>
      <c r="MYE29" s="279"/>
      <c r="MYF29" s="279"/>
      <c r="MYG29" s="279"/>
      <c r="MYH29" s="279"/>
      <c r="MYI29" s="279"/>
      <c r="MYJ29" s="279"/>
      <c r="MYK29" s="279"/>
      <c r="MYL29" s="279"/>
      <c r="MYM29" s="279"/>
      <c r="MYN29" s="279"/>
      <c r="MYO29" s="279"/>
      <c r="MYP29" s="279"/>
      <c r="MYQ29" s="279"/>
      <c r="MYR29" s="279"/>
      <c r="MYS29" s="279"/>
      <c r="MYT29" s="279"/>
      <c r="MYU29" s="279"/>
      <c r="MYV29" s="279"/>
      <c r="MYW29" s="279"/>
      <c r="MYX29" s="279"/>
      <c r="MYY29" s="279"/>
      <c r="MYZ29" s="279"/>
      <c r="MZA29" s="279"/>
      <c r="MZB29" s="279"/>
      <c r="MZC29" s="279"/>
      <c r="MZD29" s="279"/>
      <c r="MZE29" s="279"/>
      <c r="MZF29" s="279"/>
      <c r="MZG29" s="279"/>
      <c r="MZH29" s="279"/>
      <c r="MZI29" s="279"/>
      <c r="MZJ29" s="279"/>
      <c r="MZK29" s="279"/>
      <c r="MZL29" s="279"/>
      <c r="MZM29" s="279"/>
      <c r="MZN29" s="279"/>
      <c r="MZO29" s="279"/>
      <c r="MZP29" s="279"/>
      <c r="MZQ29" s="279"/>
      <c r="MZR29" s="279"/>
      <c r="MZS29" s="279"/>
      <c r="MZT29" s="279"/>
      <c r="MZU29" s="279"/>
      <c r="MZV29" s="279"/>
      <c r="MZW29" s="279"/>
      <c r="MZX29" s="279"/>
      <c r="MZY29" s="279"/>
      <c r="MZZ29" s="279"/>
      <c r="NAA29" s="279"/>
      <c r="NAB29" s="279"/>
      <c r="NAC29" s="279"/>
      <c r="NAD29" s="279"/>
      <c r="NAE29" s="279"/>
      <c r="NAF29" s="279"/>
      <c r="NAG29" s="279"/>
      <c r="NAH29" s="279"/>
      <c r="NAI29" s="279"/>
      <c r="NAJ29" s="279"/>
      <c r="NAK29" s="279"/>
      <c r="NAL29" s="279"/>
      <c r="NAM29" s="279"/>
      <c r="NAN29" s="279"/>
      <c r="NAO29" s="279"/>
      <c r="NAP29" s="279"/>
      <c r="NAQ29" s="279"/>
      <c r="NAR29" s="279"/>
      <c r="NAS29" s="279"/>
      <c r="NAT29" s="279"/>
      <c r="NAU29" s="279"/>
      <c r="NAV29" s="279"/>
      <c r="NAW29" s="279"/>
      <c r="NAX29" s="279"/>
      <c r="NAY29" s="279"/>
      <c r="NAZ29" s="279"/>
      <c r="NBA29" s="279"/>
      <c r="NBB29" s="279"/>
      <c r="NBC29" s="279"/>
      <c r="NBD29" s="279"/>
      <c r="NBE29" s="279"/>
      <c r="NBF29" s="279"/>
      <c r="NBG29" s="279"/>
      <c r="NBH29" s="279"/>
      <c r="NBI29" s="279"/>
      <c r="NBJ29" s="279"/>
      <c r="NBK29" s="279"/>
      <c r="NBL29" s="279"/>
      <c r="NBM29" s="279"/>
      <c r="NBN29" s="279"/>
      <c r="NBO29" s="279"/>
      <c r="NBP29" s="279"/>
      <c r="NBQ29" s="279"/>
      <c r="NBR29" s="279"/>
      <c r="NBS29" s="279"/>
      <c r="NBT29" s="279"/>
      <c r="NBU29" s="279"/>
      <c r="NBV29" s="279"/>
      <c r="NBW29" s="279"/>
      <c r="NBX29" s="279"/>
      <c r="NBY29" s="279"/>
      <c r="NBZ29" s="279"/>
      <c r="NCA29" s="279"/>
      <c r="NCB29" s="279"/>
      <c r="NCC29" s="279"/>
      <c r="NCD29" s="279"/>
      <c r="NCE29" s="279"/>
      <c r="NCF29" s="279"/>
      <c r="NCG29" s="279"/>
      <c r="NCH29" s="279"/>
      <c r="NCI29" s="279"/>
      <c r="NCJ29" s="279"/>
      <c r="NCK29" s="279"/>
      <c r="NCL29" s="279"/>
      <c r="NCM29" s="279"/>
      <c r="NCN29" s="279"/>
      <c r="NCO29" s="279"/>
      <c r="NCP29" s="279"/>
      <c r="NCQ29" s="279"/>
      <c r="NCR29" s="279"/>
      <c r="NCS29" s="279"/>
      <c r="NCT29" s="279"/>
      <c r="NCU29" s="279"/>
      <c r="NCV29" s="279"/>
      <c r="NCW29" s="279"/>
      <c r="NCX29" s="279"/>
      <c r="NCY29" s="279"/>
      <c r="NCZ29" s="279"/>
      <c r="NDA29" s="279"/>
      <c r="NDB29" s="279"/>
      <c r="NDC29" s="279"/>
      <c r="NDD29" s="279"/>
      <c r="NDE29" s="279"/>
      <c r="NDF29" s="279"/>
      <c r="NDG29" s="279"/>
      <c r="NDH29" s="279"/>
      <c r="NDI29" s="279"/>
      <c r="NDJ29" s="279"/>
      <c r="NDK29" s="279"/>
      <c r="NDL29" s="279"/>
      <c r="NDM29" s="279"/>
      <c r="NDN29" s="279"/>
      <c r="NDO29" s="279"/>
      <c r="NDP29" s="279"/>
      <c r="NDQ29" s="279"/>
      <c r="NDR29" s="279"/>
      <c r="NDS29" s="279"/>
      <c r="NDT29" s="279"/>
      <c r="NDU29" s="279"/>
      <c r="NDV29" s="279"/>
      <c r="NDW29" s="279"/>
      <c r="NDX29" s="279"/>
      <c r="NDY29" s="279"/>
      <c r="NDZ29" s="279"/>
      <c r="NEA29" s="279"/>
      <c r="NEB29" s="279"/>
      <c r="NEC29" s="279"/>
      <c r="NED29" s="279"/>
      <c r="NEE29" s="279"/>
      <c r="NEF29" s="279"/>
      <c r="NEG29" s="279"/>
      <c r="NEH29" s="279"/>
      <c r="NEI29" s="279"/>
      <c r="NEJ29" s="279"/>
      <c r="NEK29" s="279"/>
      <c r="NEL29" s="279"/>
      <c r="NEM29" s="279"/>
      <c r="NEN29" s="279"/>
      <c r="NEO29" s="279"/>
      <c r="NEP29" s="279"/>
      <c r="NEQ29" s="279"/>
      <c r="NER29" s="279"/>
      <c r="NES29" s="279"/>
      <c r="NET29" s="279"/>
      <c r="NEU29" s="279"/>
      <c r="NEV29" s="279"/>
      <c r="NEW29" s="279"/>
      <c r="NEX29" s="279"/>
      <c r="NEY29" s="279"/>
      <c r="NEZ29" s="279"/>
      <c r="NFA29" s="279"/>
      <c r="NFB29" s="279"/>
      <c r="NFC29" s="279"/>
      <c r="NFD29" s="279"/>
      <c r="NFE29" s="279"/>
      <c r="NFF29" s="279"/>
      <c r="NFG29" s="279"/>
      <c r="NFH29" s="279"/>
      <c r="NFI29" s="279"/>
      <c r="NFJ29" s="279"/>
      <c r="NFK29" s="279"/>
      <c r="NFL29" s="279"/>
      <c r="NFM29" s="279"/>
      <c r="NFN29" s="279"/>
      <c r="NFO29" s="279"/>
      <c r="NFP29" s="279"/>
      <c r="NFQ29" s="279"/>
      <c r="NFR29" s="279"/>
      <c r="NFS29" s="279"/>
      <c r="NFT29" s="279"/>
      <c r="NFU29" s="279"/>
      <c r="NFV29" s="279"/>
      <c r="NFW29" s="279"/>
      <c r="NFX29" s="279"/>
      <c r="NFY29" s="279"/>
      <c r="NFZ29" s="279"/>
      <c r="NGA29" s="279"/>
      <c r="NGB29" s="279"/>
      <c r="NGC29" s="279"/>
      <c r="NGD29" s="279"/>
      <c r="NGE29" s="279"/>
      <c r="NGF29" s="279"/>
      <c r="NGG29" s="279"/>
      <c r="NGH29" s="279"/>
      <c r="NGI29" s="279"/>
      <c r="NGJ29" s="279"/>
      <c r="NGK29" s="279"/>
      <c r="NGL29" s="279"/>
      <c r="NGM29" s="279"/>
      <c r="NGN29" s="279"/>
      <c r="NGO29" s="279"/>
      <c r="NGP29" s="279"/>
      <c r="NGQ29" s="279"/>
      <c r="NGR29" s="279"/>
      <c r="NGS29" s="279"/>
      <c r="NGT29" s="279"/>
      <c r="NGU29" s="279"/>
      <c r="NGV29" s="279"/>
      <c r="NGW29" s="279"/>
      <c r="NGX29" s="279"/>
      <c r="NGY29" s="279"/>
      <c r="NGZ29" s="279"/>
      <c r="NHA29" s="279"/>
      <c r="NHB29" s="279"/>
      <c r="NHC29" s="279"/>
      <c r="NHD29" s="279"/>
      <c r="NHE29" s="279"/>
      <c r="NHF29" s="279"/>
      <c r="NHG29" s="279"/>
      <c r="NHH29" s="279"/>
      <c r="NHI29" s="279"/>
      <c r="NHJ29" s="279"/>
      <c r="NHK29" s="279"/>
      <c r="NHL29" s="279"/>
      <c r="NHM29" s="279"/>
      <c r="NHN29" s="279"/>
      <c r="NHO29" s="279"/>
      <c r="NHP29" s="279"/>
      <c r="NHQ29" s="279"/>
      <c r="NHR29" s="279"/>
      <c r="NHS29" s="279"/>
      <c r="NHT29" s="279"/>
      <c r="NHU29" s="279"/>
      <c r="NHV29" s="279"/>
      <c r="NHW29" s="279"/>
      <c r="NHX29" s="279"/>
      <c r="NHY29" s="279"/>
      <c r="NHZ29" s="279"/>
      <c r="NIA29" s="279"/>
      <c r="NIB29" s="279"/>
      <c r="NIC29" s="279"/>
      <c r="NID29" s="279"/>
      <c r="NIE29" s="279"/>
      <c r="NIF29" s="279"/>
      <c r="NIG29" s="279"/>
      <c r="NIH29" s="279"/>
      <c r="NII29" s="279"/>
      <c r="NIJ29" s="279"/>
      <c r="NIK29" s="279"/>
      <c r="NIL29" s="279"/>
      <c r="NIM29" s="279"/>
      <c r="NIN29" s="279"/>
      <c r="NIO29" s="279"/>
      <c r="NIP29" s="279"/>
      <c r="NIQ29" s="279"/>
      <c r="NIR29" s="279"/>
      <c r="NIS29" s="279"/>
      <c r="NIT29" s="279"/>
      <c r="NIU29" s="279"/>
      <c r="NIV29" s="279"/>
      <c r="NIW29" s="279"/>
      <c r="NIX29" s="279"/>
      <c r="NIY29" s="279"/>
      <c r="NIZ29" s="279"/>
      <c r="NJA29" s="279"/>
      <c r="NJB29" s="279"/>
      <c r="NJC29" s="279"/>
      <c r="NJD29" s="279"/>
      <c r="NJE29" s="279"/>
      <c r="NJF29" s="279"/>
      <c r="NJG29" s="279"/>
      <c r="NJH29" s="279"/>
      <c r="NJI29" s="279"/>
      <c r="NJJ29" s="279"/>
      <c r="NJK29" s="279"/>
      <c r="NJL29" s="279"/>
      <c r="NJM29" s="279"/>
      <c r="NJN29" s="279"/>
      <c r="NJO29" s="279"/>
      <c r="NJP29" s="279"/>
      <c r="NJQ29" s="279"/>
      <c r="NJR29" s="279"/>
      <c r="NJS29" s="279"/>
      <c r="NJT29" s="279"/>
      <c r="NJU29" s="279"/>
      <c r="NJV29" s="279"/>
      <c r="NJW29" s="279"/>
      <c r="NJX29" s="279"/>
      <c r="NJY29" s="279"/>
      <c r="NJZ29" s="279"/>
      <c r="NKA29" s="279"/>
      <c r="NKB29" s="279"/>
      <c r="NKC29" s="279"/>
      <c r="NKD29" s="279"/>
      <c r="NKE29" s="279"/>
      <c r="NKF29" s="279"/>
      <c r="NKG29" s="279"/>
      <c r="NKH29" s="279"/>
      <c r="NKI29" s="279"/>
      <c r="NKJ29" s="279"/>
      <c r="NKK29" s="279"/>
      <c r="NKL29" s="279"/>
      <c r="NKM29" s="279"/>
      <c r="NKN29" s="279"/>
      <c r="NKO29" s="279"/>
      <c r="NKP29" s="279"/>
      <c r="NKQ29" s="279"/>
      <c r="NKR29" s="279"/>
      <c r="NKS29" s="279"/>
      <c r="NKT29" s="279"/>
      <c r="NKU29" s="279"/>
      <c r="NKV29" s="279"/>
      <c r="NKW29" s="279"/>
      <c r="NKX29" s="279"/>
      <c r="NKY29" s="279"/>
      <c r="NKZ29" s="279"/>
      <c r="NLA29" s="279"/>
      <c r="NLB29" s="279"/>
      <c r="NLC29" s="279"/>
      <c r="NLD29" s="279"/>
      <c r="NLE29" s="279"/>
      <c r="NLF29" s="279"/>
      <c r="NLG29" s="279"/>
      <c r="NLH29" s="279"/>
      <c r="NLI29" s="279"/>
      <c r="NLJ29" s="279"/>
      <c r="NLK29" s="279"/>
      <c r="NLL29" s="279"/>
      <c r="NLM29" s="279"/>
      <c r="NLN29" s="279"/>
      <c r="NLO29" s="279"/>
      <c r="NLP29" s="279"/>
      <c r="NLQ29" s="279"/>
      <c r="NLR29" s="279"/>
      <c r="NLS29" s="279"/>
      <c r="NLT29" s="279"/>
      <c r="NLU29" s="279"/>
      <c r="NLV29" s="279"/>
      <c r="NLW29" s="279"/>
      <c r="NLX29" s="279"/>
      <c r="NLY29" s="279"/>
      <c r="NLZ29" s="279"/>
      <c r="NMA29" s="279"/>
      <c r="NMB29" s="279"/>
      <c r="NMC29" s="279"/>
      <c r="NMD29" s="279"/>
      <c r="NME29" s="279"/>
      <c r="NMF29" s="279"/>
      <c r="NMG29" s="279"/>
      <c r="NMH29" s="279"/>
      <c r="NMI29" s="279"/>
      <c r="NMJ29" s="279"/>
      <c r="NMK29" s="279"/>
      <c r="NML29" s="279"/>
      <c r="NMM29" s="279"/>
      <c r="NMN29" s="279"/>
      <c r="NMO29" s="279"/>
      <c r="NMP29" s="279"/>
      <c r="NMQ29" s="279"/>
      <c r="NMR29" s="279"/>
      <c r="NMS29" s="279"/>
      <c r="NMT29" s="279"/>
      <c r="NMU29" s="279"/>
      <c r="NMV29" s="279"/>
      <c r="NMW29" s="279"/>
      <c r="NMX29" s="279"/>
      <c r="NMY29" s="279"/>
      <c r="NMZ29" s="279"/>
      <c r="NNA29" s="279"/>
      <c r="NNB29" s="279"/>
      <c r="NNC29" s="279"/>
      <c r="NND29" s="279"/>
      <c r="NNE29" s="279"/>
      <c r="NNF29" s="279"/>
      <c r="NNG29" s="279"/>
      <c r="NNH29" s="279"/>
      <c r="NNI29" s="279"/>
      <c r="NNJ29" s="279"/>
      <c r="NNK29" s="279"/>
      <c r="NNL29" s="279"/>
      <c r="NNM29" s="279"/>
      <c r="NNN29" s="279"/>
      <c r="NNO29" s="279"/>
      <c r="NNP29" s="279"/>
      <c r="NNQ29" s="279"/>
      <c r="NNR29" s="279"/>
      <c r="NNS29" s="279"/>
      <c r="NNT29" s="279"/>
      <c r="NNU29" s="279"/>
      <c r="NNV29" s="279"/>
      <c r="NNW29" s="279"/>
      <c r="NNX29" s="279"/>
      <c r="NNY29" s="279"/>
      <c r="NNZ29" s="279"/>
      <c r="NOA29" s="279"/>
      <c r="NOB29" s="279"/>
      <c r="NOC29" s="279"/>
      <c r="NOD29" s="279"/>
      <c r="NOE29" s="279"/>
      <c r="NOF29" s="279"/>
      <c r="NOG29" s="279"/>
      <c r="NOH29" s="279"/>
      <c r="NOI29" s="279"/>
      <c r="NOJ29" s="279"/>
      <c r="NOK29" s="279"/>
      <c r="NOL29" s="279"/>
      <c r="NOM29" s="279"/>
      <c r="NON29" s="279"/>
      <c r="NOO29" s="279"/>
      <c r="NOP29" s="279"/>
      <c r="NOQ29" s="279"/>
      <c r="NOR29" s="279"/>
      <c r="NOS29" s="279"/>
      <c r="NOT29" s="279"/>
      <c r="NOU29" s="279"/>
      <c r="NOV29" s="279"/>
      <c r="NOW29" s="279"/>
      <c r="NOX29" s="279"/>
      <c r="NOY29" s="279"/>
      <c r="NOZ29" s="279"/>
      <c r="NPA29" s="279"/>
      <c r="NPB29" s="279"/>
      <c r="NPC29" s="279"/>
      <c r="NPD29" s="279"/>
      <c r="NPE29" s="279"/>
      <c r="NPF29" s="279"/>
      <c r="NPG29" s="279"/>
      <c r="NPH29" s="279"/>
      <c r="NPI29" s="279"/>
      <c r="NPJ29" s="279"/>
      <c r="NPK29" s="279"/>
      <c r="NPL29" s="279"/>
      <c r="NPM29" s="279"/>
      <c r="NPN29" s="279"/>
      <c r="NPO29" s="279"/>
      <c r="NPP29" s="279"/>
      <c r="NPQ29" s="279"/>
      <c r="NPR29" s="279"/>
      <c r="NPS29" s="279"/>
      <c r="NPT29" s="279"/>
      <c r="NPU29" s="279"/>
      <c r="NPV29" s="279"/>
      <c r="NPW29" s="279"/>
      <c r="NPX29" s="279"/>
      <c r="NPY29" s="279"/>
      <c r="NPZ29" s="279"/>
      <c r="NQA29" s="279"/>
      <c r="NQB29" s="279"/>
      <c r="NQC29" s="279"/>
      <c r="NQD29" s="279"/>
      <c r="NQE29" s="279"/>
      <c r="NQF29" s="279"/>
      <c r="NQG29" s="279"/>
      <c r="NQH29" s="279"/>
      <c r="NQI29" s="279"/>
      <c r="NQJ29" s="279"/>
      <c r="NQK29" s="279"/>
      <c r="NQL29" s="279"/>
      <c r="NQM29" s="279"/>
      <c r="NQN29" s="279"/>
      <c r="NQO29" s="279"/>
      <c r="NQP29" s="279"/>
      <c r="NQQ29" s="279"/>
      <c r="NQR29" s="279"/>
      <c r="NQS29" s="279"/>
      <c r="NQT29" s="279"/>
      <c r="NQU29" s="279"/>
      <c r="NQV29" s="279"/>
      <c r="NQW29" s="279"/>
      <c r="NQX29" s="279"/>
      <c r="NQY29" s="279"/>
      <c r="NQZ29" s="279"/>
      <c r="NRA29" s="279"/>
      <c r="NRB29" s="279"/>
      <c r="NRC29" s="279"/>
      <c r="NRD29" s="279"/>
      <c r="NRE29" s="279"/>
      <c r="NRF29" s="279"/>
      <c r="NRG29" s="279"/>
      <c r="NRH29" s="279"/>
      <c r="NRI29" s="279"/>
      <c r="NRJ29" s="279"/>
      <c r="NRK29" s="279"/>
      <c r="NRL29" s="279"/>
      <c r="NRM29" s="279"/>
      <c r="NRN29" s="279"/>
      <c r="NRO29" s="279"/>
      <c r="NRP29" s="279"/>
      <c r="NRQ29" s="279"/>
      <c r="NRR29" s="279"/>
      <c r="NRS29" s="279"/>
      <c r="NRT29" s="279"/>
      <c r="NRU29" s="279"/>
      <c r="NRV29" s="279"/>
      <c r="NRW29" s="279"/>
      <c r="NRX29" s="279"/>
      <c r="NRY29" s="279"/>
      <c r="NRZ29" s="279"/>
      <c r="NSA29" s="279"/>
      <c r="NSB29" s="279"/>
      <c r="NSC29" s="279"/>
      <c r="NSD29" s="279"/>
      <c r="NSE29" s="279"/>
      <c r="NSF29" s="279"/>
      <c r="NSG29" s="279"/>
      <c r="NSH29" s="279"/>
      <c r="NSI29" s="279"/>
      <c r="NSJ29" s="279"/>
      <c r="NSK29" s="279"/>
      <c r="NSL29" s="279"/>
      <c r="NSM29" s="279"/>
      <c r="NSN29" s="279"/>
      <c r="NSO29" s="279"/>
      <c r="NSP29" s="279"/>
      <c r="NSQ29" s="279"/>
      <c r="NSR29" s="279"/>
      <c r="NSS29" s="279"/>
      <c r="NST29" s="279"/>
      <c r="NSU29" s="279"/>
      <c r="NSV29" s="279"/>
      <c r="NSW29" s="279"/>
      <c r="NSX29" s="279"/>
      <c r="NSY29" s="279"/>
      <c r="NSZ29" s="279"/>
      <c r="NTA29" s="279"/>
      <c r="NTB29" s="279"/>
      <c r="NTC29" s="279"/>
      <c r="NTD29" s="279"/>
      <c r="NTE29" s="279"/>
      <c r="NTF29" s="279"/>
      <c r="NTG29" s="279"/>
      <c r="NTH29" s="279"/>
      <c r="NTI29" s="279"/>
      <c r="NTJ29" s="279"/>
      <c r="NTK29" s="279"/>
      <c r="NTL29" s="279"/>
      <c r="NTM29" s="279"/>
      <c r="NTN29" s="279"/>
      <c r="NTO29" s="279"/>
      <c r="NTP29" s="279"/>
      <c r="NTQ29" s="279"/>
      <c r="NTR29" s="279"/>
      <c r="NTS29" s="279"/>
      <c r="NTT29" s="279"/>
      <c r="NTU29" s="279"/>
      <c r="NTV29" s="279"/>
      <c r="NTW29" s="279"/>
      <c r="NTX29" s="279"/>
      <c r="NTY29" s="279"/>
      <c r="NTZ29" s="279"/>
      <c r="NUA29" s="279"/>
      <c r="NUB29" s="279"/>
      <c r="NUC29" s="279"/>
      <c r="NUD29" s="279"/>
      <c r="NUE29" s="279"/>
      <c r="NUF29" s="279"/>
      <c r="NUG29" s="279"/>
      <c r="NUH29" s="279"/>
      <c r="NUI29" s="279"/>
      <c r="NUJ29" s="279"/>
      <c r="NUK29" s="279"/>
      <c r="NUL29" s="279"/>
      <c r="NUM29" s="279"/>
      <c r="NUN29" s="279"/>
      <c r="NUO29" s="279"/>
      <c r="NUP29" s="279"/>
      <c r="NUQ29" s="279"/>
      <c r="NUR29" s="279"/>
      <c r="NUS29" s="279"/>
      <c r="NUT29" s="279"/>
      <c r="NUU29" s="279"/>
      <c r="NUV29" s="279"/>
      <c r="NUW29" s="279"/>
      <c r="NUX29" s="279"/>
      <c r="NUY29" s="279"/>
      <c r="NUZ29" s="279"/>
      <c r="NVA29" s="279"/>
      <c r="NVB29" s="279"/>
      <c r="NVC29" s="279"/>
      <c r="NVD29" s="279"/>
      <c r="NVE29" s="279"/>
      <c r="NVF29" s="279"/>
      <c r="NVG29" s="279"/>
      <c r="NVH29" s="279"/>
      <c r="NVI29" s="279"/>
      <c r="NVJ29" s="279"/>
      <c r="NVK29" s="279"/>
      <c r="NVL29" s="279"/>
      <c r="NVM29" s="279"/>
      <c r="NVN29" s="279"/>
      <c r="NVO29" s="279"/>
      <c r="NVP29" s="279"/>
      <c r="NVQ29" s="279"/>
      <c r="NVR29" s="279"/>
      <c r="NVS29" s="279"/>
      <c r="NVT29" s="279"/>
      <c r="NVU29" s="279"/>
      <c r="NVV29" s="279"/>
      <c r="NVW29" s="279"/>
      <c r="NVX29" s="279"/>
      <c r="NVY29" s="279"/>
      <c r="NVZ29" s="279"/>
      <c r="NWA29" s="279"/>
      <c r="NWB29" s="279"/>
      <c r="NWC29" s="279"/>
      <c r="NWD29" s="279"/>
      <c r="NWE29" s="279"/>
      <c r="NWF29" s="279"/>
      <c r="NWG29" s="279"/>
      <c r="NWH29" s="279"/>
      <c r="NWI29" s="279"/>
      <c r="NWJ29" s="279"/>
      <c r="NWK29" s="279"/>
      <c r="NWL29" s="279"/>
      <c r="NWM29" s="279"/>
      <c r="NWN29" s="279"/>
      <c r="NWO29" s="279"/>
      <c r="NWP29" s="279"/>
      <c r="NWQ29" s="279"/>
      <c r="NWR29" s="279"/>
      <c r="NWS29" s="279"/>
      <c r="NWT29" s="279"/>
      <c r="NWU29" s="279"/>
      <c r="NWV29" s="279"/>
      <c r="NWW29" s="279"/>
      <c r="NWX29" s="279"/>
      <c r="NWY29" s="279"/>
      <c r="NWZ29" s="279"/>
      <c r="NXA29" s="279"/>
      <c r="NXB29" s="279"/>
      <c r="NXC29" s="279"/>
      <c r="NXD29" s="279"/>
      <c r="NXE29" s="279"/>
      <c r="NXF29" s="279"/>
      <c r="NXG29" s="279"/>
      <c r="NXH29" s="279"/>
      <c r="NXI29" s="279"/>
      <c r="NXJ29" s="279"/>
      <c r="NXK29" s="279"/>
      <c r="NXL29" s="279"/>
      <c r="NXM29" s="279"/>
      <c r="NXN29" s="279"/>
      <c r="NXO29" s="279"/>
      <c r="NXP29" s="279"/>
      <c r="NXQ29" s="279"/>
      <c r="NXR29" s="279"/>
      <c r="NXS29" s="279"/>
      <c r="NXT29" s="279"/>
      <c r="NXU29" s="279"/>
      <c r="NXV29" s="279"/>
      <c r="NXW29" s="279"/>
      <c r="NXX29" s="279"/>
      <c r="NXY29" s="279"/>
      <c r="NXZ29" s="279"/>
      <c r="NYA29" s="279"/>
      <c r="NYB29" s="279"/>
      <c r="NYC29" s="279"/>
      <c r="NYD29" s="279"/>
      <c r="NYE29" s="279"/>
      <c r="NYF29" s="279"/>
      <c r="NYG29" s="279"/>
      <c r="NYH29" s="279"/>
      <c r="NYI29" s="279"/>
      <c r="NYJ29" s="279"/>
      <c r="NYK29" s="279"/>
      <c r="NYL29" s="279"/>
      <c r="NYM29" s="279"/>
      <c r="NYN29" s="279"/>
      <c r="NYO29" s="279"/>
      <c r="NYP29" s="279"/>
      <c r="NYQ29" s="279"/>
      <c r="NYR29" s="279"/>
      <c r="NYS29" s="279"/>
      <c r="NYT29" s="279"/>
      <c r="NYU29" s="279"/>
      <c r="NYV29" s="279"/>
      <c r="NYW29" s="279"/>
      <c r="NYX29" s="279"/>
      <c r="NYY29" s="279"/>
      <c r="NYZ29" s="279"/>
      <c r="NZA29" s="279"/>
      <c r="NZB29" s="279"/>
      <c r="NZC29" s="279"/>
      <c r="NZD29" s="279"/>
      <c r="NZE29" s="279"/>
      <c r="NZF29" s="279"/>
      <c r="NZG29" s="279"/>
      <c r="NZH29" s="279"/>
      <c r="NZI29" s="279"/>
      <c r="NZJ29" s="279"/>
      <c r="NZK29" s="279"/>
      <c r="NZL29" s="279"/>
      <c r="NZM29" s="279"/>
      <c r="NZN29" s="279"/>
      <c r="NZO29" s="279"/>
      <c r="NZP29" s="279"/>
      <c r="NZQ29" s="279"/>
      <c r="NZR29" s="279"/>
      <c r="NZS29" s="279"/>
      <c r="NZT29" s="279"/>
      <c r="NZU29" s="279"/>
      <c r="NZV29" s="279"/>
      <c r="NZW29" s="279"/>
      <c r="NZX29" s="279"/>
      <c r="NZY29" s="279"/>
      <c r="NZZ29" s="279"/>
      <c r="OAA29" s="279"/>
      <c r="OAB29" s="279"/>
      <c r="OAC29" s="279"/>
      <c r="OAD29" s="279"/>
      <c r="OAE29" s="279"/>
      <c r="OAF29" s="279"/>
      <c r="OAG29" s="279"/>
      <c r="OAH29" s="279"/>
      <c r="OAI29" s="279"/>
      <c r="OAJ29" s="279"/>
      <c r="OAK29" s="279"/>
      <c r="OAL29" s="279"/>
      <c r="OAM29" s="279"/>
      <c r="OAN29" s="279"/>
      <c r="OAO29" s="279"/>
      <c r="OAP29" s="279"/>
      <c r="OAQ29" s="279"/>
      <c r="OAR29" s="279"/>
      <c r="OAS29" s="279"/>
      <c r="OAT29" s="279"/>
      <c r="OAU29" s="279"/>
      <c r="OAV29" s="279"/>
      <c r="OAW29" s="279"/>
      <c r="OAX29" s="279"/>
      <c r="OAY29" s="279"/>
      <c r="OAZ29" s="279"/>
      <c r="OBA29" s="279"/>
      <c r="OBB29" s="279"/>
      <c r="OBC29" s="279"/>
      <c r="OBD29" s="279"/>
      <c r="OBE29" s="279"/>
      <c r="OBF29" s="279"/>
      <c r="OBG29" s="279"/>
      <c r="OBH29" s="279"/>
      <c r="OBI29" s="279"/>
      <c r="OBJ29" s="279"/>
      <c r="OBK29" s="279"/>
      <c r="OBL29" s="279"/>
      <c r="OBM29" s="279"/>
      <c r="OBN29" s="279"/>
      <c r="OBO29" s="279"/>
      <c r="OBP29" s="279"/>
      <c r="OBQ29" s="279"/>
      <c r="OBR29" s="279"/>
      <c r="OBS29" s="279"/>
      <c r="OBT29" s="279"/>
      <c r="OBU29" s="279"/>
      <c r="OBV29" s="279"/>
      <c r="OBW29" s="279"/>
      <c r="OBX29" s="279"/>
      <c r="OBY29" s="279"/>
      <c r="OBZ29" s="279"/>
      <c r="OCA29" s="279"/>
      <c r="OCB29" s="279"/>
      <c r="OCC29" s="279"/>
      <c r="OCD29" s="279"/>
      <c r="OCE29" s="279"/>
      <c r="OCF29" s="279"/>
      <c r="OCG29" s="279"/>
      <c r="OCH29" s="279"/>
      <c r="OCI29" s="279"/>
      <c r="OCJ29" s="279"/>
      <c r="OCK29" s="279"/>
      <c r="OCL29" s="279"/>
      <c r="OCM29" s="279"/>
      <c r="OCN29" s="279"/>
      <c r="OCO29" s="279"/>
      <c r="OCP29" s="279"/>
      <c r="OCQ29" s="279"/>
      <c r="OCR29" s="279"/>
      <c r="OCS29" s="279"/>
      <c r="OCT29" s="279"/>
      <c r="OCU29" s="279"/>
      <c r="OCV29" s="279"/>
      <c r="OCW29" s="279"/>
      <c r="OCX29" s="279"/>
      <c r="OCY29" s="279"/>
      <c r="OCZ29" s="279"/>
      <c r="ODA29" s="279"/>
      <c r="ODB29" s="279"/>
      <c r="ODC29" s="279"/>
      <c r="ODD29" s="279"/>
      <c r="ODE29" s="279"/>
      <c r="ODF29" s="279"/>
      <c r="ODG29" s="279"/>
      <c r="ODH29" s="279"/>
      <c r="ODI29" s="279"/>
      <c r="ODJ29" s="279"/>
      <c r="ODK29" s="279"/>
      <c r="ODL29" s="279"/>
      <c r="ODM29" s="279"/>
      <c r="ODN29" s="279"/>
      <c r="ODO29" s="279"/>
      <c r="ODP29" s="279"/>
      <c r="ODQ29" s="279"/>
      <c r="ODR29" s="279"/>
      <c r="ODS29" s="279"/>
      <c r="ODT29" s="279"/>
      <c r="ODU29" s="279"/>
      <c r="ODV29" s="279"/>
      <c r="ODW29" s="279"/>
      <c r="ODX29" s="279"/>
      <c r="ODY29" s="279"/>
      <c r="ODZ29" s="279"/>
      <c r="OEA29" s="279"/>
      <c r="OEB29" s="279"/>
      <c r="OEC29" s="279"/>
      <c r="OED29" s="279"/>
      <c r="OEE29" s="279"/>
      <c r="OEF29" s="279"/>
      <c r="OEG29" s="279"/>
      <c r="OEH29" s="279"/>
      <c r="OEI29" s="279"/>
      <c r="OEJ29" s="279"/>
      <c r="OEK29" s="279"/>
      <c r="OEL29" s="279"/>
      <c r="OEM29" s="279"/>
      <c r="OEN29" s="279"/>
      <c r="OEO29" s="279"/>
      <c r="OEP29" s="279"/>
      <c r="OEQ29" s="279"/>
      <c r="OER29" s="279"/>
      <c r="OES29" s="279"/>
      <c r="OET29" s="279"/>
      <c r="OEU29" s="279"/>
      <c r="OEV29" s="279"/>
      <c r="OEW29" s="279"/>
      <c r="OEX29" s="279"/>
      <c r="OEY29" s="279"/>
      <c r="OEZ29" s="279"/>
      <c r="OFA29" s="279"/>
      <c r="OFB29" s="279"/>
      <c r="OFC29" s="279"/>
      <c r="OFD29" s="279"/>
      <c r="OFE29" s="279"/>
      <c r="OFF29" s="279"/>
      <c r="OFG29" s="279"/>
      <c r="OFH29" s="279"/>
      <c r="OFI29" s="279"/>
      <c r="OFJ29" s="279"/>
      <c r="OFK29" s="279"/>
      <c r="OFL29" s="279"/>
      <c r="OFM29" s="279"/>
      <c r="OFN29" s="279"/>
      <c r="OFO29" s="279"/>
      <c r="OFP29" s="279"/>
      <c r="OFQ29" s="279"/>
      <c r="OFR29" s="279"/>
      <c r="OFS29" s="279"/>
      <c r="OFT29" s="279"/>
      <c r="OFU29" s="279"/>
      <c r="OFV29" s="279"/>
      <c r="OFW29" s="279"/>
      <c r="OFX29" s="279"/>
      <c r="OFY29" s="279"/>
      <c r="OFZ29" s="279"/>
      <c r="OGA29" s="279"/>
      <c r="OGB29" s="279"/>
      <c r="OGC29" s="279"/>
      <c r="OGD29" s="279"/>
      <c r="OGE29" s="279"/>
      <c r="OGF29" s="279"/>
      <c r="OGG29" s="279"/>
      <c r="OGH29" s="279"/>
      <c r="OGI29" s="279"/>
      <c r="OGJ29" s="279"/>
      <c r="OGK29" s="279"/>
      <c r="OGL29" s="279"/>
      <c r="OGM29" s="279"/>
      <c r="OGN29" s="279"/>
      <c r="OGO29" s="279"/>
      <c r="OGP29" s="279"/>
      <c r="OGQ29" s="279"/>
      <c r="OGR29" s="279"/>
      <c r="OGS29" s="279"/>
      <c r="OGT29" s="279"/>
      <c r="OGU29" s="279"/>
      <c r="OGV29" s="279"/>
      <c r="OGW29" s="279"/>
      <c r="OGX29" s="279"/>
      <c r="OGY29" s="279"/>
      <c r="OGZ29" s="279"/>
      <c r="OHA29" s="279"/>
      <c r="OHB29" s="279"/>
      <c r="OHC29" s="279"/>
      <c r="OHD29" s="279"/>
      <c r="OHE29" s="279"/>
      <c r="OHF29" s="279"/>
      <c r="OHG29" s="279"/>
      <c r="OHH29" s="279"/>
      <c r="OHI29" s="279"/>
      <c r="OHJ29" s="279"/>
      <c r="OHK29" s="279"/>
      <c r="OHL29" s="279"/>
      <c r="OHM29" s="279"/>
      <c r="OHN29" s="279"/>
      <c r="OHO29" s="279"/>
      <c r="OHP29" s="279"/>
      <c r="OHQ29" s="279"/>
      <c r="OHR29" s="279"/>
      <c r="OHS29" s="279"/>
      <c r="OHT29" s="279"/>
      <c r="OHU29" s="279"/>
      <c r="OHV29" s="279"/>
      <c r="OHW29" s="279"/>
      <c r="OHX29" s="279"/>
      <c r="OHY29" s="279"/>
      <c r="OHZ29" s="279"/>
      <c r="OIA29" s="279"/>
      <c r="OIB29" s="279"/>
      <c r="OIC29" s="279"/>
      <c r="OID29" s="279"/>
      <c r="OIE29" s="279"/>
      <c r="OIF29" s="279"/>
      <c r="OIG29" s="279"/>
      <c r="OIH29" s="279"/>
      <c r="OII29" s="279"/>
      <c r="OIJ29" s="279"/>
      <c r="OIK29" s="279"/>
      <c r="OIL29" s="279"/>
      <c r="OIM29" s="279"/>
      <c r="OIN29" s="279"/>
      <c r="OIO29" s="279"/>
      <c r="OIP29" s="279"/>
      <c r="OIQ29" s="279"/>
      <c r="OIR29" s="279"/>
      <c r="OIS29" s="279"/>
      <c r="OIT29" s="279"/>
      <c r="OIU29" s="279"/>
      <c r="OIV29" s="279"/>
      <c r="OIW29" s="279"/>
      <c r="OIX29" s="279"/>
      <c r="OIY29" s="279"/>
      <c r="OIZ29" s="279"/>
      <c r="OJA29" s="279"/>
      <c r="OJB29" s="279"/>
      <c r="OJC29" s="279"/>
      <c r="OJD29" s="279"/>
      <c r="OJE29" s="279"/>
      <c r="OJF29" s="279"/>
      <c r="OJG29" s="279"/>
      <c r="OJH29" s="279"/>
      <c r="OJI29" s="279"/>
      <c r="OJJ29" s="279"/>
      <c r="OJK29" s="279"/>
      <c r="OJL29" s="279"/>
      <c r="OJM29" s="279"/>
      <c r="OJN29" s="279"/>
      <c r="OJO29" s="279"/>
      <c r="OJP29" s="279"/>
      <c r="OJQ29" s="279"/>
      <c r="OJR29" s="279"/>
      <c r="OJS29" s="279"/>
      <c r="OJT29" s="279"/>
      <c r="OJU29" s="279"/>
      <c r="OJV29" s="279"/>
      <c r="OJW29" s="279"/>
      <c r="OJX29" s="279"/>
      <c r="OJY29" s="279"/>
      <c r="OJZ29" s="279"/>
      <c r="OKA29" s="279"/>
      <c r="OKB29" s="279"/>
      <c r="OKC29" s="279"/>
      <c r="OKD29" s="279"/>
      <c r="OKE29" s="279"/>
      <c r="OKF29" s="279"/>
      <c r="OKG29" s="279"/>
      <c r="OKH29" s="279"/>
      <c r="OKI29" s="279"/>
      <c r="OKJ29" s="279"/>
      <c r="OKK29" s="279"/>
      <c r="OKL29" s="279"/>
      <c r="OKM29" s="279"/>
      <c r="OKN29" s="279"/>
      <c r="OKO29" s="279"/>
      <c r="OKP29" s="279"/>
      <c r="OKQ29" s="279"/>
      <c r="OKR29" s="279"/>
      <c r="OKS29" s="279"/>
      <c r="OKT29" s="279"/>
      <c r="OKU29" s="279"/>
      <c r="OKV29" s="279"/>
      <c r="OKW29" s="279"/>
      <c r="OKX29" s="279"/>
      <c r="OKY29" s="279"/>
      <c r="OKZ29" s="279"/>
      <c r="OLA29" s="279"/>
      <c r="OLB29" s="279"/>
      <c r="OLC29" s="279"/>
      <c r="OLD29" s="279"/>
      <c r="OLE29" s="279"/>
      <c r="OLF29" s="279"/>
      <c r="OLG29" s="279"/>
      <c r="OLH29" s="279"/>
      <c r="OLI29" s="279"/>
      <c r="OLJ29" s="279"/>
      <c r="OLK29" s="279"/>
      <c r="OLL29" s="279"/>
      <c r="OLM29" s="279"/>
      <c r="OLN29" s="279"/>
      <c r="OLO29" s="279"/>
      <c r="OLP29" s="279"/>
      <c r="OLQ29" s="279"/>
      <c r="OLR29" s="279"/>
      <c r="OLS29" s="279"/>
      <c r="OLT29" s="279"/>
      <c r="OLU29" s="279"/>
      <c r="OLV29" s="279"/>
      <c r="OLW29" s="279"/>
      <c r="OLX29" s="279"/>
      <c r="OLY29" s="279"/>
      <c r="OLZ29" s="279"/>
      <c r="OMA29" s="279"/>
      <c r="OMB29" s="279"/>
      <c r="OMC29" s="279"/>
      <c r="OMD29" s="279"/>
      <c r="OME29" s="279"/>
      <c r="OMF29" s="279"/>
      <c r="OMG29" s="279"/>
      <c r="OMH29" s="279"/>
      <c r="OMI29" s="279"/>
      <c r="OMJ29" s="279"/>
      <c r="OMK29" s="279"/>
      <c r="OML29" s="279"/>
      <c r="OMM29" s="279"/>
      <c r="OMN29" s="279"/>
      <c r="OMO29" s="279"/>
      <c r="OMP29" s="279"/>
      <c r="OMQ29" s="279"/>
      <c r="OMR29" s="279"/>
      <c r="OMS29" s="279"/>
      <c r="OMT29" s="279"/>
      <c r="OMU29" s="279"/>
      <c r="OMV29" s="279"/>
      <c r="OMW29" s="279"/>
      <c r="OMX29" s="279"/>
      <c r="OMY29" s="279"/>
      <c r="OMZ29" s="279"/>
      <c r="ONA29" s="279"/>
      <c r="ONB29" s="279"/>
      <c r="ONC29" s="279"/>
      <c r="OND29" s="279"/>
      <c r="ONE29" s="279"/>
      <c r="ONF29" s="279"/>
      <c r="ONG29" s="279"/>
      <c r="ONH29" s="279"/>
      <c r="ONI29" s="279"/>
      <c r="ONJ29" s="279"/>
      <c r="ONK29" s="279"/>
      <c r="ONL29" s="279"/>
      <c r="ONM29" s="279"/>
      <c r="ONN29" s="279"/>
      <c r="ONO29" s="279"/>
      <c r="ONP29" s="279"/>
      <c r="ONQ29" s="279"/>
      <c r="ONR29" s="279"/>
      <c r="ONS29" s="279"/>
      <c r="ONT29" s="279"/>
      <c r="ONU29" s="279"/>
      <c r="ONV29" s="279"/>
      <c r="ONW29" s="279"/>
      <c r="ONX29" s="279"/>
      <c r="ONY29" s="279"/>
      <c r="ONZ29" s="279"/>
      <c r="OOA29" s="279"/>
      <c r="OOB29" s="279"/>
      <c r="OOC29" s="279"/>
      <c r="OOD29" s="279"/>
      <c r="OOE29" s="279"/>
      <c r="OOF29" s="279"/>
      <c r="OOG29" s="279"/>
      <c r="OOH29" s="279"/>
      <c r="OOI29" s="279"/>
      <c r="OOJ29" s="279"/>
      <c r="OOK29" s="279"/>
      <c r="OOL29" s="279"/>
      <c r="OOM29" s="279"/>
      <c r="OON29" s="279"/>
      <c r="OOO29" s="279"/>
      <c r="OOP29" s="279"/>
      <c r="OOQ29" s="279"/>
      <c r="OOR29" s="279"/>
      <c r="OOS29" s="279"/>
      <c r="OOT29" s="279"/>
      <c r="OOU29" s="279"/>
      <c r="OOV29" s="279"/>
      <c r="OOW29" s="279"/>
      <c r="OOX29" s="279"/>
      <c r="OOY29" s="279"/>
      <c r="OOZ29" s="279"/>
      <c r="OPA29" s="279"/>
      <c r="OPB29" s="279"/>
      <c r="OPC29" s="279"/>
      <c r="OPD29" s="279"/>
      <c r="OPE29" s="279"/>
      <c r="OPF29" s="279"/>
      <c r="OPG29" s="279"/>
      <c r="OPH29" s="279"/>
      <c r="OPI29" s="279"/>
      <c r="OPJ29" s="279"/>
      <c r="OPK29" s="279"/>
      <c r="OPL29" s="279"/>
      <c r="OPM29" s="279"/>
      <c r="OPN29" s="279"/>
      <c r="OPO29" s="279"/>
      <c r="OPP29" s="279"/>
      <c r="OPQ29" s="279"/>
      <c r="OPR29" s="279"/>
      <c r="OPS29" s="279"/>
      <c r="OPT29" s="279"/>
      <c r="OPU29" s="279"/>
      <c r="OPV29" s="279"/>
      <c r="OPW29" s="279"/>
      <c r="OPX29" s="279"/>
      <c r="OPY29" s="279"/>
      <c r="OPZ29" s="279"/>
      <c r="OQA29" s="279"/>
      <c r="OQB29" s="279"/>
      <c r="OQC29" s="279"/>
      <c r="OQD29" s="279"/>
      <c r="OQE29" s="279"/>
      <c r="OQF29" s="279"/>
      <c r="OQG29" s="279"/>
      <c r="OQH29" s="279"/>
      <c r="OQI29" s="279"/>
      <c r="OQJ29" s="279"/>
      <c r="OQK29" s="279"/>
      <c r="OQL29" s="279"/>
      <c r="OQM29" s="279"/>
      <c r="OQN29" s="279"/>
      <c r="OQO29" s="279"/>
      <c r="OQP29" s="279"/>
      <c r="OQQ29" s="279"/>
      <c r="OQR29" s="279"/>
      <c r="OQS29" s="279"/>
      <c r="OQT29" s="279"/>
      <c r="OQU29" s="279"/>
      <c r="OQV29" s="279"/>
      <c r="OQW29" s="279"/>
      <c r="OQX29" s="279"/>
      <c r="OQY29" s="279"/>
      <c r="OQZ29" s="279"/>
      <c r="ORA29" s="279"/>
      <c r="ORB29" s="279"/>
      <c r="ORC29" s="279"/>
      <c r="ORD29" s="279"/>
      <c r="ORE29" s="279"/>
      <c r="ORF29" s="279"/>
      <c r="ORG29" s="279"/>
      <c r="ORH29" s="279"/>
      <c r="ORI29" s="279"/>
      <c r="ORJ29" s="279"/>
      <c r="ORK29" s="279"/>
      <c r="ORL29" s="279"/>
      <c r="ORM29" s="279"/>
      <c r="ORN29" s="279"/>
      <c r="ORO29" s="279"/>
      <c r="ORP29" s="279"/>
      <c r="ORQ29" s="279"/>
      <c r="ORR29" s="279"/>
      <c r="ORS29" s="279"/>
      <c r="ORT29" s="279"/>
      <c r="ORU29" s="279"/>
      <c r="ORV29" s="279"/>
      <c r="ORW29" s="279"/>
      <c r="ORX29" s="279"/>
      <c r="ORY29" s="279"/>
      <c r="ORZ29" s="279"/>
      <c r="OSA29" s="279"/>
      <c r="OSB29" s="279"/>
      <c r="OSC29" s="279"/>
      <c r="OSD29" s="279"/>
      <c r="OSE29" s="279"/>
      <c r="OSF29" s="279"/>
      <c r="OSG29" s="279"/>
      <c r="OSH29" s="279"/>
      <c r="OSI29" s="279"/>
      <c r="OSJ29" s="279"/>
      <c r="OSK29" s="279"/>
      <c r="OSL29" s="279"/>
      <c r="OSM29" s="279"/>
      <c r="OSN29" s="279"/>
      <c r="OSO29" s="279"/>
      <c r="OSP29" s="279"/>
      <c r="OSQ29" s="279"/>
      <c r="OSR29" s="279"/>
      <c r="OSS29" s="279"/>
      <c r="OST29" s="279"/>
      <c r="OSU29" s="279"/>
      <c r="OSV29" s="279"/>
      <c r="OSW29" s="279"/>
      <c r="OSX29" s="279"/>
      <c r="OSY29" s="279"/>
      <c r="OSZ29" s="279"/>
      <c r="OTA29" s="279"/>
      <c r="OTB29" s="279"/>
      <c r="OTC29" s="279"/>
      <c r="OTD29" s="279"/>
      <c r="OTE29" s="279"/>
      <c r="OTF29" s="279"/>
      <c r="OTG29" s="279"/>
      <c r="OTH29" s="279"/>
      <c r="OTI29" s="279"/>
      <c r="OTJ29" s="279"/>
      <c r="OTK29" s="279"/>
      <c r="OTL29" s="279"/>
      <c r="OTM29" s="279"/>
      <c r="OTN29" s="279"/>
      <c r="OTO29" s="279"/>
      <c r="OTP29" s="279"/>
      <c r="OTQ29" s="279"/>
      <c r="OTR29" s="279"/>
      <c r="OTS29" s="279"/>
      <c r="OTT29" s="279"/>
      <c r="OTU29" s="279"/>
      <c r="OTV29" s="279"/>
      <c r="OTW29" s="279"/>
      <c r="OTX29" s="279"/>
      <c r="OTY29" s="279"/>
      <c r="OTZ29" s="279"/>
      <c r="OUA29" s="279"/>
      <c r="OUB29" s="279"/>
      <c r="OUC29" s="279"/>
      <c r="OUD29" s="279"/>
      <c r="OUE29" s="279"/>
      <c r="OUF29" s="279"/>
      <c r="OUG29" s="279"/>
      <c r="OUH29" s="279"/>
      <c r="OUI29" s="279"/>
      <c r="OUJ29" s="279"/>
      <c r="OUK29" s="279"/>
      <c r="OUL29" s="279"/>
      <c r="OUM29" s="279"/>
      <c r="OUN29" s="279"/>
      <c r="OUO29" s="279"/>
      <c r="OUP29" s="279"/>
      <c r="OUQ29" s="279"/>
      <c r="OUR29" s="279"/>
      <c r="OUS29" s="279"/>
      <c r="OUT29" s="279"/>
      <c r="OUU29" s="279"/>
      <c r="OUV29" s="279"/>
      <c r="OUW29" s="279"/>
      <c r="OUX29" s="279"/>
      <c r="OUY29" s="279"/>
      <c r="OUZ29" s="279"/>
      <c r="OVA29" s="279"/>
      <c r="OVB29" s="279"/>
      <c r="OVC29" s="279"/>
      <c r="OVD29" s="279"/>
      <c r="OVE29" s="279"/>
      <c r="OVF29" s="279"/>
      <c r="OVG29" s="279"/>
      <c r="OVH29" s="279"/>
      <c r="OVI29" s="279"/>
      <c r="OVJ29" s="279"/>
      <c r="OVK29" s="279"/>
      <c r="OVL29" s="279"/>
      <c r="OVM29" s="279"/>
      <c r="OVN29" s="279"/>
      <c r="OVO29" s="279"/>
      <c r="OVP29" s="279"/>
      <c r="OVQ29" s="279"/>
      <c r="OVR29" s="279"/>
      <c r="OVS29" s="279"/>
      <c r="OVT29" s="279"/>
      <c r="OVU29" s="279"/>
      <c r="OVV29" s="279"/>
      <c r="OVW29" s="279"/>
      <c r="OVX29" s="279"/>
      <c r="OVY29" s="279"/>
      <c r="OVZ29" s="279"/>
      <c r="OWA29" s="279"/>
      <c r="OWB29" s="279"/>
      <c r="OWC29" s="279"/>
      <c r="OWD29" s="279"/>
      <c r="OWE29" s="279"/>
      <c r="OWF29" s="279"/>
      <c r="OWG29" s="279"/>
      <c r="OWH29" s="279"/>
      <c r="OWI29" s="279"/>
      <c r="OWJ29" s="279"/>
      <c r="OWK29" s="279"/>
      <c r="OWL29" s="279"/>
      <c r="OWM29" s="279"/>
      <c r="OWN29" s="279"/>
      <c r="OWO29" s="279"/>
      <c r="OWP29" s="279"/>
      <c r="OWQ29" s="279"/>
      <c r="OWR29" s="279"/>
      <c r="OWS29" s="279"/>
      <c r="OWT29" s="279"/>
      <c r="OWU29" s="279"/>
      <c r="OWV29" s="279"/>
      <c r="OWW29" s="279"/>
      <c r="OWX29" s="279"/>
      <c r="OWY29" s="279"/>
      <c r="OWZ29" s="279"/>
      <c r="OXA29" s="279"/>
      <c r="OXB29" s="279"/>
      <c r="OXC29" s="279"/>
      <c r="OXD29" s="279"/>
      <c r="OXE29" s="279"/>
      <c r="OXF29" s="279"/>
      <c r="OXG29" s="279"/>
      <c r="OXH29" s="279"/>
      <c r="OXI29" s="279"/>
      <c r="OXJ29" s="279"/>
      <c r="OXK29" s="279"/>
      <c r="OXL29" s="279"/>
      <c r="OXM29" s="279"/>
      <c r="OXN29" s="279"/>
      <c r="OXO29" s="279"/>
      <c r="OXP29" s="279"/>
      <c r="OXQ29" s="279"/>
      <c r="OXR29" s="279"/>
      <c r="OXS29" s="279"/>
      <c r="OXT29" s="279"/>
      <c r="OXU29" s="279"/>
      <c r="OXV29" s="279"/>
      <c r="OXW29" s="279"/>
      <c r="OXX29" s="279"/>
      <c r="OXY29" s="279"/>
      <c r="OXZ29" s="279"/>
      <c r="OYA29" s="279"/>
      <c r="OYB29" s="279"/>
      <c r="OYC29" s="279"/>
      <c r="OYD29" s="279"/>
      <c r="OYE29" s="279"/>
      <c r="OYF29" s="279"/>
      <c r="OYG29" s="279"/>
      <c r="OYH29" s="279"/>
      <c r="OYI29" s="279"/>
      <c r="OYJ29" s="279"/>
      <c r="OYK29" s="279"/>
      <c r="OYL29" s="279"/>
      <c r="OYM29" s="279"/>
      <c r="OYN29" s="279"/>
      <c r="OYO29" s="279"/>
      <c r="OYP29" s="279"/>
      <c r="OYQ29" s="279"/>
      <c r="OYR29" s="279"/>
      <c r="OYS29" s="279"/>
      <c r="OYT29" s="279"/>
      <c r="OYU29" s="279"/>
      <c r="OYV29" s="279"/>
      <c r="OYW29" s="279"/>
      <c r="OYX29" s="279"/>
      <c r="OYY29" s="279"/>
      <c r="OYZ29" s="279"/>
      <c r="OZA29" s="279"/>
      <c r="OZB29" s="279"/>
      <c r="OZC29" s="279"/>
      <c r="OZD29" s="279"/>
      <c r="OZE29" s="279"/>
      <c r="OZF29" s="279"/>
      <c r="OZG29" s="279"/>
      <c r="OZH29" s="279"/>
      <c r="OZI29" s="279"/>
      <c r="OZJ29" s="279"/>
      <c r="OZK29" s="279"/>
      <c r="OZL29" s="279"/>
      <c r="OZM29" s="279"/>
      <c r="OZN29" s="279"/>
      <c r="OZO29" s="279"/>
      <c r="OZP29" s="279"/>
      <c r="OZQ29" s="279"/>
      <c r="OZR29" s="279"/>
      <c r="OZS29" s="279"/>
      <c r="OZT29" s="279"/>
      <c r="OZU29" s="279"/>
      <c r="OZV29" s="279"/>
      <c r="OZW29" s="279"/>
      <c r="OZX29" s="279"/>
      <c r="OZY29" s="279"/>
      <c r="OZZ29" s="279"/>
      <c r="PAA29" s="279"/>
      <c r="PAB29" s="279"/>
      <c r="PAC29" s="279"/>
      <c r="PAD29" s="279"/>
      <c r="PAE29" s="279"/>
      <c r="PAF29" s="279"/>
      <c r="PAG29" s="279"/>
      <c r="PAH29" s="279"/>
      <c r="PAI29" s="279"/>
      <c r="PAJ29" s="279"/>
      <c r="PAK29" s="279"/>
      <c r="PAL29" s="279"/>
      <c r="PAM29" s="279"/>
      <c r="PAN29" s="279"/>
      <c r="PAO29" s="279"/>
      <c r="PAP29" s="279"/>
      <c r="PAQ29" s="279"/>
      <c r="PAR29" s="279"/>
      <c r="PAS29" s="279"/>
      <c r="PAT29" s="279"/>
      <c r="PAU29" s="279"/>
      <c r="PAV29" s="279"/>
      <c r="PAW29" s="279"/>
      <c r="PAX29" s="279"/>
      <c r="PAY29" s="279"/>
      <c r="PAZ29" s="279"/>
      <c r="PBA29" s="279"/>
      <c r="PBB29" s="279"/>
      <c r="PBC29" s="279"/>
      <c r="PBD29" s="279"/>
      <c r="PBE29" s="279"/>
      <c r="PBF29" s="279"/>
      <c r="PBG29" s="279"/>
      <c r="PBH29" s="279"/>
      <c r="PBI29" s="279"/>
      <c r="PBJ29" s="279"/>
      <c r="PBK29" s="279"/>
      <c r="PBL29" s="279"/>
      <c r="PBM29" s="279"/>
      <c r="PBN29" s="279"/>
      <c r="PBO29" s="279"/>
      <c r="PBP29" s="279"/>
      <c r="PBQ29" s="279"/>
      <c r="PBR29" s="279"/>
      <c r="PBS29" s="279"/>
      <c r="PBT29" s="279"/>
      <c r="PBU29" s="279"/>
      <c r="PBV29" s="279"/>
      <c r="PBW29" s="279"/>
      <c r="PBX29" s="279"/>
      <c r="PBY29" s="279"/>
      <c r="PBZ29" s="279"/>
      <c r="PCA29" s="279"/>
      <c r="PCB29" s="279"/>
      <c r="PCC29" s="279"/>
      <c r="PCD29" s="279"/>
      <c r="PCE29" s="279"/>
      <c r="PCF29" s="279"/>
      <c r="PCG29" s="279"/>
      <c r="PCH29" s="279"/>
      <c r="PCI29" s="279"/>
      <c r="PCJ29" s="279"/>
      <c r="PCK29" s="279"/>
      <c r="PCL29" s="279"/>
      <c r="PCM29" s="279"/>
      <c r="PCN29" s="279"/>
      <c r="PCO29" s="279"/>
      <c r="PCP29" s="279"/>
      <c r="PCQ29" s="279"/>
      <c r="PCR29" s="279"/>
      <c r="PCS29" s="279"/>
      <c r="PCT29" s="279"/>
      <c r="PCU29" s="279"/>
      <c r="PCV29" s="279"/>
      <c r="PCW29" s="279"/>
      <c r="PCX29" s="279"/>
      <c r="PCY29" s="279"/>
      <c r="PCZ29" s="279"/>
      <c r="PDA29" s="279"/>
      <c r="PDB29" s="279"/>
      <c r="PDC29" s="279"/>
      <c r="PDD29" s="279"/>
      <c r="PDE29" s="279"/>
      <c r="PDF29" s="279"/>
      <c r="PDG29" s="279"/>
      <c r="PDH29" s="279"/>
      <c r="PDI29" s="279"/>
      <c r="PDJ29" s="279"/>
      <c r="PDK29" s="279"/>
      <c r="PDL29" s="279"/>
      <c r="PDM29" s="279"/>
      <c r="PDN29" s="279"/>
      <c r="PDO29" s="279"/>
      <c r="PDP29" s="279"/>
      <c r="PDQ29" s="279"/>
      <c r="PDR29" s="279"/>
      <c r="PDS29" s="279"/>
      <c r="PDT29" s="279"/>
      <c r="PDU29" s="279"/>
      <c r="PDV29" s="279"/>
      <c r="PDW29" s="279"/>
      <c r="PDX29" s="279"/>
      <c r="PDY29" s="279"/>
      <c r="PDZ29" s="279"/>
      <c r="PEA29" s="279"/>
      <c r="PEB29" s="279"/>
      <c r="PEC29" s="279"/>
      <c r="PED29" s="279"/>
      <c r="PEE29" s="279"/>
      <c r="PEF29" s="279"/>
      <c r="PEG29" s="279"/>
      <c r="PEH29" s="279"/>
      <c r="PEI29" s="279"/>
      <c r="PEJ29" s="279"/>
      <c r="PEK29" s="279"/>
      <c r="PEL29" s="279"/>
      <c r="PEM29" s="279"/>
      <c r="PEN29" s="279"/>
      <c r="PEO29" s="279"/>
      <c r="PEP29" s="279"/>
      <c r="PEQ29" s="279"/>
      <c r="PER29" s="279"/>
      <c r="PES29" s="279"/>
      <c r="PET29" s="279"/>
      <c r="PEU29" s="279"/>
      <c r="PEV29" s="279"/>
      <c r="PEW29" s="279"/>
      <c r="PEX29" s="279"/>
      <c r="PEY29" s="279"/>
      <c r="PEZ29" s="279"/>
      <c r="PFA29" s="279"/>
      <c r="PFB29" s="279"/>
      <c r="PFC29" s="279"/>
      <c r="PFD29" s="279"/>
      <c r="PFE29" s="279"/>
      <c r="PFF29" s="279"/>
      <c r="PFG29" s="279"/>
      <c r="PFH29" s="279"/>
      <c r="PFI29" s="279"/>
      <c r="PFJ29" s="279"/>
      <c r="PFK29" s="279"/>
      <c r="PFL29" s="279"/>
      <c r="PFM29" s="279"/>
      <c r="PFN29" s="279"/>
      <c r="PFO29" s="279"/>
      <c r="PFP29" s="279"/>
      <c r="PFQ29" s="279"/>
      <c r="PFR29" s="279"/>
      <c r="PFS29" s="279"/>
      <c r="PFT29" s="279"/>
      <c r="PFU29" s="279"/>
      <c r="PFV29" s="279"/>
      <c r="PFW29" s="279"/>
      <c r="PFX29" s="279"/>
      <c r="PFY29" s="279"/>
      <c r="PFZ29" s="279"/>
      <c r="PGA29" s="279"/>
      <c r="PGB29" s="279"/>
      <c r="PGC29" s="279"/>
      <c r="PGD29" s="279"/>
      <c r="PGE29" s="279"/>
      <c r="PGF29" s="279"/>
      <c r="PGG29" s="279"/>
      <c r="PGH29" s="279"/>
      <c r="PGI29" s="279"/>
      <c r="PGJ29" s="279"/>
      <c r="PGK29" s="279"/>
      <c r="PGL29" s="279"/>
      <c r="PGM29" s="279"/>
      <c r="PGN29" s="279"/>
      <c r="PGO29" s="279"/>
      <c r="PGP29" s="279"/>
      <c r="PGQ29" s="279"/>
      <c r="PGR29" s="279"/>
      <c r="PGS29" s="279"/>
      <c r="PGT29" s="279"/>
      <c r="PGU29" s="279"/>
      <c r="PGV29" s="279"/>
      <c r="PGW29" s="279"/>
      <c r="PGX29" s="279"/>
      <c r="PGY29" s="279"/>
      <c r="PGZ29" s="279"/>
      <c r="PHA29" s="279"/>
      <c r="PHB29" s="279"/>
      <c r="PHC29" s="279"/>
      <c r="PHD29" s="279"/>
      <c r="PHE29" s="279"/>
      <c r="PHF29" s="279"/>
      <c r="PHG29" s="279"/>
      <c r="PHH29" s="279"/>
      <c r="PHI29" s="279"/>
      <c r="PHJ29" s="279"/>
      <c r="PHK29" s="279"/>
      <c r="PHL29" s="279"/>
      <c r="PHM29" s="279"/>
      <c r="PHN29" s="279"/>
      <c r="PHO29" s="279"/>
      <c r="PHP29" s="279"/>
      <c r="PHQ29" s="279"/>
      <c r="PHR29" s="279"/>
      <c r="PHS29" s="279"/>
      <c r="PHT29" s="279"/>
      <c r="PHU29" s="279"/>
      <c r="PHV29" s="279"/>
      <c r="PHW29" s="279"/>
      <c r="PHX29" s="279"/>
      <c r="PHY29" s="279"/>
      <c r="PHZ29" s="279"/>
      <c r="PIA29" s="279"/>
      <c r="PIB29" s="279"/>
      <c r="PIC29" s="279"/>
      <c r="PID29" s="279"/>
      <c r="PIE29" s="279"/>
      <c r="PIF29" s="279"/>
      <c r="PIG29" s="279"/>
      <c r="PIH29" s="279"/>
      <c r="PII29" s="279"/>
      <c r="PIJ29" s="279"/>
      <c r="PIK29" s="279"/>
      <c r="PIL29" s="279"/>
      <c r="PIM29" s="279"/>
      <c r="PIN29" s="279"/>
      <c r="PIO29" s="279"/>
      <c r="PIP29" s="279"/>
      <c r="PIQ29" s="279"/>
      <c r="PIR29" s="279"/>
      <c r="PIS29" s="279"/>
      <c r="PIT29" s="279"/>
      <c r="PIU29" s="279"/>
      <c r="PIV29" s="279"/>
      <c r="PIW29" s="279"/>
      <c r="PIX29" s="279"/>
      <c r="PIY29" s="279"/>
      <c r="PIZ29" s="279"/>
      <c r="PJA29" s="279"/>
      <c r="PJB29" s="279"/>
      <c r="PJC29" s="279"/>
      <c r="PJD29" s="279"/>
      <c r="PJE29" s="279"/>
      <c r="PJF29" s="279"/>
      <c r="PJG29" s="279"/>
      <c r="PJH29" s="279"/>
      <c r="PJI29" s="279"/>
      <c r="PJJ29" s="279"/>
      <c r="PJK29" s="279"/>
      <c r="PJL29" s="279"/>
      <c r="PJM29" s="279"/>
      <c r="PJN29" s="279"/>
      <c r="PJO29" s="279"/>
      <c r="PJP29" s="279"/>
      <c r="PJQ29" s="279"/>
      <c r="PJR29" s="279"/>
      <c r="PJS29" s="279"/>
      <c r="PJT29" s="279"/>
      <c r="PJU29" s="279"/>
      <c r="PJV29" s="279"/>
      <c r="PJW29" s="279"/>
      <c r="PJX29" s="279"/>
      <c r="PJY29" s="279"/>
      <c r="PJZ29" s="279"/>
      <c r="PKA29" s="279"/>
      <c r="PKB29" s="279"/>
      <c r="PKC29" s="279"/>
      <c r="PKD29" s="279"/>
      <c r="PKE29" s="279"/>
      <c r="PKF29" s="279"/>
      <c r="PKG29" s="279"/>
      <c r="PKH29" s="279"/>
      <c r="PKI29" s="279"/>
      <c r="PKJ29" s="279"/>
      <c r="PKK29" s="279"/>
      <c r="PKL29" s="279"/>
      <c r="PKM29" s="279"/>
      <c r="PKN29" s="279"/>
      <c r="PKO29" s="279"/>
      <c r="PKP29" s="279"/>
      <c r="PKQ29" s="279"/>
      <c r="PKR29" s="279"/>
      <c r="PKS29" s="279"/>
      <c r="PKT29" s="279"/>
      <c r="PKU29" s="279"/>
      <c r="PKV29" s="279"/>
      <c r="PKW29" s="279"/>
      <c r="PKX29" s="279"/>
      <c r="PKY29" s="279"/>
      <c r="PKZ29" s="279"/>
      <c r="PLA29" s="279"/>
      <c r="PLB29" s="279"/>
      <c r="PLC29" s="279"/>
      <c r="PLD29" s="279"/>
      <c r="PLE29" s="279"/>
      <c r="PLF29" s="279"/>
      <c r="PLG29" s="279"/>
      <c r="PLH29" s="279"/>
      <c r="PLI29" s="279"/>
      <c r="PLJ29" s="279"/>
      <c r="PLK29" s="279"/>
      <c r="PLL29" s="279"/>
      <c r="PLM29" s="279"/>
      <c r="PLN29" s="279"/>
      <c r="PLO29" s="279"/>
      <c r="PLP29" s="279"/>
      <c r="PLQ29" s="279"/>
      <c r="PLR29" s="279"/>
      <c r="PLS29" s="279"/>
      <c r="PLT29" s="279"/>
      <c r="PLU29" s="279"/>
      <c r="PLV29" s="279"/>
      <c r="PLW29" s="279"/>
      <c r="PLX29" s="279"/>
      <c r="PLY29" s="279"/>
      <c r="PLZ29" s="279"/>
      <c r="PMA29" s="279"/>
      <c r="PMB29" s="279"/>
      <c r="PMC29" s="279"/>
      <c r="PMD29" s="279"/>
      <c r="PME29" s="279"/>
      <c r="PMF29" s="279"/>
      <c r="PMG29" s="279"/>
      <c r="PMH29" s="279"/>
      <c r="PMI29" s="279"/>
      <c r="PMJ29" s="279"/>
      <c r="PMK29" s="279"/>
      <c r="PML29" s="279"/>
      <c r="PMM29" s="279"/>
      <c r="PMN29" s="279"/>
      <c r="PMO29" s="279"/>
      <c r="PMP29" s="279"/>
      <c r="PMQ29" s="279"/>
      <c r="PMR29" s="279"/>
      <c r="PMS29" s="279"/>
      <c r="PMT29" s="279"/>
      <c r="PMU29" s="279"/>
      <c r="PMV29" s="279"/>
      <c r="PMW29" s="279"/>
      <c r="PMX29" s="279"/>
      <c r="PMY29" s="279"/>
      <c r="PMZ29" s="279"/>
      <c r="PNA29" s="279"/>
      <c r="PNB29" s="279"/>
      <c r="PNC29" s="279"/>
      <c r="PND29" s="279"/>
      <c r="PNE29" s="279"/>
      <c r="PNF29" s="279"/>
      <c r="PNG29" s="279"/>
      <c r="PNH29" s="279"/>
      <c r="PNI29" s="279"/>
      <c r="PNJ29" s="279"/>
      <c r="PNK29" s="279"/>
      <c r="PNL29" s="279"/>
      <c r="PNM29" s="279"/>
      <c r="PNN29" s="279"/>
      <c r="PNO29" s="279"/>
      <c r="PNP29" s="279"/>
      <c r="PNQ29" s="279"/>
      <c r="PNR29" s="279"/>
      <c r="PNS29" s="279"/>
      <c r="PNT29" s="279"/>
      <c r="PNU29" s="279"/>
      <c r="PNV29" s="279"/>
      <c r="PNW29" s="279"/>
      <c r="PNX29" s="279"/>
      <c r="PNY29" s="279"/>
      <c r="PNZ29" s="279"/>
      <c r="POA29" s="279"/>
      <c r="POB29" s="279"/>
      <c r="POC29" s="279"/>
      <c r="POD29" s="279"/>
      <c r="POE29" s="279"/>
      <c r="POF29" s="279"/>
      <c r="POG29" s="279"/>
      <c r="POH29" s="279"/>
      <c r="POI29" s="279"/>
      <c r="POJ29" s="279"/>
      <c r="POK29" s="279"/>
      <c r="POL29" s="279"/>
      <c r="POM29" s="279"/>
      <c r="PON29" s="279"/>
      <c r="POO29" s="279"/>
      <c r="POP29" s="279"/>
      <c r="POQ29" s="279"/>
      <c r="POR29" s="279"/>
      <c r="POS29" s="279"/>
      <c r="POT29" s="279"/>
      <c r="POU29" s="279"/>
      <c r="POV29" s="279"/>
      <c r="POW29" s="279"/>
      <c r="POX29" s="279"/>
      <c r="POY29" s="279"/>
      <c r="POZ29" s="279"/>
      <c r="PPA29" s="279"/>
      <c r="PPB29" s="279"/>
      <c r="PPC29" s="279"/>
      <c r="PPD29" s="279"/>
      <c r="PPE29" s="279"/>
      <c r="PPF29" s="279"/>
      <c r="PPG29" s="279"/>
      <c r="PPH29" s="279"/>
      <c r="PPI29" s="279"/>
      <c r="PPJ29" s="279"/>
      <c r="PPK29" s="279"/>
      <c r="PPL29" s="279"/>
      <c r="PPM29" s="279"/>
      <c r="PPN29" s="279"/>
      <c r="PPO29" s="279"/>
      <c r="PPP29" s="279"/>
      <c r="PPQ29" s="279"/>
      <c r="PPR29" s="279"/>
      <c r="PPS29" s="279"/>
      <c r="PPT29" s="279"/>
      <c r="PPU29" s="279"/>
      <c r="PPV29" s="279"/>
      <c r="PPW29" s="279"/>
      <c r="PPX29" s="279"/>
      <c r="PPY29" s="279"/>
      <c r="PPZ29" s="279"/>
      <c r="PQA29" s="279"/>
      <c r="PQB29" s="279"/>
      <c r="PQC29" s="279"/>
      <c r="PQD29" s="279"/>
      <c r="PQE29" s="279"/>
      <c r="PQF29" s="279"/>
      <c r="PQG29" s="279"/>
      <c r="PQH29" s="279"/>
      <c r="PQI29" s="279"/>
      <c r="PQJ29" s="279"/>
      <c r="PQK29" s="279"/>
      <c r="PQL29" s="279"/>
      <c r="PQM29" s="279"/>
      <c r="PQN29" s="279"/>
      <c r="PQO29" s="279"/>
      <c r="PQP29" s="279"/>
      <c r="PQQ29" s="279"/>
      <c r="PQR29" s="279"/>
      <c r="PQS29" s="279"/>
      <c r="PQT29" s="279"/>
      <c r="PQU29" s="279"/>
      <c r="PQV29" s="279"/>
      <c r="PQW29" s="279"/>
      <c r="PQX29" s="279"/>
      <c r="PQY29" s="279"/>
      <c r="PQZ29" s="279"/>
      <c r="PRA29" s="279"/>
      <c r="PRB29" s="279"/>
      <c r="PRC29" s="279"/>
      <c r="PRD29" s="279"/>
      <c r="PRE29" s="279"/>
      <c r="PRF29" s="279"/>
      <c r="PRG29" s="279"/>
      <c r="PRH29" s="279"/>
      <c r="PRI29" s="279"/>
      <c r="PRJ29" s="279"/>
      <c r="PRK29" s="279"/>
      <c r="PRL29" s="279"/>
      <c r="PRM29" s="279"/>
      <c r="PRN29" s="279"/>
      <c r="PRO29" s="279"/>
      <c r="PRP29" s="279"/>
      <c r="PRQ29" s="279"/>
      <c r="PRR29" s="279"/>
      <c r="PRS29" s="279"/>
      <c r="PRT29" s="279"/>
      <c r="PRU29" s="279"/>
      <c r="PRV29" s="279"/>
      <c r="PRW29" s="279"/>
      <c r="PRX29" s="279"/>
      <c r="PRY29" s="279"/>
      <c r="PRZ29" s="279"/>
      <c r="PSA29" s="279"/>
      <c r="PSB29" s="279"/>
      <c r="PSC29" s="279"/>
      <c r="PSD29" s="279"/>
      <c r="PSE29" s="279"/>
      <c r="PSF29" s="279"/>
      <c r="PSG29" s="279"/>
      <c r="PSH29" s="279"/>
      <c r="PSI29" s="279"/>
      <c r="PSJ29" s="279"/>
      <c r="PSK29" s="279"/>
      <c r="PSL29" s="279"/>
      <c r="PSM29" s="279"/>
      <c r="PSN29" s="279"/>
      <c r="PSO29" s="279"/>
      <c r="PSP29" s="279"/>
      <c r="PSQ29" s="279"/>
      <c r="PSR29" s="279"/>
      <c r="PSS29" s="279"/>
      <c r="PST29" s="279"/>
      <c r="PSU29" s="279"/>
      <c r="PSV29" s="279"/>
      <c r="PSW29" s="279"/>
      <c r="PSX29" s="279"/>
      <c r="PSY29" s="279"/>
      <c r="PSZ29" s="279"/>
      <c r="PTA29" s="279"/>
      <c r="PTB29" s="279"/>
      <c r="PTC29" s="279"/>
      <c r="PTD29" s="279"/>
      <c r="PTE29" s="279"/>
      <c r="PTF29" s="279"/>
      <c r="PTG29" s="279"/>
      <c r="PTH29" s="279"/>
      <c r="PTI29" s="279"/>
      <c r="PTJ29" s="279"/>
      <c r="PTK29" s="279"/>
      <c r="PTL29" s="279"/>
      <c r="PTM29" s="279"/>
      <c r="PTN29" s="279"/>
      <c r="PTO29" s="279"/>
      <c r="PTP29" s="279"/>
      <c r="PTQ29" s="279"/>
      <c r="PTR29" s="279"/>
      <c r="PTS29" s="279"/>
      <c r="PTT29" s="279"/>
      <c r="PTU29" s="279"/>
      <c r="PTV29" s="279"/>
      <c r="PTW29" s="279"/>
      <c r="PTX29" s="279"/>
      <c r="PTY29" s="279"/>
      <c r="PTZ29" s="279"/>
      <c r="PUA29" s="279"/>
      <c r="PUB29" s="279"/>
      <c r="PUC29" s="279"/>
      <c r="PUD29" s="279"/>
      <c r="PUE29" s="279"/>
      <c r="PUF29" s="279"/>
      <c r="PUG29" s="279"/>
      <c r="PUH29" s="279"/>
      <c r="PUI29" s="279"/>
      <c r="PUJ29" s="279"/>
      <c r="PUK29" s="279"/>
      <c r="PUL29" s="279"/>
      <c r="PUM29" s="279"/>
      <c r="PUN29" s="279"/>
      <c r="PUO29" s="279"/>
      <c r="PUP29" s="279"/>
      <c r="PUQ29" s="279"/>
      <c r="PUR29" s="279"/>
      <c r="PUS29" s="279"/>
      <c r="PUT29" s="279"/>
      <c r="PUU29" s="279"/>
      <c r="PUV29" s="279"/>
      <c r="PUW29" s="279"/>
      <c r="PUX29" s="279"/>
      <c r="PUY29" s="279"/>
      <c r="PUZ29" s="279"/>
      <c r="PVA29" s="279"/>
      <c r="PVB29" s="279"/>
      <c r="PVC29" s="279"/>
      <c r="PVD29" s="279"/>
      <c r="PVE29" s="279"/>
      <c r="PVF29" s="279"/>
      <c r="PVG29" s="279"/>
      <c r="PVH29" s="279"/>
      <c r="PVI29" s="279"/>
      <c r="PVJ29" s="279"/>
      <c r="PVK29" s="279"/>
      <c r="PVL29" s="279"/>
      <c r="PVM29" s="279"/>
      <c r="PVN29" s="279"/>
      <c r="PVO29" s="279"/>
      <c r="PVP29" s="279"/>
      <c r="PVQ29" s="279"/>
      <c r="PVR29" s="279"/>
      <c r="PVS29" s="279"/>
      <c r="PVT29" s="279"/>
      <c r="PVU29" s="279"/>
      <c r="PVV29" s="279"/>
      <c r="PVW29" s="279"/>
      <c r="PVX29" s="279"/>
      <c r="PVY29" s="279"/>
      <c r="PVZ29" s="279"/>
      <c r="PWA29" s="279"/>
      <c r="PWB29" s="279"/>
      <c r="PWC29" s="279"/>
      <c r="PWD29" s="279"/>
      <c r="PWE29" s="279"/>
      <c r="PWF29" s="279"/>
      <c r="PWG29" s="279"/>
      <c r="PWH29" s="279"/>
      <c r="PWI29" s="279"/>
      <c r="PWJ29" s="279"/>
      <c r="PWK29" s="279"/>
      <c r="PWL29" s="279"/>
      <c r="PWM29" s="279"/>
      <c r="PWN29" s="279"/>
      <c r="PWO29" s="279"/>
      <c r="PWP29" s="279"/>
      <c r="PWQ29" s="279"/>
      <c r="PWR29" s="279"/>
      <c r="PWS29" s="279"/>
      <c r="PWT29" s="279"/>
      <c r="PWU29" s="279"/>
      <c r="PWV29" s="279"/>
      <c r="PWW29" s="279"/>
      <c r="PWX29" s="279"/>
      <c r="PWY29" s="279"/>
      <c r="PWZ29" s="279"/>
      <c r="PXA29" s="279"/>
      <c r="PXB29" s="279"/>
      <c r="PXC29" s="279"/>
      <c r="PXD29" s="279"/>
      <c r="PXE29" s="279"/>
      <c r="PXF29" s="279"/>
      <c r="PXG29" s="279"/>
      <c r="PXH29" s="279"/>
      <c r="PXI29" s="279"/>
      <c r="PXJ29" s="279"/>
      <c r="PXK29" s="279"/>
      <c r="PXL29" s="279"/>
      <c r="PXM29" s="279"/>
      <c r="PXN29" s="279"/>
      <c r="PXO29" s="279"/>
      <c r="PXP29" s="279"/>
      <c r="PXQ29" s="279"/>
      <c r="PXR29" s="279"/>
      <c r="PXS29" s="279"/>
      <c r="PXT29" s="279"/>
      <c r="PXU29" s="279"/>
      <c r="PXV29" s="279"/>
      <c r="PXW29" s="279"/>
      <c r="PXX29" s="279"/>
      <c r="PXY29" s="279"/>
      <c r="PXZ29" s="279"/>
      <c r="PYA29" s="279"/>
      <c r="PYB29" s="279"/>
      <c r="PYC29" s="279"/>
      <c r="PYD29" s="279"/>
      <c r="PYE29" s="279"/>
      <c r="PYF29" s="279"/>
      <c r="PYG29" s="279"/>
      <c r="PYH29" s="279"/>
      <c r="PYI29" s="279"/>
      <c r="PYJ29" s="279"/>
      <c r="PYK29" s="279"/>
      <c r="PYL29" s="279"/>
      <c r="PYM29" s="279"/>
      <c r="PYN29" s="279"/>
      <c r="PYO29" s="279"/>
      <c r="PYP29" s="279"/>
      <c r="PYQ29" s="279"/>
      <c r="PYR29" s="279"/>
      <c r="PYS29" s="279"/>
      <c r="PYT29" s="279"/>
      <c r="PYU29" s="279"/>
      <c r="PYV29" s="279"/>
      <c r="PYW29" s="279"/>
      <c r="PYX29" s="279"/>
      <c r="PYY29" s="279"/>
      <c r="PYZ29" s="279"/>
      <c r="PZA29" s="279"/>
      <c r="PZB29" s="279"/>
      <c r="PZC29" s="279"/>
      <c r="PZD29" s="279"/>
      <c r="PZE29" s="279"/>
      <c r="PZF29" s="279"/>
      <c r="PZG29" s="279"/>
      <c r="PZH29" s="279"/>
      <c r="PZI29" s="279"/>
      <c r="PZJ29" s="279"/>
      <c r="PZK29" s="279"/>
      <c r="PZL29" s="279"/>
      <c r="PZM29" s="279"/>
      <c r="PZN29" s="279"/>
      <c r="PZO29" s="279"/>
      <c r="PZP29" s="279"/>
      <c r="PZQ29" s="279"/>
      <c r="PZR29" s="279"/>
      <c r="PZS29" s="279"/>
      <c r="PZT29" s="279"/>
      <c r="PZU29" s="279"/>
      <c r="PZV29" s="279"/>
      <c r="PZW29" s="279"/>
      <c r="PZX29" s="279"/>
      <c r="PZY29" s="279"/>
      <c r="PZZ29" s="279"/>
      <c r="QAA29" s="279"/>
      <c r="QAB29" s="279"/>
      <c r="QAC29" s="279"/>
      <c r="QAD29" s="279"/>
      <c r="QAE29" s="279"/>
      <c r="QAF29" s="279"/>
      <c r="QAG29" s="279"/>
      <c r="QAH29" s="279"/>
      <c r="QAI29" s="279"/>
      <c r="QAJ29" s="279"/>
      <c r="QAK29" s="279"/>
      <c r="QAL29" s="279"/>
      <c r="QAM29" s="279"/>
      <c r="QAN29" s="279"/>
      <c r="QAO29" s="279"/>
      <c r="QAP29" s="279"/>
      <c r="QAQ29" s="279"/>
      <c r="QAR29" s="279"/>
      <c r="QAS29" s="279"/>
      <c r="QAT29" s="279"/>
      <c r="QAU29" s="279"/>
      <c r="QAV29" s="279"/>
      <c r="QAW29" s="279"/>
      <c r="QAX29" s="279"/>
      <c r="QAY29" s="279"/>
      <c r="QAZ29" s="279"/>
      <c r="QBA29" s="279"/>
      <c r="QBB29" s="279"/>
      <c r="QBC29" s="279"/>
      <c r="QBD29" s="279"/>
      <c r="QBE29" s="279"/>
      <c r="QBF29" s="279"/>
      <c r="QBG29" s="279"/>
      <c r="QBH29" s="279"/>
      <c r="QBI29" s="279"/>
      <c r="QBJ29" s="279"/>
      <c r="QBK29" s="279"/>
      <c r="QBL29" s="279"/>
      <c r="QBM29" s="279"/>
      <c r="QBN29" s="279"/>
      <c r="QBO29" s="279"/>
      <c r="QBP29" s="279"/>
      <c r="QBQ29" s="279"/>
      <c r="QBR29" s="279"/>
      <c r="QBS29" s="279"/>
      <c r="QBT29" s="279"/>
      <c r="QBU29" s="279"/>
      <c r="QBV29" s="279"/>
      <c r="QBW29" s="279"/>
      <c r="QBX29" s="279"/>
      <c r="QBY29" s="279"/>
      <c r="QBZ29" s="279"/>
      <c r="QCA29" s="279"/>
      <c r="QCB29" s="279"/>
      <c r="QCC29" s="279"/>
      <c r="QCD29" s="279"/>
      <c r="QCE29" s="279"/>
      <c r="QCF29" s="279"/>
      <c r="QCG29" s="279"/>
      <c r="QCH29" s="279"/>
      <c r="QCI29" s="279"/>
      <c r="QCJ29" s="279"/>
      <c r="QCK29" s="279"/>
      <c r="QCL29" s="279"/>
      <c r="QCM29" s="279"/>
      <c r="QCN29" s="279"/>
      <c r="QCO29" s="279"/>
      <c r="QCP29" s="279"/>
      <c r="QCQ29" s="279"/>
      <c r="QCR29" s="279"/>
      <c r="QCS29" s="279"/>
      <c r="QCT29" s="279"/>
      <c r="QCU29" s="279"/>
      <c r="QCV29" s="279"/>
      <c r="QCW29" s="279"/>
      <c r="QCX29" s="279"/>
      <c r="QCY29" s="279"/>
      <c r="QCZ29" s="279"/>
      <c r="QDA29" s="279"/>
      <c r="QDB29" s="279"/>
      <c r="QDC29" s="279"/>
      <c r="QDD29" s="279"/>
      <c r="QDE29" s="279"/>
      <c r="QDF29" s="279"/>
      <c r="QDG29" s="279"/>
      <c r="QDH29" s="279"/>
      <c r="QDI29" s="279"/>
      <c r="QDJ29" s="279"/>
      <c r="QDK29" s="279"/>
      <c r="QDL29" s="279"/>
      <c r="QDM29" s="279"/>
      <c r="QDN29" s="279"/>
      <c r="QDO29" s="279"/>
      <c r="QDP29" s="279"/>
      <c r="QDQ29" s="279"/>
      <c r="QDR29" s="279"/>
      <c r="QDS29" s="279"/>
      <c r="QDT29" s="279"/>
      <c r="QDU29" s="279"/>
      <c r="QDV29" s="279"/>
      <c r="QDW29" s="279"/>
      <c r="QDX29" s="279"/>
      <c r="QDY29" s="279"/>
      <c r="QDZ29" s="279"/>
      <c r="QEA29" s="279"/>
      <c r="QEB29" s="279"/>
      <c r="QEC29" s="279"/>
      <c r="QED29" s="279"/>
      <c r="QEE29" s="279"/>
      <c r="QEF29" s="279"/>
      <c r="QEG29" s="279"/>
      <c r="QEH29" s="279"/>
      <c r="QEI29" s="279"/>
      <c r="QEJ29" s="279"/>
      <c r="QEK29" s="279"/>
      <c r="QEL29" s="279"/>
      <c r="QEM29" s="279"/>
      <c r="QEN29" s="279"/>
      <c r="QEO29" s="279"/>
      <c r="QEP29" s="279"/>
      <c r="QEQ29" s="279"/>
      <c r="QER29" s="279"/>
      <c r="QES29" s="279"/>
      <c r="QET29" s="279"/>
      <c r="QEU29" s="279"/>
      <c r="QEV29" s="279"/>
      <c r="QEW29" s="279"/>
      <c r="QEX29" s="279"/>
      <c r="QEY29" s="279"/>
      <c r="QEZ29" s="279"/>
      <c r="QFA29" s="279"/>
      <c r="QFB29" s="279"/>
      <c r="QFC29" s="279"/>
      <c r="QFD29" s="279"/>
      <c r="QFE29" s="279"/>
      <c r="QFF29" s="279"/>
      <c r="QFG29" s="279"/>
      <c r="QFH29" s="279"/>
      <c r="QFI29" s="279"/>
      <c r="QFJ29" s="279"/>
      <c r="QFK29" s="279"/>
      <c r="QFL29" s="279"/>
      <c r="QFM29" s="279"/>
      <c r="QFN29" s="279"/>
      <c r="QFO29" s="279"/>
      <c r="QFP29" s="279"/>
      <c r="QFQ29" s="279"/>
      <c r="QFR29" s="279"/>
      <c r="QFS29" s="279"/>
      <c r="QFT29" s="279"/>
      <c r="QFU29" s="279"/>
      <c r="QFV29" s="279"/>
      <c r="QFW29" s="279"/>
      <c r="QFX29" s="279"/>
      <c r="QFY29" s="279"/>
      <c r="QFZ29" s="279"/>
      <c r="QGA29" s="279"/>
      <c r="QGB29" s="279"/>
      <c r="QGC29" s="279"/>
      <c r="QGD29" s="279"/>
      <c r="QGE29" s="279"/>
      <c r="QGF29" s="279"/>
      <c r="QGG29" s="279"/>
      <c r="QGH29" s="279"/>
      <c r="QGI29" s="279"/>
      <c r="QGJ29" s="279"/>
      <c r="QGK29" s="279"/>
      <c r="QGL29" s="279"/>
      <c r="QGM29" s="279"/>
      <c r="QGN29" s="279"/>
      <c r="QGO29" s="279"/>
      <c r="QGP29" s="279"/>
      <c r="QGQ29" s="279"/>
      <c r="QGR29" s="279"/>
      <c r="QGS29" s="279"/>
      <c r="QGT29" s="279"/>
      <c r="QGU29" s="279"/>
      <c r="QGV29" s="279"/>
      <c r="QGW29" s="279"/>
      <c r="QGX29" s="279"/>
      <c r="QGY29" s="279"/>
      <c r="QGZ29" s="279"/>
      <c r="QHA29" s="279"/>
      <c r="QHB29" s="279"/>
      <c r="QHC29" s="279"/>
      <c r="QHD29" s="279"/>
      <c r="QHE29" s="279"/>
      <c r="QHF29" s="279"/>
      <c r="QHG29" s="279"/>
      <c r="QHH29" s="279"/>
      <c r="QHI29" s="279"/>
      <c r="QHJ29" s="279"/>
      <c r="QHK29" s="279"/>
      <c r="QHL29" s="279"/>
      <c r="QHM29" s="279"/>
      <c r="QHN29" s="279"/>
      <c r="QHO29" s="279"/>
      <c r="QHP29" s="279"/>
      <c r="QHQ29" s="279"/>
      <c r="QHR29" s="279"/>
      <c r="QHS29" s="279"/>
      <c r="QHT29" s="279"/>
      <c r="QHU29" s="279"/>
      <c r="QHV29" s="279"/>
      <c r="QHW29" s="279"/>
      <c r="QHX29" s="279"/>
      <c r="QHY29" s="279"/>
      <c r="QHZ29" s="279"/>
      <c r="QIA29" s="279"/>
      <c r="QIB29" s="279"/>
      <c r="QIC29" s="279"/>
      <c r="QID29" s="279"/>
      <c r="QIE29" s="279"/>
      <c r="QIF29" s="279"/>
      <c r="QIG29" s="279"/>
      <c r="QIH29" s="279"/>
      <c r="QII29" s="279"/>
      <c r="QIJ29" s="279"/>
      <c r="QIK29" s="279"/>
      <c r="QIL29" s="279"/>
      <c r="QIM29" s="279"/>
      <c r="QIN29" s="279"/>
      <c r="QIO29" s="279"/>
      <c r="QIP29" s="279"/>
      <c r="QIQ29" s="279"/>
      <c r="QIR29" s="279"/>
      <c r="QIS29" s="279"/>
      <c r="QIT29" s="279"/>
      <c r="QIU29" s="279"/>
      <c r="QIV29" s="279"/>
      <c r="QIW29" s="279"/>
      <c r="QIX29" s="279"/>
      <c r="QIY29" s="279"/>
      <c r="QIZ29" s="279"/>
      <c r="QJA29" s="279"/>
      <c r="QJB29" s="279"/>
      <c r="QJC29" s="279"/>
      <c r="QJD29" s="279"/>
      <c r="QJE29" s="279"/>
      <c r="QJF29" s="279"/>
      <c r="QJG29" s="279"/>
      <c r="QJH29" s="279"/>
      <c r="QJI29" s="279"/>
      <c r="QJJ29" s="279"/>
      <c r="QJK29" s="279"/>
      <c r="QJL29" s="279"/>
      <c r="QJM29" s="279"/>
      <c r="QJN29" s="279"/>
      <c r="QJO29" s="279"/>
      <c r="QJP29" s="279"/>
      <c r="QJQ29" s="279"/>
      <c r="QJR29" s="279"/>
      <c r="QJS29" s="279"/>
      <c r="QJT29" s="279"/>
      <c r="QJU29" s="279"/>
      <c r="QJV29" s="279"/>
      <c r="QJW29" s="279"/>
      <c r="QJX29" s="279"/>
      <c r="QJY29" s="279"/>
      <c r="QJZ29" s="279"/>
      <c r="QKA29" s="279"/>
      <c r="QKB29" s="279"/>
      <c r="QKC29" s="279"/>
      <c r="QKD29" s="279"/>
      <c r="QKE29" s="279"/>
      <c r="QKF29" s="279"/>
      <c r="QKG29" s="279"/>
      <c r="QKH29" s="279"/>
      <c r="QKI29" s="279"/>
      <c r="QKJ29" s="279"/>
      <c r="QKK29" s="279"/>
      <c r="QKL29" s="279"/>
      <c r="QKM29" s="279"/>
      <c r="QKN29" s="279"/>
      <c r="QKO29" s="279"/>
      <c r="QKP29" s="279"/>
      <c r="QKQ29" s="279"/>
      <c r="QKR29" s="279"/>
      <c r="QKS29" s="279"/>
      <c r="QKT29" s="279"/>
      <c r="QKU29" s="279"/>
      <c r="QKV29" s="279"/>
      <c r="QKW29" s="279"/>
      <c r="QKX29" s="279"/>
      <c r="QKY29" s="279"/>
      <c r="QKZ29" s="279"/>
      <c r="QLA29" s="279"/>
      <c r="QLB29" s="279"/>
      <c r="QLC29" s="279"/>
      <c r="QLD29" s="279"/>
      <c r="QLE29" s="279"/>
      <c r="QLF29" s="279"/>
      <c r="QLG29" s="279"/>
      <c r="QLH29" s="279"/>
      <c r="QLI29" s="279"/>
      <c r="QLJ29" s="279"/>
      <c r="QLK29" s="279"/>
      <c r="QLL29" s="279"/>
      <c r="QLM29" s="279"/>
      <c r="QLN29" s="279"/>
      <c r="QLO29" s="279"/>
      <c r="QLP29" s="279"/>
      <c r="QLQ29" s="279"/>
      <c r="QLR29" s="279"/>
      <c r="QLS29" s="279"/>
      <c r="QLT29" s="279"/>
      <c r="QLU29" s="279"/>
      <c r="QLV29" s="279"/>
      <c r="QLW29" s="279"/>
      <c r="QLX29" s="279"/>
      <c r="QLY29" s="279"/>
      <c r="QLZ29" s="279"/>
      <c r="QMA29" s="279"/>
      <c r="QMB29" s="279"/>
      <c r="QMC29" s="279"/>
      <c r="QMD29" s="279"/>
      <c r="QME29" s="279"/>
      <c r="QMF29" s="279"/>
      <c r="QMG29" s="279"/>
      <c r="QMH29" s="279"/>
      <c r="QMI29" s="279"/>
      <c r="QMJ29" s="279"/>
      <c r="QMK29" s="279"/>
      <c r="QML29" s="279"/>
      <c r="QMM29" s="279"/>
      <c r="QMN29" s="279"/>
      <c r="QMO29" s="279"/>
      <c r="QMP29" s="279"/>
      <c r="QMQ29" s="279"/>
      <c r="QMR29" s="279"/>
      <c r="QMS29" s="279"/>
      <c r="QMT29" s="279"/>
      <c r="QMU29" s="279"/>
      <c r="QMV29" s="279"/>
      <c r="QMW29" s="279"/>
      <c r="QMX29" s="279"/>
      <c r="QMY29" s="279"/>
      <c r="QMZ29" s="279"/>
      <c r="QNA29" s="279"/>
      <c r="QNB29" s="279"/>
      <c r="QNC29" s="279"/>
      <c r="QND29" s="279"/>
      <c r="QNE29" s="279"/>
      <c r="QNF29" s="279"/>
      <c r="QNG29" s="279"/>
      <c r="QNH29" s="279"/>
      <c r="QNI29" s="279"/>
      <c r="QNJ29" s="279"/>
      <c r="QNK29" s="279"/>
      <c r="QNL29" s="279"/>
      <c r="QNM29" s="279"/>
      <c r="QNN29" s="279"/>
      <c r="QNO29" s="279"/>
      <c r="QNP29" s="279"/>
      <c r="QNQ29" s="279"/>
      <c r="QNR29" s="279"/>
      <c r="QNS29" s="279"/>
      <c r="QNT29" s="279"/>
      <c r="QNU29" s="279"/>
      <c r="QNV29" s="279"/>
      <c r="QNW29" s="279"/>
      <c r="QNX29" s="279"/>
      <c r="QNY29" s="279"/>
      <c r="QNZ29" s="279"/>
      <c r="QOA29" s="279"/>
      <c r="QOB29" s="279"/>
      <c r="QOC29" s="279"/>
      <c r="QOD29" s="279"/>
      <c r="QOE29" s="279"/>
      <c r="QOF29" s="279"/>
      <c r="QOG29" s="279"/>
      <c r="QOH29" s="279"/>
      <c r="QOI29" s="279"/>
      <c r="QOJ29" s="279"/>
      <c r="QOK29" s="279"/>
      <c r="QOL29" s="279"/>
      <c r="QOM29" s="279"/>
      <c r="QON29" s="279"/>
      <c r="QOO29" s="279"/>
      <c r="QOP29" s="279"/>
      <c r="QOQ29" s="279"/>
      <c r="QOR29" s="279"/>
      <c r="QOS29" s="279"/>
      <c r="QOT29" s="279"/>
      <c r="QOU29" s="279"/>
      <c r="QOV29" s="279"/>
      <c r="QOW29" s="279"/>
      <c r="QOX29" s="279"/>
      <c r="QOY29" s="279"/>
      <c r="QOZ29" s="279"/>
      <c r="QPA29" s="279"/>
      <c r="QPB29" s="279"/>
      <c r="QPC29" s="279"/>
      <c r="QPD29" s="279"/>
      <c r="QPE29" s="279"/>
      <c r="QPF29" s="279"/>
      <c r="QPG29" s="279"/>
      <c r="QPH29" s="279"/>
      <c r="QPI29" s="279"/>
      <c r="QPJ29" s="279"/>
      <c r="QPK29" s="279"/>
      <c r="QPL29" s="279"/>
      <c r="QPM29" s="279"/>
      <c r="QPN29" s="279"/>
      <c r="QPO29" s="279"/>
      <c r="QPP29" s="279"/>
      <c r="QPQ29" s="279"/>
      <c r="QPR29" s="279"/>
      <c r="QPS29" s="279"/>
      <c r="QPT29" s="279"/>
      <c r="QPU29" s="279"/>
      <c r="QPV29" s="279"/>
      <c r="QPW29" s="279"/>
      <c r="QPX29" s="279"/>
      <c r="QPY29" s="279"/>
      <c r="QPZ29" s="279"/>
      <c r="QQA29" s="279"/>
      <c r="QQB29" s="279"/>
      <c r="QQC29" s="279"/>
      <c r="QQD29" s="279"/>
      <c r="QQE29" s="279"/>
      <c r="QQF29" s="279"/>
      <c r="QQG29" s="279"/>
      <c r="QQH29" s="279"/>
      <c r="QQI29" s="279"/>
      <c r="QQJ29" s="279"/>
      <c r="QQK29" s="279"/>
      <c r="QQL29" s="279"/>
      <c r="QQM29" s="279"/>
      <c r="QQN29" s="279"/>
      <c r="QQO29" s="279"/>
      <c r="QQP29" s="279"/>
      <c r="QQQ29" s="279"/>
      <c r="QQR29" s="279"/>
      <c r="QQS29" s="279"/>
      <c r="QQT29" s="279"/>
      <c r="QQU29" s="279"/>
      <c r="QQV29" s="279"/>
      <c r="QQW29" s="279"/>
      <c r="QQX29" s="279"/>
      <c r="QQY29" s="279"/>
      <c r="QQZ29" s="279"/>
      <c r="QRA29" s="279"/>
      <c r="QRB29" s="279"/>
      <c r="QRC29" s="279"/>
      <c r="QRD29" s="279"/>
      <c r="QRE29" s="279"/>
      <c r="QRF29" s="279"/>
      <c r="QRG29" s="279"/>
      <c r="QRH29" s="279"/>
      <c r="QRI29" s="279"/>
      <c r="QRJ29" s="279"/>
      <c r="QRK29" s="279"/>
      <c r="QRL29" s="279"/>
      <c r="QRM29" s="279"/>
      <c r="QRN29" s="279"/>
      <c r="QRO29" s="279"/>
      <c r="QRP29" s="279"/>
      <c r="QRQ29" s="279"/>
      <c r="QRR29" s="279"/>
      <c r="QRS29" s="279"/>
      <c r="QRT29" s="279"/>
      <c r="QRU29" s="279"/>
      <c r="QRV29" s="279"/>
      <c r="QRW29" s="279"/>
      <c r="QRX29" s="279"/>
      <c r="QRY29" s="279"/>
      <c r="QRZ29" s="279"/>
      <c r="QSA29" s="279"/>
      <c r="QSB29" s="279"/>
      <c r="QSC29" s="279"/>
      <c r="QSD29" s="279"/>
      <c r="QSE29" s="279"/>
      <c r="QSF29" s="279"/>
      <c r="QSG29" s="279"/>
      <c r="QSH29" s="279"/>
      <c r="QSI29" s="279"/>
      <c r="QSJ29" s="279"/>
      <c r="QSK29" s="279"/>
      <c r="QSL29" s="279"/>
      <c r="QSM29" s="279"/>
      <c r="QSN29" s="279"/>
      <c r="QSO29" s="279"/>
      <c r="QSP29" s="279"/>
      <c r="QSQ29" s="279"/>
      <c r="QSR29" s="279"/>
      <c r="QSS29" s="279"/>
      <c r="QST29" s="279"/>
      <c r="QSU29" s="279"/>
      <c r="QSV29" s="279"/>
      <c r="QSW29" s="279"/>
      <c r="QSX29" s="279"/>
      <c r="QSY29" s="279"/>
      <c r="QSZ29" s="279"/>
      <c r="QTA29" s="279"/>
      <c r="QTB29" s="279"/>
      <c r="QTC29" s="279"/>
      <c r="QTD29" s="279"/>
      <c r="QTE29" s="279"/>
      <c r="QTF29" s="279"/>
      <c r="QTG29" s="279"/>
      <c r="QTH29" s="279"/>
      <c r="QTI29" s="279"/>
      <c r="QTJ29" s="279"/>
      <c r="QTK29" s="279"/>
      <c r="QTL29" s="279"/>
      <c r="QTM29" s="279"/>
      <c r="QTN29" s="279"/>
      <c r="QTO29" s="279"/>
      <c r="QTP29" s="279"/>
      <c r="QTQ29" s="279"/>
      <c r="QTR29" s="279"/>
      <c r="QTS29" s="279"/>
      <c r="QTT29" s="279"/>
      <c r="QTU29" s="279"/>
      <c r="QTV29" s="279"/>
      <c r="QTW29" s="279"/>
      <c r="QTX29" s="279"/>
      <c r="QTY29" s="279"/>
      <c r="QTZ29" s="279"/>
      <c r="QUA29" s="279"/>
      <c r="QUB29" s="279"/>
      <c r="QUC29" s="279"/>
      <c r="QUD29" s="279"/>
      <c r="QUE29" s="279"/>
      <c r="QUF29" s="279"/>
      <c r="QUG29" s="279"/>
      <c r="QUH29" s="279"/>
      <c r="QUI29" s="279"/>
      <c r="QUJ29" s="279"/>
      <c r="QUK29" s="279"/>
      <c r="QUL29" s="279"/>
      <c r="QUM29" s="279"/>
      <c r="QUN29" s="279"/>
      <c r="QUO29" s="279"/>
      <c r="QUP29" s="279"/>
      <c r="QUQ29" s="279"/>
      <c r="QUR29" s="279"/>
      <c r="QUS29" s="279"/>
      <c r="QUT29" s="279"/>
      <c r="QUU29" s="279"/>
      <c r="QUV29" s="279"/>
      <c r="QUW29" s="279"/>
      <c r="QUX29" s="279"/>
      <c r="QUY29" s="279"/>
      <c r="QUZ29" s="279"/>
      <c r="QVA29" s="279"/>
      <c r="QVB29" s="279"/>
      <c r="QVC29" s="279"/>
      <c r="QVD29" s="279"/>
      <c r="QVE29" s="279"/>
      <c r="QVF29" s="279"/>
      <c r="QVG29" s="279"/>
      <c r="QVH29" s="279"/>
      <c r="QVI29" s="279"/>
      <c r="QVJ29" s="279"/>
      <c r="QVK29" s="279"/>
      <c r="QVL29" s="279"/>
      <c r="QVM29" s="279"/>
      <c r="QVN29" s="279"/>
      <c r="QVO29" s="279"/>
      <c r="QVP29" s="279"/>
      <c r="QVQ29" s="279"/>
      <c r="QVR29" s="279"/>
      <c r="QVS29" s="279"/>
      <c r="QVT29" s="279"/>
      <c r="QVU29" s="279"/>
      <c r="QVV29" s="279"/>
      <c r="QVW29" s="279"/>
      <c r="QVX29" s="279"/>
      <c r="QVY29" s="279"/>
      <c r="QVZ29" s="279"/>
      <c r="QWA29" s="279"/>
      <c r="QWB29" s="279"/>
      <c r="QWC29" s="279"/>
      <c r="QWD29" s="279"/>
      <c r="QWE29" s="279"/>
      <c r="QWF29" s="279"/>
      <c r="QWG29" s="279"/>
      <c r="QWH29" s="279"/>
      <c r="QWI29" s="279"/>
      <c r="QWJ29" s="279"/>
      <c r="QWK29" s="279"/>
      <c r="QWL29" s="279"/>
      <c r="QWM29" s="279"/>
      <c r="QWN29" s="279"/>
      <c r="QWO29" s="279"/>
      <c r="QWP29" s="279"/>
      <c r="QWQ29" s="279"/>
      <c r="QWR29" s="279"/>
      <c r="QWS29" s="279"/>
      <c r="QWT29" s="279"/>
      <c r="QWU29" s="279"/>
      <c r="QWV29" s="279"/>
      <c r="QWW29" s="279"/>
      <c r="QWX29" s="279"/>
      <c r="QWY29" s="279"/>
      <c r="QWZ29" s="279"/>
      <c r="QXA29" s="279"/>
      <c r="QXB29" s="279"/>
      <c r="QXC29" s="279"/>
      <c r="QXD29" s="279"/>
      <c r="QXE29" s="279"/>
      <c r="QXF29" s="279"/>
      <c r="QXG29" s="279"/>
      <c r="QXH29" s="279"/>
      <c r="QXI29" s="279"/>
      <c r="QXJ29" s="279"/>
      <c r="QXK29" s="279"/>
      <c r="QXL29" s="279"/>
      <c r="QXM29" s="279"/>
      <c r="QXN29" s="279"/>
      <c r="QXO29" s="279"/>
      <c r="QXP29" s="279"/>
      <c r="QXQ29" s="279"/>
      <c r="QXR29" s="279"/>
      <c r="QXS29" s="279"/>
      <c r="QXT29" s="279"/>
      <c r="QXU29" s="279"/>
      <c r="QXV29" s="279"/>
      <c r="QXW29" s="279"/>
      <c r="QXX29" s="279"/>
      <c r="QXY29" s="279"/>
      <c r="QXZ29" s="279"/>
      <c r="QYA29" s="279"/>
      <c r="QYB29" s="279"/>
      <c r="QYC29" s="279"/>
      <c r="QYD29" s="279"/>
      <c r="QYE29" s="279"/>
      <c r="QYF29" s="279"/>
      <c r="QYG29" s="279"/>
      <c r="QYH29" s="279"/>
      <c r="QYI29" s="279"/>
      <c r="QYJ29" s="279"/>
      <c r="QYK29" s="279"/>
      <c r="QYL29" s="279"/>
      <c r="QYM29" s="279"/>
      <c r="QYN29" s="279"/>
      <c r="QYO29" s="279"/>
      <c r="QYP29" s="279"/>
      <c r="QYQ29" s="279"/>
      <c r="QYR29" s="279"/>
      <c r="QYS29" s="279"/>
      <c r="QYT29" s="279"/>
      <c r="QYU29" s="279"/>
      <c r="QYV29" s="279"/>
      <c r="QYW29" s="279"/>
      <c r="QYX29" s="279"/>
      <c r="QYY29" s="279"/>
      <c r="QYZ29" s="279"/>
      <c r="QZA29" s="279"/>
      <c r="QZB29" s="279"/>
      <c r="QZC29" s="279"/>
      <c r="QZD29" s="279"/>
      <c r="QZE29" s="279"/>
      <c r="QZF29" s="279"/>
      <c r="QZG29" s="279"/>
      <c r="QZH29" s="279"/>
      <c r="QZI29" s="279"/>
      <c r="QZJ29" s="279"/>
      <c r="QZK29" s="279"/>
      <c r="QZL29" s="279"/>
      <c r="QZM29" s="279"/>
      <c r="QZN29" s="279"/>
      <c r="QZO29" s="279"/>
      <c r="QZP29" s="279"/>
      <c r="QZQ29" s="279"/>
      <c r="QZR29" s="279"/>
      <c r="QZS29" s="279"/>
      <c r="QZT29" s="279"/>
      <c r="QZU29" s="279"/>
      <c r="QZV29" s="279"/>
      <c r="QZW29" s="279"/>
      <c r="QZX29" s="279"/>
      <c r="QZY29" s="279"/>
      <c r="QZZ29" s="279"/>
      <c r="RAA29" s="279"/>
      <c r="RAB29" s="279"/>
      <c r="RAC29" s="279"/>
      <c r="RAD29" s="279"/>
      <c r="RAE29" s="279"/>
      <c r="RAF29" s="279"/>
      <c r="RAG29" s="279"/>
      <c r="RAH29" s="279"/>
      <c r="RAI29" s="279"/>
      <c r="RAJ29" s="279"/>
      <c r="RAK29" s="279"/>
      <c r="RAL29" s="279"/>
      <c r="RAM29" s="279"/>
      <c r="RAN29" s="279"/>
      <c r="RAO29" s="279"/>
      <c r="RAP29" s="279"/>
      <c r="RAQ29" s="279"/>
      <c r="RAR29" s="279"/>
      <c r="RAS29" s="279"/>
      <c r="RAT29" s="279"/>
      <c r="RAU29" s="279"/>
      <c r="RAV29" s="279"/>
      <c r="RAW29" s="279"/>
      <c r="RAX29" s="279"/>
      <c r="RAY29" s="279"/>
      <c r="RAZ29" s="279"/>
      <c r="RBA29" s="279"/>
      <c r="RBB29" s="279"/>
      <c r="RBC29" s="279"/>
      <c r="RBD29" s="279"/>
      <c r="RBE29" s="279"/>
      <c r="RBF29" s="279"/>
      <c r="RBG29" s="279"/>
      <c r="RBH29" s="279"/>
      <c r="RBI29" s="279"/>
      <c r="RBJ29" s="279"/>
      <c r="RBK29" s="279"/>
      <c r="RBL29" s="279"/>
      <c r="RBM29" s="279"/>
      <c r="RBN29" s="279"/>
      <c r="RBO29" s="279"/>
      <c r="RBP29" s="279"/>
      <c r="RBQ29" s="279"/>
      <c r="RBR29" s="279"/>
      <c r="RBS29" s="279"/>
      <c r="RBT29" s="279"/>
      <c r="RBU29" s="279"/>
      <c r="RBV29" s="279"/>
      <c r="RBW29" s="279"/>
      <c r="RBX29" s="279"/>
      <c r="RBY29" s="279"/>
      <c r="RBZ29" s="279"/>
      <c r="RCA29" s="279"/>
      <c r="RCB29" s="279"/>
      <c r="RCC29" s="279"/>
      <c r="RCD29" s="279"/>
      <c r="RCE29" s="279"/>
      <c r="RCF29" s="279"/>
      <c r="RCG29" s="279"/>
      <c r="RCH29" s="279"/>
      <c r="RCI29" s="279"/>
      <c r="RCJ29" s="279"/>
      <c r="RCK29" s="279"/>
      <c r="RCL29" s="279"/>
      <c r="RCM29" s="279"/>
      <c r="RCN29" s="279"/>
      <c r="RCO29" s="279"/>
      <c r="RCP29" s="279"/>
      <c r="RCQ29" s="279"/>
      <c r="RCR29" s="279"/>
      <c r="RCS29" s="279"/>
      <c r="RCT29" s="279"/>
      <c r="RCU29" s="279"/>
      <c r="RCV29" s="279"/>
      <c r="RCW29" s="279"/>
      <c r="RCX29" s="279"/>
      <c r="RCY29" s="279"/>
      <c r="RCZ29" s="279"/>
      <c r="RDA29" s="279"/>
      <c r="RDB29" s="279"/>
      <c r="RDC29" s="279"/>
      <c r="RDD29" s="279"/>
      <c r="RDE29" s="279"/>
      <c r="RDF29" s="279"/>
      <c r="RDG29" s="279"/>
      <c r="RDH29" s="279"/>
      <c r="RDI29" s="279"/>
      <c r="RDJ29" s="279"/>
      <c r="RDK29" s="279"/>
      <c r="RDL29" s="279"/>
      <c r="RDM29" s="279"/>
      <c r="RDN29" s="279"/>
      <c r="RDO29" s="279"/>
      <c r="RDP29" s="279"/>
      <c r="RDQ29" s="279"/>
      <c r="RDR29" s="279"/>
      <c r="RDS29" s="279"/>
      <c r="RDT29" s="279"/>
      <c r="RDU29" s="279"/>
      <c r="RDV29" s="279"/>
      <c r="RDW29" s="279"/>
      <c r="RDX29" s="279"/>
      <c r="RDY29" s="279"/>
      <c r="RDZ29" s="279"/>
      <c r="REA29" s="279"/>
      <c r="REB29" s="279"/>
      <c r="REC29" s="279"/>
      <c r="RED29" s="279"/>
      <c r="REE29" s="279"/>
      <c r="REF29" s="279"/>
      <c r="REG29" s="279"/>
      <c r="REH29" s="279"/>
      <c r="REI29" s="279"/>
      <c r="REJ29" s="279"/>
      <c r="REK29" s="279"/>
      <c r="REL29" s="279"/>
      <c r="REM29" s="279"/>
      <c r="REN29" s="279"/>
      <c r="REO29" s="279"/>
      <c r="REP29" s="279"/>
      <c r="REQ29" s="279"/>
      <c r="RER29" s="279"/>
      <c r="RES29" s="279"/>
      <c r="RET29" s="279"/>
      <c r="REU29" s="279"/>
      <c r="REV29" s="279"/>
      <c r="REW29" s="279"/>
      <c r="REX29" s="279"/>
      <c r="REY29" s="279"/>
      <c r="REZ29" s="279"/>
      <c r="RFA29" s="279"/>
      <c r="RFB29" s="279"/>
      <c r="RFC29" s="279"/>
      <c r="RFD29" s="279"/>
      <c r="RFE29" s="279"/>
      <c r="RFF29" s="279"/>
      <c r="RFG29" s="279"/>
      <c r="RFH29" s="279"/>
      <c r="RFI29" s="279"/>
      <c r="RFJ29" s="279"/>
      <c r="RFK29" s="279"/>
      <c r="RFL29" s="279"/>
      <c r="RFM29" s="279"/>
      <c r="RFN29" s="279"/>
      <c r="RFO29" s="279"/>
      <c r="RFP29" s="279"/>
      <c r="RFQ29" s="279"/>
      <c r="RFR29" s="279"/>
      <c r="RFS29" s="279"/>
      <c r="RFT29" s="279"/>
      <c r="RFU29" s="279"/>
      <c r="RFV29" s="279"/>
      <c r="RFW29" s="279"/>
      <c r="RFX29" s="279"/>
      <c r="RFY29" s="279"/>
      <c r="RFZ29" s="279"/>
      <c r="RGA29" s="279"/>
      <c r="RGB29" s="279"/>
      <c r="RGC29" s="279"/>
      <c r="RGD29" s="279"/>
      <c r="RGE29" s="279"/>
      <c r="RGF29" s="279"/>
      <c r="RGG29" s="279"/>
      <c r="RGH29" s="279"/>
      <c r="RGI29" s="279"/>
      <c r="RGJ29" s="279"/>
      <c r="RGK29" s="279"/>
      <c r="RGL29" s="279"/>
      <c r="RGM29" s="279"/>
      <c r="RGN29" s="279"/>
      <c r="RGO29" s="279"/>
      <c r="RGP29" s="279"/>
      <c r="RGQ29" s="279"/>
      <c r="RGR29" s="279"/>
      <c r="RGS29" s="279"/>
      <c r="RGT29" s="279"/>
      <c r="RGU29" s="279"/>
      <c r="RGV29" s="279"/>
      <c r="RGW29" s="279"/>
      <c r="RGX29" s="279"/>
      <c r="RGY29" s="279"/>
      <c r="RGZ29" s="279"/>
      <c r="RHA29" s="279"/>
      <c r="RHB29" s="279"/>
      <c r="RHC29" s="279"/>
      <c r="RHD29" s="279"/>
      <c r="RHE29" s="279"/>
      <c r="RHF29" s="279"/>
      <c r="RHG29" s="279"/>
      <c r="RHH29" s="279"/>
      <c r="RHI29" s="279"/>
      <c r="RHJ29" s="279"/>
      <c r="RHK29" s="279"/>
      <c r="RHL29" s="279"/>
      <c r="RHM29" s="279"/>
      <c r="RHN29" s="279"/>
      <c r="RHO29" s="279"/>
      <c r="RHP29" s="279"/>
      <c r="RHQ29" s="279"/>
      <c r="RHR29" s="279"/>
      <c r="RHS29" s="279"/>
      <c r="RHT29" s="279"/>
      <c r="RHU29" s="279"/>
      <c r="RHV29" s="279"/>
      <c r="RHW29" s="279"/>
      <c r="RHX29" s="279"/>
      <c r="RHY29" s="279"/>
      <c r="RHZ29" s="279"/>
      <c r="RIA29" s="279"/>
      <c r="RIB29" s="279"/>
      <c r="RIC29" s="279"/>
      <c r="RID29" s="279"/>
      <c r="RIE29" s="279"/>
      <c r="RIF29" s="279"/>
      <c r="RIG29" s="279"/>
      <c r="RIH29" s="279"/>
      <c r="RII29" s="279"/>
      <c r="RIJ29" s="279"/>
      <c r="RIK29" s="279"/>
      <c r="RIL29" s="279"/>
      <c r="RIM29" s="279"/>
      <c r="RIN29" s="279"/>
      <c r="RIO29" s="279"/>
      <c r="RIP29" s="279"/>
      <c r="RIQ29" s="279"/>
      <c r="RIR29" s="279"/>
      <c r="RIS29" s="279"/>
      <c r="RIT29" s="279"/>
      <c r="RIU29" s="279"/>
      <c r="RIV29" s="279"/>
      <c r="RIW29" s="279"/>
      <c r="RIX29" s="279"/>
      <c r="RIY29" s="279"/>
      <c r="RIZ29" s="279"/>
      <c r="RJA29" s="279"/>
      <c r="RJB29" s="279"/>
      <c r="RJC29" s="279"/>
      <c r="RJD29" s="279"/>
      <c r="RJE29" s="279"/>
      <c r="RJF29" s="279"/>
      <c r="RJG29" s="279"/>
      <c r="RJH29" s="279"/>
      <c r="RJI29" s="279"/>
      <c r="RJJ29" s="279"/>
      <c r="RJK29" s="279"/>
      <c r="RJL29" s="279"/>
      <c r="RJM29" s="279"/>
      <c r="RJN29" s="279"/>
      <c r="RJO29" s="279"/>
      <c r="RJP29" s="279"/>
      <c r="RJQ29" s="279"/>
      <c r="RJR29" s="279"/>
      <c r="RJS29" s="279"/>
      <c r="RJT29" s="279"/>
      <c r="RJU29" s="279"/>
      <c r="RJV29" s="279"/>
      <c r="RJW29" s="279"/>
      <c r="RJX29" s="279"/>
      <c r="RJY29" s="279"/>
      <c r="RJZ29" s="279"/>
      <c r="RKA29" s="279"/>
      <c r="RKB29" s="279"/>
      <c r="RKC29" s="279"/>
      <c r="RKD29" s="279"/>
      <c r="RKE29" s="279"/>
      <c r="RKF29" s="279"/>
      <c r="RKG29" s="279"/>
      <c r="RKH29" s="279"/>
      <c r="RKI29" s="279"/>
      <c r="RKJ29" s="279"/>
      <c r="RKK29" s="279"/>
      <c r="RKL29" s="279"/>
      <c r="RKM29" s="279"/>
      <c r="RKN29" s="279"/>
      <c r="RKO29" s="279"/>
      <c r="RKP29" s="279"/>
      <c r="RKQ29" s="279"/>
      <c r="RKR29" s="279"/>
      <c r="RKS29" s="279"/>
      <c r="RKT29" s="279"/>
      <c r="RKU29" s="279"/>
      <c r="RKV29" s="279"/>
      <c r="RKW29" s="279"/>
      <c r="RKX29" s="279"/>
      <c r="RKY29" s="279"/>
      <c r="RKZ29" s="279"/>
      <c r="RLA29" s="279"/>
      <c r="RLB29" s="279"/>
      <c r="RLC29" s="279"/>
      <c r="RLD29" s="279"/>
      <c r="RLE29" s="279"/>
      <c r="RLF29" s="279"/>
      <c r="RLG29" s="279"/>
      <c r="RLH29" s="279"/>
      <c r="RLI29" s="279"/>
      <c r="RLJ29" s="279"/>
      <c r="RLK29" s="279"/>
      <c r="RLL29" s="279"/>
      <c r="RLM29" s="279"/>
      <c r="RLN29" s="279"/>
      <c r="RLO29" s="279"/>
      <c r="RLP29" s="279"/>
      <c r="RLQ29" s="279"/>
      <c r="RLR29" s="279"/>
      <c r="RLS29" s="279"/>
      <c r="RLT29" s="279"/>
      <c r="RLU29" s="279"/>
      <c r="RLV29" s="279"/>
      <c r="RLW29" s="279"/>
      <c r="RLX29" s="279"/>
      <c r="RLY29" s="279"/>
      <c r="RLZ29" s="279"/>
      <c r="RMA29" s="279"/>
      <c r="RMB29" s="279"/>
      <c r="RMC29" s="279"/>
      <c r="RMD29" s="279"/>
      <c r="RME29" s="279"/>
      <c r="RMF29" s="279"/>
      <c r="RMG29" s="279"/>
      <c r="RMH29" s="279"/>
      <c r="RMI29" s="279"/>
      <c r="RMJ29" s="279"/>
      <c r="RMK29" s="279"/>
      <c r="RML29" s="279"/>
      <c r="RMM29" s="279"/>
      <c r="RMN29" s="279"/>
      <c r="RMO29" s="279"/>
      <c r="RMP29" s="279"/>
      <c r="RMQ29" s="279"/>
      <c r="RMR29" s="279"/>
      <c r="RMS29" s="279"/>
      <c r="RMT29" s="279"/>
      <c r="RMU29" s="279"/>
      <c r="RMV29" s="279"/>
      <c r="RMW29" s="279"/>
      <c r="RMX29" s="279"/>
      <c r="RMY29" s="279"/>
      <c r="RMZ29" s="279"/>
      <c r="RNA29" s="279"/>
      <c r="RNB29" s="279"/>
      <c r="RNC29" s="279"/>
      <c r="RND29" s="279"/>
      <c r="RNE29" s="279"/>
      <c r="RNF29" s="279"/>
      <c r="RNG29" s="279"/>
      <c r="RNH29" s="279"/>
      <c r="RNI29" s="279"/>
      <c r="RNJ29" s="279"/>
      <c r="RNK29" s="279"/>
      <c r="RNL29" s="279"/>
      <c r="RNM29" s="279"/>
      <c r="RNN29" s="279"/>
      <c r="RNO29" s="279"/>
      <c r="RNP29" s="279"/>
      <c r="RNQ29" s="279"/>
      <c r="RNR29" s="279"/>
      <c r="RNS29" s="279"/>
      <c r="RNT29" s="279"/>
      <c r="RNU29" s="279"/>
      <c r="RNV29" s="279"/>
      <c r="RNW29" s="279"/>
      <c r="RNX29" s="279"/>
      <c r="RNY29" s="279"/>
      <c r="RNZ29" s="279"/>
      <c r="ROA29" s="279"/>
      <c r="ROB29" s="279"/>
      <c r="ROC29" s="279"/>
      <c r="ROD29" s="279"/>
      <c r="ROE29" s="279"/>
      <c r="ROF29" s="279"/>
      <c r="ROG29" s="279"/>
      <c r="ROH29" s="279"/>
      <c r="ROI29" s="279"/>
      <c r="ROJ29" s="279"/>
      <c r="ROK29" s="279"/>
      <c r="ROL29" s="279"/>
      <c r="ROM29" s="279"/>
      <c r="RON29" s="279"/>
      <c r="ROO29" s="279"/>
      <c r="ROP29" s="279"/>
      <c r="ROQ29" s="279"/>
      <c r="ROR29" s="279"/>
      <c r="ROS29" s="279"/>
      <c r="ROT29" s="279"/>
      <c r="ROU29" s="279"/>
      <c r="ROV29" s="279"/>
      <c r="ROW29" s="279"/>
      <c r="ROX29" s="279"/>
      <c r="ROY29" s="279"/>
      <c r="ROZ29" s="279"/>
      <c r="RPA29" s="279"/>
      <c r="RPB29" s="279"/>
      <c r="RPC29" s="279"/>
      <c r="RPD29" s="279"/>
      <c r="RPE29" s="279"/>
      <c r="RPF29" s="279"/>
      <c r="RPG29" s="279"/>
      <c r="RPH29" s="279"/>
      <c r="RPI29" s="279"/>
      <c r="RPJ29" s="279"/>
      <c r="RPK29" s="279"/>
      <c r="RPL29" s="279"/>
      <c r="RPM29" s="279"/>
      <c r="RPN29" s="279"/>
      <c r="RPO29" s="279"/>
      <c r="RPP29" s="279"/>
      <c r="RPQ29" s="279"/>
      <c r="RPR29" s="279"/>
      <c r="RPS29" s="279"/>
      <c r="RPT29" s="279"/>
      <c r="RPU29" s="279"/>
      <c r="RPV29" s="279"/>
      <c r="RPW29" s="279"/>
      <c r="RPX29" s="279"/>
      <c r="RPY29" s="279"/>
      <c r="RPZ29" s="279"/>
      <c r="RQA29" s="279"/>
      <c r="RQB29" s="279"/>
      <c r="RQC29" s="279"/>
      <c r="RQD29" s="279"/>
      <c r="RQE29" s="279"/>
      <c r="RQF29" s="279"/>
      <c r="RQG29" s="279"/>
      <c r="RQH29" s="279"/>
      <c r="RQI29" s="279"/>
      <c r="RQJ29" s="279"/>
      <c r="RQK29" s="279"/>
      <c r="RQL29" s="279"/>
      <c r="RQM29" s="279"/>
      <c r="RQN29" s="279"/>
      <c r="RQO29" s="279"/>
      <c r="RQP29" s="279"/>
      <c r="RQQ29" s="279"/>
      <c r="RQR29" s="279"/>
      <c r="RQS29" s="279"/>
      <c r="RQT29" s="279"/>
      <c r="RQU29" s="279"/>
      <c r="RQV29" s="279"/>
      <c r="RQW29" s="279"/>
      <c r="RQX29" s="279"/>
      <c r="RQY29" s="279"/>
      <c r="RQZ29" s="279"/>
      <c r="RRA29" s="279"/>
      <c r="RRB29" s="279"/>
      <c r="RRC29" s="279"/>
      <c r="RRD29" s="279"/>
      <c r="RRE29" s="279"/>
      <c r="RRF29" s="279"/>
      <c r="RRG29" s="279"/>
      <c r="RRH29" s="279"/>
      <c r="RRI29" s="279"/>
      <c r="RRJ29" s="279"/>
      <c r="RRK29" s="279"/>
      <c r="RRL29" s="279"/>
      <c r="RRM29" s="279"/>
      <c r="RRN29" s="279"/>
      <c r="RRO29" s="279"/>
      <c r="RRP29" s="279"/>
      <c r="RRQ29" s="279"/>
      <c r="RRR29" s="279"/>
      <c r="RRS29" s="279"/>
      <c r="RRT29" s="279"/>
      <c r="RRU29" s="279"/>
      <c r="RRV29" s="279"/>
      <c r="RRW29" s="279"/>
      <c r="RRX29" s="279"/>
      <c r="RRY29" s="279"/>
      <c r="RRZ29" s="279"/>
      <c r="RSA29" s="279"/>
      <c r="RSB29" s="279"/>
      <c r="RSC29" s="279"/>
      <c r="RSD29" s="279"/>
      <c r="RSE29" s="279"/>
      <c r="RSF29" s="279"/>
      <c r="RSG29" s="279"/>
      <c r="RSH29" s="279"/>
      <c r="RSI29" s="279"/>
      <c r="RSJ29" s="279"/>
      <c r="RSK29" s="279"/>
      <c r="RSL29" s="279"/>
      <c r="RSM29" s="279"/>
      <c r="RSN29" s="279"/>
      <c r="RSO29" s="279"/>
      <c r="RSP29" s="279"/>
      <c r="RSQ29" s="279"/>
      <c r="RSR29" s="279"/>
      <c r="RSS29" s="279"/>
      <c r="RST29" s="279"/>
      <c r="RSU29" s="279"/>
      <c r="RSV29" s="279"/>
      <c r="RSW29" s="279"/>
      <c r="RSX29" s="279"/>
      <c r="RSY29" s="279"/>
      <c r="RSZ29" s="279"/>
      <c r="RTA29" s="279"/>
      <c r="RTB29" s="279"/>
      <c r="RTC29" s="279"/>
      <c r="RTD29" s="279"/>
      <c r="RTE29" s="279"/>
      <c r="RTF29" s="279"/>
      <c r="RTG29" s="279"/>
      <c r="RTH29" s="279"/>
      <c r="RTI29" s="279"/>
      <c r="RTJ29" s="279"/>
      <c r="RTK29" s="279"/>
      <c r="RTL29" s="279"/>
      <c r="RTM29" s="279"/>
      <c r="RTN29" s="279"/>
      <c r="RTO29" s="279"/>
      <c r="RTP29" s="279"/>
      <c r="RTQ29" s="279"/>
      <c r="RTR29" s="279"/>
      <c r="RTS29" s="279"/>
      <c r="RTT29" s="279"/>
      <c r="RTU29" s="279"/>
      <c r="RTV29" s="279"/>
      <c r="RTW29" s="279"/>
      <c r="RTX29" s="279"/>
      <c r="RTY29" s="279"/>
      <c r="RTZ29" s="279"/>
      <c r="RUA29" s="279"/>
      <c r="RUB29" s="279"/>
      <c r="RUC29" s="279"/>
      <c r="RUD29" s="279"/>
      <c r="RUE29" s="279"/>
      <c r="RUF29" s="279"/>
      <c r="RUG29" s="279"/>
      <c r="RUH29" s="279"/>
      <c r="RUI29" s="279"/>
      <c r="RUJ29" s="279"/>
      <c r="RUK29" s="279"/>
      <c r="RUL29" s="279"/>
      <c r="RUM29" s="279"/>
      <c r="RUN29" s="279"/>
      <c r="RUO29" s="279"/>
      <c r="RUP29" s="279"/>
      <c r="RUQ29" s="279"/>
      <c r="RUR29" s="279"/>
      <c r="RUS29" s="279"/>
      <c r="RUT29" s="279"/>
      <c r="RUU29" s="279"/>
      <c r="RUV29" s="279"/>
      <c r="RUW29" s="279"/>
      <c r="RUX29" s="279"/>
      <c r="RUY29" s="279"/>
      <c r="RUZ29" s="279"/>
      <c r="RVA29" s="279"/>
      <c r="RVB29" s="279"/>
      <c r="RVC29" s="279"/>
      <c r="RVD29" s="279"/>
      <c r="RVE29" s="279"/>
      <c r="RVF29" s="279"/>
      <c r="RVG29" s="279"/>
      <c r="RVH29" s="279"/>
      <c r="RVI29" s="279"/>
      <c r="RVJ29" s="279"/>
      <c r="RVK29" s="279"/>
      <c r="RVL29" s="279"/>
      <c r="RVM29" s="279"/>
      <c r="RVN29" s="279"/>
      <c r="RVO29" s="279"/>
      <c r="RVP29" s="279"/>
      <c r="RVQ29" s="279"/>
      <c r="RVR29" s="279"/>
      <c r="RVS29" s="279"/>
      <c r="RVT29" s="279"/>
      <c r="RVU29" s="279"/>
      <c r="RVV29" s="279"/>
      <c r="RVW29" s="279"/>
      <c r="RVX29" s="279"/>
      <c r="RVY29" s="279"/>
      <c r="RVZ29" s="279"/>
      <c r="RWA29" s="279"/>
      <c r="RWB29" s="279"/>
      <c r="RWC29" s="279"/>
      <c r="RWD29" s="279"/>
      <c r="RWE29" s="279"/>
      <c r="RWF29" s="279"/>
      <c r="RWG29" s="279"/>
      <c r="RWH29" s="279"/>
      <c r="RWI29" s="279"/>
      <c r="RWJ29" s="279"/>
      <c r="RWK29" s="279"/>
      <c r="RWL29" s="279"/>
      <c r="RWM29" s="279"/>
      <c r="RWN29" s="279"/>
      <c r="RWO29" s="279"/>
      <c r="RWP29" s="279"/>
      <c r="RWQ29" s="279"/>
      <c r="RWR29" s="279"/>
      <c r="RWS29" s="279"/>
      <c r="RWT29" s="279"/>
      <c r="RWU29" s="279"/>
      <c r="RWV29" s="279"/>
      <c r="RWW29" s="279"/>
      <c r="RWX29" s="279"/>
      <c r="RWY29" s="279"/>
      <c r="RWZ29" s="279"/>
      <c r="RXA29" s="279"/>
      <c r="RXB29" s="279"/>
      <c r="RXC29" s="279"/>
      <c r="RXD29" s="279"/>
      <c r="RXE29" s="279"/>
      <c r="RXF29" s="279"/>
      <c r="RXG29" s="279"/>
      <c r="RXH29" s="279"/>
      <c r="RXI29" s="279"/>
      <c r="RXJ29" s="279"/>
      <c r="RXK29" s="279"/>
      <c r="RXL29" s="279"/>
      <c r="RXM29" s="279"/>
      <c r="RXN29" s="279"/>
      <c r="RXO29" s="279"/>
      <c r="RXP29" s="279"/>
      <c r="RXQ29" s="279"/>
      <c r="RXR29" s="279"/>
      <c r="RXS29" s="279"/>
      <c r="RXT29" s="279"/>
      <c r="RXU29" s="279"/>
      <c r="RXV29" s="279"/>
      <c r="RXW29" s="279"/>
      <c r="RXX29" s="279"/>
      <c r="RXY29" s="279"/>
      <c r="RXZ29" s="279"/>
      <c r="RYA29" s="279"/>
      <c r="RYB29" s="279"/>
      <c r="RYC29" s="279"/>
      <c r="RYD29" s="279"/>
      <c r="RYE29" s="279"/>
      <c r="RYF29" s="279"/>
      <c r="RYG29" s="279"/>
      <c r="RYH29" s="279"/>
      <c r="RYI29" s="279"/>
      <c r="RYJ29" s="279"/>
      <c r="RYK29" s="279"/>
      <c r="RYL29" s="279"/>
      <c r="RYM29" s="279"/>
      <c r="RYN29" s="279"/>
      <c r="RYO29" s="279"/>
      <c r="RYP29" s="279"/>
      <c r="RYQ29" s="279"/>
      <c r="RYR29" s="279"/>
      <c r="RYS29" s="279"/>
      <c r="RYT29" s="279"/>
      <c r="RYU29" s="279"/>
      <c r="RYV29" s="279"/>
      <c r="RYW29" s="279"/>
      <c r="RYX29" s="279"/>
      <c r="RYY29" s="279"/>
      <c r="RYZ29" s="279"/>
      <c r="RZA29" s="279"/>
      <c r="RZB29" s="279"/>
      <c r="RZC29" s="279"/>
      <c r="RZD29" s="279"/>
      <c r="RZE29" s="279"/>
      <c r="RZF29" s="279"/>
      <c r="RZG29" s="279"/>
      <c r="RZH29" s="279"/>
      <c r="RZI29" s="279"/>
      <c r="RZJ29" s="279"/>
      <c r="RZK29" s="279"/>
      <c r="RZL29" s="279"/>
      <c r="RZM29" s="279"/>
      <c r="RZN29" s="279"/>
      <c r="RZO29" s="279"/>
      <c r="RZP29" s="279"/>
      <c r="RZQ29" s="279"/>
      <c r="RZR29" s="279"/>
      <c r="RZS29" s="279"/>
      <c r="RZT29" s="279"/>
      <c r="RZU29" s="279"/>
      <c r="RZV29" s="279"/>
      <c r="RZW29" s="279"/>
      <c r="RZX29" s="279"/>
      <c r="RZY29" s="279"/>
      <c r="RZZ29" s="279"/>
      <c r="SAA29" s="279"/>
      <c r="SAB29" s="279"/>
      <c r="SAC29" s="279"/>
      <c r="SAD29" s="279"/>
      <c r="SAE29" s="279"/>
      <c r="SAF29" s="279"/>
      <c r="SAG29" s="279"/>
      <c r="SAH29" s="279"/>
      <c r="SAI29" s="279"/>
      <c r="SAJ29" s="279"/>
      <c r="SAK29" s="279"/>
      <c r="SAL29" s="279"/>
      <c r="SAM29" s="279"/>
      <c r="SAN29" s="279"/>
      <c r="SAO29" s="279"/>
      <c r="SAP29" s="279"/>
      <c r="SAQ29" s="279"/>
      <c r="SAR29" s="279"/>
      <c r="SAS29" s="279"/>
      <c r="SAT29" s="279"/>
      <c r="SAU29" s="279"/>
      <c r="SAV29" s="279"/>
      <c r="SAW29" s="279"/>
      <c r="SAX29" s="279"/>
      <c r="SAY29" s="279"/>
      <c r="SAZ29" s="279"/>
      <c r="SBA29" s="279"/>
      <c r="SBB29" s="279"/>
      <c r="SBC29" s="279"/>
      <c r="SBD29" s="279"/>
      <c r="SBE29" s="279"/>
      <c r="SBF29" s="279"/>
      <c r="SBG29" s="279"/>
      <c r="SBH29" s="279"/>
      <c r="SBI29" s="279"/>
      <c r="SBJ29" s="279"/>
      <c r="SBK29" s="279"/>
      <c r="SBL29" s="279"/>
      <c r="SBM29" s="279"/>
      <c r="SBN29" s="279"/>
      <c r="SBO29" s="279"/>
      <c r="SBP29" s="279"/>
      <c r="SBQ29" s="279"/>
      <c r="SBR29" s="279"/>
      <c r="SBS29" s="279"/>
      <c r="SBT29" s="279"/>
      <c r="SBU29" s="279"/>
      <c r="SBV29" s="279"/>
      <c r="SBW29" s="279"/>
      <c r="SBX29" s="279"/>
      <c r="SBY29" s="279"/>
      <c r="SBZ29" s="279"/>
      <c r="SCA29" s="279"/>
      <c r="SCB29" s="279"/>
      <c r="SCC29" s="279"/>
      <c r="SCD29" s="279"/>
      <c r="SCE29" s="279"/>
      <c r="SCF29" s="279"/>
      <c r="SCG29" s="279"/>
      <c r="SCH29" s="279"/>
      <c r="SCI29" s="279"/>
      <c r="SCJ29" s="279"/>
      <c r="SCK29" s="279"/>
      <c r="SCL29" s="279"/>
      <c r="SCM29" s="279"/>
      <c r="SCN29" s="279"/>
      <c r="SCO29" s="279"/>
      <c r="SCP29" s="279"/>
      <c r="SCQ29" s="279"/>
      <c r="SCR29" s="279"/>
      <c r="SCS29" s="279"/>
      <c r="SCT29" s="279"/>
      <c r="SCU29" s="279"/>
      <c r="SCV29" s="279"/>
      <c r="SCW29" s="279"/>
      <c r="SCX29" s="279"/>
      <c r="SCY29" s="279"/>
      <c r="SCZ29" s="279"/>
      <c r="SDA29" s="279"/>
      <c r="SDB29" s="279"/>
      <c r="SDC29" s="279"/>
      <c r="SDD29" s="279"/>
      <c r="SDE29" s="279"/>
      <c r="SDF29" s="279"/>
      <c r="SDG29" s="279"/>
      <c r="SDH29" s="279"/>
      <c r="SDI29" s="279"/>
      <c r="SDJ29" s="279"/>
      <c r="SDK29" s="279"/>
      <c r="SDL29" s="279"/>
      <c r="SDM29" s="279"/>
      <c r="SDN29" s="279"/>
      <c r="SDO29" s="279"/>
      <c r="SDP29" s="279"/>
      <c r="SDQ29" s="279"/>
      <c r="SDR29" s="279"/>
      <c r="SDS29" s="279"/>
      <c r="SDT29" s="279"/>
      <c r="SDU29" s="279"/>
      <c r="SDV29" s="279"/>
      <c r="SDW29" s="279"/>
      <c r="SDX29" s="279"/>
      <c r="SDY29" s="279"/>
      <c r="SDZ29" s="279"/>
      <c r="SEA29" s="279"/>
      <c r="SEB29" s="279"/>
      <c r="SEC29" s="279"/>
      <c r="SED29" s="279"/>
      <c r="SEE29" s="279"/>
      <c r="SEF29" s="279"/>
      <c r="SEG29" s="279"/>
      <c r="SEH29" s="279"/>
      <c r="SEI29" s="279"/>
      <c r="SEJ29" s="279"/>
      <c r="SEK29" s="279"/>
      <c r="SEL29" s="279"/>
      <c r="SEM29" s="279"/>
      <c r="SEN29" s="279"/>
      <c r="SEO29" s="279"/>
      <c r="SEP29" s="279"/>
      <c r="SEQ29" s="279"/>
      <c r="SER29" s="279"/>
      <c r="SES29" s="279"/>
      <c r="SET29" s="279"/>
      <c r="SEU29" s="279"/>
      <c r="SEV29" s="279"/>
      <c r="SEW29" s="279"/>
      <c r="SEX29" s="279"/>
      <c r="SEY29" s="279"/>
      <c r="SEZ29" s="279"/>
      <c r="SFA29" s="279"/>
      <c r="SFB29" s="279"/>
      <c r="SFC29" s="279"/>
      <c r="SFD29" s="279"/>
      <c r="SFE29" s="279"/>
      <c r="SFF29" s="279"/>
      <c r="SFG29" s="279"/>
      <c r="SFH29" s="279"/>
      <c r="SFI29" s="279"/>
      <c r="SFJ29" s="279"/>
      <c r="SFK29" s="279"/>
      <c r="SFL29" s="279"/>
      <c r="SFM29" s="279"/>
      <c r="SFN29" s="279"/>
      <c r="SFO29" s="279"/>
      <c r="SFP29" s="279"/>
      <c r="SFQ29" s="279"/>
      <c r="SFR29" s="279"/>
      <c r="SFS29" s="279"/>
      <c r="SFT29" s="279"/>
      <c r="SFU29" s="279"/>
      <c r="SFV29" s="279"/>
      <c r="SFW29" s="279"/>
      <c r="SFX29" s="279"/>
      <c r="SFY29" s="279"/>
      <c r="SFZ29" s="279"/>
      <c r="SGA29" s="279"/>
      <c r="SGB29" s="279"/>
      <c r="SGC29" s="279"/>
      <c r="SGD29" s="279"/>
      <c r="SGE29" s="279"/>
      <c r="SGF29" s="279"/>
      <c r="SGG29" s="279"/>
      <c r="SGH29" s="279"/>
      <c r="SGI29" s="279"/>
      <c r="SGJ29" s="279"/>
      <c r="SGK29" s="279"/>
      <c r="SGL29" s="279"/>
      <c r="SGM29" s="279"/>
      <c r="SGN29" s="279"/>
      <c r="SGO29" s="279"/>
      <c r="SGP29" s="279"/>
      <c r="SGQ29" s="279"/>
      <c r="SGR29" s="279"/>
      <c r="SGS29" s="279"/>
      <c r="SGT29" s="279"/>
      <c r="SGU29" s="279"/>
      <c r="SGV29" s="279"/>
      <c r="SGW29" s="279"/>
      <c r="SGX29" s="279"/>
      <c r="SGY29" s="279"/>
      <c r="SGZ29" s="279"/>
      <c r="SHA29" s="279"/>
      <c r="SHB29" s="279"/>
      <c r="SHC29" s="279"/>
      <c r="SHD29" s="279"/>
      <c r="SHE29" s="279"/>
      <c r="SHF29" s="279"/>
      <c r="SHG29" s="279"/>
      <c r="SHH29" s="279"/>
      <c r="SHI29" s="279"/>
      <c r="SHJ29" s="279"/>
      <c r="SHK29" s="279"/>
      <c r="SHL29" s="279"/>
      <c r="SHM29" s="279"/>
      <c r="SHN29" s="279"/>
      <c r="SHO29" s="279"/>
      <c r="SHP29" s="279"/>
      <c r="SHQ29" s="279"/>
      <c r="SHR29" s="279"/>
      <c r="SHS29" s="279"/>
      <c r="SHT29" s="279"/>
      <c r="SHU29" s="279"/>
      <c r="SHV29" s="279"/>
      <c r="SHW29" s="279"/>
      <c r="SHX29" s="279"/>
      <c r="SHY29" s="279"/>
      <c r="SHZ29" s="279"/>
      <c r="SIA29" s="279"/>
      <c r="SIB29" s="279"/>
      <c r="SIC29" s="279"/>
      <c r="SID29" s="279"/>
      <c r="SIE29" s="279"/>
      <c r="SIF29" s="279"/>
      <c r="SIG29" s="279"/>
      <c r="SIH29" s="279"/>
      <c r="SII29" s="279"/>
      <c r="SIJ29" s="279"/>
      <c r="SIK29" s="279"/>
      <c r="SIL29" s="279"/>
      <c r="SIM29" s="279"/>
      <c r="SIN29" s="279"/>
      <c r="SIO29" s="279"/>
      <c r="SIP29" s="279"/>
      <c r="SIQ29" s="279"/>
      <c r="SIR29" s="279"/>
      <c r="SIS29" s="279"/>
      <c r="SIT29" s="279"/>
      <c r="SIU29" s="279"/>
      <c r="SIV29" s="279"/>
      <c r="SIW29" s="279"/>
      <c r="SIX29" s="279"/>
      <c r="SIY29" s="279"/>
      <c r="SIZ29" s="279"/>
      <c r="SJA29" s="279"/>
      <c r="SJB29" s="279"/>
      <c r="SJC29" s="279"/>
      <c r="SJD29" s="279"/>
      <c r="SJE29" s="279"/>
      <c r="SJF29" s="279"/>
      <c r="SJG29" s="279"/>
      <c r="SJH29" s="279"/>
      <c r="SJI29" s="279"/>
      <c r="SJJ29" s="279"/>
      <c r="SJK29" s="279"/>
      <c r="SJL29" s="279"/>
      <c r="SJM29" s="279"/>
      <c r="SJN29" s="279"/>
      <c r="SJO29" s="279"/>
      <c r="SJP29" s="279"/>
      <c r="SJQ29" s="279"/>
      <c r="SJR29" s="279"/>
      <c r="SJS29" s="279"/>
      <c r="SJT29" s="279"/>
      <c r="SJU29" s="279"/>
      <c r="SJV29" s="279"/>
      <c r="SJW29" s="279"/>
      <c r="SJX29" s="279"/>
      <c r="SJY29" s="279"/>
      <c r="SJZ29" s="279"/>
      <c r="SKA29" s="279"/>
      <c r="SKB29" s="279"/>
      <c r="SKC29" s="279"/>
      <c r="SKD29" s="279"/>
      <c r="SKE29" s="279"/>
      <c r="SKF29" s="279"/>
      <c r="SKG29" s="279"/>
      <c r="SKH29" s="279"/>
      <c r="SKI29" s="279"/>
      <c r="SKJ29" s="279"/>
      <c r="SKK29" s="279"/>
      <c r="SKL29" s="279"/>
      <c r="SKM29" s="279"/>
      <c r="SKN29" s="279"/>
      <c r="SKO29" s="279"/>
      <c r="SKP29" s="279"/>
      <c r="SKQ29" s="279"/>
      <c r="SKR29" s="279"/>
      <c r="SKS29" s="279"/>
      <c r="SKT29" s="279"/>
      <c r="SKU29" s="279"/>
      <c r="SKV29" s="279"/>
      <c r="SKW29" s="279"/>
      <c r="SKX29" s="279"/>
      <c r="SKY29" s="279"/>
      <c r="SKZ29" s="279"/>
      <c r="SLA29" s="279"/>
      <c r="SLB29" s="279"/>
      <c r="SLC29" s="279"/>
      <c r="SLD29" s="279"/>
      <c r="SLE29" s="279"/>
      <c r="SLF29" s="279"/>
      <c r="SLG29" s="279"/>
      <c r="SLH29" s="279"/>
      <c r="SLI29" s="279"/>
      <c r="SLJ29" s="279"/>
      <c r="SLK29" s="279"/>
      <c r="SLL29" s="279"/>
      <c r="SLM29" s="279"/>
      <c r="SLN29" s="279"/>
      <c r="SLO29" s="279"/>
      <c r="SLP29" s="279"/>
      <c r="SLQ29" s="279"/>
      <c r="SLR29" s="279"/>
      <c r="SLS29" s="279"/>
      <c r="SLT29" s="279"/>
      <c r="SLU29" s="279"/>
      <c r="SLV29" s="279"/>
      <c r="SLW29" s="279"/>
      <c r="SLX29" s="279"/>
      <c r="SLY29" s="279"/>
      <c r="SLZ29" s="279"/>
      <c r="SMA29" s="279"/>
      <c r="SMB29" s="279"/>
      <c r="SMC29" s="279"/>
      <c r="SMD29" s="279"/>
      <c r="SME29" s="279"/>
      <c r="SMF29" s="279"/>
      <c r="SMG29" s="279"/>
      <c r="SMH29" s="279"/>
      <c r="SMI29" s="279"/>
      <c r="SMJ29" s="279"/>
      <c r="SMK29" s="279"/>
      <c r="SML29" s="279"/>
      <c r="SMM29" s="279"/>
      <c r="SMN29" s="279"/>
      <c r="SMO29" s="279"/>
      <c r="SMP29" s="279"/>
      <c r="SMQ29" s="279"/>
      <c r="SMR29" s="279"/>
      <c r="SMS29" s="279"/>
      <c r="SMT29" s="279"/>
      <c r="SMU29" s="279"/>
      <c r="SMV29" s="279"/>
      <c r="SMW29" s="279"/>
      <c r="SMX29" s="279"/>
      <c r="SMY29" s="279"/>
      <c r="SMZ29" s="279"/>
      <c r="SNA29" s="279"/>
      <c r="SNB29" s="279"/>
      <c r="SNC29" s="279"/>
      <c r="SND29" s="279"/>
      <c r="SNE29" s="279"/>
      <c r="SNF29" s="279"/>
      <c r="SNG29" s="279"/>
      <c r="SNH29" s="279"/>
      <c r="SNI29" s="279"/>
      <c r="SNJ29" s="279"/>
      <c r="SNK29" s="279"/>
      <c r="SNL29" s="279"/>
      <c r="SNM29" s="279"/>
      <c r="SNN29" s="279"/>
      <c r="SNO29" s="279"/>
      <c r="SNP29" s="279"/>
      <c r="SNQ29" s="279"/>
      <c r="SNR29" s="279"/>
      <c r="SNS29" s="279"/>
      <c r="SNT29" s="279"/>
      <c r="SNU29" s="279"/>
      <c r="SNV29" s="279"/>
      <c r="SNW29" s="279"/>
      <c r="SNX29" s="279"/>
      <c r="SNY29" s="279"/>
      <c r="SNZ29" s="279"/>
      <c r="SOA29" s="279"/>
      <c r="SOB29" s="279"/>
      <c r="SOC29" s="279"/>
      <c r="SOD29" s="279"/>
      <c r="SOE29" s="279"/>
      <c r="SOF29" s="279"/>
      <c r="SOG29" s="279"/>
      <c r="SOH29" s="279"/>
      <c r="SOI29" s="279"/>
      <c r="SOJ29" s="279"/>
      <c r="SOK29" s="279"/>
      <c r="SOL29" s="279"/>
      <c r="SOM29" s="279"/>
      <c r="SON29" s="279"/>
      <c r="SOO29" s="279"/>
      <c r="SOP29" s="279"/>
      <c r="SOQ29" s="279"/>
      <c r="SOR29" s="279"/>
      <c r="SOS29" s="279"/>
      <c r="SOT29" s="279"/>
      <c r="SOU29" s="279"/>
      <c r="SOV29" s="279"/>
      <c r="SOW29" s="279"/>
      <c r="SOX29" s="279"/>
      <c r="SOY29" s="279"/>
      <c r="SOZ29" s="279"/>
      <c r="SPA29" s="279"/>
      <c r="SPB29" s="279"/>
      <c r="SPC29" s="279"/>
      <c r="SPD29" s="279"/>
      <c r="SPE29" s="279"/>
      <c r="SPF29" s="279"/>
      <c r="SPG29" s="279"/>
      <c r="SPH29" s="279"/>
      <c r="SPI29" s="279"/>
      <c r="SPJ29" s="279"/>
      <c r="SPK29" s="279"/>
      <c r="SPL29" s="279"/>
      <c r="SPM29" s="279"/>
      <c r="SPN29" s="279"/>
      <c r="SPO29" s="279"/>
      <c r="SPP29" s="279"/>
      <c r="SPQ29" s="279"/>
      <c r="SPR29" s="279"/>
      <c r="SPS29" s="279"/>
      <c r="SPT29" s="279"/>
      <c r="SPU29" s="279"/>
      <c r="SPV29" s="279"/>
      <c r="SPW29" s="279"/>
      <c r="SPX29" s="279"/>
      <c r="SPY29" s="279"/>
      <c r="SPZ29" s="279"/>
      <c r="SQA29" s="279"/>
      <c r="SQB29" s="279"/>
      <c r="SQC29" s="279"/>
      <c r="SQD29" s="279"/>
      <c r="SQE29" s="279"/>
      <c r="SQF29" s="279"/>
      <c r="SQG29" s="279"/>
      <c r="SQH29" s="279"/>
      <c r="SQI29" s="279"/>
      <c r="SQJ29" s="279"/>
      <c r="SQK29" s="279"/>
      <c r="SQL29" s="279"/>
      <c r="SQM29" s="279"/>
      <c r="SQN29" s="279"/>
      <c r="SQO29" s="279"/>
      <c r="SQP29" s="279"/>
      <c r="SQQ29" s="279"/>
      <c r="SQR29" s="279"/>
      <c r="SQS29" s="279"/>
      <c r="SQT29" s="279"/>
      <c r="SQU29" s="279"/>
      <c r="SQV29" s="279"/>
      <c r="SQW29" s="279"/>
      <c r="SQX29" s="279"/>
      <c r="SQY29" s="279"/>
      <c r="SQZ29" s="279"/>
      <c r="SRA29" s="279"/>
      <c r="SRB29" s="279"/>
      <c r="SRC29" s="279"/>
      <c r="SRD29" s="279"/>
      <c r="SRE29" s="279"/>
      <c r="SRF29" s="279"/>
      <c r="SRG29" s="279"/>
      <c r="SRH29" s="279"/>
      <c r="SRI29" s="279"/>
      <c r="SRJ29" s="279"/>
      <c r="SRK29" s="279"/>
      <c r="SRL29" s="279"/>
      <c r="SRM29" s="279"/>
      <c r="SRN29" s="279"/>
      <c r="SRO29" s="279"/>
      <c r="SRP29" s="279"/>
      <c r="SRQ29" s="279"/>
      <c r="SRR29" s="279"/>
      <c r="SRS29" s="279"/>
      <c r="SRT29" s="279"/>
      <c r="SRU29" s="279"/>
      <c r="SRV29" s="279"/>
      <c r="SRW29" s="279"/>
      <c r="SRX29" s="279"/>
      <c r="SRY29" s="279"/>
      <c r="SRZ29" s="279"/>
      <c r="SSA29" s="279"/>
      <c r="SSB29" s="279"/>
      <c r="SSC29" s="279"/>
      <c r="SSD29" s="279"/>
      <c r="SSE29" s="279"/>
      <c r="SSF29" s="279"/>
      <c r="SSG29" s="279"/>
      <c r="SSH29" s="279"/>
      <c r="SSI29" s="279"/>
      <c r="SSJ29" s="279"/>
      <c r="SSK29" s="279"/>
      <c r="SSL29" s="279"/>
      <c r="SSM29" s="279"/>
      <c r="SSN29" s="279"/>
      <c r="SSO29" s="279"/>
      <c r="SSP29" s="279"/>
      <c r="SSQ29" s="279"/>
      <c r="SSR29" s="279"/>
      <c r="SSS29" s="279"/>
      <c r="SST29" s="279"/>
      <c r="SSU29" s="279"/>
      <c r="SSV29" s="279"/>
      <c r="SSW29" s="279"/>
      <c r="SSX29" s="279"/>
      <c r="SSY29" s="279"/>
      <c r="SSZ29" s="279"/>
      <c r="STA29" s="279"/>
      <c r="STB29" s="279"/>
      <c r="STC29" s="279"/>
      <c r="STD29" s="279"/>
      <c r="STE29" s="279"/>
      <c r="STF29" s="279"/>
      <c r="STG29" s="279"/>
      <c r="STH29" s="279"/>
      <c r="STI29" s="279"/>
      <c r="STJ29" s="279"/>
      <c r="STK29" s="279"/>
      <c r="STL29" s="279"/>
      <c r="STM29" s="279"/>
      <c r="STN29" s="279"/>
      <c r="STO29" s="279"/>
      <c r="STP29" s="279"/>
      <c r="STQ29" s="279"/>
      <c r="STR29" s="279"/>
      <c r="STS29" s="279"/>
      <c r="STT29" s="279"/>
      <c r="STU29" s="279"/>
      <c r="STV29" s="279"/>
      <c r="STW29" s="279"/>
      <c r="STX29" s="279"/>
      <c r="STY29" s="279"/>
      <c r="STZ29" s="279"/>
      <c r="SUA29" s="279"/>
      <c r="SUB29" s="279"/>
      <c r="SUC29" s="279"/>
      <c r="SUD29" s="279"/>
      <c r="SUE29" s="279"/>
      <c r="SUF29" s="279"/>
      <c r="SUG29" s="279"/>
      <c r="SUH29" s="279"/>
      <c r="SUI29" s="279"/>
      <c r="SUJ29" s="279"/>
      <c r="SUK29" s="279"/>
      <c r="SUL29" s="279"/>
      <c r="SUM29" s="279"/>
      <c r="SUN29" s="279"/>
      <c r="SUO29" s="279"/>
      <c r="SUP29" s="279"/>
      <c r="SUQ29" s="279"/>
      <c r="SUR29" s="279"/>
      <c r="SUS29" s="279"/>
      <c r="SUT29" s="279"/>
      <c r="SUU29" s="279"/>
      <c r="SUV29" s="279"/>
      <c r="SUW29" s="279"/>
      <c r="SUX29" s="279"/>
      <c r="SUY29" s="279"/>
      <c r="SUZ29" s="279"/>
      <c r="SVA29" s="279"/>
      <c r="SVB29" s="279"/>
      <c r="SVC29" s="279"/>
      <c r="SVD29" s="279"/>
      <c r="SVE29" s="279"/>
      <c r="SVF29" s="279"/>
      <c r="SVG29" s="279"/>
      <c r="SVH29" s="279"/>
      <c r="SVI29" s="279"/>
      <c r="SVJ29" s="279"/>
      <c r="SVK29" s="279"/>
      <c r="SVL29" s="279"/>
      <c r="SVM29" s="279"/>
      <c r="SVN29" s="279"/>
      <c r="SVO29" s="279"/>
      <c r="SVP29" s="279"/>
      <c r="SVQ29" s="279"/>
      <c r="SVR29" s="279"/>
      <c r="SVS29" s="279"/>
      <c r="SVT29" s="279"/>
      <c r="SVU29" s="279"/>
      <c r="SVV29" s="279"/>
      <c r="SVW29" s="279"/>
      <c r="SVX29" s="279"/>
      <c r="SVY29" s="279"/>
      <c r="SVZ29" s="279"/>
      <c r="SWA29" s="279"/>
      <c r="SWB29" s="279"/>
      <c r="SWC29" s="279"/>
      <c r="SWD29" s="279"/>
      <c r="SWE29" s="279"/>
      <c r="SWF29" s="279"/>
      <c r="SWG29" s="279"/>
      <c r="SWH29" s="279"/>
      <c r="SWI29" s="279"/>
      <c r="SWJ29" s="279"/>
      <c r="SWK29" s="279"/>
      <c r="SWL29" s="279"/>
      <c r="SWM29" s="279"/>
      <c r="SWN29" s="279"/>
      <c r="SWO29" s="279"/>
      <c r="SWP29" s="279"/>
      <c r="SWQ29" s="279"/>
      <c r="SWR29" s="279"/>
      <c r="SWS29" s="279"/>
      <c r="SWT29" s="279"/>
      <c r="SWU29" s="279"/>
      <c r="SWV29" s="279"/>
      <c r="SWW29" s="279"/>
      <c r="SWX29" s="279"/>
      <c r="SWY29" s="279"/>
      <c r="SWZ29" s="279"/>
      <c r="SXA29" s="279"/>
      <c r="SXB29" s="279"/>
      <c r="SXC29" s="279"/>
      <c r="SXD29" s="279"/>
      <c r="SXE29" s="279"/>
      <c r="SXF29" s="279"/>
      <c r="SXG29" s="279"/>
      <c r="SXH29" s="279"/>
      <c r="SXI29" s="279"/>
      <c r="SXJ29" s="279"/>
      <c r="SXK29" s="279"/>
      <c r="SXL29" s="279"/>
      <c r="SXM29" s="279"/>
      <c r="SXN29" s="279"/>
      <c r="SXO29" s="279"/>
      <c r="SXP29" s="279"/>
      <c r="SXQ29" s="279"/>
      <c r="SXR29" s="279"/>
      <c r="SXS29" s="279"/>
      <c r="SXT29" s="279"/>
      <c r="SXU29" s="279"/>
      <c r="SXV29" s="279"/>
      <c r="SXW29" s="279"/>
      <c r="SXX29" s="279"/>
      <c r="SXY29" s="279"/>
      <c r="SXZ29" s="279"/>
      <c r="SYA29" s="279"/>
      <c r="SYB29" s="279"/>
      <c r="SYC29" s="279"/>
      <c r="SYD29" s="279"/>
      <c r="SYE29" s="279"/>
      <c r="SYF29" s="279"/>
      <c r="SYG29" s="279"/>
      <c r="SYH29" s="279"/>
      <c r="SYI29" s="279"/>
      <c r="SYJ29" s="279"/>
      <c r="SYK29" s="279"/>
      <c r="SYL29" s="279"/>
      <c r="SYM29" s="279"/>
      <c r="SYN29" s="279"/>
      <c r="SYO29" s="279"/>
      <c r="SYP29" s="279"/>
      <c r="SYQ29" s="279"/>
      <c r="SYR29" s="279"/>
      <c r="SYS29" s="279"/>
      <c r="SYT29" s="279"/>
      <c r="SYU29" s="279"/>
      <c r="SYV29" s="279"/>
      <c r="SYW29" s="279"/>
      <c r="SYX29" s="279"/>
      <c r="SYY29" s="279"/>
      <c r="SYZ29" s="279"/>
      <c r="SZA29" s="279"/>
      <c r="SZB29" s="279"/>
      <c r="SZC29" s="279"/>
      <c r="SZD29" s="279"/>
      <c r="SZE29" s="279"/>
      <c r="SZF29" s="279"/>
      <c r="SZG29" s="279"/>
      <c r="SZH29" s="279"/>
      <c r="SZI29" s="279"/>
      <c r="SZJ29" s="279"/>
      <c r="SZK29" s="279"/>
      <c r="SZL29" s="279"/>
      <c r="SZM29" s="279"/>
      <c r="SZN29" s="279"/>
      <c r="SZO29" s="279"/>
      <c r="SZP29" s="279"/>
      <c r="SZQ29" s="279"/>
      <c r="SZR29" s="279"/>
      <c r="SZS29" s="279"/>
      <c r="SZT29" s="279"/>
      <c r="SZU29" s="279"/>
      <c r="SZV29" s="279"/>
      <c r="SZW29" s="279"/>
      <c r="SZX29" s="279"/>
      <c r="SZY29" s="279"/>
      <c r="SZZ29" s="279"/>
      <c r="TAA29" s="279"/>
      <c r="TAB29" s="279"/>
      <c r="TAC29" s="279"/>
      <c r="TAD29" s="279"/>
      <c r="TAE29" s="279"/>
      <c r="TAF29" s="279"/>
      <c r="TAG29" s="279"/>
      <c r="TAH29" s="279"/>
      <c r="TAI29" s="279"/>
      <c r="TAJ29" s="279"/>
      <c r="TAK29" s="279"/>
      <c r="TAL29" s="279"/>
      <c r="TAM29" s="279"/>
      <c r="TAN29" s="279"/>
      <c r="TAO29" s="279"/>
      <c r="TAP29" s="279"/>
      <c r="TAQ29" s="279"/>
      <c r="TAR29" s="279"/>
      <c r="TAS29" s="279"/>
      <c r="TAT29" s="279"/>
      <c r="TAU29" s="279"/>
      <c r="TAV29" s="279"/>
      <c r="TAW29" s="279"/>
      <c r="TAX29" s="279"/>
      <c r="TAY29" s="279"/>
      <c r="TAZ29" s="279"/>
      <c r="TBA29" s="279"/>
      <c r="TBB29" s="279"/>
      <c r="TBC29" s="279"/>
      <c r="TBD29" s="279"/>
      <c r="TBE29" s="279"/>
      <c r="TBF29" s="279"/>
      <c r="TBG29" s="279"/>
      <c r="TBH29" s="279"/>
      <c r="TBI29" s="279"/>
      <c r="TBJ29" s="279"/>
      <c r="TBK29" s="279"/>
      <c r="TBL29" s="279"/>
      <c r="TBM29" s="279"/>
      <c r="TBN29" s="279"/>
      <c r="TBO29" s="279"/>
      <c r="TBP29" s="279"/>
      <c r="TBQ29" s="279"/>
      <c r="TBR29" s="279"/>
      <c r="TBS29" s="279"/>
      <c r="TBT29" s="279"/>
      <c r="TBU29" s="279"/>
      <c r="TBV29" s="279"/>
      <c r="TBW29" s="279"/>
      <c r="TBX29" s="279"/>
      <c r="TBY29" s="279"/>
      <c r="TBZ29" s="279"/>
      <c r="TCA29" s="279"/>
      <c r="TCB29" s="279"/>
      <c r="TCC29" s="279"/>
      <c r="TCD29" s="279"/>
      <c r="TCE29" s="279"/>
      <c r="TCF29" s="279"/>
      <c r="TCG29" s="279"/>
      <c r="TCH29" s="279"/>
      <c r="TCI29" s="279"/>
      <c r="TCJ29" s="279"/>
      <c r="TCK29" s="279"/>
      <c r="TCL29" s="279"/>
      <c r="TCM29" s="279"/>
      <c r="TCN29" s="279"/>
      <c r="TCO29" s="279"/>
      <c r="TCP29" s="279"/>
      <c r="TCQ29" s="279"/>
      <c r="TCR29" s="279"/>
      <c r="TCS29" s="279"/>
      <c r="TCT29" s="279"/>
      <c r="TCU29" s="279"/>
      <c r="TCV29" s="279"/>
      <c r="TCW29" s="279"/>
      <c r="TCX29" s="279"/>
      <c r="TCY29" s="279"/>
      <c r="TCZ29" s="279"/>
      <c r="TDA29" s="279"/>
      <c r="TDB29" s="279"/>
      <c r="TDC29" s="279"/>
      <c r="TDD29" s="279"/>
      <c r="TDE29" s="279"/>
      <c r="TDF29" s="279"/>
      <c r="TDG29" s="279"/>
      <c r="TDH29" s="279"/>
      <c r="TDI29" s="279"/>
      <c r="TDJ29" s="279"/>
      <c r="TDK29" s="279"/>
      <c r="TDL29" s="279"/>
      <c r="TDM29" s="279"/>
      <c r="TDN29" s="279"/>
      <c r="TDO29" s="279"/>
      <c r="TDP29" s="279"/>
      <c r="TDQ29" s="279"/>
      <c r="TDR29" s="279"/>
      <c r="TDS29" s="279"/>
      <c r="TDT29" s="279"/>
      <c r="TDU29" s="279"/>
      <c r="TDV29" s="279"/>
      <c r="TDW29" s="279"/>
      <c r="TDX29" s="279"/>
      <c r="TDY29" s="279"/>
      <c r="TDZ29" s="279"/>
      <c r="TEA29" s="279"/>
      <c r="TEB29" s="279"/>
      <c r="TEC29" s="279"/>
      <c r="TED29" s="279"/>
      <c r="TEE29" s="279"/>
      <c r="TEF29" s="279"/>
      <c r="TEG29" s="279"/>
      <c r="TEH29" s="279"/>
      <c r="TEI29" s="279"/>
      <c r="TEJ29" s="279"/>
      <c r="TEK29" s="279"/>
      <c r="TEL29" s="279"/>
      <c r="TEM29" s="279"/>
      <c r="TEN29" s="279"/>
      <c r="TEO29" s="279"/>
      <c r="TEP29" s="279"/>
      <c r="TEQ29" s="279"/>
      <c r="TER29" s="279"/>
      <c r="TES29" s="279"/>
      <c r="TET29" s="279"/>
      <c r="TEU29" s="279"/>
      <c r="TEV29" s="279"/>
      <c r="TEW29" s="279"/>
      <c r="TEX29" s="279"/>
      <c r="TEY29" s="279"/>
      <c r="TEZ29" s="279"/>
      <c r="TFA29" s="279"/>
      <c r="TFB29" s="279"/>
      <c r="TFC29" s="279"/>
      <c r="TFD29" s="279"/>
      <c r="TFE29" s="279"/>
      <c r="TFF29" s="279"/>
      <c r="TFG29" s="279"/>
      <c r="TFH29" s="279"/>
      <c r="TFI29" s="279"/>
      <c r="TFJ29" s="279"/>
      <c r="TFK29" s="279"/>
      <c r="TFL29" s="279"/>
      <c r="TFM29" s="279"/>
      <c r="TFN29" s="279"/>
      <c r="TFO29" s="279"/>
      <c r="TFP29" s="279"/>
      <c r="TFQ29" s="279"/>
      <c r="TFR29" s="279"/>
      <c r="TFS29" s="279"/>
      <c r="TFT29" s="279"/>
      <c r="TFU29" s="279"/>
      <c r="TFV29" s="279"/>
      <c r="TFW29" s="279"/>
      <c r="TFX29" s="279"/>
      <c r="TFY29" s="279"/>
      <c r="TFZ29" s="279"/>
      <c r="TGA29" s="279"/>
      <c r="TGB29" s="279"/>
      <c r="TGC29" s="279"/>
      <c r="TGD29" s="279"/>
      <c r="TGE29" s="279"/>
      <c r="TGF29" s="279"/>
      <c r="TGG29" s="279"/>
      <c r="TGH29" s="279"/>
      <c r="TGI29" s="279"/>
      <c r="TGJ29" s="279"/>
      <c r="TGK29" s="279"/>
      <c r="TGL29" s="279"/>
      <c r="TGM29" s="279"/>
      <c r="TGN29" s="279"/>
      <c r="TGO29" s="279"/>
      <c r="TGP29" s="279"/>
      <c r="TGQ29" s="279"/>
      <c r="TGR29" s="279"/>
      <c r="TGS29" s="279"/>
      <c r="TGT29" s="279"/>
      <c r="TGU29" s="279"/>
      <c r="TGV29" s="279"/>
      <c r="TGW29" s="279"/>
      <c r="TGX29" s="279"/>
      <c r="TGY29" s="279"/>
      <c r="TGZ29" s="279"/>
      <c r="THA29" s="279"/>
      <c r="THB29" s="279"/>
      <c r="THC29" s="279"/>
      <c r="THD29" s="279"/>
      <c r="THE29" s="279"/>
      <c r="THF29" s="279"/>
      <c r="THG29" s="279"/>
      <c r="THH29" s="279"/>
      <c r="THI29" s="279"/>
      <c r="THJ29" s="279"/>
      <c r="THK29" s="279"/>
      <c r="THL29" s="279"/>
      <c r="THM29" s="279"/>
      <c r="THN29" s="279"/>
      <c r="THO29" s="279"/>
      <c r="THP29" s="279"/>
      <c r="THQ29" s="279"/>
      <c r="THR29" s="279"/>
      <c r="THS29" s="279"/>
      <c r="THT29" s="279"/>
      <c r="THU29" s="279"/>
      <c r="THV29" s="279"/>
      <c r="THW29" s="279"/>
      <c r="THX29" s="279"/>
      <c r="THY29" s="279"/>
      <c r="THZ29" s="279"/>
      <c r="TIA29" s="279"/>
      <c r="TIB29" s="279"/>
      <c r="TIC29" s="279"/>
      <c r="TID29" s="279"/>
      <c r="TIE29" s="279"/>
      <c r="TIF29" s="279"/>
      <c r="TIG29" s="279"/>
      <c r="TIH29" s="279"/>
      <c r="TII29" s="279"/>
      <c r="TIJ29" s="279"/>
      <c r="TIK29" s="279"/>
      <c r="TIL29" s="279"/>
      <c r="TIM29" s="279"/>
      <c r="TIN29" s="279"/>
      <c r="TIO29" s="279"/>
      <c r="TIP29" s="279"/>
      <c r="TIQ29" s="279"/>
      <c r="TIR29" s="279"/>
      <c r="TIS29" s="279"/>
      <c r="TIT29" s="279"/>
      <c r="TIU29" s="279"/>
      <c r="TIV29" s="279"/>
      <c r="TIW29" s="279"/>
      <c r="TIX29" s="279"/>
      <c r="TIY29" s="279"/>
      <c r="TIZ29" s="279"/>
      <c r="TJA29" s="279"/>
      <c r="TJB29" s="279"/>
      <c r="TJC29" s="279"/>
      <c r="TJD29" s="279"/>
      <c r="TJE29" s="279"/>
      <c r="TJF29" s="279"/>
      <c r="TJG29" s="279"/>
      <c r="TJH29" s="279"/>
      <c r="TJI29" s="279"/>
      <c r="TJJ29" s="279"/>
      <c r="TJK29" s="279"/>
      <c r="TJL29" s="279"/>
      <c r="TJM29" s="279"/>
      <c r="TJN29" s="279"/>
      <c r="TJO29" s="279"/>
      <c r="TJP29" s="279"/>
      <c r="TJQ29" s="279"/>
      <c r="TJR29" s="279"/>
      <c r="TJS29" s="279"/>
      <c r="TJT29" s="279"/>
      <c r="TJU29" s="279"/>
      <c r="TJV29" s="279"/>
      <c r="TJW29" s="279"/>
      <c r="TJX29" s="279"/>
      <c r="TJY29" s="279"/>
      <c r="TJZ29" s="279"/>
      <c r="TKA29" s="279"/>
      <c r="TKB29" s="279"/>
      <c r="TKC29" s="279"/>
      <c r="TKD29" s="279"/>
      <c r="TKE29" s="279"/>
      <c r="TKF29" s="279"/>
      <c r="TKG29" s="279"/>
      <c r="TKH29" s="279"/>
      <c r="TKI29" s="279"/>
      <c r="TKJ29" s="279"/>
      <c r="TKK29" s="279"/>
      <c r="TKL29" s="279"/>
      <c r="TKM29" s="279"/>
      <c r="TKN29" s="279"/>
      <c r="TKO29" s="279"/>
      <c r="TKP29" s="279"/>
      <c r="TKQ29" s="279"/>
      <c r="TKR29" s="279"/>
      <c r="TKS29" s="279"/>
      <c r="TKT29" s="279"/>
      <c r="TKU29" s="279"/>
      <c r="TKV29" s="279"/>
      <c r="TKW29" s="279"/>
      <c r="TKX29" s="279"/>
      <c r="TKY29" s="279"/>
      <c r="TKZ29" s="279"/>
      <c r="TLA29" s="279"/>
      <c r="TLB29" s="279"/>
      <c r="TLC29" s="279"/>
      <c r="TLD29" s="279"/>
      <c r="TLE29" s="279"/>
      <c r="TLF29" s="279"/>
      <c r="TLG29" s="279"/>
      <c r="TLH29" s="279"/>
      <c r="TLI29" s="279"/>
      <c r="TLJ29" s="279"/>
      <c r="TLK29" s="279"/>
      <c r="TLL29" s="279"/>
      <c r="TLM29" s="279"/>
      <c r="TLN29" s="279"/>
      <c r="TLO29" s="279"/>
      <c r="TLP29" s="279"/>
      <c r="TLQ29" s="279"/>
      <c r="TLR29" s="279"/>
      <c r="TLS29" s="279"/>
      <c r="TLT29" s="279"/>
      <c r="TLU29" s="279"/>
      <c r="TLV29" s="279"/>
      <c r="TLW29" s="279"/>
      <c r="TLX29" s="279"/>
      <c r="TLY29" s="279"/>
      <c r="TLZ29" s="279"/>
      <c r="TMA29" s="279"/>
      <c r="TMB29" s="279"/>
      <c r="TMC29" s="279"/>
      <c r="TMD29" s="279"/>
      <c r="TME29" s="279"/>
      <c r="TMF29" s="279"/>
      <c r="TMG29" s="279"/>
      <c r="TMH29" s="279"/>
      <c r="TMI29" s="279"/>
      <c r="TMJ29" s="279"/>
      <c r="TMK29" s="279"/>
      <c r="TML29" s="279"/>
      <c r="TMM29" s="279"/>
      <c r="TMN29" s="279"/>
      <c r="TMO29" s="279"/>
      <c r="TMP29" s="279"/>
      <c r="TMQ29" s="279"/>
      <c r="TMR29" s="279"/>
      <c r="TMS29" s="279"/>
      <c r="TMT29" s="279"/>
      <c r="TMU29" s="279"/>
      <c r="TMV29" s="279"/>
      <c r="TMW29" s="279"/>
      <c r="TMX29" s="279"/>
      <c r="TMY29" s="279"/>
      <c r="TMZ29" s="279"/>
      <c r="TNA29" s="279"/>
      <c r="TNB29" s="279"/>
      <c r="TNC29" s="279"/>
      <c r="TND29" s="279"/>
      <c r="TNE29" s="279"/>
      <c r="TNF29" s="279"/>
      <c r="TNG29" s="279"/>
      <c r="TNH29" s="279"/>
      <c r="TNI29" s="279"/>
      <c r="TNJ29" s="279"/>
      <c r="TNK29" s="279"/>
      <c r="TNL29" s="279"/>
      <c r="TNM29" s="279"/>
      <c r="TNN29" s="279"/>
      <c r="TNO29" s="279"/>
      <c r="TNP29" s="279"/>
      <c r="TNQ29" s="279"/>
      <c r="TNR29" s="279"/>
      <c r="TNS29" s="279"/>
      <c r="TNT29" s="279"/>
      <c r="TNU29" s="279"/>
      <c r="TNV29" s="279"/>
      <c r="TNW29" s="279"/>
      <c r="TNX29" s="279"/>
      <c r="TNY29" s="279"/>
      <c r="TNZ29" s="279"/>
      <c r="TOA29" s="279"/>
      <c r="TOB29" s="279"/>
      <c r="TOC29" s="279"/>
      <c r="TOD29" s="279"/>
      <c r="TOE29" s="279"/>
      <c r="TOF29" s="279"/>
      <c r="TOG29" s="279"/>
      <c r="TOH29" s="279"/>
      <c r="TOI29" s="279"/>
      <c r="TOJ29" s="279"/>
      <c r="TOK29" s="279"/>
      <c r="TOL29" s="279"/>
      <c r="TOM29" s="279"/>
      <c r="TON29" s="279"/>
      <c r="TOO29" s="279"/>
      <c r="TOP29" s="279"/>
      <c r="TOQ29" s="279"/>
      <c r="TOR29" s="279"/>
      <c r="TOS29" s="279"/>
      <c r="TOT29" s="279"/>
      <c r="TOU29" s="279"/>
      <c r="TOV29" s="279"/>
      <c r="TOW29" s="279"/>
      <c r="TOX29" s="279"/>
      <c r="TOY29" s="279"/>
      <c r="TOZ29" s="279"/>
      <c r="TPA29" s="279"/>
      <c r="TPB29" s="279"/>
      <c r="TPC29" s="279"/>
      <c r="TPD29" s="279"/>
      <c r="TPE29" s="279"/>
      <c r="TPF29" s="279"/>
      <c r="TPG29" s="279"/>
      <c r="TPH29" s="279"/>
      <c r="TPI29" s="279"/>
      <c r="TPJ29" s="279"/>
      <c r="TPK29" s="279"/>
      <c r="TPL29" s="279"/>
      <c r="TPM29" s="279"/>
      <c r="TPN29" s="279"/>
      <c r="TPO29" s="279"/>
      <c r="TPP29" s="279"/>
      <c r="TPQ29" s="279"/>
      <c r="TPR29" s="279"/>
      <c r="TPS29" s="279"/>
      <c r="TPT29" s="279"/>
      <c r="TPU29" s="279"/>
      <c r="TPV29" s="279"/>
      <c r="TPW29" s="279"/>
      <c r="TPX29" s="279"/>
      <c r="TPY29" s="279"/>
      <c r="TPZ29" s="279"/>
      <c r="TQA29" s="279"/>
      <c r="TQB29" s="279"/>
      <c r="TQC29" s="279"/>
      <c r="TQD29" s="279"/>
      <c r="TQE29" s="279"/>
      <c r="TQF29" s="279"/>
      <c r="TQG29" s="279"/>
      <c r="TQH29" s="279"/>
      <c r="TQI29" s="279"/>
      <c r="TQJ29" s="279"/>
      <c r="TQK29" s="279"/>
      <c r="TQL29" s="279"/>
      <c r="TQM29" s="279"/>
      <c r="TQN29" s="279"/>
      <c r="TQO29" s="279"/>
      <c r="TQP29" s="279"/>
      <c r="TQQ29" s="279"/>
      <c r="TQR29" s="279"/>
      <c r="TQS29" s="279"/>
      <c r="TQT29" s="279"/>
      <c r="TQU29" s="279"/>
      <c r="TQV29" s="279"/>
      <c r="TQW29" s="279"/>
      <c r="TQX29" s="279"/>
      <c r="TQY29" s="279"/>
      <c r="TQZ29" s="279"/>
      <c r="TRA29" s="279"/>
      <c r="TRB29" s="279"/>
      <c r="TRC29" s="279"/>
      <c r="TRD29" s="279"/>
      <c r="TRE29" s="279"/>
      <c r="TRF29" s="279"/>
      <c r="TRG29" s="279"/>
      <c r="TRH29" s="279"/>
      <c r="TRI29" s="279"/>
      <c r="TRJ29" s="279"/>
      <c r="TRK29" s="279"/>
      <c r="TRL29" s="279"/>
      <c r="TRM29" s="279"/>
      <c r="TRN29" s="279"/>
      <c r="TRO29" s="279"/>
      <c r="TRP29" s="279"/>
      <c r="TRQ29" s="279"/>
      <c r="TRR29" s="279"/>
      <c r="TRS29" s="279"/>
      <c r="TRT29" s="279"/>
      <c r="TRU29" s="279"/>
      <c r="TRV29" s="279"/>
      <c r="TRW29" s="279"/>
      <c r="TRX29" s="279"/>
      <c r="TRY29" s="279"/>
      <c r="TRZ29" s="279"/>
      <c r="TSA29" s="279"/>
      <c r="TSB29" s="279"/>
      <c r="TSC29" s="279"/>
      <c r="TSD29" s="279"/>
      <c r="TSE29" s="279"/>
      <c r="TSF29" s="279"/>
      <c r="TSG29" s="279"/>
      <c r="TSH29" s="279"/>
      <c r="TSI29" s="279"/>
      <c r="TSJ29" s="279"/>
      <c r="TSK29" s="279"/>
      <c r="TSL29" s="279"/>
      <c r="TSM29" s="279"/>
      <c r="TSN29" s="279"/>
      <c r="TSO29" s="279"/>
      <c r="TSP29" s="279"/>
      <c r="TSQ29" s="279"/>
      <c r="TSR29" s="279"/>
      <c r="TSS29" s="279"/>
      <c r="TST29" s="279"/>
      <c r="TSU29" s="279"/>
      <c r="TSV29" s="279"/>
      <c r="TSW29" s="279"/>
      <c r="TSX29" s="279"/>
      <c r="TSY29" s="279"/>
      <c r="TSZ29" s="279"/>
      <c r="TTA29" s="279"/>
      <c r="TTB29" s="279"/>
      <c r="TTC29" s="279"/>
      <c r="TTD29" s="279"/>
      <c r="TTE29" s="279"/>
      <c r="TTF29" s="279"/>
      <c r="TTG29" s="279"/>
      <c r="TTH29" s="279"/>
      <c r="TTI29" s="279"/>
      <c r="TTJ29" s="279"/>
      <c r="TTK29" s="279"/>
      <c r="TTL29" s="279"/>
      <c r="TTM29" s="279"/>
      <c r="TTN29" s="279"/>
      <c r="TTO29" s="279"/>
      <c r="TTP29" s="279"/>
      <c r="TTQ29" s="279"/>
      <c r="TTR29" s="279"/>
      <c r="TTS29" s="279"/>
      <c r="TTT29" s="279"/>
      <c r="TTU29" s="279"/>
      <c r="TTV29" s="279"/>
      <c r="TTW29" s="279"/>
      <c r="TTX29" s="279"/>
      <c r="TTY29" s="279"/>
      <c r="TTZ29" s="279"/>
      <c r="TUA29" s="279"/>
      <c r="TUB29" s="279"/>
      <c r="TUC29" s="279"/>
      <c r="TUD29" s="279"/>
      <c r="TUE29" s="279"/>
      <c r="TUF29" s="279"/>
      <c r="TUG29" s="279"/>
      <c r="TUH29" s="279"/>
      <c r="TUI29" s="279"/>
      <c r="TUJ29" s="279"/>
      <c r="TUK29" s="279"/>
      <c r="TUL29" s="279"/>
      <c r="TUM29" s="279"/>
      <c r="TUN29" s="279"/>
      <c r="TUO29" s="279"/>
      <c r="TUP29" s="279"/>
      <c r="TUQ29" s="279"/>
      <c r="TUR29" s="279"/>
      <c r="TUS29" s="279"/>
      <c r="TUT29" s="279"/>
      <c r="TUU29" s="279"/>
      <c r="TUV29" s="279"/>
      <c r="TUW29" s="279"/>
      <c r="TUX29" s="279"/>
      <c r="TUY29" s="279"/>
      <c r="TUZ29" s="279"/>
      <c r="TVA29" s="279"/>
      <c r="TVB29" s="279"/>
      <c r="TVC29" s="279"/>
      <c r="TVD29" s="279"/>
      <c r="TVE29" s="279"/>
      <c r="TVF29" s="279"/>
      <c r="TVG29" s="279"/>
      <c r="TVH29" s="279"/>
      <c r="TVI29" s="279"/>
      <c r="TVJ29" s="279"/>
      <c r="TVK29" s="279"/>
      <c r="TVL29" s="279"/>
      <c r="TVM29" s="279"/>
      <c r="TVN29" s="279"/>
      <c r="TVO29" s="279"/>
      <c r="TVP29" s="279"/>
      <c r="TVQ29" s="279"/>
      <c r="TVR29" s="279"/>
      <c r="TVS29" s="279"/>
      <c r="TVT29" s="279"/>
      <c r="TVU29" s="279"/>
      <c r="TVV29" s="279"/>
      <c r="TVW29" s="279"/>
      <c r="TVX29" s="279"/>
      <c r="TVY29" s="279"/>
      <c r="TVZ29" s="279"/>
      <c r="TWA29" s="279"/>
      <c r="TWB29" s="279"/>
      <c r="TWC29" s="279"/>
      <c r="TWD29" s="279"/>
      <c r="TWE29" s="279"/>
      <c r="TWF29" s="279"/>
      <c r="TWG29" s="279"/>
      <c r="TWH29" s="279"/>
      <c r="TWI29" s="279"/>
      <c r="TWJ29" s="279"/>
      <c r="TWK29" s="279"/>
      <c r="TWL29" s="279"/>
      <c r="TWM29" s="279"/>
      <c r="TWN29" s="279"/>
      <c r="TWO29" s="279"/>
      <c r="TWP29" s="279"/>
      <c r="TWQ29" s="279"/>
      <c r="TWR29" s="279"/>
      <c r="TWS29" s="279"/>
      <c r="TWT29" s="279"/>
      <c r="TWU29" s="279"/>
      <c r="TWV29" s="279"/>
      <c r="TWW29" s="279"/>
      <c r="TWX29" s="279"/>
      <c r="TWY29" s="279"/>
      <c r="TWZ29" s="279"/>
      <c r="TXA29" s="279"/>
      <c r="TXB29" s="279"/>
      <c r="TXC29" s="279"/>
      <c r="TXD29" s="279"/>
      <c r="TXE29" s="279"/>
      <c r="TXF29" s="279"/>
      <c r="TXG29" s="279"/>
      <c r="TXH29" s="279"/>
      <c r="TXI29" s="279"/>
      <c r="TXJ29" s="279"/>
      <c r="TXK29" s="279"/>
      <c r="TXL29" s="279"/>
      <c r="TXM29" s="279"/>
      <c r="TXN29" s="279"/>
      <c r="TXO29" s="279"/>
      <c r="TXP29" s="279"/>
      <c r="TXQ29" s="279"/>
      <c r="TXR29" s="279"/>
      <c r="TXS29" s="279"/>
      <c r="TXT29" s="279"/>
      <c r="TXU29" s="279"/>
      <c r="TXV29" s="279"/>
      <c r="TXW29" s="279"/>
      <c r="TXX29" s="279"/>
      <c r="TXY29" s="279"/>
      <c r="TXZ29" s="279"/>
      <c r="TYA29" s="279"/>
      <c r="TYB29" s="279"/>
      <c r="TYC29" s="279"/>
      <c r="TYD29" s="279"/>
      <c r="TYE29" s="279"/>
      <c r="TYF29" s="279"/>
      <c r="TYG29" s="279"/>
      <c r="TYH29" s="279"/>
      <c r="TYI29" s="279"/>
      <c r="TYJ29" s="279"/>
      <c r="TYK29" s="279"/>
      <c r="TYL29" s="279"/>
      <c r="TYM29" s="279"/>
      <c r="TYN29" s="279"/>
      <c r="TYO29" s="279"/>
      <c r="TYP29" s="279"/>
      <c r="TYQ29" s="279"/>
      <c r="TYR29" s="279"/>
      <c r="TYS29" s="279"/>
      <c r="TYT29" s="279"/>
      <c r="TYU29" s="279"/>
      <c r="TYV29" s="279"/>
      <c r="TYW29" s="279"/>
      <c r="TYX29" s="279"/>
      <c r="TYY29" s="279"/>
      <c r="TYZ29" s="279"/>
      <c r="TZA29" s="279"/>
      <c r="TZB29" s="279"/>
      <c r="TZC29" s="279"/>
      <c r="TZD29" s="279"/>
      <c r="TZE29" s="279"/>
      <c r="TZF29" s="279"/>
      <c r="TZG29" s="279"/>
      <c r="TZH29" s="279"/>
      <c r="TZI29" s="279"/>
      <c r="TZJ29" s="279"/>
      <c r="TZK29" s="279"/>
      <c r="TZL29" s="279"/>
      <c r="TZM29" s="279"/>
      <c r="TZN29" s="279"/>
      <c r="TZO29" s="279"/>
      <c r="TZP29" s="279"/>
      <c r="TZQ29" s="279"/>
      <c r="TZR29" s="279"/>
      <c r="TZS29" s="279"/>
      <c r="TZT29" s="279"/>
      <c r="TZU29" s="279"/>
      <c r="TZV29" s="279"/>
      <c r="TZW29" s="279"/>
      <c r="TZX29" s="279"/>
      <c r="TZY29" s="279"/>
      <c r="TZZ29" s="279"/>
      <c r="UAA29" s="279"/>
      <c r="UAB29" s="279"/>
      <c r="UAC29" s="279"/>
      <c r="UAD29" s="279"/>
      <c r="UAE29" s="279"/>
      <c r="UAF29" s="279"/>
      <c r="UAG29" s="279"/>
      <c r="UAH29" s="279"/>
      <c r="UAI29" s="279"/>
      <c r="UAJ29" s="279"/>
      <c r="UAK29" s="279"/>
      <c r="UAL29" s="279"/>
      <c r="UAM29" s="279"/>
      <c r="UAN29" s="279"/>
      <c r="UAO29" s="279"/>
      <c r="UAP29" s="279"/>
      <c r="UAQ29" s="279"/>
      <c r="UAR29" s="279"/>
      <c r="UAS29" s="279"/>
      <c r="UAT29" s="279"/>
      <c r="UAU29" s="279"/>
      <c r="UAV29" s="279"/>
      <c r="UAW29" s="279"/>
      <c r="UAX29" s="279"/>
      <c r="UAY29" s="279"/>
      <c r="UAZ29" s="279"/>
      <c r="UBA29" s="279"/>
      <c r="UBB29" s="279"/>
      <c r="UBC29" s="279"/>
      <c r="UBD29" s="279"/>
      <c r="UBE29" s="279"/>
      <c r="UBF29" s="279"/>
      <c r="UBG29" s="279"/>
      <c r="UBH29" s="279"/>
      <c r="UBI29" s="279"/>
      <c r="UBJ29" s="279"/>
      <c r="UBK29" s="279"/>
      <c r="UBL29" s="279"/>
      <c r="UBM29" s="279"/>
      <c r="UBN29" s="279"/>
      <c r="UBO29" s="279"/>
      <c r="UBP29" s="279"/>
      <c r="UBQ29" s="279"/>
      <c r="UBR29" s="279"/>
      <c r="UBS29" s="279"/>
      <c r="UBT29" s="279"/>
      <c r="UBU29" s="279"/>
      <c r="UBV29" s="279"/>
      <c r="UBW29" s="279"/>
      <c r="UBX29" s="279"/>
      <c r="UBY29" s="279"/>
      <c r="UBZ29" s="279"/>
      <c r="UCA29" s="279"/>
      <c r="UCB29" s="279"/>
      <c r="UCC29" s="279"/>
      <c r="UCD29" s="279"/>
      <c r="UCE29" s="279"/>
      <c r="UCF29" s="279"/>
      <c r="UCG29" s="279"/>
      <c r="UCH29" s="279"/>
      <c r="UCI29" s="279"/>
      <c r="UCJ29" s="279"/>
      <c r="UCK29" s="279"/>
      <c r="UCL29" s="279"/>
      <c r="UCM29" s="279"/>
      <c r="UCN29" s="279"/>
      <c r="UCO29" s="279"/>
      <c r="UCP29" s="279"/>
      <c r="UCQ29" s="279"/>
      <c r="UCR29" s="279"/>
      <c r="UCS29" s="279"/>
      <c r="UCT29" s="279"/>
      <c r="UCU29" s="279"/>
      <c r="UCV29" s="279"/>
      <c r="UCW29" s="279"/>
      <c r="UCX29" s="279"/>
      <c r="UCY29" s="279"/>
      <c r="UCZ29" s="279"/>
      <c r="UDA29" s="279"/>
      <c r="UDB29" s="279"/>
      <c r="UDC29" s="279"/>
      <c r="UDD29" s="279"/>
      <c r="UDE29" s="279"/>
      <c r="UDF29" s="279"/>
      <c r="UDG29" s="279"/>
      <c r="UDH29" s="279"/>
      <c r="UDI29" s="279"/>
      <c r="UDJ29" s="279"/>
      <c r="UDK29" s="279"/>
      <c r="UDL29" s="279"/>
      <c r="UDM29" s="279"/>
      <c r="UDN29" s="279"/>
      <c r="UDO29" s="279"/>
      <c r="UDP29" s="279"/>
      <c r="UDQ29" s="279"/>
      <c r="UDR29" s="279"/>
      <c r="UDS29" s="279"/>
      <c r="UDT29" s="279"/>
      <c r="UDU29" s="279"/>
      <c r="UDV29" s="279"/>
      <c r="UDW29" s="279"/>
      <c r="UDX29" s="279"/>
      <c r="UDY29" s="279"/>
      <c r="UDZ29" s="279"/>
      <c r="UEA29" s="279"/>
      <c r="UEB29" s="279"/>
      <c r="UEC29" s="279"/>
      <c r="UED29" s="279"/>
      <c r="UEE29" s="279"/>
      <c r="UEF29" s="279"/>
      <c r="UEG29" s="279"/>
      <c r="UEH29" s="279"/>
      <c r="UEI29" s="279"/>
      <c r="UEJ29" s="279"/>
      <c r="UEK29" s="279"/>
      <c r="UEL29" s="279"/>
      <c r="UEM29" s="279"/>
      <c r="UEN29" s="279"/>
      <c r="UEO29" s="279"/>
      <c r="UEP29" s="279"/>
      <c r="UEQ29" s="279"/>
      <c r="UER29" s="279"/>
      <c r="UES29" s="279"/>
      <c r="UET29" s="279"/>
      <c r="UEU29" s="279"/>
      <c r="UEV29" s="279"/>
      <c r="UEW29" s="279"/>
      <c r="UEX29" s="279"/>
      <c r="UEY29" s="279"/>
      <c r="UEZ29" s="279"/>
      <c r="UFA29" s="279"/>
      <c r="UFB29" s="279"/>
      <c r="UFC29" s="279"/>
      <c r="UFD29" s="279"/>
      <c r="UFE29" s="279"/>
      <c r="UFF29" s="279"/>
      <c r="UFG29" s="279"/>
      <c r="UFH29" s="279"/>
      <c r="UFI29" s="279"/>
      <c r="UFJ29" s="279"/>
      <c r="UFK29" s="279"/>
      <c r="UFL29" s="279"/>
      <c r="UFM29" s="279"/>
      <c r="UFN29" s="279"/>
      <c r="UFO29" s="279"/>
      <c r="UFP29" s="279"/>
      <c r="UFQ29" s="279"/>
      <c r="UFR29" s="279"/>
      <c r="UFS29" s="279"/>
      <c r="UFT29" s="279"/>
      <c r="UFU29" s="279"/>
      <c r="UFV29" s="279"/>
      <c r="UFW29" s="279"/>
      <c r="UFX29" s="279"/>
      <c r="UFY29" s="279"/>
      <c r="UFZ29" s="279"/>
      <c r="UGA29" s="279"/>
      <c r="UGB29" s="279"/>
      <c r="UGC29" s="279"/>
      <c r="UGD29" s="279"/>
      <c r="UGE29" s="279"/>
      <c r="UGF29" s="279"/>
      <c r="UGG29" s="279"/>
      <c r="UGH29" s="279"/>
      <c r="UGI29" s="279"/>
      <c r="UGJ29" s="279"/>
      <c r="UGK29" s="279"/>
      <c r="UGL29" s="279"/>
      <c r="UGM29" s="279"/>
      <c r="UGN29" s="279"/>
      <c r="UGO29" s="279"/>
      <c r="UGP29" s="279"/>
      <c r="UGQ29" s="279"/>
      <c r="UGR29" s="279"/>
      <c r="UGS29" s="279"/>
      <c r="UGT29" s="279"/>
      <c r="UGU29" s="279"/>
      <c r="UGV29" s="279"/>
      <c r="UGW29" s="279"/>
      <c r="UGX29" s="279"/>
      <c r="UGY29" s="279"/>
      <c r="UGZ29" s="279"/>
      <c r="UHA29" s="279"/>
      <c r="UHB29" s="279"/>
      <c r="UHC29" s="279"/>
      <c r="UHD29" s="279"/>
      <c r="UHE29" s="279"/>
      <c r="UHF29" s="279"/>
      <c r="UHG29" s="279"/>
      <c r="UHH29" s="279"/>
      <c r="UHI29" s="279"/>
      <c r="UHJ29" s="279"/>
      <c r="UHK29" s="279"/>
      <c r="UHL29" s="279"/>
      <c r="UHM29" s="279"/>
      <c r="UHN29" s="279"/>
      <c r="UHO29" s="279"/>
      <c r="UHP29" s="279"/>
      <c r="UHQ29" s="279"/>
      <c r="UHR29" s="279"/>
      <c r="UHS29" s="279"/>
      <c r="UHT29" s="279"/>
      <c r="UHU29" s="279"/>
      <c r="UHV29" s="279"/>
      <c r="UHW29" s="279"/>
      <c r="UHX29" s="279"/>
      <c r="UHY29" s="279"/>
      <c r="UHZ29" s="279"/>
      <c r="UIA29" s="279"/>
      <c r="UIB29" s="279"/>
      <c r="UIC29" s="279"/>
      <c r="UID29" s="279"/>
      <c r="UIE29" s="279"/>
      <c r="UIF29" s="279"/>
      <c r="UIG29" s="279"/>
      <c r="UIH29" s="279"/>
      <c r="UII29" s="279"/>
      <c r="UIJ29" s="279"/>
      <c r="UIK29" s="279"/>
      <c r="UIL29" s="279"/>
      <c r="UIM29" s="279"/>
      <c r="UIN29" s="279"/>
      <c r="UIO29" s="279"/>
      <c r="UIP29" s="279"/>
      <c r="UIQ29" s="279"/>
      <c r="UIR29" s="279"/>
      <c r="UIS29" s="279"/>
      <c r="UIT29" s="279"/>
      <c r="UIU29" s="279"/>
      <c r="UIV29" s="279"/>
      <c r="UIW29" s="279"/>
      <c r="UIX29" s="279"/>
      <c r="UIY29" s="279"/>
      <c r="UIZ29" s="279"/>
      <c r="UJA29" s="279"/>
      <c r="UJB29" s="279"/>
      <c r="UJC29" s="279"/>
      <c r="UJD29" s="279"/>
      <c r="UJE29" s="279"/>
      <c r="UJF29" s="279"/>
      <c r="UJG29" s="279"/>
      <c r="UJH29" s="279"/>
      <c r="UJI29" s="279"/>
      <c r="UJJ29" s="279"/>
      <c r="UJK29" s="279"/>
      <c r="UJL29" s="279"/>
      <c r="UJM29" s="279"/>
      <c r="UJN29" s="279"/>
      <c r="UJO29" s="279"/>
      <c r="UJP29" s="279"/>
      <c r="UJQ29" s="279"/>
      <c r="UJR29" s="279"/>
      <c r="UJS29" s="279"/>
      <c r="UJT29" s="279"/>
      <c r="UJU29" s="279"/>
      <c r="UJV29" s="279"/>
      <c r="UJW29" s="279"/>
      <c r="UJX29" s="279"/>
      <c r="UJY29" s="279"/>
      <c r="UJZ29" s="279"/>
      <c r="UKA29" s="279"/>
      <c r="UKB29" s="279"/>
      <c r="UKC29" s="279"/>
      <c r="UKD29" s="279"/>
      <c r="UKE29" s="279"/>
      <c r="UKF29" s="279"/>
      <c r="UKG29" s="279"/>
      <c r="UKH29" s="279"/>
      <c r="UKI29" s="279"/>
      <c r="UKJ29" s="279"/>
      <c r="UKK29" s="279"/>
      <c r="UKL29" s="279"/>
      <c r="UKM29" s="279"/>
      <c r="UKN29" s="279"/>
      <c r="UKO29" s="279"/>
      <c r="UKP29" s="279"/>
      <c r="UKQ29" s="279"/>
      <c r="UKR29" s="279"/>
      <c r="UKS29" s="279"/>
      <c r="UKT29" s="279"/>
      <c r="UKU29" s="279"/>
      <c r="UKV29" s="279"/>
      <c r="UKW29" s="279"/>
      <c r="UKX29" s="279"/>
      <c r="UKY29" s="279"/>
      <c r="UKZ29" s="279"/>
      <c r="ULA29" s="279"/>
      <c r="ULB29" s="279"/>
      <c r="ULC29" s="279"/>
      <c r="ULD29" s="279"/>
      <c r="ULE29" s="279"/>
      <c r="ULF29" s="279"/>
      <c r="ULG29" s="279"/>
      <c r="ULH29" s="279"/>
      <c r="ULI29" s="279"/>
      <c r="ULJ29" s="279"/>
      <c r="ULK29" s="279"/>
      <c r="ULL29" s="279"/>
      <c r="ULM29" s="279"/>
      <c r="ULN29" s="279"/>
      <c r="ULO29" s="279"/>
      <c r="ULP29" s="279"/>
      <c r="ULQ29" s="279"/>
      <c r="ULR29" s="279"/>
      <c r="ULS29" s="279"/>
      <c r="ULT29" s="279"/>
      <c r="ULU29" s="279"/>
      <c r="ULV29" s="279"/>
      <c r="ULW29" s="279"/>
      <c r="ULX29" s="279"/>
      <c r="ULY29" s="279"/>
      <c r="ULZ29" s="279"/>
      <c r="UMA29" s="279"/>
      <c r="UMB29" s="279"/>
      <c r="UMC29" s="279"/>
      <c r="UMD29" s="279"/>
      <c r="UME29" s="279"/>
      <c r="UMF29" s="279"/>
      <c r="UMG29" s="279"/>
      <c r="UMH29" s="279"/>
      <c r="UMI29" s="279"/>
      <c r="UMJ29" s="279"/>
      <c r="UMK29" s="279"/>
      <c r="UML29" s="279"/>
      <c r="UMM29" s="279"/>
      <c r="UMN29" s="279"/>
      <c r="UMO29" s="279"/>
      <c r="UMP29" s="279"/>
      <c r="UMQ29" s="279"/>
      <c r="UMR29" s="279"/>
      <c r="UMS29" s="279"/>
      <c r="UMT29" s="279"/>
      <c r="UMU29" s="279"/>
      <c r="UMV29" s="279"/>
      <c r="UMW29" s="279"/>
      <c r="UMX29" s="279"/>
      <c r="UMY29" s="279"/>
      <c r="UMZ29" s="279"/>
      <c r="UNA29" s="279"/>
      <c r="UNB29" s="279"/>
      <c r="UNC29" s="279"/>
      <c r="UND29" s="279"/>
      <c r="UNE29" s="279"/>
      <c r="UNF29" s="279"/>
      <c r="UNG29" s="279"/>
      <c r="UNH29" s="279"/>
      <c r="UNI29" s="279"/>
      <c r="UNJ29" s="279"/>
      <c r="UNK29" s="279"/>
      <c r="UNL29" s="279"/>
      <c r="UNM29" s="279"/>
      <c r="UNN29" s="279"/>
      <c r="UNO29" s="279"/>
      <c r="UNP29" s="279"/>
      <c r="UNQ29" s="279"/>
      <c r="UNR29" s="279"/>
      <c r="UNS29" s="279"/>
      <c r="UNT29" s="279"/>
      <c r="UNU29" s="279"/>
      <c r="UNV29" s="279"/>
      <c r="UNW29" s="279"/>
      <c r="UNX29" s="279"/>
      <c r="UNY29" s="279"/>
      <c r="UNZ29" s="279"/>
      <c r="UOA29" s="279"/>
      <c r="UOB29" s="279"/>
      <c r="UOC29" s="279"/>
      <c r="UOD29" s="279"/>
      <c r="UOE29" s="279"/>
      <c r="UOF29" s="279"/>
      <c r="UOG29" s="279"/>
      <c r="UOH29" s="279"/>
      <c r="UOI29" s="279"/>
      <c r="UOJ29" s="279"/>
      <c r="UOK29" s="279"/>
      <c r="UOL29" s="279"/>
      <c r="UOM29" s="279"/>
      <c r="UON29" s="279"/>
      <c r="UOO29" s="279"/>
      <c r="UOP29" s="279"/>
      <c r="UOQ29" s="279"/>
      <c r="UOR29" s="279"/>
      <c r="UOS29" s="279"/>
      <c r="UOT29" s="279"/>
      <c r="UOU29" s="279"/>
      <c r="UOV29" s="279"/>
      <c r="UOW29" s="279"/>
      <c r="UOX29" s="279"/>
      <c r="UOY29" s="279"/>
      <c r="UOZ29" s="279"/>
      <c r="UPA29" s="279"/>
      <c r="UPB29" s="279"/>
      <c r="UPC29" s="279"/>
      <c r="UPD29" s="279"/>
      <c r="UPE29" s="279"/>
      <c r="UPF29" s="279"/>
      <c r="UPG29" s="279"/>
      <c r="UPH29" s="279"/>
      <c r="UPI29" s="279"/>
      <c r="UPJ29" s="279"/>
      <c r="UPK29" s="279"/>
      <c r="UPL29" s="279"/>
      <c r="UPM29" s="279"/>
      <c r="UPN29" s="279"/>
      <c r="UPO29" s="279"/>
      <c r="UPP29" s="279"/>
      <c r="UPQ29" s="279"/>
      <c r="UPR29" s="279"/>
      <c r="UPS29" s="279"/>
      <c r="UPT29" s="279"/>
      <c r="UPU29" s="279"/>
      <c r="UPV29" s="279"/>
      <c r="UPW29" s="279"/>
      <c r="UPX29" s="279"/>
      <c r="UPY29" s="279"/>
      <c r="UPZ29" s="279"/>
      <c r="UQA29" s="279"/>
      <c r="UQB29" s="279"/>
      <c r="UQC29" s="279"/>
      <c r="UQD29" s="279"/>
      <c r="UQE29" s="279"/>
      <c r="UQF29" s="279"/>
      <c r="UQG29" s="279"/>
      <c r="UQH29" s="279"/>
      <c r="UQI29" s="279"/>
      <c r="UQJ29" s="279"/>
      <c r="UQK29" s="279"/>
      <c r="UQL29" s="279"/>
      <c r="UQM29" s="279"/>
      <c r="UQN29" s="279"/>
      <c r="UQO29" s="279"/>
      <c r="UQP29" s="279"/>
      <c r="UQQ29" s="279"/>
      <c r="UQR29" s="279"/>
      <c r="UQS29" s="279"/>
      <c r="UQT29" s="279"/>
      <c r="UQU29" s="279"/>
      <c r="UQV29" s="279"/>
      <c r="UQW29" s="279"/>
      <c r="UQX29" s="279"/>
      <c r="UQY29" s="279"/>
      <c r="UQZ29" s="279"/>
      <c r="URA29" s="279"/>
      <c r="URB29" s="279"/>
      <c r="URC29" s="279"/>
      <c r="URD29" s="279"/>
      <c r="URE29" s="279"/>
      <c r="URF29" s="279"/>
      <c r="URG29" s="279"/>
      <c r="URH29" s="279"/>
      <c r="URI29" s="279"/>
      <c r="URJ29" s="279"/>
      <c r="URK29" s="279"/>
      <c r="URL29" s="279"/>
      <c r="URM29" s="279"/>
      <c r="URN29" s="279"/>
      <c r="URO29" s="279"/>
      <c r="URP29" s="279"/>
      <c r="URQ29" s="279"/>
      <c r="URR29" s="279"/>
      <c r="URS29" s="279"/>
      <c r="URT29" s="279"/>
      <c r="URU29" s="279"/>
      <c r="URV29" s="279"/>
      <c r="URW29" s="279"/>
      <c r="URX29" s="279"/>
      <c r="URY29" s="279"/>
      <c r="URZ29" s="279"/>
      <c r="USA29" s="279"/>
      <c r="USB29" s="279"/>
      <c r="USC29" s="279"/>
      <c r="USD29" s="279"/>
      <c r="USE29" s="279"/>
      <c r="USF29" s="279"/>
      <c r="USG29" s="279"/>
      <c r="USH29" s="279"/>
      <c r="USI29" s="279"/>
      <c r="USJ29" s="279"/>
      <c r="USK29" s="279"/>
      <c r="USL29" s="279"/>
      <c r="USM29" s="279"/>
      <c r="USN29" s="279"/>
      <c r="USO29" s="279"/>
      <c r="USP29" s="279"/>
      <c r="USQ29" s="279"/>
      <c r="USR29" s="279"/>
      <c r="USS29" s="279"/>
      <c r="UST29" s="279"/>
      <c r="USU29" s="279"/>
      <c r="USV29" s="279"/>
      <c r="USW29" s="279"/>
      <c r="USX29" s="279"/>
      <c r="USY29" s="279"/>
      <c r="USZ29" s="279"/>
      <c r="UTA29" s="279"/>
      <c r="UTB29" s="279"/>
      <c r="UTC29" s="279"/>
      <c r="UTD29" s="279"/>
      <c r="UTE29" s="279"/>
      <c r="UTF29" s="279"/>
      <c r="UTG29" s="279"/>
      <c r="UTH29" s="279"/>
      <c r="UTI29" s="279"/>
      <c r="UTJ29" s="279"/>
      <c r="UTK29" s="279"/>
      <c r="UTL29" s="279"/>
      <c r="UTM29" s="279"/>
      <c r="UTN29" s="279"/>
      <c r="UTO29" s="279"/>
      <c r="UTP29" s="279"/>
      <c r="UTQ29" s="279"/>
      <c r="UTR29" s="279"/>
      <c r="UTS29" s="279"/>
      <c r="UTT29" s="279"/>
      <c r="UTU29" s="279"/>
      <c r="UTV29" s="279"/>
      <c r="UTW29" s="279"/>
      <c r="UTX29" s="279"/>
      <c r="UTY29" s="279"/>
      <c r="UTZ29" s="279"/>
      <c r="UUA29" s="279"/>
      <c r="UUB29" s="279"/>
      <c r="UUC29" s="279"/>
      <c r="UUD29" s="279"/>
      <c r="UUE29" s="279"/>
      <c r="UUF29" s="279"/>
      <c r="UUG29" s="279"/>
      <c r="UUH29" s="279"/>
      <c r="UUI29" s="279"/>
      <c r="UUJ29" s="279"/>
      <c r="UUK29" s="279"/>
      <c r="UUL29" s="279"/>
      <c r="UUM29" s="279"/>
      <c r="UUN29" s="279"/>
      <c r="UUO29" s="279"/>
      <c r="UUP29" s="279"/>
      <c r="UUQ29" s="279"/>
      <c r="UUR29" s="279"/>
      <c r="UUS29" s="279"/>
      <c r="UUT29" s="279"/>
      <c r="UUU29" s="279"/>
      <c r="UUV29" s="279"/>
      <c r="UUW29" s="279"/>
      <c r="UUX29" s="279"/>
      <c r="UUY29" s="279"/>
      <c r="UUZ29" s="279"/>
      <c r="UVA29" s="279"/>
      <c r="UVB29" s="279"/>
      <c r="UVC29" s="279"/>
      <c r="UVD29" s="279"/>
      <c r="UVE29" s="279"/>
      <c r="UVF29" s="279"/>
      <c r="UVG29" s="279"/>
      <c r="UVH29" s="279"/>
      <c r="UVI29" s="279"/>
      <c r="UVJ29" s="279"/>
      <c r="UVK29" s="279"/>
      <c r="UVL29" s="279"/>
      <c r="UVM29" s="279"/>
      <c r="UVN29" s="279"/>
      <c r="UVO29" s="279"/>
      <c r="UVP29" s="279"/>
      <c r="UVQ29" s="279"/>
      <c r="UVR29" s="279"/>
      <c r="UVS29" s="279"/>
      <c r="UVT29" s="279"/>
      <c r="UVU29" s="279"/>
      <c r="UVV29" s="279"/>
      <c r="UVW29" s="279"/>
      <c r="UVX29" s="279"/>
      <c r="UVY29" s="279"/>
      <c r="UVZ29" s="279"/>
      <c r="UWA29" s="279"/>
      <c r="UWB29" s="279"/>
      <c r="UWC29" s="279"/>
      <c r="UWD29" s="279"/>
      <c r="UWE29" s="279"/>
      <c r="UWF29" s="279"/>
      <c r="UWG29" s="279"/>
      <c r="UWH29" s="279"/>
      <c r="UWI29" s="279"/>
      <c r="UWJ29" s="279"/>
      <c r="UWK29" s="279"/>
      <c r="UWL29" s="279"/>
      <c r="UWM29" s="279"/>
      <c r="UWN29" s="279"/>
      <c r="UWO29" s="279"/>
      <c r="UWP29" s="279"/>
      <c r="UWQ29" s="279"/>
      <c r="UWR29" s="279"/>
      <c r="UWS29" s="279"/>
      <c r="UWT29" s="279"/>
      <c r="UWU29" s="279"/>
      <c r="UWV29" s="279"/>
      <c r="UWW29" s="279"/>
      <c r="UWX29" s="279"/>
      <c r="UWY29" s="279"/>
      <c r="UWZ29" s="279"/>
      <c r="UXA29" s="279"/>
      <c r="UXB29" s="279"/>
      <c r="UXC29" s="279"/>
      <c r="UXD29" s="279"/>
      <c r="UXE29" s="279"/>
      <c r="UXF29" s="279"/>
      <c r="UXG29" s="279"/>
      <c r="UXH29" s="279"/>
      <c r="UXI29" s="279"/>
      <c r="UXJ29" s="279"/>
      <c r="UXK29" s="279"/>
      <c r="UXL29" s="279"/>
      <c r="UXM29" s="279"/>
      <c r="UXN29" s="279"/>
      <c r="UXO29" s="279"/>
      <c r="UXP29" s="279"/>
      <c r="UXQ29" s="279"/>
      <c r="UXR29" s="279"/>
      <c r="UXS29" s="279"/>
      <c r="UXT29" s="279"/>
      <c r="UXU29" s="279"/>
      <c r="UXV29" s="279"/>
      <c r="UXW29" s="279"/>
      <c r="UXX29" s="279"/>
      <c r="UXY29" s="279"/>
      <c r="UXZ29" s="279"/>
      <c r="UYA29" s="279"/>
      <c r="UYB29" s="279"/>
      <c r="UYC29" s="279"/>
      <c r="UYD29" s="279"/>
      <c r="UYE29" s="279"/>
      <c r="UYF29" s="279"/>
      <c r="UYG29" s="279"/>
      <c r="UYH29" s="279"/>
      <c r="UYI29" s="279"/>
      <c r="UYJ29" s="279"/>
      <c r="UYK29" s="279"/>
      <c r="UYL29" s="279"/>
      <c r="UYM29" s="279"/>
      <c r="UYN29" s="279"/>
      <c r="UYO29" s="279"/>
      <c r="UYP29" s="279"/>
      <c r="UYQ29" s="279"/>
      <c r="UYR29" s="279"/>
      <c r="UYS29" s="279"/>
      <c r="UYT29" s="279"/>
      <c r="UYU29" s="279"/>
      <c r="UYV29" s="279"/>
      <c r="UYW29" s="279"/>
      <c r="UYX29" s="279"/>
      <c r="UYY29" s="279"/>
      <c r="UYZ29" s="279"/>
      <c r="UZA29" s="279"/>
      <c r="UZB29" s="279"/>
      <c r="UZC29" s="279"/>
      <c r="UZD29" s="279"/>
      <c r="UZE29" s="279"/>
      <c r="UZF29" s="279"/>
      <c r="UZG29" s="279"/>
      <c r="UZH29" s="279"/>
      <c r="UZI29" s="279"/>
      <c r="UZJ29" s="279"/>
      <c r="UZK29" s="279"/>
      <c r="UZL29" s="279"/>
      <c r="UZM29" s="279"/>
      <c r="UZN29" s="279"/>
      <c r="UZO29" s="279"/>
      <c r="UZP29" s="279"/>
      <c r="UZQ29" s="279"/>
      <c r="UZR29" s="279"/>
      <c r="UZS29" s="279"/>
      <c r="UZT29" s="279"/>
      <c r="UZU29" s="279"/>
      <c r="UZV29" s="279"/>
      <c r="UZW29" s="279"/>
      <c r="UZX29" s="279"/>
      <c r="UZY29" s="279"/>
      <c r="UZZ29" s="279"/>
      <c r="VAA29" s="279"/>
      <c r="VAB29" s="279"/>
      <c r="VAC29" s="279"/>
      <c r="VAD29" s="279"/>
      <c r="VAE29" s="279"/>
      <c r="VAF29" s="279"/>
      <c r="VAG29" s="279"/>
      <c r="VAH29" s="279"/>
      <c r="VAI29" s="279"/>
      <c r="VAJ29" s="279"/>
      <c r="VAK29" s="279"/>
      <c r="VAL29" s="279"/>
      <c r="VAM29" s="279"/>
      <c r="VAN29" s="279"/>
      <c r="VAO29" s="279"/>
      <c r="VAP29" s="279"/>
      <c r="VAQ29" s="279"/>
      <c r="VAR29" s="279"/>
      <c r="VAS29" s="279"/>
      <c r="VAT29" s="279"/>
      <c r="VAU29" s="279"/>
      <c r="VAV29" s="279"/>
      <c r="VAW29" s="279"/>
      <c r="VAX29" s="279"/>
      <c r="VAY29" s="279"/>
      <c r="VAZ29" s="279"/>
      <c r="VBA29" s="279"/>
      <c r="VBB29" s="279"/>
      <c r="VBC29" s="279"/>
      <c r="VBD29" s="279"/>
      <c r="VBE29" s="279"/>
      <c r="VBF29" s="279"/>
      <c r="VBG29" s="279"/>
      <c r="VBH29" s="279"/>
      <c r="VBI29" s="279"/>
      <c r="VBJ29" s="279"/>
      <c r="VBK29" s="279"/>
      <c r="VBL29" s="279"/>
      <c r="VBM29" s="279"/>
      <c r="VBN29" s="279"/>
      <c r="VBO29" s="279"/>
      <c r="VBP29" s="279"/>
      <c r="VBQ29" s="279"/>
      <c r="VBR29" s="279"/>
      <c r="VBS29" s="279"/>
      <c r="VBT29" s="279"/>
      <c r="VBU29" s="279"/>
      <c r="VBV29" s="279"/>
      <c r="VBW29" s="279"/>
      <c r="VBX29" s="279"/>
      <c r="VBY29" s="279"/>
      <c r="VBZ29" s="279"/>
      <c r="VCA29" s="279"/>
      <c r="VCB29" s="279"/>
      <c r="VCC29" s="279"/>
      <c r="VCD29" s="279"/>
      <c r="VCE29" s="279"/>
      <c r="VCF29" s="279"/>
      <c r="VCG29" s="279"/>
      <c r="VCH29" s="279"/>
      <c r="VCI29" s="279"/>
      <c r="VCJ29" s="279"/>
      <c r="VCK29" s="279"/>
      <c r="VCL29" s="279"/>
      <c r="VCM29" s="279"/>
      <c r="VCN29" s="279"/>
      <c r="VCO29" s="279"/>
      <c r="VCP29" s="279"/>
      <c r="VCQ29" s="279"/>
      <c r="VCR29" s="279"/>
      <c r="VCS29" s="279"/>
      <c r="VCT29" s="279"/>
      <c r="VCU29" s="279"/>
      <c r="VCV29" s="279"/>
      <c r="VCW29" s="279"/>
      <c r="VCX29" s="279"/>
      <c r="VCY29" s="279"/>
      <c r="VCZ29" s="279"/>
      <c r="VDA29" s="279"/>
      <c r="VDB29" s="279"/>
      <c r="VDC29" s="279"/>
      <c r="VDD29" s="279"/>
      <c r="VDE29" s="279"/>
      <c r="VDF29" s="279"/>
      <c r="VDG29" s="279"/>
      <c r="VDH29" s="279"/>
      <c r="VDI29" s="279"/>
      <c r="VDJ29" s="279"/>
      <c r="VDK29" s="279"/>
      <c r="VDL29" s="279"/>
      <c r="VDM29" s="279"/>
      <c r="VDN29" s="279"/>
      <c r="VDO29" s="279"/>
      <c r="VDP29" s="279"/>
      <c r="VDQ29" s="279"/>
      <c r="VDR29" s="279"/>
      <c r="VDS29" s="279"/>
      <c r="VDT29" s="279"/>
      <c r="VDU29" s="279"/>
      <c r="VDV29" s="279"/>
      <c r="VDW29" s="279"/>
      <c r="VDX29" s="279"/>
      <c r="VDY29" s="279"/>
      <c r="VDZ29" s="279"/>
      <c r="VEA29" s="279"/>
      <c r="VEB29" s="279"/>
      <c r="VEC29" s="279"/>
      <c r="VED29" s="279"/>
      <c r="VEE29" s="279"/>
      <c r="VEF29" s="279"/>
      <c r="VEG29" s="279"/>
      <c r="VEH29" s="279"/>
      <c r="VEI29" s="279"/>
      <c r="VEJ29" s="279"/>
      <c r="VEK29" s="279"/>
      <c r="VEL29" s="279"/>
      <c r="VEM29" s="279"/>
      <c r="VEN29" s="279"/>
      <c r="VEO29" s="279"/>
      <c r="VEP29" s="279"/>
      <c r="VEQ29" s="279"/>
      <c r="VER29" s="279"/>
      <c r="VES29" s="279"/>
      <c r="VET29" s="279"/>
      <c r="VEU29" s="279"/>
      <c r="VEV29" s="279"/>
      <c r="VEW29" s="279"/>
      <c r="VEX29" s="279"/>
      <c r="VEY29" s="279"/>
      <c r="VEZ29" s="279"/>
      <c r="VFA29" s="279"/>
      <c r="VFB29" s="279"/>
      <c r="VFC29" s="279"/>
      <c r="VFD29" s="279"/>
      <c r="VFE29" s="279"/>
      <c r="VFF29" s="279"/>
      <c r="VFG29" s="279"/>
      <c r="VFH29" s="279"/>
      <c r="VFI29" s="279"/>
      <c r="VFJ29" s="279"/>
      <c r="VFK29" s="279"/>
      <c r="VFL29" s="279"/>
      <c r="VFM29" s="279"/>
      <c r="VFN29" s="279"/>
      <c r="VFO29" s="279"/>
      <c r="VFP29" s="279"/>
      <c r="VFQ29" s="279"/>
      <c r="VFR29" s="279"/>
      <c r="VFS29" s="279"/>
      <c r="VFT29" s="279"/>
      <c r="VFU29" s="279"/>
      <c r="VFV29" s="279"/>
      <c r="VFW29" s="279"/>
      <c r="VFX29" s="279"/>
      <c r="VFY29" s="279"/>
      <c r="VFZ29" s="279"/>
      <c r="VGA29" s="279"/>
      <c r="VGB29" s="279"/>
      <c r="VGC29" s="279"/>
      <c r="VGD29" s="279"/>
      <c r="VGE29" s="279"/>
      <c r="VGF29" s="279"/>
      <c r="VGG29" s="279"/>
      <c r="VGH29" s="279"/>
      <c r="VGI29" s="279"/>
      <c r="VGJ29" s="279"/>
      <c r="VGK29" s="279"/>
      <c r="VGL29" s="279"/>
      <c r="VGM29" s="279"/>
      <c r="VGN29" s="279"/>
      <c r="VGO29" s="279"/>
      <c r="VGP29" s="279"/>
      <c r="VGQ29" s="279"/>
      <c r="VGR29" s="279"/>
      <c r="VGS29" s="279"/>
      <c r="VGT29" s="279"/>
      <c r="VGU29" s="279"/>
      <c r="VGV29" s="279"/>
      <c r="VGW29" s="279"/>
      <c r="VGX29" s="279"/>
      <c r="VGY29" s="279"/>
      <c r="VGZ29" s="279"/>
      <c r="VHA29" s="279"/>
      <c r="VHB29" s="279"/>
      <c r="VHC29" s="279"/>
      <c r="VHD29" s="279"/>
      <c r="VHE29" s="279"/>
      <c r="VHF29" s="279"/>
      <c r="VHG29" s="279"/>
      <c r="VHH29" s="279"/>
      <c r="VHI29" s="279"/>
      <c r="VHJ29" s="279"/>
      <c r="VHK29" s="279"/>
      <c r="VHL29" s="279"/>
      <c r="VHM29" s="279"/>
      <c r="VHN29" s="279"/>
      <c r="VHO29" s="279"/>
      <c r="VHP29" s="279"/>
      <c r="VHQ29" s="279"/>
      <c r="VHR29" s="279"/>
      <c r="VHS29" s="279"/>
      <c r="VHT29" s="279"/>
      <c r="VHU29" s="279"/>
      <c r="VHV29" s="279"/>
      <c r="VHW29" s="279"/>
      <c r="VHX29" s="279"/>
      <c r="VHY29" s="279"/>
      <c r="VHZ29" s="279"/>
      <c r="VIA29" s="279"/>
      <c r="VIB29" s="279"/>
      <c r="VIC29" s="279"/>
      <c r="VID29" s="279"/>
      <c r="VIE29" s="279"/>
      <c r="VIF29" s="279"/>
      <c r="VIG29" s="279"/>
      <c r="VIH29" s="279"/>
      <c r="VII29" s="279"/>
      <c r="VIJ29" s="279"/>
      <c r="VIK29" s="279"/>
      <c r="VIL29" s="279"/>
      <c r="VIM29" s="279"/>
      <c r="VIN29" s="279"/>
      <c r="VIO29" s="279"/>
      <c r="VIP29" s="279"/>
      <c r="VIQ29" s="279"/>
      <c r="VIR29" s="279"/>
      <c r="VIS29" s="279"/>
      <c r="VIT29" s="279"/>
      <c r="VIU29" s="279"/>
      <c r="VIV29" s="279"/>
      <c r="VIW29" s="279"/>
      <c r="VIX29" s="279"/>
      <c r="VIY29" s="279"/>
      <c r="VIZ29" s="279"/>
      <c r="VJA29" s="279"/>
      <c r="VJB29" s="279"/>
      <c r="VJC29" s="279"/>
      <c r="VJD29" s="279"/>
      <c r="VJE29" s="279"/>
      <c r="VJF29" s="279"/>
      <c r="VJG29" s="279"/>
      <c r="VJH29" s="279"/>
      <c r="VJI29" s="279"/>
      <c r="VJJ29" s="279"/>
      <c r="VJK29" s="279"/>
      <c r="VJL29" s="279"/>
      <c r="VJM29" s="279"/>
      <c r="VJN29" s="279"/>
      <c r="VJO29" s="279"/>
      <c r="VJP29" s="279"/>
      <c r="VJQ29" s="279"/>
      <c r="VJR29" s="279"/>
      <c r="VJS29" s="279"/>
      <c r="VJT29" s="279"/>
      <c r="VJU29" s="279"/>
      <c r="VJV29" s="279"/>
      <c r="VJW29" s="279"/>
      <c r="VJX29" s="279"/>
      <c r="VJY29" s="279"/>
      <c r="VJZ29" s="279"/>
      <c r="VKA29" s="279"/>
      <c r="VKB29" s="279"/>
      <c r="VKC29" s="279"/>
      <c r="VKD29" s="279"/>
      <c r="VKE29" s="279"/>
      <c r="VKF29" s="279"/>
      <c r="VKG29" s="279"/>
      <c r="VKH29" s="279"/>
      <c r="VKI29" s="279"/>
      <c r="VKJ29" s="279"/>
      <c r="VKK29" s="279"/>
      <c r="VKL29" s="279"/>
      <c r="VKM29" s="279"/>
      <c r="VKN29" s="279"/>
      <c r="VKO29" s="279"/>
      <c r="VKP29" s="279"/>
      <c r="VKQ29" s="279"/>
      <c r="VKR29" s="279"/>
      <c r="VKS29" s="279"/>
      <c r="VKT29" s="279"/>
      <c r="VKU29" s="279"/>
      <c r="VKV29" s="279"/>
      <c r="VKW29" s="279"/>
      <c r="VKX29" s="279"/>
      <c r="VKY29" s="279"/>
      <c r="VKZ29" s="279"/>
      <c r="VLA29" s="279"/>
      <c r="VLB29" s="279"/>
      <c r="VLC29" s="279"/>
      <c r="VLD29" s="279"/>
      <c r="VLE29" s="279"/>
      <c r="VLF29" s="279"/>
      <c r="VLG29" s="279"/>
      <c r="VLH29" s="279"/>
      <c r="VLI29" s="279"/>
      <c r="VLJ29" s="279"/>
      <c r="VLK29" s="279"/>
      <c r="VLL29" s="279"/>
      <c r="VLM29" s="279"/>
      <c r="VLN29" s="279"/>
      <c r="VLO29" s="279"/>
      <c r="VLP29" s="279"/>
      <c r="VLQ29" s="279"/>
      <c r="VLR29" s="279"/>
      <c r="VLS29" s="279"/>
      <c r="VLT29" s="279"/>
      <c r="VLU29" s="279"/>
      <c r="VLV29" s="279"/>
      <c r="VLW29" s="279"/>
      <c r="VLX29" s="279"/>
      <c r="VLY29" s="279"/>
      <c r="VLZ29" s="279"/>
      <c r="VMA29" s="279"/>
      <c r="VMB29" s="279"/>
      <c r="VMC29" s="279"/>
      <c r="VMD29" s="279"/>
      <c r="VME29" s="279"/>
      <c r="VMF29" s="279"/>
      <c r="VMG29" s="279"/>
      <c r="VMH29" s="279"/>
      <c r="VMI29" s="279"/>
      <c r="VMJ29" s="279"/>
      <c r="VMK29" s="279"/>
      <c r="VML29" s="279"/>
      <c r="VMM29" s="279"/>
      <c r="VMN29" s="279"/>
      <c r="VMO29" s="279"/>
      <c r="VMP29" s="279"/>
      <c r="VMQ29" s="279"/>
      <c r="VMR29" s="279"/>
      <c r="VMS29" s="279"/>
      <c r="VMT29" s="279"/>
      <c r="VMU29" s="279"/>
      <c r="VMV29" s="279"/>
      <c r="VMW29" s="279"/>
      <c r="VMX29" s="279"/>
      <c r="VMY29" s="279"/>
      <c r="VMZ29" s="279"/>
      <c r="VNA29" s="279"/>
      <c r="VNB29" s="279"/>
      <c r="VNC29" s="279"/>
      <c r="VND29" s="279"/>
      <c r="VNE29" s="279"/>
      <c r="VNF29" s="279"/>
      <c r="VNG29" s="279"/>
      <c r="VNH29" s="279"/>
      <c r="VNI29" s="279"/>
      <c r="VNJ29" s="279"/>
      <c r="VNK29" s="279"/>
      <c r="VNL29" s="279"/>
      <c r="VNM29" s="279"/>
      <c r="VNN29" s="279"/>
      <c r="VNO29" s="279"/>
      <c r="VNP29" s="279"/>
      <c r="VNQ29" s="279"/>
      <c r="VNR29" s="279"/>
      <c r="VNS29" s="279"/>
      <c r="VNT29" s="279"/>
      <c r="VNU29" s="279"/>
      <c r="VNV29" s="279"/>
      <c r="VNW29" s="279"/>
      <c r="VNX29" s="279"/>
      <c r="VNY29" s="279"/>
      <c r="VNZ29" s="279"/>
      <c r="VOA29" s="279"/>
      <c r="VOB29" s="279"/>
      <c r="VOC29" s="279"/>
      <c r="VOD29" s="279"/>
      <c r="VOE29" s="279"/>
      <c r="VOF29" s="279"/>
      <c r="VOG29" s="279"/>
      <c r="VOH29" s="279"/>
      <c r="VOI29" s="279"/>
      <c r="VOJ29" s="279"/>
      <c r="VOK29" s="279"/>
      <c r="VOL29" s="279"/>
      <c r="VOM29" s="279"/>
      <c r="VON29" s="279"/>
      <c r="VOO29" s="279"/>
      <c r="VOP29" s="279"/>
      <c r="VOQ29" s="279"/>
      <c r="VOR29" s="279"/>
      <c r="VOS29" s="279"/>
      <c r="VOT29" s="279"/>
      <c r="VOU29" s="279"/>
      <c r="VOV29" s="279"/>
      <c r="VOW29" s="279"/>
      <c r="VOX29" s="279"/>
      <c r="VOY29" s="279"/>
      <c r="VOZ29" s="279"/>
      <c r="VPA29" s="279"/>
      <c r="VPB29" s="279"/>
      <c r="VPC29" s="279"/>
      <c r="VPD29" s="279"/>
      <c r="VPE29" s="279"/>
      <c r="VPF29" s="279"/>
      <c r="VPG29" s="279"/>
      <c r="VPH29" s="279"/>
      <c r="VPI29" s="279"/>
      <c r="VPJ29" s="279"/>
      <c r="VPK29" s="279"/>
      <c r="VPL29" s="279"/>
      <c r="VPM29" s="279"/>
      <c r="VPN29" s="279"/>
      <c r="VPO29" s="279"/>
      <c r="VPP29" s="279"/>
      <c r="VPQ29" s="279"/>
      <c r="VPR29" s="279"/>
      <c r="VPS29" s="279"/>
      <c r="VPT29" s="279"/>
      <c r="VPU29" s="279"/>
      <c r="VPV29" s="279"/>
      <c r="VPW29" s="279"/>
      <c r="VPX29" s="279"/>
      <c r="VPY29" s="279"/>
      <c r="VPZ29" s="279"/>
      <c r="VQA29" s="279"/>
      <c r="VQB29" s="279"/>
      <c r="VQC29" s="279"/>
      <c r="VQD29" s="279"/>
      <c r="VQE29" s="279"/>
      <c r="VQF29" s="279"/>
      <c r="VQG29" s="279"/>
      <c r="VQH29" s="279"/>
      <c r="VQI29" s="279"/>
      <c r="VQJ29" s="279"/>
      <c r="VQK29" s="279"/>
      <c r="VQL29" s="279"/>
      <c r="VQM29" s="279"/>
      <c r="VQN29" s="279"/>
      <c r="VQO29" s="279"/>
      <c r="VQP29" s="279"/>
      <c r="VQQ29" s="279"/>
      <c r="VQR29" s="279"/>
      <c r="VQS29" s="279"/>
      <c r="VQT29" s="279"/>
      <c r="VQU29" s="279"/>
      <c r="VQV29" s="279"/>
      <c r="VQW29" s="279"/>
      <c r="VQX29" s="279"/>
      <c r="VQY29" s="279"/>
      <c r="VQZ29" s="279"/>
      <c r="VRA29" s="279"/>
      <c r="VRB29" s="279"/>
      <c r="VRC29" s="279"/>
      <c r="VRD29" s="279"/>
      <c r="VRE29" s="279"/>
      <c r="VRF29" s="279"/>
      <c r="VRG29" s="279"/>
      <c r="VRH29" s="279"/>
      <c r="VRI29" s="279"/>
      <c r="VRJ29" s="279"/>
      <c r="VRK29" s="279"/>
      <c r="VRL29" s="279"/>
      <c r="VRM29" s="279"/>
      <c r="VRN29" s="279"/>
      <c r="VRO29" s="279"/>
      <c r="VRP29" s="279"/>
      <c r="VRQ29" s="279"/>
      <c r="VRR29" s="279"/>
      <c r="VRS29" s="279"/>
      <c r="VRT29" s="279"/>
      <c r="VRU29" s="279"/>
      <c r="VRV29" s="279"/>
      <c r="VRW29" s="279"/>
      <c r="VRX29" s="279"/>
      <c r="VRY29" s="279"/>
      <c r="VRZ29" s="279"/>
      <c r="VSA29" s="279"/>
      <c r="VSB29" s="279"/>
      <c r="VSC29" s="279"/>
      <c r="VSD29" s="279"/>
      <c r="VSE29" s="279"/>
      <c r="VSF29" s="279"/>
      <c r="VSG29" s="279"/>
      <c r="VSH29" s="279"/>
      <c r="VSI29" s="279"/>
      <c r="VSJ29" s="279"/>
      <c r="VSK29" s="279"/>
      <c r="VSL29" s="279"/>
      <c r="VSM29" s="279"/>
      <c r="VSN29" s="279"/>
      <c r="VSO29" s="279"/>
      <c r="VSP29" s="279"/>
      <c r="VSQ29" s="279"/>
      <c r="VSR29" s="279"/>
      <c r="VSS29" s="279"/>
      <c r="VST29" s="279"/>
      <c r="VSU29" s="279"/>
      <c r="VSV29" s="279"/>
      <c r="VSW29" s="279"/>
      <c r="VSX29" s="279"/>
      <c r="VSY29" s="279"/>
      <c r="VSZ29" s="279"/>
      <c r="VTA29" s="279"/>
      <c r="VTB29" s="279"/>
      <c r="VTC29" s="279"/>
      <c r="VTD29" s="279"/>
      <c r="VTE29" s="279"/>
      <c r="VTF29" s="279"/>
      <c r="VTG29" s="279"/>
      <c r="VTH29" s="279"/>
      <c r="VTI29" s="279"/>
      <c r="VTJ29" s="279"/>
      <c r="VTK29" s="279"/>
      <c r="VTL29" s="279"/>
      <c r="VTM29" s="279"/>
      <c r="VTN29" s="279"/>
      <c r="VTO29" s="279"/>
      <c r="VTP29" s="279"/>
      <c r="VTQ29" s="279"/>
      <c r="VTR29" s="279"/>
      <c r="VTS29" s="279"/>
      <c r="VTT29" s="279"/>
      <c r="VTU29" s="279"/>
      <c r="VTV29" s="279"/>
      <c r="VTW29" s="279"/>
      <c r="VTX29" s="279"/>
      <c r="VTY29" s="279"/>
      <c r="VTZ29" s="279"/>
      <c r="VUA29" s="279"/>
      <c r="VUB29" s="279"/>
      <c r="VUC29" s="279"/>
      <c r="VUD29" s="279"/>
      <c r="VUE29" s="279"/>
      <c r="VUF29" s="279"/>
      <c r="VUG29" s="279"/>
      <c r="VUH29" s="279"/>
      <c r="VUI29" s="279"/>
      <c r="VUJ29" s="279"/>
      <c r="VUK29" s="279"/>
      <c r="VUL29" s="279"/>
      <c r="VUM29" s="279"/>
      <c r="VUN29" s="279"/>
      <c r="VUO29" s="279"/>
      <c r="VUP29" s="279"/>
      <c r="VUQ29" s="279"/>
      <c r="VUR29" s="279"/>
      <c r="VUS29" s="279"/>
      <c r="VUT29" s="279"/>
      <c r="VUU29" s="279"/>
      <c r="VUV29" s="279"/>
      <c r="VUW29" s="279"/>
      <c r="VUX29" s="279"/>
      <c r="VUY29" s="279"/>
      <c r="VUZ29" s="279"/>
      <c r="VVA29" s="279"/>
      <c r="VVB29" s="279"/>
      <c r="VVC29" s="279"/>
      <c r="VVD29" s="279"/>
      <c r="VVE29" s="279"/>
      <c r="VVF29" s="279"/>
      <c r="VVG29" s="279"/>
      <c r="VVH29" s="279"/>
      <c r="VVI29" s="279"/>
      <c r="VVJ29" s="279"/>
      <c r="VVK29" s="279"/>
      <c r="VVL29" s="279"/>
      <c r="VVM29" s="279"/>
      <c r="VVN29" s="279"/>
      <c r="VVO29" s="279"/>
      <c r="VVP29" s="279"/>
      <c r="VVQ29" s="279"/>
      <c r="VVR29" s="279"/>
      <c r="VVS29" s="279"/>
      <c r="VVT29" s="279"/>
      <c r="VVU29" s="279"/>
      <c r="VVV29" s="279"/>
      <c r="VVW29" s="279"/>
      <c r="VVX29" s="279"/>
      <c r="VVY29" s="279"/>
      <c r="VVZ29" s="279"/>
      <c r="VWA29" s="279"/>
      <c r="VWB29" s="279"/>
      <c r="VWC29" s="279"/>
      <c r="VWD29" s="279"/>
      <c r="VWE29" s="279"/>
      <c r="VWF29" s="279"/>
      <c r="VWG29" s="279"/>
      <c r="VWH29" s="279"/>
      <c r="VWI29" s="279"/>
      <c r="VWJ29" s="279"/>
      <c r="VWK29" s="279"/>
      <c r="VWL29" s="279"/>
      <c r="VWM29" s="279"/>
      <c r="VWN29" s="279"/>
      <c r="VWO29" s="279"/>
      <c r="VWP29" s="279"/>
      <c r="VWQ29" s="279"/>
      <c r="VWR29" s="279"/>
      <c r="VWS29" s="279"/>
      <c r="VWT29" s="279"/>
      <c r="VWU29" s="279"/>
      <c r="VWV29" s="279"/>
      <c r="VWW29" s="279"/>
      <c r="VWX29" s="279"/>
      <c r="VWY29" s="279"/>
      <c r="VWZ29" s="279"/>
      <c r="VXA29" s="279"/>
      <c r="VXB29" s="279"/>
      <c r="VXC29" s="279"/>
      <c r="VXD29" s="279"/>
      <c r="VXE29" s="279"/>
      <c r="VXF29" s="279"/>
      <c r="VXG29" s="279"/>
      <c r="VXH29" s="279"/>
      <c r="VXI29" s="279"/>
      <c r="VXJ29" s="279"/>
      <c r="VXK29" s="279"/>
      <c r="VXL29" s="279"/>
      <c r="VXM29" s="279"/>
      <c r="VXN29" s="279"/>
      <c r="VXO29" s="279"/>
      <c r="VXP29" s="279"/>
      <c r="VXQ29" s="279"/>
      <c r="VXR29" s="279"/>
      <c r="VXS29" s="279"/>
      <c r="VXT29" s="279"/>
      <c r="VXU29" s="279"/>
      <c r="VXV29" s="279"/>
      <c r="VXW29" s="279"/>
      <c r="VXX29" s="279"/>
      <c r="VXY29" s="279"/>
      <c r="VXZ29" s="279"/>
      <c r="VYA29" s="279"/>
      <c r="VYB29" s="279"/>
      <c r="VYC29" s="279"/>
      <c r="VYD29" s="279"/>
      <c r="VYE29" s="279"/>
      <c r="VYF29" s="279"/>
      <c r="VYG29" s="279"/>
      <c r="VYH29" s="279"/>
      <c r="VYI29" s="279"/>
      <c r="VYJ29" s="279"/>
      <c r="VYK29" s="279"/>
      <c r="VYL29" s="279"/>
      <c r="VYM29" s="279"/>
      <c r="VYN29" s="279"/>
      <c r="VYO29" s="279"/>
      <c r="VYP29" s="279"/>
      <c r="VYQ29" s="279"/>
      <c r="VYR29" s="279"/>
      <c r="VYS29" s="279"/>
      <c r="VYT29" s="279"/>
      <c r="VYU29" s="279"/>
      <c r="VYV29" s="279"/>
      <c r="VYW29" s="279"/>
      <c r="VYX29" s="279"/>
      <c r="VYY29" s="279"/>
      <c r="VYZ29" s="279"/>
      <c r="VZA29" s="279"/>
      <c r="VZB29" s="279"/>
      <c r="VZC29" s="279"/>
      <c r="VZD29" s="279"/>
      <c r="VZE29" s="279"/>
      <c r="VZF29" s="279"/>
      <c r="VZG29" s="279"/>
      <c r="VZH29" s="279"/>
      <c r="VZI29" s="279"/>
      <c r="VZJ29" s="279"/>
      <c r="VZK29" s="279"/>
      <c r="VZL29" s="279"/>
      <c r="VZM29" s="279"/>
      <c r="VZN29" s="279"/>
      <c r="VZO29" s="279"/>
      <c r="VZP29" s="279"/>
      <c r="VZQ29" s="279"/>
      <c r="VZR29" s="279"/>
      <c r="VZS29" s="279"/>
      <c r="VZT29" s="279"/>
      <c r="VZU29" s="279"/>
      <c r="VZV29" s="279"/>
      <c r="VZW29" s="279"/>
      <c r="VZX29" s="279"/>
      <c r="VZY29" s="279"/>
      <c r="VZZ29" s="279"/>
      <c r="WAA29" s="279"/>
      <c r="WAB29" s="279"/>
      <c r="WAC29" s="279"/>
      <c r="WAD29" s="279"/>
      <c r="WAE29" s="279"/>
      <c r="WAF29" s="279"/>
      <c r="WAG29" s="279"/>
      <c r="WAH29" s="279"/>
      <c r="WAI29" s="279"/>
      <c r="WAJ29" s="279"/>
      <c r="WAK29" s="279"/>
      <c r="WAL29" s="279"/>
      <c r="WAM29" s="279"/>
      <c r="WAN29" s="279"/>
      <c r="WAO29" s="279"/>
      <c r="WAP29" s="279"/>
      <c r="WAQ29" s="279"/>
      <c r="WAR29" s="279"/>
      <c r="WAS29" s="279"/>
      <c r="WAT29" s="279"/>
      <c r="WAU29" s="279"/>
      <c r="WAV29" s="279"/>
      <c r="WAW29" s="279"/>
      <c r="WAX29" s="279"/>
      <c r="WAY29" s="279"/>
      <c r="WAZ29" s="279"/>
      <c r="WBA29" s="279"/>
      <c r="WBB29" s="279"/>
      <c r="WBC29" s="279"/>
      <c r="WBD29" s="279"/>
      <c r="WBE29" s="279"/>
      <c r="WBF29" s="279"/>
      <c r="WBG29" s="279"/>
      <c r="WBH29" s="279"/>
      <c r="WBI29" s="279"/>
      <c r="WBJ29" s="279"/>
      <c r="WBK29" s="279"/>
      <c r="WBL29" s="279"/>
      <c r="WBM29" s="279"/>
      <c r="WBN29" s="279"/>
      <c r="WBO29" s="279"/>
      <c r="WBP29" s="279"/>
      <c r="WBQ29" s="279"/>
      <c r="WBR29" s="279"/>
      <c r="WBS29" s="279"/>
      <c r="WBT29" s="279"/>
      <c r="WBU29" s="279"/>
      <c r="WBV29" s="279"/>
      <c r="WBW29" s="279"/>
      <c r="WBX29" s="279"/>
      <c r="WBY29" s="279"/>
      <c r="WBZ29" s="279"/>
      <c r="WCA29" s="279"/>
      <c r="WCB29" s="279"/>
      <c r="WCC29" s="279"/>
      <c r="WCD29" s="279"/>
      <c r="WCE29" s="279"/>
      <c r="WCF29" s="279"/>
      <c r="WCG29" s="279"/>
      <c r="WCH29" s="279"/>
      <c r="WCI29" s="279"/>
      <c r="WCJ29" s="279"/>
      <c r="WCK29" s="279"/>
      <c r="WCL29" s="279"/>
      <c r="WCM29" s="279"/>
      <c r="WCN29" s="279"/>
      <c r="WCO29" s="279"/>
      <c r="WCP29" s="279"/>
      <c r="WCQ29" s="279"/>
      <c r="WCR29" s="279"/>
      <c r="WCS29" s="279"/>
      <c r="WCT29" s="279"/>
      <c r="WCU29" s="279"/>
      <c r="WCV29" s="279"/>
      <c r="WCW29" s="279"/>
      <c r="WCX29" s="279"/>
      <c r="WCY29" s="279"/>
      <c r="WCZ29" s="279"/>
      <c r="WDA29" s="279"/>
      <c r="WDB29" s="279"/>
      <c r="WDC29" s="279"/>
      <c r="WDD29" s="279"/>
      <c r="WDE29" s="279"/>
      <c r="WDF29" s="279"/>
      <c r="WDG29" s="279"/>
      <c r="WDH29" s="279"/>
      <c r="WDI29" s="279"/>
      <c r="WDJ29" s="279"/>
      <c r="WDK29" s="279"/>
      <c r="WDL29" s="279"/>
      <c r="WDM29" s="279"/>
      <c r="WDN29" s="279"/>
      <c r="WDO29" s="279"/>
      <c r="WDP29" s="279"/>
      <c r="WDQ29" s="279"/>
      <c r="WDR29" s="279"/>
      <c r="WDS29" s="279"/>
      <c r="WDT29" s="279"/>
      <c r="WDU29" s="279"/>
      <c r="WDV29" s="279"/>
      <c r="WDW29" s="279"/>
      <c r="WDX29" s="279"/>
      <c r="WDY29" s="279"/>
      <c r="WDZ29" s="279"/>
      <c r="WEA29" s="279"/>
      <c r="WEB29" s="279"/>
      <c r="WEC29" s="279"/>
      <c r="WED29" s="279"/>
      <c r="WEE29" s="279"/>
      <c r="WEF29" s="279"/>
      <c r="WEG29" s="279"/>
      <c r="WEH29" s="279"/>
      <c r="WEI29" s="279"/>
      <c r="WEJ29" s="279"/>
      <c r="WEK29" s="279"/>
      <c r="WEL29" s="279"/>
      <c r="WEM29" s="279"/>
      <c r="WEN29" s="279"/>
      <c r="WEO29" s="279"/>
      <c r="WEP29" s="279"/>
      <c r="WEQ29" s="279"/>
      <c r="WER29" s="279"/>
      <c r="WES29" s="279"/>
      <c r="WET29" s="279"/>
      <c r="WEU29" s="279"/>
      <c r="WEV29" s="279"/>
      <c r="WEW29" s="279"/>
      <c r="WEX29" s="279"/>
      <c r="WEY29" s="279"/>
      <c r="WEZ29" s="279"/>
      <c r="WFA29" s="279"/>
      <c r="WFB29" s="279"/>
      <c r="WFC29" s="279"/>
      <c r="WFD29" s="279"/>
      <c r="WFE29" s="279"/>
      <c r="WFF29" s="279"/>
      <c r="WFG29" s="279"/>
      <c r="WFH29" s="279"/>
      <c r="WFI29" s="279"/>
      <c r="WFJ29" s="279"/>
      <c r="WFK29" s="279"/>
      <c r="WFL29" s="279"/>
      <c r="WFM29" s="279"/>
      <c r="WFN29" s="279"/>
      <c r="WFO29" s="279"/>
      <c r="WFP29" s="279"/>
      <c r="WFQ29" s="279"/>
      <c r="WFR29" s="279"/>
      <c r="WFS29" s="279"/>
      <c r="WFT29" s="279"/>
      <c r="WFU29" s="279"/>
      <c r="WFV29" s="279"/>
      <c r="WFW29" s="279"/>
      <c r="WFX29" s="279"/>
      <c r="WFY29" s="279"/>
      <c r="WFZ29" s="279"/>
      <c r="WGA29" s="279"/>
      <c r="WGB29" s="279"/>
      <c r="WGC29" s="279"/>
      <c r="WGD29" s="279"/>
      <c r="WGE29" s="279"/>
      <c r="WGF29" s="279"/>
      <c r="WGG29" s="279"/>
      <c r="WGH29" s="279"/>
      <c r="WGI29" s="279"/>
      <c r="WGJ29" s="279"/>
      <c r="WGK29" s="279"/>
      <c r="WGL29" s="279"/>
      <c r="WGM29" s="279"/>
      <c r="WGN29" s="279"/>
      <c r="WGO29" s="279"/>
      <c r="WGP29" s="279"/>
      <c r="WGQ29" s="279"/>
      <c r="WGR29" s="279"/>
      <c r="WGS29" s="279"/>
      <c r="WGT29" s="279"/>
      <c r="WGU29" s="279"/>
      <c r="WGV29" s="279"/>
      <c r="WGW29" s="279"/>
      <c r="WGX29" s="279"/>
      <c r="WGY29" s="279"/>
      <c r="WGZ29" s="279"/>
      <c r="WHA29" s="279"/>
      <c r="WHB29" s="279"/>
      <c r="WHC29" s="279"/>
      <c r="WHD29" s="279"/>
      <c r="WHE29" s="279"/>
      <c r="WHF29" s="279"/>
      <c r="WHG29" s="279"/>
      <c r="WHH29" s="279"/>
      <c r="WHI29" s="279"/>
      <c r="WHJ29" s="279"/>
      <c r="WHK29" s="279"/>
      <c r="WHL29" s="279"/>
      <c r="WHM29" s="279"/>
      <c r="WHN29" s="279"/>
      <c r="WHO29" s="279"/>
      <c r="WHP29" s="279"/>
      <c r="WHQ29" s="279"/>
      <c r="WHR29" s="279"/>
      <c r="WHS29" s="279"/>
      <c r="WHT29" s="279"/>
      <c r="WHU29" s="279"/>
      <c r="WHV29" s="279"/>
      <c r="WHW29" s="279"/>
      <c r="WHX29" s="279"/>
      <c r="WHY29" s="279"/>
      <c r="WHZ29" s="279"/>
      <c r="WIA29" s="279"/>
      <c r="WIB29" s="279"/>
      <c r="WIC29" s="279"/>
      <c r="WID29" s="279"/>
      <c r="WIE29" s="279"/>
      <c r="WIF29" s="279"/>
      <c r="WIG29" s="279"/>
      <c r="WIH29" s="279"/>
      <c r="WII29" s="279"/>
      <c r="WIJ29" s="279"/>
      <c r="WIK29" s="279"/>
      <c r="WIL29" s="279"/>
      <c r="WIM29" s="279"/>
      <c r="WIN29" s="279"/>
      <c r="WIO29" s="279"/>
      <c r="WIP29" s="279"/>
      <c r="WIQ29" s="279"/>
      <c r="WIR29" s="279"/>
      <c r="WIS29" s="279"/>
      <c r="WIT29" s="279"/>
      <c r="WIU29" s="279"/>
      <c r="WIV29" s="279"/>
      <c r="WIW29" s="279"/>
      <c r="WIX29" s="279"/>
      <c r="WIY29" s="279"/>
      <c r="WIZ29" s="279"/>
      <c r="WJA29" s="279"/>
      <c r="WJB29" s="279"/>
      <c r="WJC29" s="279"/>
      <c r="WJD29" s="279"/>
      <c r="WJE29" s="279"/>
      <c r="WJF29" s="279"/>
      <c r="WJG29" s="279"/>
      <c r="WJH29" s="279"/>
      <c r="WJI29" s="279"/>
      <c r="WJJ29" s="279"/>
      <c r="WJK29" s="279"/>
      <c r="WJL29" s="279"/>
      <c r="WJM29" s="279"/>
      <c r="WJN29" s="279"/>
      <c r="WJO29" s="279"/>
      <c r="WJP29" s="279"/>
      <c r="WJQ29" s="279"/>
      <c r="WJR29" s="279"/>
      <c r="WJS29" s="279"/>
      <c r="WJT29" s="279"/>
      <c r="WJU29" s="279"/>
      <c r="WJV29" s="279"/>
      <c r="WJW29" s="279"/>
      <c r="WJX29" s="279"/>
      <c r="WJY29" s="279"/>
      <c r="WJZ29" s="279"/>
      <c r="WKA29" s="279"/>
      <c r="WKB29" s="279"/>
      <c r="WKC29" s="279"/>
      <c r="WKD29" s="279"/>
      <c r="WKE29" s="279"/>
      <c r="WKF29" s="279"/>
      <c r="WKG29" s="279"/>
      <c r="WKH29" s="279"/>
      <c r="WKI29" s="279"/>
      <c r="WKJ29" s="279"/>
      <c r="WKK29" s="279"/>
      <c r="WKL29" s="279"/>
      <c r="WKM29" s="279"/>
      <c r="WKN29" s="279"/>
      <c r="WKO29" s="279"/>
      <c r="WKP29" s="279"/>
      <c r="WKQ29" s="279"/>
      <c r="WKR29" s="279"/>
      <c r="WKS29" s="279"/>
      <c r="WKT29" s="279"/>
      <c r="WKU29" s="279"/>
      <c r="WKV29" s="279"/>
      <c r="WKW29" s="279"/>
      <c r="WKX29" s="279"/>
      <c r="WKY29" s="279"/>
      <c r="WKZ29" s="279"/>
      <c r="WLA29" s="279"/>
      <c r="WLB29" s="279"/>
      <c r="WLC29" s="279"/>
      <c r="WLD29" s="279"/>
      <c r="WLE29" s="279"/>
      <c r="WLF29" s="279"/>
      <c r="WLG29" s="279"/>
      <c r="WLH29" s="279"/>
      <c r="WLI29" s="279"/>
      <c r="WLJ29" s="279"/>
      <c r="WLK29" s="279"/>
      <c r="WLL29" s="279"/>
      <c r="WLM29" s="279"/>
      <c r="WLN29" s="279"/>
      <c r="WLO29" s="279"/>
      <c r="WLP29" s="279"/>
      <c r="WLQ29" s="279"/>
      <c r="WLR29" s="279"/>
      <c r="WLS29" s="279"/>
      <c r="WLT29" s="279"/>
      <c r="WLU29" s="279"/>
      <c r="WLV29" s="279"/>
      <c r="WLW29" s="279"/>
      <c r="WLX29" s="279"/>
      <c r="WLY29" s="279"/>
      <c r="WLZ29" s="279"/>
      <c r="WMA29" s="279"/>
      <c r="WMB29" s="279"/>
      <c r="WMC29" s="279"/>
      <c r="WMD29" s="279"/>
      <c r="WME29" s="279"/>
      <c r="WMF29" s="279"/>
      <c r="WMG29" s="279"/>
      <c r="WMH29" s="279"/>
      <c r="WMI29" s="279"/>
      <c r="WMJ29" s="279"/>
      <c r="WMK29" s="279"/>
      <c r="WML29" s="279"/>
      <c r="WMM29" s="279"/>
      <c r="WMN29" s="279"/>
      <c r="WMO29" s="279"/>
      <c r="WMP29" s="279"/>
      <c r="WMQ29" s="279"/>
      <c r="WMR29" s="279"/>
      <c r="WMS29" s="279"/>
      <c r="WMT29" s="279"/>
      <c r="WMU29" s="279"/>
      <c r="WMV29" s="279"/>
      <c r="WMW29" s="279"/>
      <c r="WMX29" s="279"/>
      <c r="WMY29" s="279"/>
      <c r="WMZ29" s="279"/>
      <c r="WNA29" s="279"/>
      <c r="WNB29" s="279"/>
      <c r="WNC29" s="279"/>
      <c r="WND29" s="279"/>
      <c r="WNE29" s="279"/>
      <c r="WNF29" s="279"/>
      <c r="WNG29" s="279"/>
      <c r="WNH29" s="279"/>
      <c r="WNI29" s="279"/>
      <c r="WNJ29" s="279"/>
      <c r="WNK29" s="279"/>
      <c r="WNL29" s="279"/>
      <c r="WNM29" s="279"/>
      <c r="WNN29" s="279"/>
      <c r="WNO29" s="279"/>
      <c r="WNP29" s="279"/>
      <c r="WNQ29" s="279"/>
      <c r="WNR29" s="279"/>
      <c r="WNS29" s="279"/>
      <c r="WNT29" s="279"/>
      <c r="WNU29" s="279"/>
      <c r="WNV29" s="279"/>
      <c r="WNW29" s="279"/>
      <c r="WNX29" s="279"/>
      <c r="WNY29" s="279"/>
      <c r="WNZ29" s="279"/>
      <c r="WOA29" s="279"/>
      <c r="WOB29" s="279"/>
      <c r="WOC29" s="279"/>
      <c r="WOD29" s="279"/>
      <c r="WOE29" s="279"/>
      <c r="WOF29" s="279"/>
      <c r="WOG29" s="279"/>
      <c r="WOH29" s="279"/>
      <c r="WOI29" s="279"/>
      <c r="WOJ29" s="279"/>
      <c r="WOK29" s="279"/>
      <c r="WOL29" s="279"/>
      <c r="WOM29" s="279"/>
      <c r="WON29" s="279"/>
      <c r="WOO29" s="279"/>
      <c r="WOP29" s="279"/>
      <c r="WOQ29" s="279"/>
      <c r="WOR29" s="279"/>
      <c r="WOS29" s="279"/>
      <c r="WOT29" s="279"/>
      <c r="WOU29" s="279"/>
      <c r="WOV29" s="279"/>
      <c r="WOW29" s="279"/>
      <c r="WOX29" s="279"/>
      <c r="WOY29" s="279"/>
      <c r="WOZ29" s="279"/>
      <c r="WPA29" s="279"/>
      <c r="WPB29" s="279"/>
      <c r="WPC29" s="279"/>
      <c r="WPD29" s="279"/>
      <c r="WPE29" s="279"/>
      <c r="WPF29" s="279"/>
      <c r="WPG29" s="279"/>
      <c r="WPH29" s="279"/>
      <c r="WPI29" s="279"/>
      <c r="WPJ29" s="279"/>
      <c r="WPK29" s="279"/>
      <c r="WPL29" s="279"/>
      <c r="WPM29" s="279"/>
      <c r="WPN29" s="279"/>
      <c r="WPO29" s="279"/>
      <c r="WPP29" s="279"/>
      <c r="WPQ29" s="279"/>
      <c r="WPR29" s="279"/>
      <c r="WPS29" s="279"/>
      <c r="WPT29" s="279"/>
      <c r="WPU29" s="279"/>
      <c r="WPV29" s="279"/>
      <c r="WPW29" s="279"/>
      <c r="WPX29" s="279"/>
      <c r="WPY29" s="279"/>
      <c r="WPZ29" s="279"/>
      <c r="WQA29" s="279"/>
      <c r="WQB29" s="279"/>
      <c r="WQC29" s="279"/>
      <c r="WQD29" s="279"/>
      <c r="WQE29" s="279"/>
      <c r="WQF29" s="279"/>
      <c r="WQG29" s="279"/>
      <c r="WQH29" s="279"/>
      <c r="WQI29" s="279"/>
      <c r="WQJ29" s="279"/>
      <c r="WQK29" s="279"/>
      <c r="WQL29" s="279"/>
      <c r="WQM29" s="279"/>
      <c r="WQN29" s="279"/>
      <c r="WQO29" s="279"/>
      <c r="WQP29" s="279"/>
      <c r="WQQ29" s="279"/>
      <c r="WQR29" s="279"/>
      <c r="WQS29" s="279"/>
      <c r="WQT29" s="279"/>
      <c r="WQU29" s="279"/>
      <c r="WQV29" s="279"/>
      <c r="WQW29" s="279"/>
      <c r="WQX29" s="279"/>
      <c r="WQY29" s="279"/>
      <c r="WQZ29" s="279"/>
      <c r="WRA29" s="279"/>
      <c r="WRB29" s="279"/>
      <c r="WRC29" s="279"/>
      <c r="WRD29" s="279"/>
      <c r="WRE29" s="279"/>
      <c r="WRF29" s="279"/>
      <c r="WRG29" s="279"/>
      <c r="WRH29" s="279"/>
      <c r="WRI29" s="279"/>
      <c r="WRJ29" s="279"/>
      <c r="WRK29" s="279"/>
      <c r="WRL29" s="279"/>
      <c r="WRM29" s="279"/>
      <c r="WRN29" s="279"/>
      <c r="WRO29" s="279"/>
      <c r="WRP29" s="279"/>
      <c r="WRQ29" s="279"/>
      <c r="WRR29" s="279"/>
      <c r="WRS29" s="279"/>
      <c r="WRT29" s="279"/>
      <c r="WRU29" s="279"/>
      <c r="WRV29" s="279"/>
      <c r="WRW29" s="279"/>
      <c r="WRX29" s="279"/>
      <c r="WRY29" s="279"/>
      <c r="WRZ29" s="279"/>
      <c r="WSA29" s="279"/>
      <c r="WSB29" s="279"/>
      <c r="WSC29" s="279"/>
      <c r="WSD29" s="279"/>
      <c r="WSE29" s="279"/>
      <c r="WSF29" s="279"/>
      <c r="WSG29" s="279"/>
      <c r="WSH29" s="279"/>
      <c r="WSI29" s="279"/>
      <c r="WSJ29" s="279"/>
      <c r="WSK29" s="279"/>
      <c r="WSL29" s="279"/>
      <c r="WSM29" s="279"/>
      <c r="WSN29" s="279"/>
      <c r="WSO29" s="279"/>
      <c r="WSP29" s="279"/>
      <c r="WSQ29" s="279"/>
      <c r="WSR29" s="279"/>
      <c r="WSS29" s="279"/>
      <c r="WST29" s="279"/>
      <c r="WSU29" s="279"/>
      <c r="WSV29" s="279"/>
      <c r="WSW29" s="279"/>
      <c r="WSX29" s="279"/>
      <c r="WSY29" s="279"/>
      <c r="WSZ29" s="279"/>
      <c r="WTA29" s="279"/>
      <c r="WTB29" s="279"/>
      <c r="WTC29" s="279"/>
      <c r="WTD29" s="279"/>
      <c r="WTE29" s="279"/>
      <c r="WTF29" s="279"/>
      <c r="WTG29" s="279"/>
      <c r="WTH29" s="279"/>
      <c r="WTI29" s="279"/>
      <c r="WTJ29" s="279"/>
      <c r="WTK29" s="279"/>
      <c r="WTL29" s="279"/>
      <c r="WTM29" s="279"/>
      <c r="WTN29" s="279"/>
      <c r="WTO29" s="279"/>
      <c r="WTP29" s="279"/>
      <c r="WTQ29" s="279"/>
      <c r="WTR29" s="279"/>
      <c r="WTS29" s="279"/>
      <c r="WTT29" s="279"/>
      <c r="WTU29" s="279"/>
      <c r="WTV29" s="279"/>
      <c r="WTW29" s="279"/>
      <c r="WTX29" s="279"/>
      <c r="WTY29" s="279"/>
      <c r="WTZ29" s="279"/>
      <c r="WUA29" s="279"/>
      <c r="WUB29" s="279"/>
      <c r="WUC29" s="279"/>
      <c r="WUD29" s="279"/>
      <c r="WUE29" s="279"/>
      <c r="WUF29" s="279"/>
      <c r="WUG29" s="279"/>
      <c r="WUH29" s="279"/>
      <c r="WUI29" s="279"/>
      <c r="WUJ29" s="279"/>
      <c r="WUK29" s="279"/>
      <c r="WUL29" s="279"/>
      <c r="WUM29" s="279"/>
      <c r="WUN29" s="279"/>
      <c r="WUO29" s="279"/>
      <c r="WUP29" s="279"/>
      <c r="WUQ29" s="279"/>
      <c r="WUR29" s="279"/>
      <c r="WUS29" s="279"/>
      <c r="WUT29" s="279"/>
      <c r="WUU29" s="279"/>
      <c r="WUV29" s="279"/>
      <c r="WUW29" s="279"/>
      <c r="WUX29" s="279"/>
      <c r="WUY29" s="279"/>
      <c r="WUZ29" s="279"/>
      <c r="WVA29" s="279"/>
      <c r="WVB29" s="279"/>
      <c r="WVC29" s="279"/>
      <c r="WVD29" s="279"/>
      <c r="WVE29" s="279"/>
      <c r="WVF29" s="279"/>
      <c r="WVG29" s="279"/>
      <c r="WVH29" s="279"/>
      <c r="WVI29" s="279"/>
      <c r="WVJ29" s="279"/>
      <c r="WVK29" s="279"/>
      <c r="WVL29" s="279"/>
      <c r="WVM29" s="279"/>
      <c r="WVN29" s="279"/>
      <c r="WVO29" s="279"/>
      <c r="WVP29" s="279"/>
      <c r="WVQ29" s="279"/>
      <c r="WVR29" s="279"/>
      <c r="WVS29" s="279"/>
      <c r="WVT29" s="279"/>
      <c r="WVU29" s="279"/>
      <c r="WVV29" s="279"/>
      <c r="WVW29" s="279"/>
      <c r="WVX29" s="279"/>
      <c r="WVY29" s="279"/>
      <c r="WVZ29" s="279"/>
      <c r="WWA29" s="279"/>
      <c r="WWB29" s="279"/>
      <c r="WWC29" s="279"/>
      <c r="WWD29" s="279"/>
      <c r="WWE29" s="279"/>
      <c r="WWF29" s="279"/>
      <c r="WWG29" s="279"/>
      <c r="WWH29" s="279"/>
      <c r="WWI29" s="279"/>
      <c r="WWJ29" s="279"/>
      <c r="WWK29" s="279"/>
      <c r="WWL29" s="279"/>
      <c r="WWM29" s="279"/>
      <c r="WWN29" s="279"/>
      <c r="WWO29" s="279"/>
      <c r="WWP29" s="279"/>
      <c r="WWQ29" s="279"/>
      <c r="WWR29" s="279"/>
      <c r="WWS29" s="279"/>
      <c r="WWT29" s="279"/>
      <c r="WWU29" s="279"/>
      <c r="WWV29" s="279"/>
      <c r="WWW29" s="279"/>
      <c r="WWX29" s="279"/>
      <c r="WWY29" s="279"/>
      <c r="WWZ29" s="279"/>
      <c r="WXA29" s="279"/>
      <c r="WXB29" s="279"/>
      <c r="WXC29" s="279"/>
      <c r="WXD29" s="279"/>
      <c r="WXE29" s="279"/>
      <c r="WXF29" s="279"/>
      <c r="WXG29" s="279"/>
      <c r="WXH29" s="279"/>
      <c r="WXI29" s="279"/>
      <c r="WXJ29" s="279"/>
      <c r="WXK29" s="279"/>
      <c r="WXL29" s="279"/>
      <c r="WXM29" s="279"/>
      <c r="WXN29" s="279"/>
      <c r="WXO29" s="279"/>
      <c r="WXP29" s="279"/>
      <c r="WXQ29" s="279"/>
      <c r="WXR29" s="279"/>
      <c r="WXS29" s="279"/>
      <c r="WXT29" s="279"/>
      <c r="WXU29" s="279"/>
      <c r="WXV29" s="279"/>
      <c r="WXW29" s="279"/>
      <c r="WXX29" s="279"/>
      <c r="WXY29" s="279"/>
      <c r="WXZ29" s="279"/>
      <c r="WYA29" s="279"/>
      <c r="WYB29" s="279"/>
      <c r="WYC29" s="279"/>
      <c r="WYD29" s="279"/>
      <c r="WYE29" s="279"/>
      <c r="WYF29" s="279"/>
      <c r="WYG29" s="279"/>
      <c r="WYH29" s="279"/>
      <c r="WYI29" s="279"/>
      <c r="WYJ29" s="279"/>
      <c r="WYK29" s="279"/>
      <c r="WYL29" s="279"/>
      <c r="WYM29" s="279"/>
      <c r="WYN29" s="279"/>
      <c r="WYO29" s="279"/>
      <c r="WYP29" s="279"/>
      <c r="WYQ29" s="279"/>
      <c r="WYR29" s="279"/>
      <c r="WYS29" s="279"/>
      <c r="WYT29" s="279"/>
      <c r="WYU29" s="279"/>
      <c r="WYV29" s="279"/>
      <c r="WYW29" s="279"/>
      <c r="WYX29" s="279"/>
      <c r="WYY29" s="279"/>
      <c r="WYZ29" s="279"/>
      <c r="WZA29" s="279"/>
      <c r="WZB29" s="279"/>
      <c r="WZC29" s="279"/>
      <c r="WZD29" s="279"/>
      <c r="WZE29" s="279"/>
      <c r="WZF29" s="279"/>
      <c r="WZG29" s="279"/>
      <c r="WZH29" s="279"/>
      <c r="WZI29" s="279"/>
      <c r="WZJ29" s="279"/>
      <c r="WZK29" s="279"/>
      <c r="WZL29" s="279"/>
      <c r="WZM29" s="279"/>
      <c r="WZN29" s="279"/>
      <c r="WZO29" s="279"/>
      <c r="WZP29" s="279"/>
      <c r="WZQ29" s="279"/>
      <c r="WZR29" s="279"/>
      <c r="WZS29" s="279"/>
      <c r="WZT29" s="279"/>
      <c r="WZU29" s="279"/>
      <c r="WZV29" s="279"/>
      <c r="WZW29" s="279"/>
      <c r="WZX29" s="279"/>
      <c r="WZY29" s="279"/>
      <c r="WZZ29" s="279"/>
      <c r="XAA29" s="279"/>
      <c r="XAB29" s="279"/>
      <c r="XAC29" s="279"/>
      <c r="XAD29" s="279"/>
      <c r="XAE29" s="279"/>
      <c r="XAF29" s="279"/>
      <c r="XAG29" s="279"/>
      <c r="XAH29" s="279"/>
      <c r="XAI29" s="279"/>
      <c r="XAJ29" s="279"/>
      <c r="XAK29" s="279"/>
      <c r="XAL29" s="279"/>
      <c r="XAM29" s="279"/>
      <c r="XAN29" s="279"/>
      <c r="XAO29" s="279"/>
      <c r="XAP29" s="279"/>
      <c r="XAQ29" s="279"/>
      <c r="XAR29" s="279"/>
      <c r="XAS29" s="279"/>
      <c r="XAT29" s="279"/>
      <c r="XAU29" s="279"/>
      <c r="XAV29" s="279"/>
      <c r="XAW29" s="279"/>
      <c r="XAX29" s="279"/>
      <c r="XAY29" s="279"/>
      <c r="XAZ29" s="279"/>
      <c r="XBA29" s="279"/>
      <c r="XBB29" s="279"/>
      <c r="XBC29" s="279"/>
      <c r="XBD29" s="279"/>
      <c r="XBE29" s="279"/>
      <c r="XBF29" s="279"/>
      <c r="XBG29" s="279"/>
      <c r="XBH29" s="279"/>
      <c r="XBI29" s="279"/>
      <c r="XBJ29" s="279"/>
      <c r="XBK29" s="279"/>
      <c r="XBL29" s="279"/>
      <c r="XBM29" s="279"/>
      <c r="XBN29" s="279"/>
      <c r="XBO29" s="279"/>
      <c r="XBP29" s="279"/>
      <c r="XBQ29" s="279"/>
      <c r="XBR29" s="279"/>
      <c r="XBS29" s="279"/>
      <c r="XBT29" s="279"/>
      <c r="XBU29" s="279"/>
      <c r="XBV29" s="279"/>
      <c r="XBW29" s="279"/>
      <c r="XBX29" s="279"/>
      <c r="XBY29" s="279"/>
      <c r="XBZ29" s="279"/>
      <c r="XCA29" s="279"/>
      <c r="XCB29" s="279"/>
      <c r="XCC29" s="279"/>
      <c r="XCD29" s="279"/>
      <c r="XCE29" s="279"/>
      <c r="XCF29" s="279"/>
      <c r="XCG29" s="279"/>
      <c r="XCH29" s="279"/>
      <c r="XCI29" s="279"/>
      <c r="XCJ29" s="279"/>
      <c r="XCK29" s="279"/>
      <c r="XCL29" s="279"/>
      <c r="XCM29" s="279"/>
      <c r="XCN29" s="279"/>
      <c r="XCO29" s="279"/>
      <c r="XCP29" s="279"/>
      <c r="XCQ29" s="279"/>
      <c r="XCR29" s="279"/>
      <c r="XCS29" s="279"/>
      <c r="XCT29" s="279"/>
      <c r="XCU29" s="279"/>
      <c r="XCV29" s="279"/>
      <c r="XCW29" s="279"/>
      <c r="XCX29" s="279"/>
      <c r="XCY29" s="279"/>
      <c r="XCZ29" s="279"/>
      <c r="XDA29" s="279"/>
      <c r="XDB29" s="279"/>
      <c r="XDC29" s="279"/>
      <c r="XDD29" s="279"/>
      <c r="XDE29" s="279"/>
      <c r="XDF29" s="279"/>
      <c r="XDG29" s="279"/>
      <c r="XDH29" s="279"/>
      <c r="XDI29" s="279"/>
      <c r="XDJ29" s="279"/>
      <c r="XDK29" s="279"/>
      <c r="XDL29" s="279"/>
      <c r="XDM29" s="279"/>
      <c r="XDN29" s="279"/>
      <c r="XDO29" s="279"/>
      <c r="XDP29" s="279"/>
      <c r="XDQ29" s="279"/>
      <c r="XDR29" s="279"/>
      <c r="XDS29" s="279"/>
      <c r="XDT29" s="279"/>
      <c r="XDU29" s="279"/>
      <c r="XDV29" s="279"/>
      <c r="XDW29" s="279"/>
      <c r="XDX29" s="279"/>
      <c r="XDY29" s="279"/>
      <c r="XDZ29" s="279"/>
      <c r="XEA29" s="279"/>
      <c r="XEB29" s="279"/>
      <c r="XEC29" s="279"/>
      <c r="XED29" s="279"/>
      <c r="XEE29" s="279"/>
      <c r="XEF29" s="279"/>
      <c r="XEG29" s="279"/>
      <c r="XEH29" s="279"/>
      <c r="XEI29" s="279"/>
      <c r="XEJ29" s="279"/>
      <c r="XEK29" s="279"/>
      <c r="XEL29" s="279"/>
      <c r="XEM29" s="279"/>
      <c r="XEN29" s="279"/>
      <c r="XEO29" s="279"/>
      <c r="XEP29" s="279"/>
      <c r="XEQ29" s="279"/>
      <c r="XER29" s="279"/>
      <c r="XES29" s="279"/>
      <c r="XET29" s="279"/>
      <c r="XEU29" s="279"/>
      <c r="XEV29" s="279"/>
      <c r="XEW29" s="279"/>
      <c r="XEX29" s="279"/>
      <c r="XEY29" s="279"/>
      <c r="XEZ29" s="279"/>
      <c r="XFA29" s="279"/>
      <c r="XFB29" s="279"/>
      <c r="XFC29" s="279"/>
      <c r="XFD29" s="279"/>
    </row>
    <row r="30" spans="1:16384" s="159" customFormat="1" ht="13.5">
      <c r="A30" s="172">
        <v>3.1</v>
      </c>
      <c r="B30" s="186" t="s">
        <v>140</v>
      </c>
      <c r="C30" s="173" t="s">
        <v>104</v>
      </c>
      <c r="D30" s="298" t="str">
        <f>IF(OR(j_WEEKDAY(J_ADDDAY(VLOOKUP(I30,A:F,6,FALSE),H30,1),0)=6,SUMIFS(Holieday[ok],Holieday[date],J_ADDDAY(VLOOKUP(I30,A:F,6,FALSE),H30,1)))=FALSE(),J_ADDDAY(VLOOKUP(I30,A:F,6,FALSE),H30,1),IF(OR(j_WEEKDAY(J_ADDDAY(VLOOKUP(I30,A:F,6,FALSE),H30+1,1),0)=6,SUMIFS(Holieday[ok],Holieday[date],J_ADDDAY(VLOOKUP(I30,A:F,6,FALSE),H30+1,1)))=FALSE(),J_ADDDAY(VLOOKUP(I30,A:F,6,FALSE),H30+1,1),IF(OR(j_WEEKDAY(J_ADDDAY(VLOOKUP(I30,A:F,6,FALSE),H30+2,1),0)=6,SUMIFS(Holieday[ok],Holieday[date],J_ADDDAY(VLOOKUP(I30,A:F,6,FALSE),H30+2,1)))=FALSE(),J_ADDDAY(VLOOKUP(I30,A:F,6,FALSE),H30+2,1),IF(OR(j_WEEKDAY(J_ADDDAY(VLOOKUP(I30,A:F,6,FALSE),H30+3,1),0)=6,SUMIFS(Holieday[ok],Holieday[date],J_ADDDAY(VLOOKUP(I30,A:F,6,FALSE),H30+3,1)))=FALSE(),J_ADDDAY(VLOOKUP(I30,A:F,6,FALSE),H30+3,1),IF(OR(j_WEEKDAY(J_ADDDAY(VLOOKUP(I30,A:F,6,FALSE),H30+4,1),0)=6,SUMIFS(Holieday[ok],Holieday[date],J_ADDDAY(VLOOKUP(I30,A:F,6,FALSE),H30+4,1)))=FALSE(),J_ADDDAY(VLOOKUP(I30,A:F,6,FALSE),H30+4,1),J_ADDDAY(VLOOKUP(I30,A:F,6,FALSE),H30+5,1))))))</f>
        <v>1398/10/01</v>
      </c>
      <c r="E30" s="136">
        <f t="shared" si="15"/>
        <v>13981001</v>
      </c>
      <c r="F30" s="299" t="str">
        <f>IF(N30=0,J_SUBDAY(D30,1,1),IF((N30-(NETWORKDAYS.INTL(J_GregorianDate(D30,1),J_GregorianDate(J_SUBDAY(J_ADDDAY(D30,N30,1),1,1),1),16,1)))+SUMIFS(Holieday[ok],Holieday[date],CONCATENATE("&gt;","=",D30),Holieday[date],CONCATENATE("&lt;","=",J_SUBDAY(J_ADDDAY(D30,N30,1),1,1)))-SUMIFS(Holieday[Friday],Holieday[date],CONCATENATE("&gt;","=",D30),Holieday[date],CONCATENATE("&lt;","=",J_SUBDAY(J_ADDDAY(D30,N30,1),1,1)))=0,J_SUBDAY(J_ADDDAY(D30,N30,1),1,1),IF((N30+1-(NETWORKDAYS.INTL(J_GregorianDate(D30,1),J_GregorianDate(J_SUBDAY(J_ADDDAY(D30,N30+1,1),1,1),1),16,1)))+SUMIFS(Holieday[ok],Holieday[date],CONCATENATE("&gt;","=",D30),Holieday[date],CONCATENATE("&lt;","=",J_SUBDAY(J_ADDDAY(D30,N30+1,1),1,1)))-SUMIFS(Holieday[Friday],Holieday[date],CONCATENATE("&gt;","=",D30),Holieday[date],CONCATENATE("&lt;","=",J_SUBDAY(J_ADDDAY(D30,N30+1,1),1,1)))=1,J_SUBDAY(J_ADDDAY(D30,N30+1,1),1,1),IF((N30+2-(NETWORKDAYS.INTL(J_GregorianDate(D30,1),J_GregorianDate(J_SUBDAY(J_ADDDAY(D30,N30+2,1),1,1),1),16,1)))+SUMIFS(Holieday[ok],Holieday[date],CONCATENATE("&gt;","=",D30),Holieday[date],CONCATENATE("&lt;","=",J_SUBDAY(J_ADDDAY(D30,N30+2,1),1,1)))-SUMIFS(Holieday[Friday],Holieday[date],CONCATENATE("&gt;","=",D30),Holieday[date],CONCATENATE("&lt;","=",J_SUBDAY(J_ADDDAY(D30,N30+2,1),1,1)))=2,J_SUBDAY(J_ADDDAY(D30,N30+2,1),1,1),IF((N30+3-(NETWORKDAYS.INTL(J_GregorianDate(D30,1),J_GregorianDate(J_SUBDAY(J_ADDDAY(D30,N30+3,1),1,1),1),16,1)))+SUMIFS(Holieday[ok],Holieday[date],CONCATENATE("&gt;","=",D30),Holieday[date],CONCATENATE("&lt;","=",J_SUBDAY(J_ADDDAY(D30,N30+3,1),1,1)))-SUMIFS(Holieday[Friday],Holieday[date],CONCATENATE("&gt;","=",D30),Holieday[date],CONCATENATE("&lt;","=",J_SUBDAY(J_ADDDAY(D30,N30+3,1),1,1)))=3,J_SUBDAY(J_ADDDAY(D30,N30+3,1),1,1),IF((N30+4-(NETWORKDAYS.INTL(J_GregorianDate(D30,1),J_GregorianDate(J_SUBDAY(J_ADDDAY(D30,N30+4,1),1,1),1),16,1)))+SUMIFS(Holieday[ok],Holieday[date],CONCATENATE("&gt;","=",D30),Holieday[date],CONCATENATE("&lt;","=",J_SUBDAY(J_ADDDAY(D30,N30+4,1),1,1)))-SUMIFS(Holieday[Friday],Holieday[date],CONCATENATE("&gt;","=",D30),Holieday[date],CONCATENATE("&lt;","=",J_SUBDAY(J_ADDDAY(D30,N30+4,1),1,1)))=4,J_SUBDAY(J_ADDDAY(D30,N30+4,1),1,1),IF((N30+5-(NETWORKDAYS.INTL(J_GregorianDate(D30,1),J_GregorianDate(J_SUBDAY(J_ADDDAY(D30,N30+5,1),1,1),1),16,1)))+SUMIFS(Holieday[ok],Holieday[date],CONCATENATE("&gt;","=",D30),Holieday[date],CONCATENATE("&lt;","=",J_SUBDAY(J_ADDDAY(D30,N30+5,1),1,1)))-SUMIFS(Holieday[Friday],Holieday[date],CONCATENATE("&gt;","=",D30),Holieday[date],CONCATENATE("&lt;","=",J_SUBDAY(J_ADDDAY(D30,N30+5,1),1,1)))=5,J_SUBDAY(J_ADDDAY(D30,N30+5,1),1,1),J_SUBDAY(J_ADDDAY(D30,N30+6,1),1,1))))))))</f>
        <v>1398/10/01</v>
      </c>
      <c r="G30" s="139">
        <f t="shared" si="16"/>
        <v>13981001</v>
      </c>
      <c r="H30" s="175"/>
      <c r="I30" s="176">
        <v>1.1000000000000001</v>
      </c>
      <c r="J30" s="174">
        <f>j_WEEKDAY(D30,2)</f>
        <v>1</v>
      </c>
      <c r="K30" s="143">
        <f t="shared" ref="K30:K55" si="18">SUM(JA30:JC30)</f>
        <v>0</v>
      </c>
      <c r="L30" s="177">
        <f t="shared" ref="L30:L55" si="19">J_DIFF(D30,F30)+1</f>
        <v>1</v>
      </c>
      <c r="M30" s="178">
        <v>1</v>
      </c>
      <c r="N30" s="179">
        <v>1</v>
      </c>
      <c r="O30" s="144">
        <f t="shared" si="17"/>
        <v>1</v>
      </c>
      <c r="P30" s="144">
        <f>VALUE(J_normdate(J_ADDDAY($D30,$O30,1)))</f>
        <v>13981002</v>
      </c>
      <c r="Q30" s="142">
        <f t="shared" si="14"/>
        <v>0</v>
      </c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  <c r="GQ30" s="141"/>
      <c r="GR30" s="141"/>
      <c r="GS30" s="141"/>
      <c r="GT30" s="141"/>
      <c r="GU30" s="141"/>
      <c r="GV30" s="141"/>
      <c r="GW30" s="141"/>
      <c r="GX30" s="141"/>
      <c r="GY30" s="141"/>
      <c r="GZ30" s="141"/>
      <c r="HA30" s="141"/>
      <c r="HB30" s="141"/>
      <c r="HC30" s="141"/>
      <c r="HD30" s="141"/>
      <c r="HE30" s="141"/>
      <c r="HF30" s="141"/>
      <c r="HG30" s="141"/>
      <c r="HH30" s="141"/>
      <c r="HI30" s="141"/>
      <c r="HJ30" s="141"/>
      <c r="HK30" s="141"/>
      <c r="HL30" s="141"/>
      <c r="HM30" s="141"/>
      <c r="HN30" s="141"/>
      <c r="HO30" s="141"/>
      <c r="HP30" s="141"/>
      <c r="HQ30" s="141"/>
      <c r="HR30" s="141"/>
      <c r="HS30" s="141"/>
      <c r="HT30" s="141"/>
      <c r="HU30" s="141"/>
      <c r="HV30" s="141"/>
      <c r="HW30" s="141"/>
      <c r="HX30" s="141"/>
      <c r="HY30" s="141"/>
      <c r="HZ30" s="141"/>
      <c r="IA30" s="141"/>
      <c r="IB30" s="141"/>
      <c r="IC30" s="141"/>
      <c r="ID30" s="141"/>
      <c r="IE30" s="141"/>
      <c r="IF30" s="141"/>
      <c r="IG30" s="141"/>
      <c r="IH30" s="141"/>
      <c r="II30" s="141"/>
      <c r="IJ30" s="141"/>
      <c r="IK30" s="141"/>
      <c r="IL30" s="141"/>
      <c r="IM30" s="141"/>
      <c r="IN30" s="141"/>
      <c r="IO30" s="141"/>
      <c r="IP30" s="141"/>
      <c r="IQ30" s="141"/>
      <c r="IR30" s="141"/>
      <c r="IS30" s="141"/>
      <c r="IT30" s="141"/>
      <c r="IU30" s="141"/>
      <c r="IV30" s="141"/>
      <c r="IW30" s="141"/>
      <c r="IX30" s="141"/>
      <c r="IY30" s="21">
        <v>3</v>
      </c>
      <c r="IZ30" s="31">
        <f>(TEXT(K30,"[m]")/60)*VLOOKUP(IY30,'Income Person-hours'!A$2:C$5,3,FALSE)</f>
        <v>0</v>
      </c>
      <c r="JA30" s="91"/>
      <c r="JB30" s="91"/>
      <c r="JC30" s="91"/>
      <c r="JD30" s="160">
        <f>SUM((TEXT(JA30,"[M]")/60)*'Income Person-hours'!$D$3,(TEXT(JB30,"[M]")/60)*'Income Person-hours'!$D$4,(TEXT(JC30,"[M]")/60)*'Income Person-hours'!$D$5)</f>
        <v>0</v>
      </c>
    </row>
    <row r="31" spans="1:16384" s="159" customFormat="1" ht="13.5">
      <c r="A31" s="172">
        <v>3.2</v>
      </c>
      <c r="B31" s="186" t="s">
        <v>105</v>
      </c>
      <c r="C31" s="173" t="s">
        <v>104</v>
      </c>
      <c r="D31" s="298" t="str">
        <f>IF(OR(j_WEEKDAY(J_ADDDAY(VLOOKUP(I31,A:F,6,FALSE),H31,1),0)=6,SUMIFS(Holieday[ok],Holieday[date],J_ADDDAY(VLOOKUP(I31,A:F,6,FALSE),H31,1)))=FALSE(),J_ADDDAY(VLOOKUP(I31,A:F,6,FALSE),H31,1),IF(OR(j_WEEKDAY(J_ADDDAY(VLOOKUP(I31,A:F,6,FALSE),H31+1,1),0)=6,SUMIFS(Holieday[ok],Holieday[date],J_ADDDAY(VLOOKUP(I31,A:F,6,FALSE),H31+1,1)))=FALSE(),J_ADDDAY(VLOOKUP(I31,A:F,6,FALSE),H31+1,1),IF(OR(j_WEEKDAY(J_ADDDAY(VLOOKUP(I31,A:F,6,FALSE),H31+2,1),0)=6,SUMIFS(Holieday[ok],Holieday[date],J_ADDDAY(VLOOKUP(I31,A:F,6,FALSE),H31+2,1)))=FALSE(),J_ADDDAY(VLOOKUP(I31,A:F,6,FALSE),H31+2,1),IF(OR(j_WEEKDAY(J_ADDDAY(VLOOKUP(I31,A:F,6,FALSE),H31+3,1),0)=6,SUMIFS(Holieday[ok],Holieday[date],J_ADDDAY(VLOOKUP(I31,A:F,6,FALSE),H31+3,1)))=FALSE(),J_ADDDAY(VLOOKUP(I31,A:F,6,FALSE),H31+3,1),IF(OR(j_WEEKDAY(J_ADDDAY(VLOOKUP(I31,A:F,6,FALSE),H31+4,1),0)=6,SUMIFS(Holieday[ok],Holieday[date],J_ADDDAY(VLOOKUP(I31,A:F,6,FALSE),H31+4,1)))=FALSE(),J_ADDDAY(VLOOKUP(I31,A:F,6,FALSE),H31+4,1),J_ADDDAY(VLOOKUP(I31,A:F,6,FALSE),H31+5,1))))))</f>
        <v>1398/10/01</v>
      </c>
      <c r="E31" s="136">
        <f t="shared" si="15"/>
        <v>13981001</v>
      </c>
      <c r="F31" s="299" t="str">
        <f>IF(N31=0,J_SUBDAY(D31,1,1),IF((N31-(NETWORKDAYS.INTL(J_GregorianDate(D31,1),J_GregorianDate(J_SUBDAY(J_ADDDAY(D31,N31,1),1,1),1),16,1)))+SUMIFS(Holieday[ok],Holieday[date],CONCATENATE("&gt;","=",D31),Holieday[date],CONCATENATE("&lt;","=",J_SUBDAY(J_ADDDAY(D31,N31,1),1,1)))-SUMIFS(Holieday[Friday],Holieday[date],CONCATENATE("&gt;","=",D31),Holieday[date],CONCATENATE("&lt;","=",J_SUBDAY(J_ADDDAY(D31,N31,1),1,1)))=0,J_SUBDAY(J_ADDDAY(D31,N31,1),1,1),IF((N31+1-(NETWORKDAYS.INTL(J_GregorianDate(D31,1),J_GregorianDate(J_SUBDAY(J_ADDDAY(D31,N31+1,1),1,1),1),16,1)))+SUMIFS(Holieday[ok],Holieday[date],CONCATENATE("&gt;","=",D31),Holieday[date],CONCATENATE("&lt;","=",J_SUBDAY(J_ADDDAY(D31,N31+1,1),1,1)))-SUMIFS(Holieday[Friday],Holieday[date],CONCATENATE("&gt;","=",D31),Holieday[date],CONCATENATE("&lt;","=",J_SUBDAY(J_ADDDAY(D31,N31+1,1),1,1)))=1,J_SUBDAY(J_ADDDAY(D31,N31+1,1),1,1),IF((N31+2-(NETWORKDAYS.INTL(J_GregorianDate(D31,1),J_GregorianDate(J_SUBDAY(J_ADDDAY(D31,N31+2,1),1,1),1),16,1)))+SUMIFS(Holieday[ok],Holieday[date],CONCATENATE("&gt;","=",D31),Holieday[date],CONCATENATE("&lt;","=",J_SUBDAY(J_ADDDAY(D31,N31+2,1),1,1)))-SUMIFS(Holieday[Friday],Holieday[date],CONCATENATE("&gt;","=",D31),Holieday[date],CONCATENATE("&lt;","=",J_SUBDAY(J_ADDDAY(D31,N31+2,1),1,1)))=2,J_SUBDAY(J_ADDDAY(D31,N31+2,1),1,1),IF((N31+3-(NETWORKDAYS.INTL(J_GregorianDate(D31,1),J_GregorianDate(J_SUBDAY(J_ADDDAY(D31,N31+3,1),1,1),1),16,1)))+SUMIFS(Holieday[ok],Holieday[date],CONCATENATE("&gt;","=",D31),Holieday[date],CONCATENATE("&lt;","=",J_SUBDAY(J_ADDDAY(D31,N31+3,1),1,1)))-SUMIFS(Holieday[Friday],Holieday[date],CONCATENATE("&gt;","=",D31),Holieday[date],CONCATENATE("&lt;","=",J_SUBDAY(J_ADDDAY(D31,N31+3,1),1,1)))=3,J_SUBDAY(J_ADDDAY(D31,N31+3,1),1,1),IF((N31+4-(NETWORKDAYS.INTL(J_GregorianDate(D31,1),J_GregorianDate(J_SUBDAY(J_ADDDAY(D31,N31+4,1),1,1),1),16,1)))+SUMIFS(Holieday[ok],Holieday[date],CONCATENATE("&gt;","=",D31),Holieday[date],CONCATENATE("&lt;","=",J_SUBDAY(J_ADDDAY(D31,N31+4,1),1,1)))-SUMIFS(Holieday[Friday],Holieday[date],CONCATENATE("&gt;","=",D31),Holieday[date],CONCATENATE("&lt;","=",J_SUBDAY(J_ADDDAY(D31,N31+4,1),1,1)))=4,J_SUBDAY(J_ADDDAY(D31,N31+4,1),1,1),IF((N31+5-(NETWORKDAYS.INTL(J_GregorianDate(D31,1),J_GregorianDate(J_SUBDAY(J_ADDDAY(D31,N31+5,1),1,1),1),16,1)))+SUMIFS(Holieday[ok],Holieday[date],CONCATENATE("&gt;","=",D31),Holieday[date],CONCATENATE("&lt;","=",J_SUBDAY(J_ADDDAY(D31,N31+5,1),1,1)))-SUMIFS(Holieday[Friday],Holieday[date],CONCATENATE("&gt;","=",D31),Holieday[date],CONCATENATE("&lt;","=",J_SUBDAY(J_ADDDAY(D31,N31+5,1),1,1)))=5,J_SUBDAY(J_ADDDAY(D31,N31+5,1),1,1),J_SUBDAY(J_ADDDAY(D31,N31+6,1),1,1))))))))</f>
        <v>1398/10/03</v>
      </c>
      <c r="G31" s="139">
        <f t="shared" si="16"/>
        <v>13981003</v>
      </c>
      <c r="H31" s="175"/>
      <c r="I31" s="176">
        <v>3.1</v>
      </c>
      <c r="J31" s="174">
        <f>j_WEEKDAY(D31,2)</f>
        <v>1</v>
      </c>
      <c r="K31" s="143">
        <f t="shared" si="18"/>
        <v>0</v>
      </c>
      <c r="L31" s="177">
        <f t="shared" si="19"/>
        <v>3</v>
      </c>
      <c r="M31" s="178">
        <v>1</v>
      </c>
      <c r="N31" s="179">
        <v>3</v>
      </c>
      <c r="O31" s="144">
        <f t="shared" si="17"/>
        <v>3</v>
      </c>
      <c r="P31" s="144">
        <f>VALUE(J_normdate(J_ADDDAY($D31,$O31,1)))</f>
        <v>13981004</v>
      </c>
      <c r="Q31" s="142">
        <f t="shared" si="14"/>
        <v>0</v>
      </c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  <c r="GQ31" s="141"/>
      <c r="GR31" s="141"/>
      <c r="GS31" s="141"/>
      <c r="GT31" s="141"/>
      <c r="GU31" s="141"/>
      <c r="GV31" s="141"/>
      <c r="GW31" s="141"/>
      <c r="GX31" s="141"/>
      <c r="GY31" s="141"/>
      <c r="GZ31" s="141"/>
      <c r="HA31" s="141"/>
      <c r="HB31" s="141"/>
      <c r="HC31" s="141"/>
      <c r="HD31" s="141"/>
      <c r="HE31" s="141"/>
      <c r="HF31" s="141"/>
      <c r="HG31" s="141"/>
      <c r="HH31" s="141"/>
      <c r="HI31" s="141"/>
      <c r="HJ31" s="141"/>
      <c r="HK31" s="141"/>
      <c r="HL31" s="141"/>
      <c r="HM31" s="141"/>
      <c r="HN31" s="141"/>
      <c r="HO31" s="141"/>
      <c r="HP31" s="141"/>
      <c r="HQ31" s="141"/>
      <c r="HR31" s="141"/>
      <c r="HS31" s="141"/>
      <c r="HT31" s="141"/>
      <c r="HU31" s="141"/>
      <c r="HV31" s="141"/>
      <c r="HW31" s="141"/>
      <c r="HX31" s="141"/>
      <c r="HY31" s="141"/>
      <c r="HZ31" s="141"/>
      <c r="IA31" s="141"/>
      <c r="IB31" s="141"/>
      <c r="IC31" s="141"/>
      <c r="ID31" s="141"/>
      <c r="IE31" s="141"/>
      <c r="IF31" s="141"/>
      <c r="IG31" s="141"/>
      <c r="IH31" s="141"/>
      <c r="II31" s="141"/>
      <c r="IJ31" s="141"/>
      <c r="IK31" s="141"/>
      <c r="IL31" s="141"/>
      <c r="IM31" s="141"/>
      <c r="IN31" s="141"/>
      <c r="IO31" s="141"/>
      <c r="IP31" s="141"/>
      <c r="IQ31" s="141"/>
      <c r="IR31" s="141"/>
      <c r="IS31" s="141"/>
      <c r="IT31" s="141"/>
      <c r="IU31" s="141"/>
      <c r="IV31" s="141"/>
      <c r="IW31" s="141"/>
      <c r="IX31" s="141"/>
      <c r="IY31" s="21">
        <v>3</v>
      </c>
      <c r="IZ31" s="31">
        <f>(TEXT(K31,"[m]")/60)*VLOOKUP(IY31,'Income Person-hours'!A$2:C$5,3,FALSE)</f>
        <v>0</v>
      </c>
      <c r="JA31" s="91"/>
      <c r="JB31" s="91"/>
      <c r="JC31" s="91"/>
      <c r="JD31" s="160">
        <f>SUM((TEXT(JA31,"[M]")/60)*'Income Person-hours'!$D$3,(TEXT(JB31,"[M]")/60)*'Income Person-hours'!$D$4,(TEXT(JC31,"[M]")/60)*'Income Person-hours'!$D$5)</f>
        <v>0</v>
      </c>
    </row>
    <row r="32" spans="1:16384" s="185" customFormat="1" ht="13.5">
      <c r="A32" s="172">
        <v>3.3</v>
      </c>
      <c r="B32" s="186" t="s">
        <v>139</v>
      </c>
      <c r="C32" s="173" t="s">
        <v>72</v>
      </c>
      <c r="D32" s="298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1398/10/07</v>
      </c>
      <c r="E32" s="136">
        <f t="shared" si="15"/>
        <v>13981007</v>
      </c>
      <c r="F32" s="299" t="str">
        <f>IF(N32=0,J_SUBDAY(D32,1,1),IF((N32-(NETWORKDAYS.INTL(J_GregorianDate(D32,1),J_GregorianDate(J_SUBDAY(J_ADDDAY(D32,N32,1),1,1),1),16,1)))+SUMIFS(Holieday[ok],Holieday[date],CONCATENATE("&gt;","=",D32),Holieday[date],CONCATENATE("&lt;","=",J_SUBDAY(J_ADDDAY(D32,N32,1),1,1)))-SUMIFS(Holieday[Friday],Holieday[date],CONCATENATE("&gt;","=",D32),Holieday[date],CONCATENATE("&lt;","=",J_SUBDAY(J_ADDDAY(D32,N32,1),1,1)))=0,J_SUBDAY(J_ADDDAY(D32,N32,1),1,1),IF((N32+1-(NETWORKDAYS.INTL(J_GregorianDate(D32,1),J_GregorianDate(J_SUBDAY(J_ADDDAY(D32,N32+1,1),1,1),1),16,1)))+SUMIFS(Holieday[ok],Holieday[date],CONCATENATE("&gt;","=",D32),Holieday[date],CONCATENATE("&lt;","=",J_SUBDAY(J_ADDDAY(D32,N32+1,1),1,1)))-SUMIFS(Holieday[Friday],Holieday[date],CONCATENATE("&gt;","=",D32),Holieday[date],CONCATENATE("&lt;","=",J_SUBDAY(J_ADDDAY(D32,N32+1,1),1,1)))=1,J_SUBDAY(J_ADDDAY(D32,N32+1,1),1,1),IF((N32+2-(NETWORKDAYS.INTL(J_GregorianDate(D32,1),J_GregorianDate(J_SUBDAY(J_ADDDAY(D32,N32+2,1),1,1),1),16,1)))+SUMIFS(Holieday[ok],Holieday[date],CONCATENATE("&gt;","=",D32),Holieday[date],CONCATENATE("&lt;","=",J_SUBDAY(J_ADDDAY(D32,N32+2,1),1,1)))-SUMIFS(Holieday[Friday],Holieday[date],CONCATENATE("&gt;","=",D32),Holieday[date],CONCATENATE("&lt;","=",J_SUBDAY(J_ADDDAY(D32,N32+2,1),1,1)))=2,J_SUBDAY(J_ADDDAY(D32,N32+2,1),1,1),IF((N32+3-(NETWORKDAYS.INTL(J_GregorianDate(D32,1),J_GregorianDate(J_SUBDAY(J_ADDDAY(D32,N32+3,1),1,1),1),16,1)))+SUMIFS(Holieday[ok],Holieday[date],CONCATENATE("&gt;","=",D32),Holieday[date],CONCATENATE("&lt;","=",J_SUBDAY(J_ADDDAY(D32,N32+3,1),1,1)))-SUMIFS(Holieday[Friday],Holieday[date],CONCATENATE("&gt;","=",D32),Holieday[date],CONCATENATE("&lt;","=",J_SUBDAY(J_ADDDAY(D32,N32+3,1),1,1)))=3,J_SUBDAY(J_ADDDAY(D32,N32+3,1),1,1),IF((N32+4-(NETWORKDAYS.INTL(J_GregorianDate(D32,1),J_GregorianDate(J_SUBDAY(J_ADDDAY(D32,N32+4,1),1,1),1),16,1)))+SUMIFS(Holieday[ok],Holieday[date],CONCATENATE("&gt;","=",D32),Holieday[date],CONCATENATE("&lt;","=",J_SUBDAY(J_ADDDAY(D32,N32+4,1),1,1)))-SUMIFS(Holieday[Friday],Holieday[date],CONCATENATE("&gt;","=",D32),Holieday[date],CONCATENATE("&lt;","=",J_SUBDAY(J_ADDDAY(D32,N32+4,1),1,1)))=4,J_SUBDAY(J_ADDDAY(D32,N32+4,1),1,1),IF((N32+5-(NETWORKDAYS.INTL(J_GregorianDate(D32,1),J_GregorianDate(J_SUBDAY(J_ADDDAY(D32,N32+5,1),1,1),1),16,1)))+SUMIFS(Holieday[ok],Holieday[date],CONCATENATE("&gt;","=",D32),Holieday[date],CONCATENATE("&lt;","=",J_SUBDAY(J_ADDDAY(D32,N32+5,1),1,1)))-SUMIFS(Holieday[Friday],Holieday[date],CONCATENATE("&gt;","=",D32),Holieday[date],CONCATENATE("&lt;","=",J_SUBDAY(J_ADDDAY(D32,N32+5,1),1,1)))=5,J_SUBDAY(J_ADDDAY(D32,N32+5,1),1,1),J_SUBDAY(J_ADDDAY(D32,N32+6,1),1,1))))))))</f>
        <v>1398/10/17</v>
      </c>
      <c r="G32" s="139">
        <f t="shared" si="16"/>
        <v>13981017</v>
      </c>
      <c r="H32" s="175">
        <v>5</v>
      </c>
      <c r="I32" s="176">
        <v>1.1000000000000001</v>
      </c>
      <c r="J32" s="174">
        <f>j_WEEKDAY(D32,2)</f>
        <v>0</v>
      </c>
      <c r="K32" s="143">
        <f t="shared" si="18"/>
        <v>0</v>
      </c>
      <c r="L32" s="177">
        <v>30</v>
      </c>
      <c r="M32" s="178">
        <v>1</v>
      </c>
      <c r="N32" s="179">
        <v>10</v>
      </c>
      <c r="O32" s="144">
        <f t="shared" si="17"/>
        <v>30</v>
      </c>
      <c r="P32" s="144">
        <f>VALUE(J_normdate(J_ADDDAY($D32,$O32,1)))</f>
        <v>13981107</v>
      </c>
      <c r="Q32" s="142">
        <f t="shared" si="14"/>
        <v>0</v>
      </c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L32" s="180"/>
      <c r="BM32" s="180"/>
      <c r="BN32" s="180"/>
      <c r="BO32" s="180"/>
      <c r="BP32" s="180"/>
      <c r="BQ32" s="180"/>
      <c r="BR32" s="180"/>
      <c r="BS32" s="180"/>
      <c r="BT32" s="180"/>
      <c r="BU32" s="180"/>
      <c r="BV32" s="180"/>
      <c r="BW32" s="180"/>
      <c r="BX32" s="180"/>
      <c r="BY32" s="180"/>
      <c r="BZ32" s="180"/>
      <c r="CA32" s="180"/>
      <c r="CB32" s="180"/>
      <c r="CC32" s="180"/>
      <c r="CD32" s="180"/>
      <c r="CE32" s="180"/>
      <c r="CF32" s="180"/>
      <c r="CG32" s="180"/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180"/>
      <c r="DI32" s="180"/>
      <c r="DJ32" s="180"/>
      <c r="DK32" s="180"/>
      <c r="DL32" s="180"/>
      <c r="DM32" s="180"/>
      <c r="DN32" s="180"/>
      <c r="DO32" s="180"/>
      <c r="DP32" s="180"/>
      <c r="DQ32" s="180"/>
      <c r="DR32" s="180"/>
      <c r="DS32" s="180"/>
      <c r="DT32" s="180"/>
      <c r="DU32" s="180"/>
      <c r="DV32" s="180"/>
      <c r="DW32" s="180"/>
      <c r="DX32" s="180"/>
      <c r="DY32" s="180"/>
      <c r="DZ32" s="180"/>
      <c r="EA32" s="180"/>
      <c r="EB32" s="180"/>
      <c r="EC32" s="180"/>
      <c r="ED32" s="180"/>
      <c r="EE32" s="180"/>
      <c r="EF32" s="180"/>
      <c r="EG32" s="180"/>
      <c r="EH32" s="180"/>
      <c r="EI32" s="180"/>
      <c r="EJ32" s="180"/>
      <c r="EK32" s="180"/>
      <c r="EL32" s="180"/>
      <c r="EM32" s="180"/>
      <c r="EN32" s="180"/>
      <c r="EO32" s="180"/>
      <c r="EP32" s="180"/>
      <c r="EQ32" s="180"/>
      <c r="ER32" s="180"/>
      <c r="ES32" s="180"/>
      <c r="ET32" s="180"/>
      <c r="EU32" s="180"/>
      <c r="EV32" s="180"/>
      <c r="EW32" s="180"/>
      <c r="EX32" s="180"/>
      <c r="EY32" s="180"/>
      <c r="EZ32" s="180"/>
      <c r="FA32" s="180"/>
      <c r="FB32" s="180"/>
      <c r="FC32" s="180"/>
      <c r="FD32" s="180"/>
      <c r="FE32" s="180"/>
      <c r="FF32" s="180"/>
      <c r="FG32" s="180"/>
      <c r="FH32" s="180"/>
      <c r="FI32" s="180"/>
      <c r="FJ32" s="180"/>
      <c r="FK32" s="180"/>
      <c r="FL32" s="180"/>
      <c r="FM32" s="180"/>
      <c r="FN32" s="180"/>
      <c r="FO32" s="180"/>
      <c r="FP32" s="180"/>
      <c r="FQ32" s="180"/>
      <c r="FR32" s="180"/>
      <c r="FS32" s="180"/>
      <c r="FT32" s="180"/>
      <c r="FU32" s="180"/>
      <c r="FV32" s="180"/>
      <c r="FW32" s="180"/>
      <c r="FX32" s="180"/>
      <c r="FY32" s="180"/>
      <c r="FZ32" s="180"/>
      <c r="GA32" s="180"/>
      <c r="GB32" s="180"/>
      <c r="GC32" s="180"/>
      <c r="GD32" s="180"/>
      <c r="GE32" s="180"/>
      <c r="GF32" s="180"/>
      <c r="GG32" s="180"/>
      <c r="GH32" s="180"/>
      <c r="GI32" s="180"/>
      <c r="GJ32" s="180"/>
      <c r="GK32" s="180"/>
      <c r="GL32" s="180"/>
      <c r="GM32" s="180"/>
      <c r="GN32" s="180"/>
      <c r="GO32" s="180"/>
      <c r="GP32" s="180"/>
      <c r="GQ32" s="180"/>
      <c r="GR32" s="180"/>
      <c r="GS32" s="180"/>
      <c r="GT32" s="180"/>
      <c r="GU32" s="180"/>
      <c r="GV32" s="180"/>
      <c r="GW32" s="180"/>
      <c r="GX32" s="180"/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  <c r="HI32" s="180"/>
      <c r="HJ32" s="180"/>
      <c r="HK32" s="180"/>
      <c r="HL32" s="180"/>
      <c r="HM32" s="180"/>
      <c r="HN32" s="180"/>
      <c r="HO32" s="180"/>
      <c r="HP32" s="180"/>
      <c r="HQ32" s="180"/>
      <c r="HR32" s="180"/>
      <c r="HS32" s="180"/>
      <c r="HT32" s="180"/>
      <c r="HU32" s="180"/>
      <c r="HV32" s="180"/>
      <c r="HW32" s="180"/>
      <c r="HX32" s="180"/>
      <c r="HY32" s="180"/>
      <c r="HZ32" s="180"/>
      <c r="IA32" s="180"/>
      <c r="IB32" s="180"/>
      <c r="IC32" s="180"/>
      <c r="ID32" s="180"/>
      <c r="IE32" s="180"/>
      <c r="IF32" s="180"/>
      <c r="IG32" s="180"/>
      <c r="IH32" s="180"/>
      <c r="II32" s="180"/>
      <c r="IJ32" s="180"/>
      <c r="IK32" s="180"/>
      <c r="IL32" s="180"/>
      <c r="IM32" s="180"/>
      <c r="IN32" s="180"/>
      <c r="IO32" s="180"/>
      <c r="IP32" s="180"/>
      <c r="IQ32" s="180"/>
      <c r="IR32" s="180"/>
      <c r="IS32" s="180"/>
      <c r="IT32" s="180"/>
      <c r="IU32" s="180"/>
      <c r="IV32" s="180"/>
      <c r="IW32" s="180"/>
      <c r="IX32" s="180"/>
      <c r="IY32" s="181">
        <v>3</v>
      </c>
      <c r="IZ32" s="182">
        <f>(TEXT(K32,"[m]")/60)*VLOOKUP(IY32,'Income Person-hours'!A$2:C$5,3,FALSE)</f>
        <v>0</v>
      </c>
      <c r="JA32" s="183"/>
      <c r="JB32" s="183"/>
      <c r="JC32" s="183"/>
      <c r="JD32" s="184">
        <f>SUM((TEXT(JA32,"[M]")/60)*'Income Person-hours'!$D$3,(TEXT(JB32,"[M]")/60)*'Income Person-hours'!$D$4,(TEXT(JC32,"[M]")/60)*'Income Person-hours'!$D$5)</f>
        <v>0</v>
      </c>
    </row>
    <row r="33" spans="1:264" s="185" customFormat="1" ht="18.75" customHeight="1">
      <c r="A33" s="172">
        <v>3.4</v>
      </c>
      <c r="B33" s="186" t="s">
        <v>169</v>
      </c>
      <c r="C33" s="173" t="s">
        <v>72</v>
      </c>
      <c r="D33" s="298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1398/10/18</v>
      </c>
      <c r="E33" s="136">
        <f t="shared" si="15"/>
        <v>13981018</v>
      </c>
      <c r="F33" s="299" t="str">
        <f>IF(N33=0,J_SUBDAY(D33,1,1),IF((N33-(NETWORKDAYS.INTL(J_GregorianDate(D33,1),J_GregorianDate(J_SUBDAY(J_ADDDAY(D33,N33,1),1,1),1),16,1)))+SUMIFS(Holieday[ok],Holieday[date],CONCATENATE("&gt;","=",D33),Holieday[date],CONCATENATE("&lt;","=",J_SUBDAY(J_ADDDAY(D33,N33,1),1,1)))-SUMIFS(Holieday[Friday],Holieday[date],CONCATENATE("&gt;","=",D33),Holieday[date],CONCATENATE("&lt;","=",J_SUBDAY(J_ADDDAY(D33,N33,1),1,1)))=0,J_SUBDAY(J_ADDDAY(D33,N33,1),1,1),IF((N33+1-(NETWORKDAYS.INTL(J_GregorianDate(D33,1),J_GregorianDate(J_SUBDAY(J_ADDDAY(D33,N33+1,1),1,1),1),16,1)))+SUMIFS(Holieday[ok],Holieday[date],CONCATENATE("&gt;","=",D33),Holieday[date],CONCATENATE("&lt;","=",J_SUBDAY(J_ADDDAY(D33,N33+1,1),1,1)))-SUMIFS(Holieday[Friday],Holieday[date],CONCATENATE("&gt;","=",D33),Holieday[date],CONCATENATE("&lt;","=",J_SUBDAY(J_ADDDAY(D33,N33+1,1),1,1)))=1,J_SUBDAY(J_ADDDAY(D33,N33+1,1),1,1),IF((N33+2-(NETWORKDAYS.INTL(J_GregorianDate(D33,1),J_GregorianDate(J_SUBDAY(J_ADDDAY(D33,N33+2,1),1,1),1),16,1)))+SUMIFS(Holieday[ok],Holieday[date],CONCATENATE("&gt;","=",D33),Holieday[date],CONCATENATE("&lt;","=",J_SUBDAY(J_ADDDAY(D33,N33+2,1),1,1)))-SUMIFS(Holieday[Friday],Holieday[date],CONCATENATE("&gt;","=",D33),Holieday[date],CONCATENATE("&lt;","=",J_SUBDAY(J_ADDDAY(D33,N33+2,1),1,1)))=2,J_SUBDAY(J_ADDDAY(D33,N33+2,1),1,1),IF((N33+3-(NETWORKDAYS.INTL(J_GregorianDate(D33,1),J_GregorianDate(J_SUBDAY(J_ADDDAY(D33,N33+3,1),1,1),1),16,1)))+SUMIFS(Holieday[ok],Holieday[date],CONCATENATE("&gt;","=",D33),Holieday[date],CONCATENATE("&lt;","=",J_SUBDAY(J_ADDDAY(D33,N33+3,1),1,1)))-SUMIFS(Holieday[Friday],Holieday[date],CONCATENATE("&gt;","=",D33),Holieday[date],CONCATENATE("&lt;","=",J_SUBDAY(J_ADDDAY(D33,N33+3,1),1,1)))=3,J_SUBDAY(J_ADDDAY(D33,N33+3,1),1,1),IF((N33+4-(NETWORKDAYS.INTL(J_GregorianDate(D33,1),J_GregorianDate(J_SUBDAY(J_ADDDAY(D33,N33+4,1),1,1),1),16,1)))+SUMIFS(Holieday[ok],Holieday[date],CONCATENATE("&gt;","=",D33),Holieday[date],CONCATENATE("&lt;","=",J_SUBDAY(J_ADDDAY(D33,N33+4,1),1,1)))-SUMIFS(Holieday[Friday],Holieday[date],CONCATENATE("&gt;","=",D33),Holieday[date],CONCATENATE("&lt;","=",J_SUBDAY(J_ADDDAY(D33,N33+4,1),1,1)))=4,J_SUBDAY(J_ADDDAY(D33,N33+4,1),1,1),IF((N33+5-(NETWORKDAYS.INTL(J_GregorianDate(D33,1),J_GregorianDate(J_SUBDAY(J_ADDDAY(D33,N33+5,1),1,1),1),16,1)))+SUMIFS(Holieday[ok],Holieday[date],CONCATENATE("&gt;","=",D33),Holieday[date],CONCATENATE("&lt;","=",J_SUBDAY(J_ADDDAY(D33,N33+5,1),1,1)))-SUMIFS(Holieday[Friday],Holieday[date],CONCATENATE("&gt;","=",D33),Holieday[date],CONCATENATE("&lt;","=",J_SUBDAY(J_ADDDAY(D33,N33+5,1),1,1)))=5,J_SUBDAY(J_ADDDAY(D33,N33+5,1),1,1),J_SUBDAY(J_ADDDAY(D33,N33+6,1),1,1))))))))</f>
        <v>1398/10/21</v>
      </c>
      <c r="G33" s="139">
        <f t="shared" si="16"/>
        <v>13981021</v>
      </c>
      <c r="H33" s="175">
        <v>1</v>
      </c>
      <c r="I33" s="176">
        <v>3.3</v>
      </c>
      <c r="J33" s="174">
        <f>j_WEEKDAY(D33,2)</f>
        <v>4</v>
      </c>
      <c r="K33" s="143">
        <f t="shared" si="18"/>
        <v>0</v>
      </c>
      <c r="L33" s="177">
        <v>5</v>
      </c>
      <c r="M33" s="178">
        <v>1</v>
      </c>
      <c r="N33" s="179">
        <v>3</v>
      </c>
      <c r="O33" s="144">
        <f t="shared" si="17"/>
        <v>5</v>
      </c>
      <c r="P33" s="144">
        <f>VALUE(J_normdate(J_ADDDAY($D33,$O33,1)))</f>
        <v>13981023</v>
      </c>
      <c r="Q33" s="142">
        <f t="shared" si="14"/>
        <v>0</v>
      </c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L33" s="180"/>
      <c r="BM33" s="180"/>
      <c r="BN33" s="180"/>
      <c r="BO33" s="180"/>
      <c r="BP33" s="180"/>
      <c r="BQ33" s="180"/>
      <c r="BR33" s="180"/>
      <c r="BS33" s="180"/>
      <c r="BT33" s="180"/>
      <c r="BU33" s="180"/>
      <c r="BV33" s="180"/>
      <c r="BW33" s="180"/>
      <c r="BX33" s="180"/>
      <c r="BY33" s="180"/>
      <c r="BZ33" s="180"/>
      <c r="CA33" s="180"/>
      <c r="CB33" s="180"/>
      <c r="CC33" s="180"/>
      <c r="CD33" s="180"/>
      <c r="CE33" s="180"/>
      <c r="CF33" s="180"/>
      <c r="CG33" s="180"/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180"/>
      <c r="DI33" s="180"/>
      <c r="DJ33" s="180"/>
      <c r="DK33" s="180"/>
      <c r="DL33" s="180"/>
      <c r="DM33" s="180"/>
      <c r="DN33" s="180"/>
      <c r="DO33" s="180"/>
      <c r="DP33" s="180"/>
      <c r="DQ33" s="180"/>
      <c r="DR33" s="180"/>
      <c r="DS33" s="180"/>
      <c r="DT33" s="180"/>
      <c r="DU33" s="180"/>
      <c r="DV33" s="180"/>
      <c r="DW33" s="180"/>
      <c r="DX33" s="180"/>
      <c r="DY33" s="180"/>
      <c r="DZ33" s="180"/>
      <c r="EA33" s="180"/>
      <c r="EB33" s="180"/>
      <c r="EC33" s="180"/>
      <c r="ED33" s="180"/>
      <c r="EE33" s="180"/>
      <c r="EF33" s="180"/>
      <c r="EG33" s="180"/>
      <c r="EH33" s="180"/>
      <c r="EI33" s="180"/>
      <c r="EJ33" s="180"/>
      <c r="EK33" s="180"/>
      <c r="EL33" s="180"/>
      <c r="EM33" s="180"/>
      <c r="EN33" s="180"/>
      <c r="EO33" s="180"/>
      <c r="EP33" s="180"/>
      <c r="EQ33" s="180"/>
      <c r="ER33" s="180"/>
      <c r="ES33" s="180"/>
      <c r="ET33" s="180"/>
      <c r="EU33" s="180"/>
      <c r="EV33" s="180"/>
      <c r="EW33" s="180"/>
      <c r="EX33" s="180"/>
      <c r="EY33" s="180"/>
      <c r="EZ33" s="180"/>
      <c r="FA33" s="180"/>
      <c r="FB33" s="180"/>
      <c r="FC33" s="180"/>
      <c r="FD33" s="180"/>
      <c r="FE33" s="180"/>
      <c r="FF33" s="180"/>
      <c r="FG33" s="180"/>
      <c r="FH33" s="180"/>
      <c r="FI33" s="180"/>
      <c r="FJ33" s="180"/>
      <c r="FK33" s="180"/>
      <c r="FL33" s="180"/>
      <c r="FM33" s="180"/>
      <c r="FN33" s="180"/>
      <c r="FO33" s="180"/>
      <c r="FP33" s="180"/>
      <c r="FQ33" s="180"/>
      <c r="FR33" s="180"/>
      <c r="FS33" s="180"/>
      <c r="FT33" s="180"/>
      <c r="FU33" s="180"/>
      <c r="FV33" s="180"/>
      <c r="FW33" s="180"/>
      <c r="FX33" s="180"/>
      <c r="FY33" s="180"/>
      <c r="FZ33" s="180"/>
      <c r="GA33" s="180"/>
      <c r="GB33" s="180"/>
      <c r="GC33" s="180"/>
      <c r="GD33" s="180"/>
      <c r="GE33" s="180"/>
      <c r="GF33" s="180"/>
      <c r="GG33" s="180"/>
      <c r="GH33" s="180"/>
      <c r="GI33" s="180"/>
      <c r="GJ33" s="180"/>
      <c r="GK33" s="180"/>
      <c r="GL33" s="180"/>
      <c r="GM33" s="180"/>
      <c r="GN33" s="180"/>
      <c r="GO33" s="180"/>
      <c r="GP33" s="180"/>
      <c r="GQ33" s="180"/>
      <c r="GR33" s="180"/>
      <c r="GS33" s="180"/>
      <c r="GT33" s="180"/>
      <c r="GU33" s="180"/>
      <c r="GV33" s="180"/>
      <c r="GW33" s="180"/>
      <c r="GX33" s="180"/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  <c r="HI33" s="180"/>
      <c r="HJ33" s="180"/>
      <c r="HK33" s="180"/>
      <c r="HL33" s="180"/>
      <c r="HM33" s="180"/>
      <c r="HN33" s="180"/>
      <c r="HO33" s="180"/>
      <c r="HP33" s="180"/>
      <c r="HQ33" s="180"/>
      <c r="HR33" s="180"/>
      <c r="HS33" s="180"/>
      <c r="HT33" s="180"/>
      <c r="HU33" s="180"/>
      <c r="HV33" s="180"/>
      <c r="HW33" s="180"/>
      <c r="HX33" s="180"/>
      <c r="HY33" s="180"/>
      <c r="HZ33" s="180"/>
      <c r="IA33" s="180"/>
      <c r="IB33" s="180"/>
      <c r="IC33" s="180"/>
      <c r="ID33" s="180"/>
      <c r="IE33" s="180"/>
      <c r="IF33" s="180"/>
      <c r="IG33" s="180"/>
      <c r="IH33" s="180"/>
      <c r="II33" s="180"/>
      <c r="IJ33" s="180"/>
      <c r="IK33" s="180"/>
      <c r="IL33" s="180"/>
      <c r="IM33" s="180"/>
      <c r="IN33" s="180"/>
      <c r="IO33" s="180"/>
      <c r="IP33" s="180"/>
      <c r="IQ33" s="180"/>
      <c r="IR33" s="180"/>
      <c r="IS33" s="180"/>
      <c r="IT33" s="180"/>
      <c r="IU33" s="180"/>
      <c r="IV33" s="180"/>
      <c r="IW33" s="180"/>
      <c r="IX33" s="180"/>
      <c r="IY33" s="181">
        <v>3</v>
      </c>
      <c r="IZ33" s="182">
        <f>(TEXT(K33,"[m]")/60)*VLOOKUP(IY33,'Income Person-hours'!A$2:C$5,3,FALSE)</f>
        <v>0</v>
      </c>
      <c r="JA33" s="183"/>
      <c r="JB33" s="183"/>
      <c r="JC33" s="183"/>
      <c r="JD33" s="184">
        <f>SUM((TEXT(JA33,"[M]")/60)*'Income Person-hours'!$D$3,(TEXT(JB33,"[M]")/60)*'Income Person-hours'!$D$4,(TEXT(JC33,"[M]")/60)*'Income Person-hours'!$D$5)</f>
        <v>0</v>
      </c>
    </row>
    <row r="34" spans="1:264" s="185" customFormat="1" ht="13.5">
      <c r="A34" s="172">
        <v>3.5</v>
      </c>
      <c r="B34" s="186" t="s">
        <v>149</v>
      </c>
      <c r="C34" s="173" t="s">
        <v>72</v>
      </c>
      <c r="D34" s="298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1398/10/22</v>
      </c>
      <c r="E34" s="136">
        <f t="shared" si="15"/>
        <v>13981022</v>
      </c>
      <c r="F34" s="299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1398/10/24</v>
      </c>
      <c r="G34" s="139">
        <f t="shared" si="16"/>
        <v>13981024</v>
      </c>
      <c r="H34" s="175">
        <v>1</v>
      </c>
      <c r="I34" s="176">
        <v>3.4</v>
      </c>
      <c r="J34" s="174">
        <f>j_WEEKDAY(D34,2)</f>
        <v>1</v>
      </c>
      <c r="K34" s="143">
        <f>SUM(JA34:JC34)</f>
        <v>0</v>
      </c>
      <c r="L34" s="177">
        <f t="shared" si="19"/>
        <v>3</v>
      </c>
      <c r="M34" s="178">
        <v>1</v>
      </c>
      <c r="N34" s="179">
        <v>3</v>
      </c>
      <c r="O34" s="144">
        <f t="shared" si="17"/>
        <v>3</v>
      </c>
      <c r="P34" s="144">
        <f>VALUE(J_normdate(J_ADDDAY($D34,$O34,1)))</f>
        <v>13981025</v>
      </c>
      <c r="Q34" s="142">
        <f t="shared" si="14"/>
        <v>0</v>
      </c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L34" s="180"/>
      <c r="BM34" s="180"/>
      <c r="BN34" s="180"/>
      <c r="BO34" s="180"/>
      <c r="BP34" s="180"/>
      <c r="BQ34" s="180"/>
      <c r="BR34" s="180"/>
      <c r="BS34" s="180"/>
      <c r="BT34" s="180"/>
      <c r="BU34" s="180"/>
      <c r="BV34" s="180"/>
      <c r="BW34" s="180"/>
      <c r="BX34" s="180"/>
      <c r="BY34" s="180"/>
      <c r="BZ34" s="180"/>
      <c r="CA34" s="180"/>
      <c r="CB34" s="180"/>
      <c r="CC34" s="180"/>
      <c r="CD34" s="180"/>
      <c r="CE34" s="180"/>
      <c r="CF34" s="180"/>
      <c r="CG34" s="180"/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180"/>
      <c r="DI34" s="180"/>
      <c r="DJ34" s="180"/>
      <c r="DK34" s="180"/>
      <c r="DL34" s="180"/>
      <c r="DM34" s="180"/>
      <c r="DN34" s="180"/>
      <c r="DO34" s="180"/>
      <c r="DP34" s="180"/>
      <c r="DQ34" s="180"/>
      <c r="DR34" s="180"/>
      <c r="DS34" s="180"/>
      <c r="DT34" s="180"/>
      <c r="DU34" s="180"/>
      <c r="DV34" s="180"/>
      <c r="DW34" s="180"/>
      <c r="DX34" s="180"/>
      <c r="DY34" s="180"/>
      <c r="DZ34" s="180"/>
      <c r="EA34" s="180"/>
      <c r="EB34" s="180"/>
      <c r="EC34" s="180"/>
      <c r="ED34" s="180"/>
      <c r="EE34" s="180"/>
      <c r="EF34" s="180"/>
      <c r="EG34" s="180"/>
      <c r="EH34" s="180"/>
      <c r="EI34" s="180"/>
      <c r="EJ34" s="180"/>
      <c r="EK34" s="180"/>
      <c r="EL34" s="180"/>
      <c r="EM34" s="180"/>
      <c r="EN34" s="180"/>
      <c r="EO34" s="180"/>
      <c r="EP34" s="180"/>
      <c r="EQ34" s="180"/>
      <c r="ER34" s="180"/>
      <c r="ES34" s="180"/>
      <c r="ET34" s="180"/>
      <c r="EU34" s="180"/>
      <c r="EV34" s="180"/>
      <c r="EW34" s="180"/>
      <c r="EX34" s="180"/>
      <c r="EY34" s="180"/>
      <c r="EZ34" s="180"/>
      <c r="FA34" s="180"/>
      <c r="FB34" s="180"/>
      <c r="FC34" s="180"/>
      <c r="FD34" s="180"/>
      <c r="FE34" s="180"/>
      <c r="FF34" s="180"/>
      <c r="FG34" s="180"/>
      <c r="FH34" s="180"/>
      <c r="FI34" s="180"/>
      <c r="FJ34" s="180"/>
      <c r="FK34" s="180"/>
      <c r="FL34" s="180"/>
      <c r="FM34" s="180"/>
      <c r="FN34" s="180"/>
      <c r="FO34" s="180"/>
      <c r="FP34" s="180"/>
      <c r="FQ34" s="180"/>
      <c r="FR34" s="180"/>
      <c r="FS34" s="180"/>
      <c r="FT34" s="180"/>
      <c r="FU34" s="180"/>
      <c r="FV34" s="180"/>
      <c r="FW34" s="180"/>
      <c r="FX34" s="180"/>
      <c r="FY34" s="180"/>
      <c r="FZ34" s="180"/>
      <c r="GA34" s="180"/>
      <c r="GB34" s="180"/>
      <c r="GC34" s="180"/>
      <c r="GD34" s="180"/>
      <c r="GE34" s="180"/>
      <c r="GF34" s="180"/>
      <c r="GG34" s="180"/>
      <c r="GH34" s="180"/>
      <c r="GI34" s="180"/>
      <c r="GJ34" s="180"/>
      <c r="GK34" s="180"/>
      <c r="GL34" s="180"/>
      <c r="GM34" s="180"/>
      <c r="GN34" s="180"/>
      <c r="GO34" s="180"/>
      <c r="GP34" s="180"/>
      <c r="GQ34" s="180"/>
      <c r="GR34" s="180"/>
      <c r="GS34" s="180"/>
      <c r="GT34" s="180"/>
      <c r="GU34" s="180"/>
      <c r="GV34" s="180"/>
      <c r="GW34" s="180"/>
      <c r="GX34" s="180"/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  <c r="HI34" s="180"/>
      <c r="HJ34" s="180"/>
      <c r="HK34" s="180"/>
      <c r="HL34" s="180"/>
      <c r="HM34" s="180"/>
      <c r="HN34" s="180"/>
      <c r="HO34" s="180"/>
      <c r="HP34" s="180"/>
      <c r="HQ34" s="180"/>
      <c r="HR34" s="180"/>
      <c r="HS34" s="180"/>
      <c r="HT34" s="180"/>
      <c r="HU34" s="180"/>
      <c r="HV34" s="180"/>
      <c r="HW34" s="180"/>
      <c r="HX34" s="180"/>
      <c r="HY34" s="180"/>
      <c r="HZ34" s="180"/>
      <c r="IA34" s="180"/>
      <c r="IB34" s="180"/>
      <c r="IC34" s="180"/>
      <c r="ID34" s="180"/>
      <c r="IE34" s="180"/>
      <c r="IF34" s="180"/>
      <c r="IG34" s="180"/>
      <c r="IH34" s="180"/>
      <c r="II34" s="180"/>
      <c r="IJ34" s="180"/>
      <c r="IK34" s="180"/>
      <c r="IL34" s="180"/>
      <c r="IM34" s="180"/>
      <c r="IN34" s="180"/>
      <c r="IO34" s="180"/>
      <c r="IP34" s="180"/>
      <c r="IQ34" s="180"/>
      <c r="IR34" s="180"/>
      <c r="IS34" s="180"/>
      <c r="IT34" s="180"/>
      <c r="IU34" s="180"/>
      <c r="IV34" s="180"/>
      <c r="IW34" s="180"/>
      <c r="IX34" s="180"/>
      <c r="IY34" s="181">
        <v>2</v>
      </c>
      <c r="IZ34" s="182">
        <f>(TEXT(K34,"[m]")/60)*VLOOKUP(IY34,'Income Person-hours'!A$2:C$5,3,FALSE)</f>
        <v>0</v>
      </c>
      <c r="JA34" s="183"/>
      <c r="JB34" s="183"/>
      <c r="JC34" s="183"/>
      <c r="JD34" s="184">
        <f>SUM((TEXT(JA34,"[M]")/60)*'Income Person-hours'!$D$3,(TEXT(JB34,"[M]")/60)*'Income Person-hours'!$D$4,(TEXT(JC34,"[M]")/60)*'Income Person-hours'!$D$5)</f>
        <v>0</v>
      </c>
    </row>
    <row r="35" spans="1:264" s="185" customFormat="1" ht="15.75" customHeight="1">
      <c r="A35" s="197">
        <v>3.6</v>
      </c>
      <c r="B35" s="186" t="s">
        <v>150</v>
      </c>
      <c r="C35" s="173" t="s">
        <v>72</v>
      </c>
      <c r="D35" s="180" t="str">
        <f>IF(OR(j_WEEKDAY(J_ADDDAY(VLOOKUP(I35,A:F,6,FALSE),H35,1),0)=6,SUMIFS(Holieday[ok],Holieday[date],J_ADDDAY(VLOOKUP(I35,A:F,6,FALSE),H35,1)))=FALSE(),J_ADDDAY(VLOOKUP(I35,A:F,6,FALSE),H35,1),IF(OR(j_WEEKDAY(J_ADDDAY(VLOOKUP(I35,A:F,6,FALSE),H35+1,1),0)=6,SUMIFS(Holieday[ok],Holieday[date],J_ADDDAY(VLOOKUP(I35,A:F,6,FALSE),H35+1,1)))=FALSE(),J_ADDDAY(VLOOKUP(I35,A:F,6,FALSE),H35+1,1),IF(OR(j_WEEKDAY(J_ADDDAY(VLOOKUP(I35,A:F,6,FALSE),H35+2,1),0)=6,SUMIFS(Holieday[ok],Holieday[date],J_ADDDAY(VLOOKUP(I35,A:F,6,FALSE),H35+2,1)))=FALSE(),J_ADDDAY(VLOOKUP(I35,A:F,6,FALSE),H35+2,1),IF(OR(j_WEEKDAY(J_ADDDAY(VLOOKUP(I35,A:F,6,FALSE),H35+3,1),0)=6,SUMIFS(Holieday[ok],Holieday[date],J_ADDDAY(VLOOKUP(I35,A:F,6,FALSE),H35+3,1)))=FALSE(),J_ADDDAY(VLOOKUP(I35,A:F,6,FALSE),H35+3,1),IF(OR(j_WEEKDAY(J_ADDDAY(VLOOKUP(I35,A:F,6,FALSE),H35+4,1),0)=6,SUMIFS(Holieday[ok],Holieday[date],J_ADDDAY(VLOOKUP(I35,A:F,6,FALSE),H35+4,1)))=FALSE(),J_ADDDAY(VLOOKUP(I35,A:F,6,FALSE),H35+4,1),J_ADDDAY(VLOOKUP(I35,A:F,6,FALSE),H35+5,1))))))</f>
        <v>1398/10/25</v>
      </c>
      <c r="E35" s="136">
        <f t="shared" si="15"/>
        <v>13981025</v>
      </c>
      <c r="F35" s="189" t="str">
        <f>IF(N35=0,J_SUBDAY(D35,1,1),IF((N35-(NETWORKDAYS.INTL(J_GregorianDate(D35,1),J_GregorianDate(J_SUBDAY(J_ADDDAY(D35,N35,1),1,1),1),16,1)))+SUMIFS(Holieday[ok],Holieday[date],CONCATENATE("&gt;","=",D35),Holieday[date],CONCATENATE("&lt;","=",J_SUBDAY(J_ADDDAY(D35,N35,1),1,1)))-SUMIFS(Holieday[Friday],Holieday[date],CONCATENATE("&gt;","=",D35),Holieday[date],CONCATENATE("&lt;","=",J_SUBDAY(J_ADDDAY(D35,N35,1),1,1)))=0,J_SUBDAY(J_ADDDAY(D35,N35,1),1,1),IF((N35+1-(NETWORKDAYS.INTL(J_GregorianDate(D35,1),J_GregorianDate(J_SUBDAY(J_ADDDAY(D35,N35+1,1),1,1),1),16,1)))+SUMIFS(Holieday[ok],Holieday[date],CONCATENATE("&gt;","=",D35),Holieday[date],CONCATENATE("&lt;","=",J_SUBDAY(J_ADDDAY(D35,N35+1,1),1,1)))-SUMIFS(Holieday[Friday],Holieday[date],CONCATENATE("&gt;","=",D35),Holieday[date],CONCATENATE("&lt;","=",J_SUBDAY(J_ADDDAY(D35,N35+1,1),1,1)))=1,J_SUBDAY(J_ADDDAY(D35,N35+1,1),1,1),IF((N35+2-(NETWORKDAYS.INTL(J_GregorianDate(D35,1),J_GregorianDate(J_SUBDAY(J_ADDDAY(D35,N35+2,1),1,1),1),16,1)))+SUMIFS(Holieday[ok],Holieday[date],CONCATENATE("&gt;","=",D35),Holieday[date],CONCATENATE("&lt;","=",J_SUBDAY(J_ADDDAY(D35,N35+2,1),1,1)))-SUMIFS(Holieday[Friday],Holieday[date],CONCATENATE("&gt;","=",D35),Holieday[date],CONCATENATE("&lt;","=",J_SUBDAY(J_ADDDAY(D35,N35+2,1),1,1)))=2,J_SUBDAY(J_ADDDAY(D35,N35+2,1),1,1),IF((N35+3-(NETWORKDAYS.INTL(J_GregorianDate(D35,1),J_GregorianDate(J_SUBDAY(J_ADDDAY(D35,N35+3,1),1,1),1),16,1)))+SUMIFS(Holieday[ok],Holieday[date],CONCATENATE("&gt;","=",D35),Holieday[date],CONCATENATE("&lt;","=",J_SUBDAY(J_ADDDAY(D35,N35+3,1),1,1)))-SUMIFS(Holieday[Friday],Holieday[date],CONCATENATE("&gt;","=",D35),Holieday[date],CONCATENATE("&lt;","=",J_SUBDAY(J_ADDDAY(D35,N35+3,1),1,1)))=3,J_SUBDAY(J_ADDDAY(D35,N35+3,1),1,1),IF((N35+4-(NETWORKDAYS.INTL(J_GregorianDate(D35,1),J_GregorianDate(J_SUBDAY(J_ADDDAY(D35,N35+4,1),1,1),1),16,1)))+SUMIFS(Holieday[ok],Holieday[date],CONCATENATE("&gt;","=",D35),Holieday[date],CONCATENATE("&lt;","=",J_SUBDAY(J_ADDDAY(D35,N35+4,1),1,1)))-SUMIFS(Holieday[Friday],Holieday[date],CONCATENATE("&gt;","=",D35),Holieday[date],CONCATENATE("&lt;","=",J_SUBDAY(J_ADDDAY(D35,N35+4,1),1,1)))=4,J_SUBDAY(J_ADDDAY(D35,N35+4,1),1,1),IF((N35+5-(NETWORKDAYS.INTL(J_GregorianDate(D35,1),J_GregorianDate(J_SUBDAY(J_ADDDAY(D35,N35+5,1),1,1),1),16,1)))+SUMIFS(Holieday[ok],Holieday[date],CONCATENATE("&gt;","=",D35),Holieday[date],CONCATENATE("&lt;","=",J_SUBDAY(J_ADDDAY(D35,N35+5,1),1,1)))-SUMIFS(Holieday[Friday],Holieday[date],CONCATENATE("&gt;","=",D35),Holieday[date],CONCATENATE("&lt;","=",J_SUBDAY(J_ADDDAY(D35,N35+5,1),1,1)))=5,J_SUBDAY(J_ADDDAY(D35,N35+5,1),1,1),J_SUBDAY(J_ADDDAY(D35,N35+6,1),1,1))))))))</f>
        <v>1398/10/28</v>
      </c>
      <c r="G35" s="139">
        <f t="shared" si="16"/>
        <v>13981028</v>
      </c>
      <c r="H35" s="175">
        <v>1</v>
      </c>
      <c r="I35" s="176">
        <v>3.5</v>
      </c>
      <c r="J35" s="174">
        <f>j_WEEKDAY(D35,2)</f>
        <v>4</v>
      </c>
      <c r="K35" s="143">
        <f>SUM(JA35:JC35)</f>
        <v>0</v>
      </c>
      <c r="L35" s="177">
        <f t="shared" si="19"/>
        <v>4</v>
      </c>
      <c r="M35" s="178">
        <v>0</v>
      </c>
      <c r="N35" s="179">
        <v>3</v>
      </c>
      <c r="O35" s="144">
        <f t="shared" si="17"/>
        <v>0</v>
      </c>
      <c r="P35" s="144">
        <f>VALUE(J_normdate(J_ADDDAY($D35,$O35,1)))</f>
        <v>13981025</v>
      </c>
      <c r="Q35" s="142">
        <f t="shared" si="14"/>
        <v>4</v>
      </c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L35" s="180"/>
      <c r="BM35" s="180"/>
      <c r="BN35" s="180"/>
      <c r="BO35" s="180"/>
      <c r="BP35" s="180"/>
      <c r="BQ35" s="180"/>
      <c r="BR35" s="180"/>
      <c r="BS35" s="180"/>
      <c r="BT35" s="180"/>
      <c r="BU35" s="180"/>
      <c r="BV35" s="180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180"/>
      <c r="DI35" s="180"/>
      <c r="DJ35" s="180"/>
      <c r="DK35" s="180"/>
      <c r="DL35" s="180"/>
      <c r="DM35" s="180"/>
      <c r="DN35" s="180"/>
      <c r="DO35" s="180"/>
      <c r="DP35" s="180"/>
      <c r="DQ35" s="180"/>
      <c r="DR35" s="180"/>
      <c r="DS35" s="180"/>
      <c r="DT35" s="180"/>
      <c r="DU35" s="180"/>
      <c r="DV35" s="180"/>
      <c r="DW35" s="180"/>
      <c r="DX35" s="180"/>
      <c r="DY35" s="180"/>
      <c r="DZ35" s="180"/>
      <c r="EA35" s="180"/>
      <c r="EB35" s="180"/>
      <c r="EC35" s="180"/>
      <c r="ED35" s="180"/>
      <c r="EE35" s="180"/>
      <c r="EF35" s="180"/>
      <c r="EG35" s="180"/>
      <c r="EH35" s="180"/>
      <c r="EI35" s="180"/>
      <c r="EJ35" s="180"/>
      <c r="EK35" s="180"/>
      <c r="EL35" s="180"/>
      <c r="EM35" s="180"/>
      <c r="EN35" s="180"/>
      <c r="EO35" s="180"/>
      <c r="EP35" s="180"/>
      <c r="EQ35" s="180"/>
      <c r="ER35" s="180"/>
      <c r="ES35" s="180"/>
      <c r="ET35" s="180"/>
      <c r="EU35" s="180"/>
      <c r="EV35" s="180"/>
      <c r="EW35" s="180"/>
      <c r="EX35" s="180"/>
      <c r="EY35" s="180"/>
      <c r="EZ35" s="180"/>
      <c r="FA35" s="180"/>
      <c r="FB35" s="180"/>
      <c r="FC35" s="180"/>
      <c r="FD35" s="180"/>
      <c r="FE35" s="180"/>
      <c r="FF35" s="180"/>
      <c r="FG35" s="180"/>
      <c r="FH35" s="180"/>
      <c r="FI35" s="180"/>
      <c r="FJ35" s="180"/>
      <c r="FK35" s="180"/>
      <c r="FL35" s="180"/>
      <c r="FM35" s="180"/>
      <c r="FN35" s="180"/>
      <c r="FO35" s="180"/>
      <c r="FP35" s="180"/>
      <c r="FQ35" s="180"/>
      <c r="FR35" s="180"/>
      <c r="FS35" s="180"/>
      <c r="FT35" s="180"/>
      <c r="FU35" s="180"/>
      <c r="FV35" s="180"/>
      <c r="FW35" s="180"/>
      <c r="FX35" s="180"/>
      <c r="FY35" s="180"/>
      <c r="FZ35" s="180"/>
      <c r="GA35" s="180"/>
      <c r="GB35" s="180"/>
      <c r="GC35" s="180"/>
      <c r="GD35" s="180"/>
      <c r="GE35" s="180"/>
      <c r="GF35" s="180"/>
      <c r="GG35" s="180"/>
      <c r="GH35" s="180"/>
      <c r="GI35" s="180"/>
      <c r="GJ35" s="180"/>
      <c r="GK35" s="180"/>
      <c r="GL35" s="180"/>
      <c r="GM35" s="180"/>
      <c r="GN35" s="180"/>
      <c r="GO35" s="180"/>
      <c r="GP35" s="180"/>
      <c r="GQ35" s="180"/>
      <c r="GR35" s="180"/>
      <c r="GS35" s="180"/>
      <c r="GT35" s="180"/>
      <c r="GU35" s="180"/>
      <c r="GV35" s="180"/>
      <c r="GW35" s="180"/>
      <c r="GX35" s="180"/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  <c r="HI35" s="180"/>
      <c r="HJ35" s="180"/>
      <c r="HK35" s="180"/>
      <c r="HL35" s="180"/>
      <c r="HM35" s="180"/>
      <c r="HN35" s="180"/>
      <c r="HO35" s="180"/>
      <c r="HP35" s="180"/>
      <c r="HQ35" s="180"/>
      <c r="HR35" s="180"/>
      <c r="HS35" s="180"/>
      <c r="HT35" s="180"/>
      <c r="HU35" s="180"/>
      <c r="HV35" s="180"/>
      <c r="HW35" s="180"/>
      <c r="HX35" s="180"/>
      <c r="HY35" s="180"/>
      <c r="HZ35" s="180"/>
      <c r="IA35" s="180"/>
      <c r="IB35" s="180"/>
      <c r="IC35" s="180"/>
      <c r="ID35" s="180"/>
      <c r="IE35" s="180"/>
      <c r="IF35" s="180"/>
      <c r="IG35" s="180"/>
      <c r="IH35" s="180"/>
      <c r="II35" s="180"/>
      <c r="IJ35" s="180"/>
      <c r="IK35" s="180"/>
      <c r="IL35" s="180"/>
      <c r="IM35" s="180"/>
      <c r="IN35" s="180"/>
      <c r="IO35" s="180"/>
      <c r="IP35" s="180"/>
      <c r="IQ35" s="180"/>
      <c r="IR35" s="180"/>
      <c r="IS35" s="180"/>
      <c r="IT35" s="180"/>
      <c r="IU35" s="180"/>
      <c r="IV35" s="180"/>
      <c r="IW35" s="180"/>
      <c r="IX35" s="180"/>
      <c r="IY35" s="181">
        <v>3</v>
      </c>
      <c r="IZ35" s="182">
        <f>(TEXT(K35,"[m]")/60)*VLOOKUP(IY35,'Income Person-hours'!A$2:C$5,3,FALSE)</f>
        <v>0</v>
      </c>
      <c r="JA35" s="183"/>
      <c r="JB35" s="183"/>
      <c r="JC35" s="183"/>
      <c r="JD35" s="184">
        <f>SUM((TEXT(JA35,"[M]")/60)*'Income Person-hours'!$D$3,(TEXT(JB35,"[M]")/60)*'Income Person-hours'!$D$4,(TEXT(JC35,"[M]")/60)*'Income Person-hours'!$D$5)</f>
        <v>0</v>
      </c>
    </row>
    <row r="36" spans="1:264" s="200" customFormat="1" ht="13.5">
      <c r="A36" s="172">
        <v>3.7</v>
      </c>
      <c r="B36" s="186" t="s">
        <v>170</v>
      </c>
      <c r="C36" s="173" t="s">
        <v>72</v>
      </c>
      <c r="D36" s="180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1398/10/29</v>
      </c>
      <c r="E36" s="1">
        <f t="shared" si="15"/>
        <v>13981029</v>
      </c>
      <c r="F36" s="189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1398/11/01</v>
      </c>
      <c r="G36" s="2">
        <f t="shared" si="16"/>
        <v>13981101</v>
      </c>
      <c r="H36" s="175">
        <v>1</v>
      </c>
      <c r="I36" s="176">
        <v>3.6</v>
      </c>
      <c r="J36" s="190">
        <f>j_WEEKDAY(D36,2)</f>
        <v>1</v>
      </c>
      <c r="K36" s="13">
        <f>SUM(JA36:JC36)</f>
        <v>0</v>
      </c>
      <c r="L36" s="191">
        <f t="shared" si="19"/>
        <v>3</v>
      </c>
      <c r="M36" s="178">
        <v>1</v>
      </c>
      <c r="N36" s="179">
        <v>3</v>
      </c>
      <c r="O36" s="6">
        <f t="shared" si="17"/>
        <v>3</v>
      </c>
      <c r="P36" s="6">
        <f>VALUE(J_normdate(J_ADDDAY($D36,$O36,1)))</f>
        <v>13981102</v>
      </c>
      <c r="Q36" s="5">
        <f t="shared" si="14"/>
        <v>0</v>
      </c>
      <c r="R36" s="192"/>
      <c r="S36" s="192"/>
      <c r="T36" s="192"/>
      <c r="U36" s="192"/>
      <c r="V36" s="192"/>
      <c r="W36" s="192"/>
      <c r="X36" s="192"/>
      <c r="Y36" s="192"/>
      <c r="Z36" s="192"/>
      <c r="AA36" s="192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2"/>
      <c r="BA36" s="192"/>
      <c r="BB36" s="192"/>
      <c r="BC36" s="192"/>
      <c r="BD36" s="192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192"/>
      <c r="CO36" s="192"/>
      <c r="CP36" s="192"/>
      <c r="CQ36" s="192"/>
      <c r="CR36" s="192"/>
      <c r="CS36" s="192"/>
      <c r="CT36" s="192"/>
      <c r="CU36" s="192"/>
      <c r="CV36" s="192"/>
      <c r="CW36" s="192"/>
      <c r="CX36" s="192"/>
      <c r="CY36" s="192"/>
      <c r="CZ36" s="192"/>
      <c r="DA36" s="192"/>
      <c r="DB36" s="192"/>
      <c r="DC36" s="192"/>
      <c r="DD36" s="192"/>
      <c r="DE36" s="192"/>
      <c r="DF36" s="192"/>
      <c r="DG36" s="192"/>
      <c r="DH36" s="192"/>
      <c r="DI36" s="192"/>
      <c r="DJ36" s="192"/>
      <c r="DK36" s="192"/>
      <c r="DL36" s="192"/>
      <c r="DM36" s="192"/>
      <c r="DN36" s="192"/>
      <c r="DO36" s="192"/>
      <c r="DP36" s="192"/>
      <c r="DQ36" s="192"/>
      <c r="DR36" s="192"/>
      <c r="DS36" s="192"/>
      <c r="DT36" s="192"/>
      <c r="DU36" s="192"/>
      <c r="DV36" s="192"/>
      <c r="DW36" s="192"/>
      <c r="DX36" s="192"/>
      <c r="DY36" s="192"/>
      <c r="DZ36" s="192"/>
      <c r="EA36" s="192"/>
      <c r="EB36" s="192"/>
      <c r="EC36" s="192"/>
      <c r="ED36" s="192"/>
      <c r="EE36" s="192"/>
      <c r="EF36" s="192"/>
      <c r="EG36" s="192"/>
      <c r="EH36" s="192"/>
      <c r="EI36" s="192"/>
      <c r="EJ36" s="192"/>
      <c r="EK36" s="192"/>
      <c r="EL36" s="192"/>
      <c r="EM36" s="192"/>
      <c r="EN36" s="192"/>
      <c r="EO36" s="192"/>
      <c r="EP36" s="192"/>
      <c r="EQ36" s="192"/>
      <c r="ER36" s="192"/>
      <c r="ES36" s="192"/>
      <c r="ET36" s="192"/>
      <c r="EU36" s="192"/>
      <c r="EV36" s="192"/>
      <c r="EW36" s="192"/>
      <c r="EX36" s="192"/>
      <c r="EY36" s="192"/>
      <c r="EZ36" s="192"/>
      <c r="FA36" s="192"/>
      <c r="FB36" s="192"/>
      <c r="FC36" s="192"/>
      <c r="FD36" s="192"/>
      <c r="FE36" s="192"/>
      <c r="FF36" s="192"/>
      <c r="FG36" s="192"/>
      <c r="FH36" s="192"/>
      <c r="FI36" s="192"/>
      <c r="FJ36" s="192"/>
      <c r="FK36" s="192"/>
      <c r="FL36" s="192"/>
      <c r="FM36" s="192"/>
      <c r="FN36" s="192"/>
      <c r="FO36" s="192"/>
      <c r="FP36" s="192"/>
      <c r="FQ36" s="192"/>
      <c r="FR36" s="192"/>
      <c r="FS36" s="192"/>
      <c r="FT36" s="192"/>
      <c r="FU36" s="192"/>
      <c r="FV36" s="192"/>
      <c r="FW36" s="192"/>
      <c r="FX36" s="192"/>
      <c r="FY36" s="192"/>
      <c r="FZ36" s="192"/>
      <c r="GA36" s="192"/>
      <c r="GB36" s="192"/>
      <c r="GC36" s="192"/>
      <c r="GD36" s="192"/>
      <c r="GE36" s="192"/>
      <c r="GF36" s="192"/>
      <c r="GG36" s="192"/>
      <c r="GH36" s="192"/>
      <c r="GI36" s="192"/>
      <c r="GJ36" s="192"/>
      <c r="GK36" s="192"/>
      <c r="GL36" s="192"/>
      <c r="GM36" s="192"/>
      <c r="GN36" s="192"/>
      <c r="GO36" s="192"/>
      <c r="GP36" s="192"/>
      <c r="GQ36" s="192"/>
      <c r="GR36" s="192"/>
      <c r="GS36" s="192"/>
      <c r="GT36" s="192"/>
      <c r="GU36" s="192"/>
      <c r="GV36" s="192"/>
      <c r="GW36" s="192"/>
      <c r="GX36" s="192"/>
      <c r="GY36" s="192"/>
      <c r="GZ36" s="192"/>
      <c r="HA36" s="192"/>
      <c r="HB36" s="192"/>
      <c r="HC36" s="192"/>
      <c r="HD36" s="192"/>
      <c r="HE36" s="192"/>
      <c r="HF36" s="192"/>
      <c r="HG36" s="192"/>
      <c r="HH36" s="192"/>
      <c r="HI36" s="192"/>
      <c r="HJ36" s="192"/>
      <c r="HK36" s="192"/>
      <c r="HL36" s="192"/>
      <c r="HM36" s="192"/>
      <c r="HN36" s="192"/>
      <c r="HO36" s="192"/>
      <c r="HP36" s="192"/>
      <c r="HQ36" s="192"/>
      <c r="HR36" s="192"/>
      <c r="HS36" s="192"/>
      <c r="HT36" s="192"/>
      <c r="HU36" s="192"/>
      <c r="HV36" s="192"/>
      <c r="HW36" s="192"/>
      <c r="HX36" s="192"/>
      <c r="HY36" s="192"/>
      <c r="HZ36" s="192"/>
      <c r="IA36" s="192"/>
      <c r="IB36" s="192"/>
      <c r="IC36" s="192"/>
      <c r="ID36" s="192"/>
      <c r="IE36" s="192"/>
      <c r="IF36" s="192"/>
      <c r="IG36" s="192"/>
      <c r="IH36" s="192"/>
      <c r="II36" s="192"/>
      <c r="IJ36" s="192"/>
      <c r="IK36" s="192"/>
      <c r="IL36" s="192"/>
      <c r="IM36" s="192"/>
      <c r="IN36" s="192"/>
      <c r="IO36" s="192"/>
      <c r="IP36" s="192"/>
      <c r="IQ36" s="192"/>
      <c r="IR36" s="192"/>
      <c r="IS36" s="192"/>
      <c r="IT36" s="192"/>
      <c r="IU36" s="192"/>
      <c r="IV36" s="192"/>
      <c r="IW36" s="192"/>
      <c r="IX36" s="192"/>
      <c r="IY36" s="181">
        <v>1</v>
      </c>
      <c r="IZ36" s="181"/>
      <c r="JA36" s="183"/>
      <c r="JB36" s="183"/>
      <c r="JC36" s="183"/>
      <c r="JD36" s="199">
        <f>SUM((TEXT(JA36,"[M]")/60)*'Income Person-hours'!$D$3,(TEXT(JB36,"[M]")/60)*'Income Person-hours'!$D$4,(TEXT(JC36,"[M]")/60)*'Income Person-hours'!$D$5)</f>
        <v>0</v>
      </c>
    </row>
    <row r="37" spans="1:264" s="200" customFormat="1" ht="13.5">
      <c r="A37" s="197">
        <v>3.8</v>
      </c>
      <c r="B37" s="186" t="s">
        <v>123</v>
      </c>
      <c r="C37" s="173" t="s">
        <v>104</v>
      </c>
      <c r="D37" s="180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1398/10/09</v>
      </c>
      <c r="E37" s="1"/>
      <c r="F37" s="189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1398/11/07</v>
      </c>
      <c r="G37" s="2"/>
      <c r="H37" s="175">
        <v>8</v>
      </c>
      <c r="I37" s="176">
        <v>1.1000000000000001</v>
      </c>
      <c r="J37" s="190">
        <f>j_WEEKDAY(D37,2)</f>
        <v>2</v>
      </c>
      <c r="K37" s="13"/>
      <c r="L37" s="191">
        <f t="shared" si="19"/>
        <v>29</v>
      </c>
      <c r="M37" s="178">
        <v>1</v>
      </c>
      <c r="N37" s="179">
        <v>25</v>
      </c>
      <c r="O37" s="6"/>
      <c r="P37" s="6"/>
      <c r="Q37" s="5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  <c r="EA37" s="192"/>
      <c r="EB37" s="192"/>
      <c r="EC37" s="192"/>
      <c r="ED37" s="192"/>
      <c r="EE37" s="192"/>
      <c r="EF37" s="192"/>
      <c r="EG37" s="192"/>
      <c r="EH37" s="192"/>
      <c r="EI37" s="192"/>
      <c r="EJ37" s="192"/>
      <c r="EK37" s="192"/>
      <c r="EL37" s="192"/>
      <c r="EM37" s="192"/>
      <c r="EN37" s="192"/>
      <c r="EO37" s="192"/>
      <c r="EP37" s="192"/>
      <c r="EQ37" s="192"/>
      <c r="ER37" s="192"/>
      <c r="ES37" s="192"/>
      <c r="ET37" s="192"/>
      <c r="EU37" s="192"/>
      <c r="EV37" s="192"/>
      <c r="EW37" s="192"/>
      <c r="EX37" s="192"/>
      <c r="EY37" s="192"/>
      <c r="EZ37" s="192"/>
      <c r="FA37" s="192"/>
      <c r="FB37" s="192"/>
      <c r="FC37" s="192"/>
      <c r="FD37" s="192"/>
      <c r="FE37" s="192"/>
      <c r="FF37" s="192"/>
      <c r="FG37" s="192"/>
      <c r="FH37" s="192"/>
      <c r="FI37" s="192"/>
      <c r="FJ37" s="192"/>
      <c r="FK37" s="192"/>
      <c r="FL37" s="192"/>
      <c r="FM37" s="192"/>
      <c r="FN37" s="192"/>
      <c r="FO37" s="192"/>
      <c r="FP37" s="192"/>
      <c r="FQ37" s="192"/>
      <c r="FR37" s="192"/>
      <c r="FS37" s="192"/>
      <c r="FT37" s="192"/>
      <c r="FU37" s="192"/>
      <c r="FV37" s="192"/>
      <c r="FW37" s="192"/>
      <c r="FX37" s="192"/>
      <c r="FY37" s="192"/>
      <c r="FZ37" s="192"/>
      <c r="GA37" s="192"/>
      <c r="GB37" s="192"/>
      <c r="GC37" s="192"/>
      <c r="GD37" s="192"/>
      <c r="GE37" s="192"/>
      <c r="GF37" s="192"/>
      <c r="GG37" s="192"/>
      <c r="GH37" s="192"/>
      <c r="GI37" s="192"/>
      <c r="GJ37" s="192"/>
      <c r="GK37" s="192"/>
      <c r="GL37" s="192"/>
      <c r="GM37" s="192"/>
      <c r="GN37" s="192"/>
      <c r="GO37" s="192"/>
      <c r="GP37" s="192"/>
      <c r="GQ37" s="192"/>
      <c r="GR37" s="192"/>
      <c r="GS37" s="192"/>
      <c r="GT37" s="192"/>
      <c r="GU37" s="192"/>
      <c r="GV37" s="192"/>
      <c r="GW37" s="192"/>
      <c r="GX37" s="192"/>
      <c r="GY37" s="192"/>
      <c r="GZ37" s="192"/>
      <c r="HA37" s="192"/>
      <c r="HB37" s="192"/>
      <c r="HC37" s="192"/>
      <c r="HD37" s="192"/>
      <c r="HE37" s="192"/>
      <c r="HF37" s="192"/>
      <c r="HG37" s="192"/>
      <c r="HH37" s="192"/>
      <c r="HI37" s="192"/>
      <c r="HJ37" s="192"/>
      <c r="HK37" s="192"/>
      <c r="HL37" s="192"/>
      <c r="HM37" s="192"/>
      <c r="HN37" s="192"/>
      <c r="HO37" s="192"/>
      <c r="HP37" s="192"/>
      <c r="HQ37" s="192"/>
      <c r="HR37" s="192"/>
      <c r="HS37" s="192"/>
      <c r="HT37" s="192"/>
      <c r="HU37" s="192"/>
      <c r="HV37" s="192"/>
      <c r="HW37" s="192"/>
      <c r="HX37" s="192"/>
      <c r="HY37" s="192"/>
      <c r="HZ37" s="192"/>
      <c r="IA37" s="192"/>
      <c r="IB37" s="192"/>
      <c r="IC37" s="192"/>
      <c r="ID37" s="192"/>
      <c r="IE37" s="192"/>
      <c r="IF37" s="192"/>
      <c r="IG37" s="192"/>
      <c r="IH37" s="192"/>
      <c r="II37" s="192"/>
      <c r="IJ37" s="192"/>
      <c r="IK37" s="192"/>
      <c r="IL37" s="192"/>
      <c r="IM37" s="192"/>
      <c r="IN37" s="192"/>
      <c r="IO37" s="192"/>
      <c r="IP37" s="192"/>
      <c r="IQ37" s="192"/>
      <c r="IR37" s="192"/>
      <c r="IS37" s="192"/>
      <c r="IT37" s="192"/>
      <c r="IU37" s="192"/>
      <c r="IV37" s="192"/>
      <c r="IW37" s="192"/>
      <c r="IX37" s="192"/>
      <c r="IY37" s="181"/>
      <c r="IZ37" s="181"/>
      <c r="JA37" s="183"/>
      <c r="JB37" s="183"/>
      <c r="JC37" s="183"/>
      <c r="JD37" s="199"/>
    </row>
    <row r="38" spans="1:264" s="192" customFormat="1" ht="13.5">
      <c r="A38" s="188">
        <v>3.9</v>
      </c>
      <c r="B38" s="186" t="s">
        <v>141</v>
      </c>
      <c r="C38" s="173" t="s">
        <v>72</v>
      </c>
      <c r="D38" s="180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1398/10/11</v>
      </c>
      <c r="E38" s="1">
        <f t="shared" si="15"/>
        <v>13981011</v>
      </c>
      <c r="F38" s="189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1398/11/10</v>
      </c>
      <c r="G38" s="2">
        <f t="shared" si="16"/>
        <v>13981110</v>
      </c>
      <c r="H38" s="175">
        <v>10</v>
      </c>
      <c r="I38" s="176">
        <v>1.1000000000000001</v>
      </c>
      <c r="J38" s="190">
        <f>j_WEEKDAY(D38,2)</f>
        <v>4</v>
      </c>
      <c r="K38" s="13">
        <f t="shared" si="18"/>
        <v>0</v>
      </c>
      <c r="L38" s="191">
        <f t="shared" si="19"/>
        <v>30</v>
      </c>
      <c r="M38" s="178">
        <v>1</v>
      </c>
      <c r="N38" s="179">
        <v>25</v>
      </c>
      <c r="O38" s="6">
        <f t="shared" si="17"/>
        <v>30</v>
      </c>
      <c r="P38" s="6">
        <f>VALUE(J_normdate(J_ADDDAY($D38,$O38,1)))</f>
        <v>13981111</v>
      </c>
      <c r="Q38" s="5">
        <f t="shared" si="14"/>
        <v>0</v>
      </c>
      <c r="IY38" s="193">
        <v>1</v>
      </c>
      <c r="IZ38" s="193"/>
      <c r="JA38" s="194"/>
      <c r="JB38" s="194"/>
      <c r="JC38" s="194"/>
      <c r="JD38" s="195">
        <f>SUM((TEXT(JA38,"[M]")/60)*'Income Person-hours'!$D$3,(TEXT(JB38,"[M]")/60)*'Income Person-hours'!$D$4,(TEXT(JC38,"[M]")/60)*'Income Person-hours'!$D$5)</f>
        <v>0</v>
      </c>
    </row>
    <row r="39" spans="1:264" s="192" customFormat="1" ht="13.5">
      <c r="A39" s="188">
        <v>3.11</v>
      </c>
      <c r="B39" s="186" t="s">
        <v>147</v>
      </c>
      <c r="C39" s="173" t="s">
        <v>104</v>
      </c>
      <c r="D39" s="180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1398/10/18</v>
      </c>
      <c r="E39" s="1"/>
      <c r="F39" s="189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1398/10/22</v>
      </c>
      <c r="G39" s="2"/>
      <c r="H39" s="175">
        <v>1</v>
      </c>
      <c r="I39" s="176">
        <v>3.3</v>
      </c>
      <c r="J39" s="190">
        <f>j_WEEKDAY(D39,2)</f>
        <v>4</v>
      </c>
      <c r="K39" s="13"/>
      <c r="L39" s="191">
        <f t="shared" si="19"/>
        <v>5</v>
      </c>
      <c r="M39" s="178">
        <v>1</v>
      </c>
      <c r="N39" s="179">
        <v>4</v>
      </c>
      <c r="O39" s="6"/>
      <c r="P39" s="6"/>
      <c r="Q39" s="5"/>
      <c r="IY39" s="193"/>
      <c r="IZ39" s="193"/>
      <c r="JA39" s="194"/>
      <c r="JB39" s="194"/>
      <c r="JC39" s="194"/>
      <c r="JD39" s="195"/>
    </row>
    <row r="40" spans="1:264" s="192" customFormat="1" ht="13.5">
      <c r="A40" s="188">
        <v>3.12</v>
      </c>
      <c r="B40" s="186" t="s">
        <v>164</v>
      </c>
      <c r="C40" s="173" t="s">
        <v>103</v>
      </c>
      <c r="D40" s="180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1398/10/23</v>
      </c>
      <c r="E40" s="1"/>
      <c r="F40" s="189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1398/10/28</v>
      </c>
      <c r="G40" s="2"/>
      <c r="H40" s="175">
        <v>1</v>
      </c>
      <c r="I40" s="176">
        <v>3.11</v>
      </c>
      <c r="J40" s="190">
        <f>j_WEEKDAY(D40,2)</f>
        <v>2</v>
      </c>
      <c r="K40" s="13"/>
      <c r="L40" s="191">
        <f t="shared" si="19"/>
        <v>6</v>
      </c>
      <c r="M40" s="178">
        <v>1</v>
      </c>
      <c r="N40" s="179">
        <v>5</v>
      </c>
      <c r="O40" s="6"/>
      <c r="P40" s="6"/>
      <c r="Q40" s="5"/>
      <c r="IY40" s="193"/>
      <c r="IZ40" s="193"/>
      <c r="JA40" s="194"/>
      <c r="JB40" s="194"/>
      <c r="JC40" s="194"/>
      <c r="JD40" s="195"/>
    </row>
    <row r="41" spans="1:264" s="192" customFormat="1" ht="13.5">
      <c r="A41" s="188">
        <v>3.13</v>
      </c>
      <c r="B41" s="186" t="s">
        <v>160</v>
      </c>
      <c r="C41" s="173" t="s">
        <v>104</v>
      </c>
      <c r="D41" s="180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1398/10/30</v>
      </c>
      <c r="E41" s="1"/>
      <c r="F41" s="196" t="str">
        <f>IF(N41=0,J_SUBDAY(D41,1,1),IF((N41-(NETWORKDAYS.INTL(J_GregorianDate(D41,1),J_GregorianDate(J_SUBDAY(J_ADDDAY(D41,N41,1),1,1),1),16,1)))+SUMIFS(Holieday[ok],Holieday[date],CONCATENATE("&gt;","=",D41),Holieday[date],CONCATENATE("&lt;","=",J_SUBDAY(J_ADDDAY(D41,N41,1),1,1)))-SUMIFS(Holieday[Friday],Holieday[date],CONCATENATE("&gt;","=",D41),Holieday[date],CONCATENATE("&lt;","=",J_SUBDAY(J_ADDDAY(D41,N41,1),1,1)))=0,J_SUBDAY(J_ADDDAY(D41,N41,1),1,1),IF((N41+1-(NETWORKDAYS.INTL(J_GregorianDate(D41,1),J_GregorianDate(J_SUBDAY(J_ADDDAY(D41,N41+1,1),1,1),1),16,1)))+SUMIFS(Holieday[ok],Holieday[date],CONCATENATE("&gt;","=",D41),Holieday[date],CONCATENATE("&lt;","=",J_SUBDAY(J_ADDDAY(D41,N41+1,1),1,1)))-SUMIFS(Holieday[Friday],Holieday[date],CONCATENATE("&gt;","=",D41),Holieday[date],CONCATENATE("&lt;","=",J_SUBDAY(J_ADDDAY(D41,N41+1,1),1,1)))=1,J_SUBDAY(J_ADDDAY(D41,N41+1,1),1,1),IF((N41+2-(NETWORKDAYS.INTL(J_GregorianDate(D41,1),J_GregorianDate(J_SUBDAY(J_ADDDAY(D41,N41+2,1),1,1),1),16,1)))+SUMIFS(Holieday[ok],Holieday[date],CONCATENATE("&gt;","=",D41),Holieday[date],CONCATENATE("&lt;","=",J_SUBDAY(J_ADDDAY(D41,N41+2,1),1,1)))-SUMIFS(Holieday[Friday],Holieday[date],CONCATENATE("&gt;","=",D41),Holieday[date],CONCATENATE("&lt;","=",J_SUBDAY(J_ADDDAY(D41,N41+2,1),1,1)))=2,J_SUBDAY(J_ADDDAY(D41,N41+2,1),1,1),IF((N41+3-(NETWORKDAYS.INTL(J_GregorianDate(D41,1),J_GregorianDate(J_SUBDAY(J_ADDDAY(D41,N41+3,1),1,1),1),16,1)))+SUMIFS(Holieday[ok],Holieday[date],CONCATENATE("&gt;","=",D41),Holieday[date],CONCATENATE("&lt;","=",J_SUBDAY(J_ADDDAY(D41,N41+3,1),1,1)))-SUMIFS(Holieday[Friday],Holieday[date],CONCATENATE("&gt;","=",D41),Holieday[date],CONCATENATE("&lt;","=",J_SUBDAY(J_ADDDAY(D41,N41+3,1),1,1)))=3,J_SUBDAY(J_ADDDAY(D41,N41+3,1),1,1),IF((N41+4-(NETWORKDAYS.INTL(J_GregorianDate(D41,1),J_GregorianDate(J_SUBDAY(J_ADDDAY(D41,N41+4,1),1,1),1),16,1)))+SUMIFS(Holieday[ok],Holieday[date],CONCATENATE("&gt;","=",D41),Holieday[date],CONCATENATE("&lt;","=",J_SUBDAY(J_ADDDAY(D41,N41+4,1),1,1)))-SUMIFS(Holieday[Friday],Holieday[date],CONCATENATE("&gt;","=",D41),Holieday[date],CONCATENATE("&lt;","=",J_SUBDAY(J_ADDDAY(D41,N41+4,1),1,1)))=4,J_SUBDAY(J_ADDDAY(D41,N41+4,1),1,1),IF((N41+5-(NETWORKDAYS.INTL(J_GregorianDate(D41,1),J_GregorianDate(J_SUBDAY(J_ADDDAY(D41,N41+5,1),1,1),1),16,1)))+SUMIFS(Holieday[ok],Holieday[date],CONCATENATE("&gt;","=",D41),Holieday[date],CONCATENATE("&lt;","=",J_SUBDAY(J_ADDDAY(D41,N41+5,1),1,1)))-SUMIFS(Holieday[Friday],Holieday[date],CONCATENATE("&gt;","=",D41),Holieday[date],CONCATENATE("&lt;","=",J_SUBDAY(J_ADDDAY(D41,N41+5,1),1,1)))=5,J_SUBDAY(J_ADDDAY(D41,N41+5,1),1,1),J_SUBDAY(J_ADDDAY(D41,N41+6,1),1,1))))))))</f>
        <v>1398/11/01</v>
      </c>
      <c r="G41" s="2"/>
      <c r="H41" s="175">
        <v>9</v>
      </c>
      <c r="I41" s="176">
        <v>3.4</v>
      </c>
      <c r="J41" s="190">
        <f>j_WEEKDAY(D41,2)</f>
        <v>2</v>
      </c>
      <c r="K41" s="13"/>
      <c r="L41" s="191">
        <f t="shared" si="19"/>
        <v>2</v>
      </c>
      <c r="M41" s="178">
        <v>1</v>
      </c>
      <c r="N41" s="179">
        <v>2</v>
      </c>
      <c r="O41" s="6"/>
      <c r="P41" s="6"/>
      <c r="Q41" s="5"/>
      <c r="IY41" s="193"/>
      <c r="IZ41" s="193"/>
      <c r="JA41" s="194"/>
      <c r="JB41" s="194"/>
      <c r="JC41" s="194"/>
      <c r="JD41" s="195"/>
    </row>
    <row r="42" spans="1:264" s="200" customFormat="1" ht="13.5">
      <c r="A42" s="197">
        <v>3.14</v>
      </c>
      <c r="B42" s="186" t="s">
        <v>159</v>
      </c>
      <c r="C42" s="173" t="s">
        <v>103</v>
      </c>
      <c r="D42" s="192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1398/11/02</v>
      </c>
      <c r="E42" s="1">
        <f t="shared" si="15"/>
        <v>13981102</v>
      </c>
      <c r="F42" s="196" t="str">
        <f>IF(N42=0,J_SUBDAY(D42,1,1),IF((N42-(NETWORKDAYS.INTL(J_GregorianDate(D42,1),J_GregorianDate(J_SUBDAY(J_ADDDAY(D42,N42,1),1,1),1),16,1)))+SUMIFS(Holieday[ok],Holieday[date],CONCATENATE("&gt;","=",D42),Holieday[date],CONCATENATE("&lt;","=",J_SUBDAY(J_ADDDAY(D42,N42,1),1,1)))-SUMIFS(Holieday[Friday],Holieday[date],CONCATENATE("&gt;","=",D42),Holieday[date],CONCATENATE("&lt;","=",J_SUBDAY(J_ADDDAY(D42,N42,1),1,1)))=0,J_SUBDAY(J_ADDDAY(D42,N42,1),1,1),IF((N42+1-(NETWORKDAYS.INTL(J_GregorianDate(D42,1),J_GregorianDate(J_SUBDAY(J_ADDDAY(D42,N42+1,1),1,1),1),16,1)))+SUMIFS(Holieday[ok],Holieday[date],CONCATENATE("&gt;","=",D42),Holieday[date],CONCATENATE("&lt;","=",J_SUBDAY(J_ADDDAY(D42,N42+1,1),1,1)))-SUMIFS(Holieday[Friday],Holieday[date],CONCATENATE("&gt;","=",D42),Holieday[date],CONCATENATE("&lt;","=",J_SUBDAY(J_ADDDAY(D42,N42+1,1),1,1)))=1,J_SUBDAY(J_ADDDAY(D42,N42+1,1),1,1),IF((N42+2-(NETWORKDAYS.INTL(J_GregorianDate(D42,1),J_GregorianDate(J_SUBDAY(J_ADDDAY(D42,N42+2,1),1,1),1),16,1)))+SUMIFS(Holieday[ok],Holieday[date],CONCATENATE("&gt;","=",D42),Holieday[date],CONCATENATE("&lt;","=",J_SUBDAY(J_ADDDAY(D42,N42+2,1),1,1)))-SUMIFS(Holieday[Friday],Holieday[date],CONCATENATE("&gt;","=",D42),Holieday[date],CONCATENATE("&lt;","=",J_SUBDAY(J_ADDDAY(D42,N42+2,1),1,1)))=2,J_SUBDAY(J_ADDDAY(D42,N42+2,1),1,1),IF((N42+3-(NETWORKDAYS.INTL(J_GregorianDate(D42,1),J_GregorianDate(J_SUBDAY(J_ADDDAY(D42,N42+3,1),1,1),1),16,1)))+SUMIFS(Holieday[ok],Holieday[date],CONCATENATE("&gt;","=",D42),Holieday[date],CONCATENATE("&lt;","=",J_SUBDAY(J_ADDDAY(D42,N42+3,1),1,1)))-SUMIFS(Holieday[Friday],Holieday[date],CONCATENATE("&gt;","=",D42),Holieday[date],CONCATENATE("&lt;","=",J_SUBDAY(J_ADDDAY(D42,N42+3,1),1,1)))=3,J_SUBDAY(J_ADDDAY(D42,N42+3,1),1,1),IF((N42+4-(NETWORKDAYS.INTL(J_GregorianDate(D42,1),J_GregorianDate(J_SUBDAY(J_ADDDAY(D42,N42+4,1),1,1),1),16,1)))+SUMIFS(Holieday[ok],Holieday[date],CONCATENATE("&gt;","=",D42),Holieday[date],CONCATENATE("&lt;","=",J_SUBDAY(J_ADDDAY(D42,N42+4,1),1,1)))-SUMIFS(Holieday[Friday],Holieday[date],CONCATENATE("&gt;","=",D42),Holieday[date],CONCATENATE("&lt;","=",J_SUBDAY(J_ADDDAY(D42,N42+4,1),1,1)))=4,J_SUBDAY(J_ADDDAY(D42,N42+4,1),1,1),IF((N42+5-(NETWORKDAYS.INTL(J_GregorianDate(D42,1),J_GregorianDate(J_SUBDAY(J_ADDDAY(D42,N42+5,1),1,1),1),16,1)))+SUMIFS(Holieday[ok],Holieday[date],CONCATENATE("&gt;","=",D42),Holieday[date],CONCATENATE("&lt;","=",J_SUBDAY(J_ADDDAY(D42,N42+5,1),1,1)))-SUMIFS(Holieday[Friday],Holieday[date],CONCATENATE("&gt;","=",D42),Holieday[date],CONCATENATE("&lt;","=",J_SUBDAY(J_ADDDAY(D42,N42+5,1),1,1)))=5,J_SUBDAY(J_ADDDAY(D42,N42+5,1),1,1),J_SUBDAY(J_ADDDAY(D42,N42+6,1),1,1))))))))</f>
        <v>1398/11/06</v>
      </c>
      <c r="G42" s="2">
        <f t="shared" si="16"/>
        <v>13981106</v>
      </c>
      <c r="H42" s="175">
        <v>1</v>
      </c>
      <c r="I42" s="176">
        <v>3.13</v>
      </c>
      <c r="J42" s="190">
        <f>j_WEEKDAY(D42,2)</f>
        <v>4</v>
      </c>
      <c r="K42" s="13">
        <f t="shared" si="18"/>
        <v>0</v>
      </c>
      <c r="L42" s="191">
        <f t="shared" si="19"/>
        <v>5</v>
      </c>
      <c r="M42" s="178">
        <v>1</v>
      </c>
      <c r="N42" s="179">
        <v>4</v>
      </c>
      <c r="O42" s="6">
        <f t="shared" si="17"/>
        <v>5</v>
      </c>
      <c r="P42" s="6">
        <f>VALUE(J_normdate(J_ADDDAY($D42,$O42,1)))</f>
        <v>13981107</v>
      </c>
      <c r="Q42" s="5">
        <f t="shared" si="14"/>
        <v>0</v>
      </c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92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192"/>
      <c r="CO42" s="192"/>
      <c r="CP42" s="192"/>
      <c r="CQ42" s="192"/>
      <c r="CR42" s="192"/>
      <c r="CS42" s="192"/>
      <c r="CT42" s="192"/>
      <c r="CU42" s="192"/>
      <c r="CV42" s="192"/>
      <c r="CW42" s="192"/>
      <c r="CX42" s="192"/>
      <c r="CY42" s="192"/>
      <c r="CZ42" s="192"/>
      <c r="DA42" s="192"/>
      <c r="DB42" s="192"/>
      <c r="DC42" s="192"/>
      <c r="DD42" s="192"/>
      <c r="DE42" s="192"/>
      <c r="DF42" s="192"/>
      <c r="DG42" s="192"/>
      <c r="DH42" s="192"/>
      <c r="DI42" s="192"/>
      <c r="DJ42" s="192"/>
      <c r="DK42" s="192"/>
      <c r="DL42" s="192"/>
      <c r="DM42" s="192"/>
      <c r="DN42" s="192"/>
      <c r="DO42" s="192"/>
      <c r="DP42" s="192"/>
      <c r="DQ42" s="192"/>
      <c r="DR42" s="192"/>
      <c r="DS42" s="192"/>
      <c r="DT42" s="192"/>
      <c r="DU42" s="192"/>
      <c r="DV42" s="192"/>
      <c r="DW42" s="192"/>
      <c r="DX42" s="192"/>
      <c r="DY42" s="192"/>
      <c r="DZ42" s="192"/>
      <c r="EA42" s="192"/>
      <c r="EB42" s="192"/>
      <c r="EC42" s="192"/>
      <c r="ED42" s="192"/>
      <c r="EE42" s="192"/>
      <c r="EF42" s="192"/>
      <c r="EG42" s="192"/>
      <c r="EH42" s="192"/>
      <c r="EI42" s="192"/>
      <c r="EJ42" s="192"/>
      <c r="EK42" s="192"/>
      <c r="EL42" s="192"/>
      <c r="EM42" s="192"/>
      <c r="EN42" s="192"/>
      <c r="EO42" s="192"/>
      <c r="EP42" s="192"/>
      <c r="EQ42" s="192"/>
      <c r="ER42" s="192"/>
      <c r="ES42" s="192"/>
      <c r="ET42" s="192"/>
      <c r="EU42" s="192"/>
      <c r="EV42" s="192"/>
      <c r="EW42" s="192"/>
      <c r="EX42" s="192"/>
      <c r="EY42" s="192"/>
      <c r="EZ42" s="192"/>
      <c r="FA42" s="192"/>
      <c r="FB42" s="192"/>
      <c r="FC42" s="192"/>
      <c r="FD42" s="192"/>
      <c r="FE42" s="192"/>
      <c r="FF42" s="192"/>
      <c r="FG42" s="192"/>
      <c r="FH42" s="192"/>
      <c r="FI42" s="192"/>
      <c r="FJ42" s="192"/>
      <c r="FK42" s="192"/>
      <c r="FL42" s="192"/>
      <c r="FM42" s="192"/>
      <c r="FN42" s="192"/>
      <c r="FO42" s="192"/>
      <c r="FP42" s="192"/>
      <c r="FQ42" s="192"/>
      <c r="FR42" s="192"/>
      <c r="FS42" s="192"/>
      <c r="FT42" s="192"/>
      <c r="FU42" s="192"/>
      <c r="FV42" s="192"/>
      <c r="FW42" s="192"/>
      <c r="FX42" s="192"/>
      <c r="FY42" s="192"/>
      <c r="FZ42" s="192"/>
      <c r="GA42" s="192"/>
      <c r="GB42" s="192"/>
      <c r="GC42" s="192"/>
      <c r="GD42" s="192"/>
      <c r="GE42" s="192"/>
      <c r="GF42" s="192"/>
      <c r="GG42" s="192"/>
      <c r="GH42" s="192"/>
      <c r="GI42" s="192"/>
      <c r="GJ42" s="192"/>
      <c r="GK42" s="192"/>
      <c r="GL42" s="192"/>
      <c r="GM42" s="192"/>
      <c r="GN42" s="192"/>
      <c r="GO42" s="192"/>
      <c r="GP42" s="192"/>
      <c r="GQ42" s="192"/>
      <c r="GR42" s="192"/>
      <c r="GS42" s="192"/>
      <c r="GT42" s="192"/>
      <c r="GU42" s="192"/>
      <c r="GV42" s="192"/>
      <c r="GW42" s="192"/>
      <c r="GX42" s="192"/>
      <c r="GY42" s="192"/>
      <c r="GZ42" s="192"/>
      <c r="HA42" s="192"/>
      <c r="HB42" s="192"/>
      <c r="HC42" s="192"/>
      <c r="HD42" s="192"/>
      <c r="HE42" s="192"/>
      <c r="HF42" s="192"/>
      <c r="HG42" s="192"/>
      <c r="HH42" s="192"/>
      <c r="HI42" s="192"/>
      <c r="HJ42" s="192"/>
      <c r="HK42" s="192"/>
      <c r="HL42" s="192"/>
      <c r="HM42" s="192"/>
      <c r="HN42" s="192"/>
      <c r="HO42" s="192"/>
      <c r="HP42" s="192"/>
      <c r="HQ42" s="192"/>
      <c r="HR42" s="192"/>
      <c r="HS42" s="192"/>
      <c r="HT42" s="192"/>
      <c r="HU42" s="192"/>
      <c r="HV42" s="192"/>
      <c r="HW42" s="192"/>
      <c r="HX42" s="192"/>
      <c r="HY42" s="192"/>
      <c r="HZ42" s="192"/>
      <c r="IA42" s="192"/>
      <c r="IB42" s="192"/>
      <c r="IC42" s="192"/>
      <c r="ID42" s="192"/>
      <c r="IE42" s="192"/>
      <c r="IF42" s="192"/>
      <c r="IG42" s="192"/>
      <c r="IH42" s="192"/>
      <c r="II42" s="192"/>
      <c r="IJ42" s="192"/>
      <c r="IK42" s="192"/>
      <c r="IL42" s="192"/>
      <c r="IM42" s="192"/>
      <c r="IN42" s="192"/>
      <c r="IO42" s="192"/>
      <c r="IP42" s="192"/>
      <c r="IQ42" s="192"/>
      <c r="IR42" s="192"/>
      <c r="IS42" s="192"/>
      <c r="IT42" s="192"/>
      <c r="IU42" s="192"/>
      <c r="IV42" s="192"/>
      <c r="IW42" s="192"/>
      <c r="IX42" s="192"/>
      <c r="IY42" s="181">
        <v>1</v>
      </c>
      <c r="IZ42" s="181"/>
      <c r="JA42" s="198"/>
      <c r="JB42" s="198"/>
      <c r="JC42" s="198"/>
      <c r="JD42" s="199">
        <f>SUM((TEXT(JA42,"[M]")/60)*'Income Person-hours'!$D$3,(TEXT(JB42,"[M]")/60)*'Income Person-hours'!$D$4,(TEXT(JC42,"[M]")/60)*'Income Person-hours'!$D$5)</f>
        <v>0</v>
      </c>
    </row>
    <row r="43" spans="1:264" s="200" customFormat="1" ht="13.5">
      <c r="A43" s="197">
        <v>3.15</v>
      </c>
      <c r="B43" s="186" t="s">
        <v>151</v>
      </c>
      <c r="C43" s="173" t="s">
        <v>104</v>
      </c>
      <c r="D43" s="192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1398/10/25</v>
      </c>
      <c r="E43" s="1"/>
      <c r="F43" s="196" t="str">
        <f>IF(N43=0,J_SUBDAY(D43,1,1),IF((N43-(NETWORKDAYS.INTL(J_GregorianDate(D43,1),J_GregorianDate(J_SUBDAY(J_ADDDAY(D43,N43,1),1,1),1),16,1)))+SUMIFS(Holieday[ok],Holieday[date],CONCATENATE("&gt;","=",D43),Holieday[date],CONCATENATE("&lt;","=",J_SUBDAY(J_ADDDAY(D43,N43,1),1,1)))-SUMIFS(Holieday[Friday],Holieday[date],CONCATENATE("&gt;","=",D43),Holieday[date],CONCATENATE("&lt;","=",J_SUBDAY(J_ADDDAY(D43,N43,1),1,1)))=0,J_SUBDAY(J_ADDDAY(D43,N43,1),1,1),IF((N43+1-(NETWORKDAYS.INTL(J_GregorianDate(D43,1),J_GregorianDate(J_SUBDAY(J_ADDDAY(D43,N43+1,1),1,1),1),16,1)))+SUMIFS(Holieday[ok],Holieday[date],CONCATENATE("&gt;","=",D43),Holieday[date],CONCATENATE("&lt;","=",J_SUBDAY(J_ADDDAY(D43,N43+1,1),1,1)))-SUMIFS(Holieday[Friday],Holieday[date],CONCATENATE("&gt;","=",D43),Holieday[date],CONCATENATE("&lt;","=",J_SUBDAY(J_ADDDAY(D43,N43+1,1),1,1)))=1,J_SUBDAY(J_ADDDAY(D43,N43+1,1),1,1),IF((N43+2-(NETWORKDAYS.INTL(J_GregorianDate(D43,1),J_GregorianDate(J_SUBDAY(J_ADDDAY(D43,N43+2,1),1,1),1),16,1)))+SUMIFS(Holieday[ok],Holieday[date],CONCATENATE("&gt;","=",D43),Holieday[date],CONCATENATE("&lt;","=",J_SUBDAY(J_ADDDAY(D43,N43+2,1),1,1)))-SUMIFS(Holieday[Friday],Holieday[date],CONCATENATE("&gt;","=",D43),Holieday[date],CONCATENATE("&lt;","=",J_SUBDAY(J_ADDDAY(D43,N43+2,1),1,1)))=2,J_SUBDAY(J_ADDDAY(D43,N43+2,1),1,1),IF((N43+3-(NETWORKDAYS.INTL(J_GregorianDate(D43,1),J_GregorianDate(J_SUBDAY(J_ADDDAY(D43,N43+3,1),1,1),1),16,1)))+SUMIFS(Holieday[ok],Holieday[date],CONCATENATE("&gt;","=",D43),Holieday[date],CONCATENATE("&lt;","=",J_SUBDAY(J_ADDDAY(D43,N43+3,1),1,1)))-SUMIFS(Holieday[Friday],Holieday[date],CONCATENATE("&gt;","=",D43),Holieday[date],CONCATENATE("&lt;","=",J_SUBDAY(J_ADDDAY(D43,N43+3,1),1,1)))=3,J_SUBDAY(J_ADDDAY(D43,N43+3,1),1,1),IF((N43+4-(NETWORKDAYS.INTL(J_GregorianDate(D43,1),J_GregorianDate(J_SUBDAY(J_ADDDAY(D43,N43+4,1),1,1),1),16,1)))+SUMIFS(Holieday[ok],Holieday[date],CONCATENATE("&gt;","=",D43),Holieday[date],CONCATENATE("&lt;","=",J_SUBDAY(J_ADDDAY(D43,N43+4,1),1,1)))-SUMIFS(Holieday[Friday],Holieday[date],CONCATENATE("&gt;","=",D43),Holieday[date],CONCATENATE("&lt;","=",J_SUBDAY(J_ADDDAY(D43,N43+4,1),1,1)))=4,J_SUBDAY(J_ADDDAY(D43,N43+4,1),1,1),IF((N43+5-(NETWORKDAYS.INTL(J_GregorianDate(D43,1),J_GregorianDate(J_SUBDAY(J_ADDDAY(D43,N43+5,1),1,1),1),16,1)))+SUMIFS(Holieday[ok],Holieday[date],CONCATENATE("&gt;","=",D43),Holieday[date],CONCATENATE("&lt;","=",J_SUBDAY(J_ADDDAY(D43,N43+5,1),1,1)))-SUMIFS(Holieday[Friday],Holieday[date],CONCATENATE("&gt;","=",D43),Holieday[date],CONCATENATE("&lt;","=",J_SUBDAY(J_ADDDAY(D43,N43+5,1),1,1)))=5,J_SUBDAY(J_ADDDAY(D43,N43+5,1),1,1),J_SUBDAY(J_ADDDAY(D43,N43+6,1),1,1))))))))</f>
        <v>1398/10/28</v>
      </c>
      <c r="G43" s="2"/>
      <c r="H43" s="175">
        <v>1</v>
      </c>
      <c r="I43" s="176">
        <v>3.5</v>
      </c>
      <c r="J43" s="190">
        <f>j_WEEKDAY(D43,2)</f>
        <v>4</v>
      </c>
      <c r="K43" s="13"/>
      <c r="L43" s="191">
        <f t="shared" si="19"/>
        <v>4</v>
      </c>
      <c r="M43" s="178">
        <v>0</v>
      </c>
      <c r="N43" s="179">
        <v>3</v>
      </c>
      <c r="O43" s="6"/>
      <c r="P43" s="6"/>
      <c r="Q43" s="5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192"/>
      <c r="CO43" s="192"/>
      <c r="CP43" s="192"/>
      <c r="CQ43" s="192"/>
      <c r="CR43" s="192"/>
      <c r="CS43" s="192"/>
      <c r="CT43" s="192"/>
      <c r="CU43" s="192"/>
      <c r="CV43" s="192"/>
      <c r="CW43" s="192"/>
      <c r="CX43" s="192"/>
      <c r="CY43" s="192"/>
      <c r="CZ43" s="192"/>
      <c r="DA43" s="192"/>
      <c r="DB43" s="192"/>
      <c r="DC43" s="192"/>
      <c r="DD43" s="192"/>
      <c r="DE43" s="192"/>
      <c r="DF43" s="192"/>
      <c r="DG43" s="192"/>
      <c r="DH43" s="192"/>
      <c r="DI43" s="192"/>
      <c r="DJ43" s="192"/>
      <c r="DK43" s="192"/>
      <c r="DL43" s="192"/>
      <c r="DM43" s="192"/>
      <c r="DN43" s="192"/>
      <c r="DO43" s="192"/>
      <c r="DP43" s="192"/>
      <c r="DQ43" s="192"/>
      <c r="DR43" s="192"/>
      <c r="DS43" s="192"/>
      <c r="DT43" s="192"/>
      <c r="DU43" s="192"/>
      <c r="DV43" s="192"/>
      <c r="DW43" s="192"/>
      <c r="DX43" s="192"/>
      <c r="DY43" s="192"/>
      <c r="DZ43" s="192"/>
      <c r="EA43" s="192"/>
      <c r="EB43" s="192"/>
      <c r="EC43" s="192"/>
      <c r="ED43" s="192"/>
      <c r="EE43" s="192"/>
      <c r="EF43" s="192"/>
      <c r="EG43" s="192"/>
      <c r="EH43" s="192"/>
      <c r="EI43" s="192"/>
      <c r="EJ43" s="192"/>
      <c r="EK43" s="192"/>
      <c r="EL43" s="192"/>
      <c r="EM43" s="192"/>
      <c r="EN43" s="192"/>
      <c r="EO43" s="192"/>
      <c r="EP43" s="192"/>
      <c r="EQ43" s="192"/>
      <c r="ER43" s="192"/>
      <c r="ES43" s="192"/>
      <c r="ET43" s="192"/>
      <c r="EU43" s="192"/>
      <c r="EV43" s="192"/>
      <c r="EW43" s="192"/>
      <c r="EX43" s="192"/>
      <c r="EY43" s="192"/>
      <c r="EZ43" s="192"/>
      <c r="FA43" s="192"/>
      <c r="FB43" s="192"/>
      <c r="FC43" s="192"/>
      <c r="FD43" s="192"/>
      <c r="FE43" s="192"/>
      <c r="FF43" s="192"/>
      <c r="FG43" s="192"/>
      <c r="FH43" s="192"/>
      <c r="FI43" s="192"/>
      <c r="FJ43" s="192"/>
      <c r="FK43" s="192"/>
      <c r="FL43" s="192"/>
      <c r="FM43" s="192"/>
      <c r="FN43" s="192"/>
      <c r="FO43" s="192"/>
      <c r="FP43" s="192"/>
      <c r="FQ43" s="192"/>
      <c r="FR43" s="192"/>
      <c r="FS43" s="192"/>
      <c r="FT43" s="192"/>
      <c r="FU43" s="192"/>
      <c r="FV43" s="192"/>
      <c r="FW43" s="192"/>
      <c r="FX43" s="192"/>
      <c r="FY43" s="192"/>
      <c r="FZ43" s="192"/>
      <c r="GA43" s="192"/>
      <c r="GB43" s="192"/>
      <c r="GC43" s="192"/>
      <c r="GD43" s="192"/>
      <c r="GE43" s="192"/>
      <c r="GF43" s="192"/>
      <c r="GG43" s="192"/>
      <c r="GH43" s="192"/>
      <c r="GI43" s="192"/>
      <c r="GJ43" s="192"/>
      <c r="GK43" s="192"/>
      <c r="GL43" s="192"/>
      <c r="GM43" s="192"/>
      <c r="GN43" s="192"/>
      <c r="GO43" s="192"/>
      <c r="GP43" s="192"/>
      <c r="GQ43" s="192"/>
      <c r="GR43" s="192"/>
      <c r="GS43" s="192"/>
      <c r="GT43" s="192"/>
      <c r="GU43" s="192"/>
      <c r="GV43" s="192"/>
      <c r="GW43" s="192"/>
      <c r="GX43" s="192"/>
      <c r="GY43" s="192"/>
      <c r="GZ43" s="192"/>
      <c r="HA43" s="192"/>
      <c r="HB43" s="192"/>
      <c r="HC43" s="192"/>
      <c r="HD43" s="192"/>
      <c r="HE43" s="192"/>
      <c r="HF43" s="192"/>
      <c r="HG43" s="192"/>
      <c r="HH43" s="192"/>
      <c r="HI43" s="192"/>
      <c r="HJ43" s="192"/>
      <c r="HK43" s="192"/>
      <c r="HL43" s="192"/>
      <c r="HM43" s="192"/>
      <c r="HN43" s="192"/>
      <c r="HO43" s="192"/>
      <c r="HP43" s="192"/>
      <c r="HQ43" s="192"/>
      <c r="HR43" s="192"/>
      <c r="HS43" s="192"/>
      <c r="HT43" s="192"/>
      <c r="HU43" s="192"/>
      <c r="HV43" s="192"/>
      <c r="HW43" s="192"/>
      <c r="HX43" s="192"/>
      <c r="HY43" s="192"/>
      <c r="HZ43" s="192"/>
      <c r="IA43" s="192"/>
      <c r="IB43" s="192"/>
      <c r="IC43" s="192"/>
      <c r="ID43" s="192"/>
      <c r="IE43" s="192"/>
      <c r="IF43" s="192"/>
      <c r="IG43" s="192"/>
      <c r="IH43" s="192"/>
      <c r="II43" s="192"/>
      <c r="IJ43" s="192"/>
      <c r="IK43" s="192"/>
      <c r="IL43" s="192"/>
      <c r="IM43" s="192"/>
      <c r="IN43" s="192"/>
      <c r="IO43" s="192"/>
      <c r="IP43" s="192"/>
      <c r="IQ43" s="192"/>
      <c r="IR43" s="192"/>
      <c r="IS43" s="192"/>
      <c r="IT43" s="192"/>
      <c r="IU43" s="192"/>
      <c r="IV43" s="192"/>
      <c r="IW43" s="192"/>
      <c r="IX43" s="192"/>
      <c r="IY43" s="181"/>
      <c r="IZ43" s="181"/>
      <c r="JA43" s="198"/>
      <c r="JB43" s="198"/>
      <c r="JC43" s="198"/>
      <c r="JD43" s="199"/>
    </row>
    <row r="44" spans="1:264" s="200" customFormat="1" ht="13.5">
      <c r="A44" s="201">
        <v>3.16</v>
      </c>
      <c r="B44" s="186" t="s">
        <v>152</v>
      </c>
      <c r="C44" s="173" t="s">
        <v>103</v>
      </c>
      <c r="D44" s="192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1398/10/29</v>
      </c>
      <c r="E44" s="1">
        <f t="shared" si="15"/>
        <v>13981029</v>
      </c>
      <c r="F44" s="196" t="str">
        <f>IF(N44=0,J_SUBDAY(D44,1,1),IF((N44-(NETWORKDAYS.INTL(J_GregorianDate(D44,1),J_GregorianDate(J_SUBDAY(J_ADDDAY(D44,N44,1),1,1),1),16,1)))+SUMIFS(Holieday[ok],Holieday[date],CONCATENATE("&gt;","=",D44),Holieday[date],CONCATENATE("&lt;","=",J_SUBDAY(J_ADDDAY(D44,N44,1),1,1)))-SUMIFS(Holieday[Friday],Holieday[date],CONCATENATE("&gt;","=",D44),Holieday[date],CONCATENATE("&lt;","=",J_SUBDAY(J_ADDDAY(D44,N44,1),1,1)))=0,J_SUBDAY(J_ADDDAY(D44,N44,1),1,1),IF((N44+1-(NETWORKDAYS.INTL(J_GregorianDate(D44,1),J_GregorianDate(J_SUBDAY(J_ADDDAY(D44,N44+1,1),1,1),1),16,1)))+SUMIFS(Holieday[ok],Holieday[date],CONCATENATE("&gt;","=",D44),Holieday[date],CONCATENATE("&lt;","=",J_SUBDAY(J_ADDDAY(D44,N44+1,1),1,1)))-SUMIFS(Holieday[Friday],Holieday[date],CONCATENATE("&gt;","=",D44),Holieday[date],CONCATENATE("&lt;","=",J_SUBDAY(J_ADDDAY(D44,N44+1,1),1,1)))=1,J_SUBDAY(J_ADDDAY(D44,N44+1,1),1,1),IF((N44+2-(NETWORKDAYS.INTL(J_GregorianDate(D44,1),J_GregorianDate(J_SUBDAY(J_ADDDAY(D44,N44+2,1),1,1),1),16,1)))+SUMIFS(Holieday[ok],Holieday[date],CONCATENATE("&gt;","=",D44),Holieday[date],CONCATENATE("&lt;","=",J_SUBDAY(J_ADDDAY(D44,N44+2,1),1,1)))-SUMIFS(Holieday[Friday],Holieday[date],CONCATENATE("&gt;","=",D44),Holieday[date],CONCATENATE("&lt;","=",J_SUBDAY(J_ADDDAY(D44,N44+2,1),1,1)))=2,J_SUBDAY(J_ADDDAY(D44,N44+2,1),1,1),IF((N44+3-(NETWORKDAYS.INTL(J_GregorianDate(D44,1),J_GregorianDate(J_SUBDAY(J_ADDDAY(D44,N44+3,1),1,1),1),16,1)))+SUMIFS(Holieday[ok],Holieday[date],CONCATENATE("&gt;","=",D44),Holieday[date],CONCATENATE("&lt;","=",J_SUBDAY(J_ADDDAY(D44,N44+3,1),1,1)))-SUMIFS(Holieday[Friday],Holieday[date],CONCATENATE("&gt;","=",D44),Holieday[date],CONCATENATE("&lt;","=",J_SUBDAY(J_ADDDAY(D44,N44+3,1),1,1)))=3,J_SUBDAY(J_ADDDAY(D44,N44+3,1),1,1),IF((N44+4-(NETWORKDAYS.INTL(J_GregorianDate(D44,1),J_GregorianDate(J_SUBDAY(J_ADDDAY(D44,N44+4,1),1,1),1),16,1)))+SUMIFS(Holieday[ok],Holieday[date],CONCATENATE("&gt;","=",D44),Holieday[date],CONCATENATE("&lt;","=",J_SUBDAY(J_ADDDAY(D44,N44+4,1),1,1)))-SUMIFS(Holieday[Friday],Holieday[date],CONCATENATE("&gt;","=",D44),Holieday[date],CONCATENATE("&lt;","=",J_SUBDAY(J_ADDDAY(D44,N44+4,1),1,1)))=4,J_SUBDAY(J_ADDDAY(D44,N44+4,1),1,1),IF((N44+5-(NETWORKDAYS.INTL(J_GregorianDate(D44,1),J_GregorianDate(J_SUBDAY(J_ADDDAY(D44,N44+5,1),1,1),1),16,1)))+SUMIFS(Holieday[ok],Holieday[date],CONCATENATE("&gt;","=",D44),Holieday[date],CONCATENATE("&lt;","=",J_SUBDAY(J_ADDDAY(D44,N44+5,1),1,1)))-SUMIFS(Holieday[Friday],Holieday[date],CONCATENATE("&gt;","=",D44),Holieday[date],CONCATENATE("&lt;","=",J_SUBDAY(J_ADDDAY(D44,N44+5,1),1,1)))=5,J_SUBDAY(J_ADDDAY(D44,N44+5,1),1,1),J_SUBDAY(J_ADDDAY(D44,N44+6,1),1,1))))))))</f>
        <v>1398/11/01</v>
      </c>
      <c r="G44" s="2">
        <f t="shared" si="16"/>
        <v>13981101</v>
      </c>
      <c r="H44" s="175">
        <v>1</v>
      </c>
      <c r="I44" s="176">
        <v>3.15</v>
      </c>
      <c r="J44" s="190">
        <f>j_WEEKDAY(D44,2)</f>
        <v>1</v>
      </c>
      <c r="K44" s="13">
        <f t="shared" si="18"/>
        <v>0</v>
      </c>
      <c r="L44" s="191">
        <f t="shared" si="19"/>
        <v>3</v>
      </c>
      <c r="M44" s="178">
        <v>0</v>
      </c>
      <c r="N44" s="179">
        <v>3</v>
      </c>
      <c r="O44" s="6">
        <f t="shared" si="17"/>
        <v>0</v>
      </c>
      <c r="P44" s="6">
        <f>VALUE(J_normdate(J_ADDDAY($D44,$O44,1)))</f>
        <v>13981029</v>
      </c>
      <c r="Q44" s="5">
        <f t="shared" si="14"/>
        <v>3</v>
      </c>
      <c r="R44" s="192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192"/>
      <c r="CO44" s="192"/>
      <c r="CP44" s="192"/>
      <c r="CQ44" s="192"/>
      <c r="CR44" s="192"/>
      <c r="CS44" s="192"/>
      <c r="CT44" s="192"/>
      <c r="CU44" s="192"/>
      <c r="CV44" s="192"/>
      <c r="CW44" s="192"/>
      <c r="CX44" s="192"/>
      <c r="CY44" s="192"/>
      <c r="CZ44" s="192"/>
      <c r="DA44" s="192"/>
      <c r="DB44" s="192"/>
      <c r="DC44" s="192"/>
      <c r="DD44" s="192"/>
      <c r="DE44" s="192"/>
      <c r="DF44" s="192"/>
      <c r="DG44" s="192"/>
      <c r="DH44" s="192"/>
      <c r="DI44" s="192"/>
      <c r="DJ44" s="192"/>
      <c r="DK44" s="192"/>
      <c r="DL44" s="192"/>
      <c r="DM44" s="192"/>
      <c r="DN44" s="192"/>
      <c r="DO44" s="192"/>
      <c r="DP44" s="192"/>
      <c r="DQ44" s="192"/>
      <c r="DR44" s="192"/>
      <c r="DS44" s="192"/>
      <c r="DT44" s="192"/>
      <c r="DU44" s="192"/>
      <c r="DV44" s="192"/>
      <c r="DW44" s="192"/>
      <c r="DX44" s="192"/>
      <c r="DY44" s="192"/>
      <c r="DZ44" s="192"/>
      <c r="EA44" s="192"/>
      <c r="EB44" s="192"/>
      <c r="EC44" s="192"/>
      <c r="ED44" s="192"/>
      <c r="EE44" s="192"/>
      <c r="EF44" s="192"/>
      <c r="EG44" s="192"/>
      <c r="EH44" s="192"/>
      <c r="EI44" s="192"/>
      <c r="EJ44" s="192"/>
      <c r="EK44" s="192"/>
      <c r="EL44" s="192"/>
      <c r="EM44" s="192"/>
      <c r="EN44" s="192"/>
      <c r="EO44" s="192"/>
      <c r="EP44" s="192"/>
      <c r="EQ44" s="192"/>
      <c r="ER44" s="192"/>
      <c r="ES44" s="192"/>
      <c r="ET44" s="192"/>
      <c r="EU44" s="192"/>
      <c r="EV44" s="192"/>
      <c r="EW44" s="192"/>
      <c r="EX44" s="192"/>
      <c r="EY44" s="192"/>
      <c r="EZ44" s="192"/>
      <c r="FA44" s="192"/>
      <c r="FB44" s="192"/>
      <c r="FC44" s="192"/>
      <c r="FD44" s="192"/>
      <c r="FE44" s="192"/>
      <c r="FF44" s="192"/>
      <c r="FG44" s="192"/>
      <c r="FH44" s="192"/>
      <c r="FI44" s="192"/>
      <c r="FJ44" s="192"/>
      <c r="FK44" s="192"/>
      <c r="FL44" s="192"/>
      <c r="FM44" s="192"/>
      <c r="FN44" s="192"/>
      <c r="FO44" s="192"/>
      <c r="FP44" s="192"/>
      <c r="FQ44" s="192"/>
      <c r="FR44" s="192"/>
      <c r="FS44" s="192"/>
      <c r="FT44" s="192"/>
      <c r="FU44" s="192"/>
      <c r="FV44" s="192"/>
      <c r="FW44" s="192"/>
      <c r="FX44" s="192"/>
      <c r="FY44" s="192"/>
      <c r="FZ44" s="192"/>
      <c r="GA44" s="192"/>
      <c r="GB44" s="192"/>
      <c r="GC44" s="192"/>
      <c r="GD44" s="192"/>
      <c r="GE44" s="192"/>
      <c r="GF44" s="192"/>
      <c r="GG44" s="192"/>
      <c r="GH44" s="192"/>
      <c r="GI44" s="192"/>
      <c r="GJ44" s="192"/>
      <c r="GK44" s="192"/>
      <c r="GL44" s="192"/>
      <c r="GM44" s="192"/>
      <c r="GN44" s="192"/>
      <c r="GO44" s="192"/>
      <c r="GP44" s="192"/>
      <c r="GQ44" s="192"/>
      <c r="GR44" s="192"/>
      <c r="GS44" s="192"/>
      <c r="GT44" s="192"/>
      <c r="GU44" s="192"/>
      <c r="GV44" s="192"/>
      <c r="GW44" s="192"/>
      <c r="GX44" s="192"/>
      <c r="GY44" s="192"/>
      <c r="GZ44" s="192"/>
      <c r="HA44" s="192"/>
      <c r="HB44" s="192"/>
      <c r="HC44" s="192"/>
      <c r="HD44" s="192"/>
      <c r="HE44" s="192"/>
      <c r="HF44" s="192"/>
      <c r="HG44" s="192"/>
      <c r="HH44" s="192"/>
      <c r="HI44" s="192"/>
      <c r="HJ44" s="192"/>
      <c r="HK44" s="192"/>
      <c r="HL44" s="192"/>
      <c r="HM44" s="192"/>
      <c r="HN44" s="192"/>
      <c r="HO44" s="192"/>
      <c r="HP44" s="192"/>
      <c r="HQ44" s="192"/>
      <c r="HR44" s="192"/>
      <c r="HS44" s="192"/>
      <c r="HT44" s="192"/>
      <c r="HU44" s="192"/>
      <c r="HV44" s="192"/>
      <c r="HW44" s="192"/>
      <c r="HX44" s="192"/>
      <c r="HY44" s="192"/>
      <c r="HZ44" s="192"/>
      <c r="IA44" s="192"/>
      <c r="IB44" s="192"/>
      <c r="IC44" s="192"/>
      <c r="ID44" s="192"/>
      <c r="IE44" s="192"/>
      <c r="IF44" s="192"/>
      <c r="IG44" s="192"/>
      <c r="IH44" s="192"/>
      <c r="II44" s="192"/>
      <c r="IJ44" s="192"/>
      <c r="IK44" s="192"/>
      <c r="IL44" s="192"/>
      <c r="IM44" s="192"/>
      <c r="IN44" s="192"/>
      <c r="IO44" s="192"/>
      <c r="IP44" s="192"/>
      <c r="IQ44" s="192"/>
      <c r="IR44" s="192"/>
      <c r="IS44" s="192"/>
      <c r="IT44" s="192"/>
      <c r="IU44" s="192"/>
      <c r="IV44" s="192"/>
      <c r="IW44" s="192"/>
      <c r="IX44" s="192"/>
      <c r="JA44" s="198"/>
      <c r="JB44" s="198"/>
      <c r="JC44" s="198"/>
      <c r="JD44" s="199">
        <f>SUM((TEXT(JA44,"[M]")/60)*'Income Person-hours'!$D$3,(TEXT(JB44,"[M]")/60)*'Income Person-hours'!$D$4,(TEXT(JC44,"[M]")/60)*'Income Person-hours'!$D$5)</f>
        <v>0</v>
      </c>
    </row>
    <row r="45" spans="1:264" s="200" customFormat="1" ht="13.5">
      <c r="A45" s="201">
        <v>3.17</v>
      </c>
      <c r="B45" s="186" t="s">
        <v>124</v>
      </c>
      <c r="C45" s="173" t="s">
        <v>104</v>
      </c>
      <c r="D45" s="192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1398/10/29</v>
      </c>
      <c r="E45" s="1"/>
      <c r="F45" s="196" t="str">
        <f>IF(N45=0,J_SUBDAY(D45,1,1),IF((N45-(NETWORKDAYS.INTL(J_GregorianDate(D45,1),J_GregorianDate(J_SUBDAY(J_ADDDAY(D45,N45,1),1,1),1),16,1)))+SUMIFS(Holieday[ok],Holieday[date],CONCATENATE("&gt;","=",D45),Holieday[date],CONCATENATE("&lt;","=",J_SUBDAY(J_ADDDAY(D45,N45,1),1,1)))-SUMIFS(Holieday[Friday],Holieday[date],CONCATENATE("&gt;","=",D45),Holieday[date],CONCATENATE("&lt;","=",J_SUBDAY(J_ADDDAY(D45,N45,1),1,1)))=0,J_SUBDAY(J_ADDDAY(D45,N45,1),1,1),IF((N45+1-(NETWORKDAYS.INTL(J_GregorianDate(D45,1),J_GregorianDate(J_SUBDAY(J_ADDDAY(D45,N45+1,1),1,1),1),16,1)))+SUMIFS(Holieday[ok],Holieday[date],CONCATENATE("&gt;","=",D45),Holieday[date],CONCATENATE("&lt;","=",J_SUBDAY(J_ADDDAY(D45,N45+1,1),1,1)))-SUMIFS(Holieday[Friday],Holieday[date],CONCATENATE("&gt;","=",D45),Holieday[date],CONCATENATE("&lt;","=",J_SUBDAY(J_ADDDAY(D45,N45+1,1),1,1)))=1,J_SUBDAY(J_ADDDAY(D45,N45+1,1),1,1),IF((N45+2-(NETWORKDAYS.INTL(J_GregorianDate(D45,1),J_GregorianDate(J_SUBDAY(J_ADDDAY(D45,N45+2,1),1,1),1),16,1)))+SUMIFS(Holieday[ok],Holieday[date],CONCATENATE("&gt;","=",D45),Holieday[date],CONCATENATE("&lt;","=",J_SUBDAY(J_ADDDAY(D45,N45+2,1),1,1)))-SUMIFS(Holieday[Friday],Holieday[date],CONCATENATE("&gt;","=",D45),Holieday[date],CONCATENATE("&lt;","=",J_SUBDAY(J_ADDDAY(D45,N45+2,1),1,1)))=2,J_SUBDAY(J_ADDDAY(D45,N45+2,1),1,1),IF((N45+3-(NETWORKDAYS.INTL(J_GregorianDate(D45,1),J_GregorianDate(J_SUBDAY(J_ADDDAY(D45,N45+3,1),1,1),1),16,1)))+SUMIFS(Holieday[ok],Holieday[date],CONCATENATE("&gt;","=",D45),Holieday[date],CONCATENATE("&lt;","=",J_SUBDAY(J_ADDDAY(D45,N45+3,1),1,1)))-SUMIFS(Holieday[Friday],Holieday[date],CONCATENATE("&gt;","=",D45),Holieday[date],CONCATENATE("&lt;","=",J_SUBDAY(J_ADDDAY(D45,N45+3,1),1,1)))=3,J_SUBDAY(J_ADDDAY(D45,N45+3,1),1,1),IF((N45+4-(NETWORKDAYS.INTL(J_GregorianDate(D45,1),J_GregorianDate(J_SUBDAY(J_ADDDAY(D45,N45+4,1),1,1),1),16,1)))+SUMIFS(Holieday[ok],Holieday[date],CONCATENATE("&gt;","=",D45),Holieday[date],CONCATENATE("&lt;","=",J_SUBDAY(J_ADDDAY(D45,N45+4,1),1,1)))-SUMIFS(Holieday[Friday],Holieday[date],CONCATENATE("&gt;","=",D45),Holieday[date],CONCATENATE("&lt;","=",J_SUBDAY(J_ADDDAY(D45,N45+4,1),1,1)))=4,J_SUBDAY(J_ADDDAY(D45,N45+4,1),1,1),IF((N45+5-(NETWORKDAYS.INTL(J_GregorianDate(D45,1),J_GregorianDate(J_SUBDAY(J_ADDDAY(D45,N45+5,1),1,1),1),16,1)))+SUMIFS(Holieday[ok],Holieday[date],CONCATENATE("&gt;","=",D45),Holieday[date],CONCATENATE("&lt;","=",J_SUBDAY(J_ADDDAY(D45,N45+5,1),1,1)))-SUMIFS(Holieday[Friday],Holieday[date],CONCATENATE("&gt;","=",D45),Holieday[date],CONCATENATE("&lt;","=",J_SUBDAY(J_ADDDAY(D45,N45+5,1),1,1)))=5,J_SUBDAY(J_ADDDAY(D45,N45+5,1),1,1),J_SUBDAY(J_ADDDAY(D45,N45+6,1),1,1))))))))</f>
        <v>1398/10/30</v>
      </c>
      <c r="G45" s="2"/>
      <c r="H45" s="175">
        <v>1</v>
      </c>
      <c r="I45" s="176">
        <v>3.6</v>
      </c>
      <c r="J45" s="190">
        <f>j_WEEKDAY(D45,2)</f>
        <v>1</v>
      </c>
      <c r="K45" s="13"/>
      <c r="L45" s="191">
        <f t="shared" si="19"/>
        <v>2</v>
      </c>
      <c r="M45" s="178">
        <v>0</v>
      </c>
      <c r="N45" s="179">
        <v>2</v>
      </c>
      <c r="O45" s="6"/>
      <c r="P45" s="6"/>
      <c r="Q45" s="5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192"/>
      <c r="CO45" s="192"/>
      <c r="CP45" s="192"/>
      <c r="CQ45" s="192"/>
      <c r="CR45" s="192"/>
      <c r="CS45" s="192"/>
      <c r="CT45" s="192"/>
      <c r="CU45" s="192"/>
      <c r="CV45" s="192"/>
      <c r="CW45" s="192"/>
      <c r="CX45" s="192"/>
      <c r="CY45" s="192"/>
      <c r="CZ45" s="192"/>
      <c r="DA45" s="192"/>
      <c r="DB45" s="192"/>
      <c r="DC45" s="192"/>
      <c r="DD45" s="192"/>
      <c r="DE45" s="192"/>
      <c r="DF45" s="192"/>
      <c r="DG45" s="192"/>
      <c r="DH45" s="192"/>
      <c r="DI45" s="192"/>
      <c r="DJ45" s="192"/>
      <c r="DK45" s="192"/>
      <c r="DL45" s="192"/>
      <c r="DM45" s="192"/>
      <c r="DN45" s="192"/>
      <c r="DO45" s="192"/>
      <c r="DP45" s="192"/>
      <c r="DQ45" s="192"/>
      <c r="DR45" s="192"/>
      <c r="DS45" s="192"/>
      <c r="DT45" s="192"/>
      <c r="DU45" s="192"/>
      <c r="DV45" s="192"/>
      <c r="DW45" s="192"/>
      <c r="DX45" s="192"/>
      <c r="DY45" s="192"/>
      <c r="DZ45" s="192"/>
      <c r="EA45" s="192"/>
      <c r="EB45" s="192"/>
      <c r="EC45" s="192"/>
      <c r="ED45" s="192"/>
      <c r="EE45" s="192"/>
      <c r="EF45" s="192"/>
      <c r="EG45" s="192"/>
      <c r="EH45" s="192"/>
      <c r="EI45" s="192"/>
      <c r="EJ45" s="192"/>
      <c r="EK45" s="192"/>
      <c r="EL45" s="192"/>
      <c r="EM45" s="192"/>
      <c r="EN45" s="192"/>
      <c r="EO45" s="192"/>
      <c r="EP45" s="192"/>
      <c r="EQ45" s="192"/>
      <c r="ER45" s="192"/>
      <c r="ES45" s="192"/>
      <c r="ET45" s="192"/>
      <c r="EU45" s="192"/>
      <c r="EV45" s="192"/>
      <c r="EW45" s="192"/>
      <c r="EX45" s="192"/>
      <c r="EY45" s="192"/>
      <c r="EZ45" s="192"/>
      <c r="FA45" s="192"/>
      <c r="FB45" s="192"/>
      <c r="FC45" s="192"/>
      <c r="FD45" s="192"/>
      <c r="FE45" s="192"/>
      <c r="FF45" s="192"/>
      <c r="FG45" s="192"/>
      <c r="FH45" s="192"/>
      <c r="FI45" s="192"/>
      <c r="FJ45" s="192"/>
      <c r="FK45" s="192"/>
      <c r="FL45" s="192"/>
      <c r="FM45" s="192"/>
      <c r="FN45" s="192"/>
      <c r="FO45" s="192"/>
      <c r="FP45" s="192"/>
      <c r="FQ45" s="192"/>
      <c r="FR45" s="192"/>
      <c r="FS45" s="192"/>
      <c r="FT45" s="192"/>
      <c r="FU45" s="192"/>
      <c r="FV45" s="192"/>
      <c r="FW45" s="192"/>
      <c r="FX45" s="192"/>
      <c r="FY45" s="192"/>
      <c r="FZ45" s="192"/>
      <c r="GA45" s="192"/>
      <c r="GB45" s="192"/>
      <c r="GC45" s="192"/>
      <c r="GD45" s="192"/>
      <c r="GE45" s="192"/>
      <c r="GF45" s="192"/>
      <c r="GG45" s="192"/>
      <c r="GH45" s="192"/>
      <c r="GI45" s="192"/>
      <c r="GJ45" s="192"/>
      <c r="GK45" s="192"/>
      <c r="GL45" s="192"/>
      <c r="GM45" s="192"/>
      <c r="GN45" s="192"/>
      <c r="GO45" s="192"/>
      <c r="GP45" s="192"/>
      <c r="GQ45" s="192"/>
      <c r="GR45" s="192"/>
      <c r="GS45" s="192"/>
      <c r="GT45" s="192"/>
      <c r="GU45" s="192"/>
      <c r="GV45" s="192"/>
      <c r="GW45" s="192"/>
      <c r="GX45" s="192"/>
      <c r="GY45" s="192"/>
      <c r="GZ45" s="192"/>
      <c r="HA45" s="192"/>
      <c r="HB45" s="192"/>
      <c r="HC45" s="192"/>
      <c r="HD45" s="192"/>
      <c r="HE45" s="192"/>
      <c r="HF45" s="192"/>
      <c r="HG45" s="192"/>
      <c r="HH45" s="192"/>
      <c r="HI45" s="192"/>
      <c r="HJ45" s="192"/>
      <c r="HK45" s="192"/>
      <c r="HL45" s="192"/>
      <c r="HM45" s="192"/>
      <c r="HN45" s="192"/>
      <c r="HO45" s="192"/>
      <c r="HP45" s="192"/>
      <c r="HQ45" s="192"/>
      <c r="HR45" s="192"/>
      <c r="HS45" s="192"/>
      <c r="HT45" s="192"/>
      <c r="HU45" s="192"/>
      <c r="HV45" s="192"/>
      <c r="HW45" s="192"/>
      <c r="HX45" s="192"/>
      <c r="HY45" s="192"/>
      <c r="HZ45" s="192"/>
      <c r="IA45" s="192"/>
      <c r="IB45" s="192"/>
      <c r="IC45" s="192"/>
      <c r="ID45" s="192"/>
      <c r="IE45" s="192"/>
      <c r="IF45" s="192"/>
      <c r="IG45" s="192"/>
      <c r="IH45" s="192"/>
      <c r="II45" s="192"/>
      <c r="IJ45" s="192"/>
      <c r="IK45" s="192"/>
      <c r="IL45" s="192"/>
      <c r="IM45" s="192"/>
      <c r="IN45" s="192"/>
      <c r="IO45" s="192"/>
      <c r="IP45" s="192"/>
      <c r="IQ45" s="192"/>
      <c r="IR45" s="192"/>
      <c r="IS45" s="192"/>
      <c r="IT45" s="192"/>
      <c r="IU45" s="192"/>
      <c r="IV45" s="192"/>
      <c r="IW45" s="192"/>
      <c r="IX45" s="192"/>
      <c r="JA45" s="198"/>
      <c r="JB45" s="198"/>
      <c r="JC45" s="198"/>
      <c r="JD45" s="199"/>
    </row>
    <row r="46" spans="1:264" s="200" customFormat="1" ht="13.5">
      <c r="A46" s="201">
        <v>3.18</v>
      </c>
      <c r="B46" s="186" t="s">
        <v>153</v>
      </c>
      <c r="C46" s="173" t="s">
        <v>103</v>
      </c>
      <c r="D46" s="192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1398/11/01</v>
      </c>
      <c r="E46" s="1"/>
      <c r="F46" s="196" t="str">
        <f>IF(N46=0,J_SUBDAY(D46,1,1),IF((N46-(NETWORKDAYS.INTL(J_GregorianDate(D46,1),J_GregorianDate(J_SUBDAY(J_ADDDAY(D46,N46,1),1,1),1),16,1)))+SUMIFS(Holieday[ok],Holieday[date],CONCATENATE("&gt;","=",D46),Holieday[date],CONCATENATE("&lt;","=",J_SUBDAY(J_ADDDAY(D46,N46,1),1,1)))-SUMIFS(Holieday[Friday],Holieday[date],CONCATENATE("&gt;","=",D46),Holieday[date],CONCATENATE("&lt;","=",J_SUBDAY(J_ADDDAY(D46,N46,1),1,1)))=0,J_SUBDAY(J_ADDDAY(D46,N46,1),1,1),IF((N46+1-(NETWORKDAYS.INTL(J_GregorianDate(D46,1),J_GregorianDate(J_SUBDAY(J_ADDDAY(D46,N46+1,1),1,1),1),16,1)))+SUMIFS(Holieday[ok],Holieday[date],CONCATENATE("&gt;","=",D46),Holieday[date],CONCATENATE("&lt;","=",J_SUBDAY(J_ADDDAY(D46,N46+1,1),1,1)))-SUMIFS(Holieday[Friday],Holieday[date],CONCATENATE("&gt;","=",D46),Holieday[date],CONCATENATE("&lt;","=",J_SUBDAY(J_ADDDAY(D46,N46+1,1),1,1)))=1,J_SUBDAY(J_ADDDAY(D46,N46+1,1),1,1),IF((N46+2-(NETWORKDAYS.INTL(J_GregorianDate(D46,1),J_GregorianDate(J_SUBDAY(J_ADDDAY(D46,N46+2,1),1,1),1),16,1)))+SUMIFS(Holieday[ok],Holieday[date],CONCATENATE("&gt;","=",D46),Holieday[date],CONCATENATE("&lt;","=",J_SUBDAY(J_ADDDAY(D46,N46+2,1),1,1)))-SUMIFS(Holieday[Friday],Holieday[date],CONCATENATE("&gt;","=",D46),Holieday[date],CONCATENATE("&lt;","=",J_SUBDAY(J_ADDDAY(D46,N46+2,1),1,1)))=2,J_SUBDAY(J_ADDDAY(D46,N46+2,1),1,1),IF((N46+3-(NETWORKDAYS.INTL(J_GregorianDate(D46,1),J_GregorianDate(J_SUBDAY(J_ADDDAY(D46,N46+3,1),1,1),1),16,1)))+SUMIFS(Holieday[ok],Holieday[date],CONCATENATE("&gt;","=",D46),Holieday[date],CONCATENATE("&lt;","=",J_SUBDAY(J_ADDDAY(D46,N46+3,1),1,1)))-SUMIFS(Holieday[Friday],Holieday[date],CONCATENATE("&gt;","=",D46),Holieday[date],CONCATENATE("&lt;","=",J_SUBDAY(J_ADDDAY(D46,N46+3,1),1,1)))=3,J_SUBDAY(J_ADDDAY(D46,N46+3,1),1,1),IF((N46+4-(NETWORKDAYS.INTL(J_GregorianDate(D46,1),J_GregorianDate(J_SUBDAY(J_ADDDAY(D46,N46+4,1),1,1),1),16,1)))+SUMIFS(Holieday[ok],Holieday[date],CONCATENATE("&gt;","=",D46),Holieday[date],CONCATENATE("&lt;","=",J_SUBDAY(J_ADDDAY(D46,N46+4,1),1,1)))-SUMIFS(Holieday[Friday],Holieday[date],CONCATENATE("&gt;","=",D46),Holieday[date],CONCATENATE("&lt;","=",J_SUBDAY(J_ADDDAY(D46,N46+4,1),1,1)))=4,J_SUBDAY(J_ADDDAY(D46,N46+4,1),1,1),IF((N46+5-(NETWORKDAYS.INTL(J_GregorianDate(D46,1),J_GregorianDate(J_SUBDAY(J_ADDDAY(D46,N46+5,1),1,1),1),16,1)))+SUMIFS(Holieday[ok],Holieday[date],CONCATENATE("&gt;","=",D46),Holieday[date],CONCATENATE("&lt;","=",J_SUBDAY(J_ADDDAY(D46,N46+5,1),1,1)))-SUMIFS(Holieday[Friday],Holieday[date],CONCATENATE("&gt;","=",D46),Holieday[date],CONCATENATE("&lt;","=",J_SUBDAY(J_ADDDAY(D46,N46+5,1),1,1)))=5,J_SUBDAY(J_ADDDAY(D46,N46+5,1),1,1),J_SUBDAY(J_ADDDAY(D46,N46+6,1),1,1))))))))</f>
        <v>1398/11/03</v>
      </c>
      <c r="G46" s="2"/>
      <c r="H46" s="175">
        <v>1</v>
      </c>
      <c r="I46" s="176">
        <v>3.17</v>
      </c>
      <c r="J46" s="190">
        <f>j_WEEKDAY(D46,2)</f>
        <v>3</v>
      </c>
      <c r="K46" s="13"/>
      <c r="L46" s="191">
        <f t="shared" si="19"/>
        <v>3</v>
      </c>
      <c r="M46" s="178">
        <v>0</v>
      </c>
      <c r="N46" s="179">
        <v>3</v>
      </c>
      <c r="O46" s="6"/>
      <c r="P46" s="6"/>
      <c r="Q46" s="5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192"/>
      <c r="CO46" s="192"/>
      <c r="CP46" s="192"/>
      <c r="CQ46" s="192"/>
      <c r="CR46" s="192"/>
      <c r="CS46" s="192"/>
      <c r="CT46" s="192"/>
      <c r="CU46" s="192"/>
      <c r="CV46" s="192"/>
      <c r="CW46" s="192"/>
      <c r="CX46" s="192"/>
      <c r="CY46" s="192"/>
      <c r="CZ46" s="192"/>
      <c r="DA46" s="192"/>
      <c r="DB46" s="192"/>
      <c r="DC46" s="192"/>
      <c r="DD46" s="192"/>
      <c r="DE46" s="192"/>
      <c r="DF46" s="192"/>
      <c r="DG46" s="192"/>
      <c r="DH46" s="192"/>
      <c r="DI46" s="192"/>
      <c r="DJ46" s="192"/>
      <c r="DK46" s="192"/>
      <c r="DL46" s="192"/>
      <c r="DM46" s="192"/>
      <c r="DN46" s="192"/>
      <c r="DO46" s="192"/>
      <c r="DP46" s="192"/>
      <c r="DQ46" s="192"/>
      <c r="DR46" s="192"/>
      <c r="DS46" s="192"/>
      <c r="DT46" s="192"/>
      <c r="DU46" s="192"/>
      <c r="DV46" s="192"/>
      <c r="DW46" s="192"/>
      <c r="DX46" s="192"/>
      <c r="DY46" s="192"/>
      <c r="DZ46" s="192"/>
      <c r="EA46" s="192"/>
      <c r="EB46" s="192"/>
      <c r="EC46" s="192"/>
      <c r="ED46" s="192"/>
      <c r="EE46" s="192"/>
      <c r="EF46" s="192"/>
      <c r="EG46" s="192"/>
      <c r="EH46" s="192"/>
      <c r="EI46" s="192"/>
      <c r="EJ46" s="192"/>
      <c r="EK46" s="192"/>
      <c r="EL46" s="192"/>
      <c r="EM46" s="192"/>
      <c r="EN46" s="192"/>
      <c r="EO46" s="192"/>
      <c r="EP46" s="192"/>
      <c r="EQ46" s="192"/>
      <c r="ER46" s="192"/>
      <c r="ES46" s="192"/>
      <c r="ET46" s="192"/>
      <c r="EU46" s="192"/>
      <c r="EV46" s="192"/>
      <c r="EW46" s="192"/>
      <c r="EX46" s="192"/>
      <c r="EY46" s="192"/>
      <c r="EZ46" s="192"/>
      <c r="FA46" s="192"/>
      <c r="FB46" s="192"/>
      <c r="FC46" s="192"/>
      <c r="FD46" s="192"/>
      <c r="FE46" s="192"/>
      <c r="FF46" s="192"/>
      <c r="FG46" s="192"/>
      <c r="FH46" s="192"/>
      <c r="FI46" s="192"/>
      <c r="FJ46" s="192"/>
      <c r="FK46" s="192"/>
      <c r="FL46" s="192"/>
      <c r="FM46" s="192"/>
      <c r="FN46" s="192"/>
      <c r="FO46" s="192"/>
      <c r="FP46" s="192"/>
      <c r="FQ46" s="192"/>
      <c r="FR46" s="192"/>
      <c r="FS46" s="192"/>
      <c r="FT46" s="192"/>
      <c r="FU46" s="192"/>
      <c r="FV46" s="192"/>
      <c r="FW46" s="192"/>
      <c r="FX46" s="192"/>
      <c r="FY46" s="192"/>
      <c r="FZ46" s="192"/>
      <c r="GA46" s="192"/>
      <c r="GB46" s="192"/>
      <c r="GC46" s="192"/>
      <c r="GD46" s="192"/>
      <c r="GE46" s="192"/>
      <c r="GF46" s="192"/>
      <c r="GG46" s="192"/>
      <c r="GH46" s="192"/>
      <c r="GI46" s="192"/>
      <c r="GJ46" s="192"/>
      <c r="GK46" s="192"/>
      <c r="GL46" s="192"/>
      <c r="GM46" s="192"/>
      <c r="GN46" s="192"/>
      <c r="GO46" s="192"/>
      <c r="GP46" s="192"/>
      <c r="GQ46" s="192"/>
      <c r="GR46" s="192"/>
      <c r="GS46" s="192"/>
      <c r="GT46" s="192"/>
      <c r="GU46" s="192"/>
      <c r="GV46" s="192"/>
      <c r="GW46" s="192"/>
      <c r="GX46" s="192"/>
      <c r="GY46" s="192"/>
      <c r="GZ46" s="192"/>
      <c r="HA46" s="192"/>
      <c r="HB46" s="192"/>
      <c r="HC46" s="192"/>
      <c r="HD46" s="192"/>
      <c r="HE46" s="192"/>
      <c r="HF46" s="192"/>
      <c r="HG46" s="192"/>
      <c r="HH46" s="192"/>
      <c r="HI46" s="192"/>
      <c r="HJ46" s="192"/>
      <c r="HK46" s="192"/>
      <c r="HL46" s="192"/>
      <c r="HM46" s="192"/>
      <c r="HN46" s="192"/>
      <c r="HO46" s="192"/>
      <c r="HP46" s="192"/>
      <c r="HQ46" s="192"/>
      <c r="HR46" s="192"/>
      <c r="HS46" s="192"/>
      <c r="HT46" s="192"/>
      <c r="HU46" s="192"/>
      <c r="HV46" s="192"/>
      <c r="HW46" s="192"/>
      <c r="HX46" s="192"/>
      <c r="HY46" s="192"/>
      <c r="HZ46" s="192"/>
      <c r="IA46" s="192"/>
      <c r="IB46" s="192"/>
      <c r="IC46" s="192"/>
      <c r="ID46" s="192"/>
      <c r="IE46" s="192"/>
      <c r="IF46" s="192"/>
      <c r="IG46" s="192"/>
      <c r="IH46" s="192"/>
      <c r="II46" s="192"/>
      <c r="IJ46" s="192"/>
      <c r="IK46" s="192"/>
      <c r="IL46" s="192"/>
      <c r="IM46" s="192"/>
      <c r="IN46" s="192"/>
      <c r="IO46" s="192"/>
      <c r="IP46" s="192"/>
      <c r="IQ46" s="192"/>
      <c r="IR46" s="192"/>
      <c r="IS46" s="192"/>
      <c r="IT46" s="192"/>
      <c r="IU46" s="192"/>
      <c r="IV46" s="192"/>
      <c r="IW46" s="192"/>
      <c r="IX46" s="192"/>
      <c r="JA46" s="198"/>
      <c r="JB46" s="198"/>
      <c r="JC46" s="198"/>
      <c r="JD46" s="199"/>
    </row>
    <row r="47" spans="1:264" s="200" customFormat="1" ht="13.5">
      <c r="A47" s="201">
        <v>3.19</v>
      </c>
      <c r="B47" s="186" t="s">
        <v>161</v>
      </c>
      <c r="C47" s="173" t="s">
        <v>104</v>
      </c>
      <c r="D47" s="192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1398/11/03</v>
      </c>
      <c r="E47" s="1">
        <f t="shared" ref="E47:E55" si="20">VALUE(J_normdate(D47))</f>
        <v>13981103</v>
      </c>
      <c r="F47" s="196" t="str">
        <f>IF(N47=0,J_SUBDAY(D47,1,1),IF((N47-(NETWORKDAYS.INTL(J_GregorianDate(D47,1),J_GregorianDate(J_SUBDAY(J_ADDDAY(D47,N47,1),1,1),1),16,1)))+SUMIFS(Holieday[ok],Holieday[date],CONCATENATE("&gt;","=",D47),Holieday[date],CONCATENATE("&lt;","=",J_SUBDAY(J_ADDDAY(D47,N47,1),1,1)))-SUMIFS(Holieday[Friday],Holieday[date],CONCATENATE("&gt;","=",D47),Holieday[date],CONCATENATE("&lt;","=",J_SUBDAY(J_ADDDAY(D47,N47,1),1,1)))=0,J_SUBDAY(J_ADDDAY(D47,N47,1),1,1),IF((N47+1-(NETWORKDAYS.INTL(J_GregorianDate(D47,1),J_GregorianDate(J_SUBDAY(J_ADDDAY(D47,N47+1,1),1,1),1),16,1)))+SUMIFS(Holieday[ok],Holieday[date],CONCATENATE("&gt;","=",D47),Holieday[date],CONCATENATE("&lt;","=",J_SUBDAY(J_ADDDAY(D47,N47+1,1),1,1)))-SUMIFS(Holieday[Friday],Holieday[date],CONCATENATE("&gt;","=",D47),Holieday[date],CONCATENATE("&lt;","=",J_SUBDAY(J_ADDDAY(D47,N47+1,1),1,1)))=1,J_SUBDAY(J_ADDDAY(D47,N47+1,1),1,1),IF((N47+2-(NETWORKDAYS.INTL(J_GregorianDate(D47,1),J_GregorianDate(J_SUBDAY(J_ADDDAY(D47,N47+2,1),1,1),1),16,1)))+SUMIFS(Holieday[ok],Holieday[date],CONCATENATE("&gt;","=",D47),Holieday[date],CONCATENATE("&lt;","=",J_SUBDAY(J_ADDDAY(D47,N47+2,1),1,1)))-SUMIFS(Holieday[Friday],Holieday[date],CONCATENATE("&gt;","=",D47),Holieday[date],CONCATENATE("&lt;","=",J_SUBDAY(J_ADDDAY(D47,N47+2,1),1,1)))=2,J_SUBDAY(J_ADDDAY(D47,N47+2,1),1,1),IF((N47+3-(NETWORKDAYS.INTL(J_GregorianDate(D47,1),J_GregorianDate(J_SUBDAY(J_ADDDAY(D47,N47+3,1),1,1),1),16,1)))+SUMIFS(Holieday[ok],Holieday[date],CONCATENATE("&gt;","=",D47),Holieday[date],CONCATENATE("&lt;","=",J_SUBDAY(J_ADDDAY(D47,N47+3,1),1,1)))-SUMIFS(Holieday[Friday],Holieday[date],CONCATENATE("&gt;","=",D47),Holieday[date],CONCATENATE("&lt;","=",J_SUBDAY(J_ADDDAY(D47,N47+3,1),1,1)))=3,J_SUBDAY(J_ADDDAY(D47,N47+3,1),1,1),IF((N47+4-(NETWORKDAYS.INTL(J_GregorianDate(D47,1),J_GregorianDate(J_SUBDAY(J_ADDDAY(D47,N47+4,1),1,1),1),16,1)))+SUMIFS(Holieday[ok],Holieday[date],CONCATENATE("&gt;","=",D47),Holieday[date],CONCATENATE("&lt;","=",J_SUBDAY(J_ADDDAY(D47,N47+4,1),1,1)))-SUMIFS(Holieday[Friday],Holieday[date],CONCATENATE("&gt;","=",D47),Holieday[date],CONCATENATE("&lt;","=",J_SUBDAY(J_ADDDAY(D47,N47+4,1),1,1)))=4,J_SUBDAY(J_ADDDAY(D47,N47+4,1),1,1),IF((N47+5-(NETWORKDAYS.INTL(J_GregorianDate(D47,1),J_GregorianDate(J_SUBDAY(J_ADDDAY(D47,N47+5,1),1,1),1),16,1)))+SUMIFS(Holieday[ok],Holieday[date],CONCATENATE("&gt;","=",D47),Holieday[date],CONCATENATE("&lt;","=",J_SUBDAY(J_ADDDAY(D47,N47+5,1),1,1)))-SUMIFS(Holieday[Friday],Holieday[date],CONCATENATE("&gt;","=",D47),Holieday[date],CONCATENATE("&lt;","=",J_SUBDAY(J_ADDDAY(D47,N47+5,1),1,1)))=5,J_SUBDAY(J_ADDDAY(D47,N47+5,1),1,1),J_SUBDAY(J_ADDDAY(D47,N47+6,1),1,1))))))))</f>
        <v>1398/11/05</v>
      </c>
      <c r="G47" s="2">
        <f t="shared" ref="G47:G55" si="21">VALUE(J_normdate(F47))</f>
        <v>13981105</v>
      </c>
      <c r="H47" s="175">
        <v>2</v>
      </c>
      <c r="I47" s="176">
        <v>3.7</v>
      </c>
      <c r="J47" s="190">
        <f>j_WEEKDAY(D47,2)</f>
        <v>5</v>
      </c>
      <c r="K47" s="13">
        <f t="shared" si="18"/>
        <v>0</v>
      </c>
      <c r="L47" s="191">
        <f t="shared" si="19"/>
        <v>3</v>
      </c>
      <c r="M47" s="178">
        <v>1</v>
      </c>
      <c r="N47" s="179">
        <v>2</v>
      </c>
      <c r="O47" s="6">
        <f t="shared" ref="O47:O55" si="22">ROUNDDOWN(M47*L47,0)</f>
        <v>3</v>
      </c>
      <c r="P47" s="6">
        <f>VALUE(J_normdate(J_ADDDAY($D47,$O47,1)))</f>
        <v>13981106</v>
      </c>
      <c r="Q47" s="5">
        <f t="shared" si="14"/>
        <v>0</v>
      </c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192"/>
      <c r="CO47" s="192"/>
      <c r="CP47" s="192"/>
      <c r="CQ47" s="192"/>
      <c r="CR47" s="192"/>
      <c r="CS47" s="192"/>
      <c r="CT47" s="192"/>
      <c r="CU47" s="192"/>
      <c r="CV47" s="192"/>
      <c r="CW47" s="192"/>
      <c r="CX47" s="192"/>
      <c r="CY47" s="192"/>
      <c r="CZ47" s="192"/>
      <c r="DA47" s="192"/>
      <c r="DB47" s="192"/>
      <c r="DC47" s="192"/>
      <c r="DD47" s="192"/>
      <c r="DE47" s="192"/>
      <c r="DF47" s="192"/>
      <c r="DG47" s="192"/>
      <c r="DH47" s="192"/>
      <c r="DI47" s="192"/>
      <c r="DJ47" s="192"/>
      <c r="DK47" s="192"/>
      <c r="DL47" s="192"/>
      <c r="DM47" s="192"/>
      <c r="DN47" s="192"/>
      <c r="DO47" s="192"/>
      <c r="DP47" s="192"/>
      <c r="DQ47" s="192"/>
      <c r="DR47" s="192"/>
      <c r="DS47" s="192"/>
      <c r="DT47" s="192"/>
      <c r="DU47" s="192"/>
      <c r="DV47" s="192"/>
      <c r="DW47" s="192"/>
      <c r="DX47" s="192"/>
      <c r="DY47" s="192"/>
      <c r="DZ47" s="192"/>
      <c r="EA47" s="192"/>
      <c r="EB47" s="192"/>
      <c r="EC47" s="192"/>
      <c r="ED47" s="192"/>
      <c r="EE47" s="192"/>
      <c r="EF47" s="192"/>
      <c r="EG47" s="192"/>
      <c r="EH47" s="192"/>
      <c r="EI47" s="192"/>
      <c r="EJ47" s="192"/>
      <c r="EK47" s="192"/>
      <c r="EL47" s="192"/>
      <c r="EM47" s="192"/>
      <c r="EN47" s="192"/>
      <c r="EO47" s="192"/>
      <c r="EP47" s="192"/>
      <c r="EQ47" s="192"/>
      <c r="ER47" s="192"/>
      <c r="ES47" s="192"/>
      <c r="ET47" s="192"/>
      <c r="EU47" s="192"/>
      <c r="EV47" s="192"/>
      <c r="EW47" s="192"/>
      <c r="EX47" s="192"/>
      <c r="EY47" s="192"/>
      <c r="EZ47" s="192"/>
      <c r="FA47" s="192"/>
      <c r="FB47" s="192"/>
      <c r="FC47" s="192"/>
      <c r="FD47" s="192"/>
      <c r="FE47" s="192"/>
      <c r="FF47" s="192"/>
      <c r="FG47" s="192"/>
      <c r="FH47" s="192"/>
      <c r="FI47" s="192"/>
      <c r="FJ47" s="192"/>
      <c r="FK47" s="192"/>
      <c r="FL47" s="192"/>
      <c r="FM47" s="192"/>
      <c r="FN47" s="192"/>
      <c r="FO47" s="192"/>
      <c r="FP47" s="192"/>
      <c r="FQ47" s="192"/>
      <c r="FR47" s="192"/>
      <c r="FS47" s="192"/>
      <c r="FT47" s="192"/>
      <c r="FU47" s="192"/>
      <c r="FV47" s="192"/>
      <c r="FW47" s="192"/>
      <c r="FX47" s="192"/>
      <c r="FY47" s="192"/>
      <c r="FZ47" s="192"/>
      <c r="GA47" s="192"/>
      <c r="GB47" s="192"/>
      <c r="GC47" s="192"/>
      <c r="GD47" s="192"/>
      <c r="GE47" s="192"/>
      <c r="GF47" s="192"/>
      <c r="GG47" s="192"/>
      <c r="GH47" s="192"/>
      <c r="GI47" s="192"/>
      <c r="GJ47" s="192"/>
      <c r="GK47" s="192"/>
      <c r="GL47" s="192"/>
      <c r="GM47" s="192"/>
      <c r="GN47" s="192"/>
      <c r="GO47" s="192"/>
      <c r="GP47" s="192"/>
      <c r="GQ47" s="192"/>
      <c r="GR47" s="192"/>
      <c r="GS47" s="192"/>
      <c r="GT47" s="192"/>
      <c r="GU47" s="192"/>
      <c r="GV47" s="192"/>
      <c r="GW47" s="192"/>
      <c r="GX47" s="192"/>
      <c r="GY47" s="192"/>
      <c r="GZ47" s="192"/>
      <c r="HA47" s="192"/>
      <c r="HB47" s="192"/>
      <c r="HC47" s="192"/>
      <c r="HD47" s="192"/>
      <c r="HE47" s="192"/>
      <c r="HF47" s="192"/>
      <c r="HG47" s="192"/>
      <c r="HH47" s="192"/>
      <c r="HI47" s="192"/>
      <c r="HJ47" s="192"/>
      <c r="HK47" s="192"/>
      <c r="HL47" s="192"/>
      <c r="HM47" s="192"/>
      <c r="HN47" s="192"/>
      <c r="HO47" s="192"/>
      <c r="HP47" s="192"/>
      <c r="HQ47" s="192"/>
      <c r="HR47" s="192"/>
      <c r="HS47" s="192"/>
      <c r="HT47" s="192"/>
      <c r="HU47" s="192"/>
      <c r="HV47" s="192"/>
      <c r="HW47" s="192"/>
      <c r="HX47" s="192"/>
      <c r="HY47" s="192"/>
      <c r="HZ47" s="192"/>
      <c r="IA47" s="192"/>
      <c r="IB47" s="192"/>
      <c r="IC47" s="192"/>
      <c r="ID47" s="192"/>
      <c r="IE47" s="192"/>
      <c r="IF47" s="192"/>
      <c r="IG47" s="192"/>
      <c r="IH47" s="192"/>
      <c r="II47" s="192"/>
      <c r="IJ47" s="192"/>
      <c r="IK47" s="192"/>
      <c r="IL47" s="192"/>
      <c r="IM47" s="192"/>
      <c r="IN47" s="192"/>
      <c r="IO47" s="192"/>
      <c r="IP47" s="192"/>
      <c r="IQ47" s="192"/>
      <c r="IR47" s="192"/>
      <c r="IS47" s="192"/>
      <c r="IT47" s="192"/>
      <c r="IU47" s="192"/>
      <c r="IV47" s="192"/>
      <c r="IW47" s="192"/>
      <c r="IX47" s="192"/>
      <c r="JA47" s="198"/>
      <c r="JB47" s="198"/>
      <c r="JC47" s="198"/>
      <c r="JD47" s="199">
        <f>SUM((TEXT(JA47,"[M]")/60)*'Income Person-hours'!$D$3,(TEXT(JB47,"[M]")/60)*'Income Person-hours'!$D$4,(TEXT(JC47,"[M]")/60)*'Income Person-hours'!$D$5)</f>
        <v>0</v>
      </c>
    </row>
    <row r="48" spans="1:264" s="200" customFormat="1" ht="17.25" customHeight="1">
      <c r="A48" s="201">
        <v>3.21</v>
      </c>
      <c r="B48" s="186" t="s">
        <v>162</v>
      </c>
      <c r="C48" s="173" t="s">
        <v>103</v>
      </c>
      <c r="D48" s="192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1398/11/06</v>
      </c>
      <c r="E48" s="1">
        <f t="shared" si="20"/>
        <v>13981106</v>
      </c>
      <c r="F48" s="196" t="str">
        <f>IF(N48=0,J_SUBDAY(D48,1,1),IF((N48-(NETWORKDAYS.INTL(J_GregorianDate(D48,1),J_GregorianDate(J_SUBDAY(J_ADDDAY(D48,N48,1),1,1),1),16,1)))+SUMIFS(Holieday[ok],Holieday[date],CONCATENATE("&gt;","=",D48),Holieday[date],CONCATENATE("&lt;","=",J_SUBDAY(J_ADDDAY(D48,N48,1),1,1)))-SUMIFS(Holieday[Friday],Holieday[date],CONCATENATE("&gt;","=",D48),Holieday[date],CONCATENATE("&lt;","=",J_SUBDAY(J_ADDDAY(D48,N48,1),1,1)))=0,J_SUBDAY(J_ADDDAY(D48,N48,1),1,1),IF((N48+1-(NETWORKDAYS.INTL(J_GregorianDate(D48,1),J_GregorianDate(J_SUBDAY(J_ADDDAY(D48,N48+1,1),1,1),1),16,1)))+SUMIFS(Holieday[ok],Holieday[date],CONCATENATE("&gt;","=",D48),Holieday[date],CONCATENATE("&lt;","=",J_SUBDAY(J_ADDDAY(D48,N48+1,1),1,1)))-SUMIFS(Holieday[Friday],Holieday[date],CONCATENATE("&gt;","=",D48),Holieday[date],CONCATENATE("&lt;","=",J_SUBDAY(J_ADDDAY(D48,N48+1,1),1,1)))=1,J_SUBDAY(J_ADDDAY(D48,N48+1,1),1,1),IF((N48+2-(NETWORKDAYS.INTL(J_GregorianDate(D48,1),J_GregorianDate(J_SUBDAY(J_ADDDAY(D48,N48+2,1),1,1),1),16,1)))+SUMIFS(Holieday[ok],Holieday[date],CONCATENATE("&gt;","=",D48),Holieday[date],CONCATENATE("&lt;","=",J_SUBDAY(J_ADDDAY(D48,N48+2,1),1,1)))-SUMIFS(Holieday[Friday],Holieday[date],CONCATENATE("&gt;","=",D48),Holieday[date],CONCATENATE("&lt;","=",J_SUBDAY(J_ADDDAY(D48,N48+2,1),1,1)))=2,J_SUBDAY(J_ADDDAY(D48,N48+2,1),1,1),IF((N48+3-(NETWORKDAYS.INTL(J_GregorianDate(D48,1),J_GregorianDate(J_SUBDAY(J_ADDDAY(D48,N48+3,1),1,1),1),16,1)))+SUMIFS(Holieday[ok],Holieday[date],CONCATENATE("&gt;","=",D48),Holieday[date],CONCATENATE("&lt;","=",J_SUBDAY(J_ADDDAY(D48,N48+3,1),1,1)))-SUMIFS(Holieday[Friday],Holieday[date],CONCATENATE("&gt;","=",D48),Holieday[date],CONCATENATE("&lt;","=",J_SUBDAY(J_ADDDAY(D48,N48+3,1),1,1)))=3,J_SUBDAY(J_ADDDAY(D48,N48+3,1),1,1),IF((N48+4-(NETWORKDAYS.INTL(J_GregorianDate(D48,1),J_GregorianDate(J_SUBDAY(J_ADDDAY(D48,N48+4,1),1,1),1),16,1)))+SUMIFS(Holieday[ok],Holieday[date],CONCATENATE("&gt;","=",D48),Holieday[date],CONCATENATE("&lt;","=",J_SUBDAY(J_ADDDAY(D48,N48+4,1),1,1)))-SUMIFS(Holieday[Friday],Holieday[date],CONCATENATE("&gt;","=",D48),Holieday[date],CONCATENATE("&lt;","=",J_SUBDAY(J_ADDDAY(D48,N48+4,1),1,1)))=4,J_SUBDAY(J_ADDDAY(D48,N48+4,1),1,1),IF((N48+5-(NETWORKDAYS.INTL(J_GregorianDate(D48,1),J_GregorianDate(J_SUBDAY(J_ADDDAY(D48,N48+5,1),1,1),1),16,1)))+SUMIFS(Holieday[ok],Holieday[date],CONCATENATE("&gt;","=",D48),Holieday[date],CONCATENATE("&lt;","=",J_SUBDAY(J_ADDDAY(D48,N48+5,1),1,1)))-SUMIFS(Holieday[Friday],Holieday[date],CONCATENATE("&gt;","=",D48),Holieday[date],CONCATENATE("&lt;","=",J_SUBDAY(J_ADDDAY(D48,N48+5,1),1,1)))=5,J_SUBDAY(J_ADDDAY(D48,N48+5,1),1,1),J_SUBDAY(J_ADDDAY(D48,N48+6,1),1,1))))))))</f>
        <v>1398/11/10</v>
      </c>
      <c r="G48" s="2">
        <f t="shared" si="21"/>
        <v>13981110</v>
      </c>
      <c r="H48" s="175">
        <v>1</v>
      </c>
      <c r="I48" s="176">
        <v>3.19</v>
      </c>
      <c r="J48" s="190">
        <f>j_WEEKDAY(D48,2)</f>
        <v>1</v>
      </c>
      <c r="K48" s="13">
        <f t="shared" si="18"/>
        <v>0</v>
      </c>
      <c r="L48" s="191">
        <f t="shared" si="19"/>
        <v>5</v>
      </c>
      <c r="M48" s="178">
        <v>1</v>
      </c>
      <c r="N48" s="179">
        <v>4</v>
      </c>
      <c r="O48" s="6">
        <f t="shared" si="22"/>
        <v>5</v>
      </c>
      <c r="P48" s="6">
        <f>VALUE(J_normdate(J_ADDDAY($D48,$O48,1)))</f>
        <v>13981111</v>
      </c>
      <c r="Q48" s="5">
        <f t="shared" si="14"/>
        <v>0</v>
      </c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  <c r="DA48" s="192"/>
      <c r="DB48" s="192"/>
      <c r="DC48" s="192"/>
      <c r="DD48" s="192"/>
      <c r="DE48" s="192"/>
      <c r="DF48" s="192"/>
      <c r="DG48" s="192"/>
      <c r="DH48" s="192"/>
      <c r="DI48" s="192"/>
      <c r="DJ48" s="192"/>
      <c r="DK48" s="192"/>
      <c r="DL48" s="192"/>
      <c r="DM48" s="192"/>
      <c r="DN48" s="192"/>
      <c r="DO48" s="192"/>
      <c r="DP48" s="192"/>
      <c r="DQ48" s="192"/>
      <c r="DR48" s="192"/>
      <c r="DS48" s="192"/>
      <c r="DT48" s="192"/>
      <c r="DU48" s="192"/>
      <c r="DV48" s="192"/>
      <c r="DW48" s="192"/>
      <c r="DX48" s="192"/>
      <c r="DY48" s="192"/>
      <c r="DZ48" s="192"/>
      <c r="EA48" s="192"/>
      <c r="EB48" s="192"/>
      <c r="EC48" s="192"/>
      <c r="ED48" s="192"/>
      <c r="EE48" s="192"/>
      <c r="EF48" s="192"/>
      <c r="EG48" s="192"/>
      <c r="EH48" s="192"/>
      <c r="EI48" s="192"/>
      <c r="EJ48" s="192"/>
      <c r="EK48" s="192"/>
      <c r="EL48" s="192"/>
      <c r="EM48" s="192"/>
      <c r="EN48" s="192"/>
      <c r="EO48" s="192"/>
      <c r="EP48" s="192"/>
      <c r="EQ48" s="192"/>
      <c r="ER48" s="192"/>
      <c r="ES48" s="192"/>
      <c r="ET48" s="192"/>
      <c r="EU48" s="192"/>
      <c r="EV48" s="192"/>
      <c r="EW48" s="192"/>
      <c r="EX48" s="192"/>
      <c r="EY48" s="192"/>
      <c r="EZ48" s="192"/>
      <c r="FA48" s="192"/>
      <c r="FB48" s="192"/>
      <c r="FC48" s="192"/>
      <c r="FD48" s="192"/>
      <c r="FE48" s="192"/>
      <c r="FF48" s="192"/>
      <c r="FG48" s="192"/>
      <c r="FH48" s="192"/>
      <c r="FI48" s="192"/>
      <c r="FJ48" s="192"/>
      <c r="FK48" s="192"/>
      <c r="FL48" s="192"/>
      <c r="FM48" s="192"/>
      <c r="FN48" s="192"/>
      <c r="FO48" s="192"/>
      <c r="FP48" s="192"/>
      <c r="FQ48" s="192"/>
      <c r="FR48" s="192"/>
      <c r="FS48" s="192"/>
      <c r="FT48" s="192"/>
      <c r="FU48" s="192"/>
      <c r="FV48" s="192"/>
      <c r="FW48" s="192"/>
      <c r="FX48" s="192"/>
      <c r="FY48" s="192"/>
      <c r="FZ48" s="192"/>
      <c r="GA48" s="192"/>
      <c r="GB48" s="192"/>
      <c r="GC48" s="192"/>
      <c r="GD48" s="192"/>
      <c r="GE48" s="192"/>
      <c r="GF48" s="192"/>
      <c r="GG48" s="192"/>
      <c r="GH48" s="192"/>
      <c r="GI48" s="192"/>
      <c r="GJ48" s="192"/>
      <c r="GK48" s="192"/>
      <c r="GL48" s="192"/>
      <c r="GM48" s="192"/>
      <c r="GN48" s="192"/>
      <c r="GO48" s="192"/>
      <c r="GP48" s="192"/>
      <c r="GQ48" s="192"/>
      <c r="GR48" s="192"/>
      <c r="GS48" s="192"/>
      <c r="GT48" s="192"/>
      <c r="GU48" s="192"/>
      <c r="GV48" s="192"/>
      <c r="GW48" s="192"/>
      <c r="GX48" s="192"/>
      <c r="GY48" s="192"/>
      <c r="GZ48" s="192"/>
      <c r="HA48" s="192"/>
      <c r="HB48" s="192"/>
      <c r="HC48" s="192"/>
      <c r="HD48" s="192"/>
      <c r="HE48" s="192"/>
      <c r="HF48" s="192"/>
      <c r="HG48" s="192"/>
      <c r="HH48" s="192"/>
      <c r="HI48" s="192"/>
      <c r="HJ48" s="192"/>
      <c r="HK48" s="192"/>
      <c r="HL48" s="192"/>
      <c r="HM48" s="192"/>
      <c r="HN48" s="192"/>
      <c r="HO48" s="192"/>
      <c r="HP48" s="192"/>
      <c r="HQ48" s="192"/>
      <c r="HR48" s="192"/>
      <c r="HS48" s="192"/>
      <c r="HT48" s="192"/>
      <c r="HU48" s="192"/>
      <c r="HV48" s="192"/>
      <c r="HW48" s="192"/>
      <c r="HX48" s="192"/>
      <c r="HY48" s="192"/>
      <c r="HZ48" s="192"/>
      <c r="IA48" s="192"/>
      <c r="IB48" s="192"/>
      <c r="IC48" s="192"/>
      <c r="ID48" s="192"/>
      <c r="IE48" s="192"/>
      <c r="IF48" s="192"/>
      <c r="IG48" s="192"/>
      <c r="IH48" s="192"/>
      <c r="II48" s="192"/>
      <c r="IJ48" s="192"/>
      <c r="IK48" s="192"/>
      <c r="IL48" s="192"/>
      <c r="IM48" s="192"/>
      <c r="IN48" s="192"/>
      <c r="IO48" s="192"/>
      <c r="IP48" s="192"/>
      <c r="IQ48" s="192"/>
      <c r="IR48" s="192"/>
      <c r="IS48" s="192"/>
      <c r="IT48" s="192"/>
      <c r="IU48" s="192"/>
      <c r="IV48" s="192"/>
      <c r="IW48" s="192"/>
      <c r="IX48" s="192"/>
      <c r="JA48" s="198"/>
      <c r="JB48" s="198"/>
      <c r="JC48" s="198"/>
      <c r="JD48" s="199">
        <f>SUM((TEXT(JA48,"[M]")/60)*'Income Person-hours'!$D$3,(TEXT(JB48,"[M]")/60)*'Income Person-hours'!$D$4,(TEXT(JC48,"[M]")/60)*'Income Person-hours'!$D$5)</f>
        <v>0</v>
      </c>
    </row>
    <row r="49" spans="1:264" s="192" customFormat="1" ht="13.5">
      <c r="A49" s="202">
        <v>3.22</v>
      </c>
      <c r="B49" s="186" t="s">
        <v>163</v>
      </c>
      <c r="C49" s="173" t="s">
        <v>104</v>
      </c>
      <c r="D49" s="192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1398/11/12</v>
      </c>
      <c r="E49" s="1">
        <f t="shared" si="20"/>
        <v>13981112</v>
      </c>
      <c r="F49" s="196" t="str">
        <f>IF(N49=0,J_SUBDAY(D49,1,1),IF((N49-(NETWORKDAYS.INTL(J_GregorianDate(D49,1),J_GregorianDate(J_SUBDAY(J_ADDDAY(D49,N49,1),1,1),1),16,1)))+SUMIFS(Holieday[ok],Holieday[date],CONCATENATE("&gt;","=",D49),Holieday[date],CONCATENATE("&lt;","=",J_SUBDAY(J_ADDDAY(D49,N49,1),1,1)))-SUMIFS(Holieday[Friday],Holieday[date],CONCATENATE("&gt;","=",D49),Holieday[date],CONCATENATE("&lt;","=",J_SUBDAY(J_ADDDAY(D49,N49,1),1,1)))=0,J_SUBDAY(J_ADDDAY(D49,N49,1),1,1),IF((N49+1-(NETWORKDAYS.INTL(J_GregorianDate(D49,1),J_GregorianDate(J_SUBDAY(J_ADDDAY(D49,N49+1,1),1,1),1),16,1)))+SUMIFS(Holieday[ok],Holieday[date],CONCATENATE("&gt;","=",D49),Holieday[date],CONCATENATE("&lt;","=",J_SUBDAY(J_ADDDAY(D49,N49+1,1),1,1)))-SUMIFS(Holieday[Friday],Holieday[date],CONCATENATE("&gt;","=",D49),Holieday[date],CONCATENATE("&lt;","=",J_SUBDAY(J_ADDDAY(D49,N49+1,1),1,1)))=1,J_SUBDAY(J_ADDDAY(D49,N49+1,1),1,1),IF((N49+2-(NETWORKDAYS.INTL(J_GregorianDate(D49,1),J_GregorianDate(J_SUBDAY(J_ADDDAY(D49,N49+2,1),1,1),1),16,1)))+SUMIFS(Holieday[ok],Holieday[date],CONCATENATE("&gt;","=",D49),Holieday[date],CONCATENATE("&lt;","=",J_SUBDAY(J_ADDDAY(D49,N49+2,1),1,1)))-SUMIFS(Holieday[Friday],Holieday[date],CONCATENATE("&gt;","=",D49),Holieday[date],CONCATENATE("&lt;","=",J_SUBDAY(J_ADDDAY(D49,N49+2,1),1,1)))=2,J_SUBDAY(J_ADDDAY(D49,N49+2,1),1,1),IF((N49+3-(NETWORKDAYS.INTL(J_GregorianDate(D49,1),J_GregorianDate(J_SUBDAY(J_ADDDAY(D49,N49+3,1),1,1),1),16,1)))+SUMIFS(Holieday[ok],Holieday[date],CONCATENATE("&gt;","=",D49),Holieday[date],CONCATENATE("&lt;","=",J_SUBDAY(J_ADDDAY(D49,N49+3,1),1,1)))-SUMIFS(Holieday[Friday],Holieday[date],CONCATENATE("&gt;","=",D49),Holieday[date],CONCATENATE("&lt;","=",J_SUBDAY(J_ADDDAY(D49,N49+3,1),1,1)))=3,J_SUBDAY(J_ADDDAY(D49,N49+3,1),1,1),IF((N49+4-(NETWORKDAYS.INTL(J_GregorianDate(D49,1),J_GregorianDate(J_SUBDAY(J_ADDDAY(D49,N49+4,1),1,1),1),16,1)))+SUMIFS(Holieday[ok],Holieday[date],CONCATENATE("&gt;","=",D49),Holieday[date],CONCATENATE("&lt;","=",J_SUBDAY(J_ADDDAY(D49,N49+4,1),1,1)))-SUMIFS(Holieday[Friday],Holieday[date],CONCATENATE("&gt;","=",D49),Holieday[date],CONCATENATE("&lt;","=",J_SUBDAY(J_ADDDAY(D49,N49+4,1),1,1)))=4,J_SUBDAY(J_ADDDAY(D49,N49+4,1),1,1),IF((N49+5-(NETWORKDAYS.INTL(J_GregorianDate(D49,1),J_GregorianDate(J_SUBDAY(J_ADDDAY(D49,N49+5,1),1,1),1),16,1)))+SUMIFS(Holieday[ok],Holieday[date],CONCATENATE("&gt;","=",D49),Holieday[date],CONCATENATE("&lt;","=",J_SUBDAY(J_ADDDAY(D49,N49+5,1),1,1)))-SUMIFS(Holieday[Friday],Holieday[date],CONCATENATE("&gt;","=",D49),Holieday[date],CONCATENATE("&lt;","=",J_SUBDAY(J_ADDDAY(D49,N49+5,1),1,1)))=5,J_SUBDAY(J_ADDDAY(D49,N49+5,1),1,1),J_SUBDAY(J_ADDDAY(D49,N49+6,1),1,1))))))))</f>
        <v>1398/12/24</v>
      </c>
      <c r="G49" s="2">
        <f t="shared" si="21"/>
        <v>13981224</v>
      </c>
      <c r="H49" s="175">
        <v>1</v>
      </c>
      <c r="I49" s="176">
        <v>3.21</v>
      </c>
      <c r="J49" s="190">
        <f>j_WEEKDAY(D49,2)</f>
        <v>0</v>
      </c>
      <c r="K49" s="13">
        <f t="shared" si="18"/>
        <v>0</v>
      </c>
      <c r="L49" s="203">
        <f t="shared" si="19"/>
        <v>43</v>
      </c>
      <c r="M49" s="178">
        <v>0.95</v>
      </c>
      <c r="N49" s="179">
        <v>37</v>
      </c>
      <c r="O49" s="6">
        <f t="shared" si="22"/>
        <v>40</v>
      </c>
      <c r="P49" s="6">
        <f>VALUE(J_normdate(J_ADDDAY($D49,$O49,1)))</f>
        <v>13981222</v>
      </c>
      <c r="Q49" s="5">
        <f t="shared" si="14"/>
        <v>3</v>
      </c>
      <c r="JA49" s="173"/>
      <c r="JB49" s="173"/>
      <c r="JC49" s="173"/>
      <c r="JD49" s="195">
        <f>SUM((TEXT(JA49,"[M]")/60)*'Income Person-hours'!$D$3,(TEXT(JB49,"[M]")/60)*'Income Person-hours'!$D$4,(TEXT(JC49,"[M]")/60)*'Income Person-hours'!$D$5)</f>
        <v>0</v>
      </c>
    </row>
    <row r="50" spans="1:264" s="200" customFormat="1" ht="13.5">
      <c r="A50" s="201">
        <v>3.23</v>
      </c>
      <c r="B50" s="186" t="s">
        <v>166</v>
      </c>
      <c r="C50" s="173" t="s">
        <v>103</v>
      </c>
      <c r="D50" s="192" t="str">
        <f>IF(OR(j_WEEKDAY(J_ADDDAY(VLOOKUP(I50,A:F,6,FALSE),H50,1),0)=6,SUMIFS(Holieday[ok],Holieday[date],J_ADDDAY(VLOOKUP(I50,A:F,6,FALSE),H50,1)))=FALSE(),J_ADDDAY(VLOOKUP(I50,A:F,6,FALSE),H50,1),IF(OR(j_WEEKDAY(J_ADDDAY(VLOOKUP(I50,A:F,6,FALSE),H50+1,1),0)=6,SUMIFS(Holieday[ok],Holieday[date],J_ADDDAY(VLOOKUP(I50,A:F,6,FALSE),H50+1,1)))=FALSE(),J_ADDDAY(VLOOKUP(I50,A:F,6,FALSE),H50+1,1),IF(OR(j_WEEKDAY(J_ADDDAY(VLOOKUP(I50,A:F,6,FALSE),H50+2,1),0)=6,SUMIFS(Holieday[ok],Holieday[date],J_ADDDAY(VLOOKUP(I50,A:F,6,FALSE),H50+2,1)))=FALSE(),J_ADDDAY(VLOOKUP(I50,A:F,6,FALSE),H50+2,1),IF(OR(j_WEEKDAY(J_ADDDAY(VLOOKUP(I50,A:F,6,FALSE),H50+3,1),0)=6,SUMIFS(Holieday[ok],Holieday[date],J_ADDDAY(VLOOKUP(I50,A:F,6,FALSE),H50+3,1)))=FALSE(),J_ADDDAY(VLOOKUP(I50,A:F,6,FALSE),H50+3,1),IF(OR(j_WEEKDAY(J_ADDDAY(VLOOKUP(I50,A:F,6,FALSE),H50+4,1),0)=6,SUMIFS(Holieday[ok],Holieday[date],J_ADDDAY(VLOOKUP(I50,A:F,6,FALSE),H50+4,1)))=FALSE(),J_ADDDAY(VLOOKUP(I50,A:F,6,FALSE),H50+4,1),J_ADDDAY(VLOOKUP(I50,A:F,6,FALSE),H50+5,1))))))</f>
        <v>1398/12/26</v>
      </c>
      <c r="E50" s="1">
        <f t="shared" si="20"/>
        <v>13981226</v>
      </c>
      <c r="F50" s="196" t="str">
        <f>IF(N50=0,J_SUBDAY(D50,1,1),IF((N50-(NETWORKDAYS.INTL(J_GregorianDate(D50,1),J_GregorianDate(J_SUBDAY(J_ADDDAY(D50,N50,1),1,1),1),16,1)))+SUMIFS(Holieday[ok],Holieday[date],CONCATENATE("&gt;","=",D50),Holieday[date],CONCATENATE("&lt;","=",J_SUBDAY(J_ADDDAY(D50,N50,1),1,1)))-SUMIFS(Holieday[Friday],Holieday[date],CONCATENATE("&gt;","=",D50),Holieday[date],CONCATENATE("&lt;","=",J_SUBDAY(J_ADDDAY(D50,N50,1),1,1)))=0,J_SUBDAY(J_ADDDAY(D50,N50,1),1,1),IF((N50+1-(NETWORKDAYS.INTL(J_GregorianDate(D50,1),J_GregorianDate(J_SUBDAY(J_ADDDAY(D50,N50+1,1),1,1),1),16,1)))+SUMIFS(Holieday[ok],Holieday[date],CONCATENATE("&gt;","=",D50),Holieday[date],CONCATENATE("&lt;","=",J_SUBDAY(J_ADDDAY(D50,N50+1,1),1,1)))-SUMIFS(Holieday[Friday],Holieday[date],CONCATENATE("&gt;","=",D50),Holieday[date],CONCATENATE("&lt;","=",J_SUBDAY(J_ADDDAY(D50,N50+1,1),1,1)))=1,J_SUBDAY(J_ADDDAY(D50,N50+1,1),1,1),IF((N50+2-(NETWORKDAYS.INTL(J_GregorianDate(D50,1),J_GregorianDate(J_SUBDAY(J_ADDDAY(D50,N50+2,1),1,1),1),16,1)))+SUMIFS(Holieday[ok],Holieday[date],CONCATENATE("&gt;","=",D50),Holieday[date],CONCATENATE("&lt;","=",J_SUBDAY(J_ADDDAY(D50,N50+2,1),1,1)))-SUMIFS(Holieday[Friday],Holieday[date],CONCATENATE("&gt;","=",D50),Holieday[date],CONCATENATE("&lt;","=",J_SUBDAY(J_ADDDAY(D50,N50+2,1),1,1)))=2,J_SUBDAY(J_ADDDAY(D50,N50+2,1),1,1),IF((N50+3-(NETWORKDAYS.INTL(J_GregorianDate(D50,1),J_GregorianDate(J_SUBDAY(J_ADDDAY(D50,N50+3,1),1,1),1),16,1)))+SUMIFS(Holieday[ok],Holieday[date],CONCATENATE("&gt;","=",D50),Holieday[date],CONCATENATE("&lt;","=",J_SUBDAY(J_ADDDAY(D50,N50+3,1),1,1)))-SUMIFS(Holieday[Friday],Holieday[date],CONCATENATE("&gt;","=",D50),Holieday[date],CONCATENATE("&lt;","=",J_SUBDAY(J_ADDDAY(D50,N50+3,1),1,1)))=3,J_SUBDAY(J_ADDDAY(D50,N50+3,1),1,1),IF((N50+4-(NETWORKDAYS.INTL(J_GregorianDate(D50,1),J_GregorianDate(J_SUBDAY(J_ADDDAY(D50,N50+4,1),1,1),1),16,1)))+SUMIFS(Holieday[ok],Holieday[date],CONCATENATE("&gt;","=",D50),Holieday[date],CONCATENATE("&lt;","=",J_SUBDAY(J_ADDDAY(D50,N50+4,1),1,1)))-SUMIFS(Holieday[Friday],Holieday[date],CONCATENATE("&gt;","=",D50),Holieday[date],CONCATENATE("&lt;","=",J_SUBDAY(J_ADDDAY(D50,N50+4,1),1,1)))=4,J_SUBDAY(J_ADDDAY(D50,N50+4,1),1,1),IF((N50+5-(NETWORKDAYS.INTL(J_GregorianDate(D50,1),J_GregorianDate(J_SUBDAY(J_ADDDAY(D50,N50+5,1),1,1),1),16,1)))+SUMIFS(Holieday[ok],Holieday[date],CONCATENATE("&gt;","=",D50),Holieday[date],CONCATENATE("&lt;","=",J_SUBDAY(J_ADDDAY(D50,N50+5,1),1,1)))-SUMIFS(Holieday[Friday],Holieday[date],CONCATENATE("&gt;","=",D50),Holieday[date],CONCATENATE("&lt;","=",J_SUBDAY(J_ADDDAY(D50,N50+5,1),1,1)))=5,J_SUBDAY(J_ADDDAY(D50,N50+5,1),1,1),J_SUBDAY(J_ADDDAY(D50,N50+6,1),1,1))))))))</f>
        <v>1398/12/28</v>
      </c>
      <c r="G50" s="2">
        <f t="shared" si="21"/>
        <v>13981228</v>
      </c>
      <c r="H50" s="175">
        <v>2</v>
      </c>
      <c r="I50" s="176">
        <v>3.22</v>
      </c>
      <c r="J50" s="190">
        <f>j_WEEKDAY(D50,2)</f>
        <v>2</v>
      </c>
      <c r="K50" s="13">
        <f t="shared" si="18"/>
        <v>0</v>
      </c>
      <c r="L50" s="191">
        <f t="shared" si="19"/>
        <v>3</v>
      </c>
      <c r="M50" s="178">
        <v>0</v>
      </c>
      <c r="N50" s="179">
        <v>3</v>
      </c>
      <c r="O50" s="6">
        <f t="shared" si="22"/>
        <v>0</v>
      </c>
      <c r="P50" s="6">
        <f>VALUE(J_normdate(J_ADDDAY($D50,$O50,1)))</f>
        <v>13981226</v>
      </c>
      <c r="Q50" s="5">
        <f t="shared" si="14"/>
        <v>3</v>
      </c>
      <c r="R50" s="192"/>
      <c r="S50" s="192"/>
      <c r="T50" s="192"/>
      <c r="U50" s="192"/>
      <c r="V50" s="192"/>
      <c r="W50" s="192"/>
      <c r="X50" s="192"/>
      <c r="Y50" s="192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  <c r="AX50" s="192"/>
      <c r="AY50" s="192"/>
      <c r="AZ50" s="192"/>
      <c r="BA50" s="192"/>
      <c r="BB50" s="192"/>
      <c r="BC50" s="192"/>
      <c r="BD50" s="192"/>
      <c r="BE50" s="192"/>
      <c r="BF50" s="192"/>
      <c r="BG50" s="192"/>
      <c r="BH50" s="192"/>
      <c r="BI50" s="192"/>
      <c r="BJ50" s="192"/>
      <c r="BK50" s="192"/>
      <c r="BL50" s="192"/>
      <c r="BM50" s="192"/>
      <c r="BN50" s="192"/>
      <c r="BO50" s="192"/>
      <c r="BP50" s="192"/>
      <c r="BQ50" s="192"/>
      <c r="BR50" s="192"/>
      <c r="BS50" s="192"/>
      <c r="BT50" s="192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192"/>
      <c r="CO50" s="192"/>
      <c r="CP50" s="192"/>
      <c r="CQ50" s="192"/>
      <c r="CR50" s="192"/>
      <c r="CS50" s="192"/>
      <c r="CT50" s="192"/>
      <c r="CU50" s="192"/>
      <c r="CV50" s="192"/>
      <c r="CW50" s="192"/>
      <c r="CX50" s="192"/>
      <c r="CY50" s="192"/>
      <c r="CZ50" s="192"/>
      <c r="DA50" s="192"/>
      <c r="DB50" s="192"/>
      <c r="DC50" s="192"/>
      <c r="DD50" s="192"/>
      <c r="DE50" s="192"/>
      <c r="DF50" s="192"/>
      <c r="DG50" s="192"/>
      <c r="DH50" s="192"/>
      <c r="DI50" s="192"/>
      <c r="DJ50" s="192"/>
      <c r="DK50" s="192"/>
      <c r="DL50" s="192"/>
      <c r="DM50" s="192"/>
      <c r="DN50" s="192"/>
      <c r="DO50" s="192"/>
      <c r="DP50" s="192"/>
      <c r="DQ50" s="192"/>
      <c r="DR50" s="192"/>
      <c r="DS50" s="192"/>
      <c r="DT50" s="192"/>
      <c r="DU50" s="192"/>
      <c r="DV50" s="192"/>
      <c r="DW50" s="192"/>
      <c r="DX50" s="192"/>
      <c r="DY50" s="192"/>
      <c r="DZ50" s="192"/>
      <c r="EA50" s="192"/>
      <c r="EB50" s="192"/>
      <c r="EC50" s="192"/>
      <c r="ED50" s="192"/>
      <c r="EE50" s="192"/>
      <c r="EF50" s="192"/>
      <c r="EG50" s="192"/>
      <c r="EH50" s="192"/>
      <c r="EI50" s="192"/>
      <c r="EJ50" s="192"/>
      <c r="EK50" s="192"/>
      <c r="EL50" s="192"/>
      <c r="EM50" s="192"/>
      <c r="EN50" s="192"/>
      <c r="EO50" s="192"/>
      <c r="EP50" s="192"/>
      <c r="EQ50" s="192"/>
      <c r="ER50" s="192"/>
      <c r="ES50" s="192"/>
      <c r="ET50" s="192"/>
      <c r="EU50" s="192"/>
      <c r="EV50" s="192"/>
      <c r="EW50" s="192"/>
      <c r="EX50" s="192"/>
      <c r="EY50" s="192"/>
      <c r="EZ50" s="192"/>
      <c r="FA50" s="192"/>
      <c r="FB50" s="192"/>
      <c r="FC50" s="192"/>
      <c r="FD50" s="192"/>
      <c r="FE50" s="192"/>
      <c r="FF50" s="192"/>
      <c r="FG50" s="192"/>
      <c r="FH50" s="192"/>
      <c r="FI50" s="192"/>
      <c r="FJ50" s="192"/>
      <c r="FK50" s="192"/>
      <c r="FL50" s="192"/>
      <c r="FM50" s="192"/>
      <c r="FN50" s="192"/>
      <c r="FO50" s="192"/>
      <c r="FP50" s="192"/>
      <c r="FQ50" s="192"/>
      <c r="FR50" s="192"/>
      <c r="FS50" s="192"/>
      <c r="FT50" s="192"/>
      <c r="FU50" s="192"/>
      <c r="FV50" s="192"/>
      <c r="FW50" s="192"/>
      <c r="FX50" s="192"/>
      <c r="FY50" s="192"/>
      <c r="FZ50" s="192"/>
      <c r="GA50" s="192"/>
      <c r="GB50" s="192"/>
      <c r="GC50" s="192"/>
      <c r="GD50" s="192"/>
      <c r="GE50" s="192"/>
      <c r="GF50" s="192"/>
      <c r="GG50" s="192"/>
      <c r="GH50" s="192"/>
      <c r="GI50" s="192"/>
      <c r="GJ50" s="192"/>
      <c r="GK50" s="192"/>
      <c r="GL50" s="192"/>
      <c r="GM50" s="192"/>
      <c r="GN50" s="192"/>
      <c r="GO50" s="192"/>
      <c r="GP50" s="192"/>
      <c r="GQ50" s="192"/>
      <c r="GR50" s="192"/>
      <c r="GS50" s="192"/>
      <c r="GT50" s="192"/>
      <c r="GU50" s="192"/>
      <c r="GV50" s="192"/>
      <c r="GW50" s="192"/>
      <c r="GX50" s="192"/>
      <c r="GY50" s="192"/>
      <c r="GZ50" s="192"/>
      <c r="HA50" s="192"/>
      <c r="HB50" s="192"/>
      <c r="HC50" s="192"/>
      <c r="HD50" s="192"/>
      <c r="HE50" s="192"/>
      <c r="HF50" s="192"/>
      <c r="HG50" s="192"/>
      <c r="HH50" s="192"/>
      <c r="HI50" s="192"/>
      <c r="HJ50" s="192"/>
      <c r="HK50" s="192"/>
      <c r="HL50" s="192"/>
      <c r="HM50" s="192"/>
      <c r="HN50" s="192"/>
      <c r="HO50" s="192"/>
      <c r="HP50" s="192"/>
      <c r="HQ50" s="192"/>
      <c r="HR50" s="192"/>
      <c r="HS50" s="192"/>
      <c r="HT50" s="192"/>
      <c r="HU50" s="192"/>
      <c r="HV50" s="192"/>
      <c r="HW50" s="192"/>
      <c r="HX50" s="192"/>
      <c r="HY50" s="192"/>
      <c r="HZ50" s="192"/>
      <c r="IA50" s="192"/>
      <c r="IB50" s="192"/>
      <c r="IC50" s="192"/>
      <c r="ID50" s="192"/>
      <c r="IE50" s="192"/>
      <c r="IF50" s="192"/>
      <c r="IG50" s="192"/>
      <c r="IH50" s="192"/>
      <c r="II50" s="192"/>
      <c r="IJ50" s="192"/>
      <c r="IK50" s="192"/>
      <c r="IL50" s="192"/>
      <c r="IM50" s="192"/>
      <c r="IN50" s="192"/>
      <c r="IO50" s="192"/>
      <c r="IP50" s="192"/>
      <c r="IQ50" s="192"/>
      <c r="IR50" s="192"/>
      <c r="IS50" s="192"/>
      <c r="IT50" s="192"/>
      <c r="IU50" s="192"/>
      <c r="IV50" s="192"/>
      <c r="IW50" s="192"/>
      <c r="IX50" s="192"/>
      <c r="JA50" s="198"/>
      <c r="JB50" s="198"/>
      <c r="JC50" s="198"/>
      <c r="JD50" s="199">
        <f>SUM((TEXT(JA50,"[M]")/60)*'Income Person-hours'!$D$3,(TEXT(JB50,"[M]")/60)*'Income Person-hours'!$D$4,(TEXT(JC50,"[M]")/60)*'Income Person-hours'!$D$5)</f>
        <v>0</v>
      </c>
    </row>
    <row r="51" spans="1:264" s="200" customFormat="1" ht="13.5">
      <c r="A51" s="201">
        <v>3.24</v>
      </c>
      <c r="B51" s="186" t="s">
        <v>142</v>
      </c>
      <c r="C51" s="173" t="s">
        <v>104</v>
      </c>
      <c r="D51" s="192" t="str">
        <f>IF(OR(j_WEEKDAY(J_ADDDAY(VLOOKUP(I51,A:F,6,FALSE),H51,1),0)=6,SUMIFS(Holieday[ok],Holieday[date],J_ADDDAY(VLOOKUP(I51,A:F,6,FALSE),H51,1)))=FALSE(),J_ADDDAY(VLOOKUP(I51,A:F,6,FALSE),H51,1),IF(OR(j_WEEKDAY(J_ADDDAY(VLOOKUP(I51,A:F,6,FALSE),H51+1,1),0)=6,SUMIFS(Holieday[ok],Holieday[date],J_ADDDAY(VLOOKUP(I51,A:F,6,FALSE),H51+1,1)))=FALSE(),J_ADDDAY(VLOOKUP(I51,A:F,6,FALSE),H51+1,1),IF(OR(j_WEEKDAY(J_ADDDAY(VLOOKUP(I51,A:F,6,FALSE),H51+2,1),0)=6,SUMIFS(Holieday[ok],Holieday[date],J_ADDDAY(VLOOKUP(I51,A:F,6,FALSE),H51+2,1)))=FALSE(),J_ADDDAY(VLOOKUP(I51,A:F,6,FALSE),H51+2,1),IF(OR(j_WEEKDAY(J_ADDDAY(VLOOKUP(I51,A:F,6,FALSE),H51+3,1),0)=6,SUMIFS(Holieday[ok],Holieday[date],J_ADDDAY(VLOOKUP(I51,A:F,6,FALSE),H51+3,1)))=FALSE(),J_ADDDAY(VLOOKUP(I51,A:F,6,FALSE),H51+3,1),IF(OR(j_WEEKDAY(J_ADDDAY(VLOOKUP(I51,A:F,6,FALSE),H51+4,1),0)=6,SUMIFS(Holieday[ok],Holieday[date],J_ADDDAY(VLOOKUP(I51,A:F,6,FALSE),H51+4,1)))=FALSE(),J_ADDDAY(VLOOKUP(I51,A:F,6,FALSE),H51+4,1),J_ADDDAY(VLOOKUP(I51,A:F,6,FALSE),H51+5,1))))))</f>
        <v>1399/01/02</v>
      </c>
      <c r="E51" s="1">
        <f t="shared" si="20"/>
        <v>13990102</v>
      </c>
      <c r="F51" s="196" t="str">
        <f>IF(N51=0,J_SUBDAY(D51,1,1),IF((N51-(NETWORKDAYS.INTL(J_GregorianDate(D51,1),J_GregorianDate(J_SUBDAY(J_ADDDAY(D51,N51,1),1,1),1),16,1)))+SUMIFS(Holieday[ok],Holieday[date],CONCATENATE("&gt;","=",D51),Holieday[date],CONCATENATE("&lt;","=",J_SUBDAY(J_ADDDAY(D51,N51,1),1,1)))-SUMIFS(Holieday[Friday],Holieday[date],CONCATENATE("&gt;","=",D51),Holieday[date],CONCATENATE("&lt;","=",J_SUBDAY(J_ADDDAY(D51,N51,1),1,1)))=0,J_SUBDAY(J_ADDDAY(D51,N51,1),1,1),IF((N51+1-(NETWORKDAYS.INTL(J_GregorianDate(D51,1),J_GregorianDate(J_SUBDAY(J_ADDDAY(D51,N51+1,1),1,1),1),16,1)))+SUMIFS(Holieday[ok],Holieday[date],CONCATENATE("&gt;","=",D51),Holieday[date],CONCATENATE("&lt;","=",J_SUBDAY(J_ADDDAY(D51,N51+1,1),1,1)))-SUMIFS(Holieday[Friday],Holieday[date],CONCATENATE("&gt;","=",D51),Holieday[date],CONCATENATE("&lt;","=",J_SUBDAY(J_ADDDAY(D51,N51+1,1),1,1)))=1,J_SUBDAY(J_ADDDAY(D51,N51+1,1),1,1),IF((N51+2-(NETWORKDAYS.INTL(J_GregorianDate(D51,1),J_GregorianDate(J_SUBDAY(J_ADDDAY(D51,N51+2,1),1,1),1),16,1)))+SUMIFS(Holieday[ok],Holieday[date],CONCATENATE("&gt;","=",D51),Holieday[date],CONCATENATE("&lt;","=",J_SUBDAY(J_ADDDAY(D51,N51+2,1),1,1)))-SUMIFS(Holieday[Friday],Holieday[date],CONCATENATE("&gt;","=",D51),Holieday[date],CONCATENATE("&lt;","=",J_SUBDAY(J_ADDDAY(D51,N51+2,1),1,1)))=2,J_SUBDAY(J_ADDDAY(D51,N51+2,1),1,1),IF((N51+3-(NETWORKDAYS.INTL(J_GregorianDate(D51,1),J_GregorianDate(J_SUBDAY(J_ADDDAY(D51,N51+3,1),1,1),1),16,1)))+SUMIFS(Holieday[ok],Holieday[date],CONCATENATE("&gt;","=",D51),Holieday[date],CONCATENATE("&lt;","=",J_SUBDAY(J_ADDDAY(D51,N51+3,1),1,1)))-SUMIFS(Holieday[Friday],Holieday[date],CONCATENATE("&gt;","=",D51),Holieday[date],CONCATENATE("&lt;","=",J_SUBDAY(J_ADDDAY(D51,N51+3,1),1,1)))=3,J_SUBDAY(J_ADDDAY(D51,N51+3,1),1,1),IF((N51+4-(NETWORKDAYS.INTL(J_GregorianDate(D51,1),J_GregorianDate(J_SUBDAY(J_ADDDAY(D51,N51+4,1),1,1),1),16,1)))+SUMIFS(Holieday[ok],Holieday[date],CONCATENATE("&gt;","=",D51),Holieday[date],CONCATENATE("&lt;","=",J_SUBDAY(J_ADDDAY(D51,N51+4,1),1,1)))-SUMIFS(Holieday[Friday],Holieday[date],CONCATENATE("&gt;","=",D51),Holieday[date],CONCATENATE("&lt;","=",J_SUBDAY(J_ADDDAY(D51,N51+4,1),1,1)))=4,J_SUBDAY(J_ADDDAY(D51,N51+4,1),1,1),IF((N51+5-(NETWORKDAYS.INTL(J_GregorianDate(D51,1),J_GregorianDate(J_SUBDAY(J_ADDDAY(D51,N51+5,1),1,1),1),16,1)))+SUMIFS(Holieday[ok],Holieday[date],CONCATENATE("&gt;","=",D51),Holieday[date],CONCATENATE("&lt;","=",J_SUBDAY(J_ADDDAY(D51,N51+5,1),1,1)))-SUMIFS(Holieday[Friday],Holieday[date],CONCATENATE("&gt;","=",D51),Holieday[date],CONCATENATE("&lt;","=",J_SUBDAY(J_ADDDAY(D51,N51+5,1),1,1)))=5,J_SUBDAY(J_ADDDAY(D51,N51+5,1),1,1),J_SUBDAY(J_ADDDAY(D51,N51+6,1),1,1))))))))</f>
        <v>1399/01/05</v>
      </c>
      <c r="G51" s="2">
        <f t="shared" si="21"/>
        <v>13990105</v>
      </c>
      <c r="H51" s="175">
        <v>1</v>
      </c>
      <c r="I51" s="176">
        <v>3.23</v>
      </c>
      <c r="J51" s="190">
        <f>j_WEEKDAY(D51,2)</f>
        <v>0</v>
      </c>
      <c r="K51" s="13">
        <f t="shared" si="18"/>
        <v>0</v>
      </c>
      <c r="L51" s="191">
        <f t="shared" si="19"/>
        <v>4</v>
      </c>
      <c r="M51" s="178">
        <v>0</v>
      </c>
      <c r="N51" s="179">
        <v>4</v>
      </c>
      <c r="O51" s="6">
        <f t="shared" si="22"/>
        <v>0</v>
      </c>
      <c r="P51" s="6">
        <f>VALUE(J_normdate(J_ADDDAY($D51,$O51,1)))</f>
        <v>13990102</v>
      </c>
      <c r="Q51" s="5">
        <f t="shared" si="14"/>
        <v>4</v>
      </c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2"/>
      <c r="BH51" s="192"/>
      <c r="BI51" s="192"/>
      <c r="BJ51" s="192"/>
      <c r="BK51" s="192"/>
      <c r="BL51" s="192"/>
      <c r="BM51" s="192"/>
      <c r="BN51" s="192"/>
      <c r="BO51" s="192"/>
      <c r="BP51" s="192"/>
      <c r="BQ51" s="192"/>
      <c r="BR51" s="192"/>
      <c r="BS51" s="192"/>
      <c r="BT51" s="192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192"/>
      <c r="CO51" s="192"/>
      <c r="CP51" s="192"/>
      <c r="CQ51" s="192"/>
      <c r="CR51" s="192"/>
      <c r="CS51" s="192"/>
      <c r="CT51" s="192"/>
      <c r="CU51" s="192"/>
      <c r="CV51" s="192"/>
      <c r="CW51" s="192"/>
      <c r="CX51" s="192"/>
      <c r="CY51" s="192"/>
      <c r="CZ51" s="192"/>
      <c r="DA51" s="192"/>
      <c r="DB51" s="192"/>
      <c r="DC51" s="192"/>
      <c r="DD51" s="192"/>
      <c r="DE51" s="192"/>
      <c r="DF51" s="192"/>
      <c r="DG51" s="192"/>
      <c r="DH51" s="192"/>
      <c r="DI51" s="192"/>
      <c r="DJ51" s="192"/>
      <c r="DK51" s="192"/>
      <c r="DL51" s="192"/>
      <c r="DM51" s="192"/>
      <c r="DN51" s="192"/>
      <c r="DO51" s="192"/>
      <c r="DP51" s="192"/>
      <c r="DQ51" s="192"/>
      <c r="DR51" s="192"/>
      <c r="DS51" s="192"/>
      <c r="DT51" s="192"/>
      <c r="DU51" s="192"/>
      <c r="DV51" s="192"/>
      <c r="DW51" s="192"/>
      <c r="DX51" s="192"/>
      <c r="DY51" s="192"/>
      <c r="DZ51" s="192"/>
      <c r="EA51" s="192"/>
      <c r="EB51" s="192"/>
      <c r="EC51" s="192"/>
      <c r="ED51" s="192"/>
      <c r="EE51" s="192"/>
      <c r="EF51" s="192"/>
      <c r="EG51" s="192"/>
      <c r="EH51" s="192"/>
      <c r="EI51" s="192"/>
      <c r="EJ51" s="192"/>
      <c r="EK51" s="192"/>
      <c r="EL51" s="192"/>
      <c r="EM51" s="192"/>
      <c r="EN51" s="192"/>
      <c r="EO51" s="192"/>
      <c r="EP51" s="192"/>
      <c r="EQ51" s="192"/>
      <c r="ER51" s="192"/>
      <c r="ES51" s="192"/>
      <c r="ET51" s="192"/>
      <c r="EU51" s="192"/>
      <c r="EV51" s="192"/>
      <c r="EW51" s="192"/>
      <c r="EX51" s="192"/>
      <c r="EY51" s="192"/>
      <c r="EZ51" s="192"/>
      <c r="FA51" s="192"/>
      <c r="FB51" s="192"/>
      <c r="FC51" s="192"/>
      <c r="FD51" s="192"/>
      <c r="FE51" s="192"/>
      <c r="FF51" s="192"/>
      <c r="FG51" s="192"/>
      <c r="FH51" s="192"/>
      <c r="FI51" s="192"/>
      <c r="FJ51" s="192"/>
      <c r="FK51" s="192"/>
      <c r="FL51" s="192"/>
      <c r="FM51" s="192"/>
      <c r="FN51" s="192"/>
      <c r="FO51" s="192"/>
      <c r="FP51" s="192"/>
      <c r="FQ51" s="192"/>
      <c r="FR51" s="192"/>
      <c r="FS51" s="192"/>
      <c r="FT51" s="192"/>
      <c r="FU51" s="192"/>
      <c r="FV51" s="192"/>
      <c r="FW51" s="192"/>
      <c r="FX51" s="192"/>
      <c r="FY51" s="192"/>
      <c r="FZ51" s="192"/>
      <c r="GA51" s="192"/>
      <c r="GB51" s="192"/>
      <c r="GC51" s="192"/>
      <c r="GD51" s="192"/>
      <c r="GE51" s="192"/>
      <c r="GF51" s="192"/>
      <c r="GG51" s="192"/>
      <c r="GH51" s="192"/>
      <c r="GI51" s="192"/>
      <c r="GJ51" s="192"/>
      <c r="GK51" s="192"/>
      <c r="GL51" s="192"/>
      <c r="GM51" s="192"/>
      <c r="GN51" s="192"/>
      <c r="GO51" s="192"/>
      <c r="GP51" s="192"/>
      <c r="GQ51" s="192"/>
      <c r="GR51" s="192"/>
      <c r="GS51" s="192"/>
      <c r="GT51" s="192"/>
      <c r="GU51" s="192"/>
      <c r="GV51" s="192"/>
      <c r="GW51" s="192"/>
      <c r="GX51" s="192"/>
      <c r="GY51" s="192"/>
      <c r="GZ51" s="192"/>
      <c r="HA51" s="192"/>
      <c r="HB51" s="192"/>
      <c r="HC51" s="192"/>
      <c r="HD51" s="192"/>
      <c r="HE51" s="192"/>
      <c r="HF51" s="192"/>
      <c r="HG51" s="192"/>
      <c r="HH51" s="192"/>
      <c r="HI51" s="192"/>
      <c r="HJ51" s="192"/>
      <c r="HK51" s="192"/>
      <c r="HL51" s="192"/>
      <c r="HM51" s="192"/>
      <c r="HN51" s="192"/>
      <c r="HO51" s="192"/>
      <c r="HP51" s="192"/>
      <c r="HQ51" s="192"/>
      <c r="HR51" s="192"/>
      <c r="HS51" s="192"/>
      <c r="HT51" s="192"/>
      <c r="HU51" s="192"/>
      <c r="HV51" s="192"/>
      <c r="HW51" s="192"/>
      <c r="HX51" s="192"/>
      <c r="HY51" s="192"/>
      <c r="HZ51" s="192"/>
      <c r="IA51" s="192"/>
      <c r="IB51" s="192"/>
      <c r="IC51" s="192"/>
      <c r="ID51" s="192"/>
      <c r="IE51" s="192"/>
      <c r="IF51" s="192"/>
      <c r="IG51" s="192"/>
      <c r="IH51" s="192"/>
      <c r="II51" s="192"/>
      <c r="IJ51" s="192"/>
      <c r="IK51" s="192"/>
      <c r="IL51" s="192"/>
      <c r="IM51" s="192"/>
      <c r="IN51" s="192"/>
      <c r="IO51" s="192"/>
      <c r="IP51" s="192"/>
      <c r="IQ51" s="192"/>
      <c r="IR51" s="192"/>
      <c r="IS51" s="192"/>
      <c r="IT51" s="192"/>
      <c r="IU51" s="192"/>
      <c r="IV51" s="192"/>
      <c r="IW51" s="192"/>
      <c r="IX51" s="192"/>
      <c r="JA51" s="198"/>
      <c r="JB51" s="198"/>
      <c r="JC51" s="198"/>
      <c r="JD51" s="199">
        <f>SUM((TEXT(JA51,"[M]")/60)*'Income Person-hours'!$D$3,(TEXT(JB51,"[M]")/60)*'Income Person-hours'!$D$4,(TEXT(JC51,"[M]")/60)*'Income Person-hours'!$D$5)</f>
        <v>0</v>
      </c>
    </row>
    <row r="52" spans="1:264" s="200" customFormat="1" ht="13.5">
      <c r="A52" s="201">
        <v>3.25</v>
      </c>
      <c r="B52" s="186" t="s">
        <v>143</v>
      </c>
      <c r="C52" s="173" t="s">
        <v>103</v>
      </c>
      <c r="D52" s="192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1399/01/06</v>
      </c>
      <c r="E52" s="1">
        <f t="shared" si="20"/>
        <v>13990106</v>
      </c>
      <c r="F52" s="196" t="str">
        <f>IF(N52=0,J_SUBDAY(D52,1,1),IF((N52-(NETWORKDAYS.INTL(J_GregorianDate(D52,1),J_GregorianDate(J_SUBDAY(J_ADDDAY(D52,N52,1),1,1),1),16,1)))+SUMIFS(Holieday[ok],Holieday[date],CONCATENATE("&gt;","=",D52),Holieday[date],CONCATENATE("&lt;","=",J_SUBDAY(J_ADDDAY(D52,N52,1),1,1)))-SUMIFS(Holieday[Friday],Holieday[date],CONCATENATE("&gt;","=",D52),Holieday[date],CONCATENATE("&lt;","=",J_SUBDAY(J_ADDDAY(D52,N52,1),1,1)))=0,J_SUBDAY(J_ADDDAY(D52,N52,1),1,1),IF((N52+1-(NETWORKDAYS.INTL(J_GregorianDate(D52,1),J_GregorianDate(J_SUBDAY(J_ADDDAY(D52,N52+1,1),1,1),1),16,1)))+SUMIFS(Holieday[ok],Holieday[date],CONCATENATE("&gt;","=",D52),Holieday[date],CONCATENATE("&lt;","=",J_SUBDAY(J_ADDDAY(D52,N52+1,1),1,1)))-SUMIFS(Holieday[Friday],Holieday[date],CONCATENATE("&gt;","=",D52),Holieday[date],CONCATENATE("&lt;","=",J_SUBDAY(J_ADDDAY(D52,N52+1,1),1,1)))=1,J_SUBDAY(J_ADDDAY(D52,N52+1,1),1,1),IF((N52+2-(NETWORKDAYS.INTL(J_GregorianDate(D52,1),J_GregorianDate(J_SUBDAY(J_ADDDAY(D52,N52+2,1),1,1),1),16,1)))+SUMIFS(Holieday[ok],Holieday[date],CONCATENATE("&gt;","=",D52),Holieday[date],CONCATENATE("&lt;","=",J_SUBDAY(J_ADDDAY(D52,N52+2,1),1,1)))-SUMIFS(Holieday[Friday],Holieday[date],CONCATENATE("&gt;","=",D52),Holieday[date],CONCATENATE("&lt;","=",J_SUBDAY(J_ADDDAY(D52,N52+2,1),1,1)))=2,J_SUBDAY(J_ADDDAY(D52,N52+2,1),1,1),IF((N52+3-(NETWORKDAYS.INTL(J_GregorianDate(D52,1),J_GregorianDate(J_SUBDAY(J_ADDDAY(D52,N52+3,1),1,1),1),16,1)))+SUMIFS(Holieday[ok],Holieday[date],CONCATENATE("&gt;","=",D52),Holieday[date],CONCATENATE("&lt;","=",J_SUBDAY(J_ADDDAY(D52,N52+3,1),1,1)))-SUMIFS(Holieday[Friday],Holieday[date],CONCATENATE("&gt;","=",D52),Holieday[date],CONCATENATE("&lt;","=",J_SUBDAY(J_ADDDAY(D52,N52+3,1),1,1)))=3,J_SUBDAY(J_ADDDAY(D52,N52+3,1),1,1),IF((N52+4-(NETWORKDAYS.INTL(J_GregorianDate(D52,1),J_GregorianDate(J_SUBDAY(J_ADDDAY(D52,N52+4,1),1,1),1),16,1)))+SUMIFS(Holieday[ok],Holieday[date],CONCATENATE("&gt;","=",D52),Holieday[date],CONCATENATE("&lt;","=",J_SUBDAY(J_ADDDAY(D52,N52+4,1),1,1)))-SUMIFS(Holieday[Friday],Holieday[date],CONCATENATE("&gt;","=",D52),Holieday[date],CONCATENATE("&lt;","=",J_SUBDAY(J_ADDDAY(D52,N52+4,1),1,1)))=4,J_SUBDAY(J_ADDDAY(D52,N52+4,1),1,1),IF((N52+5-(NETWORKDAYS.INTL(J_GregorianDate(D52,1),J_GregorianDate(J_SUBDAY(J_ADDDAY(D52,N52+5,1),1,1),1),16,1)))+SUMIFS(Holieday[ok],Holieday[date],CONCATENATE("&gt;","=",D52),Holieday[date],CONCATENATE("&lt;","=",J_SUBDAY(J_ADDDAY(D52,N52+5,1),1,1)))-SUMIFS(Holieday[Friday],Holieday[date],CONCATENATE("&gt;","=",D52),Holieday[date],CONCATENATE("&lt;","=",J_SUBDAY(J_ADDDAY(D52,N52+5,1),1,1)))=5,J_SUBDAY(J_ADDDAY(D52,N52+5,1),1,1),J_SUBDAY(J_ADDDAY(D52,N52+6,1),1,1))))))))</f>
        <v>1399/01/09</v>
      </c>
      <c r="G52" s="2">
        <f t="shared" si="21"/>
        <v>13990109</v>
      </c>
      <c r="H52" s="175">
        <v>1</v>
      </c>
      <c r="I52" s="176">
        <v>3.24</v>
      </c>
      <c r="J52" s="190">
        <f>j_WEEKDAY(D52,2)</f>
        <v>4</v>
      </c>
      <c r="K52" s="13">
        <f t="shared" si="18"/>
        <v>0</v>
      </c>
      <c r="L52" s="191">
        <f t="shared" si="19"/>
        <v>4</v>
      </c>
      <c r="M52" s="178">
        <v>0</v>
      </c>
      <c r="N52" s="179">
        <v>3</v>
      </c>
      <c r="O52" s="6">
        <f t="shared" si="22"/>
        <v>0</v>
      </c>
      <c r="P52" s="6">
        <f>VALUE(J_normdate(J_ADDDAY($D52,$O52,1)))</f>
        <v>13990106</v>
      </c>
      <c r="Q52" s="5">
        <f t="shared" si="14"/>
        <v>4</v>
      </c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  <c r="AX52" s="192"/>
      <c r="AY52" s="192"/>
      <c r="AZ52" s="192"/>
      <c r="BA52" s="192"/>
      <c r="BB52" s="192"/>
      <c r="BC52" s="192"/>
      <c r="BD52" s="192"/>
      <c r="BE52" s="192"/>
      <c r="BF52" s="192"/>
      <c r="BG52" s="192"/>
      <c r="BH52" s="192"/>
      <c r="BI52" s="192"/>
      <c r="BJ52" s="192"/>
      <c r="BK52" s="192"/>
      <c r="BL52" s="192"/>
      <c r="BM52" s="192"/>
      <c r="BN52" s="192"/>
      <c r="BO52" s="192"/>
      <c r="BP52" s="192"/>
      <c r="BQ52" s="192"/>
      <c r="BR52" s="192"/>
      <c r="BS52" s="192"/>
      <c r="BT52" s="192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192"/>
      <c r="CO52" s="192"/>
      <c r="CP52" s="192"/>
      <c r="CQ52" s="192"/>
      <c r="CR52" s="192"/>
      <c r="CS52" s="192"/>
      <c r="CT52" s="192"/>
      <c r="CU52" s="192"/>
      <c r="CV52" s="192"/>
      <c r="CW52" s="192"/>
      <c r="CX52" s="192"/>
      <c r="CY52" s="192"/>
      <c r="CZ52" s="192"/>
      <c r="DA52" s="192"/>
      <c r="DB52" s="192"/>
      <c r="DC52" s="192"/>
      <c r="DD52" s="192"/>
      <c r="DE52" s="192"/>
      <c r="DF52" s="192"/>
      <c r="DG52" s="192"/>
      <c r="DH52" s="192"/>
      <c r="DI52" s="192"/>
      <c r="DJ52" s="192"/>
      <c r="DK52" s="192"/>
      <c r="DL52" s="192"/>
      <c r="DM52" s="192"/>
      <c r="DN52" s="192"/>
      <c r="DO52" s="192"/>
      <c r="DP52" s="192"/>
      <c r="DQ52" s="192"/>
      <c r="DR52" s="192"/>
      <c r="DS52" s="192"/>
      <c r="DT52" s="192"/>
      <c r="DU52" s="192"/>
      <c r="DV52" s="192"/>
      <c r="DW52" s="192"/>
      <c r="DX52" s="192"/>
      <c r="DY52" s="192"/>
      <c r="DZ52" s="192"/>
      <c r="EA52" s="192"/>
      <c r="EB52" s="192"/>
      <c r="EC52" s="192"/>
      <c r="ED52" s="192"/>
      <c r="EE52" s="192"/>
      <c r="EF52" s="192"/>
      <c r="EG52" s="192"/>
      <c r="EH52" s="192"/>
      <c r="EI52" s="192"/>
      <c r="EJ52" s="192"/>
      <c r="EK52" s="192"/>
      <c r="EL52" s="192"/>
      <c r="EM52" s="192"/>
      <c r="EN52" s="192"/>
      <c r="EO52" s="192"/>
      <c r="EP52" s="192"/>
      <c r="EQ52" s="192"/>
      <c r="ER52" s="192"/>
      <c r="ES52" s="192"/>
      <c r="ET52" s="192"/>
      <c r="EU52" s="192"/>
      <c r="EV52" s="192"/>
      <c r="EW52" s="192"/>
      <c r="EX52" s="192"/>
      <c r="EY52" s="192"/>
      <c r="EZ52" s="192"/>
      <c r="FA52" s="192"/>
      <c r="FB52" s="192"/>
      <c r="FC52" s="192"/>
      <c r="FD52" s="192"/>
      <c r="FE52" s="192"/>
      <c r="FF52" s="192"/>
      <c r="FG52" s="192"/>
      <c r="FH52" s="192"/>
      <c r="FI52" s="192"/>
      <c r="FJ52" s="192"/>
      <c r="FK52" s="192"/>
      <c r="FL52" s="192"/>
      <c r="FM52" s="192"/>
      <c r="FN52" s="192"/>
      <c r="FO52" s="192"/>
      <c r="FP52" s="192"/>
      <c r="FQ52" s="192"/>
      <c r="FR52" s="192"/>
      <c r="FS52" s="192"/>
      <c r="FT52" s="192"/>
      <c r="FU52" s="192"/>
      <c r="FV52" s="192"/>
      <c r="FW52" s="192"/>
      <c r="FX52" s="192"/>
      <c r="FY52" s="192"/>
      <c r="FZ52" s="192"/>
      <c r="GA52" s="192"/>
      <c r="GB52" s="192"/>
      <c r="GC52" s="192"/>
      <c r="GD52" s="192"/>
      <c r="GE52" s="192"/>
      <c r="GF52" s="192"/>
      <c r="GG52" s="192"/>
      <c r="GH52" s="192"/>
      <c r="GI52" s="192"/>
      <c r="GJ52" s="192"/>
      <c r="GK52" s="192"/>
      <c r="GL52" s="192"/>
      <c r="GM52" s="192"/>
      <c r="GN52" s="192"/>
      <c r="GO52" s="192"/>
      <c r="GP52" s="192"/>
      <c r="GQ52" s="192"/>
      <c r="GR52" s="192"/>
      <c r="GS52" s="192"/>
      <c r="GT52" s="192"/>
      <c r="GU52" s="192"/>
      <c r="GV52" s="192"/>
      <c r="GW52" s="192"/>
      <c r="GX52" s="192"/>
      <c r="GY52" s="192"/>
      <c r="GZ52" s="192"/>
      <c r="HA52" s="192"/>
      <c r="HB52" s="192"/>
      <c r="HC52" s="192"/>
      <c r="HD52" s="192"/>
      <c r="HE52" s="192"/>
      <c r="HF52" s="192"/>
      <c r="HG52" s="192"/>
      <c r="HH52" s="192"/>
      <c r="HI52" s="192"/>
      <c r="HJ52" s="192"/>
      <c r="HK52" s="192"/>
      <c r="HL52" s="192"/>
      <c r="HM52" s="192"/>
      <c r="HN52" s="192"/>
      <c r="HO52" s="192"/>
      <c r="HP52" s="192"/>
      <c r="HQ52" s="192"/>
      <c r="HR52" s="192"/>
      <c r="HS52" s="192"/>
      <c r="HT52" s="192"/>
      <c r="HU52" s="192"/>
      <c r="HV52" s="192"/>
      <c r="HW52" s="192"/>
      <c r="HX52" s="192"/>
      <c r="HY52" s="192"/>
      <c r="HZ52" s="192"/>
      <c r="IA52" s="192"/>
      <c r="IB52" s="192"/>
      <c r="IC52" s="192"/>
      <c r="ID52" s="192"/>
      <c r="IE52" s="192"/>
      <c r="IF52" s="192"/>
      <c r="IG52" s="192"/>
      <c r="IH52" s="192"/>
      <c r="II52" s="192"/>
      <c r="IJ52" s="192"/>
      <c r="IK52" s="192"/>
      <c r="IL52" s="192"/>
      <c r="IM52" s="192"/>
      <c r="IN52" s="192"/>
      <c r="IO52" s="192"/>
      <c r="IP52" s="192"/>
      <c r="IQ52" s="192"/>
      <c r="IR52" s="192"/>
      <c r="IS52" s="192"/>
      <c r="IT52" s="192"/>
      <c r="IU52" s="192"/>
      <c r="IV52" s="192"/>
      <c r="IW52" s="192"/>
      <c r="IX52" s="192"/>
      <c r="JA52" s="198"/>
      <c r="JB52" s="198"/>
      <c r="JC52" s="198"/>
      <c r="JD52" s="199">
        <f>SUM((TEXT(JA52,"[M]")/60)*'Income Person-hours'!$D$3,(TEXT(JB52,"[M]")/60)*'Income Person-hours'!$D$4,(TEXT(JC52,"[M]")/60)*'Income Person-hours'!$D$5)</f>
        <v>0</v>
      </c>
    </row>
    <row r="53" spans="1:264" s="192" customFormat="1" ht="13.5">
      <c r="A53" s="202">
        <v>3.26</v>
      </c>
      <c r="B53" s="186" t="s">
        <v>144</v>
      </c>
      <c r="C53" s="173" t="s">
        <v>104</v>
      </c>
      <c r="D53" s="192" t="str">
        <f>IF(OR(j_WEEKDAY(J_ADDDAY(VLOOKUP(I53,A:F,6,FALSE),H53,1),0)=6,SUMIFS(Holieday[ok],Holieday[date],J_ADDDAY(VLOOKUP(I53,A:F,6,FALSE),H53,1)))=FALSE(),J_ADDDAY(VLOOKUP(I53,A:F,6,FALSE),H53,1),IF(OR(j_WEEKDAY(J_ADDDAY(VLOOKUP(I53,A:F,6,FALSE),H53+1,1),0)=6,SUMIFS(Holieday[ok],Holieday[date],J_ADDDAY(VLOOKUP(I53,A:F,6,FALSE),H53+1,1)))=FALSE(),J_ADDDAY(VLOOKUP(I53,A:F,6,FALSE),H53+1,1),IF(OR(j_WEEKDAY(J_ADDDAY(VLOOKUP(I53,A:F,6,FALSE),H53+2,1),0)=6,SUMIFS(Holieday[ok],Holieday[date],J_ADDDAY(VLOOKUP(I53,A:F,6,FALSE),H53+2,1)))=FALSE(),J_ADDDAY(VLOOKUP(I53,A:F,6,FALSE),H53+2,1),IF(OR(j_WEEKDAY(J_ADDDAY(VLOOKUP(I53,A:F,6,FALSE),H53+3,1),0)=6,SUMIFS(Holieday[ok],Holieday[date],J_ADDDAY(VLOOKUP(I53,A:F,6,FALSE),H53+3,1)))=FALSE(),J_ADDDAY(VLOOKUP(I53,A:F,6,FALSE),H53+3,1),IF(OR(j_WEEKDAY(J_ADDDAY(VLOOKUP(I53,A:F,6,FALSE),H53+4,1),0)=6,SUMIFS(Holieday[ok],Holieday[date],J_ADDDAY(VLOOKUP(I53,A:F,6,FALSE),H53+4,1)))=FALSE(),J_ADDDAY(VLOOKUP(I53,A:F,6,FALSE),H53+4,1),J_ADDDAY(VLOOKUP(I53,A:F,6,FALSE),H53+5,1))))))</f>
        <v>1399/01/10</v>
      </c>
      <c r="E53" s="1">
        <f t="shared" si="20"/>
        <v>13990110</v>
      </c>
      <c r="F53" s="196" t="str">
        <f>IF(N53=0,J_SUBDAY(D53,1,1),IF((N53-(NETWORKDAYS.INTL(J_GregorianDate(D53,1),J_GregorianDate(J_SUBDAY(J_ADDDAY(D53,N53,1),1,1),1),16,1)))+SUMIFS(Holieday[ok],Holieday[date],CONCATENATE("&gt;","=",D53),Holieday[date],CONCATENATE("&lt;","=",J_SUBDAY(J_ADDDAY(D53,N53,1),1,1)))-SUMIFS(Holieday[Friday],Holieday[date],CONCATENATE("&gt;","=",D53),Holieday[date],CONCATENATE("&lt;","=",J_SUBDAY(J_ADDDAY(D53,N53,1),1,1)))=0,J_SUBDAY(J_ADDDAY(D53,N53,1),1,1),IF((N53+1-(NETWORKDAYS.INTL(J_GregorianDate(D53,1),J_GregorianDate(J_SUBDAY(J_ADDDAY(D53,N53+1,1),1,1),1),16,1)))+SUMIFS(Holieday[ok],Holieday[date],CONCATENATE("&gt;","=",D53),Holieday[date],CONCATENATE("&lt;","=",J_SUBDAY(J_ADDDAY(D53,N53+1,1),1,1)))-SUMIFS(Holieday[Friday],Holieday[date],CONCATENATE("&gt;","=",D53),Holieday[date],CONCATENATE("&lt;","=",J_SUBDAY(J_ADDDAY(D53,N53+1,1),1,1)))=1,J_SUBDAY(J_ADDDAY(D53,N53+1,1),1,1),IF((N53+2-(NETWORKDAYS.INTL(J_GregorianDate(D53,1),J_GregorianDate(J_SUBDAY(J_ADDDAY(D53,N53+2,1),1,1),1),16,1)))+SUMIFS(Holieday[ok],Holieday[date],CONCATENATE("&gt;","=",D53),Holieday[date],CONCATENATE("&lt;","=",J_SUBDAY(J_ADDDAY(D53,N53+2,1),1,1)))-SUMIFS(Holieday[Friday],Holieday[date],CONCATENATE("&gt;","=",D53),Holieday[date],CONCATENATE("&lt;","=",J_SUBDAY(J_ADDDAY(D53,N53+2,1),1,1)))=2,J_SUBDAY(J_ADDDAY(D53,N53+2,1),1,1),IF((N53+3-(NETWORKDAYS.INTL(J_GregorianDate(D53,1),J_GregorianDate(J_SUBDAY(J_ADDDAY(D53,N53+3,1),1,1),1),16,1)))+SUMIFS(Holieday[ok],Holieday[date],CONCATENATE("&gt;","=",D53),Holieday[date],CONCATENATE("&lt;","=",J_SUBDAY(J_ADDDAY(D53,N53+3,1),1,1)))-SUMIFS(Holieday[Friday],Holieday[date],CONCATENATE("&gt;","=",D53),Holieday[date],CONCATENATE("&lt;","=",J_SUBDAY(J_ADDDAY(D53,N53+3,1),1,1)))=3,J_SUBDAY(J_ADDDAY(D53,N53+3,1),1,1),IF((N53+4-(NETWORKDAYS.INTL(J_GregorianDate(D53,1),J_GregorianDate(J_SUBDAY(J_ADDDAY(D53,N53+4,1),1,1),1),16,1)))+SUMIFS(Holieday[ok],Holieday[date],CONCATENATE("&gt;","=",D53),Holieday[date],CONCATENATE("&lt;","=",J_SUBDAY(J_ADDDAY(D53,N53+4,1),1,1)))-SUMIFS(Holieday[Friday],Holieday[date],CONCATENATE("&gt;","=",D53),Holieday[date],CONCATENATE("&lt;","=",J_SUBDAY(J_ADDDAY(D53,N53+4,1),1,1)))=4,J_SUBDAY(J_ADDDAY(D53,N53+4,1),1,1),IF((N53+5-(NETWORKDAYS.INTL(J_GregorianDate(D53,1),J_GregorianDate(J_SUBDAY(J_ADDDAY(D53,N53+5,1),1,1),1),16,1)))+SUMIFS(Holieday[ok],Holieday[date],CONCATENATE("&gt;","=",D53),Holieday[date],CONCATENATE("&lt;","=",J_SUBDAY(J_ADDDAY(D53,N53+5,1),1,1)))-SUMIFS(Holieday[Friday],Holieday[date],CONCATENATE("&gt;","=",D53),Holieday[date],CONCATENATE("&lt;","=",J_SUBDAY(J_ADDDAY(D53,N53+5,1),1,1)))=5,J_SUBDAY(J_ADDDAY(D53,N53+5,1),1,1),J_SUBDAY(J_ADDDAY(D53,N53+6,1),1,1))))))))</f>
        <v>1399/01/13</v>
      </c>
      <c r="G53" s="2">
        <f t="shared" si="21"/>
        <v>13990113</v>
      </c>
      <c r="H53" s="175">
        <v>1</v>
      </c>
      <c r="I53" s="176">
        <v>3.25</v>
      </c>
      <c r="J53" s="190">
        <f>j_WEEKDAY(D53,2)</f>
        <v>1</v>
      </c>
      <c r="K53" s="13">
        <f t="shared" si="18"/>
        <v>0</v>
      </c>
      <c r="L53" s="191">
        <f t="shared" ref="L53" si="23">J_DIFF(D53,F53)+1</f>
        <v>4</v>
      </c>
      <c r="M53" s="178">
        <v>0</v>
      </c>
      <c r="N53" s="179">
        <v>4</v>
      </c>
      <c r="O53" s="6">
        <f t="shared" si="22"/>
        <v>0</v>
      </c>
      <c r="P53" s="6">
        <f>VALUE(J_normdate(J_ADDDAY($D53,$O53,1)))</f>
        <v>13990110</v>
      </c>
      <c r="Q53" s="5">
        <f t="shared" si="14"/>
        <v>4</v>
      </c>
      <c r="JA53" s="173"/>
      <c r="JB53" s="173"/>
      <c r="JC53" s="173"/>
      <c r="JD53" s="195">
        <f>SUM((TEXT(JA53,"[M]")/60)*'Income Person-hours'!$D$3,(TEXT(JB53,"[M]")/60)*'Income Person-hours'!$D$4,(TEXT(JC53,"[M]")/60)*'Income Person-hours'!$D$5)</f>
        <v>0</v>
      </c>
    </row>
    <row r="54" spans="1:264" s="192" customFormat="1" ht="16.5" customHeight="1">
      <c r="A54" s="202">
        <v>3.27</v>
      </c>
      <c r="B54" s="186" t="s">
        <v>145</v>
      </c>
      <c r="C54" s="173" t="s">
        <v>103</v>
      </c>
      <c r="D54" s="192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1399/01/14</v>
      </c>
      <c r="E54" s="1">
        <f t="shared" si="20"/>
        <v>13990114</v>
      </c>
      <c r="F54" s="196" t="str">
        <f>IF(N54=0,J_SUBDAY(D54,1,1),IF((N54-(NETWORKDAYS.INTL(J_GregorianDate(D54,1),J_GregorianDate(J_SUBDAY(J_ADDDAY(D54,N54,1),1,1),1),16,1)))+SUMIFS(Holieday[ok],Holieday[date],CONCATENATE("&gt;","=",D54),Holieday[date],CONCATENATE("&lt;","=",J_SUBDAY(J_ADDDAY(D54,N54,1),1,1)))-SUMIFS(Holieday[Friday],Holieday[date],CONCATENATE("&gt;","=",D54),Holieday[date],CONCATENATE("&lt;","=",J_SUBDAY(J_ADDDAY(D54,N54,1),1,1)))=0,J_SUBDAY(J_ADDDAY(D54,N54,1),1,1),IF((N54+1-(NETWORKDAYS.INTL(J_GregorianDate(D54,1),J_GregorianDate(J_SUBDAY(J_ADDDAY(D54,N54+1,1),1,1),1),16,1)))+SUMIFS(Holieday[ok],Holieday[date],CONCATENATE("&gt;","=",D54),Holieday[date],CONCATENATE("&lt;","=",J_SUBDAY(J_ADDDAY(D54,N54+1,1),1,1)))-SUMIFS(Holieday[Friday],Holieday[date],CONCATENATE("&gt;","=",D54),Holieday[date],CONCATENATE("&lt;","=",J_SUBDAY(J_ADDDAY(D54,N54+1,1),1,1)))=1,J_SUBDAY(J_ADDDAY(D54,N54+1,1),1,1),IF((N54+2-(NETWORKDAYS.INTL(J_GregorianDate(D54,1),J_GregorianDate(J_SUBDAY(J_ADDDAY(D54,N54+2,1),1,1),1),16,1)))+SUMIFS(Holieday[ok],Holieday[date],CONCATENATE("&gt;","=",D54),Holieday[date],CONCATENATE("&lt;","=",J_SUBDAY(J_ADDDAY(D54,N54+2,1),1,1)))-SUMIFS(Holieday[Friday],Holieday[date],CONCATENATE("&gt;","=",D54),Holieday[date],CONCATENATE("&lt;","=",J_SUBDAY(J_ADDDAY(D54,N54+2,1),1,1)))=2,J_SUBDAY(J_ADDDAY(D54,N54+2,1),1,1),IF((N54+3-(NETWORKDAYS.INTL(J_GregorianDate(D54,1),J_GregorianDate(J_SUBDAY(J_ADDDAY(D54,N54+3,1),1,1),1),16,1)))+SUMIFS(Holieday[ok],Holieday[date],CONCATENATE("&gt;","=",D54),Holieday[date],CONCATENATE("&lt;","=",J_SUBDAY(J_ADDDAY(D54,N54+3,1),1,1)))-SUMIFS(Holieday[Friday],Holieday[date],CONCATENATE("&gt;","=",D54),Holieday[date],CONCATENATE("&lt;","=",J_SUBDAY(J_ADDDAY(D54,N54+3,1),1,1)))=3,J_SUBDAY(J_ADDDAY(D54,N54+3,1),1,1),IF((N54+4-(NETWORKDAYS.INTL(J_GregorianDate(D54,1),J_GregorianDate(J_SUBDAY(J_ADDDAY(D54,N54+4,1),1,1),1),16,1)))+SUMIFS(Holieday[ok],Holieday[date],CONCATENATE("&gt;","=",D54),Holieday[date],CONCATENATE("&lt;","=",J_SUBDAY(J_ADDDAY(D54,N54+4,1),1,1)))-SUMIFS(Holieday[Friday],Holieday[date],CONCATENATE("&gt;","=",D54),Holieday[date],CONCATENATE("&lt;","=",J_SUBDAY(J_ADDDAY(D54,N54+4,1),1,1)))=4,J_SUBDAY(J_ADDDAY(D54,N54+4,1),1,1),IF((N54+5-(NETWORKDAYS.INTL(J_GregorianDate(D54,1),J_GregorianDate(J_SUBDAY(J_ADDDAY(D54,N54+5,1),1,1),1),16,1)))+SUMIFS(Holieday[ok],Holieday[date],CONCATENATE("&gt;","=",D54),Holieday[date],CONCATENATE("&lt;","=",J_SUBDAY(J_ADDDAY(D54,N54+5,1),1,1)))-SUMIFS(Holieday[Friday],Holieday[date],CONCATENATE("&gt;","=",D54),Holieday[date],CONCATENATE("&lt;","=",J_SUBDAY(J_ADDDAY(D54,N54+5,1),1,1)))=5,J_SUBDAY(J_ADDDAY(D54,N54+5,1),1,1),J_SUBDAY(J_ADDDAY(D54,N54+6,1),1,1))))))))</f>
        <v>1399/01/17</v>
      </c>
      <c r="G54" s="2">
        <f t="shared" si="21"/>
        <v>13990117</v>
      </c>
      <c r="H54" s="175">
        <v>1</v>
      </c>
      <c r="I54" s="176">
        <v>3.26</v>
      </c>
      <c r="J54" s="190">
        <f>j_WEEKDAY(D54,2)</f>
        <v>5</v>
      </c>
      <c r="K54" s="13">
        <f t="shared" si="18"/>
        <v>0</v>
      </c>
      <c r="L54" s="203">
        <f t="shared" si="19"/>
        <v>4</v>
      </c>
      <c r="M54" s="178">
        <v>0</v>
      </c>
      <c r="N54" s="179">
        <v>3</v>
      </c>
      <c r="O54" s="6">
        <f t="shared" si="22"/>
        <v>0</v>
      </c>
      <c r="P54" s="6">
        <f>VALUE(J_normdate(J_ADDDAY($D54,$O54,1)))</f>
        <v>13990114</v>
      </c>
      <c r="Q54" s="5">
        <f t="shared" si="14"/>
        <v>4</v>
      </c>
      <c r="JA54" s="173"/>
      <c r="JB54" s="173"/>
      <c r="JC54" s="173"/>
      <c r="JD54" s="195">
        <f>SUM((TEXT(JA54,"[M]")/60)*'Income Person-hours'!$D$3,(TEXT(JB54,"[M]")/60)*'Income Person-hours'!$D$4,(TEXT(JC54,"[M]")/60)*'Income Person-hours'!$D$5)</f>
        <v>0</v>
      </c>
    </row>
    <row r="55" spans="1:264" s="192" customFormat="1" ht="13.5">
      <c r="A55" s="202">
        <v>3.28</v>
      </c>
      <c r="B55" s="186" t="s">
        <v>165</v>
      </c>
      <c r="C55" s="173" t="s">
        <v>104</v>
      </c>
      <c r="D55" s="192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1398/11/26</v>
      </c>
      <c r="E55" s="1">
        <f t="shared" si="20"/>
        <v>13981126</v>
      </c>
      <c r="F55" s="196" t="str">
        <f>IF(N55=0,J_SUBDAY(D55,1,1),IF((N55-(NETWORKDAYS.INTL(J_GregorianDate(D55,1),J_GregorianDate(J_SUBDAY(J_ADDDAY(D55,N55,1),1,1),1),16,1)))+SUMIFS(Holieday[ok],Holieday[date],CONCATENATE("&gt;","=",D55),Holieday[date],CONCATENATE("&lt;","=",J_SUBDAY(J_ADDDAY(D55,N55,1),1,1)))-SUMIFS(Holieday[Friday],Holieday[date],CONCATENATE("&gt;","=",D55),Holieday[date],CONCATENATE("&lt;","=",J_SUBDAY(J_ADDDAY(D55,N55,1),1,1)))=0,J_SUBDAY(J_ADDDAY(D55,N55,1),1,1),IF((N55+1-(NETWORKDAYS.INTL(J_GregorianDate(D55,1),J_GregorianDate(J_SUBDAY(J_ADDDAY(D55,N55+1,1),1,1),1),16,1)))+SUMIFS(Holieday[ok],Holieday[date],CONCATENATE("&gt;","=",D55),Holieday[date],CONCATENATE("&lt;","=",J_SUBDAY(J_ADDDAY(D55,N55+1,1),1,1)))-SUMIFS(Holieday[Friday],Holieday[date],CONCATENATE("&gt;","=",D55),Holieday[date],CONCATENATE("&lt;","=",J_SUBDAY(J_ADDDAY(D55,N55+1,1),1,1)))=1,J_SUBDAY(J_ADDDAY(D55,N55+1,1),1,1),IF((N55+2-(NETWORKDAYS.INTL(J_GregorianDate(D55,1),J_GregorianDate(J_SUBDAY(J_ADDDAY(D55,N55+2,1),1,1),1),16,1)))+SUMIFS(Holieday[ok],Holieday[date],CONCATENATE("&gt;","=",D55),Holieday[date],CONCATENATE("&lt;","=",J_SUBDAY(J_ADDDAY(D55,N55+2,1),1,1)))-SUMIFS(Holieday[Friday],Holieday[date],CONCATENATE("&gt;","=",D55),Holieday[date],CONCATENATE("&lt;","=",J_SUBDAY(J_ADDDAY(D55,N55+2,1),1,1)))=2,J_SUBDAY(J_ADDDAY(D55,N55+2,1),1,1),IF((N55+3-(NETWORKDAYS.INTL(J_GregorianDate(D55,1),J_GregorianDate(J_SUBDAY(J_ADDDAY(D55,N55+3,1),1,1),1),16,1)))+SUMIFS(Holieday[ok],Holieday[date],CONCATENATE("&gt;","=",D55),Holieday[date],CONCATENATE("&lt;","=",J_SUBDAY(J_ADDDAY(D55,N55+3,1),1,1)))-SUMIFS(Holieday[Friday],Holieday[date],CONCATENATE("&gt;","=",D55),Holieday[date],CONCATENATE("&lt;","=",J_SUBDAY(J_ADDDAY(D55,N55+3,1),1,1)))=3,J_SUBDAY(J_ADDDAY(D55,N55+3,1),1,1),IF((N55+4-(NETWORKDAYS.INTL(J_GregorianDate(D55,1),J_GregorianDate(J_SUBDAY(J_ADDDAY(D55,N55+4,1),1,1),1),16,1)))+SUMIFS(Holieday[ok],Holieday[date],CONCATENATE("&gt;","=",D55),Holieday[date],CONCATENATE("&lt;","=",J_SUBDAY(J_ADDDAY(D55,N55+4,1),1,1)))-SUMIFS(Holieday[Friday],Holieday[date],CONCATENATE("&gt;","=",D55),Holieday[date],CONCATENATE("&lt;","=",J_SUBDAY(J_ADDDAY(D55,N55+4,1),1,1)))=4,J_SUBDAY(J_ADDDAY(D55,N55+4,1),1,1),IF((N55+5-(NETWORKDAYS.INTL(J_GregorianDate(D55,1),J_GregorianDate(J_SUBDAY(J_ADDDAY(D55,N55+5,1),1,1),1),16,1)))+SUMIFS(Holieday[ok],Holieday[date],CONCATENATE("&gt;","=",D55),Holieday[date],CONCATENATE("&lt;","=",J_SUBDAY(J_ADDDAY(D55,N55+5,1),1,1)))-SUMIFS(Holieday[Friday],Holieday[date],CONCATENATE("&gt;","=",D55),Holieday[date],CONCATENATE("&lt;","=",J_SUBDAY(J_ADDDAY(D55,N55+5,1),1,1)))=5,J_SUBDAY(J_ADDDAY(D55,N55+5,1),1,1),J_SUBDAY(J_ADDDAY(D55,N55+6,1),1,1))))))))</f>
        <v>1398/12/27</v>
      </c>
      <c r="G55" s="2">
        <f t="shared" si="21"/>
        <v>13981227</v>
      </c>
      <c r="H55" s="175">
        <v>20</v>
      </c>
      <c r="I55" s="176">
        <v>3.14</v>
      </c>
      <c r="J55" s="190">
        <f>j_WEEKDAY(D55,2)</f>
        <v>0</v>
      </c>
      <c r="K55" s="13">
        <f t="shared" si="18"/>
        <v>0</v>
      </c>
      <c r="L55" s="203">
        <f t="shared" si="19"/>
        <v>32</v>
      </c>
      <c r="M55" s="178">
        <v>0.9</v>
      </c>
      <c r="N55" s="179">
        <v>27</v>
      </c>
      <c r="O55" s="6">
        <f t="shared" si="22"/>
        <v>28</v>
      </c>
      <c r="P55" s="6">
        <f>VALUE(J_normdate(J_ADDDAY($D55,$O55,1)))</f>
        <v>13981224</v>
      </c>
      <c r="Q55" s="5">
        <f t="shared" si="14"/>
        <v>4</v>
      </c>
      <c r="JA55" s="173"/>
      <c r="JB55" s="173"/>
      <c r="JC55" s="173"/>
      <c r="JD55" s="195">
        <f>SUM((TEXT(JA55,"[M]")/60)*'Income Person-hours'!$D$3,(TEXT(JB55,"[M]")/60)*'Income Person-hours'!$D$4,(TEXT(JC55,"[M]")/60)*'Income Person-hours'!$D$5)</f>
        <v>0</v>
      </c>
    </row>
    <row r="56" spans="1:264" s="200" customFormat="1" ht="13.5">
      <c r="A56" s="201">
        <v>3.29</v>
      </c>
      <c r="B56" s="186" t="s">
        <v>167</v>
      </c>
      <c r="C56" s="173" t="s">
        <v>103</v>
      </c>
      <c r="D56" s="192" t="str">
        <f>IF(OR(j_WEEKDAY(J_ADDDAY(VLOOKUP(I56,A:F,6,FALSE),H56,1),0)=6,SUMIFS(Holieday[ok],Holieday[date],J_ADDDAY(VLOOKUP(I56,A:F,6,FALSE),H56,1)))=FALSE(),J_ADDDAY(VLOOKUP(I56,A:F,6,FALSE),H56,1),IF(OR(j_WEEKDAY(J_ADDDAY(VLOOKUP(I56,A:F,6,FALSE),H56+1,1),0)=6,SUMIFS(Holieday[ok],Holieday[date],J_ADDDAY(VLOOKUP(I56,A:F,6,FALSE),H56+1,1)))=FALSE(),J_ADDDAY(VLOOKUP(I56,A:F,6,FALSE),H56+1,1),IF(OR(j_WEEKDAY(J_ADDDAY(VLOOKUP(I56,A:F,6,FALSE),H56+2,1),0)=6,SUMIFS(Holieday[ok],Holieday[date],J_ADDDAY(VLOOKUP(I56,A:F,6,FALSE),H56+2,1)))=FALSE(),J_ADDDAY(VLOOKUP(I56,A:F,6,FALSE),H56+2,1),IF(OR(j_WEEKDAY(J_ADDDAY(VLOOKUP(I56,A:F,6,FALSE),H56+3,1),0)=6,SUMIFS(Holieday[ok],Holieday[date],J_ADDDAY(VLOOKUP(I56,A:F,6,FALSE),H56+3,1)))=FALSE(),J_ADDDAY(VLOOKUP(I56,A:F,6,FALSE),H56+3,1),IF(OR(j_WEEKDAY(J_ADDDAY(VLOOKUP(I56,A:F,6,FALSE),H56+4,1),0)=6,SUMIFS(Holieday[ok],Holieday[date],J_ADDDAY(VLOOKUP(I56,A:F,6,FALSE),H56+4,1)))=FALSE(),J_ADDDAY(VLOOKUP(I56,A:F,6,FALSE),H56+4,1),J_ADDDAY(VLOOKUP(I56,A:F,6,FALSE),H56+5,1))))))</f>
        <v>1398/12/28</v>
      </c>
      <c r="E56" s="1">
        <f t="shared" ref="E56:E58" si="24">VALUE(J_normdate(D56))</f>
        <v>13981228</v>
      </c>
      <c r="F56" s="196" t="str">
        <f>IF(N56=0,J_SUBDAY(D56,1,1),IF((N56-(NETWORKDAYS.INTL(J_GregorianDate(D56,1),J_GregorianDate(J_SUBDAY(J_ADDDAY(D56,N56,1),1,1),1),16,1)))+SUMIFS(Holieday[ok],Holieday[date],CONCATENATE("&gt;","=",D56),Holieday[date],CONCATENATE("&lt;","=",J_SUBDAY(J_ADDDAY(D56,N56,1),1,1)))-SUMIFS(Holieday[Friday],Holieday[date],CONCATENATE("&gt;","=",D56),Holieday[date],CONCATENATE("&lt;","=",J_SUBDAY(J_ADDDAY(D56,N56,1),1,1)))=0,J_SUBDAY(J_ADDDAY(D56,N56,1),1,1),IF((N56+1-(NETWORKDAYS.INTL(J_GregorianDate(D56,1),J_GregorianDate(J_SUBDAY(J_ADDDAY(D56,N56+1,1),1,1),1),16,1)))+SUMIFS(Holieday[ok],Holieday[date],CONCATENATE("&gt;","=",D56),Holieday[date],CONCATENATE("&lt;","=",J_SUBDAY(J_ADDDAY(D56,N56+1,1),1,1)))-SUMIFS(Holieday[Friday],Holieday[date],CONCATENATE("&gt;","=",D56),Holieday[date],CONCATENATE("&lt;","=",J_SUBDAY(J_ADDDAY(D56,N56+1,1),1,1)))=1,J_SUBDAY(J_ADDDAY(D56,N56+1,1),1,1),IF((N56+2-(NETWORKDAYS.INTL(J_GregorianDate(D56,1),J_GregorianDate(J_SUBDAY(J_ADDDAY(D56,N56+2,1),1,1),1),16,1)))+SUMIFS(Holieday[ok],Holieday[date],CONCATENATE("&gt;","=",D56),Holieday[date],CONCATENATE("&lt;","=",J_SUBDAY(J_ADDDAY(D56,N56+2,1),1,1)))-SUMIFS(Holieday[Friday],Holieday[date],CONCATENATE("&gt;","=",D56),Holieday[date],CONCATENATE("&lt;","=",J_SUBDAY(J_ADDDAY(D56,N56+2,1),1,1)))=2,J_SUBDAY(J_ADDDAY(D56,N56+2,1),1,1),IF((N56+3-(NETWORKDAYS.INTL(J_GregorianDate(D56,1),J_GregorianDate(J_SUBDAY(J_ADDDAY(D56,N56+3,1),1,1),1),16,1)))+SUMIFS(Holieday[ok],Holieday[date],CONCATENATE("&gt;","=",D56),Holieday[date],CONCATENATE("&lt;","=",J_SUBDAY(J_ADDDAY(D56,N56+3,1),1,1)))-SUMIFS(Holieday[Friday],Holieday[date],CONCATENATE("&gt;","=",D56),Holieday[date],CONCATENATE("&lt;","=",J_SUBDAY(J_ADDDAY(D56,N56+3,1),1,1)))=3,J_SUBDAY(J_ADDDAY(D56,N56+3,1),1,1),IF((N56+4-(NETWORKDAYS.INTL(J_GregorianDate(D56,1),J_GregorianDate(J_SUBDAY(J_ADDDAY(D56,N56+4,1),1,1),1),16,1)))+SUMIFS(Holieday[ok],Holieday[date],CONCATENATE("&gt;","=",D56),Holieday[date],CONCATENATE("&lt;","=",J_SUBDAY(J_ADDDAY(D56,N56+4,1),1,1)))-SUMIFS(Holieday[Friday],Holieday[date],CONCATENATE("&gt;","=",D56),Holieday[date],CONCATENATE("&lt;","=",J_SUBDAY(J_ADDDAY(D56,N56+4,1),1,1)))=4,J_SUBDAY(J_ADDDAY(D56,N56+4,1),1,1),IF((N56+5-(NETWORKDAYS.INTL(J_GregorianDate(D56,1),J_GregorianDate(J_SUBDAY(J_ADDDAY(D56,N56+5,1),1,1),1),16,1)))+SUMIFS(Holieday[ok],Holieday[date],CONCATENATE("&gt;","=",D56),Holieday[date],CONCATENATE("&lt;","=",J_SUBDAY(J_ADDDAY(D56,N56+5,1),1,1)))-SUMIFS(Holieday[Friday],Holieday[date],CONCATENATE("&gt;","=",D56),Holieday[date],CONCATENATE("&lt;","=",J_SUBDAY(J_ADDDAY(D56,N56+5,1),1,1)))=5,J_SUBDAY(J_ADDDAY(D56,N56+5,1),1,1),J_SUBDAY(J_ADDDAY(D56,N56+6,1),1,1))))))))</f>
        <v>1399/01/03</v>
      </c>
      <c r="G56" s="2">
        <f t="shared" ref="G56:G58" si="25">VALUE(J_normdate(F56))</f>
        <v>13990103</v>
      </c>
      <c r="H56" s="175">
        <v>1</v>
      </c>
      <c r="I56" s="176">
        <v>3.28</v>
      </c>
      <c r="J56" s="190">
        <v>4</v>
      </c>
      <c r="K56" s="13">
        <f t="shared" ref="K56:K58" si="26">SUM(JA56:JC56)</f>
        <v>0</v>
      </c>
      <c r="L56" s="191">
        <f t="shared" ref="L56:L58" si="27">J_DIFF(D56,F56)+1</f>
        <v>5</v>
      </c>
      <c r="M56" s="178">
        <v>0</v>
      </c>
      <c r="N56" s="179">
        <v>3</v>
      </c>
      <c r="O56" s="6">
        <f t="shared" ref="O56:O58" si="28">ROUNDDOWN(M56*L56,0)</f>
        <v>0</v>
      </c>
      <c r="P56" s="6">
        <f>VALUE(J_normdate(J_ADDDAY($D56,$O56,1)))</f>
        <v>13981228</v>
      </c>
      <c r="Q56" s="5">
        <f t="shared" ref="Q56:Q58" si="29">L56-O56</f>
        <v>5</v>
      </c>
      <c r="R56" s="192"/>
      <c r="S56" s="192"/>
      <c r="T56" s="192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192"/>
      <c r="CO56" s="192"/>
      <c r="CP56" s="192"/>
      <c r="CQ56" s="192"/>
      <c r="CR56" s="192"/>
      <c r="CS56" s="192"/>
      <c r="CT56" s="192"/>
      <c r="CU56" s="192"/>
      <c r="CV56" s="192"/>
      <c r="CW56" s="192"/>
      <c r="CX56" s="192"/>
      <c r="CY56" s="192"/>
      <c r="CZ56" s="192"/>
      <c r="DA56" s="192"/>
      <c r="DB56" s="192"/>
      <c r="DC56" s="192"/>
      <c r="DD56" s="192"/>
      <c r="DE56" s="192"/>
      <c r="DF56" s="192"/>
      <c r="DG56" s="192"/>
      <c r="DH56" s="192"/>
      <c r="DI56" s="192"/>
      <c r="DJ56" s="192"/>
      <c r="DK56" s="192"/>
      <c r="DL56" s="192"/>
      <c r="DM56" s="192"/>
      <c r="DN56" s="192"/>
      <c r="DO56" s="192"/>
      <c r="DP56" s="192"/>
      <c r="DQ56" s="192"/>
      <c r="DR56" s="192"/>
      <c r="DS56" s="192"/>
      <c r="DT56" s="192"/>
      <c r="DU56" s="192"/>
      <c r="DV56" s="192"/>
      <c r="DW56" s="192"/>
      <c r="DX56" s="192"/>
      <c r="DY56" s="192"/>
      <c r="DZ56" s="192"/>
      <c r="EA56" s="192"/>
      <c r="EB56" s="192"/>
      <c r="EC56" s="192"/>
      <c r="ED56" s="192"/>
      <c r="EE56" s="192"/>
      <c r="EF56" s="192"/>
      <c r="EG56" s="192"/>
      <c r="EH56" s="192"/>
      <c r="EI56" s="192"/>
      <c r="EJ56" s="192"/>
      <c r="EK56" s="192"/>
      <c r="EL56" s="192"/>
      <c r="EM56" s="192"/>
      <c r="EN56" s="192"/>
      <c r="EO56" s="192"/>
      <c r="EP56" s="192"/>
      <c r="EQ56" s="192"/>
      <c r="ER56" s="192"/>
      <c r="ES56" s="192"/>
      <c r="ET56" s="192"/>
      <c r="EU56" s="192"/>
      <c r="EV56" s="192"/>
      <c r="EW56" s="192"/>
      <c r="EX56" s="192"/>
      <c r="EY56" s="192"/>
      <c r="EZ56" s="192"/>
      <c r="FA56" s="192"/>
      <c r="FB56" s="192"/>
      <c r="FC56" s="192"/>
      <c r="FD56" s="192"/>
      <c r="FE56" s="192"/>
      <c r="FF56" s="192"/>
      <c r="FG56" s="192"/>
      <c r="FH56" s="192"/>
      <c r="FI56" s="192"/>
      <c r="FJ56" s="192"/>
      <c r="FK56" s="192"/>
      <c r="FL56" s="192"/>
      <c r="FM56" s="192"/>
      <c r="FN56" s="192"/>
      <c r="FO56" s="192"/>
      <c r="FP56" s="192"/>
      <c r="FQ56" s="192"/>
      <c r="FR56" s="192"/>
      <c r="FS56" s="192"/>
      <c r="FT56" s="192"/>
      <c r="FU56" s="192"/>
      <c r="FV56" s="192"/>
      <c r="FW56" s="192"/>
      <c r="FX56" s="192"/>
      <c r="FY56" s="192"/>
      <c r="FZ56" s="192"/>
      <c r="GA56" s="192"/>
      <c r="GB56" s="192"/>
      <c r="GC56" s="192"/>
      <c r="GD56" s="192"/>
      <c r="GE56" s="192"/>
      <c r="GF56" s="192"/>
      <c r="GG56" s="192"/>
      <c r="GH56" s="192"/>
      <c r="GI56" s="192"/>
      <c r="GJ56" s="192"/>
      <c r="GK56" s="192"/>
      <c r="GL56" s="192"/>
      <c r="GM56" s="192"/>
      <c r="GN56" s="192"/>
      <c r="GO56" s="192"/>
      <c r="GP56" s="192"/>
      <c r="GQ56" s="192"/>
      <c r="GR56" s="192"/>
      <c r="GS56" s="192"/>
      <c r="GT56" s="192"/>
      <c r="GU56" s="192"/>
      <c r="GV56" s="192"/>
      <c r="GW56" s="192"/>
      <c r="GX56" s="192"/>
      <c r="GY56" s="192"/>
      <c r="GZ56" s="192"/>
      <c r="HA56" s="192"/>
      <c r="HB56" s="192"/>
      <c r="HC56" s="192"/>
      <c r="HD56" s="192"/>
      <c r="HE56" s="192"/>
      <c r="HF56" s="192"/>
      <c r="HG56" s="192"/>
      <c r="HH56" s="192"/>
      <c r="HI56" s="192"/>
      <c r="HJ56" s="192"/>
      <c r="HK56" s="192"/>
      <c r="HL56" s="192"/>
      <c r="HM56" s="192"/>
      <c r="HN56" s="192"/>
      <c r="HO56" s="192"/>
      <c r="HP56" s="192"/>
      <c r="HQ56" s="192"/>
      <c r="HR56" s="192"/>
      <c r="HS56" s="192"/>
      <c r="HT56" s="192"/>
      <c r="HU56" s="192"/>
      <c r="HV56" s="192"/>
      <c r="HW56" s="192"/>
      <c r="HX56" s="192"/>
      <c r="HY56" s="192"/>
      <c r="HZ56" s="192"/>
      <c r="IA56" s="192"/>
      <c r="IB56" s="192"/>
      <c r="IC56" s="192"/>
      <c r="ID56" s="192"/>
      <c r="IE56" s="192"/>
      <c r="IF56" s="192"/>
      <c r="IG56" s="192"/>
      <c r="IH56" s="192"/>
      <c r="II56" s="192"/>
      <c r="IJ56" s="192"/>
      <c r="IK56" s="192"/>
      <c r="IL56" s="192"/>
      <c r="IM56" s="192"/>
      <c r="IN56" s="192"/>
      <c r="IO56" s="192"/>
      <c r="IP56" s="192"/>
      <c r="IQ56" s="192"/>
      <c r="IR56" s="192"/>
      <c r="IS56" s="192"/>
      <c r="IT56" s="192"/>
      <c r="IU56" s="192"/>
      <c r="IV56" s="192"/>
      <c r="IW56" s="192"/>
      <c r="IX56" s="192"/>
      <c r="JA56" s="198"/>
      <c r="JB56" s="198"/>
      <c r="JC56" s="198"/>
      <c r="JD56" s="199"/>
    </row>
    <row r="57" spans="1:264" s="200" customFormat="1" ht="13.5">
      <c r="A57" s="201">
        <v>3.31</v>
      </c>
      <c r="B57" s="186" t="s">
        <v>168</v>
      </c>
      <c r="C57" s="173" t="s">
        <v>104</v>
      </c>
      <c r="D57" s="192" t="str">
        <f>IF(OR(j_WEEKDAY(J_ADDDAY(VLOOKUP(I57,A:F,6,FALSE),H57,1),0)=6,SUMIFS(Holieday[ok],Holieday[date],J_ADDDAY(VLOOKUP(I57,A:F,6,FALSE),H57,1)))=FALSE(),J_ADDDAY(VLOOKUP(I57,A:F,6,FALSE),H57,1),IF(OR(j_WEEKDAY(J_ADDDAY(VLOOKUP(I57,A:F,6,FALSE),H57+1,1),0)=6,SUMIFS(Holieday[ok],Holieday[date],J_ADDDAY(VLOOKUP(I57,A:F,6,FALSE),H57+1,1)))=FALSE(),J_ADDDAY(VLOOKUP(I57,A:F,6,FALSE),H57+1,1),IF(OR(j_WEEKDAY(J_ADDDAY(VLOOKUP(I57,A:F,6,FALSE),H57+2,1),0)=6,SUMIFS(Holieday[ok],Holieday[date],J_ADDDAY(VLOOKUP(I57,A:F,6,FALSE),H57+2,1)))=FALSE(),J_ADDDAY(VLOOKUP(I57,A:F,6,FALSE),H57+2,1),IF(OR(j_WEEKDAY(J_ADDDAY(VLOOKUP(I57,A:F,6,FALSE),H57+3,1),0)=6,SUMIFS(Holieday[ok],Holieday[date],J_ADDDAY(VLOOKUP(I57,A:F,6,FALSE),H57+3,1)))=FALSE(),J_ADDDAY(VLOOKUP(I57,A:F,6,FALSE),H57+3,1),IF(OR(j_WEEKDAY(J_ADDDAY(VLOOKUP(I57,A:F,6,FALSE),H57+4,1),0)=6,SUMIFS(Holieday[ok],Holieday[date],J_ADDDAY(VLOOKUP(I57,A:F,6,FALSE),H57+4,1)))=FALSE(),J_ADDDAY(VLOOKUP(I57,A:F,6,FALSE),H57+4,1),J_ADDDAY(VLOOKUP(I57,A:F,6,FALSE),H57+5,1))))))</f>
        <v>1398/12/15</v>
      </c>
      <c r="E57" s="1">
        <f t="shared" si="24"/>
        <v>13981215</v>
      </c>
      <c r="F57" s="196" t="str">
        <f>IF(N57=0,J_SUBDAY(D57,1,1),IF((N57-(NETWORKDAYS.INTL(J_GregorianDate(D57,1),J_GregorianDate(J_SUBDAY(J_ADDDAY(D57,N57,1),1,1),1),16,1)))+SUMIFS(Holieday[ok],Holieday[date],CONCATENATE("&gt;","=",D57),Holieday[date],CONCATENATE("&lt;","=",J_SUBDAY(J_ADDDAY(D57,N57,1),1,1)))-SUMIFS(Holieday[Friday],Holieday[date],CONCATENATE("&gt;","=",D57),Holieday[date],CONCATENATE("&lt;","=",J_SUBDAY(J_ADDDAY(D57,N57,1),1,1)))=0,J_SUBDAY(J_ADDDAY(D57,N57,1),1,1),IF((N57+1-(NETWORKDAYS.INTL(J_GregorianDate(D57,1),J_GregorianDate(J_SUBDAY(J_ADDDAY(D57,N57+1,1),1,1),1),16,1)))+SUMIFS(Holieday[ok],Holieday[date],CONCATENATE("&gt;","=",D57),Holieday[date],CONCATENATE("&lt;","=",J_SUBDAY(J_ADDDAY(D57,N57+1,1),1,1)))-SUMIFS(Holieday[Friday],Holieday[date],CONCATENATE("&gt;","=",D57),Holieday[date],CONCATENATE("&lt;","=",J_SUBDAY(J_ADDDAY(D57,N57+1,1),1,1)))=1,J_SUBDAY(J_ADDDAY(D57,N57+1,1),1,1),IF((N57+2-(NETWORKDAYS.INTL(J_GregorianDate(D57,1),J_GregorianDate(J_SUBDAY(J_ADDDAY(D57,N57+2,1),1,1),1),16,1)))+SUMIFS(Holieday[ok],Holieday[date],CONCATENATE("&gt;","=",D57),Holieday[date],CONCATENATE("&lt;","=",J_SUBDAY(J_ADDDAY(D57,N57+2,1),1,1)))-SUMIFS(Holieday[Friday],Holieday[date],CONCATENATE("&gt;","=",D57),Holieday[date],CONCATENATE("&lt;","=",J_SUBDAY(J_ADDDAY(D57,N57+2,1),1,1)))=2,J_SUBDAY(J_ADDDAY(D57,N57+2,1),1,1),IF((N57+3-(NETWORKDAYS.INTL(J_GregorianDate(D57,1),J_GregorianDate(J_SUBDAY(J_ADDDAY(D57,N57+3,1),1,1),1),16,1)))+SUMIFS(Holieday[ok],Holieday[date],CONCATENATE("&gt;","=",D57),Holieday[date],CONCATENATE("&lt;","=",J_SUBDAY(J_ADDDAY(D57,N57+3,1),1,1)))-SUMIFS(Holieday[Friday],Holieday[date],CONCATENATE("&gt;","=",D57),Holieday[date],CONCATENATE("&lt;","=",J_SUBDAY(J_ADDDAY(D57,N57+3,1),1,1)))=3,J_SUBDAY(J_ADDDAY(D57,N57+3,1),1,1),IF((N57+4-(NETWORKDAYS.INTL(J_GregorianDate(D57,1),J_GregorianDate(J_SUBDAY(J_ADDDAY(D57,N57+4,1),1,1),1),16,1)))+SUMIFS(Holieday[ok],Holieday[date],CONCATENATE("&gt;","=",D57),Holieday[date],CONCATENATE("&lt;","=",J_SUBDAY(J_ADDDAY(D57,N57+4,1),1,1)))-SUMIFS(Holieday[Friday],Holieday[date],CONCATENATE("&gt;","=",D57),Holieday[date],CONCATENATE("&lt;","=",J_SUBDAY(J_ADDDAY(D57,N57+4,1),1,1)))=4,J_SUBDAY(J_ADDDAY(D57,N57+4,1),1,1),IF((N57+5-(NETWORKDAYS.INTL(J_GregorianDate(D57,1),J_GregorianDate(J_SUBDAY(J_ADDDAY(D57,N57+5,1),1,1),1),16,1)))+SUMIFS(Holieday[ok],Holieday[date],CONCATENATE("&gt;","=",D57),Holieday[date],CONCATENATE("&lt;","=",J_SUBDAY(J_ADDDAY(D57,N57+5,1),1,1)))-SUMIFS(Holieday[Friday],Holieday[date],CONCATENATE("&gt;","=",D57),Holieday[date],CONCATENATE("&lt;","=",J_SUBDAY(J_ADDDAY(D57,N57+5,1),1,1)))=5,J_SUBDAY(J_ADDDAY(D57,N57+5,1),1,1),J_SUBDAY(J_ADDDAY(D57,N57+6,1),1,1))))))))</f>
        <v>1399/01/02</v>
      </c>
      <c r="G57" s="2">
        <f t="shared" si="25"/>
        <v>13990102</v>
      </c>
      <c r="H57" s="175">
        <v>40</v>
      </c>
      <c r="I57" s="176">
        <v>3.19</v>
      </c>
      <c r="J57" s="190">
        <v>1</v>
      </c>
      <c r="K57" s="13">
        <f t="shared" si="26"/>
        <v>0</v>
      </c>
      <c r="L57" s="191">
        <f t="shared" si="27"/>
        <v>17</v>
      </c>
      <c r="M57" s="178">
        <v>0.9</v>
      </c>
      <c r="N57" s="179">
        <v>12</v>
      </c>
      <c r="O57" s="6">
        <f t="shared" si="28"/>
        <v>15</v>
      </c>
      <c r="P57" s="6">
        <f>VALUE(J_normdate(J_ADDDAY($D57,$O57,1)))</f>
        <v>13990101</v>
      </c>
      <c r="Q57" s="5">
        <f t="shared" si="29"/>
        <v>2</v>
      </c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2"/>
      <c r="BH57" s="192"/>
      <c r="BI57" s="192"/>
      <c r="BJ57" s="192"/>
      <c r="BK57" s="192"/>
      <c r="BL57" s="192"/>
      <c r="BM57" s="192"/>
      <c r="BN57" s="192"/>
      <c r="BO57" s="192"/>
      <c r="BP57" s="192"/>
      <c r="BQ57" s="192"/>
      <c r="BR57" s="192"/>
      <c r="BS57" s="192"/>
      <c r="BT57" s="192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192"/>
      <c r="CO57" s="192"/>
      <c r="CP57" s="192"/>
      <c r="CQ57" s="192"/>
      <c r="CR57" s="192"/>
      <c r="CS57" s="192"/>
      <c r="CT57" s="192"/>
      <c r="CU57" s="192"/>
      <c r="CV57" s="192"/>
      <c r="CW57" s="192"/>
      <c r="CX57" s="192"/>
      <c r="CY57" s="192"/>
      <c r="CZ57" s="192"/>
      <c r="DA57" s="192"/>
      <c r="DB57" s="192"/>
      <c r="DC57" s="192"/>
      <c r="DD57" s="192"/>
      <c r="DE57" s="192"/>
      <c r="DF57" s="192"/>
      <c r="DG57" s="192"/>
      <c r="DH57" s="192"/>
      <c r="DI57" s="192"/>
      <c r="DJ57" s="192"/>
      <c r="DK57" s="192"/>
      <c r="DL57" s="192"/>
      <c r="DM57" s="192"/>
      <c r="DN57" s="192"/>
      <c r="DO57" s="192"/>
      <c r="DP57" s="192"/>
      <c r="DQ57" s="192"/>
      <c r="DR57" s="192"/>
      <c r="DS57" s="192"/>
      <c r="DT57" s="192"/>
      <c r="DU57" s="192"/>
      <c r="DV57" s="192"/>
      <c r="DW57" s="192"/>
      <c r="DX57" s="192"/>
      <c r="DY57" s="192"/>
      <c r="DZ57" s="192"/>
      <c r="EA57" s="192"/>
      <c r="EB57" s="192"/>
      <c r="EC57" s="192"/>
      <c r="ED57" s="192"/>
      <c r="EE57" s="192"/>
      <c r="EF57" s="192"/>
      <c r="EG57" s="192"/>
      <c r="EH57" s="192"/>
      <c r="EI57" s="192"/>
      <c r="EJ57" s="192"/>
      <c r="EK57" s="192"/>
      <c r="EL57" s="192"/>
      <c r="EM57" s="192"/>
      <c r="EN57" s="192"/>
      <c r="EO57" s="192"/>
      <c r="EP57" s="192"/>
      <c r="EQ57" s="192"/>
      <c r="ER57" s="192"/>
      <c r="ES57" s="192"/>
      <c r="ET57" s="192"/>
      <c r="EU57" s="192"/>
      <c r="EV57" s="192"/>
      <c r="EW57" s="192"/>
      <c r="EX57" s="192"/>
      <c r="EY57" s="192"/>
      <c r="EZ57" s="192"/>
      <c r="FA57" s="192"/>
      <c r="FB57" s="192"/>
      <c r="FC57" s="192"/>
      <c r="FD57" s="192"/>
      <c r="FE57" s="192"/>
      <c r="FF57" s="192"/>
      <c r="FG57" s="192"/>
      <c r="FH57" s="192"/>
      <c r="FI57" s="192"/>
      <c r="FJ57" s="192"/>
      <c r="FK57" s="192"/>
      <c r="FL57" s="192"/>
      <c r="FM57" s="192"/>
      <c r="FN57" s="192"/>
      <c r="FO57" s="192"/>
      <c r="FP57" s="192"/>
      <c r="FQ57" s="192"/>
      <c r="FR57" s="192"/>
      <c r="FS57" s="192"/>
      <c r="FT57" s="192"/>
      <c r="FU57" s="192"/>
      <c r="FV57" s="192"/>
      <c r="FW57" s="192"/>
      <c r="FX57" s="192"/>
      <c r="FY57" s="192"/>
      <c r="FZ57" s="192"/>
      <c r="GA57" s="192"/>
      <c r="GB57" s="192"/>
      <c r="GC57" s="192"/>
      <c r="GD57" s="192"/>
      <c r="GE57" s="192"/>
      <c r="GF57" s="192"/>
      <c r="GG57" s="192"/>
      <c r="GH57" s="192"/>
      <c r="GI57" s="192"/>
      <c r="GJ57" s="192"/>
      <c r="GK57" s="192"/>
      <c r="GL57" s="192"/>
      <c r="GM57" s="192"/>
      <c r="GN57" s="192"/>
      <c r="GO57" s="192"/>
      <c r="GP57" s="192"/>
      <c r="GQ57" s="192"/>
      <c r="GR57" s="192"/>
      <c r="GS57" s="192"/>
      <c r="GT57" s="192"/>
      <c r="GU57" s="192"/>
      <c r="GV57" s="192"/>
      <c r="GW57" s="192"/>
      <c r="GX57" s="192"/>
      <c r="GY57" s="192"/>
      <c r="GZ57" s="192"/>
      <c r="HA57" s="192"/>
      <c r="HB57" s="192"/>
      <c r="HC57" s="192"/>
      <c r="HD57" s="192"/>
      <c r="HE57" s="192"/>
      <c r="HF57" s="192"/>
      <c r="HG57" s="192"/>
      <c r="HH57" s="192"/>
      <c r="HI57" s="192"/>
      <c r="HJ57" s="192"/>
      <c r="HK57" s="192"/>
      <c r="HL57" s="192"/>
      <c r="HM57" s="192"/>
      <c r="HN57" s="192"/>
      <c r="HO57" s="192"/>
      <c r="HP57" s="192"/>
      <c r="HQ57" s="192"/>
      <c r="HR57" s="192"/>
      <c r="HS57" s="192"/>
      <c r="HT57" s="192"/>
      <c r="HU57" s="192"/>
      <c r="HV57" s="192"/>
      <c r="HW57" s="192"/>
      <c r="HX57" s="192"/>
      <c r="HY57" s="192"/>
      <c r="HZ57" s="192"/>
      <c r="IA57" s="192"/>
      <c r="IB57" s="192"/>
      <c r="IC57" s="192"/>
      <c r="ID57" s="192"/>
      <c r="IE57" s="192"/>
      <c r="IF57" s="192"/>
      <c r="IG57" s="192"/>
      <c r="IH57" s="192"/>
      <c r="II57" s="192"/>
      <c r="IJ57" s="192"/>
      <c r="IK57" s="192"/>
      <c r="IL57" s="192"/>
      <c r="IM57" s="192"/>
      <c r="IN57" s="192"/>
      <c r="IO57" s="192"/>
      <c r="IP57" s="192"/>
      <c r="IQ57" s="192"/>
      <c r="IR57" s="192"/>
      <c r="IS57" s="192"/>
      <c r="IT57" s="192"/>
      <c r="IU57" s="192"/>
      <c r="IV57" s="192"/>
      <c r="IW57" s="192"/>
      <c r="IX57" s="192"/>
      <c r="JA57" s="198"/>
      <c r="JB57" s="198"/>
      <c r="JC57" s="198"/>
      <c r="JD57" s="199"/>
    </row>
    <row r="58" spans="1:264" s="200" customFormat="1" ht="16.5" customHeight="1">
      <c r="A58" s="201">
        <v>3.32</v>
      </c>
      <c r="B58" s="186" t="s">
        <v>146</v>
      </c>
      <c r="C58" s="173" t="s">
        <v>103</v>
      </c>
      <c r="D58" s="192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1399/01/03</v>
      </c>
      <c r="E58" s="1">
        <f t="shared" si="24"/>
        <v>13990103</v>
      </c>
      <c r="F58" s="196" t="str">
        <f>IF(N58=0,J_SUBDAY(D58,1,1),IF((N58-(NETWORKDAYS.INTL(J_GregorianDate(D58,1),J_GregorianDate(J_SUBDAY(J_ADDDAY(D58,N58,1),1,1),1),16,1)))+SUMIFS(Holieday[ok],Holieday[date],CONCATENATE("&gt;","=",D58),Holieday[date],CONCATENATE("&lt;","=",J_SUBDAY(J_ADDDAY(D58,N58,1),1,1)))-SUMIFS(Holieday[Friday],Holieday[date],CONCATENATE("&gt;","=",D58),Holieday[date],CONCATENATE("&lt;","=",J_SUBDAY(J_ADDDAY(D58,N58,1),1,1)))=0,J_SUBDAY(J_ADDDAY(D58,N58,1),1,1),IF((N58+1-(NETWORKDAYS.INTL(J_GregorianDate(D58,1),J_GregorianDate(J_SUBDAY(J_ADDDAY(D58,N58+1,1),1,1),1),16,1)))+SUMIFS(Holieday[ok],Holieday[date],CONCATENATE("&gt;","=",D58),Holieday[date],CONCATENATE("&lt;","=",J_SUBDAY(J_ADDDAY(D58,N58+1,1),1,1)))-SUMIFS(Holieday[Friday],Holieday[date],CONCATENATE("&gt;","=",D58),Holieday[date],CONCATENATE("&lt;","=",J_SUBDAY(J_ADDDAY(D58,N58+1,1),1,1)))=1,J_SUBDAY(J_ADDDAY(D58,N58+1,1),1,1),IF((N58+2-(NETWORKDAYS.INTL(J_GregorianDate(D58,1),J_GregorianDate(J_SUBDAY(J_ADDDAY(D58,N58+2,1),1,1),1),16,1)))+SUMIFS(Holieday[ok],Holieday[date],CONCATENATE("&gt;","=",D58),Holieday[date],CONCATENATE("&lt;","=",J_SUBDAY(J_ADDDAY(D58,N58+2,1),1,1)))-SUMIFS(Holieday[Friday],Holieday[date],CONCATENATE("&gt;","=",D58),Holieday[date],CONCATENATE("&lt;","=",J_SUBDAY(J_ADDDAY(D58,N58+2,1),1,1)))=2,J_SUBDAY(J_ADDDAY(D58,N58+2,1),1,1),IF((N58+3-(NETWORKDAYS.INTL(J_GregorianDate(D58,1),J_GregorianDate(J_SUBDAY(J_ADDDAY(D58,N58+3,1),1,1),1),16,1)))+SUMIFS(Holieday[ok],Holieday[date],CONCATENATE("&gt;","=",D58),Holieday[date],CONCATENATE("&lt;","=",J_SUBDAY(J_ADDDAY(D58,N58+3,1),1,1)))-SUMIFS(Holieday[Friday],Holieday[date],CONCATENATE("&gt;","=",D58),Holieday[date],CONCATENATE("&lt;","=",J_SUBDAY(J_ADDDAY(D58,N58+3,1),1,1)))=3,J_SUBDAY(J_ADDDAY(D58,N58+3,1),1,1),IF((N58+4-(NETWORKDAYS.INTL(J_GregorianDate(D58,1),J_GregorianDate(J_SUBDAY(J_ADDDAY(D58,N58+4,1),1,1),1),16,1)))+SUMIFS(Holieday[ok],Holieday[date],CONCATENATE("&gt;","=",D58),Holieday[date],CONCATENATE("&lt;","=",J_SUBDAY(J_ADDDAY(D58,N58+4,1),1,1)))-SUMIFS(Holieday[Friday],Holieday[date],CONCATENATE("&gt;","=",D58),Holieday[date],CONCATENATE("&lt;","=",J_SUBDAY(J_ADDDAY(D58,N58+4,1),1,1)))=4,J_SUBDAY(J_ADDDAY(D58,N58+4,1),1,1),IF((N58+5-(NETWORKDAYS.INTL(J_GregorianDate(D58,1),J_GregorianDate(J_SUBDAY(J_ADDDAY(D58,N58+5,1),1,1),1),16,1)))+SUMIFS(Holieday[ok],Holieday[date],CONCATENATE("&gt;","=",D58),Holieday[date],CONCATENATE("&lt;","=",J_SUBDAY(J_ADDDAY(D58,N58+5,1),1,1)))-SUMIFS(Holieday[Friday],Holieday[date],CONCATENATE("&gt;","=",D58),Holieday[date],CONCATENATE("&lt;","=",J_SUBDAY(J_ADDDAY(D58,N58+5,1),1,1)))=5,J_SUBDAY(J_ADDDAY(D58,N58+5,1),1,1),J_SUBDAY(J_ADDDAY(D58,N58+6,1),1,1))))))))</f>
        <v>1399/01/05</v>
      </c>
      <c r="G58" s="2">
        <f t="shared" si="25"/>
        <v>13990105</v>
      </c>
      <c r="H58" s="175">
        <v>1</v>
      </c>
      <c r="I58" s="176">
        <v>3.31</v>
      </c>
      <c r="J58" s="190">
        <f>j_WEEKDAY(D58,2)</f>
        <v>1</v>
      </c>
      <c r="K58" s="13">
        <f t="shared" si="26"/>
        <v>0</v>
      </c>
      <c r="L58" s="191">
        <f t="shared" si="27"/>
        <v>3</v>
      </c>
      <c r="M58" s="178">
        <v>0</v>
      </c>
      <c r="N58" s="179">
        <v>3</v>
      </c>
      <c r="O58" s="6">
        <f t="shared" si="28"/>
        <v>0</v>
      </c>
      <c r="P58" s="6">
        <f>VALUE(J_normdate(J_ADDDAY($D58,$O58,1)))</f>
        <v>13990103</v>
      </c>
      <c r="Q58" s="5">
        <f t="shared" si="29"/>
        <v>3</v>
      </c>
      <c r="R58" s="192"/>
      <c r="S58" s="192"/>
      <c r="T58" s="192"/>
      <c r="U58" s="192"/>
      <c r="V58" s="192"/>
      <c r="W58" s="192"/>
      <c r="X58" s="192"/>
      <c r="Y58" s="192"/>
      <c r="Z58" s="192"/>
      <c r="AA58" s="192"/>
      <c r="AB58" s="192"/>
      <c r="AC58" s="192"/>
      <c r="AD58" s="192"/>
      <c r="AE58" s="192"/>
      <c r="AF58" s="192"/>
      <c r="AG58" s="192"/>
      <c r="AH58" s="192"/>
      <c r="AI58" s="192"/>
      <c r="AJ58" s="192"/>
      <c r="AK58" s="192"/>
      <c r="AL58" s="192"/>
      <c r="AM58" s="192"/>
      <c r="AN58" s="192"/>
      <c r="AO58" s="192"/>
      <c r="AP58" s="192"/>
      <c r="AQ58" s="192"/>
      <c r="AR58" s="192"/>
      <c r="AS58" s="192"/>
      <c r="AT58" s="192"/>
      <c r="AU58" s="192"/>
      <c r="AV58" s="192"/>
      <c r="AW58" s="192"/>
      <c r="AX58" s="192"/>
      <c r="AY58" s="192"/>
      <c r="AZ58" s="192"/>
      <c r="BA58" s="192"/>
      <c r="BB58" s="192"/>
      <c r="BC58" s="192"/>
      <c r="BD58" s="192"/>
      <c r="BE58" s="192"/>
      <c r="BF58" s="192"/>
      <c r="BG58" s="192"/>
      <c r="BH58" s="192"/>
      <c r="BI58" s="192"/>
      <c r="BJ58" s="192"/>
      <c r="BK58" s="192"/>
      <c r="BL58" s="192"/>
      <c r="BM58" s="192"/>
      <c r="BN58" s="192"/>
      <c r="BO58" s="192"/>
      <c r="BP58" s="192"/>
      <c r="BQ58" s="192"/>
      <c r="BR58" s="192"/>
      <c r="BS58" s="192"/>
      <c r="BT58" s="192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192"/>
      <c r="CO58" s="192"/>
      <c r="CP58" s="192"/>
      <c r="CQ58" s="192"/>
      <c r="CR58" s="192"/>
      <c r="CS58" s="192"/>
      <c r="CT58" s="192"/>
      <c r="CU58" s="192"/>
      <c r="CV58" s="192"/>
      <c r="CW58" s="192"/>
      <c r="CX58" s="192"/>
      <c r="CY58" s="192"/>
      <c r="CZ58" s="192"/>
      <c r="DA58" s="192"/>
      <c r="DB58" s="192"/>
      <c r="DC58" s="192"/>
      <c r="DD58" s="192"/>
      <c r="DE58" s="192"/>
      <c r="DF58" s="192"/>
      <c r="DG58" s="192"/>
      <c r="DH58" s="192"/>
      <c r="DI58" s="192"/>
      <c r="DJ58" s="192"/>
      <c r="DK58" s="192"/>
      <c r="DL58" s="192"/>
      <c r="DM58" s="192"/>
      <c r="DN58" s="192"/>
      <c r="DO58" s="192"/>
      <c r="DP58" s="192"/>
      <c r="DQ58" s="192"/>
      <c r="DR58" s="192"/>
      <c r="DS58" s="192"/>
      <c r="DT58" s="192"/>
      <c r="DU58" s="192"/>
      <c r="DV58" s="192"/>
      <c r="DW58" s="192"/>
      <c r="DX58" s="192"/>
      <c r="DY58" s="192"/>
      <c r="DZ58" s="192"/>
      <c r="EA58" s="192"/>
      <c r="EB58" s="192"/>
      <c r="EC58" s="192"/>
      <c r="ED58" s="192"/>
      <c r="EE58" s="192"/>
      <c r="EF58" s="192"/>
      <c r="EG58" s="192"/>
      <c r="EH58" s="192"/>
      <c r="EI58" s="192"/>
      <c r="EJ58" s="192"/>
      <c r="EK58" s="192"/>
      <c r="EL58" s="192"/>
      <c r="EM58" s="192"/>
      <c r="EN58" s="192"/>
      <c r="EO58" s="192"/>
      <c r="EP58" s="192"/>
      <c r="EQ58" s="192"/>
      <c r="ER58" s="192"/>
      <c r="ES58" s="192"/>
      <c r="ET58" s="192"/>
      <c r="EU58" s="192"/>
      <c r="EV58" s="192"/>
      <c r="EW58" s="192"/>
      <c r="EX58" s="192"/>
      <c r="EY58" s="192"/>
      <c r="EZ58" s="192"/>
      <c r="FA58" s="192"/>
      <c r="FB58" s="192"/>
      <c r="FC58" s="192"/>
      <c r="FD58" s="192"/>
      <c r="FE58" s="192"/>
      <c r="FF58" s="192"/>
      <c r="FG58" s="192"/>
      <c r="FH58" s="192"/>
      <c r="FI58" s="192"/>
      <c r="FJ58" s="192"/>
      <c r="FK58" s="192"/>
      <c r="FL58" s="192"/>
      <c r="FM58" s="192"/>
      <c r="FN58" s="192"/>
      <c r="FO58" s="192"/>
      <c r="FP58" s="192"/>
      <c r="FQ58" s="192"/>
      <c r="FR58" s="192"/>
      <c r="FS58" s="192"/>
      <c r="FT58" s="192"/>
      <c r="FU58" s="192"/>
      <c r="FV58" s="192"/>
      <c r="FW58" s="192"/>
      <c r="FX58" s="192"/>
      <c r="FY58" s="192"/>
      <c r="FZ58" s="192"/>
      <c r="GA58" s="192"/>
      <c r="GB58" s="192"/>
      <c r="GC58" s="192"/>
      <c r="GD58" s="192"/>
      <c r="GE58" s="192"/>
      <c r="GF58" s="192"/>
      <c r="GG58" s="192"/>
      <c r="GH58" s="192"/>
      <c r="GI58" s="192"/>
      <c r="GJ58" s="192"/>
      <c r="GK58" s="192"/>
      <c r="GL58" s="192"/>
      <c r="GM58" s="192"/>
      <c r="GN58" s="192"/>
      <c r="GO58" s="192"/>
      <c r="GP58" s="192"/>
      <c r="GQ58" s="192"/>
      <c r="GR58" s="192"/>
      <c r="GS58" s="192"/>
      <c r="GT58" s="192"/>
      <c r="GU58" s="192"/>
      <c r="GV58" s="192"/>
      <c r="GW58" s="192"/>
      <c r="GX58" s="192"/>
      <c r="GY58" s="192"/>
      <c r="GZ58" s="192"/>
      <c r="HA58" s="192"/>
      <c r="HB58" s="192"/>
      <c r="HC58" s="192"/>
      <c r="HD58" s="192"/>
      <c r="HE58" s="192"/>
      <c r="HF58" s="192"/>
      <c r="HG58" s="192"/>
      <c r="HH58" s="192"/>
      <c r="HI58" s="192"/>
      <c r="HJ58" s="192"/>
      <c r="HK58" s="192"/>
      <c r="HL58" s="192"/>
      <c r="HM58" s="192"/>
      <c r="HN58" s="192"/>
      <c r="HO58" s="192"/>
      <c r="HP58" s="192"/>
      <c r="HQ58" s="192"/>
      <c r="HR58" s="192"/>
      <c r="HS58" s="192"/>
      <c r="HT58" s="192"/>
      <c r="HU58" s="192"/>
      <c r="HV58" s="192"/>
      <c r="HW58" s="192"/>
      <c r="HX58" s="192"/>
      <c r="HY58" s="192"/>
      <c r="HZ58" s="192"/>
      <c r="IA58" s="192"/>
      <c r="IB58" s="192"/>
      <c r="IC58" s="192"/>
      <c r="ID58" s="192"/>
      <c r="IE58" s="192"/>
      <c r="IF58" s="192"/>
      <c r="IG58" s="192"/>
      <c r="IH58" s="192"/>
      <c r="II58" s="192"/>
      <c r="IJ58" s="192"/>
      <c r="IK58" s="192"/>
      <c r="IL58" s="192"/>
      <c r="IM58" s="192"/>
      <c r="IN58" s="192"/>
      <c r="IO58" s="192"/>
      <c r="IP58" s="192"/>
      <c r="IQ58" s="192"/>
      <c r="IR58" s="192"/>
      <c r="IS58" s="192"/>
      <c r="IT58" s="192"/>
      <c r="IU58" s="192"/>
      <c r="IV58" s="192"/>
      <c r="IW58" s="192"/>
      <c r="IX58" s="192"/>
      <c r="JA58" s="198"/>
      <c r="JB58" s="198"/>
      <c r="JC58" s="198"/>
      <c r="JD58" s="199"/>
    </row>
    <row r="59" spans="1:264" s="288" customFormat="1" ht="13.5">
      <c r="A59" s="284">
        <v>4</v>
      </c>
      <c r="B59" s="271" t="s">
        <v>127</v>
      </c>
      <c r="C59" s="272"/>
      <c r="D59" s="287" t="str">
        <f>FDate(MIN(E60:E65))</f>
        <v>1398/10/03</v>
      </c>
      <c r="E59" s="136">
        <f>VALUE(J_normdate(D59))</f>
        <v>13981003</v>
      </c>
      <c r="F59" s="287" t="str">
        <f>J_SUBDAY(J_ADDDAY(D59,L59,1),1,1)</f>
        <v>1398/11/22</v>
      </c>
      <c r="G59" s="139">
        <f t="shared" ref="G59:G72" si="30">VALUE(J_normdate(F59))</f>
        <v>13981122</v>
      </c>
      <c r="H59" s="285"/>
      <c r="I59" s="286"/>
      <c r="J59" s="273">
        <f>j_WEEKDAY(D59,2)</f>
        <v>3</v>
      </c>
      <c r="K59" s="140">
        <f>SUM(K60:K65)</f>
        <v>0</v>
      </c>
      <c r="L59" s="276">
        <f>J_DIFF(D59,FDate(MAX(G60:G65)))+1</f>
        <v>50</v>
      </c>
      <c r="M59" s="277">
        <f>IF(SUM(L60:L65)&lt;&gt;0,SUMPRODUCT(L60:L65,M60:M65)/SUM(L60:L65),0)</f>
        <v>0.55882352941176472</v>
      </c>
      <c r="N59" s="278">
        <f>IF(F59&gt;=D59,NETWORKDAYS.INTL(J_GregorianDate(D59,1),J_GregorianDate(F59,1),16,1)-SUMIFS(Holieday[ok],Holieday[date],CONCATENATE("&gt;","=",D59),Holieday[date],CONCATENATE("&lt;","=",F59))+SUMIFS(Holieday[Friday],Holieday[date],CONCATENATE("&gt;","=",D59),Holieday[date],CONCATENATE("&lt;","=",F59)),0)</f>
        <v>41</v>
      </c>
      <c r="O59" s="135">
        <f t="shared" ref="O59:O65" si="31">ROUNDDOWN(M59*L59,0)</f>
        <v>27</v>
      </c>
      <c r="P59" s="135">
        <f>VALUE(J_normdate(J_ADDDAY($D59,$O59,1)))</f>
        <v>13981030</v>
      </c>
      <c r="Q59" s="138">
        <f t="shared" ref="Q59:Q65" si="32">L59-O59</f>
        <v>23</v>
      </c>
      <c r="IY59" s="289"/>
      <c r="IZ59" s="290"/>
      <c r="JA59" s="291"/>
      <c r="JB59" s="291"/>
      <c r="JC59" s="291"/>
    </row>
    <row r="60" spans="1:264" s="185" customFormat="1" ht="13.5">
      <c r="A60" s="172">
        <v>4.0999999999999996</v>
      </c>
      <c r="B60" s="186" t="s">
        <v>108</v>
      </c>
      <c r="C60" s="173" t="s">
        <v>104</v>
      </c>
      <c r="D60" s="189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1398/10/03</v>
      </c>
      <c r="E60" s="136">
        <f t="shared" ref="E60:E72" si="33">VALUE(J_normdate(D60))</f>
        <v>13981003</v>
      </c>
      <c r="F60" s="189" t="str">
        <f>IF(N60=0,J_SUBDAY(D60,1,1)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0,J_SUBDAY(J_ADDDAY(D60,N60,1)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1,J_SUBDAY(J_ADDDAY(D60,N60+1,1)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2,J_SUBDAY(J_ADDDAY(D60,N60+2,1),1,1),J_SUBDAY(J_ADDDAY(D60,N60+3,1),1,1)))))</f>
        <v>1398/10/04</v>
      </c>
      <c r="G60" s="139">
        <f t="shared" si="30"/>
        <v>13981004</v>
      </c>
      <c r="H60" s="175"/>
      <c r="I60" s="176">
        <v>1.2</v>
      </c>
      <c r="J60" s="174">
        <f>j_WEEKDAY(D60,2)</f>
        <v>3</v>
      </c>
      <c r="K60" s="143">
        <f t="shared" ref="K60:K65" si="34">SUM(JA60:JC60)</f>
        <v>0</v>
      </c>
      <c r="L60" s="177">
        <f t="shared" ref="L60:L65" si="35">J_DIFF(D60,F60)+1</f>
        <v>2</v>
      </c>
      <c r="M60" s="178">
        <v>1</v>
      </c>
      <c r="N60" s="179">
        <v>2</v>
      </c>
      <c r="O60" s="144">
        <f t="shared" si="31"/>
        <v>2</v>
      </c>
      <c r="P60" s="144">
        <f>VALUE(J_normdate(J_ADDDAY($D60,$O60,1)))</f>
        <v>13981005</v>
      </c>
      <c r="Q60" s="142">
        <f t="shared" si="32"/>
        <v>0</v>
      </c>
      <c r="R60" s="180"/>
      <c r="S60" s="180"/>
      <c r="T60" s="180"/>
      <c r="U60" s="180"/>
      <c r="V60" s="180"/>
      <c r="W60" s="180"/>
      <c r="X60" s="180"/>
      <c r="Y60" s="180"/>
      <c r="Z60" s="180"/>
      <c r="AA60" s="180"/>
      <c r="AB60" s="180"/>
      <c r="AC60" s="180"/>
      <c r="AD60" s="180"/>
      <c r="AE60" s="180"/>
      <c r="AF60" s="180"/>
      <c r="AG60" s="180"/>
      <c r="AH60" s="180"/>
      <c r="AI60" s="180"/>
      <c r="AJ60" s="180"/>
      <c r="AK60" s="180"/>
      <c r="AL60" s="180"/>
      <c r="AM60" s="180"/>
      <c r="AN60" s="180"/>
      <c r="AO60" s="180"/>
      <c r="AP60" s="180"/>
      <c r="AQ60" s="180"/>
      <c r="AR60" s="180"/>
      <c r="AS60" s="180"/>
      <c r="AT60" s="180"/>
      <c r="AU60" s="180"/>
      <c r="AV60" s="180"/>
      <c r="AW60" s="180"/>
      <c r="AX60" s="180"/>
      <c r="AY60" s="180"/>
      <c r="AZ60" s="180"/>
      <c r="BA60" s="180"/>
      <c r="BB60" s="180"/>
      <c r="BC60" s="180"/>
      <c r="BD60" s="180"/>
      <c r="BE60" s="180"/>
      <c r="BF60" s="180"/>
      <c r="BG60" s="180"/>
      <c r="BH60" s="180"/>
      <c r="BI60" s="180"/>
      <c r="BJ60" s="180"/>
      <c r="BK60" s="180"/>
      <c r="BL60" s="180"/>
      <c r="BM60" s="180"/>
      <c r="BN60" s="180"/>
      <c r="BO60" s="180"/>
      <c r="BP60" s="180"/>
      <c r="BQ60" s="180"/>
      <c r="BR60" s="180"/>
      <c r="BS60" s="180"/>
      <c r="BT60" s="180"/>
      <c r="BU60" s="180"/>
      <c r="BV60" s="180"/>
      <c r="BW60" s="180"/>
      <c r="BX60" s="180"/>
      <c r="BY60" s="180"/>
      <c r="BZ60" s="180"/>
      <c r="CA60" s="180"/>
      <c r="CB60" s="180"/>
      <c r="CC60" s="180"/>
      <c r="CD60" s="180"/>
      <c r="CE60" s="180"/>
      <c r="CF60" s="180"/>
      <c r="CG60" s="180"/>
      <c r="CH60" s="180"/>
      <c r="CI60" s="180"/>
      <c r="CJ60" s="180"/>
      <c r="CK60" s="180"/>
      <c r="CL60" s="180"/>
      <c r="CM60" s="180"/>
      <c r="CN60" s="180"/>
      <c r="CO60" s="180"/>
      <c r="CP60" s="180"/>
      <c r="CQ60" s="180"/>
      <c r="CR60" s="180"/>
      <c r="CS60" s="180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180"/>
      <c r="DI60" s="180"/>
      <c r="DJ60" s="180"/>
      <c r="DK60" s="180"/>
      <c r="DL60" s="180"/>
      <c r="DM60" s="180"/>
      <c r="DN60" s="180"/>
      <c r="DO60" s="180"/>
      <c r="DP60" s="180"/>
      <c r="DQ60" s="180"/>
      <c r="DR60" s="180"/>
      <c r="DS60" s="180"/>
      <c r="DT60" s="180"/>
      <c r="DU60" s="180"/>
      <c r="DV60" s="180"/>
      <c r="DW60" s="180"/>
      <c r="DX60" s="180"/>
      <c r="DY60" s="180"/>
      <c r="DZ60" s="180"/>
      <c r="EA60" s="180"/>
      <c r="EB60" s="180"/>
      <c r="EC60" s="180"/>
      <c r="ED60" s="180"/>
      <c r="EE60" s="180"/>
      <c r="EF60" s="180"/>
      <c r="EG60" s="180"/>
      <c r="EH60" s="180"/>
      <c r="EI60" s="180"/>
      <c r="EJ60" s="180"/>
      <c r="EK60" s="180"/>
      <c r="EL60" s="180"/>
      <c r="EM60" s="180"/>
      <c r="EN60" s="180"/>
      <c r="EO60" s="180"/>
      <c r="EP60" s="180"/>
      <c r="EQ60" s="180"/>
      <c r="ER60" s="180"/>
      <c r="ES60" s="180"/>
      <c r="ET60" s="180"/>
      <c r="EU60" s="180"/>
      <c r="EV60" s="180"/>
      <c r="EW60" s="180"/>
      <c r="EX60" s="180"/>
      <c r="EY60" s="180"/>
      <c r="EZ60" s="180"/>
      <c r="FA60" s="180"/>
      <c r="FB60" s="180"/>
      <c r="FC60" s="180"/>
      <c r="FD60" s="180"/>
      <c r="FE60" s="180"/>
      <c r="FF60" s="180"/>
      <c r="FG60" s="180"/>
      <c r="FH60" s="180"/>
      <c r="FI60" s="180"/>
      <c r="FJ60" s="180"/>
      <c r="FK60" s="180"/>
      <c r="FL60" s="180"/>
      <c r="FM60" s="180"/>
      <c r="FN60" s="180"/>
      <c r="FO60" s="180"/>
      <c r="FP60" s="180"/>
      <c r="FQ60" s="180"/>
      <c r="FR60" s="180"/>
      <c r="FS60" s="180"/>
      <c r="FT60" s="180"/>
      <c r="FU60" s="180"/>
      <c r="FV60" s="180"/>
      <c r="FW60" s="180"/>
      <c r="FX60" s="180"/>
      <c r="FY60" s="180"/>
      <c r="FZ60" s="180"/>
      <c r="GA60" s="180"/>
      <c r="GB60" s="180"/>
      <c r="GC60" s="180"/>
      <c r="GD60" s="180"/>
      <c r="GE60" s="180"/>
      <c r="GF60" s="180"/>
      <c r="GG60" s="180"/>
      <c r="GH60" s="180"/>
      <c r="GI60" s="180"/>
      <c r="GJ60" s="180"/>
      <c r="GK60" s="180"/>
      <c r="GL60" s="180"/>
      <c r="GM60" s="180"/>
      <c r="GN60" s="180"/>
      <c r="GO60" s="180"/>
      <c r="GP60" s="180"/>
      <c r="GQ60" s="180"/>
      <c r="GR60" s="180"/>
      <c r="GS60" s="180"/>
      <c r="GT60" s="180"/>
      <c r="GU60" s="180"/>
      <c r="GV60" s="180"/>
      <c r="GW60" s="180"/>
      <c r="GX60" s="180"/>
      <c r="GY60" s="180"/>
      <c r="GZ60" s="180"/>
      <c r="HA60" s="180"/>
      <c r="HB60" s="180"/>
      <c r="HC60" s="180"/>
      <c r="HD60" s="180"/>
      <c r="HE60" s="180"/>
      <c r="HF60" s="180"/>
      <c r="HG60" s="180"/>
      <c r="HH60" s="180"/>
      <c r="HI60" s="180"/>
      <c r="HJ60" s="180"/>
      <c r="HK60" s="180"/>
      <c r="HL60" s="180"/>
      <c r="HM60" s="180"/>
      <c r="HN60" s="180"/>
      <c r="HO60" s="180"/>
      <c r="HP60" s="180"/>
      <c r="HQ60" s="180"/>
      <c r="HR60" s="180"/>
      <c r="HS60" s="180"/>
      <c r="HT60" s="180"/>
      <c r="HU60" s="180"/>
      <c r="HV60" s="180"/>
      <c r="HW60" s="180"/>
      <c r="HX60" s="180"/>
      <c r="HY60" s="180"/>
      <c r="HZ60" s="180"/>
      <c r="IA60" s="180"/>
      <c r="IB60" s="180"/>
      <c r="IC60" s="180"/>
      <c r="ID60" s="180"/>
      <c r="IE60" s="180"/>
      <c r="IF60" s="180"/>
      <c r="IG60" s="180"/>
      <c r="IH60" s="180"/>
      <c r="II60" s="180"/>
      <c r="IJ60" s="180"/>
      <c r="IK60" s="180"/>
      <c r="IL60" s="180"/>
      <c r="IM60" s="180"/>
      <c r="IN60" s="180"/>
      <c r="IO60" s="180"/>
      <c r="IP60" s="180"/>
      <c r="IQ60" s="180"/>
      <c r="IR60" s="180"/>
      <c r="IS60" s="180"/>
      <c r="IT60" s="180"/>
      <c r="IU60" s="180"/>
      <c r="IV60" s="180"/>
      <c r="IW60" s="180"/>
      <c r="IX60" s="180"/>
      <c r="IY60" s="181">
        <v>2</v>
      </c>
      <c r="IZ60" s="182">
        <f>(TEXT(K60,"[m]")/60)*VLOOKUP(IY60,'Income Person-hours'!A$2:C$5,3,FALSE)</f>
        <v>0</v>
      </c>
      <c r="JA60" s="183"/>
      <c r="JB60" s="183"/>
      <c r="JC60" s="183"/>
      <c r="JD60" s="184">
        <f>SUM((TEXT(JA60,"[M]")/60)*'Income Person-hours'!$D$3,(TEXT(JB60,"[M]")/60)*'Income Person-hours'!$D$4,(TEXT(JC60,"[M]")/60)*'Income Person-hours'!$D$5)</f>
        <v>0</v>
      </c>
    </row>
    <row r="61" spans="1:264" s="185" customFormat="1" ht="13.5">
      <c r="A61" s="172">
        <v>4.2</v>
      </c>
      <c r="B61" s="186" t="s">
        <v>125</v>
      </c>
      <c r="C61" s="173" t="s">
        <v>72</v>
      </c>
      <c r="D61" s="189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1398/10/05</v>
      </c>
      <c r="E61" s="136">
        <f t="shared" si="33"/>
        <v>13981005</v>
      </c>
      <c r="F61" s="189" t="str">
        <f>IF(N61=0,J_SUBDAY(D61,1,1)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0,J_SUBDAY(J_ADDDAY(D61,N61,1)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1,J_SUBDAY(J_ADDDAY(D61,N61+1,1)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2,J_SUBDAY(J_ADDDAY(D61,N61+2,1),1,1),J_SUBDAY(J_ADDDAY(D61,N61+3,1),1,1)))))</f>
        <v>1398/10/10</v>
      </c>
      <c r="G61" s="139">
        <f t="shared" si="30"/>
        <v>13981010</v>
      </c>
      <c r="H61" s="175">
        <v>1</v>
      </c>
      <c r="I61" s="176">
        <v>4.0999999999999996</v>
      </c>
      <c r="J61" s="174">
        <f>j_WEEKDAY(D61,2)</f>
        <v>5</v>
      </c>
      <c r="K61" s="143">
        <f t="shared" si="34"/>
        <v>0</v>
      </c>
      <c r="L61" s="177">
        <f t="shared" si="35"/>
        <v>6</v>
      </c>
      <c r="M61" s="178">
        <v>1</v>
      </c>
      <c r="N61" s="179">
        <v>5</v>
      </c>
      <c r="O61" s="144">
        <f t="shared" si="31"/>
        <v>6</v>
      </c>
      <c r="P61" s="144">
        <f>VALUE(J_normdate(J_ADDDAY($D61,$O61,1)))</f>
        <v>13981011</v>
      </c>
      <c r="Q61" s="142">
        <f t="shared" si="32"/>
        <v>0</v>
      </c>
      <c r="R61" s="180"/>
      <c r="S61" s="180"/>
      <c r="T61" s="180"/>
      <c r="U61" s="180"/>
      <c r="V61" s="180"/>
      <c r="W61" s="180"/>
      <c r="X61" s="180"/>
      <c r="Y61" s="180"/>
      <c r="Z61" s="180"/>
      <c r="AA61" s="180"/>
      <c r="AB61" s="180"/>
      <c r="AC61" s="180"/>
      <c r="AD61" s="180"/>
      <c r="AE61" s="180"/>
      <c r="AF61" s="180"/>
      <c r="AG61" s="180"/>
      <c r="AH61" s="180"/>
      <c r="AI61" s="180"/>
      <c r="AJ61" s="180"/>
      <c r="AK61" s="180"/>
      <c r="AL61" s="180"/>
      <c r="AM61" s="180"/>
      <c r="AN61" s="180"/>
      <c r="AO61" s="180"/>
      <c r="AP61" s="180"/>
      <c r="AQ61" s="180"/>
      <c r="AR61" s="180"/>
      <c r="AS61" s="180"/>
      <c r="AT61" s="180"/>
      <c r="AU61" s="180"/>
      <c r="AV61" s="180"/>
      <c r="AW61" s="180"/>
      <c r="AX61" s="180"/>
      <c r="AY61" s="180"/>
      <c r="AZ61" s="180"/>
      <c r="BA61" s="180"/>
      <c r="BB61" s="180"/>
      <c r="BC61" s="180"/>
      <c r="BD61" s="180"/>
      <c r="BE61" s="180"/>
      <c r="BF61" s="180"/>
      <c r="BG61" s="180"/>
      <c r="BH61" s="180"/>
      <c r="BI61" s="180"/>
      <c r="BJ61" s="180"/>
      <c r="BK61" s="180"/>
      <c r="BL61" s="180"/>
      <c r="BM61" s="180"/>
      <c r="BN61" s="180"/>
      <c r="BO61" s="180"/>
      <c r="BP61" s="180"/>
      <c r="BQ61" s="180"/>
      <c r="BR61" s="180"/>
      <c r="BS61" s="180"/>
      <c r="BT61" s="180"/>
      <c r="BU61" s="180"/>
      <c r="BV61" s="180"/>
      <c r="BW61" s="180"/>
      <c r="BX61" s="180"/>
      <c r="BY61" s="180"/>
      <c r="BZ61" s="180"/>
      <c r="CA61" s="180"/>
      <c r="CB61" s="180"/>
      <c r="CC61" s="180"/>
      <c r="CD61" s="180"/>
      <c r="CE61" s="180"/>
      <c r="CF61" s="180"/>
      <c r="CG61" s="180"/>
      <c r="CH61" s="180"/>
      <c r="CI61" s="180"/>
      <c r="CJ61" s="180"/>
      <c r="CK61" s="180"/>
      <c r="CL61" s="180"/>
      <c r="CM61" s="180"/>
      <c r="CN61" s="180"/>
      <c r="CO61" s="180"/>
      <c r="CP61" s="180"/>
      <c r="CQ61" s="180"/>
      <c r="CR61" s="180"/>
      <c r="CS61" s="180"/>
      <c r="CT61" s="180"/>
      <c r="CU61" s="180"/>
      <c r="CV61" s="180"/>
      <c r="CW61" s="180"/>
      <c r="CX61" s="180"/>
      <c r="CY61" s="180"/>
      <c r="CZ61" s="180"/>
      <c r="DA61" s="180"/>
      <c r="DB61" s="180"/>
      <c r="DC61" s="180"/>
      <c r="DD61" s="180"/>
      <c r="DE61" s="180"/>
      <c r="DF61" s="180"/>
      <c r="DG61" s="180"/>
      <c r="DH61" s="180"/>
      <c r="DI61" s="180"/>
      <c r="DJ61" s="180"/>
      <c r="DK61" s="180"/>
      <c r="DL61" s="180"/>
      <c r="DM61" s="180"/>
      <c r="DN61" s="180"/>
      <c r="DO61" s="180"/>
      <c r="DP61" s="180"/>
      <c r="DQ61" s="180"/>
      <c r="DR61" s="180"/>
      <c r="DS61" s="180"/>
      <c r="DT61" s="180"/>
      <c r="DU61" s="180"/>
      <c r="DV61" s="180"/>
      <c r="DW61" s="180"/>
      <c r="DX61" s="180"/>
      <c r="DY61" s="180"/>
      <c r="DZ61" s="180"/>
      <c r="EA61" s="180"/>
      <c r="EB61" s="180"/>
      <c r="EC61" s="180"/>
      <c r="ED61" s="180"/>
      <c r="EE61" s="180"/>
      <c r="EF61" s="180"/>
      <c r="EG61" s="180"/>
      <c r="EH61" s="180"/>
      <c r="EI61" s="180"/>
      <c r="EJ61" s="180"/>
      <c r="EK61" s="180"/>
      <c r="EL61" s="180"/>
      <c r="EM61" s="180"/>
      <c r="EN61" s="180"/>
      <c r="EO61" s="180"/>
      <c r="EP61" s="180"/>
      <c r="EQ61" s="180"/>
      <c r="ER61" s="180"/>
      <c r="ES61" s="180"/>
      <c r="ET61" s="180"/>
      <c r="EU61" s="180"/>
      <c r="EV61" s="180"/>
      <c r="EW61" s="180"/>
      <c r="EX61" s="180"/>
      <c r="EY61" s="180"/>
      <c r="EZ61" s="180"/>
      <c r="FA61" s="180"/>
      <c r="FB61" s="180"/>
      <c r="FC61" s="180"/>
      <c r="FD61" s="180"/>
      <c r="FE61" s="180"/>
      <c r="FF61" s="180"/>
      <c r="FG61" s="180"/>
      <c r="FH61" s="180"/>
      <c r="FI61" s="180"/>
      <c r="FJ61" s="180"/>
      <c r="FK61" s="180"/>
      <c r="FL61" s="180"/>
      <c r="FM61" s="180"/>
      <c r="FN61" s="180"/>
      <c r="FO61" s="180"/>
      <c r="FP61" s="180"/>
      <c r="FQ61" s="180"/>
      <c r="FR61" s="180"/>
      <c r="FS61" s="180"/>
      <c r="FT61" s="180"/>
      <c r="FU61" s="180"/>
      <c r="FV61" s="180"/>
      <c r="FW61" s="180"/>
      <c r="FX61" s="180"/>
      <c r="FY61" s="180"/>
      <c r="FZ61" s="180"/>
      <c r="GA61" s="180"/>
      <c r="GB61" s="180"/>
      <c r="GC61" s="180"/>
      <c r="GD61" s="180"/>
      <c r="GE61" s="180"/>
      <c r="GF61" s="180"/>
      <c r="GG61" s="180"/>
      <c r="GH61" s="180"/>
      <c r="GI61" s="180"/>
      <c r="GJ61" s="180"/>
      <c r="GK61" s="180"/>
      <c r="GL61" s="180"/>
      <c r="GM61" s="180"/>
      <c r="GN61" s="180"/>
      <c r="GO61" s="180"/>
      <c r="GP61" s="180"/>
      <c r="GQ61" s="180"/>
      <c r="GR61" s="180"/>
      <c r="GS61" s="180"/>
      <c r="GT61" s="180"/>
      <c r="GU61" s="180"/>
      <c r="GV61" s="180"/>
      <c r="GW61" s="180"/>
      <c r="GX61" s="180"/>
      <c r="GY61" s="180"/>
      <c r="GZ61" s="180"/>
      <c r="HA61" s="180"/>
      <c r="HB61" s="180"/>
      <c r="HC61" s="180"/>
      <c r="HD61" s="180"/>
      <c r="HE61" s="180"/>
      <c r="HF61" s="180"/>
      <c r="HG61" s="180"/>
      <c r="HH61" s="180"/>
      <c r="HI61" s="180"/>
      <c r="HJ61" s="180"/>
      <c r="HK61" s="180"/>
      <c r="HL61" s="180"/>
      <c r="HM61" s="180"/>
      <c r="HN61" s="180"/>
      <c r="HO61" s="180"/>
      <c r="HP61" s="180"/>
      <c r="HQ61" s="180"/>
      <c r="HR61" s="180"/>
      <c r="HS61" s="180"/>
      <c r="HT61" s="180"/>
      <c r="HU61" s="180"/>
      <c r="HV61" s="180"/>
      <c r="HW61" s="180"/>
      <c r="HX61" s="180"/>
      <c r="HY61" s="180"/>
      <c r="HZ61" s="180"/>
      <c r="IA61" s="180"/>
      <c r="IB61" s="180"/>
      <c r="IC61" s="180"/>
      <c r="ID61" s="180"/>
      <c r="IE61" s="180"/>
      <c r="IF61" s="180"/>
      <c r="IG61" s="180"/>
      <c r="IH61" s="180"/>
      <c r="II61" s="180"/>
      <c r="IJ61" s="180"/>
      <c r="IK61" s="180"/>
      <c r="IL61" s="180"/>
      <c r="IM61" s="180"/>
      <c r="IN61" s="180"/>
      <c r="IO61" s="180"/>
      <c r="IP61" s="180"/>
      <c r="IQ61" s="180"/>
      <c r="IR61" s="180"/>
      <c r="IS61" s="180"/>
      <c r="IT61" s="180"/>
      <c r="IU61" s="180"/>
      <c r="IV61" s="180"/>
      <c r="IW61" s="180"/>
      <c r="IX61" s="180"/>
      <c r="IY61" s="181">
        <v>3</v>
      </c>
      <c r="IZ61" s="182">
        <f>(TEXT(K61,"[m]")/60)*VLOOKUP(IY61,'Income Person-hours'!A$2:C$5,3,FALSE)</f>
        <v>0</v>
      </c>
      <c r="JA61" s="183"/>
      <c r="JB61" s="183"/>
      <c r="JC61" s="183"/>
      <c r="JD61" s="184">
        <f>SUM((TEXT(JA61,"[M]")/60)*'Income Person-hours'!$D$3,(TEXT(JB61,"[M]")/60)*'Income Person-hours'!$D$4,(TEXT(JC61,"[M]")/60)*'Income Person-hours'!$D$5)</f>
        <v>0</v>
      </c>
    </row>
    <row r="62" spans="1:264" s="185" customFormat="1" ht="13.5">
      <c r="A62" s="172">
        <v>4.3</v>
      </c>
      <c r="B62" s="186" t="s">
        <v>137</v>
      </c>
      <c r="C62" s="173" t="s">
        <v>103</v>
      </c>
      <c r="D62" s="189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1398/10/21</v>
      </c>
      <c r="E62" s="136">
        <f t="shared" si="33"/>
        <v>13981021</v>
      </c>
      <c r="F62" s="189" t="str">
        <f>IF(N62=0,J_SUBDAY(D62,1,1)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0,J_SUBDAY(J_ADDDAY(D62,N62,1)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1,J_SUBDAY(J_ADDDAY(D62,N62+1,1)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2,J_SUBDAY(J_ADDDAY(D62,N62+2,1),1,1),J_SUBDAY(J_ADDDAY(D62,N62+3,1),1,1)))))</f>
        <v>1398/11/01</v>
      </c>
      <c r="G62" s="139">
        <f t="shared" si="30"/>
        <v>13981101</v>
      </c>
      <c r="H62" s="175">
        <v>10</v>
      </c>
      <c r="I62" s="176">
        <v>4.2</v>
      </c>
      <c r="J62" s="174">
        <f>j_WEEKDAY(D62,2)</f>
        <v>0</v>
      </c>
      <c r="K62" s="143">
        <f t="shared" si="34"/>
        <v>0</v>
      </c>
      <c r="L62" s="177">
        <f t="shared" si="35"/>
        <v>11</v>
      </c>
      <c r="M62" s="178">
        <v>1</v>
      </c>
      <c r="N62" s="179">
        <v>10</v>
      </c>
      <c r="O62" s="144">
        <f t="shared" si="31"/>
        <v>11</v>
      </c>
      <c r="P62" s="144">
        <f>VALUE(J_normdate(J_ADDDAY($D62,$O62,1)))</f>
        <v>13981102</v>
      </c>
      <c r="Q62" s="142">
        <f t="shared" si="32"/>
        <v>0</v>
      </c>
      <c r="R62" s="180"/>
      <c r="S62" s="180"/>
      <c r="T62" s="180"/>
      <c r="U62" s="180"/>
      <c r="V62" s="180"/>
      <c r="W62" s="180"/>
      <c r="X62" s="180"/>
      <c r="Y62" s="180"/>
      <c r="Z62" s="180"/>
      <c r="AA62" s="180"/>
      <c r="AB62" s="180"/>
      <c r="AC62" s="180"/>
      <c r="AD62" s="180"/>
      <c r="AE62" s="180"/>
      <c r="AF62" s="180"/>
      <c r="AG62" s="180"/>
      <c r="AH62" s="180"/>
      <c r="AI62" s="180"/>
      <c r="AJ62" s="180"/>
      <c r="AK62" s="180"/>
      <c r="AL62" s="180"/>
      <c r="AM62" s="180"/>
      <c r="AN62" s="180"/>
      <c r="AO62" s="180"/>
      <c r="AP62" s="180"/>
      <c r="AQ62" s="180"/>
      <c r="AR62" s="180"/>
      <c r="AS62" s="180"/>
      <c r="AT62" s="180"/>
      <c r="AU62" s="180"/>
      <c r="AV62" s="180"/>
      <c r="AW62" s="180"/>
      <c r="AX62" s="180"/>
      <c r="AY62" s="180"/>
      <c r="AZ62" s="180"/>
      <c r="BA62" s="180"/>
      <c r="BB62" s="180"/>
      <c r="BC62" s="180"/>
      <c r="BD62" s="180"/>
      <c r="BE62" s="180"/>
      <c r="BF62" s="180"/>
      <c r="BG62" s="180"/>
      <c r="BH62" s="180"/>
      <c r="BI62" s="180"/>
      <c r="BJ62" s="180"/>
      <c r="BK62" s="180"/>
      <c r="BL62" s="180"/>
      <c r="BM62" s="180"/>
      <c r="BN62" s="180"/>
      <c r="BO62" s="180"/>
      <c r="BP62" s="180"/>
      <c r="BQ62" s="180"/>
      <c r="BR62" s="180"/>
      <c r="BS62" s="180"/>
      <c r="BT62" s="180"/>
      <c r="BU62" s="180"/>
      <c r="BV62" s="180"/>
      <c r="BW62" s="180"/>
      <c r="BX62" s="180"/>
      <c r="BY62" s="180"/>
      <c r="BZ62" s="180"/>
      <c r="CA62" s="180"/>
      <c r="CB62" s="180"/>
      <c r="CC62" s="180"/>
      <c r="CD62" s="180"/>
      <c r="CE62" s="180"/>
      <c r="CF62" s="180"/>
      <c r="CG62" s="180"/>
      <c r="CH62" s="180"/>
      <c r="CI62" s="180"/>
      <c r="CJ62" s="180"/>
      <c r="CK62" s="180"/>
      <c r="CL62" s="180"/>
      <c r="CM62" s="180"/>
      <c r="CN62" s="180"/>
      <c r="CO62" s="180"/>
      <c r="CP62" s="180"/>
      <c r="CQ62" s="180"/>
      <c r="CR62" s="180"/>
      <c r="CS62" s="180"/>
      <c r="CT62" s="180"/>
      <c r="CU62" s="180"/>
      <c r="CV62" s="180"/>
      <c r="CW62" s="180"/>
      <c r="CX62" s="180"/>
      <c r="CY62" s="180"/>
      <c r="CZ62" s="180"/>
      <c r="DA62" s="180"/>
      <c r="DB62" s="180"/>
      <c r="DC62" s="180"/>
      <c r="DD62" s="180"/>
      <c r="DE62" s="180"/>
      <c r="DF62" s="180"/>
      <c r="DG62" s="180"/>
      <c r="DH62" s="180"/>
      <c r="DI62" s="180"/>
      <c r="DJ62" s="180"/>
      <c r="DK62" s="180"/>
      <c r="DL62" s="180"/>
      <c r="DM62" s="180"/>
      <c r="DN62" s="180"/>
      <c r="DO62" s="180"/>
      <c r="DP62" s="180"/>
      <c r="DQ62" s="180"/>
      <c r="DR62" s="180"/>
      <c r="DS62" s="180"/>
      <c r="DT62" s="180"/>
      <c r="DU62" s="180"/>
      <c r="DV62" s="180"/>
      <c r="DW62" s="180"/>
      <c r="DX62" s="180"/>
      <c r="DY62" s="180"/>
      <c r="DZ62" s="180"/>
      <c r="EA62" s="180"/>
      <c r="EB62" s="180"/>
      <c r="EC62" s="180"/>
      <c r="ED62" s="180"/>
      <c r="EE62" s="180"/>
      <c r="EF62" s="180"/>
      <c r="EG62" s="180"/>
      <c r="EH62" s="180"/>
      <c r="EI62" s="180"/>
      <c r="EJ62" s="180"/>
      <c r="EK62" s="180"/>
      <c r="EL62" s="180"/>
      <c r="EM62" s="180"/>
      <c r="EN62" s="180"/>
      <c r="EO62" s="180"/>
      <c r="EP62" s="180"/>
      <c r="EQ62" s="180"/>
      <c r="ER62" s="180"/>
      <c r="ES62" s="180"/>
      <c r="ET62" s="180"/>
      <c r="EU62" s="180"/>
      <c r="EV62" s="180"/>
      <c r="EW62" s="180"/>
      <c r="EX62" s="180"/>
      <c r="EY62" s="180"/>
      <c r="EZ62" s="180"/>
      <c r="FA62" s="180"/>
      <c r="FB62" s="180"/>
      <c r="FC62" s="180"/>
      <c r="FD62" s="180"/>
      <c r="FE62" s="180"/>
      <c r="FF62" s="180"/>
      <c r="FG62" s="180"/>
      <c r="FH62" s="180"/>
      <c r="FI62" s="180"/>
      <c r="FJ62" s="180"/>
      <c r="FK62" s="180"/>
      <c r="FL62" s="180"/>
      <c r="FM62" s="180"/>
      <c r="FN62" s="180"/>
      <c r="FO62" s="180"/>
      <c r="FP62" s="180"/>
      <c r="FQ62" s="180"/>
      <c r="FR62" s="180"/>
      <c r="FS62" s="180"/>
      <c r="FT62" s="180"/>
      <c r="FU62" s="180"/>
      <c r="FV62" s="180"/>
      <c r="FW62" s="180"/>
      <c r="FX62" s="180"/>
      <c r="FY62" s="180"/>
      <c r="FZ62" s="180"/>
      <c r="GA62" s="180"/>
      <c r="GB62" s="180"/>
      <c r="GC62" s="180"/>
      <c r="GD62" s="180"/>
      <c r="GE62" s="180"/>
      <c r="GF62" s="180"/>
      <c r="GG62" s="180"/>
      <c r="GH62" s="180"/>
      <c r="GI62" s="180"/>
      <c r="GJ62" s="180"/>
      <c r="GK62" s="180"/>
      <c r="GL62" s="180"/>
      <c r="GM62" s="180"/>
      <c r="GN62" s="180"/>
      <c r="GO62" s="180"/>
      <c r="GP62" s="180"/>
      <c r="GQ62" s="180"/>
      <c r="GR62" s="180"/>
      <c r="GS62" s="180"/>
      <c r="GT62" s="180"/>
      <c r="GU62" s="180"/>
      <c r="GV62" s="180"/>
      <c r="GW62" s="180"/>
      <c r="GX62" s="180"/>
      <c r="GY62" s="180"/>
      <c r="GZ62" s="180"/>
      <c r="HA62" s="180"/>
      <c r="HB62" s="180"/>
      <c r="HC62" s="180"/>
      <c r="HD62" s="180"/>
      <c r="HE62" s="180"/>
      <c r="HF62" s="180"/>
      <c r="HG62" s="180"/>
      <c r="HH62" s="180"/>
      <c r="HI62" s="180"/>
      <c r="HJ62" s="180"/>
      <c r="HK62" s="180"/>
      <c r="HL62" s="180"/>
      <c r="HM62" s="180"/>
      <c r="HN62" s="180"/>
      <c r="HO62" s="180"/>
      <c r="HP62" s="180"/>
      <c r="HQ62" s="180"/>
      <c r="HR62" s="180"/>
      <c r="HS62" s="180"/>
      <c r="HT62" s="180"/>
      <c r="HU62" s="180"/>
      <c r="HV62" s="180"/>
      <c r="HW62" s="180"/>
      <c r="HX62" s="180"/>
      <c r="HY62" s="180"/>
      <c r="HZ62" s="180"/>
      <c r="IA62" s="180"/>
      <c r="IB62" s="180"/>
      <c r="IC62" s="180"/>
      <c r="ID62" s="180"/>
      <c r="IE62" s="180"/>
      <c r="IF62" s="180"/>
      <c r="IG62" s="180"/>
      <c r="IH62" s="180"/>
      <c r="II62" s="180"/>
      <c r="IJ62" s="180"/>
      <c r="IK62" s="180"/>
      <c r="IL62" s="180"/>
      <c r="IM62" s="180"/>
      <c r="IN62" s="180"/>
      <c r="IO62" s="180"/>
      <c r="IP62" s="180"/>
      <c r="IQ62" s="180"/>
      <c r="IR62" s="180"/>
      <c r="IS62" s="180"/>
      <c r="IT62" s="180"/>
      <c r="IU62" s="180"/>
      <c r="IV62" s="180"/>
      <c r="IW62" s="180"/>
      <c r="IX62" s="180"/>
      <c r="IY62" s="181">
        <v>3</v>
      </c>
      <c r="IZ62" s="182">
        <f>(TEXT(K62,"[m]")/60)*VLOOKUP(IY62,'Income Person-hours'!A$2:C$5,3,FALSE)</f>
        <v>0</v>
      </c>
      <c r="JA62" s="183"/>
      <c r="JB62" s="183"/>
      <c r="JC62" s="183"/>
      <c r="JD62" s="184">
        <f>SUM((TEXT(JA62,"[M]")/60)*'Income Person-hours'!$D$3,(TEXT(JB62,"[M]")/60)*'Income Person-hours'!$D$4,(TEXT(JC62,"[M]")/60)*'Income Person-hours'!$D$5)</f>
        <v>0</v>
      </c>
    </row>
    <row r="63" spans="1:264" s="185" customFormat="1" ht="13.5">
      <c r="A63" s="172">
        <v>4.4000000000000004</v>
      </c>
      <c r="B63" s="186" t="s">
        <v>136</v>
      </c>
      <c r="C63" s="173" t="s">
        <v>103</v>
      </c>
      <c r="D63" s="189" t="str">
        <f>IF(OR(j_WEEKDAY(J_ADDDAY(VLOOKUP(I63,A:F,6,FALSE),H63,1),0)=6,SUMIFS(Holieday[ok],Holieday[date],J_ADDDAY(VLOOKUP(I63,A:F,6,FALSE),H63,1)))=FALSE(),J_ADDDAY(VLOOKUP(I63,A:F,6,FALSE),H63,1),IF(OR(j_WEEKDAY(J_ADDDAY(VLOOKUP(I63,A:F,6,FALSE),H63+1,1),0)=6,SUMIFS(Holieday[ok],Holieday[date],J_ADDDAY(VLOOKUP(I63,A:F,6,FALSE),H63+1,1)))=FALSE(),J_ADDDAY(VLOOKUP(I63,A:F,6,FALSE),H63+1,1),IF(OR(j_WEEKDAY(J_ADDDAY(VLOOKUP(I63,A:F,6,FALSE),H63+2,1),0)=6,SUMIFS(Holieday[ok],Holieday[date],J_ADDDAY(VLOOKUP(I63,A:F,6,FALSE),H63+2,1)))=FALSE(),J_ADDDAY(VLOOKUP(I63,A:F,6,FALSE),H63+2,1),IF(OR(j_WEEKDAY(J_ADDDAY(VLOOKUP(I63,A:F,6,FALSE),H63+3,1),0)=6,SUMIFS(Holieday[ok],Holieday[date],J_ADDDAY(VLOOKUP(I63,A:F,6,FALSE),H63+3,1)))=FALSE(),J_ADDDAY(VLOOKUP(I63,A:F,6,FALSE),H63+3,1),IF(OR(j_WEEKDAY(J_ADDDAY(VLOOKUP(I63,A:F,6,FALSE),H63+4,1),0)=6,SUMIFS(Holieday[ok],Holieday[date],J_ADDDAY(VLOOKUP(I63,A:F,6,FALSE),H63+4,1)))=FALSE(),J_ADDDAY(VLOOKUP(I63,A:F,6,FALSE),H63+4,1),J_ADDDAY(VLOOKUP(I63,A:F,6,FALSE),H63+5,1))))))</f>
        <v>1398/11/03</v>
      </c>
      <c r="E63" s="136">
        <f t="shared" si="33"/>
        <v>13981103</v>
      </c>
      <c r="F63" s="189" t="str">
        <f>IF(N63=0,J_SUBDAY(D63,1,1),IF((N63-NETWORKDAYS.INTL(J_GregorianDate(D63,1),J_GregorianDate(J_SUBDAY(J_ADDDAY(D63,N63,1),1,1),1),16,1)-SUMIFS(Holieday[ok],Holieday[date],CONCATENATE("&gt;","=",D63),Holieday[date],CONCATENATE("&lt;","=",J_SUBDAY(J_ADDDAY(D63,N63,1),1,1)))+SUMIFS(Holieday[Friday],Holieday[date],CONCATENATE("&gt;","=",D63),Holieday[date],CONCATENATE("&lt;","=",J_SUBDAY(J_ADDDAY(D63,N63,1),1,1))))=0,J_SUBDAY(J_ADDDAY(D63,N63,1),1,1),IF((N63-NETWORKDAYS.INTL(J_GregorianDate(D63,1),J_GregorianDate(J_SUBDAY(J_ADDDAY(D63,N63,1),1,1),1),16,1)-SUMIFS(Holieday[ok],Holieday[date],CONCATENATE("&gt;","=",D63),Holieday[date],CONCATENATE("&lt;","=",J_SUBDAY(J_ADDDAY(D63,N63,1),1,1)))+SUMIFS(Holieday[Friday],Holieday[date],CONCATENATE("&gt;","=",D63),Holieday[date],CONCATENATE("&lt;","=",J_SUBDAY(J_ADDDAY(D63,N63,1),1,1))))=1,J_SUBDAY(J_ADDDAY(D63,N63+1,1),1,1),IF((N63-NETWORKDAYS.INTL(J_GregorianDate(D63,1),J_GregorianDate(J_SUBDAY(J_ADDDAY(D63,N63,1),1,1),1),16,1)-SUMIFS(Holieday[ok],Holieday[date],CONCATENATE("&gt;","=",D63),Holieday[date],CONCATENATE("&lt;","=",J_SUBDAY(J_ADDDAY(D63,N63,1),1,1)))+SUMIFS(Holieday[Friday],Holieday[date],CONCATENATE("&gt;","=",D63),Holieday[date],CONCATENATE("&lt;","=",J_SUBDAY(J_ADDDAY(D63,N63,1),1,1))))=2,J_SUBDAY(J_ADDDAY(D63,N63+2,1),1,1),J_SUBDAY(J_ADDDAY(D63,N63+3,1),1,1)))))</f>
        <v>1398/11/10</v>
      </c>
      <c r="G63" s="139">
        <f t="shared" si="30"/>
        <v>13981110</v>
      </c>
      <c r="H63" s="175">
        <v>2</v>
      </c>
      <c r="I63" s="176">
        <v>4.3</v>
      </c>
      <c r="J63" s="174">
        <f>j_WEEKDAY(D63,2)</f>
        <v>5</v>
      </c>
      <c r="K63" s="143">
        <f t="shared" si="34"/>
        <v>0</v>
      </c>
      <c r="L63" s="177">
        <f t="shared" si="35"/>
        <v>8</v>
      </c>
      <c r="M63" s="178">
        <v>0</v>
      </c>
      <c r="N63" s="179">
        <v>8</v>
      </c>
      <c r="O63" s="144">
        <f t="shared" si="31"/>
        <v>0</v>
      </c>
      <c r="P63" s="144">
        <f>VALUE(J_normdate(J_ADDDAY($D63,$O63,1)))</f>
        <v>13981103</v>
      </c>
      <c r="Q63" s="142">
        <f t="shared" si="32"/>
        <v>8</v>
      </c>
      <c r="R63" s="180"/>
      <c r="S63" s="180"/>
      <c r="T63" s="180"/>
      <c r="U63" s="180"/>
      <c r="V63" s="180"/>
      <c r="W63" s="180"/>
      <c r="X63" s="180"/>
      <c r="Y63" s="180"/>
      <c r="Z63" s="180"/>
      <c r="AA63" s="180"/>
      <c r="AB63" s="180"/>
      <c r="AC63" s="180"/>
      <c r="AD63" s="180"/>
      <c r="AE63" s="180"/>
      <c r="AF63" s="180"/>
      <c r="AG63" s="180"/>
      <c r="AH63" s="180"/>
      <c r="AI63" s="180"/>
      <c r="AJ63" s="180"/>
      <c r="AK63" s="180"/>
      <c r="AL63" s="180"/>
      <c r="AM63" s="180"/>
      <c r="AN63" s="180"/>
      <c r="AO63" s="180"/>
      <c r="AP63" s="180"/>
      <c r="AQ63" s="180"/>
      <c r="AR63" s="180"/>
      <c r="AS63" s="180"/>
      <c r="AT63" s="180"/>
      <c r="AU63" s="180"/>
      <c r="AV63" s="180"/>
      <c r="AW63" s="180"/>
      <c r="AX63" s="180"/>
      <c r="AY63" s="180"/>
      <c r="AZ63" s="180"/>
      <c r="BA63" s="180"/>
      <c r="BB63" s="180"/>
      <c r="BC63" s="180"/>
      <c r="BD63" s="180"/>
      <c r="BE63" s="180"/>
      <c r="BF63" s="180"/>
      <c r="BG63" s="180"/>
      <c r="BH63" s="180"/>
      <c r="BI63" s="180"/>
      <c r="BJ63" s="180"/>
      <c r="BK63" s="180"/>
      <c r="BL63" s="180"/>
      <c r="BM63" s="180"/>
      <c r="BN63" s="180"/>
      <c r="BO63" s="180"/>
      <c r="BP63" s="180"/>
      <c r="BQ63" s="180"/>
      <c r="BR63" s="180"/>
      <c r="BS63" s="180"/>
      <c r="BT63" s="180"/>
      <c r="BU63" s="180"/>
      <c r="BV63" s="180"/>
      <c r="BW63" s="180"/>
      <c r="BX63" s="180"/>
      <c r="BY63" s="180"/>
      <c r="BZ63" s="180"/>
      <c r="CA63" s="180"/>
      <c r="CB63" s="180"/>
      <c r="CC63" s="180"/>
      <c r="CD63" s="180"/>
      <c r="CE63" s="180"/>
      <c r="CF63" s="180"/>
      <c r="CG63" s="180"/>
      <c r="CH63" s="180"/>
      <c r="CI63" s="180"/>
      <c r="CJ63" s="180"/>
      <c r="CK63" s="180"/>
      <c r="CL63" s="180"/>
      <c r="CM63" s="180"/>
      <c r="CN63" s="180"/>
      <c r="CO63" s="180"/>
      <c r="CP63" s="180"/>
      <c r="CQ63" s="180"/>
      <c r="CR63" s="180"/>
      <c r="CS63" s="180"/>
      <c r="CT63" s="180"/>
      <c r="CU63" s="180"/>
      <c r="CV63" s="180"/>
      <c r="CW63" s="180"/>
      <c r="CX63" s="180"/>
      <c r="CY63" s="180"/>
      <c r="CZ63" s="180"/>
      <c r="DA63" s="180"/>
      <c r="DB63" s="180"/>
      <c r="DC63" s="180"/>
      <c r="DD63" s="180"/>
      <c r="DE63" s="180"/>
      <c r="DF63" s="180"/>
      <c r="DG63" s="180"/>
      <c r="DH63" s="180"/>
      <c r="DI63" s="180"/>
      <c r="DJ63" s="180"/>
      <c r="DK63" s="180"/>
      <c r="DL63" s="180"/>
      <c r="DM63" s="180"/>
      <c r="DN63" s="180"/>
      <c r="DO63" s="180"/>
      <c r="DP63" s="180"/>
      <c r="DQ63" s="180"/>
      <c r="DR63" s="180"/>
      <c r="DS63" s="180"/>
      <c r="DT63" s="180"/>
      <c r="DU63" s="180"/>
      <c r="DV63" s="180"/>
      <c r="DW63" s="180"/>
      <c r="DX63" s="180"/>
      <c r="DY63" s="180"/>
      <c r="DZ63" s="180"/>
      <c r="EA63" s="180"/>
      <c r="EB63" s="180"/>
      <c r="EC63" s="180"/>
      <c r="ED63" s="180"/>
      <c r="EE63" s="180"/>
      <c r="EF63" s="180"/>
      <c r="EG63" s="180"/>
      <c r="EH63" s="180"/>
      <c r="EI63" s="180"/>
      <c r="EJ63" s="180"/>
      <c r="EK63" s="180"/>
      <c r="EL63" s="180"/>
      <c r="EM63" s="180"/>
      <c r="EN63" s="180"/>
      <c r="EO63" s="180"/>
      <c r="EP63" s="180"/>
      <c r="EQ63" s="180"/>
      <c r="ER63" s="180"/>
      <c r="ES63" s="180"/>
      <c r="ET63" s="180"/>
      <c r="EU63" s="180"/>
      <c r="EV63" s="180"/>
      <c r="EW63" s="180"/>
      <c r="EX63" s="180"/>
      <c r="EY63" s="180"/>
      <c r="EZ63" s="180"/>
      <c r="FA63" s="180"/>
      <c r="FB63" s="180"/>
      <c r="FC63" s="180"/>
      <c r="FD63" s="180"/>
      <c r="FE63" s="180"/>
      <c r="FF63" s="180"/>
      <c r="FG63" s="180"/>
      <c r="FH63" s="180"/>
      <c r="FI63" s="180"/>
      <c r="FJ63" s="180"/>
      <c r="FK63" s="180"/>
      <c r="FL63" s="180"/>
      <c r="FM63" s="180"/>
      <c r="FN63" s="180"/>
      <c r="FO63" s="180"/>
      <c r="FP63" s="180"/>
      <c r="FQ63" s="180"/>
      <c r="FR63" s="180"/>
      <c r="FS63" s="180"/>
      <c r="FT63" s="180"/>
      <c r="FU63" s="180"/>
      <c r="FV63" s="180"/>
      <c r="FW63" s="180"/>
      <c r="FX63" s="180"/>
      <c r="FY63" s="180"/>
      <c r="FZ63" s="180"/>
      <c r="GA63" s="180"/>
      <c r="GB63" s="180"/>
      <c r="GC63" s="180"/>
      <c r="GD63" s="180"/>
      <c r="GE63" s="180"/>
      <c r="GF63" s="180"/>
      <c r="GG63" s="180"/>
      <c r="GH63" s="180"/>
      <c r="GI63" s="180"/>
      <c r="GJ63" s="180"/>
      <c r="GK63" s="180"/>
      <c r="GL63" s="180"/>
      <c r="GM63" s="180"/>
      <c r="GN63" s="180"/>
      <c r="GO63" s="180"/>
      <c r="GP63" s="180"/>
      <c r="GQ63" s="180"/>
      <c r="GR63" s="180"/>
      <c r="GS63" s="180"/>
      <c r="GT63" s="180"/>
      <c r="GU63" s="180"/>
      <c r="GV63" s="180"/>
      <c r="GW63" s="180"/>
      <c r="GX63" s="180"/>
      <c r="GY63" s="180"/>
      <c r="GZ63" s="180"/>
      <c r="HA63" s="180"/>
      <c r="HB63" s="180"/>
      <c r="HC63" s="180"/>
      <c r="HD63" s="180"/>
      <c r="HE63" s="180"/>
      <c r="HF63" s="180"/>
      <c r="HG63" s="180"/>
      <c r="HH63" s="180"/>
      <c r="HI63" s="180"/>
      <c r="HJ63" s="180"/>
      <c r="HK63" s="180"/>
      <c r="HL63" s="180"/>
      <c r="HM63" s="180"/>
      <c r="HN63" s="180"/>
      <c r="HO63" s="180"/>
      <c r="HP63" s="180"/>
      <c r="HQ63" s="180"/>
      <c r="HR63" s="180"/>
      <c r="HS63" s="180"/>
      <c r="HT63" s="180"/>
      <c r="HU63" s="180"/>
      <c r="HV63" s="180"/>
      <c r="HW63" s="180"/>
      <c r="HX63" s="180"/>
      <c r="HY63" s="180"/>
      <c r="HZ63" s="180"/>
      <c r="IA63" s="180"/>
      <c r="IB63" s="180"/>
      <c r="IC63" s="180"/>
      <c r="ID63" s="180"/>
      <c r="IE63" s="180"/>
      <c r="IF63" s="180"/>
      <c r="IG63" s="180"/>
      <c r="IH63" s="180"/>
      <c r="II63" s="180"/>
      <c r="IJ63" s="180"/>
      <c r="IK63" s="180"/>
      <c r="IL63" s="180"/>
      <c r="IM63" s="180"/>
      <c r="IN63" s="180"/>
      <c r="IO63" s="180"/>
      <c r="IP63" s="180"/>
      <c r="IQ63" s="180"/>
      <c r="IR63" s="180"/>
      <c r="IS63" s="180"/>
      <c r="IT63" s="180"/>
      <c r="IU63" s="180"/>
      <c r="IV63" s="180"/>
      <c r="IW63" s="180"/>
      <c r="IX63" s="180"/>
      <c r="IY63" s="181">
        <v>3</v>
      </c>
      <c r="IZ63" s="182">
        <f>(TEXT(K63,"[m]")/60)*VLOOKUP(IY63,'Income Person-hours'!A$2:C$5,3,FALSE)</f>
        <v>0</v>
      </c>
      <c r="JA63" s="183"/>
      <c r="JB63" s="183"/>
      <c r="JC63" s="183"/>
      <c r="JD63" s="184">
        <f>SUM((TEXT(JA63,"[M]")/60)*'Income Person-hours'!$D$3,(TEXT(JB63,"[M]")/60)*'Income Person-hours'!$D$4,(TEXT(JC63,"[M]")/60)*'Income Person-hours'!$D$5)</f>
        <v>0</v>
      </c>
    </row>
    <row r="64" spans="1:264" s="200" customFormat="1" ht="13.5">
      <c r="A64" s="172">
        <v>4.5</v>
      </c>
      <c r="B64" s="186" t="s">
        <v>126</v>
      </c>
      <c r="C64" s="173" t="s">
        <v>103</v>
      </c>
      <c r="D64" s="196" t="str">
        <f>IF(OR(j_WEEKDAY(J_ADDDAY(VLOOKUP(I64,A:F,6,FALSE),H64,1),0)=6,SUMIFS(Holieday[ok],Holieday[date],J_ADDDAY(VLOOKUP(I64,A:F,6,FALSE),H64,1)))=FALSE(),J_ADDDAY(VLOOKUP(I64,A:F,6,FALSE),H64,1),IF(OR(j_WEEKDAY(J_ADDDAY(VLOOKUP(I64,A:F,6,FALSE),H64+1,1),0)=6,SUMIFS(Holieday[ok],Holieday[date],J_ADDDAY(VLOOKUP(I64,A:F,6,FALSE),H64+1,1)))=FALSE(),J_ADDDAY(VLOOKUP(I64,A:F,6,FALSE),H64+1,1),IF(OR(j_WEEKDAY(J_ADDDAY(VLOOKUP(I64,A:F,6,FALSE),H64+2,1),0)=6,SUMIFS(Holieday[ok],Holieday[date],J_ADDDAY(VLOOKUP(I64,A:F,6,FALSE),H64+2,1)))=FALSE(),J_ADDDAY(VLOOKUP(I64,A:F,6,FALSE),H64+2,1),IF(OR(j_WEEKDAY(J_ADDDAY(VLOOKUP(I64,A:F,6,FALSE),H64+3,1),0)=6,SUMIFS(Holieday[ok],Holieday[date],J_ADDDAY(VLOOKUP(I64,A:F,6,FALSE),H64+3,1)))=FALSE(),J_ADDDAY(VLOOKUP(I64,A:F,6,FALSE),H64+3,1),IF(OR(j_WEEKDAY(J_ADDDAY(VLOOKUP(I64,A:F,6,FALSE),H64+4,1),0)=6,SUMIFS(Holieday[ok],Holieday[date],J_ADDDAY(VLOOKUP(I64,A:F,6,FALSE),H64+4,1)))=FALSE(),J_ADDDAY(VLOOKUP(I64,A:F,6,FALSE),H64+4,1),J_ADDDAY(VLOOKUP(I64,A:F,6,FALSE),H64+5,1))))))</f>
        <v>1398/11/12</v>
      </c>
      <c r="E64" s="1">
        <f t="shared" si="33"/>
        <v>13981112</v>
      </c>
      <c r="F64" s="196" t="str">
        <f>IF(N64=0,J_SUBDAY(D64,1,1)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0,J_SUBDAY(J_ADDDAY(D64,N64,1)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1,J_SUBDAY(J_ADDDAY(D64,N64+1,1)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2,J_SUBDAY(J_ADDDAY(D64,N64+2,1),1,1),J_SUBDAY(J_ADDDAY(D64,N64+3,1),1,1)))))</f>
        <v>1398/11/12</v>
      </c>
      <c r="G64" s="2">
        <f t="shared" si="30"/>
        <v>13981112</v>
      </c>
      <c r="H64" s="175">
        <v>2</v>
      </c>
      <c r="I64" s="176">
        <v>4.4000000000000004</v>
      </c>
      <c r="J64" s="174">
        <f>j_WEEKDAY(D64,2)</f>
        <v>0</v>
      </c>
      <c r="K64" s="13">
        <f t="shared" si="34"/>
        <v>0</v>
      </c>
      <c r="L64" s="191">
        <f t="shared" si="35"/>
        <v>1</v>
      </c>
      <c r="M64" s="178">
        <v>0</v>
      </c>
      <c r="N64" s="179">
        <v>1</v>
      </c>
      <c r="O64" s="6">
        <f t="shared" si="31"/>
        <v>0</v>
      </c>
      <c r="P64" s="6">
        <f>VALUE(J_normdate(J_ADDDAY($D64,$O64,1)))</f>
        <v>13981112</v>
      </c>
      <c r="Q64" s="5">
        <f t="shared" si="32"/>
        <v>1</v>
      </c>
      <c r="R64" s="192"/>
      <c r="S64" s="192"/>
      <c r="T64" s="192"/>
      <c r="U64" s="192"/>
      <c r="V64" s="192"/>
      <c r="W64" s="192"/>
      <c r="X64" s="192"/>
      <c r="Y64" s="192"/>
      <c r="Z64" s="192"/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92"/>
      <c r="AM64" s="192"/>
      <c r="AN64" s="192"/>
      <c r="AO64" s="192"/>
      <c r="AP64" s="192"/>
      <c r="AQ64" s="192"/>
      <c r="AR64" s="192"/>
      <c r="AS64" s="192"/>
      <c r="AT64" s="192"/>
      <c r="AU64" s="192"/>
      <c r="AV64" s="192"/>
      <c r="AW64" s="192"/>
      <c r="AX64" s="192"/>
      <c r="AY64" s="192"/>
      <c r="AZ64" s="192"/>
      <c r="BA64" s="192"/>
      <c r="BB64" s="192"/>
      <c r="BC64" s="192"/>
      <c r="BD64" s="192"/>
      <c r="BE64" s="192"/>
      <c r="BF64" s="192"/>
      <c r="BG64" s="192"/>
      <c r="BH64" s="192"/>
      <c r="BI64" s="192"/>
      <c r="BJ64" s="192"/>
      <c r="BK64" s="192"/>
      <c r="BL64" s="192"/>
      <c r="BM64" s="192"/>
      <c r="BN64" s="192"/>
      <c r="BO64" s="192"/>
      <c r="BP64" s="192"/>
      <c r="BQ64" s="192"/>
      <c r="BR64" s="192"/>
      <c r="BS64" s="192"/>
      <c r="BT64" s="192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192"/>
      <c r="CO64" s="192"/>
      <c r="CP64" s="192"/>
      <c r="CQ64" s="192"/>
      <c r="CR64" s="192"/>
      <c r="CS64" s="192"/>
      <c r="CT64" s="192"/>
      <c r="CU64" s="192"/>
      <c r="CV64" s="192"/>
      <c r="CW64" s="192"/>
      <c r="CX64" s="192"/>
      <c r="CY64" s="192"/>
      <c r="CZ64" s="192"/>
      <c r="DA64" s="192"/>
      <c r="DB64" s="192"/>
      <c r="DC64" s="192"/>
      <c r="DD64" s="192"/>
      <c r="DE64" s="192"/>
      <c r="DF64" s="192"/>
      <c r="DG64" s="192"/>
      <c r="DH64" s="192"/>
      <c r="DI64" s="192"/>
      <c r="DJ64" s="192"/>
      <c r="DK64" s="192"/>
      <c r="DL64" s="192"/>
      <c r="DM64" s="192"/>
      <c r="DN64" s="192"/>
      <c r="DO64" s="192"/>
      <c r="DP64" s="192"/>
      <c r="DQ64" s="192"/>
      <c r="DR64" s="192"/>
      <c r="DS64" s="192"/>
      <c r="DT64" s="192"/>
      <c r="DU64" s="192"/>
      <c r="DV64" s="192"/>
      <c r="DW64" s="192"/>
      <c r="DX64" s="192"/>
      <c r="DY64" s="192"/>
      <c r="DZ64" s="192"/>
      <c r="EA64" s="192"/>
      <c r="EB64" s="192"/>
      <c r="EC64" s="192"/>
      <c r="ED64" s="192"/>
      <c r="EE64" s="192"/>
      <c r="EF64" s="192"/>
      <c r="EG64" s="192"/>
      <c r="EH64" s="192"/>
      <c r="EI64" s="192"/>
      <c r="EJ64" s="192"/>
      <c r="EK64" s="192"/>
      <c r="EL64" s="192"/>
      <c r="EM64" s="192"/>
      <c r="EN64" s="192"/>
      <c r="EO64" s="192"/>
      <c r="EP64" s="192"/>
      <c r="EQ64" s="192"/>
      <c r="ER64" s="192"/>
      <c r="ES64" s="192"/>
      <c r="ET64" s="192"/>
      <c r="EU64" s="192"/>
      <c r="EV64" s="192"/>
      <c r="EW64" s="192"/>
      <c r="EX64" s="192"/>
      <c r="EY64" s="192"/>
      <c r="EZ64" s="192"/>
      <c r="FA64" s="192"/>
      <c r="FB64" s="192"/>
      <c r="FC64" s="192"/>
      <c r="FD64" s="192"/>
      <c r="FE64" s="192"/>
      <c r="FF64" s="192"/>
      <c r="FG64" s="192"/>
      <c r="FH64" s="192"/>
      <c r="FI64" s="192"/>
      <c r="FJ64" s="192"/>
      <c r="FK64" s="192"/>
      <c r="FL64" s="192"/>
      <c r="FM64" s="192"/>
      <c r="FN64" s="192"/>
      <c r="FO64" s="192"/>
      <c r="FP64" s="192"/>
      <c r="FQ64" s="192"/>
      <c r="FR64" s="192"/>
      <c r="FS64" s="192"/>
      <c r="FT64" s="192"/>
      <c r="FU64" s="192"/>
      <c r="FV64" s="192"/>
      <c r="FW64" s="192"/>
      <c r="FX64" s="192"/>
      <c r="FY64" s="192"/>
      <c r="FZ64" s="192"/>
      <c r="GA64" s="192"/>
      <c r="GB64" s="192"/>
      <c r="GC64" s="192"/>
      <c r="GD64" s="192"/>
      <c r="GE64" s="192"/>
      <c r="GF64" s="192"/>
      <c r="GG64" s="192"/>
      <c r="GH64" s="192"/>
      <c r="GI64" s="192"/>
      <c r="GJ64" s="192"/>
      <c r="GK64" s="192"/>
      <c r="GL64" s="192"/>
      <c r="GM64" s="192"/>
      <c r="GN64" s="192"/>
      <c r="GO64" s="192"/>
      <c r="GP64" s="192"/>
      <c r="GQ64" s="192"/>
      <c r="GR64" s="192"/>
      <c r="GS64" s="192"/>
      <c r="GT64" s="192"/>
      <c r="GU64" s="192"/>
      <c r="GV64" s="192"/>
      <c r="GW64" s="192"/>
      <c r="GX64" s="192"/>
      <c r="GY64" s="192"/>
      <c r="GZ64" s="192"/>
      <c r="HA64" s="192"/>
      <c r="HB64" s="192"/>
      <c r="HC64" s="192"/>
      <c r="HD64" s="192"/>
      <c r="HE64" s="192"/>
      <c r="HF64" s="192"/>
      <c r="HG64" s="192"/>
      <c r="HH64" s="192"/>
      <c r="HI64" s="192"/>
      <c r="HJ64" s="192"/>
      <c r="HK64" s="192"/>
      <c r="HL64" s="192"/>
      <c r="HM64" s="192"/>
      <c r="HN64" s="192"/>
      <c r="HO64" s="192"/>
      <c r="HP64" s="192"/>
      <c r="HQ64" s="192"/>
      <c r="HR64" s="192"/>
      <c r="HS64" s="192"/>
      <c r="HT64" s="192"/>
      <c r="HU64" s="192"/>
      <c r="HV64" s="192"/>
      <c r="HW64" s="192"/>
      <c r="HX64" s="192"/>
      <c r="HY64" s="192"/>
      <c r="HZ64" s="192"/>
      <c r="IA64" s="192"/>
      <c r="IB64" s="192"/>
      <c r="IC64" s="192"/>
      <c r="ID64" s="192"/>
      <c r="IE64" s="192"/>
      <c r="IF64" s="192"/>
      <c r="IG64" s="192"/>
      <c r="IH64" s="192"/>
      <c r="II64" s="192"/>
      <c r="IJ64" s="192"/>
      <c r="IK64" s="192"/>
      <c r="IL64" s="192"/>
      <c r="IM64" s="192"/>
      <c r="IN64" s="192"/>
      <c r="IO64" s="192"/>
      <c r="IP64" s="192"/>
      <c r="IQ64" s="192"/>
      <c r="IR64" s="192"/>
      <c r="IS64" s="192"/>
      <c r="IT64" s="192"/>
      <c r="IU64" s="192"/>
      <c r="IV64" s="192"/>
      <c r="IW64" s="192"/>
      <c r="IX64" s="192"/>
      <c r="IY64" s="181">
        <v>1</v>
      </c>
      <c r="IZ64" s="182">
        <f>(TEXT(K64,"[m]")/60)*VLOOKUP(IY64,'Income Person-hours'!A$2:C$5,3,FALSE)</f>
        <v>0</v>
      </c>
      <c r="JA64" s="198"/>
      <c r="JB64" s="198"/>
      <c r="JC64" s="198"/>
      <c r="JD64" s="199">
        <f>SUM((TEXT(JA64,"[M]")/60)*'Income Person-hours'!$D$3,(TEXT(JB64,"[M]")/60)*'Income Person-hours'!$D$4,(TEXT(JC64,"[M]")/60)*'Income Person-hours'!$D$5)</f>
        <v>0</v>
      </c>
    </row>
    <row r="65" spans="1:16384" s="200" customFormat="1" ht="13.5">
      <c r="A65" s="172">
        <v>4.5999999999999996</v>
      </c>
      <c r="B65" s="186" t="s">
        <v>128</v>
      </c>
      <c r="C65" s="173" t="s">
        <v>103</v>
      </c>
      <c r="D65" s="196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1398/11/17</v>
      </c>
      <c r="E65" s="1">
        <f t="shared" si="33"/>
        <v>13981117</v>
      </c>
      <c r="F65" s="196" t="str">
        <f>IF(N65=0,J_SUBDAY(D65,1,1)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0,J_SUBDAY(J_ADDDAY(D65,N65,1)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1,J_SUBDAY(J_ADDDAY(D65,N65+1,1)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2,J_SUBDAY(J_ADDDAY(D65,N65+2,1),1,1),J_SUBDAY(J_ADDDAY(D65,N65+3,1),1,1)))))</f>
        <v>1398/11/22</v>
      </c>
      <c r="G65" s="2">
        <f t="shared" si="30"/>
        <v>13981122</v>
      </c>
      <c r="H65" s="175">
        <v>5</v>
      </c>
      <c r="I65" s="176">
        <v>4.5</v>
      </c>
      <c r="J65" s="174">
        <f>j_WEEKDAY(D65,2)</f>
        <v>5</v>
      </c>
      <c r="K65" s="13">
        <f t="shared" si="34"/>
        <v>0</v>
      </c>
      <c r="L65" s="191">
        <f t="shared" si="35"/>
        <v>6</v>
      </c>
      <c r="M65" s="178">
        <v>0</v>
      </c>
      <c r="N65" s="179">
        <v>5</v>
      </c>
      <c r="O65" s="6">
        <f t="shared" si="31"/>
        <v>0</v>
      </c>
      <c r="P65" s="6">
        <f>VALUE(J_normdate(J_ADDDAY($D65,$O65,1)))</f>
        <v>13981117</v>
      </c>
      <c r="Q65" s="5">
        <f t="shared" si="32"/>
        <v>6</v>
      </c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192"/>
      <c r="CO65" s="192"/>
      <c r="CP65" s="192"/>
      <c r="CQ65" s="192"/>
      <c r="CR65" s="192"/>
      <c r="CS65" s="192"/>
      <c r="CT65" s="192"/>
      <c r="CU65" s="192"/>
      <c r="CV65" s="192"/>
      <c r="CW65" s="192"/>
      <c r="CX65" s="192"/>
      <c r="CY65" s="192"/>
      <c r="CZ65" s="192"/>
      <c r="DA65" s="192"/>
      <c r="DB65" s="192"/>
      <c r="DC65" s="192"/>
      <c r="DD65" s="192"/>
      <c r="DE65" s="192"/>
      <c r="DF65" s="192"/>
      <c r="DG65" s="192"/>
      <c r="DH65" s="192"/>
      <c r="DI65" s="192"/>
      <c r="DJ65" s="192"/>
      <c r="DK65" s="192"/>
      <c r="DL65" s="192"/>
      <c r="DM65" s="192"/>
      <c r="DN65" s="192"/>
      <c r="DO65" s="192"/>
      <c r="DP65" s="192"/>
      <c r="DQ65" s="192"/>
      <c r="DR65" s="192"/>
      <c r="DS65" s="192"/>
      <c r="DT65" s="192"/>
      <c r="DU65" s="192"/>
      <c r="DV65" s="192"/>
      <c r="DW65" s="192"/>
      <c r="DX65" s="192"/>
      <c r="DY65" s="192"/>
      <c r="DZ65" s="192"/>
      <c r="EA65" s="192"/>
      <c r="EB65" s="192"/>
      <c r="EC65" s="192"/>
      <c r="ED65" s="192"/>
      <c r="EE65" s="192"/>
      <c r="EF65" s="192"/>
      <c r="EG65" s="192"/>
      <c r="EH65" s="192"/>
      <c r="EI65" s="192"/>
      <c r="EJ65" s="192"/>
      <c r="EK65" s="192"/>
      <c r="EL65" s="192"/>
      <c r="EM65" s="192"/>
      <c r="EN65" s="192"/>
      <c r="EO65" s="192"/>
      <c r="EP65" s="192"/>
      <c r="EQ65" s="192"/>
      <c r="ER65" s="192"/>
      <c r="ES65" s="192"/>
      <c r="ET65" s="192"/>
      <c r="EU65" s="192"/>
      <c r="EV65" s="192"/>
      <c r="EW65" s="192"/>
      <c r="EX65" s="192"/>
      <c r="EY65" s="192"/>
      <c r="EZ65" s="192"/>
      <c r="FA65" s="192"/>
      <c r="FB65" s="192"/>
      <c r="FC65" s="192"/>
      <c r="FD65" s="192"/>
      <c r="FE65" s="192"/>
      <c r="FF65" s="192"/>
      <c r="FG65" s="192"/>
      <c r="FH65" s="192"/>
      <c r="FI65" s="192"/>
      <c r="FJ65" s="192"/>
      <c r="FK65" s="192"/>
      <c r="FL65" s="192"/>
      <c r="FM65" s="192"/>
      <c r="FN65" s="192"/>
      <c r="FO65" s="192"/>
      <c r="FP65" s="192"/>
      <c r="FQ65" s="192"/>
      <c r="FR65" s="192"/>
      <c r="FS65" s="192"/>
      <c r="FT65" s="192"/>
      <c r="FU65" s="192"/>
      <c r="FV65" s="192"/>
      <c r="FW65" s="192"/>
      <c r="FX65" s="192"/>
      <c r="FY65" s="192"/>
      <c r="FZ65" s="192"/>
      <c r="GA65" s="192"/>
      <c r="GB65" s="192"/>
      <c r="GC65" s="192"/>
      <c r="GD65" s="192"/>
      <c r="GE65" s="192"/>
      <c r="GF65" s="192"/>
      <c r="GG65" s="192"/>
      <c r="GH65" s="192"/>
      <c r="GI65" s="192"/>
      <c r="GJ65" s="192"/>
      <c r="GK65" s="192"/>
      <c r="GL65" s="192"/>
      <c r="GM65" s="192"/>
      <c r="GN65" s="192"/>
      <c r="GO65" s="192"/>
      <c r="GP65" s="192"/>
      <c r="GQ65" s="192"/>
      <c r="GR65" s="192"/>
      <c r="GS65" s="192"/>
      <c r="GT65" s="192"/>
      <c r="GU65" s="192"/>
      <c r="GV65" s="192"/>
      <c r="GW65" s="192"/>
      <c r="GX65" s="192"/>
      <c r="GY65" s="192"/>
      <c r="GZ65" s="192"/>
      <c r="HA65" s="192"/>
      <c r="HB65" s="192"/>
      <c r="HC65" s="192"/>
      <c r="HD65" s="192"/>
      <c r="HE65" s="192"/>
      <c r="HF65" s="192"/>
      <c r="HG65" s="192"/>
      <c r="HH65" s="192"/>
      <c r="HI65" s="192"/>
      <c r="HJ65" s="192"/>
      <c r="HK65" s="192"/>
      <c r="HL65" s="192"/>
      <c r="HM65" s="192"/>
      <c r="HN65" s="192"/>
      <c r="HO65" s="192"/>
      <c r="HP65" s="192"/>
      <c r="HQ65" s="192"/>
      <c r="HR65" s="192"/>
      <c r="HS65" s="192"/>
      <c r="HT65" s="192"/>
      <c r="HU65" s="192"/>
      <c r="HV65" s="192"/>
      <c r="HW65" s="192"/>
      <c r="HX65" s="192"/>
      <c r="HY65" s="192"/>
      <c r="HZ65" s="192"/>
      <c r="IA65" s="192"/>
      <c r="IB65" s="192"/>
      <c r="IC65" s="192"/>
      <c r="ID65" s="192"/>
      <c r="IE65" s="192"/>
      <c r="IF65" s="192"/>
      <c r="IG65" s="192"/>
      <c r="IH65" s="192"/>
      <c r="II65" s="192"/>
      <c r="IJ65" s="192"/>
      <c r="IK65" s="192"/>
      <c r="IL65" s="192"/>
      <c r="IM65" s="192"/>
      <c r="IN65" s="192"/>
      <c r="IO65" s="192"/>
      <c r="IP65" s="192"/>
      <c r="IQ65" s="192"/>
      <c r="IR65" s="192"/>
      <c r="IS65" s="192"/>
      <c r="IT65" s="192"/>
      <c r="IU65" s="192"/>
      <c r="IV65" s="192"/>
      <c r="IW65" s="192"/>
      <c r="IX65" s="192"/>
      <c r="IY65" s="181">
        <v>3</v>
      </c>
      <c r="IZ65" s="182">
        <f>(TEXT(K65,"[m]")/60)*VLOOKUP(IY65,'Income Person-hours'!A$2:C$5,3,FALSE)</f>
        <v>0</v>
      </c>
      <c r="JA65" s="198"/>
      <c r="JB65" s="198"/>
      <c r="JC65" s="198"/>
      <c r="JD65" s="199">
        <f>SUM((TEXT(JA65,"[M]")/60)*'Income Person-hours'!$D$3,(TEXT(JB65,"[M]")/60)*'Income Person-hours'!$D$4,(TEXT(JC65,"[M]")/60)*'Income Person-hours'!$D$5)</f>
        <v>0</v>
      </c>
    </row>
    <row r="66" spans="1:16384" s="288" customFormat="1" ht="13.5">
      <c r="A66" s="284">
        <v>5</v>
      </c>
      <c r="B66" s="271" t="s">
        <v>115</v>
      </c>
      <c r="C66" s="272"/>
      <c r="D66" s="273" t="str">
        <f>FDate(MIN(E67:E72))</f>
        <v>1398/10/01</v>
      </c>
      <c r="E66" s="136">
        <f t="shared" si="33"/>
        <v>13981001</v>
      </c>
      <c r="F66" s="273" t="str">
        <f>J_SUBDAY(J_ADDDAY(D66,L66,1),1,1)</f>
        <v>1399/01/03</v>
      </c>
      <c r="G66" s="139">
        <f t="shared" si="30"/>
        <v>13990103</v>
      </c>
      <c r="H66" s="285"/>
      <c r="I66" s="286"/>
      <c r="J66" s="273">
        <f>j_WEEKDAY(D66,2)</f>
        <v>1</v>
      </c>
      <c r="K66" s="140">
        <f>SUM(K67:K72)</f>
        <v>0</v>
      </c>
      <c r="L66" s="276">
        <f>J_DIFF(D66,FDate(MAX(G67:G72)))+1</f>
        <v>92</v>
      </c>
      <c r="M66" s="277">
        <f>IF(SUM(L67:L72)&lt;&gt;0,SUMPRODUCT(L67:L72,M67:M72)/SUM(L67:L72),0)</f>
        <v>0.91028037383177574</v>
      </c>
      <c r="N66" s="278">
        <f>IF(F66&gt;=D66,NETWORKDAYS.INTL(J_GregorianDate(D66,1),J_GregorianDate(F66,1),16,1)-SUMIFS(Holieday[ok],Holieday[date],CONCATENATE("&gt;","=",D66),Holieday[date],CONCATENATE("&lt;","=",F66))+SUMIFS(Holieday[Friday],Holieday[date],CONCATENATE("&gt;","=",D66),Holieday[date],CONCATENATE("&lt;","=",F66)),0)</f>
        <v>75</v>
      </c>
      <c r="O66" s="135">
        <f>ROUNDDOWN(M66*L66,0)</f>
        <v>83</v>
      </c>
      <c r="P66" s="135">
        <f>VALUE(J_normdate(J_ADDDAY($D66,$O66,1)))</f>
        <v>13981224</v>
      </c>
      <c r="Q66" s="138">
        <f>L66-O66</f>
        <v>9</v>
      </c>
      <c r="IY66" s="289"/>
      <c r="IZ66" s="290"/>
      <c r="JA66" s="291"/>
      <c r="JB66" s="291"/>
      <c r="JC66" s="291"/>
      <c r="JD66" s="292"/>
    </row>
    <row r="67" spans="1:16384" s="185" customFormat="1" ht="13.5">
      <c r="A67" s="172">
        <v>5.0999999999999996</v>
      </c>
      <c r="B67" s="213" t="s">
        <v>116</v>
      </c>
      <c r="C67" s="173" t="s">
        <v>72</v>
      </c>
      <c r="D67" s="299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1398/10/01</v>
      </c>
      <c r="E67" s="136">
        <f t="shared" si="33"/>
        <v>13981001</v>
      </c>
      <c r="F67" s="299" t="str">
        <f>IF(N67=0,J_SUBDAY(D67,1,1)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0,J_SUBDAY(J_ADDDAY(D67,N67,1)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1,J_SUBDAY(J_ADDDAY(D67,N67+1,1)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2,J_SUBDAY(J_ADDDAY(D67,N67+2,1),1,1),J_SUBDAY(J_ADDDAY(D67,N67+3,1),1,1)))))</f>
        <v>1398/10/08</v>
      </c>
      <c r="G67" s="139">
        <f t="shared" si="30"/>
        <v>13981008</v>
      </c>
      <c r="H67" s="175"/>
      <c r="I67" s="176">
        <v>1.1000000000000001</v>
      </c>
      <c r="J67" s="174">
        <f>j_WEEKDAY(D67,2)</f>
        <v>1</v>
      </c>
      <c r="K67" s="143">
        <f>SUM(JA67:JC67)</f>
        <v>0</v>
      </c>
      <c r="L67" s="177">
        <f t="shared" ref="L67:L72" si="36">J_DIFF(D67,F67)+1</f>
        <v>8</v>
      </c>
      <c r="M67" s="178">
        <v>1</v>
      </c>
      <c r="N67" s="179">
        <v>7</v>
      </c>
      <c r="O67" s="144">
        <f>ROUNDDOWN(M67*L67,0)</f>
        <v>8</v>
      </c>
      <c r="P67" s="144">
        <f>VALUE(J_normdate(J_ADDDAY($D67,$O67,1)))</f>
        <v>13981009</v>
      </c>
      <c r="Q67" s="142">
        <f>L67-O67</f>
        <v>0</v>
      </c>
      <c r="R67" s="180"/>
      <c r="S67" s="180"/>
      <c r="T67" s="180"/>
      <c r="U67" s="180"/>
      <c r="V67" s="180"/>
      <c r="W67" s="180"/>
      <c r="X67" s="180"/>
      <c r="Y67" s="180"/>
      <c r="Z67" s="180"/>
      <c r="AA67" s="180"/>
      <c r="AB67" s="180"/>
      <c r="AC67" s="180"/>
      <c r="AD67" s="180"/>
      <c r="AE67" s="180"/>
      <c r="AF67" s="180"/>
      <c r="AG67" s="180"/>
      <c r="AH67" s="180"/>
      <c r="AI67" s="180"/>
      <c r="AJ67" s="180"/>
      <c r="AK67" s="180"/>
      <c r="AL67" s="180"/>
      <c r="AM67" s="180"/>
      <c r="AN67" s="180"/>
      <c r="AO67" s="180"/>
      <c r="AP67" s="180"/>
      <c r="AQ67" s="180"/>
      <c r="AR67" s="180"/>
      <c r="AS67" s="180"/>
      <c r="AT67" s="180"/>
      <c r="AU67" s="180"/>
      <c r="AV67" s="180"/>
      <c r="AW67" s="180"/>
      <c r="AX67" s="180"/>
      <c r="AY67" s="180"/>
      <c r="AZ67" s="180"/>
      <c r="BA67" s="180"/>
      <c r="BB67" s="180"/>
      <c r="BC67" s="180"/>
      <c r="BD67" s="180"/>
      <c r="BE67" s="180"/>
      <c r="BF67" s="180"/>
      <c r="BG67" s="180"/>
      <c r="BH67" s="180"/>
      <c r="BI67" s="180"/>
      <c r="BJ67" s="180"/>
      <c r="BK67" s="180"/>
      <c r="BL67" s="180"/>
      <c r="BM67" s="180"/>
      <c r="BN67" s="180"/>
      <c r="BO67" s="180"/>
      <c r="BP67" s="180"/>
      <c r="BQ67" s="180"/>
      <c r="BR67" s="180"/>
      <c r="BS67" s="180"/>
      <c r="BT67" s="180"/>
      <c r="BU67" s="180"/>
      <c r="BV67" s="180"/>
      <c r="BW67" s="180"/>
      <c r="BX67" s="180"/>
      <c r="BY67" s="180"/>
      <c r="BZ67" s="180"/>
      <c r="CA67" s="180"/>
      <c r="CB67" s="180"/>
      <c r="CC67" s="180"/>
      <c r="CD67" s="180"/>
      <c r="CE67" s="180"/>
      <c r="CF67" s="180"/>
      <c r="CG67" s="180"/>
      <c r="CH67" s="180"/>
      <c r="CI67" s="180"/>
      <c r="CJ67" s="180"/>
      <c r="CK67" s="180"/>
      <c r="CL67" s="180"/>
      <c r="CM67" s="180"/>
      <c r="CN67" s="180"/>
      <c r="CO67" s="180"/>
      <c r="CP67" s="180"/>
      <c r="CQ67" s="180"/>
      <c r="CR67" s="180"/>
      <c r="CS67" s="180"/>
      <c r="CT67" s="180"/>
      <c r="CU67" s="180"/>
      <c r="CV67" s="180"/>
      <c r="CW67" s="180"/>
      <c r="CX67" s="180"/>
      <c r="CY67" s="180"/>
      <c r="CZ67" s="180"/>
      <c r="DA67" s="180"/>
      <c r="DB67" s="180"/>
      <c r="DC67" s="180"/>
      <c r="DD67" s="180"/>
      <c r="DE67" s="180"/>
      <c r="DF67" s="180"/>
      <c r="DG67" s="180"/>
      <c r="DH67" s="180"/>
      <c r="DI67" s="180"/>
      <c r="DJ67" s="180"/>
      <c r="DK67" s="180"/>
      <c r="DL67" s="180"/>
      <c r="DM67" s="180"/>
      <c r="DN67" s="180"/>
      <c r="DO67" s="180"/>
      <c r="DP67" s="180"/>
      <c r="DQ67" s="180"/>
      <c r="DR67" s="180"/>
      <c r="DS67" s="180"/>
      <c r="DT67" s="180"/>
      <c r="DU67" s="180"/>
      <c r="DV67" s="180"/>
      <c r="DW67" s="180"/>
      <c r="DX67" s="180"/>
      <c r="DY67" s="180"/>
      <c r="DZ67" s="180"/>
      <c r="EA67" s="180"/>
      <c r="EB67" s="180"/>
      <c r="EC67" s="180"/>
      <c r="ED67" s="180"/>
      <c r="EE67" s="180"/>
      <c r="EF67" s="180"/>
      <c r="EG67" s="180"/>
      <c r="EH67" s="180"/>
      <c r="EI67" s="180"/>
      <c r="EJ67" s="180"/>
      <c r="EK67" s="180"/>
      <c r="EL67" s="180"/>
      <c r="EM67" s="180"/>
      <c r="EN67" s="180"/>
      <c r="EO67" s="180"/>
      <c r="EP67" s="180"/>
      <c r="EQ67" s="180"/>
      <c r="ER67" s="180"/>
      <c r="ES67" s="180"/>
      <c r="ET67" s="180"/>
      <c r="EU67" s="180"/>
      <c r="EV67" s="180"/>
      <c r="EW67" s="180"/>
      <c r="EX67" s="180"/>
      <c r="EY67" s="180"/>
      <c r="EZ67" s="180"/>
      <c r="FA67" s="180"/>
      <c r="FB67" s="180"/>
      <c r="FC67" s="180"/>
      <c r="FD67" s="180"/>
      <c r="FE67" s="180"/>
      <c r="FF67" s="180"/>
      <c r="FG67" s="180"/>
      <c r="FH67" s="180"/>
      <c r="FI67" s="180"/>
      <c r="FJ67" s="180"/>
      <c r="FK67" s="180"/>
      <c r="FL67" s="180"/>
      <c r="FM67" s="180"/>
      <c r="FN67" s="180"/>
      <c r="FO67" s="180"/>
      <c r="FP67" s="180"/>
      <c r="FQ67" s="180"/>
      <c r="FR67" s="180"/>
      <c r="FS67" s="180"/>
      <c r="FT67" s="180"/>
      <c r="FU67" s="180"/>
      <c r="FV67" s="180"/>
      <c r="FW67" s="180"/>
      <c r="FX67" s="180"/>
      <c r="FY67" s="180"/>
      <c r="FZ67" s="180"/>
      <c r="GA67" s="180"/>
      <c r="GB67" s="180"/>
      <c r="GC67" s="180"/>
      <c r="GD67" s="180"/>
      <c r="GE67" s="180"/>
      <c r="GF67" s="180"/>
      <c r="GG67" s="180"/>
      <c r="GH67" s="180"/>
      <c r="GI67" s="180"/>
      <c r="GJ67" s="180"/>
      <c r="GK67" s="180"/>
      <c r="GL67" s="180"/>
      <c r="GM67" s="180"/>
      <c r="GN67" s="180"/>
      <c r="GO67" s="180"/>
      <c r="GP67" s="180"/>
      <c r="GQ67" s="180"/>
      <c r="GR67" s="180"/>
      <c r="GS67" s="180"/>
      <c r="GT67" s="180"/>
      <c r="GU67" s="180"/>
      <c r="GV67" s="180"/>
      <c r="GW67" s="180"/>
      <c r="GX67" s="180"/>
      <c r="GY67" s="180"/>
      <c r="GZ67" s="180"/>
      <c r="HA67" s="180"/>
      <c r="HB67" s="180"/>
      <c r="HC67" s="180"/>
      <c r="HD67" s="180"/>
      <c r="HE67" s="180"/>
      <c r="HF67" s="180"/>
      <c r="HG67" s="180"/>
      <c r="HH67" s="180"/>
      <c r="HI67" s="180"/>
      <c r="HJ67" s="180"/>
      <c r="HK67" s="180"/>
      <c r="HL67" s="180"/>
      <c r="HM67" s="180"/>
      <c r="HN67" s="180"/>
      <c r="HO67" s="180"/>
      <c r="HP67" s="180"/>
      <c r="HQ67" s="180"/>
      <c r="HR67" s="180"/>
      <c r="HS67" s="180"/>
      <c r="HT67" s="180"/>
      <c r="HU67" s="180"/>
      <c r="HV67" s="180"/>
      <c r="HW67" s="180"/>
      <c r="HX67" s="180"/>
      <c r="HY67" s="180"/>
      <c r="HZ67" s="180"/>
      <c r="IA67" s="180"/>
      <c r="IB67" s="180"/>
      <c r="IC67" s="180"/>
      <c r="ID67" s="180"/>
      <c r="IE67" s="180"/>
      <c r="IF67" s="180"/>
      <c r="IG67" s="180"/>
      <c r="IH67" s="180"/>
      <c r="II67" s="180"/>
      <c r="IJ67" s="180"/>
      <c r="IK67" s="180"/>
      <c r="IL67" s="180"/>
      <c r="IM67" s="180"/>
      <c r="IN67" s="180"/>
      <c r="IO67" s="180"/>
      <c r="IP67" s="180"/>
      <c r="IQ67" s="180"/>
      <c r="IR67" s="180"/>
      <c r="IS67" s="180"/>
      <c r="IT67" s="180"/>
      <c r="IU67" s="180"/>
      <c r="IV67" s="180"/>
      <c r="IW67" s="180"/>
      <c r="IX67" s="180"/>
      <c r="IY67" s="181">
        <v>2</v>
      </c>
      <c r="IZ67" s="182">
        <f>(TEXT(K67,"[m]")/60)*VLOOKUP(IY67,'Income Person-hours'!A$2:C$5,3,FALSE)</f>
        <v>0</v>
      </c>
      <c r="JA67" s="183"/>
      <c r="JB67" s="183"/>
      <c r="JC67" s="183"/>
      <c r="JD67" s="184">
        <f>SUM((TEXT(JA67,"[M]")/60)*'Income Person-hours'!$D$3,(TEXT(JB67,"[M]")/60)*'Income Person-hours'!$D$4,(TEXT(JC67,"[M]")/60)*'Income Person-hours'!$D$5)</f>
        <v>0</v>
      </c>
    </row>
    <row r="68" spans="1:16384" s="185" customFormat="1" ht="13.5">
      <c r="A68" s="172">
        <v>5.2</v>
      </c>
      <c r="B68" s="186" t="s">
        <v>117</v>
      </c>
      <c r="C68" s="173" t="s">
        <v>104</v>
      </c>
      <c r="D68" s="189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1398/10/09</v>
      </c>
      <c r="E68" s="136">
        <f t="shared" si="33"/>
        <v>13981009</v>
      </c>
      <c r="F68" s="299" t="str">
        <f>IF(N68=0,J_SUBDAY(D68,1,1)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0,J_SUBDAY(J_ADDDAY(D68,N68,1)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1,J_SUBDAY(J_ADDDAY(D68,N68+1,1)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2,J_SUBDAY(J_ADDDAY(D68,N68+2,1),1,1),J_SUBDAY(J_ADDDAY(D68,N68+3,1),1,1)))))</f>
        <v>1398/10/11</v>
      </c>
      <c r="G68" s="139">
        <f t="shared" si="30"/>
        <v>13981011</v>
      </c>
      <c r="H68" s="175">
        <v>1</v>
      </c>
      <c r="I68" s="176">
        <v>5.0999999999999996</v>
      </c>
      <c r="J68" s="174">
        <f>j_WEEKDAY(D68,2)</f>
        <v>2</v>
      </c>
      <c r="K68" s="143">
        <f>SUM(JA68:JC68)</f>
        <v>0</v>
      </c>
      <c r="L68" s="177">
        <f t="shared" si="36"/>
        <v>3</v>
      </c>
      <c r="M68" s="178">
        <v>1</v>
      </c>
      <c r="N68" s="179">
        <v>3</v>
      </c>
      <c r="O68" s="144">
        <f t="shared" ref="O68:O72" si="37">ROUNDDOWN(M68*L68,0)</f>
        <v>3</v>
      </c>
      <c r="P68" s="144">
        <f>VALUE(J_normdate(J_ADDDAY($D68,$O68,1)))</f>
        <v>13981012</v>
      </c>
      <c r="Q68" s="142">
        <f t="shared" ref="Q68:Q72" si="38">L68-O68</f>
        <v>0</v>
      </c>
      <c r="R68" s="180"/>
      <c r="S68" s="180"/>
      <c r="T68" s="180"/>
      <c r="U68" s="180"/>
      <c r="V68" s="180"/>
      <c r="W68" s="180"/>
      <c r="X68" s="180"/>
      <c r="Y68" s="180"/>
      <c r="Z68" s="180"/>
      <c r="AA68" s="180"/>
      <c r="AB68" s="180"/>
      <c r="AC68" s="180"/>
      <c r="AD68" s="180"/>
      <c r="AE68" s="180"/>
      <c r="AF68" s="180"/>
      <c r="AG68" s="180"/>
      <c r="AH68" s="180"/>
      <c r="AI68" s="180"/>
      <c r="AJ68" s="180"/>
      <c r="AK68" s="180"/>
      <c r="AL68" s="180"/>
      <c r="AM68" s="180"/>
      <c r="AN68" s="180"/>
      <c r="AO68" s="180"/>
      <c r="AP68" s="180"/>
      <c r="AQ68" s="180"/>
      <c r="AR68" s="180"/>
      <c r="AS68" s="180"/>
      <c r="AT68" s="180"/>
      <c r="AU68" s="180"/>
      <c r="AV68" s="180"/>
      <c r="AW68" s="180"/>
      <c r="AX68" s="180"/>
      <c r="AY68" s="180"/>
      <c r="AZ68" s="180"/>
      <c r="BA68" s="180"/>
      <c r="BB68" s="180"/>
      <c r="BC68" s="180"/>
      <c r="BD68" s="180"/>
      <c r="BE68" s="180"/>
      <c r="BF68" s="180"/>
      <c r="BG68" s="180"/>
      <c r="BH68" s="180"/>
      <c r="BI68" s="180"/>
      <c r="BJ68" s="180"/>
      <c r="BK68" s="180"/>
      <c r="BL68" s="180"/>
      <c r="BM68" s="180"/>
      <c r="BN68" s="180"/>
      <c r="BO68" s="180"/>
      <c r="BP68" s="180"/>
      <c r="BQ68" s="180"/>
      <c r="BR68" s="180"/>
      <c r="BS68" s="180"/>
      <c r="BT68" s="180"/>
      <c r="BU68" s="180"/>
      <c r="BV68" s="180"/>
      <c r="BW68" s="180"/>
      <c r="BX68" s="180"/>
      <c r="BY68" s="180"/>
      <c r="BZ68" s="180"/>
      <c r="CA68" s="180"/>
      <c r="CB68" s="180"/>
      <c r="CC68" s="180"/>
      <c r="CD68" s="180"/>
      <c r="CE68" s="180"/>
      <c r="CF68" s="180"/>
      <c r="CG68" s="180"/>
      <c r="CH68" s="180"/>
      <c r="CI68" s="180"/>
      <c r="CJ68" s="180"/>
      <c r="CK68" s="180"/>
      <c r="CL68" s="180"/>
      <c r="CM68" s="180"/>
      <c r="CN68" s="180"/>
      <c r="CO68" s="180"/>
      <c r="CP68" s="180"/>
      <c r="CQ68" s="180"/>
      <c r="CR68" s="180"/>
      <c r="CS68" s="180"/>
      <c r="CT68" s="180"/>
      <c r="CU68" s="180"/>
      <c r="CV68" s="180"/>
      <c r="CW68" s="180"/>
      <c r="CX68" s="180"/>
      <c r="CY68" s="180"/>
      <c r="CZ68" s="180"/>
      <c r="DA68" s="180"/>
      <c r="DB68" s="180"/>
      <c r="DC68" s="180"/>
      <c r="DD68" s="180"/>
      <c r="DE68" s="180"/>
      <c r="DF68" s="180"/>
      <c r="DG68" s="180"/>
      <c r="DH68" s="180"/>
      <c r="DI68" s="180"/>
      <c r="DJ68" s="180"/>
      <c r="DK68" s="180"/>
      <c r="DL68" s="180"/>
      <c r="DM68" s="180"/>
      <c r="DN68" s="180"/>
      <c r="DO68" s="180"/>
      <c r="DP68" s="180"/>
      <c r="DQ68" s="180"/>
      <c r="DR68" s="180"/>
      <c r="DS68" s="180"/>
      <c r="DT68" s="180"/>
      <c r="DU68" s="180"/>
      <c r="DV68" s="180"/>
      <c r="DW68" s="180"/>
      <c r="DX68" s="180"/>
      <c r="DY68" s="180"/>
      <c r="DZ68" s="180"/>
      <c r="EA68" s="180"/>
      <c r="EB68" s="180"/>
      <c r="EC68" s="180"/>
      <c r="ED68" s="180"/>
      <c r="EE68" s="180"/>
      <c r="EF68" s="180"/>
      <c r="EG68" s="180"/>
      <c r="EH68" s="180"/>
      <c r="EI68" s="180"/>
      <c r="EJ68" s="180"/>
      <c r="EK68" s="180"/>
      <c r="EL68" s="180"/>
      <c r="EM68" s="180"/>
      <c r="EN68" s="180"/>
      <c r="EO68" s="180"/>
      <c r="EP68" s="180"/>
      <c r="EQ68" s="180"/>
      <c r="ER68" s="180"/>
      <c r="ES68" s="180"/>
      <c r="ET68" s="180"/>
      <c r="EU68" s="180"/>
      <c r="EV68" s="180"/>
      <c r="EW68" s="180"/>
      <c r="EX68" s="180"/>
      <c r="EY68" s="180"/>
      <c r="EZ68" s="180"/>
      <c r="FA68" s="180"/>
      <c r="FB68" s="180"/>
      <c r="FC68" s="180"/>
      <c r="FD68" s="180"/>
      <c r="FE68" s="180"/>
      <c r="FF68" s="180"/>
      <c r="FG68" s="180"/>
      <c r="FH68" s="180"/>
      <c r="FI68" s="180"/>
      <c r="FJ68" s="180"/>
      <c r="FK68" s="180"/>
      <c r="FL68" s="180"/>
      <c r="FM68" s="180"/>
      <c r="FN68" s="180"/>
      <c r="FO68" s="180"/>
      <c r="FP68" s="180"/>
      <c r="FQ68" s="180"/>
      <c r="FR68" s="180"/>
      <c r="FS68" s="180"/>
      <c r="FT68" s="180"/>
      <c r="FU68" s="180"/>
      <c r="FV68" s="180"/>
      <c r="FW68" s="180"/>
      <c r="FX68" s="180"/>
      <c r="FY68" s="180"/>
      <c r="FZ68" s="180"/>
      <c r="GA68" s="180"/>
      <c r="GB68" s="180"/>
      <c r="GC68" s="180"/>
      <c r="GD68" s="180"/>
      <c r="GE68" s="180"/>
      <c r="GF68" s="180"/>
      <c r="GG68" s="180"/>
      <c r="GH68" s="180"/>
      <c r="GI68" s="180"/>
      <c r="GJ68" s="180"/>
      <c r="GK68" s="180"/>
      <c r="GL68" s="180"/>
      <c r="GM68" s="180"/>
      <c r="GN68" s="180"/>
      <c r="GO68" s="180"/>
      <c r="GP68" s="180"/>
      <c r="GQ68" s="180"/>
      <c r="GR68" s="180"/>
      <c r="GS68" s="180"/>
      <c r="GT68" s="180"/>
      <c r="GU68" s="180"/>
      <c r="GV68" s="180"/>
      <c r="GW68" s="180"/>
      <c r="GX68" s="180"/>
      <c r="GY68" s="180"/>
      <c r="GZ68" s="180"/>
      <c r="HA68" s="180"/>
      <c r="HB68" s="180"/>
      <c r="HC68" s="180"/>
      <c r="HD68" s="180"/>
      <c r="HE68" s="180"/>
      <c r="HF68" s="180"/>
      <c r="HG68" s="180"/>
      <c r="HH68" s="180"/>
      <c r="HI68" s="180"/>
      <c r="HJ68" s="180"/>
      <c r="HK68" s="180"/>
      <c r="HL68" s="180"/>
      <c r="HM68" s="180"/>
      <c r="HN68" s="180"/>
      <c r="HO68" s="180"/>
      <c r="HP68" s="180"/>
      <c r="HQ68" s="180"/>
      <c r="HR68" s="180"/>
      <c r="HS68" s="180"/>
      <c r="HT68" s="180"/>
      <c r="HU68" s="180"/>
      <c r="HV68" s="180"/>
      <c r="HW68" s="180"/>
      <c r="HX68" s="180"/>
      <c r="HY68" s="180"/>
      <c r="HZ68" s="180"/>
      <c r="IA68" s="180"/>
      <c r="IB68" s="180"/>
      <c r="IC68" s="180"/>
      <c r="ID68" s="180"/>
      <c r="IE68" s="180"/>
      <c r="IF68" s="180"/>
      <c r="IG68" s="180"/>
      <c r="IH68" s="180"/>
      <c r="II68" s="180"/>
      <c r="IJ68" s="180"/>
      <c r="IK68" s="180"/>
      <c r="IL68" s="180"/>
      <c r="IM68" s="180"/>
      <c r="IN68" s="180"/>
      <c r="IO68" s="180"/>
      <c r="IP68" s="180"/>
      <c r="IQ68" s="180"/>
      <c r="IR68" s="180"/>
      <c r="IS68" s="180"/>
      <c r="IT68" s="180"/>
      <c r="IU68" s="180"/>
      <c r="IV68" s="180"/>
      <c r="IW68" s="180"/>
      <c r="IX68" s="180"/>
      <c r="IY68" s="181">
        <v>2</v>
      </c>
      <c r="IZ68" s="182">
        <f>(TEXT(K68,"[m]")/60)*VLOOKUP(IY68,'Income Person-hours'!A$2:C$5,3,FALSE)</f>
        <v>0</v>
      </c>
      <c r="JA68" s="183"/>
      <c r="JB68" s="183"/>
      <c r="JC68" s="183"/>
      <c r="JD68" s="184">
        <f>SUM((TEXT(JA68,"[M]")/60)*'Income Person-hours'!$D$3,(TEXT(JB68,"[M]")/60)*'Income Person-hours'!$D$4,(TEXT(JC68,"[M]")/60)*'Income Person-hours'!$D$5)</f>
        <v>0</v>
      </c>
    </row>
    <row r="69" spans="1:16384" s="185" customFormat="1" ht="13.5">
      <c r="A69" s="197">
        <v>5.3</v>
      </c>
      <c r="B69" s="186" t="s">
        <v>118</v>
      </c>
      <c r="C69" s="173" t="s">
        <v>72</v>
      </c>
      <c r="D69" s="299" t="str">
        <f>IF(OR(j_WEEKDAY(J_ADDDAY(VLOOKUP(I69,A:F,6,FALSE),H69,1),0)=6,SUMIFS(Holieday[ok],Holieday[date],J_ADDDAY(VLOOKUP(I69,A:F,6,FALSE),H69,1)))=FALSE(),J_ADDDAY(VLOOKUP(I69,A:F,6,FALSE),H69,1),IF(OR(j_WEEKDAY(J_ADDDAY(VLOOKUP(I69,A:F,6,FALSE),H69+1,1),0)=6,SUMIFS(Holieday[ok],Holieday[date],J_ADDDAY(VLOOKUP(I69,A:F,6,FALSE),H69+1,1)))=FALSE(),J_ADDDAY(VLOOKUP(I69,A:F,6,FALSE),H69+1,1),IF(OR(j_WEEKDAY(J_ADDDAY(VLOOKUP(I69,A:F,6,FALSE),H69+2,1),0)=6,SUMIFS(Holieday[ok],Holieday[date],J_ADDDAY(VLOOKUP(I69,A:F,6,FALSE),H69+2,1)))=FALSE(),J_ADDDAY(VLOOKUP(I69,A:F,6,FALSE),H69+2,1),IF(OR(j_WEEKDAY(J_ADDDAY(VLOOKUP(I69,A:F,6,FALSE),H69+3,1),0)=6,SUMIFS(Holieday[ok],Holieday[date],J_ADDDAY(VLOOKUP(I69,A:F,6,FALSE),H69+3,1)))=FALSE(),J_ADDDAY(VLOOKUP(I69,A:F,6,FALSE),H69+3,1),IF(OR(j_WEEKDAY(J_ADDDAY(VLOOKUP(I69,A:F,6,FALSE),H69+4,1),0)=6,SUMIFS(Holieday[ok],Holieday[date],J_ADDDAY(VLOOKUP(I69,A:F,6,FALSE),H69+4,1)))=FALSE(),J_ADDDAY(VLOOKUP(I69,A:F,6,FALSE),H69+4,1),J_ADDDAY(VLOOKUP(I69,A:F,6,FALSE),H69+5,1))))))</f>
        <v>1398/10/12</v>
      </c>
      <c r="E69" s="136">
        <f t="shared" si="33"/>
        <v>13981012</v>
      </c>
      <c r="F69" s="299" t="str">
        <f>IF(N69=0,J_SUBDAY(D69,1,1),IF((N69-NETWORKDAYS.INTL(J_GregorianDate(D69,1),J_GregorianDate(J_SUBDAY(J_ADDDAY(D69,N69,1),1,1),1),16,1)-SUMIFS(Holieday[ok],Holieday[date],CONCATENATE("&gt;","=",D69),Holieday[date],CONCATENATE("&lt;","=",J_SUBDAY(J_ADDDAY(D69,N69,1),1,1)))+SUMIFS(Holieday[Friday],Holieday[date],CONCATENATE("&gt;","=",D69),Holieday[date],CONCATENATE("&lt;","=",J_SUBDAY(J_ADDDAY(D69,N69,1),1,1))))=0,J_SUBDAY(J_ADDDAY(D69,N69,1),1,1),IF((N69-NETWORKDAYS.INTL(J_GregorianDate(D69,1),J_GregorianDate(J_SUBDAY(J_ADDDAY(D69,N69,1),1,1),1),16,1)-SUMIFS(Holieday[ok],Holieday[date],CONCATENATE("&gt;","=",D69),Holieday[date],CONCATENATE("&lt;","=",J_SUBDAY(J_ADDDAY(D69,N69,1),1,1)))+SUMIFS(Holieday[Friday],Holieday[date],CONCATENATE("&gt;","=",D69),Holieday[date],CONCATENATE("&lt;","=",J_SUBDAY(J_ADDDAY(D69,N69,1),1,1))))=1,J_SUBDAY(J_ADDDAY(D69,N69+1,1),1,1),IF((N69-NETWORKDAYS.INTL(J_GregorianDate(D69,1),J_GregorianDate(J_SUBDAY(J_ADDDAY(D69,N69,1),1,1),1),16,1)-SUMIFS(Holieday[ok],Holieday[date],CONCATENATE("&gt;","=",D69),Holieday[date],CONCATENATE("&lt;","=",J_SUBDAY(J_ADDDAY(D69,N69,1),1,1)))+SUMIFS(Holieday[Friday],Holieday[date],CONCATENATE("&gt;","=",D69),Holieday[date],CONCATENATE("&lt;","=",J_SUBDAY(J_ADDDAY(D69,N69,1),1,1))))=2,J_SUBDAY(J_ADDDAY(D69,N69+2,1),1,1),J_SUBDAY(J_ADDDAY(D69,N69+3,1),1,1)))))</f>
        <v>1398/12/14</v>
      </c>
      <c r="G69" s="139">
        <f t="shared" si="30"/>
        <v>13981214</v>
      </c>
      <c r="H69" s="175">
        <v>1</v>
      </c>
      <c r="I69" s="176">
        <v>5.2</v>
      </c>
      <c r="J69" s="174">
        <f>j_WEEKDAY(D69,2)</f>
        <v>5</v>
      </c>
      <c r="K69" s="143">
        <f>SUM(JA69:JC69)</f>
        <v>0</v>
      </c>
      <c r="L69" s="177">
        <f t="shared" si="36"/>
        <v>63</v>
      </c>
      <c r="M69" s="178">
        <v>0.9</v>
      </c>
      <c r="N69" s="179">
        <v>60</v>
      </c>
      <c r="O69" s="144">
        <f t="shared" si="37"/>
        <v>56</v>
      </c>
      <c r="P69" s="144">
        <f>VALUE(J_normdate(J_ADDDAY($D69,$O69,1)))</f>
        <v>13981208</v>
      </c>
      <c r="Q69" s="142">
        <f t="shared" si="38"/>
        <v>7</v>
      </c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0"/>
      <c r="AH69" s="180"/>
      <c r="AI69" s="180"/>
      <c r="AJ69" s="180"/>
      <c r="AK69" s="180"/>
      <c r="AL69" s="180"/>
      <c r="AM69" s="180"/>
      <c r="AN69" s="180"/>
      <c r="AO69" s="180"/>
      <c r="AP69" s="180"/>
      <c r="AQ69" s="180"/>
      <c r="AR69" s="180"/>
      <c r="AS69" s="180"/>
      <c r="AT69" s="180"/>
      <c r="AU69" s="180"/>
      <c r="AV69" s="180"/>
      <c r="AW69" s="180"/>
      <c r="AX69" s="180"/>
      <c r="AY69" s="180"/>
      <c r="AZ69" s="180"/>
      <c r="BA69" s="180"/>
      <c r="BB69" s="180"/>
      <c r="BC69" s="180"/>
      <c r="BD69" s="180"/>
      <c r="BE69" s="180"/>
      <c r="BF69" s="180"/>
      <c r="BG69" s="180"/>
      <c r="BH69" s="180"/>
      <c r="BI69" s="180"/>
      <c r="BJ69" s="180"/>
      <c r="BK69" s="180"/>
      <c r="BL69" s="180"/>
      <c r="BM69" s="180"/>
      <c r="BN69" s="180"/>
      <c r="BO69" s="180"/>
      <c r="BP69" s="180"/>
      <c r="BQ69" s="180"/>
      <c r="BR69" s="180"/>
      <c r="BS69" s="180"/>
      <c r="BT69" s="180"/>
      <c r="BU69" s="180"/>
      <c r="BV69" s="180"/>
      <c r="BW69" s="180"/>
      <c r="BX69" s="180"/>
      <c r="BY69" s="180"/>
      <c r="BZ69" s="180"/>
      <c r="CA69" s="180"/>
      <c r="CB69" s="180"/>
      <c r="CC69" s="180"/>
      <c r="CD69" s="180"/>
      <c r="CE69" s="180"/>
      <c r="CF69" s="180"/>
      <c r="CG69" s="180"/>
      <c r="CH69" s="180"/>
      <c r="CI69" s="180"/>
      <c r="CJ69" s="180"/>
      <c r="CK69" s="180"/>
      <c r="CL69" s="180"/>
      <c r="CM69" s="180"/>
      <c r="CN69" s="180"/>
      <c r="CO69" s="180"/>
      <c r="CP69" s="180"/>
      <c r="CQ69" s="180"/>
      <c r="CR69" s="180"/>
      <c r="CS69" s="180"/>
      <c r="CT69" s="180"/>
      <c r="CU69" s="180"/>
      <c r="CV69" s="180"/>
      <c r="CW69" s="180"/>
      <c r="CX69" s="180"/>
      <c r="CY69" s="180"/>
      <c r="CZ69" s="180"/>
      <c r="DA69" s="180"/>
      <c r="DB69" s="180"/>
      <c r="DC69" s="180"/>
      <c r="DD69" s="180"/>
      <c r="DE69" s="180"/>
      <c r="DF69" s="180"/>
      <c r="DG69" s="180"/>
      <c r="DH69" s="180"/>
      <c r="DI69" s="180"/>
      <c r="DJ69" s="180"/>
      <c r="DK69" s="180"/>
      <c r="DL69" s="180"/>
      <c r="DM69" s="180"/>
      <c r="DN69" s="180"/>
      <c r="DO69" s="180"/>
      <c r="DP69" s="180"/>
      <c r="DQ69" s="180"/>
      <c r="DR69" s="180"/>
      <c r="DS69" s="180"/>
      <c r="DT69" s="180"/>
      <c r="DU69" s="180"/>
      <c r="DV69" s="180"/>
      <c r="DW69" s="180"/>
      <c r="DX69" s="180"/>
      <c r="DY69" s="180"/>
      <c r="DZ69" s="180"/>
      <c r="EA69" s="180"/>
      <c r="EB69" s="180"/>
      <c r="EC69" s="180"/>
      <c r="ED69" s="180"/>
      <c r="EE69" s="180"/>
      <c r="EF69" s="180"/>
      <c r="EG69" s="180"/>
      <c r="EH69" s="180"/>
      <c r="EI69" s="180"/>
      <c r="EJ69" s="180"/>
      <c r="EK69" s="180"/>
      <c r="EL69" s="180"/>
      <c r="EM69" s="180"/>
      <c r="EN69" s="180"/>
      <c r="EO69" s="180"/>
      <c r="EP69" s="180"/>
      <c r="EQ69" s="180"/>
      <c r="ER69" s="180"/>
      <c r="ES69" s="180"/>
      <c r="ET69" s="180"/>
      <c r="EU69" s="180"/>
      <c r="EV69" s="180"/>
      <c r="EW69" s="180"/>
      <c r="EX69" s="180"/>
      <c r="EY69" s="180"/>
      <c r="EZ69" s="180"/>
      <c r="FA69" s="180"/>
      <c r="FB69" s="180"/>
      <c r="FC69" s="180"/>
      <c r="FD69" s="180"/>
      <c r="FE69" s="180"/>
      <c r="FF69" s="180"/>
      <c r="FG69" s="180"/>
      <c r="FH69" s="180"/>
      <c r="FI69" s="180"/>
      <c r="FJ69" s="180"/>
      <c r="FK69" s="180"/>
      <c r="FL69" s="180"/>
      <c r="FM69" s="180"/>
      <c r="FN69" s="180"/>
      <c r="FO69" s="180"/>
      <c r="FP69" s="180"/>
      <c r="FQ69" s="180"/>
      <c r="FR69" s="180"/>
      <c r="FS69" s="180"/>
      <c r="FT69" s="180"/>
      <c r="FU69" s="180"/>
      <c r="FV69" s="180"/>
      <c r="FW69" s="180"/>
      <c r="FX69" s="180"/>
      <c r="FY69" s="180"/>
      <c r="FZ69" s="180"/>
      <c r="GA69" s="180"/>
      <c r="GB69" s="180"/>
      <c r="GC69" s="180"/>
      <c r="GD69" s="180"/>
      <c r="GE69" s="180"/>
      <c r="GF69" s="180"/>
      <c r="GG69" s="180"/>
      <c r="GH69" s="180"/>
      <c r="GI69" s="180"/>
      <c r="GJ69" s="180"/>
      <c r="GK69" s="180"/>
      <c r="GL69" s="180"/>
      <c r="GM69" s="180"/>
      <c r="GN69" s="180"/>
      <c r="GO69" s="180"/>
      <c r="GP69" s="180"/>
      <c r="GQ69" s="180"/>
      <c r="GR69" s="180"/>
      <c r="GS69" s="180"/>
      <c r="GT69" s="180"/>
      <c r="GU69" s="180"/>
      <c r="GV69" s="180"/>
      <c r="GW69" s="180"/>
      <c r="GX69" s="180"/>
      <c r="GY69" s="180"/>
      <c r="GZ69" s="180"/>
      <c r="HA69" s="180"/>
      <c r="HB69" s="180"/>
      <c r="HC69" s="180"/>
      <c r="HD69" s="180"/>
      <c r="HE69" s="180"/>
      <c r="HF69" s="180"/>
      <c r="HG69" s="180"/>
      <c r="HH69" s="180"/>
      <c r="HI69" s="180"/>
      <c r="HJ69" s="180"/>
      <c r="HK69" s="180"/>
      <c r="HL69" s="180"/>
      <c r="HM69" s="180"/>
      <c r="HN69" s="180"/>
      <c r="HO69" s="180"/>
      <c r="HP69" s="180"/>
      <c r="HQ69" s="180"/>
      <c r="HR69" s="180"/>
      <c r="HS69" s="180"/>
      <c r="HT69" s="180"/>
      <c r="HU69" s="180"/>
      <c r="HV69" s="180"/>
      <c r="HW69" s="180"/>
      <c r="HX69" s="180"/>
      <c r="HY69" s="180"/>
      <c r="HZ69" s="180"/>
      <c r="IA69" s="180"/>
      <c r="IB69" s="180"/>
      <c r="IC69" s="180"/>
      <c r="ID69" s="180"/>
      <c r="IE69" s="180"/>
      <c r="IF69" s="180"/>
      <c r="IG69" s="180"/>
      <c r="IH69" s="180"/>
      <c r="II69" s="180"/>
      <c r="IJ69" s="180"/>
      <c r="IK69" s="180"/>
      <c r="IL69" s="180"/>
      <c r="IM69" s="180"/>
      <c r="IN69" s="180"/>
      <c r="IO69" s="180"/>
      <c r="IP69" s="180"/>
      <c r="IQ69" s="180"/>
      <c r="IR69" s="180"/>
      <c r="IS69" s="180"/>
      <c r="IT69" s="180"/>
      <c r="IU69" s="180"/>
      <c r="IV69" s="180"/>
      <c r="IW69" s="180"/>
      <c r="IX69" s="180"/>
      <c r="IY69" s="181">
        <v>3</v>
      </c>
      <c r="IZ69" s="182">
        <f>(TEXT(K69,"[m]")/60)*VLOOKUP(IY69,'Income Person-hours'!A$2:C$5,3,FALSE)</f>
        <v>0</v>
      </c>
      <c r="JA69" s="183"/>
      <c r="JB69" s="183"/>
      <c r="JC69" s="183"/>
      <c r="JD69" s="184">
        <f>SUM((TEXT(JA69,"[M]")/60)*'Income Person-hours'!$D$3,(TEXT(JB69,"[M]")/60)*'Income Person-hours'!$D$4,(TEXT(JC69,"[M]")/60)*'Income Person-hours'!$D$5)</f>
        <v>0</v>
      </c>
    </row>
    <row r="70" spans="1:16384" s="200" customFormat="1" ht="13.5">
      <c r="A70" s="172">
        <v>5.4</v>
      </c>
      <c r="B70" s="186" t="s">
        <v>115</v>
      </c>
      <c r="C70" s="173" t="s">
        <v>104</v>
      </c>
      <c r="D70" s="196" t="str">
        <f>IF(OR(j_WEEKDAY(J_ADDDAY(VLOOKUP(I70,A:F,6,FALSE),H70,1),0)=6,SUMIFS(Holieday[ok],Holieday[date],J_ADDDAY(VLOOKUP(I70,A:F,6,FALSE),H70,1)))=FALSE(),J_ADDDAY(VLOOKUP(I70,A:F,6,FALSE),H70,1),IF(OR(j_WEEKDAY(J_ADDDAY(VLOOKUP(I70,A:F,6,FALSE),H70+1,1),0)=6,SUMIFS(Holieday[ok],Holieday[date],J_ADDDAY(VLOOKUP(I70,A:F,6,FALSE),H70+1,1)))=FALSE(),J_ADDDAY(VLOOKUP(I70,A:F,6,FALSE),H70+1,1),IF(OR(j_WEEKDAY(J_ADDDAY(VLOOKUP(I70,A:F,6,FALSE),H70+2,1),0)=6,SUMIFS(Holieday[ok],Holieday[date],J_ADDDAY(VLOOKUP(I70,A:F,6,FALSE),H70+2,1)))=FALSE(),J_ADDDAY(VLOOKUP(I70,A:F,6,FALSE),H70+2,1),IF(OR(j_WEEKDAY(J_ADDDAY(VLOOKUP(I70,A:F,6,FALSE),H70+3,1),0)=6,SUMIFS(Holieday[ok],Holieday[date],J_ADDDAY(VLOOKUP(I70,A:F,6,FALSE),H70+3,1)))=FALSE(),J_ADDDAY(VLOOKUP(I70,A:F,6,FALSE),H70+3,1),IF(OR(j_WEEKDAY(J_ADDDAY(VLOOKUP(I70,A:F,6,FALSE),H70+4,1),0)=6,SUMIFS(Holieday[ok],Holieday[date],J_ADDDAY(VLOOKUP(I70,A:F,6,FALSE),H70+4,1)))=FALSE(),J_ADDDAY(VLOOKUP(I70,A:F,6,FALSE),H70+4,1),J_ADDDAY(VLOOKUP(I70,A:F,6,FALSE),H70+5,1))))))</f>
        <v>1398/12/15</v>
      </c>
      <c r="E70" s="1">
        <f t="shared" si="33"/>
        <v>13981215</v>
      </c>
      <c r="F70" s="196" t="str">
        <f>IF(N70=0,J_SUBDAY(D70,1,1)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0,J_SUBDAY(J_ADDDAY(D70,N70,1)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1,J_SUBDAY(J_ADDDAY(D70,N70+1,1)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2,J_SUBDAY(J_ADDDAY(D70,N70+2,1),1,1),J_SUBDAY(J_ADDDAY(D70,N70+3,1),1,1)))))</f>
        <v>1398/12/25</v>
      </c>
      <c r="G70" s="2">
        <f t="shared" si="30"/>
        <v>13981225</v>
      </c>
      <c r="H70" s="175">
        <v>1</v>
      </c>
      <c r="I70" s="176">
        <v>5.3</v>
      </c>
      <c r="J70" s="190">
        <f>j_WEEKDAY(D70,2)</f>
        <v>5</v>
      </c>
      <c r="K70" s="13">
        <f>SUM(JA70:JC70)</f>
        <v>0</v>
      </c>
      <c r="L70" s="191">
        <f t="shared" si="36"/>
        <v>11</v>
      </c>
      <c r="M70" s="178">
        <v>0.9</v>
      </c>
      <c r="N70" s="179">
        <v>10</v>
      </c>
      <c r="O70" s="6">
        <f t="shared" si="37"/>
        <v>9</v>
      </c>
      <c r="P70" s="6">
        <f>VALUE(J_normdate(J_ADDDAY($D70,$O70,1)))</f>
        <v>13981224</v>
      </c>
      <c r="Q70" s="5">
        <f t="shared" si="38"/>
        <v>2</v>
      </c>
      <c r="R70" s="192"/>
      <c r="S70" s="192"/>
      <c r="T70" s="192"/>
      <c r="U70" s="192"/>
      <c r="V70" s="192"/>
      <c r="W70" s="192"/>
      <c r="X70" s="192"/>
      <c r="Y70" s="192"/>
      <c r="Z70" s="192"/>
      <c r="AA70" s="192"/>
      <c r="AB70" s="192"/>
      <c r="AC70" s="192"/>
      <c r="AD70" s="192"/>
      <c r="AE70" s="192"/>
      <c r="AF70" s="192"/>
      <c r="AG70" s="192"/>
      <c r="AH70" s="192"/>
      <c r="AI70" s="192"/>
      <c r="AJ70" s="192"/>
      <c r="AK70" s="192"/>
      <c r="AL70" s="192"/>
      <c r="AM70" s="192"/>
      <c r="AN70" s="192"/>
      <c r="AO70" s="192"/>
      <c r="AP70" s="192"/>
      <c r="AQ70" s="192"/>
      <c r="AR70" s="192"/>
      <c r="AS70" s="192"/>
      <c r="AT70" s="192"/>
      <c r="AU70" s="192"/>
      <c r="AV70" s="192"/>
      <c r="AW70" s="192"/>
      <c r="AX70" s="192"/>
      <c r="AY70" s="192"/>
      <c r="AZ70" s="192"/>
      <c r="BA70" s="192"/>
      <c r="BB70" s="192"/>
      <c r="BC70" s="192"/>
      <c r="BD70" s="192"/>
      <c r="BE70" s="192"/>
      <c r="BF70" s="192"/>
      <c r="BG70" s="192"/>
      <c r="BH70" s="192"/>
      <c r="BI70" s="192"/>
      <c r="BJ70" s="192"/>
      <c r="BK70" s="192"/>
      <c r="BL70" s="192"/>
      <c r="BM70" s="192"/>
      <c r="BN70" s="192"/>
      <c r="BO70" s="192"/>
      <c r="BP70" s="192"/>
      <c r="BQ70" s="192"/>
      <c r="BR70" s="192"/>
      <c r="BS70" s="192"/>
      <c r="BT70" s="192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192"/>
      <c r="CO70" s="192"/>
      <c r="CP70" s="192"/>
      <c r="CQ70" s="192"/>
      <c r="CR70" s="192"/>
      <c r="CS70" s="192"/>
      <c r="CT70" s="192"/>
      <c r="CU70" s="192"/>
      <c r="CV70" s="192"/>
      <c r="CW70" s="192"/>
      <c r="CX70" s="192"/>
      <c r="CY70" s="192"/>
      <c r="CZ70" s="192"/>
      <c r="DA70" s="192"/>
      <c r="DB70" s="192"/>
      <c r="DC70" s="192"/>
      <c r="DD70" s="192"/>
      <c r="DE70" s="192"/>
      <c r="DF70" s="192"/>
      <c r="DG70" s="192"/>
      <c r="DH70" s="192"/>
      <c r="DI70" s="192"/>
      <c r="DJ70" s="192"/>
      <c r="DK70" s="192"/>
      <c r="DL70" s="192"/>
      <c r="DM70" s="192"/>
      <c r="DN70" s="192"/>
      <c r="DO70" s="192"/>
      <c r="DP70" s="192"/>
      <c r="DQ70" s="192"/>
      <c r="DR70" s="192"/>
      <c r="DS70" s="192"/>
      <c r="DT70" s="192"/>
      <c r="DU70" s="192"/>
      <c r="DV70" s="192"/>
      <c r="DW70" s="192"/>
      <c r="DX70" s="192"/>
      <c r="DY70" s="192"/>
      <c r="DZ70" s="192"/>
      <c r="EA70" s="192"/>
      <c r="EB70" s="192"/>
      <c r="EC70" s="192"/>
      <c r="ED70" s="192"/>
      <c r="EE70" s="192"/>
      <c r="EF70" s="192"/>
      <c r="EG70" s="192"/>
      <c r="EH70" s="192"/>
      <c r="EI70" s="192"/>
      <c r="EJ70" s="192"/>
      <c r="EK70" s="192"/>
      <c r="EL70" s="192"/>
      <c r="EM70" s="192"/>
      <c r="EN70" s="192"/>
      <c r="EO70" s="192"/>
      <c r="EP70" s="192"/>
      <c r="EQ70" s="192"/>
      <c r="ER70" s="192"/>
      <c r="ES70" s="192"/>
      <c r="ET70" s="192"/>
      <c r="EU70" s="192"/>
      <c r="EV70" s="192"/>
      <c r="EW70" s="192"/>
      <c r="EX70" s="192"/>
      <c r="EY70" s="192"/>
      <c r="EZ70" s="192"/>
      <c r="FA70" s="192"/>
      <c r="FB70" s="192"/>
      <c r="FC70" s="192"/>
      <c r="FD70" s="192"/>
      <c r="FE70" s="192"/>
      <c r="FF70" s="192"/>
      <c r="FG70" s="192"/>
      <c r="FH70" s="192"/>
      <c r="FI70" s="192"/>
      <c r="FJ70" s="192"/>
      <c r="FK70" s="192"/>
      <c r="FL70" s="192"/>
      <c r="FM70" s="192"/>
      <c r="FN70" s="192"/>
      <c r="FO70" s="192"/>
      <c r="FP70" s="192"/>
      <c r="FQ70" s="192"/>
      <c r="FR70" s="192"/>
      <c r="FS70" s="192"/>
      <c r="FT70" s="192"/>
      <c r="FU70" s="192"/>
      <c r="FV70" s="192"/>
      <c r="FW70" s="192"/>
      <c r="FX70" s="192"/>
      <c r="FY70" s="192"/>
      <c r="FZ70" s="192"/>
      <c r="GA70" s="192"/>
      <c r="GB70" s="192"/>
      <c r="GC70" s="192"/>
      <c r="GD70" s="192"/>
      <c r="GE70" s="192"/>
      <c r="GF70" s="192"/>
      <c r="GG70" s="192"/>
      <c r="GH70" s="192"/>
      <c r="GI70" s="192"/>
      <c r="GJ70" s="192"/>
      <c r="GK70" s="192"/>
      <c r="GL70" s="192"/>
      <c r="GM70" s="192"/>
      <c r="GN70" s="192"/>
      <c r="GO70" s="192"/>
      <c r="GP70" s="192"/>
      <c r="GQ70" s="192"/>
      <c r="GR70" s="192"/>
      <c r="GS70" s="192"/>
      <c r="GT70" s="192"/>
      <c r="GU70" s="192"/>
      <c r="GV70" s="192"/>
      <c r="GW70" s="192"/>
      <c r="GX70" s="192"/>
      <c r="GY70" s="192"/>
      <c r="GZ70" s="192"/>
      <c r="HA70" s="192"/>
      <c r="HB70" s="192"/>
      <c r="HC70" s="192"/>
      <c r="HD70" s="192"/>
      <c r="HE70" s="192"/>
      <c r="HF70" s="192"/>
      <c r="HG70" s="192"/>
      <c r="HH70" s="192"/>
      <c r="HI70" s="192"/>
      <c r="HJ70" s="192"/>
      <c r="HK70" s="192"/>
      <c r="HL70" s="192"/>
      <c r="HM70" s="192"/>
      <c r="HN70" s="192"/>
      <c r="HO70" s="192"/>
      <c r="HP70" s="192"/>
      <c r="HQ70" s="192"/>
      <c r="HR70" s="192"/>
      <c r="HS70" s="192"/>
      <c r="HT70" s="192"/>
      <c r="HU70" s="192"/>
      <c r="HV70" s="192"/>
      <c r="HW70" s="192"/>
      <c r="HX70" s="192"/>
      <c r="HY70" s="192"/>
      <c r="HZ70" s="192"/>
      <c r="IA70" s="192"/>
      <c r="IB70" s="192"/>
      <c r="IC70" s="192"/>
      <c r="ID70" s="192"/>
      <c r="IE70" s="192"/>
      <c r="IF70" s="192"/>
      <c r="IG70" s="192"/>
      <c r="IH70" s="192"/>
      <c r="II70" s="192"/>
      <c r="IJ70" s="192"/>
      <c r="IK70" s="192"/>
      <c r="IL70" s="192"/>
      <c r="IM70" s="192"/>
      <c r="IN70" s="192"/>
      <c r="IO70" s="192"/>
      <c r="IP70" s="192"/>
      <c r="IQ70" s="192"/>
      <c r="IR70" s="192"/>
      <c r="IS70" s="192"/>
      <c r="IT70" s="192"/>
      <c r="IU70" s="192"/>
      <c r="IV70" s="192"/>
      <c r="IW70" s="192"/>
      <c r="IX70" s="192"/>
      <c r="IY70" s="181">
        <v>3</v>
      </c>
      <c r="IZ70" s="182">
        <f>(TEXT(K70,"[m]")/60)*VLOOKUP(IY70,'Income Person-hours'!A$2:C$5,3,FALSE)</f>
        <v>0</v>
      </c>
      <c r="JA70" s="183"/>
      <c r="JB70" s="183"/>
      <c r="JC70" s="183"/>
      <c r="JD70" s="199">
        <f>SUM((TEXT(JA70,"[M]")/60)*'Income Person-hours'!$D$3,(TEXT(JB70,"[M]")/60)*'Income Person-hours'!$D$4,(TEXT(JC70,"[M]")/60)*'Income Person-hours'!$D$5)</f>
        <v>0</v>
      </c>
    </row>
    <row r="71" spans="1:16384" s="200" customFormat="1" ht="13.5">
      <c r="A71" s="172">
        <v>5.5</v>
      </c>
      <c r="B71" s="186" t="s">
        <v>119</v>
      </c>
      <c r="C71" s="173" t="s">
        <v>72</v>
      </c>
      <c r="D71" s="196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1398/12/26</v>
      </c>
      <c r="E71" s="1">
        <f t="shared" si="33"/>
        <v>13981226</v>
      </c>
      <c r="F71" s="196" t="str">
        <f>IF(N71=0,J_SUBDAY(D71,1,1)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0,J_SUBDAY(J_ADDDAY(D71,N71,1)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1,J_SUBDAY(J_ADDDAY(D71,N71+1,1)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2,J_SUBDAY(J_ADDDAY(D71,N71+2,1),1,1),J_SUBDAY(J_ADDDAY(D71,N71+3,1),1,1)))))</f>
        <v>1399/01/03</v>
      </c>
      <c r="G71" s="2">
        <f t="shared" si="30"/>
        <v>13990103</v>
      </c>
      <c r="H71" s="175">
        <v>1</v>
      </c>
      <c r="I71" s="176">
        <v>5.4</v>
      </c>
      <c r="J71" s="190">
        <f>j_WEEKDAY(D71,2)</f>
        <v>2</v>
      </c>
      <c r="K71" s="13">
        <f t="shared" ref="K71:K72" si="39">SUM(JA71:JC71)</f>
        <v>0</v>
      </c>
      <c r="L71" s="191">
        <f t="shared" si="36"/>
        <v>7</v>
      </c>
      <c r="M71" s="178">
        <v>0.9</v>
      </c>
      <c r="N71" s="179">
        <v>4</v>
      </c>
      <c r="O71" s="6">
        <f t="shared" si="37"/>
        <v>6</v>
      </c>
      <c r="P71" s="6">
        <f>VALUE(J_normdate(J_ADDDAY($D71,$O71,1)))</f>
        <v>13990103</v>
      </c>
      <c r="Q71" s="5">
        <f t="shared" si="38"/>
        <v>1</v>
      </c>
      <c r="R71" s="192"/>
      <c r="S71" s="192"/>
      <c r="T71" s="192"/>
      <c r="U71" s="192"/>
      <c r="V71" s="192"/>
      <c r="W71" s="192"/>
      <c r="X71" s="192"/>
      <c r="Y71" s="192"/>
      <c r="Z71" s="192"/>
      <c r="AA71" s="192"/>
      <c r="AB71" s="192"/>
      <c r="AC71" s="192"/>
      <c r="AD71" s="192"/>
      <c r="AE71" s="192"/>
      <c r="AF71" s="192"/>
      <c r="AG71" s="192"/>
      <c r="AH71" s="192"/>
      <c r="AI71" s="192"/>
      <c r="AJ71" s="192"/>
      <c r="AK71" s="192"/>
      <c r="AL71" s="192"/>
      <c r="AM71" s="192"/>
      <c r="AN71" s="192"/>
      <c r="AO71" s="192"/>
      <c r="AP71" s="192"/>
      <c r="AQ71" s="192"/>
      <c r="AR71" s="192"/>
      <c r="AS71" s="192"/>
      <c r="AT71" s="192"/>
      <c r="AU71" s="192"/>
      <c r="AV71" s="192"/>
      <c r="AW71" s="192"/>
      <c r="AX71" s="192"/>
      <c r="AY71" s="192"/>
      <c r="AZ71" s="192"/>
      <c r="BA71" s="192"/>
      <c r="BB71" s="192"/>
      <c r="BC71" s="192"/>
      <c r="BD71" s="192"/>
      <c r="BE71" s="192"/>
      <c r="BF71" s="192"/>
      <c r="BG71" s="192"/>
      <c r="BH71" s="192"/>
      <c r="BI71" s="192"/>
      <c r="BJ71" s="192"/>
      <c r="BK71" s="192"/>
      <c r="BL71" s="192"/>
      <c r="BM71" s="192"/>
      <c r="BN71" s="192"/>
      <c r="BO71" s="192"/>
      <c r="BP71" s="192"/>
      <c r="BQ71" s="192"/>
      <c r="BR71" s="192"/>
      <c r="BS71" s="192"/>
      <c r="BT71" s="192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192"/>
      <c r="CO71" s="192"/>
      <c r="CP71" s="192"/>
      <c r="CQ71" s="192"/>
      <c r="CR71" s="192"/>
      <c r="CS71" s="192"/>
      <c r="CT71" s="192"/>
      <c r="CU71" s="192"/>
      <c r="CV71" s="192"/>
      <c r="CW71" s="192"/>
      <c r="CX71" s="192"/>
      <c r="CY71" s="192"/>
      <c r="CZ71" s="192"/>
      <c r="DA71" s="192"/>
      <c r="DB71" s="192"/>
      <c r="DC71" s="192"/>
      <c r="DD71" s="192"/>
      <c r="DE71" s="192"/>
      <c r="DF71" s="192"/>
      <c r="DG71" s="192"/>
      <c r="DH71" s="192"/>
      <c r="DI71" s="192"/>
      <c r="DJ71" s="192"/>
      <c r="DK71" s="192"/>
      <c r="DL71" s="192"/>
      <c r="DM71" s="192"/>
      <c r="DN71" s="192"/>
      <c r="DO71" s="192"/>
      <c r="DP71" s="192"/>
      <c r="DQ71" s="192"/>
      <c r="DR71" s="192"/>
      <c r="DS71" s="192"/>
      <c r="DT71" s="192"/>
      <c r="DU71" s="192"/>
      <c r="DV71" s="192"/>
      <c r="DW71" s="192"/>
      <c r="DX71" s="192"/>
      <c r="DY71" s="192"/>
      <c r="DZ71" s="192"/>
      <c r="EA71" s="192"/>
      <c r="EB71" s="192"/>
      <c r="EC71" s="192"/>
      <c r="ED71" s="192"/>
      <c r="EE71" s="192"/>
      <c r="EF71" s="192"/>
      <c r="EG71" s="192"/>
      <c r="EH71" s="192"/>
      <c r="EI71" s="192"/>
      <c r="EJ71" s="192"/>
      <c r="EK71" s="192"/>
      <c r="EL71" s="192"/>
      <c r="EM71" s="192"/>
      <c r="EN71" s="192"/>
      <c r="EO71" s="192"/>
      <c r="EP71" s="192"/>
      <c r="EQ71" s="192"/>
      <c r="ER71" s="192"/>
      <c r="ES71" s="192"/>
      <c r="ET71" s="192"/>
      <c r="EU71" s="192"/>
      <c r="EV71" s="192"/>
      <c r="EW71" s="192"/>
      <c r="EX71" s="192"/>
      <c r="EY71" s="192"/>
      <c r="EZ71" s="192"/>
      <c r="FA71" s="192"/>
      <c r="FB71" s="192"/>
      <c r="FC71" s="192"/>
      <c r="FD71" s="192"/>
      <c r="FE71" s="192"/>
      <c r="FF71" s="192"/>
      <c r="FG71" s="192"/>
      <c r="FH71" s="192"/>
      <c r="FI71" s="192"/>
      <c r="FJ71" s="192"/>
      <c r="FK71" s="192"/>
      <c r="FL71" s="192"/>
      <c r="FM71" s="192"/>
      <c r="FN71" s="192"/>
      <c r="FO71" s="192"/>
      <c r="FP71" s="192"/>
      <c r="FQ71" s="192"/>
      <c r="FR71" s="192"/>
      <c r="FS71" s="192"/>
      <c r="FT71" s="192"/>
      <c r="FU71" s="192"/>
      <c r="FV71" s="192"/>
      <c r="FW71" s="192"/>
      <c r="FX71" s="192"/>
      <c r="FY71" s="192"/>
      <c r="FZ71" s="192"/>
      <c r="GA71" s="192"/>
      <c r="GB71" s="192"/>
      <c r="GC71" s="192"/>
      <c r="GD71" s="192"/>
      <c r="GE71" s="192"/>
      <c r="GF71" s="192"/>
      <c r="GG71" s="192"/>
      <c r="GH71" s="192"/>
      <c r="GI71" s="192"/>
      <c r="GJ71" s="192"/>
      <c r="GK71" s="192"/>
      <c r="GL71" s="192"/>
      <c r="GM71" s="192"/>
      <c r="GN71" s="192"/>
      <c r="GO71" s="192"/>
      <c r="GP71" s="192"/>
      <c r="GQ71" s="192"/>
      <c r="GR71" s="192"/>
      <c r="GS71" s="192"/>
      <c r="GT71" s="192"/>
      <c r="GU71" s="192"/>
      <c r="GV71" s="192"/>
      <c r="GW71" s="192"/>
      <c r="GX71" s="192"/>
      <c r="GY71" s="192"/>
      <c r="GZ71" s="192"/>
      <c r="HA71" s="192"/>
      <c r="HB71" s="192"/>
      <c r="HC71" s="192"/>
      <c r="HD71" s="192"/>
      <c r="HE71" s="192"/>
      <c r="HF71" s="192"/>
      <c r="HG71" s="192"/>
      <c r="HH71" s="192"/>
      <c r="HI71" s="192"/>
      <c r="HJ71" s="192"/>
      <c r="HK71" s="192"/>
      <c r="HL71" s="192"/>
      <c r="HM71" s="192"/>
      <c r="HN71" s="192"/>
      <c r="HO71" s="192"/>
      <c r="HP71" s="192"/>
      <c r="HQ71" s="192"/>
      <c r="HR71" s="192"/>
      <c r="HS71" s="192"/>
      <c r="HT71" s="192"/>
      <c r="HU71" s="192"/>
      <c r="HV71" s="192"/>
      <c r="HW71" s="192"/>
      <c r="HX71" s="192"/>
      <c r="HY71" s="192"/>
      <c r="HZ71" s="192"/>
      <c r="IA71" s="192"/>
      <c r="IB71" s="192"/>
      <c r="IC71" s="192"/>
      <c r="ID71" s="192"/>
      <c r="IE71" s="192"/>
      <c r="IF71" s="192"/>
      <c r="IG71" s="192"/>
      <c r="IH71" s="192"/>
      <c r="II71" s="192"/>
      <c r="IJ71" s="192"/>
      <c r="IK71" s="192"/>
      <c r="IL71" s="192"/>
      <c r="IM71" s="192"/>
      <c r="IN71" s="192"/>
      <c r="IO71" s="192"/>
      <c r="IP71" s="192"/>
      <c r="IQ71" s="192"/>
      <c r="IR71" s="192"/>
      <c r="IS71" s="192"/>
      <c r="IT71" s="192"/>
      <c r="IU71" s="192"/>
      <c r="IV71" s="192"/>
      <c r="IW71" s="192"/>
      <c r="IX71" s="192"/>
      <c r="JA71" s="198"/>
      <c r="JB71" s="198"/>
      <c r="JC71" s="198"/>
      <c r="JD71" s="199">
        <f>SUM((TEXT(JA71,"[M]")/60)*'Income Person-hours'!$D$3,(TEXT(JB71,"[M]")/60)*'Income Person-hours'!$D$4,(TEXT(JC71,"[M]")/60)*'Income Person-hours'!$D$5)</f>
        <v>0</v>
      </c>
    </row>
    <row r="72" spans="1:16384" s="200" customFormat="1" ht="13.5">
      <c r="A72" s="188">
        <v>5.6</v>
      </c>
      <c r="B72" s="186" t="s">
        <v>120</v>
      </c>
      <c r="C72" s="173" t="s">
        <v>72</v>
      </c>
      <c r="D72" s="196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1398/12/15</v>
      </c>
      <c r="E72" s="1">
        <f t="shared" si="33"/>
        <v>13981215</v>
      </c>
      <c r="F72" s="196" t="str">
        <f>IF(N72=0,J_SUBDAY(D72,1,1)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0,J_SUBDAY(J_ADDDAY(D72,N72,1)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1,J_SUBDAY(J_ADDDAY(D72,N72+1,1)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2,J_SUBDAY(J_ADDDAY(D72,N72+2,1),1,1),J_SUBDAY(J_ADDDAY(D72,N72+3,1),1,1)))))</f>
        <v>1398/12/29</v>
      </c>
      <c r="G72" s="2">
        <f t="shared" si="30"/>
        <v>13981229</v>
      </c>
      <c r="H72" s="175">
        <v>1</v>
      </c>
      <c r="I72" s="176">
        <v>5.3</v>
      </c>
      <c r="J72" s="190">
        <f>j_WEEKDAY(D72,2)</f>
        <v>5</v>
      </c>
      <c r="K72" s="13">
        <f t="shared" si="39"/>
        <v>0</v>
      </c>
      <c r="L72" s="191">
        <f t="shared" si="36"/>
        <v>15</v>
      </c>
      <c r="M72" s="178">
        <v>0.9</v>
      </c>
      <c r="N72" s="179">
        <v>15</v>
      </c>
      <c r="O72" s="6">
        <f t="shared" si="37"/>
        <v>13</v>
      </c>
      <c r="P72" s="6">
        <f>VALUE(J_normdate(J_ADDDAY($D72,$O72,1)))</f>
        <v>13981228</v>
      </c>
      <c r="Q72" s="5">
        <f t="shared" si="38"/>
        <v>2</v>
      </c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192"/>
      <c r="CO72" s="192"/>
      <c r="CP72" s="192"/>
      <c r="CQ72" s="192"/>
      <c r="CR72" s="192"/>
      <c r="CS72" s="192"/>
      <c r="CT72" s="192"/>
      <c r="CU72" s="192"/>
      <c r="CV72" s="192"/>
      <c r="CW72" s="192"/>
      <c r="CX72" s="192"/>
      <c r="CY72" s="192"/>
      <c r="CZ72" s="192"/>
      <c r="DA72" s="192"/>
      <c r="DB72" s="192"/>
      <c r="DC72" s="192"/>
      <c r="DD72" s="192"/>
      <c r="DE72" s="192"/>
      <c r="DF72" s="192"/>
      <c r="DG72" s="192"/>
      <c r="DH72" s="192"/>
      <c r="DI72" s="192"/>
      <c r="DJ72" s="192"/>
      <c r="DK72" s="192"/>
      <c r="DL72" s="192"/>
      <c r="DM72" s="192"/>
      <c r="DN72" s="192"/>
      <c r="DO72" s="192"/>
      <c r="DP72" s="192"/>
      <c r="DQ72" s="192"/>
      <c r="DR72" s="192"/>
      <c r="DS72" s="192"/>
      <c r="DT72" s="192"/>
      <c r="DU72" s="192"/>
      <c r="DV72" s="192"/>
      <c r="DW72" s="192"/>
      <c r="DX72" s="192"/>
      <c r="DY72" s="192"/>
      <c r="DZ72" s="192"/>
      <c r="EA72" s="192"/>
      <c r="EB72" s="192"/>
      <c r="EC72" s="192"/>
      <c r="ED72" s="192"/>
      <c r="EE72" s="192"/>
      <c r="EF72" s="192"/>
      <c r="EG72" s="192"/>
      <c r="EH72" s="192"/>
      <c r="EI72" s="192"/>
      <c r="EJ72" s="192"/>
      <c r="EK72" s="192"/>
      <c r="EL72" s="192"/>
      <c r="EM72" s="192"/>
      <c r="EN72" s="192"/>
      <c r="EO72" s="192"/>
      <c r="EP72" s="192"/>
      <c r="EQ72" s="192"/>
      <c r="ER72" s="192"/>
      <c r="ES72" s="192"/>
      <c r="ET72" s="192"/>
      <c r="EU72" s="192"/>
      <c r="EV72" s="192"/>
      <c r="EW72" s="192"/>
      <c r="EX72" s="192"/>
      <c r="EY72" s="192"/>
      <c r="EZ72" s="192"/>
      <c r="FA72" s="192"/>
      <c r="FB72" s="192"/>
      <c r="FC72" s="192"/>
      <c r="FD72" s="192"/>
      <c r="FE72" s="192"/>
      <c r="FF72" s="192"/>
      <c r="FG72" s="192"/>
      <c r="FH72" s="192"/>
      <c r="FI72" s="192"/>
      <c r="FJ72" s="192"/>
      <c r="FK72" s="192"/>
      <c r="FL72" s="192"/>
      <c r="FM72" s="192"/>
      <c r="FN72" s="192"/>
      <c r="FO72" s="192"/>
      <c r="FP72" s="192"/>
      <c r="FQ72" s="192"/>
      <c r="FR72" s="192"/>
      <c r="FS72" s="192"/>
      <c r="FT72" s="192"/>
      <c r="FU72" s="192"/>
      <c r="FV72" s="192"/>
      <c r="FW72" s="192"/>
      <c r="FX72" s="192"/>
      <c r="FY72" s="192"/>
      <c r="FZ72" s="192"/>
      <c r="GA72" s="192"/>
      <c r="GB72" s="192"/>
      <c r="GC72" s="192"/>
      <c r="GD72" s="192"/>
      <c r="GE72" s="192"/>
      <c r="GF72" s="192"/>
      <c r="GG72" s="192"/>
      <c r="GH72" s="192"/>
      <c r="GI72" s="192"/>
      <c r="GJ72" s="192"/>
      <c r="GK72" s="192"/>
      <c r="GL72" s="192"/>
      <c r="GM72" s="192"/>
      <c r="GN72" s="192"/>
      <c r="GO72" s="192"/>
      <c r="GP72" s="192"/>
      <c r="GQ72" s="192"/>
      <c r="GR72" s="192"/>
      <c r="GS72" s="192"/>
      <c r="GT72" s="192"/>
      <c r="GU72" s="192"/>
      <c r="GV72" s="192"/>
      <c r="GW72" s="192"/>
      <c r="GX72" s="192"/>
      <c r="GY72" s="192"/>
      <c r="GZ72" s="192"/>
      <c r="HA72" s="192"/>
      <c r="HB72" s="192"/>
      <c r="HC72" s="192"/>
      <c r="HD72" s="192"/>
      <c r="HE72" s="192"/>
      <c r="HF72" s="192"/>
      <c r="HG72" s="192"/>
      <c r="HH72" s="192"/>
      <c r="HI72" s="192"/>
      <c r="HJ72" s="192"/>
      <c r="HK72" s="192"/>
      <c r="HL72" s="192"/>
      <c r="HM72" s="192"/>
      <c r="HN72" s="192"/>
      <c r="HO72" s="192"/>
      <c r="HP72" s="192"/>
      <c r="HQ72" s="192"/>
      <c r="HR72" s="192"/>
      <c r="HS72" s="192"/>
      <c r="HT72" s="192"/>
      <c r="HU72" s="192"/>
      <c r="HV72" s="192"/>
      <c r="HW72" s="192"/>
      <c r="HX72" s="192"/>
      <c r="HY72" s="192"/>
      <c r="HZ72" s="192"/>
      <c r="IA72" s="192"/>
      <c r="IB72" s="192"/>
      <c r="IC72" s="192"/>
      <c r="ID72" s="192"/>
      <c r="IE72" s="192"/>
      <c r="IF72" s="192"/>
      <c r="IG72" s="192"/>
      <c r="IH72" s="192"/>
      <c r="II72" s="192"/>
      <c r="IJ72" s="192"/>
      <c r="IK72" s="192"/>
      <c r="IL72" s="192"/>
      <c r="IM72" s="192"/>
      <c r="IN72" s="192"/>
      <c r="IO72" s="192"/>
      <c r="IP72" s="192"/>
      <c r="IQ72" s="192"/>
      <c r="IR72" s="192"/>
      <c r="IS72" s="192"/>
      <c r="IT72" s="192"/>
      <c r="IU72" s="192"/>
      <c r="IV72" s="192"/>
      <c r="IW72" s="192"/>
      <c r="IX72" s="192"/>
      <c r="JA72" s="183"/>
      <c r="JB72" s="183"/>
      <c r="JC72" s="183"/>
      <c r="JD72" s="199">
        <f>SUM((TEXT(JA72,"[M]")/60)*'Income Person-hours'!$D$3,(TEXT(JB72,"[M]")/60)*'Income Person-hours'!$D$4,(TEXT(JC72,"[M]")/60)*'Income Person-hours'!$D$5)</f>
        <v>0</v>
      </c>
    </row>
    <row r="73" spans="1:16384" s="288" customFormat="1" ht="13.5">
      <c r="A73" s="284">
        <v>6</v>
      </c>
      <c r="B73" s="271" t="s">
        <v>107</v>
      </c>
      <c r="C73" s="272"/>
      <c r="D73" s="273" t="str">
        <f>FDate(MIN(E74:E76))</f>
        <v>1398/10/02</v>
      </c>
      <c r="E73" s="136">
        <f t="shared" ref="E73:E76" si="40">VALUE(J_normdate(D73))</f>
        <v>13981002</v>
      </c>
      <c r="F73" s="273" t="str">
        <f>J_SUBDAY(J_ADDDAY(D73,L73,1),1,1)</f>
        <v>1398/11/01</v>
      </c>
      <c r="G73" s="139">
        <f t="shared" ref="G73:G76" si="41">VALUE(J_normdate(F73))</f>
        <v>13981101</v>
      </c>
      <c r="H73" s="285"/>
      <c r="I73" s="286"/>
      <c r="J73" s="273">
        <f>j_WEEKDAY(D73,2)</f>
        <v>2</v>
      </c>
      <c r="K73" s="140">
        <f>SUM(K74:K76)</f>
        <v>0</v>
      </c>
      <c r="L73" s="276">
        <f>J_DIFF(D73,FDate(MAX(G74:G76)))+1</f>
        <v>30</v>
      </c>
      <c r="M73" s="277">
        <f>IF(SUM(L74:L76)&lt;&gt;0,SUMPRODUCT(L74:L76,M74:M76)/SUM(L74:L76),0)</f>
        <v>1</v>
      </c>
      <c r="N73" s="278">
        <f>IF(F73&gt;=D73,NETWORKDAYS.INTL(J_GregorianDate(D73,1),J_GregorianDate(F73,1),16,1)-SUMIFS(Holieday[ok],Holieday[date],CONCATENATE("&gt;","=",D73),Holieday[date],CONCATENATE("&lt;","=",F73))+SUMIFS(Holieday[Friday],Holieday[date],CONCATENATE("&gt;","=",D73),Holieday[date],CONCATENATE("&lt;","=",F73)),0)</f>
        <v>26</v>
      </c>
      <c r="O73" s="135">
        <f t="shared" ref="O73:O74" si="42">ROUNDDOWN(M73*L73,0)</f>
        <v>30</v>
      </c>
      <c r="P73" s="135">
        <f>VALUE(J_normdate(J_ADDDAY($D73,$O73,1)))</f>
        <v>13981102</v>
      </c>
      <c r="Q73" s="138">
        <f t="shared" ref="Q73:Q74" si="43">L73-O73</f>
        <v>0</v>
      </c>
      <c r="IY73" s="289"/>
      <c r="IZ73" s="290"/>
      <c r="JA73" s="291"/>
      <c r="JB73" s="291"/>
      <c r="JC73" s="291"/>
      <c r="JD73" s="292"/>
    </row>
    <row r="74" spans="1:16384" s="221" customFormat="1" ht="13.5">
      <c r="A74" s="214">
        <v>6.1</v>
      </c>
      <c r="B74" s="186" t="s">
        <v>129</v>
      </c>
      <c r="C74" s="173" t="s">
        <v>72</v>
      </c>
      <c r="D74" s="189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1398/10/02</v>
      </c>
      <c r="E74" s="136">
        <f t="shared" si="40"/>
        <v>13981002</v>
      </c>
      <c r="F74" s="299" t="str">
        <f>IF(N74=0,J_SUBDAY(D74,1,1)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0,J_SUBDAY(J_ADDDAY(D74,N74,1)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1,J_SUBDAY(J_ADDDAY(D74,N74+1,1)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2,J_SUBDAY(J_ADDDAY(D74,N74+2,1),1,1),J_SUBDAY(J_ADDDAY(D74,N74+3,1),1,1)))))</f>
        <v>1398/10/12</v>
      </c>
      <c r="G74" s="139">
        <f t="shared" si="41"/>
        <v>13981012</v>
      </c>
      <c r="H74" s="175">
        <v>1</v>
      </c>
      <c r="I74" s="176">
        <v>1.1000000000000001</v>
      </c>
      <c r="J74" s="174">
        <f>j_WEEKDAY(D74,2)</f>
        <v>2</v>
      </c>
      <c r="K74" s="143">
        <f t="shared" ref="K74:K76" si="44">SUM(JA74:JC74)</f>
        <v>0</v>
      </c>
      <c r="L74" s="215">
        <f t="shared" ref="L74:L76" si="45">J_DIFF(D74,F74)+1</f>
        <v>11</v>
      </c>
      <c r="M74" s="216">
        <v>1</v>
      </c>
      <c r="N74" s="179">
        <v>10</v>
      </c>
      <c r="O74" s="144">
        <f t="shared" si="42"/>
        <v>11</v>
      </c>
      <c r="P74" s="144">
        <f>VALUE(J_normdate(J_ADDDAY($D74,$O74,1)))</f>
        <v>13981013</v>
      </c>
      <c r="Q74" s="142">
        <f t="shared" si="43"/>
        <v>0</v>
      </c>
      <c r="R74" s="180"/>
      <c r="S74" s="180"/>
      <c r="T74" s="180"/>
      <c r="U74" s="180"/>
      <c r="V74" s="180"/>
      <c r="W74" s="180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0"/>
      <c r="AP74" s="180"/>
      <c r="AQ74" s="180"/>
      <c r="AR74" s="180"/>
      <c r="AS74" s="180"/>
      <c r="AT74" s="180"/>
      <c r="AU74" s="180"/>
      <c r="AV74" s="180"/>
      <c r="AW74" s="180"/>
      <c r="AX74" s="180"/>
      <c r="AY74" s="180"/>
      <c r="AZ74" s="180"/>
      <c r="BA74" s="180"/>
      <c r="BB74" s="180"/>
      <c r="BC74" s="180"/>
      <c r="BD74" s="180"/>
      <c r="BE74" s="180"/>
      <c r="BF74" s="180"/>
      <c r="BG74" s="180"/>
      <c r="BH74" s="180"/>
      <c r="BI74" s="180"/>
      <c r="BJ74" s="180"/>
      <c r="BK74" s="180"/>
      <c r="BL74" s="180"/>
      <c r="BM74" s="180"/>
      <c r="BN74" s="180"/>
      <c r="BO74" s="180"/>
      <c r="BP74" s="180"/>
      <c r="BQ74" s="180"/>
      <c r="BR74" s="180"/>
      <c r="BS74" s="180"/>
      <c r="BT74" s="180"/>
      <c r="BU74" s="180"/>
      <c r="BV74" s="180"/>
      <c r="BW74" s="180"/>
      <c r="BX74" s="180"/>
      <c r="BY74" s="180"/>
      <c r="BZ74" s="180"/>
      <c r="CA74" s="180"/>
      <c r="CB74" s="180"/>
      <c r="CC74" s="180"/>
      <c r="CD74" s="180"/>
      <c r="CE74" s="180"/>
      <c r="CF74" s="180"/>
      <c r="CG74" s="180"/>
      <c r="CH74" s="180"/>
      <c r="CI74" s="180"/>
      <c r="CJ74" s="180"/>
      <c r="CK74" s="180"/>
      <c r="CL74" s="180"/>
      <c r="CM74" s="180"/>
      <c r="CN74" s="180"/>
      <c r="CO74" s="180"/>
      <c r="CP74" s="180"/>
      <c r="CQ74" s="180"/>
      <c r="CR74" s="180"/>
      <c r="CS74" s="180"/>
      <c r="CT74" s="180"/>
      <c r="CU74" s="180"/>
      <c r="CV74" s="180"/>
      <c r="CW74" s="180"/>
      <c r="CX74" s="180"/>
      <c r="CY74" s="180"/>
      <c r="CZ74" s="180"/>
      <c r="DA74" s="180"/>
      <c r="DB74" s="180"/>
      <c r="DC74" s="180"/>
      <c r="DD74" s="180"/>
      <c r="DE74" s="180"/>
      <c r="DF74" s="180"/>
      <c r="DG74" s="180"/>
      <c r="DH74" s="180"/>
      <c r="DI74" s="180"/>
      <c r="DJ74" s="180"/>
      <c r="DK74" s="180"/>
      <c r="DL74" s="180"/>
      <c r="DM74" s="180"/>
      <c r="DN74" s="180"/>
      <c r="DO74" s="180"/>
      <c r="DP74" s="180"/>
      <c r="DQ74" s="180"/>
      <c r="DR74" s="180"/>
      <c r="DS74" s="180"/>
      <c r="DT74" s="180"/>
      <c r="DU74" s="180"/>
      <c r="DV74" s="180"/>
      <c r="DW74" s="180"/>
      <c r="DX74" s="180"/>
      <c r="DY74" s="180"/>
      <c r="DZ74" s="180"/>
      <c r="EA74" s="180"/>
      <c r="EB74" s="180"/>
      <c r="EC74" s="180"/>
      <c r="ED74" s="180"/>
      <c r="EE74" s="180"/>
      <c r="EF74" s="180"/>
      <c r="EG74" s="180"/>
      <c r="EH74" s="180"/>
      <c r="EI74" s="180"/>
      <c r="EJ74" s="180"/>
      <c r="EK74" s="180"/>
      <c r="EL74" s="180"/>
      <c r="EM74" s="180"/>
      <c r="EN74" s="180"/>
      <c r="EO74" s="180"/>
      <c r="EP74" s="180"/>
      <c r="EQ74" s="180"/>
      <c r="ER74" s="180"/>
      <c r="ES74" s="180"/>
      <c r="ET74" s="180"/>
      <c r="EU74" s="180"/>
      <c r="EV74" s="180"/>
      <c r="EW74" s="180"/>
      <c r="EX74" s="180"/>
      <c r="EY74" s="180"/>
      <c r="EZ74" s="180"/>
      <c r="FA74" s="180"/>
      <c r="FB74" s="180"/>
      <c r="FC74" s="180"/>
      <c r="FD74" s="180"/>
      <c r="FE74" s="180"/>
      <c r="FF74" s="180"/>
      <c r="FG74" s="180"/>
      <c r="FH74" s="180"/>
      <c r="FI74" s="180"/>
      <c r="FJ74" s="180"/>
      <c r="FK74" s="180"/>
      <c r="FL74" s="180"/>
      <c r="FM74" s="180"/>
      <c r="FN74" s="180"/>
      <c r="FO74" s="180"/>
      <c r="FP74" s="180"/>
      <c r="FQ74" s="180"/>
      <c r="FR74" s="180"/>
      <c r="FS74" s="180"/>
      <c r="FT74" s="180"/>
      <c r="FU74" s="180"/>
      <c r="FV74" s="180"/>
      <c r="FW74" s="180"/>
      <c r="FX74" s="180"/>
      <c r="FY74" s="180"/>
      <c r="FZ74" s="180"/>
      <c r="GA74" s="180"/>
      <c r="GB74" s="180"/>
      <c r="GC74" s="180"/>
      <c r="GD74" s="180"/>
      <c r="GE74" s="180"/>
      <c r="GF74" s="180"/>
      <c r="GG74" s="180"/>
      <c r="GH74" s="180"/>
      <c r="GI74" s="180"/>
      <c r="GJ74" s="180"/>
      <c r="GK74" s="180"/>
      <c r="GL74" s="180"/>
      <c r="GM74" s="180"/>
      <c r="GN74" s="180"/>
      <c r="GO74" s="180"/>
      <c r="GP74" s="180"/>
      <c r="GQ74" s="180"/>
      <c r="GR74" s="180"/>
      <c r="GS74" s="180"/>
      <c r="GT74" s="180"/>
      <c r="GU74" s="180"/>
      <c r="GV74" s="180"/>
      <c r="GW74" s="180"/>
      <c r="GX74" s="180"/>
      <c r="GY74" s="180"/>
      <c r="GZ74" s="180"/>
      <c r="HA74" s="180"/>
      <c r="HB74" s="180"/>
      <c r="HC74" s="180"/>
      <c r="HD74" s="180"/>
      <c r="HE74" s="180"/>
      <c r="HF74" s="180"/>
      <c r="HG74" s="180"/>
      <c r="HH74" s="180"/>
      <c r="HI74" s="180"/>
      <c r="HJ74" s="180"/>
      <c r="HK74" s="180"/>
      <c r="HL74" s="180"/>
      <c r="HM74" s="180"/>
      <c r="HN74" s="180"/>
      <c r="HO74" s="180"/>
      <c r="HP74" s="180"/>
      <c r="HQ74" s="180"/>
      <c r="HR74" s="180"/>
      <c r="HS74" s="180"/>
      <c r="HT74" s="180"/>
      <c r="HU74" s="180"/>
      <c r="HV74" s="180"/>
      <c r="HW74" s="180"/>
      <c r="HX74" s="180"/>
      <c r="HY74" s="180"/>
      <c r="HZ74" s="180"/>
      <c r="IA74" s="180"/>
      <c r="IB74" s="180"/>
      <c r="IC74" s="180"/>
      <c r="ID74" s="180"/>
      <c r="IE74" s="180"/>
      <c r="IF74" s="180"/>
      <c r="IG74" s="180"/>
      <c r="IH74" s="180"/>
      <c r="II74" s="180"/>
      <c r="IJ74" s="180"/>
      <c r="IK74" s="180"/>
      <c r="IL74" s="180"/>
      <c r="IM74" s="180"/>
      <c r="IN74" s="180"/>
      <c r="IO74" s="180"/>
      <c r="IP74" s="180"/>
      <c r="IQ74" s="180"/>
      <c r="IR74" s="180"/>
      <c r="IS74" s="180"/>
      <c r="IT74" s="180"/>
      <c r="IU74" s="180"/>
      <c r="IV74" s="180"/>
      <c r="IW74" s="180"/>
      <c r="IX74" s="180"/>
      <c r="IY74" s="217">
        <v>1</v>
      </c>
      <c r="IZ74" s="217">
        <f>(TEXT(K74,"[m]")/60)*VLOOKUP(IY74,'Income Person-hours'!A$2:C$5,3,FALSE)</f>
        <v>0</v>
      </c>
      <c r="JA74" s="194"/>
      <c r="JB74" s="218"/>
      <c r="JC74" s="219"/>
      <c r="JD74" s="220">
        <f>SUM((TEXT(JA74,"[M]")/60)*'Income Person-hours'!$D$3,(TEXT(JB74,"[M]")/60)*'Income Person-hours'!$D$4,(TEXT(JC74,"[M]")/60)*'Income Person-hours'!$D$5)</f>
        <v>0</v>
      </c>
      <c r="JE74" s="180"/>
      <c r="JF74" s="180"/>
      <c r="JG74" s="180"/>
      <c r="JH74" s="180"/>
      <c r="JI74" s="180"/>
      <c r="JJ74" s="180"/>
      <c r="JK74" s="180"/>
      <c r="JL74" s="180"/>
      <c r="JM74" s="180"/>
      <c r="JN74" s="180"/>
      <c r="JO74" s="180"/>
      <c r="JP74" s="180"/>
      <c r="JQ74" s="180"/>
      <c r="JR74" s="180"/>
      <c r="JS74" s="180"/>
      <c r="JT74" s="180"/>
      <c r="JU74" s="180"/>
      <c r="JV74" s="180"/>
      <c r="JW74" s="180"/>
      <c r="JX74" s="180"/>
      <c r="JY74" s="180"/>
      <c r="JZ74" s="180"/>
      <c r="KA74" s="180"/>
      <c r="KB74" s="180"/>
      <c r="KC74" s="180"/>
      <c r="KD74" s="180"/>
      <c r="KE74" s="180"/>
      <c r="KF74" s="180"/>
      <c r="KG74" s="180"/>
      <c r="KH74" s="180"/>
      <c r="KI74" s="180"/>
      <c r="KJ74" s="180"/>
      <c r="KK74" s="180"/>
      <c r="KL74" s="180"/>
      <c r="KM74" s="180"/>
      <c r="KN74" s="180"/>
      <c r="KO74" s="180"/>
      <c r="KP74" s="180"/>
      <c r="KQ74" s="180"/>
      <c r="KR74" s="180"/>
      <c r="KS74" s="180"/>
      <c r="KT74" s="180"/>
      <c r="KU74" s="180"/>
      <c r="KV74" s="180"/>
      <c r="KW74" s="180"/>
      <c r="KX74" s="180"/>
      <c r="KY74" s="180"/>
      <c r="KZ74" s="180"/>
      <c r="LA74" s="180"/>
      <c r="LB74" s="180"/>
      <c r="LC74" s="180"/>
      <c r="LD74" s="180"/>
      <c r="LE74" s="180"/>
      <c r="LF74" s="180"/>
      <c r="LG74" s="180"/>
      <c r="LH74" s="180"/>
      <c r="LI74" s="180"/>
      <c r="LJ74" s="180"/>
      <c r="LK74" s="180"/>
      <c r="LL74" s="180"/>
      <c r="LM74" s="180"/>
      <c r="LN74" s="180"/>
      <c r="LO74" s="180"/>
      <c r="LP74" s="180"/>
      <c r="LQ74" s="180"/>
      <c r="LR74" s="180"/>
      <c r="LS74" s="180"/>
      <c r="LT74" s="180"/>
      <c r="LU74" s="180"/>
      <c r="LV74" s="180"/>
      <c r="LW74" s="180"/>
      <c r="LX74" s="180"/>
      <c r="LY74" s="180"/>
      <c r="LZ74" s="180"/>
      <c r="MA74" s="180"/>
      <c r="MB74" s="180"/>
      <c r="MC74" s="180"/>
      <c r="MD74" s="180"/>
      <c r="ME74" s="180"/>
      <c r="MF74" s="180"/>
      <c r="MG74" s="180"/>
      <c r="MH74" s="180"/>
      <c r="MI74" s="180"/>
      <c r="MJ74" s="180"/>
      <c r="MK74" s="180"/>
      <c r="ML74" s="180"/>
      <c r="MM74" s="180"/>
      <c r="MN74" s="180"/>
      <c r="MO74" s="180"/>
      <c r="MP74" s="180"/>
      <c r="MQ74" s="180"/>
      <c r="MR74" s="180"/>
      <c r="MS74" s="180"/>
      <c r="MT74" s="180"/>
      <c r="MU74" s="180"/>
      <c r="MV74" s="180"/>
      <c r="MW74" s="180"/>
      <c r="MX74" s="180"/>
      <c r="MY74" s="180"/>
      <c r="MZ74" s="180"/>
      <c r="NA74" s="180"/>
      <c r="NB74" s="180"/>
      <c r="NC74" s="180"/>
      <c r="ND74" s="180"/>
      <c r="NE74" s="180"/>
      <c r="NF74" s="180"/>
      <c r="NG74" s="180"/>
      <c r="NH74" s="180"/>
      <c r="NI74" s="180"/>
      <c r="NJ74" s="180"/>
      <c r="NK74" s="180"/>
      <c r="NL74" s="180"/>
      <c r="NM74" s="180"/>
      <c r="NN74" s="180"/>
      <c r="NO74" s="180"/>
      <c r="NP74" s="180"/>
      <c r="NQ74" s="180"/>
      <c r="NR74" s="180"/>
      <c r="NS74" s="180"/>
      <c r="NT74" s="180"/>
      <c r="NU74" s="180"/>
      <c r="NV74" s="180"/>
      <c r="NW74" s="180"/>
      <c r="NX74" s="180"/>
      <c r="NY74" s="180"/>
      <c r="NZ74" s="180"/>
      <c r="OA74" s="180"/>
      <c r="OB74" s="180"/>
      <c r="OC74" s="180"/>
      <c r="OD74" s="180"/>
      <c r="OE74" s="180"/>
      <c r="OF74" s="180"/>
      <c r="OG74" s="180"/>
      <c r="OH74" s="180"/>
      <c r="OI74" s="180"/>
      <c r="OJ74" s="180"/>
      <c r="OK74" s="180"/>
      <c r="OL74" s="180"/>
      <c r="OM74" s="180"/>
      <c r="ON74" s="180"/>
      <c r="OO74" s="180"/>
      <c r="OP74" s="180"/>
      <c r="OQ74" s="180"/>
      <c r="OR74" s="180"/>
      <c r="OS74" s="180"/>
      <c r="OT74" s="180"/>
      <c r="OU74" s="180"/>
      <c r="OV74" s="180"/>
      <c r="OW74" s="180"/>
      <c r="OX74" s="180"/>
      <c r="OY74" s="180"/>
      <c r="OZ74" s="180"/>
      <c r="PA74" s="180"/>
      <c r="PB74" s="180"/>
      <c r="PC74" s="180"/>
      <c r="PD74" s="180"/>
      <c r="PE74" s="180"/>
      <c r="PF74" s="180"/>
      <c r="PG74" s="180"/>
      <c r="PH74" s="180"/>
      <c r="PI74" s="180"/>
      <c r="PJ74" s="180"/>
      <c r="PK74" s="180"/>
      <c r="PL74" s="180"/>
      <c r="PM74" s="180"/>
      <c r="PN74" s="180"/>
      <c r="PO74" s="180"/>
      <c r="PP74" s="180"/>
      <c r="PQ74" s="180"/>
      <c r="PR74" s="180"/>
      <c r="PS74" s="180"/>
      <c r="PT74" s="180"/>
      <c r="PU74" s="180"/>
      <c r="PV74" s="180"/>
      <c r="PW74" s="180"/>
      <c r="PX74" s="180"/>
      <c r="PY74" s="180"/>
      <c r="PZ74" s="180"/>
      <c r="QA74" s="180"/>
      <c r="QB74" s="180"/>
      <c r="QC74" s="180"/>
      <c r="QD74" s="180"/>
      <c r="QE74" s="180"/>
      <c r="QF74" s="180"/>
      <c r="QG74" s="180"/>
      <c r="QH74" s="180"/>
      <c r="QI74" s="180"/>
      <c r="QJ74" s="180"/>
      <c r="QK74" s="180"/>
      <c r="QL74" s="180"/>
      <c r="QM74" s="180"/>
      <c r="QN74" s="180"/>
      <c r="QO74" s="180"/>
      <c r="QP74" s="180"/>
      <c r="QQ74" s="180"/>
      <c r="QR74" s="180"/>
      <c r="QS74" s="180"/>
      <c r="QT74" s="180"/>
      <c r="QU74" s="180"/>
      <c r="QV74" s="180"/>
      <c r="QW74" s="180"/>
      <c r="QX74" s="180"/>
      <c r="QY74" s="180"/>
      <c r="QZ74" s="180"/>
      <c r="RA74" s="180"/>
      <c r="RB74" s="180"/>
      <c r="RC74" s="180"/>
      <c r="RD74" s="180"/>
      <c r="RE74" s="180"/>
      <c r="RF74" s="180"/>
      <c r="RG74" s="180"/>
      <c r="RH74" s="180"/>
      <c r="RI74" s="180"/>
      <c r="RJ74" s="180"/>
      <c r="RK74" s="180"/>
      <c r="RL74" s="180"/>
      <c r="RM74" s="180"/>
      <c r="RN74" s="180"/>
      <c r="RO74" s="180"/>
      <c r="RP74" s="180"/>
      <c r="RQ74" s="180"/>
      <c r="RR74" s="180"/>
      <c r="RS74" s="180"/>
      <c r="RT74" s="180"/>
      <c r="RU74" s="180"/>
      <c r="RV74" s="180"/>
      <c r="RW74" s="180"/>
      <c r="RX74" s="180"/>
      <c r="RY74" s="180"/>
      <c r="RZ74" s="180"/>
      <c r="SA74" s="180"/>
      <c r="SB74" s="180"/>
      <c r="SC74" s="180"/>
      <c r="SD74" s="180"/>
      <c r="SE74" s="180"/>
      <c r="SF74" s="180"/>
      <c r="SG74" s="180"/>
      <c r="SH74" s="180"/>
      <c r="SI74" s="180"/>
      <c r="SJ74" s="180"/>
      <c r="SK74" s="180"/>
      <c r="SL74" s="180"/>
      <c r="SM74" s="180"/>
      <c r="SN74" s="180"/>
      <c r="SO74" s="180"/>
      <c r="SP74" s="180"/>
      <c r="SQ74" s="180"/>
      <c r="SR74" s="180"/>
      <c r="SS74" s="180"/>
      <c r="ST74" s="180"/>
      <c r="SU74" s="180"/>
      <c r="SV74" s="180"/>
      <c r="SW74" s="180"/>
      <c r="SX74" s="180"/>
      <c r="SY74" s="180"/>
      <c r="SZ74" s="180"/>
      <c r="TA74" s="180"/>
      <c r="TB74" s="180"/>
      <c r="TC74" s="180"/>
      <c r="TD74" s="180"/>
      <c r="TE74" s="180"/>
      <c r="TF74" s="180"/>
      <c r="TG74" s="180"/>
      <c r="TH74" s="180"/>
      <c r="TI74" s="180"/>
      <c r="TJ74" s="180"/>
      <c r="TK74" s="180"/>
      <c r="TL74" s="180"/>
      <c r="TM74" s="180"/>
      <c r="TN74" s="180"/>
      <c r="TO74" s="180"/>
      <c r="TP74" s="180"/>
      <c r="TQ74" s="180"/>
      <c r="TR74" s="180"/>
      <c r="TS74" s="180"/>
      <c r="TT74" s="180"/>
      <c r="TU74" s="180"/>
      <c r="TV74" s="180"/>
      <c r="TW74" s="180"/>
      <c r="TX74" s="180"/>
      <c r="TY74" s="180"/>
      <c r="TZ74" s="180"/>
      <c r="UA74" s="180"/>
      <c r="UB74" s="180"/>
      <c r="UC74" s="180"/>
      <c r="UD74" s="180"/>
      <c r="UE74" s="180"/>
      <c r="UF74" s="180"/>
      <c r="UG74" s="180"/>
      <c r="UH74" s="180"/>
      <c r="UI74" s="180"/>
      <c r="UJ74" s="180"/>
      <c r="UK74" s="180"/>
      <c r="UL74" s="180"/>
      <c r="UM74" s="180"/>
      <c r="UN74" s="180"/>
      <c r="UO74" s="180"/>
      <c r="UP74" s="180"/>
      <c r="UQ74" s="180"/>
      <c r="UR74" s="180"/>
      <c r="US74" s="180"/>
      <c r="UT74" s="180"/>
      <c r="UU74" s="180"/>
      <c r="UV74" s="180"/>
      <c r="UW74" s="180"/>
      <c r="UX74" s="180"/>
      <c r="UY74" s="180"/>
      <c r="UZ74" s="180"/>
      <c r="VA74" s="180"/>
      <c r="VB74" s="180"/>
      <c r="VC74" s="180"/>
      <c r="VD74" s="180"/>
      <c r="VE74" s="180"/>
      <c r="VF74" s="180"/>
      <c r="VG74" s="180"/>
      <c r="VH74" s="180"/>
      <c r="VI74" s="180"/>
      <c r="VJ74" s="180"/>
      <c r="VK74" s="180"/>
      <c r="VL74" s="180"/>
      <c r="VM74" s="180"/>
      <c r="VN74" s="180"/>
      <c r="VO74" s="180"/>
      <c r="VP74" s="180"/>
      <c r="VQ74" s="180"/>
      <c r="VR74" s="180"/>
      <c r="VS74" s="180"/>
      <c r="VT74" s="180"/>
      <c r="VU74" s="180"/>
      <c r="VV74" s="180"/>
      <c r="VW74" s="180"/>
      <c r="VX74" s="180"/>
      <c r="VY74" s="180"/>
      <c r="VZ74" s="180"/>
      <c r="WA74" s="180"/>
      <c r="WB74" s="180"/>
      <c r="WC74" s="180"/>
      <c r="WD74" s="180"/>
      <c r="WE74" s="180"/>
      <c r="WF74" s="180"/>
      <c r="WG74" s="180"/>
      <c r="WH74" s="180"/>
      <c r="WI74" s="180"/>
      <c r="WJ74" s="180"/>
      <c r="WK74" s="180"/>
      <c r="WL74" s="180"/>
      <c r="WM74" s="180"/>
      <c r="WN74" s="180"/>
      <c r="WO74" s="180"/>
      <c r="WP74" s="180"/>
      <c r="WQ74" s="180"/>
      <c r="WR74" s="180"/>
      <c r="WS74" s="180"/>
      <c r="WT74" s="180"/>
      <c r="WU74" s="180"/>
      <c r="WV74" s="180"/>
      <c r="WW74" s="180"/>
      <c r="WX74" s="180"/>
      <c r="WY74" s="180"/>
      <c r="WZ74" s="180"/>
      <c r="XA74" s="180"/>
      <c r="XB74" s="180"/>
      <c r="XC74" s="180"/>
      <c r="XD74" s="180"/>
      <c r="XE74" s="180"/>
      <c r="XF74" s="180"/>
      <c r="XG74" s="180"/>
      <c r="XH74" s="180"/>
      <c r="XI74" s="180"/>
      <c r="XJ74" s="180"/>
      <c r="XK74" s="180"/>
      <c r="XL74" s="180"/>
      <c r="XM74" s="180"/>
      <c r="XN74" s="180"/>
      <c r="XO74" s="180"/>
      <c r="XP74" s="180"/>
      <c r="XQ74" s="180"/>
      <c r="XR74" s="180"/>
      <c r="XS74" s="180"/>
      <c r="XT74" s="180"/>
      <c r="XU74" s="180"/>
      <c r="XV74" s="180"/>
      <c r="XW74" s="180"/>
      <c r="XX74" s="180"/>
      <c r="XY74" s="180"/>
      <c r="XZ74" s="180"/>
      <c r="YA74" s="180"/>
      <c r="YB74" s="180"/>
      <c r="YC74" s="180"/>
      <c r="YD74" s="180"/>
      <c r="YE74" s="180"/>
      <c r="YF74" s="180"/>
      <c r="YG74" s="180"/>
      <c r="YH74" s="180"/>
      <c r="YI74" s="180"/>
      <c r="YJ74" s="180"/>
      <c r="YK74" s="180"/>
      <c r="YL74" s="180"/>
      <c r="YM74" s="180"/>
      <c r="YN74" s="180"/>
      <c r="YO74" s="180"/>
      <c r="YP74" s="180"/>
      <c r="YQ74" s="180"/>
      <c r="YR74" s="180"/>
      <c r="YS74" s="180"/>
      <c r="YT74" s="180"/>
      <c r="YU74" s="180"/>
      <c r="YV74" s="180"/>
      <c r="YW74" s="180"/>
      <c r="YX74" s="180"/>
      <c r="YY74" s="180"/>
      <c r="YZ74" s="180"/>
      <c r="ZA74" s="180"/>
      <c r="ZB74" s="180"/>
      <c r="ZC74" s="180"/>
      <c r="ZD74" s="180"/>
      <c r="ZE74" s="180"/>
      <c r="ZF74" s="180"/>
      <c r="ZG74" s="180"/>
      <c r="ZH74" s="180"/>
      <c r="ZI74" s="180"/>
      <c r="ZJ74" s="180"/>
      <c r="ZK74" s="180"/>
      <c r="ZL74" s="180"/>
      <c r="ZM74" s="180"/>
      <c r="ZN74" s="180"/>
      <c r="ZO74" s="180"/>
      <c r="ZP74" s="180"/>
      <c r="ZQ74" s="180"/>
      <c r="ZR74" s="180"/>
      <c r="ZS74" s="180"/>
      <c r="ZT74" s="180"/>
      <c r="ZU74" s="180"/>
      <c r="ZV74" s="180"/>
      <c r="ZW74" s="180"/>
      <c r="ZX74" s="180"/>
      <c r="ZY74" s="180"/>
      <c r="ZZ74" s="180"/>
      <c r="AAA74" s="180"/>
      <c r="AAB74" s="180"/>
      <c r="AAC74" s="180"/>
      <c r="AAD74" s="180"/>
      <c r="AAE74" s="180"/>
      <c r="AAF74" s="180"/>
      <c r="AAG74" s="180"/>
      <c r="AAH74" s="180"/>
      <c r="AAI74" s="180"/>
      <c r="AAJ74" s="180"/>
      <c r="AAK74" s="180"/>
      <c r="AAL74" s="180"/>
      <c r="AAM74" s="180"/>
      <c r="AAN74" s="180"/>
      <c r="AAO74" s="180"/>
      <c r="AAP74" s="180"/>
      <c r="AAQ74" s="180"/>
      <c r="AAR74" s="180"/>
      <c r="AAS74" s="180"/>
      <c r="AAT74" s="180"/>
      <c r="AAU74" s="180"/>
      <c r="AAV74" s="180"/>
      <c r="AAW74" s="180"/>
      <c r="AAX74" s="180"/>
      <c r="AAY74" s="180"/>
      <c r="AAZ74" s="180"/>
      <c r="ABA74" s="180"/>
      <c r="ABB74" s="180"/>
      <c r="ABC74" s="180"/>
      <c r="ABD74" s="180"/>
      <c r="ABE74" s="180"/>
      <c r="ABF74" s="180"/>
      <c r="ABG74" s="180"/>
      <c r="ABH74" s="180"/>
      <c r="ABI74" s="180"/>
      <c r="ABJ74" s="180"/>
      <c r="ABK74" s="180"/>
      <c r="ABL74" s="180"/>
      <c r="ABM74" s="180"/>
      <c r="ABN74" s="180"/>
      <c r="ABO74" s="180"/>
      <c r="ABP74" s="180"/>
      <c r="ABQ74" s="180"/>
      <c r="ABR74" s="180"/>
      <c r="ABS74" s="180"/>
      <c r="ABT74" s="180"/>
      <c r="ABU74" s="180"/>
      <c r="ABV74" s="180"/>
      <c r="ABW74" s="180"/>
      <c r="ABX74" s="180"/>
      <c r="ABY74" s="180"/>
      <c r="ABZ74" s="180"/>
      <c r="ACA74" s="180"/>
      <c r="ACB74" s="180"/>
      <c r="ACC74" s="180"/>
      <c r="ACD74" s="180"/>
      <c r="ACE74" s="180"/>
      <c r="ACF74" s="180"/>
      <c r="ACG74" s="180"/>
      <c r="ACH74" s="180"/>
      <c r="ACI74" s="180"/>
      <c r="ACJ74" s="180"/>
      <c r="ACK74" s="180"/>
      <c r="ACL74" s="180"/>
      <c r="ACM74" s="180"/>
      <c r="ACN74" s="180"/>
      <c r="ACO74" s="180"/>
      <c r="ACP74" s="180"/>
      <c r="ACQ74" s="180"/>
      <c r="ACR74" s="180"/>
      <c r="ACS74" s="180"/>
      <c r="ACT74" s="180"/>
      <c r="ACU74" s="180"/>
      <c r="ACV74" s="180"/>
      <c r="ACW74" s="180"/>
      <c r="ACX74" s="180"/>
      <c r="ACY74" s="180"/>
      <c r="ACZ74" s="180"/>
      <c r="ADA74" s="180"/>
      <c r="ADB74" s="180"/>
      <c r="ADC74" s="180"/>
      <c r="ADD74" s="180"/>
      <c r="ADE74" s="180"/>
      <c r="ADF74" s="180"/>
      <c r="ADG74" s="180"/>
      <c r="ADH74" s="180"/>
      <c r="ADI74" s="180"/>
      <c r="ADJ74" s="180"/>
      <c r="ADK74" s="180"/>
      <c r="ADL74" s="180"/>
      <c r="ADM74" s="180"/>
      <c r="ADN74" s="180"/>
      <c r="ADO74" s="180"/>
      <c r="ADP74" s="180"/>
      <c r="ADQ74" s="180"/>
      <c r="ADR74" s="180"/>
      <c r="ADS74" s="180"/>
      <c r="ADT74" s="180"/>
      <c r="ADU74" s="180"/>
      <c r="ADV74" s="180"/>
      <c r="ADW74" s="180"/>
      <c r="ADX74" s="180"/>
      <c r="ADY74" s="180"/>
      <c r="ADZ74" s="180"/>
      <c r="AEA74" s="180"/>
      <c r="AEB74" s="180"/>
      <c r="AEC74" s="180"/>
      <c r="AED74" s="180"/>
      <c r="AEE74" s="180"/>
      <c r="AEF74" s="180"/>
      <c r="AEG74" s="180"/>
      <c r="AEH74" s="180"/>
      <c r="AEI74" s="180"/>
      <c r="AEJ74" s="180"/>
      <c r="AEK74" s="180"/>
      <c r="AEL74" s="180"/>
      <c r="AEM74" s="180"/>
      <c r="AEN74" s="180"/>
      <c r="AEO74" s="180"/>
      <c r="AEP74" s="180"/>
      <c r="AEQ74" s="180"/>
      <c r="AER74" s="180"/>
      <c r="AES74" s="180"/>
      <c r="AET74" s="180"/>
      <c r="AEU74" s="180"/>
      <c r="AEV74" s="180"/>
      <c r="AEW74" s="180"/>
      <c r="AEX74" s="180"/>
      <c r="AEY74" s="180"/>
      <c r="AEZ74" s="180"/>
      <c r="AFA74" s="180"/>
      <c r="AFB74" s="180"/>
      <c r="AFC74" s="180"/>
      <c r="AFD74" s="180"/>
      <c r="AFE74" s="180"/>
      <c r="AFF74" s="180"/>
      <c r="AFG74" s="180"/>
      <c r="AFH74" s="180"/>
      <c r="AFI74" s="180"/>
      <c r="AFJ74" s="180"/>
      <c r="AFK74" s="180"/>
      <c r="AFL74" s="180"/>
      <c r="AFM74" s="180"/>
      <c r="AFN74" s="180"/>
      <c r="AFO74" s="180"/>
      <c r="AFP74" s="180"/>
      <c r="AFQ74" s="180"/>
      <c r="AFR74" s="180"/>
      <c r="AFS74" s="180"/>
      <c r="AFT74" s="180"/>
      <c r="AFU74" s="180"/>
      <c r="AFV74" s="180"/>
      <c r="AFW74" s="180"/>
      <c r="AFX74" s="180"/>
      <c r="AFY74" s="180"/>
      <c r="AFZ74" s="180"/>
      <c r="AGA74" s="180"/>
      <c r="AGB74" s="180"/>
      <c r="AGC74" s="180"/>
      <c r="AGD74" s="180"/>
      <c r="AGE74" s="180"/>
      <c r="AGF74" s="180"/>
      <c r="AGG74" s="180"/>
      <c r="AGH74" s="180"/>
      <c r="AGI74" s="180"/>
      <c r="AGJ74" s="180"/>
      <c r="AGK74" s="180"/>
      <c r="AGL74" s="180"/>
      <c r="AGM74" s="180"/>
      <c r="AGN74" s="180"/>
      <c r="AGO74" s="180"/>
      <c r="AGP74" s="180"/>
      <c r="AGQ74" s="180"/>
      <c r="AGR74" s="180"/>
      <c r="AGS74" s="180"/>
      <c r="AGT74" s="180"/>
      <c r="AGU74" s="180"/>
      <c r="AGV74" s="180"/>
      <c r="AGW74" s="180"/>
      <c r="AGX74" s="180"/>
      <c r="AGY74" s="180"/>
      <c r="AGZ74" s="180"/>
      <c r="AHA74" s="180"/>
      <c r="AHB74" s="180"/>
      <c r="AHC74" s="180"/>
      <c r="AHD74" s="180"/>
      <c r="AHE74" s="180"/>
      <c r="AHF74" s="180"/>
      <c r="AHG74" s="180"/>
      <c r="AHH74" s="180"/>
      <c r="AHI74" s="180"/>
      <c r="AHJ74" s="180"/>
      <c r="AHK74" s="180"/>
      <c r="AHL74" s="180"/>
      <c r="AHM74" s="180"/>
      <c r="AHN74" s="180"/>
      <c r="AHO74" s="180"/>
      <c r="AHP74" s="180"/>
      <c r="AHQ74" s="180"/>
      <c r="AHR74" s="180"/>
      <c r="AHS74" s="180"/>
      <c r="AHT74" s="180"/>
      <c r="AHU74" s="180"/>
      <c r="AHV74" s="180"/>
      <c r="AHW74" s="180"/>
      <c r="AHX74" s="180"/>
      <c r="AHY74" s="180"/>
      <c r="AHZ74" s="180"/>
      <c r="AIA74" s="180"/>
      <c r="AIB74" s="180"/>
      <c r="AIC74" s="180"/>
      <c r="AID74" s="180"/>
      <c r="AIE74" s="180"/>
      <c r="AIF74" s="180"/>
      <c r="AIG74" s="180"/>
      <c r="AIH74" s="180"/>
      <c r="AII74" s="180"/>
      <c r="AIJ74" s="180"/>
      <c r="AIK74" s="180"/>
      <c r="AIL74" s="180"/>
      <c r="AIM74" s="180"/>
      <c r="AIN74" s="180"/>
      <c r="AIO74" s="180"/>
      <c r="AIP74" s="180"/>
      <c r="AIQ74" s="180"/>
      <c r="AIR74" s="180"/>
      <c r="AIS74" s="180"/>
      <c r="AIT74" s="180"/>
      <c r="AIU74" s="180"/>
      <c r="AIV74" s="180"/>
      <c r="AIW74" s="180"/>
      <c r="AIX74" s="180"/>
      <c r="AIY74" s="180"/>
      <c r="AIZ74" s="180"/>
      <c r="AJA74" s="180"/>
      <c r="AJB74" s="180"/>
      <c r="AJC74" s="180"/>
      <c r="AJD74" s="180"/>
      <c r="AJE74" s="180"/>
      <c r="AJF74" s="180"/>
      <c r="AJG74" s="180"/>
      <c r="AJH74" s="180"/>
      <c r="AJI74" s="180"/>
      <c r="AJJ74" s="180"/>
      <c r="AJK74" s="180"/>
      <c r="AJL74" s="180"/>
      <c r="AJM74" s="180"/>
      <c r="AJN74" s="180"/>
      <c r="AJO74" s="180"/>
      <c r="AJP74" s="180"/>
      <c r="AJQ74" s="180"/>
      <c r="AJR74" s="180"/>
      <c r="AJS74" s="180"/>
      <c r="AJT74" s="180"/>
      <c r="AJU74" s="180"/>
      <c r="AJV74" s="180"/>
      <c r="AJW74" s="180"/>
      <c r="AJX74" s="180"/>
      <c r="AJY74" s="180"/>
      <c r="AJZ74" s="180"/>
      <c r="AKA74" s="180"/>
      <c r="AKB74" s="180"/>
      <c r="AKC74" s="180"/>
      <c r="AKD74" s="180"/>
      <c r="AKE74" s="180"/>
      <c r="AKF74" s="180"/>
      <c r="AKG74" s="180"/>
      <c r="AKH74" s="180"/>
      <c r="AKI74" s="180"/>
      <c r="AKJ74" s="180"/>
      <c r="AKK74" s="180"/>
      <c r="AKL74" s="180"/>
      <c r="AKM74" s="180"/>
      <c r="AKN74" s="180"/>
      <c r="AKO74" s="180"/>
      <c r="AKP74" s="180"/>
      <c r="AKQ74" s="180"/>
      <c r="AKR74" s="180"/>
      <c r="AKS74" s="180"/>
      <c r="AKT74" s="180"/>
      <c r="AKU74" s="180"/>
      <c r="AKV74" s="180"/>
      <c r="AKW74" s="180"/>
      <c r="AKX74" s="180"/>
      <c r="AKY74" s="180"/>
      <c r="AKZ74" s="180"/>
      <c r="ALA74" s="180"/>
      <c r="ALB74" s="180"/>
      <c r="ALC74" s="180"/>
      <c r="ALD74" s="180"/>
      <c r="ALE74" s="180"/>
      <c r="ALF74" s="180"/>
      <c r="ALG74" s="180"/>
      <c r="ALH74" s="180"/>
      <c r="ALI74" s="180"/>
      <c r="ALJ74" s="180"/>
      <c r="ALK74" s="180"/>
      <c r="ALL74" s="180"/>
      <c r="ALM74" s="180"/>
      <c r="ALN74" s="180"/>
      <c r="ALO74" s="180"/>
      <c r="ALP74" s="180"/>
      <c r="ALQ74" s="180"/>
      <c r="ALR74" s="180"/>
      <c r="ALS74" s="180"/>
      <c r="ALT74" s="180"/>
      <c r="ALU74" s="180"/>
      <c r="ALV74" s="180"/>
      <c r="ALW74" s="180"/>
      <c r="ALX74" s="180"/>
      <c r="ALY74" s="180"/>
      <c r="ALZ74" s="180"/>
      <c r="AMA74" s="180"/>
      <c r="AMB74" s="180"/>
      <c r="AMC74" s="180"/>
      <c r="AMD74" s="180"/>
      <c r="AME74" s="180"/>
      <c r="AMF74" s="180"/>
      <c r="AMG74" s="180"/>
      <c r="AMH74" s="180"/>
      <c r="AMI74" s="180"/>
      <c r="AMJ74" s="180"/>
      <c r="AMK74" s="180"/>
      <c r="AML74" s="180"/>
      <c r="AMM74" s="180"/>
      <c r="AMN74" s="180"/>
      <c r="AMO74" s="180"/>
      <c r="AMP74" s="180"/>
      <c r="AMQ74" s="180"/>
      <c r="AMR74" s="180"/>
      <c r="AMS74" s="180"/>
      <c r="AMT74" s="180"/>
      <c r="AMU74" s="180"/>
      <c r="AMV74" s="180"/>
      <c r="AMW74" s="180"/>
      <c r="AMX74" s="180"/>
      <c r="AMY74" s="180"/>
      <c r="AMZ74" s="180"/>
      <c r="ANA74" s="180"/>
      <c r="ANB74" s="180"/>
      <c r="ANC74" s="180"/>
      <c r="AND74" s="180"/>
      <c r="ANE74" s="180"/>
      <c r="ANF74" s="180"/>
      <c r="ANG74" s="180"/>
      <c r="ANH74" s="180"/>
      <c r="ANI74" s="180"/>
      <c r="ANJ74" s="180"/>
      <c r="ANK74" s="180"/>
      <c r="ANL74" s="180"/>
      <c r="ANM74" s="180"/>
      <c r="ANN74" s="180"/>
      <c r="ANO74" s="180"/>
      <c r="ANP74" s="180"/>
      <c r="ANQ74" s="180"/>
      <c r="ANR74" s="180"/>
      <c r="ANS74" s="180"/>
      <c r="ANT74" s="180"/>
      <c r="ANU74" s="180"/>
      <c r="ANV74" s="180"/>
      <c r="ANW74" s="180"/>
      <c r="ANX74" s="180"/>
      <c r="ANY74" s="180"/>
      <c r="ANZ74" s="180"/>
      <c r="AOA74" s="180"/>
      <c r="AOB74" s="180"/>
      <c r="AOC74" s="180"/>
      <c r="AOD74" s="180"/>
      <c r="AOE74" s="180"/>
      <c r="AOF74" s="180"/>
      <c r="AOG74" s="180"/>
      <c r="AOH74" s="180"/>
      <c r="AOI74" s="180"/>
      <c r="AOJ74" s="180"/>
      <c r="AOK74" s="180"/>
      <c r="AOL74" s="180"/>
      <c r="AOM74" s="180"/>
      <c r="AON74" s="180"/>
      <c r="AOO74" s="180"/>
      <c r="AOP74" s="180"/>
      <c r="AOQ74" s="180"/>
      <c r="AOR74" s="180"/>
      <c r="AOS74" s="180"/>
      <c r="AOT74" s="180"/>
      <c r="AOU74" s="180"/>
      <c r="AOV74" s="180"/>
      <c r="AOW74" s="180"/>
      <c r="AOX74" s="180"/>
      <c r="AOY74" s="180"/>
      <c r="AOZ74" s="180"/>
      <c r="APA74" s="180"/>
      <c r="APB74" s="180"/>
      <c r="APC74" s="180"/>
      <c r="APD74" s="180"/>
      <c r="APE74" s="180"/>
      <c r="APF74" s="180"/>
      <c r="APG74" s="180"/>
      <c r="APH74" s="180"/>
      <c r="API74" s="180"/>
      <c r="APJ74" s="180"/>
      <c r="APK74" s="180"/>
      <c r="APL74" s="180"/>
      <c r="APM74" s="180"/>
      <c r="APN74" s="180"/>
      <c r="APO74" s="180"/>
      <c r="APP74" s="180"/>
      <c r="APQ74" s="180"/>
      <c r="APR74" s="180"/>
      <c r="APS74" s="180"/>
      <c r="APT74" s="180"/>
      <c r="APU74" s="180"/>
      <c r="APV74" s="180"/>
      <c r="APW74" s="180"/>
      <c r="APX74" s="180"/>
      <c r="APY74" s="180"/>
      <c r="APZ74" s="180"/>
      <c r="AQA74" s="180"/>
      <c r="AQB74" s="180"/>
      <c r="AQC74" s="180"/>
      <c r="AQD74" s="180"/>
      <c r="AQE74" s="180"/>
      <c r="AQF74" s="180"/>
      <c r="AQG74" s="180"/>
      <c r="AQH74" s="180"/>
      <c r="AQI74" s="180"/>
      <c r="AQJ74" s="180"/>
      <c r="AQK74" s="180"/>
      <c r="AQL74" s="180"/>
      <c r="AQM74" s="180"/>
      <c r="AQN74" s="180"/>
      <c r="AQO74" s="180"/>
      <c r="AQP74" s="180"/>
      <c r="AQQ74" s="180"/>
      <c r="AQR74" s="180"/>
      <c r="AQS74" s="180"/>
      <c r="AQT74" s="180"/>
      <c r="AQU74" s="180"/>
      <c r="AQV74" s="180"/>
      <c r="AQW74" s="180"/>
      <c r="AQX74" s="180"/>
      <c r="AQY74" s="180"/>
      <c r="AQZ74" s="180"/>
      <c r="ARA74" s="180"/>
      <c r="ARB74" s="180"/>
      <c r="ARC74" s="180"/>
      <c r="ARD74" s="180"/>
      <c r="ARE74" s="180"/>
      <c r="ARF74" s="180"/>
      <c r="ARG74" s="180"/>
      <c r="ARH74" s="180"/>
      <c r="ARI74" s="180"/>
      <c r="ARJ74" s="180"/>
      <c r="ARK74" s="180"/>
      <c r="ARL74" s="180"/>
      <c r="ARM74" s="180"/>
      <c r="ARN74" s="180"/>
      <c r="ARO74" s="180"/>
      <c r="ARP74" s="180"/>
      <c r="ARQ74" s="180"/>
      <c r="ARR74" s="180"/>
      <c r="ARS74" s="180"/>
      <c r="ART74" s="180"/>
      <c r="ARU74" s="180"/>
      <c r="ARV74" s="180"/>
      <c r="ARW74" s="180"/>
      <c r="ARX74" s="180"/>
      <c r="ARY74" s="180"/>
      <c r="ARZ74" s="180"/>
      <c r="ASA74" s="180"/>
      <c r="ASB74" s="180"/>
      <c r="ASC74" s="180"/>
      <c r="ASD74" s="180"/>
      <c r="ASE74" s="180"/>
      <c r="ASF74" s="180"/>
      <c r="ASG74" s="180"/>
      <c r="ASH74" s="180"/>
      <c r="ASI74" s="180"/>
      <c r="ASJ74" s="180"/>
      <c r="ASK74" s="180"/>
      <c r="ASL74" s="180"/>
      <c r="ASM74" s="180"/>
      <c r="ASN74" s="180"/>
      <c r="ASO74" s="180"/>
      <c r="ASP74" s="180"/>
      <c r="ASQ74" s="180"/>
      <c r="ASR74" s="180"/>
      <c r="ASS74" s="180"/>
      <c r="AST74" s="180"/>
      <c r="ASU74" s="180"/>
      <c r="ASV74" s="180"/>
      <c r="ASW74" s="180"/>
      <c r="ASX74" s="180"/>
      <c r="ASY74" s="180"/>
      <c r="ASZ74" s="180"/>
      <c r="ATA74" s="180"/>
      <c r="ATB74" s="180"/>
      <c r="ATC74" s="180"/>
      <c r="ATD74" s="180"/>
      <c r="ATE74" s="180"/>
      <c r="ATF74" s="180"/>
      <c r="ATG74" s="180"/>
      <c r="ATH74" s="180"/>
      <c r="ATI74" s="180"/>
      <c r="ATJ74" s="180"/>
      <c r="ATK74" s="180"/>
      <c r="ATL74" s="180"/>
      <c r="ATM74" s="180"/>
      <c r="ATN74" s="180"/>
      <c r="ATO74" s="180"/>
      <c r="ATP74" s="180"/>
      <c r="ATQ74" s="180"/>
      <c r="ATR74" s="180"/>
      <c r="ATS74" s="180"/>
      <c r="ATT74" s="180"/>
      <c r="ATU74" s="180"/>
      <c r="ATV74" s="180"/>
      <c r="ATW74" s="180"/>
      <c r="ATX74" s="180"/>
      <c r="ATY74" s="180"/>
      <c r="ATZ74" s="180"/>
      <c r="AUA74" s="180"/>
      <c r="AUB74" s="180"/>
      <c r="AUC74" s="180"/>
      <c r="AUD74" s="180"/>
      <c r="AUE74" s="180"/>
      <c r="AUF74" s="180"/>
      <c r="AUG74" s="180"/>
      <c r="AUH74" s="180"/>
      <c r="AUI74" s="180"/>
      <c r="AUJ74" s="180"/>
      <c r="AUK74" s="180"/>
      <c r="AUL74" s="180"/>
      <c r="AUM74" s="180"/>
      <c r="AUN74" s="180"/>
      <c r="AUO74" s="180"/>
      <c r="AUP74" s="180"/>
      <c r="AUQ74" s="180"/>
      <c r="AUR74" s="180"/>
      <c r="AUS74" s="180"/>
      <c r="AUT74" s="180"/>
      <c r="AUU74" s="180"/>
      <c r="AUV74" s="180"/>
      <c r="AUW74" s="180"/>
      <c r="AUX74" s="180"/>
      <c r="AUY74" s="180"/>
      <c r="AUZ74" s="180"/>
      <c r="AVA74" s="180"/>
      <c r="AVB74" s="180"/>
      <c r="AVC74" s="180"/>
      <c r="AVD74" s="180"/>
      <c r="AVE74" s="180"/>
      <c r="AVF74" s="180"/>
      <c r="AVG74" s="180"/>
      <c r="AVH74" s="180"/>
      <c r="AVI74" s="180"/>
      <c r="AVJ74" s="180"/>
      <c r="AVK74" s="180"/>
      <c r="AVL74" s="180"/>
      <c r="AVM74" s="180"/>
      <c r="AVN74" s="180"/>
      <c r="AVO74" s="180"/>
      <c r="AVP74" s="180"/>
      <c r="AVQ74" s="180"/>
      <c r="AVR74" s="180"/>
      <c r="AVS74" s="180"/>
      <c r="AVT74" s="180"/>
      <c r="AVU74" s="180"/>
      <c r="AVV74" s="180"/>
      <c r="AVW74" s="180"/>
      <c r="AVX74" s="180"/>
      <c r="AVY74" s="180"/>
      <c r="AVZ74" s="180"/>
      <c r="AWA74" s="180"/>
      <c r="AWB74" s="180"/>
      <c r="AWC74" s="180"/>
      <c r="AWD74" s="180"/>
      <c r="AWE74" s="180"/>
      <c r="AWF74" s="180"/>
      <c r="AWG74" s="180"/>
      <c r="AWH74" s="180"/>
      <c r="AWI74" s="180"/>
      <c r="AWJ74" s="180"/>
      <c r="AWK74" s="180"/>
      <c r="AWL74" s="180"/>
      <c r="AWM74" s="180"/>
      <c r="AWN74" s="180"/>
      <c r="AWO74" s="180"/>
      <c r="AWP74" s="180"/>
      <c r="AWQ74" s="180"/>
      <c r="AWR74" s="180"/>
      <c r="AWS74" s="180"/>
      <c r="AWT74" s="180"/>
      <c r="AWU74" s="180"/>
      <c r="AWV74" s="180"/>
      <c r="AWW74" s="180"/>
      <c r="AWX74" s="180"/>
      <c r="AWY74" s="180"/>
      <c r="AWZ74" s="180"/>
      <c r="AXA74" s="180"/>
      <c r="AXB74" s="180"/>
      <c r="AXC74" s="180"/>
      <c r="AXD74" s="180"/>
      <c r="AXE74" s="180"/>
      <c r="AXF74" s="180"/>
      <c r="AXG74" s="180"/>
      <c r="AXH74" s="180"/>
      <c r="AXI74" s="180"/>
      <c r="AXJ74" s="180"/>
      <c r="AXK74" s="180"/>
      <c r="AXL74" s="180"/>
      <c r="AXM74" s="180"/>
      <c r="AXN74" s="180"/>
      <c r="AXO74" s="180"/>
      <c r="AXP74" s="180"/>
      <c r="AXQ74" s="180"/>
      <c r="AXR74" s="180"/>
      <c r="AXS74" s="180"/>
      <c r="AXT74" s="180"/>
      <c r="AXU74" s="180"/>
      <c r="AXV74" s="180"/>
      <c r="AXW74" s="180"/>
      <c r="AXX74" s="180"/>
      <c r="AXY74" s="180"/>
      <c r="AXZ74" s="180"/>
      <c r="AYA74" s="180"/>
      <c r="AYB74" s="180"/>
      <c r="AYC74" s="180"/>
      <c r="AYD74" s="180"/>
      <c r="AYE74" s="180"/>
      <c r="AYF74" s="180"/>
      <c r="AYG74" s="180"/>
      <c r="AYH74" s="180"/>
      <c r="AYI74" s="180"/>
      <c r="AYJ74" s="180"/>
      <c r="AYK74" s="180"/>
      <c r="AYL74" s="180"/>
      <c r="AYM74" s="180"/>
      <c r="AYN74" s="180"/>
      <c r="AYO74" s="180"/>
      <c r="AYP74" s="180"/>
      <c r="AYQ74" s="180"/>
      <c r="AYR74" s="180"/>
      <c r="AYS74" s="180"/>
      <c r="AYT74" s="180"/>
      <c r="AYU74" s="180"/>
      <c r="AYV74" s="180"/>
      <c r="AYW74" s="180"/>
      <c r="AYX74" s="180"/>
      <c r="AYY74" s="180"/>
      <c r="AYZ74" s="180"/>
      <c r="AZA74" s="180"/>
      <c r="AZB74" s="180"/>
      <c r="AZC74" s="180"/>
      <c r="AZD74" s="180"/>
      <c r="AZE74" s="180"/>
      <c r="AZF74" s="180"/>
      <c r="AZG74" s="180"/>
      <c r="AZH74" s="180"/>
      <c r="AZI74" s="180"/>
      <c r="AZJ74" s="180"/>
      <c r="AZK74" s="180"/>
      <c r="AZL74" s="180"/>
      <c r="AZM74" s="180"/>
      <c r="AZN74" s="180"/>
      <c r="AZO74" s="180"/>
      <c r="AZP74" s="180"/>
      <c r="AZQ74" s="180"/>
      <c r="AZR74" s="180"/>
      <c r="AZS74" s="180"/>
      <c r="AZT74" s="180"/>
      <c r="AZU74" s="180"/>
      <c r="AZV74" s="180"/>
      <c r="AZW74" s="180"/>
      <c r="AZX74" s="180"/>
      <c r="AZY74" s="180"/>
      <c r="AZZ74" s="180"/>
      <c r="BAA74" s="180"/>
      <c r="BAB74" s="180"/>
      <c r="BAC74" s="180"/>
      <c r="BAD74" s="180"/>
      <c r="BAE74" s="180"/>
      <c r="BAF74" s="180"/>
      <c r="BAG74" s="180"/>
      <c r="BAH74" s="180"/>
      <c r="BAI74" s="180"/>
      <c r="BAJ74" s="180"/>
      <c r="BAK74" s="180"/>
      <c r="BAL74" s="180"/>
      <c r="BAM74" s="180"/>
      <c r="BAN74" s="180"/>
      <c r="BAO74" s="180"/>
      <c r="BAP74" s="180"/>
      <c r="BAQ74" s="180"/>
      <c r="BAR74" s="180"/>
      <c r="BAS74" s="180"/>
      <c r="BAT74" s="180"/>
      <c r="BAU74" s="180"/>
      <c r="BAV74" s="180"/>
      <c r="BAW74" s="180"/>
      <c r="BAX74" s="180"/>
      <c r="BAY74" s="180"/>
      <c r="BAZ74" s="180"/>
      <c r="BBA74" s="180"/>
      <c r="BBB74" s="180"/>
      <c r="BBC74" s="180"/>
      <c r="BBD74" s="180"/>
      <c r="BBE74" s="180"/>
      <c r="BBF74" s="180"/>
      <c r="BBG74" s="180"/>
      <c r="BBH74" s="180"/>
      <c r="BBI74" s="180"/>
      <c r="BBJ74" s="180"/>
      <c r="BBK74" s="180"/>
      <c r="BBL74" s="180"/>
      <c r="BBM74" s="180"/>
      <c r="BBN74" s="180"/>
      <c r="BBO74" s="180"/>
      <c r="BBP74" s="180"/>
      <c r="BBQ74" s="180"/>
      <c r="BBR74" s="180"/>
      <c r="BBS74" s="180"/>
      <c r="BBT74" s="180"/>
      <c r="BBU74" s="180"/>
      <c r="BBV74" s="180"/>
      <c r="BBW74" s="180"/>
      <c r="BBX74" s="180"/>
      <c r="BBY74" s="180"/>
      <c r="BBZ74" s="180"/>
      <c r="BCA74" s="180"/>
      <c r="BCB74" s="180"/>
      <c r="BCC74" s="180"/>
      <c r="BCD74" s="180"/>
      <c r="BCE74" s="180"/>
      <c r="BCF74" s="180"/>
      <c r="BCG74" s="180"/>
      <c r="BCH74" s="180"/>
      <c r="BCI74" s="180"/>
      <c r="BCJ74" s="180"/>
      <c r="BCK74" s="180"/>
      <c r="BCL74" s="180"/>
      <c r="BCM74" s="180"/>
      <c r="BCN74" s="180"/>
      <c r="BCO74" s="180"/>
      <c r="BCP74" s="180"/>
      <c r="BCQ74" s="180"/>
      <c r="BCR74" s="180"/>
      <c r="BCS74" s="180"/>
      <c r="BCT74" s="180"/>
      <c r="BCU74" s="180"/>
      <c r="BCV74" s="180"/>
      <c r="BCW74" s="180"/>
      <c r="BCX74" s="180"/>
      <c r="BCY74" s="180"/>
      <c r="BCZ74" s="180"/>
      <c r="BDA74" s="180"/>
      <c r="BDB74" s="180"/>
      <c r="BDC74" s="180"/>
      <c r="BDD74" s="180"/>
      <c r="BDE74" s="180"/>
      <c r="BDF74" s="180"/>
      <c r="BDG74" s="180"/>
      <c r="BDH74" s="180"/>
      <c r="BDI74" s="180"/>
      <c r="BDJ74" s="180"/>
      <c r="BDK74" s="180"/>
      <c r="BDL74" s="180"/>
      <c r="BDM74" s="180"/>
      <c r="BDN74" s="180"/>
      <c r="BDO74" s="180"/>
      <c r="BDP74" s="180"/>
      <c r="BDQ74" s="180"/>
      <c r="BDR74" s="180"/>
      <c r="BDS74" s="180"/>
      <c r="BDT74" s="180"/>
      <c r="BDU74" s="180"/>
      <c r="BDV74" s="180"/>
      <c r="BDW74" s="180"/>
      <c r="BDX74" s="180"/>
      <c r="BDY74" s="180"/>
      <c r="BDZ74" s="180"/>
      <c r="BEA74" s="180"/>
      <c r="BEB74" s="180"/>
      <c r="BEC74" s="180"/>
      <c r="BED74" s="180"/>
      <c r="BEE74" s="180"/>
      <c r="BEF74" s="180"/>
      <c r="BEG74" s="180"/>
      <c r="BEH74" s="180"/>
      <c r="BEI74" s="180"/>
      <c r="BEJ74" s="180"/>
      <c r="BEK74" s="180"/>
      <c r="BEL74" s="180"/>
      <c r="BEM74" s="180"/>
      <c r="BEN74" s="180"/>
      <c r="BEO74" s="180"/>
      <c r="BEP74" s="180"/>
      <c r="BEQ74" s="180"/>
      <c r="BER74" s="180"/>
      <c r="BES74" s="180"/>
      <c r="BET74" s="180"/>
      <c r="BEU74" s="180"/>
      <c r="BEV74" s="180"/>
      <c r="BEW74" s="180"/>
      <c r="BEX74" s="180"/>
      <c r="BEY74" s="180"/>
      <c r="BEZ74" s="180"/>
      <c r="BFA74" s="180"/>
      <c r="BFB74" s="180"/>
      <c r="BFC74" s="180"/>
      <c r="BFD74" s="180"/>
      <c r="BFE74" s="180"/>
      <c r="BFF74" s="180"/>
      <c r="BFG74" s="180"/>
      <c r="BFH74" s="180"/>
      <c r="BFI74" s="180"/>
      <c r="BFJ74" s="180"/>
      <c r="BFK74" s="180"/>
      <c r="BFL74" s="180"/>
      <c r="BFM74" s="180"/>
      <c r="BFN74" s="180"/>
      <c r="BFO74" s="180"/>
      <c r="BFP74" s="180"/>
      <c r="BFQ74" s="180"/>
      <c r="BFR74" s="180"/>
      <c r="BFS74" s="180"/>
      <c r="BFT74" s="180"/>
      <c r="BFU74" s="180"/>
      <c r="BFV74" s="180"/>
      <c r="BFW74" s="180"/>
      <c r="BFX74" s="180"/>
      <c r="BFY74" s="180"/>
      <c r="BFZ74" s="180"/>
      <c r="BGA74" s="180"/>
      <c r="BGB74" s="180"/>
      <c r="BGC74" s="180"/>
      <c r="BGD74" s="180"/>
      <c r="BGE74" s="180"/>
      <c r="BGF74" s="180"/>
      <c r="BGG74" s="180"/>
      <c r="BGH74" s="180"/>
      <c r="BGI74" s="180"/>
      <c r="BGJ74" s="180"/>
      <c r="BGK74" s="180"/>
      <c r="BGL74" s="180"/>
      <c r="BGM74" s="180"/>
      <c r="BGN74" s="180"/>
      <c r="BGO74" s="180"/>
      <c r="BGP74" s="180"/>
      <c r="BGQ74" s="180"/>
      <c r="BGR74" s="180"/>
      <c r="BGS74" s="180"/>
      <c r="BGT74" s="180"/>
      <c r="BGU74" s="180"/>
      <c r="BGV74" s="180"/>
      <c r="BGW74" s="180"/>
      <c r="BGX74" s="180"/>
      <c r="BGY74" s="180"/>
      <c r="BGZ74" s="180"/>
      <c r="BHA74" s="180"/>
      <c r="BHB74" s="180"/>
      <c r="BHC74" s="180"/>
      <c r="BHD74" s="180"/>
      <c r="BHE74" s="180"/>
      <c r="BHF74" s="180"/>
      <c r="BHG74" s="180"/>
      <c r="BHH74" s="180"/>
      <c r="BHI74" s="180"/>
      <c r="BHJ74" s="180"/>
      <c r="BHK74" s="180"/>
      <c r="BHL74" s="180"/>
      <c r="BHM74" s="180"/>
      <c r="BHN74" s="180"/>
      <c r="BHO74" s="180"/>
      <c r="BHP74" s="180"/>
      <c r="BHQ74" s="180"/>
      <c r="BHR74" s="180"/>
      <c r="BHS74" s="180"/>
      <c r="BHT74" s="180"/>
      <c r="BHU74" s="180"/>
      <c r="BHV74" s="180"/>
      <c r="BHW74" s="180"/>
      <c r="BHX74" s="180"/>
      <c r="BHY74" s="180"/>
      <c r="BHZ74" s="180"/>
      <c r="BIA74" s="180"/>
      <c r="BIB74" s="180"/>
      <c r="BIC74" s="180"/>
      <c r="BID74" s="180"/>
      <c r="BIE74" s="180"/>
      <c r="BIF74" s="180"/>
      <c r="BIG74" s="180"/>
      <c r="BIH74" s="180"/>
      <c r="BII74" s="180"/>
      <c r="BIJ74" s="180"/>
      <c r="BIK74" s="180"/>
      <c r="BIL74" s="180"/>
      <c r="BIM74" s="180"/>
      <c r="BIN74" s="180"/>
      <c r="BIO74" s="180"/>
      <c r="BIP74" s="180"/>
      <c r="BIQ74" s="180"/>
      <c r="BIR74" s="180"/>
      <c r="BIS74" s="180"/>
      <c r="BIT74" s="180"/>
      <c r="BIU74" s="180"/>
      <c r="BIV74" s="180"/>
      <c r="BIW74" s="180"/>
      <c r="BIX74" s="180"/>
      <c r="BIY74" s="180"/>
      <c r="BIZ74" s="180"/>
      <c r="BJA74" s="180"/>
      <c r="BJB74" s="180"/>
      <c r="BJC74" s="180"/>
      <c r="BJD74" s="180"/>
      <c r="BJE74" s="180"/>
      <c r="BJF74" s="180"/>
      <c r="BJG74" s="180"/>
      <c r="BJH74" s="180"/>
      <c r="BJI74" s="180"/>
      <c r="BJJ74" s="180"/>
      <c r="BJK74" s="180"/>
      <c r="BJL74" s="180"/>
      <c r="BJM74" s="180"/>
      <c r="BJN74" s="180"/>
      <c r="BJO74" s="180"/>
      <c r="BJP74" s="180"/>
      <c r="BJQ74" s="180"/>
      <c r="BJR74" s="180"/>
      <c r="BJS74" s="180"/>
      <c r="BJT74" s="180"/>
      <c r="BJU74" s="180"/>
      <c r="BJV74" s="180"/>
      <c r="BJW74" s="180"/>
      <c r="BJX74" s="180"/>
      <c r="BJY74" s="180"/>
      <c r="BJZ74" s="180"/>
      <c r="BKA74" s="180"/>
      <c r="BKB74" s="180"/>
      <c r="BKC74" s="180"/>
      <c r="BKD74" s="180"/>
      <c r="BKE74" s="180"/>
      <c r="BKF74" s="180"/>
      <c r="BKG74" s="180"/>
      <c r="BKH74" s="180"/>
      <c r="BKI74" s="180"/>
      <c r="BKJ74" s="180"/>
      <c r="BKK74" s="180"/>
      <c r="BKL74" s="180"/>
      <c r="BKM74" s="180"/>
      <c r="BKN74" s="180"/>
      <c r="BKO74" s="180"/>
      <c r="BKP74" s="180"/>
      <c r="BKQ74" s="180"/>
      <c r="BKR74" s="180"/>
      <c r="BKS74" s="180"/>
      <c r="BKT74" s="180"/>
      <c r="BKU74" s="180"/>
      <c r="BKV74" s="180"/>
      <c r="BKW74" s="180"/>
      <c r="BKX74" s="180"/>
      <c r="BKY74" s="180"/>
      <c r="BKZ74" s="180"/>
      <c r="BLA74" s="180"/>
      <c r="BLB74" s="180"/>
      <c r="BLC74" s="180"/>
      <c r="BLD74" s="180"/>
      <c r="BLE74" s="180"/>
      <c r="BLF74" s="180"/>
      <c r="BLG74" s="180"/>
      <c r="BLH74" s="180"/>
      <c r="BLI74" s="180"/>
      <c r="BLJ74" s="180"/>
      <c r="BLK74" s="180"/>
      <c r="BLL74" s="180"/>
      <c r="BLM74" s="180"/>
      <c r="BLN74" s="180"/>
      <c r="BLO74" s="180"/>
      <c r="BLP74" s="180"/>
      <c r="BLQ74" s="180"/>
      <c r="BLR74" s="180"/>
      <c r="BLS74" s="180"/>
      <c r="BLT74" s="180"/>
      <c r="BLU74" s="180"/>
      <c r="BLV74" s="180"/>
      <c r="BLW74" s="180"/>
      <c r="BLX74" s="180"/>
      <c r="BLY74" s="180"/>
      <c r="BLZ74" s="180"/>
      <c r="BMA74" s="180"/>
      <c r="BMB74" s="180"/>
      <c r="BMC74" s="180"/>
      <c r="BMD74" s="180"/>
      <c r="BME74" s="180"/>
      <c r="BMF74" s="180"/>
      <c r="BMG74" s="180"/>
      <c r="BMH74" s="180"/>
      <c r="BMI74" s="180"/>
      <c r="BMJ74" s="180"/>
      <c r="BMK74" s="180"/>
      <c r="BML74" s="180"/>
      <c r="BMM74" s="180"/>
      <c r="BMN74" s="180"/>
      <c r="BMO74" s="180"/>
      <c r="BMP74" s="180"/>
      <c r="BMQ74" s="180"/>
      <c r="BMR74" s="180"/>
      <c r="BMS74" s="180"/>
      <c r="BMT74" s="180"/>
      <c r="BMU74" s="180"/>
      <c r="BMV74" s="180"/>
      <c r="BMW74" s="180"/>
      <c r="BMX74" s="180"/>
      <c r="BMY74" s="180"/>
      <c r="BMZ74" s="180"/>
      <c r="BNA74" s="180"/>
      <c r="BNB74" s="180"/>
      <c r="BNC74" s="180"/>
      <c r="BND74" s="180"/>
      <c r="BNE74" s="180"/>
      <c r="BNF74" s="180"/>
      <c r="BNG74" s="180"/>
      <c r="BNH74" s="180"/>
      <c r="BNI74" s="180"/>
      <c r="BNJ74" s="180"/>
      <c r="BNK74" s="180"/>
      <c r="BNL74" s="180"/>
      <c r="BNM74" s="180"/>
      <c r="BNN74" s="180"/>
      <c r="BNO74" s="180"/>
      <c r="BNP74" s="180"/>
      <c r="BNQ74" s="180"/>
      <c r="BNR74" s="180"/>
      <c r="BNS74" s="180"/>
      <c r="BNT74" s="180"/>
      <c r="BNU74" s="180"/>
      <c r="BNV74" s="180"/>
      <c r="BNW74" s="180"/>
      <c r="BNX74" s="180"/>
      <c r="BNY74" s="180"/>
      <c r="BNZ74" s="180"/>
      <c r="BOA74" s="180"/>
      <c r="BOB74" s="180"/>
      <c r="BOC74" s="180"/>
      <c r="BOD74" s="180"/>
      <c r="BOE74" s="180"/>
      <c r="BOF74" s="180"/>
      <c r="BOG74" s="180"/>
      <c r="BOH74" s="180"/>
      <c r="BOI74" s="180"/>
      <c r="BOJ74" s="180"/>
      <c r="BOK74" s="180"/>
      <c r="BOL74" s="180"/>
      <c r="BOM74" s="180"/>
      <c r="BON74" s="180"/>
      <c r="BOO74" s="180"/>
      <c r="BOP74" s="180"/>
      <c r="BOQ74" s="180"/>
      <c r="BOR74" s="180"/>
      <c r="BOS74" s="180"/>
      <c r="BOT74" s="180"/>
      <c r="BOU74" s="180"/>
      <c r="BOV74" s="180"/>
      <c r="BOW74" s="180"/>
      <c r="BOX74" s="180"/>
      <c r="BOY74" s="180"/>
      <c r="BOZ74" s="180"/>
      <c r="BPA74" s="180"/>
      <c r="BPB74" s="180"/>
      <c r="BPC74" s="180"/>
      <c r="BPD74" s="180"/>
      <c r="BPE74" s="180"/>
      <c r="BPF74" s="180"/>
      <c r="BPG74" s="180"/>
      <c r="BPH74" s="180"/>
      <c r="BPI74" s="180"/>
      <c r="BPJ74" s="180"/>
      <c r="BPK74" s="180"/>
      <c r="BPL74" s="180"/>
      <c r="BPM74" s="180"/>
      <c r="BPN74" s="180"/>
      <c r="BPO74" s="180"/>
      <c r="BPP74" s="180"/>
      <c r="BPQ74" s="180"/>
      <c r="BPR74" s="180"/>
      <c r="BPS74" s="180"/>
      <c r="BPT74" s="180"/>
      <c r="BPU74" s="180"/>
      <c r="BPV74" s="180"/>
      <c r="BPW74" s="180"/>
      <c r="BPX74" s="180"/>
      <c r="BPY74" s="180"/>
      <c r="BPZ74" s="180"/>
      <c r="BQA74" s="180"/>
      <c r="BQB74" s="180"/>
      <c r="BQC74" s="180"/>
      <c r="BQD74" s="180"/>
      <c r="BQE74" s="180"/>
      <c r="BQF74" s="180"/>
      <c r="BQG74" s="180"/>
      <c r="BQH74" s="180"/>
      <c r="BQI74" s="180"/>
      <c r="BQJ74" s="180"/>
      <c r="BQK74" s="180"/>
      <c r="BQL74" s="180"/>
      <c r="BQM74" s="180"/>
      <c r="BQN74" s="180"/>
      <c r="BQO74" s="180"/>
      <c r="BQP74" s="180"/>
      <c r="BQQ74" s="180"/>
      <c r="BQR74" s="180"/>
      <c r="BQS74" s="180"/>
      <c r="BQT74" s="180"/>
      <c r="BQU74" s="180"/>
      <c r="BQV74" s="180"/>
      <c r="BQW74" s="180"/>
      <c r="BQX74" s="180"/>
      <c r="BQY74" s="180"/>
      <c r="BQZ74" s="180"/>
      <c r="BRA74" s="180"/>
      <c r="BRB74" s="180"/>
      <c r="BRC74" s="180"/>
      <c r="BRD74" s="180"/>
      <c r="BRE74" s="180"/>
      <c r="BRF74" s="180"/>
      <c r="BRG74" s="180"/>
      <c r="BRH74" s="180"/>
      <c r="BRI74" s="180"/>
      <c r="BRJ74" s="180"/>
      <c r="BRK74" s="180"/>
      <c r="BRL74" s="180"/>
      <c r="BRM74" s="180"/>
      <c r="BRN74" s="180"/>
      <c r="BRO74" s="180"/>
      <c r="BRP74" s="180"/>
      <c r="BRQ74" s="180"/>
      <c r="BRR74" s="180"/>
      <c r="BRS74" s="180"/>
      <c r="BRT74" s="180"/>
      <c r="BRU74" s="180"/>
      <c r="BRV74" s="180"/>
      <c r="BRW74" s="180"/>
      <c r="BRX74" s="180"/>
      <c r="BRY74" s="180"/>
      <c r="BRZ74" s="180"/>
      <c r="BSA74" s="180"/>
      <c r="BSB74" s="180"/>
      <c r="BSC74" s="180"/>
      <c r="BSD74" s="180"/>
      <c r="BSE74" s="180"/>
      <c r="BSF74" s="180"/>
      <c r="BSG74" s="180"/>
      <c r="BSH74" s="180"/>
      <c r="BSI74" s="180"/>
      <c r="BSJ74" s="180"/>
      <c r="BSK74" s="180"/>
      <c r="BSL74" s="180"/>
      <c r="BSM74" s="180"/>
      <c r="BSN74" s="180"/>
      <c r="BSO74" s="180"/>
      <c r="BSP74" s="180"/>
      <c r="BSQ74" s="180"/>
      <c r="BSR74" s="180"/>
      <c r="BSS74" s="180"/>
      <c r="BST74" s="180"/>
      <c r="BSU74" s="180"/>
      <c r="BSV74" s="180"/>
      <c r="BSW74" s="180"/>
      <c r="BSX74" s="180"/>
      <c r="BSY74" s="180"/>
      <c r="BSZ74" s="180"/>
      <c r="BTA74" s="180"/>
      <c r="BTB74" s="180"/>
      <c r="BTC74" s="180"/>
      <c r="BTD74" s="180"/>
      <c r="BTE74" s="180"/>
      <c r="BTF74" s="180"/>
      <c r="BTG74" s="180"/>
      <c r="BTH74" s="180"/>
      <c r="BTI74" s="180"/>
      <c r="BTJ74" s="180"/>
      <c r="BTK74" s="180"/>
      <c r="BTL74" s="180"/>
      <c r="BTM74" s="180"/>
      <c r="BTN74" s="180"/>
      <c r="BTO74" s="180"/>
      <c r="BTP74" s="180"/>
      <c r="BTQ74" s="180"/>
      <c r="BTR74" s="180"/>
      <c r="BTS74" s="180"/>
      <c r="BTT74" s="180"/>
      <c r="BTU74" s="180"/>
      <c r="BTV74" s="180"/>
      <c r="BTW74" s="180"/>
      <c r="BTX74" s="180"/>
      <c r="BTY74" s="180"/>
      <c r="BTZ74" s="180"/>
      <c r="BUA74" s="180"/>
      <c r="BUB74" s="180"/>
      <c r="BUC74" s="180"/>
      <c r="BUD74" s="180"/>
      <c r="BUE74" s="180"/>
      <c r="BUF74" s="180"/>
      <c r="BUG74" s="180"/>
      <c r="BUH74" s="180"/>
      <c r="BUI74" s="180"/>
      <c r="BUJ74" s="180"/>
      <c r="BUK74" s="180"/>
      <c r="BUL74" s="180"/>
      <c r="BUM74" s="180"/>
      <c r="BUN74" s="180"/>
      <c r="BUO74" s="180"/>
      <c r="BUP74" s="180"/>
      <c r="BUQ74" s="180"/>
      <c r="BUR74" s="180"/>
      <c r="BUS74" s="180"/>
      <c r="BUT74" s="180"/>
      <c r="BUU74" s="180"/>
      <c r="BUV74" s="180"/>
      <c r="BUW74" s="180"/>
      <c r="BUX74" s="180"/>
      <c r="BUY74" s="180"/>
      <c r="BUZ74" s="180"/>
      <c r="BVA74" s="180"/>
      <c r="BVB74" s="180"/>
      <c r="BVC74" s="180"/>
      <c r="BVD74" s="180"/>
      <c r="BVE74" s="180"/>
      <c r="BVF74" s="180"/>
      <c r="BVG74" s="180"/>
      <c r="BVH74" s="180"/>
      <c r="BVI74" s="180"/>
      <c r="BVJ74" s="180"/>
      <c r="BVK74" s="180"/>
      <c r="BVL74" s="180"/>
      <c r="BVM74" s="180"/>
      <c r="BVN74" s="180"/>
      <c r="BVO74" s="180"/>
      <c r="BVP74" s="180"/>
      <c r="BVQ74" s="180"/>
      <c r="BVR74" s="180"/>
      <c r="BVS74" s="180"/>
      <c r="BVT74" s="180"/>
      <c r="BVU74" s="180"/>
      <c r="BVV74" s="180"/>
      <c r="BVW74" s="180"/>
      <c r="BVX74" s="180"/>
      <c r="BVY74" s="180"/>
      <c r="BVZ74" s="180"/>
      <c r="BWA74" s="180"/>
      <c r="BWB74" s="180"/>
      <c r="BWC74" s="180"/>
      <c r="BWD74" s="180"/>
      <c r="BWE74" s="180"/>
      <c r="BWF74" s="180"/>
      <c r="BWG74" s="180"/>
      <c r="BWH74" s="180"/>
      <c r="BWI74" s="180"/>
      <c r="BWJ74" s="180"/>
      <c r="BWK74" s="180"/>
      <c r="BWL74" s="180"/>
      <c r="BWM74" s="180"/>
      <c r="BWN74" s="180"/>
      <c r="BWO74" s="180"/>
      <c r="BWP74" s="180"/>
      <c r="BWQ74" s="180"/>
      <c r="BWR74" s="180"/>
      <c r="BWS74" s="180"/>
      <c r="BWT74" s="180"/>
      <c r="BWU74" s="180"/>
      <c r="BWV74" s="180"/>
      <c r="BWW74" s="180"/>
      <c r="BWX74" s="180"/>
      <c r="BWY74" s="180"/>
      <c r="BWZ74" s="180"/>
      <c r="BXA74" s="180"/>
      <c r="BXB74" s="180"/>
      <c r="BXC74" s="180"/>
      <c r="BXD74" s="180"/>
      <c r="BXE74" s="180"/>
      <c r="BXF74" s="180"/>
      <c r="BXG74" s="180"/>
      <c r="BXH74" s="180"/>
      <c r="BXI74" s="180"/>
      <c r="BXJ74" s="180"/>
      <c r="BXK74" s="180"/>
      <c r="BXL74" s="180"/>
      <c r="BXM74" s="180"/>
      <c r="BXN74" s="180"/>
      <c r="BXO74" s="180"/>
      <c r="BXP74" s="180"/>
      <c r="BXQ74" s="180"/>
      <c r="BXR74" s="180"/>
      <c r="BXS74" s="180"/>
      <c r="BXT74" s="180"/>
      <c r="BXU74" s="180"/>
      <c r="BXV74" s="180"/>
      <c r="BXW74" s="180"/>
      <c r="BXX74" s="180"/>
      <c r="BXY74" s="180"/>
      <c r="BXZ74" s="180"/>
      <c r="BYA74" s="180"/>
      <c r="BYB74" s="180"/>
      <c r="BYC74" s="180"/>
      <c r="BYD74" s="180"/>
      <c r="BYE74" s="180"/>
      <c r="BYF74" s="180"/>
      <c r="BYG74" s="180"/>
      <c r="BYH74" s="180"/>
      <c r="BYI74" s="180"/>
      <c r="BYJ74" s="180"/>
      <c r="BYK74" s="180"/>
      <c r="BYL74" s="180"/>
      <c r="BYM74" s="180"/>
      <c r="BYN74" s="180"/>
      <c r="BYO74" s="180"/>
      <c r="BYP74" s="180"/>
      <c r="BYQ74" s="180"/>
      <c r="BYR74" s="180"/>
      <c r="BYS74" s="180"/>
      <c r="BYT74" s="180"/>
      <c r="BYU74" s="180"/>
      <c r="BYV74" s="180"/>
      <c r="BYW74" s="180"/>
      <c r="BYX74" s="180"/>
      <c r="BYY74" s="180"/>
      <c r="BYZ74" s="180"/>
      <c r="BZA74" s="180"/>
      <c r="BZB74" s="180"/>
      <c r="BZC74" s="180"/>
      <c r="BZD74" s="180"/>
      <c r="BZE74" s="180"/>
      <c r="BZF74" s="180"/>
      <c r="BZG74" s="180"/>
      <c r="BZH74" s="180"/>
      <c r="BZI74" s="180"/>
      <c r="BZJ74" s="180"/>
      <c r="BZK74" s="180"/>
      <c r="BZL74" s="180"/>
      <c r="BZM74" s="180"/>
      <c r="BZN74" s="180"/>
      <c r="BZO74" s="180"/>
      <c r="BZP74" s="180"/>
      <c r="BZQ74" s="180"/>
      <c r="BZR74" s="180"/>
      <c r="BZS74" s="180"/>
      <c r="BZT74" s="180"/>
      <c r="BZU74" s="180"/>
      <c r="BZV74" s="180"/>
      <c r="BZW74" s="180"/>
      <c r="BZX74" s="180"/>
      <c r="BZY74" s="180"/>
      <c r="BZZ74" s="180"/>
      <c r="CAA74" s="180"/>
      <c r="CAB74" s="180"/>
      <c r="CAC74" s="180"/>
      <c r="CAD74" s="180"/>
      <c r="CAE74" s="180"/>
      <c r="CAF74" s="180"/>
      <c r="CAG74" s="180"/>
      <c r="CAH74" s="180"/>
      <c r="CAI74" s="180"/>
      <c r="CAJ74" s="180"/>
      <c r="CAK74" s="180"/>
      <c r="CAL74" s="180"/>
      <c r="CAM74" s="180"/>
      <c r="CAN74" s="180"/>
      <c r="CAO74" s="180"/>
      <c r="CAP74" s="180"/>
      <c r="CAQ74" s="180"/>
      <c r="CAR74" s="180"/>
      <c r="CAS74" s="180"/>
      <c r="CAT74" s="180"/>
      <c r="CAU74" s="180"/>
      <c r="CAV74" s="180"/>
      <c r="CAW74" s="180"/>
      <c r="CAX74" s="180"/>
      <c r="CAY74" s="180"/>
      <c r="CAZ74" s="180"/>
      <c r="CBA74" s="180"/>
      <c r="CBB74" s="180"/>
      <c r="CBC74" s="180"/>
      <c r="CBD74" s="180"/>
      <c r="CBE74" s="180"/>
      <c r="CBF74" s="180"/>
      <c r="CBG74" s="180"/>
      <c r="CBH74" s="180"/>
      <c r="CBI74" s="180"/>
      <c r="CBJ74" s="180"/>
      <c r="CBK74" s="180"/>
      <c r="CBL74" s="180"/>
      <c r="CBM74" s="180"/>
      <c r="CBN74" s="180"/>
      <c r="CBO74" s="180"/>
      <c r="CBP74" s="180"/>
      <c r="CBQ74" s="180"/>
      <c r="CBR74" s="180"/>
      <c r="CBS74" s="180"/>
      <c r="CBT74" s="180"/>
      <c r="CBU74" s="180"/>
      <c r="CBV74" s="180"/>
      <c r="CBW74" s="180"/>
      <c r="CBX74" s="180"/>
      <c r="CBY74" s="180"/>
      <c r="CBZ74" s="180"/>
      <c r="CCA74" s="180"/>
      <c r="CCB74" s="180"/>
      <c r="CCC74" s="180"/>
      <c r="CCD74" s="180"/>
      <c r="CCE74" s="180"/>
      <c r="CCF74" s="180"/>
      <c r="CCG74" s="180"/>
      <c r="CCH74" s="180"/>
      <c r="CCI74" s="180"/>
      <c r="CCJ74" s="180"/>
      <c r="CCK74" s="180"/>
      <c r="CCL74" s="180"/>
      <c r="CCM74" s="180"/>
      <c r="CCN74" s="180"/>
      <c r="CCO74" s="180"/>
      <c r="CCP74" s="180"/>
      <c r="CCQ74" s="180"/>
      <c r="CCR74" s="180"/>
      <c r="CCS74" s="180"/>
      <c r="CCT74" s="180"/>
      <c r="CCU74" s="180"/>
      <c r="CCV74" s="180"/>
      <c r="CCW74" s="180"/>
      <c r="CCX74" s="180"/>
      <c r="CCY74" s="180"/>
      <c r="CCZ74" s="180"/>
      <c r="CDA74" s="180"/>
      <c r="CDB74" s="180"/>
      <c r="CDC74" s="180"/>
      <c r="CDD74" s="180"/>
      <c r="CDE74" s="180"/>
      <c r="CDF74" s="180"/>
      <c r="CDG74" s="180"/>
      <c r="CDH74" s="180"/>
      <c r="CDI74" s="180"/>
      <c r="CDJ74" s="180"/>
      <c r="CDK74" s="180"/>
      <c r="CDL74" s="180"/>
      <c r="CDM74" s="180"/>
      <c r="CDN74" s="180"/>
      <c r="CDO74" s="180"/>
      <c r="CDP74" s="180"/>
      <c r="CDQ74" s="180"/>
      <c r="CDR74" s="180"/>
      <c r="CDS74" s="180"/>
      <c r="CDT74" s="180"/>
      <c r="CDU74" s="180"/>
      <c r="CDV74" s="180"/>
      <c r="CDW74" s="180"/>
      <c r="CDX74" s="180"/>
      <c r="CDY74" s="180"/>
      <c r="CDZ74" s="180"/>
      <c r="CEA74" s="180"/>
      <c r="CEB74" s="180"/>
      <c r="CEC74" s="180"/>
      <c r="CED74" s="180"/>
      <c r="CEE74" s="180"/>
      <c r="CEF74" s="180"/>
      <c r="CEG74" s="180"/>
      <c r="CEH74" s="180"/>
      <c r="CEI74" s="180"/>
      <c r="CEJ74" s="180"/>
      <c r="CEK74" s="180"/>
      <c r="CEL74" s="180"/>
      <c r="CEM74" s="180"/>
      <c r="CEN74" s="180"/>
      <c r="CEO74" s="180"/>
      <c r="CEP74" s="180"/>
      <c r="CEQ74" s="180"/>
      <c r="CER74" s="180"/>
      <c r="CES74" s="180"/>
      <c r="CET74" s="180"/>
      <c r="CEU74" s="180"/>
      <c r="CEV74" s="180"/>
      <c r="CEW74" s="180"/>
      <c r="CEX74" s="180"/>
      <c r="CEY74" s="180"/>
      <c r="CEZ74" s="180"/>
      <c r="CFA74" s="180"/>
      <c r="CFB74" s="180"/>
      <c r="CFC74" s="180"/>
      <c r="CFD74" s="180"/>
      <c r="CFE74" s="180"/>
      <c r="CFF74" s="180"/>
      <c r="CFG74" s="180"/>
      <c r="CFH74" s="180"/>
      <c r="CFI74" s="180"/>
      <c r="CFJ74" s="180"/>
      <c r="CFK74" s="180"/>
      <c r="CFL74" s="180"/>
      <c r="CFM74" s="180"/>
      <c r="CFN74" s="180"/>
      <c r="CFO74" s="180"/>
      <c r="CFP74" s="180"/>
      <c r="CFQ74" s="180"/>
      <c r="CFR74" s="180"/>
      <c r="CFS74" s="180"/>
      <c r="CFT74" s="180"/>
      <c r="CFU74" s="180"/>
      <c r="CFV74" s="180"/>
      <c r="CFW74" s="180"/>
      <c r="CFX74" s="180"/>
      <c r="CFY74" s="180"/>
      <c r="CFZ74" s="180"/>
      <c r="CGA74" s="180"/>
      <c r="CGB74" s="180"/>
      <c r="CGC74" s="180"/>
      <c r="CGD74" s="180"/>
      <c r="CGE74" s="180"/>
      <c r="CGF74" s="180"/>
      <c r="CGG74" s="180"/>
      <c r="CGH74" s="180"/>
      <c r="CGI74" s="180"/>
      <c r="CGJ74" s="180"/>
      <c r="CGK74" s="180"/>
      <c r="CGL74" s="180"/>
      <c r="CGM74" s="180"/>
      <c r="CGN74" s="180"/>
      <c r="CGO74" s="180"/>
      <c r="CGP74" s="180"/>
      <c r="CGQ74" s="180"/>
      <c r="CGR74" s="180"/>
      <c r="CGS74" s="180"/>
      <c r="CGT74" s="180"/>
      <c r="CGU74" s="180"/>
      <c r="CGV74" s="180"/>
      <c r="CGW74" s="180"/>
      <c r="CGX74" s="180"/>
      <c r="CGY74" s="180"/>
      <c r="CGZ74" s="180"/>
      <c r="CHA74" s="180"/>
      <c r="CHB74" s="180"/>
      <c r="CHC74" s="180"/>
      <c r="CHD74" s="180"/>
      <c r="CHE74" s="180"/>
      <c r="CHF74" s="180"/>
      <c r="CHG74" s="180"/>
      <c r="CHH74" s="180"/>
      <c r="CHI74" s="180"/>
      <c r="CHJ74" s="180"/>
      <c r="CHK74" s="180"/>
      <c r="CHL74" s="180"/>
      <c r="CHM74" s="180"/>
      <c r="CHN74" s="180"/>
      <c r="CHO74" s="180"/>
      <c r="CHP74" s="180"/>
      <c r="CHQ74" s="180"/>
      <c r="CHR74" s="180"/>
      <c r="CHS74" s="180"/>
      <c r="CHT74" s="180"/>
      <c r="CHU74" s="180"/>
      <c r="CHV74" s="180"/>
      <c r="CHW74" s="180"/>
      <c r="CHX74" s="180"/>
      <c r="CHY74" s="180"/>
      <c r="CHZ74" s="180"/>
      <c r="CIA74" s="180"/>
      <c r="CIB74" s="180"/>
      <c r="CIC74" s="180"/>
      <c r="CID74" s="180"/>
      <c r="CIE74" s="180"/>
      <c r="CIF74" s="180"/>
      <c r="CIG74" s="180"/>
      <c r="CIH74" s="180"/>
      <c r="CII74" s="180"/>
      <c r="CIJ74" s="180"/>
      <c r="CIK74" s="180"/>
      <c r="CIL74" s="180"/>
      <c r="CIM74" s="180"/>
      <c r="CIN74" s="180"/>
      <c r="CIO74" s="180"/>
      <c r="CIP74" s="180"/>
      <c r="CIQ74" s="180"/>
      <c r="CIR74" s="180"/>
      <c r="CIS74" s="180"/>
      <c r="CIT74" s="180"/>
      <c r="CIU74" s="180"/>
      <c r="CIV74" s="180"/>
      <c r="CIW74" s="180"/>
      <c r="CIX74" s="180"/>
      <c r="CIY74" s="180"/>
      <c r="CIZ74" s="180"/>
      <c r="CJA74" s="180"/>
      <c r="CJB74" s="180"/>
      <c r="CJC74" s="180"/>
      <c r="CJD74" s="180"/>
      <c r="CJE74" s="180"/>
      <c r="CJF74" s="180"/>
      <c r="CJG74" s="180"/>
      <c r="CJH74" s="180"/>
      <c r="CJI74" s="180"/>
      <c r="CJJ74" s="180"/>
      <c r="CJK74" s="180"/>
      <c r="CJL74" s="180"/>
      <c r="CJM74" s="180"/>
      <c r="CJN74" s="180"/>
      <c r="CJO74" s="180"/>
      <c r="CJP74" s="180"/>
      <c r="CJQ74" s="180"/>
      <c r="CJR74" s="180"/>
      <c r="CJS74" s="180"/>
      <c r="CJT74" s="180"/>
      <c r="CJU74" s="180"/>
      <c r="CJV74" s="180"/>
      <c r="CJW74" s="180"/>
      <c r="CJX74" s="180"/>
      <c r="CJY74" s="180"/>
      <c r="CJZ74" s="180"/>
      <c r="CKA74" s="180"/>
      <c r="CKB74" s="180"/>
      <c r="CKC74" s="180"/>
      <c r="CKD74" s="180"/>
      <c r="CKE74" s="180"/>
      <c r="CKF74" s="180"/>
      <c r="CKG74" s="180"/>
      <c r="CKH74" s="180"/>
      <c r="CKI74" s="180"/>
      <c r="CKJ74" s="180"/>
      <c r="CKK74" s="180"/>
      <c r="CKL74" s="180"/>
      <c r="CKM74" s="180"/>
      <c r="CKN74" s="180"/>
      <c r="CKO74" s="180"/>
      <c r="CKP74" s="180"/>
      <c r="CKQ74" s="180"/>
      <c r="CKR74" s="180"/>
      <c r="CKS74" s="180"/>
      <c r="CKT74" s="180"/>
      <c r="CKU74" s="180"/>
      <c r="CKV74" s="180"/>
      <c r="CKW74" s="180"/>
      <c r="CKX74" s="180"/>
      <c r="CKY74" s="180"/>
      <c r="CKZ74" s="180"/>
      <c r="CLA74" s="180"/>
      <c r="CLB74" s="180"/>
      <c r="CLC74" s="180"/>
      <c r="CLD74" s="180"/>
      <c r="CLE74" s="180"/>
      <c r="CLF74" s="180"/>
      <c r="CLG74" s="180"/>
      <c r="CLH74" s="180"/>
      <c r="CLI74" s="180"/>
      <c r="CLJ74" s="180"/>
      <c r="CLK74" s="180"/>
      <c r="CLL74" s="180"/>
      <c r="CLM74" s="180"/>
      <c r="CLN74" s="180"/>
      <c r="CLO74" s="180"/>
      <c r="CLP74" s="180"/>
      <c r="CLQ74" s="180"/>
      <c r="CLR74" s="180"/>
      <c r="CLS74" s="180"/>
      <c r="CLT74" s="180"/>
      <c r="CLU74" s="180"/>
      <c r="CLV74" s="180"/>
      <c r="CLW74" s="180"/>
      <c r="CLX74" s="180"/>
      <c r="CLY74" s="180"/>
      <c r="CLZ74" s="180"/>
      <c r="CMA74" s="180"/>
      <c r="CMB74" s="180"/>
      <c r="CMC74" s="180"/>
      <c r="CMD74" s="180"/>
      <c r="CME74" s="180"/>
      <c r="CMF74" s="180"/>
      <c r="CMG74" s="180"/>
      <c r="CMH74" s="180"/>
      <c r="CMI74" s="180"/>
      <c r="CMJ74" s="180"/>
      <c r="CMK74" s="180"/>
      <c r="CML74" s="180"/>
      <c r="CMM74" s="180"/>
      <c r="CMN74" s="180"/>
      <c r="CMO74" s="180"/>
      <c r="CMP74" s="180"/>
      <c r="CMQ74" s="180"/>
      <c r="CMR74" s="180"/>
      <c r="CMS74" s="180"/>
      <c r="CMT74" s="180"/>
      <c r="CMU74" s="180"/>
      <c r="CMV74" s="180"/>
      <c r="CMW74" s="180"/>
      <c r="CMX74" s="180"/>
      <c r="CMY74" s="180"/>
      <c r="CMZ74" s="180"/>
      <c r="CNA74" s="180"/>
      <c r="CNB74" s="180"/>
      <c r="CNC74" s="180"/>
      <c r="CND74" s="180"/>
      <c r="CNE74" s="180"/>
      <c r="CNF74" s="180"/>
      <c r="CNG74" s="180"/>
      <c r="CNH74" s="180"/>
      <c r="CNI74" s="180"/>
      <c r="CNJ74" s="180"/>
      <c r="CNK74" s="180"/>
      <c r="CNL74" s="180"/>
      <c r="CNM74" s="180"/>
      <c r="CNN74" s="180"/>
      <c r="CNO74" s="180"/>
      <c r="CNP74" s="180"/>
      <c r="CNQ74" s="180"/>
      <c r="CNR74" s="180"/>
      <c r="CNS74" s="180"/>
      <c r="CNT74" s="180"/>
      <c r="CNU74" s="180"/>
      <c r="CNV74" s="180"/>
      <c r="CNW74" s="180"/>
      <c r="CNX74" s="180"/>
      <c r="CNY74" s="180"/>
      <c r="CNZ74" s="180"/>
      <c r="COA74" s="180"/>
      <c r="COB74" s="180"/>
      <c r="COC74" s="180"/>
      <c r="COD74" s="180"/>
      <c r="COE74" s="180"/>
      <c r="COF74" s="180"/>
      <c r="COG74" s="180"/>
      <c r="COH74" s="180"/>
      <c r="COI74" s="180"/>
      <c r="COJ74" s="180"/>
      <c r="COK74" s="180"/>
      <c r="COL74" s="180"/>
      <c r="COM74" s="180"/>
      <c r="CON74" s="180"/>
      <c r="COO74" s="180"/>
      <c r="COP74" s="180"/>
      <c r="COQ74" s="180"/>
      <c r="COR74" s="180"/>
      <c r="COS74" s="180"/>
      <c r="COT74" s="180"/>
      <c r="COU74" s="180"/>
      <c r="COV74" s="180"/>
      <c r="COW74" s="180"/>
      <c r="COX74" s="180"/>
      <c r="COY74" s="180"/>
      <c r="COZ74" s="180"/>
      <c r="CPA74" s="180"/>
      <c r="CPB74" s="180"/>
      <c r="CPC74" s="180"/>
      <c r="CPD74" s="180"/>
      <c r="CPE74" s="180"/>
      <c r="CPF74" s="180"/>
      <c r="CPG74" s="180"/>
      <c r="CPH74" s="180"/>
      <c r="CPI74" s="180"/>
      <c r="CPJ74" s="180"/>
      <c r="CPK74" s="180"/>
      <c r="CPL74" s="180"/>
      <c r="CPM74" s="180"/>
      <c r="CPN74" s="180"/>
      <c r="CPO74" s="180"/>
      <c r="CPP74" s="180"/>
      <c r="CPQ74" s="180"/>
      <c r="CPR74" s="180"/>
      <c r="CPS74" s="180"/>
      <c r="CPT74" s="180"/>
      <c r="CPU74" s="180"/>
      <c r="CPV74" s="180"/>
      <c r="CPW74" s="180"/>
      <c r="CPX74" s="180"/>
      <c r="CPY74" s="180"/>
      <c r="CPZ74" s="180"/>
      <c r="CQA74" s="180"/>
      <c r="CQB74" s="180"/>
      <c r="CQC74" s="180"/>
      <c r="CQD74" s="180"/>
      <c r="CQE74" s="180"/>
      <c r="CQF74" s="180"/>
      <c r="CQG74" s="180"/>
      <c r="CQH74" s="180"/>
      <c r="CQI74" s="180"/>
      <c r="CQJ74" s="180"/>
      <c r="CQK74" s="180"/>
      <c r="CQL74" s="180"/>
      <c r="CQM74" s="180"/>
      <c r="CQN74" s="180"/>
      <c r="CQO74" s="180"/>
      <c r="CQP74" s="180"/>
      <c r="CQQ74" s="180"/>
      <c r="CQR74" s="180"/>
      <c r="CQS74" s="180"/>
      <c r="CQT74" s="180"/>
      <c r="CQU74" s="180"/>
      <c r="CQV74" s="180"/>
      <c r="CQW74" s="180"/>
      <c r="CQX74" s="180"/>
      <c r="CQY74" s="180"/>
      <c r="CQZ74" s="180"/>
      <c r="CRA74" s="180"/>
      <c r="CRB74" s="180"/>
      <c r="CRC74" s="180"/>
      <c r="CRD74" s="180"/>
      <c r="CRE74" s="180"/>
      <c r="CRF74" s="180"/>
      <c r="CRG74" s="180"/>
      <c r="CRH74" s="180"/>
      <c r="CRI74" s="180"/>
      <c r="CRJ74" s="180"/>
      <c r="CRK74" s="180"/>
      <c r="CRL74" s="180"/>
      <c r="CRM74" s="180"/>
      <c r="CRN74" s="180"/>
      <c r="CRO74" s="180"/>
      <c r="CRP74" s="180"/>
      <c r="CRQ74" s="180"/>
      <c r="CRR74" s="180"/>
      <c r="CRS74" s="180"/>
      <c r="CRT74" s="180"/>
      <c r="CRU74" s="180"/>
      <c r="CRV74" s="180"/>
      <c r="CRW74" s="180"/>
      <c r="CRX74" s="180"/>
      <c r="CRY74" s="180"/>
      <c r="CRZ74" s="180"/>
      <c r="CSA74" s="180"/>
      <c r="CSB74" s="180"/>
      <c r="CSC74" s="180"/>
      <c r="CSD74" s="180"/>
      <c r="CSE74" s="180"/>
      <c r="CSF74" s="180"/>
      <c r="CSG74" s="180"/>
      <c r="CSH74" s="180"/>
      <c r="CSI74" s="180"/>
      <c r="CSJ74" s="180"/>
      <c r="CSK74" s="180"/>
      <c r="CSL74" s="180"/>
      <c r="CSM74" s="180"/>
      <c r="CSN74" s="180"/>
      <c r="CSO74" s="180"/>
      <c r="CSP74" s="180"/>
      <c r="CSQ74" s="180"/>
      <c r="CSR74" s="180"/>
      <c r="CSS74" s="180"/>
      <c r="CST74" s="180"/>
      <c r="CSU74" s="180"/>
      <c r="CSV74" s="180"/>
      <c r="CSW74" s="180"/>
      <c r="CSX74" s="180"/>
      <c r="CSY74" s="180"/>
      <c r="CSZ74" s="180"/>
      <c r="CTA74" s="180"/>
      <c r="CTB74" s="180"/>
      <c r="CTC74" s="180"/>
      <c r="CTD74" s="180"/>
      <c r="CTE74" s="180"/>
      <c r="CTF74" s="180"/>
      <c r="CTG74" s="180"/>
      <c r="CTH74" s="180"/>
      <c r="CTI74" s="180"/>
      <c r="CTJ74" s="180"/>
      <c r="CTK74" s="180"/>
      <c r="CTL74" s="180"/>
      <c r="CTM74" s="180"/>
      <c r="CTN74" s="180"/>
      <c r="CTO74" s="180"/>
      <c r="CTP74" s="180"/>
      <c r="CTQ74" s="180"/>
      <c r="CTR74" s="180"/>
      <c r="CTS74" s="180"/>
      <c r="CTT74" s="180"/>
      <c r="CTU74" s="180"/>
      <c r="CTV74" s="180"/>
      <c r="CTW74" s="180"/>
      <c r="CTX74" s="180"/>
      <c r="CTY74" s="180"/>
      <c r="CTZ74" s="180"/>
      <c r="CUA74" s="180"/>
      <c r="CUB74" s="180"/>
      <c r="CUC74" s="180"/>
      <c r="CUD74" s="180"/>
      <c r="CUE74" s="180"/>
      <c r="CUF74" s="180"/>
      <c r="CUG74" s="180"/>
      <c r="CUH74" s="180"/>
      <c r="CUI74" s="180"/>
      <c r="CUJ74" s="180"/>
      <c r="CUK74" s="180"/>
      <c r="CUL74" s="180"/>
      <c r="CUM74" s="180"/>
      <c r="CUN74" s="180"/>
      <c r="CUO74" s="180"/>
      <c r="CUP74" s="180"/>
      <c r="CUQ74" s="180"/>
      <c r="CUR74" s="180"/>
      <c r="CUS74" s="180"/>
      <c r="CUT74" s="180"/>
      <c r="CUU74" s="180"/>
      <c r="CUV74" s="180"/>
      <c r="CUW74" s="180"/>
      <c r="CUX74" s="180"/>
      <c r="CUY74" s="180"/>
      <c r="CUZ74" s="180"/>
      <c r="CVA74" s="180"/>
      <c r="CVB74" s="180"/>
      <c r="CVC74" s="180"/>
      <c r="CVD74" s="180"/>
      <c r="CVE74" s="180"/>
      <c r="CVF74" s="180"/>
      <c r="CVG74" s="180"/>
      <c r="CVH74" s="180"/>
      <c r="CVI74" s="180"/>
      <c r="CVJ74" s="180"/>
      <c r="CVK74" s="180"/>
      <c r="CVL74" s="180"/>
      <c r="CVM74" s="180"/>
      <c r="CVN74" s="180"/>
      <c r="CVO74" s="180"/>
      <c r="CVP74" s="180"/>
      <c r="CVQ74" s="180"/>
      <c r="CVR74" s="180"/>
      <c r="CVS74" s="180"/>
      <c r="CVT74" s="180"/>
      <c r="CVU74" s="180"/>
      <c r="CVV74" s="180"/>
      <c r="CVW74" s="180"/>
      <c r="CVX74" s="180"/>
      <c r="CVY74" s="180"/>
      <c r="CVZ74" s="180"/>
      <c r="CWA74" s="180"/>
      <c r="CWB74" s="180"/>
      <c r="CWC74" s="180"/>
      <c r="CWD74" s="180"/>
      <c r="CWE74" s="180"/>
      <c r="CWF74" s="180"/>
      <c r="CWG74" s="180"/>
      <c r="CWH74" s="180"/>
      <c r="CWI74" s="180"/>
      <c r="CWJ74" s="180"/>
      <c r="CWK74" s="180"/>
      <c r="CWL74" s="180"/>
      <c r="CWM74" s="180"/>
      <c r="CWN74" s="180"/>
      <c r="CWO74" s="180"/>
      <c r="CWP74" s="180"/>
      <c r="CWQ74" s="180"/>
      <c r="CWR74" s="180"/>
      <c r="CWS74" s="180"/>
      <c r="CWT74" s="180"/>
      <c r="CWU74" s="180"/>
      <c r="CWV74" s="180"/>
      <c r="CWW74" s="180"/>
      <c r="CWX74" s="180"/>
      <c r="CWY74" s="180"/>
      <c r="CWZ74" s="180"/>
      <c r="CXA74" s="180"/>
      <c r="CXB74" s="180"/>
      <c r="CXC74" s="180"/>
      <c r="CXD74" s="180"/>
      <c r="CXE74" s="180"/>
      <c r="CXF74" s="180"/>
      <c r="CXG74" s="180"/>
      <c r="CXH74" s="180"/>
      <c r="CXI74" s="180"/>
      <c r="CXJ74" s="180"/>
      <c r="CXK74" s="180"/>
      <c r="CXL74" s="180"/>
      <c r="CXM74" s="180"/>
      <c r="CXN74" s="180"/>
      <c r="CXO74" s="180"/>
      <c r="CXP74" s="180"/>
      <c r="CXQ74" s="180"/>
      <c r="CXR74" s="180"/>
      <c r="CXS74" s="180"/>
      <c r="CXT74" s="180"/>
      <c r="CXU74" s="180"/>
      <c r="CXV74" s="180"/>
      <c r="CXW74" s="180"/>
      <c r="CXX74" s="180"/>
      <c r="CXY74" s="180"/>
      <c r="CXZ74" s="180"/>
      <c r="CYA74" s="180"/>
      <c r="CYB74" s="180"/>
      <c r="CYC74" s="180"/>
      <c r="CYD74" s="180"/>
      <c r="CYE74" s="180"/>
      <c r="CYF74" s="180"/>
      <c r="CYG74" s="180"/>
      <c r="CYH74" s="180"/>
      <c r="CYI74" s="180"/>
      <c r="CYJ74" s="180"/>
      <c r="CYK74" s="180"/>
      <c r="CYL74" s="180"/>
      <c r="CYM74" s="180"/>
      <c r="CYN74" s="180"/>
      <c r="CYO74" s="180"/>
      <c r="CYP74" s="180"/>
      <c r="CYQ74" s="180"/>
      <c r="CYR74" s="180"/>
      <c r="CYS74" s="180"/>
      <c r="CYT74" s="180"/>
      <c r="CYU74" s="180"/>
      <c r="CYV74" s="180"/>
      <c r="CYW74" s="180"/>
      <c r="CYX74" s="180"/>
      <c r="CYY74" s="180"/>
      <c r="CYZ74" s="180"/>
      <c r="CZA74" s="180"/>
      <c r="CZB74" s="180"/>
      <c r="CZC74" s="180"/>
      <c r="CZD74" s="180"/>
      <c r="CZE74" s="180"/>
      <c r="CZF74" s="180"/>
      <c r="CZG74" s="180"/>
      <c r="CZH74" s="180"/>
      <c r="CZI74" s="180"/>
      <c r="CZJ74" s="180"/>
      <c r="CZK74" s="180"/>
      <c r="CZL74" s="180"/>
      <c r="CZM74" s="180"/>
      <c r="CZN74" s="180"/>
      <c r="CZO74" s="180"/>
      <c r="CZP74" s="180"/>
      <c r="CZQ74" s="180"/>
      <c r="CZR74" s="180"/>
      <c r="CZS74" s="180"/>
      <c r="CZT74" s="180"/>
      <c r="CZU74" s="180"/>
      <c r="CZV74" s="180"/>
      <c r="CZW74" s="180"/>
      <c r="CZX74" s="180"/>
      <c r="CZY74" s="180"/>
      <c r="CZZ74" s="180"/>
      <c r="DAA74" s="180"/>
      <c r="DAB74" s="180"/>
      <c r="DAC74" s="180"/>
      <c r="DAD74" s="180"/>
      <c r="DAE74" s="180"/>
      <c r="DAF74" s="180"/>
      <c r="DAG74" s="180"/>
      <c r="DAH74" s="180"/>
      <c r="DAI74" s="180"/>
      <c r="DAJ74" s="180"/>
      <c r="DAK74" s="180"/>
      <c r="DAL74" s="180"/>
      <c r="DAM74" s="180"/>
      <c r="DAN74" s="180"/>
      <c r="DAO74" s="180"/>
      <c r="DAP74" s="180"/>
      <c r="DAQ74" s="180"/>
      <c r="DAR74" s="180"/>
      <c r="DAS74" s="180"/>
      <c r="DAT74" s="180"/>
      <c r="DAU74" s="180"/>
      <c r="DAV74" s="180"/>
      <c r="DAW74" s="180"/>
      <c r="DAX74" s="180"/>
      <c r="DAY74" s="180"/>
      <c r="DAZ74" s="180"/>
      <c r="DBA74" s="180"/>
      <c r="DBB74" s="180"/>
      <c r="DBC74" s="180"/>
      <c r="DBD74" s="180"/>
      <c r="DBE74" s="180"/>
      <c r="DBF74" s="180"/>
      <c r="DBG74" s="180"/>
      <c r="DBH74" s="180"/>
      <c r="DBI74" s="180"/>
      <c r="DBJ74" s="180"/>
      <c r="DBK74" s="180"/>
      <c r="DBL74" s="180"/>
      <c r="DBM74" s="180"/>
      <c r="DBN74" s="180"/>
      <c r="DBO74" s="180"/>
      <c r="DBP74" s="180"/>
      <c r="DBQ74" s="180"/>
      <c r="DBR74" s="180"/>
      <c r="DBS74" s="180"/>
      <c r="DBT74" s="180"/>
      <c r="DBU74" s="180"/>
      <c r="DBV74" s="180"/>
      <c r="DBW74" s="180"/>
      <c r="DBX74" s="180"/>
      <c r="DBY74" s="180"/>
      <c r="DBZ74" s="180"/>
      <c r="DCA74" s="180"/>
      <c r="DCB74" s="180"/>
      <c r="DCC74" s="180"/>
      <c r="DCD74" s="180"/>
      <c r="DCE74" s="180"/>
      <c r="DCF74" s="180"/>
      <c r="DCG74" s="180"/>
      <c r="DCH74" s="180"/>
      <c r="DCI74" s="180"/>
      <c r="DCJ74" s="180"/>
      <c r="DCK74" s="180"/>
      <c r="DCL74" s="180"/>
      <c r="DCM74" s="180"/>
      <c r="DCN74" s="180"/>
      <c r="DCO74" s="180"/>
      <c r="DCP74" s="180"/>
      <c r="DCQ74" s="180"/>
      <c r="DCR74" s="180"/>
      <c r="DCS74" s="180"/>
      <c r="DCT74" s="180"/>
      <c r="DCU74" s="180"/>
      <c r="DCV74" s="180"/>
      <c r="DCW74" s="180"/>
      <c r="DCX74" s="180"/>
      <c r="DCY74" s="180"/>
      <c r="DCZ74" s="180"/>
      <c r="DDA74" s="180"/>
      <c r="DDB74" s="180"/>
      <c r="DDC74" s="180"/>
      <c r="DDD74" s="180"/>
      <c r="DDE74" s="180"/>
      <c r="DDF74" s="180"/>
      <c r="DDG74" s="180"/>
      <c r="DDH74" s="180"/>
      <c r="DDI74" s="180"/>
      <c r="DDJ74" s="180"/>
      <c r="DDK74" s="180"/>
      <c r="DDL74" s="180"/>
      <c r="DDM74" s="180"/>
      <c r="DDN74" s="180"/>
      <c r="DDO74" s="180"/>
      <c r="DDP74" s="180"/>
      <c r="DDQ74" s="180"/>
      <c r="DDR74" s="180"/>
      <c r="DDS74" s="180"/>
      <c r="DDT74" s="180"/>
      <c r="DDU74" s="180"/>
      <c r="DDV74" s="180"/>
      <c r="DDW74" s="180"/>
      <c r="DDX74" s="180"/>
      <c r="DDY74" s="180"/>
      <c r="DDZ74" s="180"/>
      <c r="DEA74" s="180"/>
      <c r="DEB74" s="180"/>
      <c r="DEC74" s="180"/>
      <c r="DED74" s="180"/>
      <c r="DEE74" s="180"/>
      <c r="DEF74" s="180"/>
      <c r="DEG74" s="180"/>
      <c r="DEH74" s="180"/>
      <c r="DEI74" s="180"/>
      <c r="DEJ74" s="180"/>
      <c r="DEK74" s="180"/>
      <c r="DEL74" s="180"/>
      <c r="DEM74" s="180"/>
      <c r="DEN74" s="180"/>
      <c r="DEO74" s="180"/>
      <c r="DEP74" s="180"/>
      <c r="DEQ74" s="180"/>
      <c r="DER74" s="180"/>
      <c r="DES74" s="180"/>
      <c r="DET74" s="180"/>
      <c r="DEU74" s="180"/>
      <c r="DEV74" s="180"/>
      <c r="DEW74" s="180"/>
      <c r="DEX74" s="180"/>
      <c r="DEY74" s="180"/>
      <c r="DEZ74" s="180"/>
      <c r="DFA74" s="180"/>
      <c r="DFB74" s="180"/>
      <c r="DFC74" s="180"/>
      <c r="DFD74" s="180"/>
      <c r="DFE74" s="180"/>
      <c r="DFF74" s="180"/>
      <c r="DFG74" s="180"/>
      <c r="DFH74" s="180"/>
      <c r="DFI74" s="180"/>
      <c r="DFJ74" s="180"/>
      <c r="DFK74" s="180"/>
      <c r="DFL74" s="180"/>
      <c r="DFM74" s="180"/>
      <c r="DFN74" s="180"/>
      <c r="DFO74" s="180"/>
      <c r="DFP74" s="180"/>
      <c r="DFQ74" s="180"/>
      <c r="DFR74" s="180"/>
      <c r="DFS74" s="180"/>
      <c r="DFT74" s="180"/>
      <c r="DFU74" s="180"/>
      <c r="DFV74" s="180"/>
      <c r="DFW74" s="180"/>
      <c r="DFX74" s="180"/>
      <c r="DFY74" s="180"/>
      <c r="DFZ74" s="180"/>
      <c r="DGA74" s="180"/>
      <c r="DGB74" s="180"/>
      <c r="DGC74" s="180"/>
      <c r="DGD74" s="180"/>
      <c r="DGE74" s="180"/>
      <c r="DGF74" s="180"/>
      <c r="DGG74" s="180"/>
      <c r="DGH74" s="180"/>
      <c r="DGI74" s="180"/>
      <c r="DGJ74" s="180"/>
      <c r="DGK74" s="180"/>
      <c r="DGL74" s="180"/>
      <c r="DGM74" s="180"/>
      <c r="DGN74" s="180"/>
      <c r="DGO74" s="180"/>
      <c r="DGP74" s="180"/>
      <c r="DGQ74" s="180"/>
      <c r="DGR74" s="180"/>
      <c r="DGS74" s="180"/>
      <c r="DGT74" s="180"/>
      <c r="DGU74" s="180"/>
      <c r="DGV74" s="180"/>
      <c r="DGW74" s="180"/>
      <c r="DGX74" s="180"/>
      <c r="DGY74" s="180"/>
      <c r="DGZ74" s="180"/>
      <c r="DHA74" s="180"/>
      <c r="DHB74" s="180"/>
      <c r="DHC74" s="180"/>
      <c r="DHD74" s="180"/>
      <c r="DHE74" s="180"/>
      <c r="DHF74" s="180"/>
      <c r="DHG74" s="180"/>
      <c r="DHH74" s="180"/>
      <c r="DHI74" s="180"/>
      <c r="DHJ74" s="180"/>
      <c r="DHK74" s="180"/>
      <c r="DHL74" s="180"/>
      <c r="DHM74" s="180"/>
      <c r="DHN74" s="180"/>
      <c r="DHO74" s="180"/>
      <c r="DHP74" s="180"/>
      <c r="DHQ74" s="180"/>
      <c r="DHR74" s="180"/>
      <c r="DHS74" s="180"/>
      <c r="DHT74" s="180"/>
      <c r="DHU74" s="180"/>
      <c r="DHV74" s="180"/>
      <c r="DHW74" s="180"/>
      <c r="DHX74" s="180"/>
      <c r="DHY74" s="180"/>
      <c r="DHZ74" s="180"/>
      <c r="DIA74" s="180"/>
      <c r="DIB74" s="180"/>
      <c r="DIC74" s="180"/>
      <c r="DID74" s="180"/>
      <c r="DIE74" s="180"/>
      <c r="DIF74" s="180"/>
      <c r="DIG74" s="180"/>
      <c r="DIH74" s="180"/>
      <c r="DII74" s="180"/>
      <c r="DIJ74" s="180"/>
      <c r="DIK74" s="180"/>
      <c r="DIL74" s="180"/>
      <c r="DIM74" s="180"/>
      <c r="DIN74" s="180"/>
      <c r="DIO74" s="180"/>
      <c r="DIP74" s="180"/>
      <c r="DIQ74" s="180"/>
      <c r="DIR74" s="180"/>
      <c r="DIS74" s="180"/>
      <c r="DIT74" s="180"/>
      <c r="DIU74" s="180"/>
      <c r="DIV74" s="180"/>
      <c r="DIW74" s="180"/>
      <c r="DIX74" s="180"/>
      <c r="DIY74" s="180"/>
      <c r="DIZ74" s="180"/>
      <c r="DJA74" s="180"/>
      <c r="DJB74" s="180"/>
      <c r="DJC74" s="180"/>
      <c r="DJD74" s="180"/>
      <c r="DJE74" s="180"/>
      <c r="DJF74" s="180"/>
      <c r="DJG74" s="180"/>
      <c r="DJH74" s="180"/>
      <c r="DJI74" s="180"/>
      <c r="DJJ74" s="180"/>
      <c r="DJK74" s="180"/>
      <c r="DJL74" s="180"/>
      <c r="DJM74" s="180"/>
      <c r="DJN74" s="180"/>
      <c r="DJO74" s="180"/>
      <c r="DJP74" s="180"/>
      <c r="DJQ74" s="180"/>
      <c r="DJR74" s="180"/>
      <c r="DJS74" s="180"/>
      <c r="DJT74" s="180"/>
      <c r="DJU74" s="180"/>
      <c r="DJV74" s="180"/>
      <c r="DJW74" s="180"/>
      <c r="DJX74" s="180"/>
      <c r="DJY74" s="180"/>
      <c r="DJZ74" s="180"/>
      <c r="DKA74" s="180"/>
      <c r="DKB74" s="180"/>
      <c r="DKC74" s="180"/>
      <c r="DKD74" s="180"/>
      <c r="DKE74" s="180"/>
      <c r="DKF74" s="180"/>
      <c r="DKG74" s="180"/>
      <c r="DKH74" s="180"/>
      <c r="DKI74" s="180"/>
      <c r="DKJ74" s="180"/>
      <c r="DKK74" s="180"/>
      <c r="DKL74" s="180"/>
      <c r="DKM74" s="180"/>
      <c r="DKN74" s="180"/>
      <c r="DKO74" s="180"/>
      <c r="DKP74" s="180"/>
      <c r="DKQ74" s="180"/>
      <c r="DKR74" s="180"/>
      <c r="DKS74" s="180"/>
      <c r="DKT74" s="180"/>
      <c r="DKU74" s="180"/>
      <c r="DKV74" s="180"/>
      <c r="DKW74" s="180"/>
      <c r="DKX74" s="180"/>
      <c r="DKY74" s="180"/>
      <c r="DKZ74" s="180"/>
      <c r="DLA74" s="180"/>
      <c r="DLB74" s="180"/>
      <c r="DLC74" s="180"/>
      <c r="DLD74" s="180"/>
      <c r="DLE74" s="180"/>
      <c r="DLF74" s="180"/>
      <c r="DLG74" s="180"/>
      <c r="DLH74" s="180"/>
      <c r="DLI74" s="180"/>
      <c r="DLJ74" s="180"/>
      <c r="DLK74" s="180"/>
      <c r="DLL74" s="180"/>
      <c r="DLM74" s="180"/>
      <c r="DLN74" s="180"/>
      <c r="DLO74" s="180"/>
      <c r="DLP74" s="180"/>
      <c r="DLQ74" s="180"/>
      <c r="DLR74" s="180"/>
      <c r="DLS74" s="180"/>
      <c r="DLT74" s="180"/>
      <c r="DLU74" s="180"/>
      <c r="DLV74" s="180"/>
      <c r="DLW74" s="180"/>
      <c r="DLX74" s="180"/>
      <c r="DLY74" s="180"/>
      <c r="DLZ74" s="180"/>
      <c r="DMA74" s="180"/>
      <c r="DMB74" s="180"/>
      <c r="DMC74" s="180"/>
      <c r="DMD74" s="180"/>
      <c r="DME74" s="180"/>
      <c r="DMF74" s="180"/>
      <c r="DMG74" s="180"/>
      <c r="DMH74" s="180"/>
      <c r="DMI74" s="180"/>
      <c r="DMJ74" s="180"/>
      <c r="DMK74" s="180"/>
      <c r="DML74" s="180"/>
      <c r="DMM74" s="180"/>
      <c r="DMN74" s="180"/>
      <c r="DMO74" s="180"/>
      <c r="DMP74" s="180"/>
      <c r="DMQ74" s="180"/>
      <c r="DMR74" s="180"/>
      <c r="DMS74" s="180"/>
      <c r="DMT74" s="180"/>
      <c r="DMU74" s="180"/>
      <c r="DMV74" s="180"/>
      <c r="DMW74" s="180"/>
      <c r="DMX74" s="180"/>
      <c r="DMY74" s="180"/>
      <c r="DMZ74" s="180"/>
      <c r="DNA74" s="180"/>
      <c r="DNB74" s="180"/>
      <c r="DNC74" s="180"/>
      <c r="DND74" s="180"/>
      <c r="DNE74" s="180"/>
      <c r="DNF74" s="180"/>
      <c r="DNG74" s="180"/>
      <c r="DNH74" s="180"/>
      <c r="DNI74" s="180"/>
      <c r="DNJ74" s="180"/>
      <c r="DNK74" s="180"/>
      <c r="DNL74" s="180"/>
      <c r="DNM74" s="180"/>
      <c r="DNN74" s="180"/>
      <c r="DNO74" s="180"/>
      <c r="DNP74" s="180"/>
      <c r="DNQ74" s="180"/>
      <c r="DNR74" s="180"/>
      <c r="DNS74" s="180"/>
      <c r="DNT74" s="180"/>
      <c r="DNU74" s="180"/>
      <c r="DNV74" s="180"/>
      <c r="DNW74" s="180"/>
      <c r="DNX74" s="180"/>
      <c r="DNY74" s="180"/>
      <c r="DNZ74" s="180"/>
      <c r="DOA74" s="180"/>
      <c r="DOB74" s="180"/>
      <c r="DOC74" s="180"/>
      <c r="DOD74" s="180"/>
      <c r="DOE74" s="180"/>
      <c r="DOF74" s="180"/>
      <c r="DOG74" s="180"/>
      <c r="DOH74" s="180"/>
      <c r="DOI74" s="180"/>
      <c r="DOJ74" s="180"/>
      <c r="DOK74" s="180"/>
      <c r="DOL74" s="180"/>
      <c r="DOM74" s="180"/>
      <c r="DON74" s="180"/>
      <c r="DOO74" s="180"/>
      <c r="DOP74" s="180"/>
      <c r="DOQ74" s="180"/>
      <c r="DOR74" s="180"/>
      <c r="DOS74" s="180"/>
      <c r="DOT74" s="180"/>
      <c r="DOU74" s="180"/>
      <c r="DOV74" s="180"/>
      <c r="DOW74" s="180"/>
      <c r="DOX74" s="180"/>
      <c r="DOY74" s="180"/>
      <c r="DOZ74" s="180"/>
      <c r="DPA74" s="180"/>
      <c r="DPB74" s="180"/>
      <c r="DPC74" s="180"/>
      <c r="DPD74" s="180"/>
      <c r="DPE74" s="180"/>
      <c r="DPF74" s="180"/>
      <c r="DPG74" s="180"/>
      <c r="DPH74" s="180"/>
      <c r="DPI74" s="180"/>
      <c r="DPJ74" s="180"/>
      <c r="DPK74" s="180"/>
      <c r="DPL74" s="180"/>
      <c r="DPM74" s="180"/>
      <c r="DPN74" s="180"/>
      <c r="DPO74" s="180"/>
      <c r="DPP74" s="180"/>
      <c r="DPQ74" s="180"/>
      <c r="DPR74" s="180"/>
      <c r="DPS74" s="180"/>
      <c r="DPT74" s="180"/>
      <c r="DPU74" s="180"/>
      <c r="DPV74" s="180"/>
      <c r="DPW74" s="180"/>
      <c r="DPX74" s="180"/>
      <c r="DPY74" s="180"/>
      <c r="DPZ74" s="180"/>
      <c r="DQA74" s="180"/>
      <c r="DQB74" s="180"/>
      <c r="DQC74" s="180"/>
      <c r="DQD74" s="180"/>
      <c r="DQE74" s="180"/>
      <c r="DQF74" s="180"/>
      <c r="DQG74" s="180"/>
      <c r="DQH74" s="180"/>
      <c r="DQI74" s="180"/>
      <c r="DQJ74" s="180"/>
      <c r="DQK74" s="180"/>
      <c r="DQL74" s="180"/>
      <c r="DQM74" s="180"/>
      <c r="DQN74" s="180"/>
      <c r="DQO74" s="180"/>
      <c r="DQP74" s="180"/>
      <c r="DQQ74" s="180"/>
      <c r="DQR74" s="180"/>
      <c r="DQS74" s="180"/>
      <c r="DQT74" s="180"/>
      <c r="DQU74" s="180"/>
      <c r="DQV74" s="180"/>
      <c r="DQW74" s="180"/>
      <c r="DQX74" s="180"/>
      <c r="DQY74" s="180"/>
      <c r="DQZ74" s="180"/>
      <c r="DRA74" s="180"/>
      <c r="DRB74" s="180"/>
      <c r="DRC74" s="180"/>
      <c r="DRD74" s="180"/>
      <c r="DRE74" s="180"/>
      <c r="DRF74" s="180"/>
      <c r="DRG74" s="180"/>
      <c r="DRH74" s="180"/>
      <c r="DRI74" s="180"/>
      <c r="DRJ74" s="180"/>
      <c r="DRK74" s="180"/>
      <c r="DRL74" s="180"/>
      <c r="DRM74" s="180"/>
      <c r="DRN74" s="180"/>
      <c r="DRO74" s="180"/>
      <c r="DRP74" s="180"/>
      <c r="DRQ74" s="180"/>
      <c r="DRR74" s="180"/>
      <c r="DRS74" s="180"/>
      <c r="DRT74" s="180"/>
      <c r="DRU74" s="180"/>
      <c r="DRV74" s="180"/>
      <c r="DRW74" s="180"/>
      <c r="DRX74" s="180"/>
      <c r="DRY74" s="180"/>
      <c r="DRZ74" s="180"/>
      <c r="DSA74" s="180"/>
      <c r="DSB74" s="180"/>
      <c r="DSC74" s="180"/>
      <c r="DSD74" s="180"/>
      <c r="DSE74" s="180"/>
      <c r="DSF74" s="180"/>
      <c r="DSG74" s="180"/>
      <c r="DSH74" s="180"/>
      <c r="DSI74" s="180"/>
      <c r="DSJ74" s="180"/>
      <c r="DSK74" s="180"/>
      <c r="DSL74" s="180"/>
      <c r="DSM74" s="180"/>
      <c r="DSN74" s="180"/>
      <c r="DSO74" s="180"/>
      <c r="DSP74" s="180"/>
      <c r="DSQ74" s="180"/>
      <c r="DSR74" s="180"/>
      <c r="DSS74" s="180"/>
      <c r="DST74" s="180"/>
      <c r="DSU74" s="180"/>
      <c r="DSV74" s="180"/>
      <c r="DSW74" s="180"/>
      <c r="DSX74" s="180"/>
      <c r="DSY74" s="180"/>
      <c r="DSZ74" s="180"/>
      <c r="DTA74" s="180"/>
      <c r="DTB74" s="180"/>
      <c r="DTC74" s="180"/>
      <c r="DTD74" s="180"/>
      <c r="DTE74" s="180"/>
      <c r="DTF74" s="180"/>
      <c r="DTG74" s="180"/>
      <c r="DTH74" s="180"/>
      <c r="DTI74" s="180"/>
      <c r="DTJ74" s="180"/>
      <c r="DTK74" s="180"/>
      <c r="DTL74" s="180"/>
      <c r="DTM74" s="180"/>
      <c r="DTN74" s="180"/>
      <c r="DTO74" s="180"/>
      <c r="DTP74" s="180"/>
      <c r="DTQ74" s="180"/>
      <c r="DTR74" s="180"/>
      <c r="DTS74" s="180"/>
      <c r="DTT74" s="180"/>
      <c r="DTU74" s="180"/>
      <c r="DTV74" s="180"/>
      <c r="DTW74" s="180"/>
      <c r="DTX74" s="180"/>
      <c r="DTY74" s="180"/>
      <c r="DTZ74" s="180"/>
      <c r="DUA74" s="180"/>
      <c r="DUB74" s="180"/>
      <c r="DUC74" s="180"/>
      <c r="DUD74" s="180"/>
      <c r="DUE74" s="180"/>
      <c r="DUF74" s="180"/>
      <c r="DUG74" s="180"/>
      <c r="DUH74" s="180"/>
      <c r="DUI74" s="180"/>
      <c r="DUJ74" s="180"/>
      <c r="DUK74" s="180"/>
      <c r="DUL74" s="180"/>
      <c r="DUM74" s="180"/>
      <c r="DUN74" s="180"/>
      <c r="DUO74" s="180"/>
      <c r="DUP74" s="180"/>
      <c r="DUQ74" s="180"/>
      <c r="DUR74" s="180"/>
      <c r="DUS74" s="180"/>
      <c r="DUT74" s="180"/>
      <c r="DUU74" s="180"/>
      <c r="DUV74" s="180"/>
      <c r="DUW74" s="180"/>
      <c r="DUX74" s="180"/>
      <c r="DUY74" s="180"/>
      <c r="DUZ74" s="180"/>
      <c r="DVA74" s="180"/>
      <c r="DVB74" s="180"/>
      <c r="DVC74" s="180"/>
      <c r="DVD74" s="180"/>
      <c r="DVE74" s="180"/>
      <c r="DVF74" s="180"/>
      <c r="DVG74" s="180"/>
      <c r="DVH74" s="180"/>
      <c r="DVI74" s="180"/>
      <c r="DVJ74" s="180"/>
      <c r="DVK74" s="180"/>
      <c r="DVL74" s="180"/>
      <c r="DVM74" s="180"/>
      <c r="DVN74" s="180"/>
      <c r="DVO74" s="180"/>
      <c r="DVP74" s="180"/>
      <c r="DVQ74" s="180"/>
      <c r="DVR74" s="180"/>
      <c r="DVS74" s="180"/>
      <c r="DVT74" s="180"/>
      <c r="DVU74" s="180"/>
      <c r="DVV74" s="180"/>
      <c r="DVW74" s="180"/>
      <c r="DVX74" s="180"/>
      <c r="DVY74" s="180"/>
      <c r="DVZ74" s="180"/>
      <c r="DWA74" s="180"/>
      <c r="DWB74" s="180"/>
      <c r="DWC74" s="180"/>
      <c r="DWD74" s="180"/>
      <c r="DWE74" s="180"/>
      <c r="DWF74" s="180"/>
      <c r="DWG74" s="180"/>
      <c r="DWH74" s="180"/>
      <c r="DWI74" s="180"/>
      <c r="DWJ74" s="180"/>
      <c r="DWK74" s="180"/>
      <c r="DWL74" s="180"/>
      <c r="DWM74" s="180"/>
      <c r="DWN74" s="180"/>
      <c r="DWO74" s="180"/>
      <c r="DWP74" s="180"/>
      <c r="DWQ74" s="180"/>
      <c r="DWR74" s="180"/>
      <c r="DWS74" s="180"/>
      <c r="DWT74" s="180"/>
      <c r="DWU74" s="180"/>
      <c r="DWV74" s="180"/>
      <c r="DWW74" s="180"/>
      <c r="DWX74" s="180"/>
      <c r="DWY74" s="180"/>
      <c r="DWZ74" s="180"/>
      <c r="DXA74" s="180"/>
      <c r="DXB74" s="180"/>
      <c r="DXC74" s="180"/>
      <c r="DXD74" s="180"/>
      <c r="DXE74" s="180"/>
      <c r="DXF74" s="180"/>
      <c r="DXG74" s="180"/>
      <c r="DXH74" s="180"/>
      <c r="DXI74" s="180"/>
      <c r="DXJ74" s="180"/>
      <c r="DXK74" s="180"/>
      <c r="DXL74" s="180"/>
      <c r="DXM74" s="180"/>
      <c r="DXN74" s="180"/>
      <c r="DXO74" s="180"/>
      <c r="DXP74" s="180"/>
      <c r="DXQ74" s="180"/>
      <c r="DXR74" s="180"/>
      <c r="DXS74" s="180"/>
      <c r="DXT74" s="180"/>
      <c r="DXU74" s="180"/>
      <c r="DXV74" s="180"/>
      <c r="DXW74" s="180"/>
      <c r="DXX74" s="180"/>
      <c r="DXY74" s="180"/>
      <c r="DXZ74" s="180"/>
      <c r="DYA74" s="180"/>
      <c r="DYB74" s="180"/>
      <c r="DYC74" s="180"/>
      <c r="DYD74" s="180"/>
      <c r="DYE74" s="180"/>
      <c r="DYF74" s="180"/>
      <c r="DYG74" s="180"/>
      <c r="DYH74" s="180"/>
      <c r="DYI74" s="180"/>
      <c r="DYJ74" s="180"/>
      <c r="DYK74" s="180"/>
      <c r="DYL74" s="180"/>
      <c r="DYM74" s="180"/>
      <c r="DYN74" s="180"/>
      <c r="DYO74" s="180"/>
      <c r="DYP74" s="180"/>
      <c r="DYQ74" s="180"/>
      <c r="DYR74" s="180"/>
      <c r="DYS74" s="180"/>
      <c r="DYT74" s="180"/>
      <c r="DYU74" s="180"/>
      <c r="DYV74" s="180"/>
      <c r="DYW74" s="180"/>
      <c r="DYX74" s="180"/>
      <c r="DYY74" s="180"/>
      <c r="DYZ74" s="180"/>
      <c r="DZA74" s="180"/>
      <c r="DZB74" s="180"/>
      <c r="DZC74" s="180"/>
      <c r="DZD74" s="180"/>
      <c r="DZE74" s="180"/>
      <c r="DZF74" s="180"/>
      <c r="DZG74" s="180"/>
      <c r="DZH74" s="180"/>
      <c r="DZI74" s="180"/>
      <c r="DZJ74" s="180"/>
      <c r="DZK74" s="180"/>
      <c r="DZL74" s="180"/>
      <c r="DZM74" s="180"/>
      <c r="DZN74" s="180"/>
      <c r="DZO74" s="180"/>
      <c r="DZP74" s="180"/>
      <c r="DZQ74" s="180"/>
      <c r="DZR74" s="180"/>
      <c r="DZS74" s="180"/>
      <c r="DZT74" s="180"/>
      <c r="DZU74" s="180"/>
      <c r="DZV74" s="180"/>
      <c r="DZW74" s="180"/>
      <c r="DZX74" s="180"/>
      <c r="DZY74" s="180"/>
      <c r="DZZ74" s="180"/>
      <c r="EAA74" s="180"/>
      <c r="EAB74" s="180"/>
      <c r="EAC74" s="180"/>
      <c r="EAD74" s="180"/>
      <c r="EAE74" s="180"/>
      <c r="EAF74" s="180"/>
      <c r="EAG74" s="180"/>
      <c r="EAH74" s="180"/>
      <c r="EAI74" s="180"/>
      <c r="EAJ74" s="180"/>
      <c r="EAK74" s="180"/>
      <c r="EAL74" s="180"/>
      <c r="EAM74" s="180"/>
      <c r="EAN74" s="180"/>
      <c r="EAO74" s="180"/>
      <c r="EAP74" s="180"/>
      <c r="EAQ74" s="180"/>
      <c r="EAR74" s="180"/>
      <c r="EAS74" s="180"/>
      <c r="EAT74" s="180"/>
      <c r="EAU74" s="180"/>
      <c r="EAV74" s="180"/>
      <c r="EAW74" s="180"/>
      <c r="EAX74" s="180"/>
      <c r="EAY74" s="180"/>
      <c r="EAZ74" s="180"/>
      <c r="EBA74" s="180"/>
      <c r="EBB74" s="180"/>
      <c r="EBC74" s="180"/>
      <c r="EBD74" s="180"/>
      <c r="EBE74" s="180"/>
      <c r="EBF74" s="180"/>
      <c r="EBG74" s="180"/>
      <c r="EBH74" s="180"/>
      <c r="EBI74" s="180"/>
      <c r="EBJ74" s="180"/>
      <c r="EBK74" s="180"/>
      <c r="EBL74" s="180"/>
      <c r="EBM74" s="180"/>
      <c r="EBN74" s="180"/>
      <c r="EBO74" s="180"/>
      <c r="EBP74" s="180"/>
      <c r="EBQ74" s="180"/>
      <c r="EBR74" s="180"/>
      <c r="EBS74" s="180"/>
      <c r="EBT74" s="180"/>
      <c r="EBU74" s="180"/>
      <c r="EBV74" s="180"/>
      <c r="EBW74" s="180"/>
      <c r="EBX74" s="180"/>
      <c r="EBY74" s="180"/>
      <c r="EBZ74" s="180"/>
      <c r="ECA74" s="180"/>
      <c r="ECB74" s="180"/>
      <c r="ECC74" s="180"/>
      <c r="ECD74" s="180"/>
      <c r="ECE74" s="180"/>
      <c r="ECF74" s="180"/>
      <c r="ECG74" s="180"/>
      <c r="ECH74" s="180"/>
      <c r="ECI74" s="180"/>
      <c r="ECJ74" s="180"/>
      <c r="ECK74" s="180"/>
      <c r="ECL74" s="180"/>
      <c r="ECM74" s="180"/>
      <c r="ECN74" s="180"/>
      <c r="ECO74" s="180"/>
      <c r="ECP74" s="180"/>
      <c r="ECQ74" s="180"/>
      <c r="ECR74" s="180"/>
      <c r="ECS74" s="180"/>
      <c r="ECT74" s="180"/>
      <c r="ECU74" s="180"/>
      <c r="ECV74" s="180"/>
      <c r="ECW74" s="180"/>
      <c r="ECX74" s="180"/>
      <c r="ECY74" s="180"/>
      <c r="ECZ74" s="180"/>
      <c r="EDA74" s="180"/>
      <c r="EDB74" s="180"/>
      <c r="EDC74" s="180"/>
      <c r="EDD74" s="180"/>
      <c r="EDE74" s="180"/>
      <c r="EDF74" s="180"/>
      <c r="EDG74" s="180"/>
      <c r="EDH74" s="180"/>
      <c r="EDI74" s="180"/>
      <c r="EDJ74" s="180"/>
      <c r="EDK74" s="180"/>
      <c r="EDL74" s="180"/>
      <c r="EDM74" s="180"/>
      <c r="EDN74" s="180"/>
      <c r="EDO74" s="180"/>
      <c r="EDP74" s="180"/>
      <c r="EDQ74" s="180"/>
      <c r="EDR74" s="180"/>
      <c r="EDS74" s="180"/>
      <c r="EDT74" s="180"/>
      <c r="EDU74" s="180"/>
      <c r="EDV74" s="180"/>
      <c r="EDW74" s="180"/>
      <c r="EDX74" s="180"/>
      <c r="EDY74" s="180"/>
      <c r="EDZ74" s="180"/>
      <c r="EEA74" s="180"/>
      <c r="EEB74" s="180"/>
      <c r="EEC74" s="180"/>
      <c r="EED74" s="180"/>
      <c r="EEE74" s="180"/>
      <c r="EEF74" s="180"/>
      <c r="EEG74" s="180"/>
      <c r="EEH74" s="180"/>
      <c r="EEI74" s="180"/>
      <c r="EEJ74" s="180"/>
      <c r="EEK74" s="180"/>
      <c r="EEL74" s="180"/>
      <c r="EEM74" s="180"/>
      <c r="EEN74" s="180"/>
      <c r="EEO74" s="180"/>
      <c r="EEP74" s="180"/>
      <c r="EEQ74" s="180"/>
      <c r="EER74" s="180"/>
      <c r="EES74" s="180"/>
      <c r="EET74" s="180"/>
      <c r="EEU74" s="180"/>
      <c r="EEV74" s="180"/>
      <c r="EEW74" s="180"/>
      <c r="EEX74" s="180"/>
      <c r="EEY74" s="180"/>
      <c r="EEZ74" s="180"/>
      <c r="EFA74" s="180"/>
      <c r="EFB74" s="180"/>
      <c r="EFC74" s="180"/>
      <c r="EFD74" s="180"/>
      <c r="EFE74" s="180"/>
      <c r="EFF74" s="180"/>
      <c r="EFG74" s="180"/>
      <c r="EFH74" s="180"/>
      <c r="EFI74" s="180"/>
      <c r="EFJ74" s="180"/>
      <c r="EFK74" s="180"/>
      <c r="EFL74" s="180"/>
      <c r="EFM74" s="180"/>
      <c r="EFN74" s="180"/>
      <c r="EFO74" s="180"/>
      <c r="EFP74" s="180"/>
      <c r="EFQ74" s="180"/>
      <c r="EFR74" s="180"/>
      <c r="EFS74" s="180"/>
      <c r="EFT74" s="180"/>
      <c r="EFU74" s="180"/>
      <c r="EFV74" s="180"/>
      <c r="EFW74" s="180"/>
      <c r="EFX74" s="180"/>
      <c r="EFY74" s="180"/>
      <c r="EFZ74" s="180"/>
      <c r="EGA74" s="180"/>
      <c r="EGB74" s="180"/>
      <c r="EGC74" s="180"/>
      <c r="EGD74" s="180"/>
      <c r="EGE74" s="180"/>
      <c r="EGF74" s="180"/>
      <c r="EGG74" s="180"/>
      <c r="EGH74" s="180"/>
      <c r="EGI74" s="180"/>
      <c r="EGJ74" s="180"/>
      <c r="EGK74" s="180"/>
      <c r="EGL74" s="180"/>
      <c r="EGM74" s="180"/>
      <c r="EGN74" s="180"/>
      <c r="EGO74" s="180"/>
      <c r="EGP74" s="180"/>
      <c r="EGQ74" s="180"/>
      <c r="EGR74" s="180"/>
      <c r="EGS74" s="180"/>
      <c r="EGT74" s="180"/>
      <c r="EGU74" s="180"/>
      <c r="EGV74" s="180"/>
      <c r="EGW74" s="180"/>
      <c r="EGX74" s="180"/>
      <c r="EGY74" s="180"/>
      <c r="EGZ74" s="180"/>
      <c r="EHA74" s="180"/>
      <c r="EHB74" s="180"/>
      <c r="EHC74" s="180"/>
      <c r="EHD74" s="180"/>
      <c r="EHE74" s="180"/>
      <c r="EHF74" s="180"/>
      <c r="EHG74" s="180"/>
      <c r="EHH74" s="180"/>
      <c r="EHI74" s="180"/>
      <c r="EHJ74" s="180"/>
      <c r="EHK74" s="180"/>
      <c r="EHL74" s="180"/>
      <c r="EHM74" s="180"/>
      <c r="EHN74" s="180"/>
      <c r="EHO74" s="180"/>
      <c r="EHP74" s="180"/>
      <c r="EHQ74" s="180"/>
      <c r="EHR74" s="180"/>
      <c r="EHS74" s="180"/>
      <c r="EHT74" s="180"/>
      <c r="EHU74" s="180"/>
      <c r="EHV74" s="180"/>
      <c r="EHW74" s="180"/>
      <c r="EHX74" s="180"/>
      <c r="EHY74" s="180"/>
      <c r="EHZ74" s="180"/>
      <c r="EIA74" s="180"/>
      <c r="EIB74" s="180"/>
      <c r="EIC74" s="180"/>
      <c r="EID74" s="180"/>
      <c r="EIE74" s="180"/>
      <c r="EIF74" s="180"/>
      <c r="EIG74" s="180"/>
      <c r="EIH74" s="180"/>
      <c r="EII74" s="180"/>
      <c r="EIJ74" s="180"/>
      <c r="EIK74" s="180"/>
      <c r="EIL74" s="180"/>
      <c r="EIM74" s="180"/>
      <c r="EIN74" s="180"/>
      <c r="EIO74" s="180"/>
      <c r="EIP74" s="180"/>
      <c r="EIQ74" s="180"/>
      <c r="EIR74" s="180"/>
      <c r="EIS74" s="180"/>
      <c r="EIT74" s="180"/>
      <c r="EIU74" s="180"/>
      <c r="EIV74" s="180"/>
      <c r="EIW74" s="180"/>
      <c r="EIX74" s="180"/>
      <c r="EIY74" s="180"/>
      <c r="EIZ74" s="180"/>
      <c r="EJA74" s="180"/>
      <c r="EJB74" s="180"/>
      <c r="EJC74" s="180"/>
      <c r="EJD74" s="180"/>
      <c r="EJE74" s="180"/>
      <c r="EJF74" s="180"/>
      <c r="EJG74" s="180"/>
      <c r="EJH74" s="180"/>
      <c r="EJI74" s="180"/>
      <c r="EJJ74" s="180"/>
      <c r="EJK74" s="180"/>
      <c r="EJL74" s="180"/>
      <c r="EJM74" s="180"/>
      <c r="EJN74" s="180"/>
      <c r="EJO74" s="180"/>
      <c r="EJP74" s="180"/>
      <c r="EJQ74" s="180"/>
      <c r="EJR74" s="180"/>
      <c r="EJS74" s="180"/>
      <c r="EJT74" s="180"/>
      <c r="EJU74" s="180"/>
      <c r="EJV74" s="180"/>
      <c r="EJW74" s="180"/>
      <c r="EJX74" s="180"/>
      <c r="EJY74" s="180"/>
      <c r="EJZ74" s="180"/>
      <c r="EKA74" s="180"/>
      <c r="EKB74" s="180"/>
      <c r="EKC74" s="180"/>
      <c r="EKD74" s="180"/>
      <c r="EKE74" s="180"/>
      <c r="EKF74" s="180"/>
      <c r="EKG74" s="180"/>
      <c r="EKH74" s="180"/>
      <c r="EKI74" s="180"/>
      <c r="EKJ74" s="180"/>
      <c r="EKK74" s="180"/>
      <c r="EKL74" s="180"/>
      <c r="EKM74" s="180"/>
      <c r="EKN74" s="180"/>
      <c r="EKO74" s="180"/>
      <c r="EKP74" s="180"/>
      <c r="EKQ74" s="180"/>
      <c r="EKR74" s="180"/>
      <c r="EKS74" s="180"/>
      <c r="EKT74" s="180"/>
      <c r="EKU74" s="180"/>
      <c r="EKV74" s="180"/>
      <c r="EKW74" s="180"/>
      <c r="EKX74" s="180"/>
      <c r="EKY74" s="180"/>
      <c r="EKZ74" s="180"/>
      <c r="ELA74" s="180"/>
      <c r="ELB74" s="180"/>
      <c r="ELC74" s="180"/>
      <c r="ELD74" s="180"/>
      <c r="ELE74" s="180"/>
      <c r="ELF74" s="180"/>
      <c r="ELG74" s="180"/>
      <c r="ELH74" s="180"/>
      <c r="ELI74" s="180"/>
      <c r="ELJ74" s="180"/>
      <c r="ELK74" s="180"/>
      <c r="ELL74" s="180"/>
      <c r="ELM74" s="180"/>
      <c r="ELN74" s="180"/>
      <c r="ELO74" s="180"/>
      <c r="ELP74" s="180"/>
      <c r="ELQ74" s="180"/>
      <c r="ELR74" s="180"/>
      <c r="ELS74" s="180"/>
      <c r="ELT74" s="180"/>
      <c r="ELU74" s="180"/>
      <c r="ELV74" s="180"/>
      <c r="ELW74" s="180"/>
      <c r="ELX74" s="180"/>
      <c r="ELY74" s="180"/>
      <c r="ELZ74" s="180"/>
      <c r="EMA74" s="180"/>
      <c r="EMB74" s="180"/>
      <c r="EMC74" s="180"/>
      <c r="EMD74" s="180"/>
      <c r="EME74" s="180"/>
      <c r="EMF74" s="180"/>
      <c r="EMG74" s="180"/>
      <c r="EMH74" s="180"/>
      <c r="EMI74" s="180"/>
      <c r="EMJ74" s="180"/>
      <c r="EMK74" s="180"/>
      <c r="EML74" s="180"/>
      <c r="EMM74" s="180"/>
      <c r="EMN74" s="180"/>
      <c r="EMO74" s="180"/>
      <c r="EMP74" s="180"/>
      <c r="EMQ74" s="180"/>
      <c r="EMR74" s="180"/>
      <c r="EMS74" s="180"/>
      <c r="EMT74" s="180"/>
      <c r="EMU74" s="180"/>
      <c r="EMV74" s="180"/>
      <c r="EMW74" s="180"/>
      <c r="EMX74" s="180"/>
      <c r="EMY74" s="180"/>
      <c r="EMZ74" s="180"/>
      <c r="ENA74" s="180"/>
      <c r="ENB74" s="180"/>
      <c r="ENC74" s="180"/>
      <c r="END74" s="180"/>
      <c r="ENE74" s="180"/>
      <c r="ENF74" s="180"/>
      <c r="ENG74" s="180"/>
      <c r="ENH74" s="180"/>
      <c r="ENI74" s="180"/>
      <c r="ENJ74" s="180"/>
      <c r="ENK74" s="180"/>
      <c r="ENL74" s="180"/>
      <c r="ENM74" s="180"/>
      <c r="ENN74" s="180"/>
      <c r="ENO74" s="180"/>
      <c r="ENP74" s="180"/>
      <c r="ENQ74" s="180"/>
      <c r="ENR74" s="180"/>
      <c r="ENS74" s="180"/>
      <c r="ENT74" s="180"/>
      <c r="ENU74" s="180"/>
      <c r="ENV74" s="180"/>
      <c r="ENW74" s="180"/>
      <c r="ENX74" s="180"/>
      <c r="ENY74" s="180"/>
      <c r="ENZ74" s="180"/>
      <c r="EOA74" s="180"/>
      <c r="EOB74" s="180"/>
      <c r="EOC74" s="180"/>
      <c r="EOD74" s="180"/>
      <c r="EOE74" s="180"/>
      <c r="EOF74" s="180"/>
      <c r="EOG74" s="180"/>
      <c r="EOH74" s="180"/>
      <c r="EOI74" s="180"/>
      <c r="EOJ74" s="180"/>
      <c r="EOK74" s="180"/>
      <c r="EOL74" s="180"/>
      <c r="EOM74" s="180"/>
      <c r="EON74" s="180"/>
      <c r="EOO74" s="180"/>
      <c r="EOP74" s="180"/>
      <c r="EOQ74" s="180"/>
      <c r="EOR74" s="180"/>
      <c r="EOS74" s="180"/>
      <c r="EOT74" s="180"/>
      <c r="EOU74" s="180"/>
      <c r="EOV74" s="180"/>
      <c r="EOW74" s="180"/>
      <c r="EOX74" s="180"/>
      <c r="EOY74" s="180"/>
      <c r="EOZ74" s="180"/>
      <c r="EPA74" s="180"/>
      <c r="EPB74" s="180"/>
      <c r="EPC74" s="180"/>
      <c r="EPD74" s="180"/>
      <c r="EPE74" s="180"/>
      <c r="EPF74" s="180"/>
      <c r="EPG74" s="180"/>
      <c r="EPH74" s="180"/>
      <c r="EPI74" s="180"/>
      <c r="EPJ74" s="180"/>
      <c r="EPK74" s="180"/>
      <c r="EPL74" s="180"/>
      <c r="EPM74" s="180"/>
      <c r="EPN74" s="180"/>
      <c r="EPO74" s="180"/>
      <c r="EPP74" s="180"/>
      <c r="EPQ74" s="180"/>
      <c r="EPR74" s="180"/>
      <c r="EPS74" s="180"/>
      <c r="EPT74" s="180"/>
      <c r="EPU74" s="180"/>
      <c r="EPV74" s="180"/>
      <c r="EPW74" s="180"/>
      <c r="EPX74" s="180"/>
      <c r="EPY74" s="180"/>
      <c r="EPZ74" s="180"/>
      <c r="EQA74" s="180"/>
      <c r="EQB74" s="180"/>
      <c r="EQC74" s="180"/>
      <c r="EQD74" s="180"/>
      <c r="EQE74" s="180"/>
      <c r="EQF74" s="180"/>
      <c r="EQG74" s="180"/>
      <c r="EQH74" s="180"/>
      <c r="EQI74" s="180"/>
      <c r="EQJ74" s="180"/>
      <c r="EQK74" s="180"/>
      <c r="EQL74" s="180"/>
      <c r="EQM74" s="180"/>
      <c r="EQN74" s="180"/>
      <c r="EQO74" s="180"/>
      <c r="EQP74" s="180"/>
      <c r="EQQ74" s="180"/>
      <c r="EQR74" s="180"/>
      <c r="EQS74" s="180"/>
      <c r="EQT74" s="180"/>
      <c r="EQU74" s="180"/>
      <c r="EQV74" s="180"/>
      <c r="EQW74" s="180"/>
      <c r="EQX74" s="180"/>
      <c r="EQY74" s="180"/>
      <c r="EQZ74" s="180"/>
      <c r="ERA74" s="180"/>
      <c r="ERB74" s="180"/>
      <c r="ERC74" s="180"/>
      <c r="ERD74" s="180"/>
      <c r="ERE74" s="180"/>
      <c r="ERF74" s="180"/>
      <c r="ERG74" s="180"/>
      <c r="ERH74" s="180"/>
      <c r="ERI74" s="180"/>
      <c r="ERJ74" s="180"/>
      <c r="ERK74" s="180"/>
      <c r="ERL74" s="180"/>
      <c r="ERM74" s="180"/>
      <c r="ERN74" s="180"/>
      <c r="ERO74" s="180"/>
      <c r="ERP74" s="180"/>
      <c r="ERQ74" s="180"/>
      <c r="ERR74" s="180"/>
      <c r="ERS74" s="180"/>
      <c r="ERT74" s="180"/>
      <c r="ERU74" s="180"/>
      <c r="ERV74" s="180"/>
      <c r="ERW74" s="180"/>
      <c r="ERX74" s="180"/>
      <c r="ERY74" s="180"/>
      <c r="ERZ74" s="180"/>
      <c r="ESA74" s="180"/>
      <c r="ESB74" s="180"/>
      <c r="ESC74" s="180"/>
      <c r="ESD74" s="180"/>
      <c r="ESE74" s="180"/>
      <c r="ESF74" s="180"/>
      <c r="ESG74" s="180"/>
      <c r="ESH74" s="180"/>
      <c r="ESI74" s="180"/>
      <c r="ESJ74" s="180"/>
      <c r="ESK74" s="180"/>
      <c r="ESL74" s="180"/>
      <c r="ESM74" s="180"/>
      <c r="ESN74" s="180"/>
      <c r="ESO74" s="180"/>
      <c r="ESP74" s="180"/>
      <c r="ESQ74" s="180"/>
      <c r="ESR74" s="180"/>
      <c r="ESS74" s="180"/>
      <c r="EST74" s="180"/>
      <c r="ESU74" s="180"/>
      <c r="ESV74" s="180"/>
      <c r="ESW74" s="180"/>
      <c r="ESX74" s="180"/>
      <c r="ESY74" s="180"/>
      <c r="ESZ74" s="180"/>
      <c r="ETA74" s="180"/>
      <c r="ETB74" s="180"/>
      <c r="ETC74" s="180"/>
      <c r="ETD74" s="180"/>
      <c r="ETE74" s="180"/>
      <c r="ETF74" s="180"/>
      <c r="ETG74" s="180"/>
      <c r="ETH74" s="180"/>
      <c r="ETI74" s="180"/>
      <c r="ETJ74" s="180"/>
      <c r="ETK74" s="180"/>
      <c r="ETL74" s="180"/>
      <c r="ETM74" s="180"/>
      <c r="ETN74" s="180"/>
      <c r="ETO74" s="180"/>
      <c r="ETP74" s="180"/>
      <c r="ETQ74" s="180"/>
      <c r="ETR74" s="180"/>
      <c r="ETS74" s="180"/>
      <c r="ETT74" s="180"/>
      <c r="ETU74" s="180"/>
      <c r="ETV74" s="180"/>
      <c r="ETW74" s="180"/>
      <c r="ETX74" s="180"/>
      <c r="ETY74" s="180"/>
      <c r="ETZ74" s="180"/>
      <c r="EUA74" s="180"/>
      <c r="EUB74" s="180"/>
      <c r="EUC74" s="180"/>
      <c r="EUD74" s="180"/>
      <c r="EUE74" s="180"/>
      <c r="EUF74" s="180"/>
      <c r="EUG74" s="180"/>
      <c r="EUH74" s="180"/>
      <c r="EUI74" s="180"/>
      <c r="EUJ74" s="180"/>
      <c r="EUK74" s="180"/>
      <c r="EUL74" s="180"/>
      <c r="EUM74" s="180"/>
      <c r="EUN74" s="180"/>
      <c r="EUO74" s="180"/>
      <c r="EUP74" s="180"/>
      <c r="EUQ74" s="180"/>
      <c r="EUR74" s="180"/>
      <c r="EUS74" s="180"/>
      <c r="EUT74" s="180"/>
      <c r="EUU74" s="180"/>
      <c r="EUV74" s="180"/>
      <c r="EUW74" s="180"/>
      <c r="EUX74" s="180"/>
      <c r="EUY74" s="180"/>
      <c r="EUZ74" s="180"/>
      <c r="EVA74" s="180"/>
      <c r="EVB74" s="180"/>
      <c r="EVC74" s="180"/>
      <c r="EVD74" s="180"/>
      <c r="EVE74" s="180"/>
      <c r="EVF74" s="180"/>
      <c r="EVG74" s="180"/>
      <c r="EVH74" s="180"/>
      <c r="EVI74" s="180"/>
      <c r="EVJ74" s="180"/>
      <c r="EVK74" s="180"/>
      <c r="EVL74" s="180"/>
      <c r="EVM74" s="180"/>
      <c r="EVN74" s="180"/>
      <c r="EVO74" s="180"/>
      <c r="EVP74" s="180"/>
      <c r="EVQ74" s="180"/>
      <c r="EVR74" s="180"/>
      <c r="EVS74" s="180"/>
      <c r="EVT74" s="180"/>
      <c r="EVU74" s="180"/>
      <c r="EVV74" s="180"/>
      <c r="EVW74" s="180"/>
      <c r="EVX74" s="180"/>
      <c r="EVY74" s="180"/>
      <c r="EVZ74" s="180"/>
      <c r="EWA74" s="180"/>
      <c r="EWB74" s="180"/>
      <c r="EWC74" s="180"/>
      <c r="EWD74" s="180"/>
      <c r="EWE74" s="180"/>
      <c r="EWF74" s="180"/>
      <c r="EWG74" s="180"/>
      <c r="EWH74" s="180"/>
      <c r="EWI74" s="180"/>
      <c r="EWJ74" s="180"/>
      <c r="EWK74" s="180"/>
      <c r="EWL74" s="180"/>
      <c r="EWM74" s="180"/>
      <c r="EWN74" s="180"/>
      <c r="EWO74" s="180"/>
      <c r="EWP74" s="180"/>
      <c r="EWQ74" s="180"/>
      <c r="EWR74" s="180"/>
      <c r="EWS74" s="180"/>
      <c r="EWT74" s="180"/>
      <c r="EWU74" s="180"/>
      <c r="EWV74" s="180"/>
      <c r="EWW74" s="180"/>
      <c r="EWX74" s="180"/>
      <c r="EWY74" s="180"/>
      <c r="EWZ74" s="180"/>
      <c r="EXA74" s="180"/>
      <c r="EXB74" s="180"/>
      <c r="EXC74" s="180"/>
      <c r="EXD74" s="180"/>
      <c r="EXE74" s="180"/>
      <c r="EXF74" s="180"/>
      <c r="EXG74" s="180"/>
      <c r="EXH74" s="180"/>
      <c r="EXI74" s="180"/>
      <c r="EXJ74" s="180"/>
      <c r="EXK74" s="180"/>
      <c r="EXL74" s="180"/>
      <c r="EXM74" s="180"/>
      <c r="EXN74" s="180"/>
      <c r="EXO74" s="180"/>
      <c r="EXP74" s="180"/>
      <c r="EXQ74" s="180"/>
      <c r="EXR74" s="180"/>
      <c r="EXS74" s="180"/>
      <c r="EXT74" s="180"/>
      <c r="EXU74" s="180"/>
      <c r="EXV74" s="180"/>
      <c r="EXW74" s="180"/>
      <c r="EXX74" s="180"/>
      <c r="EXY74" s="180"/>
      <c r="EXZ74" s="180"/>
      <c r="EYA74" s="180"/>
      <c r="EYB74" s="180"/>
      <c r="EYC74" s="180"/>
      <c r="EYD74" s="180"/>
      <c r="EYE74" s="180"/>
      <c r="EYF74" s="180"/>
      <c r="EYG74" s="180"/>
      <c r="EYH74" s="180"/>
      <c r="EYI74" s="180"/>
      <c r="EYJ74" s="180"/>
      <c r="EYK74" s="180"/>
      <c r="EYL74" s="180"/>
      <c r="EYM74" s="180"/>
      <c r="EYN74" s="180"/>
      <c r="EYO74" s="180"/>
      <c r="EYP74" s="180"/>
      <c r="EYQ74" s="180"/>
      <c r="EYR74" s="180"/>
      <c r="EYS74" s="180"/>
      <c r="EYT74" s="180"/>
      <c r="EYU74" s="180"/>
      <c r="EYV74" s="180"/>
      <c r="EYW74" s="180"/>
      <c r="EYX74" s="180"/>
      <c r="EYY74" s="180"/>
      <c r="EYZ74" s="180"/>
      <c r="EZA74" s="180"/>
      <c r="EZB74" s="180"/>
      <c r="EZC74" s="180"/>
      <c r="EZD74" s="180"/>
      <c r="EZE74" s="180"/>
      <c r="EZF74" s="180"/>
      <c r="EZG74" s="180"/>
      <c r="EZH74" s="180"/>
      <c r="EZI74" s="180"/>
      <c r="EZJ74" s="180"/>
      <c r="EZK74" s="180"/>
      <c r="EZL74" s="180"/>
      <c r="EZM74" s="180"/>
      <c r="EZN74" s="180"/>
      <c r="EZO74" s="180"/>
      <c r="EZP74" s="180"/>
      <c r="EZQ74" s="180"/>
      <c r="EZR74" s="180"/>
      <c r="EZS74" s="180"/>
      <c r="EZT74" s="180"/>
      <c r="EZU74" s="180"/>
      <c r="EZV74" s="180"/>
      <c r="EZW74" s="180"/>
      <c r="EZX74" s="180"/>
      <c r="EZY74" s="180"/>
      <c r="EZZ74" s="180"/>
      <c r="FAA74" s="180"/>
      <c r="FAB74" s="180"/>
      <c r="FAC74" s="180"/>
      <c r="FAD74" s="180"/>
      <c r="FAE74" s="180"/>
      <c r="FAF74" s="180"/>
      <c r="FAG74" s="180"/>
      <c r="FAH74" s="180"/>
      <c r="FAI74" s="180"/>
      <c r="FAJ74" s="180"/>
      <c r="FAK74" s="180"/>
      <c r="FAL74" s="180"/>
      <c r="FAM74" s="180"/>
      <c r="FAN74" s="180"/>
      <c r="FAO74" s="180"/>
      <c r="FAP74" s="180"/>
      <c r="FAQ74" s="180"/>
      <c r="FAR74" s="180"/>
      <c r="FAS74" s="180"/>
      <c r="FAT74" s="180"/>
      <c r="FAU74" s="180"/>
      <c r="FAV74" s="180"/>
      <c r="FAW74" s="180"/>
      <c r="FAX74" s="180"/>
      <c r="FAY74" s="180"/>
      <c r="FAZ74" s="180"/>
      <c r="FBA74" s="180"/>
      <c r="FBB74" s="180"/>
      <c r="FBC74" s="180"/>
      <c r="FBD74" s="180"/>
      <c r="FBE74" s="180"/>
      <c r="FBF74" s="180"/>
      <c r="FBG74" s="180"/>
      <c r="FBH74" s="180"/>
      <c r="FBI74" s="180"/>
      <c r="FBJ74" s="180"/>
      <c r="FBK74" s="180"/>
      <c r="FBL74" s="180"/>
      <c r="FBM74" s="180"/>
      <c r="FBN74" s="180"/>
      <c r="FBO74" s="180"/>
      <c r="FBP74" s="180"/>
      <c r="FBQ74" s="180"/>
      <c r="FBR74" s="180"/>
      <c r="FBS74" s="180"/>
      <c r="FBT74" s="180"/>
      <c r="FBU74" s="180"/>
      <c r="FBV74" s="180"/>
      <c r="FBW74" s="180"/>
      <c r="FBX74" s="180"/>
      <c r="FBY74" s="180"/>
      <c r="FBZ74" s="180"/>
      <c r="FCA74" s="180"/>
      <c r="FCB74" s="180"/>
      <c r="FCC74" s="180"/>
      <c r="FCD74" s="180"/>
      <c r="FCE74" s="180"/>
      <c r="FCF74" s="180"/>
      <c r="FCG74" s="180"/>
      <c r="FCH74" s="180"/>
      <c r="FCI74" s="180"/>
      <c r="FCJ74" s="180"/>
      <c r="FCK74" s="180"/>
      <c r="FCL74" s="180"/>
      <c r="FCM74" s="180"/>
      <c r="FCN74" s="180"/>
      <c r="FCO74" s="180"/>
      <c r="FCP74" s="180"/>
      <c r="FCQ74" s="180"/>
      <c r="FCR74" s="180"/>
      <c r="FCS74" s="180"/>
      <c r="FCT74" s="180"/>
      <c r="FCU74" s="180"/>
      <c r="FCV74" s="180"/>
      <c r="FCW74" s="180"/>
      <c r="FCX74" s="180"/>
      <c r="FCY74" s="180"/>
      <c r="FCZ74" s="180"/>
      <c r="FDA74" s="180"/>
      <c r="FDB74" s="180"/>
      <c r="FDC74" s="180"/>
      <c r="FDD74" s="180"/>
      <c r="FDE74" s="180"/>
      <c r="FDF74" s="180"/>
      <c r="FDG74" s="180"/>
      <c r="FDH74" s="180"/>
      <c r="FDI74" s="180"/>
      <c r="FDJ74" s="180"/>
      <c r="FDK74" s="180"/>
      <c r="FDL74" s="180"/>
      <c r="FDM74" s="180"/>
      <c r="FDN74" s="180"/>
      <c r="FDO74" s="180"/>
      <c r="FDP74" s="180"/>
      <c r="FDQ74" s="180"/>
      <c r="FDR74" s="180"/>
      <c r="FDS74" s="180"/>
      <c r="FDT74" s="180"/>
      <c r="FDU74" s="180"/>
      <c r="FDV74" s="180"/>
      <c r="FDW74" s="180"/>
      <c r="FDX74" s="180"/>
      <c r="FDY74" s="180"/>
      <c r="FDZ74" s="180"/>
      <c r="FEA74" s="180"/>
      <c r="FEB74" s="180"/>
      <c r="FEC74" s="180"/>
      <c r="FED74" s="180"/>
      <c r="FEE74" s="180"/>
      <c r="FEF74" s="180"/>
      <c r="FEG74" s="180"/>
      <c r="FEH74" s="180"/>
      <c r="FEI74" s="180"/>
      <c r="FEJ74" s="180"/>
      <c r="FEK74" s="180"/>
      <c r="FEL74" s="180"/>
      <c r="FEM74" s="180"/>
      <c r="FEN74" s="180"/>
      <c r="FEO74" s="180"/>
      <c r="FEP74" s="180"/>
      <c r="FEQ74" s="180"/>
      <c r="FER74" s="180"/>
      <c r="FES74" s="180"/>
      <c r="FET74" s="180"/>
      <c r="FEU74" s="180"/>
      <c r="FEV74" s="180"/>
      <c r="FEW74" s="180"/>
      <c r="FEX74" s="180"/>
      <c r="FEY74" s="180"/>
      <c r="FEZ74" s="180"/>
      <c r="FFA74" s="180"/>
      <c r="FFB74" s="180"/>
      <c r="FFC74" s="180"/>
      <c r="FFD74" s="180"/>
      <c r="FFE74" s="180"/>
      <c r="FFF74" s="180"/>
      <c r="FFG74" s="180"/>
      <c r="FFH74" s="180"/>
      <c r="FFI74" s="180"/>
      <c r="FFJ74" s="180"/>
      <c r="FFK74" s="180"/>
      <c r="FFL74" s="180"/>
      <c r="FFM74" s="180"/>
      <c r="FFN74" s="180"/>
      <c r="FFO74" s="180"/>
      <c r="FFP74" s="180"/>
      <c r="FFQ74" s="180"/>
      <c r="FFR74" s="180"/>
      <c r="FFS74" s="180"/>
      <c r="FFT74" s="180"/>
      <c r="FFU74" s="180"/>
      <c r="FFV74" s="180"/>
      <c r="FFW74" s="180"/>
      <c r="FFX74" s="180"/>
      <c r="FFY74" s="180"/>
      <c r="FFZ74" s="180"/>
      <c r="FGA74" s="180"/>
      <c r="FGB74" s="180"/>
      <c r="FGC74" s="180"/>
      <c r="FGD74" s="180"/>
      <c r="FGE74" s="180"/>
      <c r="FGF74" s="180"/>
      <c r="FGG74" s="180"/>
      <c r="FGH74" s="180"/>
      <c r="FGI74" s="180"/>
      <c r="FGJ74" s="180"/>
      <c r="FGK74" s="180"/>
      <c r="FGL74" s="180"/>
      <c r="FGM74" s="180"/>
      <c r="FGN74" s="180"/>
      <c r="FGO74" s="180"/>
      <c r="FGP74" s="180"/>
      <c r="FGQ74" s="180"/>
      <c r="FGR74" s="180"/>
      <c r="FGS74" s="180"/>
      <c r="FGT74" s="180"/>
      <c r="FGU74" s="180"/>
      <c r="FGV74" s="180"/>
      <c r="FGW74" s="180"/>
      <c r="FGX74" s="180"/>
      <c r="FGY74" s="180"/>
      <c r="FGZ74" s="180"/>
      <c r="FHA74" s="180"/>
      <c r="FHB74" s="180"/>
      <c r="FHC74" s="180"/>
      <c r="FHD74" s="180"/>
      <c r="FHE74" s="180"/>
      <c r="FHF74" s="180"/>
      <c r="FHG74" s="180"/>
      <c r="FHH74" s="180"/>
      <c r="FHI74" s="180"/>
      <c r="FHJ74" s="180"/>
      <c r="FHK74" s="180"/>
      <c r="FHL74" s="180"/>
      <c r="FHM74" s="180"/>
      <c r="FHN74" s="180"/>
      <c r="FHO74" s="180"/>
      <c r="FHP74" s="180"/>
      <c r="FHQ74" s="180"/>
      <c r="FHR74" s="180"/>
      <c r="FHS74" s="180"/>
      <c r="FHT74" s="180"/>
      <c r="FHU74" s="180"/>
      <c r="FHV74" s="180"/>
      <c r="FHW74" s="180"/>
      <c r="FHX74" s="180"/>
      <c r="FHY74" s="180"/>
      <c r="FHZ74" s="180"/>
      <c r="FIA74" s="180"/>
      <c r="FIB74" s="180"/>
      <c r="FIC74" s="180"/>
      <c r="FID74" s="180"/>
      <c r="FIE74" s="180"/>
      <c r="FIF74" s="180"/>
      <c r="FIG74" s="180"/>
      <c r="FIH74" s="180"/>
      <c r="FII74" s="180"/>
      <c r="FIJ74" s="180"/>
      <c r="FIK74" s="180"/>
      <c r="FIL74" s="180"/>
      <c r="FIM74" s="180"/>
      <c r="FIN74" s="180"/>
      <c r="FIO74" s="180"/>
      <c r="FIP74" s="180"/>
      <c r="FIQ74" s="180"/>
      <c r="FIR74" s="180"/>
      <c r="FIS74" s="180"/>
      <c r="FIT74" s="180"/>
      <c r="FIU74" s="180"/>
      <c r="FIV74" s="180"/>
      <c r="FIW74" s="180"/>
      <c r="FIX74" s="180"/>
      <c r="FIY74" s="180"/>
      <c r="FIZ74" s="180"/>
      <c r="FJA74" s="180"/>
      <c r="FJB74" s="180"/>
      <c r="FJC74" s="180"/>
      <c r="FJD74" s="180"/>
      <c r="FJE74" s="180"/>
      <c r="FJF74" s="180"/>
      <c r="FJG74" s="180"/>
      <c r="FJH74" s="180"/>
      <c r="FJI74" s="180"/>
      <c r="FJJ74" s="180"/>
      <c r="FJK74" s="180"/>
      <c r="FJL74" s="180"/>
      <c r="FJM74" s="180"/>
      <c r="FJN74" s="180"/>
      <c r="FJO74" s="180"/>
      <c r="FJP74" s="180"/>
      <c r="FJQ74" s="180"/>
      <c r="FJR74" s="180"/>
      <c r="FJS74" s="180"/>
      <c r="FJT74" s="180"/>
      <c r="FJU74" s="180"/>
      <c r="FJV74" s="180"/>
      <c r="FJW74" s="180"/>
      <c r="FJX74" s="180"/>
      <c r="FJY74" s="180"/>
      <c r="FJZ74" s="180"/>
      <c r="FKA74" s="180"/>
      <c r="FKB74" s="180"/>
      <c r="FKC74" s="180"/>
      <c r="FKD74" s="180"/>
      <c r="FKE74" s="180"/>
      <c r="FKF74" s="180"/>
      <c r="FKG74" s="180"/>
      <c r="FKH74" s="180"/>
      <c r="FKI74" s="180"/>
      <c r="FKJ74" s="180"/>
      <c r="FKK74" s="180"/>
      <c r="FKL74" s="180"/>
      <c r="FKM74" s="180"/>
      <c r="FKN74" s="180"/>
      <c r="FKO74" s="180"/>
      <c r="FKP74" s="180"/>
      <c r="FKQ74" s="180"/>
      <c r="FKR74" s="180"/>
      <c r="FKS74" s="180"/>
      <c r="FKT74" s="180"/>
      <c r="FKU74" s="180"/>
      <c r="FKV74" s="180"/>
      <c r="FKW74" s="180"/>
      <c r="FKX74" s="180"/>
      <c r="FKY74" s="180"/>
      <c r="FKZ74" s="180"/>
      <c r="FLA74" s="180"/>
      <c r="FLB74" s="180"/>
      <c r="FLC74" s="180"/>
      <c r="FLD74" s="180"/>
      <c r="FLE74" s="180"/>
      <c r="FLF74" s="180"/>
      <c r="FLG74" s="180"/>
      <c r="FLH74" s="180"/>
      <c r="FLI74" s="180"/>
      <c r="FLJ74" s="180"/>
      <c r="FLK74" s="180"/>
      <c r="FLL74" s="180"/>
      <c r="FLM74" s="180"/>
      <c r="FLN74" s="180"/>
      <c r="FLO74" s="180"/>
      <c r="FLP74" s="180"/>
      <c r="FLQ74" s="180"/>
      <c r="FLR74" s="180"/>
      <c r="FLS74" s="180"/>
      <c r="FLT74" s="180"/>
      <c r="FLU74" s="180"/>
      <c r="FLV74" s="180"/>
      <c r="FLW74" s="180"/>
      <c r="FLX74" s="180"/>
      <c r="FLY74" s="180"/>
      <c r="FLZ74" s="180"/>
      <c r="FMA74" s="180"/>
      <c r="FMB74" s="180"/>
      <c r="FMC74" s="180"/>
      <c r="FMD74" s="180"/>
      <c r="FME74" s="180"/>
      <c r="FMF74" s="180"/>
      <c r="FMG74" s="180"/>
      <c r="FMH74" s="180"/>
      <c r="FMI74" s="180"/>
      <c r="FMJ74" s="180"/>
      <c r="FMK74" s="180"/>
      <c r="FML74" s="180"/>
      <c r="FMM74" s="180"/>
      <c r="FMN74" s="180"/>
      <c r="FMO74" s="180"/>
      <c r="FMP74" s="180"/>
      <c r="FMQ74" s="180"/>
      <c r="FMR74" s="180"/>
      <c r="FMS74" s="180"/>
      <c r="FMT74" s="180"/>
      <c r="FMU74" s="180"/>
      <c r="FMV74" s="180"/>
      <c r="FMW74" s="180"/>
      <c r="FMX74" s="180"/>
      <c r="FMY74" s="180"/>
      <c r="FMZ74" s="180"/>
      <c r="FNA74" s="180"/>
      <c r="FNB74" s="180"/>
      <c r="FNC74" s="180"/>
      <c r="FND74" s="180"/>
      <c r="FNE74" s="180"/>
      <c r="FNF74" s="180"/>
      <c r="FNG74" s="180"/>
      <c r="FNH74" s="180"/>
      <c r="FNI74" s="180"/>
      <c r="FNJ74" s="180"/>
      <c r="FNK74" s="180"/>
      <c r="FNL74" s="180"/>
      <c r="FNM74" s="180"/>
      <c r="FNN74" s="180"/>
      <c r="FNO74" s="180"/>
      <c r="FNP74" s="180"/>
      <c r="FNQ74" s="180"/>
      <c r="FNR74" s="180"/>
      <c r="FNS74" s="180"/>
      <c r="FNT74" s="180"/>
      <c r="FNU74" s="180"/>
      <c r="FNV74" s="180"/>
      <c r="FNW74" s="180"/>
      <c r="FNX74" s="180"/>
      <c r="FNY74" s="180"/>
      <c r="FNZ74" s="180"/>
      <c r="FOA74" s="180"/>
      <c r="FOB74" s="180"/>
      <c r="FOC74" s="180"/>
      <c r="FOD74" s="180"/>
      <c r="FOE74" s="180"/>
      <c r="FOF74" s="180"/>
      <c r="FOG74" s="180"/>
      <c r="FOH74" s="180"/>
      <c r="FOI74" s="180"/>
      <c r="FOJ74" s="180"/>
      <c r="FOK74" s="180"/>
      <c r="FOL74" s="180"/>
      <c r="FOM74" s="180"/>
      <c r="FON74" s="180"/>
      <c r="FOO74" s="180"/>
      <c r="FOP74" s="180"/>
      <c r="FOQ74" s="180"/>
      <c r="FOR74" s="180"/>
      <c r="FOS74" s="180"/>
      <c r="FOT74" s="180"/>
      <c r="FOU74" s="180"/>
      <c r="FOV74" s="180"/>
      <c r="FOW74" s="180"/>
      <c r="FOX74" s="180"/>
      <c r="FOY74" s="180"/>
      <c r="FOZ74" s="180"/>
      <c r="FPA74" s="180"/>
      <c r="FPB74" s="180"/>
      <c r="FPC74" s="180"/>
      <c r="FPD74" s="180"/>
      <c r="FPE74" s="180"/>
      <c r="FPF74" s="180"/>
      <c r="FPG74" s="180"/>
      <c r="FPH74" s="180"/>
      <c r="FPI74" s="180"/>
      <c r="FPJ74" s="180"/>
      <c r="FPK74" s="180"/>
      <c r="FPL74" s="180"/>
      <c r="FPM74" s="180"/>
      <c r="FPN74" s="180"/>
      <c r="FPO74" s="180"/>
      <c r="FPP74" s="180"/>
      <c r="FPQ74" s="180"/>
      <c r="FPR74" s="180"/>
      <c r="FPS74" s="180"/>
      <c r="FPT74" s="180"/>
      <c r="FPU74" s="180"/>
      <c r="FPV74" s="180"/>
      <c r="FPW74" s="180"/>
      <c r="FPX74" s="180"/>
      <c r="FPY74" s="180"/>
      <c r="FPZ74" s="180"/>
      <c r="FQA74" s="180"/>
      <c r="FQB74" s="180"/>
      <c r="FQC74" s="180"/>
      <c r="FQD74" s="180"/>
      <c r="FQE74" s="180"/>
      <c r="FQF74" s="180"/>
      <c r="FQG74" s="180"/>
      <c r="FQH74" s="180"/>
      <c r="FQI74" s="180"/>
      <c r="FQJ74" s="180"/>
      <c r="FQK74" s="180"/>
      <c r="FQL74" s="180"/>
      <c r="FQM74" s="180"/>
      <c r="FQN74" s="180"/>
      <c r="FQO74" s="180"/>
      <c r="FQP74" s="180"/>
      <c r="FQQ74" s="180"/>
      <c r="FQR74" s="180"/>
      <c r="FQS74" s="180"/>
      <c r="FQT74" s="180"/>
      <c r="FQU74" s="180"/>
      <c r="FQV74" s="180"/>
      <c r="FQW74" s="180"/>
      <c r="FQX74" s="180"/>
      <c r="FQY74" s="180"/>
      <c r="FQZ74" s="180"/>
      <c r="FRA74" s="180"/>
      <c r="FRB74" s="180"/>
      <c r="FRC74" s="180"/>
      <c r="FRD74" s="180"/>
      <c r="FRE74" s="180"/>
      <c r="FRF74" s="180"/>
      <c r="FRG74" s="180"/>
      <c r="FRH74" s="180"/>
      <c r="FRI74" s="180"/>
      <c r="FRJ74" s="180"/>
      <c r="FRK74" s="180"/>
      <c r="FRL74" s="180"/>
      <c r="FRM74" s="180"/>
      <c r="FRN74" s="180"/>
      <c r="FRO74" s="180"/>
      <c r="FRP74" s="180"/>
      <c r="FRQ74" s="180"/>
      <c r="FRR74" s="180"/>
      <c r="FRS74" s="180"/>
      <c r="FRT74" s="180"/>
      <c r="FRU74" s="180"/>
      <c r="FRV74" s="180"/>
      <c r="FRW74" s="180"/>
      <c r="FRX74" s="180"/>
      <c r="FRY74" s="180"/>
      <c r="FRZ74" s="180"/>
      <c r="FSA74" s="180"/>
      <c r="FSB74" s="180"/>
      <c r="FSC74" s="180"/>
      <c r="FSD74" s="180"/>
      <c r="FSE74" s="180"/>
      <c r="FSF74" s="180"/>
      <c r="FSG74" s="180"/>
      <c r="FSH74" s="180"/>
      <c r="FSI74" s="180"/>
      <c r="FSJ74" s="180"/>
      <c r="FSK74" s="180"/>
      <c r="FSL74" s="180"/>
      <c r="FSM74" s="180"/>
      <c r="FSN74" s="180"/>
      <c r="FSO74" s="180"/>
      <c r="FSP74" s="180"/>
      <c r="FSQ74" s="180"/>
      <c r="FSR74" s="180"/>
      <c r="FSS74" s="180"/>
      <c r="FST74" s="180"/>
      <c r="FSU74" s="180"/>
      <c r="FSV74" s="180"/>
      <c r="FSW74" s="180"/>
      <c r="FSX74" s="180"/>
      <c r="FSY74" s="180"/>
      <c r="FSZ74" s="180"/>
      <c r="FTA74" s="180"/>
      <c r="FTB74" s="180"/>
      <c r="FTC74" s="180"/>
      <c r="FTD74" s="180"/>
      <c r="FTE74" s="180"/>
      <c r="FTF74" s="180"/>
      <c r="FTG74" s="180"/>
      <c r="FTH74" s="180"/>
      <c r="FTI74" s="180"/>
      <c r="FTJ74" s="180"/>
      <c r="FTK74" s="180"/>
      <c r="FTL74" s="180"/>
      <c r="FTM74" s="180"/>
      <c r="FTN74" s="180"/>
      <c r="FTO74" s="180"/>
      <c r="FTP74" s="180"/>
      <c r="FTQ74" s="180"/>
      <c r="FTR74" s="180"/>
      <c r="FTS74" s="180"/>
      <c r="FTT74" s="180"/>
      <c r="FTU74" s="180"/>
      <c r="FTV74" s="180"/>
      <c r="FTW74" s="180"/>
      <c r="FTX74" s="180"/>
      <c r="FTY74" s="180"/>
      <c r="FTZ74" s="180"/>
      <c r="FUA74" s="180"/>
      <c r="FUB74" s="180"/>
      <c r="FUC74" s="180"/>
      <c r="FUD74" s="180"/>
      <c r="FUE74" s="180"/>
      <c r="FUF74" s="180"/>
      <c r="FUG74" s="180"/>
      <c r="FUH74" s="180"/>
      <c r="FUI74" s="180"/>
      <c r="FUJ74" s="180"/>
      <c r="FUK74" s="180"/>
      <c r="FUL74" s="180"/>
      <c r="FUM74" s="180"/>
      <c r="FUN74" s="180"/>
      <c r="FUO74" s="180"/>
      <c r="FUP74" s="180"/>
      <c r="FUQ74" s="180"/>
      <c r="FUR74" s="180"/>
      <c r="FUS74" s="180"/>
      <c r="FUT74" s="180"/>
      <c r="FUU74" s="180"/>
      <c r="FUV74" s="180"/>
      <c r="FUW74" s="180"/>
      <c r="FUX74" s="180"/>
      <c r="FUY74" s="180"/>
      <c r="FUZ74" s="180"/>
      <c r="FVA74" s="180"/>
      <c r="FVB74" s="180"/>
      <c r="FVC74" s="180"/>
      <c r="FVD74" s="180"/>
      <c r="FVE74" s="180"/>
      <c r="FVF74" s="180"/>
      <c r="FVG74" s="180"/>
      <c r="FVH74" s="180"/>
      <c r="FVI74" s="180"/>
      <c r="FVJ74" s="180"/>
      <c r="FVK74" s="180"/>
      <c r="FVL74" s="180"/>
      <c r="FVM74" s="180"/>
      <c r="FVN74" s="180"/>
      <c r="FVO74" s="180"/>
      <c r="FVP74" s="180"/>
      <c r="FVQ74" s="180"/>
      <c r="FVR74" s="180"/>
      <c r="FVS74" s="180"/>
      <c r="FVT74" s="180"/>
      <c r="FVU74" s="180"/>
      <c r="FVV74" s="180"/>
      <c r="FVW74" s="180"/>
      <c r="FVX74" s="180"/>
      <c r="FVY74" s="180"/>
      <c r="FVZ74" s="180"/>
      <c r="FWA74" s="180"/>
      <c r="FWB74" s="180"/>
      <c r="FWC74" s="180"/>
      <c r="FWD74" s="180"/>
      <c r="FWE74" s="180"/>
      <c r="FWF74" s="180"/>
      <c r="FWG74" s="180"/>
      <c r="FWH74" s="180"/>
      <c r="FWI74" s="180"/>
      <c r="FWJ74" s="180"/>
      <c r="FWK74" s="180"/>
      <c r="FWL74" s="180"/>
      <c r="FWM74" s="180"/>
      <c r="FWN74" s="180"/>
      <c r="FWO74" s="180"/>
      <c r="FWP74" s="180"/>
      <c r="FWQ74" s="180"/>
      <c r="FWR74" s="180"/>
      <c r="FWS74" s="180"/>
      <c r="FWT74" s="180"/>
      <c r="FWU74" s="180"/>
      <c r="FWV74" s="180"/>
      <c r="FWW74" s="180"/>
      <c r="FWX74" s="180"/>
      <c r="FWY74" s="180"/>
      <c r="FWZ74" s="180"/>
      <c r="FXA74" s="180"/>
      <c r="FXB74" s="180"/>
      <c r="FXC74" s="180"/>
      <c r="FXD74" s="180"/>
      <c r="FXE74" s="180"/>
      <c r="FXF74" s="180"/>
      <c r="FXG74" s="180"/>
      <c r="FXH74" s="180"/>
      <c r="FXI74" s="180"/>
      <c r="FXJ74" s="180"/>
      <c r="FXK74" s="180"/>
      <c r="FXL74" s="180"/>
      <c r="FXM74" s="180"/>
      <c r="FXN74" s="180"/>
      <c r="FXO74" s="180"/>
      <c r="FXP74" s="180"/>
      <c r="FXQ74" s="180"/>
      <c r="FXR74" s="180"/>
      <c r="FXS74" s="180"/>
      <c r="FXT74" s="180"/>
      <c r="FXU74" s="180"/>
      <c r="FXV74" s="180"/>
      <c r="FXW74" s="180"/>
      <c r="FXX74" s="180"/>
      <c r="FXY74" s="180"/>
      <c r="FXZ74" s="180"/>
      <c r="FYA74" s="180"/>
      <c r="FYB74" s="180"/>
      <c r="FYC74" s="180"/>
      <c r="FYD74" s="180"/>
      <c r="FYE74" s="180"/>
      <c r="FYF74" s="180"/>
      <c r="FYG74" s="180"/>
      <c r="FYH74" s="180"/>
      <c r="FYI74" s="180"/>
      <c r="FYJ74" s="180"/>
      <c r="FYK74" s="180"/>
      <c r="FYL74" s="180"/>
      <c r="FYM74" s="180"/>
      <c r="FYN74" s="180"/>
      <c r="FYO74" s="180"/>
      <c r="FYP74" s="180"/>
      <c r="FYQ74" s="180"/>
      <c r="FYR74" s="180"/>
      <c r="FYS74" s="180"/>
      <c r="FYT74" s="180"/>
      <c r="FYU74" s="180"/>
      <c r="FYV74" s="180"/>
      <c r="FYW74" s="180"/>
      <c r="FYX74" s="180"/>
      <c r="FYY74" s="180"/>
      <c r="FYZ74" s="180"/>
      <c r="FZA74" s="180"/>
      <c r="FZB74" s="180"/>
      <c r="FZC74" s="180"/>
      <c r="FZD74" s="180"/>
      <c r="FZE74" s="180"/>
      <c r="FZF74" s="180"/>
      <c r="FZG74" s="180"/>
      <c r="FZH74" s="180"/>
      <c r="FZI74" s="180"/>
      <c r="FZJ74" s="180"/>
      <c r="FZK74" s="180"/>
      <c r="FZL74" s="180"/>
      <c r="FZM74" s="180"/>
      <c r="FZN74" s="180"/>
      <c r="FZO74" s="180"/>
      <c r="FZP74" s="180"/>
      <c r="FZQ74" s="180"/>
      <c r="FZR74" s="180"/>
      <c r="FZS74" s="180"/>
      <c r="FZT74" s="180"/>
      <c r="FZU74" s="180"/>
      <c r="FZV74" s="180"/>
      <c r="FZW74" s="180"/>
      <c r="FZX74" s="180"/>
      <c r="FZY74" s="180"/>
      <c r="FZZ74" s="180"/>
      <c r="GAA74" s="180"/>
      <c r="GAB74" s="180"/>
      <c r="GAC74" s="180"/>
      <c r="GAD74" s="180"/>
      <c r="GAE74" s="180"/>
      <c r="GAF74" s="180"/>
      <c r="GAG74" s="180"/>
      <c r="GAH74" s="180"/>
      <c r="GAI74" s="180"/>
      <c r="GAJ74" s="180"/>
      <c r="GAK74" s="180"/>
      <c r="GAL74" s="180"/>
      <c r="GAM74" s="180"/>
      <c r="GAN74" s="180"/>
      <c r="GAO74" s="180"/>
      <c r="GAP74" s="180"/>
      <c r="GAQ74" s="180"/>
      <c r="GAR74" s="180"/>
      <c r="GAS74" s="180"/>
      <c r="GAT74" s="180"/>
      <c r="GAU74" s="180"/>
      <c r="GAV74" s="180"/>
      <c r="GAW74" s="180"/>
      <c r="GAX74" s="180"/>
      <c r="GAY74" s="180"/>
      <c r="GAZ74" s="180"/>
      <c r="GBA74" s="180"/>
      <c r="GBB74" s="180"/>
      <c r="GBC74" s="180"/>
      <c r="GBD74" s="180"/>
      <c r="GBE74" s="180"/>
      <c r="GBF74" s="180"/>
      <c r="GBG74" s="180"/>
      <c r="GBH74" s="180"/>
      <c r="GBI74" s="180"/>
      <c r="GBJ74" s="180"/>
      <c r="GBK74" s="180"/>
      <c r="GBL74" s="180"/>
      <c r="GBM74" s="180"/>
      <c r="GBN74" s="180"/>
      <c r="GBO74" s="180"/>
      <c r="GBP74" s="180"/>
      <c r="GBQ74" s="180"/>
      <c r="GBR74" s="180"/>
      <c r="GBS74" s="180"/>
      <c r="GBT74" s="180"/>
      <c r="GBU74" s="180"/>
      <c r="GBV74" s="180"/>
      <c r="GBW74" s="180"/>
      <c r="GBX74" s="180"/>
      <c r="GBY74" s="180"/>
      <c r="GBZ74" s="180"/>
      <c r="GCA74" s="180"/>
      <c r="GCB74" s="180"/>
      <c r="GCC74" s="180"/>
      <c r="GCD74" s="180"/>
      <c r="GCE74" s="180"/>
      <c r="GCF74" s="180"/>
      <c r="GCG74" s="180"/>
      <c r="GCH74" s="180"/>
      <c r="GCI74" s="180"/>
      <c r="GCJ74" s="180"/>
      <c r="GCK74" s="180"/>
      <c r="GCL74" s="180"/>
      <c r="GCM74" s="180"/>
      <c r="GCN74" s="180"/>
      <c r="GCO74" s="180"/>
      <c r="GCP74" s="180"/>
      <c r="GCQ74" s="180"/>
      <c r="GCR74" s="180"/>
      <c r="GCS74" s="180"/>
      <c r="GCT74" s="180"/>
      <c r="GCU74" s="180"/>
      <c r="GCV74" s="180"/>
      <c r="GCW74" s="180"/>
      <c r="GCX74" s="180"/>
      <c r="GCY74" s="180"/>
      <c r="GCZ74" s="180"/>
      <c r="GDA74" s="180"/>
      <c r="GDB74" s="180"/>
      <c r="GDC74" s="180"/>
      <c r="GDD74" s="180"/>
      <c r="GDE74" s="180"/>
      <c r="GDF74" s="180"/>
      <c r="GDG74" s="180"/>
      <c r="GDH74" s="180"/>
      <c r="GDI74" s="180"/>
      <c r="GDJ74" s="180"/>
      <c r="GDK74" s="180"/>
      <c r="GDL74" s="180"/>
      <c r="GDM74" s="180"/>
      <c r="GDN74" s="180"/>
      <c r="GDO74" s="180"/>
      <c r="GDP74" s="180"/>
      <c r="GDQ74" s="180"/>
      <c r="GDR74" s="180"/>
      <c r="GDS74" s="180"/>
      <c r="GDT74" s="180"/>
      <c r="GDU74" s="180"/>
      <c r="GDV74" s="180"/>
      <c r="GDW74" s="180"/>
      <c r="GDX74" s="180"/>
      <c r="GDY74" s="180"/>
      <c r="GDZ74" s="180"/>
      <c r="GEA74" s="180"/>
      <c r="GEB74" s="180"/>
      <c r="GEC74" s="180"/>
      <c r="GED74" s="180"/>
      <c r="GEE74" s="180"/>
      <c r="GEF74" s="180"/>
      <c r="GEG74" s="180"/>
      <c r="GEH74" s="180"/>
      <c r="GEI74" s="180"/>
      <c r="GEJ74" s="180"/>
      <c r="GEK74" s="180"/>
      <c r="GEL74" s="180"/>
      <c r="GEM74" s="180"/>
      <c r="GEN74" s="180"/>
      <c r="GEO74" s="180"/>
      <c r="GEP74" s="180"/>
      <c r="GEQ74" s="180"/>
      <c r="GER74" s="180"/>
      <c r="GES74" s="180"/>
      <c r="GET74" s="180"/>
      <c r="GEU74" s="180"/>
      <c r="GEV74" s="180"/>
      <c r="GEW74" s="180"/>
      <c r="GEX74" s="180"/>
      <c r="GEY74" s="180"/>
      <c r="GEZ74" s="180"/>
      <c r="GFA74" s="180"/>
      <c r="GFB74" s="180"/>
      <c r="GFC74" s="180"/>
      <c r="GFD74" s="180"/>
      <c r="GFE74" s="180"/>
      <c r="GFF74" s="180"/>
      <c r="GFG74" s="180"/>
      <c r="GFH74" s="180"/>
      <c r="GFI74" s="180"/>
      <c r="GFJ74" s="180"/>
      <c r="GFK74" s="180"/>
      <c r="GFL74" s="180"/>
      <c r="GFM74" s="180"/>
      <c r="GFN74" s="180"/>
      <c r="GFO74" s="180"/>
      <c r="GFP74" s="180"/>
      <c r="GFQ74" s="180"/>
      <c r="GFR74" s="180"/>
      <c r="GFS74" s="180"/>
      <c r="GFT74" s="180"/>
      <c r="GFU74" s="180"/>
      <c r="GFV74" s="180"/>
      <c r="GFW74" s="180"/>
      <c r="GFX74" s="180"/>
      <c r="GFY74" s="180"/>
      <c r="GFZ74" s="180"/>
      <c r="GGA74" s="180"/>
      <c r="GGB74" s="180"/>
      <c r="GGC74" s="180"/>
      <c r="GGD74" s="180"/>
      <c r="GGE74" s="180"/>
      <c r="GGF74" s="180"/>
      <c r="GGG74" s="180"/>
      <c r="GGH74" s="180"/>
      <c r="GGI74" s="180"/>
      <c r="GGJ74" s="180"/>
      <c r="GGK74" s="180"/>
      <c r="GGL74" s="180"/>
      <c r="GGM74" s="180"/>
      <c r="GGN74" s="180"/>
      <c r="GGO74" s="180"/>
      <c r="GGP74" s="180"/>
      <c r="GGQ74" s="180"/>
      <c r="GGR74" s="180"/>
      <c r="GGS74" s="180"/>
      <c r="GGT74" s="180"/>
      <c r="GGU74" s="180"/>
      <c r="GGV74" s="180"/>
      <c r="GGW74" s="180"/>
      <c r="GGX74" s="180"/>
      <c r="GGY74" s="180"/>
      <c r="GGZ74" s="180"/>
      <c r="GHA74" s="180"/>
      <c r="GHB74" s="180"/>
      <c r="GHC74" s="180"/>
      <c r="GHD74" s="180"/>
      <c r="GHE74" s="180"/>
      <c r="GHF74" s="180"/>
      <c r="GHG74" s="180"/>
      <c r="GHH74" s="180"/>
      <c r="GHI74" s="180"/>
      <c r="GHJ74" s="180"/>
      <c r="GHK74" s="180"/>
      <c r="GHL74" s="180"/>
      <c r="GHM74" s="180"/>
      <c r="GHN74" s="180"/>
      <c r="GHO74" s="180"/>
      <c r="GHP74" s="180"/>
      <c r="GHQ74" s="180"/>
      <c r="GHR74" s="180"/>
      <c r="GHS74" s="180"/>
      <c r="GHT74" s="180"/>
      <c r="GHU74" s="180"/>
      <c r="GHV74" s="180"/>
      <c r="GHW74" s="180"/>
      <c r="GHX74" s="180"/>
      <c r="GHY74" s="180"/>
      <c r="GHZ74" s="180"/>
      <c r="GIA74" s="180"/>
      <c r="GIB74" s="180"/>
      <c r="GIC74" s="180"/>
      <c r="GID74" s="180"/>
      <c r="GIE74" s="180"/>
      <c r="GIF74" s="180"/>
      <c r="GIG74" s="180"/>
      <c r="GIH74" s="180"/>
      <c r="GII74" s="180"/>
      <c r="GIJ74" s="180"/>
      <c r="GIK74" s="180"/>
      <c r="GIL74" s="180"/>
      <c r="GIM74" s="180"/>
      <c r="GIN74" s="180"/>
      <c r="GIO74" s="180"/>
      <c r="GIP74" s="180"/>
      <c r="GIQ74" s="180"/>
      <c r="GIR74" s="180"/>
      <c r="GIS74" s="180"/>
      <c r="GIT74" s="180"/>
      <c r="GIU74" s="180"/>
      <c r="GIV74" s="180"/>
      <c r="GIW74" s="180"/>
      <c r="GIX74" s="180"/>
      <c r="GIY74" s="180"/>
      <c r="GIZ74" s="180"/>
      <c r="GJA74" s="180"/>
      <c r="GJB74" s="180"/>
      <c r="GJC74" s="180"/>
      <c r="GJD74" s="180"/>
      <c r="GJE74" s="180"/>
      <c r="GJF74" s="180"/>
      <c r="GJG74" s="180"/>
      <c r="GJH74" s="180"/>
      <c r="GJI74" s="180"/>
      <c r="GJJ74" s="180"/>
      <c r="GJK74" s="180"/>
      <c r="GJL74" s="180"/>
      <c r="GJM74" s="180"/>
      <c r="GJN74" s="180"/>
      <c r="GJO74" s="180"/>
      <c r="GJP74" s="180"/>
      <c r="GJQ74" s="180"/>
      <c r="GJR74" s="180"/>
      <c r="GJS74" s="180"/>
      <c r="GJT74" s="180"/>
      <c r="GJU74" s="180"/>
      <c r="GJV74" s="180"/>
      <c r="GJW74" s="180"/>
      <c r="GJX74" s="180"/>
      <c r="GJY74" s="180"/>
      <c r="GJZ74" s="180"/>
      <c r="GKA74" s="180"/>
      <c r="GKB74" s="180"/>
      <c r="GKC74" s="180"/>
      <c r="GKD74" s="180"/>
      <c r="GKE74" s="180"/>
      <c r="GKF74" s="180"/>
      <c r="GKG74" s="180"/>
      <c r="GKH74" s="180"/>
      <c r="GKI74" s="180"/>
      <c r="GKJ74" s="180"/>
      <c r="GKK74" s="180"/>
      <c r="GKL74" s="180"/>
      <c r="GKM74" s="180"/>
      <c r="GKN74" s="180"/>
      <c r="GKO74" s="180"/>
      <c r="GKP74" s="180"/>
      <c r="GKQ74" s="180"/>
      <c r="GKR74" s="180"/>
      <c r="GKS74" s="180"/>
      <c r="GKT74" s="180"/>
      <c r="GKU74" s="180"/>
      <c r="GKV74" s="180"/>
      <c r="GKW74" s="180"/>
      <c r="GKX74" s="180"/>
      <c r="GKY74" s="180"/>
      <c r="GKZ74" s="180"/>
      <c r="GLA74" s="180"/>
      <c r="GLB74" s="180"/>
      <c r="GLC74" s="180"/>
      <c r="GLD74" s="180"/>
      <c r="GLE74" s="180"/>
      <c r="GLF74" s="180"/>
      <c r="GLG74" s="180"/>
      <c r="GLH74" s="180"/>
      <c r="GLI74" s="180"/>
      <c r="GLJ74" s="180"/>
      <c r="GLK74" s="180"/>
      <c r="GLL74" s="180"/>
      <c r="GLM74" s="180"/>
      <c r="GLN74" s="180"/>
      <c r="GLO74" s="180"/>
      <c r="GLP74" s="180"/>
      <c r="GLQ74" s="180"/>
      <c r="GLR74" s="180"/>
      <c r="GLS74" s="180"/>
      <c r="GLT74" s="180"/>
      <c r="GLU74" s="180"/>
      <c r="GLV74" s="180"/>
      <c r="GLW74" s="180"/>
      <c r="GLX74" s="180"/>
      <c r="GLY74" s="180"/>
      <c r="GLZ74" s="180"/>
      <c r="GMA74" s="180"/>
      <c r="GMB74" s="180"/>
      <c r="GMC74" s="180"/>
      <c r="GMD74" s="180"/>
      <c r="GME74" s="180"/>
      <c r="GMF74" s="180"/>
      <c r="GMG74" s="180"/>
      <c r="GMH74" s="180"/>
      <c r="GMI74" s="180"/>
      <c r="GMJ74" s="180"/>
      <c r="GMK74" s="180"/>
      <c r="GML74" s="180"/>
      <c r="GMM74" s="180"/>
      <c r="GMN74" s="180"/>
      <c r="GMO74" s="180"/>
      <c r="GMP74" s="180"/>
      <c r="GMQ74" s="180"/>
      <c r="GMR74" s="180"/>
      <c r="GMS74" s="180"/>
      <c r="GMT74" s="180"/>
      <c r="GMU74" s="180"/>
      <c r="GMV74" s="180"/>
      <c r="GMW74" s="180"/>
      <c r="GMX74" s="180"/>
      <c r="GMY74" s="180"/>
      <c r="GMZ74" s="180"/>
      <c r="GNA74" s="180"/>
      <c r="GNB74" s="180"/>
      <c r="GNC74" s="180"/>
      <c r="GND74" s="180"/>
      <c r="GNE74" s="180"/>
      <c r="GNF74" s="180"/>
      <c r="GNG74" s="180"/>
      <c r="GNH74" s="180"/>
      <c r="GNI74" s="180"/>
      <c r="GNJ74" s="180"/>
      <c r="GNK74" s="180"/>
      <c r="GNL74" s="180"/>
      <c r="GNM74" s="180"/>
      <c r="GNN74" s="180"/>
      <c r="GNO74" s="180"/>
      <c r="GNP74" s="180"/>
      <c r="GNQ74" s="180"/>
      <c r="GNR74" s="180"/>
      <c r="GNS74" s="180"/>
      <c r="GNT74" s="180"/>
      <c r="GNU74" s="180"/>
      <c r="GNV74" s="180"/>
      <c r="GNW74" s="180"/>
      <c r="GNX74" s="180"/>
      <c r="GNY74" s="180"/>
      <c r="GNZ74" s="180"/>
      <c r="GOA74" s="180"/>
      <c r="GOB74" s="180"/>
      <c r="GOC74" s="180"/>
      <c r="GOD74" s="180"/>
      <c r="GOE74" s="180"/>
      <c r="GOF74" s="180"/>
      <c r="GOG74" s="180"/>
      <c r="GOH74" s="180"/>
      <c r="GOI74" s="180"/>
      <c r="GOJ74" s="180"/>
      <c r="GOK74" s="180"/>
      <c r="GOL74" s="180"/>
      <c r="GOM74" s="180"/>
      <c r="GON74" s="180"/>
      <c r="GOO74" s="180"/>
      <c r="GOP74" s="180"/>
      <c r="GOQ74" s="180"/>
      <c r="GOR74" s="180"/>
      <c r="GOS74" s="180"/>
      <c r="GOT74" s="180"/>
      <c r="GOU74" s="180"/>
      <c r="GOV74" s="180"/>
      <c r="GOW74" s="180"/>
      <c r="GOX74" s="180"/>
      <c r="GOY74" s="180"/>
      <c r="GOZ74" s="180"/>
      <c r="GPA74" s="180"/>
      <c r="GPB74" s="180"/>
      <c r="GPC74" s="180"/>
      <c r="GPD74" s="180"/>
      <c r="GPE74" s="180"/>
      <c r="GPF74" s="180"/>
      <c r="GPG74" s="180"/>
      <c r="GPH74" s="180"/>
      <c r="GPI74" s="180"/>
      <c r="GPJ74" s="180"/>
      <c r="GPK74" s="180"/>
      <c r="GPL74" s="180"/>
      <c r="GPM74" s="180"/>
      <c r="GPN74" s="180"/>
      <c r="GPO74" s="180"/>
      <c r="GPP74" s="180"/>
      <c r="GPQ74" s="180"/>
      <c r="GPR74" s="180"/>
      <c r="GPS74" s="180"/>
      <c r="GPT74" s="180"/>
      <c r="GPU74" s="180"/>
      <c r="GPV74" s="180"/>
      <c r="GPW74" s="180"/>
      <c r="GPX74" s="180"/>
      <c r="GPY74" s="180"/>
      <c r="GPZ74" s="180"/>
      <c r="GQA74" s="180"/>
      <c r="GQB74" s="180"/>
      <c r="GQC74" s="180"/>
      <c r="GQD74" s="180"/>
      <c r="GQE74" s="180"/>
      <c r="GQF74" s="180"/>
      <c r="GQG74" s="180"/>
      <c r="GQH74" s="180"/>
      <c r="GQI74" s="180"/>
      <c r="GQJ74" s="180"/>
      <c r="GQK74" s="180"/>
      <c r="GQL74" s="180"/>
      <c r="GQM74" s="180"/>
      <c r="GQN74" s="180"/>
      <c r="GQO74" s="180"/>
      <c r="GQP74" s="180"/>
      <c r="GQQ74" s="180"/>
      <c r="GQR74" s="180"/>
      <c r="GQS74" s="180"/>
      <c r="GQT74" s="180"/>
      <c r="GQU74" s="180"/>
      <c r="GQV74" s="180"/>
      <c r="GQW74" s="180"/>
      <c r="GQX74" s="180"/>
      <c r="GQY74" s="180"/>
      <c r="GQZ74" s="180"/>
      <c r="GRA74" s="180"/>
      <c r="GRB74" s="180"/>
      <c r="GRC74" s="180"/>
      <c r="GRD74" s="180"/>
      <c r="GRE74" s="180"/>
      <c r="GRF74" s="180"/>
      <c r="GRG74" s="180"/>
      <c r="GRH74" s="180"/>
      <c r="GRI74" s="180"/>
      <c r="GRJ74" s="180"/>
      <c r="GRK74" s="180"/>
      <c r="GRL74" s="180"/>
      <c r="GRM74" s="180"/>
      <c r="GRN74" s="180"/>
      <c r="GRO74" s="180"/>
      <c r="GRP74" s="180"/>
      <c r="GRQ74" s="180"/>
      <c r="GRR74" s="180"/>
      <c r="GRS74" s="180"/>
      <c r="GRT74" s="180"/>
      <c r="GRU74" s="180"/>
      <c r="GRV74" s="180"/>
      <c r="GRW74" s="180"/>
      <c r="GRX74" s="180"/>
      <c r="GRY74" s="180"/>
      <c r="GRZ74" s="180"/>
      <c r="GSA74" s="180"/>
      <c r="GSB74" s="180"/>
      <c r="GSC74" s="180"/>
      <c r="GSD74" s="180"/>
      <c r="GSE74" s="180"/>
      <c r="GSF74" s="180"/>
      <c r="GSG74" s="180"/>
      <c r="GSH74" s="180"/>
      <c r="GSI74" s="180"/>
      <c r="GSJ74" s="180"/>
      <c r="GSK74" s="180"/>
      <c r="GSL74" s="180"/>
      <c r="GSM74" s="180"/>
      <c r="GSN74" s="180"/>
      <c r="GSO74" s="180"/>
      <c r="GSP74" s="180"/>
      <c r="GSQ74" s="180"/>
      <c r="GSR74" s="180"/>
      <c r="GSS74" s="180"/>
      <c r="GST74" s="180"/>
      <c r="GSU74" s="180"/>
      <c r="GSV74" s="180"/>
      <c r="GSW74" s="180"/>
      <c r="GSX74" s="180"/>
      <c r="GSY74" s="180"/>
      <c r="GSZ74" s="180"/>
      <c r="GTA74" s="180"/>
      <c r="GTB74" s="180"/>
      <c r="GTC74" s="180"/>
      <c r="GTD74" s="180"/>
      <c r="GTE74" s="180"/>
      <c r="GTF74" s="180"/>
      <c r="GTG74" s="180"/>
      <c r="GTH74" s="180"/>
      <c r="GTI74" s="180"/>
      <c r="GTJ74" s="180"/>
      <c r="GTK74" s="180"/>
      <c r="GTL74" s="180"/>
      <c r="GTM74" s="180"/>
      <c r="GTN74" s="180"/>
      <c r="GTO74" s="180"/>
      <c r="GTP74" s="180"/>
      <c r="GTQ74" s="180"/>
      <c r="GTR74" s="180"/>
      <c r="GTS74" s="180"/>
      <c r="GTT74" s="180"/>
      <c r="GTU74" s="180"/>
      <c r="GTV74" s="180"/>
      <c r="GTW74" s="180"/>
      <c r="GTX74" s="180"/>
      <c r="GTY74" s="180"/>
      <c r="GTZ74" s="180"/>
      <c r="GUA74" s="180"/>
      <c r="GUB74" s="180"/>
      <c r="GUC74" s="180"/>
      <c r="GUD74" s="180"/>
      <c r="GUE74" s="180"/>
      <c r="GUF74" s="180"/>
      <c r="GUG74" s="180"/>
      <c r="GUH74" s="180"/>
      <c r="GUI74" s="180"/>
      <c r="GUJ74" s="180"/>
      <c r="GUK74" s="180"/>
      <c r="GUL74" s="180"/>
      <c r="GUM74" s="180"/>
      <c r="GUN74" s="180"/>
      <c r="GUO74" s="180"/>
      <c r="GUP74" s="180"/>
      <c r="GUQ74" s="180"/>
      <c r="GUR74" s="180"/>
      <c r="GUS74" s="180"/>
      <c r="GUT74" s="180"/>
      <c r="GUU74" s="180"/>
      <c r="GUV74" s="180"/>
      <c r="GUW74" s="180"/>
      <c r="GUX74" s="180"/>
      <c r="GUY74" s="180"/>
      <c r="GUZ74" s="180"/>
      <c r="GVA74" s="180"/>
      <c r="GVB74" s="180"/>
      <c r="GVC74" s="180"/>
      <c r="GVD74" s="180"/>
      <c r="GVE74" s="180"/>
      <c r="GVF74" s="180"/>
      <c r="GVG74" s="180"/>
      <c r="GVH74" s="180"/>
      <c r="GVI74" s="180"/>
      <c r="GVJ74" s="180"/>
      <c r="GVK74" s="180"/>
      <c r="GVL74" s="180"/>
      <c r="GVM74" s="180"/>
      <c r="GVN74" s="180"/>
      <c r="GVO74" s="180"/>
      <c r="GVP74" s="180"/>
      <c r="GVQ74" s="180"/>
      <c r="GVR74" s="180"/>
      <c r="GVS74" s="180"/>
      <c r="GVT74" s="180"/>
      <c r="GVU74" s="180"/>
      <c r="GVV74" s="180"/>
      <c r="GVW74" s="180"/>
      <c r="GVX74" s="180"/>
      <c r="GVY74" s="180"/>
      <c r="GVZ74" s="180"/>
      <c r="GWA74" s="180"/>
      <c r="GWB74" s="180"/>
      <c r="GWC74" s="180"/>
      <c r="GWD74" s="180"/>
      <c r="GWE74" s="180"/>
      <c r="GWF74" s="180"/>
      <c r="GWG74" s="180"/>
      <c r="GWH74" s="180"/>
      <c r="GWI74" s="180"/>
      <c r="GWJ74" s="180"/>
      <c r="GWK74" s="180"/>
      <c r="GWL74" s="180"/>
      <c r="GWM74" s="180"/>
      <c r="GWN74" s="180"/>
      <c r="GWO74" s="180"/>
      <c r="GWP74" s="180"/>
      <c r="GWQ74" s="180"/>
      <c r="GWR74" s="180"/>
      <c r="GWS74" s="180"/>
      <c r="GWT74" s="180"/>
      <c r="GWU74" s="180"/>
      <c r="GWV74" s="180"/>
      <c r="GWW74" s="180"/>
      <c r="GWX74" s="180"/>
      <c r="GWY74" s="180"/>
      <c r="GWZ74" s="180"/>
      <c r="GXA74" s="180"/>
      <c r="GXB74" s="180"/>
      <c r="GXC74" s="180"/>
      <c r="GXD74" s="180"/>
      <c r="GXE74" s="180"/>
      <c r="GXF74" s="180"/>
      <c r="GXG74" s="180"/>
      <c r="GXH74" s="180"/>
      <c r="GXI74" s="180"/>
      <c r="GXJ74" s="180"/>
      <c r="GXK74" s="180"/>
      <c r="GXL74" s="180"/>
      <c r="GXM74" s="180"/>
      <c r="GXN74" s="180"/>
      <c r="GXO74" s="180"/>
      <c r="GXP74" s="180"/>
      <c r="GXQ74" s="180"/>
      <c r="GXR74" s="180"/>
      <c r="GXS74" s="180"/>
      <c r="GXT74" s="180"/>
      <c r="GXU74" s="180"/>
      <c r="GXV74" s="180"/>
      <c r="GXW74" s="180"/>
      <c r="GXX74" s="180"/>
      <c r="GXY74" s="180"/>
      <c r="GXZ74" s="180"/>
      <c r="GYA74" s="180"/>
      <c r="GYB74" s="180"/>
      <c r="GYC74" s="180"/>
      <c r="GYD74" s="180"/>
      <c r="GYE74" s="180"/>
      <c r="GYF74" s="180"/>
      <c r="GYG74" s="180"/>
      <c r="GYH74" s="180"/>
      <c r="GYI74" s="180"/>
      <c r="GYJ74" s="180"/>
      <c r="GYK74" s="180"/>
      <c r="GYL74" s="180"/>
      <c r="GYM74" s="180"/>
      <c r="GYN74" s="180"/>
      <c r="GYO74" s="180"/>
      <c r="GYP74" s="180"/>
      <c r="GYQ74" s="180"/>
      <c r="GYR74" s="180"/>
      <c r="GYS74" s="180"/>
      <c r="GYT74" s="180"/>
      <c r="GYU74" s="180"/>
      <c r="GYV74" s="180"/>
      <c r="GYW74" s="180"/>
      <c r="GYX74" s="180"/>
      <c r="GYY74" s="180"/>
      <c r="GYZ74" s="180"/>
      <c r="GZA74" s="180"/>
      <c r="GZB74" s="180"/>
      <c r="GZC74" s="180"/>
      <c r="GZD74" s="180"/>
      <c r="GZE74" s="180"/>
      <c r="GZF74" s="180"/>
      <c r="GZG74" s="180"/>
      <c r="GZH74" s="180"/>
      <c r="GZI74" s="180"/>
      <c r="GZJ74" s="180"/>
      <c r="GZK74" s="180"/>
      <c r="GZL74" s="180"/>
      <c r="GZM74" s="180"/>
      <c r="GZN74" s="180"/>
      <c r="GZO74" s="180"/>
      <c r="GZP74" s="180"/>
      <c r="GZQ74" s="180"/>
      <c r="GZR74" s="180"/>
      <c r="GZS74" s="180"/>
      <c r="GZT74" s="180"/>
      <c r="GZU74" s="180"/>
      <c r="GZV74" s="180"/>
      <c r="GZW74" s="180"/>
      <c r="GZX74" s="180"/>
      <c r="GZY74" s="180"/>
      <c r="GZZ74" s="180"/>
      <c r="HAA74" s="180"/>
      <c r="HAB74" s="180"/>
      <c r="HAC74" s="180"/>
      <c r="HAD74" s="180"/>
      <c r="HAE74" s="180"/>
      <c r="HAF74" s="180"/>
      <c r="HAG74" s="180"/>
      <c r="HAH74" s="180"/>
      <c r="HAI74" s="180"/>
      <c r="HAJ74" s="180"/>
      <c r="HAK74" s="180"/>
      <c r="HAL74" s="180"/>
      <c r="HAM74" s="180"/>
      <c r="HAN74" s="180"/>
      <c r="HAO74" s="180"/>
      <c r="HAP74" s="180"/>
      <c r="HAQ74" s="180"/>
      <c r="HAR74" s="180"/>
      <c r="HAS74" s="180"/>
      <c r="HAT74" s="180"/>
      <c r="HAU74" s="180"/>
      <c r="HAV74" s="180"/>
      <c r="HAW74" s="180"/>
      <c r="HAX74" s="180"/>
      <c r="HAY74" s="180"/>
      <c r="HAZ74" s="180"/>
      <c r="HBA74" s="180"/>
      <c r="HBB74" s="180"/>
      <c r="HBC74" s="180"/>
      <c r="HBD74" s="180"/>
      <c r="HBE74" s="180"/>
      <c r="HBF74" s="180"/>
      <c r="HBG74" s="180"/>
      <c r="HBH74" s="180"/>
      <c r="HBI74" s="180"/>
      <c r="HBJ74" s="180"/>
      <c r="HBK74" s="180"/>
      <c r="HBL74" s="180"/>
      <c r="HBM74" s="180"/>
      <c r="HBN74" s="180"/>
      <c r="HBO74" s="180"/>
      <c r="HBP74" s="180"/>
      <c r="HBQ74" s="180"/>
      <c r="HBR74" s="180"/>
      <c r="HBS74" s="180"/>
      <c r="HBT74" s="180"/>
      <c r="HBU74" s="180"/>
      <c r="HBV74" s="180"/>
      <c r="HBW74" s="180"/>
      <c r="HBX74" s="180"/>
      <c r="HBY74" s="180"/>
      <c r="HBZ74" s="180"/>
      <c r="HCA74" s="180"/>
      <c r="HCB74" s="180"/>
      <c r="HCC74" s="180"/>
      <c r="HCD74" s="180"/>
      <c r="HCE74" s="180"/>
      <c r="HCF74" s="180"/>
      <c r="HCG74" s="180"/>
      <c r="HCH74" s="180"/>
      <c r="HCI74" s="180"/>
      <c r="HCJ74" s="180"/>
      <c r="HCK74" s="180"/>
      <c r="HCL74" s="180"/>
      <c r="HCM74" s="180"/>
      <c r="HCN74" s="180"/>
      <c r="HCO74" s="180"/>
      <c r="HCP74" s="180"/>
      <c r="HCQ74" s="180"/>
      <c r="HCR74" s="180"/>
      <c r="HCS74" s="180"/>
      <c r="HCT74" s="180"/>
      <c r="HCU74" s="180"/>
      <c r="HCV74" s="180"/>
      <c r="HCW74" s="180"/>
      <c r="HCX74" s="180"/>
      <c r="HCY74" s="180"/>
      <c r="HCZ74" s="180"/>
      <c r="HDA74" s="180"/>
      <c r="HDB74" s="180"/>
      <c r="HDC74" s="180"/>
      <c r="HDD74" s="180"/>
      <c r="HDE74" s="180"/>
      <c r="HDF74" s="180"/>
      <c r="HDG74" s="180"/>
      <c r="HDH74" s="180"/>
      <c r="HDI74" s="180"/>
      <c r="HDJ74" s="180"/>
      <c r="HDK74" s="180"/>
      <c r="HDL74" s="180"/>
      <c r="HDM74" s="180"/>
      <c r="HDN74" s="180"/>
      <c r="HDO74" s="180"/>
      <c r="HDP74" s="180"/>
      <c r="HDQ74" s="180"/>
      <c r="HDR74" s="180"/>
      <c r="HDS74" s="180"/>
      <c r="HDT74" s="180"/>
      <c r="HDU74" s="180"/>
      <c r="HDV74" s="180"/>
      <c r="HDW74" s="180"/>
      <c r="HDX74" s="180"/>
      <c r="HDY74" s="180"/>
      <c r="HDZ74" s="180"/>
      <c r="HEA74" s="180"/>
      <c r="HEB74" s="180"/>
      <c r="HEC74" s="180"/>
      <c r="HED74" s="180"/>
      <c r="HEE74" s="180"/>
      <c r="HEF74" s="180"/>
      <c r="HEG74" s="180"/>
      <c r="HEH74" s="180"/>
      <c r="HEI74" s="180"/>
      <c r="HEJ74" s="180"/>
      <c r="HEK74" s="180"/>
      <c r="HEL74" s="180"/>
      <c r="HEM74" s="180"/>
      <c r="HEN74" s="180"/>
      <c r="HEO74" s="180"/>
      <c r="HEP74" s="180"/>
      <c r="HEQ74" s="180"/>
      <c r="HER74" s="180"/>
      <c r="HES74" s="180"/>
      <c r="HET74" s="180"/>
      <c r="HEU74" s="180"/>
      <c r="HEV74" s="180"/>
      <c r="HEW74" s="180"/>
      <c r="HEX74" s="180"/>
      <c r="HEY74" s="180"/>
      <c r="HEZ74" s="180"/>
      <c r="HFA74" s="180"/>
      <c r="HFB74" s="180"/>
      <c r="HFC74" s="180"/>
      <c r="HFD74" s="180"/>
      <c r="HFE74" s="180"/>
      <c r="HFF74" s="180"/>
      <c r="HFG74" s="180"/>
      <c r="HFH74" s="180"/>
      <c r="HFI74" s="180"/>
      <c r="HFJ74" s="180"/>
      <c r="HFK74" s="180"/>
      <c r="HFL74" s="180"/>
      <c r="HFM74" s="180"/>
      <c r="HFN74" s="180"/>
      <c r="HFO74" s="180"/>
      <c r="HFP74" s="180"/>
      <c r="HFQ74" s="180"/>
      <c r="HFR74" s="180"/>
      <c r="HFS74" s="180"/>
      <c r="HFT74" s="180"/>
      <c r="HFU74" s="180"/>
      <c r="HFV74" s="180"/>
      <c r="HFW74" s="180"/>
      <c r="HFX74" s="180"/>
      <c r="HFY74" s="180"/>
      <c r="HFZ74" s="180"/>
      <c r="HGA74" s="180"/>
      <c r="HGB74" s="180"/>
      <c r="HGC74" s="180"/>
      <c r="HGD74" s="180"/>
      <c r="HGE74" s="180"/>
      <c r="HGF74" s="180"/>
      <c r="HGG74" s="180"/>
      <c r="HGH74" s="180"/>
      <c r="HGI74" s="180"/>
      <c r="HGJ74" s="180"/>
      <c r="HGK74" s="180"/>
      <c r="HGL74" s="180"/>
      <c r="HGM74" s="180"/>
      <c r="HGN74" s="180"/>
      <c r="HGO74" s="180"/>
      <c r="HGP74" s="180"/>
      <c r="HGQ74" s="180"/>
      <c r="HGR74" s="180"/>
      <c r="HGS74" s="180"/>
      <c r="HGT74" s="180"/>
      <c r="HGU74" s="180"/>
      <c r="HGV74" s="180"/>
      <c r="HGW74" s="180"/>
      <c r="HGX74" s="180"/>
      <c r="HGY74" s="180"/>
      <c r="HGZ74" s="180"/>
      <c r="HHA74" s="180"/>
      <c r="HHB74" s="180"/>
      <c r="HHC74" s="180"/>
      <c r="HHD74" s="180"/>
      <c r="HHE74" s="180"/>
      <c r="HHF74" s="180"/>
      <c r="HHG74" s="180"/>
      <c r="HHH74" s="180"/>
      <c r="HHI74" s="180"/>
      <c r="HHJ74" s="180"/>
      <c r="HHK74" s="180"/>
      <c r="HHL74" s="180"/>
      <c r="HHM74" s="180"/>
      <c r="HHN74" s="180"/>
      <c r="HHO74" s="180"/>
      <c r="HHP74" s="180"/>
      <c r="HHQ74" s="180"/>
      <c r="HHR74" s="180"/>
      <c r="HHS74" s="180"/>
      <c r="HHT74" s="180"/>
      <c r="HHU74" s="180"/>
      <c r="HHV74" s="180"/>
      <c r="HHW74" s="180"/>
      <c r="HHX74" s="180"/>
      <c r="HHY74" s="180"/>
      <c r="HHZ74" s="180"/>
      <c r="HIA74" s="180"/>
      <c r="HIB74" s="180"/>
      <c r="HIC74" s="180"/>
      <c r="HID74" s="180"/>
      <c r="HIE74" s="180"/>
      <c r="HIF74" s="180"/>
      <c r="HIG74" s="180"/>
      <c r="HIH74" s="180"/>
      <c r="HII74" s="180"/>
      <c r="HIJ74" s="180"/>
      <c r="HIK74" s="180"/>
      <c r="HIL74" s="180"/>
      <c r="HIM74" s="180"/>
      <c r="HIN74" s="180"/>
      <c r="HIO74" s="180"/>
      <c r="HIP74" s="180"/>
      <c r="HIQ74" s="180"/>
      <c r="HIR74" s="180"/>
      <c r="HIS74" s="180"/>
      <c r="HIT74" s="180"/>
      <c r="HIU74" s="180"/>
      <c r="HIV74" s="180"/>
      <c r="HIW74" s="180"/>
      <c r="HIX74" s="180"/>
      <c r="HIY74" s="180"/>
      <c r="HIZ74" s="180"/>
      <c r="HJA74" s="180"/>
      <c r="HJB74" s="180"/>
      <c r="HJC74" s="180"/>
      <c r="HJD74" s="180"/>
      <c r="HJE74" s="180"/>
      <c r="HJF74" s="180"/>
      <c r="HJG74" s="180"/>
      <c r="HJH74" s="180"/>
      <c r="HJI74" s="180"/>
      <c r="HJJ74" s="180"/>
      <c r="HJK74" s="180"/>
      <c r="HJL74" s="180"/>
      <c r="HJM74" s="180"/>
      <c r="HJN74" s="180"/>
      <c r="HJO74" s="180"/>
      <c r="HJP74" s="180"/>
      <c r="HJQ74" s="180"/>
      <c r="HJR74" s="180"/>
      <c r="HJS74" s="180"/>
      <c r="HJT74" s="180"/>
      <c r="HJU74" s="180"/>
      <c r="HJV74" s="180"/>
      <c r="HJW74" s="180"/>
      <c r="HJX74" s="180"/>
      <c r="HJY74" s="180"/>
      <c r="HJZ74" s="180"/>
      <c r="HKA74" s="180"/>
      <c r="HKB74" s="180"/>
      <c r="HKC74" s="180"/>
      <c r="HKD74" s="180"/>
      <c r="HKE74" s="180"/>
      <c r="HKF74" s="180"/>
      <c r="HKG74" s="180"/>
      <c r="HKH74" s="180"/>
      <c r="HKI74" s="180"/>
      <c r="HKJ74" s="180"/>
      <c r="HKK74" s="180"/>
      <c r="HKL74" s="180"/>
      <c r="HKM74" s="180"/>
      <c r="HKN74" s="180"/>
      <c r="HKO74" s="180"/>
      <c r="HKP74" s="180"/>
      <c r="HKQ74" s="180"/>
      <c r="HKR74" s="180"/>
      <c r="HKS74" s="180"/>
      <c r="HKT74" s="180"/>
      <c r="HKU74" s="180"/>
      <c r="HKV74" s="180"/>
      <c r="HKW74" s="180"/>
      <c r="HKX74" s="180"/>
      <c r="HKY74" s="180"/>
      <c r="HKZ74" s="180"/>
      <c r="HLA74" s="180"/>
      <c r="HLB74" s="180"/>
      <c r="HLC74" s="180"/>
      <c r="HLD74" s="180"/>
      <c r="HLE74" s="180"/>
      <c r="HLF74" s="180"/>
      <c r="HLG74" s="180"/>
      <c r="HLH74" s="180"/>
      <c r="HLI74" s="180"/>
      <c r="HLJ74" s="180"/>
      <c r="HLK74" s="180"/>
      <c r="HLL74" s="180"/>
      <c r="HLM74" s="180"/>
      <c r="HLN74" s="180"/>
      <c r="HLO74" s="180"/>
      <c r="HLP74" s="180"/>
      <c r="HLQ74" s="180"/>
      <c r="HLR74" s="180"/>
      <c r="HLS74" s="180"/>
      <c r="HLT74" s="180"/>
      <c r="HLU74" s="180"/>
      <c r="HLV74" s="180"/>
      <c r="HLW74" s="180"/>
      <c r="HLX74" s="180"/>
      <c r="HLY74" s="180"/>
      <c r="HLZ74" s="180"/>
      <c r="HMA74" s="180"/>
      <c r="HMB74" s="180"/>
      <c r="HMC74" s="180"/>
      <c r="HMD74" s="180"/>
      <c r="HME74" s="180"/>
      <c r="HMF74" s="180"/>
      <c r="HMG74" s="180"/>
      <c r="HMH74" s="180"/>
      <c r="HMI74" s="180"/>
      <c r="HMJ74" s="180"/>
      <c r="HMK74" s="180"/>
      <c r="HML74" s="180"/>
      <c r="HMM74" s="180"/>
      <c r="HMN74" s="180"/>
      <c r="HMO74" s="180"/>
      <c r="HMP74" s="180"/>
      <c r="HMQ74" s="180"/>
      <c r="HMR74" s="180"/>
      <c r="HMS74" s="180"/>
      <c r="HMT74" s="180"/>
      <c r="HMU74" s="180"/>
      <c r="HMV74" s="180"/>
      <c r="HMW74" s="180"/>
      <c r="HMX74" s="180"/>
      <c r="HMY74" s="180"/>
      <c r="HMZ74" s="180"/>
      <c r="HNA74" s="180"/>
      <c r="HNB74" s="180"/>
      <c r="HNC74" s="180"/>
      <c r="HND74" s="180"/>
      <c r="HNE74" s="180"/>
      <c r="HNF74" s="180"/>
      <c r="HNG74" s="180"/>
      <c r="HNH74" s="180"/>
      <c r="HNI74" s="180"/>
      <c r="HNJ74" s="180"/>
      <c r="HNK74" s="180"/>
      <c r="HNL74" s="180"/>
      <c r="HNM74" s="180"/>
      <c r="HNN74" s="180"/>
      <c r="HNO74" s="180"/>
      <c r="HNP74" s="180"/>
      <c r="HNQ74" s="180"/>
      <c r="HNR74" s="180"/>
      <c r="HNS74" s="180"/>
      <c r="HNT74" s="180"/>
      <c r="HNU74" s="180"/>
      <c r="HNV74" s="180"/>
      <c r="HNW74" s="180"/>
      <c r="HNX74" s="180"/>
      <c r="HNY74" s="180"/>
      <c r="HNZ74" s="180"/>
      <c r="HOA74" s="180"/>
      <c r="HOB74" s="180"/>
      <c r="HOC74" s="180"/>
      <c r="HOD74" s="180"/>
      <c r="HOE74" s="180"/>
      <c r="HOF74" s="180"/>
      <c r="HOG74" s="180"/>
      <c r="HOH74" s="180"/>
      <c r="HOI74" s="180"/>
      <c r="HOJ74" s="180"/>
      <c r="HOK74" s="180"/>
      <c r="HOL74" s="180"/>
      <c r="HOM74" s="180"/>
      <c r="HON74" s="180"/>
      <c r="HOO74" s="180"/>
      <c r="HOP74" s="180"/>
      <c r="HOQ74" s="180"/>
      <c r="HOR74" s="180"/>
      <c r="HOS74" s="180"/>
      <c r="HOT74" s="180"/>
      <c r="HOU74" s="180"/>
      <c r="HOV74" s="180"/>
      <c r="HOW74" s="180"/>
      <c r="HOX74" s="180"/>
      <c r="HOY74" s="180"/>
      <c r="HOZ74" s="180"/>
      <c r="HPA74" s="180"/>
      <c r="HPB74" s="180"/>
      <c r="HPC74" s="180"/>
      <c r="HPD74" s="180"/>
      <c r="HPE74" s="180"/>
      <c r="HPF74" s="180"/>
      <c r="HPG74" s="180"/>
      <c r="HPH74" s="180"/>
      <c r="HPI74" s="180"/>
      <c r="HPJ74" s="180"/>
      <c r="HPK74" s="180"/>
      <c r="HPL74" s="180"/>
      <c r="HPM74" s="180"/>
      <c r="HPN74" s="180"/>
      <c r="HPO74" s="180"/>
      <c r="HPP74" s="180"/>
      <c r="HPQ74" s="180"/>
      <c r="HPR74" s="180"/>
      <c r="HPS74" s="180"/>
      <c r="HPT74" s="180"/>
      <c r="HPU74" s="180"/>
      <c r="HPV74" s="180"/>
      <c r="HPW74" s="180"/>
      <c r="HPX74" s="180"/>
      <c r="HPY74" s="180"/>
      <c r="HPZ74" s="180"/>
      <c r="HQA74" s="180"/>
      <c r="HQB74" s="180"/>
      <c r="HQC74" s="180"/>
      <c r="HQD74" s="180"/>
      <c r="HQE74" s="180"/>
      <c r="HQF74" s="180"/>
      <c r="HQG74" s="180"/>
      <c r="HQH74" s="180"/>
      <c r="HQI74" s="180"/>
      <c r="HQJ74" s="180"/>
      <c r="HQK74" s="180"/>
      <c r="HQL74" s="180"/>
      <c r="HQM74" s="180"/>
      <c r="HQN74" s="180"/>
      <c r="HQO74" s="180"/>
      <c r="HQP74" s="180"/>
      <c r="HQQ74" s="180"/>
      <c r="HQR74" s="180"/>
      <c r="HQS74" s="180"/>
      <c r="HQT74" s="180"/>
      <c r="HQU74" s="180"/>
      <c r="HQV74" s="180"/>
      <c r="HQW74" s="180"/>
      <c r="HQX74" s="180"/>
      <c r="HQY74" s="180"/>
      <c r="HQZ74" s="180"/>
      <c r="HRA74" s="180"/>
      <c r="HRB74" s="180"/>
      <c r="HRC74" s="180"/>
      <c r="HRD74" s="180"/>
      <c r="HRE74" s="180"/>
      <c r="HRF74" s="180"/>
      <c r="HRG74" s="180"/>
      <c r="HRH74" s="180"/>
      <c r="HRI74" s="180"/>
      <c r="HRJ74" s="180"/>
      <c r="HRK74" s="180"/>
      <c r="HRL74" s="180"/>
      <c r="HRM74" s="180"/>
      <c r="HRN74" s="180"/>
      <c r="HRO74" s="180"/>
      <c r="HRP74" s="180"/>
      <c r="HRQ74" s="180"/>
      <c r="HRR74" s="180"/>
      <c r="HRS74" s="180"/>
      <c r="HRT74" s="180"/>
      <c r="HRU74" s="180"/>
      <c r="HRV74" s="180"/>
      <c r="HRW74" s="180"/>
      <c r="HRX74" s="180"/>
      <c r="HRY74" s="180"/>
      <c r="HRZ74" s="180"/>
      <c r="HSA74" s="180"/>
      <c r="HSB74" s="180"/>
      <c r="HSC74" s="180"/>
      <c r="HSD74" s="180"/>
      <c r="HSE74" s="180"/>
      <c r="HSF74" s="180"/>
      <c r="HSG74" s="180"/>
      <c r="HSH74" s="180"/>
      <c r="HSI74" s="180"/>
      <c r="HSJ74" s="180"/>
      <c r="HSK74" s="180"/>
      <c r="HSL74" s="180"/>
      <c r="HSM74" s="180"/>
      <c r="HSN74" s="180"/>
      <c r="HSO74" s="180"/>
      <c r="HSP74" s="180"/>
      <c r="HSQ74" s="180"/>
      <c r="HSR74" s="180"/>
      <c r="HSS74" s="180"/>
      <c r="HST74" s="180"/>
      <c r="HSU74" s="180"/>
      <c r="HSV74" s="180"/>
      <c r="HSW74" s="180"/>
      <c r="HSX74" s="180"/>
      <c r="HSY74" s="180"/>
      <c r="HSZ74" s="180"/>
      <c r="HTA74" s="180"/>
      <c r="HTB74" s="180"/>
      <c r="HTC74" s="180"/>
      <c r="HTD74" s="180"/>
      <c r="HTE74" s="180"/>
      <c r="HTF74" s="180"/>
      <c r="HTG74" s="180"/>
      <c r="HTH74" s="180"/>
      <c r="HTI74" s="180"/>
      <c r="HTJ74" s="180"/>
      <c r="HTK74" s="180"/>
      <c r="HTL74" s="180"/>
      <c r="HTM74" s="180"/>
      <c r="HTN74" s="180"/>
      <c r="HTO74" s="180"/>
      <c r="HTP74" s="180"/>
      <c r="HTQ74" s="180"/>
      <c r="HTR74" s="180"/>
      <c r="HTS74" s="180"/>
      <c r="HTT74" s="180"/>
      <c r="HTU74" s="180"/>
      <c r="HTV74" s="180"/>
      <c r="HTW74" s="180"/>
      <c r="HTX74" s="180"/>
      <c r="HTY74" s="180"/>
      <c r="HTZ74" s="180"/>
      <c r="HUA74" s="180"/>
      <c r="HUB74" s="180"/>
      <c r="HUC74" s="180"/>
      <c r="HUD74" s="180"/>
      <c r="HUE74" s="180"/>
      <c r="HUF74" s="180"/>
      <c r="HUG74" s="180"/>
      <c r="HUH74" s="180"/>
      <c r="HUI74" s="180"/>
      <c r="HUJ74" s="180"/>
      <c r="HUK74" s="180"/>
      <c r="HUL74" s="180"/>
      <c r="HUM74" s="180"/>
      <c r="HUN74" s="180"/>
      <c r="HUO74" s="180"/>
      <c r="HUP74" s="180"/>
      <c r="HUQ74" s="180"/>
      <c r="HUR74" s="180"/>
      <c r="HUS74" s="180"/>
      <c r="HUT74" s="180"/>
      <c r="HUU74" s="180"/>
      <c r="HUV74" s="180"/>
      <c r="HUW74" s="180"/>
      <c r="HUX74" s="180"/>
      <c r="HUY74" s="180"/>
      <c r="HUZ74" s="180"/>
      <c r="HVA74" s="180"/>
      <c r="HVB74" s="180"/>
      <c r="HVC74" s="180"/>
      <c r="HVD74" s="180"/>
      <c r="HVE74" s="180"/>
      <c r="HVF74" s="180"/>
      <c r="HVG74" s="180"/>
      <c r="HVH74" s="180"/>
      <c r="HVI74" s="180"/>
      <c r="HVJ74" s="180"/>
      <c r="HVK74" s="180"/>
      <c r="HVL74" s="180"/>
      <c r="HVM74" s="180"/>
      <c r="HVN74" s="180"/>
      <c r="HVO74" s="180"/>
      <c r="HVP74" s="180"/>
      <c r="HVQ74" s="180"/>
      <c r="HVR74" s="180"/>
      <c r="HVS74" s="180"/>
      <c r="HVT74" s="180"/>
      <c r="HVU74" s="180"/>
      <c r="HVV74" s="180"/>
      <c r="HVW74" s="180"/>
      <c r="HVX74" s="180"/>
      <c r="HVY74" s="180"/>
      <c r="HVZ74" s="180"/>
      <c r="HWA74" s="180"/>
      <c r="HWB74" s="180"/>
      <c r="HWC74" s="180"/>
      <c r="HWD74" s="180"/>
      <c r="HWE74" s="180"/>
      <c r="HWF74" s="180"/>
      <c r="HWG74" s="180"/>
      <c r="HWH74" s="180"/>
      <c r="HWI74" s="180"/>
      <c r="HWJ74" s="180"/>
      <c r="HWK74" s="180"/>
      <c r="HWL74" s="180"/>
      <c r="HWM74" s="180"/>
      <c r="HWN74" s="180"/>
      <c r="HWO74" s="180"/>
      <c r="HWP74" s="180"/>
      <c r="HWQ74" s="180"/>
      <c r="HWR74" s="180"/>
      <c r="HWS74" s="180"/>
      <c r="HWT74" s="180"/>
      <c r="HWU74" s="180"/>
      <c r="HWV74" s="180"/>
      <c r="HWW74" s="180"/>
      <c r="HWX74" s="180"/>
      <c r="HWY74" s="180"/>
      <c r="HWZ74" s="180"/>
      <c r="HXA74" s="180"/>
      <c r="HXB74" s="180"/>
      <c r="HXC74" s="180"/>
      <c r="HXD74" s="180"/>
      <c r="HXE74" s="180"/>
      <c r="HXF74" s="180"/>
      <c r="HXG74" s="180"/>
      <c r="HXH74" s="180"/>
      <c r="HXI74" s="180"/>
      <c r="HXJ74" s="180"/>
      <c r="HXK74" s="180"/>
      <c r="HXL74" s="180"/>
      <c r="HXM74" s="180"/>
      <c r="HXN74" s="180"/>
      <c r="HXO74" s="180"/>
      <c r="HXP74" s="180"/>
      <c r="HXQ74" s="180"/>
      <c r="HXR74" s="180"/>
      <c r="HXS74" s="180"/>
      <c r="HXT74" s="180"/>
      <c r="HXU74" s="180"/>
      <c r="HXV74" s="180"/>
      <c r="HXW74" s="180"/>
      <c r="HXX74" s="180"/>
      <c r="HXY74" s="180"/>
      <c r="HXZ74" s="180"/>
      <c r="HYA74" s="180"/>
      <c r="HYB74" s="180"/>
      <c r="HYC74" s="180"/>
      <c r="HYD74" s="180"/>
      <c r="HYE74" s="180"/>
      <c r="HYF74" s="180"/>
      <c r="HYG74" s="180"/>
      <c r="HYH74" s="180"/>
      <c r="HYI74" s="180"/>
      <c r="HYJ74" s="180"/>
      <c r="HYK74" s="180"/>
      <c r="HYL74" s="180"/>
      <c r="HYM74" s="180"/>
      <c r="HYN74" s="180"/>
      <c r="HYO74" s="180"/>
      <c r="HYP74" s="180"/>
      <c r="HYQ74" s="180"/>
      <c r="HYR74" s="180"/>
      <c r="HYS74" s="180"/>
      <c r="HYT74" s="180"/>
      <c r="HYU74" s="180"/>
      <c r="HYV74" s="180"/>
      <c r="HYW74" s="180"/>
      <c r="HYX74" s="180"/>
      <c r="HYY74" s="180"/>
      <c r="HYZ74" s="180"/>
      <c r="HZA74" s="180"/>
      <c r="HZB74" s="180"/>
      <c r="HZC74" s="180"/>
      <c r="HZD74" s="180"/>
      <c r="HZE74" s="180"/>
      <c r="HZF74" s="180"/>
      <c r="HZG74" s="180"/>
      <c r="HZH74" s="180"/>
      <c r="HZI74" s="180"/>
      <c r="HZJ74" s="180"/>
      <c r="HZK74" s="180"/>
      <c r="HZL74" s="180"/>
      <c r="HZM74" s="180"/>
      <c r="HZN74" s="180"/>
      <c r="HZO74" s="180"/>
      <c r="HZP74" s="180"/>
      <c r="HZQ74" s="180"/>
      <c r="HZR74" s="180"/>
      <c r="HZS74" s="180"/>
      <c r="HZT74" s="180"/>
      <c r="HZU74" s="180"/>
      <c r="HZV74" s="180"/>
      <c r="HZW74" s="180"/>
      <c r="HZX74" s="180"/>
      <c r="HZY74" s="180"/>
      <c r="HZZ74" s="180"/>
      <c r="IAA74" s="180"/>
      <c r="IAB74" s="180"/>
      <c r="IAC74" s="180"/>
      <c r="IAD74" s="180"/>
      <c r="IAE74" s="180"/>
      <c r="IAF74" s="180"/>
      <c r="IAG74" s="180"/>
      <c r="IAH74" s="180"/>
      <c r="IAI74" s="180"/>
      <c r="IAJ74" s="180"/>
      <c r="IAK74" s="180"/>
      <c r="IAL74" s="180"/>
      <c r="IAM74" s="180"/>
      <c r="IAN74" s="180"/>
      <c r="IAO74" s="180"/>
      <c r="IAP74" s="180"/>
      <c r="IAQ74" s="180"/>
      <c r="IAR74" s="180"/>
      <c r="IAS74" s="180"/>
      <c r="IAT74" s="180"/>
      <c r="IAU74" s="180"/>
      <c r="IAV74" s="180"/>
      <c r="IAW74" s="180"/>
      <c r="IAX74" s="180"/>
      <c r="IAY74" s="180"/>
      <c r="IAZ74" s="180"/>
      <c r="IBA74" s="180"/>
      <c r="IBB74" s="180"/>
      <c r="IBC74" s="180"/>
      <c r="IBD74" s="180"/>
      <c r="IBE74" s="180"/>
      <c r="IBF74" s="180"/>
      <c r="IBG74" s="180"/>
      <c r="IBH74" s="180"/>
      <c r="IBI74" s="180"/>
      <c r="IBJ74" s="180"/>
      <c r="IBK74" s="180"/>
      <c r="IBL74" s="180"/>
      <c r="IBM74" s="180"/>
      <c r="IBN74" s="180"/>
      <c r="IBO74" s="180"/>
      <c r="IBP74" s="180"/>
      <c r="IBQ74" s="180"/>
      <c r="IBR74" s="180"/>
      <c r="IBS74" s="180"/>
      <c r="IBT74" s="180"/>
      <c r="IBU74" s="180"/>
      <c r="IBV74" s="180"/>
      <c r="IBW74" s="180"/>
      <c r="IBX74" s="180"/>
      <c r="IBY74" s="180"/>
      <c r="IBZ74" s="180"/>
      <c r="ICA74" s="180"/>
      <c r="ICB74" s="180"/>
      <c r="ICC74" s="180"/>
      <c r="ICD74" s="180"/>
      <c r="ICE74" s="180"/>
      <c r="ICF74" s="180"/>
      <c r="ICG74" s="180"/>
      <c r="ICH74" s="180"/>
      <c r="ICI74" s="180"/>
      <c r="ICJ74" s="180"/>
      <c r="ICK74" s="180"/>
      <c r="ICL74" s="180"/>
      <c r="ICM74" s="180"/>
      <c r="ICN74" s="180"/>
      <c r="ICO74" s="180"/>
      <c r="ICP74" s="180"/>
      <c r="ICQ74" s="180"/>
      <c r="ICR74" s="180"/>
      <c r="ICS74" s="180"/>
      <c r="ICT74" s="180"/>
      <c r="ICU74" s="180"/>
      <c r="ICV74" s="180"/>
      <c r="ICW74" s="180"/>
      <c r="ICX74" s="180"/>
      <c r="ICY74" s="180"/>
      <c r="ICZ74" s="180"/>
      <c r="IDA74" s="180"/>
      <c r="IDB74" s="180"/>
      <c r="IDC74" s="180"/>
      <c r="IDD74" s="180"/>
      <c r="IDE74" s="180"/>
      <c r="IDF74" s="180"/>
      <c r="IDG74" s="180"/>
      <c r="IDH74" s="180"/>
      <c r="IDI74" s="180"/>
      <c r="IDJ74" s="180"/>
      <c r="IDK74" s="180"/>
      <c r="IDL74" s="180"/>
      <c r="IDM74" s="180"/>
      <c r="IDN74" s="180"/>
      <c r="IDO74" s="180"/>
      <c r="IDP74" s="180"/>
      <c r="IDQ74" s="180"/>
      <c r="IDR74" s="180"/>
      <c r="IDS74" s="180"/>
      <c r="IDT74" s="180"/>
      <c r="IDU74" s="180"/>
      <c r="IDV74" s="180"/>
      <c r="IDW74" s="180"/>
      <c r="IDX74" s="180"/>
      <c r="IDY74" s="180"/>
      <c r="IDZ74" s="180"/>
      <c r="IEA74" s="180"/>
      <c r="IEB74" s="180"/>
      <c r="IEC74" s="180"/>
      <c r="IED74" s="180"/>
      <c r="IEE74" s="180"/>
      <c r="IEF74" s="180"/>
      <c r="IEG74" s="180"/>
      <c r="IEH74" s="180"/>
      <c r="IEI74" s="180"/>
      <c r="IEJ74" s="180"/>
      <c r="IEK74" s="180"/>
      <c r="IEL74" s="180"/>
      <c r="IEM74" s="180"/>
      <c r="IEN74" s="180"/>
      <c r="IEO74" s="180"/>
      <c r="IEP74" s="180"/>
      <c r="IEQ74" s="180"/>
      <c r="IER74" s="180"/>
      <c r="IES74" s="180"/>
      <c r="IET74" s="180"/>
      <c r="IEU74" s="180"/>
      <c r="IEV74" s="180"/>
      <c r="IEW74" s="180"/>
      <c r="IEX74" s="180"/>
      <c r="IEY74" s="180"/>
      <c r="IEZ74" s="180"/>
      <c r="IFA74" s="180"/>
      <c r="IFB74" s="180"/>
      <c r="IFC74" s="180"/>
      <c r="IFD74" s="180"/>
      <c r="IFE74" s="180"/>
      <c r="IFF74" s="180"/>
      <c r="IFG74" s="180"/>
      <c r="IFH74" s="180"/>
      <c r="IFI74" s="180"/>
      <c r="IFJ74" s="180"/>
      <c r="IFK74" s="180"/>
      <c r="IFL74" s="180"/>
      <c r="IFM74" s="180"/>
      <c r="IFN74" s="180"/>
      <c r="IFO74" s="180"/>
      <c r="IFP74" s="180"/>
      <c r="IFQ74" s="180"/>
      <c r="IFR74" s="180"/>
      <c r="IFS74" s="180"/>
      <c r="IFT74" s="180"/>
      <c r="IFU74" s="180"/>
      <c r="IFV74" s="180"/>
      <c r="IFW74" s="180"/>
      <c r="IFX74" s="180"/>
      <c r="IFY74" s="180"/>
      <c r="IFZ74" s="180"/>
      <c r="IGA74" s="180"/>
      <c r="IGB74" s="180"/>
      <c r="IGC74" s="180"/>
      <c r="IGD74" s="180"/>
      <c r="IGE74" s="180"/>
      <c r="IGF74" s="180"/>
      <c r="IGG74" s="180"/>
      <c r="IGH74" s="180"/>
      <c r="IGI74" s="180"/>
      <c r="IGJ74" s="180"/>
      <c r="IGK74" s="180"/>
      <c r="IGL74" s="180"/>
      <c r="IGM74" s="180"/>
      <c r="IGN74" s="180"/>
      <c r="IGO74" s="180"/>
      <c r="IGP74" s="180"/>
      <c r="IGQ74" s="180"/>
      <c r="IGR74" s="180"/>
      <c r="IGS74" s="180"/>
      <c r="IGT74" s="180"/>
      <c r="IGU74" s="180"/>
      <c r="IGV74" s="180"/>
      <c r="IGW74" s="180"/>
      <c r="IGX74" s="180"/>
      <c r="IGY74" s="180"/>
      <c r="IGZ74" s="180"/>
      <c r="IHA74" s="180"/>
      <c r="IHB74" s="180"/>
      <c r="IHC74" s="180"/>
      <c r="IHD74" s="180"/>
      <c r="IHE74" s="180"/>
      <c r="IHF74" s="180"/>
      <c r="IHG74" s="180"/>
      <c r="IHH74" s="180"/>
      <c r="IHI74" s="180"/>
      <c r="IHJ74" s="180"/>
      <c r="IHK74" s="180"/>
      <c r="IHL74" s="180"/>
      <c r="IHM74" s="180"/>
      <c r="IHN74" s="180"/>
      <c r="IHO74" s="180"/>
      <c r="IHP74" s="180"/>
      <c r="IHQ74" s="180"/>
      <c r="IHR74" s="180"/>
      <c r="IHS74" s="180"/>
      <c r="IHT74" s="180"/>
      <c r="IHU74" s="180"/>
      <c r="IHV74" s="180"/>
      <c r="IHW74" s="180"/>
      <c r="IHX74" s="180"/>
      <c r="IHY74" s="180"/>
      <c r="IHZ74" s="180"/>
      <c r="IIA74" s="180"/>
      <c r="IIB74" s="180"/>
      <c r="IIC74" s="180"/>
      <c r="IID74" s="180"/>
      <c r="IIE74" s="180"/>
      <c r="IIF74" s="180"/>
      <c r="IIG74" s="180"/>
      <c r="IIH74" s="180"/>
      <c r="III74" s="180"/>
      <c r="IIJ74" s="180"/>
      <c r="IIK74" s="180"/>
      <c r="IIL74" s="180"/>
      <c r="IIM74" s="180"/>
      <c r="IIN74" s="180"/>
      <c r="IIO74" s="180"/>
      <c r="IIP74" s="180"/>
      <c r="IIQ74" s="180"/>
      <c r="IIR74" s="180"/>
      <c r="IIS74" s="180"/>
      <c r="IIT74" s="180"/>
      <c r="IIU74" s="180"/>
      <c r="IIV74" s="180"/>
      <c r="IIW74" s="180"/>
      <c r="IIX74" s="180"/>
      <c r="IIY74" s="180"/>
      <c r="IIZ74" s="180"/>
      <c r="IJA74" s="180"/>
      <c r="IJB74" s="180"/>
      <c r="IJC74" s="180"/>
      <c r="IJD74" s="180"/>
      <c r="IJE74" s="180"/>
      <c r="IJF74" s="180"/>
      <c r="IJG74" s="180"/>
      <c r="IJH74" s="180"/>
      <c r="IJI74" s="180"/>
      <c r="IJJ74" s="180"/>
      <c r="IJK74" s="180"/>
      <c r="IJL74" s="180"/>
      <c r="IJM74" s="180"/>
      <c r="IJN74" s="180"/>
      <c r="IJO74" s="180"/>
      <c r="IJP74" s="180"/>
      <c r="IJQ74" s="180"/>
      <c r="IJR74" s="180"/>
      <c r="IJS74" s="180"/>
      <c r="IJT74" s="180"/>
      <c r="IJU74" s="180"/>
      <c r="IJV74" s="180"/>
      <c r="IJW74" s="180"/>
      <c r="IJX74" s="180"/>
      <c r="IJY74" s="180"/>
      <c r="IJZ74" s="180"/>
      <c r="IKA74" s="180"/>
      <c r="IKB74" s="180"/>
      <c r="IKC74" s="180"/>
      <c r="IKD74" s="180"/>
      <c r="IKE74" s="180"/>
      <c r="IKF74" s="180"/>
      <c r="IKG74" s="180"/>
      <c r="IKH74" s="180"/>
      <c r="IKI74" s="180"/>
      <c r="IKJ74" s="180"/>
      <c r="IKK74" s="180"/>
      <c r="IKL74" s="180"/>
      <c r="IKM74" s="180"/>
      <c r="IKN74" s="180"/>
      <c r="IKO74" s="180"/>
      <c r="IKP74" s="180"/>
      <c r="IKQ74" s="180"/>
      <c r="IKR74" s="180"/>
      <c r="IKS74" s="180"/>
      <c r="IKT74" s="180"/>
      <c r="IKU74" s="180"/>
      <c r="IKV74" s="180"/>
      <c r="IKW74" s="180"/>
      <c r="IKX74" s="180"/>
      <c r="IKY74" s="180"/>
      <c r="IKZ74" s="180"/>
      <c r="ILA74" s="180"/>
      <c r="ILB74" s="180"/>
      <c r="ILC74" s="180"/>
      <c r="ILD74" s="180"/>
      <c r="ILE74" s="180"/>
      <c r="ILF74" s="180"/>
      <c r="ILG74" s="180"/>
      <c r="ILH74" s="180"/>
      <c r="ILI74" s="180"/>
      <c r="ILJ74" s="180"/>
      <c r="ILK74" s="180"/>
      <c r="ILL74" s="180"/>
      <c r="ILM74" s="180"/>
      <c r="ILN74" s="180"/>
      <c r="ILO74" s="180"/>
      <c r="ILP74" s="180"/>
      <c r="ILQ74" s="180"/>
      <c r="ILR74" s="180"/>
      <c r="ILS74" s="180"/>
      <c r="ILT74" s="180"/>
      <c r="ILU74" s="180"/>
      <c r="ILV74" s="180"/>
      <c r="ILW74" s="180"/>
      <c r="ILX74" s="180"/>
      <c r="ILY74" s="180"/>
      <c r="ILZ74" s="180"/>
      <c r="IMA74" s="180"/>
      <c r="IMB74" s="180"/>
      <c r="IMC74" s="180"/>
      <c r="IMD74" s="180"/>
      <c r="IME74" s="180"/>
      <c r="IMF74" s="180"/>
      <c r="IMG74" s="180"/>
      <c r="IMH74" s="180"/>
      <c r="IMI74" s="180"/>
      <c r="IMJ74" s="180"/>
      <c r="IMK74" s="180"/>
      <c r="IML74" s="180"/>
      <c r="IMM74" s="180"/>
      <c r="IMN74" s="180"/>
      <c r="IMO74" s="180"/>
      <c r="IMP74" s="180"/>
      <c r="IMQ74" s="180"/>
      <c r="IMR74" s="180"/>
      <c r="IMS74" s="180"/>
      <c r="IMT74" s="180"/>
      <c r="IMU74" s="180"/>
      <c r="IMV74" s="180"/>
      <c r="IMW74" s="180"/>
      <c r="IMX74" s="180"/>
      <c r="IMY74" s="180"/>
      <c r="IMZ74" s="180"/>
      <c r="INA74" s="180"/>
      <c r="INB74" s="180"/>
      <c r="INC74" s="180"/>
      <c r="IND74" s="180"/>
      <c r="INE74" s="180"/>
      <c r="INF74" s="180"/>
      <c r="ING74" s="180"/>
      <c r="INH74" s="180"/>
      <c r="INI74" s="180"/>
      <c r="INJ74" s="180"/>
      <c r="INK74" s="180"/>
      <c r="INL74" s="180"/>
      <c r="INM74" s="180"/>
      <c r="INN74" s="180"/>
      <c r="INO74" s="180"/>
      <c r="INP74" s="180"/>
      <c r="INQ74" s="180"/>
      <c r="INR74" s="180"/>
      <c r="INS74" s="180"/>
      <c r="INT74" s="180"/>
      <c r="INU74" s="180"/>
      <c r="INV74" s="180"/>
      <c r="INW74" s="180"/>
      <c r="INX74" s="180"/>
      <c r="INY74" s="180"/>
      <c r="INZ74" s="180"/>
      <c r="IOA74" s="180"/>
      <c r="IOB74" s="180"/>
      <c r="IOC74" s="180"/>
      <c r="IOD74" s="180"/>
      <c r="IOE74" s="180"/>
      <c r="IOF74" s="180"/>
      <c r="IOG74" s="180"/>
      <c r="IOH74" s="180"/>
      <c r="IOI74" s="180"/>
      <c r="IOJ74" s="180"/>
      <c r="IOK74" s="180"/>
      <c r="IOL74" s="180"/>
      <c r="IOM74" s="180"/>
      <c r="ION74" s="180"/>
      <c r="IOO74" s="180"/>
      <c r="IOP74" s="180"/>
      <c r="IOQ74" s="180"/>
      <c r="IOR74" s="180"/>
      <c r="IOS74" s="180"/>
      <c r="IOT74" s="180"/>
      <c r="IOU74" s="180"/>
      <c r="IOV74" s="180"/>
      <c r="IOW74" s="180"/>
      <c r="IOX74" s="180"/>
      <c r="IOY74" s="180"/>
      <c r="IOZ74" s="180"/>
      <c r="IPA74" s="180"/>
      <c r="IPB74" s="180"/>
      <c r="IPC74" s="180"/>
      <c r="IPD74" s="180"/>
      <c r="IPE74" s="180"/>
      <c r="IPF74" s="180"/>
      <c r="IPG74" s="180"/>
      <c r="IPH74" s="180"/>
      <c r="IPI74" s="180"/>
      <c r="IPJ74" s="180"/>
      <c r="IPK74" s="180"/>
      <c r="IPL74" s="180"/>
      <c r="IPM74" s="180"/>
      <c r="IPN74" s="180"/>
      <c r="IPO74" s="180"/>
      <c r="IPP74" s="180"/>
      <c r="IPQ74" s="180"/>
      <c r="IPR74" s="180"/>
      <c r="IPS74" s="180"/>
      <c r="IPT74" s="180"/>
      <c r="IPU74" s="180"/>
      <c r="IPV74" s="180"/>
      <c r="IPW74" s="180"/>
      <c r="IPX74" s="180"/>
      <c r="IPY74" s="180"/>
      <c r="IPZ74" s="180"/>
      <c r="IQA74" s="180"/>
      <c r="IQB74" s="180"/>
      <c r="IQC74" s="180"/>
      <c r="IQD74" s="180"/>
      <c r="IQE74" s="180"/>
      <c r="IQF74" s="180"/>
      <c r="IQG74" s="180"/>
      <c r="IQH74" s="180"/>
      <c r="IQI74" s="180"/>
      <c r="IQJ74" s="180"/>
      <c r="IQK74" s="180"/>
      <c r="IQL74" s="180"/>
      <c r="IQM74" s="180"/>
      <c r="IQN74" s="180"/>
      <c r="IQO74" s="180"/>
      <c r="IQP74" s="180"/>
      <c r="IQQ74" s="180"/>
      <c r="IQR74" s="180"/>
      <c r="IQS74" s="180"/>
      <c r="IQT74" s="180"/>
      <c r="IQU74" s="180"/>
      <c r="IQV74" s="180"/>
      <c r="IQW74" s="180"/>
      <c r="IQX74" s="180"/>
      <c r="IQY74" s="180"/>
      <c r="IQZ74" s="180"/>
      <c r="IRA74" s="180"/>
      <c r="IRB74" s="180"/>
      <c r="IRC74" s="180"/>
      <c r="IRD74" s="180"/>
      <c r="IRE74" s="180"/>
      <c r="IRF74" s="180"/>
      <c r="IRG74" s="180"/>
      <c r="IRH74" s="180"/>
      <c r="IRI74" s="180"/>
      <c r="IRJ74" s="180"/>
      <c r="IRK74" s="180"/>
      <c r="IRL74" s="180"/>
      <c r="IRM74" s="180"/>
      <c r="IRN74" s="180"/>
      <c r="IRO74" s="180"/>
      <c r="IRP74" s="180"/>
      <c r="IRQ74" s="180"/>
      <c r="IRR74" s="180"/>
      <c r="IRS74" s="180"/>
      <c r="IRT74" s="180"/>
      <c r="IRU74" s="180"/>
      <c r="IRV74" s="180"/>
      <c r="IRW74" s="180"/>
      <c r="IRX74" s="180"/>
      <c r="IRY74" s="180"/>
      <c r="IRZ74" s="180"/>
      <c r="ISA74" s="180"/>
      <c r="ISB74" s="180"/>
      <c r="ISC74" s="180"/>
      <c r="ISD74" s="180"/>
      <c r="ISE74" s="180"/>
      <c r="ISF74" s="180"/>
      <c r="ISG74" s="180"/>
      <c r="ISH74" s="180"/>
      <c r="ISI74" s="180"/>
      <c r="ISJ74" s="180"/>
      <c r="ISK74" s="180"/>
      <c r="ISL74" s="180"/>
      <c r="ISM74" s="180"/>
      <c r="ISN74" s="180"/>
      <c r="ISO74" s="180"/>
      <c r="ISP74" s="180"/>
      <c r="ISQ74" s="180"/>
      <c r="ISR74" s="180"/>
      <c r="ISS74" s="180"/>
      <c r="IST74" s="180"/>
      <c r="ISU74" s="180"/>
      <c r="ISV74" s="180"/>
      <c r="ISW74" s="180"/>
      <c r="ISX74" s="180"/>
      <c r="ISY74" s="180"/>
      <c r="ISZ74" s="180"/>
      <c r="ITA74" s="180"/>
      <c r="ITB74" s="180"/>
      <c r="ITC74" s="180"/>
      <c r="ITD74" s="180"/>
      <c r="ITE74" s="180"/>
      <c r="ITF74" s="180"/>
      <c r="ITG74" s="180"/>
      <c r="ITH74" s="180"/>
      <c r="ITI74" s="180"/>
      <c r="ITJ74" s="180"/>
      <c r="ITK74" s="180"/>
      <c r="ITL74" s="180"/>
      <c r="ITM74" s="180"/>
      <c r="ITN74" s="180"/>
      <c r="ITO74" s="180"/>
      <c r="ITP74" s="180"/>
      <c r="ITQ74" s="180"/>
      <c r="ITR74" s="180"/>
      <c r="ITS74" s="180"/>
      <c r="ITT74" s="180"/>
      <c r="ITU74" s="180"/>
      <c r="ITV74" s="180"/>
      <c r="ITW74" s="180"/>
      <c r="ITX74" s="180"/>
      <c r="ITY74" s="180"/>
      <c r="ITZ74" s="180"/>
      <c r="IUA74" s="180"/>
      <c r="IUB74" s="180"/>
      <c r="IUC74" s="180"/>
      <c r="IUD74" s="180"/>
      <c r="IUE74" s="180"/>
      <c r="IUF74" s="180"/>
      <c r="IUG74" s="180"/>
      <c r="IUH74" s="180"/>
      <c r="IUI74" s="180"/>
      <c r="IUJ74" s="180"/>
      <c r="IUK74" s="180"/>
      <c r="IUL74" s="180"/>
      <c r="IUM74" s="180"/>
      <c r="IUN74" s="180"/>
      <c r="IUO74" s="180"/>
      <c r="IUP74" s="180"/>
      <c r="IUQ74" s="180"/>
      <c r="IUR74" s="180"/>
      <c r="IUS74" s="180"/>
      <c r="IUT74" s="180"/>
      <c r="IUU74" s="180"/>
      <c r="IUV74" s="180"/>
      <c r="IUW74" s="180"/>
      <c r="IUX74" s="180"/>
      <c r="IUY74" s="180"/>
      <c r="IUZ74" s="180"/>
      <c r="IVA74" s="180"/>
      <c r="IVB74" s="180"/>
      <c r="IVC74" s="180"/>
      <c r="IVD74" s="180"/>
      <c r="IVE74" s="180"/>
      <c r="IVF74" s="180"/>
      <c r="IVG74" s="180"/>
      <c r="IVH74" s="180"/>
      <c r="IVI74" s="180"/>
      <c r="IVJ74" s="180"/>
      <c r="IVK74" s="180"/>
      <c r="IVL74" s="180"/>
      <c r="IVM74" s="180"/>
      <c r="IVN74" s="180"/>
      <c r="IVO74" s="180"/>
      <c r="IVP74" s="180"/>
      <c r="IVQ74" s="180"/>
      <c r="IVR74" s="180"/>
      <c r="IVS74" s="180"/>
      <c r="IVT74" s="180"/>
      <c r="IVU74" s="180"/>
      <c r="IVV74" s="180"/>
      <c r="IVW74" s="180"/>
      <c r="IVX74" s="180"/>
      <c r="IVY74" s="180"/>
      <c r="IVZ74" s="180"/>
      <c r="IWA74" s="180"/>
      <c r="IWB74" s="180"/>
      <c r="IWC74" s="180"/>
      <c r="IWD74" s="180"/>
      <c r="IWE74" s="180"/>
      <c r="IWF74" s="180"/>
      <c r="IWG74" s="180"/>
      <c r="IWH74" s="180"/>
      <c r="IWI74" s="180"/>
      <c r="IWJ74" s="180"/>
      <c r="IWK74" s="180"/>
      <c r="IWL74" s="180"/>
      <c r="IWM74" s="180"/>
      <c r="IWN74" s="180"/>
      <c r="IWO74" s="180"/>
      <c r="IWP74" s="180"/>
      <c r="IWQ74" s="180"/>
      <c r="IWR74" s="180"/>
      <c r="IWS74" s="180"/>
      <c r="IWT74" s="180"/>
      <c r="IWU74" s="180"/>
      <c r="IWV74" s="180"/>
      <c r="IWW74" s="180"/>
      <c r="IWX74" s="180"/>
      <c r="IWY74" s="180"/>
      <c r="IWZ74" s="180"/>
      <c r="IXA74" s="180"/>
      <c r="IXB74" s="180"/>
      <c r="IXC74" s="180"/>
      <c r="IXD74" s="180"/>
      <c r="IXE74" s="180"/>
      <c r="IXF74" s="180"/>
      <c r="IXG74" s="180"/>
      <c r="IXH74" s="180"/>
      <c r="IXI74" s="180"/>
      <c r="IXJ74" s="180"/>
      <c r="IXK74" s="180"/>
      <c r="IXL74" s="180"/>
      <c r="IXM74" s="180"/>
      <c r="IXN74" s="180"/>
      <c r="IXO74" s="180"/>
      <c r="IXP74" s="180"/>
      <c r="IXQ74" s="180"/>
      <c r="IXR74" s="180"/>
      <c r="IXS74" s="180"/>
      <c r="IXT74" s="180"/>
      <c r="IXU74" s="180"/>
      <c r="IXV74" s="180"/>
      <c r="IXW74" s="180"/>
      <c r="IXX74" s="180"/>
      <c r="IXY74" s="180"/>
      <c r="IXZ74" s="180"/>
      <c r="IYA74" s="180"/>
      <c r="IYB74" s="180"/>
      <c r="IYC74" s="180"/>
      <c r="IYD74" s="180"/>
      <c r="IYE74" s="180"/>
      <c r="IYF74" s="180"/>
      <c r="IYG74" s="180"/>
      <c r="IYH74" s="180"/>
      <c r="IYI74" s="180"/>
      <c r="IYJ74" s="180"/>
      <c r="IYK74" s="180"/>
      <c r="IYL74" s="180"/>
      <c r="IYM74" s="180"/>
      <c r="IYN74" s="180"/>
      <c r="IYO74" s="180"/>
      <c r="IYP74" s="180"/>
      <c r="IYQ74" s="180"/>
      <c r="IYR74" s="180"/>
      <c r="IYS74" s="180"/>
      <c r="IYT74" s="180"/>
      <c r="IYU74" s="180"/>
      <c r="IYV74" s="180"/>
      <c r="IYW74" s="180"/>
      <c r="IYX74" s="180"/>
      <c r="IYY74" s="180"/>
      <c r="IYZ74" s="180"/>
      <c r="IZA74" s="180"/>
      <c r="IZB74" s="180"/>
      <c r="IZC74" s="180"/>
      <c r="IZD74" s="180"/>
      <c r="IZE74" s="180"/>
      <c r="IZF74" s="180"/>
      <c r="IZG74" s="180"/>
      <c r="IZH74" s="180"/>
      <c r="IZI74" s="180"/>
      <c r="IZJ74" s="180"/>
      <c r="IZK74" s="180"/>
      <c r="IZL74" s="180"/>
      <c r="IZM74" s="180"/>
      <c r="IZN74" s="180"/>
      <c r="IZO74" s="180"/>
      <c r="IZP74" s="180"/>
      <c r="IZQ74" s="180"/>
      <c r="IZR74" s="180"/>
      <c r="IZS74" s="180"/>
      <c r="IZT74" s="180"/>
      <c r="IZU74" s="180"/>
      <c r="IZV74" s="180"/>
      <c r="IZW74" s="180"/>
      <c r="IZX74" s="180"/>
      <c r="IZY74" s="180"/>
      <c r="IZZ74" s="180"/>
      <c r="JAA74" s="180"/>
      <c r="JAB74" s="180"/>
      <c r="JAC74" s="180"/>
      <c r="JAD74" s="180"/>
      <c r="JAE74" s="180"/>
      <c r="JAF74" s="180"/>
      <c r="JAG74" s="180"/>
      <c r="JAH74" s="180"/>
      <c r="JAI74" s="180"/>
      <c r="JAJ74" s="180"/>
      <c r="JAK74" s="180"/>
      <c r="JAL74" s="180"/>
      <c r="JAM74" s="180"/>
      <c r="JAN74" s="180"/>
      <c r="JAO74" s="180"/>
      <c r="JAP74" s="180"/>
      <c r="JAQ74" s="180"/>
      <c r="JAR74" s="180"/>
      <c r="JAS74" s="180"/>
      <c r="JAT74" s="180"/>
      <c r="JAU74" s="180"/>
      <c r="JAV74" s="180"/>
      <c r="JAW74" s="180"/>
      <c r="JAX74" s="180"/>
      <c r="JAY74" s="180"/>
      <c r="JAZ74" s="180"/>
      <c r="JBA74" s="180"/>
      <c r="JBB74" s="180"/>
      <c r="JBC74" s="180"/>
      <c r="JBD74" s="180"/>
      <c r="JBE74" s="180"/>
      <c r="JBF74" s="180"/>
      <c r="JBG74" s="180"/>
      <c r="JBH74" s="180"/>
      <c r="JBI74" s="180"/>
      <c r="JBJ74" s="180"/>
      <c r="JBK74" s="180"/>
      <c r="JBL74" s="180"/>
      <c r="JBM74" s="180"/>
      <c r="JBN74" s="180"/>
      <c r="JBO74" s="180"/>
      <c r="JBP74" s="180"/>
      <c r="JBQ74" s="180"/>
      <c r="JBR74" s="180"/>
      <c r="JBS74" s="180"/>
      <c r="JBT74" s="180"/>
      <c r="JBU74" s="180"/>
      <c r="JBV74" s="180"/>
      <c r="JBW74" s="180"/>
      <c r="JBX74" s="180"/>
      <c r="JBY74" s="180"/>
      <c r="JBZ74" s="180"/>
      <c r="JCA74" s="180"/>
      <c r="JCB74" s="180"/>
      <c r="JCC74" s="180"/>
      <c r="JCD74" s="180"/>
      <c r="JCE74" s="180"/>
      <c r="JCF74" s="180"/>
      <c r="JCG74" s="180"/>
      <c r="JCH74" s="180"/>
      <c r="JCI74" s="180"/>
      <c r="JCJ74" s="180"/>
      <c r="JCK74" s="180"/>
      <c r="JCL74" s="180"/>
      <c r="JCM74" s="180"/>
      <c r="JCN74" s="180"/>
      <c r="JCO74" s="180"/>
      <c r="JCP74" s="180"/>
      <c r="JCQ74" s="180"/>
      <c r="JCR74" s="180"/>
      <c r="JCS74" s="180"/>
      <c r="JCT74" s="180"/>
      <c r="JCU74" s="180"/>
      <c r="JCV74" s="180"/>
      <c r="JCW74" s="180"/>
      <c r="JCX74" s="180"/>
      <c r="JCY74" s="180"/>
      <c r="JCZ74" s="180"/>
      <c r="JDA74" s="180"/>
      <c r="JDB74" s="180"/>
      <c r="JDC74" s="180"/>
      <c r="JDD74" s="180"/>
      <c r="JDE74" s="180"/>
      <c r="JDF74" s="180"/>
      <c r="JDG74" s="180"/>
      <c r="JDH74" s="180"/>
      <c r="JDI74" s="180"/>
      <c r="JDJ74" s="180"/>
      <c r="JDK74" s="180"/>
      <c r="JDL74" s="180"/>
      <c r="JDM74" s="180"/>
      <c r="JDN74" s="180"/>
      <c r="JDO74" s="180"/>
      <c r="JDP74" s="180"/>
      <c r="JDQ74" s="180"/>
      <c r="JDR74" s="180"/>
      <c r="JDS74" s="180"/>
      <c r="JDT74" s="180"/>
      <c r="JDU74" s="180"/>
      <c r="JDV74" s="180"/>
      <c r="JDW74" s="180"/>
      <c r="JDX74" s="180"/>
      <c r="JDY74" s="180"/>
      <c r="JDZ74" s="180"/>
      <c r="JEA74" s="180"/>
      <c r="JEB74" s="180"/>
      <c r="JEC74" s="180"/>
      <c r="JED74" s="180"/>
      <c r="JEE74" s="180"/>
      <c r="JEF74" s="180"/>
      <c r="JEG74" s="180"/>
      <c r="JEH74" s="180"/>
      <c r="JEI74" s="180"/>
      <c r="JEJ74" s="180"/>
      <c r="JEK74" s="180"/>
      <c r="JEL74" s="180"/>
      <c r="JEM74" s="180"/>
      <c r="JEN74" s="180"/>
      <c r="JEO74" s="180"/>
      <c r="JEP74" s="180"/>
      <c r="JEQ74" s="180"/>
      <c r="JER74" s="180"/>
      <c r="JES74" s="180"/>
      <c r="JET74" s="180"/>
      <c r="JEU74" s="180"/>
      <c r="JEV74" s="180"/>
      <c r="JEW74" s="180"/>
      <c r="JEX74" s="180"/>
      <c r="JEY74" s="180"/>
      <c r="JEZ74" s="180"/>
      <c r="JFA74" s="180"/>
      <c r="JFB74" s="180"/>
      <c r="JFC74" s="180"/>
      <c r="JFD74" s="180"/>
      <c r="JFE74" s="180"/>
      <c r="JFF74" s="180"/>
      <c r="JFG74" s="180"/>
      <c r="JFH74" s="180"/>
      <c r="JFI74" s="180"/>
      <c r="JFJ74" s="180"/>
      <c r="JFK74" s="180"/>
      <c r="JFL74" s="180"/>
      <c r="JFM74" s="180"/>
      <c r="JFN74" s="180"/>
      <c r="JFO74" s="180"/>
      <c r="JFP74" s="180"/>
      <c r="JFQ74" s="180"/>
      <c r="JFR74" s="180"/>
      <c r="JFS74" s="180"/>
      <c r="JFT74" s="180"/>
      <c r="JFU74" s="180"/>
      <c r="JFV74" s="180"/>
      <c r="JFW74" s="180"/>
      <c r="JFX74" s="180"/>
      <c r="JFY74" s="180"/>
      <c r="JFZ74" s="180"/>
      <c r="JGA74" s="180"/>
      <c r="JGB74" s="180"/>
      <c r="JGC74" s="180"/>
      <c r="JGD74" s="180"/>
      <c r="JGE74" s="180"/>
      <c r="JGF74" s="180"/>
      <c r="JGG74" s="180"/>
      <c r="JGH74" s="180"/>
      <c r="JGI74" s="180"/>
      <c r="JGJ74" s="180"/>
      <c r="JGK74" s="180"/>
      <c r="JGL74" s="180"/>
      <c r="JGM74" s="180"/>
      <c r="JGN74" s="180"/>
      <c r="JGO74" s="180"/>
      <c r="JGP74" s="180"/>
      <c r="JGQ74" s="180"/>
      <c r="JGR74" s="180"/>
      <c r="JGS74" s="180"/>
      <c r="JGT74" s="180"/>
      <c r="JGU74" s="180"/>
      <c r="JGV74" s="180"/>
      <c r="JGW74" s="180"/>
      <c r="JGX74" s="180"/>
      <c r="JGY74" s="180"/>
      <c r="JGZ74" s="180"/>
      <c r="JHA74" s="180"/>
      <c r="JHB74" s="180"/>
      <c r="JHC74" s="180"/>
      <c r="JHD74" s="180"/>
      <c r="JHE74" s="180"/>
      <c r="JHF74" s="180"/>
      <c r="JHG74" s="180"/>
      <c r="JHH74" s="180"/>
      <c r="JHI74" s="180"/>
      <c r="JHJ74" s="180"/>
      <c r="JHK74" s="180"/>
      <c r="JHL74" s="180"/>
      <c r="JHM74" s="180"/>
      <c r="JHN74" s="180"/>
      <c r="JHO74" s="180"/>
      <c r="JHP74" s="180"/>
      <c r="JHQ74" s="180"/>
      <c r="JHR74" s="180"/>
      <c r="JHS74" s="180"/>
      <c r="JHT74" s="180"/>
      <c r="JHU74" s="180"/>
      <c r="JHV74" s="180"/>
      <c r="JHW74" s="180"/>
      <c r="JHX74" s="180"/>
      <c r="JHY74" s="180"/>
      <c r="JHZ74" s="180"/>
      <c r="JIA74" s="180"/>
      <c r="JIB74" s="180"/>
      <c r="JIC74" s="180"/>
      <c r="JID74" s="180"/>
      <c r="JIE74" s="180"/>
      <c r="JIF74" s="180"/>
      <c r="JIG74" s="180"/>
      <c r="JIH74" s="180"/>
      <c r="JII74" s="180"/>
      <c r="JIJ74" s="180"/>
      <c r="JIK74" s="180"/>
      <c r="JIL74" s="180"/>
      <c r="JIM74" s="180"/>
      <c r="JIN74" s="180"/>
      <c r="JIO74" s="180"/>
      <c r="JIP74" s="180"/>
      <c r="JIQ74" s="180"/>
      <c r="JIR74" s="180"/>
      <c r="JIS74" s="180"/>
      <c r="JIT74" s="180"/>
      <c r="JIU74" s="180"/>
      <c r="JIV74" s="180"/>
      <c r="JIW74" s="180"/>
      <c r="JIX74" s="180"/>
      <c r="JIY74" s="180"/>
      <c r="JIZ74" s="180"/>
      <c r="JJA74" s="180"/>
      <c r="JJB74" s="180"/>
      <c r="JJC74" s="180"/>
      <c r="JJD74" s="180"/>
      <c r="JJE74" s="180"/>
      <c r="JJF74" s="180"/>
      <c r="JJG74" s="180"/>
      <c r="JJH74" s="180"/>
      <c r="JJI74" s="180"/>
      <c r="JJJ74" s="180"/>
      <c r="JJK74" s="180"/>
      <c r="JJL74" s="180"/>
      <c r="JJM74" s="180"/>
      <c r="JJN74" s="180"/>
      <c r="JJO74" s="180"/>
      <c r="JJP74" s="180"/>
      <c r="JJQ74" s="180"/>
      <c r="JJR74" s="180"/>
      <c r="JJS74" s="180"/>
      <c r="JJT74" s="180"/>
      <c r="JJU74" s="180"/>
      <c r="JJV74" s="180"/>
      <c r="JJW74" s="180"/>
      <c r="JJX74" s="180"/>
      <c r="JJY74" s="180"/>
      <c r="JJZ74" s="180"/>
      <c r="JKA74" s="180"/>
      <c r="JKB74" s="180"/>
      <c r="JKC74" s="180"/>
      <c r="JKD74" s="180"/>
      <c r="JKE74" s="180"/>
      <c r="JKF74" s="180"/>
      <c r="JKG74" s="180"/>
      <c r="JKH74" s="180"/>
      <c r="JKI74" s="180"/>
      <c r="JKJ74" s="180"/>
      <c r="JKK74" s="180"/>
      <c r="JKL74" s="180"/>
      <c r="JKM74" s="180"/>
      <c r="JKN74" s="180"/>
      <c r="JKO74" s="180"/>
      <c r="JKP74" s="180"/>
      <c r="JKQ74" s="180"/>
      <c r="JKR74" s="180"/>
      <c r="JKS74" s="180"/>
      <c r="JKT74" s="180"/>
      <c r="JKU74" s="180"/>
      <c r="JKV74" s="180"/>
      <c r="JKW74" s="180"/>
      <c r="JKX74" s="180"/>
      <c r="JKY74" s="180"/>
      <c r="JKZ74" s="180"/>
      <c r="JLA74" s="180"/>
      <c r="JLB74" s="180"/>
      <c r="JLC74" s="180"/>
      <c r="JLD74" s="180"/>
      <c r="JLE74" s="180"/>
      <c r="JLF74" s="180"/>
      <c r="JLG74" s="180"/>
      <c r="JLH74" s="180"/>
      <c r="JLI74" s="180"/>
      <c r="JLJ74" s="180"/>
      <c r="JLK74" s="180"/>
      <c r="JLL74" s="180"/>
      <c r="JLM74" s="180"/>
      <c r="JLN74" s="180"/>
      <c r="JLO74" s="180"/>
      <c r="JLP74" s="180"/>
      <c r="JLQ74" s="180"/>
      <c r="JLR74" s="180"/>
      <c r="JLS74" s="180"/>
      <c r="JLT74" s="180"/>
      <c r="JLU74" s="180"/>
      <c r="JLV74" s="180"/>
      <c r="JLW74" s="180"/>
      <c r="JLX74" s="180"/>
      <c r="JLY74" s="180"/>
      <c r="JLZ74" s="180"/>
      <c r="JMA74" s="180"/>
      <c r="JMB74" s="180"/>
      <c r="JMC74" s="180"/>
      <c r="JMD74" s="180"/>
      <c r="JME74" s="180"/>
      <c r="JMF74" s="180"/>
      <c r="JMG74" s="180"/>
      <c r="JMH74" s="180"/>
      <c r="JMI74" s="180"/>
      <c r="JMJ74" s="180"/>
      <c r="JMK74" s="180"/>
      <c r="JML74" s="180"/>
      <c r="JMM74" s="180"/>
      <c r="JMN74" s="180"/>
      <c r="JMO74" s="180"/>
      <c r="JMP74" s="180"/>
      <c r="JMQ74" s="180"/>
      <c r="JMR74" s="180"/>
      <c r="JMS74" s="180"/>
      <c r="JMT74" s="180"/>
      <c r="JMU74" s="180"/>
      <c r="JMV74" s="180"/>
      <c r="JMW74" s="180"/>
      <c r="JMX74" s="180"/>
      <c r="JMY74" s="180"/>
      <c r="JMZ74" s="180"/>
      <c r="JNA74" s="180"/>
      <c r="JNB74" s="180"/>
      <c r="JNC74" s="180"/>
      <c r="JND74" s="180"/>
      <c r="JNE74" s="180"/>
      <c r="JNF74" s="180"/>
      <c r="JNG74" s="180"/>
      <c r="JNH74" s="180"/>
      <c r="JNI74" s="180"/>
      <c r="JNJ74" s="180"/>
      <c r="JNK74" s="180"/>
      <c r="JNL74" s="180"/>
      <c r="JNM74" s="180"/>
      <c r="JNN74" s="180"/>
      <c r="JNO74" s="180"/>
      <c r="JNP74" s="180"/>
      <c r="JNQ74" s="180"/>
      <c r="JNR74" s="180"/>
      <c r="JNS74" s="180"/>
      <c r="JNT74" s="180"/>
      <c r="JNU74" s="180"/>
      <c r="JNV74" s="180"/>
      <c r="JNW74" s="180"/>
      <c r="JNX74" s="180"/>
      <c r="JNY74" s="180"/>
      <c r="JNZ74" s="180"/>
      <c r="JOA74" s="180"/>
      <c r="JOB74" s="180"/>
      <c r="JOC74" s="180"/>
      <c r="JOD74" s="180"/>
      <c r="JOE74" s="180"/>
      <c r="JOF74" s="180"/>
      <c r="JOG74" s="180"/>
      <c r="JOH74" s="180"/>
      <c r="JOI74" s="180"/>
      <c r="JOJ74" s="180"/>
      <c r="JOK74" s="180"/>
      <c r="JOL74" s="180"/>
      <c r="JOM74" s="180"/>
      <c r="JON74" s="180"/>
      <c r="JOO74" s="180"/>
      <c r="JOP74" s="180"/>
      <c r="JOQ74" s="180"/>
      <c r="JOR74" s="180"/>
      <c r="JOS74" s="180"/>
      <c r="JOT74" s="180"/>
      <c r="JOU74" s="180"/>
      <c r="JOV74" s="180"/>
      <c r="JOW74" s="180"/>
      <c r="JOX74" s="180"/>
      <c r="JOY74" s="180"/>
      <c r="JOZ74" s="180"/>
      <c r="JPA74" s="180"/>
      <c r="JPB74" s="180"/>
      <c r="JPC74" s="180"/>
      <c r="JPD74" s="180"/>
      <c r="JPE74" s="180"/>
      <c r="JPF74" s="180"/>
      <c r="JPG74" s="180"/>
      <c r="JPH74" s="180"/>
      <c r="JPI74" s="180"/>
      <c r="JPJ74" s="180"/>
      <c r="JPK74" s="180"/>
      <c r="JPL74" s="180"/>
      <c r="JPM74" s="180"/>
      <c r="JPN74" s="180"/>
      <c r="JPO74" s="180"/>
      <c r="JPP74" s="180"/>
      <c r="JPQ74" s="180"/>
      <c r="JPR74" s="180"/>
      <c r="JPS74" s="180"/>
      <c r="JPT74" s="180"/>
      <c r="JPU74" s="180"/>
      <c r="JPV74" s="180"/>
      <c r="JPW74" s="180"/>
      <c r="JPX74" s="180"/>
      <c r="JPY74" s="180"/>
      <c r="JPZ74" s="180"/>
      <c r="JQA74" s="180"/>
      <c r="JQB74" s="180"/>
      <c r="JQC74" s="180"/>
      <c r="JQD74" s="180"/>
      <c r="JQE74" s="180"/>
      <c r="JQF74" s="180"/>
      <c r="JQG74" s="180"/>
      <c r="JQH74" s="180"/>
      <c r="JQI74" s="180"/>
      <c r="JQJ74" s="180"/>
      <c r="JQK74" s="180"/>
      <c r="JQL74" s="180"/>
      <c r="JQM74" s="180"/>
      <c r="JQN74" s="180"/>
      <c r="JQO74" s="180"/>
      <c r="JQP74" s="180"/>
      <c r="JQQ74" s="180"/>
      <c r="JQR74" s="180"/>
      <c r="JQS74" s="180"/>
      <c r="JQT74" s="180"/>
      <c r="JQU74" s="180"/>
      <c r="JQV74" s="180"/>
      <c r="JQW74" s="180"/>
      <c r="JQX74" s="180"/>
      <c r="JQY74" s="180"/>
      <c r="JQZ74" s="180"/>
      <c r="JRA74" s="180"/>
      <c r="JRB74" s="180"/>
      <c r="JRC74" s="180"/>
      <c r="JRD74" s="180"/>
      <c r="JRE74" s="180"/>
      <c r="JRF74" s="180"/>
      <c r="JRG74" s="180"/>
      <c r="JRH74" s="180"/>
      <c r="JRI74" s="180"/>
      <c r="JRJ74" s="180"/>
      <c r="JRK74" s="180"/>
      <c r="JRL74" s="180"/>
      <c r="JRM74" s="180"/>
      <c r="JRN74" s="180"/>
      <c r="JRO74" s="180"/>
      <c r="JRP74" s="180"/>
      <c r="JRQ74" s="180"/>
      <c r="JRR74" s="180"/>
      <c r="JRS74" s="180"/>
      <c r="JRT74" s="180"/>
      <c r="JRU74" s="180"/>
      <c r="JRV74" s="180"/>
      <c r="JRW74" s="180"/>
      <c r="JRX74" s="180"/>
      <c r="JRY74" s="180"/>
      <c r="JRZ74" s="180"/>
      <c r="JSA74" s="180"/>
      <c r="JSB74" s="180"/>
      <c r="JSC74" s="180"/>
      <c r="JSD74" s="180"/>
      <c r="JSE74" s="180"/>
      <c r="JSF74" s="180"/>
      <c r="JSG74" s="180"/>
      <c r="JSH74" s="180"/>
      <c r="JSI74" s="180"/>
      <c r="JSJ74" s="180"/>
      <c r="JSK74" s="180"/>
      <c r="JSL74" s="180"/>
      <c r="JSM74" s="180"/>
      <c r="JSN74" s="180"/>
      <c r="JSO74" s="180"/>
      <c r="JSP74" s="180"/>
      <c r="JSQ74" s="180"/>
      <c r="JSR74" s="180"/>
      <c r="JSS74" s="180"/>
      <c r="JST74" s="180"/>
      <c r="JSU74" s="180"/>
      <c r="JSV74" s="180"/>
      <c r="JSW74" s="180"/>
      <c r="JSX74" s="180"/>
      <c r="JSY74" s="180"/>
      <c r="JSZ74" s="180"/>
      <c r="JTA74" s="180"/>
      <c r="JTB74" s="180"/>
      <c r="JTC74" s="180"/>
      <c r="JTD74" s="180"/>
      <c r="JTE74" s="180"/>
      <c r="JTF74" s="180"/>
      <c r="JTG74" s="180"/>
      <c r="JTH74" s="180"/>
      <c r="JTI74" s="180"/>
      <c r="JTJ74" s="180"/>
      <c r="JTK74" s="180"/>
      <c r="JTL74" s="180"/>
      <c r="JTM74" s="180"/>
      <c r="JTN74" s="180"/>
      <c r="JTO74" s="180"/>
      <c r="JTP74" s="180"/>
      <c r="JTQ74" s="180"/>
      <c r="JTR74" s="180"/>
      <c r="JTS74" s="180"/>
      <c r="JTT74" s="180"/>
      <c r="JTU74" s="180"/>
      <c r="JTV74" s="180"/>
      <c r="JTW74" s="180"/>
      <c r="JTX74" s="180"/>
      <c r="JTY74" s="180"/>
      <c r="JTZ74" s="180"/>
      <c r="JUA74" s="180"/>
      <c r="JUB74" s="180"/>
      <c r="JUC74" s="180"/>
      <c r="JUD74" s="180"/>
      <c r="JUE74" s="180"/>
      <c r="JUF74" s="180"/>
      <c r="JUG74" s="180"/>
      <c r="JUH74" s="180"/>
      <c r="JUI74" s="180"/>
      <c r="JUJ74" s="180"/>
      <c r="JUK74" s="180"/>
      <c r="JUL74" s="180"/>
      <c r="JUM74" s="180"/>
      <c r="JUN74" s="180"/>
      <c r="JUO74" s="180"/>
      <c r="JUP74" s="180"/>
      <c r="JUQ74" s="180"/>
      <c r="JUR74" s="180"/>
      <c r="JUS74" s="180"/>
      <c r="JUT74" s="180"/>
      <c r="JUU74" s="180"/>
      <c r="JUV74" s="180"/>
      <c r="JUW74" s="180"/>
      <c r="JUX74" s="180"/>
      <c r="JUY74" s="180"/>
      <c r="JUZ74" s="180"/>
      <c r="JVA74" s="180"/>
      <c r="JVB74" s="180"/>
      <c r="JVC74" s="180"/>
      <c r="JVD74" s="180"/>
      <c r="JVE74" s="180"/>
      <c r="JVF74" s="180"/>
      <c r="JVG74" s="180"/>
      <c r="JVH74" s="180"/>
      <c r="JVI74" s="180"/>
      <c r="JVJ74" s="180"/>
      <c r="JVK74" s="180"/>
      <c r="JVL74" s="180"/>
      <c r="JVM74" s="180"/>
      <c r="JVN74" s="180"/>
      <c r="JVO74" s="180"/>
      <c r="JVP74" s="180"/>
      <c r="JVQ74" s="180"/>
      <c r="JVR74" s="180"/>
      <c r="JVS74" s="180"/>
      <c r="JVT74" s="180"/>
      <c r="JVU74" s="180"/>
      <c r="JVV74" s="180"/>
      <c r="JVW74" s="180"/>
      <c r="JVX74" s="180"/>
      <c r="JVY74" s="180"/>
      <c r="JVZ74" s="180"/>
      <c r="JWA74" s="180"/>
      <c r="JWB74" s="180"/>
      <c r="JWC74" s="180"/>
      <c r="JWD74" s="180"/>
      <c r="JWE74" s="180"/>
      <c r="JWF74" s="180"/>
      <c r="JWG74" s="180"/>
      <c r="JWH74" s="180"/>
      <c r="JWI74" s="180"/>
      <c r="JWJ74" s="180"/>
      <c r="JWK74" s="180"/>
      <c r="JWL74" s="180"/>
      <c r="JWM74" s="180"/>
      <c r="JWN74" s="180"/>
      <c r="JWO74" s="180"/>
      <c r="JWP74" s="180"/>
      <c r="JWQ74" s="180"/>
      <c r="JWR74" s="180"/>
      <c r="JWS74" s="180"/>
      <c r="JWT74" s="180"/>
      <c r="JWU74" s="180"/>
      <c r="JWV74" s="180"/>
      <c r="JWW74" s="180"/>
      <c r="JWX74" s="180"/>
      <c r="JWY74" s="180"/>
      <c r="JWZ74" s="180"/>
      <c r="JXA74" s="180"/>
      <c r="JXB74" s="180"/>
      <c r="JXC74" s="180"/>
      <c r="JXD74" s="180"/>
      <c r="JXE74" s="180"/>
      <c r="JXF74" s="180"/>
      <c r="JXG74" s="180"/>
      <c r="JXH74" s="180"/>
      <c r="JXI74" s="180"/>
      <c r="JXJ74" s="180"/>
      <c r="JXK74" s="180"/>
      <c r="JXL74" s="180"/>
      <c r="JXM74" s="180"/>
      <c r="JXN74" s="180"/>
      <c r="JXO74" s="180"/>
      <c r="JXP74" s="180"/>
      <c r="JXQ74" s="180"/>
      <c r="JXR74" s="180"/>
      <c r="JXS74" s="180"/>
      <c r="JXT74" s="180"/>
      <c r="JXU74" s="180"/>
      <c r="JXV74" s="180"/>
      <c r="JXW74" s="180"/>
      <c r="JXX74" s="180"/>
      <c r="JXY74" s="180"/>
      <c r="JXZ74" s="180"/>
      <c r="JYA74" s="180"/>
      <c r="JYB74" s="180"/>
      <c r="JYC74" s="180"/>
      <c r="JYD74" s="180"/>
      <c r="JYE74" s="180"/>
      <c r="JYF74" s="180"/>
      <c r="JYG74" s="180"/>
      <c r="JYH74" s="180"/>
      <c r="JYI74" s="180"/>
      <c r="JYJ74" s="180"/>
      <c r="JYK74" s="180"/>
      <c r="JYL74" s="180"/>
      <c r="JYM74" s="180"/>
      <c r="JYN74" s="180"/>
      <c r="JYO74" s="180"/>
      <c r="JYP74" s="180"/>
      <c r="JYQ74" s="180"/>
      <c r="JYR74" s="180"/>
      <c r="JYS74" s="180"/>
      <c r="JYT74" s="180"/>
      <c r="JYU74" s="180"/>
      <c r="JYV74" s="180"/>
      <c r="JYW74" s="180"/>
      <c r="JYX74" s="180"/>
      <c r="JYY74" s="180"/>
      <c r="JYZ74" s="180"/>
      <c r="JZA74" s="180"/>
      <c r="JZB74" s="180"/>
      <c r="JZC74" s="180"/>
      <c r="JZD74" s="180"/>
      <c r="JZE74" s="180"/>
      <c r="JZF74" s="180"/>
      <c r="JZG74" s="180"/>
      <c r="JZH74" s="180"/>
      <c r="JZI74" s="180"/>
      <c r="JZJ74" s="180"/>
      <c r="JZK74" s="180"/>
      <c r="JZL74" s="180"/>
      <c r="JZM74" s="180"/>
      <c r="JZN74" s="180"/>
      <c r="JZO74" s="180"/>
      <c r="JZP74" s="180"/>
      <c r="JZQ74" s="180"/>
      <c r="JZR74" s="180"/>
      <c r="JZS74" s="180"/>
      <c r="JZT74" s="180"/>
      <c r="JZU74" s="180"/>
      <c r="JZV74" s="180"/>
      <c r="JZW74" s="180"/>
      <c r="JZX74" s="180"/>
      <c r="JZY74" s="180"/>
      <c r="JZZ74" s="180"/>
      <c r="KAA74" s="180"/>
      <c r="KAB74" s="180"/>
      <c r="KAC74" s="180"/>
      <c r="KAD74" s="180"/>
      <c r="KAE74" s="180"/>
      <c r="KAF74" s="180"/>
      <c r="KAG74" s="180"/>
      <c r="KAH74" s="180"/>
      <c r="KAI74" s="180"/>
      <c r="KAJ74" s="180"/>
      <c r="KAK74" s="180"/>
      <c r="KAL74" s="180"/>
      <c r="KAM74" s="180"/>
      <c r="KAN74" s="180"/>
      <c r="KAO74" s="180"/>
      <c r="KAP74" s="180"/>
      <c r="KAQ74" s="180"/>
      <c r="KAR74" s="180"/>
      <c r="KAS74" s="180"/>
      <c r="KAT74" s="180"/>
      <c r="KAU74" s="180"/>
      <c r="KAV74" s="180"/>
      <c r="KAW74" s="180"/>
      <c r="KAX74" s="180"/>
      <c r="KAY74" s="180"/>
      <c r="KAZ74" s="180"/>
      <c r="KBA74" s="180"/>
      <c r="KBB74" s="180"/>
      <c r="KBC74" s="180"/>
      <c r="KBD74" s="180"/>
      <c r="KBE74" s="180"/>
      <c r="KBF74" s="180"/>
      <c r="KBG74" s="180"/>
      <c r="KBH74" s="180"/>
      <c r="KBI74" s="180"/>
      <c r="KBJ74" s="180"/>
      <c r="KBK74" s="180"/>
      <c r="KBL74" s="180"/>
      <c r="KBM74" s="180"/>
      <c r="KBN74" s="180"/>
      <c r="KBO74" s="180"/>
      <c r="KBP74" s="180"/>
      <c r="KBQ74" s="180"/>
      <c r="KBR74" s="180"/>
      <c r="KBS74" s="180"/>
      <c r="KBT74" s="180"/>
      <c r="KBU74" s="180"/>
      <c r="KBV74" s="180"/>
      <c r="KBW74" s="180"/>
      <c r="KBX74" s="180"/>
      <c r="KBY74" s="180"/>
      <c r="KBZ74" s="180"/>
      <c r="KCA74" s="180"/>
      <c r="KCB74" s="180"/>
      <c r="KCC74" s="180"/>
      <c r="KCD74" s="180"/>
      <c r="KCE74" s="180"/>
      <c r="KCF74" s="180"/>
      <c r="KCG74" s="180"/>
      <c r="KCH74" s="180"/>
      <c r="KCI74" s="180"/>
      <c r="KCJ74" s="180"/>
      <c r="KCK74" s="180"/>
      <c r="KCL74" s="180"/>
      <c r="KCM74" s="180"/>
      <c r="KCN74" s="180"/>
      <c r="KCO74" s="180"/>
      <c r="KCP74" s="180"/>
      <c r="KCQ74" s="180"/>
      <c r="KCR74" s="180"/>
      <c r="KCS74" s="180"/>
      <c r="KCT74" s="180"/>
      <c r="KCU74" s="180"/>
      <c r="KCV74" s="180"/>
      <c r="KCW74" s="180"/>
      <c r="KCX74" s="180"/>
      <c r="KCY74" s="180"/>
      <c r="KCZ74" s="180"/>
      <c r="KDA74" s="180"/>
      <c r="KDB74" s="180"/>
      <c r="KDC74" s="180"/>
      <c r="KDD74" s="180"/>
      <c r="KDE74" s="180"/>
      <c r="KDF74" s="180"/>
      <c r="KDG74" s="180"/>
      <c r="KDH74" s="180"/>
      <c r="KDI74" s="180"/>
      <c r="KDJ74" s="180"/>
      <c r="KDK74" s="180"/>
      <c r="KDL74" s="180"/>
      <c r="KDM74" s="180"/>
      <c r="KDN74" s="180"/>
      <c r="KDO74" s="180"/>
      <c r="KDP74" s="180"/>
      <c r="KDQ74" s="180"/>
      <c r="KDR74" s="180"/>
      <c r="KDS74" s="180"/>
      <c r="KDT74" s="180"/>
      <c r="KDU74" s="180"/>
      <c r="KDV74" s="180"/>
      <c r="KDW74" s="180"/>
      <c r="KDX74" s="180"/>
      <c r="KDY74" s="180"/>
      <c r="KDZ74" s="180"/>
      <c r="KEA74" s="180"/>
      <c r="KEB74" s="180"/>
      <c r="KEC74" s="180"/>
      <c r="KED74" s="180"/>
      <c r="KEE74" s="180"/>
      <c r="KEF74" s="180"/>
      <c r="KEG74" s="180"/>
      <c r="KEH74" s="180"/>
      <c r="KEI74" s="180"/>
      <c r="KEJ74" s="180"/>
      <c r="KEK74" s="180"/>
      <c r="KEL74" s="180"/>
      <c r="KEM74" s="180"/>
      <c r="KEN74" s="180"/>
      <c r="KEO74" s="180"/>
      <c r="KEP74" s="180"/>
      <c r="KEQ74" s="180"/>
      <c r="KER74" s="180"/>
      <c r="KES74" s="180"/>
      <c r="KET74" s="180"/>
      <c r="KEU74" s="180"/>
      <c r="KEV74" s="180"/>
      <c r="KEW74" s="180"/>
      <c r="KEX74" s="180"/>
      <c r="KEY74" s="180"/>
      <c r="KEZ74" s="180"/>
      <c r="KFA74" s="180"/>
      <c r="KFB74" s="180"/>
      <c r="KFC74" s="180"/>
      <c r="KFD74" s="180"/>
      <c r="KFE74" s="180"/>
      <c r="KFF74" s="180"/>
      <c r="KFG74" s="180"/>
      <c r="KFH74" s="180"/>
      <c r="KFI74" s="180"/>
      <c r="KFJ74" s="180"/>
      <c r="KFK74" s="180"/>
      <c r="KFL74" s="180"/>
      <c r="KFM74" s="180"/>
      <c r="KFN74" s="180"/>
      <c r="KFO74" s="180"/>
      <c r="KFP74" s="180"/>
      <c r="KFQ74" s="180"/>
      <c r="KFR74" s="180"/>
      <c r="KFS74" s="180"/>
      <c r="KFT74" s="180"/>
      <c r="KFU74" s="180"/>
      <c r="KFV74" s="180"/>
      <c r="KFW74" s="180"/>
      <c r="KFX74" s="180"/>
      <c r="KFY74" s="180"/>
      <c r="KFZ74" s="180"/>
      <c r="KGA74" s="180"/>
      <c r="KGB74" s="180"/>
      <c r="KGC74" s="180"/>
      <c r="KGD74" s="180"/>
      <c r="KGE74" s="180"/>
      <c r="KGF74" s="180"/>
      <c r="KGG74" s="180"/>
      <c r="KGH74" s="180"/>
      <c r="KGI74" s="180"/>
      <c r="KGJ74" s="180"/>
      <c r="KGK74" s="180"/>
      <c r="KGL74" s="180"/>
      <c r="KGM74" s="180"/>
      <c r="KGN74" s="180"/>
      <c r="KGO74" s="180"/>
      <c r="KGP74" s="180"/>
      <c r="KGQ74" s="180"/>
      <c r="KGR74" s="180"/>
      <c r="KGS74" s="180"/>
      <c r="KGT74" s="180"/>
      <c r="KGU74" s="180"/>
      <c r="KGV74" s="180"/>
      <c r="KGW74" s="180"/>
      <c r="KGX74" s="180"/>
      <c r="KGY74" s="180"/>
      <c r="KGZ74" s="180"/>
      <c r="KHA74" s="180"/>
      <c r="KHB74" s="180"/>
      <c r="KHC74" s="180"/>
      <c r="KHD74" s="180"/>
      <c r="KHE74" s="180"/>
      <c r="KHF74" s="180"/>
      <c r="KHG74" s="180"/>
      <c r="KHH74" s="180"/>
      <c r="KHI74" s="180"/>
      <c r="KHJ74" s="180"/>
      <c r="KHK74" s="180"/>
      <c r="KHL74" s="180"/>
      <c r="KHM74" s="180"/>
      <c r="KHN74" s="180"/>
      <c r="KHO74" s="180"/>
      <c r="KHP74" s="180"/>
      <c r="KHQ74" s="180"/>
      <c r="KHR74" s="180"/>
      <c r="KHS74" s="180"/>
      <c r="KHT74" s="180"/>
      <c r="KHU74" s="180"/>
      <c r="KHV74" s="180"/>
      <c r="KHW74" s="180"/>
      <c r="KHX74" s="180"/>
      <c r="KHY74" s="180"/>
      <c r="KHZ74" s="180"/>
      <c r="KIA74" s="180"/>
      <c r="KIB74" s="180"/>
      <c r="KIC74" s="180"/>
      <c r="KID74" s="180"/>
      <c r="KIE74" s="180"/>
      <c r="KIF74" s="180"/>
      <c r="KIG74" s="180"/>
      <c r="KIH74" s="180"/>
      <c r="KII74" s="180"/>
      <c r="KIJ74" s="180"/>
      <c r="KIK74" s="180"/>
      <c r="KIL74" s="180"/>
      <c r="KIM74" s="180"/>
      <c r="KIN74" s="180"/>
      <c r="KIO74" s="180"/>
      <c r="KIP74" s="180"/>
      <c r="KIQ74" s="180"/>
      <c r="KIR74" s="180"/>
      <c r="KIS74" s="180"/>
      <c r="KIT74" s="180"/>
      <c r="KIU74" s="180"/>
      <c r="KIV74" s="180"/>
      <c r="KIW74" s="180"/>
      <c r="KIX74" s="180"/>
      <c r="KIY74" s="180"/>
      <c r="KIZ74" s="180"/>
      <c r="KJA74" s="180"/>
      <c r="KJB74" s="180"/>
      <c r="KJC74" s="180"/>
      <c r="KJD74" s="180"/>
      <c r="KJE74" s="180"/>
      <c r="KJF74" s="180"/>
      <c r="KJG74" s="180"/>
      <c r="KJH74" s="180"/>
      <c r="KJI74" s="180"/>
      <c r="KJJ74" s="180"/>
      <c r="KJK74" s="180"/>
      <c r="KJL74" s="180"/>
      <c r="KJM74" s="180"/>
      <c r="KJN74" s="180"/>
      <c r="KJO74" s="180"/>
      <c r="KJP74" s="180"/>
      <c r="KJQ74" s="180"/>
      <c r="KJR74" s="180"/>
      <c r="KJS74" s="180"/>
      <c r="KJT74" s="180"/>
      <c r="KJU74" s="180"/>
      <c r="KJV74" s="180"/>
      <c r="KJW74" s="180"/>
      <c r="KJX74" s="180"/>
      <c r="KJY74" s="180"/>
      <c r="KJZ74" s="180"/>
      <c r="KKA74" s="180"/>
      <c r="KKB74" s="180"/>
      <c r="KKC74" s="180"/>
      <c r="KKD74" s="180"/>
      <c r="KKE74" s="180"/>
      <c r="KKF74" s="180"/>
      <c r="KKG74" s="180"/>
      <c r="KKH74" s="180"/>
      <c r="KKI74" s="180"/>
      <c r="KKJ74" s="180"/>
      <c r="KKK74" s="180"/>
      <c r="KKL74" s="180"/>
      <c r="KKM74" s="180"/>
      <c r="KKN74" s="180"/>
      <c r="KKO74" s="180"/>
      <c r="KKP74" s="180"/>
      <c r="KKQ74" s="180"/>
      <c r="KKR74" s="180"/>
      <c r="KKS74" s="180"/>
      <c r="KKT74" s="180"/>
      <c r="KKU74" s="180"/>
      <c r="KKV74" s="180"/>
      <c r="KKW74" s="180"/>
      <c r="KKX74" s="180"/>
      <c r="KKY74" s="180"/>
      <c r="KKZ74" s="180"/>
      <c r="KLA74" s="180"/>
      <c r="KLB74" s="180"/>
      <c r="KLC74" s="180"/>
      <c r="KLD74" s="180"/>
      <c r="KLE74" s="180"/>
      <c r="KLF74" s="180"/>
      <c r="KLG74" s="180"/>
      <c r="KLH74" s="180"/>
      <c r="KLI74" s="180"/>
      <c r="KLJ74" s="180"/>
      <c r="KLK74" s="180"/>
      <c r="KLL74" s="180"/>
      <c r="KLM74" s="180"/>
      <c r="KLN74" s="180"/>
      <c r="KLO74" s="180"/>
      <c r="KLP74" s="180"/>
      <c r="KLQ74" s="180"/>
      <c r="KLR74" s="180"/>
      <c r="KLS74" s="180"/>
      <c r="KLT74" s="180"/>
      <c r="KLU74" s="180"/>
      <c r="KLV74" s="180"/>
      <c r="KLW74" s="180"/>
      <c r="KLX74" s="180"/>
      <c r="KLY74" s="180"/>
      <c r="KLZ74" s="180"/>
      <c r="KMA74" s="180"/>
      <c r="KMB74" s="180"/>
      <c r="KMC74" s="180"/>
      <c r="KMD74" s="180"/>
      <c r="KME74" s="180"/>
      <c r="KMF74" s="180"/>
      <c r="KMG74" s="180"/>
      <c r="KMH74" s="180"/>
      <c r="KMI74" s="180"/>
      <c r="KMJ74" s="180"/>
      <c r="KMK74" s="180"/>
      <c r="KML74" s="180"/>
      <c r="KMM74" s="180"/>
      <c r="KMN74" s="180"/>
      <c r="KMO74" s="180"/>
      <c r="KMP74" s="180"/>
      <c r="KMQ74" s="180"/>
      <c r="KMR74" s="180"/>
      <c r="KMS74" s="180"/>
      <c r="KMT74" s="180"/>
      <c r="KMU74" s="180"/>
      <c r="KMV74" s="180"/>
      <c r="KMW74" s="180"/>
      <c r="KMX74" s="180"/>
      <c r="KMY74" s="180"/>
      <c r="KMZ74" s="180"/>
      <c r="KNA74" s="180"/>
      <c r="KNB74" s="180"/>
      <c r="KNC74" s="180"/>
      <c r="KND74" s="180"/>
      <c r="KNE74" s="180"/>
      <c r="KNF74" s="180"/>
      <c r="KNG74" s="180"/>
      <c r="KNH74" s="180"/>
      <c r="KNI74" s="180"/>
      <c r="KNJ74" s="180"/>
      <c r="KNK74" s="180"/>
      <c r="KNL74" s="180"/>
      <c r="KNM74" s="180"/>
      <c r="KNN74" s="180"/>
      <c r="KNO74" s="180"/>
      <c r="KNP74" s="180"/>
      <c r="KNQ74" s="180"/>
      <c r="KNR74" s="180"/>
      <c r="KNS74" s="180"/>
      <c r="KNT74" s="180"/>
      <c r="KNU74" s="180"/>
      <c r="KNV74" s="180"/>
      <c r="KNW74" s="180"/>
      <c r="KNX74" s="180"/>
      <c r="KNY74" s="180"/>
      <c r="KNZ74" s="180"/>
      <c r="KOA74" s="180"/>
      <c r="KOB74" s="180"/>
      <c r="KOC74" s="180"/>
      <c r="KOD74" s="180"/>
      <c r="KOE74" s="180"/>
      <c r="KOF74" s="180"/>
      <c r="KOG74" s="180"/>
      <c r="KOH74" s="180"/>
      <c r="KOI74" s="180"/>
      <c r="KOJ74" s="180"/>
      <c r="KOK74" s="180"/>
      <c r="KOL74" s="180"/>
      <c r="KOM74" s="180"/>
      <c r="KON74" s="180"/>
      <c r="KOO74" s="180"/>
      <c r="KOP74" s="180"/>
      <c r="KOQ74" s="180"/>
      <c r="KOR74" s="180"/>
      <c r="KOS74" s="180"/>
      <c r="KOT74" s="180"/>
      <c r="KOU74" s="180"/>
      <c r="KOV74" s="180"/>
      <c r="KOW74" s="180"/>
      <c r="KOX74" s="180"/>
      <c r="KOY74" s="180"/>
      <c r="KOZ74" s="180"/>
      <c r="KPA74" s="180"/>
      <c r="KPB74" s="180"/>
      <c r="KPC74" s="180"/>
      <c r="KPD74" s="180"/>
      <c r="KPE74" s="180"/>
      <c r="KPF74" s="180"/>
      <c r="KPG74" s="180"/>
      <c r="KPH74" s="180"/>
      <c r="KPI74" s="180"/>
      <c r="KPJ74" s="180"/>
      <c r="KPK74" s="180"/>
      <c r="KPL74" s="180"/>
      <c r="KPM74" s="180"/>
      <c r="KPN74" s="180"/>
      <c r="KPO74" s="180"/>
      <c r="KPP74" s="180"/>
      <c r="KPQ74" s="180"/>
      <c r="KPR74" s="180"/>
      <c r="KPS74" s="180"/>
      <c r="KPT74" s="180"/>
      <c r="KPU74" s="180"/>
      <c r="KPV74" s="180"/>
      <c r="KPW74" s="180"/>
      <c r="KPX74" s="180"/>
      <c r="KPY74" s="180"/>
      <c r="KPZ74" s="180"/>
      <c r="KQA74" s="180"/>
      <c r="KQB74" s="180"/>
      <c r="KQC74" s="180"/>
      <c r="KQD74" s="180"/>
      <c r="KQE74" s="180"/>
      <c r="KQF74" s="180"/>
      <c r="KQG74" s="180"/>
      <c r="KQH74" s="180"/>
      <c r="KQI74" s="180"/>
      <c r="KQJ74" s="180"/>
      <c r="KQK74" s="180"/>
      <c r="KQL74" s="180"/>
      <c r="KQM74" s="180"/>
      <c r="KQN74" s="180"/>
      <c r="KQO74" s="180"/>
      <c r="KQP74" s="180"/>
      <c r="KQQ74" s="180"/>
      <c r="KQR74" s="180"/>
      <c r="KQS74" s="180"/>
      <c r="KQT74" s="180"/>
      <c r="KQU74" s="180"/>
      <c r="KQV74" s="180"/>
      <c r="KQW74" s="180"/>
      <c r="KQX74" s="180"/>
      <c r="KQY74" s="180"/>
      <c r="KQZ74" s="180"/>
      <c r="KRA74" s="180"/>
      <c r="KRB74" s="180"/>
      <c r="KRC74" s="180"/>
      <c r="KRD74" s="180"/>
      <c r="KRE74" s="180"/>
      <c r="KRF74" s="180"/>
      <c r="KRG74" s="180"/>
      <c r="KRH74" s="180"/>
      <c r="KRI74" s="180"/>
      <c r="KRJ74" s="180"/>
      <c r="KRK74" s="180"/>
      <c r="KRL74" s="180"/>
      <c r="KRM74" s="180"/>
      <c r="KRN74" s="180"/>
      <c r="KRO74" s="180"/>
      <c r="KRP74" s="180"/>
      <c r="KRQ74" s="180"/>
      <c r="KRR74" s="180"/>
      <c r="KRS74" s="180"/>
      <c r="KRT74" s="180"/>
      <c r="KRU74" s="180"/>
      <c r="KRV74" s="180"/>
      <c r="KRW74" s="180"/>
      <c r="KRX74" s="180"/>
      <c r="KRY74" s="180"/>
      <c r="KRZ74" s="180"/>
      <c r="KSA74" s="180"/>
      <c r="KSB74" s="180"/>
      <c r="KSC74" s="180"/>
      <c r="KSD74" s="180"/>
      <c r="KSE74" s="180"/>
      <c r="KSF74" s="180"/>
      <c r="KSG74" s="180"/>
      <c r="KSH74" s="180"/>
      <c r="KSI74" s="180"/>
      <c r="KSJ74" s="180"/>
      <c r="KSK74" s="180"/>
      <c r="KSL74" s="180"/>
      <c r="KSM74" s="180"/>
      <c r="KSN74" s="180"/>
      <c r="KSO74" s="180"/>
      <c r="KSP74" s="180"/>
      <c r="KSQ74" s="180"/>
      <c r="KSR74" s="180"/>
      <c r="KSS74" s="180"/>
      <c r="KST74" s="180"/>
      <c r="KSU74" s="180"/>
      <c r="KSV74" s="180"/>
      <c r="KSW74" s="180"/>
      <c r="KSX74" s="180"/>
      <c r="KSY74" s="180"/>
      <c r="KSZ74" s="180"/>
      <c r="KTA74" s="180"/>
      <c r="KTB74" s="180"/>
      <c r="KTC74" s="180"/>
      <c r="KTD74" s="180"/>
      <c r="KTE74" s="180"/>
      <c r="KTF74" s="180"/>
      <c r="KTG74" s="180"/>
      <c r="KTH74" s="180"/>
      <c r="KTI74" s="180"/>
      <c r="KTJ74" s="180"/>
      <c r="KTK74" s="180"/>
      <c r="KTL74" s="180"/>
      <c r="KTM74" s="180"/>
      <c r="KTN74" s="180"/>
      <c r="KTO74" s="180"/>
      <c r="KTP74" s="180"/>
      <c r="KTQ74" s="180"/>
      <c r="KTR74" s="180"/>
      <c r="KTS74" s="180"/>
      <c r="KTT74" s="180"/>
      <c r="KTU74" s="180"/>
      <c r="KTV74" s="180"/>
      <c r="KTW74" s="180"/>
      <c r="KTX74" s="180"/>
      <c r="KTY74" s="180"/>
      <c r="KTZ74" s="180"/>
      <c r="KUA74" s="180"/>
      <c r="KUB74" s="180"/>
      <c r="KUC74" s="180"/>
      <c r="KUD74" s="180"/>
      <c r="KUE74" s="180"/>
      <c r="KUF74" s="180"/>
      <c r="KUG74" s="180"/>
      <c r="KUH74" s="180"/>
      <c r="KUI74" s="180"/>
      <c r="KUJ74" s="180"/>
      <c r="KUK74" s="180"/>
      <c r="KUL74" s="180"/>
      <c r="KUM74" s="180"/>
      <c r="KUN74" s="180"/>
      <c r="KUO74" s="180"/>
      <c r="KUP74" s="180"/>
      <c r="KUQ74" s="180"/>
      <c r="KUR74" s="180"/>
      <c r="KUS74" s="180"/>
      <c r="KUT74" s="180"/>
      <c r="KUU74" s="180"/>
      <c r="KUV74" s="180"/>
      <c r="KUW74" s="180"/>
      <c r="KUX74" s="180"/>
      <c r="KUY74" s="180"/>
      <c r="KUZ74" s="180"/>
      <c r="KVA74" s="180"/>
      <c r="KVB74" s="180"/>
      <c r="KVC74" s="180"/>
      <c r="KVD74" s="180"/>
      <c r="KVE74" s="180"/>
      <c r="KVF74" s="180"/>
      <c r="KVG74" s="180"/>
      <c r="KVH74" s="180"/>
      <c r="KVI74" s="180"/>
      <c r="KVJ74" s="180"/>
      <c r="KVK74" s="180"/>
      <c r="KVL74" s="180"/>
      <c r="KVM74" s="180"/>
      <c r="KVN74" s="180"/>
      <c r="KVO74" s="180"/>
      <c r="KVP74" s="180"/>
      <c r="KVQ74" s="180"/>
      <c r="KVR74" s="180"/>
      <c r="KVS74" s="180"/>
      <c r="KVT74" s="180"/>
      <c r="KVU74" s="180"/>
      <c r="KVV74" s="180"/>
      <c r="KVW74" s="180"/>
      <c r="KVX74" s="180"/>
      <c r="KVY74" s="180"/>
      <c r="KVZ74" s="180"/>
      <c r="KWA74" s="180"/>
      <c r="KWB74" s="180"/>
      <c r="KWC74" s="180"/>
      <c r="KWD74" s="180"/>
      <c r="KWE74" s="180"/>
      <c r="KWF74" s="180"/>
      <c r="KWG74" s="180"/>
      <c r="KWH74" s="180"/>
      <c r="KWI74" s="180"/>
      <c r="KWJ74" s="180"/>
      <c r="KWK74" s="180"/>
      <c r="KWL74" s="180"/>
      <c r="KWM74" s="180"/>
      <c r="KWN74" s="180"/>
      <c r="KWO74" s="180"/>
      <c r="KWP74" s="180"/>
      <c r="KWQ74" s="180"/>
      <c r="KWR74" s="180"/>
      <c r="KWS74" s="180"/>
      <c r="KWT74" s="180"/>
      <c r="KWU74" s="180"/>
      <c r="KWV74" s="180"/>
      <c r="KWW74" s="180"/>
      <c r="KWX74" s="180"/>
      <c r="KWY74" s="180"/>
      <c r="KWZ74" s="180"/>
      <c r="KXA74" s="180"/>
      <c r="KXB74" s="180"/>
      <c r="KXC74" s="180"/>
      <c r="KXD74" s="180"/>
      <c r="KXE74" s="180"/>
      <c r="KXF74" s="180"/>
      <c r="KXG74" s="180"/>
      <c r="KXH74" s="180"/>
      <c r="KXI74" s="180"/>
      <c r="KXJ74" s="180"/>
      <c r="KXK74" s="180"/>
      <c r="KXL74" s="180"/>
      <c r="KXM74" s="180"/>
      <c r="KXN74" s="180"/>
      <c r="KXO74" s="180"/>
      <c r="KXP74" s="180"/>
      <c r="KXQ74" s="180"/>
      <c r="KXR74" s="180"/>
      <c r="KXS74" s="180"/>
      <c r="KXT74" s="180"/>
      <c r="KXU74" s="180"/>
      <c r="KXV74" s="180"/>
      <c r="KXW74" s="180"/>
      <c r="KXX74" s="180"/>
      <c r="KXY74" s="180"/>
      <c r="KXZ74" s="180"/>
      <c r="KYA74" s="180"/>
      <c r="KYB74" s="180"/>
      <c r="KYC74" s="180"/>
      <c r="KYD74" s="180"/>
      <c r="KYE74" s="180"/>
      <c r="KYF74" s="180"/>
      <c r="KYG74" s="180"/>
      <c r="KYH74" s="180"/>
      <c r="KYI74" s="180"/>
      <c r="KYJ74" s="180"/>
      <c r="KYK74" s="180"/>
      <c r="KYL74" s="180"/>
      <c r="KYM74" s="180"/>
      <c r="KYN74" s="180"/>
      <c r="KYO74" s="180"/>
      <c r="KYP74" s="180"/>
      <c r="KYQ74" s="180"/>
      <c r="KYR74" s="180"/>
      <c r="KYS74" s="180"/>
      <c r="KYT74" s="180"/>
      <c r="KYU74" s="180"/>
      <c r="KYV74" s="180"/>
      <c r="KYW74" s="180"/>
      <c r="KYX74" s="180"/>
      <c r="KYY74" s="180"/>
      <c r="KYZ74" s="180"/>
      <c r="KZA74" s="180"/>
      <c r="KZB74" s="180"/>
      <c r="KZC74" s="180"/>
      <c r="KZD74" s="180"/>
      <c r="KZE74" s="180"/>
      <c r="KZF74" s="180"/>
      <c r="KZG74" s="180"/>
      <c r="KZH74" s="180"/>
      <c r="KZI74" s="180"/>
      <c r="KZJ74" s="180"/>
      <c r="KZK74" s="180"/>
      <c r="KZL74" s="180"/>
      <c r="KZM74" s="180"/>
      <c r="KZN74" s="180"/>
      <c r="KZO74" s="180"/>
      <c r="KZP74" s="180"/>
      <c r="KZQ74" s="180"/>
      <c r="KZR74" s="180"/>
      <c r="KZS74" s="180"/>
      <c r="KZT74" s="180"/>
      <c r="KZU74" s="180"/>
      <c r="KZV74" s="180"/>
      <c r="KZW74" s="180"/>
      <c r="KZX74" s="180"/>
      <c r="KZY74" s="180"/>
      <c r="KZZ74" s="180"/>
      <c r="LAA74" s="180"/>
      <c r="LAB74" s="180"/>
      <c r="LAC74" s="180"/>
      <c r="LAD74" s="180"/>
      <c r="LAE74" s="180"/>
      <c r="LAF74" s="180"/>
      <c r="LAG74" s="180"/>
      <c r="LAH74" s="180"/>
      <c r="LAI74" s="180"/>
      <c r="LAJ74" s="180"/>
      <c r="LAK74" s="180"/>
      <c r="LAL74" s="180"/>
      <c r="LAM74" s="180"/>
      <c r="LAN74" s="180"/>
      <c r="LAO74" s="180"/>
      <c r="LAP74" s="180"/>
      <c r="LAQ74" s="180"/>
      <c r="LAR74" s="180"/>
      <c r="LAS74" s="180"/>
      <c r="LAT74" s="180"/>
      <c r="LAU74" s="180"/>
      <c r="LAV74" s="180"/>
      <c r="LAW74" s="180"/>
      <c r="LAX74" s="180"/>
      <c r="LAY74" s="180"/>
      <c r="LAZ74" s="180"/>
      <c r="LBA74" s="180"/>
      <c r="LBB74" s="180"/>
      <c r="LBC74" s="180"/>
      <c r="LBD74" s="180"/>
      <c r="LBE74" s="180"/>
      <c r="LBF74" s="180"/>
      <c r="LBG74" s="180"/>
      <c r="LBH74" s="180"/>
      <c r="LBI74" s="180"/>
      <c r="LBJ74" s="180"/>
      <c r="LBK74" s="180"/>
      <c r="LBL74" s="180"/>
      <c r="LBM74" s="180"/>
      <c r="LBN74" s="180"/>
      <c r="LBO74" s="180"/>
      <c r="LBP74" s="180"/>
      <c r="LBQ74" s="180"/>
      <c r="LBR74" s="180"/>
      <c r="LBS74" s="180"/>
      <c r="LBT74" s="180"/>
      <c r="LBU74" s="180"/>
      <c r="LBV74" s="180"/>
      <c r="LBW74" s="180"/>
      <c r="LBX74" s="180"/>
      <c r="LBY74" s="180"/>
      <c r="LBZ74" s="180"/>
      <c r="LCA74" s="180"/>
      <c r="LCB74" s="180"/>
      <c r="LCC74" s="180"/>
      <c r="LCD74" s="180"/>
      <c r="LCE74" s="180"/>
      <c r="LCF74" s="180"/>
      <c r="LCG74" s="180"/>
      <c r="LCH74" s="180"/>
      <c r="LCI74" s="180"/>
      <c r="LCJ74" s="180"/>
      <c r="LCK74" s="180"/>
      <c r="LCL74" s="180"/>
      <c r="LCM74" s="180"/>
      <c r="LCN74" s="180"/>
      <c r="LCO74" s="180"/>
      <c r="LCP74" s="180"/>
      <c r="LCQ74" s="180"/>
      <c r="LCR74" s="180"/>
      <c r="LCS74" s="180"/>
      <c r="LCT74" s="180"/>
      <c r="LCU74" s="180"/>
      <c r="LCV74" s="180"/>
      <c r="LCW74" s="180"/>
      <c r="LCX74" s="180"/>
      <c r="LCY74" s="180"/>
      <c r="LCZ74" s="180"/>
      <c r="LDA74" s="180"/>
      <c r="LDB74" s="180"/>
      <c r="LDC74" s="180"/>
      <c r="LDD74" s="180"/>
      <c r="LDE74" s="180"/>
      <c r="LDF74" s="180"/>
      <c r="LDG74" s="180"/>
      <c r="LDH74" s="180"/>
      <c r="LDI74" s="180"/>
      <c r="LDJ74" s="180"/>
      <c r="LDK74" s="180"/>
      <c r="LDL74" s="180"/>
      <c r="LDM74" s="180"/>
      <c r="LDN74" s="180"/>
      <c r="LDO74" s="180"/>
      <c r="LDP74" s="180"/>
      <c r="LDQ74" s="180"/>
      <c r="LDR74" s="180"/>
      <c r="LDS74" s="180"/>
      <c r="LDT74" s="180"/>
      <c r="LDU74" s="180"/>
      <c r="LDV74" s="180"/>
      <c r="LDW74" s="180"/>
      <c r="LDX74" s="180"/>
      <c r="LDY74" s="180"/>
      <c r="LDZ74" s="180"/>
      <c r="LEA74" s="180"/>
      <c r="LEB74" s="180"/>
      <c r="LEC74" s="180"/>
      <c r="LED74" s="180"/>
      <c r="LEE74" s="180"/>
      <c r="LEF74" s="180"/>
      <c r="LEG74" s="180"/>
      <c r="LEH74" s="180"/>
      <c r="LEI74" s="180"/>
      <c r="LEJ74" s="180"/>
      <c r="LEK74" s="180"/>
      <c r="LEL74" s="180"/>
      <c r="LEM74" s="180"/>
      <c r="LEN74" s="180"/>
      <c r="LEO74" s="180"/>
      <c r="LEP74" s="180"/>
      <c r="LEQ74" s="180"/>
      <c r="LER74" s="180"/>
      <c r="LES74" s="180"/>
      <c r="LET74" s="180"/>
      <c r="LEU74" s="180"/>
      <c r="LEV74" s="180"/>
      <c r="LEW74" s="180"/>
      <c r="LEX74" s="180"/>
      <c r="LEY74" s="180"/>
      <c r="LEZ74" s="180"/>
      <c r="LFA74" s="180"/>
      <c r="LFB74" s="180"/>
      <c r="LFC74" s="180"/>
      <c r="LFD74" s="180"/>
      <c r="LFE74" s="180"/>
      <c r="LFF74" s="180"/>
      <c r="LFG74" s="180"/>
      <c r="LFH74" s="180"/>
      <c r="LFI74" s="180"/>
      <c r="LFJ74" s="180"/>
      <c r="LFK74" s="180"/>
      <c r="LFL74" s="180"/>
      <c r="LFM74" s="180"/>
      <c r="LFN74" s="180"/>
      <c r="LFO74" s="180"/>
      <c r="LFP74" s="180"/>
      <c r="LFQ74" s="180"/>
      <c r="LFR74" s="180"/>
      <c r="LFS74" s="180"/>
      <c r="LFT74" s="180"/>
      <c r="LFU74" s="180"/>
      <c r="LFV74" s="180"/>
      <c r="LFW74" s="180"/>
      <c r="LFX74" s="180"/>
      <c r="LFY74" s="180"/>
      <c r="LFZ74" s="180"/>
      <c r="LGA74" s="180"/>
      <c r="LGB74" s="180"/>
      <c r="LGC74" s="180"/>
      <c r="LGD74" s="180"/>
      <c r="LGE74" s="180"/>
      <c r="LGF74" s="180"/>
      <c r="LGG74" s="180"/>
      <c r="LGH74" s="180"/>
      <c r="LGI74" s="180"/>
      <c r="LGJ74" s="180"/>
      <c r="LGK74" s="180"/>
      <c r="LGL74" s="180"/>
      <c r="LGM74" s="180"/>
      <c r="LGN74" s="180"/>
      <c r="LGO74" s="180"/>
      <c r="LGP74" s="180"/>
      <c r="LGQ74" s="180"/>
      <c r="LGR74" s="180"/>
      <c r="LGS74" s="180"/>
      <c r="LGT74" s="180"/>
      <c r="LGU74" s="180"/>
      <c r="LGV74" s="180"/>
      <c r="LGW74" s="180"/>
      <c r="LGX74" s="180"/>
      <c r="LGY74" s="180"/>
      <c r="LGZ74" s="180"/>
      <c r="LHA74" s="180"/>
      <c r="LHB74" s="180"/>
      <c r="LHC74" s="180"/>
      <c r="LHD74" s="180"/>
      <c r="LHE74" s="180"/>
      <c r="LHF74" s="180"/>
      <c r="LHG74" s="180"/>
      <c r="LHH74" s="180"/>
      <c r="LHI74" s="180"/>
      <c r="LHJ74" s="180"/>
      <c r="LHK74" s="180"/>
      <c r="LHL74" s="180"/>
      <c r="LHM74" s="180"/>
      <c r="LHN74" s="180"/>
      <c r="LHO74" s="180"/>
      <c r="LHP74" s="180"/>
      <c r="LHQ74" s="180"/>
      <c r="LHR74" s="180"/>
      <c r="LHS74" s="180"/>
      <c r="LHT74" s="180"/>
      <c r="LHU74" s="180"/>
      <c r="LHV74" s="180"/>
      <c r="LHW74" s="180"/>
      <c r="LHX74" s="180"/>
      <c r="LHY74" s="180"/>
      <c r="LHZ74" s="180"/>
      <c r="LIA74" s="180"/>
      <c r="LIB74" s="180"/>
      <c r="LIC74" s="180"/>
      <c r="LID74" s="180"/>
      <c r="LIE74" s="180"/>
      <c r="LIF74" s="180"/>
      <c r="LIG74" s="180"/>
      <c r="LIH74" s="180"/>
      <c r="LII74" s="180"/>
      <c r="LIJ74" s="180"/>
      <c r="LIK74" s="180"/>
      <c r="LIL74" s="180"/>
      <c r="LIM74" s="180"/>
      <c r="LIN74" s="180"/>
      <c r="LIO74" s="180"/>
      <c r="LIP74" s="180"/>
      <c r="LIQ74" s="180"/>
      <c r="LIR74" s="180"/>
      <c r="LIS74" s="180"/>
      <c r="LIT74" s="180"/>
      <c r="LIU74" s="180"/>
      <c r="LIV74" s="180"/>
      <c r="LIW74" s="180"/>
      <c r="LIX74" s="180"/>
      <c r="LIY74" s="180"/>
      <c r="LIZ74" s="180"/>
      <c r="LJA74" s="180"/>
      <c r="LJB74" s="180"/>
      <c r="LJC74" s="180"/>
      <c r="LJD74" s="180"/>
      <c r="LJE74" s="180"/>
      <c r="LJF74" s="180"/>
      <c r="LJG74" s="180"/>
      <c r="LJH74" s="180"/>
      <c r="LJI74" s="180"/>
      <c r="LJJ74" s="180"/>
      <c r="LJK74" s="180"/>
      <c r="LJL74" s="180"/>
      <c r="LJM74" s="180"/>
      <c r="LJN74" s="180"/>
      <c r="LJO74" s="180"/>
      <c r="LJP74" s="180"/>
      <c r="LJQ74" s="180"/>
      <c r="LJR74" s="180"/>
      <c r="LJS74" s="180"/>
      <c r="LJT74" s="180"/>
      <c r="LJU74" s="180"/>
      <c r="LJV74" s="180"/>
      <c r="LJW74" s="180"/>
      <c r="LJX74" s="180"/>
      <c r="LJY74" s="180"/>
      <c r="LJZ74" s="180"/>
      <c r="LKA74" s="180"/>
      <c r="LKB74" s="180"/>
      <c r="LKC74" s="180"/>
      <c r="LKD74" s="180"/>
      <c r="LKE74" s="180"/>
      <c r="LKF74" s="180"/>
      <c r="LKG74" s="180"/>
      <c r="LKH74" s="180"/>
      <c r="LKI74" s="180"/>
      <c r="LKJ74" s="180"/>
      <c r="LKK74" s="180"/>
      <c r="LKL74" s="180"/>
      <c r="LKM74" s="180"/>
      <c r="LKN74" s="180"/>
      <c r="LKO74" s="180"/>
      <c r="LKP74" s="180"/>
      <c r="LKQ74" s="180"/>
      <c r="LKR74" s="180"/>
      <c r="LKS74" s="180"/>
      <c r="LKT74" s="180"/>
      <c r="LKU74" s="180"/>
      <c r="LKV74" s="180"/>
      <c r="LKW74" s="180"/>
      <c r="LKX74" s="180"/>
      <c r="LKY74" s="180"/>
      <c r="LKZ74" s="180"/>
      <c r="LLA74" s="180"/>
      <c r="LLB74" s="180"/>
      <c r="LLC74" s="180"/>
      <c r="LLD74" s="180"/>
      <c r="LLE74" s="180"/>
      <c r="LLF74" s="180"/>
      <c r="LLG74" s="180"/>
      <c r="LLH74" s="180"/>
      <c r="LLI74" s="180"/>
      <c r="LLJ74" s="180"/>
      <c r="LLK74" s="180"/>
      <c r="LLL74" s="180"/>
      <c r="LLM74" s="180"/>
      <c r="LLN74" s="180"/>
      <c r="LLO74" s="180"/>
      <c r="LLP74" s="180"/>
      <c r="LLQ74" s="180"/>
      <c r="LLR74" s="180"/>
      <c r="LLS74" s="180"/>
      <c r="LLT74" s="180"/>
      <c r="LLU74" s="180"/>
      <c r="LLV74" s="180"/>
      <c r="LLW74" s="180"/>
      <c r="LLX74" s="180"/>
      <c r="LLY74" s="180"/>
      <c r="LLZ74" s="180"/>
      <c r="LMA74" s="180"/>
      <c r="LMB74" s="180"/>
      <c r="LMC74" s="180"/>
      <c r="LMD74" s="180"/>
      <c r="LME74" s="180"/>
      <c r="LMF74" s="180"/>
      <c r="LMG74" s="180"/>
      <c r="LMH74" s="180"/>
      <c r="LMI74" s="180"/>
      <c r="LMJ74" s="180"/>
      <c r="LMK74" s="180"/>
      <c r="LML74" s="180"/>
      <c r="LMM74" s="180"/>
      <c r="LMN74" s="180"/>
      <c r="LMO74" s="180"/>
      <c r="LMP74" s="180"/>
      <c r="LMQ74" s="180"/>
      <c r="LMR74" s="180"/>
      <c r="LMS74" s="180"/>
      <c r="LMT74" s="180"/>
      <c r="LMU74" s="180"/>
      <c r="LMV74" s="180"/>
      <c r="LMW74" s="180"/>
      <c r="LMX74" s="180"/>
      <c r="LMY74" s="180"/>
      <c r="LMZ74" s="180"/>
      <c r="LNA74" s="180"/>
      <c r="LNB74" s="180"/>
      <c r="LNC74" s="180"/>
      <c r="LND74" s="180"/>
      <c r="LNE74" s="180"/>
      <c r="LNF74" s="180"/>
      <c r="LNG74" s="180"/>
      <c r="LNH74" s="180"/>
      <c r="LNI74" s="180"/>
      <c r="LNJ74" s="180"/>
      <c r="LNK74" s="180"/>
      <c r="LNL74" s="180"/>
      <c r="LNM74" s="180"/>
      <c r="LNN74" s="180"/>
      <c r="LNO74" s="180"/>
      <c r="LNP74" s="180"/>
      <c r="LNQ74" s="180"/>
      <c r="LNR74" s="180"/>
      <c r="LNS74" s="180"/>
      <c r="LNT74" s="180"/>
      <c r="LNU74" s="180"/>
      <c r="LNV74" s="180"/>
      <c r="LNW74" s="180"/>
      <c r="LNX74" s="180"/>
      <c r="LNY74" s="180"/>
      <c r="LNZ74" s="180"/>
      <c r="LOA74" s="180"/>
      <c r="LOB74" s="180"/>
      <c r="LOC74" s="180"/>
      <c r="LOD74" s="180"/>
      <c r="LOE74" s="180"/>
      <c r="LOF74" s="180"/>
      <c r="LOG74" s="180"/>
      <c r="LOH74" s="180"/>
      <c r="LOI74" s="180"/>
      <c r="LOJ74" s="180"/>
      <c r="LOK74" s="180"/>
      <c r="LOL74" s="180"/>
      <c r="LOM74" s="180"/>
      <c r="LON74" s="180"/>
      <c r="LOO74" s="180"/>
      <c r="LOP74" s="180"/>
      <c r="LOQ74" s="180"/>
      <c r="LOR74" s="180"/>
      <c r="LOS74" s="180"/>
      <c r="LOT74" s="180"/>
      <c r="LOU74" s="180"/>
      <c r="LOV74" s="180"/>
      <c r="LOW74" s="180"/>
      <c r="LOX74" s="180"/>
      <c r="LOY74" s="180"/>
      <c r="LOZ74" s="180"/>
      <c r="LPA74" s="180"/>
      <c r="LPB74" s="180"/>
      <c r="LPC74" s="180"/>
      <c r="LPD74" s="180"/>
      <c r="LPE74" s="180"/>
      <c r="LPF74" s="180"/>
      <c r="LPG74" s="180"/>
      <c r="LPH74" s="180"/>
      <c r="LPI74" s="180"/>
      <c r="LPJ74" s="180"/>
      <c r="LPK74" s="180"/>
      <c r="LPL74" s="180"/>
      <c r="LPM74" s="180"/>
      <c r="LPN74" s="180"/>
      <c r="LPO74" s="180"/>
      <c r="LPP74" s="180"/>
      <c r="LPQ74" s="180"/>
      <c r="LPR74" s="180"/>
      <c r="LPS74" s="180"/>
      <c r="LPT74" s="180"/>
      <c r="LPU74" s="180"/>
      <c r="LPV74" s="180"/>
      <c r="LPW74" s="180"/>
      <c r="LPX74" s="180"/>
      <c r="LPY74" s="180"/>
      <c r="LPZ74" s="180"/>
      <c r="LQA74" s="180"/>
      <c r="LQB74" s="180"/>
      <c r="LQC74" s="180"/>
      <c r="LQD74" s="180"/>
      <c r="LQE74" s="180"/>
      <c r="LQF74" s="180"/>
      <c r="LQG74" s="180"/>
      <c r="LQH74" s="180"/>
      <c r="LQI74" s="180"/>
      <c r="LQJ74" s="180"/>
      <c r="LQK74" s="180"/>
      <c r="LQL74" s="180"/>
      <c r="LQM74" s="180"/>
      <c r="LQN74" s="180"/>
      <c r="LQO74" s="180"/>
      <c r="LQP74" s="180"/>
      <c r="LQQ74" s="180"/>
      <c r="LQR74" s="180"/>
      <c r="LQS74" s="180"/>
      <c r="LQT74" s="180"/>
      <c r="LQU74" s="180"/>
      <c r="LQV74" s="180"/>
      <c r="LQW74" s="180"/>
      <c r="LQX74" s="180"/>
      <c r="LQY74" s="180"/>
      <c r="LQZ74" s="180"/>
      <c r="LRA74" s="180"/>
      <c r="LRB74" s="180"/>
      <c r="LRC74" s="180"/>
      <c r="LRD74" s="180"/>
      <c r="LRE74" s="180"/>
      <c r="LRF74" s="180"/>
      <c r="LRG74" s="180"/>
      <c r="LRH74" s="180"/>
      <c r="LRI74" s="180"/>
      <c r="LRJ74" s="180"/>
      <c r="LRK74" s="180"/>
      <c r="LRL74" s="180"/>
      <c r="LRM74" s="180"/>
      <c r="LRN74" s="180"/>
      <c r="LRO74" s="180"/>
      <c r="LRP74" s="180"/>
      <c r="LRQ74" s="180"/>
      <c r="LRR74" s="180"/>
      <c r="LRS74" s="180"/>
      <c r="LRT74" s="180"/>
      <c r="LRU74" s="180"/>
      <c r="LRV74" s="180"/>
      <c r="LRW74" s="180"/>
      <c r="LRX74" s="180"/>
      <c r="LRY74" s="180"/>
      <c r="LRZ74" s="180"/>
      <c r="LSA74" s="180"/>
      <c r="LSB74" s="180"/>
      <c r="LSC74" s="180"/>
      <c r="LSD74" s="180"/>
      <c r="LSE74" s="180"/>
      <c r="LSF74" s="180"/>
      <c r="LSG74" s="180"/>
      <c r="LSH74" s="180"/>
      <c r="LSI74" s="180"/>
      <c r="LSJ74" s="180"/>
      <c r="LSK74" s="180"/>
      <c r="LSL74" s="180"/>
      <c r="LSM74" s="180"/>
      <c r="LSN74" s="180"/>
      <c r="LSO74" s="180"/>
      <c r="LSP74" s="180"/>
      <c r="LSQ74" s="180"/>
      <c r="LSR74" s="180"/>
      <c r="LSS74" s="180"/>
      <c r="LST74" s="180"/>
      <c r="LSU74" s="180"/>
      <c r="LSV74" s="180"/>
      <c r="LSW74" s="180"/>
      <c r="LSX74" s="180"/>
      <c r="LSY74" s="180"/>
      <c r="LSZ74" s="180"/>
      <c r="LTA74" s="180"/>
      <c r="LTB74" s="180"/>
      <c r="LTC74" s="180"/>
      <c r="LTD74" s="180"/>
      <c r="LTE74" s="180"/>
      <c r="LTF74" s="180"/>
      <c r="LTG74" s="180"/>
      <c r="LTH74" s="180"/>
      <c r="LTI74" s="180"/>
      <c r="LTJ74" s="180"/>
      <c r="LTK74" s="180"/>
      <c r="LTL74" s="180"/>
      <c r="LTM74" s="180"/>
      <c r="LTN74" s="180"/>
      <c r="LTO74" s="180"/>
      <c r="LTP74" s="180"/>
      <c r="LTQ74" s="180"/>
      <c r="LTR74" s="180"/>
      <c r="LTS74" s="180"/>
      <c r="LTT74" s="180"/>
      <c r="LTU74" s="180"/>
      <c r="LTV74" s="180"/>
      <c r="LTW74" s="180"/>
      <c r="LTX74" s="180"/>
      <c r="LTY74" s="180"/>
      <c r="LTZ74" s="180"/>
      <c r="LUA74" s="180"/>
      <c r="LUB74" s="180"/>
      <c r="LUC74" s="180"/>
      <c r="LUD74" s="180"/>
      <c r="LUE74" s="180"/>
      <c r="LUF74" s="180"/>
      <c r="LUG74" s="180"/>
      <c r="LUH74" s="180"/>
      <c r="LUI74" s="180"/>
      <c r="LUJ74" s="180"/>
      <c r="LUK74" s="180"/>
      <c r="LUL74" s="180"/>
      <c r="LUM74" s="180"/>
      <c r="LUN74" s="180"/>
      <c r="LUO74" s="180"/>
      <c r="LUP74" s="180"/>
      <c r="LUQ74" s="180"/>
      <c r="LUR74" s="180"/>
      <c r="LUS74" s="180"/>
      <c r="LUT74" s="180"/>
      <c r="LUU74" s="180"/>
      <c r="LUV74" s="180"/>
      <c r="LUW74" s="180"/>
      <c r="LUX74" s="180"/>
      <c r="LUY74" s="180"/>
      <c r="LUZ74" s="180"/>
      <c r="LVA74" s="180"/>
      <c r="LVB74" s="180"/>
      <c r="LVC74" s="180"/>
      <c r="LVD74" s="180"/>
      <c r="LVE74" s="180"/>
      <c r="LVF74" s="180"/>
      <c r="LVG74" s="180"/>
      <c r="LVH74" s="180"/>
      <c r="LVI74" s="180"/>
      <c r="LVJ74" s="180"/>
      <c r="LVK74" s="180"/>
      <c r="LVL74" s="180"/>
      <c r="LVM74" s="180"/>
      <c r="LVN74" s="180"/>
      <c r="LVO74" s="180"/>
      <c r="LVP74" s="180"/>
      <c r="LVQ74" s="180"/>
      <c r="LVR74" s="180"/>
      <c r="LVS74" s="180"/>
      <c r="LVT74" s="180"/>
      <c r="LVU74" s="180"/>
      <c r="LVV74" s="180"/>
      <c r="LVW74" s="180"/>
      <c r="LVX74" s="180"/>
      <c r="LVY74" s="180"/>
      <c r="LVZ74" s="180"/>
      <c r="LWA74" s="180"/>
      <c r="LWB74" s="180"/>
      <c r="LWC74" s="180"/>
      <c r="LWD74" s="180"/>
      <c r="LWE74" s="180"/>
      <c r="LWF74" s="180"/>
      <c r="LWG74" s="180"/>
      <c r="LWH74" s="180"/>
      <c r="LWI74" s="180"/>
      <c r="LWJ74" s="180"/>
      <c r="LWK74" s="180"/>
      <c r="LWL74" s="180"/>
      <c r="LWM74" s="180"/>
      <c r="LWN74" s="180"/>
      <c r="LWO74" s="180"/>
      <c r="LWP74" s="180"/>
      <c r="LWQ74" s="180"/>
      <c r="LWR74" s="180"/>
      <c r="LWS74" s="180"/>
      <c r="LWT74" s="180"/>
      <c r="LWU74" s="180"/>
      <c r="LWV74" s="180"/>
      <c r="LWW74" s="180"/>
      <c r="LWX74" s="180"/>
      <c r="LWY74" s="180"/>
      <c r="LWZ74" s="180"/>
      <c r="LXA74" s="180"/>
      <c r="LXB74" s="180"/>
      <c r="LXC74" s="180"/>
      <c r="LXD74" s="180"/>
      <c r="LXE74" s="180"/>
      <c r="LXF74" s="180"/>
      <c r="LXG74" s="180"/>
      <c r="LXH74" s="180"/>
      <c r="LXI74" s="180"/>
      <c r="LXJ74" s="180"/>
      <c r="LXK74" s="180"/>
      <c r="LXL74" s="180"/>
      <c r="LXM74" s="180"/>
      <c r="LXN74" s="180"/>
      <c r="LXO74" s="180"/>
      <c r="LXP74" s="180"/>
      <c r="LXQ74" s="180"/>
      <c r="LXR74" s="180"/>
      <c r="LXS74" s="180"/>
      <c r="LXT74" s="180"/>
      <c r="LXU74" s="180"/>
      <c r="LXV74" s="180"/>
      <c r="LXW74" s="180"/>
      <c r="LXX74" s="180"/>
      <c r="LXY74" s="180"/>
      <c r="LXZ74" s="180"/>
      <c r="LYA74" s="180"/>
      <c r="LYB74" s="180"/>
      <c r="LYC74" s="180"/>
      <c r="LYD74" s="180"/>
      <c r="LYE74" s="180"/>
      <c r="LYF74" s="180"/>
      <c r="LYG74" s="180"/>
      <c r="LYH74" s="180"/>
      <c r="LYI74" s="180"/>
      <c r="LYJ74" s="180"/>
      <c r="LYK74" s="180"/>
      <c r="LYL74" s="180"/>
      <c r="LYM74" s="180"/>
      <c r="LYN74" s="180"/>
      <c r="LYO74" s="180"/>
      <c r="LYP74" s="180"/>
      <c r="LYQ74" s="180"/>
      <c r="LYR74" s="180"/>
      <c r="LYS74" s="180"/>
      <c r="LYT74" s="180"/>
      <c r="LYU74" s="180"/>
      <c r="LYV74" s="180"/>
      <c r="LYW74" s="180"/>
      <c r="LYX74" s="180"/>
      <c r="LYY74" s="180"/>
      <c r="LYZ74" s="180"/>
      <c r="LZA74" s="180"/>
      <c r="LZB74" s="180"/>
      <c r="LZC74" s="180"/>
      <c r="LZD74" s="180"/>
      <c r="LZE74" s="180"/>
      <c r="LZF74" s="180"/>
      <c r="LZG74" s="180"/>
      <c r="LZH74" s="180"/>
      <c r="LZI74" s="180"/>
      <c r="LZJ74" s="180"/>
      <c r="LZK74" s="180"/>
      <c r="LZL74" s="180"/>
      <c r="LZM74" s="180"/>
      <c r="LZN74" s="180"/>
      <c r="LZO74" s="180"/>
      <c r="LZP74" s="180"/>
      <c r="LZQ74" s="180"/>
      <c r="LZR74" s="180"/>
      <c r="LZS74" s="180"/>
      <c r="LZT74" s="180"/>
      <c r="LZU74" s="180"/>
      <c r="LZV74" s="180"/>
      <c r="LZW74" s="180"/>
      <c r="LZX74" s="180"/>
      <c r="LZY74" s="180"/>
      <c r="LZZ74" s="180"/>
      <c r="MAA74" s="180"/>
      <c r="MAB74" s="180"/>
      <c r="MAC74" s="180"/>
      <c r="MAD74" s="180"/>
      <c r="MAE74" s="180"/>
      <c r="MAF74" s="180"/>
      <c r="MAG74" s="180"/>
      <c r="MAH74" s="180"/>
      <c r="MAI74" s="180"/>
      <c r="MAJ74" s="180"/>
      <c r="MAK74" s="180"/>
      <c r="MAL74" s="180"/>
      <c r="MAM74" s="180"/>
      <c r="MAN74" s="180"/>
      <c r="MAO74" s="180"/>
      <c r="MAP74" s="180"/>
      <c r="MAQ74" s="180"/>
      <c r="MAR74" s="180"/>
      <c r="MAS74" s="180"/>
      <c r="MAT74" s="180"/>
      <c r="MAU74" s="180"/>
      <c r="MAV74" s="180"/>
      <c r="MAW74" s="180"/>
      <c r="MAX74" s="180"/>
      <c r="MAY74" s="180"/>
      <c r="MAZ74" s="180"/>
      <c r="MBA74" s="180"/>
      <c r="MBB74" s="180"/>
      <c r="MBC74" s="180"/>
      <c r="MBD74" s="180"/>
      <c r="MBE74" s="180"/>
      <c r="MBF74" s="180"/>
      <c r="MBG74" s="180"/>
      <c r="MBH74" s="180"/>
      <c r="MBI74" s="180"/>
      <c r="MBJ74" s="180"/>
      <c r="MBK74" s="180"/>
      <c r="MBL74" s="180"/>
      <c r="MBM74" s="180"/>
      <c r="MBN74" s="180"/>
      <c r="MBO74" s="180"/>
      <c r="MBP74" s="180"/>
      <c r="MBQ74" s="180"/>
      <c r="MBR74" s="180"/>
      <c r="MBS74" s="180"/>
      <c r="MBT74" s="180"/>
      <c r="MBU74" s="180"/>
      <c r="MBV74" s="180"/>
      <c r="MBW74" s="180"/>
      <c r="MBX74" s="180"/>
      <c r="MBY74" s="180"/>
      <c r="MBZ74" s="180"/>
      <c r="MCA74" s="180"/>
      <c r="MCB74" s="180"/>
      <c r="MCC74" s="180"/>
      <c r="MCD74" s="180"/>
      <c r="MCE74" s="180"/>
      <c r="MCF74" s="180"/>
      <c r="MCG74" s="180"/>
      <c r="MCH74" s="180"/>
      <c r="MCI74" s="180"/>
      <c r="MCJ74" s="180"/>
      <c r="MCK74" s="180"/>
      <c r="MCL74" s="180"/>
      <c r="MCM74" s="180"/>
      <c r="MCN74" s="180"/>
      <c r="MCO74" s="180"/>
      <c r="MCP74" s="180"/>
      <c r="MCQ74" s="180"/>
      <c r="MCR74" s="180"/>
      <c r="MCS74" s="180"/>
      <c r="MCT74" s="180"/>
      <c r="MCU74" s="180"/>
      <c r="MCV74" s="180"/>
      <c r="MCW74" s="180"/>
      <c r="MCX74" s="180"/>
      <c r="MCY74" s="180"/>
      <c r="MCZ74" s="180"/>
      <c r="MDA74" s="180"/>
      <c r="MDB74" s="180"/>
      <c r="MDC74" s="180"/>
      <c r="MDD74" s="180"/>
      <c r="MDE74" s="180"/>
      <c r="MDF74" s="180"/>
      <c r="MDG74" s="180"/>
      <c r="MDH74" s="180"/>
      <c r="MDI74" s="180"/>
      <c r="MDJ74" s="180"/>
      <c r="MDK74" s="180"/>
      <c r="MDL74" s="180"/>
      <c r="MDM74" s="180"/>
      <c r="MDN74" s="180"/>
      <c r="MDO74" s="180"/>
      <c r="MDP74" s="180"/>
      <c r="MDQ74" s="180"/>
      <c r="MDR74" s="180"/>
      <c r="MDS74" s="180"/>
      <c r="MDT74" s="180"/>
      <c r="MDU74" s="180"/>
      <c r="MDV74" s="180"/>
      <c r="MDW74" s="180"/>
      <c r="MDX74" s="180"/>
      <c r="MDY74" s="180"/>
      <c r="MDZ74" s="180"/>
      <c r="MEA74" s="180"/>
      <c r="MEB74" s="180"/>
      <c r="MEC74" s="180"/>
      <c r="MED74" s="180"/>
      <c r="MEE74" s="180"/>
      <c r="MEF74" s="180"/>
      <c r="MEG74" s="180"/>
      <c r="MEH74" s="180"/>
      <c r="MEI74" s="180"/>
      <c r="MEJ74" s="180"/>
      <c r="MEK74" s="180"/>
      <c r="MEL74" s="180"/>
      <c r="MEM74" s="180"/>
      <c r="MEN74" s="180"/>
      <c r="MEO74" s="180"/>
      <c r="MEP74" s="180"/>
      <c r="MEQ74" s="180"/>
      <c r="MER74" s="180"/>
      <c r="MES74" s="180"/>
      <c r="MET74" s="180"/>
      <c r="MEU74" s="180"/>
      <c r="MEV74" s="180"/>
      <c r="MEW74" s="180"/>
      <c r="MEX74" s="180"/>
      <c r="MEY74" s="180"/>
      <c r="MEZ74" s="180"/>
      <c r="MFA74" s="180"/>
      <c r="MFB74" s="180"/>
      <c r="MFC74" s="180"/>
      <c r="MFD74" s="180"/>
      <c r="MFE74" s="180"/>
      <c r="MFF74" s="180"/>
      <c r="MFG74" s="180"/>
      <c r="MFH74" s="180"/>
      <c r="MFI74" s="180"/>
      <c r="MFJ74" s="180"/>
      <c r="MFK74" s="180"/>
      <c r="MFL74" s="180"/>
      <c r="MFM74" s="180"/>
      <c r="MFN74" s="180"/>
      <c r="MFO74" s="180"/>
      <c r="MFP74" s="180"/>
      <c r="MFQ74" s="180"/>
      <c r="MFR74" s="180"/>
      <c r="MFS74" s="180"/>
      <c r="MFT74" s="180"/>
      <c r="MFU74" s="180"/>
      <c r="MFV74" s="180"/>
      <c r="MFW74" s="180"/>
      <c r="MFX74" s="180"/>
      <c r="MFY74" s="180"/>
      <c r="MFZ74" s="180"/>
      <c r="MGA74" s="180"/>
      <c r="MGB74" s="180"/>
      <c r="MGC74" s="180"/>
      <c r="MGD74" s="180"/>
      <c r="MGE74" s="180"/>
      <c r="MGF74" s="180"/>
      <c r="MGG74" s="180"/>
      <c r="MGH74" s="180"/>
      <c r="MGI74" s="180"/>
      <c r="MGJ74" s="180"/>
      <c r="MGK74" s="180"/>
      <c r="MGL74" s="180"/>
      <c r="MGM74" s="180"/>
      <c r="MGN74" s="180"/>
      <c r="MGO74" s="180"/>
      <c r="MGP74" s="180"/>
      <c r="MGQ74" s="180"/>
      <c r="MGR74" s="180"/>
      <c r="MGS74" s="180"/>
      <c r="MGT74" s="180"/>
      <c r="MGU74" s="180"/>
      <c r="MGV74" s="180"/>
      <c r="MGW74" s="180"/>
      <c r="MGX74" s="180"/>
      <c r="MGY74" s="180"/>
      <c r="MGZ74" s="180"/>
      <c r="MHA74" s="180"/>
      <c r="MHB74" s="180"/>
      <c r="MHC74" s="180"/>
      <c r="MHD74" s="180"/>
      <c r="MHE74" s="180"/>
      <c r="MHF74" s="180"/>
      <c r="MHG74" s="180"/>
      <c r="MHH74" s="180"/>
      <c r="MHI74" s="180"/>
      <c r="MHJ74" s="180"/>
      <c r="MHK74" s="180"/>
      <c r="MHL74" s="180"/>
      <c r="MHM74" s="180"/>
      <c r="MHN74" s="180"/>
      <c r="MHO74" s="180"/>
      <c r="MHP74" s="180"/>
      <c r="MHQ74" s="180"/>
      <c r="MHR74" s="180"/>
      <c r="MHS74" s="180"/>
      <c r="MHT74" s="180"/>
      <c r="MHU74" s="180"/>
      <c r="MHV74" s="180"/>
      <c r="MHW74" s="180"/>
      <c r="MHX74" s="180"/>
      <c r="MHY74" s="180"/>
      <c r="MHZ74" s="180"/>
      <c r="MIA74" s="180"/>
      <c r="MIB74" s="180"/>
      <c r="MIC74" s="180"/>
      <c r="MID74" s="180"/>
      <c r="MIE74" s="180"/>
      <c r="MIF74" s="180"/>
      <c r="MIG74" s="180"/>
      <c r="MIH74" s="180"/>
      <c r="MII74" s="180"/>
      <c r="MIJ74" s="180"/>
      <c r="MIK74" s="180"/>
      <c r="MIL74" s="180"/>
      <c r="MIM74" s="180"/>
      <c r="MIN74" s="180"/>
      <c r="MIO74" s="180"/>
      <c r="MIP74" s="180"/>
      <c r="MIQ74" s="180"/>
      <c r="MIR74" s="180"/>
      <c r="MIS74" s="180"/>
      <c r="MIT74" s="180"/>
      <c r="MIU74" s="180"/>
      <c r="MIV74" s="180"/>
      <c r="MIW74" s="180"/>
      <c r="MIX74" s="180"/>
      <c r="MIY74" s="180"/>
      <c r="MIZ74" s="180"/>
      <c r="MJA74" s="180"/>
      <c r="MJB74" s="180"/>
      <c r="MJC74" s="180"/>
      <c r="MJD74" s="180"/>
      <c r="MJE74" s="180"/>
      <c r="MJF74" s="180"/>
      <c r="MJG74" s="180"/>
      <c r="MJH74" s="180"/>
      <c r="MJI74" s="180"/>
      <c r="MJJ74" s="180"/>
      <c r="MJK74" s="180"/>
      <c r="MJL74" s="180"/>
      <c r="MJM74" s="180"/>
      <c r="MJN74" s="180"/>
      <c r="MJO74" s="180"/>
      <c r="MJP74" s="180"/>
      <c r="MJQ74" s="180"/>
      <c r="MJR74" s="180"/>
      <c r="MJS74" s="180"/>
      <c r="MJT74" s="180"/>
      <c r="MJU74" s="180"/>
      <c r="MJV74" s="180"/>
      <c r="MJW74" s="180"/>
      <c r="MJX74" s="180"/>
      <c r="MJY74" s="180"/>
      <c r="MJZ74" s="180"/>
      <c r="MKA74" s="180"/>
      <c r="MKB74" s="180"/>
      <c r="MKC74" s="180"/>
      <c r="MKD74" s="180"/>
      <c r="MKE74" s="180"/>
      <c r="MKF74" s="180"/>
      <c r="MKG74" s="180"/>
      <c r="MKH74" s="180"/>
      <c r="MKI74" s="180"/>
      <c r="MKJ74" s="180"/>
      <c r="MKK74" s="180"/>
      <c r="MKL74" s="180"/>
      <c r="MKM74" s="180"/>
      <c r="MKN74" s="180"/>
      <c r="MKO74" s="180"/>
      <c r="MKP74" s="180"/>
      <c r="MKQ74" s="180"/>
      <c r="MKR74" s="180"/>
      <c r="MKS74" s="180"/>
      <c r="MKT74" s="180"/>
      <c r="MKU74" s="180"/>
      <c r="MKV74" s="180"/>
      <c r="MKW74" s="180"/>
      <c r="MKX74" s="180"/>
      <c r="MKY74" s="180"/>
      <c r="MKZ74" s="180"/>
      <c r="MLA74" s="180"/>
      <c r="MLB74" s="180"/>
      <c r="MLC74" s="180"/>
      <c r="MLD74" s="180"/>
      <c r="MLE74" s="180"/>
      <c r="MLF74" s="180"/>
      <c r="MLG74" s="180"/>
      <c r="MLH74" s="180"/>
      <c r="MLI74" s="180"/>
      <c r="MLJ74" s="180"/>
      <c r="MLK74" s="180"/>
      <c r="MLL74" s="180"/>
      <c r="MLM74" s="180"/>
      <c r="MLN74" s="180"/>
      <c r="MLO74" s="180"/>
      <c r="MLP74" s="180"/>
      <c r="MLQ74" s="180"/>
      <c r="MLR74" s="180"/>
      <c r="MLS74" s="180"/>
      <c r="MLT74" s="180"/>
      <c r="MLU74" s="180"/>
      <c r="MLV74" s="180"/>
      <c r="MLW74" s="180"/>
      <c r="MLX74" s="180"/>
      <c r="MLY74" s="180"/>
      <c r="MLZ74" s="180"/>
      <c r="MMA74" s="180"/>
      <c r="MMB74" s="180"/>
      <c r="MMC74" s="180"/>
      <c r="MMD74" s="180"/>
      <c r="MME74" s="180"/>
      <c r="MMF74" s="180"/>
      <c r="MMG74" s="180"/>
      <c r="MMH74" s="180"/>
      <c r="MMI74" s="180"/>
      <c r="MMJ74" s="180"/>
      <c r="MMK74" s="180"/>
      <c r="MML74" s="180"/>
      <c r="MMM74" s="180"/>
      <c r="MMN74" s="180"/>
      <c r="MMO74" s="180"/>
      <c r="MMP74" s="180"/>
      <c r="MMQ74" s="180"/>
      <c r="MMR74" s="180"/>
      <c r="MMS74" s="180"/>
      <c r="MMT74" s="180"/>
      <c r="MMU74" s="180"/>
      <c r="MMV74" s="180"/>
      <c r="MMW74" s="180"/>
      <c r="MMX74" s="180"/>
      <c r="MMY74" s="180"/>
      <c r="MMZ74" s="180"/>
      <c r="MNA74" s="180"/>
      <c r="MNB74" s="180"/>
      <c r="MNC74" s="180"/>
      <c r="MND74" s="180"/>
      <c r="MNE74" s="180"/>
      <c r="MNF74" s="180"/>
      <c r="MNG74" s="180"/>
      <c r="MNH74" s="180"/>
      <c r="MNI74" s="180"/>
      <c r="MNJ74" s="180"/>
      <c r="MNK74" s="180"/>
      <c r="MNL74" s="180"/>
      <c r="MNM74" s="180"/>
      <c r="MNN74" s="180"/>
      <c r="MNO74" s="180"/>
      <c r="MNP74" s="180"/>
      <c r="MNQ74" s="180"/>
      <c r="MNR74" s="180"/>
      <c r="MNS74" s="180"/>
      <c r="MNT74" s="180"/>
      <c r="MNU74" s="180"/>
      <c r="MNV74" s="180"/>
      <c r="MNW74" s="180"/>
      <c r="MNX74" s="180"/>
      <c r="MNY74" s="180"/>
      <c r="MNZ74" s="180"/>
      <c r="MOA74" s="180"/>
      <c r="MOB74" s="180"/>
      <c r="MOC74" s="180"/>
      <c r="MOD74" s="180"/>
      <c r="MOE74" s="180"/>
      <c r="MOF74" s="180"/>
      <c r="MOG74" s="180"/>
      <c r="MOH74" s="180"/>
      <c r="MOI74" s="180"/>
      <c r="MOJ74" s="180"/>
      <c r="MOK74" s="180"/>
      <c r="MOL74" s="180"/>
      <c r="MOM74" s="180"/>
      <c r="MON74" s="180"/>
      <c r="MOO74" s="180"/>
      <c r="MOP74" s="180"/>
      <c r="MOQ74" s="180"/>
      <c r="MOR74" s="180"/>
      <c r="MOS74" s="180"/>
      <c r="MOT74" s="180"/>
      <c r="MOU74" s="180"/>
      <c r="MOV74" s="180"/>
      <c r="MOW74" s="180"/>
      <c r="MOX74" s="180"/>
      <c r="MOY74" s="180"/>
      <c r="MOZ74" s="180"/>
      <c r="MPA74" s="180"/>
      <c r="MPB74" s="180"/>
      <c r="MPC74" s="180"/>
      <c r="MPD74" s="180"/>
      <c r="MPE74" s="180"/>
      <c r="MPF74" s="180"/>
      <c r="MPG74" s="180"/>
      <c r="MPH74" s="180"/>
      <c r="MPI74" s="180"/>
      <c r="MPJ74" s="180"/>
      <c r="MPK74" s="180"/>
      <c r="MPL74" s="180"/>
      <c r="MPM74" s="180"/>
      <c r="MPN74" s="180"/>
      <c r="MPO74" s="180"/>
      <c r="MPP74" s="180"/>
      <c r="MPQ74" s="180"/>
      <c r="MPR74" s="180"/>
      <c r="MPS74" s="180"/>
      <c r="MPT74" s="180"/>
      <c r="MPU74" s="180"/>
      <c r="MPV74" s="180"/>
      <c r="MPW74" s="180"/>
      <c r="MPX74" s="180"/>
      <c r="MPY74" s="180"/>
      <c r="MPZ74" s="180"/>
      <c r="MQA74" s="180"/>
      <c r="MQB74" s="180"/>
      <c r="MQC74" s="180"/>
      <c r="MQD74" s="180"/>
      <c r="MQE74" s="180"/>
      <c r="MQF74" s="180"/>
      <c r="MQG74" s="180"/>
      <c r="MQH74" s="180"/>
      <c r="MQI74" s="180"/>
      <c r="MQJ74" s="180"/>
      <c r="MQK74" s="180"/>
      <c r="MQL74" s="180"/>
      <c r="MQM74" s="180"/>
      <c r="MQN74" s="180"/>
      <c r="MQO74" s="180"/>
      <c r="MQP74" s="180"/>
      <c r="MQQ74" s="180"/>
      <c r="MQR74" s="180"/>
      <c r="MQS74" s="180"/>
      <c r="MQT74" s="180"/>
      <c r="MQU74" s="180"/>
      <c r="MQV74" s="180"/>
      <c r="MQW74" s="180"/>
      <c r="MQX74" s="180"/>
      <c r="MQY74" s="180"/>
      <c r="MQZ74" s="180"/>
      <c r="MRA74" s="180"/>
      <c r="MRB74" s="180"/>
      <c r="MRC74" s="180"/>
      <c r="MRD74" s="180"/>
      <c r="MRE74" s="180"/>
      <c r="MRF74" s="180"/>
      <c r="MRG74" s="180"/>
      <c r="MRH74" s="180"/>
      <c r="MRI74" s="180"/>
      <c r="MRJ74" s="180"/>
      <c r="MRK74" s="180"/>
      <c r="MRL74" s="180"/>
      <c r="MRM74" s="180"/>
      <c r="MRN74" s="180"/>
      <c r="MRO74" s="180"/>
      <c r="MRP74" s="180"/>
      <c r="MRQ74" s="180"/>
      <c r="MRR74" s="180"/>
      <c r="MRS74" s="180"/>
      <c r="MRT74" s="180"/>
      <c r="MRU74" s="180"/>
      <c r="MRV74" s="180"/>
      <c r="MRW74" s="180"/>
      <c r="MRX74" s="180"/>
      <c r="MRY74" s="180"/>
      <c r="MRZ74" s="180"/>
      <c r="MSA74" s="180"/>
      <c r="MSB74" s="180"/>
      <c r="MSC74" s="180"/>
      <c r="MSD74" s="180"/>
      <c r="MSE74" s="180"/>
      <c r="MSF74" s="180"/>
      <c r="MSG74" s="180"/>
      <c r="MSH74" s="180"/>
      <c r="MSI74" s="180"/>
      <c r="MSJ74" s="180"/>
      <c r="MSK74" s="180"/>
      <c r="MSL74" s="180"/>
      <c r="MSM74" s="180"/>
      <c r="MSN74" s="180"/>
      <c r="MSO74" s="180"/>
      <c r="MSP74" s="180"/>
      <c r="MSQ74" s="180"/>
      <c r="MSR74" s="180"/>
      <c r="MSS74" s="180"/>
      <c r="MST74" s="180"/>
      <c r="MSU74" s="180"/>
      <c r="MSV74" s="180"/>
      <c r="MSW74" s="180"/>
      <c r="MSX74" s="180"/>
      <c r="MSY74" s="180"/>
      <c r="MSZ74" s="180"/>
      <c r="MTA74" s="180"/>
      <c r="MTB74" s="180"/>
      <c r="MTC74" s="180"/>
      <c r="MTD74" s="180"/>
      <c r="MTE74" s="180"/>
      <c r="MTF74" s="180"/>
      <c r="MTG74" s="180"/>
      <c r="MTH74" s="180"/>
      <c r="MTI74" s="180"/>
      <c r="MTJ74" s="180"/>
      <c r="MTK74" s="180"/>
      <c r="MTL74" s="180"/>
      <c r="MTM74" s="180"/>
      <c r="MTN74" s="180"/>
      <c r="MTO74" s="180"/>
      <c r="MTP74" s="180"/>
      <c r="MTQ74" s="180"/>
      <c r="MTR74" s="180"/>
      <c r="MTS74" s="180"/>
      <c r="MTT74" s="180"/>
      <c r="MTU74" s="180"/>
      <c r="MTV74" s="180"/>
      <c r="MTW74" s="180"/>
      <c r="MTX74" s="180"/>
      <c r="MTY74" s="180"/>
      <c r="MTZ74" s="180"/>
      <c r="MUA74" s="180"/>
      <c r="MUB74" s="180"/>
      <c r="MUC74" s="180"/>
      <c r="MUD74" s="180"/>
      <c r="MUE74" s="180"/>
      <c r="MUF74" s="180"/>
      <c r="MUG74" s="180"/>
      <c r="MUH74" s="180"/>
      <c r="MUI74" s="180"/>
      <c r="MUJ74" s="180"/>
      <c r="MUK74" s="180"/>
      <c r="MUL74" s="180"/>
      <c r="MUM74" s="180"/>
      <c r="MUN74" s="180"/>
      <c r="MUO74" s="180"/>
      <c r="MUP74" s="180"/>
      <c r="MUQ74" s="180"/>
      <c r="MUR74" s="180"/>
      <c r="MUS74" s="180"/>
      <c r="MUT74" s="180"/>
      <c r="MUU74" s="180"/>
      <c r="MUV74" s="180"/>
      <c r="MUW74" s="180"/>
      <c r="MUX74" s="180"/>
      <c r="MUY74" s="180"/>
      <c r="MUZ74" s="180"/>
      <c r="MVA74" s="180"/>
      <c r="MVB74" s="180"/>
      <c r="MVC74" s="180"/>
      <c r="MVD74" s="180"/>
      <c r="MVE74" s="180"/>
      <c r="MVF74" s="180"/>
      <c r="MVG74" s="180"/>
      <c r="MVH74" s="180"/>
      <c r="MVI74" s="180"/>
      <c r="MVJ74" s="180"/>
      <c r="MVK74" s="180"/>
      <c r="MVL74" s="180"/>
      <c r="MVM74" s="180"/>
      <c r="MVN74" s="180"/>
      <c r="MVO74" s="180"/>
      <c r="MVP74" s="180"/>
      <c r="MVQ74" s="180"/>
      <c r="MVR74" s="180"/>
      <c r="MVS74" s="180"/>
      <c r="MVT74" s="180"/>
      <c r="MVU74" s="180"/>
      <c r="MVV74" s="180"/>
      <c r="MVW74" s="180"/>
      <c r="MVX74" s="180"/>
      <c r="MVY74" s="180"/>
      <c r="MVZ74" s="180"/>
      <c r="MWA74" s="180"/>
      <c r="MWB74" s="180"/>
      <c r="MWC74" s="180"/>
      <c r="MWD74" s="180"/>
      <c r="MWE74" s="180"/>
      <c r="MWF74" s="180"/>
      <c r="MWG74" s="180"/>
      <c r="MWH74" s="180"/>
      <c r="MWI74" s="180"/>
      <c r="MWJ74" s="180"/>
      <c r="MWK74" s="180"/>
      <c r="MWL74" s="180"/>
      <c r="MWM74" s="180"/>
      <c r="MWN74" s="180"/>
      <c r="MWO74" s="180"/>
      <c r="MWP74" s="180"/>
      <c r="MWQ74" s="180"/>
      <c r="MWR74" s="180"/>
      <c r="MWS74" s="180"/>
      <c r="MWT74" s="180"/>
      <c r="MWU74" s="180"/>
      <c r="MWV74" s="180"/>
      <c r="MWW74" s="180"/>
      <c r="MWX74" s="180"/>
      <c r="MWY74" s="180"/>
      <c r="MWZ74" s="180"/>
      <c r="MXA74" s="180"/>
      <c r="MXB74" s="180"/>
      <c r="MXC74" s="180"/>
      <c r="MXD74" s="180"/>
      <c r="MXE74" s="180"/>
      <c r="MXF74" s="180"/>
      <c r="MXG74" s="180"/>
      <c r="MXH74" s="180"/>
      <c r="MXI74" s="180"/>
      <c r="MXJ74" s="180"/>
      <c r="MXK74" s="180"/>
      <c r="MXL74" s="180"/>
      <c r="MXM74" s="180"/>
      <c r="MXN74" s="180"/>
      <c r="MXO74" s="180"/>
      <c r="MXP74" s="180"/>
      <c r="MXQ74" s="180"/>
      <c r="MXR74" s="180"/>
      <c r="MXS74" s="180"/>
      <c r="MXT74" s="180"/>
      <c r="MXU74" s="180"/>
      <c r="MXV74" s="180"/>
      <c r="MXW74" s="180"/>
      <c r="MXX74" s="180"/>
      <c r="MXY74" s="180"/>
      <c r="MXZ74" s="180"/>
      <c r="MYA74" s="180"/>
      <c r="MYB74" s="180"/>
      <c r="MYC74" s="180"/>
      <c r="MYD74" s="180"/>
      <c r="MYE74" s="180"/>
      <c r="MYF74" s="180"/>
      <c r="MYG74" s="180"/>
      <c r="MYH74" s="180"/>
      <c r="MYI74" s="180"/>
      <c r="MYJ74" s="180"/>
      <c r="MYK74" s="180"/>
      <c r="MYL74" s="180"/>
      <c r="MYM74" s="180"/>
      <c r="MYN74" s="180"/>
      <c r="MYO74" s="180"/>
      <c r="MYP74" s="180"/>
      <c r="MYQ74" s="180"/>
      <c r="MYR74" s="180"/>
      <c r="MYS74" s="180"/>
      <c r="MYT74" s="180"/>
      <c r="MYU74" s="180"/>
      <c r="MYV74" s="180"/>
      <c r="MYW74" s="180"/>
      <c r="MYX74" s="180"/>
      <c r="MYY74" s="180"/>
      <c r="MYZ74" s="180"/>
      <c r="MZA74" s="180"/>
      <c r="MZB74" s="180"/>
      <c r="MZC74" s="180"/>
      <c r="MZD74" s="180"/>
      <c r="MZE74" s="180"/>
      <c r="MZF74" s="180"/>
      <c r="MZG74" s="180"/>
      <c r="MZH74" s="180"/>
      <c r="MZI74" s="180"/>
      <c r="MZJ74" s="180"/>
      <c r="MZK74" s="180"/>
      <c r="MZL74" s="180"/>
      <c r="MZM74" s="180"/>
      <c r="MZN74" s="180"/>
      <c r="MZO74" s="180"/>
      <c r="MZP74" s="180"/>
      <c r="MZQ74" s="180"/>
      <c r="MZR74" s="180"/>
      <c r="MZS74" s="180"/>
      <c r="MZT74" s="180"/>
      <c r="MZU74" s="180"/>
      <c r="MZV74" s="180"/>
      <c r="MZW74" s="180"/>
      <c r="MZX74" s="180"/>
      <c r="MZY74" s="180"/>
      <c r="MZZ74" s="180"/>
      <c r="NAA74" s="180"/>
      <c r="NAB74" s="180"/>
      <c r="NAC74" s="180"/>
      <c r="NAD74" s="180"/>
      <c r="NAE74" s="180"/>
      <c r="NAF74" s="180"/>
      <c r="NAG74" s="180"/>
      <c r="NAH74" s="180"/>
      <c r="NAI74" s="180"/>
      <c r="NAJ74" s="180"/>
      <c r="NAK74" s="180"/>
      <c r="NAL74" s="180"/>
      <c r="NAM74" s="180"/>
      <c r="NAN74" s="180"/>
      <c r="NAO74" s="180"/>
      <c r="NAP74" s="180"/>
      <c r="NAQ74" s="180"/>
      <c r="NAR74" s="180"/>
      <c r="NAS74" s="180"/>
      <c r="NAT74" s="180"/>
      <c r="NAU74" s="180"/>
      <c r="NAV74" s="180"/>
      <c r="NAW74" s="180"/>
      <c r="NAX74" s="180"/>
      <c r="NAY74" s="180"/>
      <c r="NAZ74" s="180"/>
      <c r="NBA74" s="180"/>
      <c r="NBB74" s="180"/>
      <c r="NBC74" s="180"/>
      <c r="NBD74" s="180"/>
      <c r="NBE74" s="180"/>
      <c r="NBF74" s="180"/>
      <c r="NBG74" s="180"/>
      <c r="NBH74" s="180"/>
      <c r="NBI74" s="180"/>
      <c r="NBJ74" s="180"/>
      <c r="NBK74" s="180"/>
      <c r="NBL74" s="180"/>
      <c r="NBM74" s="180"/>
      <c r="NBN74" s="180"/>
      <c r="NBO74" s="180"/>
      <c r="NBP74" s="180"/>
      <c r="NBQ74" s="180"/>
      <c r="NBR74" s="180"/>
      <c r="NBS74" s="180"/>
      <c r="NBT74" s="180"/>
      <c r="NBU74" s="180"/>
      <c r="NBV74" s="180"/>
      <c r="NBW74" s="180"/>
      <c r="NBX74" s="180"/>
      <c r="NBY74" s="180"/>
      <c r="NBZ74" s="180"/>
      <c r="NCA74" s="180"/>
      <c r="NCB74" s="180"/>
      <c r="NCC74" s="180"/>
      <c r="NCD74" s="180"/>
      <c r="NCE74" s="180"/>
      <c r="NCF74" s="180"/>
      <c r="NCG74" s="180"/>
      <c r="NCH74" s="180"/>
      <c r="NCI74" s="180"/>
      <c r="NCJ74" s="180"/>
      <c r="NCK74" s="180"/>
      <c r="NCL74" s="180"/>
      <c r="NCM74" s="180"/>
      <c r="NCN74" s="180"/>
      <c r="NCO74" s="180"/>
      <c r="NCP74" s="180"/>
      <c r="NCQ74" s="180"/>
      <c r="NCR74" s="180"/>
      <c r="NCS74" s="180"/>
      <c r="NCT74" s="180"/>
      <c r="NCU74" s="180"/>
      <c r="NCV74" s="180"/>
      <c r="NCW74" s="180"/>
      <c r="NCX74" s="180"/>
      <c r="NCY74" s="180"/>
      <c r="NCZ74" s="180"/>
      <c r="NDA74" s="180"/>
      <c r="NDB74" s="180"/>
      <c r="NDC74" s="180"/>
      <c r="NDD74" s="180"/>
      <c r="NDE74" s="180"/>
      <c r="NDF74" s="180"/>
      <c r="NDG74" s="180"/>
      <c r="NDH74" s="180"/>
      <c r="NDI74" s="180"/>
      <c r="NDJ74" s="180"/>
      <c r="NDK74" s="180"/>
      <c r="NDL74" s="180"/>
      <c r="NDM74" s="180"/>
      <c r="NDN74" s="180"/>
      <c r="NDO74" s="180"/>
      <c r="NDP74" s="180"/>
      <c r="NDQ74" s="180"/>
      <c r="NDR74" s="180"/>
      <c r="NDS74" s="180"/>
      <c r="NDT74" s="180"/>
      <c r="NDU74" s="180"/>
      <c r="NDV74" s="180"/>
      <c r="NDW74" s="180"/>
      <c r="NDX74" s="180"/>
      <c r="NDY74" s="180"/>
      <c r="NDZ74" s="180"/>
      <c r="NEA74" s="180"/>
      <c r="NEB74" s="180"/>
      <c r="NEC74" s="180"/>
      <c r="NED74" s="180"/>
      <c r="NEE74" s="180"/>
      <c r="NEF74" s="180"/>
      <c r="NEG74" s="180"/>
      <c r="NEH74" s="180"/>
      <c r="NEI74" s="180"/>
      <c r="NEJ74" s="180"/>
      <c r="NEK74" s="180"/>
      <c r="NEL74" s="180"/>
      <c r="NEM74" s="180"/>
      <c r="NEN74" s="180"/>
      <c r="NEO74" s="180"/>
      <c r="NEP74" s="180"/>
      <c r="NEQ74" s="180"/>
      <c r="NER74" s="180"/>
      <c r="NES74" s="180"/>
      <c r="NET74" s="180"/>
      <c r="NEU74" s="180"/>
      <c r="NEV74" s="180"/>
      <c r="NEW74" s="180"/>
      <c r="NEX74" s="180"/>
      <c r="NEY74" s="180"/>
      <c r="NEZ74" s="180"/>
      <c r="NFA74" s="180"/>
      <c r="NFB74" s="180"/>
      <c r="NFC74" s="180"/>
      <c r="NFD74" s="180"/>
      <c r="NFE74" s="180"/>
      <c r="NFF74" s="180"/>
      <c r="NFG74" s="180"/>
      <c r="NFH74" s="180"/>
      <c r="NFI74" s="180"/>
      <c r="NFJ74" s="180"/>
      <c r="NFK74" s="180"/>
      <c r="NFL74" s="180"/>
      <c r="NFM74" s="180"/>
      <c r="NFN74" s="180"/>
      <c r="NFO74" s="180"/>
      <c r="NFP74" s="180"/>
      <c r="NFQ74" s="180"/>
      <c r="NFR74" s="180"/>
      <c r="NFS74" s="180"/>
      <c r="NFT74" s="180"/>
      <c r="NFU74" s="180"/>
      <c r="NFV74" s="180"/>
      <c r="NFW74" s="180"/>
      <c r="NFX74" s="180"/>
      <c r="NFY74" s="180"/>
      <c r="NFZ74" s="180"/>
      <c r="NGA74" s="180"/>
      <c r="NGB74" s="180"/>
      <c r="NGC74" s="180"/>
      <c r="NGD74" s="180"/>
      <c r="NGE74" s="180"/>
      <c r="NGF74" s="180"/>
      <c r="NGG74" s="180"/>
      <c r="NGH74" s="180"/>
      <c r="NGI74" s="180"/>
      <c r="NGJ74" s="180"/>
      <c r="NGK74" s="180"/>
      <c r="NGL74" s="180"/>
      <c r="NGM74" s="180"/>
      <c r="NGN74" s="180"/>
      <c r="NGO74" s="180"/>
      <c r="NGP74" s="180"/>
      <c r="NGQ74" s="180"/>
      <c r="NGR74" s="180"/>
      <c r="NGS74" s="180"/>
      <c r="NGT74" s="180"/>
      <c r="NGU74" s="180"/>
      <c r="NGV74" s="180"/>
      <c r="NGW74" s="180"/>
      <c r="NGX74" s="180"/>
      <c r="NGY74" s="180"/>
      <c r="NGZ74" s="180"/>
      <c r="NHA74" s="180"/>
      <c r="NHB74" s="180"/>
      <c r="NHC74" s="180"/>
      <c r="NHD74" s="180"/>
      <c r="NHE74" s="180"/>
      <c r="NHF74" s="180"/>
      <c r="NHG74" s="180"/>
      <c r="NHH74" s="180"/>
      <c r="NHI74" s="180"/>
      <c r="NHJ74" s="180"/>
      <c r="NHK74" s="180"/>
      <c r="NHL74" s="180"/>
      <c r="NHM74" s="180"/>
      <c r="NHN74" s="180"/>
      <c r="NHO74" s="180"/>
      <c r="NHP74" s="180"/>
      <c r="NHQ74" s="180"/>
      <c r="NHR74" s="180"/>
      <c r="NHS74" s="180"/>
      <c r="NHT74" s="180"/>
      <c r="NHU74" s="180"/>
      <c r="NHV74" s="180"/>
      <c r="NHW74" s="180"/>
      <c r="NHX74" s="180"/>
      <c r="NHY74" s="180"/>
      <c r="NHZ74" s="180"/>
      <c r="NIA74" s="180"/>
      <c r="NIB74" s="180"/>
      <c r="NIC74" s="180"/>
      <c r="NID74" s="180"/>
      <c r="NIE74" s="180"/>
      <c r="NIF74" s="180"/>
      <c r="NIG74" s="180"/>
      <c r="NIH74" s="180"/>
      <c r="NII74" s="180"/>
      <c r="NIJ74" s="180"/>
      <c r="NIK74" s="180"/>
      <c r="NIL74" s="180"/>
      <c r="NIM74" s="180"/>
      <c r="NIN74" s="180"/>
      <c r="NIO74" s="180"/>
      <c r="NIP74" s="180"/>
      <c r="NIQ74" s="180"/>
      <c r="NIR74" s="180"/>
      <c r="NIS74" s="180"/>
      <c r="NIT74" s="180"/>
      <c r="NIU74" s="180"/>
      <c r="NIV74" s="180"/>
      <c r="NIW74" s="180"/>
      <c r="NIX74" s="180"/>
      <c r="NIY74" s="180"/>
      <c r="NIZ74" s="180"/>
      <c r="NJA74" s="180"/>
      <c r="NJB74" s="180"/>
      <c r="NJC74" s="180"/>
      <c r="NJD74" s="180"/>
      <c r="NJE74" s="180"/>
      <c r="NJF74" s="180"/>
      <c r="NJG74" s="180"/>
      <c r="NJH74" s="180"/>
      <c r="NJI74" s="180"/>
      <c r="NJJ74" s="180"/>
      <c r="NJK74" s="180"/>
      <c r="NJL74" s="180"/>
      <c r="NJM74" s="180"/>
      <c r="NJN74" s="180"/>
      <c r="NJO74" s="180"/>
      <c r="NJP74" s="180"/>
      <c r="NJQ74" s="180"/>
      <c r="NJR74" s="180"/>
      <c r="NJS74" s="180"/>
      <c r="NJT74" s="180"/>
      <c r="NJU74" s="180"/>
      <c r="NJV74" s="180"/>
      <c r="NJW74" s="180"/>
      <c r="NJX74" s="180"/>
      <c r="NJY74" s="180"/>
      <c r="NJZ74" s="180"/>
      <c r="NKA74" s="180"/>
      <c r="NKB74" s="180"/>
      <c r="NKC74" s="180"/>
      <c r="NKD74" s="180"/>
      <c r="NKE74" s="180"/>
      <c r="NKF74" s="180"/>
      <c r="NKG74" s="180"/>
      <c r="NKH74" s="180"/>
      <c r="NKI74" s="180"/>
      <c r="NKJ74" s="180"/>
      <c r="NKK74" s="180"/>
      <c r="NKL74" s="180"/>
      <c r="NKM74" s="180"/>
      <c r="NKN74" s="180"/>
      <c r="NKO74" s="180"/>
      <c r="NKP74" s="180"/>
      <c r="NKQ74" s="180"/>
      <c r="NKR74" s="180"/>
      <c r="NKS74" s="180"/>
      <c r="NKT74" s="180"/>
      <c r="NKU74" s="180"/>
      <c r="NKV74" s="180"/>
      <c r="NKW74" s="180"/>
      <c r="NKX74" s="180"/>
      <c r="NKY74" s="180"/>
      <c r="NKZ74" s="180"/>
      <c r="NLA74" s="180"/>
      <c r="NLB74" s="180"/>
      <c r="NLC74" s="180"/>
      <c r="NLD74" s="180"/>
      <c r="NLE74" s="180"/>
      <c r="NLF74" s="180"/>
      <c r="NLG74" s="180"/>
      <c r="NLH74" s="180"/>
      <c r="NLI74" s="180"/>
      <c r="NLJ74" s="180"/>
      <c r="NLK74" s="180"/>
      <c r="NLL74" s="180"/>
      <c r="NLM74" s="180"/>
      <c r="NLN74" s="180"/>
      <c r="NLO74" s="180"/>
      <c r="NLP74" s="180"/>
      <c r="NLQ74" s="180"/>
      <c r="NLR74" s="180"/>
      <c r="NLS74" s="180"/>
      <c r="NLT74" s="180"/>
      <c r="NLU74" s="180"/>
      <c r="NLV74" s="180"/>
      <c r="NLW74" s="180"/>
      <c r="NLX74" s="180"/>
      <c r="NLY74" s="180"/>
      <c r="NLZ74" s="180"/>
      <c r="NMA74" s="180"/>
      <c r="NMB74" s="180"/>
      <c r="NMC74" s="180"/>
      <c r="NMD74" s="180"/>
      <c r="NME74" s="180"/>
      <c r="NMF74" s="180"/>
      <c r="NMG74" s="180"/>
      <c r="NMH74" s="180"/>
      <c r="NMI74" s="180"/>
      <c r="NMJ74" s="180"/>
      <c r="NMK74" s="180"/>
      <c r="NML74" s="180"/>
      <c r="NMM74" s="180"/>
      <c r="NMN74" s="180"/>
      <c r="NMO74" s="180"/>
      <c r="NMP74" s="180"/>
      <c r="NMQ74" s="180"/>
      <c r="NMR74" s="180"/>
      <c r="NMS74" s="180"/>
      <c r="NMT74" s="180"/>
      <c r="NMU74" s="180"/>
      <c r="NMV74" s="180"/>
      <c r="NMW74" s="180"/>
      <c r="NMX74" s="180"/>
      <c r="NMY74" s="180"/>
      <c r="NMZ74" s="180"/>
      <c r="NNA74" s="180"/>
      <c r="NNB74" s="180"/>
      <c r="NNC74" s="180"/>
      <c r="NND74" s="180"/>
      <c r="NNE74" s="180"/>
      <c r="NNF74" s="180"/>
      <c r="NNG74" s="180"/>
      <c r="NNH74" s="180"/>
      <c r="NNI74" s="180"/>
      <c r="NNJ74" s="180"/>
      <c r="NNK74" s="180"/>
      <c r="NNL74" s="180"/>
      <c r="NNM74" s="180"/>
      <c r="NNN74" s="180"/>
      <c r="NNO74" s="180"/>
      <c r="NNP74" s="180"/>
      <c r="NNQ74" s="180"/>
      <c r="NNR74" s="180"/>
      <c r="NNS74" s="180"/>
      <c r="NNT74" s="180"/>
      <c r="NNU74" s="180"/>
      <c r="NNV74" s="180"/>
      <c r="NNW74" s="180"/>
      <c r="NNX74" s="180"/>
      <c r="NNY74" s="180"/>
      <c r="NNZ74" s="180"/>
      <c r="NOA74" s="180"/>
      <c r="NOB74" s="180"/>
      <c r="NOC74" s="180"/>
      <c r="NOD74" s="180"/>
      <c r="NOE74" s="180"/>
      <c r="NOF74" s="180"/>
      <c r="NOG74" s="180"/>
      <c r="NOH74" s="180"/>
      <c r="NOI74" s="180"/>
      <c r="NOJ74" s="180"/>
      <c r="NOK74" s="180"/>
      <c r="NOL74" s="180"/>
      <c r="NOM74" s="180"/>
      <c r="NON74" s="180"/>
      <c r="NOO74" s="180"/>
      <c r="NOP74" s="180"/>
      <c r="NOQ74" s="180"/>
      <c r="NOR74" s="180"/>
      <c r="NOS74" s="180"/>
      <c r="NOT74" s="180"/>
      <c r="NOU74" s="180"/>
      <c r="NOV74" s="180"/>
      <c r="NOW74" s="180"/>
      <c r="NOX74" s="180"/>
      <c r="NOY74" s="180"/>
      <c r="NOZ74" s="180"/>
      <c r="NPA74" s="180"/>
      <c r="NPB74" s="180"/>
      <c r="NPC74" s="180"/>
      <c r="NPD74" s="180"/>
      <c r="NPE74" s="180"/>
      <c r="NPF74" s="180"/>
      <c r="NPG74" s="180"/>
      <c r="NPH74" s="180"/>
      <c r="NPI74" s="180"/>
      <c r="NPJ74" s="180"/>
      <c r="NPK74" s="180"/>
      <c r="NPL74" s="180"/>
      <c r="NPM74" s="180"/>
      <c r="NPN74" s="180"/>
      <c r="NPO74" s="180"/>
      <c r="NPP74" s="180"/>
      <c r="NPQ74" s="180"/>
      <c r="NPR74" s="180"/>
      <c r="NPS74" s="180"/>
      <c r="NPT74" s="180"/>
      <c r="NPU74" s="180"/>
      <c r="NPV74" s="180"/>
      <c r="NPW74" s="180"/>
      <c r="NPX74" s="180"/>
      <c r="NPY74" s="180"/>
      <c r="NPZ74" s="180"/>
      <c r="NQA74" s="180"/>
      <c r="NQB74" s="180"/>
      <c r="NQC74" s="180"/>
      <c r="NQD74" s="180"/>
      <c r="NQE74" s="180"/>
      <c r="NQF74" s="180"/>
      <c r="NQG74" s="180"/>
      <c r="NQH74" s="180"/>
      <c r="NQI74" s="180"/>
      <c r="NQJ74" s="180"/>
      <c r="NQK74" s="180"/>
      <c r="NQL74" s="180"/>
      <c r="NQM74" s="180"/>
      <c r="NQN74" s="180"/>
      <c r="NQO74" s="180"/>
      <c r="NQP74" s="180"/>
      <c r="NQQ74" s="180"/>
      <c r="NQR74" s="180"/>
      <c r="NQS74" s="180"/>
      <c r="NQT74" s="180"/>
      <c r="NQU74" s="180"/>
      <c r="NQV74" s="180"/>
      <c r="NQW74" s="180"/>
      <c r="NQX74" s="180"/>
      <c r="NQY74" s="180"/>
      <c r="NQZ74" s="180"/>
      <c r="NRA74" s="180"/>
      <c r="NRB74" s="180"/>
      <c r="NRC74" s="180"/>
      <c r="NRD74" s="180"/>
      <c r="NRE74" s="180"/>
      <c r="NRF74" s="180"/>
      <c r="NRG74" s="180"/>
      <c r="NRH74" s="180"/>
      <c r="NRI74" s="180"/>
      <c r="NRJ74" s="180"/>
      <c r="NRK74" s="180"/>
      <c r="NRL74" s="180"/>
      <c r="NRM74" s="180"/>
      <c r="NRN74" s="180"/>
      <c r="NRO74" s="180"/>
      <c r="NRP74" s="180"/>
      <c r="NRQ74" s="180"/>
      <c r="NRR74" s="180"/>
      <c r="NRS74" s="180"/>
      <c r="NRT74" s="180"/>
      <c r="NRU74" s="180"/>
      <c r="NRV74" s="180"/>
      <c r="NRW74" s="180"/>
      <c r="NRX74" s="180"/>
      <c r="NRY74" s="180"/>
      <c r="NRZ74" s="180"/>
      <c r="NSA74" s="180"/>
      <c r="NSB74" s="180"/>
      <c r="NSC74" s="180"/>
      <c r="NSD74" s="180"/>
      <c r="NSE74" s="180"/>
      <c r="NSF74" s="180"/>
      <c r="NSG74" s="180"/>
      <c r="NSH74" s="180"/>
      <c r="NSI74" s="180"/>
      <c r="NSJ74" s="180"/>
      <c r="NSK74" s="180"/>
      <c r="NSL74" s="180"/>
      <c r="NSM74" s="180"/>
      <c r="NSN74" s="180"/>
      <c r="NSO74" s="180"/>
      <c r="NSP74" s="180"/>
      <c r="NSQ74" s="180"/>
      <c r="NSR74" s="180"/>
      <c r="NSS74" s="180"/>
      <c r="NST74" s="180"/>
      <c r="NSU74" s="180"/>
      <c r="NSV74" s="180"/>
      <c r="NSW74" s="180"/>
      <c r="NSX74" s="180"/>
      <c r="NSY74" s="180"/>
      <c r="NSZ74" s="180"/>
      <c r="NTA74" s="180"/>
      <c r="NTB74" s="180"/>
      <c r="NTC74" s="180"/>
      <c r="NTD74" s="180"/>
      <c r="NTE74" s="180"/>
      <c r="NTF74" s="180"/>
      <c r="NTG74" s="180"/>
      <c r="NTH74" s="180"/>
      <c r="NTI74" s="180"/>
      <c r="NTJ74" s="180"/>
      <c r="NTK74" s="180"/>
      <c r="NTL74" s="180"/>
      <c r="NTM74" s="180"/>
      <c r="NTN74" s="180"/>
      <c r="NTO74" s="180"/>
      <c r="NTP74" s="180"/>
      <c r="NTQ74" s="180"/>
      <c r="NTR74" s="180"/>
      <c r="NTS74" s="180"/>
      <c r="NTT74" s="180"/>
      <c r="NTU74" s="180"/>
      <c r="NTV74" s="180"/>
      <c r="NTW74" s="180"/>
      <c r="NTX74" s="180"/>
      <c r="NTY74" s="180"/>
      <c r="NTZ74" s="180"/>
      <c r="NUA74" s="180"/>
      <c r="NUB74" s="180"/>
      <c r="NUC74" s="180"/>
      <c r="NUD74" s="180"/>
      <c r="NUE74" s="180"/>
      <c r="NUF74" s="180"/>
      <c r="NUG74" s="180"/>
      <c r="NUH74" s="180"/>
      <c r="NUI74" s="180"/>
      <c r="NUJ74" s="180"/>
      <c r="NUK74" s="180"/>
      <c r="NUL74" s="180"/>
      <c r="NUM74" s="180"/>
      <c r="NUN74" s="180"/>
      <c r="NUO74" s="180"/>
      <c r="NUP74" s="180"/>
      <c r="NUQ74" s="180"/>
      <c r="NUR74" s="180"/>
      <c r="NUS74" s="180"/>
      <c r="NUT74" s="180"/>
      <c r="NUU74" s="180"/>
      <c r="NUV74" s="180"/>
      <c r="NUW74" s="180"/>
      <c r="NUX74" s="180"/>
      <c r="NUY74" s="180"/>
      <c r="NUZ74" s="180"/>
      <c r="NVA74" s="180"/>
      <c r="NVB74" s="180"/>
      <c r="NVC74" s="180"/>
      <c r="NVD74" s="180"/>
      <c r="NVE74" s="180"/>
      <c r="NVF74" s="180"/>
      <c r="NVG74" s="180"/>
      <c r="NVH74" s="180"/>
      <c r="NVI74" s="180"/>
      <c r="NVJ74" s="180"/>
      <c r="NVK74" s="180"/>
      <c r="NVL74" s="180"/>
      <c r="NVM74" s="180"/>
      <c r="NVN74" s="180"/>
      <c r="NVO74" s="180"/>
      <c r="NVP74" s="180"/>
      <c r="NVQ74" s="180"/>
      <c r="NVR74" s="180"/>
      <c r="NVS74" s="180"/>
      <c r="NVT74" s="180"/>
      <c r="NVU74" s="180"/>
      <c r="NVV74" s="180"/>
      <c r="NVW74" s="180"/>
      <c r="NVX74" s="180"/>
      <c r="NVY74" s="180"/>
      <c r="NVZ74" s="180"/>
      <c r="NWA74" s="180"/>
      <c r="NWB74" s="180"/>
      <c r="NWC74" s="180"/>
      <c r="NWD74" s="180"/>
      <c r="NWE74" s="180"/>
      <c r="NWF74" s="180"/>
      <c r="NWG74" s="180"/>
      <c r="NWH74" s="180"/>
      <c r="NWI74" s="180"/>
      <c r="NWJ74" s="180"/>
      <c r="NWK74" s="180"/>
      <c r="NWL74" s="180"/>
      <c r="NWM74" s="180"/>
      <c r="NWN74" s="180"/>
      <c r="NWO74" s="180"/>
      <c r="NWP74" s="180"/>
      <c r="NWQ74" s="180"/>
      <c r="NWR74" s="180"/>
      <c r="NWS74" s="180"/>
      <c r="NWT74" s="180"/>
      <c r="NWU74" s="180"/>
      <c r="NWV74" s="180"/>
      <c r="NWW74" s="180"/>
      <c r="NWX74" s="180"/>
      <c r="NWY74" s="180"/>
      <c r="NWZ74" s="180"/>
      <c r="NXA74" s="180"/>
      <c r="NXB74" s="180"/>
      <c r="NXC74" s="180"/>
      <c r="NXD74" s="180"/>
      <c r="NXE74" s="180"/>
      <c r="NXF74" s="180"/>
      <c r="NXG74" s="180"/>
      <c r="NXH74" s="180"/>
      <c r="NXI74" s="180"/>
      <c r="NXJ74" s="180"/>
      <c r="NXK74" s="180"/>
      <c r="NXL74" s="180"/>
      <c r="NXM74" s="180"/>
      <c r="NXN74" s="180"/>
      <c r="NXO74" s="180"/>
      <c r="NXP74" s="180"/>
      <c r="NXQ74" s="180"/>
      <c r="NXR74" s="180"/>
      <c r="NXS74" s="180"/>
      <c r="NXT74" s="180"/>
      <c r="NXU74" s="180"/>
      <c r="NXV74" s="180"/>
      <c r="NXW74" s="180"/>
      <c r="NXX74" s="180"/>
      <c r="NXY74" s="180"/>
      <c r="NXZ74" s="180"/>
      <c r="NYA74" s="180"/>
      <c r="NYB74" s="180"/>
      <c r="NYC74" s="180"/>
      <c r="NYD74" s="180"/>
      <c r="NYE74" s="180"/>
      <c r="NYF74" s="180"/>
      <c r="NYG74" s="180"/>
      <c r="NYH74" s="180"/>
      <c r="NYI74" s="180"/>
      <c r="NYJ74" s="180"/>
      <c r="NYK74" s="180"/>
      <c r="NYL74" s="180"/>
      <c r="NYM74" s="180"/>
      <c r="NYN74" s="180"/>
      <c r="NYO74" s="180"/>
      <c r="NYP74" s="180"/>
      <c r="NYQ74" s="180"/>
      <c r="NYR74" s="180"/>
      <c r="NYS74" s="180"/>
      <c r="NYT74" s="180"/>
      <c r="NYU74" s="180"/>
      <c r="NYV74" s="180"/>
      <c r="NYW74" s="180"/>
      <c r="NYX74" s="180"/>
      <c r="NYY74" s="180"/>
      <c r="NYZ74" s="180"/>
      <c r="NZA74" s="180"/>
      <c r="NZB74" s="180"/>
      <c r="NZC74" s="180"/>
      <c r="NZD74" s="180"/>
      <c r="NZE74" s="180"/>
      <c r="NZF74" s="180"/>
      <c r="NZG74" s="180"/>
      <c r="NZH74" s="180"/>
      <c r="NZI74" s="180"/>
      <c r="NZJ74" s="180"/>
      <c r="NZK74" s="180"/>
      <c r="NZL74" s="180"/>
      <c r="NZM74" s="180"/>
      <c r="NZN74" s="180"/>
      <c r="NZO74" s="180"/>
      <c r="NZP74" s="180"/>
      <c r="NZQ74" s="180"/>
      <c r="NZR74" s="180"/>
      <c r="NZS74" s="180"/>
      <c r="NZT74" s="180"/>
      <c r="NZU74" s="180"/>
      <c r="NZV74" s="180"/>
      <c r="NZW74" s="180"/>
      <c r="NZX74" s="180"/>
      <c r="NZY74" s="180"/>
      <c r="NZZ74" s="180"/>
      <c r="OAA74" s="180"/>
      <c r="OAB74" s="180"/>
      <c r="OAC74" s="180"/>
      <c r="OAD74" s="180"/>
      <c r="OAE74" s="180"/>
      <c r="OAF74" s="180"/>
      <c r="OAG74" s="180"/>
      <c r="OAH74" s="180"/>
      <c r="OAI74" s="180"/>
      <c r="OAJ74" s="180"/>
      <c r="OAK74" s="180"/>
      <c r="OAL74" s="180"/>
      <c r="OAM74" s="180"/>
      <c r="OAN74" s="180"/>
      <c r="OAO74" s="180"/>
      <c r="OAP74" s="180"/>
      <c r="OAQ74" s="180"/>
      <c r="OAR74" s="180"/>
      <c r="OAS74" s="180"/>
      <c r="OAT74" s="180"/>
      <c r="OAU74" s="180"/>
      <c r="OAV74" s="180"/>
      <c r="OAW74" s="180"/>
      <c r="OAX74" s="180"/>
      <c r="OAY74" s="180"/>
      <c r="OAZ74" s="180"/>
      <c r="OBA74" s="180"/>
      <c r="OBB74" s="180"/>
      <c r="OBC74" s="180"/>
      <c r="OBD74" s="180"/>
      <c r="OBE74" s="180"/>
      <c r="OBF74" s="180"/>
      <c r="OBG74" s="180"/>
      <c r="OBH74" s="180"/>
      <c r="OBI74" s="180"/>
      <c r="OBJ74" s="180"/>
      <c r="OBK74" s="180"/>
      <c r="OBL74" s="180"/>
      <c r="OBM74" s="180"/>
      <c r="OBN74" s="180"/>
      <c r="OBO74" s="180"/>
      <c r="OBP74" s="180"/>
      <c r="OBQ74" s="180"/>
      <c r="OBR74" s="180"/>
      <c r="OBS74" s="180"/>
      <c r="OBT74" s="180"/>
      <c r="OBU74" s="180"/>
      <c r="OBV74" s="180"/>
      <c r="OBW74" s="180"/>
      <c r="OBX74" s="180"/>
      <c r="OBY74" s="180"/>
      <c r="OBZ74" s="180"/>
      <c r="OCA74" s="180"/>
      <c r="OCB74" s="180"/>
      <c r="OCC74" s="180"/>
      <c r="OCD74" s="180"/>
      <c r="OCE74" s="180"/>
      <c r="OCF74" s="180"/>
      <c r="OCG74" s="180"/>
      <c r="OCH74" s="180"/>
      <c r="OCI74" s="180"/>
      <c r="OCJ74" s="180"/>
      <c r="OCK74" s="180"/>
      <c r="OCL74" s="180"/>
      <c r="OCM74" s="180"/>
      <c r="OCN74" s="180"/>
      <c r="OCO74" s="180"/>
      <c r="OCP74" s="180"/>
      <c r="OCQ74" s="180"/>
      <c r="OCR74" s="180"/>
      <c r="OCS74" s="180"/>
      <c r="OCT74" s="180"/>
      <c r="OCU74" s="180"/>
      <c r="OCV74" s="180"/>
      <c r="OCW74" s="180"/>
      <c r="OCX74" s="180"/>
      <c r="OCY74" s="180"/>
      <c r="OCZ74" s="180"/>
      <c r="ODA74" s="180"/>
      <c r="ODB74" s="180"/>
      <c r="ODC74" s="180"/>
      <c r="ODD74" s="180"/>
      <c r="ODE74" s="180"/>
      <c r="ODF74" s="180"/>
      <c r="ODG74" s="180"/>
      <c r="ODH74" s="180"/>
      <c r="ODI74" s="180"/>
      <c r="ODJ74" s="180"/>
      <c r="ODK74" s="180"/>
      <c r="ODL74" s="180"/>
      <c r="ODM74" s="180"/>
      <c r="ODN74" s="180"/>
      <c r="ODO74" s="180"/>
      <c r="ODP74" s="180"/>
      <c r="ODQ74" s="180"/>
      <c r="ODR74" s="180"/>
      <c r="ODS74" s="180"/>
      <c r="ODT74" s="180"/>
      <c r="ODU74" s="180"/>
      <c r="ODV74" s="180"/>
      <c r="ODW74" s="180"/>
      <c r="ODX74" s="180"/>
      <c r="ODY74" s="180"/>
      <c r="ODZ74" s="180"/>
      <c r="OEA74" s="180"/>
      <c r="OEB74" s="180"/>
      <c r="OEC74" s="180"/>
      <c r="OED74" s="180"/>
      <c r="OEE74" s="180"/>
      <c r="OEF74" s="180"/>
      <c r="OEG74" s="180"/>
      <c r="OEH74" s="180"/>
      <c r="OEI74" s="180"/>
      <c r="OEJ74" s="180"/>
      <c r="OEK74" s="180"/>
      <c r="OEL74" s="180"/>
      <c r="OEM74" s="180"/>
      <c r="OEN74" s="180"/>
      <c r="OEO74" s="180"/>
      <c r="OEP74" s="180"/>
      <c r="OEQ74" s="180"/>
      <c r="OER74" s="180"/>
      <c r="OES74" s="180"/>
      <c r="OET74" s="180"/>
      <c r="OEU74" s="180"/>
      <c r="OEV74" s="180"/>
      <c r="OEW74" s="180"/>
      <c r="OEX74" s="180"/>
      <c r="OEY74" s="180"/>
      <c r="OEZ74" s="180"/>
      <c r="OFA74" s="180"/>
      <c r="OFB74" s="180"/>
      <c r="OFC74" s="180"/>
      <c r="OFD74" s="180"/>
      <c r="OFE74" s="180"/>
      <c r="OFF74" s="180"/>
      <c r="OFG74" s="180"/>
      <c r="OFH74" s="180"/>
      <c r="OFI74" s="180"/>
      <c r="OFJ74" s="180"/>
      <c r="OFK74" s="180"/>
      <c r="OFL74" s="180"/>
      <c r="OFM74" s="180"/>
      <c r="OFN74" s="180"/>
      <c r="OFO74" s="180"/>
      <c r="OFP74" s="180"/>
      <c r="OFQ74" s="180"/>
      <c r="OFR74" s="180"/>
      <c r="OFS74" s="180"/>
      <c r="OFT74" s="180"/>
      <c r="OFU74" s="180"/>
      <c r="OFV74" s="180"/>
      <c r="OFW74" s="180"/>
      <c r="OFX74" s="180"/>
      <c r="OFY74" s="180"/>
      <c r="OFZ74" s="180"/>
      <c r="OGA74" s="180"/>
      <c r="OGB74" s="180"/>
      <c r="OGC74" s="180"/>
      <c r="OGD74" s="180"/>
      <c r="OGE74" s="180"/>
      <c r="OGF74" s="180"/>
      <c r="OGG74" s="180"/>
      <c r="OGH74" s="180"/>
      <c r="OGI74" s="180"/>
      <c r="OGJ74" s="180"/>
      <c r="OGK74" s="180"/>
      <c r="OGL74" s="180"/>
      <c r="OGM74" s="180"/>
      <c r="OGN74" s="180"/>
      <c r="OGO74" s="180"/>
      <c r="OGP74" s="180"/>
      <c r="OGQ74" s="180"/>
      <c r="OGR74" s="180"/>
      <c r="OGS74" s="180"/>
      <c r="OGT74" s="180"/>
      <c r="OGU74" s="180"/>
      <c r="OGV74" s="180"/>
      <c r="OGW74" s="180"/>
      <c r="OGX74" s="180"/>
      <c r="OGY74" s="180"/>
      <c r="OGZ74" s="180"/>
      <c r="OHA74" s="180"/>
      <c r="OHB74" s="180"/>
      <c r="OHC74" s="180"/>
      <c r="OHD74" s="180"/>
      <c r="OHE74" s="180"/>
      <c r="OHF74" s="180"/>
      <c r="OHG74" s="180"/>
      <c r="OHH74" s="180"/>
      <c r="OHI74" s="180"/>
      <c r="OHJ74" s="180"/>
      <c r="OHK74" s="180"/>
      <c r="OHL74" s="180"/>
      <c r="OHM74" s="180"/>
      <c r="OHN74" s="180"/>
      <c r="OHO74" s="180"/>
      <c r="OHP74" s="180"/>
      <c r="OHQ74" s="180"/>
      <c r="OHR74" s="180"/>
      <c r="OHS74" s="180"/>
      <c r="OHT74" s="180"/>
      <c r="OHU74" s="180"/>
      <c r="OHV74" s="180"/>
      <c r="OHW74" s="180"/>
      <c r="OHX74" s="180"/>
      <c r="OHY74" s="180"/>
      <c r="OHZ74" s="180"/>
      <c r="OIA74" s="180"/>
      <c r="OIB74" s="180"/>
      <c r="OIC74" s="180"/>
      <c r="OID74" s="180"/>
      <c r="OIE74" s="180"/>
      <c r="OIF74" s="180"/>
      <c r="OIG74" s="180"/>
      <c r="OIH74" s="180"/>
      <c r="OII74" s="180"/>
      <c r="OIJ74" s="180"/>
      <c r="OIK74" s="180"/>
      <c r="OIL74" s="180"/>
      <c r="OIM74" s="180"/>
      <c r="OIN74" s="180"/>
      <c r="OIO74" s="180"/>
      <c r="OIP74" s="180"/>
      <c r="OIQ74" s="180"/>
      <c r="OIR74" s="180"/>
      <c r="OIS74" s="180"/>
      <c r="OIT74" s="180"/>
      <c r="OIU74" s="180"/>
      <c r="OIV74" s="180"/>
      <c r="OIW74" s="180"/>
      <c r="OIX74" s="180"/>
      <c r="OIY74" s="180"/>
      <c r="OIZ74" s="180"/>
      <c r="OJA74" s="180"/>
      <c r="OJB74" s="180"/>
      <c r="OJC74" s="180"/>
      <c r="OJD74" s="180"/>
      <c r="OJE74" s="180"/>
      <c r="OJF74" s="180"/>
      <c r="OJG74" s="180"/>
      <c r="OJH74" s="180"/>
      <c r="OJI74" s="180"/>
      <c r="OJJ74" s="180"/>
      <c r="OJK74" s="180"/>
      <c r="OJL74" s="180"/>
      <c r="OJM74" s="180"/>
      <c r="OJN74" s="180"/>
      <c r="OJO74" s="180"/>
      <c r="OJP74" s="180"/>
      <c r="OJQ74" s="180"/>
      <c r="OJR74" s="180"/>
      <c r="OJS74" s="180"/>
      <c r="OJT74" s="180"/>
      <c r="OJU74" s="180"/>
      <c r="OJV74" s="180"/>
      <c r="OJW74" s="180"/>
      <c r="OJX74" s="180"/>
      <c r="OJY74" s="180"/>
      <c r="OJZ74" s="180"/>
      <c r="OKA74" s="180"/>
      <c r="OKB74" s="180"/>
      <c r="OKC74" s="180"/>
      <c r="OKD74" s="180"/>
      <c r="OKE74" s="180"/>
      <c r="OKF74" s="180"/>
      <c r="OKG74" s="180"/>
      <c r="OKH74" s="180"/>
      <c r="OKI74" s="180"/>
      <c r="OKJ74" s="180"/>
      <c r="OKK74" s="180"/>
      <c r="OKL74" s="180"/>
      <c r="OKM74" s="180"/>
      <c r="OKN74" s="180"/>
      <c r="OKO74" s="180"/>
      <c r="OKP74" s="180"/>
      <c r="OKQ74" s="180"/>
      <c r="OKR74" s="180"/>
      <c r="OKS74" s="180"/>
      <c r="OKT74" s="180"/>
      <c r="OKU74" s="180"/>
      <c r="OKV74" s="180"/>
      <c r="OKW74" s="180"/>
      <c r="OKX74" s="180"/>
      <c r="OKY74" s="180"/>
      <c r="OKZ74" s="180"/>
      <c r="OLA74" s="180"/>
      <c r="OLB74" s="180"/>
      <c r="OLC74" s="180"/>
      <c r="OLD74" s="180"/>
      <c r="OLE74" s="180"/>
      <c r="OLF74" s="180"/>
      <c r="OLG74" s="180"/>
      <c r="OLH74" s="180"/>
      <c r="OLI74" s="180"/>
      <c r="OLJ74" s="180"/>
      <c r="OLK74" s="180"/>
      <c r="OLL74" s="180"/>
      <c r="OLM74" s="180"/>
      <c r="OLN74" s="180"/>
      <c r="OLO74" s="180"/>
      <c r="OLP74" s="180"/>
      <c r="OLQ74" s="180"/>
      <c r="OLR74" s="180"/>
      <c r="OLS74" s="180"/>
      <c r="OLT74" s="180"/>
      <c r="OLU74" s="180"/>
      <c r="OLV74" s="180"/>
      <c r="OLW74" s="180"/>
      <c r="OLX74" s="180"/>
      <c r="OLY74" s="180"/>
      <c r="OLZ74" s="180"/>
      <c r="OMA74" s="180"/>
      <c r="OMB74" s="180"/>
      <c r="OMC74" s="180"/>
      <c r="OMD74" s="180"/>
      <c r="OME74" s="180"/>
      <c r="OMF74" s="180"/>
      <c r="OMG74" s="180"/>
      <c r="OMH74" s="180"/>
      <c r="OMI74" s="180"/>
      <c r="OMJ74" s="180"/>
      <c r="OMK74" s="180"/>
      <c r="OML74" s="180"/>
      <c r="OMM74" s="180"/>
      <c r="OMN74" s="180"/>
      <c r="OMO74" s="180"/>
      <c r="OMP74" s="180"/>
      <c r="OMQ74" s="180"/>
      <c r="OMR74" s="180"/>
      <c r="OMS74" s="180"/>
      <c r="OMT74" s="180"/>
      <c r="OMU74" s="180"/>
      <c r="OMV74" s="180"/>
      <c r="OMW74" s="180"/>
      <c r="OMX74" s="180"/>
      <c r="OMY74" s="180"/>
      <c r="OMZ74" s="180"/>
      <c r="ONA74" s="180"/>
      <c r="ONB74" s="180"/>
      <c r="ONC74" s="180"/>
      <c r="OND74" s="180"/>
      <c r="ONE74" s="180"/>
      <c r="ONF74" s="180"/>
      <c r="ONG74" s="180"/>
      <c r="ONH74" s="180"/>
      <c r="ONI74" s="180"/>
      <c r="ONJ74" s="180"/>
      <c r="ONK74" s="180"/>
      <c r="ONL74" s="180"/>
      <c r="ONM74" s="180"/>
      <c r="ONN74" s="180"/>
      <c r="ONO74" s="180"/>
      <c r="ONP74" s="180"/>
      <c r="ONQ74" s="180"/>
      <c r="ONR74" s="180"/>
      <c r="ONS74" s="180"/>
      <c r="ONT74" s="180"/>
      <c r="ONU74" s="180"/>
      <c r="ONV74" s="180"/>
      <c r="ONW74" s="180"/>
      <c r="ONX74" s="180"/>
      <c r="ONY74" s="180"/>
      <c r="ONZ74" s="180"/>
      <c r="OOA74" s="180"/>
      <c r="OOB74" s="180"/>
      <c r="OOC74" s="180"/>
      <c r="OOD74" s="180"/>
      <c r="OOE74" s="180"/>
      <c r="OOF74" s="180"/>
      <c r="OOG74" s="180"/>
      <c r="OOH74" s="180"/>
      <c r="OOI74" s="180"/>
      <c r="OOJ74" s="180"/>
      <c r="OOK74" s="180"/>
      <c r="OOL74" s="180"/>
      <c r="OOM74" s="180"/>
      <c r="OON74" s="180"/>
      <c r="OOO74" s="180"/>
      <c r="OOP74" s="180"/>
      <c r="OOQ74" s="180"/>
      <c r="OOR74" s="180"/>
      <c r="OOS74" s="180"/>
      <c r="OOT74" s="180"/>
      <c r="OOU74" s="180"/>
      <c r="OOV74" s="180"/>
      <c r="OOW74" s="180"/>
      <c r="OOX74" s="180"/>
      <c r="OOY74" s="180"/>
      <c r="OOZ74" s="180"/>
      <c r="OPA74" s="180"/>
      <c r="OPB74" s="180"/>
      <c r="OPC74" s="180"/>
      <c r="OPD74" s="180"/>
      <c r="OPE74" s="180"/>
      <c r="OPF74" s="180"/>
      <c r="OPG74" s="180"/>
      <c r="OPH74" s="180"/>
      <c r="OPI74" s="180"/>
      <c r="OPJ74" s="180"/>
      <c r="OPK74" s="180"/>
      <c r="OPL74" s="180"/>
      <c r="OPM74" s="180"/>
      <c r="OPN74" s="180"/>
      <c r="OPO74" s="180"/>
      <c r="OPP74" s="180"/>
      <c r="OPQ74" s="180"/>
      <c r="OPR74" s="180"/>
      <c r="OPS74" s="180"/>
      <c r="OPT74" s="180"/>
      <c r="OPU74" s="180"/>
      <c r="OPV74" s="180"/>
      <c r="OPW74" s="180"/>
      <c r="OPX74" s="180"/>
      <c r="OPY74" s="180"/>
      <c r="OPZ74" s="180"/>
      <c r="OQA74" s="180"/>
      <c r="OQB74" s="180"/>
      <c r="OQC74" s="180"/>
      <c r="OQD74" s="180"/>
      <c r="OQE74" s="180"/>
      <c r="OQF74" s="180"/>
      <c r="OQG74" s="180"/>
      <c r="OQH74" s="180"/>
      <c r="OQI74" s="180"/>
      <c r="OQJ74" s="180"/>
      <c r="OQK74" s="180"/>
      <c r="OQL74" s="180"/>
      <c r="OQM74" s="180"/>
      <c r="OQN74" s="180"/>
      <c r="OQO74" s="180"/>
      <c r="OQP74" s="180"/>
      <c r="OQQ74" s="180"/>
      <c r="OQR74" s="180"/>
      <c r="OQS74" s="180"/>
      <c r="OQT74" s="180"/>
      <c r="OQU74" s="180"/>
      <c r="OQV74" s="180"/>
      <c r="OQW74" s="180"/>
      <c r="OQX74" s="180"/>
      <c r="OQY74" s="180"/>
      <c r="OQZ74" s="180"/>
      <c r="ORA74" s="180"/>
      <c r="ORB74" s="180"/>
      <c r="ORC74" s="180"/>
      <c r="ORD74" s="180"/>
      <c r="ORE74" s="180"/>
      <c r="ORF74" s="180"/>
      <c r="ORG74" s="180"/>
      <c r="ORH74" s="180"/>
      <c r="ORI74" s="180"/>
      <c r="ORJ74" s="180"/>
      <c r="ORK74" s="180"/>
      <c r="ORL74" s="180"/>
      <c r="ORM74" s="180"/>
      <c r="ORN74" s="180"/>
      <c r="ORO74" s="180"/>
      <c r="ORP74" s="180"/>
      <c r="ORQ74" s="180"/>
      <c r="ORR74" s="180"/>
      <c r="ORS74" s="180"/>
      <c r="ORT74" s="180"/>
      <c r="ORU74" s="180"/>
      <c r="ORV74" s="180"/>
      <c r="ORW74" s="180"/>
      <c r="ORX74" s="180"/>
      <c r="ORY74" s="180"/>
      <c r="ORZ74" s="180"/>
      <c r="OSA74" s="180"/>
      <c r="OSB74" s="180"/>
      <c r="OSC74" s="180"/>
      <c r="OSD74" s="180"/>
      <c r="OSE74" s="180"/>
      <c r="OSF74" s="180"/>
      <c r="OSG74" s="180"/>
      <c r="OSH74" s="180"/>
      <c r="OSI74" s="180"/>
      <c r="OSJ74" s="180"/>
      <c r="OSK74" s="180"/>
      <c r="OSL74" s="180"/>
      <c r="OSM74" s="180"/>
      <c r="OSN74" s="180"/>
      <c r="OSO74" s="180"/>
      <c r="OSP74" s="180"/>
      <c r="OSQ74" s="180"/>
      <c r="OSR74" s="180"/>
      <c r="OSS74" s="180"/>
      <c r="OST74" s="180"/>
      <c r="OSU74" s="180"/>
      <c r="OSV74" s="180"/>
      <c r="OSW74" s="180"/>
      <c r="OSX74" s="180"/>
      <c r="OSY74" s="180"/>
      <c r="OSZ74" s="180"/>
      <c r="OTA74" s="180"/>
      <c r="OTB74" s="180"/>
      <c r="OTC74" s="180"/>
      <c r="OTD74" s="180"/>
      <c r="OTE74" s="180"/>
      <c r="OTF74" s="180"/>
      <c r="OTG74" s="180"/>
      <c r="OTH74" s="180"/>
      <c r="OTI74" s="180"/>
      <c r="OTJ74" s="180"/>
      <c r="OTK74" s="180"/>
      <c r="OTL74" s="180"/>
      <c r="OTM74" s="180"/>
      <c r="OTN74" s="180"/>
      <c r="OTO74" s="180"/>
      <c r="OTP74" s="180"/>
      <c r="OTQ74" s="180"/>
      <c r="OTR74" s="180"/>
      <c r="OTS74" s="180"/>
      <c r="OTT74" s="180"/>
      <c r="OTU74" s="180"/>
      <c r="OTV74" s="180"/>
      <c r="OTW74" s="180"/>
      <c r="OTX74" s="180"/>
      <c r="OTY74" s="180"/>
      <c r="OTZ74" s="180"/>
      <c r="OUA74" s="180"/>
      <c r="OUB74" s="180"/>
      <c r="OUC74" s="180"/>
      <c r="OUD74" s="180"/>
      <c r="OUE74" s="180"/>
      <c r="OUF74" s="180"/>
      <c r="OUG74" s="180"/>
      <c r="OUH74" s="180"/>
      <c r="OUI74" s="180"/>
      <c r="OUJ74" s="180"/>
      <c r="OUK74" s="180"/>
      <c r="OUL74" s="180"/>
      <c r="OUM74" s="180"/>
      <c r="OUN74" s="180"/>
      <c r="OUO74" s="180"/>
      <c r="OUP74" s="180"/>
      <c r="OUQ74" s="180"/>
      <c r="OUR74" s="180"/>
      <c r="OUS74" s="180"/>
      <c r="OUT74" s="180"/>
      <c r="OUU74" s="180"/>
      <c r="OUV74" s="180"/>
      <c r="OUW74" s="180"/>
      <c r="OUX74" s="180"/>
      <c r="OUY74" s="180"/>
      <c r="OUZ74" s="180"/>
      <c r="OVA74" s="180"/>
      <c r="OVB74" s="180"/>
      <c r="OVC74" s="180"/>
      <c r="OVD74" s="180"/>
      <c r="OVE74" s="180"/>
      <c r="OVF74" s="180"/>
      <c r="OVG74" s="180"/>
      <c r="OVH74" s="180"/>
      <c r="OVI74" s="180"/>
      <c r="OVJ74" s="180"/>
      <c r="OVK74" s="180"/>
      <c r="OVL74" s="180"/>
      <c r="OVM74" s="180"/>
      <c r="OVN74" s="180"/>
      <c r="OVO74" s="180"/>
      <c r="OVP74" s="180"/>
      <c r="OVQ74" s="180"/>
      <c r="OVR74" s="180"/>
      <c r="OVS74" s="180"/>
      <c r="OVT74" s="180"/>
      <c r="OVU74" s="180"/>
      <c r="OVV74" s="180"/>
      <c r="OVW74" s="180"/>
      <c r="OVX74" s="180"/>
      <c r="OVY74" s="180"/>
      <c r="OVZ74" s="180"/>
      <c r="OWA74" s="180"/>
      <c r="OWB74" s="180"/>
      <c r="OWC74" s="180"/>
      <c r="OWD74" s="180"/>
      <c r="OWE74" s="180"/>
      <c r="OWF74" s="180"/>
      <c r="OWG74" s="180"/>
      <c r="OWH74" s="180"/>
      <c r="OWI74" s="180"/>
      <c r="OWJ74" s="180"/>
      <c r="OWK74" s="180"/>
      <c r="OWL74" s="180"/>
      <c r="OWM74" s="180"/>
      <c r="OWN74" s="180"/>
      <c r="OWO74" s="180"/>
      <c r="OWP74" s="180"/>
      <c r="OWQ74" s="180"/>
      <c r="OWR74" s="180"/>
      <c r="OWS74" s="180"/>
      <c r="OWT74" s="180"/>
      <c r="OWU74" s="180"/>
      <c r="OWV74" s="180"/>
      <c r="OWW74" s="180"/>
      <c r="OWX74" s="180"/>
      <c r="OWY74" s="180"/>
      <c r="OWZ74" s="180"/>
      <c r="OXA74" s="180"/>
      <c r="OXB74" s="180"/>
      <c r="OXC74" s="180"/>
      <c r="OXD74" s="180"/>
      <c r="OXE74" s="180"/>
      <c r="OXF74" s="180"/>
      <c r="OXG74" s="180"/>
      <c r="OXH74" s="180"/>
      <c r="OXI74" s="180"/>
      <c r="OXJ74" s="180"/>
      <c r="OXK74" s="180"/>
      <c r="OXL74" s="180"/>
      <c r="OXM74" s="180"/>
      <c r="OXN74" s="180"/>
      <c r="OXO74" s="180"/>
      <c r="OXP74" s="180"/>
      <c r="OXQ74" s="180"/>
      <c r="OXR74" s="180"/>
      <c r="OXS74" s="180"/>
      <c r="OXT74" s="180"/>
      <c r="OXU74" s="180"/>
      <c r="OXV74" s="180"/>
      <c r="OXW74" s="180"/>
      <c r="OXX74" s="180"/>
      <c r="OXY74" s="180"/>
      <c r="OXZ74" s="180"/>
      <c r="OYA74" s="180"/>
      <c r="OYB74" s="180"/>
      <c r="OYC74" s="180"/>
      <c r="OYD74" s="180"/>
      <c r="OYE74" s="180"/>
      <c r="OYF74" s="180"/>
      <c r="OYG74" s="180"/>
      <c r="OYH74" s="180"/>
      <c r="OYI74" s="180"/>
      <c r="OYJ74" s="180"/>
      <c r="OYK74" s="180"/>
      <c r="OYL74" s="180"/>
      <c r="OYM74" s="180"/>
      <c r="OYN74" s="180"/>
      <c r="OYO74" s="180"/>
      <c r="OYP74" s="180"/>
      <c r="OYQ74" s="180"/>
      <c r="OYR74" s="180"/>
      <c r="OYS74" s="180"/>
      <c r="OYT74" s="180"/>
      <c r="OYU74" s="180"/>
      <c r="OYV74" s="180"/>
      <c r="OYW74" s="180"/>
      <c r="OYX74" s="180"/>
      <c r="OYY74" s="180"/>
      <c r="OYZ74" s="180"/>
      <c r="OZA74" s="180"/>
      <c r="OZB74" s="180"/>
      <c r="OZC74" s="180"/>
      <c r="OZD74" s="180"/>
      <c r="OZE74" s="180"/>
      <c r="OZF74" s="180"/>
      <c r="OZG74" s="180"/>
      <c r="OZH74" s="180"/>
      <c r="OZI74" s="180"/>
      <c r="OZJ74" s="180"/>
      <c r="OZK74" s="180"/>
      <c r="OZL74" s="180"/>
      <c r="OZM74" s="180"/>
      <c r="OZN74" s="180"/>
      <c r="OZO74" s="180"/>
      <c r="OZP74" s="180"/>
      <c r="OZQ74" s="180"/>
      <c r="OZR74" s="180"/>
      <c r="OZS74" s="180"/>
      <c r="OZT74" s="180"/>
      <c r="OZU74" s="180"/>
      <c r="OZV74" s="180"/>
      <c r="OZW74" s="180"/>
      <c r="OZX74" s="180"/>
      <c r="OZY74" s="180"/>
      <c r="OZZ74" s="180"/>
      <c r="PAA74" s="180"/>
      <c r="PAB74" s="180"/>
      <c r="PAC74" s="180"/>
      <c r="PAD74" s="180"/>
      <c r="PAE74" s="180"/>
      <c r="PAF74" s="180"/>
      <c r="PAG74" s="180"/>
      <c r="PAH74" s="180"/>
      <c r="PAI74" s="180"/>
      <c r="PAJ74" s="180"/>
      <c r="PAK74" s="180"/>
      <c r="PAL74" s="180"/>
      <c r="PAM74" s="180"/>
      <c r="PAN74" s="180"/>
      <c r="PAO74" s="180"/>
      <c r="PAP74" s="180"/>
      <c r="PAQ74" s="180"/>
      <c r="PAR74" s="180"/>
      <c r="PAS74" s="180"/>
      <c r="PAT74" s="180"/>
      <c r="PAU74" s="180"/>
      <c r="PAV74" s="180"/>
      <c r="PAW74" s="180"/>
      <c r="PAX74" s="180"/>
      <c r="PAY74" s="180"/>
      <c r="PAZ74" s="180"/>
      <c r="PBA74" s="180"/>
      <c r="PBB74" s="180"/>
      <c r="PBC74" s="180"/>
      <c r="PBD74" s="180"/>
      <c r="PBE74" s="180"/>
      <c r="PBF74" s="180"/>
      <c r="PBG74" s="180"/>
      <c r="PBH74" s="180"/>
      <c r="PBI74" s="180"/>
      <c r="PBJ74" s="180"/>
      <c r="PBK74" s="180"/>
      <c r="PBL74" s="180"/>
      <c r="PBM74" s="180"/>
      <c r="PBN74" s="180"/>
      <c r="PBO74" s="180"/>
      <c r="PBP74" s="180"/>
      <c r="PBQ74" s="180"/>
      <c r="PBR74" s="180"/>
      <c r="PBS74" s="180"/>
      <c r="PBT74" s="180"/>
      <c r="PBU74" s="180"/>
      <c r="PBV74" s="180"/>
      <c r="PBW74" s="180"/>
      <c r="PBX74" s="180"/>
      <c r="PBY74" s="180"/>
      <c r="PBZ74" s="180"/>
      <c r="PCA74" s="180"/>
      <c r="PCB74" s="180"/>
      <c r="PCC74" s="180"/>
      <c r="PCD74" s="180"/>
      <c r="PCE74" s="180"/>
      <c r="PCF74" s="180"/>
      <c r="PCG74" s="180"/>
      <c r="PCH74" s="180"/>
      <c r="PCI74" s="180"/>
      <c r="PCJ74" s="180"/>
      <c r="PCK74" s="180"/>
      <c r="PCL74" s="180"/>
      <c r="PCM74" s="180"/>
      <c r="PCN74" s="180"/>
      <c r="PCO74" s="180"/>
      <c r="PCP74" s="180"/>
      <c r="PCQ74" s="180"/>
      <c r="PCR74" s="180"/>
      <c r="PCS74" s="180"/>
      <c r="PCT74" s="180"/>
      <c r="PCU74" s="180"/>
      <c r="PCV74" s="180"/>
      <c r="PCW74" s="180"/>
      <c r="PCX74" s="180"/>
      <c r="PCY74" s="180"/>
      <c r="PCZ74" s="180"/>
      <c r="PDA74" s="180"/>
      <c r="PDB74" s="180"/>
      <c r="PDC74" s="180"/>
      <c r="PDD74" s="180"/>
      <c r="PDE74" s="180"/>
      <c r="PDF74" s="180"/>
      <c r="PDG74" s="180"/>
      <c r="PDH74" s="180"/>
      <c r="PDI74" s="180"/>
      <c r="PDJ74" s="180"/>
      <c r="PDK74" s="180"/>
      <c r="PDL74" s="180"/>
      <c r="PDM74" s="180"/>
      <c r="PDN74" s="180"/>
      <c r="PDO74" s="180"/>
      <c r="PDP74" s="180"/>
      <c r="PDQ74" s="180"/>
      <c r="PDR74" s="180"/>
      <c r="PDS74" s="180"/>
      <c r="PDT74" s="180"/>
      <c r="PDU74" s="180"/>
      <c r="PDV74" s="180"/>
      <c r="PDW74" s="180"/>
      <c r="PDX74" s="180"/>
      <c r="PDY74" s="180"/>
      <c r="PDZ74" s="180"/>
      <c r="PEA74" s="180"/>
      <c r="PEB74" s="180"/>
      <c r="PEC74" s="180"/>
      <c r="PED74" s="180"/>
      <c r="PEE74" s="180"/>
      <c r="PEF74" s="180"/>
      <c r="PEG74" s="180"/>
      <c r="PEH74" s="180"/>
      <c r="PEI74" s="180"/>
      <c r="PEJ74" s="180"/>
      <c r="PEK74" s="180"/>
      <c r="PEL74" s="180"/>
      <c r="PEM74" s="180"/>
      <c r="PEN74" s="180"/>
      <c r="PEO74" s="180"/>
      <c r="PEP74" s="180"/>
      <c r="PEQ74" s="180"/>
      <c r="PER74" s="180"/>
      <c r="PES74" s="180"/>
      <c r="PET74" s="180"/>
      <c r="PEU74" s="180"/>
      <c r="PEV74" s="180"/>
      <c r="PEW74" s="180"/>
      <c r="PEX74" s="180"/>
      <c r="PEY74" s="180"/>
      <c r="PEZ74" s="180"/>
      <c r="PFA74" s="180"/>
      <c r="PFB74" s="180"/>
      <c r="PFC74" s="180"/>
      <c r="PFD74" s="180"/>
      <c r="PFE74" s="180"/>
      <c r="PFF74" s="180"/>
      <c r="PFG74" s="180"/>
      <c r="PFH74" s="180"/>
      <c r="PFI74" s="180"/>
      <c r="PFJ74" s="180"/>
      <c r="PFK74" s="180"/>
      <c r="PFL74" s="180"/>
      <c r="PFM74" s="180"/>
      <c r="PFN74" s="180"/>
      <c r="PFO74" s="180"/>
      <c r="PFP74" s="180"/>
      <c r="PFQ74" s="180"/>
      <c r="PFR74" s="180"/>
      <c r="PFS74" s="180"/>
      <c r="PFT74" s="180"/>
      <c r="PFU74" s="180"/>
      <c r="PFV74" s="180"/>
      <c r="PFW74" s="180"/>
      <c r="PFX74" s="180"/>
      <c r="PFY74" s="180"/>
      <c r="PFZ74" s="180"/>
      <c r="PGA74" s="180"/>
      <c r="PGB74" s="180"/>
      <c r="PGC74" s="180"/>
      <c r="PGD74" s="180"/>
      <c r="PGE74" s="180"/>
      <c r="PGF74" s="180"/>
      <c r="PGG74" s="180"/>
      <c r="PGH74" s="180"/>
      <c r="PGI74" s="180"/>
      <c r="PGJ74" s="180"/>
      <c r="PGK74" s="180"/>
      <c r="PGL74" s="180"/>
      <c r="PGM74" s="180"/>
      <c r="PGN74" s="180"/>
      <c r="PGO74" s="180"/>
      <c r="PGP74" s="180"/>
      <c r="PGQ74" s="180"/>
      <c r="PGR74" s="180"/>
      <c r="PGS74" s="180"/>
      <c r="PGT74" s="180"/>
      <c r="PGU74" s="180"/>
      <c r="PGV74" s="180"/>
      <c r="PGW74" s="180"/>
      <c r="PGX74" s="180"/>
      <c r="PGY74" s="180"/>
      <c r="PGZ74" s="180"/>
      <c r="PHA74" s="180"/>
      <c r="PHB74" s="180"/>
      <c r="PHC74" s="180"/>
      <c r="PHD74" s="180"/>
      <c r="PHE74" s="180"/>
      <c r="PHF74" s="180"/>
      <c r="PHG74" s="180"/>
      <c r="PHH74" s="180"/>
      <c r="PHI74" s="180"/>
      <c r="PHJ74" s="180"/>
      <c r="PHK74" s="180"/>
      <c r="PHL74" s="180"/>
      <c r="PHM74" s="180"/>
      <c r="PHN74" s="180"/>
      <c r="PHO74" s="180"/>
      <c r="PHP74" s="180"/>
      <c r="PHQ74" s="180"/>
      <c r="PHR74" s="180"/>
      <c r="PHS74" s="180"/>
      <c r="PHT74" s="180"/>
      <c r="PHU74" s="180"/>
      <c r="PHV74" s="180"/>
      <c r="PHW74" s="180"/>
      <c r="PHX74" s="180"/>
      <c r="PHY74" s="180"/>
      <c r="PHZ74" s="180"/>
      <c r="PIA74" s="180"/>
      <c r="PIB74" s="180"/>
      <c r="PIC74" s="180"/>
      <c r="PID74" s="180"/>
      <c r="PIE74" s="180"/>
      <c r="PIF74" s="180"/>
      <c r="PIG74" s="180"/>
      <c r="PIH74" s="180"/>
      <c r="PII74" s="180"/>
      <c r="PIJ74" s="180"/>
      <c r="PIK74" s="180"/>
      <c r="PIL74" s="180"/>
      <c r="PIM74" s="180"/>
      <c r="PIN74" s="180"/>
      <c r="PIO74" s="180"/>
      <c r="PIP74" s="180"/>
      <c r="PIQ74" s="180"/>
      <c r="PIR74" s="180"/>
      <c r="PIS74" s="180"/>
      <c r="PIT74" s="180"/>
      <c r="PIU74" s="180"/>
      <c r="PIV74" s="180"/>
      <c r="PIW74" s="180"/>
      <c r="PIX74" s="180"/>
      <c r="PIY74" s="180"/>
      <c r="PIZ74" s="180"/>
      <c r="PJA74" s="180"/>
      <c r="PJB74" s="180"/>
      <c r="PJC74" s="180"/>
      <c r="PJD74" s="180"/>
      <c r="PJE74" s="180"/>
      <c r="PJF74" s="180"/>
      <c r="PJG74" s="180"/>
      <c r="PJH74" s="180"/>
      <c r="PJI74" s="180"/>
      <c r="PJJ74" s="180"/>
      <c r="PJK74" s="180"/>
      <c r="PJL74" s="180"/>
      <c r="PJM74" s="180"/>
      <c r="PJN74" s="180"/>
      <c r="PJO74" s="180"/>
      <c r="PJP74" s="180"/>
      <c r="PJQ74" s="180"/>
      <c r="PJR74" s="180"/>
      <c r="PJS74" s="180"/>
      <c r="PJT74" s="180"/>
      <c r="PJU74" s="180"/>
      <c r="PJV74" s="180"/>
      <c r="PJW74" s="180"/>
      <c r="PJX74" s="180"/>
      <c r="PJY74" s="180"/>
      <c r="PJZ74" s="180"/>
      <c r="PKA74" s="180"/>
      <c r="PKB74" s="180"/>
      <c r="PKC74" s="180"/>
      <c r="PKD74" s="180"/>
      <c r="PKE74" s="180"/>
      <c r="PKF74" s="180"/>
      <c r="PKG74" s="180"/>
      <c r="PKH74" s="180"/>
      <c r="PKI74" s="180"/>
      <c r="PKJ74" s="180"/>
      <c r="PKK74" s="180"/>
      <c r="PKL74" s="180"/>
      <c r="PKM74" s="180"/>
      <c r="PKN74" s="180"/>
      <c r="PKO74" s="180"/>
      <c r="PKP74" s="180"/>
      <c r="PKQ74" s="180"/>
      <c r="PKR74" s="180"/>
      <c r="PKS74" s="180"/>
      <c r="PKT74" s="180"/>
      <c r="PKU74" s="180"/>
      <c r="PKV74" s="180"/>
      <c r="PKW74" s="180"/>
      <c r="PKX74" s="180"/>
      <c r="PKY74" s="180"/>
      <c r="PKZ74" s="180"/>
      <c r="PLA74" s="180"/>
      <c r="PLB74" s="180"/>
      <c r="PLC74" s="180"/>
      <c r="PLD74" s="180"/>
      <c r="PLE74" s="180"/>
      <c r="PLF74" s="180"/>
      <c r="PLG74" s="180"/>
      <c r="PLH74" s="180"/>
      <c r="PLI74" s="180"/>
      <c r="PLJ74" s="180"/>
      <c r="PLK74" s="180"/>
      <c r="PLL74" s="180"/>
      <c r="PLM74" s="180"/>
      <c r="PLN74" s="180"/>
      <c r="PLO74" s="180"/>
      <c r="PLP74" s="180"/>
      <c r="PLQ74" s="180"/>
      <c r="PLR74" s="180"/>
      <c r="PLS74" s="180"/>
      <c r="PLT74" s="180"/>
      <c r="PLU74" s="180"/>
      <c r="PLV74" s="180"/>
      <c r="PLW74" s="180"/>
      <c r="PLX74" s="180"/>
      <c r="PLY74" s="180"/>
      <c r="PLZ74" s="180"/>
      <c r="PMA74" s="180"/>
      <c r="PMB74" s="180"/>
      <c r="PMC74" s="180"/>
      <c r="PMD74" s="180"/>
      <c r="PME74" s="180"/>
      <c r="PMF74" s="180"/>
      <c r="PMG74" s="180"/>
      <c r="PMH74" s="180"/>
      <c r="PMI74" s="180"/>
      <c r="PMJ74" s="180"/>
      <c r="PMK74" s="180"/>
      <c r="PML74" s="180"/>
      <c r="PMM74" s="180"/>
      <c r="PMN74" s="180"/>
      <c r="PMO74" s="180"/>
      <c r="PMP74" s="180"/>
      <c r="PMQ74" s="180"/>
      <c r="PMR74" s="180"/>
      <c r="PMS74" s="180"/>
      <c r="PMT74" s="180"/>
      <c r="PMU74" s="180"/>
      <c r="PMV74" s="180"/>
      <c r="PMW74" s="180"/>
      <c r="PMX74" s="180"/>
      <c r="PMY74" s="180"/>
      <c r="PMZ74" s="180"/>
      <c r="PNA74" s="180"/>
      <c r="PNB74" s="180"/>
      <c r="PNC74" s="180"/>
      <c r="PND74" s="180"/>
      <c r="PNE74" s="180"/>
      <c r="PNF74" s="180"/>
      <c r="PNG74" s="180"/>
      <c r="PNH74" s="180"/>
      <c r="PNI74" s="180"/>
      <c r="PNJ74" s="180"/>
      <c r="PNK74" s="180"/>
      <c r="PNL74" s="180"/>
      <c r="PNM74" s="180"/>
      <c r="PNN74" s="180"/>
      <c r="PNO74" s="180"/>
      <c r="PNP74" s="180"/>
      <c r="PNQ74" s="180"/>
      <c r="PNR74" s="180"/>
      <c r="PNS74" s="180"/>
      <c r="PNT74" s="180"/>
      <c r="PNU74" s="180"/>
      <c r="PNV74" s="180"/>
      <c r="PNW74" s="180"/>
      <c r="PNX74" s="180"/>
      <c r="PNY74" s="180"/>
      <c r="PNZ74" s="180"/>
      <c r="POA74" s="180"/>
      <c r="POB74" s="180"/>
      <c r="POC74" s="180"/>
      <c r="POD74" s="180"/>
      <c r="POE74" s="180"/>
      <c r="POF74" s="180"/>
      <c r="POG74" s="180"/>
      <c r="POH74" s="180"/>
      <c r="POI74" s="180"/>
      <c r="POJ74" s="180"/>
      <c r="POK74" s="180"/>
      <c r="POL74" s="180"/>
      <c r="POM74" s="180"/>
      <c r="PON74" s="180"/>
      <c r="POO74" s="180"/>
      <c r="POP74" s="180"/>
      <c r="POQ74" s="180"/>
      <c r="POR74" s="180"/>
      <c r="POS74" s="180"/>
      <c r="POT74" s="180"/>
      <c r="POU74" s="180"/>
      <c r="POV74" s="180"/>
      <c r="POW74" s="180"/>
      <c r="POX74" s="180"/>
      <c r="POY74" s="180"/>
      <c r="POZ74" s="180"/>
      <c r="PPA74" s="180"/>
      <c r="PPB74" s="180"/>
      <c r="PPC74" s="180"/>
      <c r="PPD74" s="180"/>
      <c r="PPE74" s="180"/>
      <c r="PPF74" s="180"/>
      <c r="PPG74" s="180"/>
      <c r="PPH74" s="180"/>
      <c r="PPI74" s="180"/>
      <c r="PPJ74" s="180"/>
      <c r="PPK74" s="180"/>
      <c r="PPL74" s="180"/>
      <c r="PPM74" s="180"/>
      <c r="PPN74" s="180"/>
      <c r="PPO74" s="180"/>
      <c r="PPP74" s="180"/>
      <c r="PPQ74" s="180"/>
      <c r="PPR74" s="180"/>
      <c r="PPS74" s="180"/>
      <c r="PPT74" s="180"/>
      <c r="PPU74" s="180"/>
      <c r="PPV74" s="180"/>
      <c r="PPW74" s="180"/>
      <c r="PPX74" s="180"/>
      <c r="PPY74" s="180"/>
      <c r="PPZ74" s="180"/>
      <c r="PQA74" s="180"/>
      <c r="PQB74" s="180"/>
      <c r="PQC74" s="180"/>
      <c r="PQD74" s="180"/>
      <c r="PQE74" s="180"/>
      <c r="PQF74" s="180"/>
      <c r="PQG74" s="180"/>
      <c r="PQH74" s="180"/>
      <c r="PQI74" s="180"/>
      <c r="PQJ74" s="180"/>
      <c r="PQK74" s="180"/>
      <c r="PQL74" s="180"/>
      <c r="PQM74" s="180"/>
      <c r="PQN74" s="180"/>
      <c r="PQO74" s="180"/>
      <c r="PQP74" s="180"/>
      <c r="PQQ74" s="180"/>
      <c r="PQR74" s="180"/>
      <c r="PQS74" s="180"/>
      <c r="PQT74" s="180"/>
      <c r="PQU74" s="180"/>
      <c r="PQV74" s="180"/>
      <c r="PQW74" s="180"/>
      <c r="PQX74" s="180"/>
      <c r="PQY74" s="180"/>
      <c r="PQZ74" s="180"/>
      <c r="PRA74" s="180"/>
      <c r="PRB74" s="180"/>
      <c r="PRC74" s="180"/>
      <c r="PRD74" s="180"/>
      <c r="PRE74" s="180"/>
      <c r="PRF74" s="180"/>
      <c r="PRG74" s="180"/>
      <c r="PRH74" s="180"/>
      <c r="PRI74" s="180"/>
      <c r="PRJ74" s="180"/>
      <c r="PRK74" s="180"/>
      <c r="PRL74" s="180"/>
      <c r="PRM74" s="180"/>
      <c r="PRN74" s="180"/>
      <c r="PRO74" s="180"/>
      <c r="PRP74" s="180"/>
      <c r="PRQ74" s="180"/>
      <c r="PRR74" s="180"/>
      <c r="PRS74" s="180"/>
      <c r="PRT74" s="180"/>
      <c r="PRU74" s="180"/>
      <c r="PRV74" s="180"/>
      <c r="PRW74" s="180"/>
      <c r="PRX74" s="180"/>
      <c r="PRY74" s="180"/>
      <c r="PRZ74" s="180"/>
      <c r="PSA74" s="180"/>
      <c r="PSB74" s="180"/>
      <c r="PSC74" s="180"/>
      <c r="PSD74" s="180"/>
      <c r="PSE74" s="180"/>
      <c r="PSF74" s="180"/>
      <c r="PSG74" s="180"/>
      <c r="PSH74" s="180"/>
      <c r="PSI74" s="180"/>
      <c r="PSJ74" s="180"/>
      <c r="PSK74" s="180"/>
      <c r="PSL74" s="180"/>
      <c r="PSM74" s="180"/>
      <c r="PSN74" s="180"/>
      <c r="PSO74" s="180"/>
      <c r="PSP74" s="180"/>
      <c r="PSQ74" s="180"/>
      <c r="PSR74" s="180"/>
      <c r="PSS74" s="180"/>
      <c r="PST74" s="180"/>
      <c r="PSU74" s="180"/>
      <c r="PSV74" s="180"/>
      <c r="PSW74" s="180"/>
      <c r="PSX74" s="180"/>
      <c r="PSY74" s="180"/>
      <c r="PSZ74" s="180"/>
      <c r="PTA74" s="180"/>
      <c r="PTB74" s="180"/>
      <c r="PTC74" s="180"/>
      <c r="PTD74" s="180"/>
      <c r="PTE74" s="180"/>
      <c r="PTF74" s="180"/>
      <c r="PTG74" s="180"/>
      <c r="PTH74" s="180"/>
      <c r="PTI74" s="180"/>
      <c r="PTJ74" s="180"/>
      <c r="PTK74" s="180"/>
      <c r="PTL74" s="180"/>
      <c r="PTM74" s="180"/>
      <c r="PTN74" s="180"/>
      <c r="PTO74" s="180"/>
      <c r="PTP74" s="180"/>
      <c r="PTQ74" s="180"/>
      <c r="PTR74" s="180"/>
      <c r="PTS74" s="180"/>
      <c r="PTT74" s="180"/>
      <c r="PTU74" s="180"/>
      <c r="PTV74" s="180"/>
      <c r="PTW74" s="180"/>
      <c r="PTX74" s="180"/>
      <c r="PTY74" s="180"/>
      <c r="PTZ74" s="180"/>
      <c r="PUA74" s="180"/>
      <c r="PUB74" s="180"/>
      <c r="PUC74" s="180"/>
      <c r="PUD74" s="180"/>
      <c r="PUE74" s="180"/>
      <c r="PUF74" s="180"/>
      <c r="PUG74" s="180"/>
      <c r="PUH74" s="180"/>
      <c r="PUI74" s="180"/>
      <c r="PUJ74" s="180"/>
      <c r="PUK74" s="180"/>
      <c r="PUL74" s="180"/>
      <c r="PUM74" s="180"/>
      <c r="PUN74" s="180"/>
      <c r="PUO74" s="180"/>
      <c r="PUP74" s="180"/>
      <c r="PUQ74" s="180"/>
      <c r="PUR74" s="180"/>
      <c r="PUS74" s="180"/>
      <c r="PUT74" s="180"/>
      <c r="PUU74" s="180"/>
      <c r="PUV74" s="180"/>
      <c r="PUW74" s="180"/>
      <c r="PUX74" s="180"/>
      <c r="PUY74" s="180"/>
      <c r="PUZ74" s="180"/>
      <c r="PVA74" s="180"/>
      <c r="PVB74" s="180"/>
      <c r="PVC74" s="180"/>
      <c r="PVD74" s="180"/>
      <c r="PVE74" s="180"/>
      <c r="PVF74" s="180"/>
      <c r="PVG74" s="180"/>
      <c r="PVH74" s="180"/>
      <c r="PVI74" s="180"/>
      <c r="PVJ74" s="180"/>
      <c r="PVK74" s="180"/>
      <c r="PVL74" s="180"/>
      <c r="PVM74" s="180"/>
      <c r="PVN74" s="180"/>
      <c r="PVO74" s="180"/>
      <c r="PVP74" s="180"/>
      <c r="PVQ74" s="180"/>
      <c r="PVR74" s="180"/>
      <c r="PVS74" s="180"/>
      <c r="PVT74" s="180"/>
      <c r="PVU74" s="180"/>
      <c r="PVV74" s="180"/>
      <c r="PVW74" s="180"/>
      <c r="PVX74" s="180"/>
      <c r="PVY74" s="180"/>
      <c r="PVZ74" s="180"/>
      <c r="PWA74" s="180"/>
      <c r="PWB74" s="180"/>
      <c r="PWC74" s="180"/>
      <c r="PWD74" s="180"/>
      <c r="PWE74" s="180"/>
      <c r="PWF74" s="180"/>
      <c r="PWG74" s="180"/>
      <c r="PWH74" s="180"/>
      <c r="PWI74" s="180"/>
      <c r="PWJ74" s="180"/>
      <c r="PWK74" s="180"/>
      <c r="PWL74" s="180"/>
      <c r="PWM74" s="180"/>
      <c r="PWN74" s="180"/>
      <c r="PWO74" s="180"/>
      <c r="PWP74" s="180"/>
      <c r="PWQ74" s="180"/>
      <c r="PWR74" s="180"/>
      <c r="PWS74" s="180"/>
      <c r="PWT74" s="180"/>
      <c r="PWU74" s="180"/>
      <c r="PWV74" s="180"/>
      <c r="PWW74" s="180"/>
      <c r="PWX74" s="180"/>
      <c r="PWY74" s="180"/>
      <c r="PWZ74" s="180"/>
      <c r="PXA74" s="180"/>
      <c r="PXB74" s="180"/>
      <c r="PXC74" s="180"/>
      <c r="PXD74" s="180"/>
      <c r="PXE74" s="180"/>
      <c r="PXF74" s="180"/>
      <c r="PXG74" s="180"/>
      <c r="PXH74" s="180"/>
      <c r="PXI74" s="180"/>
      <c r="PXJ74" s="180"/>
      <c r="PXK74" s="180"/>
      <c r="PXL74" s="180"/>
      <c r="PXM74" s="180"/>
      <c r="PXN74" s="180"/>
      <c r="PXO74" s="180"/>
      <c r="PXP74" s="180"/>
      <c r="PXQ74" s="180"/>
      <c r="PXR74" s="180"/>
      <c r="PXS74" s="180"/>
      <c r="PXT74" s="180"/>
      <c r="PXU74" s="180"/>
      <c r="PXV74" s="180"/>
      <c r="PXW74" s="180"/>
      <c r="PXX74" s="180"/>
      <c r="PXY74" s="180"/>
      <c r="PXZ74" s="180"/>
      <c r="PYA74" s="180"/>
      <c r="PYB74" s="180"/>
      <c r="PYC74" s="180"/>
      <c r="PYD74" s="180"/>
      <c r="PYE74" s="180"/>
      <c r="PYF74" s="180"/>
      <c r="PYG74" s="180"/>
      <c r="PYH74" s="180"/>
      <c r="PYI74" s="180"/>
      <c r="PYJ74" s="180"/>
      <c r="PYK74" s="180"/>
      <c r="PYL74" s="180"/>
      <c r="PYM74" s="180"/>
      <c r="PYN74" s="180"/>
      <c r="PYO74" s="180"/>
      <c r="PYP74" s="180"/>
      <c r="PYQ74" s="180"/>
      <c r="PYR74" s="180"/>
      <c r="PYS74" s="180"/>
      <c r="PYT74" s="180"/>
      <c r="PYU74" s="180"/>
      <c r="PYV74" s="180"/>
      <c r="PYW74" s="180"/>
      <c r="PYX74" s="180"/>
      <c r="PYY74" s="180"/>
      <c r="PYZ74" s="180"/>
      <c r="PZA74" s="180"/>
      <c r="PZB74" s="180"/>
      <c r="PZC74" s="180"/>
      <c r="PZD74" s="180"/>
      <c r="PZE74" s="180"/>
      <c r="PZF74" s="180"/>
      <c r="PZG74" s="180"/>
      <c r="PZH74" s="180"/>
      <c r="PZI74" s="180"/>
      <c r="PZJ74" s="180"/>
      <c r="PZK74" s="180"/>
      <c r="PZL74" s="180"/>
      <c r="PZM74" s="180"/>
      <c r="PZN74" s="180"/>
      <c r="PZO74" s="180"/>
      <c r="PZP74" s="180"/>
      <c r="PZQ74" s="180"/>
      <c r="PZR74" s="180"/>
      <c r="PZS74" s="180"/>
      <c r="PZT74" s="180"/>
      <c r="PZU74" s="180"/>
      <c r="PZV74" s="180"/>
      <c r="PZW74" s="180"/>
      <c r="PZX74" s="180"/>
      <c r="PZY74" s="180"/>
      <c r="PZZ74" s="180"/>
      <c r="QAA74" s="180"/>
      <c r="QAB74" s="180"/>
      <c r="QAC74" s="180"/>
      <c r="QAD74" s="180"/>
      <c r="QAE74" s="180"/>
      <c r="QAF74" s="180"/>
      <c r="QAG74" s="180"/>
      <c r="QAH74" s="180"/>
      <c r="QAI74" s="180"/>
      <c r="QAJ74" s="180"/>
      <c r="QAK74" s="180"/>
      <c r="QAL74" s="180"/>
      <c r="QAM74" s="180"/>
      <c r="QAN74" s="180"/>
      <c r="QAO74" s="180"/>
      <c r="QAP74" s="180"/>
      <c r="QAQ74" s="180"/>
      <c r="QAR74" s="180"/>
      <c r="QAS74" s="180"/>
      <c r="QAT74" s="180"/>
      <c r="QAU74" s="180"/>
      <c r="QAV74" s="180"/>
      <c r="QAW74" s="180"/>
      <c r="QAX74" s="180"/>
      <c r="QAY74" s="180"/>
      <c r="QAZ74" s="180"/>
      <c r="QBA74" s="180"/>
      <c r="QBB74" s="180"/>
      <c r="QBC74" s="180"/>
      <c r="QBD74" s="180"/>
      <c r="QBE74" s="180"/>
      <c r="QBF74" s="180"/>
      <c r="QBG74" s="180"/>
      <c r="QBH74" s="180"/>
      <c r="QBI74" s="180"/>
      <c r="QBJ74" s="180"/>
      <c r="QBK74" s="180"/>
      <c r="QBL74" s="180"/>
      <c r="QBM74" s="180"/>
      <c r="QBN74" s="180"/>
      <c r="QBO74" s="180"/>
      <c r="QBP74" s="180"/>
      <c r="QBQ74" s="180"/>
      <c r="QBR74" s="180"/>
      <c r="QBS74" s="180"/>
      <c r="QBT74" s="180"/>
      <c r="QBU74" s="180"/>
      <c r="QBV74" s="180"/>
      <c r="QBW74" s="180"/>
      <c r="QBX74" s="180"/>
      <c r="QBY74" s="180"/>
      <c r="QBZ74" s="180"/>
      <c r="QCA74" s="180"/>
      <c r="QCB74" s="180"/>
      <c r="QCC74" s="180"/>
      <c r="QCD74" s="180"/>
      <c r="QCE74" s="180"/>
      <c r="QCF74" s="180"/>
      <c r="QCG74" s="180"/>
      <c r="QCH74" s="180"/>
      <c r="QCI74" s="180"/>
      <c r="QCJ74" s="180"/>
      <c r="QCK74" s="180"/>
      <c r="QCL74" s="180"/>
      <c r="QCM74" s="180"/>
      <c r="QCN74" s="180"/>
      <c r="QCO74" s="180"/>
      <c r="QCP74" s="180"/>
      <c r="QCQ74" s="180"/>
      <c r="QCR74" s="180"/>
      <c r="QCS74" s="180"/>
      <c r="QCT74" s="180"/>
      <c r="QCU74" s="180"/>
      <c r="QCV74" s="180"/>
      <c r="QCW74" s="180"/>
      <c r="QCX74" s="180"/>
      <c r="QCY74" s="180"/>
      <c r="QCZ74" s="180"/>
      <c r="QDA74" s="180"/>
      <c r="QDB74" s="180"/>
      <c r="QDC74" s="180"/>
      <c r="QDD74" s="180"/>
      <c r="QDE74" s="180"/>
      <c r="QDF74" s="180"/>
      <c r="QDG74" s="180"/>
      <c r="QDH74" s="180"/>
      <c r="QDI74" s="180"/>
      <c r="QDJ74" s="180"/>
      <c r="QDK74" s="180"/>
      <c r="QDL74" s="180"/>
      <c r="QDM74" s="180"/>
      <c r="QDN74" s="180"/>
      <c r="QDO74" s="180"/>
      <c r="QDP74" s="180"/>
      <c r="QDQ74" s="180"/>
      <c r="QDR74" s="180"/>
      <c r="QDS74" s="180"/>
      <c r="QDT74" s="180"/>
      <c r="QDU74" s="180"/>
      <c r="QDV74" s="180"/>
      <c r="QDW74" s="180"/>
      <c r="QDX74" s="180"/>
      <c r="QDY74" s="180"/>
      <c r="QDZ74" s="180"/>
      <c r="QEA74" s="180"/>
      <c r="QEB74" s="180"/>
      <c r="QEC74" s="180"/>
      <c r="QED74" s="180"/>
      <c r="QEE74" s="180"/>
      <c r="QEF74" s="180"/>
      <c r="QEG74" s="180"/>
      <c r="QEH74" s="180"/>
      <c r="QEI74" s="180"/>
      <c r="QEJ74" s="180"/>
      <c r="QEK74" s="180"/>
      <c r="QEL74" s="180"/>
      <c r="QEM74" s="180"/>
      <c r="QEN74" s="180"/>
      <c r="QEO74" s="180"/>
      <c r="QEP74" s="180"/>
      <c r="QEQ74" s="180"/>
      <c r="QER74" s="180"/>
      <c r="QES74" s="180"/>
      <c r="QET74" s="180"/>
      <c r="QEU74" s="180"/>
      <c r="QEV74" s="180"/>
      <c r="QEW74" s="180"/>
      <c r="QEX74" s="180"/>
      <c r="QEY74" s="180"/>
      <c r="QEZ74" s="180"/>
      <c r="QFA74" s="180"/>
      <c r="QFB74" s="180"/>
      <c r="QFC74" s="180"/>
      <c r="QFD74" s="180"/>
      <c r="QFE74" s="180"/>
      <c r="QFF74" s="180"/>
      <c r="QFG74" s="180"/>
      <c r="QFH74" s="180"/>
      <c r="QFI74" s="180"/>
      <c r="QFJ74" s="180"/>
      <c r="QFK74" s="180"/>
      <c r="QFL74" s="180"/>
      <c r="QFM74" s="180"/>
      <c r="QFN74" s="180"/>
      <c r="QFO74" s="180"/>
      <c r="QFP74" s="180"/>
      <c r="QFQ74" s="180"/>
      <c r="QFR74" s="180"/>
      <c r="QFS74" s="180"/>
      <c r="QFT74" s="180"/>
      <c r="QFU74" s="180"/>
      <c r="QFV74" s="180"/>
      <c r="QFW74" s="180"/>
      <c r="QFX74" s="180"/>
      <c r="QFY74" s="180"/>
      <c r="QFZ74" s="180"/>
      <c r="QGA74" s="180"/>
      <c r="QGB74" s="180"/>
      <c r="QGC74" s="180"/>
      <c r="QGD74" s="180"/>
      <c r="QGE74" s="180"/>
      <c r="QGF74" s="180"/>
      <c r="QGG74" s="180"/>
      <c r="QGH74" s="180"/>
      <c r="QGI74" s="180"/>
      <c r="QGJ74" s="180"/>
      <c r="QGK74" s="180"/>
      <c r="QGL74" s="180"/>
      <c r="QGM74" s="180"/>
      <c r="QGN74" s="180"/>
      <c r="QGO74" s="180"/>
      <c r="QGP74" s="180"/>
      <c r="QGQ74" s="180"/>
      <c r="QGR74" s="180"/>
      <c r="QGS74" s="180"/>
      <c r="QGT74" s="180"/>
      <c r="QGU74" s="180"/>
      <c r="QGV74" s="180"/>
      <c r="QGW74" s="180"/>
      <c r="QGX74" s="180"/>
      <c r="QGY74" s="180"/>
      <c r="QGZ74" s="180"/>
      <c r="QHA74" s="180"/>
      <c r="QHB74" s="180"/>
      <c r="QHC74" s="180"/>
      <c r="QHD74" s="180"/>
      <c r="QHE74" s="180"/>
      <c r="QHF74" s="180"/>
      <c r="QHG74" s="180"/>
      <c r="QHH74" s="180"/>
      <c r="QHI74" s="180"/>
      <c r="QHJ74" s="180"/>
      <c r="QHK74" s="180"/>
      <c r="QHL74" s="180"/>
      <c r="QHM74" s="180"/>
      <c r="QHN74" s="180"/>
      <c r="QHO74" s="180"/>
      <c r="QHP74" s="180"/>
      <c r="QHQ74" s="180"/>
      <c r="QHR74" s="180"/>
      <c r="QHS74" s="180"/>
      <c r="QHT74" s="180"/>
      <c r="QHU74" s="180"/>
      <c r="QHV74" s="180"/>
      <c r="QHW74" s="180"/>
      <c r="QHX74" s="180"/>
      <c r="QHY74" s="180"/>
      <c r="QHZ74" s="180"/>
      <c r="QIA74" s="180"/>
      <c r="QIB74" s="180"/>
      <c r="QIC74" s="180"/>
      <c r="QID74" s="180"/>
      <c r="QIE74" s="180"/>
      <c r="QIF74" s="180"/>
      <c r="QIG74" s="180"/>
      <c r="QIH74" s="180"/>
      <c r="QII74" s="180"/>
      <c r="QIJ74" s="180"/>
      <c r="QIK74" s="180"/>
      <c r="QIL74" s="180"/>
      <c r="QIM74" s="180"/>
      <c r="QIN74" s="180"/>
      <c r="QIO74" s="180"/>
      <c r="QIP74" s="180"/>
      <c r="QIQ74" s="180"/>
      <c r="QIR74" s="180"/>
      <c r="QIS74" s="180"/>
      <c r="QIT74" s="180"/>
      <c r="QIU74" s="180"/>
      <c r="QIV74" s="180"/>
      <c r="QIW74" s="180"/>
      <c r="QIX74" s="180"/>
      <c r="QIY74" s="180"/>
      <c r="QIZ74" s="180"/>
      <c r="QJA74" s="180"/>
      <c r="QJB74" s="180"/>
      <c r="QJC74" s="180"/>
      <c r="QJD74" s="180"/>
      <c r="QJE74" s="180"/>
      <c r="QJF74" s="180"/>
      <c r="QJG74" s="180"/>
      <c r="QJH74" s="180"/>
      <c r="QJI74" s="180"/>
      <c r="QJJ74" s="180"/>
      <c r="QJK74" s="180"/>
      <c r="QJL74" s="180"/>
      <c r="QJM74" s="180"/>
      <c r="QJN74" s="180"/>
      <c r="QJO74" s="180"/>
      <c r="QJP74" s="180"/>
      <c r="QJQ74" s="180"/>
      <c r="QJR74" s="180"/>
      <c r="QJS74" s="180"/>
      <c r="QJT74" s="180"/>
      <c r="QJU74" s="180"/>
      <c r="QJV74" s="180"/>
      <c r="QJW74" s="180"/>
      <c r="QJX74" s="180"/>
      <c r="QJY74" s="180"/>
      <c r="QJZ74" s="180"/>
      <c r="QKA74" s="180"/>
      <c r="QKB74" s="180"/>
      <c r="QKC74" s="180"/>
      <c r="QKD74" s="180"/>
      <c r="QKE74" s="180"/>
      <c r="QKF74" s="180"/>
      <c r="QKG74" s="180"/>
      <c r="QKH74" s="180"/>
      <c r="QKI74" s="180"/>
      <c r="QKJ74" s="180"/>
      <c r="QKK74" s="180"/>
      <c r="QKL74" s="180"/>
      <c r="QKM74" s="180"/>
      <c r="QKN74" s="180"/>
      <c r="QKO74" s="180"/>
      <c r="QKP74" s="180"/>
      <c r="QKQ74" s="180"/>
      <c r="QKR74" s="180"/>
      <c r="QKS74" s="180"/>
      <c r="QKT74" s="180"/>
      <c r="QKU74" s="180"/>
      <c r="QKV74" s="180"/>
      <c r="QKW74" s="180"/>
      <c r="QKX74" s="180"/>
      <c r="QKY74" s="180"/>
      <c r="QKZ74" s="180"/>
      <c r="QLA74" s="180"/>
      <c r="QLB74" s="180"/>
      <c r="QLC74" s="180"/>
      <c r="QLD74" s="180"/>
      <c r="QLE74" s="180"/>
      <c r="QLF74" s="180"/>
      <c r="QLG74" s="180"/>
      <c r="QLH74" s="180"/>
      <c r="QLI74" s="180"/>
      <c r="QLJ74" s="180"/>
      <c r="QLK74" s="180"/>
      <c r="QLL74" s="180"/>
      <c r="QLM74" s="180"/>
      <c r="QLN74" s="180"/>
      <c r="QLO74" s="180"/>
      <c r="QLP74" s="180"/>
      <c r="QLQ74" s="180"/>
      <c r="QLR74" s="180"/>
      <c r="QLS74" s="180"/>
      <c r="QLT74" s="180"/>
      <c r="QLU74" s="180"/>
      <c r="QLV74" s="180"/>
      <c r="QLW74" s="180"/>
      <c r="QLX74" s="180"/>
      <c r="QLY74" s="180"/>
      <c r="QLZ74" s="180"/>
      <c r="QMA74" s="180"/>
      <c r="QMB74" s="180"/>
      <c r="QMC74" s="180"/>
      <c r="QMD74" s="180"/>
      <c r="QME74" s="180"/>
      <c r="QMF74" s="180"/>
      <c r="QMG74" s="180"/>
      <c r="QMH74" s="180"/>
      <c r="QMI74" s="180"/>
      <c r="QMJ74" s="180"/>
      <c r="QMK74" s="180"/>
      <c r="QML74" s="180"/>
      <c r="QMM74" s="180"/>
      <c r="QMN74" s="180"/>
      <c r="QMO74" s="180"/>
      <c r="QMP74" s="180"/>
      <c r="QMQ74" s="180"/>
      <c r="QMR74" s="180"/>
      <c r="QMS74" s="180"/>
      <c r="QMT74" s="180"/>
      <c r="QMU74" s="180"/>
      <c r="QMV74" s="180"/>
      <c r="QMW74" s="180"/>
      <c r="QMX74" s="180"/>
      <c r="QMY74" s="180"/>
      <c r="QMZ74" s="180"/>
      <c r="QNA74" s="180"/>
      <c r="QNB74" s="180"/>
      <c r="QNC74" s="180"/>
      <c r="QND74" s="180"/>
      <c r="QNE74" s="180"/>
      <c r="QNF74" s="180"/>
      <c r="QNG74" s="180"/>
      <c r="QNH74" s="180"/>
      <c r="QNI74" s="180"/>
      <c r="QNJ74" s="180"/>
      <c r="QNK74" s="180"/>
      <c r="QNL74" s="180"/>
      <c r="QNM74" s="180"/>
      <c r="QNN74" s="180"/>
      <c r="QNO74" s="180"/>
      <c r="QNP74" s="180"/>
      <c r="QNQ74" s="180"/>
      <c r="QNR74" s="180"/>
      <c r="QNS74" s="180"/>
      <c r="QNT74" s="180"/>
      <c r="QNU74" s="180"/>
      <c r="QNV74" s="180"/>
      <c r="QNW74" s="180"/>
      <c r="QNX74" s="180"/>
      <c r="QNY74" s="180"/>
      <c r="QNZ74" s="180"/>
      <c r="QOA74" s="180"/>
      <c r="QOB74" s="180"/>
      <c r="QOC74" s="180"/>
      <c r="QOD74" s="180"/>
      <c r="QOE74" s="180"/>
      <c r="QOF74" s="180"/>
      <c r="QOG74" s="180"/>
      <c r="QOH74" s="180"/>
      <c r="QOI74" s="180"/>
      <c r="QOJ74" s="180"/>
      <c r="QOK74" s="180"/>
      <c r="QOL74" s="180"/>
      <c r="QOM74" s="180"/>
      <c r="QON74" s="180"/>
      <c r="QOO74" s="180"/>
      <c r="QOP74" s="180"/>
      <c r="QOQ74" s="180"/>
      <c r="QOR74" s="180"/>
      <c r="QOS74" s="180"/>
      <c r="QOT74" s="180"/>
      <c r="QOU74" s="180"/>
      <c r="QOV74" s="180"/>
      <c r="QOW74" s="180"/>
      <c r="QOX74" s="180"/>
      <c r="QOY74" s="180"/>
      <c r="QOZ74" s="180"/>
      <c r="QPA74" s="180"/>
      <c r="QPB74" s="180"/>
      <c r="QPC74" s="180"/>
      <c r="QPD74" s="180"/>
      <c r="QPE74" s="180"/>
      <c r="QPF74" s="180"/>
      <c r="QPG74" s="180"/>
      <c r="QPH74" s="180"/>
      <c r="QPI74" s="180"/>
      <c r="QPJ74" s="180"/>
      <c r="QPK74" s="180"/>
      <c r="QPL74" s="180"/>
      <c r="QPM74" s="180"/>
      <c r="QPN74" s="180"/>
      <c r="QPO74" s="180"/>
      <c r="QPP74" s="180"/>
      <c r="QPQ74" s="180"/>
      <c r="QPR74" s="180"/>
      <c r="QPS74" s="180"/>
      <c r="QPT74" s="180"/>
      <c r="QPU74" s="180"/>
      <c r="QPV74" s="180"/>
      <c r="QPW74" s="180"/>
      <c r="QPX74" s="180"/>
      <c r="QPY74" s="180"/>
      <c r="QPZ74" s="180"/>
      <c r="QQA74" s="180"/>
      <c r="QQB74" s="180"/>
      <c r="QQC74" s="180"/>
      <c r="QQD74" s="180"/>
      <c r="QQE74" s="180"/>
      <c r="QQF74" s="180"/>
      <c r="QQG74" s="180"/>
      <c r="QQH74" s="180"/>
      <c r="QQI74" s="180"/>
      <c r="QQJ74" s="180"/>
      <c r="QQK74" s="180"/>
      <c r="QQL74" s="180"/>
      <c r="QQM74" s="180"/>
      <c r="QQN74" s="180"/>
      <c r="QQO74" s="180"/>
      <c r="QQP74" s="180"/>
      <c r="QQQ74" s="180"/>
      <c r="QQR74" s="180"/>
      <c r="QQS74" s="180"/>
      <c r="QQT74" s="180"/>
      <c r="QQU74" s="180"/>
      <c r="QQV74" s="180"/>
      <c r="QQW74" s="180"/>
      <c r="QQX74" s="180"/>
      <c r="QQY74" s="180"/>
      <c r="QQZ74" s="180"/>
      <c r="QRA74" s="180"/>
      <c r="QRB74" s="180"/>
      <c r="QRC74" s="180"/>
      <c r="QRD74" s="180"/>
      <c r="QRE74" s="180"/>
      <c r="QRF74" s="180"/>
      <c r="QRG74" s="180"/>
      <c r="QRH74" s="180"/>
      <c r="QRI74" s="180"/>
      <c r="QRJ74" s="180"/>
      <c r="QRK74" s="180"/>
      <c r="QRL74" s="180"/>
      <c r="QRM74" s="180"/>
      <c r="QRN74" s="180"/>
      <c r="QRO74" s="180"/>
      <c r="QRP74" s="180"/>
      <c r="QRQ74" s="180"/>
      <c r="QRR74" s="180"/>
      <c r="QRS74" s="180"/>
      <c r="QRT74" s="180"/>
      <c r="QRU74" s="180"/>
      <c r="QRV74" s="180"/>
      <c r="QRW74" s="180"/>
      <c r="QRX74" s="180"/>
      <c r="QRY74" s="180"/>
      <c r="QRZ74" s="180"/>
      <c r="QSA74" s="180"/>
      <c r="QSB74" s="180"/>
      <c r="QSC74" s="180"/>
      <c r="QSD74" s="180"/>
      <c r="QSE74" s="180"/>
      <c r="QSF74" s="180"/>
      <c r="QSG74" s="180"/>
      <c r="QSH74" s="180"/>
      <c r="QSI74" s="180"/>
      <c r="QSJ74" s="180"/>
      <c r="QSK74" s="180"/>
      <c r="QSL74" s="180"/>
      <c r="QSM74" s="180"/>
      <c r="QSN74" s="180"/>
      <c r="QSO74" s="180"/>
      <c r="QSP74" s="180"/>
      <c r="QSQ74" s="180"/>
      <c r="QSR74" s="180"/>
      <c r="QSS74" s="180"/>
      <c r="QST74" s="180"/>
      <c r="QSU74" s="180"/>
      <c r="QSV74" s="180"/>
      <c r="QSW74" s="180"/>
      <c r="QSX74" s="180"/>
      <c r="QSY74" s="180"/>
      <c r="QSZ74" s="180"/>
      <c r="QTA74" s="180"/>
      <c r="QTB74" s="180"/>
      <c r="QTC74" s="180"/>
      <c r="QTD74" s="180"/>
      <c r="QTE74" s="180"/>
      <c r="QTF74" s="180"/>
      <c r="QTG74" s="180"/>
      <c r="QTH74" s="180"/>
      <c r="QTI74" s="180"/>
      <c r="QTJ74" s="180"/>
      <c r="QTK74" s="180"/>
      <c r="QTL74" s="180"/>
      <c r="QTM74" s="180"/>
      <c r="QTN74" s="180"/>
      <c r="QTO74" s="180"/>
      <c r="QTP74" s="180"/>
      <c r="QTQ74" s="180"/>
      <c r="QTR74" s="180"/>
      <c r="QTS74" s="180"/>
      <c r="QTT74" s="180"/>
      <c r="QTU74" s="180"/>
      <c r="QTV74" s="180"/>
      <c r="QTW74" s="180"/>
      <c r="QTX74" s="180"/>
      <c r="QTY74" s="180"/>
      <c r="QTZ74" s="180"/>
      <c r="QUA74" s="180"/>
      <c r="QUB74" s="180"/>
      <c r="QUC74" s="180"/>
      <c r="QUD74" s="180"/>
      <c r="QUE74" s="180"/>
      <c r="QUF74" s="180"/>
      <c r="QUG74" s="180"/>
      <c r="QUH74" s="180"/>
      <c r="QUI74" s="180"/>
      <c r="QUJ74" s="180"/>
      <c r="QUK74" s="180"/>
      <c r="QUL74" s="180"/>
      <c r="QUM74" s="180"/>
      <c r="QUN74" s="180"/>
      <c r="QUO74" s="180"/>
      <c r="QUP74" s="180"/>
      <c r="QUQ74" s="180"/>
      <c r="QUR74" s="180"/>
      <c r="QUS74" s="180"/>
      <c r="QUT74" s="180"/>
      <c r="QUU74" s="180"/>
      <c r="QUV74" s="180"/>
      <c r="QUW74" s="180"/>
      <c r="QUX74" s="180"/>
      <c r="QUY74" s="180"/>
      <c r="QUZ74" s="180"/>
      <c r="QVA74" s="180"/>
      <c r="QVB74" s="180"/>
      <c r="QVC74" s="180"/>
      <c r="QVD74" s="180"/>
      <c r="QVE74" s="180"/>
      <c r="QVF74" s="180"/>
      <c r="QVG74" s="180"/>
      <c r="QVH74" s="180"/>
      <c r="QVI74" s="180"/>
      <c r="QVJ74" s="180"/>
      <c r="QVK74" s="180"/>
      <c r="QVL74" s="180"/>
      <c r="QVM74" s="180"/>
      <c r="QVN74" s="180"/>
      <c r="QVO74" s="180"/>
      <c r="QVP74" s="180"/>
      <c r="QVQ74" s="180"/>
      <c r="QVR74" s="180"/>
      <c r="QVS74" s="180"/>
      <c r="QVT74" s="180"/>
      <c r="QVU74" s="180"/>
      <c r="QVV74" s="180"/>
      <c r="QVW74" s="180"/>
      <c r="QVX74" s="180"/>
      <c r="QVY74" s="180"/>
      <c r="QVZ74" s="180"/>
      <c r="QWA74" s="180"/>
      <c r="QWB74" s="180"/>
      <c r="QWC74" s="180"/>
      <c r="QWD74" s="180"/>
      <c r="QWE74" s="180"/>
      <c r="QWF74" s="180"/>
      <c r="QWG74" s="180"/>
      <c r="QWH74" s="180"/>
      <c r="QWI74" s="180"/>
      <c r="QWJ74" s="180"/>
      <c r="QWK74" s="180"/>
      <c r="QWL74" s="180"/>
      <c r="QWM74" s="180"/>
      <c r="QWN74" s="180"/>
      <c r="QWO74" s="180"/>
      <c r="QWP74" s="180"/>
      <c r="QWQ74" s="180"/>
      <c r="QWR74" s="180"/>
      <c r="QWS74" s="180"/>
      <c r="QWT74" s="180"/>
      <c r="QWU74" s="180"/>
      <c r="QWV74" s="180"/>
      <c r="QWW74" s="180"/>
      <c r="QWX74" s="180"/>
      <c r="QWY74" s="180"/>
      <c r="QWZ74" s="180"/>
      <c r="QXA74" s="180"/>
      <c r="QXB74" s="180"/>
      <c r="QXC74" s="180"/>
      <c r="QXD74" s="180"/>
      <c r="QXE74" s="180"/>
      <c r="QXF74" s="180"/>
      <c r="QXG74" s="180"/>
      <c r="QXH74" s="180"/>
      <c r="QXI74" s="180"/>
      <c r="QXJ74" s="180"/>
      <c r="QXK74" s="180"/>
      <c r="QXL74" s="180"/>
      <c r="QXM74" s="180"/>
      <c r="QXN74" s="180"/>
      <c r="QXO74" s="180"/>
      <c r="QXP74" s="180"/>
      <c r="QXQ74" s="180"/>
      <c r="QXR74" s="180"/>
      <c r="QXS74" s="180"/>
      <c r="QXT74" s="180"/>
      <c r="QXU74" s="180"/>
      <c r="QXV74" s="180"/>
      <c r="QXW74" s="180"/>
      <c r="QXX74" s="180"/>
      <c r="QXY74" s="180"/>
      <c r="QXZ74" s="180"/>
      <c r="QYA74" s="180"/>
      <c r="QYB74" s="180"/>
      <c r="QYC74" s="180"/>
      <c r="QYD74" s="180"/>
      <c r="QYE74" s="180"/>
      <c r="QYF74" s="180"/>
      <c r="QYG74" s="180"/>
      <c r="QYH74" s="180"/>
      <c r="QYI74" s="180"/>
      <c r="QYJ74" s="180"/>
      <c r="QYK74" s="180"/>
      <c r="QYL74" s="180"/>
      <c r="QYM74" s="180"/>
      <c r="QYN74" s="180"/>
      <c r="QYO74" s="180"/>
      <c r="QYP74" s="180"/>
      <c r="QYQ74" s="180"/>
      <c r="QYR74" s="180"/>
      <c r="QYS74" s="180"/>
      <c r="QYT74" s="180"/>
      <c r="QYU74" s="180"/>
      <c r="QYV74" s="180"/>
      <c r="QYW74" s="180"/>
      <c r="QYX74" s="180"/>
      <c r="QYY74" s="180"/>
      <c r="QYZ74" s="180"/>
      <c r="QZA74" s="180"/>
      <c r="QZB74" s="180"/>
      <c r="QZC74" s="180"/>
      <c r="QZD74" s="180"/>
      <c r="QZE74" s="180"/>
      <c r="QZF74" s="180"/>
      <c r="QZG74" s="180"/>
      <c r="QZH74" s="180"/>
      <c r="QZI74" s="180"/>
      <c r="QZJ74" s="180"/>
      <c r="QZK74" s="180"/>
      <c r="QZL74" s="180"/>
      <c r="QZM74" s="180"/>
      <c r="QZN74" s="180"/>
      <c r="QZO74" s="180"/>
      <c r="QZP74" s="180"/>
      <c r="QZQ74" s="180"/>
      <c r="QZR74" s="180"/>
      <c r="QZS74" s="180"/>
      <c r="QZT74" s="180"/>
      <c r="QZU74" s="180"/>
      <c r="QZV74" s="180"/>
      <c r="QZW74" s="180"/>
      <c r="QZX74" s="180"/>
      <c r="QZY74" s="180"/>
      <c r="QZZ74" s="180"/>
      <c r="RAA74" s="180"/>
      <c r="RAB74" s="180"/>
      <c r="RAC74" s="180"/>
      <c r="RAD74" s="180"/>
      <c r="RAE74" s="180"/>
      <c r="RAF74" s="180"/>
      <c r="RAG74" s="180"/>
      <c r="RAH74" s="180"/>
      <c r="RAI74" s="180"/>
      <c r="RAJ74" s="180"/>
      <c r="RAK74" s="180"/>
      <c r="RAL74" s="180"/>
      <c r="RAM74" s="180"/>
      <c r="RAN74" s="180"/>
      <c r="RAO74" s="180"/>
      <c r="RAP74" s="180"/>
      <c r="RAQ74" s="180"/>
      <c r="RAR74" s="180"/>
      <c r="RAS74" s="180"/>
      <c r="RAT74" s="180"/>
      <c r="RAU74" s="180"/>
      <c r="RAV74" s="180"/>
      <c r="RAW74" s="180"/>
      <c r="RAX74" s="180"/>
      <c r="RAY74" s="180"/>
      <c r="RAZ74" s="180"/>
      <c r="RBA74" s="180"/>
      <c r="RBB74" s="180"/>
      <c r="RBC74" s="180"/>
      <c r="RBD74" s="180"/>
      <c r="RBE74" s="180"/>
      <c r="RBF74" s="180"/>
      <c r="RBG74" s="180"/>
      <c r="RBH74" s="180"/>
      <c r="RBI74" s="180"/>
      <c r="RBJ74" s="180"/>
      <c r="RBK74" s="180"/>
      <c r="RBL74" s="180"/>
      <c r="RBM74" s="180"/>
      <c r="RBN74" s="180"/>
      <c r="RBO74" s="180"/>
      <c r="RBP74" s="180"/>
      <c r="RBQ74" s="180"/>
      <c r="RBR74" s="180"/>
      <c r="RBS74" s="180"/>
      <c r="RBT74" s="180"/>
      <c r="RBU74" s="180"/>
      <c r="RBV74" s="180"/>
      <c r="RBW74" s="180"/>
      <c r="RBX74" s="180"/>
      <c r="RBY74" s="180"/>
      <c r="RBZ74" s="180"/>
      <c r="RCA74" s="180"/>
      <c r="RCB74" s="180"/>
      <c r="RCC74" s="180"/>
      <c r="RCD74" s="180"/>
      <c r="RCE74" s="180"/>
      <c r="RCF74" s="180"/>
      <c r="RCG74" s="180"/>
      <c r="RCH74" s="180"/>
      <c r="RCI74" s="180"/>
      <c r="RCJ74" s="180"/>
      <c r="RCK74" s="180"/>
      <c r="RCL74" s="180"/>
      <c r="RCM74" s="180"/>
      <c r="RCN74" s="180"/>
      <c r="RCO74" s="180"/>
      <c r="RCP74" s="180"/>
      <c r="RCQ74" s="180"/>
      <c r="RCR74" s="180"/>
      <c r="RCS74" s="180"/>
      <c r="RCT74" s="180"/>
      <c r="RCU74" s="180"/>
      <c r="RCV74" s="180"/>
      <c r="RCW74" s="180"/>
      <c r="RCX74" s="180"/>
      <c r="RCY74" s="180"/>
      <c r="RCZ74" s="180"/>
      <c r="RDA74" s="180"/>
      <c r="RDB74" s="180"/>
      <c r="RDC74" s="180"/>
      <c r="RDD74" s="180"/>
      <c r="RDE74" s="180"/>
      <c r="RDF74" s="180"/>
      <c r="RDG74" s="180"/>
      <c r="RDH74" s="180"/>
      <c r="RDI74" s="180"/>
      <c r="RDJ74" s="180"/>
      <c r="RDK74" s="180"/>
      <c r="RDL74" s="180"/>
      <c r="RDM74" s="180"/>
      <c r="RDN74" s="180"/>
      <c r="RDO74" s="180"/>
      <c r="RDP74" s="180"/>
      <c r="RDQ74" s="180"/>
      <c r="RDR74" s="180"/>
      <c r="RDS74" s="180"/>
      <c r="RDT74" s="180"/>
      <c r="RDU74" s="180"/>
      <c r="RDV74" s="180"/>
      <c r="RDW74" s="180"/>
      <c r="RDX74" s="180"/>
      <c r="RDY74" s="180"/>
      <c r="RDZ74" s="180"/>
      <c r="REA74" s="180"/>
      <c r="REB74" s="180"/>
      <c r="REC74" s="180"/>
      <c r="RED74" s="180"/>
      <c r="REE74" s="180"/>
      <c r="REF74" s="180"/>
      <c r="REG74" s="180"/>
      <c r="REH74" s="180"/>
      <c r="REI74" s="180"/>
      <c r="REJ74" s="180"/>
      <c r="REK74" s="180"/>
      <c r="REL74" s="180"/>
      <c r="REM74" s="180"/>
      <c r="REN74" s="180"/>
      <c r="REO74" s="180"/>
      <c r="REP74" s="180"/>
      <c r="REQ74" s="180"/>
      <c r="RER74" s="180"/>
      <c r="RES74" s="180"/>
      <c r="RET74" s="180"/>
      <c r="REU74" s="180"/>
      <c r="REV74" s="180"/>
      <c r="REW74" s="180"/>
      <c r="REX74" s="180"/>
      <c r="REY74" s="180"/>
      <c r="REZ74" s="180"/>
      <c r="RFA74" s="180"/>
      <c r="RFB74" s="180"/>
      <c r="RFC74" s="180"/>
      <c r="RFD74" s="180"/>
      <c r="RFE74" s="180"/>
      <c r="RFF74" s="180"/>
      <c r="RFG74" s="180"/>
      <c r="RFH74" s="180"/>
      <c r="RFI74" s="180"/>
      <c r="RFJ74" s="180"/>
      <c r="RFK74" s="180"/>
      <c r="RFL74" s="180"/>
      <c r="RFM74" s="180"/>
      <c r="RFN74" s="180"/>
      <c r="RFO74" s="180"/>
      <c r="RFP74" s="180"/>
      <c r="RFQ74" s="180"/>
      <c r="RFR74" s="180"/>
      <c r="RFS74" s="180"/>
      <c r="RFT74" s="180"/>
      <c r="RFU74" s="180"/>
      <c r="RFV74" s="180"/>
      <c r="RFW74" s="180"/>
      <c r="RFX74" s="180"/>
      <c r="RFY74" s="180"/>
      <c r="RFZ74" s="180"/>
      <c r="RGA74" s="180"/>
      <c r="RGB74" s="180"/>
      <c r="RGC74" s="180"/>
      <c r="RGD74" s="180"/>
      <c r="RGE74" s="180"/>
      <c r="RGF74" s="180"/>
      <c r="RGG74" s="180"/>
      <c r="RGH74" s="180"/>
      <c r="RGI74" s="180"/>
      <c r="RGJ74" s="180"/>
      <c r="RGK74" s="180"/>
      <c r="RGL74" s="180"/>
      <c r="RGM74" s="180"/>
      <c r="RGN74" s="180"/>
      <c r="RGO74" s="180"/>
      <c r="RGP74" s="180"/>
      <c r="RGQ74" s="180"/>
      <c r="RGR74" s="180"/>
      <c r="RGS74" s="180"/>
      <c r="RGT74" s="180"/>
      <c r="RGU74" s="180"/>
      <c r="RGV74" s="180"/>
      <c r="RGW74" s="180"/>
      <c r="RGX74" s="180"/>
      <c r="RGY74" s="180"/>
      <c r="RGZ74" s="180"/>
      <c r="RHA74" s="180"/>
      <c r="RHB74" s="180"/>
      <c r="RHC74" s="180"/>
      <c r="RHD74" s="180"/>
      <c r="RHE74" s="180"/>
      <c r="RHF74" s="180"/>
      <c r="RHG74" s="180"/>
      <c r="RHH74" s="180"/>
      <c r="RHI74" s="180"/>
      <c r="RHJ74" s="180"/>
      <c r="RHK74" s="180"/>
      <c r="RHL74" s="180"/>
      <c r="RHM74" s="180"/>
      <c r="RHN74" s="180"/>
      <c r="RHO74" s="180"/>
      <c r="RHP74" s="180"/>
      <c r="RHQ74" s="180"/>
      <c r="RHR74" s="180"/>
      <c r="RHS74" s="180"/>
      <c r="RHT74" s="180"/>
      <c r="RHU74" s="180"/>
      <c r="RHV74" s="180"/>
      <c r="RHW74" s="180"/>
      <c r="RHX74" s="180"/>
      <c r="RHY74" s="180"/>
      <c r="RHZ74" s="180"/>
      <c r="RIA74" s="180"/>
      <c r="RIB74" s="180"/>
      <c r="RIC74" s="180"/>
      <c r="RID74" s="180"/>
      <c r="RIE74" s="180"/>
      <c r="RIF74" s="180"/>
      <c r="RIG74" s="180"/>
      <c r="RIH74" s="180"/>
      <c r="RII74" s="180"/>
      <c r="RIJ74" s="180"/>
      <c r="RIK74" s="180"/>
      <c r="RIL74" s="180"/>
      <c r="RIM74" s="180"/>
      <c r="RIN74" s="180"/>
      <c r="RIO74" s="180"/>
      <c r="RIP74" s="180"/>
      <c r="RIQ74" s="180"/>
      <c r="RIR74" s="180"/>
      <c r="RIS74" s="180"/>
      <c r="RIT74" s="180"/>
      <c r="RIU74" s="180"/>
      <c r="RIV74" s="180"/>
      <c r="RIW74" s="180"/>
      <c r="RIX74" s="180"/>
      <c r="RIY74" s="180"/>
      <c r="RIZ74" s="180"/>
      <c r="RJA74" s="180"/>
      <c r="RJB74" s="180"/>
      <c r="RJC74" s="180"/>
      <c r="RJD74" s="180"/>
      <c r="RJE74" s="180"/>
      <c r="RJF74" s="180"/>
      <c r="RJG74" s="180"/>
      <c r="RJH74" s="180"/>
      <c r="RJI74" s="180"/>
      <c r="RJJ74" s="180"/>
      <c r="RJK74" s="180"/>
      <c r="RJL74" s="180"/>
      <c r="RJM74" s="180"/>
      <c r="RJN74" s="180"/>
      <c r="RJO74" s="180"/>
      <c r="RJP74" s="180"/>
      <c r="RJQ74" s="180"/>
      <c r="RJR74" s="180"/>
      <c r="RJS74" s="180"/>
      <c r="RJT74" s="180"/>
      <c r="RJU74" s="180"/>
      <c r="RJV74" s="180"/>
      <c r="RJW74" s="180"/>
      <c r="RJX74" s="180"/>
      <c r="RJY74" s="180"/>
      <c r="RJZ74" s="180"/>
      <c r="RKA74" s="180"/>
      <c r="RKB74" s="180"/>
      <c r="RKC74" s="180"/>
      <c r="RKD74" s="180"/>
      <c r="RKE74" s="180"/>
      <c r="RKF74" s="180"/>
      <c r="RKG74" s="180"/>
      <c r="RKH74" s="180"/>
      <c r="RKI74" s="180"/>
      <c r="RKJ74" s="180"/>
      <c r="RKK74" s="180"/>
      <c r="RKL74" s="180"/>
      <c r="RKM74" s="180"/>
      <c r="RKN74" s="180"/>
      <c r="RKO74" s="180"/>
      <c r="RKP74" s="180"/>
      <c r="RKQ74" s="180"/>
      <c r="RKR74" s="180"/>
      <c r="RKS74" s="180"/>
      <c r="RKT74" s="180"/>
      <c r="RKU74" s="180"/>
      <c r="RKV74" s="180"/>
      <c r="RKW74" s="180"/>
      <c r="RKX74" s="180"/>
      <c r="RKY74" s="180"/>
      <c r="RKZ74" s="180"/>
      <c r="RLA74" s="180"/>
      <c r="RLB74" s="180"/>
      <c r="RLC74" s="180"/>
      <c r="RLD74" s="180"/>
      <c r="RLE74" s="180"/>
      <c r="RLF74" s="180"/>
      <c r="RLG74" s="180"/>
      <c r="RLH74" s="180"/>
      <c r="RLI74" s="180"/>
      <c r="RLJ74" s="180"/>
      <c r="RLK74" s="180"/>
      <c r="RLL74" s="180"/>
      <c r="RLM74" s="180"/>
      <c r="RLN74" s="180"/>
      <c r="RLO74" s="180"/>
      <c r="RLP74" s="180"/>
      <c r="RLQ74" s="180"/>
      <c r="RLR74" s="180"/>
      <c r="RLS74" s="180"/>
      <c r="RLT74" s="180"/>
      <c r="RLU74" s="180"/>
      <c r="RLV74" s="180"/>
      <c r="RLW74" s="180"/>
      <c r="RLX74" s="180"/>
      <c r="RLY74" s="180"/>
      <c r="RLZ74" s="180"/>
      <c r="RMA74" s="180"/>
      <c r="RMB74" s="180"/>
      <c r="RMC74" s="180"/>
      <c r="RMD74" s="180"/>
      <c r="RME74" s="180"/>
      <c r="RMF74" s="180"/>
      <c r="RMG74" s="180"/>
      <c r="RMH74" s="180"/>
      <c r="RMI74" s="180"/>
      <c r="RMJ74" s="180"/>
      <c r="RMK74" s="180"/>
      <c r="RML74" s="180"/>
      <c r="RMM74" s="180"/>
      <c r="RMN74" s="180"/>
      <c r="RMO74" s="180"/>
      <c r="RMP74" s="180"/>
      <c r="RMQ74" s="180"/>
      <c r="RMR74" s="180"/>
      <c r="RMS74" s="180"/>
      <c r="RMT74" s="180"/>
      <c r="RMU74" s="180"/>
      <c r="RMV74" s="180"/>
      <c r="RMW74" s="180"/>
      <c r="RMX74" s="180"/>
      <c r="RMY74" s="180"/>
      <c r="RMZ74" s="180"/>
      <c r="RNA74" s="180"/>
      <c r="RNB74" s="180"/>
      <c r="RNC74" s="180"/>
      <c r="RND74" s="180"/>
      <c r="RNE74" s="180"/>
      <c r="RNF74" s="180"/>
      <c r="RNG74" s="180"/>
      <c r="RNH74" s="180"/>
      <c r="RNI74" s="180"/>
      <c r="RNJ74" s="180"/>
      <c r="RNK74" s="180"/>
      <c r="RNL74" s="180"/>
      <c r="RNM74" s="180"/>
      <c r="RNN74" s="180"/>
      <c r="RNO74" s="180"/>
      <c r="RNP74" s="180"/>
      <c r="RNQ74" s="180"/>
      <c r="RNR74" s="180"/>
      <c r="RNS74" s="180"/>
      <c r="RNT74" s="180"/>
      <c r="RNU74" s="180"/>
      <c r="RNV74" s="180"/>
      <c r="RNW74" s="180"/>
      <c r="RNX74" s="180"/>
      <c r="RNY74" s="180"/>
      <c r="RNZ74" s="180"/>
      <c r="ROA74" s="180"/>
      <c r="ROB74" s="180"/>
      <c r="ROC74" s="180"/>
      <c r="ROD74" s="180"/>
      <c r="ROE74" s="180"/>
      <c r="ROF74" s="180"/>
      <c r="ROG74" s="180"/>
      <c r="ROH74" s="180"/>
      <c r="ROI74" s="180"/>
      <c r="ROJ74" s="180"/>
      <c r="ROK74" s="180"/>
      <c r="ROL74" s="180"/>
      <c r="ROM74" s="180"/>
      <c r="RON74" s="180"/>
      <c r="ROO74" s="180"/>
      <c r="ROP74" s="180"/>
      <c r="ROQ74" s="180"/>
      <c r="ROR74" s="180"/>
      <c r="ROS74" s="180"/>
      <c r="ROT74" s="180"/>
      <c r="ROU74" s="180"/>
      <c r="ROV74" s="180"/>
      <c r="ROW74" s="180"/>
      <c r="ROX74" s="180"/>
      <c r="ROY74" s="180"/>
      <c r="ROZ74" s="180"/>
      <c r="RPA74" s="180"/>
      <c r="RPB74" s="180"/>
      <c r="RPC74" s="180"/>
      <c r="RPD74" s="180"/>
      <c r="RPE74" s="180"/>
      <c r="RPF74" s="180"/>
      <c r="RPG74" s="180"/>
      <c r="RPH74" s="180"/>
      <c r="RPI74" s="180"/>
      <c r="RPJ74" s="180"/>
      <c r="RPK74" s="180"/>
      <c r="RPL74" s="180"/>
      <c r="RPM74" s="180"/>
      <c r="RPN74" s="180"/>
      <c r="RPO74" s="180"/>
      <c r="RPP74" s="180"/>
      <c r="RPQ74" s="180"/>
      <c r="RPR74" s="180"/>
      <c r="RPS74" s="180"/>
      <c r="RPT74" s="180"/>
      <c r="RPU74" s="180"/>
      <c r="RPV74" s="180"/>
      <c r="RPW74" s="180"/>
      <c r="RPX74" s="180"/>
      <c r="RPY74" s="180"/>
      <c r="RPZ74" s="180"/>
      <c r="RQA74" s="180"/>
      <c r="RQB74" s="180"/>
      <c r="RQC74" s="180"/>
      <c r="RQD74" s="180"/>
      <c r="RQE74" s="180"/>
      <c r="RQF74" s="180"/>
      <c r="RQG74" s="180"/>
      <c r="RQH74" s="180"/>
      <c r="RQI74" s="180"/>
      <c r="RQJ74" s="180"/>
      <c r="RQK74" s="180"/>
      <c r="RQL74" s="180"/>
      <c r="RQM74" s="180"/>
      <c r="RQN74" s="180"/>
      <c r="RQO74" s="180"/>
      <c r="RQP74" s="180"/>
      <c r="RQQ74" s="180"/>
      <c r="RQR74" s="180"/>
      <c r="RQS74" s="180"/>
      <c r="RQT74" s="180"/>
      <c r="RQU74" s="180"/>
      <c r="RQV74" s="180"/>
      <c r="RQW74" s="180"/>
      <c r="RQX74" s="180"/>
      <c r="RQY74" s="180"/>
      <c r="RQZ74" s="180"/>
      <c r="RRA74" s="180"/>
      <c r="RRB74" s="180"/>
      <c r="RRC74" s="180"/>
      <c r="RRD74" s="180"/>
      <c r="RRE74" s="180"/>
      <c r="RRF74" s="180"/>
      <c r="RRG74" s="180"/>
      <c r="RRH74" s="180"/>
      <c r="RRI74" s="180"/>
      <c r="RRJ74" s="180"/>
      <c r="RRK74" s="180"/>
      <c r="RRL74" s="180"/>
      <c r="RRM74" s="180"/>
      <c r="RRN74" s="180"/>
      <c r="RRO74" s="180"/>
      <c r="RRP74" s="180"/>
      <c r="RRQ74" s="180"/>
      <c r="RRR74" s="180"/>
      <c r="RRS74" s="180"/>
      <c r="RRT74" s="180"/>
      <c r="RRU74" s="180"/>
      <c r="RRV74" s="180"/>
      <c r="RRW74" s="180"/>
      <c r="RRX74" s="180"/>
      <c r="RRY74" s="180"/>
      <c r="RRZ74" s="180"/>
      <c r="RSA74" s="180"/>
      <c r="RSB74" s="180"/>
      <c r="RSC74" s="180"/>
      <c r="RSD74" s="180"/>
      <c r="RSE74" s="180"/>
      <c r="RSF74" s="180"/>
      <c r="RSG74" s="180"/>
      <c r="RSH74" s="180"/>
      <c r="RSI74" s="180"/>
      <c r="RSJ74" s="180"/>
      <c r="RSK74" s="180"/>
      <c r="RSL74" s="180"/>
      <c r="RSM74" s="180"/>
      <c r="RSN74" s="180"/>
      <c r="RSO74" s="180"/>
      <c r="RSP74" s="180"/>
      <c r="RSQ74" s="180"/>
      <c r="RSR74" s="180"/>
      <c r="RSS74" s="180"/>
      <c r="RST74" s="180"/>
      <c r="RSU74" s="180"/>
      <c r="RSV74" s="180"/>
      <c r="RSW74" s="180"/>
      <c r="RSX74" s="180"/>
      <c r="RSY74" s="180"/>
      <c r="RSZ74" s="180"/>
      <c r="RTA74" s="180"/>
      <c r="RTB74" s="180"/>
      <c r="RTC74" s="180"/>
      <c r="RTD74" s="180"/>
      <c r="RTE74" s="180"/>
      <c r="RTF74" s="180"/>
      <c r="RTG74" s="180"/>
      <c r="RTH74" s="180"/>
      <c r="RTI74" s="180"/>
      <c r="RTJ74" s="180"/>
      <c r="RTK74" s="180"/>
      <c r="RTL74" s="180"/>
      <c r="RTM74" s="180"/>
      <c r="RTN74" s="180"/>
      <c r="RTO74" s="180"/>
      <c r="RTP74" s="180"/>
      <c r="RTQ74" s="180"/>
      <c r="RTR74" s="180"/>
      <c r="RTS74" s="180"/>
      <c r="RTT74" s="180"/>
      <c r="RTU74" s="180"/>
      <c r="RTV74" s="180"/>
      <c r="RTW74" s="180"/>
      <c r="RTX74" s="180"/>
      <c r="RTY74" s="180"/>
      <c r="RTZ74" s="180"/>
      <c r="RUA74" s="180"/>
      <c r="RUB74" s="180"/>
      <c r="RUC74" s="180"/>
      <c r="RUD74" s="180"/>
      <c r="RUE74" s="180"/>
      <c r="RUF74" s="180"/>
      <c r="RUG74" s="180"/>
      <c r="RUH74" s="180"/>
      <c r="RUI74" s="180"/>
      <c r="RUJ74" s="180"/>
      <c r="RUK74" s="180"/>
      <c r="RUL74" s="180"/>
      <c r="RUM74" s="180"/>
      <c r="RUN74" s="180"/>
      <c r="RUO74" s="180"/>
      <c r="RUP74" s="180"/>
      <c r="RUQ74" s="180"/>
      <c r="RUR74" s="180"/>
      <c r="RUS74" s="180"/>
      <c r="RUT74" s="180"/>
      <c r="RUU74" s="180"/>
      <c r="RUV74" s="180"/>
      <c r="RUW74" s="180"/>
      <c r="RUX74" s="180"/>
      <c r="RUY74" s="180"/>
      <c r="RUZ74" s="180"/>
      <c r="RVA74" s="180"/>
      <c r="RVB74" s="180"/>
      <c r="RVC74" s="180"/>
      <c r="RVD74" s="180"/>
      <c r="RVE74" s="180"/>
      <c r="RVF74" s="180"/>
      <c r="RVG74" s="180"/>
      <c r="RVH74" s="180"/>
      <c r="RVI74" s="180"/>
      <c r="RVJ74" s="180"/>
      <c r="RVK74" s="180"/>
      <c r="RVL74" s="180"/>
      <c r="RVM74" s="180"/>
      <c r="RVN74" s="180"/>
      <c r="RVO74" s="180"/>
      <c r="RVP74" s="180"/>
      <c r="RVQ74" s="180"/>
      <c r="RVR74" s="180"/>
      <c r="RVS74" s="180"/>
      <c r="RVT74" s="180"/>
      <c r="RVU74" s="180"/>
      <c r="RVV74" s="180"/>
      <c r="RVW74" s="180"/>
      <c r="RVX74" s="180"/>
      <c r="RVY74" s="180"/>
      <c r="RVZ74" s="180"/>
      <c r="RWA74" s="180"/>
      <c r="RWB74" s="180"/>
      <c r="RWC74" s="180"/>
      <c r="RWD74" s="180"/>
      <c r="RWE74" s="180"/>
      <c r="RWF74" s="180"/>
      <c r="RWG74" s="180"/>
      <c r="RWH74" s="180"/>
      <c r="RWI74" s="180"/>
      <c r="RWJ74" s="180"/>
      <c r="RWK74" s="180"/>
      <c r="RWL74" s="180"/>
      <c r="RWM74" s="180"/>
      <c r="RWN74" s="180"/>
      <c r="RWO74" s="180"/>
      <c r="RWP74" s="180"/>
      <c r="RWQ74" s="180"/>
      <c r="RWR74" s="180"/>
      <c r="RWS74" s="180"/>
      <c r="RWT74" s="180"/>
      <c r="RWU74" s="180"/>
      <c r="RWV74" s="180"/>
      <c r="RWW74" s="180"/>
      <c r="RWX74" s="180"/>
      <c r="RWY74" s="180"/>
      <c r="RWZ74" s="180"/>
      <c r="RXA74" s="180"/>
      <c r="RXB74" s="180"/>
      <c r="RXC74" s="180"/>
      <c r="RXD74" s="180"/>
      <c r="RXE74" s="180"/>
      <c r="RXF74" s="180"/>
      <c r="RXG74" s="180"/>
      <c r="RXH74" s="180"/>
      <c r="RXI74" s="180"/>
      <c r="RXJ74" s="180"/>
      <c r="RXK74" s="180"/>
      <c r="RXL74" s="180"/>
      <c r="RXM74" s="180"/>
      <c r="RXN74" s="180"/>
      <c r="RXO74" s="180"/>
      <c r="RXP74" s="180"/>
      <c r="RXQ74" s="180"/>
      <c r="RXR74" s="180"/>
      <c r="RXS74" s="180"/>
      <c r="RXT74" s="180"/>
      <c r="RXU74" s="180"/>
      <c r="RXV74" s="180"/>
      <c r="RXW74" s="180"/>
      <c r="RXX74" s="180"/>
      <c r="RXY74" s="180"/>
      <c r="RXZ74" s="180"/>
      <c r="RYA74" s="180"/>
      <c r="RYB74" s="180"/>
      <c r="RYC74" s="180"/>
      <c r="RYD74" s="180"/>
      <c r="RYE74" s="180"/>
      <c r="RYF74" s="180"/>
      <c r="RYG74" s="180"/>
      <c r="RYH74" s="180"/>
      <c r="RYI74" s="180"/>
      <c r="RYJ74" s="180"/>
      <c r="RYK74" s="180"/>
      <c r="RYL74" s="180"/>
      <c r="RYM74" s="180"/>
      <c r="RYN74" s="180"/>
      <c r="RYO74" s="180"/>
      <c r="RYP74" s="180"/>
      <c r="RYQ74" s="180"/>
      <c r="RYR74" s="180"/>
      <c r="RYS74" s="180"/>
      <c r="RYT74" s="180"/>
      <c r="RYU74" s="180"/>
      <c r="RYV74" s="180"/>
      <c r="RYW74" s="180"/>
      <c r="RYX74" s="180"/>
      <c r="RYY74" s="180"/>
      <c r="RYZ74" s="180"/>
      <c r="RZA74" s="180"/>
      <c r="RZB74" s="180"/>
      <c r="RZC74" s="180"/>
      <c r="RZD74" s="180"/>
      <c r="RZE74" s="180"/>
      <c r="RZF74" s="180"/>
      <c r="RZG74" s="180"/>
      <c r="RZH74" s="180"/>
      <c r="RZI74" s="180"/>
      <c r="RZJ74" s="180"/>
      <c r="RZK74" s="180"/>
      <c r="RZL74" s="180"/>
      <c r="RZM74" s="180"/>
      <c r="RZN74" s="180"/>
      <c r="RZO74" s="180"/>
      <c r="RZP74" s="180"/>
      <c r="RZQ74" s="180"/>
      <c r="RZR74" s="180"/>
      <c r="RZS74" s="180"/>
      <c r="RZT74" s="180"/>
      <c r="RZU74" s="180"/>
      <c r="RZV74" s="180"/>
      <c r="RZW74" s="180"/>
      <c r="RZX74" s="180"/>
      <c r="RZY74" s="180"/>
      <c r="RZZ74" s="180"/>
      <c r="SAA74" s="180"/>
      <c r="SAB74" s="180"/>
      <c r="SAC74" s="180"/>
      <c r="SAD74" s="180"/>
      <c r="SAE74" s="180"/>
      <c r="SAF74" s="180"/>
      <c r="SAG74" s="180"/>
      <c r="SAH74" s="180"/>
      <c r="SAI74" s="180"/>
      <c r="SAJ74" s="180"/>
      <c r="SAK74" s="180"/>
      <c r="SAL74" s="180"/>
      <c r="SAM74" s="180"/>
      <c r="SAN74" s="180"/>
      <c r="SAO74" s="180"/>
      <c r="SAP74" s="180"/>
      <c r="SAQ74" s="180"/>
      <c r="SAR74" s="180"/>
      <c r="SAS74" s="180"/>
      <c r="SAT74" s="180"/>
      <c r="SAU74" s="180"/>
      <c r="SAV74" s="180"/>
      <c r="SAW74" s="180"/>
      <c r="SAX74" s="180"/>
      <c r="SAY74" s="180"/>
      <c r="SAZ74" s="180"/>
      <c r="SBA74" s="180"/>
      <c r="SBB74" s="180"/>
      <c r="SBC74" s="180"/>
      <c r="SBD74" s="180"/>
      <c r="SBE74" s="180"/>
      <c r="SBF74" s="180"/>
      <c r="SBG74" s="180"/>
      <c r="SBH74" s="180"/>
      <c r="SBI74" s="180"/>
      <c r="SBJ74" s="180"/>
      <c r="SBK74" s="180"/>
      <c r="SBL74" s="180"/>
      <c r="SBM74" s="180"/>
      <c r="SBN74" s="180"/>
      <c r="SBO74" s="180"/>
      <c r="SBP74" s="180"/>
      <c r="SBQ74" s="180"/>
      <c r="SBR74" s="180"/>
      <c r="SBS74" s="180"/>
      <c r="SBT74" s="180"/>
      <c r="SBU74" s="180"/>
      <c r="SBV74" s="180"/>
      <c r="SBW74" s="180"/>
      <c r="SBX74" s="180"/>
      <c r="SBY74" s="180"/>
      <c r="SBZ74" s="180"/>
      <c r="SCA74" s="180"/>
      <c r="SCB74" s="180"/>
      <c r="SCC74" s="180"/>
      <c r="SCD74" s="180"/>
      <c r="SCE74" s="180"/>
      <c r="SCF74" s="180"/>
      <c r="SCG74" s="180"/>
      <c r="SCH74" s="180"/>
      <c r="SCI74" s="180"/>
      <c r="SCJ74" s="180"/>
      <c r="SCK74" s="180"/>
      <c r="SCL74" s="180"/>
      <c r="SCM74" s="180"/>
      <c r="SCN74" s="180"/>
      <c r="SCO74" s="180"/>
      <c r="SCP74" s="180"/>
      <c r="SCQ74" s="180"/>
      <c r="SCR74" s="180"/>
      <c r="SCS74" s="180"/>
      <c r="SCT74" s="180"/>
      <c r="SCU74" s="180"/>
      <c r="SCV74" s="180"/>
      <c r="SCW74" s="180"/>
      <c r="SCX74" s="180"/>
      <c r="SCY74" s="180"/>
      <c r="SCZ74" s="180"/>
      <c r="SDA74" s="180"/>
      <c r="SDB74" s="180"/>
      <c r="SDC74" s="180"/>
      <c r="SDD74" s="180"/>
      <c r="SDE74" s="180"/>
      <c r="SDF74" s="180"/>
      <c r="SDG74" s="180"/>
      <c r="SDH74" s="180"/>
      <c r="SDI74" s="180"/>
      <c r="SDJ74" s="180"/>
      <c r="SDK74" s="180"/>
      <c r="SDL74" s="180"/>
      <c r="SDM74" s="180"/>
      <c r="SDN74" s="180"/>
      <c r="SDO74" s="180"/>
      <c r="SDP74" s="180"/>
      <c r="SDQ74" s="180"/>
      <c r="SDR74" s="180"/>
      <c r="SDS74" s="180"/>
      <c r="SDT74" s="180"/>
      <c r="SDU74" s="180"/>
      <c r="SDV74" s="180"/>
      <c r="SDW74" s="180"/>
      <c r="SDX74" s="180"/>
      <c r="SDY74" s="180"/>
      <c r="SDZ74" s="180"/>
      <c r="SEA74" s="180"/>
      <c r="SEB74" s="180"/>
      <c r="SEC74" s="180"/>
      <c r="SED74" s="180"/>
      <c r="SEE74" s="180"/>
      <c r="SEF74" s="180"/>
      <c r="SEG74" s="180"/>
      <c r="SEH74" s="180"/>
      <c r="SEI74" s="180"/>
      <c r="SEJ74" s="180"/>
      <c r="SEK74" s="180"/>
      <c r="SEL74" s="180"/>
      <c r="SEM74" s="180"/>
      <c r="SEN74" s="180"/>
      <c r="SEO74" s="180"/>
      <c r="SEP74" s="180"/>
      <c r="SEQ74" s="180"/>
      <c r="SER74" s="180"/>
      <c r="SES74" s="180"/>
      <c r="SET74" s="180"/>
      <c r="SEU74" s="180"/>
      <c r="SEV74" s="180"/>
      <c r="SEW74" s="180"/>
      <c r="SEX74" s="180"/>
      <c r="SEY74" s="180"/>
      <c r="SEZ74" s="180"/>
      <c r="SFA74" s="180"/>
      <c r="SFB74" s="180"/>
      <c r="SFC74" s="180"/>
      <c r="SFD74" s="180"/>
      <c r="SFE74" s="180"/>
      <c r="SFF74" s="180"/>
      <c r="SFG74" s="180"/>
      <c r="SFH74" s="180"/>
      <c r="SFI74" s="180"/>
      <c r="SFJ74" s="180"/>
      <c r="SFK74" s="180"/>
      <c r="SFL74" s="180"/>
      <c r="SFM74" s="180"/>
      <c r="SFN74" s="180"/>
      <c r="SFO74" s="180"/>
      <c r="SFP74" s="180"/>
      <c r="SFQ74" s="180"/>
      <c r="SFR74" s="180"/>
      <c r="SFS74" s="180"/>
      <c r="SFT74" s="180"/>
      <c r="SFU74" s="180"/>
      <c r="SFV74" s="180"/>
      <c r="SFW74" s="180"/>
      <c r="SFX74" s="180"/>
      <c r="SFY74" s="180"/>
      <c r="SFZ74" s="180"/>
      <c r="SGA74" s="180"/>
      <c r="SGB74" s="180"/>
      <c r="SGC74" s="180"/>
      <c r="SGD74" s="180"/>
      <c r="SGE74" s="180"/>
      <c r="SGF74" s="180"/>
      <c r="SGG74" s="180"/>
      <c r="SGH74" s="180"/>
      <c r="SGI74" s="180"/>
      <c r="SGJ74" s="180"/>
      <c r="SGK74" s="180"/>
      <c r="SGL74" s="180"/>
      <c r="SGM74" s="180"/>
      <c r="SGN74" s="180"/>
      <c r="SGO74" s="180"/>
      <c r="SGP74" s="180"/>
      <c r="SGQ74" s="180"/>
      <c r="SGR74" s="180"/>
      <c r="SGS74" s="180"/>
      <c r="SGT74" s="180"/>
      <c r="SGU74" s="180"/>
      <c r="SGV74" s="180"/>
      <c r="SGW74" s="180"/>
      <c r="SGX74" s="180"/>
      <c r="SGY74" s="180"/>
      <c r="SGZ74" s="180"/>
      <c r="SHA74" s="180"/>
      <c r="SHB74" s="180"/>
      <c r="SHC74" s="180"/>
      <c r="SHD74" s="180"/>
      <c r="SHE74" s="180"/>
      <c r="SHF74" s="180"/>
      <c r="SHG74" s="180"/>
      <c r="SHH74" s="180"/>
      <c r="SHI74" s="180"/>
      <c r="SHJ74" s="180"/>
      <c r="SHK74" s="180"/>
      <c r="SHL74" s="180"/>
      <c r="SHM74" s="180"/>
      <c r="SHN74" s="180"/>
      <c r="SHO74" s="180"/>
      <c r="SHP74" s="180"/>
      <c r="SHQ74" s="180"/>
      <c r="SHR74" s="180"/>
      <c r="SHS74" s="180"/>
      <c r="SHT74" s="180"/>
      <c r="SHU74" s="180"/>
      <c r="SHV74" s="180"/>
      <c r="SHW74" s="180"/>
      <c r="SHX74" s="180"/>
      <c r="SHY74" s="180"/>
      <c r="SHZ74" s="180"/>
      <c r="SIA74" s="180"/>
      <c r="SIB74" s="180"/>
      <c r="SIC74" s="180"/>
      <c r="SID74" s="180"/>
      <c r="SIE74" s="180"/>
      <c r="SIF74" s="180"/>
      <c r="SIG74" s="180"/>
      <c r="SIH74" s="180"/>
      <c r="SII74" s="180"/>
      <c r="SIJ74" s="180"/>
      <c r="SIK74" s="180"/>
      <c r="SIL74" s="180"/>
      <c r="SIM74" s="180"/>
      <c r="SIN74" s="180"/>
      <c r="SIO74" s="180"/>
      <c r="SIP74" s="180"/>
      <c r="SIQ74" s="180"/>
      <c r="SIR74" s="180"/>
      <c r="SIS74" s="180"/>
      <c r="SIT74" s="180"/>
      <c r="SIU74" s="180"/>
      <c r="SIV74" s="180"/>
      <c r="SIW74" s="180"/>
      <c r="SIX74" s="180"/>
      <c r="SIY74" s="180"/>
      <c r="SIZ74" s="180"/>
      <c r="SJA74" s="180"/>
      <c r="SJB74" s="180"/>
      <c r="SJC74" s="180"/>
      <c r="SJD74" s="180"/>
      <c r="SJE74" s="180"/>
      <c r="SJF74" s="180"/>
      <c r="SJG74" s="180"/>
      <c r="SJH74" s="180"/>
      <c r="SJI74" s="180"/>
      <c r="SJJ74" s="180"/>
      <c r="SJK74" s="180"/>
      <c r="SJL74" s="180"/>
      <c r="SJM74" s="180"/>
      <c r="SJN74" s="180"/>
      <c r="SJO74" s="180"/>
      <c r="SJP74" s="180"/>
      <c r="SJQ74" s="180"/>
      <c r="SJR74" s="180"/>
      <c r="SJS74" s="180"/>
      <c r="SJT74" s="180"/>
      <c r="SJU74" s="180"/>
      <c r="SJV74" s="180"/>
      <c r="SJW74" s="180"/>
      <c r="SJX74" s="180"/>
      <c r="SJY74" s="180"/>
      <c r="SJZ74" s="180"/>
      <c r="SKA74" s="180"/>
      <c r="SKB74" s="180"/>
      <c r="SKC74" s="180"/>
      <c r="SKD74" s="180"/>
      <c r="SKE74" s="180"/>
      <c r="SKF74" s="180"/>
      <c r="SKG74" s="180"/>
      <c r="SKH74" s="180"/>
      <c r="SKI74" s="180"/>
      <c r="SKJ74" s="180"/>
      <c r="SKK74" s="180"/>
      <c r="SKL74" s="180"/>
      <c r="SKM74" s="180"/>
      <c r="SKN74" s="180"/>
      <c r="SKO74" s="180"/>
      <c r="SKP74" s="180"/>
      <c r="SKQ74" s="180"/>
      <c r="SKR74" s="180"/>
      <c r="SKS74" s="180"/>
      <c r="SKT74" s="180"/>
      <c r="SKU74" s="180"/>
      <c r="SKV74" s="180"/>
      <c r="SKW74" s="180"/>
      <c r="SKX74" s="180"/>
      <c r="SKY74" s="180"/>
      <c r="SKZ74" s="180"/>
      <c r="SLA74" s="180"/>
      <c r="SLB74" s="180"/>
      <c r="SLC74" s="180"/>
      <c r="SLD74" s="180"/>
      <c r="SLE74" s="180"/>
      <c r="SLF74" s="180"/>
      <c r="SLG74" s="180"/>
      <c r="SLH74" s="180"/>
      <c r="SLI74" s="180"/>
      <c r="SLJ74" s="180"/>
      <c r="SLK74" s="180"/>
      <c r="SLL74" s="180"/>
      <c r="SLM74" s="180"/>
      <c r="SLN74" s="180"/>
      <c r="SLO74" s="180"/>
      <c r="SLP74" s="180"/>
      <c r="SLQ74" s="180"/>
      <c r="SLR74" s="180"/>
      <c r="SLS74" s="180"/>
      <c r="SLT74" s="180"/>
      <c r="SLU74" s="180"/>
      <c r="SLV74" s="180"/>
      <c r="SLW74" s="180"/>
      <c r="SLX74" s="180"/>
      <c r="SLY74" s="180"/>
      <c r="SLZ74" s="180"/>
      <c r="SMA74" s="180"/>
      <c r="SMB74" s="180"/>
      <c r="SMC74" s="180"/>
      <c r="SMD74" s="180"/>
      <c r="SME74" s="180"/>
      <c r="SMF74" s="180"/>
      <c r="SMG74" s="180"/>
      <c r="SMH74" s="180"/>
      <c r="SMI74" s="180"/>
      <c r="SMJ74" s="180"/>
      <c r="SMK74" s="180"/>
      <c r="SML74" s="180"/>
      <c r="SMM74" s="180"/>
      <c r="SMN74" s="180"/>
      <c r="SMO74" s="180"/>
      <c r="SMP74" s="180"/>
      <c r="SMQ74" s="180"/>
      <c r="SMR74" s="180"/>
      <c r="SMS74" s="180"/>
      <c r="SMT74" s="180"/>
      <c r="SMU74" s="180"/>
      <c r="SMV74" s="180"/>
      <c r="SMW74" s="180"/>
      <c r="SMX74" s="180"/>
      <c r="SMY74" s="180"/>
      <c r="SMZ74" s="180"/>
      <c r="SNA74" s="180"/>
      <c r="SNB74" s="180"/>
      <c r="SNC74" s="180"/>
      <c r="SND74" s="180"/>
      <c r="SNE74" s="180"/>
      <c r="SNF74" s="180"/>
      <c r="SNG74" s="180"/>
      <c r="SNH74" s="180"/>
      <c r="SNI74" s="180"/>
      <c r="SNJ74" s="180"/>
      <c r="SNK74" s="180"/>
      <c r="SNL74" s="180"/>
      <c r="SNM74" s="180"/>
      <c r="SNN74" s="180"/>
      <c r="SNO74" s="180"/>
      <c r="SNP74" s="180"/>
      <c r="SNQ74" s="180"/>
      <c r="SNR74" s="180"/>
      <c r="SNS74" s="180"/>
      <c r="SNT74" s="180"/>
      <c r="SNU74" s="180"/>
      <c r="SNV74" s="180"/>
      <c r="SNW74" s="180"/>
      <c r="SNX74" s="180"/>
      <c r="SNY74" s="180"/>
      <c r="SNZ74" s="180"/>
      <c r="SOA74" s="180"/>
      <c r="SOB74" s="180"/>
      <c r="SOC74" s="180"/>
      <c r="SOD74" s="180"/>
      <c r="SOE74" s="180"/>
      <c r="SOF74" s="180"/>
      <c r="SOG74" s="180"/>
      <c r="SOH74" s="180"/>
      <c r="SOI74" s="180"/>
      <c r="SOJ74" s="180"/>
      <c r="SOK74" s="180"/>
      <c r="SOL74" s="180"/>
      <c r="SOM74" s="180"/>
      <c r="SON74" s="180"/>
      <c r="SOO74" s="180"/>
      <c r="SOP74" s="180"/>
      <c r="SOQ74" s="180"/>
      <c r="SOR74" s="180"/>
      <c r="SOS74" s="180"/>
      <c r="SOT74" s="180"/>
      <c r="SOU74" s="180"/>
      <c r="SOV74" s="180"/>
      <c r="SOW74" s="180"/>
      <c r="SOX74" s="180"/>
      <c r="SOY74" s="180"/>
      <c r="SOZ74" s="180"/>
      <c r="SPA74" s="180"/>
      <c r="SPB74" s="180"/>
      <c r="SPC74" s="180"/>
      <c r="SPD74" s="180"/>
      <c r="SPE74" s="180"/>
      <c r="SPF74" s="180"/>
      <c r="SPG74" s="180"/>
      <c r="SPH74" s="180"/>
      <c r="SPI74" s="180"/>
      <c r="SPJ74" s="180"/>
      <c r="SPK74" s="180"/>
      <c r="SPL74" s="180"/>
      <c r="SPM74" s="180"/>
      <c r="SPN74" s="180"/>
      <c r="SPO74" s="180"/>
      <c r="SPP74" s="180"/>
      <c r="SPQ74" s="180"/>
      <c r="SPR74" s="180"/>
      <c r="SPS74" s="180"/>
      <c r="SPT74" s="180"/>
      <c r="SPU74" s="180"/>
      <c r="SPV74" s="180"/>
      <c r="SPW74" s="180"/>
      <c r="SPX74" s="180"/>
      <c r="SPY74" s="180"/>
      <c r="SPZ74" s="180"/>
      <c r="SQA74" s="180"/>
      <c r="SQB74" s="180"/>
      <c r="SQC74" s="180"/>
      <c r="SQD74" s="180"/>
      <c r="SQE74" s="180"/>
      <c r="SQF74" s="180"/>
      <c r="SQG74" s="180"/>
      <c r="SQH74" s="180"/>
      <c r="SQI74" s="180"/>
      <c r="SQJ74" s="180"/>
      <c r="SQK74" s="180"/>
      <c r="SQL74" s="180"/>
      <c r="SQM74" s="180"/>
      <c r="SQN74" s="180"/>
      <c r="SQO74" s="180"/>
      <c r="SQP74" s="180"/>
      <c r="SQQ74" s="180"/>
      <c r="SQR74" s="180"/>
      <c r="SQS74" s="180"/>
      <c r="SQT74" s="180"/>
      <c r="SQU74" s="180"/>
      <c r="SQV74" s="180"/>
      <c r="SQW74" s="180"/>
      <c r="SQX74" s="180"/>
      <c r="SQY74" s="180"/>
      <c r="SQZ74" s="180"/>
      <c r="SRA74" s="180"/>
      <c r="SRB74" s="180"/>
      <c r="SRC74" s="180"/>
      <c r="SRD74" s="180"/>
      <c r="SRE74" s="180"/>
      <c r="SRF74" s="180"/>
      <c r="SRG74" s="180"/>
      <c r="SRH74" s="180"/>
      <c r="SRI74" s="180"/>
      <c r="SRJ74" s="180"/>
      <c r="SRK74" s="180"/>
      <c r="SRL74" s="180"/>
      <c r="SRM74" s="180"/>
      <c r="SRN74" s="180"/>
      <c r="SRO74" s="180"/>
      <c r="SRP74" s="180"/>
      <c r="SRQ74" s="180"/>
      <c r="SRR74" s="180"/>
      <c r="SRS74" s="180"/>
      <c r="SRT74" s="180"/>
      <c r="SRU74" s="180"/>
      <c r="SRV74" s="180"/>
      <c r="SRW74" s="180"/>
      <c r="SRX74" s="180"/>
      <c r="SRY74" s="180"/>
      <c r="SRZ74" s="180"/>
      <c r="SSA74" s="180"/>
      <c r="SSB74" s="180"/>
      <c r="SSC74" s="180"/>
      <c r="SSD74" s="180"/>
      <c r="SSE74" s="180"/>
      <c r="SSF74" s="180"/>
      <c r="SSG74" s="180"/>
      <c r="SSH74" s="180"/>
      <c r="SSI74" s="180"/>
      <c r="SSJ74" s="180"/>
      <c r="SSK74" s="180"/>
      <c r="SSL74" s="180"/>
      <c r="SSM74" s="180"/>
      <c r="SSN74" s="180"/>
      <c r="SSO74" s="180"/>
      <c r="SSP74" s="180"/>
      <c r="SSQ74" s="180"/>
      <c r="SSR74" s="180"/>
      <c r="SSS74" s="180"/>
      <c r="SST74" s="180"/>
      <c r="SSU74" s="180"/>
      <c r="SSV74" s="180"/>
      <c r="SSW74" s="180"/>
      <c r="SSX74" s="180"/>
      <c r="SSY74" s="180"/>
      <c r="SSZ74" s="180"/>
      <c r="STA74" s="180"/>
      <c r="STB74" s="180"/>
      <c r="STC74" s="180"/>
      <c r="STD74" s="180"/>
      <c r="STE74" s="180"/>
      <c r="STF74" s="180"/>
      <c r="STG74" s="180"/>
      <c r="STH74" s="180"/>
      <c r="STI74" s="180"/>
      <c r="STJ74" s="180"/>
      <c r="STK74" s="180"/>
      <c r="STL74" s="180"/>
      <c r="STM74" s="180"/>
      <c r="STN74" s="180"/>
      <c r="STO74" s="180"/>
      <c r="STP74" s="180"/>
      <c r="STQ74" s="180"/>
      <c r="STR74" s="180"/>
      <c r="STS74" s="180"/>
      <c r="STT74" s="180"/>
      <c r="STU74" s="180"/>
      <c r="STV74" s="180"/>
      <c r="STW74" s="180"/>
      <c r="STX74" s="180"/>
      <c r="STY74" s="180"/>
      <c r="STZ74" s="180"/>
      <c r="SUA74" s="180"/>
      <c r="SUB74" s="180"/>
      <c r="SUC74" s="180"/>
      <c r="SUD74" s="180"/>
      <c r="SUE74" s="180"/>
      <c r="SUF74" s="180"/>
      <c r="SUG74" s="180"/>
      <c r="SUH74" s="180"/>
      <c r="SUI74" s="180"/>
      <c r="SUJ74" s="180"/>
      <c r="SUK74" s="180"/>
      <c r="SUL74" s="180"/>
      <c r="SUM74" s="180"/>
      <c r="SUN74" s="180"/>
      <c r="SUO74" s="180"/>
      <c r="SUP74" s="180"/>
      <c r="SUQ74" s="180"/>
      <c r="SUR74" s="180"/>
      <c r="SUS74" s="180"/>
      <c r="SUT74" s="180"/>
      <c r="SUU74" s="180"/>
      <c r="SUV74" s="180"/>
      <c r="SUW74" s="180"/>
      <c r="SUX74" s="180"/>
      <c r="SUY74" s="180"/>
      <c r="SUZ74" s="180"/>
      <c r="SVA74" s="180"/>
      <c r="SVB74" s="180"/>
      <c r="SVC74" s="180"/>
      <c r="SVD74" s="180"/>
      <c r="SVE74" s="180"/>
      <c r="SVF74" s="180"/>
      <c r="SVG74" s="180"/>
      <c r="SVH74" s="180"/>
      <c r="SVI74" s="180"/>
      <c r="SVJ74" s="180"/>
      <c r="SVK74" s="180"/>
      <c r="SVL74" s="180"/>
      <c r="SVM74" s="180"/>
      <c r="SVN74" s="180"/>
      <c r="SVO74" s="180"/>
      <c r="SVP74" s="180"/>
      <c r="SVQ74" s="180"/>
      <c r="SVR74" s="180"/>
      <c r="SVS74" s="180"/>
      <c r="SVT74" s="180"/>
      <c r="SVU74" s="180"/>
      <c r="SVV74" s="180"/>
      <c r="SVW74" s="180"/>
      <c r="SVX74" s="180"/>
      <c r="SVY74" s="180"/>
      <c r="SVZ74" s="180"/>
      <c r="SWA74" s="180"/>
      <c r="SWB74" s="180"/>
      <c r="SWC74" s="180"/>
      <c r="SWD74" s="180"/>
      <c r="SWE74" s="180"/>
      <c r="SWF74" s="180"/>
      <c r="SWG74" s="180"/>
      <c r="SWH74" s="180"/>
      <c r="SWI74" s="180"/>
      <c r="SWJ74" s="180"/>
      <c r="SWK74" s="180"/>
      <c r="SWL74" s="180"/>
      <c r="SWM74" s="180"/>
      <c r="SWN74" s="180"/>
      <c r="SWO74" s="180"/>
      <c r="SWP74" s="180"/>
      <c r="SWQ74" s="180"/>
      <c r="SWR74" s="180"/>
      <c r="SWS74" s="180"/>
      <c r="SWT74" s="180"/>
      <c r="SWU74" s="180"/>
      <c r="SWV74" s="180"/>
      <c r="SWW74" s="180"/>
      <c r="SWX74" s="180"/>
      <c r="SWY74" s="180"/>
      <c r="SWZ74" s="180"/>
      <c r="SXA74" s="180"/>
      <c r="SXB74" s="180"/>
      <c r="SXC74" s="180"/>
      <c r="SXD74" s="180"/>
      <c r="SXE74" s="180"/>
      <c r="SXF74" s="180"/>
      <c r="SXG74" s="180"/>
      <c r="SXH74" s="180"/>
      <c r="SXI74" s="180"/>
      <c r="SXJ74" s="180"/>
      <c r="SXK74" s="180"/>
      <c r="SXL74" s="180"/>
      <c r="SXM74" s="180"/>
      <c r="SXN74" s="180"/>
      <c r="SXO74" s="180"/>
      <c r="SXP74" s="180"/>
      <c r="SXQ74" s="180"/>
      <c r="SXR74" s="180"/>
      <c r="SXS74" s="180"/>
      <c r="SXT74" s="180"/>
      <c r="SXU74" s="180"/>
      <c r="SXV74" s="180"/>
      <c r="SXW74" s="180"/>
      <c r="SXX74" s="180"/>
      <c r="SXY74" s="180"/>
      <c r="SXZ74" s="180"/>
      <c r="SYA74" s="180"/>
      <c r="SYB74" s="180"/>
      <c r="SYC74" s="180"/>
      <c r="SYD74" s="180"/>
      <c r="SYE74" s="180"/>
      <c r="SYF74" s="180"/>
      <c r="SYG74" s="180"/>
      <c r="SYH74" s="180"/>
      <c r="SYI74" s="180"/>
      <c r="SYJ74" s="180"/>
      <c r="SYK74" s="180"/>
      <c r="SYL74" s="180"/>
      <c r="SYM74" s="180"/>
      <c r="SYN74" s="180"/>
      <c r="SYO74" s="180"/>
      <c r="SYP74" s="180"/>
      <c r="SYQ74" s="180"/>
      <c r="SYR74" s="180"/>
      <c r="SYS74" s="180"/>
      <c r="SYT74" s="180"/>
      <c r="SYU74" s="180"/>
      <c r="SYV74" s="180"/>
      <c r="SYW74" s="180"/>
      <c r="SYX74" s="180"/>
      <c r="SYY74" s="180"/>
      <c r="SYZ74" s="180"/>
      <c r="SZA74" s="180"/>
      <c r="SZB74" s="180"/>
      <c r="SZC74" s="180"/>
      <c r="SZD74" s="180"/>
      <c r="SZE74" s="180"/>
      <c r="SZF74" s="180"/>
      <c r="SZG74" s="180"/>
      <c r="SZH74" s="180"/>
      <c r="SZI74" s="180"/>
      <c r="SZJ74" s="180"/>
      <c r="SZK74" s="180"/>
      <c r="SZL74" s="180"/>
      <c r="SZM74" s="180"/>
      <c r="SZN74" s="180"/>
      <c r="SZO74" s="180"/>
      <c r="SZP74" s="180"/>
      <c r="SZQ74" s="180"/>
      <c r="SZR74" s="180"/>
      <c r="SZS74" s="180"/>
      <c r="SZT74" s="180"/>
      <c r="SZU74" s="180"/>
      <c r="SZV74" s="180"/>
      <c r="SZW74" s="180"/>
      <c r="SZX74" s="180"/>
      <c r="SZY74" s="180"/>
      <c r="SZZ74" s="180"/>
      <c r="TAA74" s="180"/>
      <c r="TAB74" s="180"/>
      <c r="TAC74" s="180"/>
      <c r="TAD74" s="180"/>
      <c r="TAE74" s="180"/>
      <c r="TAF74" s="180"/>
      <c r="TAG74" s="180"/>
      <c r="TAH74" s="180"/>
      <c r="TAI74" s="180"/>
      <c r="TAJ74" s="180"/>
      <c r="TAK74" s="180"/>
      <c r="TAL74" s="180"/>
      <c r="TAM74" s="180"/>
      <c r="TAN74" s="180"/>
      <c r="TAO74" s="180"/>
      <c r="TAP74" s="180"/>
      <c r="TAQ74" s="180"/>
      <c r="TAR74" s="180"/>
      <c r="TAS74" s="180"/>
      <c r="TAT74" s="180"/>
      <c r="TAU74" s="180"/>
      <c r="TAV74" s="180"/>
      <c r="TAW74" s="180"/>
      <c r="TAX74" s="180"/>
      <c r="TAY74" s="180"/>
      <c r="TAZ74" s="180"/>
      <c r="TBA74" s="180"/>
      <c r="TBB74" s="180"/>
      <c r="TBC74" s="180"/>
      <c r="TBD74" s="180"/>
      <c r="TBE74" s="180"/>
      <c r="TBF74" s="180"/>
      <c r="TBG74" s="180"/>
      <c r="TBH74" s="180"/>
      <c r="TBI74" s="180"/>
      <c r="TBJ74" s="180"/>
      <c r="TBK74" s="180"/>
      <c r="TBL74" s="180"/>
      <c r="TBM74" s="180"/>
      <c r="TBN74" s="180"/>
      <c r="TBO74" s="180"/>
      <c r="TBP74" s="180"/>
      <c r="TBQ74" s="180"/>
      <c r="TBR74" s="180"/>
      <c r="TBS74" s="180"/>
      <c r="TBT74" s="180"/>
      <c r="TBU74" s="180"/>
      <c r="TBV74" s="180"/>
      <c r="TBW74" s="180"/>
      <c r="TBX74" s="180"/>
      <c r="TBY74" s="180"/>
      <c r="TBZ74" s="180"/>
      <c r="TCA74" s="180"/>
      <c r="TCB74" s="180"/>
      <c r="TCC74" s="180"/>
      <c r="TCD74" s="180"/>
      <c r="TCE74" s="180"/>
      <c r="TCF74" s="180"/>
      <c r="TCG74" s="180"/>
      <c r="TCH74" s="180"/>
      <c r="TCI74" s="180"/>
      <c r="TCJ74" s="180"/>
      <c r="TCK74" s="180"/>
      <c r="TCL74" s="180"/>
      <c r="TCM74" s="180"/>
      <c r="TCN74" s="180"/>
      <c r="TCO74" s="180"/>
      <c r="TCP74" s="180"/>
      <c r="TCQ74" s="180"/>
      <c r="TCR74" s="180"/>
      <c r="TCS74" s="180"/>
      <c r="TCT74" s="180"/>
      <c r="TCU74" s="180"/>
      <c r="TCV74" s="180"/>
      <c r="TCW74" s="180"/>
      <c r="TCX74" s="180"/>
      <c r="TCY74" s="180"/>
      <c r="TCZ74" s="180"/>
      <c r="TDA74" s="180"/>
      <c r="TDB74" s="180"/>
      <c r="TDC74" s="180"/>
      <c r="TDD74" s="180"/>
      <c r="TDE74" s="180"/>
      <c r="TDF74" s="180"/>
      <c r="TDG74" s="180"/>
      <c r="TDH74" s="180"/>
      <c r="TDI74" s="180"/>
      <c r="TDJ74" s="180"/>
      <c r="TDK74" s="180"/>
      <c r="TDL74" s="180"/>
      <c r="TDM74" s="180"/>
      <c r="TDN74" s="180"/>
      <c r="TDO74" s="180"/>
      <c r="TDP74" s="180"/>
      <c r="TDQ74" s="180"/>
      <c r="TDR74" s="180"/>
      <c r="TDS74" s="180"/>
      <c r="TDT74" s="180"/>
      <c r="TDU74" s="180"/>
      <c r="TDV74" s="180"/>
      <c r="TDW74" s="180"/>
      <c r="TDX74" s="180"/>
      <c r="TDY74" s="180"/>
      <c r="TDZ74" s="180"/>
      <c r="TEA74" s="180"/>
      <c r="TEB74" s="180"/>
      <c r="TEC74" s="180"/>
      <c r="TED74" s="180"/>
      <c r="TEE74" s="180"/>
      <c r="TEF74" s="180"/>
      <c r="TEG74" s="180"/>
      <c r="TEH74" s="180"/>
      <c r="TEI74" s="180"/>
      <c r="TEJ74" s="180"/>
      <c r="TEK74" s="180"/>
      <c r="TEL74" s="180"/>
      <c r="TEM74" s="180"/>
      <c r="TEN74" s="180"/>
      <c r="TEO74" s="180"/>
      <c r="TEP74" s="180"/>
      <c r="TEQ74" s="180"/>
      <c r="TER74" s="180"/>
      <c r="TES74" s="180"/>
      <c r="TET74" s="180"/>
      <c r="TEU74" s="180"/>
      <c r="TEV74" s="180"/>
      <c r="TEW74" s="180"/>
      <c r="TEX74" s="180"/>
      <c r="TEY74" s="180"/>
      <c r="TEZ74" s="180"/>
      <c r="TFA74" s="180"/>
      <c r="TFB74" s="180"/>
      <c r="TFC74" s="180"/>
      <c r="TFD74" s="180"/>
      <c r="TFE74" s="180"/>
      <c r="TFF74" s="180"/>
      <c r="TFG74" s="180"/>
      <c r="TFH74" s="180"/>
      <c r="TFI74" s="180"/>
      <c r="TFJ74" s="180"/>
      <c r="TFK74" s="180"/>
      <c r="TFL74" s="180"/>
      <c r="TFM74" s="180"/>
      <c r="TFN74" s="180"/>
      <c r="TFO74" s="180"/>
      <c r="TFP74" s="180"/>
      <c r="TFQ74" s="180"/>
      <c r="TFR74" s="180"/>
      <c r="TFS74" s="180"/>
      <c r="TFT74" s="180"/>
      <c r="TFU74" s="180"/>
      <c r="TFV74" s="180"/>
      <c r="TFW74" s="180"/>
      <c r="TFX74" s="180"/>
      <c r="TFY74" s="180"/>
      <c r="TFZ74" s="180"/>
      <c r="TGA74" s="180"/>
      <c r="TGB74" s="180"/>
      <c r="TGC74" s="180"/>
      <c r="TGD74" s="180"/>
      <c r="TGE74" s="180"/>
      <c r="TGF74" s="180"/>
      <c r="TGG74" s="180"/>
      <c r="TGH74" s="180"/>
      <c r="TGI74" s="180"/>
      <c r="TGJ74" s="180"/>
      <c r="TGK74" s="180"/>
      <c r="TGL74" s="180"/>
      <c r="TGM74" s="180"/>
      <c r="TGN74" s="180"/>
      <c r="TGO74" s="180"/>
      <c r="TGP74" s="180"/>
      <c r="TGQ74" s="180"/>
      <c r="TGR74" s="180"/>
      <c r="TGS74" s="180"/>
      <c r="TGT74" s="180"/>
      <c r="TGU74" s="180"/>
      <c r="TGV74" s="180"/>
      <c r="TGW74" s="180"/>
      <c r="TGX74" s="180"/>
      <c r="TGY74" s="180"/>
      <c r="TGZ74" s="180"/>
      <c r="THA74" s="180"/>
      <c r="THB74" s="180"/>
      <c r="THC74" s="180"/>
      <c r="THD74" s="180"/>
      <c r="THE74" s="180"/>
      <c r="THF74" s="180"/>
      <c r="THG74" s="180"/>
      <c r="THH74" s="180"/>
      <c r="THI74" s="180"/>
      <c r="THJ74" s="180"/>
      <c r="THK74" s="180"/>
      <c r="THL74" s="180"/>
      <c r="THM74" s="180"/>
      <c r="THN74" s="180"/>
      <c r="THO74" s="180"/>
      <c r="THP74" s="180"/>
      <c r="THQ74" s="180"/>
      <c r="THR74" s="180"/>
      <c r="THS74" s="180"/>
      <c r="THT74" s="180"/>
      <c r="THU74" s="180"/>
      <c r="THV74" s="180"/>
      <c r="THW74" s="180"/>
      <c r="THX74" s="180"/>
      <c r="THY74" s="180"/>
      <c r="THZ74" s="180"/>
      <c r="TIA74" s="180"/>
      <c r="TIB74" s="180"/>
      <c r="TIC74" s="180"/>
      <c r="TID74" s="180"/>
      <c r="TIE74" s="180"/>
      <c r="TIF74" s="180"/>
      <c r="TIG74" s="180"/>
      <c r="TIH74" s="180"/>
      <c r="TII74" s="180"/>
      <c r="TIJ74" s="180"/>
      <c r="TIK74" s="180"/>
      <c r="TIL74" s="180"/>
      <c r="TIM74" s="180"/>
      <c r="TIN74" s="180"/>
      <c r="TIO74" s="180"/>
      <c r="TIP74" s="180"/>
      <c r="TIQ74" s="180"/>
      <c r="TIR74" s="180"/>
      <c r="TIS74" s="180"/>
      <c r="TIT74" s="180"/>
      <c r="TIU74" s="180"/>
      <c r="TIV74" s="180"/>
      <c r="TIW74" s="180"/>
      <c r="TIX74" s="180"/>
      <c r="TIY74" s="180"/>
      <c r="TIZ74" s="180"/>
      <c r="TJA74" s="180"/>
      <c r="TJB74" s="180"/>
      <c r="TJC74" s="180"/>
      <c r="TJD74" s="180"/>
      <c r="TJE74" s="180"/>
      <c r="TJF74" s="180"/>
      <c r="TJG74" s="180"/>
      <c r="TJH74" s="180"/>
      <c r="TJI74" s="180"/>
      <c r="TJJ74" s="180"/>
      <c r="TJK74" s="180"/>
      <c r="TJL74" s="180"/>
      <c r="TJM74" s="180"/>
      <c r="TJN74" s="180"/>
      <c r="TJO74" s="180"/>
      <c r="TJP74" s="180"/>
      <c r="TJQ74" s="180"/>
      <c r="TJR74" s="180"/>
      <c r="TJS74" s="180"/>
      <c r="TJT74" s="180"/>
      <c r="TJU74" s="180"/>
      <c r="TJV74" s="180"/>
      <c r="TJW74" s="180"/>
      <c r="TJX74" s="180"/>
      <c r="TJY74" s="180"/>
      <c r="TJZ74" s="180"/>
      <c r="TKA74" s="180"/>
      <c r="TKB74" s="180"/>
      <c r="TKC74" s="180"/>
      <c r="TKD74" s="180"/>
      <c r="TKE74" s="180"/>
      <c r="TKF74" s="180"/>
      <c r="TKG74" s="180"/>
      <c r="TKH74" s="180"/>
      <c r="TKI74" s="180"/>
      <c r="TKJ74" s="180"/>
      <c r="TKK74" s="180"/>
      <c r="TKL74" s="180"/>
      <c r="TKM74" s="180"/>
      <c r="TKN74" s="180"/>
      <c r="TKO74" s="180"/>
      <c r="TKP74" s="180"/>
      <c r="TKQ74" s="180"/>
      <c r="TKR74" s="180"/>
      <c r="TKS74" s="180"/>
      <c r="TKT74" s="180"/>
      <c r="TKU74" s="180"/>
      <c r="TKV74" s="180"/>
      <c r="TKW74" s="180"/>
      <c r="TKX74" s="180"/>
      <c r="TKY74" s="180"/>
      <c r="TKZ74" s="180"/>
      <c r="TLA74" s="180"/>
      <c r="TLB74" s="180"/>
      <c r="TLC74" s="180"/>
      <c r="TLD74" s="180"/>
      <c r="TLE74" s="180"/>
      <c r="TLF74" s="180"/>
      <c r="TLG74" s="180"/>
      <c r="TLH74" s="180"/>
      <c r="TLI74" s="180"/>
      <c r="TLJ74" s="180"/>
      <c r="TLK74" s="180"/>
      <c r="TLL74" s="180"/>
      <c r="TLM74" s="180"/>
      <c r="TLN74" s="180"/>
      <c r="TLO74" s="180"/>
      <c r="TLP74" s="180"/>
      <c r="TLQ74" s="180"/>
      <c r="TLR74" s="180"/>
      <c r="TLS74" s="180"/>
      <c r="TLT74" s="180"/>
      <c r="TLU74" s="180"/>
      <c r="TLV74" s="180"/>
      <c r="TLW74" s="180"/>
      <c r="TLX74" s="180"/>
      <c r="TLY74" s="180"/>
      <c r="TLZ74" s="180"/>
      <c r="TMA74" s="180"/>
      <c r="TMB74" s="180"/>
      <c r="TMC74" s="180"/>
      <c r="TMD74" s="180"/>
      <c r="TME74" s="180"/>
      <c r="TMF74" s="180"/>
      <c r="TMG74" s="180"/>
      <c r="TMH74" s="180"/>
      <c r="TMI74" s="180"/>
      <c r="TMJ74" s="180"/>
      <c r="TMK74" s="180"/>
      <c r="TML74" s="180"/>
      <c r="TMM74" s="180"/>
      <c r="TMN74" s="180"/>
      <c r="TMO74" s="180"/>
      <c r="TMP74" s="180"/>
      <c r="TMQ74" s="180"/>
      <c r="TMR74" s="180"/>
      <c r="TMS74" s="180"/>
      <c r="TMT74" s="180"/>
      <c r="TMU74" s="180"/>
      <c r="TMV74" s="180"/>
      <c r="TMW74" s="180"/>
      <c r="TMX74" s="180"/>
      <c r="TMY74" s="180"/>
      <c r="TMZ74" s="180"/>
      <c r="TNA74" s="180"/>
      <c r="TNB74" s="180"/>
      <c r="TNC74" s="180"/>
      <c r="TND74" s="180"/>
      <c r="TNE74" s="180"/>
      <c r="TNF74" s="180"/>
      <c r="TNG74" s="180"/>
      <c r="TNH74" s="180"/>
      <c r="TNI74" s="180"/>
      <c r="TNJ74" s="180"/>
      <c r="TNK74" s="180"/>
      <c r="TNL74" s="180"/>
      <c r="TNM74" s="180"/>
      <c r="TNN74" s="180"/>
      <c r="TNO74" s="180"/>
      <c r="TNP74" s="180"/>
      <c r="TNQ74" s="180"/>
      <c r="TNR74" s="180"/>
      <c r="TNS74" s="180"/>
      <c r="TNT74" s="180"/>
      <c r="TNU74" s="180"/>
      <c r="TNV74" s="180"/>
      <c r="TNW74" s="180"/>
      <c r="TNX74" s="180"/>
      <c r="TNY74" s="180"/>
      <c r="TNZ74" s="180"/>
      <c r="TOA74" s="180"/>
      <c r="TOB74" s="180"/>
      <c r="TOC74" s="180"/>
      <c r="TOD74" s="180"/>
      <c r="TOE74" s="180"/>
      <c r="TOF74" s="180"/>
      <c r="TOG74" s="180"/>
      <c r="TOH74" s="180"/>
      <c r="TOI74" s="180"/>
      <c r="TOJ74" s="180"/>
      <c r="TOK74" s="180"/>
      <c r="TOL74" s="180"/>
      <c r="TOM74" s="180"/>
      <c r="TON74" s="180"/>
      <c r="TOO74" s="180"/>
      <c r="TOP74" s="180"/>
      <c r="TOQ74" s="180"/>
      <c r="TOR74" s="180"/>
      <c r="TOS74" s="180"/>
      <c r="TOT74" s="180"/>
      <c r="TOU74" s="180"/>
      <c r="TOV74" s="180"/>
      <c r="TOW74" s="180"/>
      <c r="TOX74" s="180"/>
      <c r="TOY74" s="180"/>
      <c r="TOZ74" s="180"/>
      <c r="TPA74" s="180"/>
      <c r="TPB74" s="180"/>
      <c r="TPC74" s="180"/>
      <c r="TPD74" s="180"/>
      <c r="TPE74" s="180"/>
      <c r="TPF74" s="180"/>
      <c r="TPG74" s="180"/>
      <c r="TPH74" s="180"/>
      <c r="TPI74" s="180"/>
      <c r="TPJ74" s="180"/>
      <c r="TPK74" s="180"/>
      <c r="TPL74" s="180"/>
      <c r="TPM74" s="180"/>
      <c r="TPN74" s="180"/>
      <c r="TPO74" s="180"/>
      <c r="TPP74" s="180"/>
      <c r="TPQ74" s="180"/>
      <c r="TPR74" s="180"/>
      <c r="TPS74" s="180"/>
      <c r="TPT74" s="180"/>
      <c r="TPU74" s="180"/>
      <c r="TPV74" s="180"/>
      <c r="TPW74" s="180"/>
      <c r="TPX74" s="180"/>
      <c r="TPY74" s="180"/>
      <c r="TPZ74" s="180"/>
      <c r="TQA74" s="180"/>
      <c r="TQB74" s="180"/>
      <c r="TQC74" s="180"/>
      <c r="TQD74" s="180"/>
      <c r="TQE74" s="180"/>
      <c r="TQF74" s="180"/>
      <c r="TQG74" s="180"/>
      <c r="TQH74" s="180"/>
      <c r="TQI74" s="180"/>
      <c r="TQJ74" s="180"/>
      <c r="TQK74" s="180"/>
      <c r="TQL74" s="180"/>
      <c r="TQM74" s="180"/>
      <c r="TQN74" s="180"/>
      <c r="TQO74" s="180"/>
      <c r="TQP74" s="180"/>
      <c r="TQQ74" s="180"/>
      <c r="TQR74" s="180"/>
      <c r="TQS74" s="180"/>
      <c r="TQT74" s="180"/>
      <c r="TQU74" s="180"/>
      <c r="TQV74" s="180"/>
      <c r="TQW74" s="180"/>
      <c r="TQX74" s="180"/>
      <c r="TQY74" s="180"/>
      <c r="TQZ74" s="180"/>
      <c r="TRA74" s="180"/>
      <c r="TRB74" s="180"/>
      <c r="TRC74" s="180"/>
      <c r="TRD74" s="180"/>
      <c r="TRE74" s="180"/>
      <c r="TRF74" s="180"/>
      <c r="TRG74" s="180"/>
      <c r="TRH74" s="180"/>
      <c r="TRI74" s="180"/>
      <c r="TRJ74" s="180"/>
      <c r="TRK74" s="180"/>
      <c r="TRL74" s="180"/>
      <c r="TRM74" s="180"/>
      <c r="TRN74" s="180"/>
      <c r="TRO74" s="180"/>
      <c r="TRP74" s="180"/>
      <c r="TRQ74" s="180"/>
      <c r="TRR74" s="180"/>
      <c r="TRS74" s="180"/>
      <c r="TRT74" s="180"/>
      <c r="TRU74" s="180"/>
      <c r="TRV74" s="180"/>
      <c r="TRW74" s="180"/>
      <c r="TRX74" s="180"/>
      <c r="TRY74" s="180"/>
      <c r="TRZ74" s="180"/>
      <c r="TSA74" s="180"/>
      <c r="TSB74" s="180"/>
      <c r="TSC74" s="180"/>
      <c r="TSD74" s="180"/>
      <c r="TSE74" s="180"/>
      <c r="TSF74" s="180"/>
      <c r="TSG74" s="180"/>
      <c r="TSH74" s="180"/>
      <c r="TSI74" s="180"/>
      <c r="TSJ74" s="180"/>
      <c r="TSK74" s="180"/>
      <c r="TSL74" s="180"/>
      <c r="TSM74" s="180"/>
      <c r="TSN74" s="180"/>
      <c r="TSO74" s="180"/>
      <c r="TSP74" s="180"/>
      <c r="TSQ74" s="180"/>
      <c r="TSR74" s="180"/>
      <c r="TSS74" s="180"/>
      <c r="TST74" s="180"/>
      <c r="TSU74" s="180"/>
      <c r="TSV74" s="180"/>
      <c r="TSW74" s="180"/>
      <c r="TSX74" s="180"/>
      <c r="TSY74" s="180"/>
      <c r="TSZ74" s="180"/>
      <c r="TTA74" s="180"/>
      <c r="TTB74" s="180"/>
      <c r="TTC74" s="180"/>
      <c r="TTD74" s="180"/>
      <c r="TTE74" s="180"/>
      <c r="TTF74" s="180"/>
      <c r="TTG74" s="180"/>
      <c r="TTH74" s="180"/>
      <c r="TTI74" s="180"/>
      <c r="TTJ74" s="180"/>
      <c r="TTK74" s="180"/>
      <c r="TTL74" s="180"/>
      <c r="TTM74" s="180"/>
      <c r="TTN74" s="180"/>
      <c r="TTO74" s="180"/>
      <c r="TTP74" s="180"/>
      <c r="TTQ74" s="180"/>
      <c r="TTR74" s="180"/>
      <c r="TTS74" s="180"/>
      <c r="TTT74" s="180"/>
      <c r="TTU74" s="180"/>
      <c r="TTV74" s="180"/>
      <c r="TTW74" s="180"/>
      <c r="TTX74" s="180"/>
      <c r="TTY74" s="180"/>
      <c r="TTZ74" s="180"/>
      <c r="TUA74" s="180"/>
      <c r="TUB74" s="180"/>
      <c r="TUC74" s="180"/>
      <c r="TUD74" s="180"/>
      <c r="TUE74" s="180"/>
      <c r="TUF74" s="180"/>
      <c r="TUG74" s="180"/>
      <c r="TUH74" s="180"/>
      <c r="TUI74" s="180"/>
      <c r="TUJ74" s="180"/>
      <c r="TUK74" s="180"/>
      <c r="TUL74" s="180"/>
      <c r="TUM74" s="180"/>
      <c r="TUN74" s="180"/>
      <c r="TUO74" s="180"/>
      <c r="TUP74" s="180"/>
      <c r="TUQ74" s="180"/>
      <c r="TUR74" s="180"/>
      <c r="TUS74" s="180"/>
      <c r="TUT74" s="180"/>
      <c r="TUU74" s="180"/>
      <c r="TUV74" s="180"/>
      <c r="TUW74" s="180"/>
      <c r="TUX74" s="180"/>
      <c r="TUY74" s="180"/>
      <c r="TUZ74" s="180"/>
      <c r="TVA74" s="180"/>
      <c r="TVB74" s="180"/>
      <c r="TVC74" s="180"/>
      <c r="TVD74" s="180"/>
      <c r="TVE74" s="180"/>
      <c r="TVF74" s="180"/>
      <c r="TVG74" s="180"/>
      <c r="TVH74" s="180"/>
      <c r="TVI74" s="180"/>
      <c r="TVJ74" s="180"/>
      <c r="TVK74" s="180"/>
      <c r="TVL74" s="180"/>
      <c r="TVM74" s="180"/>
      <c r="TVN74" s="180"/>
      <c r="TVO74" s="180"/>
      <c r="TVP74" s="180"/>
      <c r="TVQ74" s="180"/>
      <c r="TVR74" s="180"/>
      <c r="TVS74" s="180"/>
      <c r="TVT74" s="180"/>
      <c r="TVU74" s="180"/>
      <c r="TVV74" s="180"/>
      <c r="TVW74" s="180"/>
      <c r="TVX74" s="180"/>
      <c r="TVY74" s="180"/>
      <c r="TVZ74" s="180"/>
      <c r="TWA74" s="180"/>
      <c r="TWB74" s="180"/>
      <c r="TWC74" s="180"/>
      <c r="TWD74" s="180"/>
      <c r="TWE74" s="180"/>
      <c r="TWF74" s="180"/>
      <c r="TWG74" s="180"/>
      <c r="TWH74" s="180"/>
      <c r="TWI74" s="180"/>
      <c r="TWJ74" s="180"/>
      <c r="TWK74" s="180"/>
      <c r="TWL74" s="180"/>
      <c r="TWM74" s="180"/>
      <c r="TWN74" s="180"/>
      <c r="TWO74" s="180"/>
      <c r="TWP74" s="180"/>
      <c r="TWQ74" s="180"/>
      <c r="TWR74" s="180"/>
      <c r="TWS74" s="180"/>
      <c r="TWT74" s="180"/>
      <c r="TWU74" s="180"/>
      <c r="TWV74" s="180"/>
      <c r="TWW74" s="180"/>
      <c r="TWX74" s="180"/>
      <c r="TWY74" s="180"/>
      <c r="TWZ74" s="180"/>
      <c r="TXA74" s="180"/>
      <c r="TXB74" s="180"/>
      <c r="TXC74" s="180"/>
      <c r="TXD74" s="180"/>
      <c r="TXE74" s="180"/>
      <c r="TXF74" s="180"/>
      <c r="TXG74" s="180"/>
      <c r="TXH74" s="180"/>
      <c r="TXI74" s="180"/>
      <c r="TXJ74" s="180"/>
      <c r="TXK74" s="180"/>
      <c r="TXL74" s="180"/>
      <c r="TXM74" s="180"/>
      <c r="TXN74" s="180"/>
      <c r="TXO74" s="180"/>
      <c r="TXP74" s="180"/>
      <c r="TXQ74" s="180"/>
      <c r="TXR74" s="180"/>
      <c r="TXS74" s="180"/>
      <c r="TXT74" s="180"/>
      <c r="TXU74" s="180"/>
      <c r="TXV74" s="180"/>
      <c r="TXW74" s="180"/>
      <c r="TXX74" s="180"/>
      <c r="TXY74" s="180"/>
      <c r="TXZ74" s="180"/>
      <c r="TYA74" s="180"/>
      <c r="TYB74" s="180"/>
      <c r="TYC74" s="180"/>
      <c r="TYD74" s="180"/>
      <c r="TYE74" s="180"/>
      <c r="TYF74" s="180"/>
      <c r="TYG74" s="180"/>
      <c r="TYH74" s="180"/>
      <c r="TYI74" s="180"/>
      <c r="TYJ74" s="180"/>
      <c r="TYK74" s="180"/>
      <c r="TYL74" s="180"/>
      <c r="TYM74" s="180"/>
      <c r="TYN74" s="180"/>
      <c r="TYO74" s="180"/>
      <c r="TYP74" s="180"/>
      <c r="TYQ74" s="180"/>
      <c r="TYR74" s="180"/>
      <c r="TYS74" s="180"/>
      <c r="TYT74" s="180"/>
      <c r="TYU74" s="180"/>
      <c r="TYV74" s="180"/>
      <c r="TYW74" s="180"/>
      <c r="TYX74" s="180"/>
      <c r="TYY74" s="180"/>
      <c r="TYZ74" s="180"/>
      <c r="TZA74" s="180"/>
      <c r="TZB74" s="180"/>
      <c r="TZC74" s="180"/>
      <c r="TZD74" s="180"/>
      <c r="TZE74" s="180"/>
      <c r="TZF74" s="180"/>
      <c r="TZG74" s="180"/>
      <c r="TZH74" s="180"/>
      <c r="TZI74" s="180"/>
      <c r="TZJ74" s="180"/>
      <c r="TZK74" s="180"/>
      <c r="TZL74" s="180"/>
      <c r="TZM74" s="180"/>
      <c r="TZN74" s="180"/>
      <c r="TZO74" s="180"/>
      <c r="TZP74" s="180"/>
      <c r="TZQ74" s="180"/>
      <c r="TZR74" s="180"/>
      <c r="TZS74" s="180"/>
      <c r="TZT74" s="180"/>
      <c r="TZU74" s="180"/>
      <c r="TZV74" s="180"/>
      <c r="TZW74" s="180"/>
      <c r="TZX74" s="180"/>
      <c r="TZY74" s="180"/>
      <c r="TZZ74" s="180"/>
      <c r="UAA74" s="180"/>
      <c r="UAB74" s="180"/>
      <c r="UAC74" s="180"/>
      <c r="UAD74" s="180"/>
      <c r="UAE74" s="180"/>
      <c r="UAF74" s="180"/>
      <c r="UAG74" s="180"/>
      <c r="UAH74" s="180"/>
      <c r="UAI74" s="180"/>
      <c r="UAJ74" s="180"/>
      <c r="UAK74" s="180"/>
      <c r="UAL74" s="180"/>
      <c r="UAM74" s="180"/>
      <c r="UAN74" s="180"/>
      <c r="UAO74" s="180"/>
      <c r="UAP74" s="180"/>
      <c r="UAQ74" s="180"/>
      <c r="UAR74" s="180"/>
      <c r="UAS74" s="180"/>
      <c r="UAT74" s="180"/>
      <c r="UAU74" s="180"/>
      <c r="UAV74" s="180"/>
      <c r="UAW74" s="180"/>
      <c r="UAX74" s="180"/>
      <c r="UAY74" s="180"/>
      <c r="UAZ74" s="180"/>
      <c r="UBA74" s="180"/>
      <c r="UBB74" s="180"/>
      <c r="UBC74" s="180"/>
      <c r="UBD74" s="180"/>
      <c r="UBE74" s="180"/>
      <c r="UBF74" s="180"/>
      <c r="UBG74" s="180"/>
      <c r="UBH74" s="180"/>
      <c r="UBI74" s="180"/>
      <c r="UBJ74" s="180"/>
      <c r="UBK74" s="180"/>
      <c r="UBL74" s="180"/>
      <c r="UBM74" s="180"/>
      <c r="UBN74" s="180"/>
      <c r="UBO74" s="180"/>
      <c r="UBP74" s="180"/>
      <c r="UBQ74" s="180"/>
      <c r="UBR74" s="180"/>
      <c r="UBS74" s="180"/>
      <c r="UBT74" s="180"/>
      <c r="UBU74" s="180"/>
      <c r="UBV74" s="180"/>
      <c r="UBW74" s="180"/>
      <c r="UBX74" s="180"/>
      <c r="UBY74" s="180"/>
      <c r="UBZ74" s="180"/>
      <c r="UCA74" s="180"/>
      <c r="UCB74" s="180"/>
      <c r="UCC74" s="180"/>
      <c r="UCD74" s="180"/>
      <c r="UCE74" s="180"/>
      <c r="UCF74" s="180"/>
      <c r="UCG74" s="180"/>
      <c r="UCH74" s="180"/>
      <c r="UCI74" s="180"/>
      <c r="UCJ74" s="180"/>
      <c r="UCK74" s="180"/>
      <c r="UCL74" s="180"/>
      <c r="UCM74" s="180"/>
      <c r="UCN74" s="180"/>
      <c r="UCO74" s="180"/>
      <c r="UCP74" s="180"/>
      <c r="UCQ74" s="180"/>
      <c r="UCR74" s="180"/>
      <c r="UCS74" s="180"/>
      <c r="UCT74" s="180"/>
      <c r="UCU74" s="180"/>
      <c r="UCV74" s="180"/>
      <c r="UCW74" s="180"/>
      <c r="UCX74" s="180"/>
      <c r="UCY74" s="180"/>
      <c r="UCZ74" s="180"/>
      <c r="UDA74" s="180"/>
      <c r="UDB74" s="180"/>
      <c r="UDC74" s="180"/>
      <c r="UDD74" s="180"/>
      <c r="UDE74" s="180"/>
      <c r="UDF74" s="180"/>
      <c r="UDG74" s="180"/>
      <c r="UDH74" s="180"/>
      <c r="UDI74" s="180"/>
      <c r="UDJ74" s="180"/>
      <c r="UDK74" s="180"/>
      <c r="UDL74" s="180"/>
      <c r="UDM74" s="180"/>
      <c r="UDN74" s="180"/>
      <c r="UDO74" s="180"/>
      <c r="UDP74" s="180"/>
      <c r="UDQ74" s="180"/>
      <c r="UDR74" s="180"/>
      <c r="UDS74" s="180"/>
      <c r="UDT74" s="180"/>
      <c r="UDU74" s="180"/>
      <c r="UDV74" s="180"/>
      <c r="UDW74" s="180"/>
      <c r="UDX74" s="180"/>
      <c r="UDY74" s="180"/>
      <c r="UDZ74" s="180"/>
      <c r="UEA74" s="180"/>
      <c r="UEB74" s="180"/>
      <c r="UEC74" s="180"/>
      <c r="UED74" s="180"/>
      <c r="UEE74" s="180"/>
      <c r="UEF74" s="180"/>
      <c r="UEG74" s="180"/>
      <c r="UEH74" s="180"/>
      <c r="UEI74" s="180"/>
      <c r="UEJ74" s="180"/>
      <c r="UEK74" s="180"/>
      <c r="UEL74" s="180"/>
      <c r="UEM74" s="180"/>
      <c r="UEN74" s="180"/>
      <c r="UEO74" s="180"/>
      <c r="UEP74" s="180"/>
      <c r="UEQ74" s="180"/>
      <c r="UER74" s="180"/>
      <c r="UES74" s="180"/>
      <c r="UET74" s="180"/>
      <c r="UEU74" s="180"/>
      <c r="UEV74" s="180"/>
      <c r="UEW74" s="180"/>
      <c r="UEX74" s="180"/>
      <c r="UEY74" s="180"/>
      <c r="UEZ74" s="180"/>
      <c r="UFA74" s="180"/>
      <c r="UFB74" s="180"/>
      <c r="UFC74" s="180"/>
      <c r="UFD74" s="180"/>
      <c r="UFE74" s="180"/>
      <c r="UFF74" s="180"/>
      <c r="UFG74" s="180"/>
      <c r="UFH74" s="180"/>
      <c r="UFI74" s="180"/>
      <c r="UFJ74" s="180"/>
      <c r="UFK74" s="180"/>
      <c r="UFL74" s="180"/>
      <c r="UFM74" s="180"/>
      <c r="UFN74" s="180"/>
      <c r="UFO74" s="180"/>
      <c r="UFP74" s="180"/>
      <c r="UFQ74" s="180"/>
      <c r="UFR74" s="180"/>
      <c r="UFS74" s="180"/>
      <c r="UFT74" s="180"/>
      <c r="UFU74" s="180"/>
      <c r="UFV74" s="180"/>
      <c r="UFW74" s="180"/>
      <c r="UFX74" s="180"/>
      <c r="UFY74" s="180"/>
      <c r="UFZ74" s="180"/>
      <c r="UGA74" s="180"/>
      <c r="UGB74" s="180"/>
      <c r="UGC74" s="180"/>
      <c r="UGD74" s="180"/>
      <c r="UGE74" s="180"/>
      <c r="UGF74" s="180"/>
      <c r="UGG74" s="180"/>
      <c r="UGH74" s="180"/>
      <c r="UGI74" s="180"/>
      <c r="UGJ74" s="180"/>
      <c r="UGK74" s="180"/>
      <c r="UGL74" s="180"/>
      <c r="UGM74" s="180"/>
      <c r="UGN74" s="180"/>
      <c r="UGO74" s="180"/>
      <c r="UGP74" s="180"/>
      <c r="UGQ74" s="180"/>
      <c r="UGR74" s="180"/>
      <c r="UGS74" s="180"/>
      <c r="UGT74" s="180"/>
      <c r="UGU74" s="180"/>
      <c r="UGV74" s="180"/>
      <c r="UGW74" s="180"/>
      <c r="UGX74" s="180"/>
      <c r="UGY74" s="180"/>
      <c r="UGZ74" s="180"/>
      <c r="UHA74" s="180"/>
      <c r="UHB74" s="180"/>
      <c r="UHC74" s="180"/>
      <c r="UHD74" s="180"/>
      <c r="UHE74" s="180"/>
      <c r="UHF74" s="180"/>
      <c r="UHG74" s="180"/>
      <c r="UHH74" s="180"/>
      <c r="UHI74" s="180"/>
      <c r="UHJ74" s="180"/>
      <c r="UHK74" s="180"/>
      <c r="UHL74" s="180"/>
      <c r="UHM74" s="180"/>
      <c r="UHN74" s="180"/>
      <c r="UHO74" s="180"/>
      <c r="UHP74" s="180"/>
      <c r="UHQ74" s="180"/>
      <c r="UHR74" s="180"/>
      <c r="UHS74" s="180"/>
      <c r="UHT74" s="180"/>
      <c r="UHU74" s="180"/>
      <c r="UHV74" s="180"/>
      <c r="UHW74" s="180"/>
      <c r="UHX74" s="180"/>
      <c r="UHY74" s="180"/>
      <c r="UHZ74" s="180"/>
      <c r="UIA74" s="180"/>
      <c r="UIB74" s="180"/>
      <c r="UIC74" s="180"/>
      <c r="UID74" s="180"/>
      <c r="UIE74" s="180"/>
      <c r="UIF74" s="180"/>
      <c r="UIG74" s="180"/>
      <c r="UIH74" s="180"/>
      <c r="UII74" s="180"/>
      <c r="UIJ74" s="180"/>
      <c r="UIK74" s="180"/>
      <c r="UIL74" s="180"/>
      <c r="UIM74" s="180"/>
      <c r="UIN74" s="180"/>
      <c r="UIO74" s="180"/>
      <c r="UIP74" s="180"/>
      <c r="UIQ74" s="180"/>
      <c r="UIR74" s="180"/>
      <c r="UIS74" s="180"/>
      <c r="UIT74" s="180"/>
      <c r="UIU74" s="180"/>
      <c r="UIV74" s="180"/>
      <c r="UIW74" s="180"/>
      <c r="UIX74" s="180"/>
      <c r="UIY74" s="180"/>
      <c r="UIZ74" s="180"/>
      <c r="UJA74" s="180"/>
      <c r="UJB74" s="180"/>
      <c r="UJC74" s="180"/>
      <c r="UJD74" s="180"/>
      <c r="UJE74" s="180"/>
      <c r="UJF74" s="180"/>
      <c r="UJG74" s="180"/>
      <c r="UJH74" s="180"/>
      <c r="UJI74" s="180"/>
      <c r="UJJ74" s="180"/>
      <c r="UJK74" s="180"/>
      <c r="UJL74" s="180"/>
      <c r="UJM74" s="180"/>
      <c r="UJN74" s="180"/>
      <c r="UJO74" s="180"/>
      <c r="UJP74" s="180"/>
      <c r="UJQ74" s="180"/>
      <c r="UJR74" s="180"/>
      <c r="UJS74" s="180"/>
      <c r="UJT74" s="180"/>
      <c r="UJU74" s="180"/>
      <c r="UJV74" s="180"/>
      <c r="UJW74" s="180"/>
      <c r="UJX74" s="180"/>
      <c r="UJY74" s="180"/>
      <c r="UJZ74" s="180"/>
      <c r="UKA74" s="180"/>
      <c r="UKB74" s="180"/>
      <c r="UKC74" s="180"/>
      <c r="UKD74" s="180"/>
      <c r="UKE74" s="180"/>
      <c r="UKF74" s="180"/>
      <c r="UKG74" s="180"/>
      <c r="UKH74" s="180"/>
      <c r="UKI74" s="180"/>
      <c r="UKJ74" s="180"/>
      <c r="UKK74" s="180"/>
      <c r="UKL74" s="180"/>
      <c r="UKM74" s="180"/>
      <c r="UKN74" s="180"/>
      <c r="UKO74" s="180"/>
      <c r="UKP74" s="180"/>
      <c r="UKQ74" s="180"/>
      <c r="UKR74" s="180"/>
      <c r="UKS74" s="180"/>
      <c r="UKT74" s="180"/>
      <c r="UKU74" s="180"/>
      <c r="UKV74" s="180"/>
      <c r="UKW74" s="180"/>
      <c r="UKX74" s="180"/>
      <c r="UKY74" s="180"/>
      <c r="UKZ74" s="180"/>
      <c r="ULA74" s="180"/>
      <c r="ULB74" s="180"/>
      <c r="ULC74" s="180"/>
      <c r="ULD74" s="180"/>
      <c r="ULE74" s="180"/>
      <c r="ULF74" s="180"/>
      <c r="ULG74" s="180"/>
      <c r="ULH74" s="180"/>
      <c r="ULI74" s="180"/>
      <c r="ULJ74" s="180"/>
      <c r="ULK74" s="180"/>
      <c r="ULL74" s="180"/>
      <c r="ULM74" s="180"/>
      <c r="ULN74" s="180"/>
      <c r="ULO74" s="180"/>
      <c r="ULP74" s="180"/>
      <c r="ULQ74" s="180"/>
      <c r="ULR74" s="180"/>
      <c r="ULS74" s="180"/>
      <c r="ULT74" s="180"/>
      <c r="ULU74" s="180"/>
      <c r="ULV74" s="180"/>
      <c r="ULW74" s="180"/>
      <c r="ULX74" s="180"/>
      <c r="ULY74" s="180"/>
      <c r="ULZ74" s="180"/>
      <c r="UMA74" s="180"/>
      <c r="UMB74" s="180"/>
      <c r="UMC74" s="180"/>
      <c r="UMD74" s="180"/>
      <c r="UME74" s="180"/>
      <c r="UMF74" s="180"/>
      <c r="UMG74" s="180"/>
      <c r="UMH74" s="180"/>
      <c r="UMI74" s="180"/>
      <c r="UMJ74" s="180"/>
      <c r="UMK74" s="180"/>
      <c r="UML74" s="180"/>
      <c r="UMM74" s="180"/>
      <c r="UMN74" s="180"/>
      <c r="UMO74" s="180"/>
      <c r="UMP74" s="180"/>
      <c r="UMQ74" s="180"/>
      <c r="UMR74" s="180"/>
      <c r="UMS74" s="180"/>
      <c r="UMT74" s="180"/>
      <c r="UMU74" s="180"/>
      <c r="UMV74" s="180"/>
      <c r="UMW74" s="180"/>
      <c r="UMX74" s="180"/>
      <c r="UMY74" s="180"/>
      <c r="UMZ74" s="180"/>
      <c r="UNA74" s="180"/>
      <c r="UNB74" s="180"/>
      <c r="UNC74" s="180"/>
      <c r="UND74" s="180"/>
      <c r="UNE74" s="180"/>
      <c r="UNF74" s="180"/>
      <c r="UNG74" s="180"/>
      <c r="UNH74" s="180"/>
      <c r="UNI74" s="180"/>
      <c r="UNJ74" s="180"/>
      <c r="UNK74" s="180"/>
      <c r="UNL74" s="180"/>
      <c r="UNM74" s="180"/>
      <c r="UNN74" s="180"/>
      <c r="UNO74" s="180"/>
      <c r="UNP74" s="180"/>
      <c r="UNQ74" s="180"/>
      <c r="UNR74" s="180"/>
      <c r="UNS74" s="180"/>
      <c r="UNT74" s="180"/>
      <c r="UNU74" s="180"/>
      <c r="UNV74" s="180"/>
      <c r="UNW74" s="180"/>
      <c r="UNX74" s="180"/>
      <c r="UNY74" s="180"/>
      <c r="UNZ74" s="180"/>
      <c r="UOA74" s="180"/>
      <c r="UOB74" s="180"/>
      <c r="UOC74" s="180"/>
      <c r="UOD74" s="180"/>
      <c r="UOE74" s="180"/>
      <c r="UOF74" s="180"/>
      <c r="UOG74" s="180"/>
      <c r="UOH74" s="180"/>
      <c r="UOI74" s="180"/>
      <c r="UOJ74" s="180"/>
      <c r="UOK74" s="180"/>
      <c r="UOL74" s="180"/>
      <c r="UOM74" s="180"/>
      <c r="UON74" s="180"/>
      <c r="UOO74" s="180"/>
      <c r="UOP74" s="180"/>
      <c r="UOQ74" s="180"/>
      <c r="UOR74" s="180"/>
      <c r="UOS74" s="180"/>
      <c r="UOT74" s="180"/>
      <c r="UOU74" s="180"/>
      <c r="UOV74" s="180"/>
      <c r="UOW74" s="180"/>
      <c r="UOX74" s="180"/>
      <c r="UOY74" s="180"/>
      <c r="UOZ74" s="180"/>
      <c r="UPA74" s="180"/>
      <c r="UPB74" s="180"/>
      <c r="UPC74" s="180"/>
      <c r="UPD74" s="180"/>
      <c r="UPE74" s="180"/>
      <c r="UPF74" s="180"/>
      <c r="UPG74" s="180"/>
      <c r="UPH74" s="180"/>
      <c r="UPI74" s="180"/>
      <c r="UPJ74" s="180"/>
      <c r="UPK74" s="180"/>
      <c r="UPL74" s="180"/>
      <c r="UPM74" s="180"/>
      <c r="UPN74" s="180"/>
      <c r="UPO74" s="180"/>
      <c r="UPP74" s="180"/>
      <c r="UPQ74" s="180"/>
      <c r="UPR74" s="180"/>
      <c r="UPS74" s="180"/>
      <c r="UPT74" s="180"/>
      <c r="UPU74" s="180"/>
      <c r="UPV74" s="180"/>
      <c r="UPW74" s="180"/>
      <c r="UPX74" s="180"/>
      <c r="UPY74" s="180"/>
      <c r="UPZ74" s="180"/>
      <c r="UQA74" s="180"/>
      <c r="UQB74" s="180"/>
      <c r="UQC74" s="180"/>
      <c r="UQD74" s="180"/>
      <c r="UQE74" s="180"/>
      <c r="UQF74" s="180"/>
      <c r="UQG74" s="180"/>
      <c r="UQH74" s="180"/>
      <c r="UQI74" s="180"/>
      <c r="UQJ74" s="180"/>
      <c r="UQK74" s="180"/>
      <c r="UQL74" s="180"/>
      <c r="UQM74" s="180"/>
      <c r="UQN74" s="180"/>
      <c r="UQO74" s="180"/>
      <c r="UQP74" s="180"/>
      <c r="UQQ74" s="180"/>
      <c r="UQR74" s="180"/>
      <c r="UQS74" s="180"/>
      <c r="UQT74" s="180"/>
      <c r="UQU74" s="180"/>
      <c r="UQV74" s="180"/>
      <c r="UQW74" s="180"/>
      <c r="UQX74" s="180"/>
      <c r="UQY74" s="180"/>
      <c r="UQZ74" s="180"/>
      <c r="URA74" s="180"/>
      <c r="URB74" s="180"/>
      <c r="URC74" s="180"/>
      <c r="URD74" s="180"/>
      <c r="URE74" s="180"/>
      <c r="URF74" s="180"/>
      <c r="URG74" s="180"/>
      <c r="URH74" s="180"/>
      <c r="URI74" s="180"/>
      <c r="URJ74" s="180"/>
      <c r="URK74" s="180"/>
      <c r="URL74" s="180"/>
      <c r="URM74" s="180"/>
      <c r="URN74" s="180"/>
      <c r="URO74" s="180"/>
      <c r="URP74" s="180"/>
      <c r="URQ74" s="180"/>
      <c r="URR74" s="180"/>
      <c r="URS74" s="180"/>
      <c r="URT74" s="180"/>
      <c r="URU74" s="180"/>
      <c r="URV74" s="180"/>
      <c r="URW74" s="180"/>
      <c r="URX74" s="180"/>
      <c r="URY74" s="180"/>
      <c r="URZ74" s="180"/>
      <c r="USA74" s="180"/>
      <c r="USB74" s="180"/>
      <c r="USC74" s="180"/>
      <c r="USD74" s="180"/>
      <c r="USE74" s="180"/>
      <c r="USF74" s="180"/>
      <c r="USG74" s="180"/>
      <c r="USH74" s="180"/>
      <c r="USI74" s="180"/>
      <c r="USJ74" s="180"/>
      <c r="USK74" s="180"/>
      <c r="USL74" s="180"/>
      <c r="USM74" s="180"/>
      <c r="USN74" s="180"/>
      <c r="USO74" s="180"/>
      <c r="USP74" s="180"/>
      <c r="USQ74" s="180"/>
      <c r="USR74" s="180"/>
      <c r="USS74" s="180"/>
      <c r="UST74" s="180"/>
      <c r="USU74" s="180"/>
      <c r="USV74" s="180"/>
      <c r="USW74" s="180"/>
      <c r="USX74" s="180"/>
      <c r="USY74" s="180"/>
      <c r="USZ74" s="180"/>
      <c r="UTA74" s="180"/>
      <c r="UTB74" s="180"/>
      <c r="UTC74" s="180"/>
      <c r="UTD74" s="180"/>
      <c r="UTE74" s="180"/>
      <c r="UTF74" s="180"/>
      <c r="UTG74" s="180"/>
      <c r="UTH74" s="180"/>
      <c r="UTI74" s="180"/>
      <c r="UTJ74" s="180"/>
      <c r="UTK74" s="180"/>
      <c r="UTL74" s="180"/>
      <c r="UTM74" s="180"/>
      <c r="UTN74" s="180"/>
      <c r="UTO74" s="180"/>
      <c r="UTP74" s="180"/>
      <c r="UTQ74" s="180"/>
      <c r="UTR74" s="180"/>
      <c r="UTS74" s="180"/>
      <c r="UTT74" s="180"/>
      <c r="UTU74" s="180"/>
      <c r="UTV74" s="180"/>
      <c r="UTW74" s="180"/>
      <c r="UTX74" s="180"/>
      <c r="UTY74" s="180"/>
      <c r="UTZ74" s="180"/>
      <c r="UUA74" s="180"/>
      <c r="UUB74" s="180"/>
      <c r="UUC74" s="180"/>
      <c r="UUD74" s="180"/>
      <c r="UUE74" s="180"/>
      <c r="UUF74" s="180"/>
      <c r="UUG74" s="180"/>
      <c r="UUH74" s="180"/>
      <c r="UUI74" s="180"/>
      <c r="UUJ74" s="180"/>
      <c r="UUK74" s="180"/>
      <c r="UUL74" s="180"/>
      <c r="UUM74" s="180"/>
      <c r="UUN74" s="180"/>
      <c r="UUO74" s="180"/>
      <c r="UUP74" s="180"/>
      <c r="UUQ74" s="180"/>
      <c r="UUR74" s="180"/>
      <c r="UUS74" s="180"/>
      <c r="UUT74" s="180"/>
      <c r="UUU74" s="180"/>
      <c r="UUV74" s="180"/>
      <c r="UUW74" s="180"/>
      <c r="UUX74" s="180"/>
      <c r="UUY74" s="180"/>
      <c r="UUZ74" s="180"/>
      <c r="UVA74" s="180"/>
      <c r="UVB74" s="180"/>
      <c r="UVC74" s="180"/>
      <c r="UVD74" s="180"/>
      <c r="UVE74" s="180"/>
      <c r="UVF74" s="180"/>
      <c r="UVG74" s="180"/>
      <c r="UVH74" s="180"/>
      <c r="UVI74" s="180"/>
      <c r="UVJ74" s="180"/>
      <c r="UVK74" s="180"/>
      <c r="UVL74" s="180"/>
      <c r="UVM74" s="180"/>
      <c r="UVN74" s="180"/>
      <c r="UVO74" s="180"/>
      <c r="UVP74" s="180"/>
      <c r="UVQ74" s="180"/>
      <c r="UVR74" s="180"/>
      <c r="UVS74" s="180"/>
      <c r="UVT74" s="180"/>
      <c r="UVU74" s="180"/>
      <c r="UVV74" s="180"/>
      <c r="UVW74" s="180"/>
      <c r="UVX74" s="180"/>
      <c r="UVY74" s="180"/>
      <c r="UVZ74" s="180"/>
      <c r="UWA74" s="180"/>
      <c r="UWB74" s="180"/>
      <c r="UWC74" s="180"/>
      <c r="UWD74" s="180"/>
      <c r="UWE74" s="180"/>
      <c r="UWF74" s="180"/>
      <c r="UWG74" s="180"/>
      <c r="UWH74" s="180"/>
      <c r="UWI74" s="180"/>
      <c r="UWJ74" s="180"/>
      <c r="UWK74" s="180"/>
      <c r="UWL74" s="180"/>
      <c r="UWM74" s="180"/>
      <c r="UWN74" s="180"/>
      <c r="UWO74" s="180"/>
      <c r="UWP74" s="180"/>
      <c r="UWQ74" s="180"/>
      <c r="UWR74" s="180"/>
      <c r="UWS74" s="180"/>
      <c r="UWT74" s="180"/>
      <c r="UWU74" s="180"/>
      <c r="UWV74" s="180"/>
      <c r="UWW74" s="180"/>
      <c r="UWX74" s="180"/>
      <c r="UWY74" s="180"/>
      <c r="UWZ74" s="180"/>
      <c r="UXA74" s="180"/>
      <c r="UXB74" s="180"/>
      <c r="UXC74" s="180"/>
      <c r="UXD74" s="180"/>
      <c r="UXE74" s="180"/>
      <c r="UXF74" s="180"/>
      <c r="UXG74" s="180"/>
      <c r="UXH74" s="180"/>
      <c r="UXI74" s="180"/>
      <c r="UXJ74" s="180"/>
      <c r="UXK74" s="180"/>
      <c r="UXL74" s="180"/>
      <c r="UXM74" s="180"/>
      <c r="UXN74" s="180"/>
      <c r="UXO74" s="180"/>
      <c r="UXP74" s="180"/>
      <c r="UXQ74" s="180"/>
      <c r="UXR74" s="180"/>
      <c r="UXS74" s="180"/>
      <c r="UXT74" s="180"/>
      <c r="UXU74" s="180"/>
      <c r="UXV74" s="180"/>
      <c r="UXW74" s="180"/>
      <c r="UXX74" s="180"/>
      <c r="UXY74" s="180"/>
      <c r="UXZ74" s="180"/>
      <c r="UYA74" s="180"/>
      <c r="UYB74" s="180"/>
      <c r="UYC74" s="180"/>
      <c r="UYD74" s="180"/>
      <c r="UYE74" s="180"/>
      <c r="UYF74" s="180"/>
      <c r="UYG74" s="180"/>
      <c r="UYH74" s="180"/>
      <c r="UYI74" s="180"/>
      <c r="UYJ74" s="180"/>
      <c r="UYK74" s="180"/>
      <c r="UYL74" s="180"/>
      <c r="UYM74" s="180"/>
      <c r="UYN74" s="180"/>
      <c r="UYO74" s="180"/>
      <c r="UYP74" s="180"/>
      <c r="UYQ74" s="180"/>
      <c r="UYR74" s="180"/>
      <c r="UYS74" s="180"/>
      <c r="UYT74" s="180"/>
      <c r="UYU74" s="180"/>
      <c r="UYV74" s="180"/>
      <c r="UYW74" s="180"/>
      <c r="UYX74" s="180"/>
      <c r="UYY74" s="180"/>
      <c r="UYZ74" s="180"/>
      <c r="UZA74" s="180"/>
      <c r="UZB74" s="180"/>
      <c r="UZC74" s="180"/>
      <c r="UZD74" s="180"/>
      <c r="UZE74" s="180"/>
      <c r="UZF74" s="180"/>
      <c r="UZG74" s="180"/>
      <c r="UZH74" s="180"/>
      <c r="UZI74" s="180"/>
      <c r="UZJ74" s="180"/>
      <c r="UZK74" s="180"/>
      <c r="UZL74" s="180"/>
      <c r="UZM74" s="180"/>
      <c r="UZN74" s="180"/>
      <c r="UZO74" s="180"/>
      <c r="UZP74" s="180"/>
      <c r="UZQ74" s="180"/>
      <c r="UZR74" s="180"/>
      <c r="UZS74" s="180"/>
      <c r="UZT74" s="180"/>
      <c r="UZU74" s="180"/>
      <c r="UZV74" s="180"/>
      <c r="UZW74" s="180"/>
      <c r="UZX74" s="180"/>
      <c r="UZY74" s="180"/>
      <c r="UZZ74" s="180"/>
      <c r="VAA74" s="180"/>
      <c r="VAB74" s="180"/>
      <c r="VAC74" s="180"/>
      <c r="VAD74" s="180"/>
      <c r="VAE74" s="180"/>
      <c r="VAF74" s="180"/>
      <c r="VAG74" s="180"/>
      <c r="VAH74" s="180"/>
      <c r="VAI74" s="180"/>
      <c r="VAJ74" s="180"/>
      <c r="VAK74" s="180"/>
      <c r="VAL74" s="180"/>
      <c r="VAM74" s="180"/>
      <c r="VAN74" s="180"/>
      <c r="VAO74" s="180"/>
      <c r="VAP74" s="180"/>
      <c r="VAQ74" s="180"/>
      <c r="VAR74" s="180"/>
      <c r="VAS74" s="180"/>
      <c r="VAT74" s="180"/>
      <c r="VAU74" s="180"/>
      <c r="VAV74" s="180"/>
      <c r="VAW74" s="180"/>
      <c r="VAX74" s="180"/>
      <c r="VAY74" s="180"/>
      <c r="VAZ74" s="180"/>
      <c r="VBA74" s="180"/>
      <c r="VBB74" s="180"/>
      <c r="VBC74" s="180"/>
      <c r="VBD74" s="180"/>
      <c r="VBE74" s="180"/>
      <c r="VBF74" s="180"/>
      <c r="VBG74" s="180"/>
      <c r="VBH74" s="180"/>
      <c r="VBI74" s="180"/>
      <c r="VBJ74" s="180"/>
      <c r="VBK74" s="180"/>
      <c r="VBL74" s="180"/>
      <c r="VBM74" s="180"/>
      <c r="VBN74" s="180"/>
      <c r="VBO74" s="180"/>
      <c r="VBP74" s="180"/>
      <c r="VBQ74" s="180"/>
      <c r="VBR74" s="180"/>
      <c r="VBS74" s="180"/>
      <c r="VBT74" s="180"/>
      <c r="VBU74" s="180"/>
      <c r="VBV74" s="180"/>
      <c r="VBW74" s="180"/>
      <c r="VBX74" s="180"/>
      <c r="VBY74" s="180"/>
      <c r="VBZ74" s="180"/>
      <c r="VCA74" s="180"/>
      <c r="VCB74" s="180"/>
      <c r="VCC74" s="180"/>
      <c r="VCD74" s="180"/>
      <c r="VCE74" s="180"/>
      <c r="VCF74" s="180"/>
      <c r="VCG74" s="180"/>
      <c r="VCH74" s="180"/>
      <c r="VCI74" s="180"/>
      <c r="VCJ74" s="180"/>
      <c r="VCK74" s="180"/>
      <c r="VCL74" s="180"/>
      <c r="VCM74" s="180"/>
      <c r="VCN74" s="180"/>
      <c r="VCO74" s="180"/>
      <c r="VCP74" s="180"/>
      <c r="VCQ74" s="180"/>
      <c r="VCR74" s="180"/>
      <c r="VCS74" s="180"/>
      <c r="VCT74" s="180"/>
      <c r="VCU74" s="180"/>
      <c r="VCV74" s="180"/>
      <c r="VCW74" s="180"/>
      <c r="VCX74" s="180"/>
      <c r="VCY74" s="180"/>
      <c r="VCZ74" s="180"/>
      <c r="VDA74" s="180"/>
      <c r="VDB74" s="180"/>
      <c r="VDC74" s="180"/>
      <c r="VDD74" s="180"/>
      <c r="VDE74" s="180"/>
      <c r="VDF74" s="180"/>
      <c r="VDG74" s="180"/>
      <c r="VDH74" s="180"/>
      <c r="VDI74" s="180"/>
      <c r="VDJ74" s="180"/>
      <c r="VDK74" s="180"/>
      <c r="VDL74" s="180"/>
      <c r="VDM74" s="180"/>
      <c r="VDN74" s="180"/>
      <c r="VDO74" s="180"/>
      <c r="VDP74" s="180"/>
      <c r="VDQ74" s="180"/>
      <c r="VDR74" s="180"/>
      <c r="VDS74" s="180"/>
      <c r="VDT74" s="180"/>
      <c r="VDU74" s="180"/>
      <c r="VDV74" s="180"/>
      <c r="VDW74" s="180"/>
      <c r="VDX74" s="180"/>
      <c r="VDY74" s="180"/>
      <c r="VDZ74" s="180"/>
      <c r="VEA74" s="180"/>
      <c r="VEB74" s="180"/>
      <c r="VEC74" s="180"/>
      <c r="VED74" s="180"/>
      <c r="VEE74" s="180"/>
      <c r="VEF74" s="180"/>
      <c r="VEG74" s="180"/>
      <c r="VEH74" s="180"/>
      <c r="VEI74" s="180"/>
      <c r="VEJ74" s="180"/>
      <c r="VEK74" s="180"/>
      <c r="VEL74" s="180"/>
      <c r="VEM74" s="180"/>
      <c r="VEN74" s="180"/>
      <c r="VEO74" s="180"/>
      <c r="VEP74" s="180"/>
      <c r="VEQ74" s="180"/>
      <c r="VER74" s="180"/>
      <c r="VES74" s="180"/>
      <c r="VET74" s="180"/>
      <c r="VEU74" s="180"/>
      <c r="VEV74" s="180"/>
      <c r="VEW74" s="180"/>
      <c r="VEX74" s="180"/>
      <c r="VEY74" s="180"/>
      <c r="VEZ74" s="180"/>
      <c r="VFA74" s="180"/>
      <c r="VFB74" s="180"/>
      <c r="VFC74" s="180"/>
      <c r="VFD74" s="180"/>
      <c r="VFE74" s="180"/>
      <c r="VFF74" s="180"/>
      <c r="VFG74" s="180"/>
      <c r="VFH74" s="180"/>
      <c r="VFI74" s="180"/>
      <c r="VFJ74" s="180"/>
      <c r="VFK74" s="180"/>
      <c r="VFL74" s="180"/>
      <c r="VFM74" s="180"/>
      <c r="VFN74" s="180"/>
      <c r="VFO74" s="180"/>
      <c r="VFP74" s="180"/>
      <c r="VFQ74" s="180"/>
      <c r="VFR74" s="180"/>
      <c r="VFS74" s="180"/>
      <c r="VFT74" s="180"/>
      <c r="VFU74" s="180"/>
      <c r="VFV74" s="180"/>
      <c r="VFW74" s="180"/>
      <c r="VFX74" s="180"/>
      <c r="VFY74" s="180"/>
      <c r="VFZ74" s="180"/>
      <c r="VGA74" s="180"/>
      <c r="VGB74" s="180"/>
      <c r="VGC74" s="180"/>
      <c r="VGD74" s="180"/>
      <c r="VGE74" s="180"/>
      <c r="VGF74" s="180"/>
      <c r="VGG74" s="180"/>
      <c r="VGH74" s="180"/>
      <c r="VGI74" s="180"/>
      <c r="VGJ74" s="180"/>
      <c r="VGK74" s="180"/>
      <c r="VGL74" s="180"/>
      <c r="VGM74" s="180"/>
      <c r="VGN74" s="180"/>
      <c r="VGO74" s="180"/>
      <c r="VGP74" s="180"/>
      <c r="VGQ74" s="180"/>
      <c r="VGR74" s="180"/>
      <c r="VGS74" s="180"/>
      <c r="VGT74" s="180"/>
      <c r="VGU74" s="180"/>
      <c r="VGV74" s="180"/>
      <c r="VGW74" s="180"/>
      <c r="VGX74" s="180"/>
      <c r="VGY74" s="180"/>
      <c r="VGZ74" s="180"/>
      <c r="VHA74" s="180"/>
      <c r="VHB74" s="180"/>
      <c r="VHC74" s="180"/>
      <c r="VHD74" s="180"/>
      <c r="VHE74" s="180"/>
      <c r="VHF74" s="180"/>
      <c r="VHG74" s="180"/>
      <c r="VHH74" s="180"/>
      <c r="VHI74" s="180"/>
      <c r="VHJ74" s="180"/>
      <c r="VHK74" s="180"/>
      <c r="VHL74" s="180"/>
      <c r="VHM74" s="180"/>
      <c r="VHN74" s="180"/>
      <c r="VHO74" s="180"/>
      <c r="VHP74" s="180"/>
      <c r="VHQ74" s="180"/>
      <c r="VHR74" s="180"/>
      <c r="VHS74" s="180"/>
      <c r="VHT74" s="180"/>
      <c r="VHU74" s="180"/>
      <c r="VHV74" s="180"/>
      <c r="VHW74" s="180"/>
      <c r="VHX74" s="180"/>
      <c r="VHY74" s="180"/>
      <c r="VHZ74" s="180"/>
      <c r="VIA74" s="180"/>
      <c r="VIB74" s="180"/>
      <c r="VIC74" s="180"/>
      <c r="VID74" s="180"/>
      <c r="VIE74" s="180"/>
      <c r="VIF74" s="180"/>
      <c r="VIG74" s="180"/>
      <c r="VIH74" s="180"/>
      <c r="VII74" s="180"/>
      <c r="VIJ74" s="180"/>
      <c r="VIK74" s="180"/>
      <c r="VIL74" s="180"/>
      <c r="VIM74" s="180"/>
      <c r="VIN74" s="180"/>
      <c r="VIO74" s="180"/>
      <c r="VIP74" s="180"/>
      <c r="VIQ74" s="180"/>
      <c r="VIR74" s="180"/>
      <c r="VIS74" s="180"/>
      <c r="VIT74" s="180"/>
      <c r="VIU74" s="180"/>
      <c r="VIV74" s="180"/>
      <c r="VIW74" s="180"/>
      <c r="VIX74" s="180"/>
      <c r="VIY74" s="180"/>
      <c r="VIZ74" s="180"/>
      <c r="VJA74" s="180"/>
      <c r="VJB74" s="180"/>
      <c r="VJC74" s="180"/>
      <c r="VJD74" s="180"/>
      <c r="VJE74" s="180"/>
      <c r="VJF74" s="180"/>
      <c r="VJG74" s="180"/>
      <c r="VJH74" s="180"/>
      <c r="VJI74" s="180"/>
      <c r="VJJ74" s="180"/>
      <c r="VJK74" s="180"/>
      <c r="VJL74" s="180"/>
      <c r="VJM74" s="180"/>
      <c r="VJN74" s="180"/>
      <c r="VJO74" s="180"/>
      <c r="VJP74" s="180"/>
      <c r="VJQ74" s="180"/>
      <c r="VJR74" s="180"/>
      <c r="VJS74" s="180"/>
      <c r="VJT74" s="180"/>
      <c r="VJU74" s="180"/>
      <c r="VJV74" s="180"/>
      <c r="VJW74" s="180"/>
      <c r="VJX74" s="180"/>
      <c r="VJY74" s="180"/>
      <c r="VJZ74" s="180"/>
      <c r="VKA74" s="180"/>
      <c r="VKB74" s="180"/>
      <c r="VKC74" s="180"/>
      <c r="VKD74" s="180"/>
      <c r="VKE74" s="180"/>
      <c r="VKF74" s="180"/>
      <c r="VKG74" s="180"/>
      <c r="VKH74" s="180"/>
      <c r="VKI74" s="180"/>
      <c r="VKJ74" s="180"/>
      <c r="VKK74" s="180"/>
      <c r="VKL74" s="180"/>
      <c r="VKM74" s="180"/>
      <c r="VKN74" s="180"/>
      <c r="VKO74" s="180"/>
      <c r="VKP74" s="180"/>
      <c r="VKQ74" s="180"/>
      <c r="VKR74" s="180"/>
      <c r="VKS74" s="180"/>
      <c r="VKT74" s="180"/>
      <c r="VKU74" s="180"/>
      <c r="VKV74" s="180"/>
      <c r="VKW74" s="180"/>
      <c r="VKX74" s="180"/>
      <c r="VKY74" s="180"/>
      <c r="VKZ74" s="180"/>
      <c r="VLA74" s="180"/>
      <c r="VLB74" s="180"/>
      <c r="VLC74" s="180"/>
      <c r="VLD74" s="180"/>
      <c r="VLE74" s="180"/>
      <c r="VLF74" s="180"/>
      <c r="VLG74" s="180"/>
      <c r="VLH74" s="180"/>
      <c r="VLI74" s="180"/>
      <c r="VLJ74" s="180"/>
      <c r="VLK74" s="180"/>
      <c r="VLL74" s="180"/>
      <c r="VLM74" s="180"/>
      <c r="VLN74" s="180"/>
      <c r="VLO74" s="180"/>
      <c r="VLP74" s="180"/>
      <c r="VLQ74" s="180"/>
      <c r="VLR74" s="180"/>
      <c r="VLS74" s="180"/>
      <c r="VLT74" s="180"/>
      <c r="VLU74" s="180"/>
      <c r="VLV74" s="180"/>
      <c r="VLW74" s="180"/>
      <c r="VLX74" s="180"/>
      <c r="VLY74" s="180"/>
      <c r="VLZ74" s="180"/>
      <c r="VMA74" s="180"/>
      <c r="VMB74" s="180"/>
      <c r="VMC74" s="180"/>
      <c r="VMD74" s="180"/>
      <c r="VME74" s="180"/>
      <c r="VMF74" s="180"/>
      <c r="VMG74" s="180"/>
      <c r="VMH74" s="180"/>
      <c r="VMI74" s="180"/>
      <c r="VMJ74" s="180"/>
      <c r="VMK74" s="180"/>
      <c r="VML74" s="180"/>
      <c r="VMM74" s="180"/>
      <c r="VMN74" s="180"/>
      <c r="VMO74" s="180"/>
      <c r="VMP74" s="180"/>
      <c r="VMQ74" s="180"/>
      <c r="VMR74" s="180"/>
      <c r="VMS74" s="180"/>
      <c r="VMT74" s="180"/>
      <c r="VMU74" s="180"/>
      <c r="VMV74" s="180"/>
      <c r="VMW74" s="180"/>
      <c r="VMX74" s="180"/>
      <c r="VMY74" s="180"/>
      <c r="VMZ74" s="180"/>
      <c r="VNA74" s="180"/>
      <c r="VNB74" s="180"/>
      <c r="VNC74" s="180"/>
      <c r="VND74" s="180"/>
      <c r="VNE74" s="180"/>
      <c r="VNF74" s="180"/>
      <c r="VNG74" s="180"/>
      <c r="VNH74" s="180"/>
      <c r="VNI74" s="180"/>
      <c r="VNJ74" s="180"/>
      <c r="VNK74" s="180"/>
      <c r="VNL74" s="180"/>
      <c r="VNM74" s="180"/>
      <c r="VNN74" s="180"/>
      <c r="VNO74" s="180"/>
      <c r="VNP74" s="180"/>
      <c r="VNQ74" s="180"/>
      <c r="VNR74" s="180"/>
      <c r="VNS74" s="180"/>
      <c r="VNT74" s="180"/>
      <c r="VNU74" s="180"/>
      <c r="VNV74" s="180"/>
      <c r="VNW74" s="180"/>
      <c r="VNX74" s="180"/>
      <c r="VNY74" s="180"/>
      <c r="VNZ74" s="180"/>
      <c r="VOA74" s="180"/>
      <c r="VOB74" s="180"/>
      <c r="VOC74" s="180"/>
      <c r="VOD74" s="180"/>
      <c r="VOE74" s="180"/>
      <c r="VOF74" s="180"/>
      <c r="VOG74" s="180"/>
      <c r="VOH74" s="180"/>
      <c r="VOI74" s="180"/>
      <c r="VOJ74" s="180"/>
      <c r="VOK74" s="180"/>
      <c r="VOL74" s="180"/>
      <c r="VOM74" s="180"/>
      <c r="VON74" s="180"/>
      <c r="VOO74" s="180"/>
      <c r="VOP74" s="180"/>
      <c r="VOQ74" s="180"/>
      <c r="VOR74" s="180"/>
      <c r="VOS74" s="180"/>
      <c r="VOT74" s="180"/>
      <c r="VOU74" s="180"/>
      <c r="VOV74" s="180"/>
      <c r="VOW74" s="180"/>
      <c r="VOX74" s="180"/>
      <c r="VOY74" s="180"/>
      <c r="VOZ74" s="180"/>
      <c r="VPA74" s="180"/>
      <c r="VPB74" s="180"/>
      <c r="VPC74" s="180"/>
      <c r="VPD74" s="180"/>
      <c r="VPE74" s="180"/>
      <c r="VPF74" s="180"/>
      <c r="VPG74" s="180"/>
      <c r="VPH74" s="180"/>
      <c r="VPI74" s="180"/>
      <c r="VPJ74" s="180"/>
      <c r="VPK74" s="180"/>
      <c r="VPL74" s="180"/>
      <c r="VPM74" s="180"/>
      <c r="VPN74" s="180"/>
      <c r="VPO74" s="180"/>
      <c r="VPP74" s="180"/>
      <c r="VPQ74" s="180"/>
      <c r="VPR74" s="180"/>
      <c r="VPS74" s="180"/>
      <c r="VPT74" s="180"/>
      <c r="VPU74" s="180"/>
      <c r="VPV74" s="180"/>
      <c r="VPW74" s="180"/>
      <c r="VPX74" s="180"/>
      <c r="VPY74" s="180"/>
      <c r="VPZ74" s="180"/>
      <c r="VQA74" s="180"/>
      <c r="VQB74" s="180"/>
      <c r="VQC74" s="180"/>
      <c r="VQD74" s="180"/>
      <c r="VQE74" s="180"/>
      <c r="VQF74" s="180"/>
      <c r="VQG74" s="180"/>
      <c r="VQH74" s="180"/>
      <c r="VQI74" s="180"/>
      <c r="VQJ74" s="180"/>
      <c r="VQK74" s="180"/>
      <c r="VQL74" s="180"/>
      <c r="VQM74" s="180"/>
      <c r="VQN74" s="180"/>
      <c r="VQO74" s="180"/>
      <c r="VQP74" s="180"/>
      <c r="VQQ74" s="180"/>
      <c r="VQR74" s="180"/>
      <c r="VQS74" s="180"/>
      <c r="VQT74" s="180"/>
      <c r="VQU74" s="180"/>
      <c r="VQV74" s="180"/>
      <c r="VQW74" s="180"/>
      <c r="VQX74" s="180"/>
      <c r="VQY74" s="180"/>
      <c r="VQZ74" s="180"/>
      <c r="VRA74" s="180"/>
      <c r="VRB74" s="180"/>
      <c r="VRC74" s="180"/>
      <c r="VRD74" s="180"/>
      <c r="VRE74" s="180"/>
      <c r="VRF74" s="180"/>
      <c r="VRG74" s="180"/>
      <c r="VRH74" s="180"/>
      <c r="VRI74" s="180"/>
      <c r="VRJ74" s="180"/>
      <c r="VRK74" s="180"/>
      <c r="VRL74" s="180"/>
      <c r="VRM74" s="180"/>
      <c r="VRN74" s="180"/>
      <c r="VRO74" s="180"/>
      <c r="VRP74" s="180"/>
      <c r="VRQ74" s="180"/>
      <c r="VRR74" s="180"/>
      <c r="VRS74" s="180"/>
      <c r="VRT74" s="180"/>
      <c r="VRU74" s="180"/>
      <c r="VRV74" s="180"/>
      <c r="VRW74" s="180"/>
      <c r="VRX74" s="180"/>
      <c r="VRY74" s="180"/>
      <c r="VRZ74" s="180"/>
      <c r="VSA74" s="180"/>
      <c r="VSB74" s="180"/>
      <c r="VSC74" s="180"/>
      <c r="VSD74" s="180"/>
      <c r="VSE74" s="180"/>
      <c r="VSF74" s="180"/>
      <c r="VSG74" s="180"/>
      <c r="VSH74" s="180"/>
      <c r="VSI74" s="180"/>
      <c r="VSJ74" s="180"/>
      <c r="VSK74" s="180"/>
      <c r="VSL74" s="180"/>
      <c r="VSM74" s="180"/>
      <c r="VSN74" s="180"/>
      <c r="VSO74" s="180"/>
      <c r="VSP74" s="180"/>
      <c r="VSQ74" s="180"/>
      <c r="VSR74" s="180"/>
      <c r="VSS74" s="180"/>
      <c r="VST74" s="180"/>
      <c r="VSU74" s="180"/>
      <c r="VSV74" s="180"/>
      <c r="VSW74" s="180"/>
      <c r="VSX74" s="180"/>
      <c r="VSY74" s="180"/>
      <c r="VSZ74" s="180"/>
      <c r="VTA74" s="180"/>
      <c r="VTB74" s="180"/>
      <c r="VTC74" s="180"/>
      <c r="VTD74" s="180"/>
      <c r="VTE74" s="180"/>
      <c r="VTF74" s="180"/>
      <c r="VTG74" s="180"/>
      <c r="VTH74" s="180"/>
      <c r="VTI74" s="180"/>
      <c r="VTJ74" s="180"/>
      <c r="VTK74" s="180"/>
      <c r="VTL74" s="180"/>
      <c r="VTM74" s="180"/>
      <c r="VTN74" s="180"/>
      <c r="VTO74" s="180"/>
      <c r="VTP74" s="180"/>
      <c r="VTQ74" s="180"/>
      <c r="VTR74" s="180"/>
      <c r="VTS74" s="180"/>
      <c r="VTT74" s="180"/>
      <c r="VTU74" s="180"/>
      <c r="VTV74" s="180"/>
      <c r="VTW74" s="180"/>
      <c r="VTX74" s="180"/>
      <c r="VTY74" s="180"/>
      <c r="VTZ74" s="180"/>
      <c r="VUA74" s="180"/>
      <c r="VUB74" s="180"/>
      <c r="VUC74" s="180"/>
      <c r="VUD74" s="180"/>
      <c r="VUE74" s="180"/>
      <c r="VUF74" s="180"/>
      <c r="VUG74" s="180"/>
      <c r="VUH74" s="180"/>
      <c r="VUI74" s="180"/>
      <c r="VUJ74" s="180"/>
      <c r="VUK74" s="180"/>
      <c r="VUL74" s="180"/>
      <c r="VUM74" s="180"/>
      <c r="VUN74" s="180"/>
      <c r="VUO74" s="180"/>
      <c r="VUP74" s="180"/>
      <c r="VUQ74" s="180"/>
      <c r="VUR74" s="180"/>
      <c r="VUS74" s="180"/>
      <c r="VUT74" s="180"/>
      <c r="VUU74" s="180"/>
      <c r="VUV74" s="180"/>
      <c r="VUW74" s="180"/>
      <c r="VUX74" s="180"/>
      <c r="VUY74" s="180"/>
      <c r="VUZ74" s="180"/>
      <c r="VVA74" s="180"/>
      <c r="VVB74" s="180"/>
      <c r="VVC74" s="180"/>
      <c r="VVD74" s="180"/>
      <c r="VVE74" s="180"/>
      <c r="VVF74" s="180"/>
      <c r="VVG74" s="180"/>
      <c r="VVH74" s="180"/>
      <c r="VVI74" s="180"/>
      <c r="VVJ74" s="180"/>
      <c r="VVK74" s="180"/>
      <c r="VVL74" s="180"/>
      <c r="VVM74" s="180"/>
      <c r="VVN74" s="180"/>
      <c r="VVO74" s="180"/>
      <c r="VVP74" s="180"/>
      <c r="VVQ74" s="180"/>
      <c r="VVR74" s="180"/>
      <c r="VVS74" s="180"/>
      <c r="VVT74" s="180"/>
      <c r="VVU74" s="180"/>
      <c r="VVV74" s="180"/>
      <c r="VVW74" s="180"/>
      <c r="VVX74" s="180"/>
      <c r="VVY74" s="180"/>
      <c r="VVZ74" s="180"/>
      <c r="VWA74" s="180"/>
      <c r="VWB74" s="180"/>
      <c r="VWC74" s="180"/>
      <c r="VWD74" s="180"/>
      <c r="VWE74" s="180"/>
      <c r="VWF74" s="180"/>
      <c r="VWG74" s="180"/>
      <c r="VWH74" s="180"/>
      <c r="VWI74" s="180"/>
      <c r="VWJ74" s="180"/>
      <c r="VWK74" s="180"/>
      <c r="VWL74" s="180"/>
      <c r="VWM74" s="180"/>
      <c r="VWN74" s="180"/>
      <c r="VWO74" s="180"/>
      <c r="VWP74" s="180"/>
      <c r="VWQ74" s="180"/>
      <c r="VWR74" s="180"/>
      <c r="VWS74" s="180"/>
      <c r="VWT74" s="180"/>
      <c r="VWU74" s="180"/>
      <c r="VWV74" s="180"/>
      <c r="VWW74" s="180"/>
      <c r="VWX74" s="180"/>
      <c r="VWY74" s="180"/>
      <c r="VWZ74" s="180"/>
      <c r="VXA74" s="180"/>
      <c r="VXB74" s="180"/>
      <c r="VXC74" s="180"/>
      <c r="VXD74" s="180"/>
      <c r="VXE74" s="180"/>
      <c r="VXF74" s="180"/>
      <c r="VXG74" s="180"/>
      <c r="VXH74" s="180"/>
      <c r="VXI74" s="180"/>
      <c r="VXJ74" s="180"/>
      <c r="VXK74" s="180"/>
      <c r="VXL74" s="180"/>
      <c r="VXM74" s="180"/>
      <c r="VXN74" s="180"/>
      <c r="VXO74" s="180"/>
      <c r="VXP74" s="180"/>
      <c r="VXQ74" s="180"/>
      <c r="VXR74" s="180"/>
      <c r="VXS74" s="180"/>
      <c r="VXT74" s="180"/>
      <c r="VXU74" s="180"/>
      <c r="VXV74" s="180"/>
      <c r="VXW74" s="180"/>
      <c r="VXX74" s="180"/>
      <c r="VXY74" s="180"/>
      <c r="VXZ74" s="180"/>
      <c r="VYA74" s="180"/>
      <c r="VYB74" s="180"/>
      <c r="VYC74" s="180"/>
      <c r="VYD74" s="180"/>
      <c r="VYE74" s="180"/>
      <c r="VYF74" s="180"/>
      <c r="VYG74" s="180"/>
      <c r="VYH74" s="180"/>
      <c r="VYI74" s="180"/>
      <c r="VYJ74" s="180"/>
      <c r="VYK74" s="180"/>
      <c r="VYL74" s="180"/>
      <c r="VYM74" s="180"/>
      <c r="VYN74" s="180"/>
      <c r="VYO74" s="180"/>
      <c r="VYP74" s="180"/>
      <c r="VYQ74" s="180"/>
      <c r="VYR74" s="180"/>
      <c r="VYS74" s="180"/>
      <c r="VYT74" s="180"/>
      <c r="VYU74" s="180"/>
      <c r="VYV74" s="180"/>
      <c r="VYW74" s="180"/>
      <c r="VYX74" s="180"/>
      <c r="VYY74" s="180"/>
      <c r="VYZ74" s="180"/>
      <c r="VZA74" s="180"/>
      <c r="VZB74" s="180"/>
      <c r="VZC74" s="180"/>
      <c r="VZD74" s="180"/>
      <c r="VZE74" s="180"/>
      <c r="VZF74" s="180"/>
      <c r="VZG74" s="180"/>
      <c r="VZH74" s="180"/>
      <c r="VZI74" s="180"/>
      <c r="VZJ74" s="180"/>
      <c r="VZK74" s="180"/>
      <c r="VZL74" s="180"/>
      <c r="VZM74" s="180"/>
      <c r="VZN74" s="180"/>
      <c r="VZO74" s="180"/>
      <c r="VZP74" s="180"/>
      <c r="VZQ74" s="180"/>
      <c r="VZR74" s="180"/>
      <c r="VZS74" s="180"/>
      <c r="VZT74" s="180"/>
      <c r="VZU74" s="180"/>
      <c r="VZV74" s="180"/>
      <c r="VZW74" s="180"/>
      <c r="VZX74" s="180"/>
      <c r="VZY74" s="180"/>
      <c r="VZZ74" s="180"/>
      <c r="WAA74" s="180"/>
      <c r="WAB74" s="180"/>
      <c r="WAC74" s="180"/>
      <c r="WAD74" s="180"/>
      <c r="WAE74" s="180"/>
      <c r="WAF74" s="180"/>
      <c r="WAG74" s="180"/>
      <c r="WAH74" s="180"/>
      <c r="WAI74" s="180"/>
      <c r="WAJ74" s="180"/>
      <c r="WAK74" s="180"/>
      <c r="WAL74" s="180"/>
      <c r="WAM74" s="180"/>
      <c r="WAN74" s="180"/>
      <c r="WAO74" s="180"/>
      <c r="WAP74" s="180"/>
      <c r="WAQ74" s="180"/>
      <c r="WAR74" s="180"/>
      <c r="WAS74" s="180"/>
      <c r="WAT74" s="180"/>
      <c r="WAU74" s="180"/>
      <c r="WAV74" s="180"/>
      <c r="WAW74" s="180"/>
      <c r="WAX74" s="180"/>
      <c r="WAY74" s="180"/>
      <c r="WAZ74" s="180"/>
      <c r="WBA74" s="180"/>
      <c r="WBB74" s="180"/>
      <c r="WBC74" s="180"/>
      <c r="WBD74" s="180"/>
      <c r="WBE74" s="180"/>
      <c r="WBF74" s="180"/>
      <c r="WBG74" s="180"/>
      <c r="WBH74" s="180"/>
      <c r="WBI74" s="180"/>
      <c r="WBJ74" s="180"/>
      <c r="WBK74" s="180"/>
      <c r="WBL74" s="180"/>
      <c r="WBM74" s="180"/>
      <c r="WBN74" s="180"/>
      <c r="WBO74" s="180"/>
      <c r="WBP74" s="180"/>
      <c r="WBQ74" s="180"/>
      <c r="WBR74" s="180"/>
      <c r="WBS74" s="180"/>
      <c r="WBT74" s="180"/>
      <c r="WBU74" s="180"/>
      <c r="WBV74" s="180"/>
      <c r="WBW74" s="180"/>
      <c r="WBX74" s="180"/>
      <c r="WBY74" s="180"/>
      <c r="WBZ74" s="180"/>
      <c r="WCA74" s="180"/>
      <c r="WCB74" s="180"/>
      <c r="WCC74" s="180"/>
      <c r="WCD74" s="180"/>
      <c r="WCE74" s="180"/>
      <c r="WCF74" s="180"/>
      <c r="WCG74" s="180"/>
      <c r="WCH74" s="180"/>
      <c r="WCI74" s="180"/>
      <c r="WCJ74" s="180"/>
      <c r="WCK74" s="180"/>
      <c r="WCL74" s="180"/>
      <c r="WCM74" s="180"/>
      <c r="WCN74" s="180"/>
      <c r="WCO74" s="180"/>
      <c r="WCP74" s="180"/>
      <c r="WCQ74" s="180"/>
      <c r="WCR74" s="180"/>
      <c r="WCS74" s="180"/>
      <c r="WCT74" s="180"/>
      <c r="WCU74" s="180"/>
      <c r="WCV74" s="180"/>
      <c r="WCW74" s="180"/>
      <c r="WCX74" s="180"/>
      <c r="WCY74" s="180"/>
      <c r="WCZ74" s="180"/>
      <c r="WDA74" s="180"/>
      <c r="WDB74" s="180"/>
      <c r="WDC74" s="180"/>
      <c r="WDD74" s="180"/>
      <c r="WDE74" s="180"/>
      <c r="WDF74" s="180"/>
      <c r="WDG74" s="180"/>
      <c r="WDH74" s="180"/>
      <c r="WDI74" s="180"/>
      <c r="WDJ74" s="180"/>
      <c r="WDK74" s="180"/>
      <c r="WDL74" s="180"/>
      <c r="WDM74" s="180"/>
      <c r="WDN74" s="180"/>
      <c r="WDO74" s="180"/>
      <c r="WDP74" s="180"/>
      <c r="WDQ74" s="180"/>
      <c r="WDR74" s="180"/>
      <c r="WDS74" s="180"/>
      <c r="WDT74" s="180"/>
      <c r="WDU74" s="180"/>
      <c r="WDV74" s="180"/>
      <c r="WDW74" s="180"/>
      <c r="WDX74" s="180"/>
      <c r="WDY74" s="180"/>
      <c r="WDZ74" s="180"/>
      <c r="WEA74" s="180"/>
      <c r="WEB74" s="180"/>
      <c r="WEC74" s="180"/>
      <c r="WED74" s="180"/>
      <c r="WEE74" s="180"/>
      <c r="WEF74" s="180"/>
      <c r="WEG74" s="180"/>
      <c r="WEH74" s="180"/>
      <c r="WEI74" s="180"/>
      <c r="WEJ74" s="180"/>
      <c r="WEK74" s="180"/>
      <c r="WEL74" s="180"/>
      <c r="WEM74" s="180"/>
      <c r="WEN74" s="180"/>
      <c r="WEO74" s="180"/>
      <c r="WEP74" s="180"/>
      <c r="WEQ74" s="180"/>
      <c r="WER74" s="180"/>
      <c r="WES74" s="180"/>
      <c r="WET74" s="180"/>
      <c r="WEU74" s="180"/>
      <c r="WEV74" s="180"/>
      <c r="WEW74" s="180"/>
      <c r="WEX74" s="180"/>
      <c r="WEY74" s="180"/>
      <c r="WEZ74" s="180"/>
      <c r="WFA74" s="180"/>
      <c r="WFB74" s="180"/>
      <c r="WFC74" s="180"/>
      <c r="WFD74" s="180"/>
      <c r="WFE74" s="180"/>
      <c r="WFF74" s="180"/>
      <c r="WFG74" s="180"/>
      <c r="WFH74" s="180"/>
      <c r="WFI74" s="180"/>
      <c r="WFJ74" s="180"/>
      <c r="WFK74" s="180"/>
      <c r="WFL74" s="180"/>
      <c r="WFM74" s="180"/>
      <c r="WFN74" s="180"/>
      <c r="WFO74" s="180"/>
      <c r="WFP74" s="180"/>
      <c r="WFQ74" s="180"/>
      <c r="WFR74" s="180"/>
      <c r="WFS74" s="180"/>
      <c r="WFT74" s="180"/>
      <c r="WFU74" s="180"/>
      <c r="WFV74" s="180"/>
      <c r="WFW74" s="180"/>
      <c r="WFX74" s="180"/>
      <c r="WFY74" s="180"/>
      <c r="WFZ74" s="180"/>
      <c r="WGA74" s="180"/>
      <c r="WGB74" s="180"/>
      <c r="WGC74" s="180"/>
      <c r="WGD74" s="180"/>
      <c r="WGE74" s="180"/>
      <c r="WGF74" s="180"/>
      <c r="WGG74" s="180"/>
      <c r="WGH74" s="180"/>
      <c r="WGI74" s="180"/>
      <c r="WGJ74" s="180"/>
      <c r="WGK74" s="180"/>
      <c r="WGL74" s="180"/>
      <c r="WGM74" s="180"/>
      <c r="WGN74" s="180"/>
      <c r="WGO74" s="180"/>
      <c r="WGP74" s="180"/>
      <c r="WGQ74" s="180"/>
      <c r="WGR74" s="180"/>
      <c r="WGS74" s="180"/>
      <c r="WGT74" s="180"/>
      <c r="WGU74" s="180"/>
      <c r="WGV74" s="180"/>
      <c r="WGW74" s="180"/>
      <c r="WGX74" s="180"/>
      <c r="WGY74" s="180"/>
      <c r="WGZ74" s="180"/>
      <c r="WHA74" s="180"/>
      <c r="WHB74" s="180"/>
      <c r="WHC74" s="180"/>
      <c r="WHD74" s="180"/>
      <c r="WHE74" s="180"/>
      <c r="WHF74" s="180"/>
      <c r="WHG74" s="180"/>
      <c r="WHH74" s="180"/>
      <c r="WHI74" s="180"/>
      <c r="WHJ74" s="180"/>
      <c r="WHK74" s="180"/>
      <c r="WHL74" s="180"/>
      <c r="WHM74" s="180"/>
      <c r="WHN74" s="180"/>
      <c r="WHO74" s="180"/>
      <c r="WHP74" s="180"/>
      <c r="WHQ74" s="180"/>
      <c r="WHR74" s="180"/>
      <c r="WHS74" s="180"/>
      <c r="WHT74" s="180"/>
      <c r="WHU74" s="180"/>
      <c r="WHV74" s="180"/>
      <c r="WHW74" s="180"/>
      <c r="WHX74" s="180"/>
      <c r="WHY74" s="180"/>
      <c r="WHZ74" s="180"/>
      <c r="WIA74" s="180"/>
      <c r="WIB74" s="180"/>
      <c r="WIC74" s="180"/>
      <c r="WID74" s="180"/>
      <c r="WIE74" s="180"/>
      <c r="WIF74" s="180"/>
      <c r="WIG74" s="180"/>
      <c r="WIH74" s="180"/>
      <c r="WII74" s="180"/>
      <c r="WIJ74" s="180"/>
      <c r="WIK74" s="180"/>
      <c r="WIL74" s="180"/>
      <c r="WIM74" s="180"/>
      <c r="WIN74" s="180"/>
      <c r="WIO74" s="180"/>
      <c r="WIP74" s="180"/>
      <c r="WIQ74" s="180"/>
      <c r="WIR74" s="180"/>
      <c r="WIS74" s="180"/>
      <c r="WIT74" s="180"/>
      <c r="WIU74" s="180"/>
      <c r="WIV74" s="180"/>
      <c r="WIW74" s="180"/>
      <c r="WIX74" s="180"/>
      <c r="WIY74" s="180"/>
      <c r="WIZ74" s="180"/>
      <c r="WJA74" s="180"/>
      <c r="WJB74" s="180"/>
      <c r="WJC74" s="180"/>
      <c r="WJD74" s="180"/>
      <c r="WJE74" s="180"/>
      <c r="WJF74" s="180"/>
      <c r="WJG74" s="180"/>
      <c r="WJH74" s="180"/>
      <c r="WJI74" s="180"/>
      <c r="WJJ74" s="180"/>
      <c r="WJK74" s="180"/>
      <c r="WJL74" s="180"/>
      <c r="WJM74" s="180"/>
      <c r="WJN74" s="180"/>
      <c r="WJO74" s="180"/>
      <c r="WJP74" s="180"/>
      <c r="WJQ74" s="180"/>
      <c r="WJR74" s="180"/>
      <c r="WJS74" s="180"/>
      <c r="WJT74" s="180"/>
      <c r="WJU74" s="180"/>
      <c r="WJV74" s="180"/>
      <c r="WJW74" s="180"/>
      <c r="WJX74" s="180"/>
      <c r="WJY74" s="180"/>
      <c r="WJZ74" s="180"/>
      <c r="WKA74" s="180"/>
      <c r="WKB74" s="180"/>
      <c r="WKC74" s="180"/>
      <c r="WKD74" s="180"/>
      <c r="WKE74" s="180"/>
      <c r="WKF74" s="180"/>
      <c r="WKG74" s="180"/>
      <c r="WKH74" s="180"/>
      <c r="WKI74" s="180"/>
      <c r="WKJ74" s="180"/>
      <c r="WKK74" s="180"/>
      <c r="WKL74" s="180"/>
      <c r="WKM74" s="180"/>
      <c r="WKN74" s="180"/>
      <c r="WKO74" s="180"/>
      <c r="WKP74" s="180"/>
      <c r="WKQ74" s="180"/>
      <c r="WKR74" s="180"/>
      <c r="WKS74" s="180"/>
      <c r="WKT74" s="180"/>
      <c r="WKU74" s="180"/>
      <c r="WKV74" s="180"/>
      <c r="WKW74" s="180"/>
      <c r="WKX74" s="180"/>
      <c r="WKY74" s="180"/>
      <c r="WKZ74" s="180"/>
      <c r="WLA74" s="180"/>
      <c r="WLB74" s="180"/>
      <c r="WLC74" s="180"/>
      <c r="WLD74" s="180"/>
      <c r="WLE74" s="180"/>
      <c r="WLF74" s="180"/>
      <c r="WLG74" s="180"/>
      <c r="WLH74" s="180"/>
      <c r="WLI74" s="180"/>
      <c r="WLJ74" s="180"/>
      <c r="WLK74" s="180"/>
      <c r="WLL74" s="180"/>
      <c r="WLM74" s="180"/>
      <c r="WLN74" s="180"/>
      <c r="WLO74" s="180"/>
      <c r="WLP74" s="180"/>
      <c r="WLQ74" s="180"/>
      <c r="WLR74" s="180"/>
      <c r="WLS74" s="180"/>
      <c r="WLT74" s="180"/>
      <c r="WLU74" s="180"/>
      <c r="WLV74" s="180"/>
      <c r="WLW74" s="180"/>
      <c r="WLX74" s="180"/>
      <c r="WLY74" s="180"/>
      <c r="WLZ74" s="180"/>
      <c r="WMA74" s="180"/>
      <c r="WMB74" s="180"/>
      <c r="WMC74" s="180"/>
      <c r="WMD74" s="180"/>
      <c r="WME74" s="180"/>
      <c r="WMF74" s="180"/>
      <c r="WMG74" s="180"/>
      <c r="WMH74" s="180"/>
      <c r="WMI74" s="180"/>
      <c r="WMJ74" s="180"/>
      <c r="WMK74" s="180"/>
      <c r="WML74" s="180"/>
      <c r="WMM74" s="180"/>
      <c r="WMN74" s="180"/>
      <c r="WMO74" s="180"/>
      <c r="WMP74" s="180"/>
      <c r="WMQ74" s="180"/>
      <c r="WMR74" s="180"/>
      <c r="WMS74" s="180"/>
      <c r="WMT74" s="180"/>
      <c r="WMU74" s="180"/>
      <c r="WMV74" s="180"/>
      <c r="WMW74" s="180"/>
      <c r="WMX74" s="180"/>
      <c r="WMY74" s="180"/>
      <c r="WMZ74" s="180"/>
      <c r="WNA74" s="180"/>
      <c r="WNB74" s="180"/>
      <c r="WNC74" s="180"/>
      <c r="WND74" s="180"/>
      <c r="WNE74" s="180"/>
      <c r="WNF74" s="180"/>
      <c r="WNG74" s="180"/>
      <c r="WNH74" s="180"/>
      <c r="WNI74" s="180"/>
      <c r="WNJ74" s="180"/>
      <c r="WNK74" s="180"/>
      <c r="WNL74" s="180"/>
      <c r="WNM74" s="180"/>
      <c r="WNN74" s="180"/>
      <c r="WNO74" s="180"/>
      <c r="WNP74" s="180"/>
      <c r="WNQ74" s="180"/>
      <c r="WNR74" s="180"/>
      <c r="WNS74" s="180"/>
      <c r="WNT74" s="180"/>
      <c r="WNU74" s="180"/>
      <c r="WNV74" s="180"/>
      <c r="WNW74" s="180"/>
      <c r="WNX74" s="180"/>
      <c r="WNY74" s="180"/>
      <c r="WNZ74" s="180"/>
      <c r="WOA74" s="180"/>
      <c r="WOB74" s="180"/>
      <c r="WOC74" s="180"/>
      <c r="WOD74" s="180"/>
      <c r="WOE74" s="180"/>
      <c r="WOF74" s="180"/>
      <c r="WOG74" s="180"/>
      <c r="WOH74" s="180"/>
      <c r="WOI74" s="180"/>
      <c r="WOJ74" s="180"/>
      <c r="WOK74" s="180"/>
      <c r="WOL74" s="180"/>
      <c r="WOM74" s="180"/>
      <c r="WON74" s="180"/>
      <c r="WOO74" s="180"/>
      <c r="WOP74" s="180"/>
      <c r="WOQ74" s="180"/>
      <c r="WOR74" s="180"/>
      <c r="WOS74" s="180"/>
      <c r="WOT74" s="180"/>
      <c r="WOU74" s="180"/>
      <c r="WOV74" s="180"/>
      <c r="WOW74" s="180"/>
      <c r="WOX74" s="180"/>
      <c r="WOY74" s="180"/>
      <c r="WOZ74" s="180"/>
      <c r="WPA74" s="180"/>
      <c r="WPB74" s="180"/>
      <c r="WPC74" s="180"/>
      <c r="WPD74" s="180"/>
      <c r="WPE74" s="180"/>
      <c r="WPF74" s="180"/>
      <c r="WPG74" s="180"/>
      <c r="WPH74" s="180"/>
      <c r="WPI74" s="180"/>
      <c r="WPJ74" s="180"/>
      <c r="WPK74" s="180"/>
      <c r="WPL74" s="180"/>
      <c r="WPM74" s="180"/>
      <c r="WPN74" s="180"/>
      <c r="WPO74" s="180"/>
      <c r="WPP74" s="180"/>
      <c r="WPQ74" s="180"/>
      <c r="WPR74" s="180"/>
      <c r="WPS74" s="180"/>
      <c r="WPT74" s="180"/>
      <c r="WPU74" s="180"/>
      <c r="WPV74" s="180"/>
      <c r="WPW74" s="180"/>
      <c r="WPX74" s="180"/>
      <c r="WPY74" s="180"/>
      <c r="WPZ74" s="180"/>
      <c r="WQA74" s="180"/>
      <c r="WQB74" s="180"/>
      <c r="WQC74" s="180"/>
      <c r="WQD74" s="180"/>
      <c r="WQE74" s="180"/>
      <c r="WQF74" s="180"/>
      <c r="WQG74" s="180"/>
      <c r="WQH74" s="180"/>
      <c r="WQI74" s="180"/>
      <c r="WQJ74" s="180"/>
      <c r="WQK74" s="180"/>
      <c r="WQL74" s="180"/>
      <c r="WQM74" s="180"/>
      <c r="WQN74" s="180"/>
      <c r="WQO74" s="180"/>
      <c r="WQP74" s="180"/>
      <c r="WQQ74" s="180"/>
      <c r="WQR74" s="180"/>
      <c r="WQS74" s="180"/>
      <c r="WQT74" s="180"/>
      <c r="WQU74" s="180"/>
      <c r="WQV74" s="180"/>
      <c r="WQW74" s="180"/>
      <c r="WQX74" s="180"/>
      <c r="WQY74" s="180"/>
      <c r="WQZ74" s="180"/>
      <c r="WRA74" s="180"/>
      <c r="WRB74" s="180"/>
      <c r="WRC74" s="180"/>
      <c r="WRD74" s="180"/>
      <c r="WRE74" s="180"/>
      <c r="WRF74" s="180"/>
      <c r="WRG74" s="180"/>
      <c r="WRH74" s="180"/>
      <c r="WRI74" s="180"/>
      <c r="WRJ74" s="180"/>
      <c r="WRK74" s="180"/>
      <c r="WRL74" s="180"/>
      <c r="WRM74" s="180"/>
      <c r="WRN74" s="180"/>
      <c r="WRO74" s="180"/>
      <c r="WRP74" s="180"/>
      <c r="WRQ74" s="180"/>
      <c r="WRR74" s="180"/>
      <c r="WRS74" s="180"/>
      <c r="WRT74" s="180"/>
      <c r="WRU74" s="180"/>
      <c r="WRV74" s="180"/>
      <c r="WRW74" s="180"/>
      <c r="WRX74" s="180"/>
      <c r="WRY74" s="180"/>
      <c r="WRZ74" s="180"/>
      <c r="WSA74" s="180"/>
      <c r="WSB74" s="180"/>
      <c r="WSC74" s="180"/>
      <c r="WSD74" s="180"/>
      <c r="WSE74" s="180"/>
      <c r="WSF74" s="180"/>
      <c r="WSG74" s="180"/>
      <c r="WSH74" s="180"/>
      <c r="WSI74" s="180"/>
      <c r="WSJ74" s="180"/>
      <c r="WSK74" s="180"/>
      <c r="WSL74" s="180"/>
      <c r="WSM74" s="180"/>
      <c r="WSN74" s="180"/>
      <c r="WSO74" s="180"/>
      <c r="WSP74" s="180"/>
      <c r="WSQ74" s="180"/>
      <c r="WSR74" s="180"/>
      <c r="WSS74" s="180"/>
      <c r="WST74" s="180"/>
      <c r="WSU74" s="180"/>
      <c r="WSV74" s="180"/>
      <c r="WSW74" s="180"/>
      <c r="WSX74" s="180"/>
      <c r="WSY74" s="180"/>
      <c r="WSZ74" s="180"/>
      <c r="WTA74" s="180"/>
      <c r="WTB74" s="180"/>
      <c r="WTC74" s="180"/>
      <c r="WTD74" s="180"/>
      <c r="WTE74" s="180"/>
      <c r="WTF74" s="180"/>
      <c r="WTG74" s="180"/>
      <c r="WTH74" s="180"/>
      <c r="WTI74" s="180"/>
      <c r="WTJ74" s="180"/>
      <c r="WTK74" s="180"/>
      <c r="WTL74" s="180"/>
      <c r="WTM74" s="180"/>
      <c r="WTN74" s="180"/>
      <c r="WTO74" s="180"/>
      <c r="WTP74" s="180"/>
      <c r="WTQ74" s="180"/>
      <c r="WTR74" s="180"/>
      <c r="WTS74" s="180"/>
      <c r="WTT74" s="180"/>
      <c r="WTU74" s="180"/>
      <c r="WTV74" s="180"/>
      <c r="WTW74" s="180"/>
      <c r="WTX74" s="180"/>
      <c r="WTY74" s="180"/>
      <c r="WTZ74" s="180"/>
      <c r="WUA74" s="180"/>
      <c r="WUB74" s="180"/>
      <c r="WUC74" s="180"/>
      <c r="WUD74" s="180"/>
      <c r="WUE74" s="180"/>
      <c r="WUF74" s="180"/>
      <c r="WUG74" s="180"/>
      <c r="WUH74" s="180"/>
      <c r="WUI74" s="180"/>
      <c r="WUJ74" s="180"/>
      <c r="WUK74" s="180"/>
      <c r="WUL74" s="180"/>
      <c r="WUM74" s="180"/>
      <c r="WUN74" s="180"/>
      <c r="WUO74" s="180"/>
      <c r="WUP74" s="180"/>
      <c r="WUQ74" s="180"/>
      <c r="WUR74" s="180"/>
      <c r="WUS74" s="180"/>
      <c r="WUT74" s="180"/>
      <c r="WUU74" s="180"/>
      <c r="WUV74" s="180"/>
      <c r="WUW74" s="180"/>
      <c r="WUX74" s="180"/>
      <c r="WUY74" s="180"/>
      <c r="WUZ74" s="180"/>
      <c r="WVA74" s="180"/>
      <c r="WVB74" s="180"/>
      <c r="WVC74" s="180"/>
      <c r="WVD74" s="180"/>
      <c r="WVE74" s="180"/>
      <c r="WVF74" s="180"/>
      <c r="WVG74" s="180"/>
      <c r="WVH74" s="180"/>
      <c r="WVI74" s="180"/>
      <c r="WVJ74" s="180"/>
      <c r="WVK74" s="180"/>
      <c r="WVL74" s="180"/>
      <c r="WVM74" s="180"/>
      <c r="WVN74" s="180"/>
      <c r="WVO74" s="180"/>
      <c r="WVP74" s="180"/>
      <c r="WVQ74" s="180"/>
      <c r="WVR74" s="180"/>
      <c r="WVS74" s="180"/>
      <c r="WVT74" s="180"/>
      <c r="WVU74" s="180"/>
      <c r="WVV74" s="180"/>
      <c r="WVW74" s="180"/>
      <c r="WVX74" s="180"/>
      <c r="WVY74" s="180"/>
      <c r="WVZ74" s="180"/>
      <c r="WWA74" s="180"/>
      <c r="WWB74" s="180"/>
      <c r="WWC74" s="180"/>
      <c r="WWD74" s="180"/>
      <c r="WWE74" s="180"/>
      <c r="WWF74" s="180"/>
      <c r="WWG74" s="180"/>
      <c r="WWH74" s="180"/>
      <c r="WWI74" s="180"/>
      <c r="WWJ74" s="180"/>
      <c r="WWK74" s="180"/>
      <c r="WWL74" s="180"/>
      <c r="WWM74" s="180"/>
      <c r="WWN74" s="180"/>
      <c r="WWO74" s="180"/>
      <c r="WWP74" s="180"/>
      <c r="WWQ74" s="180"/>
      <c r="WWR74" s="180"/>
      <c r="WWS74" s="180"/>
      <c r="WWT74" s="180"/>
      <c r="WWU74" s="180"/>
      <c r="WWV74" s="180"/>
      <c r="WWW74" s="180"/>
      <c r="WWX74" s="180"/>
      <c r="WWY74" s="180"/>
      <c r="WWZ74" s="180"/>
      <c r="WXA74" s="180"/>
      <c r="WXB74" s="180"/>
      <c r="WXC74" s="180"/>
      <c r="WXD74" s="180"/>
      <c r="WXE74" s="180"/>
      <c r="WXF74" s="180"/>
      <c r="WXG74" s="180"/>
      <c r="WXH74" s="180"/>
      <c r="WXI74" s="180"/>
      <c r="WXJ74" s="180"/>
      <c r="WXK74" s="180"/>
      <c r="WXL74" s="180"/>
      <c r="WXM74" s="180"/>
      <c r="WXN74" s="180"/>
      <c r="WXO74" s="180"/>
      <c r="WXP74" s="180"/>
      <c r="WXQ74" s="180"/>
      <c r="WXR74" s="180"/>
      <c r="WXS74" s="180"/>
      <c r="WXT74" s="180"/>
      <c r="WXU74" s="180"/>
      <c r="WXV74" s="180"/>
      <c r="WXW74" s="180"/>
      <c r="WXX74" s="180"/>
      <c r="WXY74" s="180"/>
      <c r="WXZ74" s="180"/>
      <c r="WYA74" s="180"/>
      <c r="WYB74" s="180"/>
      <c r="WYC74" s="180"/>
      <c r="WYD74" s="180"/>
      <c r="WYE74" s="180"/>
      <c r="WYF74" s="180"/>
      <c r="WYG74" s="180"/>
      <c r="WYH74" s="180"/>
      <c r="WYI74" s="180"/>
      <c r="WYJ74" s="180"/>
      <c r="WYK74" s="180"/>
      <c r="WYL74" s="180"/>
      <c r="WYM74" s="180"/>
      <c r="WYN74" s="180"/>
      <c r="WYO74" s="180"/>
      <c r="WYP74" s="180"/>
      <c r="WYQ74" s="180"/>
      <c r="WYR74" s="180"/>
      <c r="WYS74" s="180"/>
      <c r="WYT74" s="180"/>
      <c r="WYU74" s="180"/>
      <c r="WYV74" s="180"/>
      <c r="WYW74" s="180"/>
      <c r="WYX74" s="180"/>
      <c r="WYY74" s="180"/>
      <c r="WYZ74" s="180"/>
      <c r="WZA74" s="180"/>
      <c r="WZB74" s="180"/>
      <c r="WZC74" s="180"/>
      <c r="WZD74" s="180"/>
      <c r="WZE74" s="180"/>
      <c r="WZF74" s="180"/>
      <c r="WZG74" s="180"/>
      <c r="WZH74" s="180"/>
      <c r="WZI74" s="180"/>
      <c r="WZJ74" s="180"/>
      <c r="WZK74" s="180"/>
      <c r="WZL74" s="180"/>
      <c r="WZM74" s="180"/>
      <c r="WZN74" s="180"/>
      <c r="WZO74" s="180"/>
      <c r="WZP74" s="180"/>
      <c r="WZQ74" s="180"/>
      <c r="WZR74" s="180"/>
      <c r="WZS74" s="180"/>
      <c r="WZT74" s="180"/>
      <c r="WZU74" s="180"/>
      <c r="WZV74" s="180"/>
      <c r="WZW74" s="180"/>
      <c r="WZX74" s="180"/>
      <c r="WZY74" s="180"/>
      <c r="WZZ74" s="180"/>
      <c r="XAA74" s="180"/>
      <c r="XAB74" s="180"/>
      <c r="XAC74" s="180"/>
      <c r="XAD74" s="180"/>
      <c r="XAE74" s="180"/>
      <c r="XAF74" s="180"/>
      <c r="XAG74" s="180"/>
      <c r="XAH74" s="180"/>
      <c r="XAI74" s="180"/>
      <c r="XAJ74" s="180"/>
      <c r="XAK74" s="180"/>
      <c r="XAL74" s="180"/>
      <c r="XAM74" s="180"/>
      <c r="XAN74" s="180"/>
      <c r="XAO74" s="180"/>
      <c r="XAP74" s="180"/>
      <c r="XAQ74" s="180"/>
      <c r="XAR74" s="180"/>
      <c r="XAS74" s="180"/>
      <c r="XAT74" s="180"/>
      <c r="XAU74" s="180"/>
      <c r="XAV74" s="180"/>
      <c r="XAW74" s="180"/>
      <c r="XAX74" s="180"/>
      <c r="XAY74" s="180"/>
      <c r="XAZ74" s="180"/>
      <c r="XBA74" s="180"/>
      <c r="XBB74" s="180"/>
      <c r="XBC74" s="180"/>
      <c r="XBD74" s="180"/>
      <c r="XBE74" s="180"/>
      <c r="XBF74" s="180"/>
      <c r="XBG74" s="180"/>
      <c r="XBH74" s="180"/>
      <c r="XBI74" s="180"/>
      <c r="XBJ74" s="180"/>
      <c r="XBK74" s="180"/>
      <c r="XBL74" s="180"/>
      <c r="XBM74" s="180"/>
      <c r="XBN74" s="180"/>
      <c r="XBO74" s="180"/>
      <c r="XBP74" s="180"/>
      <c r="XBQ74" s="180"/>
      <c r="XBR74" s="180"/>
      <c r="XBS74" s="180"/>
      <c r="XBT74" s="180"/>
      <c r="XBU74" s="180"/>
      <c r="XBV74" s="180"/>
      <c r="XBW74" s="180"/>
      <c r="XBX74" s="180"/>
      <c r="XBY74" s="180"/>
      <c r="XBZ74" s="180"/>
      <c r="XCA74" s="180"/>
      <c r="XCB74" s="180"/>
      <c r="XCC74" s="180"/>
      <c r="XCD74" s="180"/>
      <c r="XCE74" s="180"/>
      <c r="XCF74" s="180"/>
      <c r="XCG74" s="180"/>
      <c r="XCH74" s="180"/>
      <c r="XCI74" s="180"/>
      <c r="XCJ74" s="180"/>
      <c r="XCK74" s="180"/>
      <c r="XCL74" s="180"/>
      <c r="XCM74" s="180"/>
      <c r="XCN74" s="180"/>
      <c r="XCO74" s="180"/>
      <c r="XCP74" s="180"/>
      <c r="XCQ74" s="180"/>
      <c r="XCR74" s="180"/>
      <c r="XCS74" s="180"/>
      <c r="XCT74" s="180"/>
      <c r="XCU74" s="180"/>
      <c r="XCV74" s="180"/>
      <c r="XCW74" s="180"/>
      <c r="XCX74" s="180"/>
      <c r="XCY74" s="180"/>
      <c r="XCZ74" s="180"/>
      <c r="XDA74" s="180"/>
      <c r="XDB74" s="180"/>
      <c r="XDC74" s="180"/>
      <c r="XDD74" s="180"/>
      <c r="XDE74" s="180"/>
      <c r="XDF74" s="180"/>
      <c r="XDG74" s="180"/>
      <c r="XDH74" s="180"/>
      <c r="XDI74" s="180"/>
      <c r="XDJ74" s="180"/>
      <c r="XDK74" s="180"/>
      <c r="XDL74" s="180"/>
      <c r="XDM74" s="180"/>
      <c r="XDN74" s="180"/>
      <c r="XDO74" s="180"/>
      <c r="XDP74" s="180"/>
      <c r="XDQ74" s="180"/>
      <c r="XDR74" s="180"/>
      <c r="XDS74" s="180"/>
      <c r="XDT74" s="180"/>
      <c r="XDU74" s="180"/>
      <c r="XDV74" s="180"/>
      <c r="XDW74" s="180"/>
      <c r="XDX74" s="180"/>
      <c r="XDY74" s="180"/>
      <c r="XDZ74" s="180"/>
      <c r="XEA74" s="180"/>
      <c r="XEB74" s="180"/>
      <c r="XEC74" s="180"/>
      <c r="XED74" s="180"/>
      <c r="XEE74" s="180"/>
      <c r="XEF74" s="180"/>
      <c r="XEG74" s="180"/>
      <c r="XEH74" s="180"/>
      <c r="XEI74" s="180"/>
      <c r="XEJ74" s="180"/>
      <c r="XEK74" s="180"/>
      <c r="XEL74" s="180"/>
      <c r="XEM74" s="180"/>
      <c r="XEN74" s="180"/>
      <c r="XEO74" s="180"/>
      <c r="XEP74" s="180"/>
      <c r="XEQ74" s="180"/>
      <c r="XER74" s="180"/>
      <c r="XES74" s="180"/>
      <c r="XET74" s="180"/>
      <c r="XEU74" s="180"/>
      <c r="XEV74" s="180"/>
      <c r="XEW74" s="180"/>
      <c r="XEX74" s="180"/>
      <c r="XEY74" s="180"/>
      <c r="XEZ74" s="180"/>
      <c r="XFA74" s="180"/>
      <c r="XFB74" s="180"/>
    </row>
    <row r="75" spans="1:16384" s="180" customFormat="1" ht="13.5">
      <c r="A75" s="214">
        <v>6.2</v>
      </c>
      <c r="B75" s="186" t="s">
        <v>135</v>
      </c>
      <c r="C75" s="173" t="s">
        <v>104</v>
      </c>
      <c r="D75" s="189" t="str">
        <f>IF(OR(j_WEEKDAY(J_ADDDAY(VLOOKUP(I75,A:F,6,FALSE),H75,1),0)=6,SUMIFS(Holieday[ok],Holieday[date],J_ADDDAY(VLOOKUP(I75,A:F,6,FALSE),H75,1)))=FALSE(),J_ADDDAY(VLOOKUP(I75,A:F,6,FALSE),H75,1),IF(OR(j_WEEKDAY(J_ADDDAY(VLOOKUP(I75,A:F,6,FALSE),H75+1,1),0)=6,SUMIFS(Holieday[ok],Holieday[date],J_ADDDAY(VLOOKUP(I75,A:F,6,FALSE),H75+1,1)))=FALSE(),J_ADDDAY(VLOOKUP(I75,A:F,6,FALSE),H75+1,1),IF(OR(j_WEEKDAY(J_ADDDAY(VLOOKUP(I75,A:F,6,FALSE),H75+2,1),0)=6,SUMIFS(Holieday[ok],Holieday[date],J_ADDDAY(VLOOKUP(I75,A:F,6,FALSE),H75+2,1)))=FALSE(),J_ADDDAY(VLOOKUP(I75,A:F,6,FALSE),H75+2,1),IF(OR(j_WEEKDAY(J_ADDDAY(VLOOKUP(I75,A:F,6,FALSE),H75+3,1),0)=6,SUMIFS(Holieday[ok],Holieday[date],J_ADDDAY(VLOOKUP(I75,A:F,6,FALSE),H75+3,1)))=FALSE(),J_ADDDAY(VLOOKUP(I75,A:F,6,FALSE),H75+3,1),IF(OR(j_WEEKDAY(J_ADDDAY(VLOOKUP(I75,A:F,6,FALSE),H75+4,1),0)=6,SUMIFS(Holieday[ok],Holieday[date],J_ADDDAY(VLOOKUP(I75,A:F,6,FALSE),H75+4,1)))=FALSE(),J_ADDDAY(VLOOKUP(I75,A:F,6,FALSE),H75+4,1),J_ADDDAY(VLOOKUP(I75,A:F,6,FALSE),H75+5,1))))))</f>
        <v>1398/10/14</v>
      </c>
      <c r="E75" s="136">
        <f t="shared" si="40"/>
        <v>13981014</v>
      </c>
      <c r="F75" s="189" t="str">
        <f>IF(N75=0,J_SUBDAY(D75,1,1)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0,J_SUBDAY(J_ADDDAY(D75,N75,1)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1,J_SUBDAY(J_ADDDAY(D75,N75+1,1)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2,J_SUBDAY(J_ADDDAY(D75,N75+2,1),1,1),J_SUBDAY(J_ADDDAY(D75,N75+3,1),1,1)))))</f>
        <v>1398/10/22</v>
      </c>
      <c r="G75" s="139">
        <f t="shared" si="41"/>
        <v>13981022</v>
      </c>
      <c r="H75" s="175">
        <v>1</v>
      </c>
      <c r="I75" s="176">
        <v>6.1</v>
      </c>
      <c r="J75" s="174">
        <f>j_WEEKDAY(D75,2)</f>
        <v>0</v>
      </c>
      <c r="K75" s="143">
        <f t="shared" si="44"/>
        <v>0</v>
      </c>
      <c r="L75" s="215">
        <f t="shared" si="45"/>
        <v>9</v>
      </c>
      <c r="M75" s="216">
        <v>1</v>
      </c>
      <c r="N75" s="179">
        <v>8</v>
      </c>
      <c r="O75" s="144">
        <f t="shared" ref="O75:O76" si="46">ROUNDDOWN(M75*L75,0)</f>
        <v>9</v>
      </c>
      <c r="P75" s="144">
        <f>VALUE(J_normdate(J_ADDDAY($D75,$O75,1)))</f>
        <v>13981023</v>
      </c>
      <c r="Q75" s="142">
        <f t="shared" ref="Q75:Q76" si="47">L75-O75</f>
        <v>0</v>
      </c>
      <c r="IY75" s="192">
        <v>2</v>
      </c>
      <c r="IZ75" s="192">
        <f>(TEXT(K75,"[m]")/60)*VLOOKUP(IY75,'Income Person-hours'!A$2:C$5,3,FALSE)</f>
        <v>0</v>
      </c>
      <c r="JA75" s="173"/>
      <c r="JB75" s="222"/>
      <c r="JC75" s="219"/>
      <c r="JD75" s="220">
        <f>SUM((TEXT(JA75,"[M]")/60)*'Income Person-hours'!$D$3,(TEXT(JB75,"[M]")/60)*'Income Person-hours'!$D$4,(TEXT(JC75,"[M]")/60)*'Income Person-hours'!$D$5)</f>
        <v>0</v>
      </c>
    </row>
    <row r="76" spans="1:16384" s="180" customFormat="1" ht="13.5">
      <c r="A76" s="214">
        <v>6.3</v>
      </c>
      <c r="B76" s="186" t="s">
        <v>111</v>
      </c>
      <c r="C76" s="173" t="s">
        <v>104</v>
      </c>
      <c r="D76" s="189" t="str">
        <f>IF(OR(j_WEEKDAY(J_ADDDAY(VLOOKUP(I76,A:F,6,FALSE),H76,1),0)=6,SUMIFS(Holieday[ok],Holieday[date],J_ADDDAY(VLOOKUP(I76,A:F,6,FALSE),H76,1)))=FALSE(),J_ADDDAY(VLOOKUP(I76,A:F,6,FALSE),H76,1),IF(OR(j_WEEKDAY(J_ADDDAY(VLOOKUP(I76,A:F,6,FALSE),H76+1,1),0)=6,SUMIFS(Holieday[ok],Holieday[date],J_ADDDAY(VLOOKUP(I76,A:F,6,FALSE),H76+1,1)))=FALSE(),J_ADDDAY(VLOOKUP(I76,A:F,6,FALSE),H76+1,1),IF(OR(j_WEEKDAY(J_ADDDAY(VLOOKUP(I76,A:F,6,FALSE),H76+2,1),0)=6,SUMIFS(Holieday[ok],Holieday[date],J_ADDDAY(VLOOKUP(I76,A:F,6,FALSE),H76+2,1)))=FALSE(),J_ADDDAY(VLOOKUP(I76,A:F,6,FALSE),H76+2,1),IF(OR(j_WEEKDAY(J_ADDDAY(VLOOKUP(I76,A:F,6,FALSE),H76+3,1),0)=6,SUMIFS(Holieday[ok],Holieday[date],J_ADDDAY(VLOOKUP(I76,A:F,6,FALSE),H76+3,1)))=FALSE(),J_ADDDAY(VLOOKUP(I76,A:F,6,FALSE),H76+3,1),IF(OR(j_WEEKDAY(J_ADDDAY(VLOOKUP(I76,A:F,6,FALSE),H76+4,1),0)=6,SUMIFS(Holieday[ok],Holieday[date],J_ADDDAY(VLOOKUP(I76,A:F,6,FALSE),H76+4,1)))=FALSE(),J_ADDDAY(VLOOKUP(I76,A:F,6,FALSE),H76+4,1),J_ADDDAY(VLOOKUP(I76,A:F,6,FALSE),H76+5,1))))))</f>
        <v>1398/10/23</v>
      </c>
      <c r="E76" s="136">
        <f t="shared" si="40"/>
        <v>13981023</v>
      </c>
      <c r="F76" s="189" t="str">
        <f>IF(N76=0,J_SUBDAY(D76,1,1)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0,J_SUBDAY(J_ADDDAY(D76,N76,1)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1,J_SUBDAY(J_ADDDAY(D76,N76+1,1)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2,J_SUBDAY(J_ADDDAY(D76,N76+2,1),1,1),J_SUBDAY(J_ADDDAY(D76,N76+3,1),1,1)))))</f>
        <v>1398/11/01</v>
      </c>
      <c r="G76" s="139">
        <f t="shared" si="41"/>
        <v>13981101</v>
      </c>
      <c r="H76" s="175">
        <v>1</v>
      </c>
      <c r="I76" s="176">
        <v>6.2</v>
      </c>
      <c r="J76" s="174">
        <f>j_WEEKDAY(D76,2)</f>
        <v>2</v>
      </c>
      <c r="K76" s="143">
        <f t="shared" si="44"/>
        <v>0</v>
      </c>
      <c r="L76" s="215">
        <f t="shared" si="45"/>
        <v>9</v>
      </c>
      <c r="M76" s="216">
        <v>1</v>
      </c>
      <c r="N76" s="179">
        <v>8</v>
      </c>
      <c r="O76" s="144">
        <f t="shared" si="46"/>
        <v>9</v>
      </c>
      <c r="P76" s="144">
        <f>VALUE(J_normdate(J_ADDDAY($D76,$O76,1)))</f>
        <v>13981102</v>
      </c>
      <c r="Q76" s="142">
        <f t="shared" si="47"/>
        <v>0</v>
      </c>
      <c r="IY76" s="192">
        <v>3</v>
      </c>
      <c r="IZ76" s="192">
        <f>(TEXT(K76,"[m]")/60)*VLOOKUP(IY76,'Income Person-hours'!A$2:C$5,3,FALSE)</f>
        <v>0</v>
      </c>
      <c r="JA76" s="173"/>
      <c r="JB76" s="222"/>
      <c r="JC76" s="173"/>
      <c r="JD76" s="220">
        <f>SUM((TEXT(JA76,"[M]")/60)*'Income Person-hours'!$D$3,(TEXT(JB76,"[M]")/60)*'Income Person-hours'!$D$4,(TEXT(JC76,"[M]")/60)*'Income Person-hours'!$D$5)</f>
        <v>0</v>
      </c>
    </row>
    <row r="77" spans="1:16384" s="279" customFormat="1" ht="13.5">
      <c r="A77" s="270">
        <v>7</v>
      </c>
      <c r="B77" s="293" t="s">
        <v>68</v>
      </c>
      <c r="C77" s="294"/>
      <c r="D77" s="273" t="str">
        <f>FDate(MIN(E78:E79))</f>
        <v>1399/01/18</v>
      </c>
      <c r="E77" s="136">
        <f t="shared" ref="E77:E79" si="48">VALUE(J_normdate(D77))</f>
        <v>13990118</v>
      </c>
      <c r="F77" s="273" t="str">
        <f>J_SUBDAY(J_ADDDAY(D77,L77,1),1,1)</f>
        <v>1399/01/20</v>
      </c>
      <c r="G77" s="139">
        <f t="shared" ref="G77:G79" si="49">VALUE(J_normdate(F77))</f>
        <v>13990120</v>
      </c>
      <c r="H77" s="285"/>
      <c r="I77" s="286"/>
      <c r="J77" s="273">
        <f>j_WEEKDAY(D77,2)</f>
        <v>2</v>
      </c>
      <c r="K77" s="140">
        <f>SUM(K78:K79)</f>
        <v>0</v>
      </c>
      <c r="L77" s="276">
        <f>J_DIFF(D77,FDate(MAX(G78:G79)))+1</f>
        <v>3</v>
      </c>
      <c r="M77" s="277">
        <f>IF(SUM(L78:L79)&lt;&gt;0,SUMPRODUCT(L78:L79,M78:M79)/SUM(L78:L79),0)</f>
        <v>0</v>
      </c>
      <c r="N77" s="278">
        <f>IF(F77&gt;=D77,NETWORKDAYS.INTL(J_GregorianDate(D77,1),J_GregorianDate(F77,1),16,1)-SUMIFS(Holieday[ok],Holieday[date],CONCATENATE("&gt;","=",D77),Holieday[date],CONCATENATE("&lt;","=",F77))+SUMIFS(Holieday[Friday],Holieday[date],CONCATENATE("&gt;","=",D77),Holieday[date],CONCATENATE("&lt;","=",F77)),0)</f>
        <v>3</v>
      </c>
      <c r="O77" s="135">
        <f t="shared" ref="O77" si="50">ROUNDDOWN(M77*L77,0)</f>
        <v>0</v>
      </c>
      <c r="P77" s="135">
        <f>VALUE(J_normdate(J_ADDDAY($D77,$O77,1)))</f>
        <v>13990118</v>
      </c>
      <c r="Q77" s="138">
        <f t="shared" ref="Q77" si="51">L77-O77</f>
        <v>3</v>
      </c>
      <c r="R77" s="288"/>
      <c r="IY77" s="295"/>
      <c r="IZ77" s="295"/>
      <c r="JA77" s="282"/>
      <c r="JB77" s="296"/>
      <c r="XFC77" s="297"/>
      <c r="XFD77" s="297"/>
    </row>
    <row r="78" spans="1:16384" s="141" customFormat="1" ht="13.5">
      <c r="A78" s="188">
        <v>7.1</v>
      </c>
      <c r="B78" s="186" t="s">
        <v>110</v>
      </c>
      <c r="C78" s="173" t="s">
        <v>103</v>
      </c>
      <c r="D78" s="189" t="str">
        <f>IF(OR(j_WEEKDAY(J_ADDDAY(VLOOKUP(I78,A:F,6,FALSE),H78,1),0)=6,SUMIFS(Holieday[ok],Holieday[date],J_ADDDAY(VLOOKUP(I78,A:F,6,FALSE),H78,1)))=FALSE(),J_ADDDAY(VLOOKUP(I78,A:F,6,FALSE),H78,1),IF(OR(j_WEEKDAY(J_ADDDAY(VLOOKUP(I78,A:F,6,FALSE),H78+1,1),0)=6,SUMIFS(Holieday[ok],Holieday[date],J_ADDDAY(VLOOKUP(I78,A:F,6,FALSE),H78+1,1)))=FALSE(),J_ADDDAY(VLOOKUP(I78,A:F,6,FALSE),H78+1,1),IF(OR(j_WEEKDAY(J_ADDDAY(VLOOKUP(I78,A:F,6,FALSE),H78+2,1),0)=6,SUMIFS(Holieday[ok],Holieday[date],J_ADDDAY(VLOOKUP(I78,A:F,6,FALSE),H78+2,1)))=FALSE(),J_ADDDAY(VLOOKUP(I78,A:F,6,FALSE),H78+2,1),IF(OR(j_WEEKDAY(J_ADDDAY(VLOOKUP(I78,A:F,6,FALSE),H78+3,1),0)=6,SUMIFS(Holieday[ok],Holieday[date],J_ADDDAY(VLOOKUP(I78,A:F,6,FALSE),H78+3,1)))=FALSE(),J_ADDDAY(VLOOKUP(I78,A:F,6,FALSE),H78+3,1),IF(OR(j_WEEKDAY(J_ADDDAY(VLOOKUP(I78,A:F,6,FALSE),H78+4,1),0)=6,SUMIFS(Holieday[ok],Holieday[date],J_ADDDAY(VLOOKUP(I78,A:F,6,FALSE),H78+4,1)))=FALSE(),J_ADDDAY(VLOOKUP(I78,A:F,6,FALSE),H78+4,1),J_ADDDAY(VLOOKUP(I78,A:F,6,FALSE),H78+5,1))))))</f>
        <v>1399/01/18</v>
      </c>
      <c r="E78" s="136">
        <f t="shared" si="48"/>
        <v>13990118</v>
      </c>
      <c r="F78" s="189" t="str">
        <f>IF(N78=0,J_SUBDAY(D78,1,1)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0,J_SUBDAY(J_ADDDAY(D78,N78,1)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1,J_SUBDAY(J_ADDDAY(D78,N78+1,1)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2,J_SUBDAY(J_ADDDAY(D78,N78+2,1),1,1),J_SUBDAY(J_ADDDAY(D78,N78+3,1),1,1)))))</f>
        <v>1399/01/18</v>
      </c>
      <c r="G78" s="139">
        <f t="shared" si="49"/>
        <v>13990118</v>
      </c>
      <c r="H78" s="175">
        <v>1</v>
      </c>
      <c r="I78" s="176">
        <v>3.27</v>
      </c>
      <c r="J78" s="174">
        <f>j_WEEKDAY(D78,2)</f>
        <v>2</v>
      </c>
      <c r="K78" s="143">
        <f t="shared" ref="K78:K79" si="52">SUM(JA78:JC78)</f>
        <v>0</v>
      </c>
      <c r="L78" s="215">
        <f t="shared" ref="L78:L79" si="53">J_DIFF(D78,F78)+1</f>
        <v>1</v>
      </c>
      <c r="M78" s="216">
        <v>0</v>
      </c>
      <c r="N78" s="179">
        <v>1</v>
      </c>
      <c r="O78" s="144">
        <f t="shared" ref="O78" si="54">ROUNDDOWN(M78*L78,0)</f>
        <v>0</v>
      </c>
      <c r="P78" s="144">
        <f>VALUE(J_normdate(J_ADDDAY($D78,$O78,1)))</f>
        <v>13990118</v>
      </c>
      <c r="Q78" s="142">
        <f t="shared" ref="Q78" si="55">L78-O78</f>
        <v>1</v>
      </c>
      <c r="R78" s="180"/>
      <c r="IY78" s="4"/>
      <c r="IZ78" s="4"/>
      <c r="JA78" s="90"/>
      <c r="JB78" s="171"/>
      <c r="JC78" s="90"/>
      <c r="JD78" s="170">
        <f>SUM((TEXT(JA78,"[M]")/60)*'Income Person-hours'!$D$3,(TEXT(JB78,"[M]")/60)*'Income Person-hours'!$D$4,(TEXT(JC78,"[M]")/60)*'Income Person-hours'!$D$5)</f>
        <v>0</v>
      </c>
    </row>
    <row r="79" spans="1:16384" s="159" customFormat="1" ht="13.5">
      <c r="A79" s="197">
        <v>7.2</v>
      </c>
      <c r="B79" s="186" t="s">
        <v>73</v>
      </c>
      <c r="C79" s="173" t="s">
        <v>103</v>
      </c>
      <c r="D79" s="189" t="str">
        <f>IF(OR(j_WEEKDAY(J_ADDDAY(VLOOKUP(I79,A:F,6,FALSE),H79,1),0)=6,SUMIFS(Holieday[ok],Holieday[date],J_ADDDAY(VLOOKUP(I79,A:F,6,FALSE),H79,1)))=FALSE(),J_ADDDAY(VLOOKUP(I79,A:F,6,FALSE),H79,1),IF(OR(j_WEEKDAY(J_ADDDAY(VLOOKUP(I79,A:F,6,FALSE),H79+1,1),0)=6,SUMIFS(Holieday[ok],Holieday[date],J_ADDDAY(VLOOKUP(I79,A:F,6,FALSE),H79+1,1)))=FALSE(),J_ADDDAY(VLOOKUP(I79,A:F,6,FALSE),H79+1,1),IF(OR(j_WEEKDAY(J_ADDDAY(VLOOKUP(I79,A:F,6,FALSE),H79+2,1),0)=6,SUMIFS(Holieday[ok],Holieday[date],J_ADDDAY(VLOOKUP(I79,A:F,6,FALSE),H79+2,1)))=FALSE(),J_ADDDAY(VLOOKUP(I79,A:F,6,FALSE),H79+2,1),IF(OR(j_WEEKDAY(J_ADDDAY(VLOOKUP(I79,A:F,6,FALSE),H79+3,1),0)=6,SUMIFS(Holieday[ok],Holieday[date],J_ADDDAY(VLOOKUP(I79,A:F,6,FALSE),H79+3,1)))=FALSE(),J_ADDDAY(VLOOKUP(I79,A:F,6,FALSE),H79+3,1),IF(OR(j_WEEKDAY(J_ADDDAY(VLOOKUP(I79,A:F,6,FALSE),H79+4,1),0)=6,SUMIFS(Holieday[ok],Holieday[date],J_ADDDAY(VLOOKUP(I79,A:F,6,FALSE),H79+4,1)))=FALSE(),J_ADDDAY(VLOOKUP(I79,A:F,6,FALSE),H79+4,1),J_ADDDAY(VLOOKUP(I79,A:F,6,FALSE),H79+5,1))))))</f>
        <v>1399/01/19</v>
      </c>
      <c r="E79" s="136">
        <f t="shared" si="48"/>
        <v>13990119</v>
      </c>
      <c r="F79" s="189" t="str">
        <f>IF(N79=0,J_SUBDAY(D79,1,1)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0,J_SUBDAY(J_ADDDAY(D79,N79,1)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1,J_SUBDAY(J_ADDDAY(D79,N79+1,1)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2,J_SUBDAY(J_ADDDAY(D79,N79+2,1),1,1),J_SUBDAY(J_ADDDAY(D79,N79+3,1),1,1)))))</f>
        <v>1399/01/20</v>
      </c>
      <c r="G79" s="139">
        <f t="shared" si="49"/>
        <v>13990120</v>
      </c>
      <c r="H79" s="175">
        <v>1</v>
      </c>
      <c r="I79" s="176">
        <v>7.1</v>
      </c>
      <c r="J79" s="174">
        <f>j_WEEKDAY(D79,2)</f>
        <v>3</v>
      </c>
      <c r="K79" s="143">
        <f t="shared" si="52"/>
        <v>0</v>
      </c>
      <c r="L79" s="177">
        <f t="shared" si="53"/>
        <v>2</v>
      </c>
      <c r="M79" s="178">
        <v>0</v>
      </c>
      <c r="N79" s="179">
        <v>2</v>
      </c>
      <c r="O79" s="144">
        <f t="shared" ref="O79" si="56">ROUNDDOWN(M79*L79,0)</f>
        <v>0</v>
      </c>
      <c r="P79" s="144">
        <f>VALUE(J_normdate(J_ADDDAY($D79,$O79,1)))</f>
        <v>13990119</v>
      </c>
      <c r="Q79" s="142">
        <f t="shared" ref="Q79" si="57">L79-O79</f>
        <v>2</v>
      </c>
      <c r="R79" s="180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BZ79" s="141"/>
      <c r="CA79" s="141"/>
      <c r="CB79" s="141"/>
      <c r="CC79" s="141"/>
      <c r="CD79" s="141"/>
      <c r="CE79" s="141"/>
      <c r="CF79" s="141"/>
      <c r="CG79" s="141"/>
      <c r="CH79" s="141"/>
      <c r="CI79" s="141"/>
      <c r="CJ79" s="141"/>
      <c r="CK79" s="141"/>
      <c r="CL79" s="141"/>
      <c r="CM79" s="141"/>
      <c r="CN79" s="141"/>
      <c r="CO79" s="141"/>
      <c r="CP79" s="141"/>
      <c r="CQ79" s="141"/>
      <c r="CR79" s="141"/>
      <c r="CS79" s="141"/>
      <c r="CT79" s="141"/>
      <c r="CU79" s="141"/>
      <c r="CV79" s="141"/>
      <c r="CW79" s="141"/>
      <c r="CX79" s="141"/>
      <c r="CY79" s="141"/>
      <c r="CZ79" s="141"/>
      <c r="DA79" s="141"/>
      <c r="DB79" s="141"/>
      <c r="DC79" s="141"/>
      <c r="DD79" s="141"/>
      <c r="DE79" s="141"/>
      <c r="DF79" s="141"/>
      <c r="DG79" s="141"/>
      <c r="DH79" s="141"/>
      <c r="DI79" s="141"/>
      <c r="DJ79" s="141"/>
      <c r="DK79" s="141"/>
      <c r="DL79" s="141"/>
      <c r="DM79" s="141"/>
      <c r="DN79" s="141"/>
      <c r="DO79" s="141"/>
      <c r="DP79" s="141"/>
      <c r="DQ79" s="141"/>
      <c r="DR79" s="141"/>
      <c r="DS79" s="141"/>
      <c r="DT79" s="141"/>
      <c r="DU79" s="141"/>
      <c r="DV79" s="141"/>
      <c r="DW79" s="141"/>
      <c r="DX79" s="141"/>
      <c r="DY79" s="141"/>
      <c r="DZ79" s="141"/>
      <c r="EA79" s="141"/>
      <c r="EB79" s="141"/>
      <c r="EC79" s="141"/>
      <c r="ED79" s="141"/>
      <c r="EE79" s="141"/>
      <c r="EF79" s="141"/>
      <c r="EG79" s="141"/>
      <c r="EH79" s="141"/>
      <c r="EI79" s="141"/>
      <c r="EJ79" s="141"/>
      <c r="EK79" s="141"/>
      <c r="EL79" s="141"/>
      <c r="EM79" s="141"/>
      <c r="EN79" s="141"/>
      <c r="EO79" s="141"/>
      <c r="EP79" s="141"/>
      <c r="EQ79" s="141"/>
      <c r="ER79" s="141"/>
      <c r="ES79" s="141"/>
      <c r="ET79" s="141"/>
      <c r="EU79" s="141"/>
      <c r="EV79" s="141"/>
      <c r="EW79" s="141"/>
      <c r="EX79" s="141"/>
      <c r="EY79" s="141"/>
      <c r="EZ79" s="141"/>
      <c r="FA79" s="141"/>
      <c r="FB79" s="141"/>
      <c r="FC79" s="141"/>
      <c r="FD79" s="141"/>
      <c r="FE79" s="141"/>
      <c r="FF79" s="141"/>
      <c r="FG79" s="141"/>
      <c r="FH79" s="141"/>
      <c r="FI79" s="141"/>
      <c r="FJ79" s="141"/>
      <c r="FK79" s="141"/>
      <c r="FL79" s="141"/>
      <c r="FM79" s="141"/>
      <c r="FN79" s="141"/>
      <c r="FO79" s="141"/>
      <c r="FP79" s="141"/>
      <c r="FQ79" s="141"/>
      <c r="FR79" s="141"/>
      <c r="FS79" s="141"/>
      <c r="FT79" s="141"/>
      <c r="FU79" s="141"/>
      <c r="FV79" s="141"/>
      <c r="FW79" s="141"/>
      <c r="FX79" s="141"/>
      <c r="FY79" s="141"/>
      <c r="FZ79" s="141"/>
      <c r="GA79" s="141"/>
      <c r="GB79" s="141"/>
      <c r="GC79" s="141"/>
      <c r="GD79" s="141"/>
      <c r="GE79" s="141"/>
      <c r="GF79" s="141"/>
      <c r="GG79" s="141"/>
      <c r="GH79" s="141"/>
      <c r="GI79" s="141"/>
      <c r="GJ79" s="141"/>
      <c r="GK79" s="141"/>
      <c r="GL79" s="141"/>
      <c r="GM79" s="141"/>
      <c r="GN79" s="141"/>
      <c r="GO79" s="141"/>
      <c r="GP79" s="141"/>
      <c r="GQ79" s="141"/>
      <c r="GR79" s="141"/>
      <c r="GS79" s="141"/>
      <c r="GT79" s="141"/>
      <c r="GU79" s="141"/>
      <c r="GV79" s="141"/>
      <c r="GW79" s="141"/>
      <c r="GX79" s="141"/>
      <c r="GY79" s="141"/>
      <c r="GZ79" s="141"/>
      <c r="HA79" s="141"/>
      <c r="HB79" s="141"/>
      <c r="HC79" s="141"/>
      <c r="HD79" s="141"/>
      <c r="HE79" s="141"/>
      <c r="HF79" s="141"/>
      <c r="HG79" s="141"/>
      <c r="HH79" s="141"/>
      <c r="HI79" s="141"/>
      <c r="HJ79" s="141"/>
      <c r="HK79" s="141"/>
      <c r="HL79" s="141"/>
      <c r="HM79" s="141"/>
      <c r="HN79" s="141"/>
      <c r="HO79" s="141"/>
      <c r="HP79" s="141"/>
      <c r="HQ79" s="141"/>
      <c r="HR79" s="141"/>
      <c r="HS79" s="141"/>
      <c r="HT79" s="141"/>
      <c r="HU79" s="141"/>
      <c r="HV79" s="141"/>
      <c r="HW79" s="141"/>
      <c r="HX79" s="141"/>
      <c r="HY79" s="141"/>
      <c r="HZ79" s="141"/>
      <c r="IA79" s="141"/>
      <c r="IB79" s="141"/>
      <c r="IC79" s="141"/>
      <c r="ID79" s="141"/>
      <c r="IE79" s="141"/>
      <c r="IF79" s="141"/>
      <c r="IG79" s="141"/>
      <c r="IH79" s="141"/>
      <c r="II79" s="141"/>
      <c r="IJ79" s="141"/>
      <c r="IK79" s="141"/>
      <c r="IL79" s="141"/>
      <c r="IM79" s="141"/>
      <c r="IN79" s="141"/>
      <c r="IO79" s="141"/>
      <c r="IP79" s="141"/>
      <c r="IQ79" s="141"/>
      <c r="IR79" s="141"/>
      <c r="IS79" s="141"/>
      <c r="IT79" s="141"/>
      <c r="IU79" s="141"/>
      <c r="IV79" s="141"/>
      <c r="IW79" s="141"/>
      <c r="IX79" s="141"/>
      <c r="IY79" s="7"/>
      <c r="IZ79" s="7"/>
      <c r="JA79" s="92"/>
      <c r="JB79" s="94"/>
      <c r="JC79" s="93"/>
      <c r="JD79" s="160">
        <f>SUM((TEXT(JA79,"[M]")/60)*'Income Person-hours'!$D$3,(TEXT(JB79,"[M]")/60)*'Income Person-hours'!$D$4,(TEXT(JC79,"[M]")/60)*'Income Person-hours'!$D$5)</f>
        <v>0</v>
      </c>
    </row>
    <row r="82" spans="2:2" ht="131.25">
      <c r="B82" s="239" t="s">
        <v>148</v>
      </c>
    </row>
  </sheetData>
  <sheetProtection selectLockedCells="1"/>
  <mergeCells count="50">
    <mergeCell ref="HZ6:ID6"/>
    <mergeCell ref="GQ6:GU6"/>
    <mergeCell ref="GV6:GZ6"/>
    <mergeCell ref="HA6:HE6"/>
    <mergeCell ref="HF6:HJ6"/>
    <mergeCell ref="HK6:HO6"/>
    <mergeCell ref="HP6:HT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</mergeCells>
  <phoneticPr fontId="2" type="noConversion"/>
  <conditionalFormatting sqref="S10:IX17 O18:IR18 S20:IX58 P73:IX73 P77:IX77 S60:IX76 S78:IX79">
    <cfRule type="expression" dxfId="8" priority="190" stopIfTrue="1">
      <formula>O$4=$D$3</formula>
    </cfRule>
    <cfRule type="expression" dxfId="7" priority="191" stopIfTrue="1">
      <formula>AND(O$4&gt;=$E10,O$4&lt;$P10)</formula>
    </cfRule>
    <cfRule type="expression" dxfId="6" priority="192" stopIfTrue="1">
      <formula>AND(O$4&gt;=$E10,O$4&lt;=$G10)</formula>
    </cfRule>
  </conditionalFormatting>
  <conditionalFormatting sqref="S9:IX9 S19:IX19 R29:IW29 S59:IX59 S66:IX66 P73:IX73 P77:IX77">
    <cfRule type="expression" dxfId="5" priority="208" stopIfTrue="1">
      <formula>P$4=$D$3</formula>
    </cfRule>
    <cfRule type="expression" dxfId="4" priority="209" stopIfTrue="1">
      <formula>AND(P$4&gt;=$E9,P$4&lt;$P9)</formula>
    </cfRule>
    <cfRule type="expression" dxfId="3" priority="210" stopIfTrue="1">
      <formula>AND(P$4&gt;=$E9,P$4&lt;=$G9)</formula>
    </cfRule>
  </conditionalFormatting>
  <conditionalFormatting sqref="S8:IX8">
    <cfRule type="expression" dxfId="2" priority="253">
      <formula>S$4=$D$3</formula>
    </cfRule>
    <cfRule type="expression" dxfId="1" priority="254">
      <formula>AND(S$4&gt;=$E8,S$4&lt;$P8)</formula>
    </cfRule>
    <cfRule type="expression" dxfId="0" priority="255">
      <formula>AND(S$4&gt;=$E8,S$4&lt;=$G8)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0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ColWidth="9.140625" defaultRowHeight="14.25"/>
  <cols>
    <col min="1" max="1" width="8" style="22" bestFit="1" customWidth="1"/>
    <col min="2" max="2" width="18.5703125" style="22" bestFit="1" customWidth="1"/>
    <col min="3" max="3" width="12.140625" style="23" bestFit="1" customWidth="1"/>
    <col min="4" max="4" width="17.5703125" style="32" bestFit="1" customWidth="1"/>
    <col min="5" max="5" width="5.42578125" style="22" bestFit="1" customWidth="1"/>
    <col min="6" max="6" width="17.5703125" style="22" bestFit="1" customWidth="1"/>
    <col min="7" max="7" width="21.140625" style="56" bestFit="1" customWidth="1"/>
    <col min="8" max="8" width="9.140625" style="46"/>
    <col min="9" max="9" width="14.85546875" style="46" bestFit="1" customWidth="1"/>
    <col min="10" max="16384" width="9.140625" style="22"/>
  </cols>
  <sheetData>
    <row r="1" spans="1:14">
      <c r="A1" s="312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و زیر پورتال های بانک اقتصاد نوین</v>
      </c>
      <c r="B1" s="312"/>
      <c r="C1" s="312"/>
      <c r="D1" s="312"/>
      <c r="E1" s="312"/>
      <c r="F1" s="312"/>
      <c r="G1" s="312"/>
    </row>
    <row r="2" spans="1:14">
      <c r="A2" s="42" t="s">
        <v>46</v>
      </c>
      <c r="B2" s="320" t="s">
        <v>45</v>
      </c>
      <c r="C2" s="321"/>
      <c r="D2" s="322" t="s">
        <v>47</v>
      </c>
      <c r="E2" s="323"/>
      <c r="F2" s="44" t="s">
        <v>70</v>
      </c>
      <c r="G2" s="42" t="s">
        <v>62</v>
      </c>
    </row>
    <row r="3" spans="1:14">
      <c r="A3" s="42">
        <v>1</v>
      </c>
      <c r="B3" s="320" t="s">
        <v>48</v>
      </c>
      <c r="C3" s="321"/>
      <c r="D3" s="324">
        <v>1200000</v>
      </c>
      <c r="E3" s="325"/>
      <c r="F3" s="166">
        <v>137600000</v>
      </c>
      <c r="G3" s="60">
        <f>D3*128</f>
        <v>153600000</v>
      </c>
    </row>
    <row r="4" spans="1:14">
      <c r="A4" s="42">
        <v>2</v>
      </c>
      <c r="B4" s="320" t="s">
        <v>49</v>
      </c>
      <c r="C4" s="321"/>
      <c r="D4" s="324">
        <v>916000</v>
      </c>
      <c r="E4" s="325"/>
      <c r="F4" s="166">
        <v>115200000</v>
      </c>
      <c r="G4" s="60">
        <f>D4*128</f>
        <v>117248000</v>
      </c>
    </row>
    <row r="5" spans="1:14">
      <c r="A5" s="42">
        <v>3</v>
      </c>
      <c r="B5" s="320" t="s">
        <v>50</v>
      </c>
      <c r="C5" s="321"/>
      <c r="D5" s="324">
        <v>555000</v>
      </c>
      <c r="E5" s="325"/>
      <c r="F5" s="166">
        <v>87900000</v>
      </c>
      <c r="G5" s="60">
        <f>D5*128</f>
        <v>71040000</v>
      </c>
    </row>
    <row r="7" spans="1:14">
      <c r="A7" s="313" t="str">
        <f>CONCATENATE("گزارش مدیریتی ",GanttChart!B8)</f>
        <v>گزارش مدیریتی طراحی و پیاده سازی پورتال اینترنتی و زیر پورتال های بانک اقتصاد نوین</v>
      </c>
      <c r="B7" s="313"/>
      <c r="C7" s="313"/>
      <c r="D7" s="313"/>
      <c r="E7" s="313"/>
      <c r="F7" s="313"/>
      <c r="G7" s="313"/>
    </row>
    <row r="8" spans="1:14">
      <c r="A8" s="314" t="s">
        <v>52</v>
      </c>
      <c r="B8" s="315"/>
      <c r="C8" s="39" t="s">
        <v>53</v>
      </c>
      <c r="D8" s="83" t="str">
        <f>D2</f>
        <v>هزینه نفر ساعت</v>
      </c>
      <c r="E8" s="35" t="s">
        <v>54</v>
      </c>
      <c r="F8" s="84" t="str">
        <f>F2</f>
        <v>هزینه نفر ماه (قرارداد)</v>
      </c>
      <c r="G8" s="61" t="str">
        <f>G2</f>
        <v>هزینه نفر ماه (ماه * 128)</v>
      </c>
      <c r="H8" s="45"/>
      <c r="I8" s="45"/>
      <c r="J8" s="14"/>
      <c r="M8" s="33"/>
      <c r="N8" s="8"/>
    </row>
    <row r="9" spans="1:14">
      <c r="A9" s="38">
        <v>1</v>
      </c>
      <c r="B9" s="39" t="str">
        <f>VLOOKUP(A9,A2:D5,2,FALSE)</f>
        <v>مدیریت پروژه</v>
      </c>
      <c r="C9" s="36">
        <f>SUM(GanttChart!JA:JA)</f>
        <v>0</v>
      </c>
      <c r="D9" s="40">
        <f>(TEXT(C9,"[M]")/60)*VLOOKUP(A9,'Income Person-hours'!$A$2:$G$5,4,FALSE)</f>
        <v>0</v>
      </c>
      <c r="E9" s="37">
        <f>ROUNDUP((TEXT(C9,"[m]")/60)/160,1)</f>
        <v>0</v>
      </c>
      <c r="F9" s="41">
        <f>VLOOKUP(A9,'Income Person-hours'!$A$2:$G$5,6,FALSE)*E9</f>
        <v>0</v>
      </c>
      <c r="G9" s="58">
        <f>VLOOKUP(A9,'Income Person-hours'!$A$2:$G$5,7,FALSE)*E9</f>
        <v>0</v>
      </c>
      <c r="H9" s="45"/>
      <c r="I9" s="45"/>
      <c r="J9" s="14"/>
      <c r="M9" s="34"/>
      <c r="N9" s="34"/>
    </row>
    <row r="10" spans="1:14">
      <c r="A10" s="38">
        <v>2</v>
      </c>
      <c r="B10" s="39" t="str">
        <f>VLOOKUP(A10,A3:D6,2,FALSE)</f>
        <v>کارشناس ارشد تحلیل</v>
      </c>
      <c r="C10" s="36">
        <f>SUM(GanttChart!JB:JB)</f>
        <v>0</v>
      </c>
      <c r="D10" s="40">
        <f>(TEXT(C10,"[M]")/60)*VLOOKUP(A10,'Income Person-hours'!$A$2:$G$5,4,FALSE)</f>
        <v>0</v>
      </c>
      <c r="E10" s="37">
        <f>ROUNDUP((TEXT(C10,"[m]")/60)/160,1)</f>
        <v>0</v>
      </c>
      <c r="F10" s="41">
        <f>VLOOKUP(A10,'Income Person-hours'!$A$2:$G$5,6,FALSE)*E10</f>
        <v>0</v>
      </c>
      <c r="G10" s="58">
        <f>VLOOKUP(A10,'Income Person-hours'!$A$2:$G$5,7,FALSE)*E10</f>
        <v>0</v>
      </c>
      <c r="H10" s="45"/>
      <c r="I10" s="85"/>
      <c r="J10" s="14"/>
      <c r="M10" s="34"/>
      <c r="N10" s="34"/>
    </row>
    <row r="11" spans="1:14">
      <c r="A11" s="38">
        <v>3</v>
      </c>
      <c r="B11" s="39" t="str">
        <f>VLOOKUP(A11,A4:D8,2,FALSE)</f>
        <v>کارشناس توسعه و پیاده سازی</v>
      </c>
      <c r="C11" s="36">
        <f>SUM(GanttChart!JC:JC)</f>
        <v>0</v>
      </c>
      <c r="D11" s="40">
        <f>(TEXT(C11,"[M]")/60)*VLOOKUP(A11,'Income Person-hours'!$A$2:$G$5,4,FALSE)</f>
        <v>0</v>
      </c>
      <c r="E11" s="37">
        <f>ROUNDUP((TEXT(C11,"[m]")/60)/160,1)</f>
        <v>0</v>
      </c>
      <c r="F11" s="41">
        <f>VLOOKUP(A11,'Income Person-hours'!$A$2:$G$5,6,FALSE)*E11</f>
        <v>0</v>
      </c>
      <c r="G11" s="58">
        <f>VLOOKUP(A11,'Income Person-hours'!$A$2:$G$5,7,FALSE)*E11</f>
        <v>0</v>
      </c>
      <c r="H11" s="47"/>
      <c r="I11" s="45"/>
      <c r="J11" s="14"/>
      <c r="M11" s="34"/>
      <c r="N11" s="34"/>
    </row>
    <row r="12" spans="1:14" ht="15">
      <c r="A12" s="316" t="s">
        <v>51</v>
      </c>
      <c r="B12" s="317"/>
      <c r="C12" s="48">
        <f>SUM(C9:C11)</f>
        <v>0</v>
      </c>
      <c r="D12" s="49">
        <f>SUM(D9:D11)</f>
        <v>0</v>
      </c>
      <c r="E12" s="50">
        <f>SUM(E9:E11)</f>
        <v>0</v>
      </c>
      <c r="F12" s="49">
        <f>SUM(F9:F11)</f>
        <v>0</v>
      </c>
      <c r="G12" s="59">
        <f>SUM(G9:G11)</f>
        <v>0</v>
      </c>
      <c r="H12" s="45"/>
      <c r="I12" s="45"/>
      <c r="J12" s="14"/>
      <c r="M12" s="33"/>
      <c r="N12" s="33"/>
    </row>
    <row r="13" spans="1:14" ht="15">
      <c r="A13" s="318" t="s">
        <v>57</v>
      </c>
      <c r="B13" s="318"/>
      <c r="C13" s="51" t="str">
        <f>GanttChart!D8</f>
        <v>1398/10/01</v>
      </c>
      <c r="D13" s="319" t="s">
        <v>58</v>
      </c>
      <c r="E13" s="319"/>
      <c r="F13" s="52" t="str">
        <f>GanttChart!F8</f>
        <v>1399/01/20</v>
      </c>
      <c r="G13" s="57" t="s">
        <v>63</v>
      </c>
    </row>
    <row r="14" spans="1:14" ht="15">
      <c r="A14" s="42" t="s">
        <v>59</v>
      </c>
      <c r="B14" s="53" t="str">
        <f>CONCATENATE(GanttChart!L8," روز ")</f>
        <v xml:space="preserve">109 روز </v>
      </c>
      <c r="C14" s="43" t="s">
        <v>60</v>
      </c>
      <c r="D14" s="53" t="str">
        <f>CONCATENATE(GanttChart!N8," روز کاری")</f>
        <v>90 روز کاری</v>
      </c>
      <c r="E14" s="42" t="s">
        <v>61</v>
      </c>
      <c r="F14" s="53" t="str">
        <f>CONCATENATE(ROUND(GanttChart!L8/7,0)," هفته")</f>
        <v>16 هفته</v>
      </c>
      <c r="G14" s="53" t="str">
        <f>CONCATENATE(ROUNDUP((TEXT(C12,"[M]")/60)/6,0)," نفر روز")</f>
        <v>0 نفر روز</v>
      </c>
    </row>
    <row r="15" spans="1:14">
      <c r="C15" s="86"/>
    </row>
    <row r="17" spans="2:2" ht="15">
      <c r="B17" s="55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34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35"/>
      <c r="H3" s="337"/>
      <c r="I3" s="339"/>
      <c r="J3" s="3"/>
      <c r="K3" s="3"/>
      <c r="L3" s="3"/>
      <c r="M3" s="3"/>
      <c r="N3" s="3"/>
      <c r="O3" s="3"/>
    </row>
    <row r="4" spans="1:15" ht="14.25" hidden="1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IFERROR(VLOOKUP($A4,GanttChart!$A:$JD,261,FALSE),0)</f>
        <v>0</v>
      </c>
      <c r="E4" s="68">
        <f>IFERROR(VLOOKUP($A4,GanttChart!$A:$JD,262,FALSE),0)</f>
        <v>0</v>
      </c>
      <c r="F4" s="68">
        <f>IFERROR(VLOOKUP($A4,GanttChart!$A:$JD,263,FALSE),0)</f>
        <v>0</v>
      </c>
      <c r="G4" s="69">
        <f>IFERROR(VLOOKUP($A4,GanttChart!$A:$JD,264,FALSE),0)</f>
        <v>0</v>
      </c>
      <c r="H4" s="167"/>
      <c r="I4" s="69">
        <f>G4-(H4*G4)</f>
        <v>0</v>
      </c>
      <c r="J4" s="3"/>
      <c r="K4" s="3"/>
      <c r="L4" s="3"/>
      <c r="M4" s="3"/>
      <c r="N4" s="3"/>
      <c r="O4" s="3"/>
    </row>
    <row r="5" spans="1:15" ht="14.25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167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167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167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167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>
      <c r="A9" s="62">
        <v>1.5</v>
      </c>
      <c r="B9" s="62"/>
      <c r="C9" s="67" t="str">
        <f>IFERROR(VLOOKUP($A9,GanttChart!$A:$JD,2,FALSE),"خطا")</f>
        <v>جلسه دوم پروژه (بررسی واسط کاربری)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167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>
      <c r="A10" s="62">
        <v>1.6</v>
      </c>
      <c r="B10" s="62"/>
      <c r="C10" s="67" t="str">
        <f>IFERROR(VLOOKUP($A10,GanttChart!$A:$JD,2,FALSE),"خطا")</f>
        <v>جلسه سوم (نهایی سازی واسط کاربری)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167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>
      <c r="A11" s="62">
        <v>1.7</v>
      </c>
      <c r="B11" s="62"/>
      <c r="C11" s="67" t="str">
        <f>IFERROR(VLOOKUP($A11,GanttChart!$A:$JD,2,FALSE),"خطا")</f>
        <v>جلسه چهارم (بررسی سامانه سهامداران)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167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>
      <c r="A12" s="62">
        <v>1.8</v>
      </c>
      <c r="B12" s="62"/>
      <c r="C12" s="67" t="str">
        <f>IFERROR(VLOOKUP($A12,GanttChart!$A:$JD,2,FALSE),"خطا")</f>
        <v>پرداخت پیش پرداخت قرارداد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167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167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167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167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167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167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167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167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167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167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167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167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167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167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 hidden="1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IFERROR(VLOOKUP($A26,GanttChart!$A:$JD,261,FALSE),0)</f>
        <v>0</v>
      </c>
      <c r="E26" s="68">
        <f>IFERROR(VLOOKUP($A26,GanttChart!$A:$JD,262,FALSE),0)</f>
        <v>0</v>
      </c>
      <c r="F26" s="68">
        <f>IFERROR(VLOOKUP($A26,GanttChart!$A:$JD,263,FALSE),0)</f>
        <v>0</v>
      </c>
      <c r="G26" s="69">
        <f>IFERROR(VLOOKUP($A26,GanttChart!$A:$JD,264,FALSE),0)</f>
        <v>0</v>
      </c>
      <c r="H26" s="167"/>
      <c r="I26" s="69">
        <f t="shared" si="0"/>
        <v>0</v>
      </c>
      <c r="J26" s="3"/>
      <c r="K26" s="3"/>
      <c r="L26" s="3"/>
      <c r="M26" s="3"/>
      <c r="N26" s="3"/>
      <c r="O26" s="3"/>
    </row>
    <row r="27" spans="1:15" ht="22.5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167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167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167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167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167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167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167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14.2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167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167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14.25" hidden="1">
      <c r="A36" s="62">
        <v>2.11</v>
      </c>
      <c r="B36" s="62"/>
      <c r="C36" s="67" t="str">
        <f>IFERROR(VLOOKUP($A36,GanttChart!$A:$JD,2,FALSE),"خطا")</f>
        <v>خطا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167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خطا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167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خطا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167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167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167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167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167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167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167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167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167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167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 hidden="1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IFERROR(VLOOKUP($A48,GanttChart!$A:$JD,261,FALSE),0)</f>
        <v>0</v>
      </c>
      <c r="E48" s="68">
        <f>IFERROR(VLOOKUP($A48,GanttChart!$A:$JD,262,FALSE),0)</f>
        <v>0</v>
      </c>
      <c r="F48" s="68">
        <f>IFERROR(VLOOKUP($A48,GanttChart!$A:$JD,263,FALSE),0)</f>
        <v>0</v>
      </c>
      <c r="G48" s="69">
        <f>IFERROR(VLOOKUP($A48,GanttChart!$A:$JD,264,FALSE),0)</f>
        <v>0</v>
      </c>
      <c r="H48" s="167"/>
      <c r="I48" s="69">
        <f t="shared" si="0"/>
        <v>0</v>
      </c>
      <c r="J48" s="3"/>
      <c r="K48" s="3"/>
      <c r="L48" s="3"/>
      <c r="M48" s="3"/>
      <c r="N48" s="3"/>
      <c r="O48" s="3"/>
    </row>
    <row r="49" spans="1:15" ht="14.25">
      <c r="A49" s="62">
        <v>3.1</v>
      </c>
      <c r="B49" s="62"/>
      <c r="C49" s="67" t="str">
        <f>IFERROR(VLOOKUP($A49,GanttChart!$A:$JD,2,FALSE),"خطا")</f>
        <v xml:space="preserve">ارائه پرسش نامه های نیازسنجی محتوایی و گرافیکی 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167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14.25" hidden="1">
      <c r="A50" s="62">
        <v>3.2</v>
      </c>
      <c r="B50" s="62"/>
      <c r="C50" s="67" t="str">
        <f>IFERROR(VLOOKUP($A50,GanttChart!$A:$JD,2,FALSE),"خطا")</f>
        <v>تدوین سند شناخت وضع جاری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167"/>
      <c r="I50" s="69">
        <f t="shared" si="0"/>
        <v>0</v>
      </c>
    </row>
    <row r="51" spans="1:15" ht="22.5">
      <c r="A51" s="62">
        <v>3.3</v>
      </c>
      <c r="B51" s="62"/>
      <c r="C51" s="67" t="str">
        <f>IFERROR(VLOOKUP($A51,GanttChart!$A:$JD,2,FALSE),"خطا")</f>
        <v>تکمیل پرسش نامه های نیاز سنجی محتوایی و گرافیکی  پورتال اصلی (فارسی)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167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تکمیل پرسش نامه های نیاز سنجی محتوایی پورتال نمایندگان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167"/>
      <c r="I52" s="69">
        <f t="shared" si="0"/>
        <v>0</v>
      </c>
    </row>
    <row r="53" spans="1:15" ht="22.5">
      <c r="A53" s="62">
        <v>3.5</v>
      </c>
      <c r="B53" s="62"/>
      <c r="C53" s="67" t="str">
        <f>IFERROR(VLOOKUP($A53,GanttChart!$A:$JD,2,FALSE),"خطا")</f>
        <v>تکمیل پرسش نامه های نیاز سنجی محتوایی پورتال بیمه عمر و سرمایه گزاری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167"/>
      <c r="I53" s="69">
        <f t="shared" si="0"/>
        <v>0</v>
      </c>
    </row>
    <row r="54" spans="1:15" ht="14.25">
      <c r="A54" s="62">
        <v>3.6</v>
      </c>
      <c r="B54" s="62"/>
      <c r="C54" s="67" t="str">
        <f>IFERROR(VLOOKUP($A54,GanttChart!$A:$JD,2,FALSE),"خطا")</f>
        <v>تکمیل پرسش نامه های نیاز سنجی محتوایی پورتال  بیمه مسافرتی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167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تکمیل پرسش نامه های نیاز سنجی محتوایی پورتال سهامداران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167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جمع بندی نيازمنديهای فرايند شناخت و تدوین سند معماری محتوا (تدریجی)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167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 xml:space="preserve"> بررسی و تایید مستند معماری محتوا توسط کارفرما (تدریجی)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167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ارائه یک قالب گرافیکی  فارسی  برای زیر پورتال اینترنتی(فارسی)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167"/>
      <c r="I58" s="69">
        <f t="shared" si="0"/>
        <v>0</v>
      </c>
    </row>
    <row r="59" spans="1:15" ht="22.5" hidden="1">
      <c r="A59" s="62">
        <v>3.12</v>
      </c>
      <c r="B59" s="62"/>
      <c r="C59" s="67" t="str">
        <f>IFERROR(VLOOKUP($A59,GanttChart!$A:$JD,2,FALSE),"خطا")</f>
        <v>نهایی سازی قالب گرافیکی  برای پورتال اینترنتی مطابق نظر کارفرما (اعلام نظر کارفرما: 3 روز کاری، نهایی سازی: 2 روزکاری)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167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ارائه سر صفحه اختصاصی زیر پورتال نمایندگان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167"/>
      <c r="I60" s="69">
        <f t="shared" si="0"/>
        <v>0</v>
      </c>
    </row>
    <row r="61" spans="1:15" ht="22.5" hidden="1">
      <c r="A61" s="62">
        <v>3.14</v>
      </c>
      <c r="B61" s="62"/>
      <c r="C61" s="67" t="str">
        <f>IFERROR(VLOOKUP($A61,GanttChart!$A:$JD,2,FALSE),"خطا")</f>
        <v>نهایی سازی سر صفحه اختصاصی زیر پورتال نمایندگان مطابق نظر کارفرما (اعلام نظر کارفرما: 1 روز کاری  و نهایی سازی: 2 روزکاری)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167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ارائه سر صفحه اختصاصی زیر پورتال بیمه عمر و سرمایه گزاری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167"/>
      <c r="I62" s="69">
        <f t="shared" si="0"/>
        <v>0</v>
      </c>
    </row>
    <row r="63" spans="1:15" ht="33.75" hidden="1">
      <c r="A63" s="62">
        <v>3.16</v>
      </c>
      <c r="B63" s="62"/>
      <c r="C63" s="67" t="str">
        <f>IFERROR(VLOOKUP($A63,GanttChart!$A:$JD,2,FALSE),"خطا")</f>
        <v>نهایی سازی سر صفحه اختصاصی زیر پورتال بیمه عمر و سرمایه گزاری مطابق نظر کارفرما (اعلام نظر کارفرما : 1 روز کاری و  نهایی سازی: 2 روزکاری)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167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ارائه سر صفحه اختصاصی زیر پورتال بیمه مسافرتی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167"/>
      <c r="I64" s="69">
        <f t="shared" si="0"/>
        <v>0</v>
      </c>
    </row>
    <row r="65" spans="1:9" ht="22.5" hidden="1">
      <c r="A65" s="62">
        <v>3.18</v>
      </c>
      <c r="B65" s="62"/>
      <c r="C65" s="67" t="str">
        <f>IFERROR(VLOOKUP($A65,GanttChart!$A:$JD,2,FALSE),"خطا")</f>
        <v>نهایی سازی سر صفحه اختصاصی زیر پورتال بیمه مسافرتی مطابق نظر کارفرما (اعلام نظر کارفرما و نهایی سازی: 2 روزکاری)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167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 xml:space="preserve">ارائه سر صفحه اختصاصی برای زیر پورتال سهامداران 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167"/>
      <c r="I66" s="69">
        <f t="shared" si="0"/>
        <v>0</v>
      </c>
    </row>
    <row r="67" spans="1:9" ht="22.5" hidden="1">
      <c r="A67" s="62">
        <v>3.21</v>
      </c>
      <c r="B67" s="62"/>
      <c r="C67" s="67" t="str">
        <f>IFERROR(VLOOKUP($A67,GanttChart!$A:$JD,2,FALSE),"خطا")</f>
        <v>نهایی سازی سر صفحه اختصاصی  برای زیر پورتال سهامداران مطابق نظر کارفرما (اعلام نظر کارفرما : 1 روز کاری و نهایی سازی: 2 روزکاری)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167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راه اندازی کامل زیرپورتال اینترنتی (نسخه فارسی)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167"/>
      <c r="I68" s="69">
        <f t="shared" si="0"/>
        <v>0</v>
      </c>
    </row>
    <row r="69" spans="1:9" ht="22.5" hidden="1">
      <c r="A69" s="62">
        <v>3.23</v>
      </c>
      <c r="B69" s="62"/>
      <c r="C69" s="67" t="str">
        <f>IFERROR(VLOOKUP($A69,GanttChart!$A:$JD,2,FALSE),"خطا")</f>
        <v>تحویل راه اندازی کامل زیر پورتال اینترنتی (نسخه فارسی)  (1 روز تست پیمانکار ، 2 روز تست  کارفرما)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167"/>
      <c r="I69" s="69">
        <f t="shared" si="0"/>
        <v>0</v>
      </c>
    </row>
    <row r="70" spans="1:9" ht="14.25" hidden="1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IFERROR(VLOOKUP($A70,GanttChart!$A:$JD,261,FALSE),0)</f>
        <v>0</v>
      </c>
      <c r="E70" s="68">
        <f>IFERROR(VLOOKUP($A70,GanttChart!$A:$JD,262,FALSE),0)</f>
        <v>0</v>
      </c>
      <c r="F70" s="68">
        <f>IFERROR(VLOOKUP($A70,GanttChart!$A:$JD,263,FALSE),0)</f>
        <v>0</v>
      </c>
      <c r="G70" s="69">
        <f>IFERROR(VLOOKUP($A70,GanttChart!$A:$JD,264,FALSE),0)</f>
        <v>0</v>
      </c>
      <c r="H70" s="167"/>
      <c r="I70" s="69">
        <f t="shared" si="0"/>
        <v>0</v>
      </c>
    </row>
    <row r="71" spans="1:9" ht="14.25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167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167"/>
      <c r="I72" s="69">
        <f t="shared" si="0"/>
        <v>0</v>
      </c>
    </row>
    <row r="73" spans="1:9" ht="14.25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167"/>
      <c r="I73" s="69">
        <f t="shared" si="0"/>
        <v>0</v>
      </c>
    </row>
    <row r="74" spans="1:9" ht="14.25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167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راهبر زیر پورتال (4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167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برگزاری جلسات آموزش زیر ساخت توسعه پذیری نرم افزار (6 ساعت)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167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167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167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167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167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167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167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167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167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167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167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167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167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167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167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167"/>
      <c r="I91" s="69">
        <f t="shared" si="0"/>
        <v>0</v>
      </c>
    </row>
    <row r="92" spans="1:12" ht="14.25" hidden="1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IFERROR(VLOOKUP($A92,GanttChart!$A:$JD,261,FALSE),0)</f>
        <v>0</v>
      </c>
      <c r="E92" s="68">
        <f>IFERROR(VLOOKUP($A92,GanttChart!$A:$JD,262,FALSE),0)</f>
        <v>0</v>
      </c>
      <c r="F92" s="68">
        <f>IFERROR(VLOOKUP($A92,GanttChart!$A:$JD,263,FALSE),0)</f>
        <v>0</v>
      </c>
      <c r="G92" s="69">
        <f>IFERROR(VLOOKUP($A92,GanttChart!$A:$JD,264,FALSE),0)</f>
        <v>0</v>
      </c>
      <c r="H92" s="167"/>
      <c r="I92" s="69">
        <f t="shared" si="0"/>
        <v>0</v>
      </c>
    </row>
    <row r="93" spans="1:12" ht="14.25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167"/>
      <c r="I93" s="69">
        <f t="shared" si="0"/>
        <v>0</v>
      </c>
      <c r="K93" s="66"/>
      <c r="L93" s="72"/>
    </row>
    <row r="94" spans="1:12" ht="14.25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167"/>
      <c r="I94" s="69">
        <f t="shared" si="0"/>
        <v>0</v>
      </c>
    </row>
    <row r="95" spans="1:12" ht="14.25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167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167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167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167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167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167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167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167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167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167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167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167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167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167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167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167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167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167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167"/>
      <c r="I113" s="69">
        <f t="shared" si="0"/>
        <v>0</v>
      </c>
    </row>
    <row r="114" spans="1:9" ht="14.25" hidden="1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IFERROR(VLOOKUP($A114,GanttChart!$A:$JD,261,FALSE),0)</f>
        <v>0</v>
      </c>
      <c r="E114" s="68">
        <f>IFERROR(VLOOKUP($A114,GanttChart!$A:$JD,262,FALSE),0)</f>
        <v>0</v>
      </c>
      <c r="F114" s="68">
        <f>IFERROR(VLOOKUP($A114,GanttChart!$A:$JD,263,FALSE),0)</f>
        <v>0</v>
      </c>
      <c r="G114" s="69">
        <f>IFERROR(VLOOKUP($A114,GanttChart!$A:$JD,264,FALSE),0)</f>
        <v>0</v>
      </c>
      <c r="H114" s="167"/>
      <c r="I114" s="69">
        <f t="shared" si="0"/>
        <v>0</v>
      </c>
    </row>
    <row r="115" spans="1:9" ht="22.5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167"/>
      <c r="I115" s="69">
        <f t="shared" si="0"/>
        <v>0</v>
      </c>
    </row>
    <row r="116" spans="1:9" ht="14.25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167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167"/>
      <c r="I117" s="69">
        <f t="shared" si="0"/>
        <v>0</v>
      </c>
    </row>
    <row r="118" spans="1:9" ht="14.25">
      <c r="A118" s="62">
        <v>6.4</v>
      </c>
      <c r="C118" s="67" t="str">
        <f>IFERROR(VLOOKUP($A118,GanttChart!$A:$JD,2,FALSE),"خطا")</f>
        <v>خطا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167"/>
      <c r="I118" s="69">
        <f t="shared" si="0"/>
        <v>0</v>
      </c>
    </row>
    <row r="119" spans="1:9" ht="14.25">
      <c r="A119" s="62">
        <v>6.5</v>
      </c>
      <c r="C119" s="67" t="str">
        <f>IFERROR(VLOOKUP($A119,GanttChart!$A:$JD,2,FALSE),"خطا")</f>
        <v>خطا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167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167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167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167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167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167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167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167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167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167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167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167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167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167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167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167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167"/>
      <c r="I135" s="69">
        <f t="shared" si="0"/>
        <v>0</v>
      </c>
    </row>
    <row r="136" spans="1:9" ht="14.25" hidden="1">
      <c r="A136" s="62">
        <v>7</v>
      </c>
      <c r="C136" s="67" t="str">
        <f>IFERROR(VLOOKUP($A136,GanttChart!$A:$JD,2,FALSE),"خطا")</f>
        <v>تحویل نهايي دستاوردهای پروژه</v>
      </c>
      <c r="D136" s="68">
        <f>IFERROR(VLOOKUP($A136,GanttChart!$A:$JD,261,FALSE),0)</f>
        <v>0</v>
      </c>
      <c r="E136" s="68">
        <f>IFERROR(VLOOKUP($A136,GanttChart!$A:$JD,262,FALSE),0)</f>
        <v>0</v>
      </c>
      <c r="F136" s="68">
        <f>IFERROR(VLOOKUP($A136,GanttChart!$A:$JD,263,FALSE),0)</f>
        <v>0</v>
      </c>
      <c r="G136" s="69">
        <f>IFERROR(VLOOKUP($A136,GanttChart!$A:$JD,264,FALSE),0)</f>
        <v>0</v>
      </c>
      <c r="H136" s="167"/>
      <c r="I136" s="69">
        <f t="shared" si="0"/>
        <v>0</v>
      </c>
    </row>
    <row r="137" spans="1:9" ht="14.25">
      <c r="A137" s="62">
        <v>7.1</v>
      </c>
      <c r="C137" s="67" t="str">
        <f>IFERROR(VLOOKUP($A137,GanttChart!$A:$JD,2,FALSE),"خطا")</f>
        <v>تنظیم و امضاء صورت جلسه تحویل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167"/>
      <c r="I137" s="69">
        <f t="shared" si="0"/>
        <v>0</v>
      </c>
    </row>
    <row r="138" spans="1:9" ht="14.25">
      <c r="A138" s="62">
        <v>7.2</v>
      </c>
      <c r="C138" s="67" t="str">
        <f>IFERROR(VLOOKUP($A138,GanttChart!$A:$JD,2,FALSE),"خطا")</f>
        <v>انتقال پورتال به دامنه اصلی کارفرما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167"/>
      <c r="I138" s="69">
        <f t="shared" si="0"/>
        <v>0</v>
      </c>
    </row>
    <row r="139" spans="1:9" ht="14.25">
      <c r="A139" s="62">
        <v>7.3</v>
      </c>
      <c r="C139" s="67" t="str">
        <f>IFERROR(VLOOKUP($A139,GanttChart!$A:$JD,2,FALSE),"خطا")</f>
        <v>خطا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167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خطا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167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خطا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167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خطا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167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167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167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167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167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167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167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167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167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167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167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167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167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167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167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167"/>
      <c r="I157" s="69">
        <f t="shared" si="0"/>
        <v>0</v>
      </c>
    </row>
    <row r="158" spans="1:9" ht="14.25" hidden="1">
      <c r="A158" s="62">
        <v>8</v>
      </c>
      <c r="C158" s="67" t="str">
        <f>IFERROR(VLOOKUP($A158,GanttChart!$A:$JD,2,FALSE),"خطا")</f>
        <v>خطا</v>
      </c>
      <c r="D158" s="68">
        <f>IFERROR(VLOOKUP($A158,GanttChart!$A:$JD,261,FALSE),0)</f>
        <v>0</v>
      </c>
      <c r="E158" s="68">
        <f>IFERROR(VLOOKUP($A158,GanttChart!$A:$JD,262,FALSE),0)</f>
        <v>0</v>
      </c>
      <c r="F158" s="68">
        <f>IFERROR(VLOOKUP($A158,GanttChart!$A:$JD,263,FALSE),0)</f>
        <v>0</v>
      </c>
      <c r="G158" s="69">
        <f>IFERROR(VLOOKUP($A158,GanttChart!$A:$JD,264,FALSE),0)</f>
        <v>0</v>
      </c>
      <c r="H158" s="167"/>
      <c r="I158" s="69">
        <f t="shared" si="0"/>
        <v>0</v>
      </c>
    </row>
    <row r="159" spans="1:9" ht="14.25">
      <c r="A159" s="62">
        <v>8.1</v>
      </c>
      <c r="C159" s="67" t="str">
        <f>IFERROR(VLOOKUP($A159,GanttChart!$A:$JD,2,FALSE),"خطا")</f>
        <v>خطا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167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خطا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167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167"/>
      <c r="I161" s="69">
        <f t="shared" ref="I161:I179" si="1">G161-(H161*G161)</f>
        <v>0</v>
      </c>
    </row>
    <row r="162" spans="1:9" ht="14.25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167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167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167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167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167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167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167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167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167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167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167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167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167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167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167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167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167"/>
      <c r="I178" s="69">
        <f t="shared" si="1"/>
        <v>0</v>
      </c>
    </row>
    <row r="179" spans="1:9" ht="14.25" hidden="1">
      <c r="A179" s="73">
        <v>8.23</v>
      </c>
      <c r="C179" s="67" t="str">
        <f>IFERROR(VLOOKUP($A179,GanttChart!$A:$JD,2,FALSE),"خطا")</f>
        <v>خطا</v>
      </c>
      <c r="D179" s="68">
        <f>IFERROR(VLOOKUP($A179,GanttChart!$A:$JD,261,FALSE),0)</f>
        <v>0</v>
      </c>
      <c r="E179" s="68">
        <f>IFERROR(VLOOKUP($A179,GanttChart!$A:$JD,262,FALSE),0)</f>
        <v>0</v>
      </c>
      <c r="F179" s="68">
        <f>IFERROR(VLOOKUP($A179,GanttChart!$A:$JD,263,FALSE),0)</f>
        <v>0</v>
      </c>
      <c r="G179" s="69">
        <f>IFERROR(VLOOKUP($A179,GanttChart!$A:$JD,264,FALSE),0)</f>
        <v>0</v>
      </c>
      <c r="H179" s="167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SUM(D4:D179)</f>
        <v>0</v>
      </c>
      <c r="E180" s="80">
        <f t="shared" ref="E180:I180" si="2">SUM(E4:E179)</f>
        <v>0</v>
      </c>
      <c r="F180" s="80">
        <f t="shared" si="2"/>
        <v>0</v>
      </c>
      <c r="G180" s="76">
        <f t="shared" si="2"/>
        <v>0</v>
      </c>
      <c r="H180" s="81"/>
      <c r="I180" s="76">
        <f t="shared" si="2"/>
        <v>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zoomScaleNormal="100" workbookViewId="0">
      <selection activeCell="H158" activeCellId="7" sqref="H4 H26 H48 H70 H92 H114 H136 H158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40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41"/>
      <c r="H3" s="337"/>
      <c r="I3" s="339"/>
      <c r="J3" s="3"/>
      <c r="K3" s="3"/>
      <c r="L3" s="3"/>
      <c r="M3" s="3"/>
      <c r="N3" s="3"/>
      <c r="O3" s="3"/>
    </row>
    <row r="4" spans="1:15" ht="14.25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SUM(D5:D25)</f>
        <v>0</v>
      </c>
      <c r="E4" s="68">
        <f>SUM(E5:E25)</f>
        <v>0</v>
      </c>
      <c r="F4" s="68">
        <f>SUM(F5:F25)</f>
        <v>0</v>
      </c>
      <c r="G4" s="69">
        <f>SUM(G5:G25)</f>
        <v>0</v>
      </c>
      <c r="H4" s="167">
        <v>1</v>
      </c>
      <c r="I4" s="69">
        <f>G4-(H4*G4)</f>
        <v>0</v>
      </c>
      <c r="J4" s="3"/>
      <c r="K4" s="3"/>
      <c r="L4" s="3"/>
      <c r="M4" s="3"/>
      <c r="N4" s="3"/>
      <c r="O4" s="3"/>
    </row>
    <row r="5" spans="1:15" ht="14.25" hidden="1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70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 hidden="1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70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 hidden="1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70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 hidden="1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70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 hidden="1">
      <c r="A9" s="62">
        <v>1.5</v>
      </c>
      <c r="B9" s="62"/>
      <c r="C9" s="67" t="str">
        <f>IFERROR(VLOOKUP($A9,GanttChart!$A:$JD,2,FALSE),"خطا")</f>
        <v>جلسه دوم پروژه (بررسی واسط کاربری)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70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 hidden="1">
      <c r="A10" s="62">
        <v>1.6</v>
      </c>
      <c r="B10" s="62"/>
      <c r="C10" s="67" t="str">
        <f>IFERROR(VLOOKUP($A10,GanttChart!$A:$JD,2,FALSE),"خطا")</f>
        <v>جلسه سوم (نهایی سازی واسط کاربری)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70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 hidden="1">
      <c r="A11" s="62">
        <v>1.7</v>
      </c>
      <c r="B11" s="62"/>
      <c r="C11" s="67" t="str">
        <f>IFERROR(VLOOKUP($A11,GanttChart!$A:$JD,2,FALSE),"خطا")</f>
        <v>جلسه چهارم (بررسی سامانه سهامداران)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70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 hidden="1">
      <c r="A12" s="62">
        <v>1.8</v>
      </c>
      <c r="B12" s="62"/>
      <c r="C12" s="67" t="str">
        <f>IFERROR(VLOOKUP($A12,GanttChart!$A:$JD,2,FALSE),"خطا")</f>
        <v>پرداخت پیش پرداخت قرارداد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70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70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70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70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70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70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70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70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70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70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70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70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70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70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SUM(D27:D47)</f>
        <v>0</v>
      </c>
      <c r="E26" s="68">
        <f>SUM(E27:E47)</f>
        <v>0</v>
      </c>
      <c r="F26" s="68">
        <f>SUM(F27:F47)</f>
        <v>0</v>
      </c>
      <c r="G26" s="69">
        <f>SUM(G27:G47)</f>
        <v>0</v>
      </c>
      <c r="H26" s="167" t="e">
        <f>1-J26/G26</f>
        <v>#DIV/0!</v>
      </c>
      <c r="I26" s="69" t="e">
        <f t="shared" si="0"/>
        <v>#DIV/0!</v>
      </c>
      <c r="J26" s="89">
        <v>12000000</v>
      </c>
      <c r="K26" s="87"/>
      <c r="L26" s="88"/>
      <c r="M26" s="3"/>
      <c r="N26" s="3"/>
      <c r="O26" s="3"/>
    </row>
    <row r="27" spans="1:15" ht="22.5" hidden="1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70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 hidden="1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70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 hidden="1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70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 hidden="1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70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70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 hidden="1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70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70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14.2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70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70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14.25" hidden="1">
      <c r="A36" s="62">
        <v>2.11</v>
      </c>
      <c r="B36" s="62"/>
      <c r="C36" s="67" t="str">
        <f>IFERROR(VLOOKUP($A36,GanttChart!$A:$JD,2,FALSE),"خطا")</f>
        <v>خطا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70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خطا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70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خطا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70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70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70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70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70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70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70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70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70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70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SUM(D49:D69)</f>
        <v>0</v>
      </c>
      <c r="E48" s="68">
        <f>SUM(E49:E69)</f>
        <v>0</v>
      </c>
      <c r="F48" s="68">
        <f>SUM(F49:F69)</f>
        <v>0</v>
      </c>
      <c r="G48" s="69">
        <f>SUM(G49:G69)</f>
        <v>0</v>
      </c>
      <c r="H48" s="167" t="e">
        <f>1-J48/G48</f>
        <v>#DIV/0!</v>
      </c>
      <c r="I48" s="69" t="e">
        <f t="shared" si="0"/>
        <v>#DIV/0!</v>
      </c>
      <c r="J48" s="89">
        <v>16000000</v>
      </c>
      <c r="K48" s="3"/>
      <c r="L48" s="3"/>
      <c r="M48" s="3"/>
      <c r="N48" s="3"/>
      <c r="O48" s="3"/>
    </row>
    <row r="49" spans="1:15" ht="14.25" hidden="1">
      <c r="A49" s="62">
        <v>3.1</v>
      </c>
      <c r="B49" s="62"/>
      <c r="C49" s="67" t="str">
        <f>IFERROR(VLOOKUP($A49,GanttChart!$A:$JD,2,FALSE),"خطا")</f>
        <v xml:space="preserve">ارائه پرسش نامه های نیازسنجی محتوایی و گرافیکی 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70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14.25" hidden="1">
      <c r="A50" s="62">
        <v>3.2</v>
      </c>
      <c r="B50" s="62"/>
      <c r="C50" s="67" t="str">
        <f>IFERROR(VLOOKUP($A50,GanttChart!$A:$JD,2,FALSE),"خطا")</f>
        <v>تدوین سند شناخت وضع جاری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70"/>
      <c r="I50" s="69">
        <f t="shared" si="0"/>
        <v>0</v>
      </c>
    </row>
    <row r="51" spans="1:15" ht="22.5" hidden="1">
      <c r="A51" s="62">
        <v>3.3</v>
      </c>
      <c r="B51" s="62"/>
      <c r="C51" s="67" t="str">
        <f>IFERROR(VLOOKUP($A51,GanttChart!$A:$JD,2,FALSE),"خطا")</f>
        <v>تکمیل پرسش نامه های نیاز سنجی محتوایی و گرافیکی  پورتال اصلی (فارسی)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70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تکمیل پرسش نامه های نیاز سنجی محتوایی پورتال نمایندگان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70"/>
      <c r="I52" s="69">
        <f t="shared" si="0"/>
        <v>0</v>
      </c>
    </row>
    <row r="53" spans="1:15" ht="22.5" hidden="1">
      <c r="A53" s="62">
        <v>3.5</v>
      </c>
      <c r="B53" s="62"/>
      <c r="C53" s="67" t="str">
        <f>IFERROR(VLOOKUP($A53,GanttChart!$A:$JD,2,FALSE),"خطا")</f>
        <v>تکمیل پرسش نامه های نیاز سنجی محتوایی پورتال بیمه عمر و سرمایه گزاری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70"/>
      <c r="I53" s="69">
        <f t="shared" si="0"/>
        <v>0</v>
      </c>
    </row>
    <row r="54" spans="1:15" ht="14.25" hidden="1">
      <c r="A54" s="62">
        <v>3.6</v>
      </c>
      <c r="B54" s="62"/>
      <c r="C54" s="67" t="str">
        <f>IFERROR(VLOOKUP($A54,GanttChart!$A:$JD,2,FALSE),"خطا")</f>
        <v>تکمیل پرسش نامه های نیاز سنجی محتوایی پورتال  بیمه مسافرتی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70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تکمیل پرسش نامه های نیاز سنجی محتوایی پورتال سهامداران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70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جمع بندی نيازمنديهای فرايند شناخت و تدوین سند معماری محتوا (تدریجی)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70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 xml:space="preserve"> بررسی و تایید مستند معماری محتوا توسط کارفرما (تدریجی)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70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ارائه یک قالب گرافیکی  فارسی  برای زیر پورتال اینترنتی(فارسی)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70"/>
      <c r="I58" s="69">
        <f t="shared" si="0"/>
        <v>0</v>
      </c>
    </row>
    <row r="59" spans="1:15" ht="22.5" hidden="1">
      <c r="A59" s="62">
        <v>3.12</v>
      </c>
      <c r="B59" s="62"/>
      <c r="C59" s="67" t="str">
        <f>IFERROR(VLOOKUP($A59,GanttChart!$A:$JD,2,FALSE),"خطا")</f>
        <v>نهایی سازی قالب گرافیکی  برای پورتال اینترنتی مطابق نظر کارفرما (اعلام نظر کارفرما: 3 روز کاری، نهایی سازی: 2 روزکاری)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70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ارائه سر صفحه اختصاصی زیر پورتال نمایندگان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70"/>
      <c r="I60" s="69">
        <f t="shared" si="0"/>
        <v>0</v>
      </c>
    </row>
    <row r="61" spans="1:15" ht="22.5" hidden="1">
      <c r="A61" s="62">
        <v>3.14</v>
      </c>
      <c r="B61" s="62"/>
      <c r="C61" s="67" t="str">
        <f>IFERROR(VLOOKUP($A61,GanttChart!$A:$JD,2,FALSE),"خطا")</f>
        <v>نهایی سازی سر صفحه اختصاصی زیر پورتال نمایندگان مطابق نظر کارفرما (اعلام نظر کارفرما: 1 روز کاری  و نهایی سازی: 2 روزکاری)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70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ارائه سر صفحه اختصاصی زیر پورتال بیمه عمر و سرمایه گزاری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70"/>
      <c r="I62" s="69">
        <f t="shared" si="0"/>
        <v>0</v>
      </c>
    </row>
    <row r="63" spans="1:15" ht="33.75" hidden="1">
      <c r="A63" s="62">
        <v>3.16</v>
      </c>
      <c r="B63" s="62"/>
      <c r="C63" s="67" t="str">
        <f>IFERROR(VLOOKUP($A63,GanttChart!$A:$JD,2,FALSE),"خطا")</f>
        <v>نهایی سازی سر صفحه اختصاصی زیر پورتال بیمه عمر و سرمایه گزاری مطابق نظر کارفرما (اعلام نظر کارفرما : 1 روز کاری و  نهایی سازی: 2 روزکاری)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70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ارائه سر صفحه اختصاصی زیر پورتال بیمه مسافرتی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70"/>
      <c r="I64" s="69">
        <f t="shared" si="0"/>
        <v>0</v>
      </c>
    </row>
    <row r="65" spans="1:9" ht="22.5" hidden="1">
      <c r="A65" s="62">
        <v>3.18</v>
      </c>
      <c r="B65" s="62"/>
      <c r="C65" s="67" t="str">
        <f>IFERROR(VLOOKUP($A65,GanttChart!$A:$JD,2,FALSE),"خطا")</f>
        <v>نهایی سازی سر صفحه اختصاصی زیر پورتال بیمه مسافرتی مطابق نظر کارفرما (اعلام نظر کارفرما و نهایی سازی: 2 روزکاری)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70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 xml:space="preserve">ارائه سر صفحه اختصاصی برای زیر پورتال سهامداران 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70"/>
      <c r="I66" s="69">
        <f t="shared" si="0"/>
        <v>0</v>
      </c>
    </row>
    <row r="67" spans="1:9" ht="22.5" hidden="1">
      <c r="A67" s="62">
        <v>3.21</v>
      </c>
      <c r="B67" s="62"/>
      <c r="C67" s="67" t="str">
        <f>IFERROR(VLOOKUP($A67,GanttChart!$A:$JD,2,FALSE),"خطا")</f>
        <v>نهایی سازی سر صفحه اختصاصی  برای زیر پورتال سهامداران مطابق نظر کارفرما (اعلام نظر کارفرما : 1 روز کاری و نهایی سازی: 2 روزکاری)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70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راه اندازی کامل زیرپورتال اینترنتی (نسخه فارسی)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70"/>
      <c r="I68" s="69">
        <f t="shared" si="0"/>
        <v>0</v>
      </c>
    </row>
    <row r="69" spans="1:9" ht="22.5" hidden="1">
      <c r="A69" s="62">
        <v>3.23</v>
      </c>
      <c r="B69" s="62"/>
      <c r="C69" s="67" t="str">
        <f>IFERROR(VLOOKUP($A69,GanttChart!$A:$JD,2,FALSE),"خطا")</f>
        <v>تحویل راه اندازی کامل زیر پورتال اینترنتی (نسخه فارسی)  (1 روز تست پیمانکار ، 2 روز تست  کارفرما)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70"/>
      <c r="I69" s="69">
        <f t="shared" si="0"/>
        <v>0</v>
      </c>
    </row>
    <row r="70" spans="1:9" ht="14.25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SUM(D71:D91)</f>
        <v>0</v>
      </c>
      <c r="E70" s="68">
        <f>SUM(E71:E91)</f>
        <v>0</v>
      </c>
      <c r="F70" s="68">
        <f>SUM(F71:F91)</f>
        <v>0</v>
      </c>
      <c r="G70" s="69">
        <f>SUM(G71:G91)</f>
        <v>0</v>
      </c>
      <c r="H70" s="167"/>
      <c r="I70" s="69">
        <f t="shared" si="0"/>
        <v>0</v>
      </c>
    </row>
    <row r="71" spans="1:9" ht="14.25" hidden="1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70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70"/>
      <c r="I72" s="69">
        <f t="shared" si="0"/>
        <v>0</v>
      </c>
    </row>
    <row r="73" spans="1:9" ht="14.25" hidden="1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70"/>
      <c r="I73" s="69">
        <f t="shared" si="0"/>
        <v>0</v>
      </c>
    </row>
    <row r="74" spans="1:9" ht="14.25" hidden="1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70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راهبر زیر پورتال (4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70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برگزاری جلسات آموزش زیر ساخت توسعه پذیری نرم افزار (6 ساعت)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70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70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70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70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70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70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70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70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70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70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70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70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70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70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70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70"/>
      <c r="I91" s="69">
        <f t="shared" si="0"/>
        <v>0</v>
      </c>
    </row>
    <row r="92" spans="1:12" ht="14.25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SUM(D93:D113)</f>
        <v>0</v>
      </c>
      <c r="E92" s="68">
        <f>SUM(E93:E113)</f>
        <v>0</v>
      </c>
      <c r="F92" s="68">
        <f>SUM(F93:F113)</f>
        <v>0</v>
      </c>
      <c r="G92" s="69">
        <f>SUM(G93:G113)</f>
        <v>0</v>
      </c>
      <c r="H92" s="167"/>
      <c r="I92" s="69">
        <f t="shared" si="0"/>
        <v>0</v>
      </c>
    </row>
    <row r="93" spans="1:12" ht="14.25" hidden="1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70"/>
      <c r="I93" s="69">
        <f t="shared" si="0"/>
        <v>0</v>
      </c>
      <c r="K93" s="66"/>
      <c r="L93" s="72"/>
    </row>
    <row r="94" spans="1:12" ht="14.25" hidden="1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70"/>
      <c r="I94" s="69">
        <f t="shared" si="0"/>
        <v>0</v>
      </c>
    </row>
    <row r="95" spans="1:12" ht="14.25" hidden="1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70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70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70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70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70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70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70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70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70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70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70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70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70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70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70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70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70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70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70"/>
      <c r="I113" s="69">
        <f t="shared" si="0"/>
        <v>0</v>
      </c>
    </row>
    <row r="114" spans="1:9" ht="14.25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SUM(D115:D135)</f>
        <v>0</v>
      </c>
      <c r="E114" s="68">
        <f>SUM(E115:E135)</f>
        <v>0</v>
      </c>
      <c r="F114" s="68">
        <f>SUM(F115:F135)</f>
        <v>0</v>
      </c>
      <c r="G114" s="69">
        <f>SUM(G115:G135)</f>
        <v>0</v>
      </c>
      <c r="H114" s="167"/>
      <c r="I114" s="69">
        <f t="shared" si="0"/>
        <v>0</v>
      </c>
    </row>
    <row r="115" spans="1:9" ht="22.5" hidden="1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70"/>
      <c r="I115" s="69">
        <f t="shared" si="0"/>
        <v>0</v>
      </c>
    </row>
    <row r="116" spans="1:9" ht="14.25" hidden="1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70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70"/>
      <c r="I117" s="69">
        <f t="shared" si="0"/>
        <v>0</v>
      </c>
    </row>
    <row r="118" spans="1:9" ht="14.25" hidden="1">
      <c r="A118" s="62">
        <v>6.4</v>
      </c>
      <c r="C118" s="67" t="str">
        <f>IFERROR(VLOOKUP($A118,GanttChart!$A:$JD,2,FALSE),"خطا")</f>
        <v>خطا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70"/>
      <c r="I118" s="69">
        <f t="shared" si="0"/>
        <v>0</v>
      </c>
    </row>
    <row r="119" spans="1:9" ht="14.25" hidden="1">
      <c r="A119" s="62">
        <v>6.5</v>
      </c>
      <c r="C119" s="67" t="str">
        <f>IFERROR(VLOOKUP($A119,GanttChart!$A:$JD,2,FALSE),"خطا")</f>
        <v>خطا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70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70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70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70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70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70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70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70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70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70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70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70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70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70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70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70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70"/>
      <c r="I135" s="69">
        <f t="shared" si="0"/>
        <v>0</v>
      </c>
    </row>
    <row r="136" spans="1:9" ht="14.25">
      <c r="A136" s="62">
        <v>7</v>
      </c>
      <c r="C136" s="67" t="str">
        <f>IFERROR(VLOOKUP($A136,GanttChart!$A:$JD,2,FALSE),"خطا")</f>
        <v>تحویل نهايي دستاوردهای پروژه</v>
      </c>
      <c r="D136" s="68">
        <f>SUM(D137:D157)</f>
        <v>0</v>
      </c>
      <c r="E136" s="68">
        <f>SUM(E137:E157)</f>
        <v>0</v>
      </c>
      <c r="F136" s="68">
        <f>SUM(F137:F157)</f>
        <v>0</v>
      </c>
      <c r="G136" s="69">
        <f>SUM(G137:G157)</f>
        <v>0</v>
      </c>
      <c r="H136" s="167">
        <v>1</v>
      </c>
      <c r="I136" s="69">
        <f t="shared" si="0"/>
        <v>0</v>
      </c>
    </row>
    <row r="137" spans="1:9" ht="14.25" hidden="1">
      <c r="A137" s="62">
        <v>7.1</v>
      </c>
      <c r="C137" s="67" t="str">
        <f>IFERROR(VLOOKUP($A137,GanttChart!$A:$JD,2,FALSE),"خطا")</f>
        <v>تنظیم و امضاء صورت جلسه تحویل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70"/>
      <c r="I137" s="69">
        <f t="shared" si="0"/>
        <v>0</v>
      </c>
    </row>
    <row r="138" spans="1:9" ht="14.25" hidden="1">
      <c r="A138" s="62">
        <v>7.2</v>
      </c>
      <c r="C138" s="67" t="str">
        <f>IFERROR(VLOOKUP($A138,GanttChart!$A:$JD,2,FALSE),"خطا")</f>
        <v>انتقال پورتال به دامنه اصلی کارفرما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70"/>
      <c r="I138" s="69">
        <f t="shared" si="0"/>
        <v>0</v>
      </c>
    </row>
    <row r="139" spans="1:9" ht="14.25" hidden="1">
      <c r="A139" s="62">
        <v>7.3</v>
      </c>
      <c r="C139" s="67" t="str">
        <f>IFERROR(VLOOKUP($A139,GanttChart!$A:$JD,2,FALSE),"خطا")</f>
        <v>خطا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70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خطا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70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خطا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70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خطا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70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70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70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70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70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70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70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70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70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70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70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70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70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70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70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70"/>
      <c r="I157" s="69">
        <f t="shared" si="0"/>
        <v>0</v>
      </c>
    </row>
    <row r="158" spans="1:9" ht="14.25">
      <c r="A158" s="62">
        <v>8</v>
      </c>
      <c r="C158" s="67" t="str">
        <f>IFERROR(VLOOKUP($A158,GanttChart!$A:$JD,2,FALSE),"خطا")</f>
        <v>خطا</v>
      </c>
      <c r="D158" s="68">
        <f>SUM(D159:D179)</f>
        <v>0</v>
      </c>
      <c r="E158" s="68">
        <f>SUM(E159:E179)</f>
        <v>0</v>
      </c>
      <c r="F158" s="68">
        <f>SUM(F159:F179)</f>
        <v>0</v>
      </c>
      <c r="G158" s="69">
        <f>SUM(G159:G179)</f>
        <v>0</v>
      </c>
      <c r="H158" s="167">
        <v>1</v>
      </c>
      <c r="I158" s="69">
        <f t="shared" si="0"/>
        <v>0</v>
      </c>
    </row>
    <row r="159" spans="1:9" ht="14.25" hidden="1">
      <c r="A159" s="62">
        <v>8.1</v>
      </c>
      <c r="C159" s="67" t="str">
        <f>IFERROR(VLOOKUP($A159,GanttChart!$A:$JD,2,FALSE),"خطا")</f>
        <v>خطا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70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خطا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70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74"/>
      <c r="I161" s="69">
        <f t="shared" ref="I161:I179" si="1">G161-(H161*G161)</f>
        <v>0</v>
      </c>
    </row>
    <row r="162" spans="1:9" ht="14.25" hidden="1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74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74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74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74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74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74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74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74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74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74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74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74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74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74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74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74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74"/>
      <c r="I178" s="69">
        <f t="shared" si="1"/>
        <v>0</v>
      </c>
    </row>
    <row r="179" spans="1:9" ht="14.25" hidden="1">
      <c r="A179" s="73">
        <v>8.23</v>
      </c>
      <c r="C179" s="77" t="str">
        <f>IFERROR(VLOOKUP($A179,GanttChart!$A:$JD,2,FALSE),"خطا")</f>
        <v>خطا</v>
      </c>
      <c r="D179" s="78">
        <f>IFERROR(VLOOKUP($A179,GanttChart!$A:$JD,261,FALSE),0)</f>
        <v>0</v>
      </c>
      <c r="E179" s="78">
        <f>IFERROR(VLOOKUP($A179,GanttChart!$A:$JD,262,FALSE),0)</f>
        <v>0</v>
      </c>
      <c r="F179" s="78">
        <f>IFERROR(VLOOKUP($A179,GanttChart!$A:$JD,263,FALSE),0)</f>
        <v>0</v>
      </c>
      <c r="G179" s="75">
        <f>IFERROR(VLOOKUP($A179,GanttChart!$A:$JD,264,FALSE),0)</f>
        <v>0</v>
      </c>
      <c r="H179" s="74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SUM(D4,D26,D48,D70,D92,D114,D136,D158)</f>
        <v>0</v>
      </c>
      <c r="E180" s="80">
        <f>SUM(E4,E26,E48,E70,E92,F114,F136,F158)</f>
        <v>0</v>
      </c>
      <c r="F180" s="80">
        <f>SUM(F4,F26,F48,F70,F92,F114,F136,F158)</f>
        <v>0</v>
      </c>
      <c r="G180" s="76">
        <f>SUM(G4,G26,G48,G70,G92,G114,G136,G158)</f>
        <v>0</v>
      </c>
      <c r="H180" s="81"/>
      <c r="I180" s="76" t="e">
        <f>SUM(I4,I26,I48,I70,I92,I114,I136,I158)</f>
        <v>#DIV/0!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54"/>
  <sheetViews>
    <sheetView rightToLeft="1" workbookViewId="0">
      <selection activeCell="A12" sqref="A12"/>
    </sheetView>
  </sheetViews>
  <sheetFormatPr defaultRowHeight="12.75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5">
      <c r="A1" s="9" t="s">
        <v>34</v>
      </c>
      <c r="B1" s="9" t="s">
        <v>38</v>
      </c>
      <c r="C1" s="9" t="s">
        <v>37</v>
      </c>
      <c r="D1" s="9" t="s">
        <v>35</v>
      </c>
      <c r="E1" s="9" t="s">
        <v>36</v>
      </c>
      <c r="F1" s="9" t="s">
        <v>11</v>
      </c>
    </row>
    <row r="2" spans="1:6" ht="15">
      <c r="A2" s="10" t="s">
        <v>75</v>
      </c>
      <c r="B2" s="10" t="str">
        <f t="shared" ref="B2:B27" si="0">LEFT(A2,4)</f>
        <v>1398</v>
      </c>
      <c r="C2" s="10" t="str">
        <f t="shared" ref="C2:C27" si="1">MID(A2,6,2)</f>
        <v>01</v>
      </c>
      <c r="D2" s="10">
        <v>1</v>
      </c>
      <c r="E2" s="9" t="str">
        <f>IF(j_WEEKDAY(A2)=6,1,"")</f>
        <v/>
      </c>
      <c r="F2" s="11" t="s">
        <v>12</v>
      </c>
    </row>
    <row r="3" spans="1:6" ht="15">
      <c r="A3" s="10" t="s">
        <v>76</v>
      </c>
      <c r="B3" s="10" t="str">
        <f t="shared" si="0"/>
        <v>1398</v>
      </c>
      <c r="C3" s="10" t="str">
        <f t="shared" si="1"/>
        <v>01</v>
      </c>
      <c r="D3" s="10">
        <v>1</v>
      </c>
      <c r="E3" s="9">
        <f>IF(j_WEEKDAY(A3)=6,1,"")</f>
        <v>1</v>
      </c>
      <c r="F3" s="11" t="s">
        <v>12</v>
      </c>
    </row>
    <row r="4" spans="1:6" ht="15">
      <c r="A4" s="10" t="s">
        <v>77</v>
      </c>
      <c r="B4" s="10" t="str">
        <f t="shared" si="0"/>
        <v>1398</v>
      </c>
      <c r="C4" s="10" t="str">
        <f t="shared" si="1"/>
        <v>01</v>
      </c>
      <c r="D4" s="10">
        <v>1</v>
      </c>
      <c r="E4" s="9" t="str">
        <f>IF(j_WEEKDAY(A4)=6,1,"")</f>
        <v/>
      </c>
      <c r="F4" s="11" t="s">
        <v>12</v>
      </c>
    </row>
    <row r="5" spans="1:6" ht="15">
      <c r="A5" s="10" t="s">
        <v>78</v>
      </c>
      <c r="B5" s="10" t="str">
        <f t="shared" si="0"/>
        <v>1398</v>
      </c>
      <c r="C5" s="10" t="str">
        <f t="shared" si="1"/>
        <v>01</v>
      </c>
      <c r="D5" s="10">
        <v>1</v>
      </c>
      <c r="E5" s="9" t="str">
        <f>IF(j_WEEKDAY(A5)=6,1,"")</f>
        <v/>
      </c>
      <c r="F5" s="11" t="s">
        <v>12</v>
      </c>
    </row>
    <row r="6" spans="1:6" ht="15">
      <c r="A6" s="10" t="s">
        <v>79</v>
      </c>
      <c r="B6" s="10" t="str">
        <f t="shared" si="0"/>
        <v>1398</v>
      </c>
      <c r="C6" s="10" t="str">
        <f t="shared" si="1"/>
        <v>01</v>
      </c>
      <c r="D6" s="10">
        <v>1</v>
      </c>
      <c r="E6" s="9" t="str">
        <f>IF(j_WEEKDAY(A6)=6,1,"")</f>
        <v/>
      </c>
      <c r="F6" s="11" t="s">
        <v>13</v>
      </c>
    </row>
    <row r="7" spans="1:6" ht="15">
      <c r="A7" s="10" t="s">
        <v>80</v>
      </c>
      <c r="B7" s="10" t="str">
        <f t="shared" si="0"/>
        <v>1398</v>
      </c>
      <c r="C7" s="10" t="str">
        <f t="shared" si="1"/>
        <v>01</v>
      </c>
      <c r="D7" s="10">
        <v>1</v>
      </c>
      <c r="E7" s="9" t="str">
        <f>IF(j_WEEKDAY(A7)=6,1,"")</f>
        <v/>
      </c>
      <c r="F7" s="11" t="s">
        <v>14</v>
      </c>
    </row>
    <row r="8" spans="1:6" ht="15">
      <c r="A8" s="10" t="s">
        <v>85</v>
      </c>
      <c r="B8" s="10" t="str">
        <f t="shared" si="0"/>
        <v>1398</v>
      </c>
      <c r="C8" s="10" t="str">
        <f t="shared" si="1"/>
        <v>01</v>
      </c>
      <c r="D8" s="10">
        <v>1</v>
      </c>
      <c r="E8" s="9" t="str">
        <f>IF(j_WEEKDAY(A8)=6,1,"")</f>
        <v/>
      </c>
      <c r="F8" s="11" t="s">
        <v>19</v>
      </c>
    </row>
    <row r="9" spans="1:6" ht="15">
      <c r="A9" s="10" t="s">
        <v>86</v>
      </c>
      <c r="B9" s="10" t="str">
        <f t="shared" si="0"/>
        <v>1398</v>
      </c>
      <c r="C9" s="10" t="str">
        <f t="shared" si="1"/>
        <v>02</v>
      </c>
      <c r="D9" s="10">
        <v>1</v>
      </c>
      <c r="E9" s="9" t="str">
        <f>IF(j_WEEKDAY(A9)=6,1,"")</f>
        <v/>
      </c>
      <c r="F9" s="12" t="s">
        <v>20</v>
      </c>
    </row>
    <row r="10" spans="1:6" ht="15">
      <c r="A10" s="10" t="s">
        <v>87</v>
      </c>
      <c r="B10" s="10" t="str">
        <f t="shared" si="0"/>
        <v>1398</v>
      </c>
      <c r="C10" s="10" t="str">
        <f t="shared" si="1"/>
        <v>03</v>
      </c>
      <c r="D10" s="10">
        <v>1</v>
      </c>
      <c r="E10" s="9" t="str">
        <f>IF(j_WEEKDAY(A10)=6,1,"")</f>
        <v/>
      </c>
      <c r="F10" s="11" t="s">
        <v>21</v>
      </c>
    </row>
    <row r="11" spans="1:6" ht="15">
      <c r="A11" s="10" t="s">
        <v>81</v>
      </c>
      <c r="B11" s="10" t="str">
        <f t="shared" si="0"/>
        <v>1398</v>
      </c>
      <c r="C11" s="10" t="str">
        <f t="shared" si="1"/>
        <v>03</v>
      </c>
      <c r="D11" s="10">
        <v>1</v>
      </c>
      <c r="E11" s="9" t="str">
        <f>IF(j_WEEKDAY(A11)=6,1,"")</f>
        <v/>
      </c>
      <c r="F11" s="11" t="s">
        <v>17</v>
      </c>
    </row>
    <row r="12" spans="1:6" ht="15">
      <c r="A12" s="10" t="s">
        <v>82</v>
      </c>
      <c r="B12" s="10" t="str">
        <f t="shared" si="0"/>
        <v>1398</v>
      </c>
      <c r="C12" s="10" t="str">
        <f t="shared" si="1"/>
        <v>03</v>
      </c>
      <c r="D12" s="10">
        <v>1</v>
      </c>
      <c r="E12" s="9" t="str">
        <f>IF(j_WEEKDAY(A12)=6,1,"")</f>
        <v/>
      </c>
      <c r="F12" s="11" t="s">
        <v>18</v>
      </c>
    </row>
    <row r="13" spans="1:6" ht="15">
      <c r="A13" s="10" t="s">
        <v>88</v>
      </c>
      <c r="B13" s="10" t="str">
        <f t="shared" si="0"/>
        <v>1398</v>
      </c>
      <c r="C13" s="10" t="str">
        <f t="shared" si="1"/>
        <v>03</v>
      </c>
      <c r="D13" s="10">
        <v>1</v>
      </c>
      <c r="E13" s="9" t="str">
        <f>IF(j_WEEKDAY(A13)=6,1,"")</f>
        <v/>
      </c>
      <c r="F13" s="11" t="s">
        <v>22</v>
      </c>
    </row>
    <row r="14" spans="1:6" ht="15">
      <c r="A14" s="10" t="s">
        <v>89</v>
      </c>
      <c r="B14" s="10" t="str">
        <f t="shared" si="0"/>
        <v>1398</v>
      </c>
      <c r="C14" s="10" t="str">
        <f t="shared" si="1"/>
        <v>04</v>
      </c>
      <c r="D14" s="10">
        <v>1</v>
      </c>
      <c r="E14" s="9" t="str">
        <f>IF(j_WEEKDAY(A14)=6,1,"")</f>
        <v/>
      </c>
      <c r="F14" s="11" t="s">
        <v>23</v>
      </c>
    </row>
    <row r="15" spans="1:6" ht="15">
      <c r="A15" s="10" t="s">
        <v>90</v>
      </c>
      <c r="B15" s="10" t="str">
        <f t="shared" si="0"/>
        <v>1398</v>
      </c>
      <c r="C15" s="10" t="str">
        <f t="shared" si="1"/>
        <v>05</v>
      </c>
      <c r="D15" s="10">
        <v>1</v>
      </c>
      <c r="E15" s="9" t="str">
        <f>IF(j_WEEKDAY(A15)=6,1,"")</f>
        <v/>
      </c>
      <c r="F15" s="11" t="s">
        <v>24</v>
      </c>
    </row>
    <row r="16" spans="1:6" ht="15">
      <c r="A16" s="10" t="s">
        <v>91</v>
      </c>
      <c r="B16" s="10" t="str">
        <f t="shared" si="0"/>
        <v>1398</v>
      </c>
      <c r="C16" s="10" t="str">
        <f t="shared" si="1"/>
        <v>05</v>
      </c>
      <c r="D16" s="10">
        <v>1</v>
      </c>
      <c r="E16" s="9" t="str">
        <f>IF(j_WEEKDAY(A16)=6,1,"")</f>
        <v/>
      </c>
      <c r="F16" s="11" t="s">
        <v>25</v>
      </c>
    </row>
    <row r="17" spans="1:6" ht="15">
      <c r="A17" s="10" t="s">
        <v>92</v>
      </c>
      <c r="B17" s="10" t="str">
        <f t="shared" si="0"/>
        <v>1398</v>
      </c>
      <c r="C17" s="10" t="str">
        <f t="shared" si="1"/>
        <v>06</v>
      </c>
      <c r="D17" s="10">
        <v>1</v>
      </c>
      <c r="E17" s="9" t="str">
        <f>IF(j_WEEKDAY(A17)=6,1,"")</f>
        <v/>
      </c>
      <c r="F17" s="11" t="s">
        <v>26</v>
      </c>
    </row>
    <row r="18" spans="1:6" ht="15">
      <c r="A18" s="10" t="s">
        <v>93</v>
      </c>
      <c r="B18" s="10" t="str">
        <f t="shared" si="0"/>
        <v>1398</v>
      </c>
      <c r="C18" s="10" t="str">
        <f t="shared" si="1"/>
        <v>06</v>
      </c>
      <c r="D18" s="10">
        <v>1</v>
      </c>
      <c r="E18" s="9" t="str">
        <f>IF(j_WEEKDAY(A18)=6,1,"")</f>
        <v/>
      </c>
      <c r="F18" s="11" t="s">
        <v>27</v>
      </c>
    </row>
    <row r="19" spans="1:6" ht="15">
      <c r="A19" s="10" t="s">
        <v>94</v>
      </c>
      <c r="B19" s="10" t="str">
        <f t="shared" si="0"/>
        <v>1398</v>
      </c>
      <c r="C19" s="10" t="str">
        <f t="shared" si="1"/>
        <v>07</v>
      </c>
      <c r="D19" s="10">
        <v>1</v>
      </c>
      <c r="E19" s="9" t="str">
        <f>IF(j_WEEKDAY(A19)=6,1,"")</f>
        <v/>
      </c>
      <c r="F19" s="11" t="s">
        <v>28</v>
      </c>
    </row>
    <row r="20" spans="1:6" ht="15">
      <c r="A20" s="10" t="s">
        <v>95</v>
      </c>
      <c r="B20" s="10" t="str">
        <f t="shared" si="0"/>
        <v>1398</v>
      </c>
      <c r="C20" s="10" t="str">
        <f t="shared" si="1"/>
        <v>08</v>
      </c>
      <c r="D20" s="10">
        <v>1</v>
      </c>
      <c r="E20" s="9" t="str">
        <f>IF(j_WEEKDAY(A20)=6,1,"")</f>
        <v/>
      </c>
      <c r="F20" s="11" t="s">
        <v>29</v>
      </c>
    </row>
    <row r="21" spans="1:6" ht="15">
      <c r="A21" s="10" t="s">
        <v>96</v>
      </c>
      <c r="B21" s="10" t="str">
        <f t="shared" si="0"/>
        <v>1398</v>
      </c>
      <c r="C21" s="10" t="str">
        <f t="shared" si="1"/>
        <v>08</v>
      </c>
      <c r="D21" s="10">
        <v>1</v>
      </c>
      <c r="E21" s="9" t="str">
        <f>IF(j_WEEKDAY(A21)=6,1,"")</f>
        <v/>
      </c>
      <c r="F21" s="11" t="s">
        <v>30</v>
      </c>
    </row>
    <row r="22" spans="1:6" ht="15">
      <c r="A22" s="10" t="s">
        <v>97</v>
      </c>
      <c r="B22" s="10" t="str">
        <f t="shared" si="0"/>
        <v>1398</v>
      </c>
      <c r="C22" s="10" t="str">
        <f t="shared" si="1"/>
        <v>08</v>
      </c>
      <c r="D22" s="10">
        <v>1</v>
      </c>
      <c r="E22" s="9" t="str">
        <f>IF(j_WEEKDAY(A22)=6,1,"")</f>
        <v/>
      </c>
      <c r="F22" s="11" t="s">
        <v>98</v>
      </c>
    </row>
    <row r="23" spans="1:6" ht="15">
      <c r="A23" s="10" t="s">
        <v>99</v>
      </c>
      <c r="B23" s="10" t="str">
        <f t="shared" si="0"/>
        <v>1398</v>
      </c>
      <c r="C23" s="10" t="str">
        <f t="shared" si="1"/>
        <v>08</v>
      </c>
      <c r="D23" s="10">
        <v>1</v>
      </c>
      <c r="E23" s="9">
        <f>IF(j_WEEKDAY(A23)=6,1,"")</f>
        <v>1</v>
      </c>
      <c r="F23" s="11" t="s">
        <v>31</v>
      </c>
    </row>
    <row r="24" spans="1:6" ht="15">
      <c r="A24" s="10" t="s">
        <v>100</v>
      </c>
      <c r="B24" s="10" t="str">
        <f t="shared" si="0"/>
        <v>1398</v>
      </c>
      <c r="C24" s="10" t="str">
        <f t="shared" si="1"/>
        <v>11</v>
      </c>
      <c r="D24" s="10">
        <v>1</v>
      </c>
      <c r="E24" s="9" t="str">
        <f>IF(j_WEEKDAY(A24)=6,1,"")</f>
        <v/>
      </c>
      <c r="F24" s="11" t="s">
        <v>15</v>
      </c>
    </row>
    <row r="25" spans="1:6" ht="15">
      <c r="A25" s="10" t="s">
        <v>83</v>
      </c>
      <c r="B25" s="10" t="str">
        <f t="shared" si="0"/>
        <v>1398</v>
      </c>
      <c r="C25" s="10" t="str">
        <f t="shared" si="1"/>
        <v>11</v>
      </c>
      <c r="D25" s="10">
        <v>1</v>
      </c>
      <c r="E25" s="9" t="str">
        <f>IF(j_WEEKDAY(A25)=6,1,"")</f>
        <v/>
      </c>
      <c r="F25" s="11" t="s">
        <v>32</v>
      </c>
    </row>
    <row r="26" spans="1:6" ht="15">
      <c r="A26" s="10" t="s">
        <v>101</v>
      </c>
      <c r="B26" s="10" t="str">
        <f t="shared" si="0"/>
        <v>1398</v>
      </c>
      <c r="C26" s="10" t="str">
        <f t="shared" si="1"/>
        <v>12</v>
      </c>
      <c r="D26" s="10">
        <v>1</v>
      </c>
      <c r="E26" s="9" t="str">
        <f>IF(j_WEEKDAY(A26)=6,1,"")</f>
        <v/>
      </c>
      <c r="F26" s="11" t="s">
        <v>16</v>
      </c>
    </row>
    <row r="27" spans="1:6" ht="15">
      <c r="A27" s="10" t="s">
        <v>84</v>
      </c>
      <c r="B27" s="10" t="str">
        <f t="shared" si="0"/>
        <v>1398</v>
      </c>
      <c r="C27" s="10" t="str">
        <f t="shared" si="1"/>
        <v>12</v>
      </c>
      <c r="D27" s="10">
        <v>1</v>
      </c>
      <c r="E27" s="9" t="str">
        <f>IF(j_WEEKDAY(A27)=6,1,"")</f>
        <v/>
      </c>
      <c r="F27" s="11" t="s">
        <v>33</v>
      </c>
    </row>
    <row r="28" spans="1:6" ht="15">
      <c r="A28" s="168" t="s">
        <v>51</v>
      </c>
      <c r="B28" s="168"/>
      <c r="C28" s="168"/>
      <c r="D28" s="168">
        <f>SUBTOTAL(109,Holieday[ok])</f>
        <v>26</v>
      </c>
      <c r="E28" s="168">
        <f>SUBTOTAL(109,Holieday[Friday])</f>
        <v>2</v>
      </c>
      <c r="F28" s="169"/>
    </row>
    <row r="29" spans="1:6" ht="15">
      <c r="A29" s="10"/>
      <c r="B29" s="10" t="str">
        <f t="shared" ref="B29:B54" si="2">LEFT(A29,4)</f>
        <v/>
      </c>
      <c r="C29" s="10" t="str">
        <f t="shared" ref="C29:C54" si="3">MID(A29,6,2)</f>
        <v/>
      </c>
      <c r="D29" s="10"/>
      <c r="E29" s="9"/>
      <c r="F29" s="11"/>
    </row>
    <row r="30" spans="1:6" ht="15">
      <c r="A30" s="10"/>
      <c r="B30" s="10" t="str">
        <f t="shared" si="2"/>
        <v/>
      </c>
      <c r="C30" s="10" t="str">
        <f t="shared" si="3"/>
        <v/>
      </c>
      <c r="D30" s="10"/>
      <c r="E30" s="9"/>
      <c r="F30" s="11"/>
    </row>
    <row r="31" spans="1:6" ht="15">
      <c r="A31" s="10"/>
      <c r="B31" s="10" t="str">
        <f t="shared" si="2"/>
        <v/>
      </c>
      <c r="C31" s="10" t="str">
        <f t="shared" si="3"/>
        <v/>
      </c>
      <c r="D31" s="10"/>
      <c r="E31" s="9"/>
      <c r="F31" s="11"/>
    </row>
    <row r="32" spans="1:6" ht="15">
      <c r="A32" s="10"/>
      <c r="B32" s="10" t="str">
        <f t="shared" si="2"/>
        <v/>
      </c>
      <c r="C32" s="10" t="str">
        <f t="shared" si="3"/>
        <v/>
      </c>
      <c r="D32" s="10"/>
      <c r="E32" s="9"/>
      <c r="F32" s="11"/>
    </row>
    <row r="33" spans="1:6" ht="15">
      <c r="A33" s="10"/>
      <c r="B33" s="10" t="str">
        <f t="shared" si="2"/>
        <v/>
      </c>
      <c r="C33" s="10" t="str">
        <f t="shared" si="3"/>
        <v/>
      </c>
      <c r="D33" s="10"/>
      <c r="E33" s="9"/>
      <c r="F33" s="11"/>
    </row>
    <row r="34" spans="1:6" ht="15">
      <c r="A34" s="10"/>
      <c r="B34" s="10" t="str">
        <f t="shared" si="2"/>
        <v/>
      </c>
      <c r="C34" s="10" t="str">
        <f t="shared" si="3"/>
        <v/>
      </c>
      <c r="D34" s="10"/>
      <c r="E34" s="9"/>
      <c r="F34" s="11"/>
    </row>
    <row r="35" spans="1:6" ht="15">
      <c r="A35" s="10"/>
      <c r="B35" s="10" t="str">
        <f t="shared" si="2"/>
        <v/>
      </c>
      <c r="C35" s="10" t="str">
        <f t="shared" si="3"/>
        <v/>
      </c>
      <c r="D35" s="10"/>
      <c r="E35" s="9"/>
      <c r="F35" s="11"/>
    </row>
    <row r="36" spans="1:6" ht="15">
      <c r="A36" s="10"/>
      <c r="B36" s="10" t="str">
        <f t="shared" si="2"/>
        <v/>
      </c>
      <c r="C36" s="10" t="str">
        <f t="shared" si="3"/>
        <v/>
      </c>
      <c r="D36" s="10"/>
      <c r="E36" s="9"/>
      <c r="F36" s="11"/>
    </row>
    <row r="37" spans="1:6" ht="15">
      <c r="A37" s="10"/>
      <c r="B37" s="10" t="str">
        <f t="shared" si="2"/>
        <v/>
      </c>
      <c r="C37" s="10" t="str">
        <f t="shared" si="3"/>
        <v/>
      </c>
      <c r="D37" s="10"/>
      <c r="E37" s="9"/>
      <c r="F37" s="11"/>
    </row>
    <row r="38" spans="1:6" ht="15">
      <c r="A38" s="10"/>
      <c r="B38" s="10" t="str">
        <f t="shared" si="2"/>
        <v/>
      </c>
      <c r="C38" s="10" t="str">
        <f t="shared" si="3"/>
        <v/>
      </c>
      <c r="D38" s="10"/>
      <c r="E38" s="9"/>
      <c r="F38" s="11"/>
    </row>
    <row r="39" spans="1:6" ht="15">
      <c r="A39" s="10"/>
      <c r="B39" s="10" t="str">
        <f t="shared" si="2"/>
        <v/>
      </c>
      <c r="C39" s="10" t="str">
        <f t="shared" si="3"/>
        <v/>
      </c>
      <c r="D39" s="10"/>
      <c r="E39" s="9"/>
      <c r="F39" s="11"/>
    </row>
    <row r="40" spans="1:6" ht="15">
      <c r="A40" s="10"/>
      <c r="B40" s="10" t="str">
        <f t="shared" si="2"/>
        <v/>
      </c>
      <c r="C40" s="10" t="str">
        <f t="shared" si="3"/>
        <v/>
      </c>
      <c r="D40" s="10"/>
      <c r="E40" s="9"/>
      <c r="F40" s="11"/>
    </row>
    <row r="41" spans="1:6" ht="15">
      <c r="A41" s="10"/>
      <c r="B41" s="10" t="str">
        <f t="shared" si="2"/>
        <v/>
      </c>
      <c r="C41" s="10" t="str">
        <f t="shared" si="3"/>
        <v/>
      </c>
      <c r="D41" s="10"/>
      <c r="E41" s="9"/>
      <c r="F41" s="11"/>
    </row>
    <row r="42" spans="1:6" ht="15">
      <c r="A42" s="10"/>
      <c r="B42" s="10" t="str">
        <f t="shared" si="2"/>
        <v/>
      </c>
      <c r="C42" s="10" t="str">
        <f t="shared" si="3"/>
        <v/>
      </c>
      <c r="D42" s="10"/>
      <c r="E42" s="9"/>
      <c r="F42" s="11"/>
    </row>
    <row r="43" spans="1:6" ht="15">
      <c r="A43" s="10"/>
      <c r="B43" s="10" t="str">
        <f t="shared" si="2"/>
        <v/>
      </c>
      <c r="C43" s="10" t="str">
        <f t="shared" si="3"/>
        <v/>
      </c>
      <c r="D43" s="10"/>
      <c r="E43" s="9"/>
      <c r="F43" s="11"/>
    </row>
    <row r="44" spans="1:6" ht="15">
      <c r="A44" s="10"/>
      <c r="B44" s="10" t="str">
        <f t="shared" si="2"/>
        <v/>
      </c>
      <c r="C44" s="10" t="str">
        <f t="shared" si="3"/>
        <v/>
      </c>
      <c r="D44" s="10"/>
      <c r="E44" s="9"/>
      <c r="F44" s="11"/>
    </row>
    <row r="45" spans="1:6" ht="15">
      <c r="A45" s="10"/>
      <c r="B45" s="10" t="str">
        <f t="shared" si="2"/>
        <v/>
      </c>
      <c r="C45" s="10" t="str">
        <f t="shared" si="3"/>
        <v/>
      </c>
      <c r="D45" s="10"/>
      <c r="E45" s="9"/>
      <c r="F45" s="11"/>
    </row>
    <row r="46" spans="1:6" ht="15">
      <c r="A46" s="10"/>
      <c r="B46" s="10" t="str">
        <f t="shared" si="2"/>
        <v/>
      </c>
      <c r="C46" s="10" t="str">
        <f t="shared" si="3"/>
        <v/>
      </c>
      <c r="D46" s="10"/>
      <c r="E46" s="9"/>
      <c r="F46" s="11"/>
    </row>
    <row r="47" spans="1:6" ht="15">
      <c r="A47" s="10"/>
      <c r="B47" s="10" t="str">
        <f t="shared" si="2"/>
        <v/>
      </c>
      <c r="C47" s="10" t="str">
        <f t="shared" si="3"/>
        <v/>
      </c>
      <c r="D47" s="10"/>
      <c r="E47" s="9"/>
      <c r="F47" s="11"/>
    </row>
    <row r="48" spans="1:6" ht="15">
      <c r="A48" s="10"/>
      <c r="B48" s="10" t="str">
        <f t="shared" si="2"/>
        <v/>
      </c>
      <c r="C48" s="10" t="str">
        <f t="shared" si="3"/>
        <v/>
      </c>
      <c r="D48" s="10"/>
      <c r="E48" s="9"/>
      <c r="F48" s="11"/>
    </row>
    <row r="49" spans="1:6" ht="15">
      <c r="A49" s="10"/>
      <c r="B49" s="10" t="str">
        <f t="shared" si="2"/>
        <v/>
      </c>
      <c r="C49" s="10" t="str">
        <f t="shared" si="3"/>
        <v/>
      </c>
      <c r="D49" s="10"/>
      <c r="E49" s="9"/>
      <c r="F49" s="11"/>
    </row>
    <row r="50" spans="1:6" ht="15">
      <c r="A50" s="10"/>
      <c r="B50" s="10" t="str">
        <f t="shared" si="2"/>
        <v/>
      </c>
      <c r="C50" s="10" t="str">
        <f t="shared" si="3"/>
        <v/>
      </c>
      <c r="D50" s="10"/>
      <c r="E50" s="9"/>
      <c r="F50" s="11"/>
    </row>
    <row r="51" spans="1:6" ht="15">
      <c r="A51" s="10"/>
      <c r="B51" s="10" t="str">
        <f t="shared" si="2"/>
        <v/>
      </c>
      <c r="C51" s="10" t="str">
        <f t="shared" si="3"/>
        <v/>
      </c>
      <c r="D51" s="10"/>
      <c r="E51" s="9"/>
      <c r="F51" s="11"/>
    </row>
    <row r="52" spans="1:6" ht="15">
      <c r="A52" s="10"/>
      <c r="B52" s="10" t="str">
        <f t="shared" si="2"/>
        <v/>
      </c>
      <c r="C52" s="10" t="str">
        <f t="shared" si="3"/>
        <v/>
      </c>
      <c r="D52" s="10"/>
      <c r="E52" s="9"/>
      <c r="F52" s="11"/>
    </row>
    <row r="53" spans="1:6" ht="15">
      <c r="A53" s="10"/>
      <c r="B53" s="10" t="str">
        <f t="shared" si="2"/>
        <v/>
      </c>
      <c r="C53" s="10" t="str">
        <f t="shared" si="3"/>
        <v/>
      </c>
      <c r="D53" s="10"/>
      <c r="E53" s="9"/>
      <c r="F53" s="11"/>
    </row>
    <row r="54" spans="1:6" ht="15">
      <c r="A54" s="10"/>
      <c r="B54" s="10" t="str">
        <f t="shared" si="2"/>
        <v/>
      </c>
      <c r="C54" s="10" t="str">
        <f t="shared" si="3"/>
        <v/>
      </c>
      <c r="D54" s="10"/>
      <c r="E54" s="9"/>
      <c r="F54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امید لک</cp:lastModifiedBy>
  <cp:lastPrinted>2019-09-24T16:20:13Z</cp:lastPrinted>
  <dcterms:created xsi:type="dcterms:W3CDTF">2006-11-11T15:27:14Z</dcterms:created>
  <dcterms:modified xsi:type="dcterms:W3CDTF">2019-12-23T12:40:42Z</dcterms:modified>
  <cp:category>gant</cp:category>
</cp:coreProperties>
</file>